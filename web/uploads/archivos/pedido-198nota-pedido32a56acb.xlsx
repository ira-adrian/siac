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entos-Espacio de 1ra Infancia\Adjuntos\Adj.en NO-2022-00607723\"/>
    </mc:Choice>
  </mc:AlternateContent>
  <xr:revisionPtr revIDLastSave="0" documentId="13_ncr:1_{F5924886-4337-463D-9C60-034EC36C93EB}" xr6:coauthVersionLast="47" xr6:coauthVersionMax="47" xr10:uidLastSave="{00000000-0000-0000-0000-000000000000}"/>
  <bookViews>
    <workbookView xWindow="-120" yWindow="-120" windowWidth="20730" windowHeight="11160" tabRatio="500" firstSheet="3" activeTab="3" xr2:uid="{00000000-000D-0000-FFFF-FFFF00000000}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 NotaPedido" sheetId="2" r:id="rId5"/>
    <sheet name="Autor Gastar" sheetId="3" r:id="rId6"/>
    <sheet name="LIM-IMP" sheetId="8" state="hidden" r:id="rId7"/>
  </sheets>
  <externalReferences>
    <externalReference r:id="rId8"/>
    <externalReference r:id="rId9"/>
  </externalReferences>
  <definedNames>
    <definedName name="_xlnm.Print_Area" localSheetId="4">' NotaPedido'!$A$1:$L$74</definedName>
    <definedName name="_xlnm.Print_Area" localSheetId="3">'ALIM-IMP'!$E$9:$E$70</definedName>
    <definedName name="_xlnm.Print_Area" localSheetId="5">'Autor Gastar'!$A$1:$Q$27</definedName>
    <definedName name="_xlnm.Print_Area" localSheetId="1">limpieza!$A$1:$I$118</definedName>
    <definedName name="_xlnm.Print_Titles" localSheetId="4">' NotaPedido'!$1:$9</definedName>
  </definedNames>
  <calcPr calcId="181029"/>
</workbook>
</file>

<file path=xl/calcChain.xml><?xml version="1.0" encoding="utf-8"?>
<calcChain xmlns="http://schemas.openxmlformats.org/spreadsheetml/2006/main">
  <c r="D1031" i="9" l="1"/>
  <c r="D916" i="9"/>
  <c r="D459" i="9" l="1"/>
  <c r="C73" i="2" l="1"/>
  <c r="C72" i="2"/>
  <c r="C71" i="2"/>
  <c r="C70" i="2"/>
  <c r="C69" i="2"/>
  <c r="I50" i="2" l="1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49" i="2"/>
  <c r="I48" i="2"/>
  <c r="I47" i="2"/>
  <c r="I46" i="2"/>
  <c r="I45" i="2"/>
  <c r="I44" i="2"/>
  <c r="I43" i="2"/>
  <c r="I42" i="2"/>
  <c r="I41" i="2"/>
  <c r="I39" i="2"/>
  <c r="I40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2" i="2"/>
  <c r="I13" i="2"/>
  <c r="K18" i="2" l="1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J38" i="2"/>
  <c r="L38" i="2" s="1"/>
  <c r="J39" i="2"/>
  <c r="L39" i="2" s="1"/>
  <c r="J40" i="2"/>
  <c r="L40" i="2" s="1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C49" i="2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L50" i="2" l="1"/>
  <c r="L42" i="2"/>
  <c r="L31" i="2"/>
  <c r="L27" i="2"/>
  <c r="L23" i="2"/>
  <c r="L21" i="2"/>
  <c r="L37" i="2"/>
  <c r="L71" i="2"/>
  <c r="L63" i="2"/>
  <c r="L35" i="2"/>
  <c r="L72" i="2"/>
  <c r="L68" i="2"/>
  <c r="L64" i="2"/>
  <c r="L56" i="2"/>
  <c r="L67" i="2"/>
  <c r="L62" i="2"/>
  <c r="L46" i="2"/>
  <c r="L33" i="2"/>
  <c r="L29" i="2"/>
  <c r="L25" i="2"/>
  <c r="L70" i="2"/>
  <c r="L66" i="2"/>
  <c r="L43" i="2"/>
  <c r="L41" i="2"/>
  <c r="L36" i="2"/>
  <c r="L32" i="2"/>
  <c r="L30" i="2"/>
  <c r="L28" i="2"/>
  <c r="L22" i="2"/>
  <c r="L20" i="2"/>
  <c r="L34" i="2"/>
  <c r="L26" i="2"/>
  <c r="L24" i="2"/>
  <c r="L73" i="2"/>
  <c r="L49" i="2"/>
  <c r="L48" i="2"/>
  <c r="L45" i="2"/>
  <c r="L44" i="2"/>
  <c r="L69" i="2"/>
  <c r="L65" i="2"/>
  <c r="L61" i="2"/>
  <c r="L60" i="2"/>
  <c r="L57" i="2"/>
  <c r="L58" i="2"/>
  <c r="L59" i="2"/>
  <c r="L55" i="2"/>
  <c r="L54" i="2"/>
  <c r="L53" i="2"/>
  <c r="L52" i="2"/>
  <c r="L51" i="2"/>
  <c r="L47" i="2"/>
  <c r="I17" i="9"/>
  <c r="C18" i="2" l="1"/>
  <c r="B15" i="2"/>
  <c r="C15" i="2"/>
  <c r="I11" i="9" l="1"/>
  <c r="C12" i="2"/>
  <c r="D1" i="3" l="1"/>
  <c r="I9" i="9"/>
  <c r="I10" i="9"/>
  <c r="I12" i="9"/>
  <c r="I13" i="9"/>
  <c r="I14" i="9"/>
  <c r="I15" i="9"/>
  <c r="I16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L18" i="2" s="1"/>
  <c r="J19" i="2"/>
  <c r="L19" i="2" s="1"/>
  <c r="I11" i="8"/>
  <c r="I10" i="8"/>
  <c r="I9" i="8"/>
  <c r="I14" i="2"/>
  <c r="I15" i="2"/>
  <c r="I16" i="2"/>
  <c r="I17" i="2"/>
  <c r="I18" i="2"/>
  <c r="C13" i="2"/>
  <c r="C14" i="2"/>
  <c r="C16" i="2"/>
  <c r="C17" i="2"/>
  <c r="B13" i="2"/>
  <c r="B14" i="2"/>
  <c r="B16" i="2"/>
  <c r="B17" i="2"/>
  <c r="B18" i="2"/>
  <c r="B19" i="2"/>
  <c r="B12" i="2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/>
  <c r="D37" i="1"/>
  <c r="I11" i="5"/>
  <c r="I12" i="5"/>
  <c r="I10" i="5"/>
  <c r="I10" i="4"/>
  <c r="D26" i="1"/>
  <c r="D27" i="1"/>
  <c r="D17" i="1"/>
  <c r="D18" i="1"/>
  <c r="D21" i="1"/>
  <c r="D22" i="1"/>
  <c r="D24" i="1"/>
  <c r="D25" i="1"/>
  <c r="D19" i="1"/>
  <c r="D30" i="1"/>
  <c r="D33" i="1"/>
  <c r="D34" i="1"/>
  <c r="D12" i="1"/>
  <c r="D15" i="1"/>
  <c r="I15" i="3"/>
  <c r="D9" i="1"/>
  <c r="G4" i="3"/>
  <c r="D4" i="2"/>
  <c r="G5" i="3" s="1"/>
  <c r="A10" i="3"/>
  <c r="L16" i="2" l="1"/>
  <c r="L14" i="2"/>
  <c r="L17" i="2"/>
  <c r="L15" i="2"/>
  <c r="L13" i="2"/>
  <c r="Q23" i="3"/>
  <c r="L12" i="2"/>
  <c r="J74" i="2" l="1"/>
</calcChain>
</file>

<file path=xl/sharedStrings.xml><?xml version="1.0" encoding="utf-8"?>
<sst xmlns="http://schemas.openxmlformats.org/spreadsheetml/2006/main" count="3193" uniqueCount="571">
  <si>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</si>
  <si>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</si>
  <si>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</si>
  <si>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</si>
  <si>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</si>
  <si>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</si>
  <si>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</si>
  <si>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</si>
  <si>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</si>
  <si>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</si>
  <si>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</si>
  <si>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</si>
  <si>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</si>
  <si>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</si>
  <si>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</si>
  <si>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</si>
  <si>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</si>
  <si>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</si>
  <si>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</si>
  <si>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</si>
  <si>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</si>
  <si>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</si>
  <si>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</si>
  <si>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</si>
  <si>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</si>
  <si>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</si>
  <si>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</si>
  <si>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</si>
  <si>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</si>
  <si>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</si>
  <si>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</si>
  <si>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</si>
  <si>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</si>
  <si>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</si>
  <si>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</si>
  <si>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</si>
  <si>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</si>
  <si>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</si>
  <si>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</si>
  <si>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</si>
  <si>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</si>
  <si>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</si>
  <si>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</si>
  <si>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</si>
  <si>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</si>
  <si>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</si>
  <si>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</si>
  <si>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</si>
  <si>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</si>
  <si>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</si>
  <si>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</si>
  <si>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</si>
  <si>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</si>
  <si>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</si>
  <si>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</si>
  <si>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</si>
  <si>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</si>
  <si>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</si>
  <si>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</si>
  <si>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</si>
  <si>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</si>
  <si>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</si>
  <si>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</si>
  <si>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</si>
  <si>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</si>
  <si>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</si>
  <si>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</si>
  <si>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</si>
  <si>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</si>
  <si>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</si>
  <si>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</si>
  <si>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</si>
  <si>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</si>
  <si>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</si>
  <si>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</si>
  <si>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</si>
  <si>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</si>
  <si>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</si>
  <si>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</si>
  <si>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</si>
  <si>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</si>
  <si>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</si>
  <si>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</si>
  <si>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</si>
  <si>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</si>
  <si>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</si>
  <si>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</si>
  <si>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</si>
  <si>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</si>
  <si>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</si>
  <si>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</si>
  <si>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</si>
  <si>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</si>
  <si>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</si>
  <si>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</si>
  <si>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</si>
  <si>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</si>
  <si>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</si>
  <si>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</si>
  <si>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</si>
  <si>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</si>
  <si>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</si>
  <si>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</si>
  <si>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</si>
  <si>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</si>
  <si>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</si>
  <si>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</si>
  <si>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</si>
  <si>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</si>
  <si>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</si>
  <si>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</si>
  <si>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</si>
  <si>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</si>
  <si>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</si>
  <si>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</si>
  <si>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</si>
  <si>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</si>
  <si>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</si>
  <si>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</si>
  <si>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</si>
  <si>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</si>
  <si>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</si>
  <si>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</si>
  <si>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</si>
  <si>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</si>
  <si>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</si>
  <si>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</si>
  <si>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</si>
  <si>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</si>
  <si>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</si>
  <si>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</si>
  <si>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</si>
  <si>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</si>
  <si>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</si>
  <si>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</si>
  <si>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</si>
  <si>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</si>
  <si>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</si>
  <si>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</si>
  <si>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</si>
  <si>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</si>
  <si>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</si>
  <si>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</si>
  <si>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</si>
  <si>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</si>
  <si>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</si>
  <si>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</si>
  <si>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</si>
  <si>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</si>
  <si>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</si>
  <si>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</si>
  <si>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</si>
  <si>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</si>
  <si>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</si>
  <si>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</si>
  <si>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</si>
  <si>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</si>
  <si>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</si>
  <si>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</si>
  <si>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</si>
  <si>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</si>
  <si>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</si>
  <si>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</si>
  <si>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</si>
  <si>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</si>
  <si>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</si>
  <si>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</si>
  <si>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</si>
  <si>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</si>
  <si>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</si>
  <si>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</si>
  <si>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</si>
  <si>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</si>
  <si>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</si>
  <si>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</si>
  <si>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</si>
  <si>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</si>
  <si>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</si>
  <si>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</si>
  <si>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</si>
  <si>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</si>
  <si>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</si>
  <si>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</si>
  <si>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</si>
  <si>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</si>
  <si>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</si>
  <si>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</si>
  <si>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</si>
  <si>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</si>
  <si>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</si>
  <si>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</si>
  <si>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</si>
  <si>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</si>
  <si>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</si>
  <si>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</si>
  <si>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</si>
  <si>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</si>
  <si>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</si>
  <si>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</si>
  <si>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</si>
  <si>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</si>
  <si>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</si>
  <si>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</si>
  <si>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</si>
  <si>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</si>
  <si>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</si>
  <si>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</si>
  <si>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</si>
  <si>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</si>
  <si>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</si>
  <si>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</si>
  <si>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</si>
  <si>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</si>
  <si>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</si>
  <si>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</si>
  <si>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</si>
  <si>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</si>
  <si>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</si>
  <si>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</si>
  <si>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</si>
  <si>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</si>
  <si>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</si>
  <si>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</si>
  <si>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</si>
  <si>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</si>
  <si>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</si>
  <si>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</si>
  <si>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</si>
  <si>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</si>
  <si>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</si>
  <si>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</si>
  <si>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</si>
  <si>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</si>
  <si>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</si>
  <si>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</si>
  <si>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</si>
  <si>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</si>
  <si>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</si>
  <si>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</si>
  <si>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</si>
  <si>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</si>
  <si>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</si>
  <si>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</si>
  <si>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</si>
  <si>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</si>
  <si>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</si>
  <si>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</si>
  <si>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</si>
  <si>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</si>
  <si>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</si>
  <si>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</si>
  <si>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</si>
  <si>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</si>
  <si>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</si>
  <si>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</si>
  <si>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</si>
  <si>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</si>
  <si>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</si>
  <si>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</si>
  <si>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</si>
  <si>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</si>
  <si>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</si>
  <si>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</si>
  <si>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</si>
  <si>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</si>
  <si>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</si>
  <si>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</si>
  <si>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</si>
  <si>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</si>
  <si>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</si>
  <si>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</si>
  <si>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</si>
  <si>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</si>
  <si>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</si>
  <si>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</si>
  <si>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</si>
  <si>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</si>
  <si>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</si>
  <si>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</si>
  <si>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</si>
  <si>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</si>
  <si>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</si>
  <si>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</si>
  <si>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</si>
  <si>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</si>
  <si>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Importe Estimado</t>
  </si>
  <si>
    <t>Especificidades Item N° 31: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</si>
  <si>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</si>
  <si>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</si>
  <si>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</si>
  <si>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</si>
  <si>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</si>
  <si>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</si>
  <si>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</si>
  <si>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</si>
  <si>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</si>
  <si>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</si>
  <si>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</si>
  <si>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Especificidades Item N° 32:</t>
  </si>
  <si>
    <t>Especificidades Item N° 33:</t>
  </si>
  <si>
    <t>Especificidades Item N° 34:</t>
  </si>
  <si>
    <t>Especificidades Item N° 35:</t>
  </si>
  <si>
    <t>01- Actividad Central</t>
  </si>
  <si>
    <t>TRIMESTRE</t>
  </si>
  <si>
    <t>45- Ministerio de Desarrollo Social</t>
  </si>
  <si>
    <t>FRUTAS; VARIEDAD: BANANA, ESTADO: NATURAL, PRESENTACION: GRANEL, PESO: SIN VALOR</t>
  </si>
  <si>
    <t>2.1.1-6539.29</t>
  </si>
  <si>
    <t>CARNES; ESPECIE: CARNE VACUNA, CORTE: MILANESA NALGA, TIPO: CARNE VACUNA</t>
  </si>
  <si>
    <t>2.1.1-541.154</t>
  </si>
  <si>
    <t>YOGHURT; CAPACIDAD: 1 L, SABOR: FRUTILLA, TIPO: ENTERO, ENVASE: SACHET, AGREGADO: SIN VALOR, CONSISTENCIA: BEBIBLE, PRESENTACION: SACHET X 1 L</t>
  </si>
  <si>
    <t>2.1.1-456.22</t>
  </si>
  <si>
    <t>INSTITUCION</t>
  </si>
  <si>
    <t>23- Direccion Provincial de Primera Infancia</t>
  </si>
  <si>
    <t>2.1.1-541.134</t>
  </si>
  <si>
    <t>CARNES; ESPECIE: CARNE VACUNA, CORTE: CUAD,CARN,C.DE LOMO,Y OTROS, TIPO: CARNE VACUNA</t>
  </si>
  <si>
    <t>2.1.1-621.15</t>
  </si>
  <si>
    <t>AVES; ESPECIE: PECHUGA DE POLLO, PRESENTACION: A GRANEL, EVISCERADO: SIN MENUDOS, TIPO: PECHUGA DE POLLO</t>
  </si>
  <si>
    <t>2.1.1-621.19</t>
  </si>
  <si>
    <t>AVES; TIPO: POLLO, PRESENTACION: PATA MUSLO, EVISCERADO: SI, ELEM. TRANSPORTE: SIN, MATERIAL ELEM. TRANSPORTE: SIN, LIBRE DE GLUTEN: SIN VALOR</t>
  </si>
  <si>
    <t>2.1.1-6546.1</t>
  </si>
  <si>
    <t>VERDURAS Y HORTALIZAS; VARIEDAD: TOMATE PERITA, ESTADO: NATURAL, PRESENTACION: GRANEL, PESO: SIN VALOR</t>
  </si>
  <si>
    <t>2.1.1-6546.150</t>
  </si>
  <si>
    <t>VERDURAS Y HORTALIZAS; ESTADO: NATURAL, PESO: SIN VALOR, VARIEDAD: ZAPALLITO REDONDO, PRESENTACION: GRANEL</t>
  </si>
  <si>
    <t>2.1.1-6539.7</t>
  </si>
  <si>
    <t>FRUTAS; ESTADO: NATURAL, VARIEDAD: NARANJA PARA JUGO, PRESENTACION: A GRANEL, PESO: SIN VALOR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</si>
  <si>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</si>
  <si>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</si>
  <si>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2.1.1-542.207</t>
  </si>
  <si>
    <t>QUESOS; TIPO: SARDO, PRESENTACION: HORMA X 3 Kg, ELEM. TRANSPORTE: SIN, MATERIAL ELEM. TRANSPORTE: SIN, MATERIAL ENVASE: SIN, CERTIFICADO FORESTAL (GFS): SIN, LIBRE DE GLUTEN: NO</t>
  </si>
  <si>
    <t>2.1.1-434.12</t>
  </si>
  <si>
    <t>MARGARINAS; TIPO: VEGETAL, ENVASE: PAPEL, PESO UNITARIO: PAPEL X 500 GR, PRESENTACION: PAPEL X 500 GR</t>
  </si>
  <si>
    <t>2.1.1-6546.158</t>
  </si>
  <si>
    <t>VERDURAS Y HORTALIZAS; ESTADO: NATURAL, VARIEDAD: ZAPALLO ANCO, PRESENTACION: GRANEL, PESO: SIN VALOR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</si>
  <si>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</si>
  <si>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</si>
  <si>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</si>
  <si>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</si>
  <si>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</si>
  <si>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</si>
  <si>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</si>
  <si>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</si>
  <si>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2.1.1-2431.31</t>
  </si>
  <si>
    <t>CALDOS; GUSTO: CARNE, TIPO: DESHIDRATADO, PRESENTACION: CAJA CON CUBOS X 9,5 GR, LIBRE DE GLUTEN: NO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</si>
  <si>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</si>
  <si>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</si>
  <si>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</si>
  <si>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</si>
  <si>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2.1.1-6546.260</t>
  </si>
  <si>
    <t>VERDURAS Y HORTALIZAS; VARIEDAD: TOMATE, ESTADO: PURE, PRESENTACION: TETRABRIK, PESO: 520 GR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</si>
  <si>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</si>
  <si>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</si>
  <si>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</si>
  <si>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</si>
  <si>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</si>
  <si>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</si>
  <si>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</si>
  <si>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</si>
  <si>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</si>
  <si>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</si>
  <si>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</si>
  <si>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</si>
  <si>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</si>
  <si>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</si>
  <si>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</si>
  <si>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</si>
  <si>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</si>
  <si>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</si>
  <si>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</si>
  <si>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</si>
  <si>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</si>
  <si>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</si>
  <si>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2.1.1-513.9</t>
  </si>
  <si>
    <t>FLANES; PESO: 60 GR, ENVASE: CAJA CARTON, ESTADO PREPARACION: CON COCCION, SABOR: VAINILLA, TIPO: SIN VALOR, PRESENTACION: 60 GR</t>
  </si>
  <si>
    <t>2.1.1-513.8</t>
  </si>
  <si>
    <t>FLANES; PESO: ENVASE X 60 GR, ESTADO PREPARACION: CON COCCION, ENVASE: CAJA CARTON, TIPO: SIN VALOR, SABOR: DULCE DE LECHE, PRESENTACION: ENVASE X 60 GR</t>
  </si>
  <si>
    <t>2.1.1-510.67</t>
  </si>
  <si>
    <t>GELATINAS; TIPO: COMUN, PESO: 50 GR, SABOR: FRUTILLA, ENVASE: CAJA DE CARTON, LIBRE DE GLUTEN: SI</t>
  </si>
  <si>
    <t>2.1.1-510.63</t>
  </si>
  <si>
    <t>GELATINAS; TIPO: COMUN, PESO: 50 GR, SABOR: NARANJA, ENVASE: CAJA DE CARTON, LIBRE DE GLUTEN: NO</t>
  </si>
  <si>
    <t>2.1.1-3390.124</t>
  </si>
  <si>
    <t>JUGOS; TIPO: EN POLVO, SABOR: NARANJA, PRESENTACION: SOBRE X 20 GR, MATERIAL ENVASE: TETRAFILM, CERTIFICADO FORESTAL (GFS): SIN, LIBRE DE GLUTEN: SI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</si>
  <si>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</si>
  <si>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</si>
  <si>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</si>
  <si>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</si>
  <si>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</si>
  <si>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KUSICUNA</t>
  </si>
  <si>
    <t>WAWA WASI</t>
  </si>
  <si>
    <t>Calle Araucarias esquina Las Orquides Barrio Los Ceibos</t>
  </si>
  <si>
    <t>Caseros Nº 1001 Barrio Centro (Casa Cuna)</t>
  </si>
  <si>
    <t>23 -Direccion Provincial de Primera Infancia</t>
  </si>
  <si>
    <t>1 - Actividad Central</t>
  </si>
  <si>
    <t>Calle Francia entre España y Av. San Juan Bautista Casa Nº 47 Bº 100 vv Norte</t>
  </si>
  <si>
    <t>Especificidades Item N° 36:</t>
  </si>
  <si>
    <t>Especificidades Item N° 37:</t>
  </si>
  <si>
    <t>Especificidades Item N° 38:</t>
  </si>
  <si>
    <t>Especificidades Item N° 39:</t>
  </si>
  <si>
    <t>*SE REALIZA LA ENTREGA DE 140 KG POR SEMANA ( DISTRIBUIDOS SEGÚN DETALLE PARA CADA INSTITUCION)   LO QUE HACE UNA SUMA DE 560  KG MENSUALES  QUE REPRESENTA UN TOTAL DE 1680 KG TRIMESTRALES</t>
  </si>
  <si>
    <t>*SE REALIZA LA ENTREGA DE 48 KG POR SEMANA ( DISTRIBUIDOS SEGÚN DETALLE PARA CADA INSTITUCION)   LO QUE HACE UNA SUMA DE 192 KG MENSUALES  QUE REPRESENTA UN TOTAL DE 576 KG TRIMESTRALES</t>
  </si>
  <si>
    <t>*SE REALIZA LA ENTREGA DE 44 KG POR SEMANA ( DISTRIBUIDOS SEGÚN DETALLE PARA CADA INSTITUCION)   LO QUE HACE UNA SUMA DE 176 KG MENSUALES  QUE REPRESENTA UN TOTAL DE 528 KG TRIMESTRALES</t>
  </si>
  <si>
    <t>2.1.1-6546.34</t>
  </si>
  <si>
    <t>VERDURAS Y HORTALIZAS; VARIEDAD: ACELGA, ESTADO: EN HOJA, PRESENTACION: ATADO, PESO: SIN VALOR</t>
  </si>
  <si>
    <t xml:space="preserve">SEMANAL </t>
  </si>
  <si>
    <t>*SE REALIZA LA ENTREGA DE 70 UNIDADES POR SEMANA ( DISTRIBUIDOS SEGÚN DETALLE PARA CADA COMEDOR)   LO QUE HACE UNA SUMA DE 280 UNIDADES MENSUALES  QUE REPRESENTA UN TOTAL DE 840 UNIDADES TRIMESTRALES</t>
  </si>
  <si>
    <t xml:space="preserve">*SE REALIZA LA ENTREGA DE 5  UNIDADES POR SEMANA ( DISTRIBUIDOS SEGÚN DETALLE PARA CADA COMEDOR)   LO QUE HACE UNA SUMA DE  20 UNIDADES MENSUALES  QUE REPRESENTA UN TOTAL DE 60 UNIDADES TRIMESTRALES </t>
  </si>
  <si>
    <t>*SE REALIZA LA ENTREGA DE 24 KG POR SEMANA ( DISTRIBUIDOS SEGÚN DETALLE PARA CADA COMEDOR)   LO QUE HACE UNA SUMA DE 96 KG MENSUALES  QUE REPRESENTA UN TOTAL DE 288 KG TRIMESTRALES</t>
  </si>
  <si>
    <t>*SE REALIZA LA ENTREGA DE 40 KG POR SEMANA ( DISTRIBUIDOS SEGÚN DETALLE PARA CADA COMEDOR)   LO QUE HACE UNA SUMA DE 160 KG MENSUALES  QUE REPRESENTA UN TOTAL DE 480 KG TRIMESTRALES</t>
  </si>
  <si>
    <t>*SE REALIZA LA ENTREGA DE 44 KG POR SEMANA ( DISTRIBUIDOS SEGÚN DETALLE PARA CADA COMEDOR)   LO QUE HACE UNA SUMA DE 176 KG MENSUALES  QUE REPRESENTA UN TOTAL DE 528 KG TRIMESTRALES</t>
  </si>
  <si>
    <t>*SE REALIZA LA ENTREGA DE 31 KG POR SEMANA ( DISTRIBUIDOS SEGÚN DETALLE PARA CADA COMEDOR)   LO QUE HACE UNA SUMA DE 124 KG MENSUALES  QUE REPRESENTA UN TOTAL DE 372 KG TRIMESTRALES</t>
  </si>
  <si>
    <t>*SE REALIZA LA ENTREGA DE 5  UNIDADES POR SEMANA ( DISTRIBUIDOS SEGÚN DETALLE PARA CADA COMEDOR)   LO QUE HACE UNA SUMA DE  20 UNIDADES MENSUALES  QUE REPRESENTA UN TOTAL DE 60 KG TRIMESTRALES</t>
  </si>
  <si>
    <t>*SE REALIZA LA ENTREGA DE 20 UNIDADES POR SEMANA ( DISTRIBUIDOS SEGÚN DETALLE PARA CADA COMEDOR)   LO QUE HACE UNA SUMA DE 80 UNIDADES MENSUALES  QUE REPRESENTA UN TOTAL DE 240 UNIDADES TRIMESTRALES</t>
  </si>
  <si>
    <t>*SE REALIZA LA ENTREGA DE 15 UNIDADES POR SEMANA  ( DISTRIBUIDOS SEGÚN DETALLE PARA CADA COMEDOR)   LO QUE HACE UNA SUMA DE 60 UNIDADES MENSUALES QUE REPRESENTA UN TOTAL DE 180 UNIDADES TRIMESTRALES</t>
  </si>
  <si>
    <t>*SE REALIZA LA ENTREGA DE 60 UNIDADES POR SEMANA  ( DISTRIBUIDOS SEGÚN DETALLE PARA CADA COMEDOR)   LO QUE HACE UNA SUMA DE 240 UNIDADES MENSUALES QUE REPRESENTA UN TOTAL DE 720 UNIDADES TRIMESTRALES</t>
  </si>
  <si>
    <t xml:space="preserve">MENSUAL </t>
  </si>
  <si>
    <t>MENSUAL</t>
  </si>
  <si>
    <t>*SE REALIZA LA ENTREGA DE 280 UNIDADES MENSUALES ( DISTRIBUIDOS SEGÚN DETALLE PARA CADA COMEDOR)   QUE REPRESENTA UN TOTAL DE  840 UNIDADES TRIMESTRALES.</t>
  </si>
  <si>
    <t>*SE REALIZA LA ENTREGA DE 84 UNIDADES MENSUALES ( DISTRIBUIDOS SEGÚN DETALLE PARA CADA COMEDOR)   QUE REPRESENTA UN TOTAL DE 252 UNIDADES TRIMESTRALES.</t>
  </si>
  <si>
    <t>*SE REALIZA LA ENTREGA DE 224 UNIDADES MENSUALES ( DISTRIBUIDOS SEGÚN DETALLE PARA CADA COMEDOR)   QUE REPRESENTA UN TOTAL DE 672 UNIDADES TRIMESTRALES.</t>
  </si>
  <si>
    <t>*SE REALIZA LA ENTREGA DE 112 UNIDADES MENSUALES ( DISTRIBUIDOS SEGÚN DETALLE PARA CADA COMEDOR)   QUE REPRESENTA UN TOTAL DE 336  UNIDADES TRIMESTRALES.</t>
  </si>
  <si>
    <t>*SE REALIZA LA ENTREGA DE 144 UNIDADES MENSUALES ( DISTRIBUIDOS SEGÚN DETALLE PARA CADA COMEDOR)   QUE REPRESENTA UN TOTAL DE 432 UNIDADES TRIMESTRALES.</t>
  </si>
  <si>
    <t>*SE REALIZA LA ENTREGA DE 140 UNIDADES MENSUALES ( DISTRIBUIDOS SEGÚN DETALLE PARA CADA COMEDOR)   QUE REPRESENTA UN TOTAL DE 420 UNIDADES TRIMESTRALES.</t>
  </si>
  <si>
    <t>*SE REALIZA LA ENTREGA DE 336 UNIDADES MENSUALES ( DISTRIBUIDOS SEGÚN DETALLE PARA CADA COMEDOR)   QUE REPRESENTA UN TOTAL DE 1008 UNIDADES TRIMESTRALES.</t>
  </si>
  <si>
    <t>*SE REALIZA LA ENTREGA DE 56 UNIDADES MENSUALES ( DISTRIBUIDOS SEGÚN DETALLE PARA CADA COMEDOR)   QUE REPRESENTA UN TOTAL DE 168 UNIDADES TRIMESTRALES.</t>
  </si>
  <si>
    <t>*SE REALIZA LA ENTREGA DE 190 UNIDADES MENSUALES ( DISTRIBUIDOS SEGÚN DETALLE PARA CADA COMEDOR)   QUE REPRESENTA UN TOTAL DE 570 UNIDADES TRIMESTRALES.</t>
  </si>
  <si>
    <t>Especificidades Item N° 40</t>
  </si>
  <si>
    <t>Especificidades Item N° 41</t>
  </si>
  <si>
    <t>Especificidades Item N° 42</t>
  </si>
  <si>
    <t>Especificidades Item N° 43</t>
  </si>
  <si>
    <t>*SE REALIZA LA ENTREGA DE 38 UNIDADES MENSUALES ( DISTRIBUIDOS SEGÚN DETALLE PARA CADA COMEDOR)   QUE REPRESENTA UN TOTAL DE 114 UNIDADES TRIMESTRALES.</t>
  </si>
  <si>
    <t>*SE REALIZA LA ENTREGA DE 26 UNIDADES MENSUALES ( DISTRIBUIDOS SEGÚN DETALLE PARA CADA COMEDOR)   QUE REPRESENTA UN TOTAL DE 78 UNIDADES TRIMESTRALES.</t>
  </si>
  <si>
    <t>*SE REALIZA LA ENTREGA DE 172 UNIDADES MENSUALES ( DISTRIBUIDOS SEGÚN DETALLE PARA CADA COMEDOR)   QUE REPRESENTA UN TOTAL DE 516 UNIDADES TRIMESTRALES.</t>
  </si>
  <si>
    <t>*SE REALIZA LA ENTREGA DE 112 UNIDADES MENSUALES ( DISTRIBUIDOS SEGÚN DETALLE PARA CADA COMEDOR)   QUE REPRESENTA UN TOTAL DE 336 UNIDADES TRIMESTRALES.</t>
  </si>
  <si>
    <t xml:space="preserve">Especificidades Item N° 44 </t>
  </si>
  <si>
    <t>Especificidades Item N° 45</t>
  </si>
  <si>
    <t>Especificidades Item N° 46</t>
  </si>
  <si>
    <t>Especificidades Item N° 47</t>
  </si>
  <si>
    <t>Especificidades Item N° 48</t>
  </si>
  <si>
    <t>Especificidades Item N° 49</t>
  </si>
  <si>
    <t>Especificidades Item N° 50</t>
  </si>
  <si>
    <t>Especificidades Item N° 51</t>
  </si>
  <si>
    <t>*SE REALIZA LA ENTREGA DE 7  KG MENSUALES ( DISTRIBUIDOS SEGÚN DETALLE PARA CADA COMEDOR)   QUE REPRESENTA UN TOTAL DE  21 KG TRIMESTRALES.</t>
  </si>
  <si>
    <t>Especificidades Item N° 52</t>
  </si>
  <si>
    <t>Especificidades Item N° 53</t>
  </si>
  <si>
    <t>Especificidades Item N° 54</t>
  </si>
  <si>
    <t>Especificidades Item N° 55</t>
  </si>
  <si>
    <t>Especificidades Item N° 56</t>
  </si>
  <si>
    <t>*SE REALIZA LA ENTREGA DE 96 UNIDADES MENSUALES ( DISTRIBUIDOS SEGÚN DETALLE PARA CADA COMEDOR)   QUE REPRESENTA UN TOTAL DE 288 UNIDADES TRIMESTRALES.</t>
  </si>
  <si>
    <t>Especificidades Item N° 57</t>
  </si>
  <si>
    <t>Especificidades Item N° 58</t>
  </si>
  <si>
    <t>Especificidades Item N° 59</t>
  </si>
  <si>
    <t>Especificidades Item N° 60</t>
  </si>
  <si>
    <t>Especificidades Item N° 61</t>
  </si>
  <si>
    <t>Especificidades Item N° 62</t>
  </si>
  <si>
    <t>*SE REALIZA LA ENTREGA DE 420 UNIDADES MENSUALES ( DISTRIBUIDOS SEGÚN DETALLE PARA CADA COMEDOR)   QUE REPRESENTA UN TOTAL DE 1.260 UNIDADES TRIMESTRALES.</t>
  </si>
  <si>
    <t>Costo total estimado:  TOTAL DE PESOS:  SEIS MILLONES QUINIENTOS CINCUENTA Y UN MIL SEISCIENTOS CINCUENTA Y DOS CON 00/100.-</t>
  </si>
  <si>
    <t>Adquisición de Alimentos Perecederos y No Perecederos  destinados a la Poblacion  de niñas y niños que asisten a las Instituciones dependientes de la Direccion Provincial de Primera Infancia - Secretaria de Familia - Minesterio de Desarrollo Social  2 -CAF Nº 1 - 1.000 vv; 3 - CAF Nº II EPI; 5 - NIÑARY; 6 - KUSICUNA; 7 - WAWA WASI</t>
  </si>
  <si>
    <t>TOTAL DE PESOS: SEIS MILLONES QUINIENTOS CINCUENTA Y UN MIL SEISCIENTOS CINCUENTA Y DOS CON  00/100-</t>
  </si>
  <si>
    <t>1.1</t>
  </si>
  <si>
    <t>115/2022</t>
  </si>
  <si>
    <t>Adquisición de Alimentos Perecederos y No Perecederos destinados a  Niñas y Niños de 6 meses a 4 años que asisten a los Espacios de Primera Infancia</t>
  </si>
  <si>
    <t xml:space="preserve">CARNE VACUNA PICADA </t>
  </si>
  <si>
    <t>*SE REALIZA LA ENTREGA DE 38 KILOGRAMOS POR SEMANA ( DISTRIBUIDOS SEGÚN DETALLE PARA CADA INSTITUCION)   LO QUE HACE UNA SUMA DE 152 KILOGRAMOS MENSUALES  QUE REPRESENTAN UN TOTAL DE 456 KILOGRAMMOS  TRIMESTRALES</t>
  </si>
  <si>
    <t xml:space="preserve">CARNE VACUNA NALGA CORTADA PARA MILANESAS </t>
  </si>
  <si>
    <t>*SE REALIZA LA ENTREGA DE 38 KILOGRAMOS POR SEMANA ( DISTRIBUIDOS SEGÚN DETALLE PARA CADA INSTITUCION)   LO QUE HACE UNA SUMA DE 152 KILOGRAMOS  MENSUALES  QUE REPRESENTAN UN TOTAL DE 456 KILOGRAMMOS  TRIMESTRALES</t>
  </si>
  <si>
    <t xml:space="preserve">CARNE VACUNA CUADRADA EN TROZO </t>
  </si>
  <si>
    <t>90 DIAS</t>
  </si>
  <si>
    <t xml:space="preserve">PECHUGA DE POLLO SIN VICERAS; SIN MENUDOS </t>
  </si>
  <si>
    <t xml:space="preserve"> PATA MUSLO DE POLLO SIN VICERAS; SIN MENUDOS</t>
  </si>
  <si>
    <t>BOLSA</t>
  </si>
  <si>
    <t xml:space="preserve"> PAPA CEPILLADA, ESTADO: NATURAL, PRESENTACION: GRANEL, PESO: SIN VALOR</t>
  </si>
  <si>
    <t>CEBOLLA BLANCA X KILOGRAMOS</t>
  </si>
  <si>
    <t xml:space="preserve">TOMATE PERITA X KILOGRAMO </t>
  </si>
  <si>
    <t>BOLSA X 1 KILOGRAMO - PESO APROXIMADO POR CADA ZANHORIA 100 GRS</t>
  </si>
  <si>
    <t>ZAPALLO ANCO -PESO APROXIMADO POR UNIDAD 1,500 GRAMOS</t>
  </si>
  <si>
    <t xml:space="preserve">ZAPALLITO VERDE REDONDO TIERNO </t>
  </si>
  <si>
    <t xml:space="preserve">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</si>
  <si>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DOMICILIO DE ENTREGA</t>
  </si>
  <si>
    <t xml:space="preserve">ACELGA EN HOJA - ATADO X 500 GRS APROXIMADO </t>
  </si>
  <si>
    <t>*SE REALIZA LA ENTREGA DE 34 ATADOS  POR SEMANA ( DISTRIBUIDOS SEGÚN DETALLE PARA CADA COMEDOR)   LO QUE HACE UNA SUMA DE 136  ATADOS  MENSUALES  QUE REPRESENTA UN TOTAL DE 408 UNIDADES TRIMESTRALES</t>
  </si>
  <si>
    <t>2.1.1-6539.16</t>
  </si>
  <si>
    <t>FRUTAS; VARIEDAD: MANZANA RED DELICIOSA, ESTADO: NATURAL, PRESENTACION: GRANEL, PESO: SIN VALOR</t>
  </si>
  <si>
    <t xml:space="preserve">ZAPALLO CRIOLLO </t>
  </si>
  <si>
    <t xml:space="preserve">NARANJA CRIOLLA PARA JUGO PESO APROXIMADO POR NARANJA 200 GRS </t>
  </si>
  <si>
    <t>2.1.1-6539.31</t>
  </si>
  <si>
    <t>FRUTAS; VARIEDAD: PERA AMARILLA, PRESENTACION: GRANEL, ESTADO: NATURAL, PESO: SIN VALOR</t>
  </si>
  <si>
    <t xml:space="preserve">PERA AMARILLA PESO 166,66 GRS APROXIMADO X PERA </t>
  </si>
  <si>
    <t>2.1.1-669.25</t>
  </si>
  <si>
    <t>PANES; TIPO: RALLADO, PRESENTACION: BOLSA DE 1000 GR</t>
  </si>
  <si>
    <t>PAN RALLADO BOLSA X 1.000 GRS</t>
  </si>
  <si>
    <t xml:space="preserve">90 DIAS </t>
  </si>
  <si>
    <t>SACHET</t>
  </si>
  <si>
    <t>YOGHURT BEBIBLE SABOR FRUTILLA - SACHET X 1 LITRO</t>
  </si>
  <si>
    <t>2.1.1-483.33</t>
  </si>
  <si>
    <t>HUEVO DE GALLINA; TAMAÑO: MEDIANOS, COLOR: BLANCOS, PRESENTACION: 30</t>
  </si>
  <si>
    <t>MAPLE</t>
  </si>
  <si>
    <t>HUEVOS DE GALLINA TAMAÑO MEDIANO - MAPLE X 30 UNIDADES</t>
  </si>
  <si>
    <t xml:space="preserve">MORRON VERDE - PESO APROXIMADO 200 GRS POR CADA MORRON </t>
  </si>
  <si>
    <t xml:space="preserve">AJO - PESO APROXIMADO 120 GRS X CABEZA </t>
  </si>
  <si>
    <t>CABEZA</t>
  </si>
  <si>
    <t>AZUCAR TIPO  "A"X 1 KILOGRAMO</t>
  </si>
  <si>
    <t>YERBA CON PALO X  500 GR</t>
  </si>
  <si>
    <t xml:space="preserve">ACEITE COMESTIBLE DE GIRASOL - POTE X 900 CC </t>
  </si>
  <si>
    <t>POTE</t>
  </si>
  <si>
    <t xml:space="preserve">ARROZ LARGO FINO - BLANCO X 1 KILOGRAMO 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</si>
  <si>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</si>
  <si>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</si>
  <si>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</si>
  <si>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</si>
  <si>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 xml:space="preserve">                                                                                                                                                         DOMICILIO DE ENTREGA</t>
  </si>
  <si>
    <t>FIDEOS SECOS SOPERO "MUNICIONES" ENVASE X 500 GR</t>
  </si>
  <si>
    <t>MARGARINA VEGETAL ENVASE X 500 GRS</t>
  </si>
  <si>
    <t>FIDEOS GUISEROS "TIRABUZON"  X 500 GRS</t>
  </si>
  <si>
    <t>FIDEOS SECOS CABELLO DE ANGEL ENVASE X 500 GRS</t>
  </si>
  <si>
    <t>FIDEOS SECOS TIPO TALLARIN  ENVASE X 500 GR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</si>
  <si>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</si>
  <si>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</si>
  <si>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</si>
  <si>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</si>
  <si>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HARINA DE TRIGO 000 X 1 KILOGRAMO</t>
  </si>
  <si>
    <t xml:space="preserve">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</si>
  <si>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HARINA LEUDANTE X 1 KILOGRAMO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</si>
  <si>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</si>
  <si>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</si>
  <si>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</si>
  <si>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 xml:space="preserve">ARVEJA REMOJADA; LATA X 350 GRS </t>
  </si>
  <si>
    <t>CAJA</t>
  </si>
  <si>
    <t>2.1.1-482.89</t>
  </si>
  <si>
    <t>HARINAS; TIPO: MAIZ PRECOCIDA O DE COCCION RAPIDA. PRESENTACION: ENVASE POR 500 GR. LIBRE DE GLUTEN: SI</t>
  </si>
  <si>
    <t>CALDOS DESHIDRATADO EN CUBO PESO APROXIMADO 9,5 GRS - CAJA X 12 UNIDADES</t>
  </si>
  <si>
    <t>HARINAS DE MAIZ PRE-COCIDA -DE COCCION RAPIDA X 500 GRS</t>
  </si>
  <si>
    <t>SEMOLA DE TRIGO TIPO VITINA X  500 GR</t>
  </si>
  <si>
    <t xml:space="preserve">                                                                                                                                                          DOMICILIO DE ENTREGA</t>
  </si>
  <si>
    <t>SAL FINA DE MESA PAQUETE  X 500 GR</t>
  </si>
  <si>
    <t xml:space="preserve">                                                                                                                                                            DOMICILIO DE ENTREGA</t>
  </si>
  <si>
    <t xml:space="preserve">SAL GRUESA DE MESA PAQUETE X  1 Kg, </t>
  </si>
  <si>
    <t>PAQUETE</t>
  </si>
  <si>
    <t>BOTELLA</t>
  </si>
  <si>
    <t xml:space="preserve">PURE DE TOMATE CAJA X 520 GRS </t>
  </si>
  <si>
    <t>TOMATE PERITA TRITURADO BOTELLA X 950 GRS</t>
  </si>
  <si>
    <t xml:space="preserve">         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</si>
  <si>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MENSUAL </t>
  </si>
  <si>
    <t>VINAGRE DE ALCOHOL BOTELLA X 1  LITRO</t>
  </si>
  <si>
    <t>FRASCO</t>
  </si>
  <si>
    <t xml:space="preserve">CAJA </t>
  </si>
  <si>
    <t>SOBRE</t>
  </si>
  <si>
    <t>AVENA INSTANTANEA EXTRAFINA ENVASE X 400 GR</t>
  </si>
  <si>
    <t xml:space="preserve">MAIZ BLANCO PISADO  X 500 GRS </t>
  </si>
  <si>
    <t xml:space="preserve"> POROTO ALUBIA BOLSA X 500 GR</t>
  </si>
  <si>
    <t>CABALLA  AL NATURAL LATA X 380 GRS</t>
  </si>
  <si>
    <t>PIMENTON BOLSA X 1 KILOGRAMO</t>
  </si>
  <si>
    <t>PROVENZAL PAQUETE X 1 KILOGRAMO</t>
  </si>
  <si>
    <t xml:space="preserve"> PICADILLO DE CARNE LATA X 90 GRS</t>
  </si>
  <si>
    <t>GALLETITAS TIPO VAINILLA SIN RELLENO ENVASE X 150 GR</t>
  </si>
  <si>
    <t xml:space="preserve"> DURAZNO EN ALMIBAR LATA X 820 GRS</t>
  </si>
  <si>
    <t>GALLETITAS SALADAS PAQUETE X 275 GRAMOS</t>
  </si>
  <si>
    <t xml:space="preserve">GALLETAS DULCES TIPO VARIEDAD PAQUETE X 400 GRS </t>
  </si>
  <si>
    <t>DULCE DE LECHE - POTE X 1 KILOGRAMO</t>
  </si>
  <si>
    <t>MERMELADA SABOR DURAZNO FRASCO DE VIDRIO X 454 GRS</t>
  </si>
  <si>
    <t xml:space="preserve">FLAN SABOR DULCE DE LECHE CAJA X 60 GRS </t>
  </si>
  <si>
    <t>FLAN SABOR VAINILLA CAJA X  60 GR</t>
  </si>
  <si>
    <t>SI</t>
  </si>
  <si>
    <t>MANZANA  - PESO APROXIMADO POR MANZANA 200 GRS</t>
  </si>
  <si>
    <t xml:space="preserve"> BANANA PESO  APROXIMADO 200 GRS POR CADA BANANA </t>
  </si>
  <si>
    <t xml:space="preserve">QUESOS SARDO PIEZA X 3 KILOGRAMOS APROXIMADOS </t>
  </si>
  <si>
    <t>QUESO CREMOSO; PIEZA X 4 KILOGRAMOS APROXIMADOS</t>
  </si>
  <si>
    <t xml:space="preserve">2 - Trimestre </t>
  </si>
  <si>
    <t xml:space="preserve">45- Ministerio de Desarrollo Social </t>
  </si>
  <si>
    <t xml:space="preserve">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</si>
  <si>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</si>
  <si>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</si>
  <si>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DOMICILIO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</si>
</sst>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5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2"/>
      <name val="Arial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47">
    <xf numFmtId="0" fontId="0" fillId="0" borderId="0"/>
    <xf numFmtId="166" fontId="11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27" fillId="0" borderId="0" applyNumberFormat="0" applyFill="0" applyBorder="0" applyAlignment="0" applyProtection="0"/>
    <xf numFmtId="0" fontId="28" fillId="0" borderId="79" applyNumberFormat="0" applyFill="0" applyAlignment="0" applyProtection="0"/>
    <xf numFmtId="0" fontId="29" fillId="0" borderId="80" applyNumberFormat="0" applyFill="0" applyAlignment="0" applyProtection="0"/>
    <xf numFmtId="0" fontId="29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2" fillId="9" borderId="81" applyNumberFormat="0" applyAlignment="0" applyProtection="0"/>
    <xf numFmtId="0" fontId="33" fillId="10" borderId="82" applyNumberFormat="0" applyAlignment="0" applyProtection="0"/>
    <xf numFmtId="0" fontId="34" fillId="10" borderId="81" applyNumberFormat="0" applyAlignment="0" applyProtection="0"/>
    <xf numFmtId="0" fontId="35" fillId="0" borderId="83" applyNumberFormat="0" applyFill="0" applyAlignment="0" applyProtection="0"/>
    <xf numFmtId="0" fontId="36" fillId="11" borderId="84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86" applyNumberFormat="0" applyFill="0" applyAlignment="0" applyProtection="0"/>
    <xf numFmtId="0" fontId="4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41" fillId="0" borderId="87" applyNumberFormat="0" applyFill="0" applyAlignment="0" applyProtection="0"/>
    <xf numFmtId="0" fontId="42" fillId="8" borderId="0" applyNumberFormat="0" applyBorder="0" applyAlignment="0" applyProtection="0"/>
    <xf numFmtId="0" fontId="1" fillId="12" borderId="85" applyNumberFormat="0" applyFont="0" applyAlignment="0" applyProtection="0"/>
    <xf numFmtId="0" fontId="40" fillId="16" borderId="0" applyNumberFormat="0" applyBorder="0" applyAlignment="0" applyProtection="0"/>
    <xf numFmtId="0" fontId="40" fillId="20" borderId="0" applyNumberFormat="0" applyBorder="0" applyAlignment="0" applyProtection="0"/>
    <xf numFmtId="0" fontId="40" fillId="24" borderId="0" applyNumberFormat="0" applyBorder="0" applyAlignment="0" applyProtection="0"/>
    <xf numFmtId="0" fontId="40" fillId="28" borderId="0" applyNumberFormat="0" applyBorder="0" applyAlignment="0" applyProtection="0"/>
    <xf numFmtId="0" fontId="40" fillId="32" borderId="0" applyNumberFormat="0" applyBorder="0" applyAlignment="0" applyProtection="0"/>
    <xf numFmtId="0" fontId="40" fillId="36" borderId="0" applyNumberFormat="0" applyBorder="0" applyAlignment="0" applyProtection="0"/>
  </cellStyleXfs>
  <cellXfs count="341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6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7" fontId="0" fillId="0" borderId="43" xfId="3" applyNumberFormat="1" applyFont="1" applyBorder="1" applyAlignment="1" applyProtection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7" fontId="0" fillId="0" borderId="47" xfId="3" applyNumberFormat="1" applyFont="1" applyBorder="1" applyAlignment="1" applyProtection="1">
      <alignment horizontal="center" vertical="center"/>
    </xf>
    <xf numFmtId="0" fontId="12" fillId="0" borderId="0" xfId="0" applyFont="1"/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 applyBorder="1"/>
    <xf numFmtId="0" fontId="12" fillId="0" borderId="13" xfId="0" applyFont="1" applyBorder="1"/>
    <xf numFmtId="0" fontId="19" fillId="0" borderId="12" xfId="0" applyFont="1" applyBorder="1" applyAlignment="1">
      <alignment horizontal="left" indent="3"/>
    </xf>
    <xf numFmtId="0" fontId="12" fillId="0" borderId="12" xfId="0" applyFont="1" applyBorder="1" applyAlignment="1">
      <alignment horizontal="left" indent="3"/>
    </xf>
    <xf numFmtId="0" fontId="12" fillId="0" borderId="0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left" indent="3"/>
    </xf>
    <xf numFmtId="0" fontId="12" fillId="0" borderId="15" xfId="0" applyFont="1" applyBorder="1"/>
    <xf numFmtId="0" fontId="12" fillId="0" borderId="16" xfId="0" applyFont="1" applyBorder="1"/>
    <xf numFmtId="0" fontId="20" fillId="3" borderId="0" xfId="0" applyFont="1" applyFill="1" applyAlignment="1">
      <alignment horizontal="left" wrapText="1" indent="1"/>
    </xf>
    <xf numFmtId="0" fontId="16" fillId="0" borderId="0" xfId="0" applyFont="1" applyAlignment="1">
      <alignment horizontal="left" wrapText="1"/>
    </xf>
    <xf numFmtId="0" fontId="0" fillId="0" borderId="5" xfId="0" applyBorder="1"/>
    <xf numFmtId="0" fontId="16" fillId="0" borderId="9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0" fillId="0" borderId="8" xfId="0" applyBorder="1"/>
    <xf numFmtId="0" fontId="16" fillId="0" borderId="10" xfId="0" applyFont="1" applyBorder="1" applyAlignment="1">
      <alignment horizontal="center" vertical="center" wrapText="1"/>
    </xf>
    <xf numFmtId="167" fontId="0" fillId="0" borderId="63" xfId="3" applyNumberFormat="1" applyFont="1" applyBorder="1" applyAlignment="1" applyProtection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16" fillId="0" borderId="70" xfId="0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0" fontId="18" fillId="0" borderId="73" xfId="0" applyFont="1" applyBorder="1" applyAlignment="1">
      <alignment horizontal="center" vertical="center" wrapText="1"/>
    </xf>
    <xf numFmtId="0" fontId="0" fillId="0" borderId="73" xfId="0" applyBorder="1" applyAlignment="1">
      <alignment horizontal="center"/>
    </xf>
    <xf numFmtId="0" fontId="0" fillId="0" borderId="73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2" fillId="0" borderId="1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18" fillId="4" borderId="55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22" fillId="4" borderId="3" xfId="0" applyNumberFormat="1" applyFont="1" applyFill="1" applyBorder="1" applyAlignment="1">
      <alignment horizontal="right" vertical="center"/>
    </xf>
    <xf numFmtId="167" fontId="17" fillId="5" borderId="59" xfId="1" applyNumberFormat="1" applyFont="1" applyFill="1" applyBorder="1" applyAlignment="1" applyProtection="1">
      <alignment horizontal="right" vertical="center" wrapText="1"/>
    </xf>
    <xf numFmtId="167" fontId="17" fillId="5" borderId="60" xfId="1" applyNumberFormat="1" applyFont="1" applyFill="1" applyBorder="1" applyAlignment="1" applyProtection="1">
      <alignment horizontal="right" vertical="center" wrapText="1"/>
    </xf>
    <xf numFmtId="0" fontId="17" fillId="4" borderId="68" xfId="0" applyFont="1" applyFill="1" applyBorder="1" applyAlignment="1">
      <alignment horizontal="center" vertical="center"/>
    </xf>
    <xf numFmtId="0" fontId="0" fillId="4" borderId="5" xfId="0" applyFill="1" applyBorder="1"/>
    <xf numFmtId="0" fontId="18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22" fillId="4" borderId="5" xfId="0" applyNumberFormat="1" applyFont="1" applyFill="1" applyBorder="1" applyAlignment="1">
      <alignment horizontal="right" vertical="center"/>
    </xf>
    <xf numFmtId="167" fontId="17" fillId="5" borderId="5" xfId="1" applyNumberFormat="1" applyFont="1" applyFill="1" applyBorder="1" applyAlignment="1" applyProtection="1">
      <alignment horizontal="right" vertical="center" wrapText="1"/>
    </xf>
    <xf numFmtId="167" fontId="17" fillId="5" borderId="6" xfId="1" applyNumberFormat="1" applyFont="1" applyFill="1" applyBorder="1" applyAlignment="1" applyProtection="1">
      <alignment horizontal="right" vertical="center" wrapText="1"/>
    </xf>
    <xf numFmtId="0" fontId="11" fillId="4" borderId="5" xfId="0" applyFont="1" applyFill="1" applyBorder="1"/>
    <xf numFmtId="0" fontId="17" fillId="4" borderId="5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/>
    </xf>
    <xf numFmtId="3" fontId="22" fillId="4" borderId="52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22" fillId="4" borderId="54" xfId="0" applyNumberFormat="1" applyFont="1" applyFill="1" applyBorder="1" applyAlignment="1">
      <alignment horizontal="right" vertical="center"/>
    </xf>
    <xf numFmtId="167" fontId="17" fillId="5" borderId="53" xfId="1" applyNumberFormat="1" applyFont="1" applyFill="1" applyBorder="1" applyAlignment="1" applyProtection="1">
      <alignment horizontal="right" vertical="center" wrapText="1"/>
    </xf>
    <xf numFmtId="167" fontId="17" fillId="5" borderId="69" xfId="1" applyNumberFormat="1" applyFont="1" applyFill="1" applyBorder="1" applyAlignment="1" applyProtection="1">
      <alignment horizontal="right" vertical="center" wrapText="1"/>
    </xf>
    <xf numFmtId="0" fontId="11" fillId="4" borderId="52" xfId="0" applyFont="1" applyFill="1" applyBorder="1" applyAlignment="1">
      <alignment horizontal="center"/>
    </xf>
    <xf numFmtId="3" fontId="22" fillId="4" borderId="5" xfId="0" applyNumberFormat="1" applyFont="1" applyFill="1" applyBorder="1" applyAlignment="1">
      <alignment horizontal="right"/>
    </xf>
    <xf numFmtId="0" fontId="17" fillId="4" borderId="78" xfId="0" applyFont="1" applyFill="1" applyBorder="1" applyAlignment="1">
      <alignment horizontal="center" vertical="center"/>
    </xf>
    <xf numFmtId="0" fontId="0" fillId="4" borderId="8" xfId="0" applyFill="1" applyBorder="1"/>
    <xf numFmtId="0" fontId="18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/>
    </xf>
    <xf numFmtId="3" fontId="22" fillId="4" borderId="8" xfId="0" applyNumberFormat="1" applyFont="1" applyFill="1" applyBorder="1" applyAlignment="1">
      <alignment horizontal="right"/>
    </xf>
    <xf numFmtId="167" fontId="17" fillId="5" borderId="61" xfId="1" applyNumberFormat="1" applyFont="1" applyFill="1" applyBorder="1" applyAlignment="1" applyProtection="1">
      <alignment horizontal="right" vertical="center" wrapText="1"/>
    </xf>
    <xf numFmtId="167" fontId="17" fillId="5" borderId="62" xfId="1" applyNumberFormat="1" applyFont="1" applyFill="1" applyBorder="1" applyAlignment="1" applyProtection="1">
      <alignment horizontal="right" vertical="center" wrapText="1"/>
    </xf>
    <xf numFmtId="0" fontId="12" fillId="5" borderId="0" xfId="0" applyFont="1" applyFill="1" applyBorder="1" applyAlignment="1">
      <alignment horizontal="center"/>
    </xf>
    <xf numFmtId="0" fontId="12" fillId="5" borderId="13" xfId="0" applyFont="1" applyFill="1" applyBorder="1" applyAlignment="1"/>
    <xf numFmtId="167" fontId="17" fillId="5" borderId="73" xfId="1" applyNumberFormat="1" applyFont="1" applyFill="1" applyBorder="1" applyAlignment="1" applyProtection="1">
      <alignment horizontal="right" vertical="center" wrapText="1"/>
    </xf>
    <xf numFmtId="167" fontId="17" fillId="5" borderId="74" xfId="1" applyNumberFormat="1" applyFont="1" applyFill="1" applyBorder="1" applyAlignment="1" applyProtection="1">
      <alignment horizontal="right" vertical="center" wrapText="1"/>
    </xf>
    <xf numFmtId="167" fontId="17" fillId="5" borderId="3" xfId="1" applyNumberFormat="1" applyFont="1" applyFill="1" applyBorder="1" applyAlignment="1" applyProtection="1">
      <alignment horizontal="right" vertical="center" wrapText="1"/>
    </xf>
    <xf numFmtId="0" fontId="12" fillId="5" borderId="10" xfId="0" applyFont="1" applyFill="1" applyBorder="1" applyAlignment="1">
      <alignment horizontal="center"/>
    </xf>
    <xf numFmtId="0" fontId="12" fillId="5" borderId="11" xfId="0" applyFont="1" applyFill="1" applyBorder="1" applyAlignment="1"/>
    <xf numFmtId="0" fontId="12" fillId="5" borderId="15" xfId="0" applyFont="1" applyFill="1" applyBorder="1" applyAlignment="1">
      <alignment horizontal="center"/>
    </xf>
    <xf numFmtId="0" fontId="12" fillId="5" borderId="16" xfId="0" applyFont="1" applyFill="1" applyBorder="1" applyAlignment="1"/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 applyAlignment="1"/>
    <xf numFmtId="0" fontId="12" fillId="5" borderId="52" xfId="0" applyFont="1" applyFill="1" applyBorder="1" applyAlignment="1">
      <alignment horizontal="center"/>
    </xf>
    <xf numFmtId="0" fontId="12" fillId="5" borderId="52" xfId="0" applyFont="1" applyFill="1" applyBorder="1" applyAlignment="1"/>
    <xf numFmtId="0" fontId="12" fillId="5" borderId="53" xfId="0" applyFont="1" applyFill="1" applyBorder="1" applyAlignment="1">
      <alignment horizontal="center"/>
    </xf>
    <xf numFmtId="0" fontId="12" fillId="5" borderId="53" xfId="0" applyFont="1" applyFill="1" applyBorder="1" applyAlignment="1"/>
    <xf numFmtId="0" fontId="12" fillId="0" borderId="0" xfId="0" applyFont="1" applyFill="1"/>
    <xf numFmtId="167" fontId="24" fillId="3" borderId="3" xfId="1" applyNumberFormat="1" applyFont="1" applyFill="1" applyBorder="1" applyAlignment="1" applyProtection="1">
      <alignment horizontal="right" vertical="center" wrapText="1"/>
    </xf>
    <xf numFmtId="167" fontId="24" fillId="3" borderId="5" xfId="1" applyNumberFormat="1" applyFont="1" applyFill="1" applyBorder="1" applyAlignment="1" applyProtection="1">
      <alignment horizontal="right" vertical="center" wrapText="1"/>
    </xf>
    <xf numFmtId="167" fontId="24" fillId="3" borderId="61" xfId="1" applyNumberFormat="1" applyFont="1" applyFill="1" applyBorder="1" applyAlignment="1" applyProtection="1">
      <alignment horizontal="right" vertical="center" wrapText="1"/>
    </xf>
    <xf numFmtId="167" fontId="17" fillId="3" borderId="60" xfId="1" applyNumberFormat="1" applyFont="1" applyFill="1" applyBorder="1" applyAlignment="1" applyProtection="1">
      <alignment horizontal="right" vertical="center" wrapText="1"/>
    </xf>
    <xf numFmtId="167" fontId="17" fillId="3" borderId="6" xfId="1" applyNumberFormat="1" applyFont="1" applyFill="1" applyBorder="1" applyAlignment="1" applyProtection="1">
      <alignment horizontal="right" vertical="center" wrapText="1"/>
    </xf>
    <xf numFmtId="167" fontId="17" fillId="3" borderId="62" xfId="1" applyNumberFormat="1" applyFont="1" applyFill="1" applyBorder="1" applyAlignment="1" applyProtection="1">
      <alignment horizontal="right" vertical="center" wrapText="1"/>
    </xf>
    <xf numFmtId="167" fontId="23" fillId="0" borderId="0" xfId="0" applyNumberFormat="1" applyFont="1"/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0" fillId="5" borderId="64" xfId="0" applyFont="1" applyFill="1" applyBorder="1" applyAlignment="1">
      <alignment horizontal="center" vertical="center"/>
    </xf>
    <xf numFmtId="0" fontId="0" fillId="5" borderId="65" xfId="0" applyFont="1" applyFill="1" applyBorder="1" applyAlignment="1">
      <alignment horizontal="center" vertical="center"/>
    </xf>
    <xf numFmtId="0" fontId="0" fillId="4" borderId="65" xfId="0" applyFont="1" applyFill="1" applyBorder="1" applyAlignment="1">
      <alignment horizontal="center" vertical="center"/>
    </xf>
    <xf numFmtId="0" fontId="0" fillId="5" borderId="66" xfId="0" applyFont="1" applyFill="1" applyBorder="1" applyAlignment="1">
      <alignment horizontal="center" vertical="center"/>
    </xf>
    <xf numFmtId="164" fontId="11" fillId="4" borderId="67" xfId="3" applyNumberFormat="1" applyFont="1" applyFill="1" applyBorder="1" applyAlignment="1" applyProtection="1">
      <alignment horizontal="center" vertical="center"/>
    </xf>
    <xf numFmtId="167" fontId="10" fillId="4" borderId="48" xfId="0" applyNumberFormat="1" applyFont="1" applyFill="1" applyBorder="1" applyAlignment="1">
      <alignment horizontal="center" vertical="center"/>
    </xf>
    <xf numFmtId="0" fontId="11" fillId="0" borderId="27" xfId="0" applyFont="1" applyBorder="1"/>
    <xf numFmtId="0" fontId="11" fillId="0" borderId="88" xfId="0" applyFont="1" applyFill="1" applyBorder="1"/>
    <xf numFmtId="0" fontId="11" fillId="5" borderId="65" xfId="0" applyFont="1" applyFill="1" applyBorder="1" applyAlignment="1">
      <alignment horizontal="center" vertical="center"/>
    </xf>
    <xf numFmtId="0" fontId="43" fillId="0" borderId="0" xfId="0" applyFont="1" applyFill="1"/>
    <xf numFmtId="0" fontId="11" fillId="0" borderId="88" xfId="0" applyFont="1" applyBorder="1" applyAlignment="1">
      <alignment horizontal="center"/>
    </xf>
    <xf numFmtId="0" fontId="11" fillId="0" borderId="27" xfId="0" applyFont="1" applyFill="1" applyBorder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27" xfId="37" applyFont="1" applyBorder="1" applyAlignment="1">
      <alignment wrapText="1"/>
    </xf>
    <xf numFmtId="0" fontId="11" fillId="0" borderId="0" xfId="0" applyFont="1"/>
    <xf numFmtId="0" fontId="11" fillId="0" borderId="27" xfId="0" applyFont="1" applyFill="1" applyBorder="1"/>
    <xf numFmtId="0" fontId="11" fillId="0" borderId="27" xfId="37" applyFont="1" applyBorder="1"/>
    <xf numFmtId="0" fontId="11" fillId="0" borderId="27" xfId="0" applyFont="1" applyBorder="1" applyAlignment="1">
      <alignment horizontal="left" wrapText="1"/>
    </xf>
    <xf numFmtId="0" fontId="11" fillId="0" borderId="89" xfId="0" applyFont="1" applyBorder="1"/>
    <xf numFmtId="0" fontId="11" fillId="0" borderId="89" xfId="0" applyFont="1" applyFill="1" applyBorder="1" applyAlignment="1">
      <alignment horizontal="center" wrapText="1"/>
    </xf>
    <xf numFmtId="0" fontId="11" fillId="0" borderId="89" xfId="0" applyFont="1" applyFill="1" applyBorder="1" applyAlignment="1">
      <alignment horizontal="center"/>
    </xf>
    <xf numFmtId="0" fontId="11" fillId="0" borderId="27" xfId="0" applyFont="1" applyBorder="1" applyAlignment="1">
      <alignment horizontal="left"/>
    </xf>
    <xf numFmtId="0" fontId="11" fillId="0" borderId="27" xfId="0" applyFont="1" applyBorder="1" applyAlignment="1">
      <alignment wrapText="1"/>
    </xf>
    <xf numFmtId="0" fontId="11" fillId="0" borderId="89" xfId="0" applyFont="1" applyBorder="1" applyAlignment="1">
      <alignment horizontal="left" vertical="center" wrapText="1"/>
    </xf>
    <xf numFmtId="0" fontId="11" fillId="0" borderId="89" xfId="0" applyFont="1" applyBorder="1" applyAlignment="1">
      <alignment vertical="center" wrapText="1"/>
    </xf>
    <xf numFmtId="0" fontId="11" fillId="0" borderId="89" xfId="0" applyFont="1" applyBorder="1" applyAlignment="1"/>
    <xf numFmtId="0" fontId="11" fillId="0" borderId="89" xfId="0" applyFont="1" applyBorder="1" applyAlignment="1">
      <alignment horizontal="left"/>
    </xf>
    <xf numFmtId="0" fontId="11" fillId="0" borderId="89" xfId="0" applyFont="1" applyBorder="1" applyAlignment="1">
      <alignment wrapText="1"/>
    </xf>
    <xf numFmtId="0" fontId="11" fillId="0" borderId="90" xfId="0" applyFont="1" applyBorder="1"/>
    <xf numFmtId="0" fontId="11" fillId="0" borderId="90" xfId="0" applyFont="1" applyFill="1" applyBorder="1" applyAlignment="1">
      <alignment horizontal="center"/>
    </xf>
    <xf numFmtId="0" fontId="11" fillId="0" borderId="15" xfId="0" applyFont="1" applyFill="1" applyBorder="1"/>
    <xf numFmtId="0" fontId="23" fillId="0" borderId="21" xfId="0" applyFont="1" applyFill="1" applyBorder="1" applyAlignment="1">
      <alignment horizontal="center" vertical="center" wrapText="1"/>
    </xf>
    <xf numFmtId="0" fontId="11" fillId="0" borderId="26" xfId="0" applyFont="1" applyFill="1" applyBorder="1"/>
    <xf numFmtId="0" fontId="11" fillId="0" borderId="0" xfId="0" applyFont="1" applyFill="1"/>
    <xf numFmtId="0" fontId="11" fillId="0" borderId="88" xfId="0" applyFont="1" applyFill="1" applyBorder="1" applyAlignment="1">
      <alignment horizontal="center"/>
    </xf>
    <xf numFmtId="0" fontId="11" fillId="0" borderId="92" xfId="0" applyFont="1" applyFill="1" applyBorder="1"/>
    <xf numFmtId="3" fontId="22" fillId="0" borderId="26" xfId="0" applyNumberFormat="1" applyFont="1" applyFill="1" applyBorder="1" applyAlignment="1">
      <alignment horizontal="center" vertical="center"/>
    </xf>
    <xf numFmtId="167" fontId="25" fillId="0" borderId="26" xfId="1" applyNumberFormat="1" applyFont="1" applyFill="1" applyBorder="1" applyAlignment="1" applyProtection="1">
      <alignment horizontal="center" vertical="center" wrapText="1"/>
    </xf>
    <xf numFmtId="3" fontId="22" fillId="0" borderId="27" xfId="0" applyNumberFormat="1" applyFont="1" applyFill="1" applyBorder="1" applyAlignment="1">
      <alignment horizontal="center" vertical="center"/>
    </xf>
    <xf numFmtId="167" fontId="25" fillId="0" borderId="27" xfId="1" applyNumberFormat="1" applyFont="1" applyFill="1" applyBorder="1" applyAlignment="1" applyProtection="1">
      <alignment horizontal="center" vertical="center" wrapText="1"/>
    </xf>
    <xf numFmtId="3" fontId="22" fillId="0" borderId="89" xfId="0" applyNumberFormat="1" applyFont="1" applyFill="1" applyBorder="1" applyAlignment="1">
      <alignment horizontal="center" vertical="center"/>
    </xf>
    <xf numFmtId="167" fontId="25" fillId="0" borderId="89" xfId="1" applyNumberFormat="1" applyFont="1" applyFill="1" applyBorder="1" applyAlignment="1" applyProtection="1">
      <alignment horizontal="center" vertical="center" wrapText="1"/>
    </xf>
    <xf numFmtId="3" fontId="22" fillId="0" borderId="90" xfId="0" applyNumberFormat="1" applyFont="1" applyFill="1" applyBorder="1" applyAlignment="1">
      <alignment horizontal="center" vertical="center"/>
    </xf>
    <xf numFmtId="167" fontId="25" fillId="0" borderId="90" xfId="1" applyNumberFormat="1" applyFont="1" applyFill="1" applyBorder="1" applyAlignment="1" applyProtection="1">
      <alignment horizontal="center" vertical="center" wrapText="1"/>
    </xf>
    <xf numFmtId="0" fontId="11" fillId="0" borderId="91" xfId="0" applyFont="1" applyFill="1" applyBorder="1" applyAlignment="1">
      <alignment horizontal="center"/>
    </xf>
    <xf numFmtId="0" fontId="45" fillId="0" borderId="9" xfId="0" applyFont="1" applyFill="1" applyBorder="1"/>
    <xf numFmtId="0" fontId="11" fillId="0" borderId="10" xfId="0" applyFont="1" applyFill="1" applyBorder="1"/>
    <xf numFmtId="0" fontId="11" fillId="0" borderId="11" xfId="0" applyFont="1" applyFill="1" applyBorder="1"/>
    <xf numFmtId="0" fontId="11" fillId="0" borderId="12" xfId="0" applyFont="1" applyFill="1" applyBorder="1"/>
    <xf numFmtId="0" fontId="11" fillId="0" borderId="0" xfId="0" applyFont="1" applyFill="1" applyBorder="1"/>
    <xf numFmtId="0" fontId="11" fillId="0" borderId="13" xfId="0" applyFont="1" applyFill="1" applyBorder="1"/>
    <xf numFmtId="0" fontId="45" fillId="0" borderId="12" xfId="0" applyFont="1" applyFill="1" applyBorder="1" applyAlignment="1">
      <alignment horizontal="left" indent="3"/>
    </xf>
    <xf numFmtId="0" fontId="11" fillId="0" borderId="21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1" fillId="0" borderId="53" xfId="0" applyFont="1" applyFill="1" applyBorder="1"/>
    <xf numFmtId="0" fontId="11" fillId="0" borderId="5" xfId="0" applyFont="1" applyFill="1" applyBorder="1" applyAlignment="1">
      <alignment horizontal="center"/>
    </xf>
    <xf numFmtId="0" fontId="11" fillId="0" borderId="5" xfId="0" applyFont="1" applyFill="1" applyBorder="1"/>
    <xf numFmtId="0" fontId="11" fillId="0" borderId="12" xfId="0" applyFont="1" applyFill="1" applyBorder="1" applyAlignment="1">
      <alignment horizontal="left" indent="3"/>
    </xf>
    <xf numFmtId="0" fontId="11" fillId="0" borderId="13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left" indent="3"/>
    </xf>
    <xf numFmtId="0" fontId="11" fillId="0" borderId="15" xfId="0" applyFont="1" applyFill="1" applyBorder="1" applyAlignment="1">
      <alignment horizontal="center"/>
    </xf>
    <xf numFmtId="0" fontId="11" fillId="0" borderId="16" xfId="0" applyFont="1" applyFill="1" applyBorder="1"/>
    <xf numFmtId="0" fontId="11" fillId="0" borderId="0" xfId="0" applyFont="1" applyFill="1" applyAlignment="1">
      <alignment horizontal="center"/>
    </xf>
    <xf numFmtId="0" fontId="11" fillId="0" borderId="21" xfId="0" applyFont="1" applyFill="1" applyBorder="1" applyAlignment="1">
      <alignment horizontal="left"/>
    </xf>
    <xf numFmtId="0" fontId="11" fillId="0" borderId="21" xfId="0" applyFont="1" applyFill="1" applyBorder="1" applyAlignment="1">
      <alignment horizontal="left" vertical="top"/>
    </xf>
    <xf numFmtId="0" fontId="11" fillId="0" borderId="1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indent="3"/>
    </xf>
    <xf numFmtId="0" fontId="11" fillId="0" borderId="0" xfId="0" applyFont="1" applyFill="1" applyBorder="1" applyAlignment="1">
      <alignment horizontal="center" wrapText="1"/>
    </xf>
    <xf numFmtId="0" fontId="11" fillId="0" borderId="21" xfId="0" applyFont="1" applyFill="1" applyBorder="1" applyAlignment="1">
      <alignment horizontal="left" vertical="center"/>
    </xf>
    <xf numFmtId="0" fontId="47" fillId="0" borderId="17" xfId="0" applyFont="1" applyBorder="1" applyAlignment="1">
      <alignment horizontal="right" vertical="center"/>
    </xf>
    <xf numFmtId="0" fontId="48" fillId="0" borderId="20" xfId="0" applyFont="1" applyFill="1" applyBorder="1" applyAlignment="1">
      <alignment horizontal="center" vertical="center"/>
    </xf>
    <xf numFmtId="0" fontId="48" fillId="0" borderId="31" xfId="0" applyFont="1" applyFill="1" applyBorder="1" applyAlignment="1">
      <alignment vertical="center"/>
    </xf>
    <xf numFmtId="0" fontId="47" fillId="0" borderId="19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49" fillId="0" borderId="0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 wrapText="1" indent="1"/>
    </xf>
    <xf numFmtId="0" fontId="11" fillId="4" borderId="26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 wrapText="1"/>
    </xf>
    <xf numFmtId="167" fontId="11" fillId="4" borderId="26" xfId="1" applyNumberFormat="1" applyFont="1" applyFill="1" applyBorder="1" applyAlignment="1" applyProtection="1">
      <alignment horizontal="center" vertical="center" wrapText="1"/>
    </xf>
    <xf numFmtId="3" fontId="11" fillId="4" borderId="26" xfId="0" applyNumberFormat="1" applyFont="1" applyFill="1" applyBorder="1" applyAlignment="1">
      <alignment horizontal="center" vertical="center"/>
    </xf>
    <xf numFmtId="170" fontId="11" fillId="4" borderId="26" xfId="0" applyNumberFormat="1" applyFont="1" applyFill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0" xfId="0" applyFont="1" applyFill="1" applyAlignment="1">
      <alignment horizontal="left" wrapText="1"/>
    </xf>
    <xf numFmtId="0" fontId="11" fillId="0" borderId="0" xfId="0" applyFont="1" applyFill="1" applyAlignment="1">
      <alignment horizontal="center" wrapText="1"/>
    </xf>
    <xf numFmtId="0" fontId="48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/>
    </xf>
    <xf numFmtId="0" fontId="22" fillId="0" borderId="21" xfId="0" applyFont="1" applyFill="1" applyBorder="1" applyAlignment="1">
      <alignment horizontal="center" vertical="center" wrapText="1"/>
    </xf>
    <xf numFmtId="0" fontId="46" fillId="0" borderId="26" xfId="0" applyFont="1" applyFill="1" applyBorder="1" applyAlignment="1">
      <alignment horizontal="center"/>
    </xf>
    <xf numFmtId="167" fontId="53" fillId="0" borderId="26" xfId="1" applyNumberFormat="1" applyFont="1" applyFill="1" applyBorder="1" applyAlignment="1" applyProtection="1">
      <alignment horizontal="center" vertical="center" wrapText="1"/>
    </xf>
    <xf numFmtId="0" fontId="46" fillId="0" borderId="27" xfId="0" applyFont="1" applyFill="1" applyBorder="1" applyAlignment="1">
      <alignment horizontal="center"/>
    </xf>
    <xf numFmtId="167" fontId="53" fillId="0" borderId="27" xfId="1" applyNumberFormat="1" applyFont="1" applyFill="1" applyBorder="1" applyAlignment="1" applyProtection="1">
      <alignment horizontal="center" vertical="center" wrapText="1"/>
    </xf>
    <xf numFmtId="167" fontId="53" fillId="0" borderId="89" xfId="1" applyNumberFormat="1" applyFont="1" applyFill="1" applyBorder="1" applyAlignment="1" applyProtection="1">
      <alignment horizontal="center" vertical="center" wrapText="1"/>
    </xf>
    <xf numFmtId="0" fontId="11" fillId="0" borderId="90" xfId="0" applyFont="1" applyFill="1" applyBorder="1" applyAlignment="1">
      <alignment horizontal="center" wrapText="1"/>
    </xf>
    <xf numFmtId="167" fontId="53" fillId="0" borderId="90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wrapText="1" indent="1"/>
    </xf>
    <xf numFmtId="0" fontId="12" fillId="3" borderId="28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3" borderId="7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wrapText="1"/>
    </xf>
    <xf numFmtId="0" fontId="12" fillId="5" borderId="14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46" fillId="4" borderId="26" xfId="0" applyFont="1" applyFill="1" applyBorder="1" applyAlignment="1">
      <alignment horizontal="left" vertical="center" wrapText="1"/>
    </xf>
    <xf numFmtId="0" fontId="49" fillId="0" borderId="23" xfId="0" applyFont="1" applyBorder="1" applyAlignment="1">
      <alignment horizontal="left" vertical="center"/>
    </xf>
    <xf numFmtId="0" fontId="50" fillId="0" borderId="23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wrapText="1"/>
    </xf>
    <xf numFmtId="0" fontId="49" fillId="0" borderId="24" xfId="0" applyFont="1" applyFill="1" applyBorder="1" applyAlignment="1">
      <alignment horizontal="left" vertical="center" wrapText="1" indent="1"/>
    </xf>
    <xf numFmtId="0" fontId="50" fillId="0" borderId="24" xfId="0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/>
    </xf>
    <xf numFmtId="0" fontId="49" fillId="0" borderId="20" xfId="0" applyFont="1" applyBorder="1" applyAlignment="1">
      <alignment horizontal="left" vertical="center" wrapText="1"/>
    </xf>
    <xf numFmtId="0" fontId="49" fillId="0" borderId="21" xfId="0" applyFont="1" applyFill="1" applyBorder="1" applyAlignment="1">
      <alignment horizontal="left" vertical="center" wrapText="1" indent="1"/>
    </xf>
    <xf numFmtId="0" fontId="49" fillId="0" borderId="22" xfId="0" applyFont="1" applyBorder="1" applyAlignment="1">
      <alignment horizontal="left" vertical="center" wrapText="1"/>
    </xf>
    <xf numFmtId="168" fontId="48" fillId="0" borderId="28" xfId="0" applyNumberFormat="1" applyFont="1" applyFill="1" applyBorder="1" applyAlignment="1">
      <alignment horizontal="center" vertical="center"/>
    </xf>
    <xf numFmtId="168" fontId="48" fillId="0" borderId="72" xfId="0" applyNumberFormat="1" applyFont="1" applyFill="1" applyBorder="1" applyAlignment="1">
      <alignment horizontal="center" vertical="center"/>
    </xf>
    <xf numFmtId="168" fontId="48" fillId="0" borderId="29" xfId="0" applyNumberFormat="1" applyFont="1" applyFill="1" applyBorder="1" applyAlignment="1">
      <alignment horizontal="center" vertical="center"/>
    </xf>
    <xf numFmtId="0" fontId="48" fillId="0" borderId="21" xfId="0" applyFont="1" applyFill="1" applyBorder="1" applyAlignment="1">
      <alignment horizontal="left" vertical="center" wrapText="1" indent="1"/>
    </xf>
    <xf numFmtId="0" fontId="11" fillId="0" borderId="13" xfId="0" applyFont="1" applyFill="1" applyBorder="1" applyAlignment="1">
      <alignment horizontal="center" wrapText="1"/>
    </xf>
    <xf numFmtId="0" fontId="11" fillId="0" borderId="13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22" fillId="0" borderId="28" xfId="0" applyFont="1" applyFill="1" applyBorder="1" applyAlignment="1">
      <alignment horizontal="left" vertical="center" wrapText="1"/>
    </xf>
    <xf numFmtId="0" fontId="22" fillId="0" borderId="72" xfId="0" applyFont="1" applyFill="1" applyBorder="1" applyAlignment="1">
      <alignment horizontal="left" vertical="center" wrapText="1"/>
    </xf>
    <xf numFmtId="0" fontId="22" fillId="0" borderId="29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wrapText="1"/>
    </xf>
    <xf numFmtId="0" fontId="11" fillId="0" borderId="28" xfId="0" applyFont="1" applyFill="1" applyBorder="1" applyAlignment="1">
      <alignment horizontal="left"/>
    </xf>
    <xf numFmtId="0" fontId="11" fillId="0" borderId="72" xfId="0" applyFont="1" applyFill="1" applyBorder="1" applyAlignment="1">
      <alignment horizontal="left"/>
    </xf>
    <xf numFmtId="0" fontId="11" fillId="0" borderId="29" xfId="0" applyFont="1" applyFill="1" applyBorder="1" applyAlignment="1">
      <alignment horizontal="left"/>
    </xf>
    <xf numFmtId="0" fontId="52" fillId="0" borderId="0" xfId="0" applyFont="1" applyFill="1" applyBorder="1" applyAlignment="1">
      <alignment horizontal="center"/>
    </xf>
    <xf numFmtId="0" fontId="50" fillId="0" borderId="0" xfId="0" applyFont="1" applyFill="1" applyBorder="1" applyAlignment="1">
      <alignment horizontal="left" vertical="center" wrapText="1"/>
    </xf>
    <xf numFmtId="0" fontId="48" fillId="0" borderId="0" xfId="0" applyFont="1" applyFill="1" applyBorder="1" applyAlignment="1">
      <alignment horizontal="left" wrapText="1" inden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0" borderId="93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1" fillId="0" borderId="13" xfId="0" applyFont="1" applyFill="1" applyBorder="1" applyAlignment="1">
      <alignment horizontal="left" wrapText="1"/>
    </xf>
    <xf numFmtId="0" fontId="6" fillId="0" borderId="28" xfId="0" applyFont="1" applyBorder="1" applyAlignment="1">
      <alignment vertical="center" wrapText="1"/>
    </xf>
    <xf numFmtId="0" fontId="6" fillId="0" borderId="49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5" borderId="48" xfId="0" applyFont="1" applyFill="1" applyBorder="1" applyAlignment="1">
      <alignment horizontal="left" vertical="center" wrapText="1" indent="1"/>
    </xf>
    <xf numFmtId="0" fontId="0" fillId="0" borderId="42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2" fillId="4" borderId="48" xfId="0" applyFont="1" applyFill="1" applyBorder="1" applyAlignment="1">
      <alignment horizontal="left" vertical="center" wrapText="1"/>
    </xf>
    <xf numFmtId="0" fontId="44" fillId="4" borderId="48" xfId="0" applyFont="1" applyFill="1" applyBorder="1" applyAlignment="1">
      <alignment horizontal="left" vertical="center" wrapText="1"/>
    </xf>
    <xf numFmtId="0" fontId="0" fillId="0" borderId="30" xfId="0" applyBorder="1"/>
    <xf numFmtId="0" fontId="21" fillId="4" borderId="65" xfId="0" applyFont="1" applyFill="1" applyBorder="1" applyAlignment="1">
      <alignment horizontal="left" vertical="center" wrapText="1"/>
    </xf>
    <xf numFmtId="0" fontId="0" fillId="4" borderId="65" xfId="0" applyFont="1" applyFill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/>
    </xf>
    <xf numFmtId="0" fontId="8" fillId="0" borderId="31" xfId="0" applyFont="1" applyBorder="1"/>
    <xf numFmtId="0" fontId="8" fillId="0" borderId="32" xfId="0" applyFont="1" applyBorder="1" applyAlignment="1">
      <alignment horizontal="left" vertical="center" wrapText="1" indent="1"/>
    </xf>
    <xf numFmtId="0" fontId="10" fillId="0" borderId="3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indent="1"/>
    </xf>
    <xf numFmtId="0" fontId="9" fillId="0" borderId="18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6" fillId="0" borderId="29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3" fillId="0" borderId="18" xfId="0" applyFont="1" applyBorder="1"/>
    <xf numFmtId="0" fontId="12" fillId="5" borderId="5" xfId="0" applyFont="1" applyFill="1" applyBorder="1" applyAlignment="1">
      <alignment horizontal="center"/>
    </xf>
    <xf numFmtId="0" fontId="12" fillId="5" borderId="53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/>
    </xf>
    <xf numFmtId="0" fontId="23" fillId="5" borderId="28" xfId="0" applyFont="1" applyFill="1" applyBorder="1" applyAlignment="1">
      <alignment horizontal="left" wrapText="1"/>
    </xf>
    <xf numFmtId="0" fontId="23" fillId="5" borderId="72" xfId="0" applyFont="1" applyFill="1" applyBorder="1" applyAlignment="1">
      <alignment horizontal="left" wrapText="1"/>
    </xf>
    <xf numFmtId="0" fontId="23" fillId="5" borderId="29" xfId="0" applyFont="1" applyFill="1" applyBorder="1" applyAlignment="1">
      <alignment horizontal="left" wrapText="1"/>
    </xf>
  </cellXfs>
  <cellStyles count="47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Énfasis1 2" xfId="41" xr:uid="{00000000-0005-0000-0000-00000C000000}"/>
    <cellStyle name="60% - Énfasis2 2" xfId="42" xr:uid="{00000000-0005-0000-0000-00000D000000}"/>
    <cellStyle name="60% - Énfasis3 2" xfId="43" xr:uid="{00000000-0005-0000-0000-00000E000000}"/>
    <cellStyle name="60% - Énfasis4 2" xfId="44" xr:uid="{00000000-0005-0000-0000-00000F000000}"/>
    <cellStyle name="60% - Énfasis5 2" xfId="45" xr:uid="{00000000-0005-0000-0000-000010000000}"/>
    <cellStyle name="60% - Énfasis6 2" xfId="46" xr:uid="{00000000-0005-0000-0000-000011000000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2" xr:uid="{00000000-0005-0000-0000-000016000000}"/>
    <cellStyle name="Encabezado 1 2" xfId="38" xr:uid="{00000000-0005-0000-0000-000017000000}"/>
    <cellStyle name="Encabezado 4" xfId="8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1" builtinId="20" customBuiltin="1"/>
    <cellStyle name="Incorrecto" xfId="10" builtinId="27" customBuiltin="1"/>
    <cellStyle name="Moneda" xfId="1" builtinId="4"/>
    <cellStyle name="Moneda_AUTORIZACION Y NOTA DE PEDIDO" xfId="3" xr:uid="{00000000-0005-0000-0000-000022000000}"/>
    <cellStyle name="Neutral 1" xfId="4" xr:uid="{00000000-0005-0000-0000-000023000000}"/>
    <cellStyle name="Neutral 2" xfId="39" xr:uid="{00000000-0005-0000-0000-000024000000}"/>
    <cellStyle name="Normal" xfId="0" builtinId="0"/>
    <cellStyle name="Normal 2" xfId="37" xr:uid="{00000000-0005-0000-0000-000026000000}"/>
    <cellStyle name="Notas 2" xfId="40" xr:uid="{00000000-0005-0000-0000-00002700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5" builtinId="15" customBuiltin="1"/>
    <cellStyle name="Título 2" xfId="6" builtinId="17" customBuiltin="1"/>
    <cellStyle name="Título 3" xfId="7" builtinId="18" customBuiltin="1"/>
    <cellStyle name="Total" xfId="18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escrit/COMEDORES/COMEDORES%20EMERGENTES/COMESORES%20DESDE%2025-06-20/LISTA%20COMEDORES%20EMERGENTES.xlsx?545F1F3C" TargetMode="External"/><Relationship Id="rId1" Type="http://schemas.openxmlformats.org/officeDocument/2006/relationships/externalLinkPath" Target="file:///\\545F1F3C\LISTA%20COMEDORES%20EMERG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Desktop/guille/COMBUSTIBLE/NecesidadesTrimestrales-NP-APG%20Combustible.xlsx?71ECCDC3" TargetMode="External"/><Relationship Id="rId1" Type="http://schemas.openxmlformats.org/officeDocument/2006/relationships/externalLinkPath" Target="file:///\\71ECCDC3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31" customWidth="1"/>
    <col min="2" max="2" width="19.85546875" style="31" customWidth="1"/>
    <col min="3" max="3" width="32.42578125" style="31" customWidth="1"/>
    <col min="4" max="4" width="10.42578125" style="31" customWidth="1"/>
    <col min="5" max="5" width="68.8554687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2" spans="1:9" ht="27" x14ac:dyDescent="0.35">
      <c r="B2" s="249" t="s">
        <v>0</v>
      </c>
      <c r="C2" s="249"/>
      <c r="D2" s="249"/>
      <c r="E2" s="249"/>
      <c r="F2" s="249"/>
      <c r="G2" s="249"/>
      <c r="H2" s="249"/>
    </row>
    <row r="4" spans="1:9" ht="18" customHeight="1" x14ac:dyDescent="0.25">
      <c r="A4" s="250" t="s">
        <v>1</v>
      </c>
      <c r="B4" s="250"/>
      <c r="C4" s="251" t="s">
        <v>65</v>
      </c>
      <c r="D4" s="251"/>
      <c r="E4" s="251"/>
      <c r="F4" s="32"/>
      <c r="G4" s="33"/>
      <c r="H4" s="32"/>
    </row>
    <row r="5" spans="1:9" ht="18" customHeight="1" x14ac:dyDescent="0.25">
      <c r="A5" s="250" t="s">
        <v>2</v>
      </c>
      <c r="B5" s="250"/>
      <c r="C5" s="251" t="s">
        <v>61</v>
      </c>
      <c r="D5" s="251"/>
      <c r="E5" s="251"/>
      <c r="F5" s="32"/>
      <c r="G5" s="33"/>
      <c r="H5" s="32"/>
    </row>
    <row r="6" spans="1:9" ht="16.5" customHeight="1" x14ac:dyDescent="0.25">
      <c r="A6" s="250" t="s">
        <v>3</v>
      </c>
      <c r="B6" s="250"/>
      <c r="C6" s="50">
        <v>2020</v>
      </c>
      <c r="D6" s="51"/>
      <c r="E6" s="51"/>
      <c r="F6" s="32"/>
      <c r="G6" s="33"/>
      <c r="H6" s="32"/>
    </row>
    <row r="7" spans="1:9" ht="16.5" customHeight="1" x14ac:dyDescent="0.25">
      <c r="A7" s="250" t="s">
        <v>4</v>
      </c>
      <c r="B7" s="250"/>
      <c r="C7" s="50">
        <v>3</v>
      </c>
      <c r="D7" s="51"/>
      <c r="E7" s="51"/>
      <c r="F7" s="32"/>
      <c r="G7" s="33"/>
      <c r="H7" s="32"/>
    </row>
    <row r="8" spans="1:9" ht="13.5" thickBot="1" x14ac:dyDescent="0.25">
      <c r="B8" s="32"/>
      <c r="C8" s="33"/>
      <c r="D8" s="32"/>
      <c r="E8" s="32"/>
      <c r="F8" s="32"/>
      <c r="G8" s="33"/>
      <c r="H8" s="32"/>
    </row>
    <row r="9" spans="1:9" ht="39" thickBot="1" x14ac:dyDescent="0.25">
      <c r="A9" s="53" t="s">
        <v>5</v>
      </c>
      <c r="B9" s="63" t="s">
        <v>6</v>
      </c>
      <c r="C9" s="63" t="s">
        <v>7</v>
      </c>
      <c r="D9" s="58" t="s">
        <v>8</v>
      </c>
      <c r="E9" s="63" t="s">
        <v>9</v>
      </c>
      <c r="F9" s="54" t="s">
        <v>10</v>
      </c>
      <c r="G9" s="55" t="s">
        <v>11</v>
      </c>
      <c r="H9" s="55" t="s">
        <v>12</v>
      </c>
      <c r="I9" s="56" t="s">
        <v>13</v>
      </c>
    </row>
    <row r="10" spans="1:9" ht="13.5" thickBot="1" x14ac:dyDescent="0.25">
      <c r="A10" s="64">
        <v>28</v>
      </c>
      <c r="B10" s="65" t="s">
        <v>105</v>
      </c>
      <c r="C10" s="66" t="s">
        <v>106</v>
      </c>
      <c r="D10" s="67" t="s">
        <v>107</v>
      </c>
      <c r="E10" s="66" t="s">
        <v>108</v>
      </c>
      <c r="F10" s="68" t="s">
        <v>14</v>
      </c>
      <c r="G10" s="69">
        <v>240</v>
      </c>
      <c r="H10" s="121">
        <v>450</v>
      </c>
      <c r="I10" s="122">
        <f>+G10*H10</f>
        <v>108000</v>
      </c>
    </row>
    <row r="12" spans="1:9" ht="13.5" thickBot="1" x14ac:dyDescent="0.25"/>
    <row r="13" spans="1:9" x14ac:dyDescent="0.2">
      <c r="B13" s="37" t="s">
        <v>15</v>
      </c>
      <c r="C13" s="38"/>
      <c r="D13" s="38"/>
      <c r="E13" s="39"/>
    </row>
    <row r="14" spans="1:9" ht="5.25" customHeight="1" x14ac:dyDescent="0.2">
      <c r="B14" s="40"/>
      <c r="C14" s="41"/>
      <c r="D14" s="41"/>
      <c r="E14" s="42"/>
    </row>
    <row r="15" spans="1:9" x14ac:dyDescent="0.2">
      <c r="B15" s="43" t="s">
        <v>16</v>
      </c>
      <c r="C15" s="41"/>
      <c r="D15" s="41"/>
      <c r="E15" s="42"/>
    </row>
    <row r="16" spans="1:9" ht="25.5" customHeight="1" x14ac:dyDescent="0.2">
      <c r="B16" s="257" t="s">
        <v>120</v>
      </c>
      <c r="C16" s="258"/>
      <c r="D16" s="258"/>
      <c r="E16" s="259"/>
    </row>
    <row r="17" spans="2:5" ht="13.5" thickBot="1" x14ac:dyDescent="0.25">
      <c r="B17" s="43" t="s">
        <v>17</v>
      </c>
      <c r="C17" s="41"/>
      <c r="D17" s="41"/>
      <c r="E17" s="42"/>
    </row>
    <row r="18" spans="2:5" ht="13.5" thickBot="1" x14ac:dyDescent="0.25">
      <c r="B18" s="252" t="s">
        <v>136</v>
      </c>
      <c r="C18" s="256"/>
      <c r="D18" s="256"/>
      <c r="E18" s="253"/>
    </row>
    <row r="19" spans="2:5" ht="13.5" thickBot="1" x14ac:dyDescent="0.25">
      <c r="B19" s="252" t="s">
        <v>137</v>
      </c>
      <c r="C19" s="253"/>
      <c r="D19" s="80" t="s">
        <v>11</v>
      </c>
      <c r="E19" s="80" t="s">
        <v>138</v>
      </c>
    </row>
    <row r="20" spans="2:5" x14ac:dyDescent="0.2">
      <c r="B20" s="254" t="str">
        <f>'[1]COMEDORES EMERGENTES'!$B$3</f>
        <v>UNA SONRISA AV. LOS COBACHO</v>
      </c>
      <c r="C20" s="255"/>
      <c r="D20" s="119">
        <v>1</v>
      </c>
      <c r="E20" s="120" t="str">
        <f>'[1]COMEDORES EMERGENTES'!$G$3</f>
        <v>Bº SAN CARLOS OESTE AV. Bonifacio cobacho 670</v>
      </c>
    </row>
    <row r="21" spans="2:5" x14ac:dyDescent="0.2">
      <c r="B21" s="247" t="str">
        <f>'[1]COMEDORES EMERGENTES'!$B$4</f>
        <v>C.I.F Nº1 - RIVERA DEL VALLE Y FLORIDA</v>
      </c>
      <c r="C21" s="248"/>
      <c r="D21" s="119">
        <v>1</v>
      </c>
      <c r="E21" s="120" t="str">
        <f>'[1]COMEDORES EMERGENTES'!$G$4</f>
        <v>AV. RIVIERA DEL VALLE ENTRE FLORIDA Y SANTA FE</v>
      </c>
    </row>
    <row r="22" spans="2:5" x14ac:dyDescent="0.2">
      <c r="B22" s="247" t="str">
        <f>'[1]COMEDORES EMERGENTES'!$B$5</f>
        <v>C.I.F - RIVERA DEL VALLE - DILORENZO</v>
      </c>
      <c r="C22" s="248"/>
      <c r="D22" s="119">
        <v>1</v>
      </c>
      <c r="E22" s="120" t="str">
        <f>'[1]COMEDORES EMERGENTES'!$G$5</f>
        <v>Bº RIVERA DEL VALLE ENTRE VILLA EUMELIA Y MONTE CRISTO</v>
      </c>
    </row>
    <row r="23" spans="2:5" x14ac:dyDescent="0.2">
      <c r="B23" s="247" t="str">
        <f>'[1]COMEDORES EMERGENTES'!$B$6</f>
        <v>ESFUERZO PROPIO- Bº ALTOS DE CHOYA</v>
      </c>
      <c r="C23" s="248"/>
      <c r="D23" s="119">
        <v>1</v>
      </c>
      <c r="E23" s="120" t="str">
        <f>'[1]COMEDORES EMERGENTES'!$G$6</f>
        <v>Bº MUNICIPAL 35VV. NORTE C/14</v>
      </c>
    </row>
    <row r="24" spans="2:5" x14ac:dyDescent="0.2">
      <c r="B24" s="247" t="str">
        <f>'[1]COMEDORES EMERGENTES'!$B$7</f>
        <v>ANGELITOS - LOTEO SUSSEX</v>
      </c>
      <c r="C24" s="248"/>
      <c r="D24" s="119">
        <v>1</v>
      </c>
      <c r="E24" s="120" t="str">
        <f>'[1]COMEDORES EMERGENTES'!$G$7</f>
        <v>Bº LOTEO SUSEX MZA.Nº 4 LOTE Nº3</v>
      </c>
    </row>
    <row r="25" spans="2:5" x14ac:dyDescent="0.2">
      <c r="B25" s="247" t="str">
        <f>'[1]COMEDORES EMERGENTES'!$B$8</f>
        <v>CLUB DEPORTIVO CHACARITA</v>
      </c>
      <c r="C25" s="248"/>
      <c r="D25" s="119">
        <v>1</v>
      </c>
      <c r="E25" s="120" t="str">
        <f>'[1]COMEDORES EMERGENTES'!$G$8</f>
        <v>CALLE DR.DERMIDIO GALINDEZ C/2660</v>
      </c>
    </row>
    <row r="26" spans="2:5" x14ac:dyDescent="0.2">
      <c r="B26" s="247" t="str">
        <f>'[1]COMEDORES EMERGENTES'!$B$9</f>
        <v>LA MORO</v>
      </c>
      <c r="C26" s="248"/>
      <c r="D26" s="119">
        <v>1</v>
      </c>
      <c r="E26" s="120" t="str">
        <f>'[1]COMEDORES EMERGENTES'!$G$9</f>
        <v>MAIPU NORTE 1º ETAPA MZA "H" Bº MI JARDIN</v>
      </c>
    </row>
    <row r="27" spans="2:5" x14ac:dyDescent="0.2">
      <c r="B27" s="247" t="str">
        <f>'[1]COMEDORES EMERGENTES'!$B$10</f>
        <v>PAPA FRANCISCO</v>
      </c>
      <c r="C27" s="248"/>
      <c r="D27" s="119">
        <v>1</v>
      </c>
      <c r="E27" s="120" t="str">
        <f>'[1]COMEDORES EMERGENTES'!$G$10</f>
        <v>ENTRE AV.TEREBINTO Y AV.SAN JUAN LOTE "2" MZA. "B"</v>
      </c>
    </row>
    <row r="28" spans="2:5" x14ac:dyDescent="0.2">
      <c r="B28" s="247" t="str">
        <f>'[1]COMEDORES EMERGENTES'!$B$11</f>
        <v>E.P.C - 100 V.V NORTE</v>
      </c>
      <c r="C28" s="248"/>
      <c r="D28" s="119">
        <v>1</v>
      </c>
      <c r="E28" s="120" t="str">
        <f>'[1]COMEDORES EMERGENTES'!$G$11</f>
        <v>Bº VV NORTE C/48 ENTRE ESPAÑA Y FRANCIA</v>
      </c>
    </row>
    <row r="29" spans="2:5" x14ac:dyDescent="0.2">
      <c r="B29" s="247" t="str">
        <f>'[1]COMEDORES EMERGENTES'!$B$12</f>
        <v>HOGAR DE CRISTO - PADRE RAUL CONTRERAS</v>
      </c>
      <c r="C29" s="248"/>
      <c r="D29" s="119">
        <v>1</v>
      </c>
      <c r="E29" s="120" t="str">
        <f>'[1]COMEDORES EMERGENTES'!$G$12</f>
        <v>Bº SANTA MARTA MZA. "S" LOTE "M" C/39</v>
      </c>
    </row>
    <row r="30" spans="2:5" x14ac:dyDescent="0.2">
      <c r="B30" s="247" t="str">
        <f>'[1]COMEDORES EMERGENTES'!$B$13</f>
        <v>LA LUCIERNAGA</v>
      </c>
      <c r="C30" s="248"/>
      <c r="D30" s="119">
        <v>1</v>
      </c>
      <c r="E30" s="120" t="str">
        <f>'[1]COMEDORES EMERGENTES'!$G$13</f>
        <v>Bº 20 V.V NORTE C/3</v>
      </c>
    </row>
    <row r="31" spans="2:5" x14ac:dyDescent="0.2">
      <c r="B31" s="247" t="str">
        <f>'[1]COMEDORES EMERGENTES'!$B$14</f>
        <v>VALLE VIEJO - SUMALAO</v>
      </c>
      <c r="C31" s="248"/>
      <c r="D31" s="119">
        <v>1</v>
      </c>
      <c r="E31" s="120" t="str">
        <f>'[1]COMEDORES EMERGENTES'!$G$14</f>
        <v>PADRE SEGURA S/N</v>
      </c>
    </row>
    <row r="32" spans="2:5" x14ac:dyDescent="0.2">
      <c r="B32" s="247" t="str">
        <f>'[1]COMEDORES EMERGENTES'!$B$15</f>
        <v>NUESTRO FUTURO - LAS VIAS</v>
      </c>
      <c r="C32" s="248"/>
      <c r="D32" s="119">
        <v>1</v>
      </c>
      <c r="E32" s="120" t="str">
        <f>'[1]COMEDORES EMERGENTES'!$G$15</f>
        <v>Bº LAS VIAS OESTE LOTE 42</v>
      </c>
    </row>
    <row r="33" spans="2:5" x14ac:dyDescent="0.2">
      <c r="B33" s="247" t="str">
        <f>'[1]COMEDORES EMERGENTES'!$B$16</f>
        <v>SAN JOSE OBRERO</v>
      </c>
      <c r="C33" s="248"/>
      <c r="D33" s="119">
        <v>1</v>
      </c>
      <c r="E33" s="120" t="str">
        <f>'[1]COMEDORES EMERGENTES'!$G$16</f>
        <v>Bº SAN JOSE OBRERO. PJE. SANDOVAL S/Nº</v>
      </c>
    </row>
    <row r="34" spans="2:5" x14ac:dyDescent="0.2">
      <c r="B34" s="247" t="str">
        <f>'[1]COMEDORES EMERGENTES'!$B$17</f>
        <v>VIRGEN DE LUJAN</v>
      </c>
      <c r="C34" s="248"/>
      <c r="D34" s="119">
        <v>1</v>
      </c>
      <c r="E34" s="120" t="str">
        <f>'[1]COMEDORES EMERGENTES'!$G$17</f>
        <v>Bº OJO DE AGUA C/DR.TEODULFO BARRIONUEVO S/Nº</v>
      </c>
    </row>
    <row r="35" spans="2:5" x14ac:dyDescent="0.2">
      <c r="B35" s="247" t="str">
        <f>'[1]COMEDORES EMERGENTES'!$B$18</f>
        <v>RENACER</v>
      </c>
      <c r="C35" s="248"/>
      <c r="D35" s="119">
        <v>1</v>
      </c>
      <c r="E35" s="120" t="str">
        <f>'[1]COMEDORES EMERGENTES'!$G$18</f>
        <v>Bº VIRGEN MORENITA</v>
      </c>
    </row>
    <row r="36" spans="2:5" x14ac:dyDescent="0.2">
      <c r="B36" s="247" t="str">
        <f>'[1]COMEDORES EMERGENTES'!$B$19</f>
        <v>CENTRO VECINAL MI JARDIN</v>
      </c>
      <c r="C36" s="248"/>
      <c r="D36" s="119">
        <v>1</v>
      </c>
      <c r="E36" s="120" t="str">
        <f>'[1]COMEDORES EMERGENTES'!$G$19</f>
        <v>C/ LOS TULIPANES ENTRE FLOR DE CEREZO Y HOLANDA MZA.27 Bº MI JARDIN</v>
      </c>
    </row>
    <row r="37" spans="2:5" x14ac:dyDescent="0.2">
      <c r="B37" s="247" t="str">
        <f>'[1]COMEDORES EMERGENTES'!$B$20</f>
        <v>LA VIEJA ESQUINA</v>
      </c>
      <c r="C37" s="248"/>
      <c r="D37" s="119">
        <v>1</v>
      </c>
      <c r="E37" s="120" t="str">
        <f>'[1]COMEDORES EMERGENTES'!$G$20</f>
        <v>B° CRISTO REY PJE CAPATAZ VILLAFAÑEZ Y ARMANDO CORREA</v>
      </c>
    </row>
    <row r="38" spans="2:5" x14ac:dyDescent="0.2">
      <c r="B38" s="247" t="str">
        <f>'[1]COMEDORES EMERGENTES'!$B$21</f>
        <v>GAUCHITO GIL</v>
      </c>
      <c r="C38" s="248"/>
      <c r="D38" s="119">
        <v>1</v>
      </c>
      <c r="E38" s="120" t="str">
        <f>'[1]COMEDORES EMERGENTES'!$G$21</f>
        <v>B° 26 VIVIENDAS CASA N° 3</v>
      </c>
    </row>
    <row r="39" spans="2:5" x14ac:dyDescent="0.2">
      <c r="B39" s="247" t="str">
        <f>'[1]COMEDORES EMERGENTES'!$B$22</f>
        <v>LOS TOLDOS</v>
      </c>
      <c r="C39" s="248"/>
      <c r="D39" s="119">
        <v>1</v>
      </c>
      <c r="E39" s="120" t="str">
        <f>'[1]COMEDORES EMERGENTES'!$G$22</f>
        <v>LOTEO PARQUE SUR CALLE S/NOMBRE S/N°</v>
      </c>
    </row>
    <row r="40" spans="2:5" x14ac:dyDescent="0.2">
      <c r="B40" s="43" t="s">
        <v>20</v>
      </c>
      <c r="C40" s="41"/>
      <c r="D40" s="41"/>
      <c r="E40" s="42"/>
    </row>
    <row r="41" spans="2:5" x14ac:dyDescent="0.2">
      <c r="B41" s="244" t="s">
        <v>63</v>
      </c>
      <c r="C41" s="245"/>
      <c r="D41" s="245"/>
      <c r="E41" s="246"/>
    </row>
    <row r="42" spans="2:5" ht="13.5" thickBot="1" x14ac:dyDescent="0.25">
      <c r="B42" s="47"/>
      <c r="C42" s="48"/>
      <c r="D42" s="48"/>
      <c r="E42" s="49"/>
    </row>
  </sheetData>
  <mergeCells count="31"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6:B6"/>
    <mergeCell ref="A7:B7"/>
    <mergeCell ref="B19:C19"/>
    <mergeCell ref="B20:C20"/>
    <mergeCell ref="B21:C21"/>
    <mergeCell ref="B2:H2"/>
    <mergeCell ref="A4:B4"/>
    <mergeCell ref="C4:E4"/>
    <mergeCell ref="A5:B5"/>
    <mergeCell ref="C5:E5"/>
    <mergeCell ref="B41:E41"/>
    <mergeCell ref="B33:C33"/>
    <mergeCell ref="B34:C34"/>
    <mergeCell ref="B35:C35"/>
    <mergeCell ref="B36:C36"/>
    <mergeCell ref="B37:C37"/>
    <mergeCell ref="B39:C39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31" customWidth="1"/>
    <col min="2" max="2" width="19.28515625" style="31" customWidth="1"/>
    <col min="3" max="3" width="29.28515625" style="31" customWidth="1"/>
    <col min="4" max="4" width="8.85546875" style="31" customWidth="1"/>
    <col min="5" max="5" width="110.140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2" spans="1:9" ht="27" x14ac:dyDescent="0.35">
      <c r="B2" s="249" t="s">
        <v>0</v>
      </c>
      <c r="C2" s="249"/>
      <c r="D2" s="249"/>
      <c r="E2" s="249"/>
      <c r="F2" s="249"/>
      <c r="G2" s="249"/>
      <c r="H2" s="249"/>
    </row>
    <row r="4" spans="1:9" ht="18" customHeight="1" x14ac:dyDescent="0.25">
      <c r="A4" s="250" t="s">
        <v>1</v>
      </c>
      <c r="B4" s="250"/>
      <c r="C4" s="251" t="s">
        <v>65</v>
      </c>
      <c r="D4" s="251"/>
      <c r="E4" s="251"/>
      <c r="F4" s="32"/>
      <c r="G4" s="33"/>
      <c r="H4" s="32"/>
    </row>
    <row r="5" spans="1:9" ht="18" customHeight="1" x14ac:dyDescent="0.25">
      <c r="A5" s="250" t="s">
        <v>2</v>
      </c>
      <c r="B5" s="250"/>
      <c r="C5" s="251" t="s">
        <v>61</v>
      </c>
      <c r="D5" s="251"/>
      <c r="E5" s="251"/>
      <c r="F5" s="32"/>
      <c r="G5" s="33"/>
      <c r="H5" s="32"/>
    </row>
    <row r="6" spans="1:9" ht="16.5" customHeight="1" x14ac:dyDescent="0.25">
      <c r="A6" s="250" t="s">
        <v>3</v>
      </c>
      <c r="B6" s="250"/>
      <c r="C6" s="50">
        <v>2020</v>
      </c>
      <c r="D6" s="51"/>
      <c r="E6" s="51"/>
      <c r="F6" s="32"/>
      <c r="G6" s="33"/>
      <c r="H6" s="32"/>
    </row>
    <row r="7" spans="1:9" ht="16.5" customHeight="1" x14ac:dyDescent="0.25">
      <c r="A7" s="250" t="s">
        <v>4</v>
      </c>
      <c r="B7" s="250"/>
      <c r="C7" s="50">
        <v>3</v>
      </c>
      <c r="D7" s="51"/>
      <c r="E7" s="51"/>
      <c r="F7" s="32"/>
      <c r="G7" s="33"/>
      <c r="H7" s="32"/>
    </row>
    <row r="8" spans="1:9" ht="13.5" thickBot="1" x14ac:dyDescent="0.25">
      <c r="B8" s="32"/>
      <c r="C8" s="33"/>
      <c r="D8" s="32"/>
      <c r="E8" s="32"/>
      <c r="F8" s="32"/>
      <c r="G8" s="33"/>
      <c r="H8" s="32"/>
    </row>
    <row r="9" spans="1:9" ht="39" thickBot="1" x14ac:dyDescent="0.25">
      <c r="A9" s="53" t="s">
        <v>5</v>
      </c>
      <c r="B9" s="63" t="s">
        <v>6</v>
      </c>
      <c r="C9" s="53" t="s">
        <v>7</v>
      </c>
      <c r="D9" s="53" t="s">
        <v>8</v>
      </c>
      <c r="E9" s="63" t="s">
        <v>9</v>
      </c>
      <c r="F9" s="54" t="s">
        <v>10</v>
      </c>
      <c r="G9" s="55" t="s">
        <v>11</v>
      </c>
      <c r="H9" s="55" t="s">
        <v>12</v>
      </c>
      <c r="I9" s="56" t="s">
        <v>13</v>
      </c>
    </row>
    <row r="10" spans="1:9" x14ac:dyDescent="0.2">
      <c r="A10" s="34">
        <v>1</v>
      </c>
      <c r="B10" s="60" t="s">
        <v>121</v>
      </c>
      <c r="C10" s="74" t="s">
        <v>109</v>
      </c>
      <c r="D10" s="77" t="s">
        <v>110</v>
      </c>
      <c r="E10" s="60" t="s">
        <v>124</v>
      </c>
      <c r="F10" s="70" t="s">
        <v>117</v>
      </c>
      <c r="G10" s="71">
        <v>240</v>
      </c>
      <c r="H10" s="123">
        <v>175</v>
      </c>
      <c r="I10" s="92">
        <f>+H10*G10</f>
        <v>42000</v>
      </c>
    </row>
    <row r="11" spans="1:9" x14ac:dyDescent="0.2">
      <c r="A11" s="35">
        <v>2</v>
      </c>
      <c r="B11" s="52" t="s">
        <v>122</v>
      </c>
      <c r="C11" s="75" t="s">
        <v>109</v>
      </c>
      <c r="D11" s="78" t="s">
        <v>110</v>
      </c>
      <c r="E11" s="52" t="s">
        <v>125</v>
      </c>
      <c r="F11" s="61" t="s">
        <v>117</v>
      </c>
      <c r="G11" s="62">
        <v>240</v>
      </c>
      <c r="H11" s="98">
        <v>225</v>
      </c>
      <c r="I11" s="99">
        <f>+H11*G11</f>
        <v>54000</v>
      </c>
    </row>
    <row r="12" spans="1:9" ht="13.5" thickBot="1" x14ac:dyDescent="0.25">
      <c r="A12" s="36">
        <v>3</v>
      </c>
      <c r="B12" s="57" t="s">
        <v>123</v>
      </c>
      <c r="C12" s="76" t="s">
        <v>109</v>
      </c>
      <c r="D12" s="79" t="s">
        <v>110</v>
      </c>
      <c r="E12" s="57" t="s">
        <v>126</v>
      </c>
      <c r="F12" s="72" t="s">
        <v>117</v>
      </c>
      <c r="G12" s="73">
        <v>240</v>
      </c>
      <c r="H12" s="117">
        <v>320</v>
      </c>
      <c r="I12" s="118">
        <f>+H12*G12</f>
        <v>76800</v>
      </c>
    </row>
    <row r="15" spans="1:9" x14ac:dyDescent="0.2">
      <c r="B15" s="37" t="s">
        <v>15</v>
      </c>
      <c r="C15" s="38"/>
      <c r="D15" s="38"/>
      <c r="E15" s="39"/>
    </row>
    <row r="16" spans="1:9" ht="5.25" customHeight="1" x14ac:dyDescent="0.2">
      <c r="B16" s="40"/>
      <c r="C16" s="41"/>
      <c r="D16" s="41"/>
      <c r="E16" s="42"/>
    </row>
    <row r="17" spans="2:5" x14ac:dyDescent="0.2">
      <c r="B17" s="43" t="s">
        <v>16</v>
      </c>
      <c r="C17" s="41"/>
      <c r="D17" s="41"/>
      <c r="E17" s="42"/>
    </row>
    <row r="18" spans="2:5" ht="25.5" customHeight="1" x14ac:dyDescent="0.2">
      <c r="B18" s="43"/>
      <c r="C18" s="258" t="s">
        <v>127</v>
      </c>
      <c r="D18" s="258"/>
      <c r="E18" s="259"/>
    </row>
    <row r="19" spans="2:5" ht="13.5" thickBot="1" x14ac:dyDescent="0.25">
      <c r="B19" s="43" t="s">
        <v>17</v>
      </c>
      <c r="C19" s="41"/>
      <c r="D19" s="41"/>
      <c r="E19" s="42"/>
    </row>
    <row r="20" spans="2:5" ht="13.5" thickBot="1" x14ac:dyDescent="0.25">
      <c r="B20" s="252" t="s">
        <v>136</v>
      </c>
      <c r="C20" s="256"/>
      <c r="D20" s="256"/>
      <c r="E20" s="253"/>
    </row>
    <row r="21" spans="2:5" ht="13.5" thickBot="1" x14ac:dyDescent="0.25">
      <c r="B21" s="252" t="s">
        <v>137</v>
      </c>
      <c r="C21" s="253"/>
      <c r="D21" s="80" t="s">
        <v>11</v>
      </c>
      <c r="E21" s="80" t="s">
        <v>138</v>
      </c>
    </row>
    <row r="22" spans="2:5" x14ac:dyDescent="0.2">
      <c r="B22" s="254" t="str">
        <f>'[1]COMEDORES EMERGENTES'!$B$3</f>
        <v>UNA SONRISA AV. LOS COBACHO</v>
      </c>
      <c r="C22" s="255"/>
      <c r="D22" s="119">
        <v>1</v>
      </c>
      <c r="E22" s="120" t="str">
        <f>'[1]COMEDORES EMERGENTES'!$G$3</f>
        <v>Bº SAN CARLOS OESTE AV. Bonifacio cobacho 670</v>
      </c>
    </row>
    <row r="23" spans="2:5" x14ac:dyDescent="0.2">
      <c r="B23" s="247" t="str">
        <f>'[1]COMEDORES EMERGENTES'!$B$4</f>
        <v>C.I.F Nº1 - RIVERA DEL VALLE Y FLORIDA</v>
      </c>
      <c r="C23" s="248"/>
      <c r="D23" s="119">
        <v>1</v>
      </c>
      <c r="E23" s="120" t="str">
        <f>'[1]COMEDORES EMERGENTES'!$G$4</f>
        <v>AV. RIVIERA DEL VALLE ENTRE FLORIDA Y SANTA FE</v>
      </c>
    </row>
    <row r="24" spans="2:5" x14ac:dyDescent="0.2">
      <c r="B24" s="247" t="str">
        <f>'[1]COMEDORES EMERGENTES'!$B$5</f>
        <v>C.I.F - RIVERA DEL VALLE - DILORENZO</v>
      </c>
      <c r="C24" s="248"/>
      <c r="D24" s="119">
        <v>1</v>
      </c>
      <c r="E24" s="120" t="str">
        <f>'[1]COMEDORES EMERGENTES'!$G$5</f>
        <v>Bº RIVERA DEL VALLE ENTRE VILLA EUMELIA Y MONTE CRISTO</v>
      </c>
    </row>
    <row r="25" spans="2:5" x14ac:dyDescent="0.2">
      <c r="B25" s="247" t="str">
        <f>'[1]COMEDORES EMERGENTES'!$B$6</f>
        <v>ESFUERZO PROPIO- Bº ALTOS DE CHOYA</v>
      </c>
      <c r="C25" s="248"/>
      <c r="D25" s="119">
        <v>1</v>
      </c>
      <c r="E25" s="120" t="str">
        <f>'[1]COMEDORES EMERGENTES'!$G$6</f>
        <v>Bº MUNICIPAL 35VV. NORTE C/14</v>
      </c>
    </row>
    <row r="26" spans="2:5" x14ac:dyDescent="0.2">
      <c r="B26" s="247" t="str">
        <f>'[1]COMEDORES EMERGENTES'!$B$7</f>
        <v>ANGELITOS - LOTEO SUSSEX</v>
      </c>
      <c r="C26" s="248"/>
      <c r="D26" s="119">
        <v>1</v>
      </c>
      <c r="E26" s="120" t="str">
        <f>'[1]COMEDORES EMERGENTES'!$G$7</f>
        <v>Bº LOTEO SUSEX MZA.Nº 4 LOTE Nº3</v>
      </c>
    </row>
    <row r="27" spans="2:5" x14ac:dyDescent="0.2">
      <c r="B27" s="247" t="str">
        <f>'[1]COMEDORES EMERGENTES'!$B$8</f>
        <v>CLUB DEPORTIVO CHACARITA</v>
      </c>
      <c r="C27" s="248"/>
      <c r="D27" s="119">
        <v>1</v>
      </c>
      <c r="E27" s="120" t="str">
        <f>'[1]COMEDORES EMERGENTES'!$G$8</f>
        <v>CALLE DR.DERMIDIO GALINDEZ C/2660</v>
      </c>
    </row>
    <row r="28" spans="2:5" x14ac:dyDescent="0.2">
      <c r="B28" s="247" t="str">
        <f>'[1]COMEDORES EMERGENTES'!$B$9</f>
        <v>LA MORO</v>
      </c>
      <c r="C28" s="248"/>
      <c r="D28" s="119">
        <v>1</v>
      </c>
      <c r="E28" s="120" t="str">
        <f>'[1]COMEDORES EMERGENTES'!$G$9</f>
        <v>MAIPU NORTE 1º ETAPA MZA "H" Bº MI JARDIN</v>
      </c>
    </row>
    <row r="29" spans="2:5" x14ac:dyDescent="0.2">
      <c r="B29" s="247" t="str">
        <f>'[1]COMEDORES EMERGENTES'!$B$10</f>
        <v>PAPA FRANCISCO</v>
      </c>
      <c r="C29" s="248"/>
      <c r="D29" s="119">
        <v>1</v>
      </c>
      <c r="E29" s="120" t="str">
        <f>'[1]COMEDORES EMERGENTES'!$G$10</f>
        <v>ENTRE AV.TEREBINTO Y AV.SAN JUAN LOTE "2" MZA. "B"</v>
      </c>
    </row>
    <row r="30" spans="2:5" x14ac:dyDescent="0.2">
      <c r="B30" s="247" t="str">
        <f>'[1]COMEDORES EMERGENTES'!$B$11</f>
        <v>E.P.C - 100 V.V NORTE</v>
      </c>
      <c r="C30" s="248"/>
      <c r="D30" s="119">
        <v>1</v>
      </c>
      <c r="E30" s="120" t="str">
        <f>'[1]COMEDORES EMERGENTES'!$G$11</f>
        <v>Bº VV NORTE C/48 ENTRE ESPAÑA Y FRANCIA</v>
      </c>
    </row>
    <row r="31" spans="2:5" x14ac:dyDescent="0.2">
      <c r="B31" s="247" t="str">
        <f>'[1]COMEDORES EMERGENTES'!$B$12</f>
        <v>HOGAR DE CRISTO - PADRE RAUL CONTRERAS</v>
      </c>
      <c r="C31" s="248"/>
      <c r="D31" s="119">
        <v>1</v>
      </c>
      <c r="E31" s="120" t="str">
        <f>'[1]COMEDORES EMERGENTES'!$G$12</f>
        <v>Bº SANTA MARTA MZA. "S" LOTE "M" C/39</v>
      </c>
    </row>
    <row r="32" spans="2:5" x14ac:dyDescent="0.2">
      <c r="B32" s="247" t="str">
        <f>'[1]COMEDORES EMERGENTES'!$B$13</f>
        <v>LA LUCIERNAGA</v>
      </c>
      <c r="C32" s="248"/>
      <c r="D32" s="119">
        <v>1</v>
      </c>
      <c r="E32" s="120" t="str">
        <f>'[1]COMEDORES EMERGENTES'!$G$13</f>
        <v>Bº 20 V.V NORTE C/3</v>
      </c>
    </row>
    <row r="33" spans="2:5" x14ac:dyDescent="0.2">
      <c r="B33" s="247" t="str">
        <f>'[1]COMEDORES EMERGENTES'!$B$14</f>
        <v>VALLE VIEJO - SUMALAO</v>
      </c>
      <c r="C33" s="248"/>
      <c r="D33" s="119">
        <v>1</v>
      </c>
      <c r="E33" s="120" t="str">
        <f>'[1]COMEDORES EMERGENTES'!$G$14</f>
        <v>PADRE SEGURA S/N</v>
      </c>
    </row>
    <row r="34" spans="2:5" x14ac:dyDescent="0.2">
      <c r="B34" s="247" t="str">
        <f>'[1]COMEDORES EMERGENTES'!$B$15</f>
        <v>NUESTRO FUTURO - LAS VIAS</v>
      </c>
      <c r="C34" s="248"/>
      <c r="D34" s="119">
        <v>1</v>
      </c>
      <c r="E34" s="120" t="str">
        <f>'[1]COMEDORES EMERGENTES'!$G$15</f>
        <v>Bº LAS VIAS OESTE LOTE 42</v>
      </c>
    </row>
    <row r="35" spans="2:5" x14ac:dyDescent="0.2">
      <c r="B35" s="247" t="str">
        <f>'[1]COMEDORES EMERGENTES'!$B$16</f>
        <v>SAN JOSE OBRERO</v>
      </c>
      <c r="C35" s="248"/>
      <c r="D35" s="119">
        <v>1</v>
      </c>
      <c r="E35" s="120" t="str">
        <f>'[1]COMEDORES EMERGENTES'!$G$16</f>
        <v>Bº SAN JOSE OBRERO. PJE. SANDOVAL S/Nº</v>
      </c>
    </row>
    <row r="36" spans="2:5" x14ac:dyDescent="0.2">
      <c r="B36" s="247" t="str">
        <f>'[1]COMEDORES EMERGENTES'!$B$17</f>
        <v>VIRGEN DE LUJAN</v>
      </c>
      <c r="C36" s="248"/>
      <c r="D36" s="119">
        <v>1</v>
      </c>
      <c r="E36" s="120" t="str">
        <f>'[1]COMEDORES EMERGENTES'!$G$17</f>
        <v>Bº OJO DE AGUA C/DR.TEODULFO BARRIONUEVO S/Nº</v>
      </c>
    </row>
    <row r="37" spans="2:5" x14ac:dyDescent="0.2">
      <c r="B37" s="247" t="str">
        <f>'[1]COMEDORES EMERGENTES'!$B$18</f>
        <v>RENACER</v>
      </c>
      <c r="C37" s="248"/>
      <c r="D37" s="119">
        <v>1</v>
      </c>
      <c r="E37" s="120" t="str">
        <f>'[1]COMEDORES EMERGENTES'!$G$18</f>
        <v>Bº VIRGEN MORENITA</v>
      </c>
    </row>
    <row r="38" spans="2:5" x14ac:dyDescent="0.2">
      <c r="B38" s="247" t="str">
        <f>'[1]COMEDORES EMERGENTES'!$B$19</f>
        <v>CENTRO VECINAL MI JARDIN</v>
      </c>
      <c r="C38" s="248"/>
      <c r="D38" s="119">
        <v>1</v>
      </c>
      <c r="E38" s="120" t="str">
        <f>'[1]COMEDORES EMERGENTES'!$G$19</f>
        <v>C/ LOS TULIPANES ENTRE FLOR DE CEREZO Y HOLANDA MZA.27 Bº MI JARDIN</v>
      </c>
    </row>
    <row r="39" spans="2:5" x14ac:dyDescent="0.2">
      <c r="B39" s="247" t="str">
        <f>'[1]COMEDORES EMERGENTES'!$B$20</f>
        <v>LA VIEJA ESQUINA</v>
      </c>
      <c r="C39" s="248"/>
      <c r="D39" s="119">
        <v>1</v>
      </c>
      <c r="E39" s="120" t="str">
        <f>'[1]COMEDORES EMERGENTES'!$G$20</f>
        <v>B° CRISTO REY PJE CAPATAZ VILLAFAÑEZ Y ARMANDO CORREA</v>
      </c>
    </row>
    <row r="40" spans="2:5" x14ac:dyDescent="0.2">
      <c r="B40" s="247" t="str">
        <f>'[1]COMEDORES EMERGENTES'!$B$21</f>
        <v>GAUCHITO GIL</v>
      </c>
      <c r="C40" s="248"/>
      <c r="D40" s="119">
        <v>1</v>
      </c>
      <c r="E40" s="120" t="str">
        <f>'[1]COMEDORES EMERGENTES'!$G$21</f>
        <v>B° 26 VIVIENDAS CASA N° 3</v>
      </c>
    </row>
    <row r="41" spans="2:5" x14ac:dyDescent="0.2">
      <c r="B41" s="247" t="str">
        <f>'[1]COMEDORES EMERGENTES'!$B$22</f>
        <v>LOS TOLDOS</v>
      </c>
      <c r="C41" s="248"/>
      <c r="D41" s="119">
        <v>1</v>
      </c>
      <c r="E41" s="120" t="str">
        <f>'[1]COMEDORES EMERGENTES'!$G$22</f>
        <v>LOTEO PARQUE SUR CALLE S/NOMBRE S/N°</v>
      </c>
    </row>
    <row r="42" spans="2:5" x14ac:dyDescent="0.2">
      <c r="B42" s="43" t="s">
        <v>18</v>
      </c>
      <c r="C42" s="41"/>
      <c r="D42" s="41"/>
      <c r="E42" s="42"/>
    </row>
    <row r="43" spans="2:5" x14ac:dyDescent="0.2">
      <c r="B43" s="44"/>
      <c r="C43" s="260" t="s">
        <v>62</v>
      </c>
      <c r="D43" s="260"/>
      <c r="E43" s="260"/>
    </row>
    <row r="44" spans="2:5" x14ac:dyDescent="0.2">
      <c r="B44" s="43" t="s">
        <v>19</v>
      </c>
      <c r="C44" s="45"/>
      <c r="D44" s="45"/>
      <c r="E44" s="46"/>
    </row>
    <row r="45" spans="2:5" x14ac:dyDescent="0.2">
      <c r="B45" s="44"/>
      <c r="C45" s="260" t="s">
        <v>139</v>
      </c>
      <c r="D45" s="260"/>
      <c r="E45" s="260"/>
    </row>
    <row r="46" spans="2:5" x14ac:dyDescent="0.2">
      <c r="B46" s="43" t="s">
        <v>20</v>
      </c>
      <c r="C46" s="41"/>
      <c r="D46" s="41"/>
      <c r="E46" s="42"/>
    </row>
    <row r="47" spans="2:5" x14ac:dyDescent="0.2">
      <c r="B47" s="43"/>
      <c r="C47" s="246" t="s">
        <v>63</v>
      </c>
      <c r="D47" s="246"/>
      <c r="E47" s="246"/>
    </row>
    <row r="48" spans="2:5" ht="13.5" thickBot="1" x14ac:dyDescent="0.25">
      <c r="B48" s="47"/>
      <c r="C48" s="48"/>
      <c r="D48" s="48"/>
      <c r="E48" s="49"/>
    </row>
    <row r="50" spans="2:5" x14ac:dyDescent="0.2">
      <c r="B50" s="37" t="s">
        <v>21</v>
      </c>
      <c r="C50" s="38"/>
      <c r="D50" s="38"/>
      <c r="E50" s="39"/>
    </row>
    <row r="51" spans="2:5" x14ac:dyDescent="0.2">
      <c r="B51" s="40"/>
      <c r="C51" s="41"/>
      <c r="D51" s="41"/>
      <c r="E51" s="42"/>
    </row>
    <row r="52" spans="2:5" x14ac:dyDescent="0.2">
      <c r="B52" s="43" t="s">
        <v>16</v>
      </c>
      <c r="C52" s="41"/>
      <c r="D52" s="41"/>
      <c r="E52" s="42"/>
    </row>
    <row r="53" spans="2:5" ht="25.5" customHeight="1" x14ac:dyDescent="0.2">
      <c r="B53" s="43"/>
      <c r="C53" s="258" t="s">
        <v>127</v>
      </c>
      <c r="D53" s="258"/>
      <c r="E53" s="259"/>
    </row>
    <row r="54" spans="2:5" ht="13.5" thickBot="1" x14ac:dyDescent="0.25">
      <c r="B54" s="43" t="s">
        <v>17</v>
      </c>
      <c r="C54" s="41"/>
      <c r="D54" s="41"/>
      <c r="E54" s="42"/>
    </row>
    <row r="55" spans="2:5" ht="13.5" thickBot="1" x14ac:dyDescent="0.25">
      <c r="B55" s="252" t="s">
        <v>136</v>
      </c>
      <c r="C55" s="256"/>
      <c r="D55" s="256"/>
      <c r="E55" s="253"/>
    </row>
    <row r="56" spans="2:5" ht="13.5" thickBot="1" x14ac:dyDescent="0.25">
      <c r="B56" s="252" t="s">
        <v>137</v>
      </c>
      <c r="C56" s="253"/>
      <c r="D56" s="80" t="s">
        <v>11</v>
      </c>
      <c r="E56" s="80" t="s">
        <v>138</v>
      </c>
    </row>
    <row r="57" spans="2:5" x14ac:dyDescent="0.2">
      <c r="B57" s="254" t="str">
        <f>'[1]COMEDORES EMERGENTES'!$B$3</f>
        <v>UNA SONRISA AV. LOS COBACHO</v>
      </c>
      <c r="C57" s="255"/>
      <c r="D57" s="119">
        <v>1</v>
      </c>
      <c r="E57" s="120" t="str">
        <f>'[1]COMEDORES EMERGENTES'!$G$3</f>
        <v>Bº SAN CARLOS OESTE AV. Bonifacio cobacho 670</v>
      </c>
    </row>
    <row r="58" spans="2:5" x14ac:dyDescent="0.2">
      <c r="B58" s="247" t="str">
        <f>'[1]COMEDORES EMERGENTES'!$B$4</f>
        <v>C.I.F Nº1 - RIVERA DEL VALLE Y FLORIDA</v>
      </c>
      <c r="C58" s="248"/>
      <c r="D58" s="119">
        <v>1</v>
      </c>
      <c r="E58" s="120" t="str">
        <f>'[1]COMEDORES EMERGENTES'!$G$4</f>
        <v>AV. RIVIERA DEL VALLE ENTRE FLORIDA Y SANTA FE</v>
      </c>
    </row>
    <row r="59" spans="2:5" x14ac:dyDescent="0.2">
      <c r="B59" s="247" t="str">
        <f>'[1]COMEDORES EMERGENTES'!$B$5</f>
        <v>C.I.F - RIVERA DEL VALLE - DILORENZO</v>
      </c>
      <c r="C59" s="248"/>
      <c r="D59" s="119">
        <v>1</v>
      </c>
      <c r="E59" s="120" t="str">
        <f>'[1]COMEDORES EMERGENTES'!$G$5</f>
        <v>Bº RIVERA DEL VALLE ENTRE VILLA EUMELIA Y MONTE CRISTO</v>
      </c>
    </row>
    <row r="60" spans="2:5" x14ac:dyDescent="0.2">
      <c r="B60" s="247" t="str">
        <f>'[1]COMEDORES EMERGENTES'!$B$6</f>
        <v>ESFUERZO PROPIO- Bº ALTOS DE CHOYA</v>
      </c>
      <c r="C60" s="248"/>
      <c r="D60" s="119">
        <v>1</v>
      </c>
      <c r="E60" s="120" t="str">
        <f>'[1]COMEDORES EMERGENTES'!$G$6</f>
        <v>Bº MUNICIPAL 35VV. NORTE C/14</v>
      </c>
    </row>
    <row r="61" spans="2:5" x14ac:dyDescent="0.2">
      <c r="B61" s="247" t="str">
        <f>'[1]COMEDORES EMERGENTES'!$B$7</f>
        <v>ANGELITOS - LOTEO SUSSEX</v>
      </c>
      <c r="C61" s="248"/>
      <c r="D61" s="119">
        <v>1</v>
      </c>
      <c r="E61" s="120" t="str">
        <f>'[1]COMEDORES EMERGENTES'!$G$7</f>
        <v>Bº LOTEO SUSEX MZA.Nº 4 LOTE Nº3</v>
      </c>
    </row>
    <row r="62" spans="2:5" x14ac:dyDescent="0.2">
      <c r="B62" s="247" t="str">
        <f>'[1]COMEDORES EMERGENTES'!$B$8</f>
        <v>CLUB DEPORTIVO CHACARITA</v>
      </c>
      <c r="C62" s="248"/>
      <c r="D62" s="119">
        <v>1</v>
      </c>
      <c r="E62" s="120" t="str">
        <f>'[1]COMEDORES EMERGENTES'!$G$8</f>
        <v>CALLE DR.DERMIDIO GALINDEZ C/2660</v>
      </c>
    </row>
    <row r="63" spans="2:5" x14ac:dyDescent="0.2">
      <c r="B63" s="247" t="str">
        <f>'[1]COMEDORES EMERGENTES'!$B$9</f>
        <v>LA MORO</v>
      </c>
      <c r="C63" s="248"/>
      <c r="D63" s="119">
        <v>1</v>
      </c>
      <c r="E63" s="120" t="str">
        <f>'[1]COMEDORES EMERGENTES'!$G$9</f>
        <v>MAIPU NORTE 1º ETAPA MZA "H" Bº MI JARDIN</v>
      </c>
    </row>
    <row r="64" spans="2:5" x14ac:dyDescent="0.2">
      <c r="B64" s="247" t="str">
        <f>'[1]COMEDORES EMERGENTES'!$B$10</f>
        <v>PAPA FRANCISCO</v>
      </c>
      <c r="C64" s="248"/>
      <c r="D64" s="119">
        <v>1</v>
      </c>
      <c r="E64" s="120" t="str">
        <f>'[1]COMEDORES EMERGENTES'!$G$10</f>
        <v>ENTRE AV.TEREBINTO Y AV.SAN JUAN LOTE "2" MZA. "B"</v>
      </c>
    </row>
    <row r="65" spans="2:5" x14ac:dyDescent="0.2">
      <c r="B65" s="247" t="str">
        <f>'[1]COMEDORES EMERGENTES'!$B$11</f>
        <v>E.P.C - 100 V.V NORTE</v>
      </c>
      <c r="C65" s="248"/>
      <c r="D65" s="119">
        <v>1</v>
      </c>
      <c r="E65" s="120" t="str">
        <f>'[1]COMEDORES EMERGENTES'!$G$11</f>
        <v>Bº VV NORTE C/48 ENTRE ESPAÑA Y FRANCIA</v>
      </c>
    </row>
    <row r="66" spans="2:5" x14ac:dyDescent="0.2">
      <c r="B66" s="247" t="str">
        <f>'[1]COMEDORES EMERGENTES'!$B$12</f>
        <v>HOGAR DE CRISTO - PADRE RAUL CONTRERAS</v>
      </c>
      <c r="C66" s="248"/>
      <c r="D66" s="119">
        <v>1</v>
      </c>
      <c r="E66" s="120" t="str">
        <f>'[1]COMEDORES EMERGENTES'!$G$12</f>
        <v>Bº SANTA MARTA MZA. "S" LOTE "M" C/39</v>
      </c>
    </row>
    <row r="67" spans="2:5" x14ac:dyDescent="0.2">
      <c r="B67" s="247" t="str">
        <f>'[1]COMEDORES EMERGENTES'!$B$13</f>
        <v>LA LUCIERNAGA</v>
      </c>
      <c r="C67" s="248"/>
      <c r="D67" s="119">
        <v>1</v>
      </c>
      <c r="E67" s="120" t="str">
        <f>'[1]COMEDORES EMERGENTES'!$G$13</f>
        <v>Bº 20 V.V NORTE C/3</v>
      </c>
    </row>
    <row r="68" spans="2:5" x14ac:dyDescent="0.2">
      <c r="B68" s="247" t="str">
        <f>'[1]COMEDORES EMERGENTES'!$B$14</f>
        <v>VALLE VIEJO - SUMALAO</v>
      </c>
      <c r="C68" s="248"/>
      <c r="D68" s="119">
        <v>1</v>
      </c>
      <c r="E68" s="120" t="str">
        <f>'[1]COMEDORES EMERGENTES'!$G$14</f>
        <v>PADRE SEGURA S/N</v>
      </c>
    </row>
    <row r="69" spans="2:5" x14ac:dyDescent="0.2">
      <c r="B69" s="247" t="str">
        <f>'[1]COMEDORES EMERGENTES'!$B$15</f>
        <v>NUESTRO FUTURO - LAS VIAS</v>
      </c>
      <c r="C69" s="248"/>
      <c r="D69" s="119">
        <v>1</v>
      </c>
      <c r="E69" s="120" t="str">
        <f>'[1]COMEDORES EMERGENTES'!$G$15</f>
        <v>Bº LAS VIAS OESTE LOTE 42</v>
      </c>
    </row>
    <row r="70" spans="2:5" x14ac:dyDescent="0.2">
      <c r="B70" s="247" t="str">
        <f>'[1]COMEDORES EMERGENTES'!$B$16</f>
        <v>SAN JOSE OBRERO</v>
      </c>
      <c r="C70" s="248"/>
      <c r="D70" s="119">
        <v>1</v>
      </c>
      <c r="E70" s="120" t="str">
        <f>'[1]COMEDORES EMERGENTES'!$G$16</f>
        <v>Bº SAN JOSE OBRERO. PJE. SANDOVAL S/Nº</v>
      </c>
    </row>
    <row r="71" spans="2:5" x14ac:dyDescent="0.2">
      <c r="B71" s="247" t="str">
        <f>'[1]COMEDORES EMERGENTES'!$B$17</f>
        <v>VIRGEN DE LUJAN</v>
      </c>
      <c r="C71" s="248"/>
      <c r="D71" s="119">
        <v>1</v>
      </c>
      <c r="E71" s="120" t="str">
        <f>'[1]COMEDORES EMERGENTES'!$G$17</f>
        <v>Bº OJO DE AGUA C/DR.TEODULFO BARRIONUEVO S/Nº</v>
      </c>
    </row>
    <row r="72" spans="2:5" x14ac:dyDescent="0.2">
      <c r="B72" s="247" t="str">
        <f>'[1]COMEDORES EMERGENTES'!$B$18</f>
        <v>RENACER</v>
      </c>
      <c r="C72" s="248"/>
      <c r="D72" s="119">
        <v>1</v>
      </c>
      <c r="E72" s="120" t="str">
        <f>'[1]COMEDORES EMERGENTES'!$G$18</f>
        <v>Bº VIRGEN MORENITA</v>
      </c>
    </row>
    <row r="73" spans="2:5" x14ac:dyDescent="0.2">
      <c r="B73" s="247" t="str">
        <f>'[1]COMEDORES EMERGENTES'!$B$19</f>
        <v>CENTRO VECINAL MI JARDIN</v>
      </c>
      <c r="C73" s="248"/>
      <c r="D73" s="119">
        <v>1</v>
      </c>
      <c r="E73" s="120" t="str">
        <f>'[1]COMEDORES EMERGENTES'!$G$19</f>
        <v>C/ LOS TULIPANES ENTRE FLOR DE CEREZO Y HOLANDA MZA.27 Bº MI JARDIN</v>
      </c>
    </row>
    <row r="74" spans="2:5" x14ac:dyDescent="0.2">
      <c r="B74" s="247" t="str">
        <f>'[1]COMEDORES EMERGENTES'!$B$20</f>
        <v>LA VIEJA ESQUINA</v>
      </c>
      <c r="C74" s="248"/>
      <c r="D74" s="119">
        <v>1</v>
      </c>
      <c r="E74" s="120" t="str">
        <f>'[1]COMEDORES EMERGENTES'!$G$20</f>
        <v>B° CRISTO REY PJE CAPATAZ VILLAFAÑEZ Y ARMANDO CORREA</v>
      </c>
    </row>
    <row r="75" spans="2:5" x14ac:dyDescent="0.2">
      <c r="B75" s="247" t="str">
        <f>'[1]COMEDORES EMERGENTES'!$B$21</f>
        <v>GAUCHITO GIL</v>
      </c>
      <c r="C75" s="248"/>
      <c r="D75" s="119">
        <v>1</v>
      </c>
      <c r="E75" s="120" t="str">
        <f>'[1]COMEDORES EMERGENTES'!$G$21</f>
        <v>B° 26 VIVIENDAS CASA N° 3</v>
      </c>
    </row>
    <row r="76" spans="2:5" x14ac:dyDescent="0.2">
      <c r="B76" s="247" t="str">
        <f>'[1]COMEDORES EMERGENTES'!$B$22</f>
        <v>LOS TOLDOS</v>
      </c>
      <c r="C76" s="248"/>
      <c r="D76" s="119">
        <v>1</v>
      </c>
      <c r="E76" s="120" t="str">
        <f>'[1]COMEDORES EMERGENTES'!$G$22</f>
        <v>LOTEO PARQUE SUR CALLE S/NOMBRE S/N°</v>
      </c>
    </row>
    <row r="77" spans="2:5" x14ac:dyDescent="0.2">
      <c r="B77" s="43" t="s">
        <v>18</v>
      </c>
      <c r="C77" s="41"/>
      <c r="D77" s="41"/>
      <c r="E77" s="42"/>
    </row>
    <row r="78" spans="2:5" x14ac:dyDescent="0.2">
      <c r="B78" s="44"/>
      <c r="C78" s="260" t="s">
        <v>62</v>
      </c>
      <c r="D78" s="260"/>
      <c r="E78" s="260"/>
    </row>
    <row r="79" spans="2:5" x14ac:dyDescent="0.2">
      <c r="B79" s="43" t="s">
        <v>19</v>
      </c>
      <c r="C79" s="45"/>
      <c r="D79" s="45"/>
      <c r="E79" s="46"/>
    </row>
    <row r="80" spans="2:5" x14ac:dyDescent="0.2">
      <c r="B80" s="44"/>
      <c r="C80" s="260" t="s">
        <v>139</v>
      </c>
      <c r="D80" s="260"/>
      <c r="E80" s="260"/>
    </row>
    <row r="81" spans="2:5" x14ac:dyDescent="0.2">
      <c r="B81" s="43" t="s">
        <v>20</v>
      </c>
      <c r="C81" s="41"/>
      <c r="D81" s="41"/>
      <c r="E81" s="42"/>
    </row>
    <row r="82" spans="2:5" x14ac:dyDescent="0.2">
      <c r="B82" s="43"/>
      <c r="C82" s="246" t="s">
        <v>63</v>
      </c>
      <c r="D82" s="246"/>
      <c r="E82" s="246"/>
    </row>
    <row r="83" spans="2:5" ht="13.5" thickBot="1" x14ac:dyDescent="0.25">
      <c r="B83" s="47"/>
      <c r="C83" s="48"/>
      <c r="D83" s="48"/>
      <c r="E83" s="49"/>
    </row>
    <row r="84" spans="2:5" ht="13.5" thickBot="1" x14ac:dyDescent="0.25"/>
    <row r="85" spans="2:5" x14ac:dyDescent="0.2">
      <c r="B85" s="37" t="s">
        <v>64</v>
      </c>
      <c r="C85" s="38"/>
      <c r="D85" s="38"/>
      <c r="E85" s="39"/>
    </row>
    <row r="86" spans="2:5" x14ac:dyDescent="0.2">
      <c r="B86" s="40"/>
      <c r="C86" s="41"/>
      <c r="D86" s="41"/>
      <c r="E86" s="42"/>
    </row>
    <row r="87" spans="2:5" x14ac:dyDescent="0.2">
      <c r="B87" s="43" t="s">
        <v>16</v>
      </c>
      <c r="C87" s="41"/>
      <c r="D87" s="41"/>
      <c r="E87" s="42"/>
    </row>
    <row r="88" spans="2:5" ht="25.5" customHeight="1" x14ac:dyDescent="0.2">
      <c r="B88" s="43"/>
      <c r="C88" s="258" t="s">
        <v>127</v>
      </c>
      <c r="D88" s="258"/>
      <c r="E88" s="259"/>
    </row>
    <row r="89" spans="2:5" ht="13.5" thickBot="1" x14ac:dyDescent="0.25">
      <c r="B89" s="43" t="s">
        <v>17</v>
      </c>
      <c r="C89" s="41"/>
      <c r="D89" s="41"/>
      <c r="E89" s="42"/>
    </row>
    <row r="90" spans="2:5" ht="13.5" thickBot="1" x14ac:dyDescent="0.25">
      <c r="B90" s="252" t="s">
        <v>136</v>
      </c>
      <c r="C90" s="256"/>
      <c r="D90" s="256"/>
      <c r="E90" s="253"/>
    </row>
    <row r="91" spans="2:5" ht="13.5" thickBot="1" x14ac:dyDescent="0.25">
      <c r="B91" s="252" t="s">
        <v>137</v>
      </c>
      <c r="C91" s="253"/>
      <c r="D91" s="80" t="s">
        <v>11</v>
      </c>
      <c r="E91" s="80" t="s">
        <v>138</v>
      </c>
    </row>
    <row r="92" spans="2:5" x14ac:dyDescent="0.2">
      <c r="B92" s="254" t="str">
        <f>'[1]COMEDORES EMERGENTES'!$B$3</f>
        <v>UNA SONRISA AV. LOS COBACHO</v>
      </c>
      <c r="C92" s="255"/>
      <c r="D92" s="119">
        <v>1</v>
      </c>
      <c r="E92" s="120" t="str">
        <f>'[1]COMEDORES EMERGENTES'!$G$3</f>
        <v>Bº SAN CARLOS OESTE AV. Bonifacio cobacho 670</v>
      </c>
    </row>
    <row r="93" spans="2:5" x14ac:dyDescent="0.2">
      <c r="B93" s="247" t="str">
        <f>'[1]COMEDORES EMERGENTES'!$B$4</f>
        <v>C.I.F Nº1 - RIVERA DEL VALLE Y FLORIDA</v>
      </c>
      <c r="C93" s="248"/>
      <c r="D93" s="119">
        <v>1</v>
      </c>
      <c r="E93" s="120" t="str">
        <f>'[1]COMEDORES EMERGENTES'!$G$4</f>
        <v>AV. RIVIERA DEL VALLE ENTRE FLORIDA Y SANTA FE</v>
      </c>
    </row>
    <row r="94" spans="2:5" x14ac:dyDescent="0.2">
      <c r="B94" s="247" t="str">
        <f>'[1]COMEDORES EMERGENTES'!$B$5</f>
        <v>C.I.F - RIVERA DEL VALLE - DILORENZO</v>
      </c>
      <c r="C94" s="248"/>
      <c r="D94" s="119">
        <v>1</v>
      </c>
      <c r="E94" s="120" t="str">
        <f>'[1]COMEDORES EMERGENTES'!$G$5</f>
        <v>Bº RIVERA DEL VALLE ENTRE VILLA EUMELIA Y MONTE CRISTO</v>
      </c>
    </row>
    <row r="95" spans="2:5" x14ac:dyDescent="0.2">
      <c r="B95" s="247" t="str">
        <f>'[1]COMEDORES EMERGENTES'!$B$6</f>
        <v>ESFUERZO PROPIO- Bº ALTOS DE CHOYA</v>
      </c>
      <c r="C95" s="248"/>
      <c r="D95" s="119">
        <v>1</v>
      </c>
      <c r="E95" s="120" t="str">
        <f>'[1]COMEDORES EMERGENTES'!$G$6</f>
        <v>Bº MUNICIPAL 35VV. NORTE C/14</v>
      </c>
    </row>
    <row r="96" spans="2:5" x14ac:dyDescent="0.2">
      <c r="B96" s="247" t="str">
        <f>'[1]COMEDORES EMERGENTES'!$B$7</f>
        <v>ANGELITOS - LOTEO SUSSEX</v>
      </c>
      <c r="C96" s="248"/>
      <c r="D96" s="119">
        <v>1</v>
      </c>
      <c r="E96" s="120" t="str">
        <f>'[1]COMEDORES EMERGENTES'!$G$7</f>
        <v>Bº LOTEO SUSEX MZA.Nº 4 LOTE Nº3</v>
      </c>
    </row>
    <row r="97" spans="2:5" x14ac:dyDescent="0.2">
      <c r="B97" s="247" t="str">
        <f>'[1]COMEDORES EMERGENTES'!$B$8</f>
        <v>CLUB DEPORTIVO CHACARITA</v>
      </c>
      <c r="C97" s="248"/>
      <c r="D97" s="119">
        <v>1</v>
      </c>
      <c r="E97" s="120" t="str">
        <f>'[1]COMEDORES EMERGENTES'!$G$8</f>
        <v>CALLE DR.DERMIDIO GALINDEZ C/2660</v>
      </c>
    </row>
    <row r="98" spans="2:5" x14ac:dyDescent="0.2">
      <c r="B98" s="247" t="str">
        <f>'[1]COMEDORES EMERGENTES'!$B$9</f>
        <v>LA MORO</v>
      </c>
      <c r="C98" s="248"/>
      <c r="D98" s="119">
        <v>1</v>
      </c>
      <c r="E98" s="120" t="str">
        <f>'[1]COMEDORES EMERGENTES'!$G$9</f>
        <v>MAIPU NORTE 1º ETAPA MZA "H" Bº MI JARDIN</v>
      </c>
    </row>
    <row r="99" spans="2:5" x14ac:dyDescent="0.2">
      <c r="B99" s="247" t="str">
        <f>'[1]COMEDORES EMERGENTES'!$B$10</f>
        <v>PAPA FRANCISCO</v>
      </c>
      <c r="C99" s="248"/>
      <c r="D99" s="119">
        <v>1</v>
      </c>
      <c r="E99" s="120" t="str">
        <f>'[1]COMEDORES EMERGENTES'!$G$10</f>
        <v>ENTRE AV.TEREBINTO Y AV.SAN JUAN LOTE "2" MZA. "B"</v>
      </c>
    </row>
    <row r="100" spans="2:5" x14ac:dyDescent="0.2">
      <c r="B100" s="247" t="str">
        <f>'[1]COMEDORES EMERGENTES'!$B$11</f>
        <v>E.P.C - 100 V.V NORTE</v>
      </c>
      <c r="C100" s="248"/>
      <c r="D100" s="119">
        <v>1</v>
      </c>
      <c r="E100" s="120" t="str">
        <f>'[1]COMEDORES EMERGENTES'!$G$11</f>
        <v>Bº VV NORTE C/48 ENTRE ESPAÑA Y FRANCIA</v>
      </c>
    </row>
    <row r="101" spans="2:5" x14ac:dyDescent="0.2">
      <c r="B101" s="247" t="str">
        <f>'[1]COMEDORES EMERGENTES'!$B$12</f>
        <v>HOGAR DE CRISTO - PADRE RAUL CONTRERAS</v>
      </c>
      <c r="C101" s="248"/>
      <c r="D101" s="119">
        <v>1</v>
      </c>
      <c r="E101" s="120" t="str">
        <f>'[1]COMEDORES EMERGENTES'!$G$12</f>
        <v>Bº SANTA MARTA MZA. "S" LOTE "M" C/39</v>
      </c>
    </row>
    <row r="102" spans="2:5" x14ac:dyDescent="0.2">
      <c r="B102" s="247" t="str">
        <f>'[1]COMEDORES EMERGENTES'!$B$13</f>
        <v>LA LUCIERNAGA</v>
      </c>
      <c r="C102" s="248"/>
      <c r="D102" s="119">
        <v>1</v>
      </c>
      <c r="E102" s="120" t="str">
        <f>'[1]COMEDORES EMERGENTES'!$G$13</f>
        <v>Bº 20 V.V NORTE C/3</v>
      </c>
    </row>
    <row r="103" spans="2:5" x14ac:dyDescent="0.2">
      <c r="B103" s="247" t="str">
        <f>'[1]COMEDORES EMERGENTES'!$B$14</f>
        <v>VALLE VIEJO - SUMALAO</v>
      </c>
      <c r="C103" s="248"/>
      <c r="D103" s="119">
        <v>1</v>
      </c>
      <c r="E103" s="120" t="str">
        <f>'[1]COMEDORES EMERGENTES'!$G$14</f>
        <v>PADRE SEGURA S/N</v>
      </c>
    </row>
    <row r="104" spans="2:5" x14ac:dyDescent="0.2">
      <c r="B104" s="247" t="str">
        <f>'[1]COMEDORES EMERGENTES'!$B$15</f>
        <v>NUESTRO FUTURO - LAS VIAS</v>
      </c>
      <c r="C104" s="248"/>
      <c r="D104" s="119">
        <v>1</v>
      </c>
      <c r="E104" s="120" t="str">
        <f>'[1]COMEDORES EMERGENTES'!$G$15</f>
        <v>Bº LAS VIAS OESTE LOTE 42</v>
      </c>
    </row>
    <row r="105" spans="2:5" x14ac:dyDescent="0.2">
      <c r="B105" s="247" t="str">
        <f>'[1]COMEDORES EMERGENTES'!$B$16</f>
        <v>SAN JOSE OBRERO</v>
      </c>
      <c r="C105" s="248"/>
      <c r="D105" s="119">
        <v>1</v>
      </c>
      <c r="E105" s="120" t="str">
        <f>'[1]COMEDORES EMERGENTES'!$G$16</f>
        <v>Bº SAN JOSE OBRERO. PJE. SANDOVAL S/Nº</v>
      </c>
    </row>
    <row r="106" spans="2:5" x14ac:dyDescent="0.2">
      <c r="B106" s="247" t="str">
        <f>'[1]COMEDORES EMERGENTES'!$B$17</f>
        <v>VIRGEN DE LUJAN</v>
      </c>
      <c r="C106" s="248"/>
      <c r="D106" s="119">
        <v>1</v>
      </c>
      <c r="E106" s="120" t="str">
        <f>'[1]COMEDORES EMERGENTES'!$G$17</f>
        <v>Bº OJO DE AGUA C/DR.TEODULFO BARRIONUEVO S/Nº</v>
      </c>
    </row>
    <row r="107" spans="2:5" x14ac:dyDescent="0.2">
      <c r="B107" s="247" t="str">
        <f>'[1]COMEDORES EMERGENTES'!$B$18</f>
        <v>RENACER</v>
      </c>
      <c r="C107" s="248"/>
      <c r="D107" s="119">
        <v>1</v>
      </c>
      <c r="E107" s="120" t="str">
        <f>'[1]COMEDORES EMERGENTES'!$G$18</f>
        <v>Bº VIRGEN MORENITA</v>
      </c>
    </row>
    <row r="108" spans="2:5" x14ac:dyDescent="0.2">
      <c r="B108" s="247" t="str">
        <f>'[1]COMEDORES EMERGENTES'!$B$19</f>
        <v>CENTRO VECINAL MI JARDIN</v>
      </c>
      <c r="C108" s="248"/>
      <c r="D108" s="119">
        <v>1</v>
      </c>
      <c r="E108" s="120" t="str">
        <f>'[1]COMEDORES EMERGENTES'!$G$19</f>
        <v>C/ LOS TULIPANES ENTRE FLOR DE CEREZO Y HOLANDA MZA.27 Bº MI JARDIN</v>
      </c>
    </row>
    <row r="109" spans="2:5" x14ac:dyDescent="0.2">
      <c r="B109" s="247" t="str">
        <f>'[1]COMEDORES EMERGENTES'!$B$20</f>
        <v>LA VIEJA ESQUINA</v>
      </c>
      <c r="C109" s="248"/>
      <c r="D109" s="119">
        <v>1</v>
      </c>
      <c r="E109" s="120" t="str">
        <f>'[1]COMEDORES EMERGENTES'!$G$20</f>
        <v>B° CRISTO REY PJE CAPATAZ VILLAFAÑEZ Y ARMANDO CORREA</v>
      </c>
    </row>
    <row r="110" spans="2:5" x14ac:dyDescent="0.2">
      <c r="B110" s="247" t="str">
        <f>'[1]COMEDORES EMERGENTES'!$B$21</f>
        <v>GAUCHITO GIL</v>
      </c>
      <c r="C110" s="248"/>
      <c r="D110" s="119">
        <v>1</v>
      </c>
      <c r="E110" s="120" t="str">
        <f>'[1]COMEDORES EMERGENTES'!$G$21</f>
        <v>B° 26 VIVIENDAS CASA N° 3</v>
      </c>
    </row>
    <row r="111" spans="2:5" x14ac:dyDescent="0.2">
      <c r="B111" s="247" t="str">
        <f>'[1]COMEDORES EMERGENTES'!$B$22</f>
        <v>LOS TOLDOS</v>
      </c>
      <c r="C111" s="248"/>
      <c r="D111" s="119">
        <v>1</v>
      </c>
      <c r="E111" s="120" t="str">
        <f>'[1]COMEDORES EMERGENTES'!$G$22</f>
        <v>LOTEO PARQUE SUR CALLE S/NOMBRE S/N°</v>
      </c>
    </row>
    <row r="112" spans="2:5" x14ac:dyDescent="0.2">
      <c r="B112" s="43" t="s">
        <v>18</v>
      </c>
      <c r="C112" s="41"/>
      <c r="D112" s="41"/>
      <c r="E112" s="42"/>
    </row>
    <row r="113" spans="2:5" x14ac:dyDescent="0.2">
      <c r="B113" s="44"/>
      <c r="C113" s="260" t="s">
        <v>62</v>
      </c>
      <c r="D113" s="260"/>
      <c r="E113" s="260"/>
    </row>
    <row r="114" spans="2:5" x14ac:dyDescent="0.2">
      <c r="B114" s="43" t="s">
        <v>19</v>
      </c>
      <c r="C114" s="45"/>
      <c r="D114" s="45"/>
      <c r="E114" s="46"/>
    </row>
    <row r="115" spans="2:5" x14ac:dyDescent="0.2">
      <c r="B115" s="44"/>
      <c r="C115" s="260" t="s">
        <v>139</v>
      </c>
      <c r="D115" s="260"/>
      <c r="E115" s="260"/>
    </row>
    <row r="116" spans="2:5" x14ac:dyDescent="0.2">
      <c r="B116" s="43" t="s">
        <v>20</v>
      </c>
      <c r="C116" s="41"/>
      <c r="D116" s="41"/>
      <c r="E116" s="42"/>
    </row>
    <row r="117" spans="2:5" x14ac:dyDescent="0.2">
      <c r="B117" s="43"/>
      <c r="C117" s="246" t="s">
        <v>63</v>
      </c>
      <c r="D117" s="246"/>
      <c r="E117" s="246"/>
    </row>
    <row r="118" spans="2:5" ht="13.5" thickBot="1" x14ac:dyDescent="0.25">
      <c r="B118" s="47"/>
      <c r="C118" s="48"/>
      <c r="D118" s="48"/>
      <c r="E118" s="49"/>
    </row>
  </sheetData>
  <mergeCells count="85">
    <mergeCell ref="A6:B6"/>
    <mergeCell ref="B2:H2"/>
    <mergeCell ref="A4:B4"/>
    <mergeCell ref="C4:E4"/>
    <mergeCell ref="A5:B5"/>
    <mergeCell ref="C5:E5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55:E55"/>
    <mergeCell ref="B56:C56"/>
    <mergeCell ref="B57:C57"/>
    <mergeCell ref="C53:E53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90:E90"/>
    <mergeCell ref="B91:C91"/>
    <mergeCell ref="C80:E80"/>
    <mergeCell ref="C78:E78"/>
    <mergeCell ref="B76:C76"/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31" customWidth="1"/>
    <col min="2" max="2" width="15.5703125" style="31" customWidth="1"/>
    <col min="3" max="3" width="32.42578125" style="31" customWidth="1"/>
    <col min="4" max="4" width="10" style="85" customWidth="1"/>
    <col min="5" max="5" width="168.28515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1" spans="1:9" ht="27" x14ac:dyDescent="0.35">
      <c r="B1" s="249" t="s">
        <v>0</v>
      </c>
      <c r="C1" s="249"/>
      <c r="D1" s="249"/>
      <c r="E1" s="249"/>
      <c r="F1" s="249"/>
      <c r="G1" s="249"/>
      <c r="H1" s="249"/>
    </row>
    <row r="2" spans="1:9" ht="6" customHeight="1" x14ac:dyDescent="0.2"/>
    <row r="3" spans="1:9" ht="16.5" customHeight="1" x14ac:dyDescent="0.25">
      <c r="A3" s="250" t="s">
        <v>1</v>
      </c>
      <c r="B3" s="250"/>
      <c r="C3" s="251" t="s">
        <v>65</v>
      </c>
      <c r="D3" s="251"/>
      <c r="E3" s="251"/>
      <c r="F3" s="32"/>
      <c r="G3" s="33"/>
      <c r="H3" s="32"/>
    </row>
    <row r="4" spans="1:9" ht="17.25" customHeight="1" x14ac:dyDescent="0.25">
      <c r="A4" s="250" t="s">
        <v>2</v>
      </c>
      <c r="B4" s="250"/>
      <c r="C4" s="251" t="s">
        <v>61</v>
      </c>
      <c r="D4" s="251"/>
      <c r="E4" s="251"/>
      <c r="F4" s="32"/>
      <c r="G4" s="33"/>
      <c r="H4" s="32"/>
    </row>
    <row r="5" spans="1:9" ht="15" customHeight="1" x14ac:dyDescent="0.25">
      <c r="A5" s="250" t="s">
        <v>3</v>
      </c>
      <c r="B5" s="250"/>
      <c r="C5" s="50">
        <v>2020</v>
      </c>
      <c r="D5" s="81"/>
      <c r="E5" s="51"/>
      <c r="F5" s="32"/>
      <c r="G5" s="33"/>
      <c r="H5" s="32"/>
    </row>
    <row r="6" spans="1:9" ht="16.5" customHeight="1" x14ac:dyDescent="0.25">
      <c r="A6" s="250" t="s">
        <v>4</v>
      </c>
      <c r="B6" s="250"/>
      <c r="C6" s="50">
        <v>3</v>
      </c>
      <c r="D6" s="81"/>
      <c r="E6" s="51"/>
      <c r="F6" s="32"/>
      <c r="G6" s="33"/>
      <c r="H6" s="32"/>
    </row>
    <row r="7" spans="1:9" ht="7.5" customHeight="1" thickBot="1" x14ac:dyDescent="0.25">
      <c r="B7" s="32"/>
      <c r="C7" s="33"/>
      <c r="D7" s="33"/>
      <c r="E7" s="32"/>
      <c r="F7" s="32"/>
      <c r="G7" s="33"/>
      <c r="H7" s="32"/>
    </row>
    <row r="8" spans="1:9" ht="39" thickBot="1" x14ac:dyDescent="0.25">
      <c r="A8" s="53" t="s">
        <v>5</v>
      </c>
      <c r="B8" s="63" t="s">
        <v>6</v>
      </c>
      <c r="C8" s="63" t="s">
        <v>7</v>
      </c>
      <c r="D8" s="58" t="s">
        <v>8</v>
      </c>
      <c r="E8" s="63" t="s">
        <v>9</v>
      </c>
      <c r="F8" s="54" t="s">
        <v>10</v>
      </c>
      <c r="G8" s="55" t="s">
        <v>11</v>
      </c>
      <c r="H8" s="55" t="s">
        <v>12</v>
      </c>
      <c r="I8" s="56" t="s">
        <v>13</v>
      </c>
    </row>
    <row r="9" spans="1:9" ht="15.75" customHeight="1" x14ac:dyDescent="0.2">
      <c r="A9" s="86">
        <v>1</v>
      </c>
      <c r="B9" s="87" t="s">
        <v>66</v>
      </c>
      <c r="C9" s="87" t="s">
        <v>59</v>
      </c>
      <c r="D9" s="88" t="str">
        <f>LEFT(B9,5)</f>
        <v>2.1.1</v>
      </c>
      <c r="E9" s="87" t="s">
        <v>74</v>
      </c>
      <c r="F9" s="89" t="s">
        <v>115</v>
      </c>
      <c r="G9" s="90">
        <v>7164</v>
      </c>
      <c r="H9" s="91"/>
      <c r="I9" s="92"/>
    </row>
    <row r="10" spans="1:9" x14ac:dyDescent="0.2">
      <c r="A10" s="93">
        <v>2</v>
      </c>
      <c r="B10" s="94" t="s">
        <v>67</v>
      </c>
      <c r="C10" s="94" t="s">
        <v>59</v>
      </c>
      <c r="D10" s="95" t="s">
        <v>73</v>
      </c>
      <c r="E10" s="94" t="s">
        <v>75</v>
      </c>
      <c r="F10" s="96" t="s">
        <v>115</v>
      </c>
      <c r="G10" s="97">
        <v>5232</v>
      </c>
      <c r="H10" s="98"/>
      <c r="I10" s="99"/>
    </row>
    <row r="11" spans="1:9" x14ac:dyDescent="0.2">
      <c r="A11" s="93">
        <v>3</v>
      </c>
      <c r="B11" s="100" t="s">
        <v>277</v>
      </c>
      <c r="C11" s="100" t="s">
        <v>59</v>
      </c>
      <c r="D11" s="101" t="s">
        <v>73</v>
      </c>
      <c r="E11" s="100" t="s">
        <v>276</v>
      </c>
      <c r="F11" s="102" t="s">
        <v>115</v>
      </c>
      <c r="G11" s="97">
        <v>9504</v>
      </c>
      <c r="H11" s="98"/>
      <c r="I11" s="99"/>
    </row>
    <row r="12" spans="1:9" x14ac:dyDescent="0.2">
      <c r="A12" s="93">
        <v>4</v>
      </c>
      <c r="B12" s="100" t="s">
        <v>279</v>
      </c>
      <c r="C12" s="100" t="s">
        <v>59</v>
      </c>
      <c r="D12" s="103" t="str">
        <f>LEFT(B12,5)</f>
        <v>2.1.1</v>
      </c>
      <c r="E12" s="100" t="s">
        <v>278</v>
      </c>
      <c r="F12" s="102" t="s">
        <v>115</v>
      </c>
      <c r="G12" s="97">
        <v>9504</v>
      </c>
      <c r="H12" s="98"/>
      <c r="I12" s="99"/>
    </row>
    <row r="13" spans="1:9" x14ac:dyDescent="0.2">
      <c r="A13" s="93">
        <v>5</v>
      </c>
      <c r="B13" s="94" t="s">
        <v>68</v>
      </c>
      <c r="C13" s="94" t="s">
        <v>59</v>
      </c>
      <c r="D13" s="95" t="s">
        <v>73</v>
      </c>
      <c r="E13" s="94" t="s">
        <v>76</v>
      </c>
      <c r="F13" s="96" t="s">
        <v>115</v>
      </c>
      <c r="G13" s="97">
        <v>4284</v>
      </c>
      <c r="H13" s="98"/>
      <c r="I13" s="99"/>
    </row>
    <row r="14" spans="1:9" x14ac:dyDescent="0.2">
      <c r="A14" s="93">
        <v>6</v>
      </c>
      <c r="B14" s="94" t="s">
        <v>69</v>
      </c>
      <c r="C14" s="94" t="s">
        <v>59</v>
      </c>
      <c r="D14" s="95" t="s">
        <v>73</v>
      </c>
      <c r="E14" s="94" t="s">
        <v>77</v>
      </c>
      <c r="F14" s="96" t="s">
        <v>115</v>
      </c>
      <c r="G14" s="97">
        <v>12828</v>
      </c>
      <c r="H14" s="98"/>
      <c r="I14" s="99"/>
    </row>
    <row r="15" spans="1:9" x14ac:dyDescent="0.2">
      <c r="A15" s="93">
        <v>7</v>
      </c>
      <c r="B15" s="94" t="s">
        <v>70</v>
      </c>
      <c r="C15" s="94" t="s">
        <v>59</v>
      </c>
      <c r="D15" s="95" t="str">
        <f t="shared" ref="D15:D34" si="0">LEFT(B15,5)</f>
        <v>2.1.1</v>
      </c>
      <c r="E15" s="94" t="s">
        <v>78</v>
      </c>
      <c r="F15" s="96" t="s">
        <v>115</v>
      </c>
      <c r="G15" s="97">
        <v>8544</v>
      </c>
      <c r="H15" s="98"/>
      <c r="I15" s="99"/>
    </row>
    <row r="16" spans="1:9" x14ac:dyDescent="0.2">
      <c r="A16" s="93">
        <v>8</v>
      </c>
      <c r="B16" s="100" t="s">
        <v>274</v>
      </c>
      <c r="C16" s="94" t="s">
        <v>59</v>
      </c>
      <c r="D16" s="95" t="s">
        <v>73</v>
      </c>
      <c r="E16" s="94" t="s">
        <v>275</v>
      </c>
      <c r="F16" s="96" t="s">
        <v>115</v>
      </c>
      <c r="G16" s="97">
        <v>2412</v>
      </c>
      <c r="H16" s="98"/>
      <c r="I16" s="99"/>
    </row>
    <row r="17" spans="1:9" x14ac:dyDescent="0.2">
      <c r="A17" s="93">
        <v>9</v>
      </c>
      <c r="B17" s="94" t="s">
        <v>71</v>
      </c>
      <c r="C17" s="94" t="s">
        <v>59</v>
      </c>
      <c r="D17" s="95" t="str">
        <f t="shared" si="0"/>
        <v>2.1.1</v>
      </c>
      <c r="E17" s="94" t="s">
        <v>79</v>
      </c>
      <c r="F17" s="96" t="s">
        <v>116</v>
      </c>
      <c r="G17" s="97">
        <v>13296</v>
      </c>
      <c r="H17" s="98"/>
      <c r="I17" s="99"/>
    </row>
    <row r="18" spans="1:9" x14ac:dyDescent="0.2">
      <c r="A18" s="93">
        <v>10</v>
      </c>
      <c r="B18" s="94" t="s">
        <v>72</v>
      </c>
      <c r="C18" s="94" t="s">
        <v>59</v>
      </c>
      <c r="D18" s="95" t="str">
        <f t="shared" si="0"/>
        <v>2.1.1</v>
      </c>
      <c r="E18" s="94" t="s">
        <v>80</v>
      </c>
      <c r="F18" s="96" t="s">
        <v>116</v>
      </c>
      <c r="G18" s="97">
        <v>16668</v>
      </c>
      <c r="H18" s="98"/>
      <c r="I18" s="99"/>
    </row>
    <row r="19" spans="1:9" x14ac:dyDescent="0.2">
      <c r="A19" s="93">
        <v>11</v>
      </c>
      <c r="B19" s="94" t="s">
        <v>81</v>
      </c>
      <c r="C19" s="94" t="s">
        <v>59</v>
      </c>
      <c r="D19" s="95" t="str">
        <f t="shared" si="0"/>
        <v>2.1.1</v>
      </c>
      <c r="E19" s="94" t="s">
        <v>88</v>
      </c>
      <c r="F19" s="104" t="s">
        <v>116</v>
      </c>
      <c r="G19" s="105">
        <v>10464</v>
      </c>
      <c r="H19" s="98"/>
      <c r="I19" s="99"/>
    </row>
    <row r="20" spans="1:9" x14ac:dyDescent="0.2">
      <c r="A20" s="93">
        <v>12</v>
      </c>
      <c r="B20" s="94" t="s">
        <v>82</v>
      </c>
      <c r="C20" s="94" t="s">
        <v>59</v>
      </c>
      <c r="D20" s="95" t="s">
        <v>73</v>
      </c>
      <c r="E20" s="94" t="s">
        <v>89</v>
      </c>
      <c r="F20" s="96" t="s">
        <v>14</v>
      </c>
      <c r="G20" s="97">
        <v>14256</v>
      </c>
      <c r="H20" s="98"/>
      <c r="I20" s="99"/>
    </row>
    <row r="21" spans="1:9" x14ac:dyDescent="0.2">
      <c r="A21" s="93">
        <v>13</v>
      </c>
      <c r="B21" s="94" t="s">
        <v>83</v>
      </c>
      <c r="C21" s="94" t="s">
        <v>59</v>
      </c>
      <c r="D21" s="95" t="str">
        <f>LEFT(B21,5)</f>
        <v>2.1.1</v>
      </c>
      <c r="E21" s="94" t="s">
        <v>90</v>
      </c>
      <c r="F21" s="96" t="s">
        <v>14</v>
      </c>
      <c r="G21" s="97">
        <v>1440</v>
      </c>
      <c r="H21" s="98"/>
      <c r="I21" s="99"/>
    </row>
    <row r="22" spans="1:9" x14ac:dyDescent="0.2">
      <c r="A22" s="93">
        <v>14</v>
      </c>
      <c r="B22" s="106" t="s">
        <v>111</v>
      </c>
      <c r="C22" s="106" t="s">
        <v>59</v>
      </c>
      <c r="D22" s="95" t="str">
        <f t="shared" si="0"/>
        <v>2.1.1</v>
      </c>
      <c r="E22" s="106" t="s">
        <v>112</v>
      </c>
      <c r="F22" s="96" t="s">
        <v>116</v>
      </c>
      <c r="G22" s="97">
        <v>4752</v>
      </c>
      <c r="H22" s="98"/>
      <c r="I22" s="99"/>
    </row>
    <row r="23" spans="1:9" x14ac:dyDescent="0.2">
      <c r="A23" s="93">
        <v>15</v>
      </c>
      <c r="B23" s="94" t="s">
        <v>84</v>
      </c>
      <c r="C23" s="94" t="s">
        <v>59</v>
      </c>
      <c r="D23" s="95" t="s">
        <v>73</v>
      </c>
      <c r="E23" s="94" t="s">
        <v>91</v>
      </c>
      <c r="F23" s="96" t="s">
        <v>14</v>
      </c>
      <c r="G23" s="97">
        <v>2856</v>
      </c>
      <c r="H23" s="98"/>
      <c r="I23" s="99"/>
    </row>
    <row r="24" spans="1:9" x14ac:dyDescent="0.2">
      <c r="A24" s="93">
        <v>16</v>
      </c>
      <c r="B24" s="94" t="s">
        <v>85</v>
      </c>
      <c r="C24" s="94" t="s">
        <v>59</v>
      </c>
      <c r="D24" s="95" t="str">
        <f>LEFT(B24,5)</f>
        <v>2.1.1</v>
      </c>
      <c r="E24" s="94" t="s">
        <v>92</v>
      </c>
      <c r="F24" s="96" t="s">
        <v>116</v>
      </c>
      <c r="G24" s="97">
        <v>9504</v>
      </c>
      <c r="H24" s="98"/>
      <c r="I24" s="99"/>
    </row>
    <row r="25" spans="1:9" x14ac:dyDescent="0.2">
      <c r="A25" s="93">
        <v>17</v>
      </c>
      <c r="B25" s="94" t="s">
        <v>86</v>
      </c>
      <c r="C25" s="94" t="s">
        <v>59</v>
      </c>
      <c r="D25" s="95" t="str">
        <f t="shared" si="0"/>
        <v>2.1.1</v>
      </c>
      <c r="E25" s="94" t="s">
        <v>93</v>
      </c>
      <c r="F25" s="96" t="s">
        <v>116</v>
      </c>
      <c r="G25" s="97">
        <v>4752</v>
      </c>
      <c r="H25" s="98"/>
      <c r="I25" s="99"/>
    </row>
    <row r="26" spans="1:9" x14ac:dyDescent="0.2">
      <c r="A26" s="93">
        <v>18</v>
      </c>
      <c r="B26" s="94" t="s">
        <v>87</v>
      </c>
      <c r="C26" s="94" t="s">
        <v>59</v>
      </c>
      <c r="D26" s="95" t="str">
        <f t="shared" si="0"/>
        <v>2.1.1</v>
      </c>
      <c r="E26" s="94" t="s">
        <v>94</v>
      </c>
      <c r="F26" s="96" t="s">
        <v>116</v>
      </c>
      <c r="G26" s="97">
        <v>8544</v>
      </c>
      <c r="H26" s="98"/>
      <c r="I26" s="99"/>
    </row>
    <row r="27" spans="1:9" x14ac:dyDescent="0.2">
      <c r="A27" s="93">
        <v>19</v>
      </c>
      <c r="B27" s="94" t="s">
        <v>118</v>
      </c>
      <c r="C27" s="94" t="s">
        <v>59</v>
      </c>
      <c r="D27" s="95" t="str">
        <f t="shared" si="0"/>
        <v>2.1.1</v>
      </c>
      <c r="E27" s="94" t="s">
        <v>119</v>
      </c>
      <c r="F27" s="96" t="s">
        <v>116</v>
      </c>
      <c r="G27" s="97">
        <v>7164</v>
      </c>
      <c r="H27" s="98"/>
      <c r="I27" s="99"/>
    </row>
    <row r="28" spans="1:9" x14ac:dyDescent="0.2">
      <c r="A28" s="93">
        <v>20</v>
      </c>
      <c r="B28" s="94" t="s">
        <v>113</v>
      </c>
      <c r="C28" s="94" t="s">
        <v>59</v>
      </c>
      <c r="D28" s="95" t="s">
        <v>73</v>
      </c>
      <c r="E28" s="94" t="s">
        <v>114</v>
      </c>
      <c r="F28" s="96" t="s">
        <v>116</v>
      </c>
      <c r="G28" s="97">
        <v>19008</v>
      </c>
      <c r="H28" s="98"/>
      <c r="I28" s="99"/>
    </row>
    <row r="29" spans="1:9" x14ac:dyDescent="0.2">
      <c r="A29" s="93">
        <v>21</v>
      </c>
      <c r="B29" s="94" t="s">
        <v>95</v>
      </c>
      <c r="C29" s="94" t="s">
        <v>59</v>
      </c>
      <c r="D29" s="95" t="s">
        <v>73</v>
      </c>
      <c r="E29" s="94" t="s">
        <v>100</v>
      </c>
      <c r="F29" s="96" t="s">
        <v>116</v>
      </c>
      <c r="G29" s="107">
        <v>120</v>
      </c>
      <c r="H29" s="98"/>
      <c r="I29" s="99"/>
    </row>
    <row r="30" spans="1:9" x14ac:dyDescent="0.2">
      <c r="A30" s="93">
        <v>22</v>
      </c>
      <c r="B30" s="94" t="s">
        <v>96</v>
      </c>
      <c r="C30" s="94" t="s">
        <v>59</v>
      </c>
      <c r="D30" s="95" t="str">
        <f t="shared" si="0"/>
        <v>2.1.1</v>
      </c>
      <c r="E30" s="94" t="s">
        <v>101</v>
      </c>
      <c r="F30" s="96" t="s">
        <v>116</v>
      </c>
      <c r="G30" s="97">
        <v>120</v>
      </c>
      <c r="H30" s="98"/>
      <c r="I30" s="99"/>
    </row>
    <row r="31" spans="1:9" x14ac:dyDescent="0.2">
      <c r="A31" s="93">
        <v>23</v>
      </c>
      <c r="B31" s="94" t="s">
        <v>97</v>
      </c>
      <c r="C31" s="94" t="s">
        <v>59</v>
      </c>
      <c r="D31" s="95" t="s">
        <v>73</v>
      </c>
      <c r="E31" s="94" t="s">
        <v>102</v>
      </c>
      <c r="F31" s="96" t="s">
        <v>116</v>
      </c>
      <c r="G31" s="97">
        <v>120</v>
      </c>
      <c r="H31" s="98"/>
      <c r="I31" s="99"/>
    </row>
    <row r="32" spans="1:9" x14ac:dyDescent="0.2">
      <c r="A32" s="93">
        <v>24</v>
      </c>
      <c r="B32" s="94" t="s">
        <v>98</v>
      </c>
      <c r="C32" s="94" t="s">
        <v>59</v>
      </c>
      <c r="D32" s="95" t="s">
        <v>73</v>
      </c>
      <c r="E32" s="94" t="s">
        <v>103</v>
      </c>
      <c r="F32" s="96" t="s">
        <v>116</v>
      </c>
      <c r="G32" s="97">
        <v>120</v>
      </c>
      <c r="H32" s="98"/>
      <c r="I32" s="99"/>
    </row>
    <row r="33" spans="1:9" x14ac:dyDescent="0.2">
      <c r="A33" s="93">
        <v>25</v>
      </c>
      <c r="B33" s="100" t="s">
        <v>281</v>
      </c>
      <c r="C33" s="100" t="s">
        <v>59</v>
      </c>
      <c r="D33" s="103" t="str">
        <f>LEFT(B33,5)</f>
        <v>2.1.1</v>
      </c>
      <c r="E33" s="100" t="s">
        <v>280</v>
      </c>
      <c r="F33" s="102" t="s">
        <v>14</v>
      </c>
      <c r="G33" s="97">
        <v>492</v>
      </c>
      <c r="H33" s="98"/>
      <c r="I33" s="99"/>
    </row>
    <row r="34" spans="1:9" x14ac:dyDescent="0.2">
      <c r="A34" s="93">
        <v>26</v>
      </c>
      <c r="B34" s="94" t="s">
        <v>99</v>
      </c>
      <c r="C34" s="94" t="s">
        <v>59</v>
      </c>
      <c r="D34" s="95" t="str">
        <f t="shared" si="0"/>
        <v>2.1.1</v>
      </c>
      <c r="E34" s="94" t="s">
        <v>104</v>
      </c>
      <c r="F34" s="96" t="s">
        <v>116</v>
      </c>
      <c r="G34" s="97">
        <v>270</v>
      </c>
      <c r="H34" s="108"/>
      <c r="I34" s="109"/>
    </row>
    <row r="35" spans="1:9" x14ac:dyDescent="0.2">
      <c r="A35" s="93">
        <v>27</v>
      </c>
      <c r="B35" s="94" t="s">
        <v>128</v>
      </c>
      <c r="C35" s="94" t="s">
        <v>59</v>
      </c>
      <c r="D35" s="95" t="s">
        <v>73</v>
      </c>
      <c r="E35" s="94" t="s">
        <v>132</v>
      </c>
      <c r="F35" s="110" t="s">
        <v>14</v>
      </c>
      <c r="G35" s="111">
        <v>23760</v>
      </c>
      <c r="H35" s="98"/>
      <c r="I35" s="99"/>
    </row>
    <row r="36" spans="1:9" x14ac:dyDescent="0.2">
      <c r="A36" s="93">
        <v>28</v>
      </c>
      <c r="B36" s="94" t="s">
        <v>129</v>
      </c>
      <c r="C36" s="94" t="s">
        <v>59</v>
      </c>
      <c r="D36" s="95" t="s">
        <v>73</v>
      </c>
      <c r="E36" s="94" t="s">
        <v>133</v>
      </c>
      <c r="F36" s="110" t="s">
        <v>14</v>
      </c>
      <c r="G36" s="111">
        <v>23760</v>
      </c>
      <c r="H36" s="98"/>
      <c r="I36" s="99"/>
    </row>
    <row r="37" spans="1:9" x14ac:dyDescent="0.2">
      <c r="A37" s="93">
        <v>29</v>
      </c>
      <c r="B37" s="94" t="s">
        <v>130</v>
      </c>
      <c r="C37" s="94" t="s">
        <v>59</v>
      </c>
      <c r="D37" s="95" t="str">
        <f>LEFT(B37,5)</f>
        <v>2.1.1</v>
      </c>
      <c r="E37" s="94" t="s">
        <v>134</v>
      </c>
      <c r="F37" s="110" t="s">
        <v>14</v>
      </c>
      <c r="G37" s="111">
        <v>23760</v>
      </c>
      <c r="H37" s="98"/>
      <c r="I37" s="99"/>
    </row>
    <row r="38" spans="1:9" ht="13.5" thickBot="1" x14ac:dyDescent="0.25">
      <c r="A38" s="112">
        <v>30</v>
      </c>
      <c r="B38" s="113" t="s">
        <v>131</v>
      </c>
      <c r="C38" s="113" t="s">
        <v>59</v>
      </c>
      <c r="D38" s="114" t="str">
        <f>LEFT(B38,5)</f>
        <v>2.1.1</v>
      </c>
      <c r="E38" s="113" t="s">
        <v>135</v>
      </c>
      <c r="F38" s="115" t="s">
        <v>14</v>
      </c>
      <c r="G38" s="116">
        <v>23760</v>
      </c>
      <c r="H38" s="117"/>
      <c r="I38" s="118"/>
    </row>
    <row r="41" spans="1:9" x14ac:dyDescent="0.2">
      <c r="B41" s="37" t="s">
        <v>15</v>
      </c>
      <c r="C41" s="38"/>
      <c r="D41" s="82"/>
      <c r="E41" s="39"/>
    </row>
    <row r="42" spans="1:9" ht="5.25" customHeight="1" x14ac:dyDescent="0.2">
      <c r="B42" s="40"/>
      <c r="C42" s="41"/>
      <c r="D42" s="83"/>
      <c r="E42" s="42"/>
    </row>
    <row r="43" spans="1:9" x14ac:dyDescent="0.2">
      <c r="B43" s="43" t="s">
        <v>16</v>
      </c>
      <c r="C43" s="41"/>
      <c r="D43" s="83"/>
      <c r="E43" s="42"/>
    </row>
    <row r="44" spans="1:9" ht="25.5" customHeight="1" x14ac:dyDescent="0.2">
      <c r="B44" s="43"/>
      <c r="C44" s="260"/>
      <c r="D44" s="260"/>
      <c r="E44" s="260"/>
    </row>
    <row r="45" spans="1:9" ht="13.5" thickBot="1" x14ac:dyDescent="0.25">
      <c r="B45" s="43" t="s">
        <v>17</v>
      </c>
      <c r="C45" s="41"/>
      <c r="D45" s="83"/>
      <c r="E45" s="42"/>
    </row>
    <row r="46" spans="1:9" ht="13.5" thickBot="1" x14ac:dyDescent="0.25">
      <c r="B46" s="252" t="s">
        <v>136</v>
      </c>
      <c r="C46" s="256"/>
      <c r="D46" s="256"/>
      <c r="E46" s="253"/>
    </row>
    <row r="47" spans="1:9" ht="13.5" thickBot="1" x14ac:dyDescent="0.25">
      <c r="B47" s="252" t="s">
        <v>137</v>
      </c>
      <c r="C47" s="253"/>
      <c r="D47" s="80" t="s">
        <v>11</v>
      </c>
      <c r="E47" s="80" t="s">
        <v>138</v>
      </c>
    </row>
    <row r="48" spans="1:9" x14ac:dyDescent="0.2">
      <c r="B48" s="254" t="str">
        <f>'[1]COMEDORES EMERGENTES'!$B$3</f>
        <v>UNA SONRISA AV. LOS COBACHO</v>
      </c>
      <c r="C48" s="255"/>
      <c r="D48" s="124" t="s">
        <v>167</v>
      </c>
      <c r="E48" s="125" t="str">
        <f>'[1]COMEDORES EMERGENTES'!$G$3</f>
        <v>Bº SAN CARLOS OESTE AV. Bonifacio cobacho 670</v>
      </c>
    </row>
    <row r="49" spans="2:5" x14ac:dyDescent="0.2">
      <c r="B49" s="247" t="str">
        <f>'[1]COMEDORES EMERGENTES'!$B$4</f>
        <v>C.I.F Nº1 - RIVERA DEL VALLE Y FLORIDA</v>
      </c>
      <c r="C49" s="248"/>
      <c r="D49" s="119" t="s">
        <v>169</v>
      </c>
      <c r="E49" s="120" t="str">
        <f>'[1]COMEDORES EMERGENTES'!$G$4</f>
        <v>AV. RIVIERA DEL VALLE ENTRE FLORIDA Y SANTA FE</v>
      </c>
    </row>
    <row r="50" spans="2:5" x14ac:dyDescent="0.2">
      <c r="B50" s="247" t="str">
        <f>'[1]COMEDORES EMERGENTES'!$B$5</f>
        <v>C.I.F - RIVERA DEL VALLE - DILORENZO</v>
      </c>
      <c r="C50" s="248"/>
      <c r="D50" s="119" t="s">
        <v>170</v>
      </c>
      <c r="E50" s="120" t="str">
        <f>'[1]COMEDORES EMERGENTES'!$G$5</f>
        <v>Bº RIVERA DEL VALLE ENTRE VILLA EUMELIA Y MONTE CRISTO</v>
      </c>
    </row>
    <row r="51" spans="2:5" x14ac:dyDescent="0.2">
      <c r="B51" s="247" t="str">
        <f>'[1]COMEDORES EMERGENTES'!$B$6</f>
        <v>ESFUERZO PROPIO- Bº ALTOS DE CHOYA</v>
      </c>
      <c r="C51" s="248"/>
      <c r="D51" s="119" t="s">
        <v>171</v>
      </c>
      <c r="E51" s="120" t="str">
        <f>'[1]COMEDORES EMERGENTES'!$G$6</f>
        <v>Bº MUNICIPAL 35VV. NORTE C/14</v>
      </c>
    </row>
    <row r="52" spans="2:5" x14ac:dyDescent="0.2">
      <c r="B52" s="247" t="str">
        <f>'[1]COMEDORES EMERGENTES'!$B$7</f>
        <v>ANGELITOS - LOTEO SUSSEX</v>
      </c>
      <c r="C52" s="248"/>
      <c r="D52" s="119" t="s">
        <v>172</v>
      </c>
      <c r="E52" s="120" t="str">
        <f>'[1]COMEDORES EMERGENTES'!$G$7</f>
        <v>Bº LOTEO SUSEX MZA.Nº 4 LOTE Nº3</v>
      </c>
    </row>
    <row r="53" spans="2:5" x14ac:dyDescent="0.2">
      <c r="B53" s="247" t="str">
        <f>'[1]COMEDORES EMERGENTES'!$B$8</f>
        <v>CLUB DEPORTIVO CHACARITA</v>
      </c>
      <c r="C53" s="248"/>
      <c r="D53" s="119" t="s">
        <v>173</v>
      </c>
      <c r="E53" s="120" t="str">
        <f>'[1]COMEDORES EMERGENTES'!$G$8</f>
        <v>CALLE DR.DERMIDIO GALINDEZ C/2660</v>
      </c>
    </row>
    <row r="54" spans="2:5" x14ac:dyDescent="0.2">
      <c r="B54" s="247" t="str">
        <f>'[1]COMEDORES EMERGENTES'!$B$9</f>
        <v>LA MORO</v>
      </c>
      <c r="C54" s="248"/>
      <c r="D54" s="119" t="s">
        <v>168</v>
      </c>
      <c r="E54" s="120" t="str">
        <f>'[1]COMEDORES EMERGENTES'!$G$9</f>
        <v>MAIPU NORTE 1º ETAPA MZA "H" Bº MI JARDIN</v>
      </c>
    </row>
    <row r="55" spans="2:5" x14ac:dyDescent="0.2">
      <c r="B55" s="247" t="str">
        <f>'[1]COMEDORES EMERGENTES'!$B$10</f>
        <v>PAPA FRANCISCO</v>
      </c>
      <c r="C55" s="248"/>
      <c r="D55" s="119" t="s">
        <v>174</v>
      </c>
      <c r="E55" s="120" t="str">
        <f>'[1]COMEDORES EMERGENTES'!$G$10</f>
        <v>ENTRE AV.TEREBINTO Y AV.SAN JUAN LOTE "2" MZA. "B"</v>
      </c>
    </row>
    <row r="56" spans="2:5" x14ac:dyDescent="0.2">
      <c r="B56" s="247" t="str">
        <f>'[1]COMEDORES EMERGENTES'!$B$11</f>
        <v>E.P.C - 100 V.V NORTE</v>
      </c>
      <c r="C56" s="248"/>
      <c r="D56" s="119" t="s">
        <v>175</v>
      </c>
      <c r="E56" s="120" t="str">
        <f>'[1]COMEDORES EMERGENTES'!$G$11</f>
        <v>Bº VV NORTE C/48 ENTRE ESPAÑA Y FRANCIA</v>
      </c>
    </row>
    <row r="57" spans="2:5" x14ac:dyDescent="0.2">
      <c r="B57" s="247" t="str">
        <f>'[1]COMEDORES EMERGENTES'!$B$12</f>
        <v>HOGAR DE CRISTO - PADRE RAUL CONTRERAS</v>
      </c>
      <c r="C57" s="248"/>
      <c r="D57" s="119" t="s">
        <v>175</v>
      </c>
      <c r="E57" s="120" t="str">
        <f>'[1]COMEDORES EMERGENTES'!$G$12</f>
        <v>Bº SANTA MARTA MZA. "S" LOTE "M" C/39</v>
      </c>
    </row>
    <row r="58" spans="2:5" x14ac:dyDescent="0.2">
      <c r="B58" s="247" t="str">
        <f>'[1]COMEDORES EMERGENTES'!$B$13</f>
        <v>LA LUCIERNAGA</v>
      </c>
      <c r="C58" s="248"/>
      <c r="D58" s="119" t="s">
        <v>174</v>
      </c>
      <c r="E58" s="120" t="str">
        <f>'[1]COMEDORES EMERGENTES'!$G$13</f>
        <v>Bº 20 V.V NORTE C/3</v>
      </c>
    </row>
    <row r="59" spans="2:5" x14ac:dyDescent="0.2">
      <c r="B59" s="247" t="str">
        <f>'[1]COMEDORES EMERGENTES'!$B$14</f>
        <v>VALLE VIEJO - SUMALAO</v>
      </c>
      <c r="C59" s="248"/>
      <c r="D59" s="119" t="s">
        <v>176</v>
      </c>
      <c r="E59" s="120" t="str">
        <f>'[1]COMEDORES EMERGENTES'!$G$14</f>
        <v>PADRE SEGURA S/N</v>
      </c>
    </row>
    <row r="60" spans="2:5" x14ac:dyDescent="0.2">
      <c r="B60" s="247" t="str">
        <f>'[1]COMEDORES EMERGENTES'!$B$15</f>
        <v>NUESTRO FUTURO - LAS VIAS</v>
      </c>
      <c r="C60" s="248"/>
      <c r="D60" s="119" t="s">
        <v>174</v>
      </c>
      <c r="E60" s="120" t="str">
        <f>'[1]COMEDORES EMERGENTES'!$G$15</f>
        <v>Bº LAS VIAS OESTE LOTE 42</v>
      </c>
    </row>
    <row r="61" spans="2:5" x14ac:dyDescent="0.2">
      <c r="B61" s="247" t="str">
        <f>'[1]COMEDORES EMERGENTES'!$B$16</f>
        <v>SAN JOSE OBRERO</v>
      </c>
      <c r="C61" s="248"/>
      <c r="D61" s="119" t="s">
        <v>173</v>
      </c>
      <c r="E61" s="120" t="str">
        <f>'[1]COMEDORES EMERGENTES'!$G$16</f>
        <v>Bº SAN JOSE OBRERO. PJE. SANDOVAL S/Nº</v>
      </c>
    </row>
    <row r="62" spans="2:5" x14ac:dyDescent="0.2">
      <c r="B62" s="247" t="str">
        <f>'[1]COMEDORES EMERGENTES'!$B$17</f>
        <v>VIRGEN DE LUJAN</v>
      </c>
      <c r="C62" s="248"/>
      <c r="D62" s="119" t="s">
        <v>174</v>
      </c>
      <c r="E62" s="120" t="str">
        <f>'[1]COMEDORES EMERGENTES'!$G$17</f>
        <v>Bº OJO DE AGUA C/DR.TEODULFO BARRIONUEVO S/Nº</v>
      </c>
    </row>
    <row r="63" spans="2:5" x14ac:dyDescent="0.2">
      <c r="B63" s="247" t="str">
        <f>'[1]COMEDORES EMERGENTES'!$B$18</f>
        <v>RENACER</v>
      </c>
      <c r="C63" s="248"/>
      <c r="D63" s="119" t="s">
        <v>177</v>
      </c>
      <c r="E63" s="120" t="str">
        <f>'[1]COMEDORES EMERGENTES'!$G$18</f>
        <v>Bº VIRGEN MORENITA</v>
      </c>
    </row>
    <row r="64" spans="2:5" x14ac:dyDescent="0.2">
      <c r="B64" s="247" t="str">
        <f>'[1]COMEDORES EMERGENTES'!$B$19</f>
        <v>CENTRO VECINAL MI JARDIN</v>
      </c>
      <c r="C64" s="248"/>
      <c r="D64" s="119" t="s">
        <v>178</v>
      </c>
      <c r="E64" s="120" t="str">
        <f>'[1]COMEDORES EMERGENTES'!$G$19</f>
        <v>C/ LOS TULIPANES ENTRE FLOR DE CEREZO Y HOLANDA MZA.27 Bº MI JARDIN</v>
      </c>
    </row>
    <row r="65" spans="2:5" x14ac:dyDescent="0.2">
      <c r="B65" s="247" t="str">
        <f>'[1]COMEDORES EMERGENTES'!$B$20</f>
        <v>LA VIEJA ESQUINA</v>
      </c>
      <c r="C65" s="248"/>
      <c r="D65" s="119" t="s">
        <v>179</v>
      </c>
      <c r="E65" s="120" t="str">
        <f>'[1]COMEDORES EMERGENTES'!$G$20</f>
        <v>B° CRISTO REY PJE CAPATAZ VILLAFAÑEZ Y ARMANDO CORREA</v>
      </c>
    </row>
    <row r="66" spans="2:5" x14ac:dyDescent="0.2">
      <c r="B66" s="247" t="str">
        <f>'[1]COMEDORES EMERGENTES'!$B$21</f>
        <v>GAUCHITO GIL</v>
      </c>
      <c r="C66" s="248"/>
      <c r="D66" s="119" t="s">
        <v>180</v>
      </c>
      <c r="E66" s="120" t="str">
        <f>'[1]COMEDORES EMERGENTES'!$G$21</f>
        <v>B° 26 VIVIENDAS CASA N° 3</v>
      </c>
    </row>
    <row r="67" spans="2:5" ht="13.5" thickBot="1" x14ac:dyDescent="0.25">
      <c r="B67" s="261" t="str">
        <f>'[1]COMEDORES EMERGENTES'!$B$22</f>
        <v>LOS TOLDOS</v>
      </c>
      <c r="C67" s="262"/>
      <c r="D67" s="126" t="s">
        <v>200</v>
      </c>
      <c r="E67" s="127" t="str">
        <f>'[1]COMEDORES EMERGENTES'!$G$22</f>
        <v>LOTEO PARQUE SUR CALLE S/NOMBRE S/N°</v>
      </c>
    </row>
    <row r="68" spans="2:5" x14ac:dyDescent="0.2">
      <c r="B68" s="43" t="s">
        <v>18</v>
      </c>
      <c r="C68" s="41"/>
      <c r="D68" s="83"/>
      <c r="E68" s="42"/>
    </row>
    <row r="69" spans="2:5" ht="12.75" customHeight="1" x14ac:dyDescent="0.2">
      <c r="B69" s="44"/>
      <c r="C69" s="260" t="s">
        <v>62</v>
      </c>
      <c r="D69" s="260"/>
      <c r="E69" s="260"/>
    </row>
    <row r="70" spans="2:5" x14ac:dyDescent="0.2">
      <c r="B70" s="43" t="s">
        <v>19</v>
      </c>
      <c r="C70" s="45"/>
      <c r="D70" s="45"/>
      <c r="E70" s="46"/>
    </row>
    <row r="71" spans="2:5" ht="14.25" customHeight="1" x14ac:dyDescent="0.2">
      <c r="B71" s="44"/>
      <c r="C71" s="260" t="s">
        <v>139</v>
      </c>
      <c r="D71" s="260"/>
      <c r="E71" s="260"/>
    </row>
    <row r="72" spans="2:5" x14ac:dyDescent="0.2">
      <c r="B72" s="43" t="s">
        <v>20</v>
      </c>
      <c r="C72" s="41"/>
      <c r="D72" s="83"/>
      <c r="E72" s="42"/>
    </row>
    <row r="73" spans="2:5" ht="11.25" customHeight="1" x14ac:dyDescent="0.2">
      <c r="B73" s="43"/>
      <c r="C73" s="246" t="s">
        <v>63</v>
      </c>
      <c r="D73" s="246"/>
      <c r="E73" s="246"/>
    </row>
    <row r="74" spans="2:5" x14ac:dyDescent="0.2">
      <c r="B74" s="47"/>
      <c r="C74" s="48"/>
      <c r="D74" s="84"/>
      <c r="E74" s="49"/>
    </row>
    <row r="75" spans="2:5" ht="13.5" thickBot="1" x14ac:dyDescent="0.25"/>
    <row r="76" spans="2:5" x14ac:dyDescent="0.2">
      <c r="B76" s="37" t="s">
        <v>21</v>
      </c>
      <c r="C76" s="38"/>
      <c r="D76" s="82"/>
      <c r="E76" s="39"/>
    </row>
    <row r="77" spans="2:5" ht="5.25" customHeight="1" x14ac:dyDescent="0.2">
      <c r="B77" s="40"/>
      <c r="C77" s="41"/>
      <c r="D77" s="83"/>
      <c r="E77" s="42"/>
    </row>
    <row r="78" spans="2:5" x14ac:dyDescent="0.2">
      <c r="B78" s="43" t="s">
        <v>16</v>
      </c>
      <c r="C78" s="41"/>
      <c r="D78" s="83"/>
      <c r="E78" s="42"/>
    </row>
    <row r="79" spans="2:5" ht="25.5" customHeight="1" x14ac:dyDescent="0.2">
      <c r="B79" s="43"/>
      <c r="C79" s="260"/>
      <c r="D79" s="260"/>
      <c r="E79" s="260"/>
    </row>
    <row r="80" spans="2:5" ht="13.5" thickBot="1" x14ac:dyDescent="0.25">
      <c r="B80" s="43" t="s">
        <v>17</v>
      </c>
      <c r="C80" s="41"/>
      <c r="D80" s="83"/>
      <c r="E80" s="42"/>
    </row>
    <row r="81" spans="2:5" ht="13.5" thickBot="1" x14ac:dyDescent="0.25">
      <c r="B81" s="252" t="s">
        <v>136</v>
      </c>
      <c r="C81" s="256"/>
      <c r="D81" s="256"/>
      <c r="E81" s="253"/>
    </row>
    <row r="82" spans="2:5" ht="13.5" thickBot="1" x14ac:dyDescent="0.25">
      <c r="B82" s="252" t="s">
        <v>137</v>
      </c>
      <c r="C82" s="253"/>
      <c r="D82" s="80" t="s">
        <v>11</v>
      </c>
      <c r="E82" s="80" t="s">
        <v>138</v>
      </c>
    </row>
    <row r="83" spans="2:5" x14ac:dyDescent="0.2">
      <c r="B83" s="254" t="str">
        <f>'[1]COMEDORES EMERGENTES'!$B$3</f>
        <v>UNA SONRISA AV. LOS COBACHO</v>
      </c>
      <c r="C83" s="255"/>
      <c r="D83" s="124" t="s">
        <v>168</v>
      </c>
      <c r="E83" s="125" t="str">
        <f>'[1]COMEDORES EMERGENTES'!$G$3</f>
        <v>Bº SAN CARLOS OESTE AV. Bonifacio cobacho 670</v>
      </c>
    </row>
    <row r="84" spans="2:5" x14ac:dyDescent="0.2">
      <c r="B84" s="247" t="str">
        <f>'[1]COMEDORES EMERGENTES'!$B$4</f>
        <v>C.I.F Nº1 - RIVERA DEL VALLE Y FLORIDA</v>
      </c>
      <c r="C84" s="248"/>
      <c r="D84" s="119" t="s">
        <v>180</v>
      </c>
      <c r="E84" s="120" t="str">
        <f>'[1]COMEDORES EMERGENTES'!$G$4</f>
        <v>AV. RIVIERA DEL VALLE ENTRE FLORIDA Y SANTA FE</v>
      </c>
    </row>
    <row r="85" spans="2:5" x14ac:dyDescent="0.2">
      <c r="B85" s="247" t="str">
        <f>'[1]COMEDORES EMERGENTES'!$B$5</f>
        <v>C.I.F - RIVERA DEL VALLE - DILORENZO</v>
      </c>
      <c r="C85" s="248"/>
      <c r="D85" s="119" t="s">
        <v>174</v>
      </c>
      <c r="E85" s="120" t="str">
        <f>'[1]COMEDORES EMERGENTES'!$G$5</f>
        <v>Bº RIVERA DEL VALLE ENTRE VILLA EUMELIA Y MONTE CRISTO</v>
      </c>
    </row>
    <row r="86" spans="2:5" x14ac:dyDescent="0.2">
      <c r="B86" s="247" t="str">
        <f>'[1]COMEDORES EMERGENTES'!$B$6</f>
        <v>ESFUERZO PROPIO- Bº ALTOS DE CHOYA</v>
      </c>
      <c r="C86" s="248"/>
      <c r="D86" s="119" t="s">
        <v>167</v>
      </c>
      <c r="E86" s="120" t="str">
        <f>'[1]COMEDORES EMERGENTES'!$G$6</f>
        <v>Bº MUNICIPAL 35VV. NORTE C/14</v>
      </c>
    </row>
    <row r="87" spans="2:5" x14ac:dyDescent="0.2">
      <c r="B87" s="247" t="str">
        <f>'[1]COMEDORES EMERGENTES'!$B$7</f>
        <v>ANGELITOS - LOTEO SUSSEX</v>
      </c>
      <c r="C87" s="248"/>
      <c r="D87" s="119" t="s">
        <v>181</v>
      </c>
      <c r="E87" s="120" t="str">
        <f>'[1]COMEDORES EMERGENTES'!$G$7</f>
        <v>Bº LOTEO SUSEX MZA.Nº 4 LOTE Nº3</v>
      </c>
    </row>
    <row r="88" spans="2:5" x14ac:dyDescent="0.2">
      <c r="B88" s="247" t="str">
        <f>'[1]COMEDORES EMERGENTES'!$B$8</f>
        <v>CLUB DEPORTIVO CHACARITA</v>
      </c>
      <c r="C88" s="248"/>
      <c r="D88" s="119" t="s">
        <v>182</v>
      </c>
      <c r="E88" s="120" t="str">
        <f>'[1]COMEDORES EMERGENTES'!$G$8</f>
        <v>CALLE DR.DERMIDIO GALINDEZ C/2660</v>
      </c>
    </row>
    <row r="89" spans="2:5" x14ac:dyDescent="0.2">
      <c r="B89" s="247" t="str">
        <f>'[1]COMEDORES EMERGENTES'!$B$9</f>
        <v>LA MORO</v>
      </c>
      <c r="C89" s="248"/>
      <c r="D89" s="119" t="s">
        <v>183</v>
      </c>
      <c r="E89" s="120" t="str">
        <f>'[1]COMEDORES EMERGENTES'!$G$9</f>
        <v>MAIPU NORTE 1º ETAPA MZA "H" Bº MI JARDIN</v>
      </c>
    </row>
    <row r="90" spans="2:5" x14ac:dyDescent="0.2">
      <c r="B90" s="247" t="str">
        <f>'[1]COMEDORES EMERGENTES'!$B$10</f>
        <v>PAPA FRANCISCO</v>
      </c>
      <c r="C90" s="248"/>
      <c r="D90" s="119" t="s">
        <v>184</v>
      </c>
      <c r="E90" s="120" t="str">
        <f>'[1]COMEDORES EMERGENTES'!$G$10</f>
        <v>ENTRE AV.TEREBINTO Y AV.SAN JUAN LOTE "2" MZA. "B"</v>
      </c>
    </row>
    <row r="91" spans="2:5" x14ac:dyDescent="0.2">
      <c r="B91" s="247" t="str">
        <f>'[1]COMEDORES EMERGENTES'!$B$11</f>
        <v>E.P.C - 100 V.V NORTE</v>
      </c>
      <c r="C91" s="248"/>
      <c r="D91" s="119" t="s">
        <v>171</v>
      </c>
      <c r="E91" s="120" t="str">
        <f>'[1]COMEDORES EMERGENTES'!$G$11</f>
        <v>Bº VV NORTE C/48 ENTRE ESPAÑA Y FRANCIA</v>
      </c>
    </row>
    <row r="92" spans="2:5" x14ac:dyDescent="0.2">
      <c r="B92" s="247" t="str">
        <f>'[1]COMEDORES EMERGENTES'!$B$12</f>
        <v>HOGAR DE CRISTO - PADRE RAUL CONTRERAS</v>
      </c>
      <c r="C92" s="248"/>
      <c r="D92" s="119" t="s">
        <v>171</v>
      </c>
      <c r="E92" s="120" t="str">
        <f>'[1]COMEDORES EMERGENTES'!$G$12</f>
        <v>Bº SANTA MARTA MZA. "S" LOTE "M" C/39</v>
      </c>
    </row>
    <row r="93" spans="2:5" x14ac:dyDescent="0.2">
      <c r="B93" s="247" t="str">
        <f>'[1]COMEDORES EMERGENTES'!$B$13</f>
        <v>LA LUCIERNAGA</v>
      </c>
      <c r="C93" s="248"/>
      <c r="D93" s="119" t="s">
        <v>184</v>
      </c>
      <c r="E93" s="120" t="str">
        <f>'[1]COMEDORES EMERGENTES'!$G$13</f>
        <v>Bº 20 V.V NORTE C/3</v>
      </c>
    </row>
    <row r="94" spans="2:5" x14ac:dyDescent="0.2">
      <c r="B94" s="247" t="str">
        <f>'[1]COMEDORES EMERGENTES'!$B$14</f>
        <v>VALLE VIEJO - SUMALAO</v>
      </c>
      <c r="C94" s="248"/>
      <c r="D94" s="119" t="s">
        <v>185</v>
      </c>
      <c r="E94" s="120" t="str">
        <f>'[1]COMEDORES EMERGENTES'!$G$14</f>
        <v>PADRE SEGURA S/N</v>
      </c>
    </row>
    <row r="95" spans="2:5" x14ac:dyDescent="0.2">
      <c r="B95" s="247" t="str">
        <f>'[1]COMEDORES EMERGENTES'!$B$15</f>
        <v>NUESTRO FUTURO - LAS VIAS</v>
      </c>
      <c r="C95" s="248"/>
      <c r="D95" s="119" t="s">
        <v>184</v>
      </c>
      <c r="E95" s="120" t="str">
        <f>'[1]COMEDORES EMERGENTES'!$G$15</f>
        <v>Bº LAS VIAS OESTE LOTE 42</v>
      </c>
    </row>
    <row r="96" spans="2:5" x14ac:dyDescent="0.2">
      <c r="B96" s="247" t="str">
        <f>'[1]COMEDORES EMERGENTES'!$B$16</f>
        <v>SAN JOSE OBRERO</v>
      </c>
      <c r="C96" s="248"/>
      <c r="D96" s="119" t="s">
        <v>182</v>
      </c>
      <c r="E96" s="120" t="str">
        <f>'[1]COMEDORES EMERGENTES'!$G$16</f>
        <v>Bº SAN JOSE OBRERO. PJE. SANDOVAL S/Nº</v>
      </c>
    </row>
    <row r="97" spans="2:5" x14ac:dyDescent="0.2">
      <c r="B97" s="247" t="str">
        <f>'[1]COMEDORES EMERGENTES'!$B$17</f>
        <v>VIRGEN DE LUJAN</v>
      </c>
      <c r="C97" s="248"/>
      <c r="D97" s="119" t="s">
        <v>184</v>
      </c>
      <c r="E97" s="120" t="str">
        <f>'[1]COMEDORES EMERGENTES'!$G$17</f>
        <v>Bº OJO DE AGUA C/DR.TEODULFO BARRIONUEVO S/Nº</v>
      </c>
    </row>
    <row r="98" spans="2:5" x14ac:dyDescent="0.2">
      <c r="B98" s="247" t="str">
        <f>'[1]COMEDORES EMERGENTES'!$B$18</f>
        <v>RENACER</v>
      </c>
      <c r="C98" s="248"/>
      <c r="D98" s="119" t="s">
        <v>186</v>
      </c>
      <c r="E98" s="120" t="str">
        <f>'[1]COMEDORES EMERGENTES'!$G$18</f>
        <v>Bº VIRGEN MORENITA</v>
      </c>
    </row>
    <row r="99" spans="2:5" x14ac:dyDescent="0.2">
      <c r="B99" s="247" t="str">
        <f>'[1]COMEDORES EMERGENTES'!$B$19</f>
        <v>CENTRO VECINAL MI JARDIN</v>
      </c>
      <c r="C99" s="248"/>
      <c r="D99" s="119" t="s">
        <v>173</v>
      </c>
      <c r="E99" s="120" t="str">
        <f>'[1]COMEDORES EMERGENTES'!$G$19</f>
        <v>C/ LOS TULIPANES ENTRE FLOR DE CEREZO Y HOLANDA MZA.27 Bº MI JARDIN</v>
      </c>
    </row>
    <row r="100" spans="2:5" x14ac:dyDescent="0.2">
      <c r="B100" s="247" t="str">
        <f>'[1]COMEDORES EMERGENTES'!$B$20</f>
        <v>LA VIEJA ESQUINA</v>
      </c>
      <c r="C100" s="248"/>
      <c r="D100" s="119" t="s">
        <v>187</v>
      </c>
      <c r="E100" s="120" t="str">
        <f>'[1]COMEDORES EMERGENTES'!$G$20</f>
        <v>B° CRISTO REY PJE CAPATAZ VILLAFAÑEZ Y ARMANDO CORREA</v>
      </c>
    </row>
    <row r="101" spans="2:5" x14ac:dyDescent="0.2">
      <c r="B101" s="247" t="str">
        <f>'[1]COMEDORES EMERGENTES'!$B$21</f>
        <v>GAUCHITO GIL</v>
      </c>
      <c r="C101" s="248"/>
      <c r="D101" s="119" t="s">
        <v>168</v>
      </c>
      <c r="E101" s="120" t="str">
        <f>'[1]COMEDORES EMERGENTES'!$G$21</f>
        <v>B° 26 VIVIENDAS CASA N° 3</v>
      </c>
    </row>
    <row r="102" spans="2:5" ht="13.5" thickBot="1" x14ac:dyDescent="0.25">
      <c r="B102" s="261" t="str">
        <f>'[1]COMEDORES EMERGENTES'!$B$22</f>
        <v>LOS TOLDOS</v>
      </c>
      <c r="C102" s="262"/>
      <c r="D102" s="126" t="s">
        <v>199</v>
      </c>
      <c r="E102" s="127" t="str">
        <f>'[1]COMEDORES EMERGENTES'!$G$22</f>
        <v>LOTEO PARQUE SUR CALLE S/NOMBRE S/N°</v>
      </c>
    </row>
    <row r="103" spans="2:5" x14ac:dyDescent="0.2">
      <c r="B103" s="43" t="s">
        <v>18</v>
      </c>
      <c r="C103" s="41"/>
      <c r="D103" s="83"/>
      <c r="E103" s="42"/>
    </row>
    <row r="104" spans="2:5" ht="12.75" customHeight="1" x14ac:dyDescent="0.2">
      <c r="B104" s="44"/>
      <c r="C104" s="260" t="s">
        <v>62</v>
      </c>
      <c r="D104" s="260"/>
      <c r="E104" s="260"/>
    </row>
    <row r="105" spans="2:5" x14ac:dyDescent="0.2">
      <c r="B105" s="43" t="s">
        <v>19</v>
      </c>
      <c r="C105" s="45"/>
      <c r="D105" s="45"/>
      <c r="E105" s="46"/>
    </row>
    <row r="106" spans="2:5" ht="14.25" customHeight="1" x14ac:dyDescent="0.2">
      <c r="B106" s="44"/>
      <c r="C106" s="260" t="s">
        <v>139</v>
      </c>
      <c r="D106" s="260"/>
      <c r="E106" s="260"/>
    </row>
    <row r="107" spans="2:5" x14ac:dyDescent="0.2">
      <c r="B107" s="43" t="s">
        <v>20</v>
      </c>
      <c r="C107" s="41"/>
      <c r="D107" s="83"/>
      <c r="E107" s="42"/>
    </row>
    <row r="108" spans="2:5" ht="11.25" customHeight="1" x14ac:dyDescent="0.2">
      <c r="B108" s="43"/>
      <c r="C108" s="246" t="s">
        <v>63</v>
      </c>
      <c r="D108" s="246"/>
      <c r="E108" s="246"/>
    </row>
    <row r="109" spans="2:5" ht="13.5" thickBot="1" x14ac:dyDescent="0.25">
      <c r="B109" s="47"/>
      <c r="C109" s="48"/>
      <c r="D109" s="84"/>
      <c r="E109" s="49"/>
    </row>
    <row r="110" spans="2:5" ht="13.5" thickBot="1" x14ac:dyDescent="0.25"/>
    <row r="111" spans="2:5" x14ac:dyDescent="0.2">
      <c r="B111" s="37" t="s">
        <v>64</v>
      </c>
      <c r="C111" s="38"/>
      <c r="D111" s="82"/>
      <c r="E111" s="39"/>
    </row>
    <row r="112" spans="2:5" ht="5.25" customHeight="1" x14ac:dyDescent="0.2">
      <c r="B112" s="40"/>
      <c r="C112" s="41"/>
      <c r="D112" s="83"/>
      <c r="E112" s="42"/>
    </row>
    <row r="113" spans="2:5" x14ac:dyDescent="0.2">
      <c r="B113" s="43" t="s">
        <v>16</v>
      </c>
      <c r="C113" s="41"/>
      <c r="D113" s="83"/>
      <c r="E113" s="42"/>
    </row>
    <row r="114" spans="2:5" ht="25.5" customHeight="1" x14ac:dyDescent="0.2">
      <c r="B114" s="43"/>
      <c r="C114" s="258"/>
      <c r="D114" s="258"/>
      <c r="E114" s="259"/>
    </row>
    <row r="115" spans="2:5" ht="13.5" thickBot="1" x14ac:dyDescent="0.25">
      <c r="B115" s="43" t="s">
        <v>17</v>
      </c>
      <c r="C115" s="41"/>
      <c r="D115" s="83"/>
      <c r="E115" s="42"/>
    </row>
    <row r="116" spans="2:5" ht="13.5" thickBot="1" x14ac:dyDescent="0.25">
      <c r="B116" s="252" t="s">
        <v>136</v>
      </c>
      <c r="C116" s="256"/>
      <c r="D116" s="256"/>
      <c r="E116" s="253"/>
    </row>
    <row r="117" spans="2:5" ht="13.5" thickBot="1" x14ac:dyDescent="0.25">
      <c r="B117" s="252" t="s">
        <v>137</v>
      </c>
      <c r="C117" s="253"/>
      <c r="D117" s="80" t="s">
        <v>11</v>
      </c>
      <c r="E117" s="80" t="s">
        <v>138</v>
      </c>
    </row>
    <row r="118" spans="2:5" x14ac:dyDescent="0.2">
      <c r="B118" s="254" t="str">
        <f>'[1]COMEDORES EMERGENTES'!$B$3</f>
        <v>UNA SONRISA AV. LOS COBACHO</v>
      </c>
      <c r="C118" s="255"/>
      <c r="D118" s="124" t="s">
        <v>188</v>
      </c>
      <c r="E118" s="125" t="str">
        <f>'[1]COMEDORES EMERGENTES'!$G$3</f>
        <v>Bº SAN CARLOS OESTE AV. Bonifacio cobacho 670</v>
      </c>
    </row>
    <row r="119" spans="2:5" x14ac:dyDescent="0.2">
      <c r="B119" s="247" t="str">
        <f>'[1]COMEDORES EMERGENTES'!$B$4</f>
        <v>C.I.F Nº1 - RIVERA DEL VALLE Y FLORIDA</v>
      </c>
      <c r="C119" s="248"/>
      <c r="D119" s="119" t="s">
        <v>189</v>
      </c>
      <c r="E119" s="120" t="str">
        <f>'[1]COMEDORES EMERGENTES'!$G$4</f>
        <v>AV. RIVIERA DEL VALLE ENTRE FLORIDA Y SANTA FE</v>
      </c>
    </row>
    <row r="120" spans="2:5" x14ac:dyDescent="0.2">
      <c r="B120" s="247" t="str">
        <f>'[1]COMEDORES EMERGENTES'!$B$5</f>
        <v>C.I.F - RIVERA DEL VALLE - DILORENZO</v>
      </c>
      <c r="C120" s="248"/>
      <c r="D120" s="119" t="s">
        <v>190</v>
      </c>
      <c r="E120" s="120" t="str">
        <f>'[1]COMEDORES EMERGENTES'!$G$5</f>
        <v>Bº RIVERA DEL VALLE ENTRE VILLA EUMELIA Y MONTE CRISTO</v>
      </c>
    </row>
    <row r="121" spans="2:5" x14ac:dyDescent="0.2">
      <c r="B121" s="247" t="str">
        <f>'[1]COMEDORES EMERGENTES'!$B$6</f>
        <v>ESFUERZO PROPIO- Bº ALTOS DE CHOYA</v>
      </c>
      <c r="C121" s="248"/>
      <c r="D121" s="119" t="s">
        <v>191</v>
      </c>
      <c r="E121" s="120" t="str">
        <f>'[1]COMEDORES EMERGENTES'!$G$6</f>
        <v>Bº MUNICIPAL 35VV. NORTE C/14</v>
      </c>
    </row>
    <row r="122" spans="2:5" x14ac:dyDescent="0.2">
      <c r="B122" s="247" t="str">
        <f>'[1]COMEDORES EMERGENTES'!$B$7</f>
        <v>ANGELITOS - LOTEO SUSSEX</v>
      </c>
      <c r="C122" s="248"/>
      <c r="D122" s="119" t="s">
        <v>173</v>
      </c>
      <c r="E122" s="120" t="str">
        <f>'[1]COMEDORES EMERGENTES'!$G$7</f>
        <v>Bº LOTEO SUSEX MZA.Nº 4 LOTE Nº3</v>
      </c>
    </row>
    <row r="123" spans="2:5" x14ac:dyDescent="0.2">
      <c r="B123" s="247" t="str">
        <f>'[1]COMEDORES EMERGENTES'!$B$8</f>
        <v>CLUB DEPORTIVO CHACARITA</v>
      </c>
      <c r="C123" s="248"/>
      <c r="D123" s="119" t="s">
        <v>179</v>
      </c>
      <c r="E123" s="120" t="str">
        <f>'[1]COMEDORES EMERGENTES'!$G$8</f>
        <v>CALLE DR.DERMIDIO GALINDEZ C/2660</v>
      </c>
    </row>
    <row r="124" spans="2:5" x14ac:dyDescent="0.2">
      <c r="B124" s="247" t="str">
        <f>'[1]COMEDORES EMERGENTES'!$B$9</f>
        <v>LA MORO</v>
      </c>
      <c r="C124" s="248"/>
      <c r="D124" s="119" t="s">
        <v>167</v>
      </c>
      <c r="E124" s="120" t="str">
        <f>'[1]COMEDORES EMERGENTES'!$G$9</f>
        <v>MAIPU NORTE 1º ETAPA MZA "H" Bº MI JARDIN</v>
      </c>
    </row>
    <row r="125" spans="2:5" x14ac:dyDescent="0.2">
      <c r="B125" s="247" t="str">
        <f>'[1]COMEDORES EMERGENTES'!$B$10</f>
        <v>PAPA FRANCISCO</v>
      </c>
      <c r="C125" s="248"/>
      <c r="D125" s="119" t="s">
        <v>192</v>
      </c>
      <c r="E125" s="120" t="str">
        <f>'[1]COMEDORES EMERGENTES'!$G$10</f>
        <v>ENTRE AV.TEREBINTO Y AV.SAN JUAN LOTE "2" MZA. "B"</v>
      </c>
    </row>
    <row r="126" spans="2:5" x14ac:dyDescent="0.2">
      <c r="B126" s="247" t="str">
        <f>'[1]COMEDORES EMERGENTES'!$B$11</f>
        <v>E.P.C - 100 V.V NORTE</v>
      </c>
      <c r="C126" s="248"/>
      <c r="D126" s="119" t="s">
        <v>193</v>
      </c>
      <c r="E126" s="120" t="str">
        <f>'[1]COMEDORES EMERGENTES'!$G$11</f>
        <v>Bº VV NORTE C/48 ENTRE ESPAÑA Y FRANCIA</v>
      </c>
    </row>
    <row r="127" spans="2:5" x14ac:dyDescent="0.2">
      <c r="B127" s="247" t="str">
        <f>'[1]COMEDORES EMERGENTES'!$B$12</f>
        <v>HOGAR DE CRISTO - PADRE RAUL CONTRERAS</v>
      </c>
      <c r="C127" s="248"/>
      <c r="D127" s="119" t="s">
        <v>193</v>
      </c>
      <c r="E127" s="120" t="str">
        <f>'[1]COMEDORES EMERGENTES'!$G$12</f>
        <v>Bº SANTA MARTA MZA. "S" LOTE "M" C/39</v>
      </c>
    </row>
    <row r="128" spans="2:5" x14ac:dyDescent="0.2">
      <c r="B128" s="247" t="str">
        <f>'[1]COMEDORES EMERGENTES'!$B$13</f>
        <v>LA LUCIERNAGA</v>
      </c>
      <c r="C128" s="248"/>
      <c r="D128" s="119" t="s">
        <v>192</v>
      </c>
      <c r="E128" s="120" t="str">
        <f>'[1]COMEDORES EMERGENTES'!$G$13</f>
        <v>Bº 20 V.V NORTE C/3</v>
      </c>
    </row>
    <row r="129" spans="2:5" x14ac:dyDescent="0.2">
      <c r="B129" s="247" t="str">
        <f>'[1]COMEDORES EMERGENTES'!$B$14</f>
        <v>VALLE VIEJO - SUMALAO</v>
      </c>
      <c r="C129" s="248"/>
      <c r="D129" s="119" t="s">
        <v>194</v>
      </c>
      <c r="E129" s="120" t="str">
        <f>'[1]COMEDORES EMERGENTES'!$G$14</f>
        <v>PADRE SEGURA S/N</v>
      </c>
    </row>
    <row r="130" spans="2:5" x14ac:dyDescent="0.2">
      <c r="B130" s="247" t="str">
        <f>'[1]COMEDORES EMERGENTES'!$B$15</f>
        <v>NUESTRO FUTURO - LAS VIAS</v>
      </c>
      <c r="C130" s="248"/>
      <c r="D130" s="119" t="s">
        <v>192</v>
      </c>
      <c r="E130" s="120" t="str">
        <f>'[1]COMEDORES EMERGENTES'!$G$15</f>
        <v>Bº LAS VIAS OESTE LOTE 42</v>
      </c>
    </row>
    <row r="131" spans="2:5" x14ac:dyDescent="0.2">
      <c r="B131" s="247" t="str">
        <f>'[1]COMEDORES EMERGENTES'!$B$16</f>
        <v>SAN JOSE OBRERO</v>
      </c>
      <c r="C131" s="248"/>
      <c r="D131" s="119" t="s">
        <v>179</v>
      </c>
      <c r="E131" s="120" t="str">
        <f>'[1]COMEDORES EMERGENTES'!$G$16</f>
        <v>Bº SAN JOSE OBRERO. PJE. SANDOVAL S/Nº</v>
      </c>
    </row>
    <row r="132" spans="2:5" x14ac:dyDescent="0.2">
      <c r="B132" s="247" t="str">
        <f>'[1]COMEDORES EMERGENTES'!$B$17</f>
        <v>VIRGEN DE LUJAN</v>
      </c>
      <c r="C132" s="248"/>
      <c r="D132" s="119" t="s">
        <v>192</v>
      </c>
      <c r="E132" s="120" t="str">
        <f>'[1]COMEDORES EMERGENTES'!$G$17</f>
        <v>Bº OJO DE AGUA C/DR.TEODULFO BARRIONUEVO S/Nº</v>
      </c>
    </row>
    <row r="133" spans="2:5" x14ac:dyDescent="0.2">
      <c r="B133" s="247" t="str">
        <f>'[1]COMEDORES EMERGENTES'!$B$18</f>
        <v>RENACER</v>
      </c>
      <c r="C133" s="248"/>
      <c r="D133" s="119" t="s">
        <v>195</v>
      </c>
      <c r="E133" s="120" t="str">
        <f>'[1]COMEDORES EMERGENTES'!$G$18</f>
        <v>Bº VIRGEN MORENITA</v>
      </c>
    </row>
    <row r="134" spans="2:5" x14ac:dyDescent="0.2">
      <c r="B134" s="247" t="str">
        <f>'[1]COMEDORES EMERGENTES'!$B$19</f>
        <v>CENTRO VECINAL MI JARDIN</v>
      </c>
      <c r="C134" s="248"/>
      <c r="D134" s="119" t="s">
        <v>196</v>
      </c>
      <c r="E134" s="120" t="str">
        <f>'[1]COMEDORES EMERGENTES'!$G$19</f>
        <v>C/ LOS TULIPANES ENTRE FLOR DE CEREZO Y HOLANDA MZA.27 Bº MI JARDIN</v>
      </c>
    </row>
    <row r="135" spans="2:5" x14ac:dyDescent="0.2">
      <c r="B135" s="247" t="str">
        <f>'[1]COMEDORES EMERGENTES'!$B$20</f>
        <v>LA VIEJA ESQUINA</v>
      </c>
      <c r="C135" s="248"/>
      <c r="D135" s="119" t="s">
        <v>197</v>
      </c>
      <c r="E135" s="120" t="str">
        <f>'[1]COMEDORES EMERGENTES'!$G$20</f>
        <v>B° CRISTO REY PJE CAPATAZ VILLAFAÑEZ Y ARMANDO CORREA</v>
      </c>
    </row>
    <row r="136" spans="2:5" x14ac:dyDescent="0.2">
      <c r="B136" s="247" t="str">
        <f>'[1]COMEDORES EMERGENTES'!$B$21</f>
        <v>GAUCHITO GIL</v>
      </c>
      <c r="C136" s="248"/>
      <c r="D136" s="119" t="s">
        <v>197</v>
      </c>
      <c r="E136" s="120" t="str">
        <f>'[1]COMEDORES EMERGENTES'!$G$21</f>
        <v>B° 26 VIVIENDAS CASA N° 3</v>
      </c>
    </row>
    <row r="137" spans="2:5" ht="13.5" thickBot="1" x14ac:dyDescent="0.25">
      <c r="B137" s="261" t="str">
        <f>'[1]COMEDORES EMERGENTES'!$B$22</f>
        <v>LOS TOLDOS</v>
      </c>
      <c r="C137" s="262"/>
      <c r="D137" s="126" t="s">
        <v>202</v>
      </c>
      <c r="E137" s="127" t="str">
        <f>'[1]COMEDORES EMERGENTES'!$G$22</f>
        <v>LOTEO PARQUE SUR CALLE S/NOMBRE S/N°</v>
      </c>
    </row>
    <row r="138" spans="2:5" x14ac:dyDescent="0.2">
      <c r="B138" s="43" t="s">
        <v>18</v>
      </c>
      <c r="C138" s="41"/>
      <c r="D138" s="83"/>
      <c r="E138" s="42"/>
    </row>
    <row r="139" spans="2:5" ht="12.75" customHeight="1" x14ac:dyDescent="0.2">
      <c r="B139" s="44"/>
      <c r="C139" s="260" t="s">
        <v>62</v>
      </c>
      <c r="D139" s="260"/>
      <c r="E139" s="260"/>
    </row>
    <row r="140" spans="2:5" x14ac:dyDescent="0.2">
      <c r="B140" s="43" t="s">
        <v>19</v>
      </c>
      <c r="C140" s="45"/>
      <c r="D140" s="45"/>
      <c r="E140" s="46"/>
    </row>
    <row r="141" spans="2:5" ht="14.25" customHeight="1" x14ac:dyDescent="0.2">
      <c r="B141" s="44"/>
      <c r="C141" s="260" t="s">
        <v>139</v>
      </c>
      <c r="D141" s="260"/>
      <c r="E141" s="260"/>
    </row>
    <row r="142" spans="2:5" x14ac:dyDescent="0.2">
      <c r="B142" s="43" t="s">
        <v>20</v>
      </c>
      <c r="C142" s="41"/>
      <c r="D142" s="83"/>
      <c r="E142" s="42"/>
    </row>
    <row r="143" spans="2:5" ht="11.25" customHeight="1" x14ac:dyDescent="0.2">
      <c r="B143" s="43"/>
      <c r="C143" s="246" t="s">
        <v>63</v>
      </c>
      <c r="D143" s="246"/>
      <c r="E143" s="246"/>
    </row>
    <row r="144" spans="2:5" ht="13.5" thickBot="1" x14ac:dyDescent="0.25">
      <c r="B144" s="47"/>
      <c r="C144" s="48"/>
      <c r="D144" s="84"/>
      <c r="E144" s="49"/>
    </row>
    <row r="145" spans="2:5" ht="13.5" thickBot="1" x14ac:dyDescent="0.25"/>
    <row r="146" spans="2:5" x14ac:dyDescent="0.2">
      <c r="B146" s="37" t="s">
        <v>140</v>
      </c>
      <c r="C146" s="38"/>
      <c r="D146" s="82"/>
      <c r="E146" s="39"/>
    </row>
    <row r="147" spans="2:5" ht="5.25" customHeight="1" x14ac:dyDescent="0.2">
      <c r="B147" s="40"/>
      <c r="C147" s="41"/>
      <c r="D147" s="83"/>
      <c r="E147" s="42"/>
    </row>
    <row r="148" spans="2:5" x14ac:dyDescent="0.2">
      <c r="B148" s="43" t="s">
        <v>16</v>
      </c>
      <c r="C148" s="41"/>
      <c r="D148" s="83"/>
      <c r="E148" s="42"/>
    </row>
    <row r="149" spans="2:5" ht="25.5" customHeight="1" x14ac:dyDescent="0.2">
      <c r="B149" s="43"/>
      <c r="C149" s="258"/>
      <c r="D149" s="258"/>
      <c r="E149" s="259"/>
    </row>
    <row r="150" spans="2:5" ht="13.5" thickBot="1" x14ac:dyDescent="0.25">
      <c r="B150" s="43" t="s">
        <v>17</v>
      </c>
      <c r="C150" s="41"/>
      <c r="D150" s="83"/>
      <c r="E150" s="42"/>
    </row>
    <row r="151" spans="2:5" ht="13.5" thickBot="1" x14ac:dyDescent="0.25">
      <c r="B151" s="252" t="s">
        <v>136</v>
      </c>
      <c r="C151" s="256"/>
      <c r="D151" s="256"/>
      <c r="E151" s="253"/>
    </row>
    <row r="152" spans="2:5" ht="13.5" thickBot="1" x14ac:dyDescent="0.25">
      <c r="B152" s="252" t="s">
        <v>137</v>
      </c>
      <c r="C152" s="253"/>
      <c r="D152" s="80" t="s">
        <v>11</v>
      </c>
      <c r="E152" s="80" t="s">
        <v>138</v>
      </c>
    </row>
    <row r="153" spans="2:5" x14ac:dyDescent="0.2">
      <c r="B153" s="254" t="str">
        <f>'[1]COMEDORES EMERGENTES'!$B$3</f>
        <v>UNA SONRISA AV. LOS COBACHO</v>
      </c>
      <c r="C153" s="255"/>
      <c r="D153" s="124" t="s">
        <v>188</v>
      </c>
      <c r="E153" s="125" t="str">
        <f>'[1]COMEDORES EMERGENTES'!$G$3</f>
        <v>Bº SAN CARLOS OESTE AV. Bonifacio cobacho 670</v>
      </c>
    </row>
    <row r="154" spans="2:5" x14ac:dyDescent="0.2">
      <c r="B154" s="247" t="str">
        <f>'[1]COMEDORES EMERGENTES'!$B$4</f>
        <v>C.I.F Nº1 - RIVERA DEL VALLE Y FLORIDA</v>
      </c>
      <c r="C154" s="248"/>
      <c r="D154" s="119" t="s">
        <v>189</v>
      </c>
      <c r="E154" s="120" t="str">
        <f>'[1]COMEDORES EMERGENTES'!$G$4</f>
        <v>AV. RIVIERA DEL VALLE ENTRE FLORIDA Y SANTA FE</v>
      </c>
    </row>
    <row r="155" spans="2:5" x14ac:dyDescent="0.2">
      <c r="B155" s="247" t="str">
        <f>'[1]COMEDORES EMERGENTES'!$B$5</f>
        <v>C.I.F - RIVERA DEL VALLE - DILORENZO</v>
      </c>
      <c r="C155" s="248"/>
      <c r="D155" s="119" t="s">
        <v>190</v>
      </c>
      <c r="E155" s="120" t="str">
        <f>'[1]COMEDORES EMERGENTES'!$G$5</f>
        <v>Bº RIVERA DEL VALLE ENTRE VILLA EUMELIA Y MONTE CRISTO</v>
      </c>
    </row>
    <row r="156" spans="2:5" x14ac:dyDescent="0.2">
      <c r="B156" s="247" t="str">
        <f>'[1]COMEDORES EMERGENTES'!$B$6</f>
        <v>ESFUERZO PROPIO- Bº ALTOS DE CHOYA</v>
      </c>
      <c r="C156" s="248"/>
      <c r="D156" s="119" t="s">
        <v>191</v>
      </c>
      <c r="E156" s="120" t="str">
        <f>'[1]COMEDORES EMERGENTES'!$G$6</f>
        <v>Bº MUNICIPAL 35VV. NORTE C/14</v>
      </c>
    </row>
    <row r="157" spans="2:5" x14ac:dyDescent="0.2">
      <c r="B157" s="247" t="str">
        <f>'[1]COMEDORES EMERGENTES'!$B$7</f>
        <v>ANGELITOS - LOTEO SUSSEX</v>
      </c>
      <c r="C157" s="248"/>
      <c r="D157" s="119" t="s">
        <v>173</v>
      </c>
      <c r="E157" s="120" t="str">
        <f>'[1]COMEDORES EMERGENTES'!$G$7</f>
        <v>Bº LOTEO SUSEX MZA.Nº 4 LOTE Nº3</v>
      </c>
    </row>
    <row r="158" spans="2:5" x14ac:dyDescent="0.2">
      <c r="B158" s="247" t="str">
        <f>'[1]COMEDORES EMERGENTES'!$B$8</f>
        <v>CLUB DEPORTIVO CHACARITA</v>
      </c>
      <c r="C158" s="248"/>
      <c r="D158" s="119" t="s">
        <v>179</v>
      </c>
      <c r="E158" s="120" t="str">
        <f>'[1]COMEDORES EMERGENTES'!$G$8</f>
        <v>CALLE DR.DERMIDIO GALINDEZ C/2660</v>
      </c>
    </row>
    <row r="159" spans="2:5" x14ac:dyDescent="0.2">
      <c r="B159" s="247" t="str">
        <f>'[1]COMEDORES EMERGENTES'!$B$9</f>
        <v>LA MORO</v>
      </c>
      <c r="C159" s="248"/>
      <c r="D159" s="119" t="s">
        <v>167</v>
      </c>
      <c r="E159" s="120" t="str">
        <f>'[1]COMEDORES EMERGENTES'!$G$9</f>
        <v>MAIPU NORTE 1º ETAPA MZA "H" Bº MI JARDIN</v>
      </c>
    </row>
    <row r="160" spans="2:5" x14ac:dyDescent="0.2">
      <c r="B160" s="247" t="str">
        <f>'[1]COMEDORES EMERGENTES'!$B$10</f>
        <v>PAPA FRANCISCO</v>
      </c>
      <c r="C160" s="248"/>
      <c r="D160" s="119" t="s">
        <v>192</v>
      </c>
      <c r="E160" s="120" t="str">
        <f>'[1]COMEDORES EMERGENTES'!$G$10</f>
        <v>ENTRE AV.TEREBINTO Y AV.SAN JUAN LOTE "2" MZA. "B"</v>
      </c>
    </row>
    <row r="161" spans="2:5" x14ac:dyDescent="0.2">
      <c r="B161" s="247" t="str">
        <f>'[1]COMEDORES EMERGENTES'!$B$11</f>
        <v>E.P.C - 100 V.V NORTE</v>
      </c>
      <c r="C161" s="248"/>
      <c r="D161" s="119" t="s">
        <v>193</v>
      </c>
      <c r="E161" s="120" t="str">
        <f>'[1]COMEDORES EMERGENTES'!$G$11</f>
        <v>Bº VV NORTE C/48 ENTRE ESPAÑA Y FRANCIA</v>
      </c>
    </row>
    <row r="162" spans="2:5" x14ac:dyDescent="0.2">
      <c r="B162" s="247" t="str">
        <f>'[1]COMEDORES EMERGENTES'!$B$12</f>
        <v>HOGAR DE CRISTO - PADRE RAUL CONTRERAS</v>
      </c>
      <c r="C162" s="248"/>
      <c r="D162" s="119" t="s">
        <v>193</v>
      </c>
      <c r="E162" s="120" t="str">
        <f>'[1]COMEDORES EMERGENTES'!$G$12</f>
        <v>Bº SANTA MARTA MZA. "S" LOTE "M" C/39</v>
      </c>
    </row>
    <row r="163" spans="2:5" x14ac:dyDescent="0.2">
      <c r="B163" s="247" t="str">
        <f>'[1]COMEDORES EMERGENTES'!$B$13</f>
        <v>LA LUCIERNAGA</v>
      </c>
      <c r="C163" s="248"/>
      <c r="D163" s="119" t="s">
        <v>192</v>
      </c>
      <c r="E163" s="120" t="str">
        <f>'[1]COMEDORES EMERGENTES'!$G$13</f>
        <v>Bº 20 V.V NORTE C/3</v>
      </c>
    </row>
    <row r="164" spans="2:5" x14ac:dyDescent="0.2">
      <c r="B164" s="247" t="str">
        <f>'[1]COMEDORES EMERGENTES'!$B$14</f>
        <v>VALLE VIEJO - SUMALAO</v>
      </c>
      <c r="C164" s="248"/>
      <c r="D164" s="119" t="s">
        <v>194</v>
      </c>
      <c r="E164" s="120" t="str">
        <f>'[1]COMEDORES EMERGENTES'!$G$14</f>
        <v>PADRE SEGURA S/N</v>
      </c>
    </row>
    <row r="165" spans="2:5" x14ac:dyDescent="0.2">
      <c r="B165" s="247" t="str">
        <f>'[1]COMEDORES EMERGENTES'!$B$15</f>
        <v>NUESTRO FUTURO - LAS VIAS</v>
      </c>
      <c r="C165" s="248"/>
      <c r="D165" s="119" t="s">
        <v>192</v>
      </c>
      <c r="E165" s="120" t="str">
        <f>'[1]COMEDORES EMERGENTES'!$G$15</f>
        <v>Bº LAS VIAS OESTE LOTE 42</v>
      </c>
    </row>
    <row r="166" spans="2:5" x14ac:dyDescent="0.2">
      <c r="B166" s="247" t="str">
        <f>'[1]COMEDORES EMERGENTES'!$B$16</f>
        <v>SAN JOSE OBRERO</v>
      </c>
      <c r="C166" s="248"/>
      <c r="D166" s="119" t="s">
        <v>179</v>
      </c>
      <c r="E166" s="120" t="str">
        <f>'[1]COMEDORES EMERGENTES'!$G$16</f>
        <v>Bº SAN JOSE OBRERO. PJE. SANDOVAL S/Nº</v>
      </c>
    </row>
    <row r="167" spans="2:5" x14ac:dyDescent="0.2">
      <c r="B167" s="247" t="str">
        <f>'[1]COMEDORES EMERGENTES'!$B$17</f>
        <v>VIRGEN DE LUJAN</v>
      </c>
      <c r="C167" s="248"/>
      <c r="D167" s="119" t="s">
        <v>192</v>
      </c>
      <c r="E167" s="120" t="str">
        <f>'[1]COMEDORES EMERGENTES'!$G$17</f>
        <v>Bº OJO DE AGUA C/DR.TEODULFO BARRIONUEVO S/Nº</v>
      </c>
    </row>
    <row r="168" spans="2:5" x14ac:dyDescent="0.2">
      <c r="B168" s="247" t="str">
        <f>'[1]COMEDORES EMERGENTES'!$B$18</f>
        <v>RENACER</v>
      </c>
      <c r="C168" s="248"/>
      <c r="D168" s="119" t="s">
        <v>195</v>
      </c>
      <c r="E168" s="120" t="str">
        <f>'[1]COMEDORES EMERGENTES'!$G$18</f>
        <v>Bº VIRGEN MORENITA</v>
      </c>
    </row>
    <row r="169" spans="2:5" x14ac:dyDescent="0.2">
      <c r="B169" s="247" t="str">
        <f>'[1]COMEDORES EMERGENTES'!$B$19</f>
        <v>CENTRO VECINAL MI JARDIN</v>
      </c>
      <c r="C169" s="248"/>
      <c r="D169" s="119" t="s">
        <v>196</v>
      </c>
      <c r="E169" s="120" t="str">
        <f>'[1]COMEDORES EMERGENTES'!$G$19</f>
        <v>C/ LOS TULIPANES ENTRE FLOR DE CEREZO Y HOLANDA MZA.27 Bº MI JARDIN</v>
      </c>
    </row>
    <row r="170" spans="2:5" x14ac:dyDescent="0.2">
      <c r="B170" s="247" t="str">
        <f>'[1]COMEDORES EMERGENTES'!$B$20</f>
        <v>LA VIEJA ESQUINA</v>
      </c>
      <c r="C170" s="248"/>
      <c r="D170" s="119" t="s">
        <v>197</v>
      </c>
      <c r="E170" s="120" t="str">
        <f>'[1]COMEDORES EMERGENTES'!$G$20</f>
        <v>B° CRISTO REY PJE CAPATAZ VILLAFAÑEZ Y ARMANDO CORREA</v>
      </c>
    </row>
    <row r="171" spans="2:5" x14ac:dyDescent="0.2">
      <c r="B171" s="247" t="str">
        <f>'[1]COMEDORES EMERGENTES'!$B$21</f>
        <v>GAUCHITO GIL</v>
      </c>
      <c r="C171" s="248"/>
      <c r="D171" s="119" t="s">
        <v>197</v>
      </c>
      <c r="E171" s="120" t="str">
        <f>'[1]COMEDORES EMERGENTES'!$G$21</f>
        <v>B° 26 VIVIENDAS CASA N° 3</v>
      </c>
    </row>
    <row r="172" spans="2:5" ht="13.5" thickBot="1" x14ac:dyDescent="0.25">
      <c r="B172" s="261" t="str">
        <f>'[1]COMEDORES EMERGENTES'!$B$22</f>
        <v>LOS TOLDOS</v>
      </c>
      <c r="C172" s="262"/>
      <c r="D172" s="126" t="s">
        <v>202</v>
      </c>
      <c r="E172" s="127" t="str">
        <f>'[1]COMEDORES EMERGENTES'!$G$22</f>
        <v>LOTEO PARQUE SUR CALLE S/NOMBRE S/N°</v>
      </c>
    </row>
    <row r="173" spans="2:5" x14ac:dyDescent="0.2">
      <c r="B173" s="43" t="s">
        <v>18</v>
      </c>
      <c r="C173" s="41"/>
      <c r="D173" s="83"/>
      <c r="E173" s="42"/>
    </row>
    <row r="174" spans="2:5" ht="12.75" customHeight="1" x14ac:dyDescent="0.2">
      <c r="B174" s="44"/>
      <c r="C174" s="260" t="s">
        <v>62</v>
      </c>
      <c r="D174" s="260"/>
      <c r="E174" s="260"/>
    </row>
    <row r="175" spans="2:5" x14ac:dyDescent="0.2">
      <c r="B175" s="43" t="s">
        <v>19</v>
      </c>
      <c r="C175" s="45"/>
      <c r="D175" s="45"/>
      <c r="E175" s="46"/>
    </row>
    <row r="176" spans="2:5" ht="14.25" customHeight="1" x14ac:dyDescent="0.2">
      <c r="B176" s="44"/>
      <c r="C176" s="260" t="s">
        <v>139</v>
      </c>
      <c r="D176" s="260"/>
      <c r="E176" s="260"/>
    </row>
    <row r="177" spans="2:5" x14ac:dyDescent="0.2">
      <c r="B177" s="43" t="s">
        <v>20</v>
      </c>
      <c r="C177" s="41"/>
      <c r="D177" s="83"/>
      <c r="E177" s="42"/>
    </row>
    <row r="178" spans="2:5" ht="11.25" customHeight="1" x14ac:dyDescent="0.2">
      <c r="B178" s="43"/>
      <c r="C178" s="246" t="s">
        <v>63</v>
      </c>
      <c r="D178" s="246"/>
      <c r="E178" s="246"/>
    </row>
    <row r="179" spans="2:5" ht="13.5" thickBot="1" x14ac:dyDescent="0.25">
      <c r="B179" s="47"/>
      <c r="C179" s="48"/>
      <c r="D179" s="84"/>
      <c r="E179" s="49"/>
    </row>
    <row r="180" spans="2:5" ht="13.5" thickBot="1" x14ac:dyDescent="0.25"/>
    <row r="181" spans="2:5" x14ac:dyDescent="0.2">
      <c r="B181" s="37" t="s">
        <v>141</v>
      </c>
      <c r="C181" s="38"/>
      <c r="D181" s="82"/>
      <c r="E181" s="39"/>
    </row>
    <row r="182" spans="2:5" ht="5.25" customHeight="1" x14ac:dyDescent="0.2">
      <c r="B182" s="40"/>
      <c r="C182" s="41"/>
      <c r="D182" s="83"/>
      <c r="E182" s="42"/>
    </row>
    <row r="183" spans="2:5" x14ac:dyDescent="0.2">
      <c r="B183" s="43" t="s">
        <v>16</v>
      </c>
      <c r="C183" s="41"/>
      <c r="D183" s="83"/>
      <c r="E183" s="42"/>
    </row>
    <row r="184" spans="2:5" ht="25.5" customHeight="1" x14ac:dyDescent="0.2">
      <c r="B184" s="43"/>
      <c r="C184" s="260"/>
      <c r="D184" s="260"/>
      <c r="E184" s="260"/>
    </row>
    <row r="185" spans="2:5" ht="13.5" thickBot="1" x14ac:dyDescent="0.25">
      <c r="B185" s="43" t="s">
        <v>17</v>
      </c>
      <c r="C185" s="41"/>
      <c r="D185" s="83"/>
      <c r="E185" s="42"/>
    </row>
    <row r="186" spans="2:5" ht="13.5" thickBot="1" x14ac:dyDescent="0.25">
      <c r="B186" s="252" t="s">
        <v>136</v>
      </c>
      <c r="C186" s="256"/>
      <c r="D186" s="256"/>
      <c r="E186" s="253"/>
    </row>
    <row r="187" spans="2:5" ht="13.5" thickBot="1" x14ac:dyDescent="0.25">
      <c r="B187" s="252" t="s">
        <v>137</v>
      </c>
      <c r="C187" s="253"/>
      <c r="D187" s="80" t="s">
        <v>11</v>
      </c>
      <c r="E187" s="80" t="s">
        <v>138</v>
      </c>
    </row>
    <row r="188" spans="2:5" x14ac:dyDescent="0.2">
      <c r="B188" s="254" t="str">
        <f>'[1]COMEDORES EMERGENTES'!$B$3</f>
        <v>UNA SONRISA AV. LOS COBACHO</v>
      </c>
      <c r="C188" s="255"/>
      <c r="D188" s="124" t="s">
        <v>182</v>
      </c>
      <c r="E188" s="125" t="str">
        <f>'[1]COMEDORES EMERGENTES'!$G$3</f>
        <v>Bº SAN CARLOS OESTE AV. Bonifacio cobacho 670</v>
      </c>
    </row>
    <row r="189" spans="2:5" x14ac:dyDescent="0.2">
      <c r="B189" s="247" t="str">
        <f>'[1]COMEDORES EMERGENTES'!$B$4</f>
        <v>C.I.F Nº1 - RIVERA DEL VALLE Y FLORIDA</v>
      </c>
      <c r="C189" s="248"/>
      <c r="D189" s="119" t="s">
        <v>198</v>
      </c>
      <c r="E189" s="120" t="str">
        <f>'[1]COMEDORES EMERGENTES'!$G$4</f>
        <v>AV. RIVIERA DEL VALLE ENTRE FLORIDA Y SANTA FE</v>
      </c>
    </row>
    <row r="190" spans="2:5" x14ac:dyDescent="0.2">
      <c r="B190" s="247" t="str">
        <f>'[1]COMEDORES EMERGENTES'!$B$5</f>
        <v>C.I.F - RIVERA DEL VALLE - DILORENZO</v>
      </c>
      <c r="C190" s="248"/>
      <c r="D190" s="119" t="s">
        <v>167</v>
      </c>
      <c r="E190" s="120" t="str">
        <f>'[1]COMEDORES EMERGENTES'!$G$5</f>
        <v>Bº RIVERA DEL VALLE ENTRE VILLA EUMELIA Y MONTE CRISTO</v>
      </c>
    </row>
    <row r="191" spans="2:5" x14ac:dyDescent="0.2">
      <c r="B191" s="247" t="str">
        <f>'[1]COMEDORES EMERGENTES'!$B$6</f>
        <v>ESFUERZO PROPIO- Bº ALTOS DE CHOYA</v>
      </c>
      <c r="C191" s="248"/>
      <c r="D191" s="119" t="s">
        <v>173</v>
      </c>
      <c r="E191" s="120" t="str">
        <f>'[1]COMEDORES EMERGENTES'!$G$6</f>
        <v>Bº MUNICIPAL 35VV. NORTE C/14</v>
      </c>
    </row>
    <row r="192" spans="2:5" x14ac:dyDescent="0.2">
      <c r="B192" s="247" t="str">
        <f>'[1]COMEDORES EMERGENTES'!$B$7</f>
        <v>ANGELITOS - LOTEO SUSSEX</v>
      </c>
      <c r="C192" s="248"/>
      <c r="D192" s="119" t="s">
        <v>199</v>
      </c>
      <c r="E192" s="120" t="str">
        <f>'[1]COMEDORES EMERGENTES'!$G$7</f>
        <v>Bº LOTEO SUSEX MZA.Nº 4 LOTE Nº3</v>
      </c>
    </row>
    <row r="193" spans="2:5" x14ac:dyDescent="0.2">
      <c r="B193" s="247" t="str">
        <f>'[1]COMEDORES EMERGENTES'!$B$8</f>
        <v>CLUB DEPORTIVO CHACARITA</v>
      </c>
      <c r="C193" s="248"/>
      <c r="D193" s="119" t="s">
        <v>200</v>
      </c>
      <c r="E193" s="120" t="str">
        <f>'[1]COMEDORES EMERGENTES'!$G$8</f>
        <v>CALLE DR.DERMIDIO GALINDEZ C/2660</v>
      </c>
    </row>
    <row r="194" spans="2:5" x14ac:dyDescent="0.2">
      <c r="B194" s="247" t="str">
        <f>'[1]COMEDORES EMERGENTES'!$B$9</f>
        <v>LA MORO</v>
      </c>
      <c r="C194" s="248"/>
      <c r="D194" s="119" t="s">
        <v>181</v>
      </c>
      <c r="E194" s="120" t="str">
        <f>'[1]COMEDORES EMERGENTES'!$G$9</f>
        <v>MAIPU NORTE 1º ETAPA MZA "H" Bº MI JARDIN</v>
      </c>
    </row>
    <row r="195" spans="2:5" x14ac:dyDescent="0.2">
      <c r="B195" s="247" t="str">
        <f>'[1]COMEDORES EMERGENTES'!$B$10</f>
        <v>PAPA FRANCISCO</v>
      </c>
      <c r="C195" s="248"/>
      <c r="D195" s="119" t="s">
        <v>168</v>
      </c>
      <c r="E195" s="120" t="str">
        <f>'[1]COMEDORES EMERGENTES'!$G$10</f>
        <v>ENTRE AV.TEREBINTO Y AV.SAN JUAN LOTE "2" MZA. "B"</v>
      </c>
    </row>
    <row r="196" spans="2:5" x14ac:dyDescent="0.2">
      <c r="B196" s="247" t="str">
        <f>'[1]COMEDORES EMERGENTES'!$B$11</f>
        <v>E.P.C - 100 V.V NORTE</v>
      </c>
      <c r="C196" s="248"/>
      <c r="D196" s="119" t="s">
        <v>178</v>
      </c>
      <c r="E196" s="120" t="str">
        <f>'[1]COMEDORES EMERGENTES'!$G$11</f>
        <v>Bº VV NORTE C/48 ENTRE ESPAÑA Y FRANCIA</v>
      </c>
    </row>
    <row r="197" spans="2:5" x14ac:dyDescent="0.2">
      <c r="B197" s="247" t="str">
        <f>'[1]COMEDORES EMERGENTES'!$B$12</f>
        <v>HOGAR DE CRISTO - PADRE RAUL CONTRERAS</v>
      </c>
      <c r="C197" s="248"/>
      <c r="D197" s="119" t="s">
        <v>178</v>
      </c>
      <c r="E197" s="120" t="str">
        <f>'[1]COMEDORES EMERGENTES'!$G$12</f>
        <v>Bº SANTA MARTA MZA. "S" LOTE "M" C/39</v>
      </c>
    </row>
    <row r="198" spans="2:5" x14ac:dyDescent="0.2">
      <c r="B198" s="247" t="str">
        <f>'[1]COMEDORES EMERGENTES'!$B$13</f>
        <v>LA LUCIERNAGA</v>
      </c>
      <c r="C198" s="248"/>
      <c r="D198" s="119" t="s">
        <v>168</v>
      </c>
      <c r="E198" s="120" t="str">
        <f>'[1]COMEDORES EMERGENTES'!$G$13</f>
        <v>Bº 20 V.V NORTE C/3</v>
      </c>
    </row>
    <row r="199" spans="2:5" x14ac:dyDescent="0.2">
      <c r="B199" s="247" t="str">
        <f>'[1]COMEDORES EMERGENTES'!$B$14</f>
        <v>VALLE VIEJO - SUMALAO</v>
      </c>
      <c r="C199" s="248"/>
      <c r="D199" s="119" t="s">
        <v>188</v>
      </c>
      <c r="E199" s="120" t="str">
        <f>'[1]COMEDORES EMERGENTES'!$G$14</f>
        <v>PADRE SEGURA S/N</v>
      </c>
    </row>
    <row r="200" spans="2:5" x14ac:dyDescent="0.2">
      <c r="B200" s="247" t="str">
        <f>'[1]COMEDORES EMERGENTES'!$B$15</f>
        <v>NUESTRO FUTURO - LAS VIAS</v>
      </c>
      <c r="C200" s="248"/>
      <c r="D200" s="119" t="s">
        <v>168</v>
      </c>
      <c r="E200" s="120" t="str">
        <f>'[1]COMEDORES EMERGENTES'!$G$15</f>
        <v>Bº LAS VIAS OESTE LOTE 42</v>
      </c>
    </row>
    <row r="201" spans="2:5" x14ac:dyDescent="0.2">
      <c r="B201" s="247" t="str">
        <f>'[1]COMEDORES EMERGENTES'!$B$16</f>
        <v>SAN JOSE OBRERO</v>
      </c>
      <c r="C201" s="248"/>
      <c r="D201" s="119" t="s">
        <v>200</v>
      </c>
      <c r="E201" s="120" t="str">
        <f>'[1]COMEDORES EMERGENTES'!$G$16</f>
        <v>Bº SAN JOSE OBRERO. PJE. SANDOVAL S/Nº</v>
      </c>
    </row>
    <row r="202" spans="2:5" x14ac:dyDescent="0.2">
      <c r="B202" s="247" t="str">
        <f>'[1]COMEDORES EMERGENTES'!$B$17</f>
        <v>VIRGEN DE LUJAN</v>
      </c>
      <c r="C202" s="248"/>
      <c r="D202" s="119" t="s">
        <v>168</v>
      </c>
      <c r="E202" s="120" t="str">
        <f>'[1]COMEDORES EMERGENTES'!$G$17</f>
        <v>Bº OJO DE AGUA C/DR.TEODULFO BARRIONUEVO S/Nº</v>
      </c>
    </row>
    <row r="203" spans="2:5" x14ac:dyDescent="0.2">
      <c r="B203" s="247" t="str">
        <f>'[1]COMEDORES EMERGENTES'!$B$18</f>
        <v>RENACER</v>
      </c>
      <c r="C203" s="248"/>
      <c r="D203" s="119" t="s">
        <v>201</v>
      </c>
      <c r="E203" s="120" t="str">
        <f>'[1]COMEDORES EMERGENTES'!$G$18</f>
        <v>Bº VIRGEN MORENITA</v>
      </c>
    </row>
    <row r="204" spans="2:5" x14ac:dyDescent="0.2">
      <c r="B204" s="247" t="str">
        <f>'[1]COMEDORES EMERGENTES'!$B$19</f>
        <v>CENTRO VECINAL MI JARDIN</v>
      </c>
      <c r="C204" s="248"/>
      <c r="D204" s="119" t="s">
        <v>202</v>
      </c>
      <c r="E204" s="120" t="str">
        <f>'[1]COMEDORES EMERGENTES'!$G$19</f>
        <v>C/ LOS TULIPANES ENTRE FLOR DE CEREZO Y HOLANDA MZA.27 Bº MI JARDIN</v>
      </c>
    </row>
    <row r="205" spans="2:5" x14ac:dyDescent="0.2">
      <c r="B205" s="247" t="str">
        <f>'[1]COMEDORES EMERGENTES'!$B$20</f>
        <v>LA VIEJA ESQUINA</v>
      </c>
      <c r="C205" s="248"/>
      <c r="D205" s="119" t="s">
        <v>172</v>
      </c>
      <c r="E205" s="120" t="str">
        <f>'[1]COMEDORES EMERGENTES'!$G$20</f>
        <v>B° CRISTO REY PJE CAPATAZ VILLAFAÑEZ Y ARMANDO CORREA</v>
      </c>
    </row>
    <row r="206" spans="2:5" x14ac:dyDescent="0.2">
      <c r="B206" s="247" t="str">
        <f>'[1]COMEDORES EMERGENTES'!$B$21</f>
        <v>GAUCHITO GIL</v>
      </c>
      <c r="C206" s="248"/>
      <c r="D206" s="119" t="s">
        <v>172</v>
      </c>
      <c r="E206" s="120" t="str">
        <f>'[1]COMEDORES EMERGENTES'!$G$21</f>
        <v>B° 26 VIVIENDAS CASA N° 3</v>
      </c>
    </row>
    <row r="207" spans="2:5" ht="13.5" thickBot="1" x14ac:dyDescent="0.25">
      <c r="B207" s="261" t="str">
        <f>'[1]COMEDORES EMERGENTES'!$B$22</f>
        <v>LOS TOLDOS</v>
      </c>
      <c r="C207" s="262"/>
      <c r="D207" s="126" t="s">
        <v>282</v>
      </c>
      <c r="E207" s="127" t="str">
        <f>'[1]COMEDORES EMERGENTES'!$G$22</f>
        <v>LOTEO PARQUE SUR CALLE S/NOMBRE S/N°</v>
      </c>
    </row>
    <row r="208" spans="2:5" x14ac:dyDescent="0.2">
      <c r="B208" s="43" t="s">
        <v>18</v>
      </c>
      <c r="C208" s="41"/>
      <c r="D208" s="83"/>
      <c r="E208" s="42"/>
    </row>
    <row r="209" spans="2:5" ht="12.75" customHeight="1" x14ac:dyDescent="0.2">
      <c r="B209" s="44"/>
      <c r="C209" s="260" t="s">
        <v>62</v>
      </c>
      <c r="D209" s="260"/>
      <c r="E209" s="260"/>
    </row>
    <row r="210" spans="2:5" x14ac:dyDescent="0.2">
      <c r="B210" s="43" t="s">
        <v>19</v>
      </c>
      <c r="C210" s="45"/>
      <c r="D210" s="45"/>
      <c r="E210" s="46"/>
    </row>
    <row r="211" spans="2:5" ht="14.25" customHeight="1" x14ac:dyDescent="0.2">
      <c r="B211" s="44"/>
      <c r="C211" s="260" t="s">
        <v>139</v>
      </c>
      <c r="D211" s="260"/>
      <c r="E211" s="260"/>
    </row>
    <row r="212" spans="2:5" x14ac:dyDescent="0.2">
      <c r="B212" s="43" t="s">
        <v>20</v>
      </c>
      <c r="C212" s="41"/>
      <c r="D212" s="83"/>
      <c r="E212" s="42"/>
    </row>
    <row r="213" spans="2:5" ht="11.25" customHeight="1" x14ac:dyDescent="0.2">
      <c r="B213" s="43"/>
      <c r="C213" s="246" t="s">
        <v>63</v>
      </c>
      <c r="D213" s="246"/>
      <c r="E213" s="246"/>
    </row>
    <row r="214" spans="2:5" ht="13.5" thickBot="1" x14ac:dyDescent="0.25">
      <c r="B214" s="47"/>
      <c r="C214" s="48"/>
      <c r="D214" s="84"/>
      <c r="E214" s="49"/>
    </row>
    <row r="215" spans="2:5" ht="13.5" thickBot="1" x14ac:dyDescent="0.25"/>
    <row r="216" spans="2:5" x14ac:dyDescent="0.2">
      <c r="B216" s="37" t="s">
        <v>142</v>
      </c>
      <c r="C216" s="38"/>
      <c r="D216" s="82"/>
      <c r="E216" s="39"/>
    </row>
    <row r="217" spans="2:5" ht="5.25" customHeight="1" x14ac:dyDescent="0.2">
      <c r="B217" s="40"/>
      <c r="C217" s="41"/>
      <c r="D217" s="83"/>
      <c r="E217" s="42"/>
    </row>
    <row r="218" spans="2:5" x14ac:dyDescent="0.2">
      <c r="B218" s="43" t="s">
        <v>16</v>
      </c>
      <c r="C218" s="41"/>
      <c r="D218" s="83"/>
      <c r="E218" s="42"/>
    </row>
    <row r="219" spans="2:5" ht="25.5" customHeight="1" x14ac:dyDescent="0.2">
      <c r="B219" s="43"/>
      <c r="C219" s="260"/>
      <c r="D219" s="260"/>
      <c r="E219" s="260"/>
    </row>
    <row r="220" spans="2:5" ht="13.5" thickBot="1" x14ac:dyDescent="0.25">
      <c r="B220" s="43" t="s">
        <v>17</v>
      </c>
      <c r="C220" s="41"/>
      <c r="D220" s="83"/>
      <c r="E220" s="42"/>
    </row>
    <row r="221" spans="2:5" ht="13.5" thickBot="1" x14ac:dyDescent="0.25">
      <c r="B221" s="252" t="s">
        <v>136</v>
      </c>
      <c r="C221" s="256"/>
      <c r="D221" s="256"/>
      <c r="E221" s="253"/>
    </row>
    <row r="222" spans="2:5" ht="13.5" thickBot="1" x14ac:dyDescent="0.25">
      <c r="B222" s="252" t="s">
        <v>137</v>
      </c>
      <c r="C222" s="253"/>
      <c r="D222" s="80" t="s">
        <v>11</v>
      </c>
      <c r="E222" s="80" t="s">
        <v>138</v>
      </c>
    </row>
    <row r="223" spans="2:5" x14ac:dyDescent="0.2">
      <c r="B223" s="254" t="str">
        <f>'[1]COMEDORES EMERGENTES'!$B$3</f>
        <v>UNA SONRISA AV. LOS COBACHO</v>
      </c>
      <c r="C223" s="255"/>
      <c r="D223" s="124">
        <v>43</v>
      </c>
      <c r="E223" s="125" t="str">
        <f>'[1]COMEDORES EMERGENTES'!$G$3</f>
        <v>Bº SAN CARLOS OESTE AV. Bonifacio cobacho 670</v>
      </c>
    </row>
    <row r="224" spans="2:5" x14ac:dyDescent="0.2">
      <c r="B224" s="247" t="str">
        <f>'[1]COMEDORES EMERGENTES'!$B$4</f>
        <v>C.I.F Nº1 - RIVERA DEL VALLE Y FLORIDA</v>
      </c>
      <c r="C224" s="248"/>
      <c r="D224" s="119">
        <v>62</v>
      </c>
      <c r="E224" s="120" t="str">
        <f>'[1]COMEDORES EMERGENTES'!$G$4</f>
        <v>AV. RIVIERA DEL VALLE ENTRE FLORIDA Y SANTA FE</v>
      </c>
    </row>
    <row r="225" spans="2:5" x14ac:dyDescent="0.2">
      <c r="B225" s="247" t="str">
        <f>'[1]COMEDORES EMERGENTES'!$B$5</f>
        <v>C.I.F - RIVERA DEL VALLE - DILORENZO</v>
      </c>
      <c r="C225" s="248"/>
      <c r="D225" s="119">
        <v>73</v>
      </c>
      <c r="E225" s="120" t="str">
        <f>'[1]COMEDORES EMERGENTES'!$G$5</f>
        <v>Bº RIVERA DEL VALLE ENTRE VILLA EUMELIA Y MONTE CRISTO</v>
      </c>
    </row>
    <row r="226" spans="2:5" x14ac:dyDescent="0.2">
      <c r="B226" s="247" t="str">
        <f>'[1]COMEDORES EMERGENTES'!$B$6</f>
        <v>ESFUERZO PROPIO- Bº ALTOS DE CHOYA</v>
      </c>
      <c r="C226" s="248"/>
      <c r="D226" s="119">
        <v>59</v>
      </c>
      <c r="E226" s="120" t="str">
        <f>'[1]COMEDORES EMERGENTES'!$G$6</f>
        <v>Bº MUNICIPAL 35VV. NORTE C/14</v>
      </c>
    </row>
    <row r="227" spans="2:5" x14ac:dyDescent="0.2">
      <c r="B227" s="247" t="str">
        <f>'[1]COMEDORES EMERGENTES'!$B$7</f>
        <v>ANGELITOS - LOTEO SUSSEX</v>
      </c>
      <c r="C227" s="248"/>
      <c r="D227" s="119">
        <v>27</v>
      </c>
      <c r="E227" s="120" t="str">
        <f>'[1]COMEDORES EMERGENTES'!$G$7</f>
        <v>Bº LOTEO SUSEX MZA.Nº 4 LOTE Nº3</v>
      </c>
    </row>
    <row r="228" spans="2:5" x14ac:dyDescent="0.2">
      <c r="B228" s="247" t="str">
        <f>'[1]COMEDORES EMERGENTES'!$B$8</f>
        <v>CLUB DEPORTIVO CHACARITA</v>
      </c>
      <c r="C228" s="248"/>
      <c r="D228" s="119">
        <v>35</v>
      </c>
      <c r="E228" s="120" t="str">
        <f>'[1]COMEDORES EMERGENTES'!$G$8</f>
        <v>CALLE DR.DERMIDIO GALINDEZ C/2660</v>
      </c>
    </row>
    <row r="229" spans="2:5" x14ac:dyDescent="0.2">
      <c r="B229" s="247" t="str">
        <f>'[1]COMEDORES EMERGENTES'!$B$9</f>
        <v>LA MORO</v>
      </c>
      <c r="C229" s="248"/>
      <c r="D229" s="119">
        <v>32</v>
      </c>
      <c r="E229" s="120" t="str">
        <f>'[1]COMEDORES EMERGENTES'!$G$9</f>
        <v>MAIPU NORTE 1º ETAPA MZA "H" Bº MI JARDIN</v>
      </c>
    </row>
    <row r="230" spans="2:5" x14ac:dyDescent="0.2">
      <c r="B230" s="247" t="str">
        <f>'[1]COMEDORES EMERGENTES'!$B$10</f>
        <v>PAPA FRANCISCO</v>
      </c>
      <c r="C230" s="248"/>
      <c r="D230" s="119">
        <v>54</v>
      </c>
      <c r="E230" s="120" t="str">
        <f>'[1]COMEDORES EMERGENTES'!$G$10</f>
        <v>ENTRE AV.TEREBINTO Y AV.SAN JUAN LOTE "2" MZA. "B"</v>
      </c>
    </row>
    <row r="231" spans="2:5" x14ac:dyDescent="0.2">
      <c r="B231" s="247" t="str">
        <f>'[1]COMEDORES EMERGENTES'!$B$11</f>
        <v>E.P.C - 100 V.V NORTE</v>
      </c>
      <c r="C231" s="248"/>
      <c r="D231" s="119">
        <v>81</v>
      </c>
      <c r="E231" s="120" t="str">
        <f>'[1]COMEDORES EMERGENTES'!$G$11</f>
        <v>Bº VV NORTE C/48 ENTRE ESPAÑA Y FRANCIA</v>
      </c>
    </row>
    <row r="232" spans="2:5" x14ac:dyDescent="0.2">
      <c r="B232" s="247" t="str">
        <f>'[1]COMEDORES EMERGENTES'!$B$12</f>
        <v>HOGAR DE CRISTO - PADRE RAUL CONTRERAS</v>
      </c>
      <c r="C232" s="248"/>
      <c r="D232" s="119">
        <v>81</v>
      </c>
      <c r="E232" s="120" t="str">
        <f>'[1]COMEDORES EMERGENTES'!$G$12</f>
        <v>Bº SANTA MARTA MZA. "S" LOTE "M" C/39</v>
      </c>
    </row>
    <row r="233" spans="2:5" x14ac:dyDescent="0.2">
      <c r="B233" s="247" t="str">
        <f>'[1]COMEDORES EMERGENTES'!$B$13</f>
        <v>LA LUCIERNAGA</v>
      </c>
      <c r="C233" s="248"/>
      <c r="D233" s="119">
        <v>54</v>
      </c>
      <c r="E233" s="120" t="str">
        <f>'[1]COMEDORES EMERGENTES'!$G$13</f>
        <v>Bº 20 V.V NORTE C/3</v>
      </c>
    </row>
    <row r="234" spans="2:5" x14ac:dyDescent="0.2">
      <c r="B234" s="247" t="str">
        <f>'[1]COMEDORES EMERGENTES'!$B$14</f>
        <v>VALLE VIEJO - SUMALAO</v>
      </c>
      <c r="C234" s="248"/>
      <c r="D234" s="119">
        <v>95</v>
      </c>
      <c r="E234" s="120" t="str">
        <f>'[1]COMEDORES EMERGENTES'!$G$14</f>
        <v>PADRE SEGURA S/N</v>
      </c>
    </row>
    <row r="235" spans="2:5" x14ac:dyDescent="0.2">
      <c r="B235" s="247" t="str">
        <f>'[1]COMEDORES EMERGENTES'!$B$15</f>
        <v>NUESTRO FUTURO - LAS VIAS</v>
      </c>
      <c r="C235" s="248"/>
      <c r="D235" s="119">
        <v>54</v>
      </c>
      <c r="E235" s="120" t="str">
        <f>'[1]COMEDORES EMERGENTES'!$G$15</f>
        <v>Bº LAS VIAS OESTE LOTE 42</v>
      </c>
    </row>
    <row r="236" spans="2:5" x14ac:dyDescent="0.2">
      <c r="B236" s="247" t="str">
        <f>'[1]COMEDORES EMERGENTES'!$B$16</f>
        <v>SAN JOSE OBRERO</v>
      </c>
      <c r="C236" s="248"/>
      <c r="D236" s="119">
        <v>35</v>
      </c>
      <c r="E236" s="120" t="str">
        <f>'[1]COMEDORES EMERGENTES'!$G$16</f>
        <v>Bº SAN JOSE OBRERO. PJE. SANDOVAL S/Nº</v>
      </c>
    </row>
    <row r="237" spans="2:5" x14ac:dyDescent="0.2">
      <c r="B237" s="247" t="str">
        <f>'[1]COMEDORES EMERGENTES'!$B$17</f>
        <v>VIRGEN DE LUJAN</v>
      </c>
      <c r="C237" s="248"/>
      <c r="D237" s="119">
        <v>54</v>
      </c>
      <c r="E237" s="120" t="str">
        <f>'[1]COMEDORES EMERGENTES'!$G$17</f>
        <v>Bº OJO DE AGUA C/DR.TEODULFO BARRIONUEVO S/Nº</v>
      </c>
    </row>
    <row r="238" spans="2:5" x14ac:dyDescent="0.2">
      <c r="B238" s="247" t="str">
        <f>'[1]COMEDORES EMERGENTES'!$B$18</f>
        <v>RENACER</v>
      </c>
      <c r="C238" s="248"/>
      <c r="D238" s="119">
        <v>68</v>
      </c>
      <c r="E238" s="120" t="str">
        <f>'[1]COMEDORES EMERGENTES'!$G$18</f>
        <v>Bº VIRGEN MORENITA</v>
      </c>
    </row>
    <row r="239" spans="2:5" x14ac:dyDescent="0.2">
      <c r="B239" s="247" t="str">
        <f>'[1]COMEDORES EMERGENTES'!$B$19</f>
        <v>CENTRO VECINAL MI JARDIN</v>
      </c>
      <c r="C239" s="248"/>
      <c r="D239" s="119">
        <v>49</v>
      </c>
      <c r="E239" s="120" t="str">
        <f>'[1]COMEDORES EMERGENTES'!$G$19</f>
        <v>C/ LOS TULIPANES ENTRE FLOR DE CEREZO Y HOLANDA MZA.27 Bº MI JARDIN</v>
      </c>
    </row>
    <row r="240" spans="2:5" x14ac:dyDescent="0.2">
      <c r="B240" s="247" t="str">
        <f>'[1]COMEDORES EMERGENTES'!$B$20</f>
        <v>LA VIEJA ESQUINA</v>
      </c>
      <c r="C240" s="248"/>
      <c r="D240" s="119">
        <v>46</v>
      </c>
      <c r="E240" s="120" t="str">
        <f>'[1]COMEDORES EMERGENTES'!$G$20</f>
        <v>B° CRISTO REY PJE CAPATAZ VILLAFAÑEZ Y ARMANDO CORREA</v>
      </c>
    </row>
    <row r="241" spans="2:5" x14ac:dyDescent="0.2">
      <c r="B241" s="247" t="str">
        <f>'[1]COMEDORES EMERGENTES'!$B$21</f>
        <v>GAUCHITO GIL</v>
      </c>
      <c r="C241" s="248"/>
      <c r="D241" s="119">
        <v>45</v>
      </c>
      <c r="E241" s="120" t="str">
        <f>'[1]COMEDORES EMERGENTES'!$G$21</f>
        <v>B° 26 VIVIENDAS CASA N° 3</v>
      </c>
    </row>
    <row r="242" spans="2:5" ht="13.5" thickBot="1" x14ac:dyDescent="0.25">
      <c r="B242" s="261" t="str">
        <f>'[1]COMEDORES EMERGENTES'!$B$22</f>
        <v>LOS TOLDOS</v>
      </c>
      <c r="C242" s="262"/>
      <c r="D242" s="126">
        <v>22</v>
      </c>
      <c r="E242" s="127" t="str">
        <f>'[1]COMEDORES EMERGENTES'!$G$22</f>
        <v>LOTEO PARQUE SUR CALLE S/NOMBRE S/N°</v>
      </c>
    </row>
    <row r="243" spans="2:5" x14ac:dyDescent="0.2">
      <c r="B243" s="43" t="s">
        <v>18</v>
      </c>
      <c r="C243" s="41"/>
      <c r="D243" s="83"/>
      <c r="E243" s="42"/>
    </row>
    <row r="244" spans="2:5" ht="12.75" customHeight="1" x14ac:dyDescent="0.2">
      <c r="B244" s="44"/>
      <c r="C244" s="260" t="s">
        <v>62</v>
      </c>
      <c r="D244" s="260"/>
      <c r="E244" s="260"/>
    </row>
    <row r="245" spans="2:5" x14ac:dyDescent="0.2">
      <c r="B245" s="43" t="s">
        <v>19</v>
      </c>
      <c r="C245" s="45"/>
      <c r="D245" s="45"/>
      <c r="E245" s="46"/>
    </row>
    <row r="246" spans="2:5" ht="14.25" customHeight="1" x14ac:dyDescent="0.2">
      <c r="B246" s="44"/>
      <c r="C246" s="260" t="s">
        <v>139</v>
      </c>
      <c r="D246" s="260"/>
      <c r="E246" s="260"/>
    </row>
    <row r="247" spans="2:5" x14ac:dyDescent="0.2">
      <c r="B247" s="43" t="s">
        <v>20</v>
      </c>
      <c r="C247" s="41"/>
      <c r="D247" s="83"/>
      <c r="E247" s="42"/>
    </row>
    <row r="248" spans="2:5" ht="11.25" customHeight="1" x14ac:dyDescent="0.2">
      <c r="B248" s="43"/>
      <c r="C248" s="246" t="s">
        <v>63</v>
      </c>
      <c r="D248" s="246"/>
      <c r="E248" s="246"/>
    </row>
    <row r="249" spans="2:5" ht="13.5" thickBot="1" x14ac:dyDescent="0.25">
      <c r="B249" s="47"/>
      <c r="C249" s="48"/>
      <c r="D249" s="84"/>
      <c r="E249" s="49"/>
    </row>
    <row r="250" spans="2:5" ht="13.5" thickBot="1" x14ac:dyDescent="0.25"/>
    <row r="251" spans="2:5" x14ac:dyDescent="0.2">
      <c r="B251" s="37" t="s">
        <v>143</v>
      </c>
      <c r="C251" s="38"/>
      <c r="D251" s="82"/>
      <c r="E251" s="39"/>
    </row>
    <row r="252" spans="2:5" ht="5.25" customHeight="1" x14ac:dyDescent="0.2">
      <c r="B252" s="40"/>
      <c r="C252" s="41"/>
      <c r="D252" s="83"/>
      <c r="E252" s="42"/>
    </row>
    <row r="253" spans="2:5" x14ac:dyDescent="0.2">
      <c r="B253" s="43" t="s">
        <v>16</v>
      </c>
      <c r="C253" s="41"/>
      <c r="D253" s="83"/>
      <c r="E253" s="42"/>
    </row>
    <row r="254" spans="2:5" ht="25.5" customHeight="1" x14ac:dyDescent="0.2">
      <c r="B254" s="43"/>
      <c r="C254" s="260"/>
      <c r="D254" s="260"/>
      <c r="E254" s="260"/>
    </row>
    <row r="255" spans="2:5" ht="13.5" thickBot="1" x14ac:dyDescent="0.25">
      <c r="B255" s="43" t="s">
        <v>17</v>
      </c>
      <c r="C255" s="41"/>
      <c r="D255" s="83"/>
      <c r="E255" s="42"/>
    </row>
    <row r="256" spans="2:5" ht="13.5" thickBot="1" x14ac:dyDescent="0.25">
      <c r="B256" s="252" t="s">
        <v>136</v>
      </c>
      <c r="C256" s="256"/>
      <c r="D256" s="256"/>
      <c r="E256" s="253"/>
    </row>
    <row r="257" spans="2:5" ht="13.5" thickBot="1" x14ac:dyDescent="0.25">
      <c r="B257" s="252" t="s">
        <v>137</v>
      </c>
      <c r="C257" s="253"/>
      <c r="D257" s="80" t="s">
        <v>11</v>
      </c>
      <c r="E257" s="80" t="s">
        <v>138</v>
      </c>
    </row>
    <row r="258" spans="2:5" x14ac:dyDescent="0.2">
      <c r="B258" s="254" t="str">
        <f>'[1]COMEDORES EMERGENTES'!$B$3</f>
        <v>UNA SONRISA AV. LOS COBACHO</v>
      </c>
      <c r="C258" s="255"/>
      <c r="D258" s="124">
        <v>29</v>
      </c>
      <c r="E258" s="125" t="str">
        <f>'[1]COMEDORES EMERGENTES'!$G$3</f>
        <v>Bº SAN CARLOS OESTE AV. Bonifacio cobacho 670</v>
      </c>
    </row>
    <row r="259" spans="2:5" x14ac:dyDescent="0.2">
      <c r="B259" s="247" t="str">
        <f>'[1]COMEDORES EMERGENTES'!$B$4</f>
        <v>C.I.F Nº1 - RIVERA DEL VALLE Y FLORIDA</v>
      </c>
      <c r="C259" s="248"/>
      <c r="D259" s="119">
        <v>41</v>
      </c>
      <c r="E259" s="120" t="str">
        <f>'[1]COMEDORES EMERGENTES'!$G$4</f>
        <v>AV. RIVIERA DEL VALLE ENTRE FLORIDA Y SANTA FE</v>
      </c>
    </row>
    <row r="260" spans="2:5" x14ac:dyDescent="0.2">
      <c r="B260" s="247" t="str">
        <f>'[1]COMEDORES EMERGENTES'!$B$5</f>
        <v>C.I.F - RIVERA DEL VALLE - DILORENZO</v>
      </c>
      <c r="C260" s="248"/>
      <c r="D260" s="119">
        <v>49</v>
      </c>
      <c r="E260" s="120" t="str">
        <f>'[1]COMEDORES EMERGENTES'!$G$5</f>
        <v>Bº RIVERA DEL VALLE ENTRE VILLA EUMELIA Y MONTE CRISTO</v>
      </c>
    </row>
    <row r="261" spans="2:5" x14ac:dyDescent="0.2">
      <c r="B261" s="247" t="str">
        <f>'[1]COMEDORES EMERGENTES'!$B$6</f>
        <v>ESFUERZO PROPIO- Bº ALTOS DE CHOYA</v>
      </c>
      <c r="C261" s="248"/>
      <c r="D261" s="119">
        <v>40</v>
      </c>
      <c r="E261" s="120" t="str">
        <f>'[1]COMEDORES EMERGENTES'!$G$6</f>
        <v>Bº MUNICIPAL 35VV. NORTE C/14</v>
      </c>
    </row>
    <row r="262" spans="2:5" x14ac:dyDescent="0.2">
      <c r="B262" s="247" t="str">
        <f>'[1]COMEDORES EMERGENTES'!$B$7</f>
        <v>ANGELITOS - LOTEO SUSSEX</v>
      </c>
      <c r="C262" s="248"/>
      <c r="D262" s="119">
        <v>18</v>
      </c>
      <c r="E262" s="120" t="str">
        <f>'[1]COMEDORES EMERGENTES'!$G$7</f>
        <v>Bº LOTEO SUSEX MZA.Nº 4 LOTE Nº3</v>
      </c>
    </row>
    <row r="263" spans="2:5" x14ac:dyDescent="0.2">
      <c r="B263" s="247" t="str">
        <f>'[1]COMEDORES EMERGENTES'!$B$8</f>
        <v>CLUB DEPORTIVO CHACARITA</v>
      </c>
      <c r="C263" s="248"/>
      <c r="D263" s="119">
        <v>23</v>
      </c>
      <c r="E263" s="120" t="str">
        <f>'[1]COMEDORES EMERGENTES'!$G$8</f>
        <v>CALLE DR.DERMIDIO GALINDEZ C/2660</v>
      </c>
    </row>
    <row r="264" spans="2:5" x14ac:dyDescent="0.2">
      <c r="B264" s="247" t="str">
        <f>'[1]COMEDORES EMERGENTES'!$B$9</f>
        <v>LA MORO</v>
      </c>
      <c r="C264" s="248"/>
      <c r="D264" s="119">
        <v>22</v>
      </c>
      <c r="E264" s="120" t="str">
        <f>'[1]COMEDORES EMERGENTES'!$G$9</f>
        <v>MAIPU NORTE 1º ETAPA MZA "H" Bº MI JARDIN</v>
      </c>
    </row>
    <row r="265" spans="2:5" x14ac:dyDescent="0.2">
      <c r="B265" s="247" t="str">
        <f>'[1]COMEDORES EMERGENTES'!$B$10</f>
        <v>PAPA FRANCISCO</v>
      </c>
      <c r="C265" s="248"/>
      <c r="D265" s="119">
        <v>36</v>
      </c>
      <c r="E265" s="120" t="str">
        <f>'[1]COMEDORES EMERGENTES'!$G$10</f>
        <v>ENTRE AV.TEREBINTO Y AV.SAN JUAN LOTE "2" MZA. "B"</v>
      </c>
    </row>
    <row r="266" spans="2:5" x14ac:dyDescent="0.2">
      <c r="B266" s="247" t="str">
        <f>'[1]COMEDORES EMERGENTES'!$B$11</f>
        <v>E.P.C - 100 V.V NORTE</v>
      </c>
      <c r="C266" s="248"/>
      <c r="D266" s="119">
        <v>54</v>
      </c>
      <c r="E266" s="120" t="str">
        <f>'[1]COMEDORES EMERGENTES'!$G$11</f>
        <v>Bº VV NORTE C/48 ENTRE ESPAÑA Y FRANCIA</v>
      </c>
    </row>
    <row r="267" spans="2:5" x14ac:dyDescent="0.2">
      <c r="B267" s="247" t="str">
        <f>'[1]COMEDORES EMERGENTES'!$B$12</f>
        <v>HOGAR DE CRISTO - PADRE RAUL CONTRERAS</v>
      </c>
      <c r="C267" s="248"/>
      <c r="D267" s="119">
        <v>54</v>
      </c>
      <c r="E267" s="120" t="str">
        <f>'[1]COMEDORES EMERGENTES'!$G$12</f>
        <v>Bº SANTA MARTA MZA. "S" LOTE "M" C/39</v>
      </c>
    </row>
    <row r="268" spans="2:5" x14ac:dyDescent="0.2">
      <c r="B268" s="247" t="str">
        <f>'[1]COMEDORES EMERGENTES'!$B$13</f>
        <v>LA LUCIERNAGA</v>
      </c>
      <c r="C268" s="248"/>
      <c r="D268" s="119">
        <v>36</v>
      </c>
      <c r="E268" s="120" t="str">
        <f>'[1]COMEDORES EMERGENTES'!$G$13</f>
        <v>Bº 20 V.V NORTE C/3</v>
      </c>
    </row>
    <row r="269" spans="2:5" x14ac:dyDescent="0.2">
      <c r="B269" s="247" t="str">
        <f>'[1]COMEDORES EMERGENTES'!$B$14</f>
        <v>VALLE VIEJO - SUMALAO</v>
      </c>
      <c r="C269" s="248"/>
      <c r="D269" s="119">
        <v>63</v>
      </c>
      <c r="E269" s="120" t="str">
        <f>'[1]COMEDORES EMERGENTES'!$G$14</f>
        <v>PADRE SEGURA S/N</v>
      </c>
    </row>
    <row r="270" spans="2:5" x14ac:dyDescent="0.2">
      <c r="B270" s="247" t="str">
        <f>'[1]COMEDORES EMERGENTES'!$B$15</f>
        <v>NUESTRO FUTURO - LAS VIAS</v>
      </c>
      <c r="C270" s="248"/>
      <c r="D270" s="119">
        <v>36</v>
      </c>
      <c r="E270" s="120" t="str">
        <f>'[1]COMEDORES EMERGENTES'!$G$15</f>
        <v>Bº LAS VIAS OESTE LOTE 42</v>
      </c>
    </row>
    <row r="271" spans="2:5" x14ac:dyDescent="0.2">
      <c r="B271" s="247" t="str">
        <f>'[1]COMEDORES EMERGENTES'!$B$16</f>
        <v>SAN JOSE OBRERO</v>
      </c>
      <c r="C271" s="248"/>
      <c r="D271" s="119">
        <v>23</v>
      </c>
      <c r="E271" s="120" t="str">
        <f>'[1]COMEDORES EMERGENTES'!$G$16</f>
        <v>Bº SAN JOSE OBRERO. PJE. SANDOVAL S/Nº</v>
      </c>
    </row>
    <row r="272" spans="2:5" x14ac:dyDescent="0.2">
      <c r="B272" s="247" t="str">
        <f>'[1]COMEDORES EMERGENTES'!$B$17</f>
        <v>VIRGEN DE LUJAN</v>
      </c>
      <c r="C272" s="248"/>
      <c r="D272" s="119">
        <v>36</v>
      </c>
      <c r="E272" s="120" t="str">
        <f>'[1]COMEDORES EMERGENTES'!$G$17</f>
        <v>Bº OJO DE AGUA C/DR.TEODULFO BARRIONUEVO S/Nº</v>
      </c>
    </row>
    <row r="273" spans="2:5" x14ac:dyDescent="0.2">
      <c r="B273" s="247" t="str">
        <f>'[1]COMEDORES EMERGENTES'!$B$18</f>
        <v>RENACER</v>
      </c>
      <c r="C273" s="248"/>
      <c r="D273" s="119">
        <v>45</v>
      </c>
      <c r="E273" s="120" t="str">
        <f>'[1]COMEDORES EMERGENTES'!$G$18</f>
        <v>Bº VIRGEN MORENITA</v>
      </c>
    </row>
    <row r="274" spans="2:5" x14ac:dyDescent="0.2">
      <c r="B274" s="247" t="str">
        <f>'[1]COMEDORES EMERGENTES'!$B$19</f>
        <v>CENTRO VECINAL MI JARDIN</v>
      </c>
      <c r="C274" s="248"/>
      <c r="D274" s="119">
        <v>32</v>
      </c>
      <c r="E274" s="120" t="str">
        <f>'[1]COMEDORES EMERGENTES'!$G$19</f>
        <v>C/ LOS TULIPANES ENTRE FLOR DE CEREZO Y HOLANDA MZA.27 Bº MI JARDIN</v>
      </c>
    </row>
    <row r="275" spans="2:5" x14ac:dyDescent="0.2">
      <c r="B275" s="247" t="str">
        <f>'[1]COMEDORES EMERGENTES'!$B$20</f>
        <v>LA VIEJA ESQUINA</v>
      </c>
      <c r="C275" s="248"/>
      <c r="D275" s="119">
        <v>31</v>
      </c>
      <c r="E275" s="120" t="str">
        <f>'[1]COMEDORES EMERGENTES'!$G$20</f>
        <v>B° CRISTO REY PJE CAPATAZ VILLAFAÑEZ Y ARMANDO CORREA</v>
      </c>
    </row>
    <row r="276" spans="2:5" x14ac:dyDescent="0.2">
      <c r="B276" s="247" t="str">
        <f>'[1]COMEDORES EMERGENTES'!$B$21</f>
        <v>GAUCHITO GIL</v>
      </c>
      <c r="C276" s="248"/>
      <c r="D276" s="119">
        <v>30</v>
      </c>
      <c r="E276" s="120" t="str">
        <f>'[1]COMEDORES EMERGENTES'!$G$21</f>
        <v>B° 26 VIVIENDAS CASA N° 3</v>
      </c>
    </row>
    <row r="277" spans="2:5" ht="13.5" thickBot="1" x14ac:dyDescent="0.25">
      <c r="B277" s="261" t="str">
        <f>'[1]COMEDORES EMERGENTES'!$B$22</f>
        <v>LOS TOLDOS</v>
      </c>
      <c r="C277" s="262"/>
      <c r="D277" s="126">
        <v>14</v>
      </c>
      <c r="E277" s="127" t="str">
        <f>'[1]COMEDORES EMERGENTES'!$G$22</f>
        <v>LOTEO PARQUE SUR CALLE S/NOMBRE S/N°</v>
      </c>
    </row>
    <row r="278" spans="2:5" x14ac:dyDescent="0.2">
      <c r="B278" s="43" t="s">
        <v>18</v>
      </c>
      <c r="C278" s="41"/>
      <c r="D278" s="83"/>
      <c r="E278" s="42"/>
    </row>
    <row r="279" spans="2:5" ht="12.75" customHeight="1" x14ac:dyDescent="0.2">
      <c r="B279" s="44"/>
      <c r="C279" s="260" t="s">
        <v>62</v>
      </c>
      <c r="D279" s="260"/>
      <c r="E279" s="260"/>
    </row>
    <row r="280" spans="2:5" x14ac:dyDescent="0.2">
      <c r="B280" s="43" t="s">
        <v>19</v>
      </c>
      <c r="C280" s="45"/>
      <c r="D280" s="45"/>
      <c r="E280" s="46"/>
    </row>
    <row r="281" spans="2:5" ht="14.25" customHeight="1" x14ac:dyDescent="0.2">
      <c r="B281" s="44"/>
      <c r="C281" s="260" t="s">
        <v>139</v>
      </c>
      <c r="D281" s="260"/>
      <c r="E281" s="260"/>
    </row>
    <row r="282" spans="2:5" x14ac:dyDescent="0.2">
      <c r="B282" s="43" t="s">
        <v>20</v>
      </c>
      <c r="C282" s="41"/>
      <c r="D282" s="83"/>
      <c r="E282" s="42"/>
    </row>
    <row r="283" spans="2:5" ht="11.25" customHeight="1" x14ac:dyDescent="0.2">
      <c r="B283" s="43"/>
      <c r="C283" s="246" t="s">
        <v>63</v>
      </c>
      <c r="D283" s="246"/>
      <c r="E283" s="246"/>
    </row>
    <row r="284" spans="2:5" ht="13.5" thickBot="1" x14ac:dyDescent="0.25">
      <c r="B284" s="47"/>
      <c r="C284" s="48"/>
      <c r="D284" s="84"/>
      <c r="E284" s="49"/>
    </row>
    <row r="285" spans="2:5" ht="13.5" thickBot="1" x14ac:dyDescent="0.25"/>
    <row r="286" spans="2:5" x14ac:dyDescent="0.2">
      <c r="B286" s="37" t="s">
        <v>144</v>
      </c>
      <c r="C286" s="38"/>
      <c r="D286" s="82"/>
      <c r="E286" s="39"/>
    </row>
    <row r="287" spans="2:5" ht="5.25" customHeight="1" x14ac:dyDescent="0.2">
      <c r="B287" s="40"/>
      <c r="C287" s="41"/>
      <c r="D287" s="83"/>
      <c r="E287" s="42"/>
    </row>
    <row r="288" spans="2:5" x14ac:dyDescent="0.2">
      <c r="B288" s="43" t="s">
        <v>16</v>
      </c>
      <c r="C288" s="41"/>
      <c r="D288" s="83"/>
      <c r="E288" s="42"/>
    </row>
    <row r="289" spans="2:5" ht="25.5" customHeight="1" x14ac:dyDescent="0.2">
      <c r="B289" s="43"/>
      <c r="C289" s="258"/>
      <c r="D289" s="258"/>
      <c r="E289" s="259"/>
    </row>
    <row r="290" spans="2:5" ht="13.5" thickBot="1" x14ac:dyDescent="0.25">
      <c r="B290" s="43" t="s">
        <v>17</v>
      </c>
      <c r="C290" s="41"/>
      <c r="D290" s="83"/>
      <c r="E290" s="42"/>
    </row>
    <row r="291" spans="2:5" ht="13.5" thickBot="1" x14ac:dyDescent="0.25">
      <c r="B291" s="252" t="s">
        <v>136</v>
      </c>
      <c r="C291" s="256"/>
      <c r="D291" s="256"/>
      <c r="E291" s="253"/>
    </row>
    <row r="292" spans="2:5" ht="13.5" thickBot="1" x14ac:dyDescent="0.25">
      <c r="B292" s="252" t="s">
        <v>137</v>
      </c>
      <c r="C292" s="253"/>
      <c r="D292" s="80" t="s">
        <v>11</v>
      </c>
      <c r="E292" s="80" t="s">
        <v>138</v>
      </c>
    </row>
    <row r="293" spans="2:5" x14ac:dyDescent="0.2">
      <c r="B293" s="254" t="str">
        <f>'[1]COMEDORES EMERGENTES'!$B$3</f>
        <v>UNA SONRISA AV. LOS COBACHO</v>
      </c>
      <c r="C293" s="255"/>
      <c r="D293" s="124">
        <v>8</v>
      </c>
      <c r="E293" s="125" t="str">
        <f>'[1]COMEDORES EMERGENTES'!$G$3</f>
        <v>Bº SAN CARLOS OESTE AV. Bonifacio cobacho 670</v>
      </c>
    </row>
    <row r="294" spans="2:5" x14ac:dyDescent="0.2">
      <c r="B294" s="247" t="str">
        <f>'[1]COMEDORES EMERGENTES'!$B$4</f>
        <v>C.I.F Nº1 - RIVERA DEL VALLE Y FLORIDA</v>
      </c>
      <c r="C294" s="248"/>
      <c r="D294" s="119">
        <v>12</v>
      </c>
      <c r="E294" s="120" t="str">
        <f>'[1]COMEDORES EMERGENTES'!$G$4</f>
        <v>AV. RIVIERA DEL VALLE ENTRE FLORIDA Y SANTA FE</v>
      </c>
    </row>
    <row r="295" spans="2:5" x14ac:dyDescent="0.2">
      <c r="B295" s="247" t="str">
        <f>'[1]COMEDORES EMERGENTES'!$B$5</f>
        <v>C.I.F - RIVERA DEL VALLE - DILORENZO</v>
      </c>
      <c r="C295" s="248"/>
      <c r="D295" s="119">
        <v>14</v>
      </c>
      <c r="E295" s="120" t="str">
        <f>'[1]COMEDORES EMERGENTES'!$G$5</f>
        <v>Bº RIVERA DEL VALLE ENTRE VILLA EUMELIA Y MONTE CRISTO</v>
      </c>
    </row>
    <row r="296" spans="2:5" x14ac:dyDescent="0.2">
      <c r="B296" s="247" t="str">
        <f>'[1]COMEDORES EMERGENTES'!$B$6</f>
        <v>ESFUERZO PROPIO- Bº ALTOS DE CHOYA</v>
      </c>
      <c r="C296" s="248"/>
      <c r="D296" s="119">
        <v>11</v>
      </c>
      <c r="E296" s="120" t="str">
        <f>'[1]COMEDORES EMERGENTES'!$G$6</f>
        <v>Bº MUNICIPAL 35VV. NORTE C/14</v>
      </c>
    </row>
    <row r="297" spans="2:5" x14ac:dyDescent="0.2">
      <c r="B297" s="247" t="str">
        <f>'[1]COMEDORES EMERGENTES'!$B$7</f>
        <v>ANGELITOS - LOTEO SUSSEX</v>
      </c>
      <c r="C297" s="248"/>
      <c r="D297" s="119">
        <v>5</v>
      </c>
      <c r="E297" s="120" t="str">
        <f>'[1]COMEDORES EMERGENTES'!$G$7</f>
        <v>Bº LOTEO SUSEX MZA.Nº 4 LOTE Nº3</v>
      </c>
    </row>
    <row r="298" spans="2:5" x14ac:dyDescent="0.2">
      <c r="B298" s="247" t="str">
        <f>'[1]COMEDORES EMERGENTES'!$B$8</f>
        <v>CLUB DEPORTIVO CHACARITA</v>
      </c>
      <c r="C298" s="248"/>
      <c r="D298" s="119">
        <v>7</v>
      </c>
      <c r="E298" s="120" t="str">
        <f>'[1]COMEDORES EMERGENTES'!$G$8</f>
        <v>CALLE DR.DERMIDIO GALINDEZ C/2660</v>
      </c>
    </row>
    <row r="299" spans="2:5" x14ac:dyDescent="0.2">
      <c r="B299" s="247" t="str">
        <f>'[1]COMEDORES EMERGENTES'!$B$9</f>
        <v>LA MORO</v>
      </c>
      <c r="C299" s="248"/>
      <c r="D299" s="119">
        <v>6</v>
      </c>
      <c r="E299" s="120" t="str">
        <f>'[1]COMEDORES EMERGENTES'!$G$9</f>
        <v>MAIPU NORTE 1º ETAPA MZA "H" Bº MI JARDIN</v>
      </c>
    </row>
    <row r="300" spans="2:5" x14ac:dyDescent="0.2">
      <c r="B300" s="247" t="str">
        <f>'[1]COMEDORES EMERGENTES'!$B$10</f>
        <v>PAPA FRANCISCO</v>
      </c>
      <c r="C300" s="248"/>
      <c r="D300" s="119">
        <v>10</v>
      </c>
      <c r="E300" s="120" t="str">
        <f>'[1]COMEDORES EMERGENTES'!$G$10</f>
        <v>ENTRE AV.TEREBINTO Y AV.SAN JUAN LOTE "2" MZA. "B"</v>
      </c>
    </row>
    <row r="301" spans="2:5" x14ac:dyDescent="0.2">
      <c r="B301" s="247" t="str">
        <f>'[1]COMEDORES EMERGENTES'!$B$11</f>
        <v>E.P.C - 100 V.V NORTE</v>
      </c>
      <c r="C301" s="248"/>
      <c r="D301" s="119">
        <v>15</v>
      </c>
      <c r="E301" s="120" t="str">
        <f>'[1]COMEDORES EMERGENTES'!$G$11</f>
        <v>Bº VV NORTE C/48 ENTRE ESPAÑA Y FRANCIA</v>
      </c>
    </row>
    <row r="302" spans="2:5" x14ac:dyDescent="0.2">
      <c r="B302" s="247" t="str">
        <f>'[1]COMEDORES EMERGENTES'!$B$12</f>
        <v>HOGAR DE CRISTO - PADRE RAUL CONTRERAS</v>
      </c>
      <c r="C302" s="248"/>
      <c r="D302" s="119">
        <v>15</v>
      </c>
      <c r="E302" s="120" t="str">
        <f>'[1]COMEDORES EMERGENTES'!$G$12</f>
        <v>Bº SANTA MARTA MZA. "S" LOTE "M" C/39</v>
      </c>
    </row>
    <row r="303" spans="2:5" x14ac:dyDescent="0.2">
      <c r="B303" s="247" t="str">
        <f>'[1]COMEDORES EMERGENTES'!$B$13</f>
        <v>LA LUCIERNAGA</v>
      </c>
      <c r="C303" s="248"/>
      <c r="D303" s="119">
        <v>10</v>
      </c>
      <c r="E303" s="120" t="str">
        <f>'[1]COMEDORES EMERGENTES'!$G$13</f>
        <v>Bº 20 V.V NORTE C/3</v>
      </c>
    </row>
    <row r="304" spans="2:5" x14ac:dyDescent="0.2">
      <c r="B304" s="247" t="str">
        <f>'[1]COMEDORES EMERGENTES'!$B$14</f>
        <v>VALLE VIEJO - SUMALAO</v>
      </c>
      <c r="C304" s="248"/>
      <c r="D304" s="119">
        <v>18</v>
      </c>
      <c r="E304" s="120" t="str">
        <f>'[1]COMEDORES EMERGENTES'!$G$14</f>
        <v>PADRE SEGURA S/N</v>
      </c>
    </row>
    <row r="305" spans="2:5" x14ac:dyDescent="0.2">
      <c r="B305" s="247" t="str">
        <f>'[1]COMEDORES EMERGENTES'!$B$15</f>
        <v>NUESTRO FUTURO - LAS VIAS</v>
      </c>
      <c r="C305" s="248"/>
      <c r="D305" s="119">
        <v>10</v>
      </c>
      <c r="E305" s="120" t="str">
        <f>'[1]COMEDORES EMERGENTES'!$G$15</f>
        <v>Bº LAS VIAS OESTE LOTE 42</v>
      </c>
    </row>
    <row r="306" spans="2:5" x14ac:dyDescent="0.2">
      <c r="B306" s="247" t="str">
        <f>'[1]COMEDORES EMERGENTES'!$B$16</f>
        <v>SAN JOSE OBRERO</v>
      </c>
      <c r="C306" s="248"/>
      <c r="D306" s="119">
        <v>7</v>
      </c>
      <c r="E306" s="120" t="str">
        <f>'[1]COMEDORES EMERGENTES'!$G$16</f>
        <v>Bº SAN JOSE OBRERO. PJE. SANDOVAL S/Nº</v>
      </c>
    </row>
    <row r="307" spans="2:5" x14ac:dyDescent="0.2">
      <c r="B307" s="247" t="str">
        <f>'[1]COMEDORES EMERGENTES'!$B$17</f>
        <v>VIRGEN DE LUJAN</v>
      </c>
      <c r="C307" s="248"/>
      <c r="D307" s="119">
        <v>10</v>
      </c>
      <c r="E307" s="120" t="str">
        <f>'[1]COMEDORES EMERGENTES'!$G$17</f>
        <v>Bº OJO DE AGUA C/DR.TEODULFO BARRIONUEVO S/Nº</v>
      </c>
    </row>
    <row r="308" spans="2:5" x14ac:dyDescent="0.2">
      <c r="B308" s="247" t="str">
        <f>'[1]COMEDORES EMERGENTES'!$B$18</f>
        <v>RENACER</v>
      </c>
      <c r="C308" s="248"/>
      <c r="D308" s="119">
        <v>13</v>
      </c>
      <c r="E308" s="120" t="str">
        <f>'[1]COMEDORES EMERGENTES'!$G$18</f>
        <v>Bº VIRGEN MORENITA</v>
      </c>
    </row>
    <row r="309" spans="2:5" x14ac:dyDescent="0.2">
      <c r="B309" s="247" t="str">
        <f>'[1]COMEDORES EMERGENTES'!$B$19</f>
        <v>CENTRO VECINAL MI JARDIN</v>
      </c>
      <c r="C309" s="248"/>
      <c r="D309" s="119">
        <v>9</v>
      </c>
      <c r="E309" s="120" t="str">
        <f>'[1]COMEDORES EMERGENTES'!$G$19</f>
        <v>C/ LOS TULIPANES ENTRE FLOR DE CEREZO Y HOLANDA MZA.27 Bº MI JARDIN</v>
      </c>
    </row>
    <row r="310" spans="2:5" x14ac:dyDescent="0.2">
      <c r="B310" s="247" t="str">
        <f>'[1]COMEDORES EMERGENTES'!$B$20</f>
        <v>LA VIEJA ESQUINA</v>
      </c>
      <c r="C310" s="248"/>
      <c r="D310" s="119">
        <v>9</v>
      </c>
      <c r="E310" s="120" t="str">
        <f>'[1]COMEDORES EMERGENTES'!$G$20</f>
        <v>B° CRISTO REY PJE CAPATAZ VILLAFAÑEZ Y ARMANDO CORREA</v>
      </c>
    </row>
    <row r="311" spans="2:5" x14ac:dyDescent="0.2">
      <c r="B311" s="247" t="str">
        <f>'[1]COMEDORES EMERGENTES'!$B$21</f>
        <v>GAUCHITO GIL</v>
      </c>
      <c r="C311" s="248"/>
      <c r="D311" s="119">
        <v>8</v>
      </c>
      <c r="E311" s="120" t="str">
        <f>'[1]COMEDORES EMERGENTES'!$G$21</f>
        <v>B° 26 VIVIENDAS CASA N° 3</v>
      </c>
    </row>
    <row r="312" spans="2:5" ht="13.5" thickBot="1" x14ac:dyDescent="0.25">
      <c r="B312" s="261" t="str">
        <f>'[1]COMEDORES EMERGENTES'!$B$22</f>
        <v>LOS TOLDOS</v>
      </c>
      <c r="C312" s="262"/>
      <c r="D312" s="126">
        <v>4</v>
      </c>
      <c r="E312" s="127" t="str">
        <f>'[1]COMEDORES EMERGENTES'!$G$22</f>
        <v>LOTEO PARQUE SUR CALLE S/NOMBRE S/N°</v>
      </c>
    </row>
    <row r="313" spans="2:5" x14ac:dyDescent="0.2">
      <c r="B313" s="43" t="s">
        <v>18</v>
      </c>
      <c r="C313" s="41"/>
      <c r="D313" s="83"/>
      <c r="E313" s="42"/>
    </row>
    <row r="314" spans="2:5" ht="12.75" customHeight="1" x14ac:dyDescent="0.2">
      <c r="B314" s="44"/>
      <c r="C314" s="260" t="s">
        <v>62</v>
      </c>
      <c r="D314" s="260"/>
      <c r="E314" s="260"/>
    </row>
    <row r="315" spans="2:5" x14ac:dyDescent="0.2">
      <c r="B315" s="43" t="s">
        <v>19</v>
      </c>
      <c r="C315" s="45"/>
      <c r="D315" s="45"/>
      <c r="E315" s="46"/>
    </row>
    <row r="316" spans="2:5" ht="14.25" customHeight="1" x14ac:dyDescent="0.2">
      <c r="B316" s="44"/>
      <c r="C316" s="260" t="s">
        <v>139</v>
      </c>
      <c r="D316" s="260"/>
      <c r="E316" s="260"/>
    </row>
    <row r="317" spans="2:5" x14ac:dyDescent="0.2">
      <c r="B317" s="43" t="s">
        <v>20</v>
      </c>
      <c r="C317" s="41"/>
      <c r="D317" s="83"/>
      <c r="E317" s="42"/>
    </row>
    <row r="318" spans="2:5" ht="11.25" customHeight="1" x14ac:dyDescent="0.2">
      <c r="B318" s="43"/>
      <c r="C318" s="246" t="s">
        <v>63</v>
      </c>
      <c r="D318" s="246"/>
      <c r="E318" s="246"/>
    </row>
    <row r="319" spans="2:5" ht="13.5" thickBot="1" x14ac:dyDescent="0.25">
      <c r="B319" s="47"/>
      <c r="C319" s="48"/>
      <c r="D319" s="84"/>
      <c r="E319" s="49"/>
    </row>
    <row r="320" spans="2:5" ht="13.5" thickBot="1" x14ac:dyDescent="0.25"/>
    <row r="321" spans="2:5" x14ac:dyDescent="0.2">
      <c r="B321" s="37" t="s">
        <v>145</v>
      </c>
      <c r="C321" s="38"/>
      <c r="D321" s="82"/>
      <c r="E321" s="39"/>
    </row>
    <row r="322" spans="2:5" ht="5.25" customHeight="1" x14ac:dyDescent="0.2">
      <c r="B322" s="40"/>
      <c r="C322" s="41"/>
      <c r="D322" s="83"/>
      <c r="E322" s="42"/>
    </row>
    <row r="323" spans="2:5" x14ac:dyDescent="0.2">
      <c r="B323" s="43" t="s">
        <v>16</v>
      </c>
      <c r="C323" s="41"/>
      <c r="D323" s="83"/>
      <c r="E323" s="42"/>
    </row>
    <row r="324" spans="2:5" ht="25.5" customHeight="1" x14ac:dyDescent="0.2">
      <c r="B324" s="43"/>
      <c r="C324" s="260"/>
      <c r="D324" s="260"/>
      <c r="E324" s="260"/>
    </row>
    <row r="325" spans="2:5" ht="13.5" thickBot="1" x14ac:dyDescent="0.25">
      <c r="B325" s="43" t="s">
        <v>17</v>
      </c>
      <c r="C325" s="41"/>
      <c r="D325" s="83"/>
      <c r="E325" s="42"/>
    </row>
    <row r="326" spans="2:5" ht="13.5" thickBot="1" x14ac:dyDescent="0.25">
      <c r="B326" s="252" t="s">
        <v>136</v>
      </c>
      <c r="C326" s="256"/>
      <c r="D326" s="256"/>
      <c r="E326" s="253"/>
    </row>
    <row r="327" spans="2:5" ht="13.5" thickBot="1" x14ac:dyDescent="0.25">
      <c r="B327" s="252" t="s">
        <v>137</v>
      </c>
      <c r="C327" s="253"/>
      <c r="D327" s="80" t="s">
        <v>11</v>
      </c>
      <c r="E327" s="80" t="s">
        <v>138</v>
      </c>
    </row>
    <row r="328" spans="2:5" x14ac:dyDescent="0.2">
      <c r="B328" s="254" t="str">
        <f>'[1]COMEDORES EMERGENTES'!$B$3</f>
        <v>UNA SONRISA AV. LOS COBACHO</v>
      </c>
      <c r="C328" s="255"/>
      <c r="D328" s="124" t="s">
        <v>175</v>
      </c>
      <c r="E328" s="125" t="str">
        <f>'[1]COMEDORES EMERGENTES'!$G$3</f>
        <v>Bº SAN CARLOS OESTE AV. Bonifacio cobacho 670</v>
      </c>
    </row>
    <row r="329" spans="2:5" x14ac:dyDescent="0.2">
      <c r="B329" s="247" t="str">
        <f>'[1]COMEDORES EMERGENTES'!$B$4</f>
        <v>C.I.F Nº1 - RIVERA DEL VALLE Y FLORIDA</v>
      </c>
      <c r="C329" s="248"/>
      <c r="D329" s="119" t="s">
        <v>203</v>
      </c>
      <c r="E329" s="120" t="str">
        <f>'[1]COMEDORES EMERGENTES'!$G$4</f>
        <v>AV. RIVIERA DEL VALLE ENTRE FLORIDA Y SANTA FE</v>
      </c>
    </row>
    <row r="330" spans="2:5" x14ac:dyDescent="0.2">
      <c r="B330" s="247" t="str">
        <f>'[1]COMEDORES EMERGENTES'!$B$5</f>
        <v>C.I.F - RIVERA DEL VALLE - DILORENZO</v>
      </c>
      <c r="C330" s="248"/>
      <c r="D330" s="119" t="s">
        <v>204</v>
      </c>
      <c r="E330" s="120" t="str">
        <f>'[1]COMEDORES EMERGENTES'!$G$5</f>
        <v>Bº RIVERA DEL VALLE ENTRE VILLA EUMELIA Y MONTE CRISTO</v>
      </c>
    </row>
    <row r="331" spans="2:5" x14ac:dyDescent="0.2">
      <c r="B331" s="247" t="str">
        <f>'[1]COMEDORES EMERGENTES'!$B$6</f>
        <v>ESFUERZO PROPIO- Bº ALTOS DE CHOYA</v>
      </c>
      <c r="C331" s="248"/>
      <c r="D331" s="119" t="s">
        <v>205</v>
      </c>
      <c r="E331" s="120" t="str">
        <f>'[1]COMEDORES EMERGENTES'!$G$6</f>
        <v>Bº MUNICIPAL 35VV. NORTE C/14</v>
      </c>
    </row>
    <row r="332" spans="2:5" x14ac:dyDescent="0.2">
      <c r="B332" s="247" t="str">
        <f>'[1]COMEDORES EMERGENTES'!$B$7</f>
        <v>ANGELITOS - LOTEO SUSSEX</v>
      </c>
      <c r="C332" s="248"/>
      <c r="D332" s="119" t="s">
        <v>186</v>
      </c>
      <c r="E332" s="120" t="str">
        <f>'[1]COMEDORES EMERGENTES'!$G$7</f>
        <v>Bº LOTEO SUSEX MZA.Nº 4 LOTE Nº3</v>
      </c>
    </row>
    <row r="333" spans="2:5" x14ac:dyDescent="0.2">
      <c r="B333" s="247" t="str">
        <f>'[1]COMEDORES EMERGENTES'!$B$8</f>
        <v>CLUB DEPORTIVO CHACARITA</v>
      </c>
      <c r="C333" s="248"/>
      <c r="D333" s="119" t="s">
        <v>196</v>
      </c>
      <c r="E333" s="120" t="str">
        <f>'[1]COMEDORES EMERGENTES'!$G$8</f>
        <v>CALLE DR.DERMIDIO GALINDEZ C/2660</v>
      </c>
    </row>
    <row r="334" spans="2:5" x14ac:dyDescent="0.2">
      <c r="B334" s="247" t="str">
        <f>'[1]COMEDORES EMERGENTES'!$B$9</f>
        <v>LA MORO</v>
      </c>
      <c r="C334" s="248"/>
      <c r="D334" s="119" t="s">
        <v>197</v>
      </c>
      <c r="E334" s="120" t="str">
        <f>'[1]COMEDORES EMERGENTES'!$G$9</f>
        <v>MAIPU NORTE 1º ETAPA MZA "H" Bº MI JARDIN</v>
      </c>
    </row>
    <row r="335" spans="2:5" x14ac:dyDescent="0.2">
      <c r="B335" s="247" t="str">
        <f>'[1]COMEDORES EMERGENTES'!$B$10</f>
        <v>PAPA FRANCISCO</v>
      </c>
      <c r="C335" s="248"/>
      <c r="D335" s="119" t="s">
        <v>206</v>
      </c>
      <c r="E335" s="120" t="str">
        <f>'[1]COMEDORES EMERGENTES'!$G$10</f>
        <v>ENTRE AV.TEREBINTO Y AV.SAN JUAN LOTE "2" MZA. "B"</v>
      </c>
    </row>
    <row r="336" spans="2:5" x14ac:dyDescent="0.2">
      <c r="B336" s="247" t="str">
        <f>'[1]COMEDORES EMERGENTES'!$B$11</f>
        <v>E.P.C - 100 V.V NORTE</v>
      </c>
      <c r="C336" s="248"/>
      <c r="D336" s="119" t="s">
        <v>207</v>
      </c>
      <c r="E336" s="120" t="str">
        <f>'[1]COMEDORES EMERGENTES'!$G$11</f>
        <v>Bº VV NORTE C/48 ENTRE ESPAÑA Y FRANCIA</v>
      </c>
    </row>
    <row r="337" spans="2:5" x14ac:dyDescent="0.2">
      <c r="B337" s="247" t="str">
        <f>'[1]COMEDORES EMERGENTES'!$B$12</f>
        <v>HOGAR DE CRISTO - PADRE RAUL CONTRERAS</v>
      </c>
      <c r="C337" s="248"/>
      <c r="D337" s="119" t="s">
        <v>207</v>
      </c>
      <c r="E337" s="120" t="str">
        <f>'[1]COMEDORES EMERGENTES'!$G$12</f>
        <v>Bº SANTA MARTA MZA. "S" LOTE "M" C/39</v>
      </c>
    </row>
    <row r="338" spans="2:5" x14ac:dyDescent="0.2">
      <c r="B338" s="247" t="str">
        <f>'[1]COMEDORES EMERGENTES'!$B$13</f>
        <v>LA LUCIERNAGA</v>
      </c>
      <c r="C338" s="248"/>
      <c r="D338" s="119" t="s">
        <v>206</v>
      </c>
      <c r="E338" s="120" t="str">
        <f>'[1]COMEDORES EMERGENTES'!$G$13</f>
        <v>Bº 20 V.V NORTE C/3</v>
      </c>
    </row>
    <row r="339" spans="2:5" x14ac:dyDescent="0.2">
      <c r="B339" s="247" t="str">
        <f>'[1]COMEDORES EMERGENTES'!$B$14</f>
        <v>VALLE VIEJO - SUMALAO</v>
      </c>
      <c r="C339" s="248"/>
      <c r="D339" s="119" t="s">
        <v>208</v>
      </c>
      <c r="E339" s="120" t="str">
        <f>'[1]COMEDORES EMERGENTES'!$G$14</f>
        <v>PADRE SEGURA S/N</v>
      </c>
    </row>
    <row r="340" spans="2:5" x14ac:dyDescent="0.2">
      <c r="B340" s="247" t="str">
        <f>'[1]COMEDORES EMERGENTES'!$B$15</f>
        <v>NUESTRO FUTURO - LAS VIAS</v>
      </c>
      <c r="C340" s="248"/>
      <c r="D340" s="119" t="s">
        <v>206</v>
      </c>
      <c r="E340" s="120" t="str">
        <f>'[1]COMEDORES EMERGENTES'!$G$15</f>
        <v>Bº LAS VIAS OESTE LOTE 42</v>
      </c>
    </row>
    <row r="341" spans="2:5" x14ac:dyDescent="0.2">
      <c r="B341" s="247" t="str">
        <f>'[1]COMEDORES EMERGENTES'!$B$16</f>
        <v>SAN JOSE OBRERO</v>
      </c>
      <c r="C341" s="248"/>
      <c r="D341" s="119" t="s">
        <v>196</v>
      </c>
      <c r="E341" s="120" t="str">
        <f>'[1]COMEDORES EMERGENTES'!$G$16</f>
        <v>Bº SAN JOSE OBRERO. PJE. SANDOVAL S/Nº</v>
      </c>
    </row>
    <row r="342" spans="2:5" x14ac:dyDescent="0.2">
      <c r="B342" s="247" t="str">
        <f>'[1]COMEDORES EMERGENTES'!$B$17</f>
        <v>VIRGEN DE LUJAN</v>
      </c>
      <c r="C342" s="248"/>
      <c r="D342" s="119" t="s">
        <v>206</v>
      </c>
      <c r="E342" s="120" t="str">
        <f>'[1]COMEDORES EMERGENTES'!$G$17</f>
        <v>Bº OJO DE AGUA C/DR.TEODULFO BARRIONUEVO S/Nº</v>
      </c>
    </row>
    <row r="343" spans="2:5" x14ac:dyDescent="0.2">
      <c r="B343" s="247" t="str">
        <f>'[1]COMEDORES EMERGENTES'!$B$18</f>
        <v>RENACER</v>
      </c>
      <c r="C343" s="248"/>
      <c r="D343" s="119" t="s">
        <v>194</v>
      </c>
      <c r="E343" s="120" t="str">
        <f>'[1]COMEDORES EMERGENTES'!$G$18</f>
        <v>Bº VIRGEN MORENITA</v>
      </c>
    </row>
    <row r="344" spans="2:5" x14ac:dyDescent="0.2">
      <c r="B344" s="247" t="str">
        <f>'[1]COMEDORES EMERGENTES'!$B$19</f>
        <v>CENTRO VECINAL MI JARDIN</v>
      </c>
      <c r="C344" s="248"/>
      <c r="D344" s="119" t="s">
        <v>195</v>
      </c>
      <c r="E344" s="120" t="str">
        <f>'[1]COMEDORES EMERGENTES'!$G$19</f>
        <v>C/ LOS TULIPANES ENTRE FLOR DE CEREZO Y HOLANDA MZA.27 Bº MI JARDIN</v>
      </c>
    </row>
    <row r="345" spans="2:5" x14ac:dyDescent="0.2">
      <c r="B345" s="247" t="str">
        <f>'[1]COMEDORES EMERGENTES'!$B$20</f>
        <v>LA VIEJA ESQUINA</v>
      </c>
      <c r="C345" s="248"/>
      <c r="D345" s="119" t="s">
        <v>209</v>
      </c>
      <c r="E345" s="120" t="str">
        <f>'[1]COMEDORES EMERGENTES'!$G$20</f>
        <v>B° CRISTO REY PJE CAPATAZ VILLAFAÑEZ Y ARMANDO CORREA</v>
      </c>
    </row>
    <row r="346" spans="2:5" x14ac:dyDescent="0.2">
      <c r="B346" s="247" t="str">
        <f>'[1]COMEDORES EMERGENTES'!$B$21</f>
        <v>GAUCHITO GIL</v>
      </c>
      <c r="C346" s="248"/>
      <c r="D346" s="119" t="s">
        <v>210</v>
      </c>
      <c r="E346" s="120" t="str">
        <f>'[1]COMEDORES EMERGENTES'!$G$21</f>
        <v>B° 26 VIVIENDAS CASA N° 3</v>
      </c>
    </row>
    <row r="347" spans="2:5" ht="13.5" thickBot="1" x14ac:dyDescent="0.25">
      <c r="B347" s="261" t="str">
        <f>'[1]COMEDORES EMERGENTES'!$B$22</f>
        <v>LOS TOLDOS</v>
      </c>
      <c r="C347" s="262"/>
      <c r="D347" s="126" t="s">
        <v>184</v>
      </c>
      <c r="E347" s="127" t="str">
        <f>'[1]COMEDORES EMERGENTES'!$G$22</f>
        <v>LOTEO PARQUE SUR CALLE S/NOMBRE S/N°</v>
      </c>
    </row>
    <row r="348" spans="2:5" x14ac:dyDescent="0.2">
      <c r="B348" s="43" t="s">
        <v>18</v>
      </c>
      <c r="C348" s="41"/>
      <c r="D348" s="83"/>
      <c r="E348" s="42"/>
    </row>
    <row r="349" spans="2:5" ht="12.75" customHeight="1" x14ac:dyDescent="0.2">
      <c r="B349" s="44"/>
      <c r="C349" s="260" t="s">
        <v>62</v>
      </c>
      <c r="D349" s="260"/>
      <c r="E349" s="260"/>
    </row>
    <row r="350" spans="2:5" x14ac:dyDescent="0.2">
      <c r="B350" s="43" t="s">
        <v>19</v>
      </c>
      <c r="C350" s="45"/>
      <c r="D350" s="45"/>
      <c r="E350" s="46"/>
    </row>
    <row r="351" spans="2:5" ht="14.25" customHeight="1" x14ac:dyDescent="0.2">
      <c r="B351" s="44"/>
      <c r="C351" s="260" t="s">
        <v>139</v>
      </c>
      <c r="D351" s="260"/>
      <c r="E351" s="260"/>
    </row>
    <row r="352" spans="2:5" x14ac:dyDescent="0.2">
      <c r="B352" s="43" t="s">
        <v>20</v>
      </c>
      <c r="C352" s="41"/>
      <c r="D352" s="83"/>
      <c r="E352" s="42"/>
    </row>
    <row r="353" spans="2:5" ht="11.25" customHeight="1" x14ac:dyDescent="0.2">
      <c r="B353" s="43"/>
      <c r="C353" s="246" t="s">
        <v>63</v>
      </c>
      <c r="D353" s="246"/>
      <c r="E353" s="246"/>
    </row>
    <row r="354" spans="2:5" ht="13.5" thickBot="1" x14ac:dyDescent="0.25">
      <c r="B354" s="47"/>
      <c r="C354" s="48"/>
      <c r="D354" s="84"/>
      <c r="E354" s="49"/>
    </row>
    <row r="355" spans="2:5" ht="13.5" thickBot="1" x14ac:dyDescent="0.25"/>
    <row r="356" spans="2:5" x14ac:dyDescent="0.2">
      <c r="B356" s="37" t="s">
        <v>146</v>
      </c>
      <c r="C356" s="38"/>
      <c r="D356" s="82"/>
      <c r="E356" s="39"/>
    </row>
    <row r="357" spans="2:5" ht="5.25" customHeight="1" x14ac:dyDescent="0.2">
      <c r="B357" s="40"/>
      <c r="C357" s="41"/>
      <c r="D357" s="83"/>
      <c r="E357" s="42"/>
    </row>
    <row r="358" spans="2:5" x14ac:dyDescent="0.2">
      <c r="B358" s="43" t="s">
        <v>16</v>
      </c>
      <c r="C358" s="41"/>
      <c r="D358" s="83"/>
      <c r="E358" s="42"/>
    </row>
    <row r="359" spans="2:5" ht="25.5" customHeight="1" x14ac:dyDescent="0.2">
      <c r="B359" s="43"/>
      <c r="C359" s="260"/>
      <c r="D359" s="260"/>
      <c r="E359" s="260"/>
    </row>
    <row r="360" spans="2:5" ht="13.5" thickBot="1" x14ac:dyDescent="0.25">
      <c r="B360" s="43" t="s">
        <v>17</v>
      </c>
      <c r="C360" s="41"/>
      <c r="D360" s="83"/>
      <c r="E360" s="42"/>
    </row>
    <row r="361" spans="2:5" ht="13.5" thickBot="1" x14ac:dyDescent="0.25">
      <c r="B361" s="252" t="s">
        <v>136</v>
      </c>
      <c r="C361" s="256"/>
      <c r="D361" s="256"/>
      <c r="E361" s="253"/>
    </row>
    <row r="362" spans="2:5" ht="13.5" thickBot="1" x14ac:dyDescent="0.25">
      <c r="B362" s="252" t="s">
        <v>137</v>
      </c>
      <c r="C362" s="253"/>
      <c r="D362" s="80" t="s">
        <v>11</v>
      </c>
      <c r="E362" s="80" t="s">
        <v>138</v>
      </c>
    </row>
    <row r="363" spans="2:5" x14ac:dyDescent="0.2">
      <c r="B363" s="254" t="str">
        <f>'[1]COMEDORES EMERGENTES'!$B$3</f>
        <v>UNA SONRISA AV. LOS COBACHO</v>
      </c>
      <c r="C363" s="255"/>
      <c r="D363" s="124" t="s">
        <v>206</v>
      </c>
      <c r="E363" s="125" t="str">
        <f>'[1]COMEDORES EMERGENTES'!$G$3</f>
        <v>Bº SAN CARLOS OESTE AV. Bonifacio cobacho 670</v>
      </c>
    </row>
    <row r="364" spans="2:5" x14ac:dyDescent="0.2">
      <c r="B364" s="247" t="str">
        <f>'[1]COMEDORES EMERGENTES'!$B$4</f>
        <v>C.I.F Nº1 - RIVERA DEL VALLE Y FLORIDA</v>
      </c>
      <c r="C364" s="248"/>
      <c r="D364" s="119" t="s">
        <v>211</v>
      </c>
      <c r="E364" s="120" t="str">
        <f>'[1]COMEDORES EMERGENTES'!$G$4</f>
        <v>AV. RIVIERA DEL VALLE ENTRE FLORIDA Y SANTA FE</v>
      </c>
    </row>
    <row r="365" spans="2:5" x14ac:dyDescent="0.2">
      <c r="B365" s="247" t="str">
        <f>'[1]COMEDORES EMERGENTES'!$B$5</f>
        <v>C.I.F - RIVERA DEL VALLE - DILORENZO</v>
      </c>
      <c r="C365" s="248"/>
      <c r="D365" s="119" t="s">
        <v>212</v>
      </c>
      <c r="E365" s="120" t="str">
        <f>'[1]COMEDORES EMERGENTES'!$G$5</f>
        <v>Bº RIVERA DEL VALLE ENTRE VILLA EUMELIA Y MONTE CRISTO</v>
      </c>
    </row>
    <row r="366" spans="2:5" x14ac:dyDescent="0.2">
      <c r="B366" s="247" t="str">
        <f>'[1]COMEDORES EMERGENTES'!$B$6</f>
        <v>ESFUERZO PROPIO- Bº ALTOS DE CHOYA</v>
      </c>
      <c r="C366" s="248"/>
      <c r="D366" s="119" t="s">
        <v>213</v>
      </c>
      <c r="E366" s="120" t="str">
        <f>'[1]COMEDORES EMERGENTES'!$G$6</f>
        <v>Bº MUNICIPAL 35VV. NORTE C/14</v>
      </c>
    </row>
    <row r="367" spans="2:5" x14ac:dyDescent="0.2">
      <c r="B367" s="247" t="str">
        <f>'[1]COMEDORES EMERGENTES'!$B$7</f>
        <v>ANGELITOS - LOTEO SUSSEX</v>
      </c>
      <c r="C367" s="248"/>
      <c r="D367" s="119" t="s">
        <v>169</v>
      </c>
      <c r="E367" s="120" t="str">
        <f>'[1]COMEDORES EMERGENTES'!$G$7</f>
        <v>Bº LOTEO SUSEX MZA.Nº 4 LOTE Nº3</v>
      </c>
    </row>
    <row r="368" spans="2:5" x14ac:dyDescent="0.2">
      <c r="B368" s="247" t="str">
        <f>'[1]COMEDORES EMERGENTES'!$B$8</f>
        <v>CLUB DEPORTIVO CHACARITA</v>
      </c>
      <c r="C368" s="248"/>
      <c r="D368" s="119" t="s">
        <v>189</v>
      </c>
      <c r="E368" s="120" t="str">
        <f>'[1]COMEDORES EMERGENTES'!$G$8</f>
        <v>CALLE DR.DERMIDIO GALINDEZ C/2660</v>
      </c>
    </row>
    <row r="369" spans="2:5" x14ac:dyDescent="0.2">
      <c r="B369" s="247" t="str">
        <f>'[1]COMEDORES EMERGENTES'!$B$9</f>
        <v>LA MORO</v>
      </c>
      <c r="C369" s="248"/>
      <c r="D369" s="119" t="s">
        <v>214</v>
      </c>
      <c r="E369" s="120" t="str">
        <f>'[1]COMEDORES EMERGENTES'!$G$9</f>
        <v>MAIPU NORTE 1º ETAPA MZA "H" Bº MI JARDIN</v>
      </c>
    </row>
    <row r="370" spans="2:5" x14ac:dyDescent="0.2">
      <c r="B370" s="247" t="str">
        <f>'[1]COMEDORES EMERGENTES'!$B$10</f>
        <v>PAPA FRANCISCO</v>
      </c>
      <c r="C370" s="248"/>
      <c r="D370" s="119" t="s">
        <v>194</v>
      </c>
      <c r="E370" s="120" t="str">
        <f>'[1]COMEDORES EMERGENTES'!$G$10</f>
        <v>ENTRE AV.TEREBINTO Y AV.SAN JUAN LOTE "2" MZA. "B"</v>
      </c>
    </row>
    <row r="371" spans="2:5" x14ac:dyDescent="0.2">
      <c r="B371" s="247" t="str">
        <f>'[1]COMEDORES EMERGENTES'!$B$11</f>
        <v>E.P.C - 100 V.V NORTE</v>
      </c>
      <c r="C371" s="248"/>
      <c r="D371" s="119" t="s">
        <v>215</v>
      </c>
      <c r="E371" s="120" t="str">
        <f>'[1]COMEDORES EMERGENTES'!$G$11</f>
        <v>Bº VV NORTE C/48 ENTRE ESPAÑA Y FRANCIA</v>
      </c>
    </row>
    <row r="372" spans="2:5" x14ac:dyDescent="0.2">
      <c r="B372" s="247" t="str">
        <f>'[1]COMEDORES EMERGENTES'!$B$12</f>
        <v>HOGAR DE CRISTO - PADRE RAUL CONTRERAS</v>
      </c>
      <c r="C372" s="248"/>
      <c r="D372" s="119" t="s">
        <v>215</v>
      </c>
      <c r="E372" s="120" t="str">
        <f>'[1]COMEDORES EMERGENTES'!$G$12</f>
        <v>Bº SANTA MARTA MZA. "S" LOTE "M" C/39</v>
      </c>
    </row>
    <row r="373" spans="2:5" x14ac:dyDescent="0.2">
      <c r="B373" s="247" t="str">
        <f>'[1]COMEDORES EMERGENTES'!$B$13</f>
        <v>LA LUCIERNAGA</v>
      </c>
      <c r="C373" s="248"/>
      <c r="D373" s="119" t="s">
        <v>194</v>
      </c>
      <c r="E373" s="120" t="str">
        <f>'[1]COMEDORES EMERGENTES'!$G$13</f>
        <v>Bº 20 V.V NORTE C/3</v>
      </c>
    </row>
    <row r="374" spans="2:5" x14ac:dyDescent="0.2">
      <c r="B374" s="247" t="str">
        <f>'[1]COMEDORES EMERGENTES'!$B$14</f>
        <v>VALLE VIEJO - SUMALAO</v>
      </c>
      <c r="C374" s="248"/>
      <c r="D374" s="119" t="s">
        <v>216</v>
      </c>
      <c r="E374" s="120" t="str">
        <f>'[1]COMEDORES EMERGENTES'!$G$14</f>
        <v>PADRE SEGURA S/N</v>
      </c>
    </row>
    <row r="375" spans="2:5" x14ac:dyDescent="0.2">
      <c r="B375" s="247" t="str">
        <f>'[1]COMEDORES EMERGENTES'!$B$15</f>
        <v>NUESTRO FUTURO - LAS VIAS</v>
      </c>
      <c r="C375" s="248"/>
      <c r="D375" s="119" t="s">
        <v>194</v>
      </c>
      <c r="E375" s="120" t="str">
        <f>'[1]COMEDORES EMERGENTES'!$G$15</f>
        <v>Bº LAS VIAS OESTE LOTE 42</v>
      </c>
    </row>
    <row r="376" spans="2:5" x14ac:dyDescent="0.2">
      <c r="B376" s="247" t="str">
        <f>'[1]COMEDORES EMERGENTES'!$B$16</f>
        <v>SAN JOSE OBRERO</v>
      </c>
      <c r="C376" s="248"/>
      <c r="D376" s="119" t="s">
        <v>189</v>
      </c>
      <c r="E376" s="120" t="str">
        <f>'[1]COMEDORES EMERGENTES'!$G$16</f>
        <v>Bº SAN JOSE OBRERO. PJE. SANDOVAL S/Nº</v>
      </c>
    </row>
    <row r="377" spans="2:5" x14ac:dyDescent="0.2">
      <c r="B377" s="247" t="str">
        <f>'[1]COMEDORES EMERGENTES'!$B$17</f>
        <v>VIRGEN DE LUJAN</v>
      </c>
      <c r="C377" s="248"/>
      <c r="D377" s="119" t="s">
        <v>194</v>
      </c>
      <c r="E377" s="120" t="str">
        <f>'[1]COMEDORES EMERGENTES'!$G$17</f>
        <v>Bº OJO DE AGUA C/DR.TEODULFO BARRIONUEVO S/Nº</v>
      </c>
    </row>
    <row r="378" spans="2:5" x14ac:dyDescent="0.2">
      <c r="B378" s="247" t="str">
        <f>'[1]COMEDORES EMERGENTES'!$B$18</f>
        <v>RENACER</v>
      </c>
      <c r="C378" s="248"/>
      <c r="D378" s="119" t="s">
        <v>217</v>
      </c>
      <c r="E378" s="120" t="str">
        <f>'[1]COMEDORES EMERGENTES'!$G$18</f>
        <v>Bº VIRGEN MORENITA</v>
      </c>
    </row>
    <row r="379" spans="2:5" x14ac:dyDescent="0.2">
      <c r="B379" s="247" t="str">
        <f>'[1]COMEDORES EMERGENTES'!$B$19</f>
        <v>CENTRO VECINAL MI JARDIN</v>
      </c>
      <c r="C379" s="248"/>
      <c r="D379" s="119" t="s">
        <v>218</v>
      </c>
      <c r="E379" s="120" t="str">
        <f>'[1]COMEDORES EMERGENTES'!$G$19</f>
        <v>C/ LOS TULIPANES ENTRE FLOR DE CEREZO Y HOLANDA MZA.27 Bº MI JARDIN</v>
      </c>
    </row>
    <row r="380" spans="2:5" x14ac:dyDescent="0.2">
      <c r="B380" s="247" t="str">
        <f>'[1]COMEDORES EMERGENTES'!$B$20</f>
        <v>LA VIEJA ESQUINA</v>
      </c>
      <c r="C380" s="248"/>
      <c r="D380" s="119" t="s">
        <v>193</v>
      </c>
      <c r="E380" s="120" t="str">
        <f>'[1]COMEDORES EMERGENTES'!$G$20</f>
        <v>B° CRISTO REY PJE CAPATAZ VILLAFAÑEZ Y ARMANDO CORREA</v>
      </c>
    </row>
    <row r="381" spans="2:5" x14ac:dyDescent="0.2">
      <c r="B381" s="247" t="str">
        <f>'[1]COMEDORES EMERGENTES'!$B$21</f>
        <v>GAUCHITO GIL</v>
      </c>
      <c r="C381" s="248"/>
      <c r="D381" s="119" t="s">
        <v>219</v>
      </c>
      <c r="E381" s="120" t="str">
        <f>'[1]COMEDORES EMERGENTES'!$G$21</f>
        <v>B° 26 VIVIENDAS CASA N° 3</v>
      </c>
    </row>
    <row r="382" spans="2:5" ht="13.5" thickBot="1" x14ac:dyDescent="0.25">
      <c r="B382" s="261" t="str">
        <f>'[1]COMEDORES EMERGENTES'!$B$22</f>
        <v>LOS TOLDOS</v>
      </c>
      <c r="C382" s="262"/>
      <c r="D382" s="126" t="s">
        <v>186</v>
      </c>
      <c r="E382" s="127" t="str">
        <f>'[1]COMEDORES EMERGENTES'!$G$22</f>
        <v>LOTEO PARQUE SUR CALLE S/NOMBRE S/N°</v>
      </c>
    </row>
    <row r="383" spans="2:5" x14ac:dyDescent="0.2">
      <c r="B383" s="43" t="s">
        <v>18</v>
      </c>
      <c r="C383" s="41"/>
      <c r="D383" s="83"/>
      <c r="E383" s="42"/>
    </row>
    <row r="384" spans="2:5" ht="12.75" customHeight="1" x14ac:dyDescent="0.2">
      <c r="B384" s="44"/>
      <c r="C384" s="260" t="s">
        <v>62</v>
      </c>
      <c r="D384" s="260"/>
      <c r="E384" s="260"/>
    </row>
    <row r="385" spans="2:5" x14ac:dyDescent="0.2">
      <c r="B385" s="43" t="s">
        <v>19</v>
      </c>
      <c r="C385" s="45"/>
      <c r="D385" s="45"/>
      <c r="E385" s="46"/>
    </row>
    <row r="386" spans="2:5" ht="14.25" customHeight="1" x14ac:dyDescent="0.2">
      <c r="B386" s="44"/>
      <c r="C386" s="260" t="s">
        <v>139</v>
      </c>
      <c r="D386" s="260"/>
      <c r="E386" s="260"/>
    </row>
    <row r="387" spans="2:5" x14ac:dyDescent="0.2">
      <c r="B387" s="43" t="s">
        <v>20</v>
      </c>
      <c r="C387" s="41"/>
      <c r="D387" s="83"/>
      <c r="E387" s="42"/>
    </row>
    <row r="388" spans="2:5" ht="11.25" customHeight="1" x14ac:dyDescent="0.2">
      <c r="B388" s="43"/>
      <c r="C388" s="246" t="s">
        <v>63</v>
      </c>
      <c r="D388" s="246"/>
      <c r="E388" s="246"/>
    </row>
    <row r="389" spans="2:5" ht="13.5" thickBot="1" x14ac:dyDescent="0.25">
      <c r="B389" s="47"/>
      <c r="C389" s="48"/>
      <c r="D389" s="84"/>
      <c r="E389" s="49"/>
    </row>
    <row r="390" spans="2:5" ht="13.5" thickBot="1" x14ac:dyDescent="0.25"/>
    <row r="391" spans="2:5" x14ac:dyDescent="0.2">
      <c r="B391" s="37" t="s">
        <v>147</v>
      </c>
      <c r="C391" s="38"/>
      <c r="D391" s="82"/>
      <c r="E391" s="39"/>
    </row>
    <row r="392" spans="2:5" ht="5.25" customHeight="1" x14ac:dyDescent="0.2">
      <c r="B392" s="40"/>
      <c r="C392" s="41"/>
      <c r="D392" s="83"/>
      <c r="E392" s="42"/>
    </row>
    <row r="393" spans="2:5" x14ac:dyDescent="0.2">
      <c r="B393" s="43" t="s">
        <v>16</v>
      </c>
      <c r="C393" s="41"/>
      <c r="D393" s="83"/>
      <c r="E393" s="42"/>
    </row>
    <row r="394" spans="2:5" ht="25.5" customHeight="1" x14ac:dyDescent="0.2">
      <c r="B394" s="43"/>
      <c r="C394" s="260"/>
      <c r="D394" s="260"/>
      <c r="E394" s="260"/>
    </row>
    <row r="395" spans="2:5" ht="13.5" thickBot="1" x14ac:dyDescent="0.25">
      <c r="B395" s="43" t="s">
        <v>17</v>
      </c>
      <c r="C395" s="41"/>
      <c r="D395" s="83"/>
      <c r="E395" s="42"/>
    </row>
    <row r="396" spans="2:5" ht="13.5" thickBot="1" x14ac:dyDescent="0.25">
      <c r="B396" s="252" t="s">
        <v>136</v>
      </c>
      <c r="C396" s="256"/>
      <c r="D396" s="256"/>
      <c r="E396" s="253"/>
    </row>
    <row r="397" spans="2:5" ht="13.5" thickBot="1" x14ac:dyDescent="0.25">
      <c r="B397" s="252" t="s">
        <v>137</v>
      </c>
      <c r="C397" s="253"/>
      <c r="D397" s="80" t="s">
        <v>11</v>
      </c>
      <c r="E397" s="80" t="s">
        <v>138</v>
      </c>
    </row>
    <row r="398" spans="2:5" x14ac:dyDescent="0.2">
      <c r="B398" s="254" t="str">
        <f>'[1]COMEDORES EMERGENTES'!$B$3</f>
        <v>UNA SONRISA AV. LOS COBACHO</v>
      </c>
      <c r="C398" s="255"/>
      <c r="D398" s="124" t="s">
        <v>169</v>
      </c>
      <c r="E398" s="125" t="str">
        <f>'[1]COMEDORES EMERGENTES'!$G$3</f>
        <v>Bº SAN CARLOS OESTE AV. Bonifacio cobacho 670</v>
      </c>
    </row>
    <row r="399" spans="2:5" x14ac:dyDescent="0.2">
      <c r="B399" s="247" t="str">
        <f>'[1]COMEDORES EMERGENTES'!$B$4</f>
        <v>C.I.F Nº1 - RIVERA DEL VALLE Y FLORIDA</v>
      </c>
      <c r="C399" s="248"/>
      <c r="D399" s="119" t="s">
        <v>220</v>
      </c>
      <c r="E399" s="120" t="str">
        <f>'[1]COMEDORES EMERGENTES'!$G$4</f>
        <v>AV. RIVIERA DEL VALLE ENTRE FLORIDA Y SANTA FE</v>
      </c>
    </row>
    <row r="400" spans="2:5" x14ac:dyDescent="0.2">
      <c r="B400" s="247" t="str">
        <f>'[1]COMEDORES EMERGENTES'!$B$5</f>
        <v>C.I.F - RIVERA DEL VALLE - DILORENZO</v>
      </c>
      <c r="C400" s="248"/>
      <c r="D400" s="119" t="s">
        <v>219</v>
      </c>
      <c r="E400" s="120" t="str">
        <f>'[1]COMEDORES EMERGENTES'!$G$5</f>
        <v>Bº RIVERA DEL VALLE ENTRE VILLA EUMELIA Y MONTE CRISTO</v>
      </c>
    </row>
    <row r="401" spans="2:5" x14ac:dyDescent="0.2">
      <c r="B401" s="247" t="str">
        <f>'[1]COMEDORES EMERGENTES'!$B$6</f>
        <v>ESFUERZO PROPIO- Bº ALTOS DE CHOYA</v>
      </c>
      <c r="C401" s="248"/>
      <c r="D401" s="119" t="s">
        <v>209</v>
      </c>
      <c r="E401" s="120" t="str">
        <f>'[1]COMEDORES EMERGENTES'!$G$6</f>
        <v>Bº MUNICIPAL 35VV. NORTE C/14</v>
      </c>
    </row>
    <row r="402" spans="2:5" x14ac:dyDescent="0.2">
      <c r="B402" s="247" t="str">
        <f>'[1]COMEDORES EMERGENTES'!$B$7</f>
        <v>ANGELITOS - LOTEO SUSSEX</v>
      </c>
      <c r="C402" s="248"/>
      <c r="D402" s="119" t="s">
        <v>184</v>
      </c>
      <c r="E402" s="120" t="str">
        <f>'[1]COMEDORES EMERGENTES'!$G$7</f>
        <v>Bº LOTEO SUSEX MZA.Nº 4 LOTE Nº3</v>
      </c>
    </row>
    <row r="403" spans="2:5" x14ac:dyDescent="0.2">
      <c r="B403" s="247" t="str">
        <f>'[1]COMEDORES EMERGENTES'!$B$8</f>
        <v>CLUB DEPORTIVO CHACARITA</v>
      </c>
      <c r="C403" s="248"/>
      <c r="D403" s="119" t="s">
        <v>221</v>
      </c>
      <c r="E403" s="120" t="str">
        <f>'[1]COMEDORES EMERGENTES'!$G$8</f>
        <v>CALLE DR.DERMIDIO GALINDEZ C/2660</v>
      </c>
    </row>
    <row r="404" spans="2:5" x14ac:dyDescent="0.2">
      <c r="B404" s="247" t="str">
        <f>'[1]COMEDORES EMERGENTES'!$B$9</f>
        <v>LA MORO</v>
      </c>
      <c r="C404" s="248"/>
      <c r="D404" s="119" t="s">
        <v>179</v>
      </c>
      <c r="E404" s="120" t="str">
        <f>'[1]COMEDORES EMERGENTES'!$G$9</f>
        <v>MAIPU NORTE 1º ETAPA MZA "H" Bº MI JARDIN</v>
      </c>
    </row>
    <row r="405" spans="2:5" x14ac:dyDescent="0.2">
      <c r="B405" s="247" t="str">
        <f>'[1]COMEDORES EMERGENTES'!$B$10</f>
        <v>PAPA FRANCISCO</v>
      </c>
      <c r="C405" s="248"/>
      <c r="D405" s="119" t="s">
        <v>191</v>
      </c>
      <c r="E405" s="120" t="str">
        <f>'[1]COMEDORES EMERGENTES'!$G$10</f>
        <v>ENTRE AV.TEREBINTO Y AV.SAN JUAN LOTE "2" MZA. "B"</v>
      </c>
    </row>
    <row r="406" spans="2:5" x14ac:dyDescent="0.2">
      <c r="B406" s="247" t="str">
        <f>'[1]COMEDORES EMERGENTES'!$B$11</f>
        <v>E.P.C - 100 V.V NORTE</v>
      </c>
      <c r="C406" s="248"/>
      <c r="D406" s="119" t="s">
        <v>222</v>
      </c>
      <c r="E406" s="120" t="str">
        <f>'[1]COMEDORES EMERGENTES'!$G$11</f>
        <v>Bº VV NORTE C/48 ENTRE ESPAÑA Y FRANCIA</v>
      </c>
    </row>
    <row r="407" spans="2:5" x14ac:dyDescent="0.2">
      <c r="B407" s="247" t="str">
        <f>'[1]COMEDORES EMERGENTES'!$B$12</f>
        <v>HOGAR DE CRISTO - PADRE RAUL CONTRERAS</v>
      </c>
      <c r="C407" s="248"/>
      <c r="D407" s="119" t="s">
        <v>222</v>
      </c>
      <c r="E407" s="120" t="str">
        <f>'[1]COMEDORES EMERGENTES'!$G$12</f>
        <v>Bº SANTA MARTA MZA. "S" LOTE "M" C/39</v>
      </c>
    </row>
    <row r="408" spans="2:5" x14ac:dyDescent="0.2">
      <c r="B408" s="247" t="str">
        <f>'[1]COMEDORES EMERGENTES'!$B$13</f>
        <v>LA LUCIERNAGA</v>
      </c>
      <c r="C408" s="248"/>
      <c r="D408" s="119" t="s">
        <v>191</v>
      </c>
      <c r="E408" s="120" t="str">
        <f>'[1]COMEDORES EMERGENTES'!$G$13</f>
        <v>Bº 20 V.V NORTE C/3</v>
      </c>
    </row>
    <row r="409" spans="2:5" x14ac:dyDescent="0.2">
      <c r="B409" s="247" t="str">
        <f>'[1]COMEDORES EMERGENTES'!$B$14</f>
        <v>VALLE VIEJO - SUMALAO</v>
      </c>
      <c r="C409" s="248"/>
      <c r="D409" s="119" t="s">
        <v>213</v>
      </c>
      <c r="E409" s="120" t="str">
        <f>'[1]COMEDORES EMERGENTES'!$G$14</f>
        <v>PADRE SEGURA S/N</v>
      </c>
    </row>
    <row r="410" spans="2:5" x14ac:dyDescent="0.2">
      <c r="B410" s="247" t="str">
        <f>'[1]COMEDORES EMERGENTES'!$B$15</f>
        <v>NUESTRO FUTURO - LAS VIAS</v>
      </c>
      <c r="C410" s="248"/>
      <c r="D410" s="119" t="s">
        <v>191</v>
      </c>
      <c r="E410" s="120" t="str">
        <f>'[1]COMEDORES EMERGENTES'!$G$15</f>
        <v>Bº LAS VIAS OESTE LOTE 42</v>
      </c>
    </row>
    <row r="411" spans="2:5" x14ac:dyDescent="0.2">
      <c r="B411" s="247" t="str">
        <f>'[1]COMEDORES EMERGENTES'!$B$16</f>
        <v>SAN JOSE OBRERO</v>
      </c>
      <c r="C411" s="248"/>
      <c r="D411" s="119" t="s">
        <v>221</v>
      </c>
      <c r="E411" s="120" t="str">
        <f>'[1]COMEDORES EMERGENTES'!$G$16</f>
        <v>Bº SAN JOSE OBRERO. PJE. SANDOVAL S/Nº</v>
      </c>
    </row>
    <row r="412" spans="2:5" x14ac:dyDescent="0.2">
      <c r="B412" s="247" t="str">
        <f>'[1]COMEDORES EMERGENTES'!$B$17</f>
        <v>VIRGEN DE LUJAN</v>
      </c>
      <c r="C412" s="248"/>
      <c r="D412" s="119" t="s">
        <v>191</v>
      </c>
      <c r="E412" s="120" t="str">
        <f>'[1]COMEDORES EMERGENTES'!$G$17</f>
        <v>Bº OJO DE AGUA C/DR.TEODULFO BARRIONUEVO S/Nº</v>
      </c>
    </row>
    <row r="413" spans="2:5" x14ac:dyDescent="0.2">
      <c r="B413" s="247" t="str">
        <f>'[1]COMEDORES EMERGENTES'!$B$18</f>
        <v>RENACER</v>
      </c>
      <c r="C413" s="248"/>
      <c r="D413" s="119" t="s">
        <v>223</v>
      </c>
      <c r="E413" s="120" t="str">
        <f>'[1]COMEDORES EMERGENTES'!$G$18</f>
        <v>Bº VIRGEN MORENITA</v>
      </c>
    </row>
    <row r="414" spans="2:5" x14ac:dyDescent="0.2">
      <c r="B414" s="247" t="str">
        <f>'[1]COMEDORES EMERGENTES'!$B$19</f>
        <v>CENTRO VECINAL MI JARDIN</v>
      </c>
      <c r="C414" s="248"/>
      <c r="D414" s="119" t="s">
        <v>192</v>
      </c>
      <c r="E414" s="120" t="str">
        <f>'[1]COMEDORES EMERGENTES'!$G$19</f>
        <v>C/ LOS TULIPANES ENTRE FLOR DE CEREZO Y HOLANDA MZA.27 Bº MI JARDIN</v>
      </c>
    </row>
    <row r="415" spans="2:5" x14ac:dyDescent="0.2">
      <c r="B415" s="247" t="str">
        <f>'[1]COMEDORES EMERGENTES'!$B$20</f>
        <v>LA VIEJA ESQUINA</v>
      </c>
      <c r="C415" s="248"/>
      <c r="D415" s="119" t="s">
        <v>177</v>
      </c>
      <c r="E415" s="120" t="str">
        <f>'[1]COMEDORES EMERGENTES'!$G$20</f>
        <v>B° CRISTO REY PJE CAPATAZ VILLAFAÑEZ Y ARMANDO CORREA</v>
      </c>
    </row>
    <row r="416" spans="2:5" x14ac:dyDescent="0.2">
      <c r="B416" s="247" t="str">
        <f>'[1]COMEDORES EMERGENTES'!$B$21</f>
        <v>GAUCHITO GIL</v>
      </c>
      <c r="C416" s="248"/>
      <c r="D416" s="119" t="s">
        <v>224</v>
      </c>
      <c r="E416" s="120" t="str">
        <f>'[1]COMEDORES EMERGENTES'!$G$21</f>
        <v>B° 26 VIVIENDAS CASA N° 3</v>
      </c>
    </row>
    <row r="417" spans="2:5" ht="13.5" thickBot="1" x14ac:dyDescent="0.25">
      <c r="B417" s="261" t="str">
        <f>'[1]COMEDORES EMERGENTES'!$B$22</f>
        <v>LOS TOLDOS</v>
      </c>
      <c r="C417" s="262"/>
      <c r="D417" s="126" t="s">
        <v>168</v>
      </c>
      <c r="E417" s="127" t="str">
        <f>'[1]COMEDORES EMERGENTES'!$G$22</f>
        <v>LOTEO PARQUE SUR CALLE S/NOMBRE S/N°</v>
      </c>
    </row>
    <row r="418" spans="2:5" x14ac:dyDescent="0.2">
      <c r="B418" s="43" t="s">
        <v>18</v>
      </c>
      <c r="C418" s="41"/>
      <c r="D418" s="83"/>
      <c r="E418" s="42"/>
    </row>
    <row r="419" spans="2:5" ht="12.75" customHeight="1" x14ac:dyDescent="0.2">
      <c r="B419" s="44"/>
      <c r="C419" s="260" t="s">
        <v>62</v>
      </c>
      <c r="D419" s="260"/>
      <c r="E419" s="260"/>
    </row>
    <row r="420" spans="2:5" x14ac:dyDescent="0.2">
      <c r="B420" s="43" t="s">
        <v>19</v>
      </c>
      <c r="C420" s="45"/>
      <c r="D420" s="45"/>
      <c r="E420" s="46"/>
    </row>
    <row r="421" spans="2:5" ht="14.25" customHeight="1" x14ac:dyDescent="0.2">
      <c r="B421" s="44"/>
      <c r="C421" s="260" t="s">
        <v>139</v>
      </c>
      <c r="D421" s="260"/>
      <c r="E421" s="260"/>
    </row>
    <row r="422" spans="2:5" x14ac:dyDescent="0.2">
      <c r="B422" s="43" t="s">
        <v>20</v>
      </c>
      <c r="C422" s="41"/>
      <c r="D422" s="83"/>
      <c r="E422" s="42"/>
    </row>
    <row r="423" spans="2:5" ht="11.25" customHeight="1" x14ac:dyDescent="0.2">
      <c r="B423" s="43"/>
      <c r="C423" s="246" t="s">
        <v>63</v>
      </c>
      <c r="D423" s="246"/>
      <c r="E423" s="246"/>
    </row>
    <row r="424" spans="2:5" ht="13.5" thickBot="1" x14ac:dyDescent="0.25">
      <c r="B424" s="47"/>
      <c r="C424" s="48"/>
      <c r="D424" s="84"/>
      <c r="E424" s="49"/>
    </row>
    <row r="425" spans="2:5" ht="13.5" thickBot="1" x14ac:dyDescent="0.25"/>
    <row r="426" spans="2:5" x14ac:dyDescent="0.2">
      <c r="B426" s="37" t="s">
        <v>148</v>
      </c>
      <c r="C426" s="38"/>
      <c r="D426" s="82"/>
      <c r="E426" s="39"/>
    </row>
    <row r="427" spans="2:5" x14ac:dyDescent="0.2">
      <c r="B427" s="40"/>
      <c r="C427" s="41"/>
      <c r="D427" s="83"/>
      <c r="E427" s="42"/>
    </row>
    <row r="428" spans="2:5" x14ac:dyDescent="0.2">
      <c r="B428" s="43" t="s">
        <v>16</v>
      </c>
      <c r="C428" s="41"/>
      <c r="D428" s="83"/>
      <c r="E428" s="42"/>
    </row>
    <row r="429" spans="2:5" ht="25.5" customHeight="1" x14ac:dyDescent="0.2">
      <c r="B429" s="43"/>
      <c r="C429" s="260"/>
      <c r="D429" s="260"/>
      <c r="E429" s="260"/>
    </row>
    <row r="430" spans="2:5" ht="13.5" thickBot="1" x14ac:dyDescent="0.25">
      <c r="B430" s="43" t="s">
        <v>17</v>
      </c>
      <c r="C430" s="41"/>
      <c r="D430" s="83"/>
      <c r="E430" s="42"/>
    </row>
    <row r="431" spans="2:5" ht="13.5" thickBot="1" x14ac:dyDescent="0.25">
      <c r="B431" s="252" t="s">
        <v>136</v>
      </c>
      <c r="C431" s="256"/>
      <c r="D431" s="256"/>
      <c r="E431" s="253"/>
    </row>
    <row r="432" spans="2:5" ht="13.5" thickBot="1" x14ac:dyDescent="0.25">
      <c r="B432" s="252" t="s">
        <v>137</v>
      </c>
      <c r="C432" s="253"/>
      <c r="D432" s="80" t="s">
        <v>11</v>
      </c>
      <c r="E432" s="80" t="s">
        <v>138</v>
      </c>
    </row>
    <row r="433" spans="2:5" x14ac:dyDescent="0.2">
      <c r="B433" s="254" t="str">
        <f>'[1]COMEDORES EMERGENTES'!$B$3</f>
        <v>UNA SONRISA AV. LOS COBACHO</v>
      </c>
      <c r="C433" s="255"/>
      <c r="D433" s="124">
        <v>48</v>
      </c>
      <c r="E433" s="125" t="str">
        <f>'[1]COMEDORES EMERGENTES'!$G$3</f>
        <v>Bº SAN CARLOS OESTE AV. Bonifacio cobacho 670</v>
      </c>
    </row>
    <row r="434" spans="2:5" x14ac:dyDescent="0.2">
      <c r="B434" s="247" t="str">
        <f>'[1]COMEDORES EMERGENTES'!$B$4</f>
        <v>C.I.F Nº1 - RIVERA DEL VALLE Y FLORIDA</v>
      </c>
      <c r="C434" s="248"/>
      <c r="D434" s="119">
        <v>69</v>
      </c>
      <c r="E434" s="120" t="str">
        <f>'[1]COMEDORES EMERGENTES'!$G$4</f>
        <v>AV. RIVIERA DEL VALLE ENTRE FLORIDA Y SANTA FE</v>
      </c>
    </row>
    <row r="435" spans="2:5" x14ac:dyDescent="0.2">
      <c r="B435" s="247" t="str">
        <f>'[1]COMEDORES EMERGENTES'!$B$5</f>
        <v>C.I.F - RIVERA DEL VALLE - DILORENZO</v>
      </c>
      <c r="C435" s="248"/>
      <c r="D435" s="119">
        <v>81</v>
      </c>
      <c r="E435" s="120" t="str">
        <f>'[1]COMEDORES EMERGENTES'!$G$5</f>
        <v>Bº RIVERA DEL VALLE ENTRE VILLA EUMELIA Y MONTE CRISTO</v>
      </c>
    </row>
    <row r="436" spans="2:5" x14ac:dyDescent="0.2">
      <c r="B436" s="247" t="str">
        <f>'[1]COMEDORES EMERGENTES'!$B$6</f>
        <v>ESFUERZO PROPIO- Bº ALTOS DE CHOYA</v>
      </c>
      <c r="C436" s="248"/>
      <c r="D436" s="119">
        <v>66</v>
      </c>
      <c r="E436" s="120" t="str">
        <f>'[1]COMEDORES EMERGENTES'!$G$6</f>
        <v>Bº MUNICIPAL 35VV. NORTE C/14</v>
      </c>
    </row>
    <row r="437" spans="2:5" x14ac:dyDescent="0.2">
      <c r="B437" s="247" t="str">
        <f>'[1]COMEDORES EMERGENTES'!$B$7</f>
        <v>ANGELITOS - LOTEO SUSSEX</v>
      </c>
      <c r="C437" s="248"/>
      <c r="D437" s="119">
        <v>30</v>
      </c>
      <c r="E437" s="120" t="str">
        <f>'[1]COMEDORES EMERGENTES'!$G$7</f>
        <v>Bº LOTEO SUSEX MZA.Nº 4 LOTE Nº3</v>
      </c>
    </row>
    <row r="438" spans="2:5" x14ac:dyDescent="0.2">
      <c r="B438" s="247" t="str">
        <f>'[1]COMEDORES EMERGENTES'!$B$8</f>
        <v>CLUB DEPORTIVO CHACARITA</v>
      </c>
      <c r="C438" s="248"/>
      <c r="D438" s="119">
        <v>39</v>
      </c>
      <c r="E438" s="120" t="str">
        <f>'[1]COMEDORES EMERGENTES'!$G$8</f>
        <v>CALLE DR.DERMIDIO GALINDEZ C/2660</v>
      </c>
    </row>
    <row r="439" spans="2:5" x14ac:dyDescent="0.2">
      <c r="B439" s="247" t="str">
        <f>'[1]COMEDORES EMERGENTES'!$B$9</f>
        <v>LA MORO</v>
      </c>
      <c r="C439" s="248"/>
      <c r="D439" s="119">
        <v>36</v>
      </c>
      <c r="E439" s="120" t="str">
        <f>'[1]COMEDORES EMERGENTES'!$G$9</f>
        <v>MAIPU NORTE 1º ETAPA MZA "H" Bº MI JARDIN</v>
      </c>
    </row>
    <row r="440" spans="2:5" x14ac:dyDescent="0.2">
      <c r="B440" s="247" t="str">
        <f>'[1]COMEDORES EMERGENTES'!$B$10</f>
        <v>PAPA FRANCISCO</v>
      </c>
      <c r="C440" s="248"/>
      <c r="D440" s="119">
        <v>60</v>
      </c>
      <c r="E440" s="120" t="str">
        <f>'[1]COMEDORES EMERGENTES'!$G$10</f>
        <v>ENTRE AV.TEREBINTO Y AV.SAN JUAN LOTE "2" MZA. "B"</v>
      </c>
    </row>
    <row r="441" spans="2:5" x14ac:dyDescent="0.2">
      <c r="B441" s="247" t="str">
        <f>'[1]COMEDORES EMERGENTES'!$B$11</f>
        <v>E.P.C - 100 V.V NORTE</v>
      </c>
      <c r="C441" s="248"/>
      <c r="D441" s="119">
        <v>90</v>
      </c>
      <c r="E441" s="120" t="str">
        <f>'[1]COMEDORES EMERGENTES'!$G$11</f>
        <v>Bº VV NORTE C/48 ENTRE ESPAÑA Y FRANCIA</v>
      </c>
    </row>
    <row r="442" spans="2:5" x14ac:dyDescent="0.2">
      <c r="B442" s="247" t="str">
        <f>'[1]COMEDORES EMERGENTES'!$B$12</f>
        <v>HOGAR DE CRISTO - PADRE RAUL CONTRERAS</v>
      </c>
      <c r="C442" s="248"/>
      <c r="D442" s="119">
        <v>90</v>
      </c>
      <c r="E442" s="120" t="str">
        <f>'[1]COMEDORES EMERGENTES'!$G$12</f>
        <v>Bº SANTA MARTA MZA. "S" LOTE "M" C/39</v>
      </c>
    </row>
    <row r="443" spans="2:5" x14ac:dyDescent="0.2">
      <c r="B443" s="247" t="str">
        <f>'[1]COMEDORES EMERGENTES'!$B$13</f>
        <v>LA LUCIERNAGA</v>
      </c>
      <c r="C443" s="248"/>
      <c r="D443" s="119">
        <v>60</v>
      </c>
      <c r="E443" s="120" t="str">
        <f>'[1]COMEDORES EMERGENTES'!$G$13</f>
        <v>Bº 20 V.V NORTE C/3</v>
      </c>
    </row>
    <row r="444" spans="2:5" x14ac:dyDescent="0.2">
      <c r="B444" s="247" t="str">
        <f>'[1]COMEDORES EMERGENTES'!$B$14</f>
        <v>VALLE VIEJO - SUMALAO</v>
      </c>
      <c r="C444" s="248"/>
      <c r="D444" s="119">
        <v>105</v>
      </c>
      <c r="E444" s="120" t="str">
        <f>'[1]COMEDORES EMERGENTES'!$G$14</f>
        <v>PADRE SEGURA S/N</v>
      </c>
    </row>
    <row r="445" spans="2:5" x14ac:dyDescent="0.2">
      <c r="B445" s="247" t="str">
        <f>'[1]COMEDORES EMERGENTES'!$B$15</f>
        <v>NUESTRO FUTURO - LAS VIAS</v>
      </c>
      <c r="C445" s="248"/>
      <c r="D445" s="119">
        <v>60</v>
      </c>
      <c r="E445" s="120" t="str">
        <f>'[1]COMEDORES EMERGENTES'!$G$15</f>
        <v>Bº LAS VIAS OESTE LOTE 42</v>
      </c>
    </row>
    <row r="446" spans="2:5" x14ac:dyDescent="0.2">
      <c r="B446" s="247" t="str">
        <f>'[1]COMEDORES EMERGENTES'!$B$16</f>
        <v>SAN JOSE OBRERO</v>
      </c>
      <c r="C446" s="248"/>
      <c r="D446" s="119">
        <v>39</v>
      </c>
      <c r="E446" s="120" t="str">
        <f>'[1]COMEDORES EMERGENTES'!$G$16</f>
        <v>Bº SAN JOSE OBRERO. PJE. SANDOVAL S/Nº</v>
      </c>
    </row>
    <row r="447" spans="2:5" x14ac:dyDescent="0.2">
      <c r="B447" s="247" t="str">
        <f>'[1]COMEDORES EMERGENTES'!$B$17</f>
        <v>VIRGEN DE LUJAN</v>
      </c>
      <c r="C447" s="248"/>
      <c r="D447" s="119">
        <v>60</v>
      </c>
      <c r="E447" s="120" t="str">
        <f>'[1]COMEDORES EMERGENTES'!$G$17</f>
        <v>Bº OJO DE AGUA C/DR.TEODULFO BARRIONUEVO S/Nº</v>
      </c>
    </row>
    <row r="448" spans="2:5" x14ac:dyDescent="0.2">
      <c r="B448" s="247" t="str">
        <f>'[1]COMEDORES EMERGENTES'!$B$18</f>
        <v>RENACER</v>
      </c>
      <c r="C448" s="248"/>
      <c r="D448" s="119">
        <v>75</v>
      </c>
      <c r="E448" s="120" t="str">
        <f>'[1]COMEDORES EMERGENTES'!$G$18</f>
        <v>Bº VIRGEN MORENITA</v>
      </c>
    </row>
    <row r="449" spans="2:5" x14ac:dyDescent="0.2">
      <c r="B449" s="247" t="str">
        <f>'[1]COMEDORES EMERGENTES'!$B$19</f>
        <v>CENTRO VECINAL MI JARDIN</v>
      </c>
      <c r="C449" s="248"/>
      <c r="D449" s="119">
        <v>54</v>
      </c>
      <c r="E449" s="120" t="str">
        <f>'[1]COMEDORES EMERGENTES'!$G$19</f>
        <v>C/ LOS TULIPANES ENTRE FLOR DE CEREZO Y HOLANDA MZA.27 Bº MI JARDIN</v>
      </c>
    </row>
    <row r="450" spans="2:5" x14ac:dyDescent="0.2">
      <c r="B450" s="247" t="str">
        <f>'[1]COMEDORES EMERGENTES'!$B$20</f>
        <v>LA VIEJA ESQUINA</v>
      </c>
      <c r="C450" s="248"/>
      <c r="D450" s="119">
        <v>52</v>
      </c>
      <c r="E450" s="120" t="str">
        <f>'[1]COMEDORES EMERGENTES'!$G$20</f>
        <v>B° CRISTO REY PJE CAPATAZ VILLAFAÑEZ Y ARMANDO CORREA</v>
      </c>
    </row>
    <row r="451" spans="2:5" x14ac:dyDescent="0.2">
      <c r="B451" s="247" t="str">
        <f>'[1]COMEDORES EMERGENTES'!$B$21</f>
        <v>GAUCHITO GIL</v>
      </c>
      <c r="C451" s="248"/>
      <c r="D451" s="119">
        <v>50</v>
      </c>
      <c r="E451" s="120" t="str">
        <f>'[1]COMEDORES EMERGENTES'!$G$21</f>
        <v>B° 26 VIVIENDAS CASA N° 3</v>
      </c>
    </row>
    <row r="452" spans="2:5" ht="13.5" thickBot="1" x14ac:dyDescent="0.25">
      <c r="B452" s="261" t="str">
        <f>'[1]COMEDORES EMERGENTES'!$B$22</f>
        <v>LOS TOLDOS</v>
      </c>
      <c r="C452" s="262"/>
      <c r="D452" s="126">
        <v>24</v>
      </c>
      <c r="E452" s="127" t="str">
        <f>'[1]COMEDORES EMERGENTES'!$G$22</f>
        <v>LOTEO PARQUE SUR CALLE S/NOMBRE S/N°</v>
      </c>
    </row>
    <row r="453" spans="2:5" x14ac:dyDescent="0.2">
      <c r="B453" s="43" t="s">
        <v>18</v>
      </c>
      <c r="C453" s="41"/>
      <c r="D453" s="83"/>
      <c r="E453" s="42"/>
    </row>
    <row r="454" spans="2:5" x14ac:dyDescent="0.2">
      <c r="B454" s="44"/>
      <c r="C454" s="260" t="s">
        <v>62</v>
      </c>
      <c r="D454" s="260"/>
      <c r="E454" s="260"/>
    </row>
    <row r="455" spans="2:5" x14ac:dyDescent="0.2">
      <c r="B455" s="43" t="s">
        <v>19</v>
      </c>
      <c r="C455" s="45"/>
      <c r="D455" s="45"/>
      <c r="E455" s="46"/>
    </row>
    <row r="456" spans="2:5" x14ac:dyDescent="0.2">
      <c r="B456" s="44"/>
      <c r="C456" s="260" t="s">
        <v>139</v>
      </c>
      <c r="D456" s="260"/>
      <c r="E456" s="260"/>
    </row>
    <row r="457" spans="2:5" x14ac:dyDescent="0.2">
      <c r="B457" s="43" t="s">
        <v>20</v>
      </c>
      <c r="C457" s="41"/>
      <c r="D457" s="83"/>
      <c r="E457" s="42"/>
    </row>
    <row r="458" spans="2:5" x14ac:dyDescent="0.2">
      <c r="B458" s="43"/>
      <c r="C458" s="246" t="s">
        <v>63</v>
      </c>
      <c r="D458" s="246"/>
      <c r="E458" s="246"/>
    </row>
    <row r="459" spans="2:5" ht="13.5" thickBot="1" x14ac:dyDescent="0.25">
      <c r="B459" s="47"/>
      <c r="C459" s="48"/>
      <c r="D459" s="84"/>
      <c r="E459" s="49"/>
    </row>
    <row r="460" spans="2:5" ht="13.5" thickBot="1" x14ac:dyDescent="0.25"/>
    <row r="461" spans="2:5" x14ac:dyDescent="0.2">
      <c r="B461" s="37" t="s">
        <v>149</v>
      </c>
      <c r="C461" s="38"/>
      <c r="D461" s="82"/>
      <c r="E461" s="39"/>
    </row>
    <row r="462" spans="2:5" x14ac:dyDescent="0.2">
      <c r="B462" s="40"/>
      <c r="C462" s="41"/>
      <c r="D462" s="83"/>
      <c r="E462" s="42"/>
    </row>
    <row r="463" spans="2:5" x14ac:dyDescent="0.2">
      <c r="B463" s="43" t="s">
        <v>16</v>
      </c>
      <c r="C463" s="41"/>
      <c r="D463" s="83"/>
      <c r="E463" s="42"/>
    </row>
    <row r="464" spans="2:5" ht="25.5" customHeight="1" x14ac:dyDescent="0.2">
      <c r="B464" s="43"/>
      <c r="C464" s="260"/>
      <c r="D464" s="260"/>
      <c r="E464" s="260"/>
    </row>
    <row r="465" spans="2:5" ht="13.5" thickBot="1" x14ac:dyDescent="0.25">
      <c r="B465" s="43" t="s">
        <v>17</v>
      </c>
      <c r="C465" s="41"/>
      <c r="D465" s="83"/>
      <c r="E465" s="42"/>
    </row>
    <row r="466" spans="2:5" ht="13.5" thickBot="1" x14ac:dyDescent="0.25">
      <c r="B466" s="252" t="s">
        <v>136</v>
      </c>
      <c r="C466" s="256"/>
      <c r="D466" s="256"/>
      <c r="E466" s="253"/>
    </row>
    <row r="467" spans="2:5" ht="13.5" thickBot="1" x14ac:dyDescent="0.25">
      <c r="B467" s="252" t="s">
        <v>137</v>
      </c>
      <c r="C467" s="253"/>
      <c r="D467" s="80" t="s">
        <v>11</v>
      </c>
      <c r="E467" s="80" t="s">
        <v>138</v>
      </c>
    </row>
    <row r="468" spans="2:5" x14ac:dyDescent="0.2">
      <c r="B468" s="254" t="str">
        <f>'[1]COMEDORES EMERGENTES'!$B$3</f>
        <v>UNA SONRISA AV. LOS COBACHO</v>
      </c>
      <c r="C468" s="255"/>
      <c r="D468" s="124">
        <v>5</v>
      </c>
      <c r="E468" s="125" t="str">
        <f>'[1]COMEDORES EMERGENTES'!$G$3</f>
        <v>Bº SAN CARLOS OESTE AV. Bonifacio cobacho 670</v>
      </c>
    </row>
    <row r="469" spans="2:5" x14ac:dyDescent="0.2">
      <c r="B469" s="247" t="str">
        <f>'[1]COMEDORES EMERGENTES'!$B$4</f>
        <v>C.I.F Nº1 - RIVERA DEL VALLE Y FLORIDA</v>
      </c>
      <c r="C469" s="248"/>
      <c r="D469" s="119">
        <v>7</v>
      </c>
      <c r="E469" s="120" t="str">
        <f>'[1]COMEDORES EMERGENTES'!$G$4</f>
        <v>AV. RIVIERA DEL VALLE ENTRE FLORIDA Y SANTA FE</v>
      </c>
    </row>
    <row r="470" spans="2:5" x14ac:dyDescent="0.2">
      <c r="B470" s="247" t="str">
        <f>'[1]COMEDORES EMERGENTES'!$B$5</f>
        <v>C.I.F - RIVERA DEL VALLE - DILORENZO</v>
      </c>
      <c r="C470" s="248"/>
      <c r="D470" s="119">
        <v>8</v>
      </c>
      <c r="E470" s="120" t="str">
        <f>'[1]COMEDORES EMERGENTES'!$G$5</f>
        <v>Bº RIVERA DEL VALLE ENTRE VILLA EUMELIA Y MONTE CRISTO</v>
      </c>
    </row>
    <row r="471" spans="2:5" x14ac:dyDescent="0.2">
      <c r="B471" s="247" t="str">
        <f>'[1]COMEDORES EMERGENTES'!$B$6</f>
        <v>ESFUERZO PROPIO- Bº ALTOS DE CHOYA</v>
      </c>
      <c r="C471" s="248"/>
      <c r="D471" s="119">
        <v>7</v>
      </c>
      <c r="E471" s="120" t="str">
        <f>'[1]COMEDORES EMERGENTES'!$G$6</f>
        <v>Bº MUNICIPAL 35VV. NORTE C/14</v>
      </c>
    </row>
    <row r="472" spans="2:5" x14ac:dyDescent="0.2">
      <c r="B472" s="247" t="str">
        <f>'[1]COMEDORES EMERGENTES'!$B$7</f>
        <v>ANGELITOS - LOTEO SUSSEX</v>
      </c>
      <c r="C472" s="248"/>
      <c r="D472" s="119">
        <v>3</v>
      </c>
      <c r="E472" s="120" t="str">
        <f>'[1]COMEDORES EMERGENTES'!$G$7</f>
        <v>Bº LOTEO SUSEX MZA.Nº 4 LOTE Nº3</v>
      </c>
    </row>
    <row r="473" spans="2:5" x14ac:dyDescent="0.2">
      <c r="B473" s="247" t="str">
        <f>'[1]COMEDORES EMERGENTES'!$B$8</f>
        <v>CLUB DEPORTIVO CHACARITA</v>
      </c>
      <c r="C473" s="248"/>
      <c r="D473" s="119">
        <v>4</v>
      </c>
      <c r="E473" s="120" t="str">
        <f>'[1]COMEDORES EMERGENTES'!$G$8</f>
        <v>CALLE DR.DERMIDIO GALINDEZ C/2660</v>
      </c>
    </row>
    <row r="474" spans="2:5" x14ac:dyDescent="0.2">
      <c r="B474" s="247" t="str">
        <f>'[1]COMEDORES EMERGENTES'!$B$9</f>
        <v>LA MORO</v>
      </c>
      <c r="C474" s="248"/>
      <c r="D474" s="119">
        <v>4</v>
      </c>
      <c r="E474" s="120" t="str">
        <f>'[1]COMEDORES EMERGENTES'!$G$9</f>
        <v>MAIPU NORTE 1º ETAPA MZA "H" Bº MI JARDIN</v>
      </c>
    </row>
    <row r="475" spans="2:5" x14ac:dyDescent="0.2">
      <c r="B475" s="247" t="str">
        <f>'[1]COMEDORES EMERGENTES'!$B$10</f>
        <v>PAPA FRANCISCO</v>
      </c>
      <c r="C475" s="248"/>
      <c r="D475" s="119">
        <v>6</v>
      </c>
      <c r="E475" s="120" t="str">
        <f>'[1]COMEDORES EMERGENTES'!$G$10</f>
        <v>ENTRE AV.TEREBINTO Y AV.SAN JUAN LOTE "2" MZA. "B"</v>
      </c>
    </row>
    <row r="476" spans="2:5" x14ac:dyDescent="0.2">
      <c r="B476" s="247" t="str">
        <f>'[1]COMEDORES EMERGENTES'!$B$11</f>
        <v>E.P.C - 100 V.V NORTE</v>
      </c>
      <c r="C476" s="248"/>
      <c r="D476" s="119">
        <v>9</v>
      </c>
      <c r="E476" s="120" t="str">
        <f>'[1]COMEDORES EMERGENTES'!$G$11</f>
        <v>Bº VV NORTE C/48 ENTRE ESPAÑA Y FRANCIA</v>
      </c>
    </row>
    <row r="477" spans="2:5" x14ac:dyDescent="0.2">
      <c r="B477" s="247" t="str">
        <f>'[1]COMEDORES EMERGENTES'!$B$12</f>
        <v>HOGAR DE CRISTO - PADRE RAUL CONTRERAS</v>
      </c>
      <c r="C477" s="248"/>
      <c r="D477" s="119">
        <v>9</v>
      </c>
      <c r="E477" s="120" t="str">
        <f>'[1]COMEDORES EMERGENTES'!$G$12</f>
        <v>Bº SANTA MARTA MZA. "S" LOTE "M" C/39</v>
      </c>
    </row>
    <row r="478" spans="2:5" x14ac:dyDescent="0.2">
      <c r="B478" s="247" t="str">
        <f>'[1]COMEDORES EMERGENTES'!$B$13</f>
        <v>LA LUCIERNAGA</v>
      </c>
      <c r="C478" s="248"/>
      <c r="D478" s="119">
        <v>6</v>
      </c>
      <c r="E478" s="120" t="str">
        <f>'[1]COMEDORES EMERGENTES'!$G$13</f>
        <v>Bº 20 V.V NORTE C/3</v>
      </c>
    </row>
    <row r="479" spans="2:5" x14ac:dyDescent="0.2">
      <c r="B479" s="247" t="str">
        <f>'[1]COMEDORES EMERGENTES'!$B$14</f>
        <v>VALLE VIEJO - SUMALAO</v>
      </c>
      <c r="C479" s="248"/>
      <c r="D479" s="119">
        <v>11</v>
      </c>
      <c r="E479" s="120" t="str">
        <f>'[1]COMEDORES EMERGENTES'!$G$14</f>
        <v>PADRE SEGURA S/N</v>
      </c>
    </row>
    <row r="480" spans="2:5" x14ac:dyDescent="0.2">
      <c r="B480" s="247" t="str">
        <f>'[1]COMEDORES EMERGENTES'!$B$15</f>
        <v>NUESTRO FUTURO - LAS VIAS</v>
      </c>
      <c r="C480" s="248"/>
      <c r="D480" s="119">
        <v>6</v>
      </c>
      <c r="E480" s="120" t="str">
        <f>'[1]COMEDORES EMERGENTES'!$G$15</f>
        <v>Bº LAS VIAS OESTE LOTE 42</v>
      </c>
    </row>
    <row r="481" spans="2:5" x14ac:dyDescent="0.2">
      <c r="B481" s="247" t="str">
        <f>'[1]COMEDORES EMERGENTES'!$B$16</f>
        <v>SAN JOSE OBRERO</v>
      </c>
      <c r="C481" s="248"/>
      <c r="D481" s="119">
        <v>4</v>
      </c>
      <c r="E481" s="120" t="str">
        <f>'[1]COMEDORES EMERGENTES'!$G$16</f>
        <v>Bº SAN JOSE OBRERO. PJE. SANDOVAL S/Nº</v>
      </c>
    </row>
    <row r="482" spans="2:5" x14ac:dyDescent="0.2">
      <c r="B482" s="247" t="str">
        <f>'[1]COMEDORES EMERGENTES'!$B$17</f>
        <v>VIRGEN DE LUJAN</v>
      </c>
      <c r="C482" s="248"/>
      <c r="D482" s="119">
        <v>6</v>
      </c>
      <c r="E482" s="120" t="str">
        <f>'[1]COMEDORES EMERGENTES'!$G$17</f>
        <v>Bº OJO DE AGUA C/DR.TEODULFO BARRIONUEVO S/Nº</v>
      </c>
    </row>
    <row r="483" spans="2:5" x14ac:dyDescent="0.2">
      <c r="B483" s="247" t="str">
        <f>'[1]COMEDORES EMERGENTES'!$B$18</f>
        <v>RENACER</v>
      </c>
      <c r="C483" s="248"/>
      <c r="D483" s="119">
        <v>8</v>
      </c>
      <c r="E483" s="120" t="str">
        <f>'[1]COMEDORES EMERGENTES'!$G$18</f>
        <v>Bº VIRGEN MORENITA</v>
      </c>
    </row>
    <row r="484" spans="2:5" x14ac:dyDescent="0.2">
      <c r="B484" s="247" t="str">
        <f>'[1]COMEDORES EMERGENTES'!$B$19</f>
        <v>CENTRO VECINAL MI JARDIN</v>
      </c>
      <c r="C484" s="248"/>
      <c r="D484" s="119">
        <v>5</v>
      </c>
      <c r="E484" s="120" t="str">
        <f>'[1]COMEDORES EMERGENTES'!$G$19</f>
        <v>C/ LOS TULIPANES ENTRE FLOR DE CEREZO Y HOLANDA MZA.27 Bº MI JARDIN</v>
      </c>
    </row>
    <row r="485" spans="2:5" x14ac:dyDescent="0.2">
      <c r="B485" s="247" t="str">
        <f>'[1]COMEDORES EMERGENTES'!$B$20</f>
        <v>LA VIEJA ESQUINA</v>
      </c>
      <c r="C485" s="248"/>
      <c r="D485" s="119">
        <v>5</v>
      </c>
      <c r="E485" s="120" t="str">
        <f>'[1]COMEDORES EMERGENTES'!$G$20</f>
        <v>B° CRISTO REY PJE CAPATAZ VILLAFAÑEZ Y ARMANDO CORREA</v>
      </c>
    </row>
    <row r="486" spans="2:5" x14ac:dyDescent="0.2">
      <c r="B486" s="247" t="str">
        <f>'[1]COMEDORES EMERGENTES'!$B$21</f>
        <v>GAUCHITO GIL</v>
      </c>
      <c r="C486" s="248"/>
      <c r="D486" s="119">
        <v>5</v>
      </c>
      <c r="E486" s="120" t="str">
        <f>'[1]COMEDORES EMERGENTES'!$G$21</f>
        <v>B° 26 VIVIENDAS CASA N° 3</v>
      </c>
    </row>
    <row r="487" spans="2:5" ht="13.5" thickBot="1" x14ac:dyDescent="0.25">
      <c r="B487" s="261" t="str">
        <f>'[1]COMEDORES EMERGENTES'!$B$22</f>
        <v>LOS TOLDOS</v>
      </c>
      <c r="C487" s="262"/>
      <c r="D487" s="126">
        <v>2</v>
      </c>
      <c r="E487" s="127" t="str">
        <f>'[1]COMEDORES EMERGENTES'!$G$22</f>
        <v>LOTEO PARQUE SUR CALLE S/NOMBRE S/N°</v>
      </c>
    </row>
    <row r="488" spans="2:5" x14ac:dyDescent="0.2">
      <c r="B488" s="43" t="s">
        <v>18</v>
      </c>
      <c r="C488" s="41"/>
      <c r="D488" s="83"/>
      <c r="E488" s="42"/>
    </row>
    <row r="489" spans="2:5" x14ac:dyDescent="0.2">
      <c r="B489" s="44"/>
      <c r="C489" s="260" t="s">
        <v>62</v>
      </c>
      <c r="D489" s="260"/>
      <c r="E489" s="260"/>
    </row>
    <row r="490" spans="2:5" x14ac:dyDescent="0.2">
      <c r="B490" s="43" t="s">
        <v>19</v>
      </c>
      <c r="C490" s="45"/>
      <c r="D490" s="45"/>
      <c r="E490" s="46"/>
    </row>
    <row r="491" spans="2:5" x14ac:dyDescent="0.2">
      <c r="B491" s="44"/>
      <c r="C491" s="260" t="s">
        <v>139</v>
      </c>
      <c r="D491" s="260"/>
      <c r="E491" s="260"/>
    </row>
    <row r="492" spans="2:5" x14ac:dyDescent="0.2">
      <c r="B492" s="43" t="s">
        <v>20</v>
      </c>
      <c r="C492" s="41"/>
      <c r="D492" s="83"/>
      <c r="E492" s="42"/>
    </row>
    <row r="493" spans="2:5" x14ac:dyDescent="0.2">
      <c r="B493" s="43"/>
      <c r="C493" s="246" t="s">
        <v>63</v>
      </c>
      <c r="D493" s="246"/>
      <c r="E493" s="246"/>
    </row>
    <row r="494" spans="2:5" ht="13.5" thickBot="1" x14ac:dyDescent="0.25">
      <c r="B494" s="47"/>
      <c r="C494" s="48"/>
      <c r="D494" s="84"/>
      <c r="E494" s="49"/>
    </row>
    <row r="495" spans="2:5" ht="13.5" thickBot="1" x14ac:dyDescent="0.25"/>
    <row r="496" spans="2:5" x14ac:dyDescent="0.2">
      <c r="B496" s="37" t="s">
        <v>150</v>
      </c>
      <c r="C496" s="38"/>
      <c r="D496" s="82"/>
      <c r="E496" s="39"/>
    </row>
    <row r="497" spans="2:5" x14ac:dyDescent="0.2">
      <c r="B497" s="40"/>
      <c r="C497" s="41"/>
      <c r="D497" s="83"/>
      <c r="E497" s="42"/>
    </row>
    <row r="498" spans="2:5" x14ac:dyDescent="0.2">
      <c r="B498" s="43" t="s">
        <v>16</v>
      </c>
      <c r="C498" s="41"/>
      <c r="D498" s="83"/>
      <c r="E498" s="42"/>
    </row>
    <row r="499" spans="2:5" ht="25.5" customHeight="1" x14ac:dyDescent="0.2">
      <c r="B499" s="43"/>
      <c r="C499" s="260"/>
      <c r="D499" s="260"/>
      <c r="E499" s="260"/>
    </row>
    <row r="500" spans="2:5" ht="13.5" thickBot="1" x14ac:dyDescent="0.25">
      <c r="B500" s="43" t="s">
        <v>17</v>
      </c>
      <c r="C500" s="41"/>
      <c r="D500" s="83"/>
      <c r="E500" s="42"/>
    </row>
    <row r="501" spans="2:5" ht="13.5" thickBot="1" x14ac:dyDescent="0.25">
      <c r="B501" s="252" t="s">
        <v>136</v>
      </c>
      <c r="C501" s="256"/>
      <c r="D501" s="256"/>
      <c r="E501" s="253"/>
    </row>
    <row r="502" spans="2:5" ht="13.5" thickBot="1" x14ac:dyDescent="0.25">
      <c r="B502" s="252" t="s">
        <v>137</v>
      </c>
      <c r="C502" s="253"/>
      <c r="D502" s="80" t="s">
        <v>11</v>
      </c>
      <c r="E502" s="80" t="s">
        <v>138</v>
      </c>
    </row>
    <row r="503" spans="2:5" x14ac:dyDescent="0.2">
      <c r="B503" s="254" t="str">
        <f>'[1]COMEDORES EMERGENTES'!$B$3</f>
        <v>UNA SONRISA AV. LOS COBACHO</v>
      </c>
      <c r="C503" s="255"/>
      <c r="D503" s="124" t="s">
        <v>202</v>
      </c>
      <c r="E503" s="125" t="str">
        <f>'[1]COMEDORES EMERGENTES'!$G$3</f>
        <v>Bº SAN CARLOS OESTE AV. Bonifacio cobacho 670</v>
      </c>
    </row>
    <row r="504" spans="2:5" x14ac:dyDescent="0.2">
      <c r="B504" s="247" t="str">
        <f>'[1]COMEDORES EMERGENTES'!$B$4</f>
        <v>C.I.F Nº1 - RIVERA DEL VALLE Y FLORIDA</v>
      </c>
      <c r="C504" s="248"/>
      <c r="D504" s="119" t="s">
        <v>201</v>
      </c>
      <c r="E504" s="120" t="str">
        <f>'[1]COMEDORES EMERGENTES'!$G$4</f>
        <v>AV. RIVIERA DEL VALLE ENTRE FLORIDA Y SANTA FE</v>
      </c>
    </row>
    <row r="505" spans="2:5" x14ac:dyDescent="0.2">
      <c r="B505" s="247" t="str">
        <f>'[1]COMEDORES EMERGENTES'!$B$5</f>
        <v>C.I.F - RIVERA DEL VALLE - DILORENZO</v>
      </c>
      <c r="C505" s="248"/>
      <c r="D505" s="119" t="s">
        <v>178</v>
      </c>
      <c r="E505" s="120" t="str">
        <f>'[1]COMEDORES EMERGENTES'!$G$5</f>
        <v>Bº RIVERA DEL VALLE ENTRE VILLA EUMELIA Y MONTE CRISTO</v>
      </c>
    </row>
    <row r="506" spans="2:5" x14ac:dyDescent="0.2">
      <c r="B506" s="247" t="str">
        <f>'[1]COMEDORES EMERGENTES'!$B$6</f>
        <v>ESFUERZO PROPIO- Bº ALTOS DE CHOYA</v>
      </c>
      <c r="C506" s="248"/>
      <c r="D506" s="119" t="s">
        <v>184</v>
      </c>
      <c r="E506" s="120" t="str">
        <f>'[1]COMEDORES EMERGENTES'!$G$6</f>
        <v>Bº MUNICIPAL 35VV. NORTE C/14</v>
      </c>
    </row>
    <row r="507" spans="2:5" x14ac:dyDescent="0.2">
      <c r="B507" s="247" t="str">
        <f>'[1]COMEDORES EMERGENTES'!$B$7</f>
        <v>ANGELITOS - LOTEO SUSSEX</v>
      </c>
      <c r="C507" s="248"/>
      <c r="D507" s="119" t="s">
        <v>225</v>
      </c>
      <c r="E507" s="120" t="str">
        <f>'[1]COMEDORES EMERGENTES'!$G$7</f>
        <v>Bº LOTEO SUSEX MZA.Nº 4 LOTE Nº3</v>
      </c>
    </row>
    <row r="508" spans="2:5" x14ac:dyDescent="0.2">
      <c r="B508" s="247" t="str">
        <f>'[1]COMEDORES EMERGENTES'!$B$8</f>
        <v>CLUB DEPORTIVO CHACARITA</v>
      </c>
      <c r="C508" s="248"/>
      <c r="D508" s="119" t="s">
        <v>183</v>
      </c>
      <c r="E508" s="120" t="str">
        <f>'[1]COMEDORES EMERGENTES'!$G$8</f>
        <v>CALLE DR.DERMIDIO GALINDEZ C/2660</v>
      </c>
    </row>
    <row r="509" spans="2:5" x14ac:dyDescent="0.2">
      <c r="B509" s="247" t="str">
        <f>'[1]COMEDORES EMERGENTES'!$B$9</f>
        <v>LA MORO</v>
      </c>
      <c r="C509" s="248"/>
      <c r="D509" s="119" t="s">
        <v>200</v>
      </c>
      <c r="E509" s="120" t="str">
        <f>'[1]COMEDORES EMERGENTES'!$G$9</f>
        <v>MAIPU NORTE 1º ETAPA MZA "H" Bº MI JARDIN</v>
      </c>
    </row>
    <row r="510" spans="2:5" x14ac:dyDescent="0.2">
      <c r="B510" s="247" t="str">
        <f>'[1]COMEDORES EMERGENTES'!$B$10</f>
        <v>PAPA FRANCISCO</v>
      </c>
      <c r="C510" s="248"/>
      <c r="D510" s="119" t="s">
        <v>173</v>
      </c>
      <c r="E510" s="120" t="str">
        <f>'[1]COMEDORES EMERGENTES'!$G$10</f>
        <v>ENTRE AV.TEREBINTO Y AV.SAN JUAN LOTE "2" MZA. "B"</v>
      </c>
    </row>
    <row r="511" spans="2:5" x14ac:dyDescent="0.2">
      <c r="B511" s="247" t="str">
        <f>'[1]COMEDORES EMERGENTES'!$B$11</f>
        <v>E.P.C - 100 V.V NORTE</v>
      </c>
      <c r="C511" s="248"/>
      <c r="D511" s="119" t="s">
        <v>174</v>
      </c>
      <c r="E511" s="120" t="str">
        <f>'[1]COMEDORES EMERGENTES'!$G$11</f>
        <v>Bº VV NORTE C/48 ENTRE ESPAÑA Y FRANCIA</v>
      </c>
    </row>
    <row r="512" spans="2:5" x14ac:dyDescent="0.2">
      <c r="B512" s="247" t="str">
        <f>'[1]COMEDORES EMERGENTES'!$B$12</f>
        <v>HOGAR DE CRISTO - PADRE RAUL CONTRERAS</v>
      </c>
      <c r="C512" s="248"/>
      <c r="D512" s="119" t="s">
        <v>174</v>
      </c>
      <c r="E512" s="120" t="str">
        <f>'[1]COMEDORES EMERGENTES'!$G$12</f>
        <v>Bº SANTA MARTA MZA. "S" LOTE "M" C/39</v>
      </c>
    </row>
    <row r="513" spans="2:5" x14ac:dyDescent="0.2">
      <c r="B513" s="247" t="str">
        <f>'[1]COMEDORES EMERGENTES'!$B$13</f>
        <v>LA LUCIERNAGA</v>
      </c>
      <c r="C513" s="248"/>
      <c r="D513" s="119" t="s">
        <v>173</v>
      </c>
      <c r="E513" s="120" t="str">
        <f>'[1]COMEDORES EMERGENTES'!$G$13</f>
        <v>Bº 20 V.V NORTE C/3</v>
      </c>
    </row>
    <row r="514" spans="2:5" x14ac:dyDescent="0.2">
      <c r="B514" s="247" t="str">
        <f>'[1]COMEDORES EMERGENTES'!$B$14</f>
        <v>VALLE VIEJO - SUMALAO</v>
      </c>
      <c r="C514" s="248"/>
      <c r="D514" s="119" t="s">
        <v>169</v>
      </c>
      <c r="E514" s="120" t="str">
        <f>'[1]COMEDORES EMERGENTES'!$G$14</f>
        <v>PADRE SEGURA S/N</v>
      </c>
    </row>
    <row r="515" spans="2:5" x14ac:dyDescent="0.2">
      <c r="B515" s="247" t="str">
        <f>'[1]COMEDORES EMERGENTES'!$B$15</f>
        <v>NUESTRO FUTURO - LAS VIAS</v>
      </c>
      <c r="C515" s="248"/>
      <c r="D515" s="119" t="s">
        <v>173</v>
      </c>
      <c r="E515" s="120" t="str">
        <f>'[1]COMEDORES EMERGENTES'!$G$15</f>
        <v>Bº LAS VIAS OESTE LOTE 42</v>
      </c>
    </row>
    <row r="516" spans="2:5" x14ac:dyDescent="0.2">
      <c r="B516" s="247" t="str">
        <f>'[1]COMEDORES EMERGENTES'!$B$16</f>
        <v>SAN JOSE OBRERO</v>
      </c>
      <c r="C516" s="248"/>
      <c r="D516" s="119" t="s">
        <v>183</v>
      </c>
      <c r="E516" s="120" t="str">
        <f>'[1]COMEDORES EMERGENTES'!$G$16</f>
        <v>Bº SAN JOSE OBRERO. PJE. SANDOVAL S/Nº</v>
      </c>
    </row>
    <row r="517" spans="2:5" x14ac:dyDescent="0.2">
      <c r="B517" s="247" t="str">
        <f>'[1]COMEDORES EMERGENTES'!$B$17</f>
        <v>VIRGEN DE LUJAN</v>
      </c>
      <c r="C517" s="248"/>
      <c r="D517" s="119" t="s">
        <v>173</v>
      </c>
      <c r="E517" s="120" t="str">
        <f>'[1]COMEDORES EMERGENTES'!$G$17</f>
        <v>Bº OJO DE AGUA C/DR.TEODULFO BARRIONUEVO S/Nº</v>
      </c>
    </row>
    <row r="518" spans="2:5" x14ac:dyDescent="0.2">
      <c r="B518" s="247" t="str">
        <f>'[1]COMEDORES EMERGENTES'!$B$18</f>
        <v>RENACER</v>
      </c>
      <c r="C518" s="248"/>
      <c r="D518" s="119" t="s">
        <v>180</v>
      </c>
      <c r="E518" s="120" t="str">
        <f>'[1]COMEDORES EMERGENTES'!$G$18</f>
        <v>Bº VIRGEN MORENITA</v>
      </c>
    </row>
    <row r="519" spans="2:5" x14ac:dyDescent="0.2">
      <c r="B519" s="247" t="str">
        <f>'[1]COMEDORES EMERGENTES'!$B$19</f>
        <v>CENTRO VECINAL MI JARDIN</v>
      </c>
      <c r="C519" s="248"/>
      <c r="D519" s="119" t="s">
        <v>168</v>
      </c>
      <c r="E519" s="120" t="str">
        <f>'[1]COMEDORES EMERGENTES'!$G$19</f>
        <v>C/ LOS TULIPANES ENTRE FLOR DE CEREZO Y HOLANDA MZA.27 Bº MI JARDIN</v>
      </c>
    </row>
    <row r="520" spans="2:5" x14ac:dyDescent="0.2">
      <c r="B520" s="247" t="str">
        <f>'[1]COMEDORES EMERGENTES'!$B$20</f>
        <v>LA VIEJA ESQUINA</v>
      </c>
      <c r="C520" s="248"/>
      <c r="D520" s="119" t="s">
        <v>226</v>
      </c>
      <c r="E520" s="120" t="str">
        <f>'[1]COMEDORES EMERGENTES'!$G$20</f>
        <v>B° CRISTO REY PJE CAPATAZ VILLAFAÑEZ Y ARMANDO CORREA</v>
      </c>
    </row>
    <row r="521" spans="2:5" x14ac:dyDescent="0.2">
      <c r="B521" s="247" t="str">
        <f>'[1]COMEDORES EMERGENTES'!$B$21</f>
        <v>GAUCHITO GIL</v>
      </c>
      <c r="C521" s="248"/>
      <c r="D521" s="119" t="s">
        <v>226</v>
      </c>
      <c r="E521" s="120" t="str">
        <f>'[1]COMEDORES EMERGENTES'!$G$21</f>
        <v>B° 26 VIVIENDAS CASA N° 3</v>
      </c>
    </row>
    <row r="522" spans="2:5" ht="13.5" thickBot="1" x14ac:dyDescent="0.25">
      <c r="B522" s="261" t="str">
        <f>'[1]COMEDORES EMERGENTES'!$B$22</f>
        <v>LOS TOLDOS</v>
      </c>
      <c r="C522" s="262"/>
      <c r="D522" s="126" t="s">
        <v>283</v>
      </c>
      <c r="E522" s="127" t="str">
        <f>'[1]COMEDORES EMERGENTES'!$G$22</f>
        <v>LOTEO PARQUE SUR CALLE S/NOMBRE S/N°</v>
      </c>
    </row>
    <row r="523" spans="2:5" x14ac:dyDescent="0.2">
      <c r="B523" s="43" t="s">
        <v>18</v>
      </c>
      <c r="C523" s="41"/>
      <c r="D523" s="83"/>
      <c r="E523" s="42"/>
    </row>
    <row r="524" spans="2:5" x14ac:dyDescent="0.2">
      <c r="B524" s="44"/>
      <c r="C524" s="260" t="s">
        <v>62</v>
      </c>
      <c r="D524" s="260"/>
      <c r="E524" s="260"/>
    </row>
    <row r="525" spans="2:5" x14ac:dyDescent="0.2">
      <c r="B525" s="43" t="s">
        <v>19</v>
      </c>
      <c r="C525" s="45"/>
      <c r="D525" s="45"/>
      <c r="E525" s="46"/>
    </row>
    <row r="526" spans="2:5" x14ac:dyDescent="0.2">
      <c r="B526" s="44"/>
      <c r="C526" s="260" t="s">
        <v>139</v>
      </c>
      <c r="D526" s="260"/>
      <c r="E526" s="260"/>
    </row>
    <row r="527" spans="2:5" x14ac:dyDescent="0.2">
      <c r="B527" s="43" t="s">
        <v>20</v>
      </c>
      <c r="C527" s="41"/>
      <c r="D527" s="83"/>
      <c r="E527" s="42"/>
    </row>
    <row r="528" spans="2:5" x14ac:dyDescent="0.2">
      <c r="B528" s="43"/>
      <c r="C528" s="246" t="s">
        <v>63</v>
      </c>
      <c r="D528" s="246"/>
      <c r="E528" s="246"/>
    </row>
    <row r="529" spans="2:5" ht="13.5" thickBot="1" x14ac:dyDescent="0.25">
      <c r="B529" s="47"/>
      <c r="C529" s="48"/>
      <c r="D529" s="84"/>
      <c r="E529" s="49"/>
    </row>
    <row r="530" spans="2:5" ht="13.5" thickBot="1" x14ac:dyDescent="0.25"/>
    <row r="531" spans="2:5" x14ac:dyDescent="0.2">
      <c r="B531" s="37" t="s">
        <v>151</v>
      </c>
      <c r="C531" s="38"/>
      <c r="D531" s="82"/>
      <c r="E531" s="39"/>
    </row>
    <row r="532" spans="2:5" x14ac:dyDescent="0.2">
      <c r="B532" s="40"/>
      <c r="C532" s="41"/>
      <c r="D532" s="83"/>
      <c r="E532" s="42"/>
    </row>
    <row r="533" spans="2:5" x14ac:dyDescent="0.2">
      <c r="B533" s="43" t="s">
        <v>16</v>
      </c>
      <c r="C533" s="41"/>
      <c r="D533" s="83"/>
      <c r="E533" s="42"/>
    </row>
    <row r="534" spans="2:5" ht="25.5" customHeight="1" x14ac:dyDescent="0.2">
      <c r="B534" s="43"/>
      <c r="C534" s="260"/>
      <c r="D534" s="260"/>
      <c r="E534" s="260"/>
    </row>
    <row r="535" spans="2:5" ht="13.5" thickBot="1" x14ac:dyDescent="0.25">
      <c r="B535" s="43" t="s">
        <v>17</v>
      </c>
      <c r="C535" s="41"/>
      <c r="D535" s="83"/>
      <c r="E535" s="42"/>
    </row>
    <row r="536" spans="2:5" ht="13.5" thickBot="1" x14ac:dyDescent="0.25">
      <c r="B536" s="252" t="s">
        <v>136</v>
      </c>
      <c r="C536" s="256"/>
      <c r="D536" s="256"/>
      <c r="E536" s="253"/>
    </row>
    <row r="537" spans="2:5" ht="13.5" thickBot="1" x14ac:dyDescent="0.25">
      <c r="B537" s="252" t="s">
        <v>137</v>
      </c>
      <c r="C537" s="253"/>
      <c r="D537" s="80" t="s">
        <v>11</v>
      </c>
      <c r="E537" s="80" t="s">
        <v>138</v>
      </c>
    </row>
    <row r="538" spans="2:5" x14ac:dyDescent="0.2">
      <c r="B538" s="254" t="str">
        <f>'[1]COMEDORES EMERGENTES'!$B$3</f>
        <v>UNA SONRISA AV. LOS COBACHO</v>
      </c>
      <c r="C538" s="255"/>
      <c r="D538" s="124">
        <v>10</v>
      </c>
      <c r="E538" s="125" t="str">
        <f>'[1]COMEDORES EMERGENTES'!$G$3</f>
        <v>Bº SAN CARLOS OESTE AV. Bonifacio cobacho 670</v>
      </c>
    </row>
    <row r="539" spans="2:5" x14ac:dyDescent="0.2">
      <c r="B539" s="247" t="str">
        <f>'[1]COMEDORES EMERGENTES'!$B$4</f>
        <v>C.I.F Nº1 - RIVERA DEL VALLE Y FLORIDA</v>
      </c>
      <c r="C539" s="248"/>
      <c r="D539" s="119">
        <v>14</v>
      </c>
      <c r="E539" s="120" t="str">
        <f>'[1]COMEDORES EMERGENTES'!$G$4</f>
        <v>AV. RIVIERA DEL VALLE ENTRE FLORIDA Y SANTA FE</v>
      </c>
    </row>
    <row r="540" spans="2:5" x14ac:dyDescent="0.2">
      <c r="B540" s="247" t="str">
        <f>'[1]COMEDORES EMERGENTES'!$B$5</f>
        <v>C.I.F - RIVERA DEL VALLE - DILORENZO</v>
      </c>
      <c r="C540" s="248"/>
      <c r="D540" s="119">
        <v>16</v>
      </c>
      <c r="E540" s="120" t="str">
        <f>'[1]COMEDORES EMERGENTES'!$G$5</f>
        <v>Bº RIVERA DEL VALLE ENTRE VILLA EUMELIA Y MONTE CRISTO</v>
      </c>
    </row>
    <row r="541" spans="2:5" x14ac:dyDescent="0.2">
      <c r="B541" s="247" t="str">
        <f>'[1]COMEDORES EMERGENTES'!$B$6</f>
        <v>ESFUERZO PROPIO- Bº ALTOS DE CHOYA</v>
      </c>
      <c r="C541" s="248"/>
      <c r="D541" s="119">
        <v>13</v>
      </c>
      <c r="E541" s="120" t="str">
        <f>'[1]COMEDORES EMERGENTES'!$G$6</f>
        <v>Bº MUNICIPAL 35VV. NORTE C/14</v>
      </c>
    </row>
    <row r="542" spans="2:5" x14ac:dyDescent="0.2">
      <c r="B542" s="247" t="str">
        <f>'[1]COMEDORES EMERGENTES'!$B$7</f>
        <v>ANGELITOS - LOTEO SUSSEX</v>
      </c>
      <c r="C542" s="248"/>
      <c r="D542" s="119">
        <v>6</v>
      </c>
      <c r="E542" s="120" t="str">
        <f>'[1]COMEDORES EMERGENTES'!$G$7</f>
        <v>Bº LOTEO SUSEX MZA.Nº 4 LOTE Nº3</v>
      </c>
    </row>
    <row r="543" spans="2:5" x14ac:dyDescent="0.2">
      <c r="B543" s="247" t="str">
        <f>'[1]COMEDORES EMERGENTES'!$B$8</f>
        <v>CLUB DEPORTIVO CHACARITA</v>
      </c>
      <c r="C543" s="248"/>
      <c r="D543" s="119">
        <v>8</v>
      </c>
      <c r="E543" s="120" t="str">
        <f>'[1]COMEDORES EMERGENTES'!$G$8</f>
        <v>CALLE DR.DERMIDIO GALINDEZ C/2660</v>
      </c>
    </row>
    <row r="544" spans="2:5" x14ac:dyDescent="0.2">
      <c r="B544" s="247" t="str">
        <f>'[1]COMEDORES EMERGENTES'!$B$9</f>
        <v>LA MORO</v>
      </c>
      <c r="C544" s="248"/>
      <c r="D544" s="119">
        <v>7</v>
      </c>
      <c r="E544" s="120" t="str">
        <f>'[1]COMEDORES EMERGENTES'!$G$9</f>
        <v>MAIPU NORTE 1º ETAPA MZA "H" Bº MI JARDIN</v>
      </c>
    </row>
    <row r="545" spans="2:5" x14ac:dyDescent="0.2">
      <c r="B545" s="247" t="str">
        <f>'[1]COMEDORES EMERGENTES'!$B$10</f>
        <v>PAPA FRANCISCO</v>
      </c>
      <c r="C545" s="248"/>
      <c r="D545" s="119">
        <v>12</v>
      </c>
      <c r="E545" s="120" t="str">
        <f>'[1]COMEDORES EMERGENTES'!$G$10</f>
        <v>ENTRE AV.TEREBINTO Y AV.SAN JUAN LOTE "2" MZA. "B"</v>
      </c>
    </row>
    <row r="546" spans="2:5" x14ac:dyDescent="0.2">
      <c r="B546" s="247" t="str">
        <f>'[1]COMEDORES EMERGENTES'!$B$11</f>
        <v>E.P.C - 100 V.V NORTE</v>
      </c>
      <c r="C546" s="248"/>
      <c r="D546" s="119">
        <v>18</v>
      </c>
      <c r="E546" s="120" t="str">
        <f>'[1]COMEDORES EMERGENTES'!$G$11</f>
        <v>Bº VV NORTE C/48 ENTRE ESPAÑA Y FRANCIA</v>
      </c>
    </row>
    <row r="547" spans="2:5" x14ac:dyDescent="0.2">
      <c r="B547" s="247" t="str">
        <f>'[1]COMEDORES EMERGENTES'!$B$12</f>
        <v>HOGAR DE CRISTO - PADRE RAUL CONTRERAS</v>
      </c>
      <c r="C547" s="248"/>
      <c r="D547" s="119">
        <v>18</v>
      </c>
      <c r="E547" s="120" t="str">
        <f>'[1]COMEDORES EMERGENTES'!$G$12</f>
        <v>Bº SANTA MARTA MZA. "S" LOTE "M" C/39</v>
      </c>
    </row>
    <row r="548" spans="2:5" x14ac:dyDescent="0.2">
      <c r="B548" s="247" t="str">
        <f>'[1]COMEDORES EMERGENTES'!$B$13</f>
        <v>LA LUCIERNAGA</v>
      </c>
      <c r="C548" s="248"/>
      <c r="D548" s="119">
        <v>12</v>
      </c>
      <c r="E548" s="120" t="str">
        <f>'[1]COMEDORES EMERGENTES'!$G$13</f>
        <v>Bº 20 V.V NORTE C/3</v>
      </c>
    </row>
    <row r="549" spans="2:5" x14ac:dyDescent="0.2">
      <c r="B549" s="247" t="str">
        <f>'[1]COMEDORES EMERGENTES'!$B$14</f>
        <v>VALLE VIEJO - SUMALAO</v>
      </c>
      <c r="C549" s="248"/>
      <c r="D549" s="119">
        <v>21</v>
      </c>
      <c r="E549" s="120" t="str">
        <f>'[1]COMEDORES EMERGENTES'!$G$14</f>
        <v>PADRE SEGURA S/N</v>
      </c>
    </row>
    <row r="550" spans="2:5" x14ac:dyDescent="0.2">
      <c r="B550" s="247" t="str">
        <f>'[1]COMEDORES EMERGENTES'!$B$15</f>
        <v>NUESTRO FUTURO - LAS VIAS</v>
      </c>
      <c r="C550" s="248"/>
      <c r="D550" s="119">
        <v>12</v>
      </c>
      <c r="E550" s="120" t="str">
        <f>'[1]COMEDORES EMERGENTES'!$G$15</f>
        <v>Bº LAS VIAS OESTE LOTE 42</v>
      </c>
    </row>
    <row r="551" spans="2:5" x14ac:dyDescent="0.2">
      <c r="B551" s="247" t="str">
        <f>'[1]COMEDORES EMERGENTES'!$B$16</f>
        <v>SAN JOSE OBRERO</v>
      </c>
      <c r="C551" s="248"/>
      <c r="D551" s="119">
        <v>8</v>
      </c>
      <c r="E551" s="120" t="str">
        <f>'[1]COMEDORES EMERGENTES'!$G$16</f>
        <v>Bº SAN JOSE OBRERO. PJE. SANDOVAL S/Nº</v>
      </c>
    </row>
    <row r="552" spans="2:5" x14ac:dyDescent="0.2">
      <c r="B552" s="247" t="str">
        <f>'[1]COMEDORES EMERGENTES'!$B$17</f>
        <v>VIRGEN DE LUJAN</v>
      </c>
      <c r="C552" s="248"/>
      <c r="D552" s="119">
        <v>12</v>
      </c>
      <c r="E552" s="120" t="str">
        <f>'[1]COMEDORES EMERGENTES'!$G$17</f>
        <v>Bº OJO DE AGUA C/DR.TEODULFO BARRIONUEVO S/Nº</v>
      </c>
    </row>
    <row r="553" spans="2:5" x14ac:dyDescent="0.2">
      <c r="B553" s="247" t="str">
        <f>'[1]COMEDORES EMERGENTES'!$B$18</f>
        <v>RENACER</v>
      </c>
      <c r="C553" s="248"/>
      <c r="D553" s="119">
        <v>15</v>
      </c>
      <c r="E553" s="120" t="str">
        <f>'[1]COMEDORES EMERGENTES'!$G$18</f>
        <v>Bº VIRGEN MORENITA</v>
      </c>
    </row>
    <row r="554" spans="2:5" x14ac:dyDescent="0.2">
      <c r="B554" s="247" t="str">
        <f>'[1]COMEDORES EMERGENTES'!$B$19</f>
        <v>CENTRO VECINAL MI JARDIN</v>
      </c>
      <c r="C554" s="248"/>
      <c r="D554" s="119">
        <v>11</v>
      </c>
      <c r="E554" s="120" t="str">
        <f>'[1]COMEDORES EMERGENTES'!$G$19</f>
        <v>C/ LOS TULIPANES ENTRE FLOR DE CEREZO Y HOLANDA MZA.27 Bº MI JARDIN</v>
      </c>
    </row>
    <row r="555" spans="2:5" x14ac:dyDescent="0.2">
      <c r="B555" s="247" t="str">
        <f>'[1]COMEDORES EMERGENTES'!$B$20</f>
        <v>LA VIEJA ESQUINA</v>
      </c>
      <c r="C555" s="248"/>
      <c r="D555" s="119">
        <v>10</v>
      </c>
      <c r="E555" s="120" t="str">
        <f>'[1]COMEDORES EMERGENTES'!$G$20</f>
        <v>B° CRISTO REY PJE CAPATAZ VILLAFAÑEZ Y ARMANDO CORREA</v>
      </c>
    </row>
    <row r="556" spans="2:5" x14ac:dyDescent="0.2">
      <c r="B556" s="247" t="str">
        <f>'[1]COMEDORES EMERGENTES'!$B$21</f>
        <v>GAUCHITO GIL</v>
      </c>
      <c r="C556" s="248"/>
      <c r="D556" s="119">
        <v>10</v>
      </c>
      <c r="E556" s="120" t="str">
        <f>'[1]COMEDORES EMERGENTES'!$G$21</f>
        <v>B° 26 VIVIENDAS CASA N° 3</v>
      </c>
    </row>
    <row r="557" spans="2:5" ht="13.5" thickBot="1" x14ac:dyDescent="0.25">
      <c r="B557" s="261" t="str">
        <f>'[1]COMEDORES EMERGENTES'!$B$22</f>
        <v>LOS TOLDOS</v>
      </c>
      <c r="C557" s="262"/>
      <c r="D557" s="126">
        <v>5</v>
      </c>
      <c r="E557" s="127" t="str">
        <f>'[1]COMEDORES EMERGENTES'!$G$22</f>
        <v>LOTEO PARQUE SUR CALLE S/NOMBRE S/N°</v>
      </c>
    </row>
    <row r="558" spans="2:5" x14ac:dyDescent="0.2">
      <c r="B558" s="43" t="s">
        <v>18</v>
      </c>
      <c r="C558" s="41"/>
      <c r="D558" s="83"/>
      <c r="E558" s="42"/>
    </row>
    <row r="559" spans="2:5" x14ac:dyDescent="0.2">
      <c r="B559" s="44"/>
      <c r="C559" s="260" t="s">
        <v>62</v>
      </c>
      <c r="D559" s="260"/>
      <c r="E559" s="260"/>
    </row>
    <row r="560" spans="2:5" x14ac:dyDescent="0.2">
      <c r="B560" s="43" t="s">
        <v>19</v>
      </c>
      <c r="C560" s="45"/>
      <c r="D560" s="45"/>
      <c r="E560" s="46"/>
    </row>
    <row r="561" spans="2:5" x14ac:dyDescent="0.2">
      <c r="B561" s="44"/>
      <c r="C561" s="260" t="s">
        <v>139</v>
      </c>
      <c r="D561" s="260"/>
      <c r="E561" s="260"/>
    </row>
    <row r="562" spans="2:5" x14ac:dyDescent="0.2">
      <c r="B562" s="43" t="s">
        <v>20</v>
      </c>
      <c r="C562" s="41"/>
      <c r="D562" s="83"/>
      <c r="E562" s="42"/>
    </row>
    <row r="563" spans="2:5" x14ac:dyDescent="0.2">
      <c r="B563" s="43"/>
      <c r="C563" s="246" t="s">
        <v>63</v>
      </c>
      <c r="D563" s="246"/>
      <c r="E563" s="246"/>
    </row>
    <row r="564" spans="2:5" ht="13.5" thickBot="1" x14ac:dyDescent="0.25">
      <c r="B564" s="47"/>
      <c r="C564" s="48"/>
      <c r="D564" s="84"/>
      <c r="E564" s="49"/>
    </row>
    <row r="565" spans="2:5" ht="13.5" thickBot="1" x14ac:dyDescent="0.25"/>
    <row r="566" spans="2:5" x14ac:dyDescent="0.2">
      <c r="B566" s="37" t="s">
        <v>152</v>
      </c>
      <c r="C566" s="38"/>
      <c r="D566" s="82"/>
      <c r="E566" s="39"/>
    </row>
    <row r="567" spans="2:5" x14ac:dyDescent="0.2">
      <c r="B567" s="40"/>
      <c r="C567" s="41"/>
      <c r="D567" s="83"/>
      <c r="E567" s="42"/>
    </row>
    <row r="568" spans="2:5" x14ac:dyDescent="0.2">
      <c r="B568" s="43" t="s">
        <v>16</v>
      </c>
      <c r="C568" s="41"/>
      <c r="D568" s="83"/>
      <c r="E568" s="42"/>
    </row>
    <row r="569" spans="2:5" ht="25.5" customHeight="1" x14ac:dyDescent="0.2">
      <c r="B569" s="43"/>
      <c r="C569" s="260"/>
      <c r="D569" s="260"/>
      <c r="E569" s="260"/>
    </row>
    <row r="570" spans="2:5" ht="13.5" thickBot="1" x14ac:dyDescent="0.25">
      <c r="B570" s="43" t="s">
        <v>17</v>
      </c>
      <c r="C570" s="41"/>
      <c r="D570" s="83"/>
      <c r="E570" s="42"/>
    </row>
    <row r="571" spans="2:5" ht="13.5" thickBot="1" x14ac:dyDescent="0.25">
      <c r="B571" s="252" t="s">
        <v>136</v>
      </c>
      <c r="C571" s="256"/>
      <c r="D571" s="256"/>
      <c r="E571" s="253"/>
    </row>
    <row r="572" spans="2:5" ht="13.5" thickBot="1" x14ac:dyDescent="0.25">
      <c r="B572" s="252" t="s">
        <v>137</v>
      </c>
      <c r="C572" s="253"/>
      <c r="D572" s="80" t="s">
        <v>11</v>
      </c>
      <c r="E572" s="80" t="s">
        <v>138</v>
      </c>
    </row>
    <row r="573" spans="2:5" x14ac:dyDescent="0.2">
      <c r="B573" s="254" t="str">
        <f>'[1]COMEDORES EMERGENTES'!$B$3</f>
        <v>UNA SONRISA AV. LOS COBACHO</v>
      </c>
      <c r="C573" s="255"/>
      <c r="D573" s="124" t="s">
        <v>188</v>
      </c>
      <c r="E573" s="125" t="str">
        <f>'[1]COMEDORES EMERGENTES'!$G$3</f>
        <v>Bº SAN CARLOS OESTE AV. Bonifacio cobacho 670</v>
      </c>
    </row>
    <row r="574" spans="2:5" x14ac:dyDescent="0.2">
      <c r="B574" s="247" t="str">
        <f>'[1]COMEDORES EMERGENTES'!$B$4</f>
        <v>C.I.F Nº1 - RIVERA DEL VALLE Y FLORIDA</v>
      </c>
      <c r="C574" s="248"/>
      <c r="D574" s="119" t="s">
        <v>189</v>
      </c>
      <c r="E574" s="120" t="str">
        <f>'[1]COMEDORES EMERGENTES'!$G$4</f>
        <v>AV. RIVIERA DEL VALLE ENTRE FLORIDA Y SANTA FE</v>
      </c>
    </row>
    <row r="575" spans="2:5" x14ac:dyDescent="0.2">
      <c r="B575" s="247" t="str">
        <f>'[1]COMEDORES EMERGENTES'!$B$5</f>
        <v>C.I.F - RIVERA DEL VALLE - DILORENZO</v>
      </c>
      <c r="C575" s="248"/>
      <c r="D575" s="119" t="s">
        <v>190</v>
      </c>
      <c r="E575" s="120" t="str">
        <f>'[1]COMEDORES EMERGENTES'!$G$5</f>
        <v>Bº RIVERA DEL VALLE ENTRE VILLA EUMELIA Y MONTE CRISTO</v>
      </c>
    </row>
    <row r="576" spans="2:5" x14ac:dyDescent="0.2">
      <c r="B576" s="247" t="str">
        <f>'[1]COMEDORES EMERGENTES'!$B$6</f>
        <v>ESFUERZO PROPIO- Bº ALTOS DE CHOYA</v>
      </c>
      <c r="C576" s="248"/>
      <c r="D576" s="119" t="s">
        <v>191</v>
      </c>
      <c r="E576" s="120" t="str">
        <f>'[1]COMEDORES EMERGENTES'!$G$6</f>
        <v>Bº MUNICIPAL 35VV. NORTE C/14</v>
      </c>
    </row>
    <row r="577" spans="2:5" x14ac:dyDescent="0.2">
      <c r="B577" s="247" t="str">
        <f>'[1]COMEDORES EMERGENTES'!$B$7</f>
        <v>ANGELITOS - LOTEO SUSSEX</v>
      </c>
      <c r="C577" s="248"/>
      <c r="D577" s="119" t="s">
        <v>173</v>
      </c>
      <c r="E577" s="120" t="str">
        <f>'[1]COMEDORES EMERGENTES'!$G$7</f>
        <v>Bº LOTEO SUSEX MZA.Nº 4 LOTE Nº3</v>
      </c>
    </row>
    <row r="578" spans="2:5" x14ac:dyDescent="0.2">
      <c r="B578" s="247" t="str">
        <f>'[1]COMEDORES EMERGENTES'!$B$8</f>
        <v>CLUB DEPORTIVO CHACARITA</v>
      </c>
      <c r="C578" s="248"/>
      <c r="D578" s="119" t="s">
        <v>179</v>
      </c>
      <c r="E578" s="120" t="str">
        <f>'[1]COMEDORES EMERGENTES'!$G$8</f>
        <v>CALLE DR.DERMIDIO GALINDEZ C/2660</v>
      </c>
    </row>
    <row r="579" spans="2:5" x14ac:dyDescent="0.2">
      <c r="B579" s="247" t="str">
        <f>'[1]COMEDORES EMERGENTES'!$B$9</f>
        <v>LA MORO</v>
      </c>
      <c r="C579" s="248"/>
      <c r="D579" s="119" t="s">
        <v>167</v>
      </c>
      <c r="E579" s="120" t="str">
        <f>'[1]COMEDORES EMERGENTES'!$G$9</f>
        <v>MAIPU NORTE 1º ETAPA MZA "H" Bº MI JARDIN</v>
      </c>
    </row>
    <row r="580" spans="2:5" x14ac:dyDescent="0.2">
      <c r="B580" s="247" t="str">
        <f>'[1]COMEDORES EMERGENTES'!$B$10</f>
        <v>PAPA FRANCISCO</v>
      </c>
      <c r="C580" s="248"/>
      <c r="D580" s="119" t="s">
        <v>192</v>
      </c>
      <c r="E580" s="120" t="str">
        <f>'[1]COMEDORES EMERGENTES'!$G$10</f>
        <v>ENTRE AV.TEREBINTO Y AV.SAN JUAN LOTE "2" MZA. "B"</v>
      </c>
    </row>
    <row r="581" spans="2:5" x14ac:dyDescent="0.2">
      <c r="B581" s="247" t="str">
        <f>'[1]COMEDORES EMERGENTES'!$B$11</f>
        <v>E.P.C - 100 V.V NORTE</v>
      </c>
      <c r="C581" s="248"/>
      <c r="D581" s="119" t="s">
        <v>193</v>
      </c>
      <c r="E581" s="120" t="str">
        <f>'[1]COMEDORES EMERGENTES'!$G$11</f>
        <v>Bº VV NORTE C/48 ENTRE ESPAÑA Y FRANCIA</v>
      </c>
    </row>
    <row r="582" spans="2:5" x14ac:dyDescent="0.2">
      <c r="B582" s="247" t="str">
        <f>'[1]COMEDORES EMERGENTES'!$B$12</f>
        <v>HOGAR DE CRISTO - PADRE RAUL CONTRERAS</v>
      </c>
      <c r="C582" s="248"/>
      <c r="D582" s="119" t="s">
        <v>193</v>
      </c>
      <c r="E582" s="120" t="str">
        <f>'[1]COMEDORES EMERGENTES'!$G$12</f>
        <v>Bº SANTA MARTA MZA. "S" LOTE "M" C/39</v>
      </c>
    </row>
    <row r="583" spans="2:5" x14ac:dyDescent="0.2">
      <c r="B583" s="247" t="str">
        <f>'[1]COMEDORES EMERGENTES'!$B$13</f>
        <v>LA LUCIERNAGA</v>
      </c>
      <c r="C583" s="248"/>
      <c r="D583" s="119" t="s">
        <v>192</v>
      </c>
      <c r="E583" s="120" t="str">
        <f>'[1]COMEDORES EMERGENTES'!$G$13</f>
        <v>Bº 20 V.V NORTE C/3</v>
      </c>
    </row>
    <row r="584" spans="2:5" x14ac:dyDescent="0.2">
      <c r="B584" s="247" t="str">
        <f>'[1]COMEDORES EMERGENTES'!$B$14</f>
        <v>VALLE VIEJO - SUMALAO</v>
      </c>
      <c r="C584" s="248"/>
      <c r="D584" s="119" t="s">
        <v>194</v>
      </c>
      <c r="E584" s="120" t="str">
        <f>'[1]COMEDORES EMERGENTES'!$G$14</f>
        <v>PADRE SEGURA S/N</v>
      </c>
    </row>
    <row r="585" spans="2:5" x14ac:dyDescent="0.2">
      <c r="B585" s="247" t="str">
        <f>'[1]COMEDORES EMERGENTES'!$B$15</f>
        <v>NUESTRO FUTURO - LAS VIAS</v>
      </c>
      <c r="C585" s="248"/>
      <c r="D585" s="119" t="s">
        <v>192</v>
      </c>
      <c r="E585" s="120" t="str">
        <f>'[1]COMEDORES EMERGENTES'!$G$15</f>
        <v>Bº LAS VIAS OESTE LOTE 42</v>
      </c>
    </row>
    <row r="586" spans="2:5" x14ac:dyDescent="0.2">
      <c r="B586" s="247" t="str">
        <f>'[1]COMEDORES EMERGENTES'!$B$16</f>
        <v>SAN JOSE OBRERO</v>
      </c>
      <c r="C586" s="248"/>
      <c r="D586" s="119" t="s">
        <v>179</v>
      </c>
      <c r="E586" s="120" t="str">
        <f>'[1]COMEDORES EMERGENTES'!$G$16</f>
        <v>Bº SAN JOSE OBRERO. PJE. SANDOVAL S/Nº</v>
      </c>
    </row>
    <row r="587" spans="2:5" x14ac:dyDescent="0.2">
      <c r="B587" s="247" t="str">
        <f>'[1]COMEDORES EMERGENTES'!$B$17</f>
        <v>VIRGEN DE LUJAN</v>
      </c>
      <c r="C587" s="248"/>
      <c r="D587" s="119" t="s">
        <v>192</v>
      </c>
      <c r="E587" s="120" t="str">
        <f>'[1]COMEDORES EMERGENTES'!$G$17</f>
        <v>Bº OJO DE AGUA C/DR.TEODULFO BARRIONUEVO S/Nº</v>
      </c>
    </row>
    <row r="588" spans="2:5" x14ac:dyDescent="0.2">
      <c r="B588" s="247" t="str">
        <f>'[1]COMEDORES EMERGENTES'!$B$18</f>
        <v>RENACER</v>
      </c>
      <c r="C588" s="248"/>
      <c r="D588" s="119" t="s">
        <v>195</v>
      </c>
      <c r="E588" s="120" t="str">
        <f>'[1]COMEDORES EMERGENTES'!$G$18</f>
        <v>Bº VIRGEN MORENITA</v>
      </c>
    </row>
    <row r="589" spans="2:5" x14ac:dyDescent="0.2">
      <c r="B589" s="247" t="str">
        <f>'[1]COMEDORES EMERGENTES'!$B$19</f>
        <v>CENTRO VECINAL MI JARDIN</v>
      </c>
      <c r="C589" s="248"/>
      <c r="D589" s="119" t="s">
        <v>196</v>
      </c>
      <c r="E589" s="120" t="str">
        <f>'[1]COMEDORES EMERGENTES'!$G$19</f>
        <v>C/ LOS TULIPANES ENTRE FLOR DE CEREZO Y HOLANDA MZA.27 Bº MI JARDIN</v>
      </c>
    </row>
    <row r="590" spans="2:5" x14ac:dyDescent="0.2">
      <c r="B590" s="247" t="str">
        <f>'[1]COMEDORES EMERGENTES'!$B$20</f>
        <v>LA VIEJA ESQUINA</v>
      </c>
      <c r="C590" s="248"/>
      <c r="D590" s="119" t="s">
        <v>197</v>
      </c>
      <c r="E590" s="120" t="str">
        <f>'[1]COMEDORES EMERGENTES'!$G$20</f>
        <v>B° CRISTO REY PJE CAPATAZ VILLAFAÑEZ Y ARMANDO CORREA</v>
      </c>
    </row>
    <row r="591" spans="2:5" x14ac:dyDescent="0.2">
      <c r="B591" s="247" t="str">
        <f>'[1]COMEDORES EMERGENTES'!$B$21</f>
        <v>GAUCHITO GIL</v>
      </c>
      <c r="C591" s="248"/>
      <c r="D591" s="119" t="s">
        <v>197</v>
      </c>
      <c r="E591" s="120" t="str">
        <f>'[1]COMEDORES EMERGENTES'!$G$21</f>
        <v>B° 26 VIVIENDAS CASA N° 3</v>
      </c>
    </row>
    <row r="592" spans="2:5" ht="13.5" thickBot="1" x14ac:dyDescent="0.25">
      <c r="B592" s="261" t="str">
        <f>'[1]COMEDORES EMERGENTES'!$B$22</f>
        <v>LOS TOLDOS</v>
      </c>
      <c r="C592" s="262"/>
      <c r="D592" s="126" t="s">
        <v>202</v>
      </c>
      <c r="E592" s="127" t="str">
        <f>'[1]COMEDORES EMERGENTES'!$G$22</f>
        <v>LOTEO PARQUE SUR CALLE S/NOMBRE S/N°</v>
      </c>
    </row>
    <row r="593" spans="2:5" x14ac:dyDescent="0.2">
      <c r="B593" s="43" t="s">
        <v>18</v>
      </c>
      <c r="C593" s="41"/>
      <c r="D593" s="83"/>
      <c r="E593" s="42"/>
    </row>
    <row r="594" spans="2:5" x14ac:dyDescent="0.2">
      <c r="B594" s="44"/>
      <c r="C594" s="260" t="s">
        <v>62</v>
      </c>
      <c r="D594" s="260"/>
      <c r="E594" s="260"/>
    </row>
    <row r="595" spans="2:5" x14ac:dyDescent="0.2">
      <c r="B595" s="43" t="s">
        <v>19</v>
      </c>
      <c r="C595" s="45"/>
      <c r="D595" s="45"/>
      <c r="E595" s="46"/>
    </row>
    <row r="596" spans="2:5" x14ac:dyDescent="0.2">
      <c r="B596" s="44"/>
      <c r="C596" s="260" t="s">
        <v>139</v>
      </c>
      <c r="D596" s="260"/>
      <c r="E596" s="260"/>
    </row>
    <row r="597" spans="2:5" x14ac:dyDescent="0.2">
      <c r="B597" s="43" t="s">
        <v>20</v>
      </c>
      <c r="C597" s="41"/>
      <c r="D597" s="83"/>
      <c r="E597" s="42"/>
    </row>
    <row r="598" spans="2:5" x14ac:dyDescent="0.2">
      <c r="B598" s="43"/>
      <c r="C598" s="246" t="s">
        <v>63</v>
      </c>
      <c r="D598" s="246"/>
      <c r="E598" s="246"/>
    </row>
    <row r="599" spans="2:5" ht="13.5" thickBot="1" x14ac:dyDescent="0.25">
      <c r="B599" s="47"/>
      <c r="C599" s="48"/>
      <c r="D599" s="84"/>
      <c r="E599" s="49"/>
    </row>
    <row r="600" spans="2:5" ht="13.5" thickBot="1" x14ac:dyDescent="0.25"/>
    <row r="601" spans="2:5" x14ac:dyDescent="0.2">
      <c r="B601" s="37" t="s">
        <v>153</v>
      </c>
      <c r="C601" s="38"/>
      <c r="D601" s="82"/>
      <c r="E601" s="39"/>
    </row>
    <row r="602" spans="2:5" x14ac:dyDescent="0.2">
      <c r="B602" s="40"/>
      <c r="C602" s="41"/>
      <c r="D602" s="83"/>
      <c r="E602" s="42"/>
    </row>
    <row r="603" spans="2:5" x14ac:dyDescent="0.2">
      <c r="B603" s="43" t="s">
        <v>16</v>
      </c>
      <c r="C603" s="41"/>
      <c r="D603" s="83"/>
      <c r="E603" s="42"/>
    </row>
    <row r="604" spans="2:5" ht="25.5" customHeight="1" x14ac:dyDescent="0.2">
      <c r="B604" s="43"/>
      <c r="C604" s="260"/>
      <c r="D604" s="260"/>
      <c r="E604" s="260"/>
    </row>
    <row r="605" spans="2:5" ht="13.5" thickBot="1" x14ac:dyDescent="0.25">
      <c r="B605" s="43" t="s">
        <v>17</v>
      </c>
      <c r="C605" s="41"/>
      <c r="D605" s="83"/>
      <c r="E605" s="42"/>
    </row>
    <row r="606" spans="2:5" ht="13.5" thickBot="1" x14ac:dyDescent="0.25">
      <c r="B606" s="252" t="s">
        <v>136</v>
      </c>
      <c r="C606" s="256"/>
      <c r="D606" s="256"/>
      <c r="E606" s="253"/>
    </row>
    <row r="607" spans="2:5" ht="13.5" thickBot="1" x14ac:dyDescent="0.25">
      <c r="B607" s="252" t="s">
        <v>137</v>
      </c>
      <c r="C607" s="253"/>
      <c r="D607" s="80" t="s">
        <v>11</v>
      </c>
      <c r="E607" s="80" t="s">
        <v>138</v>
      </c>
    </row>
    <row r="608" spans="2:5" x14ac:dyDescent="0.2">
      <c r="B608" s="254" t="str">
        <f>'[1]COMEDORES EMERGENTES'!$B$3</f>
        <v>UNA SONRISA AV. LOS COBACHO</v>
      </c>
      <c r="C608" s="255"/>
      <c r="D608" s="124" t="s">
        <v>202</v>
      </c>
      <c r="E608" s="125" t="str">
        <f>'[1]COMEDORES EMERGENTES'!$G$3</f>
        <v>Bº SAN CARLOS OESTE AV. Bonifacio cobacho 670</v>
      </c>
    </row>
    <row r="609" spans="2:5" x14ac:dyDescent="0.2">
      <c r="B609" s="247" t="str">
        <f>'[1]COMEDORES EMERGENTES'!$B$4</f>
        <v>C.I.F Nº1 - RIVERA DEL VALLE Y FLORIDA</v>
      </c>
      <c r="C609" s="248"/>
      <c r="D609" s="119" t="s">
        <v>201</v>
      </c>
      <c r="E609" s="120" t="str">
        <f>'[1]COMEDORES EMERGENTES'!$G$4</f>
        <v>AV. RIVIERA DEL VALLE ENTRE FLORIDA Y SANTA FE</v>
      </c>
    </row>
    <row r="610" spans="2:5" x14ac:dyDescent="0.2">
      <c r="B610" s="247" t="str">
        <f>'[1]COMEDORES EMERGENTES'!$B$5</f>
        <v>C.I.F - RIVERA DEL VALLE - DILORENZO</v>
      </c>
      <c r="C610" s="248"/>
      <c r="D610" s="119" t="s">
        <v>178</v>
      </c>
      <c r="E610" s="120" t="str">
        <f>'[1]COMEDORES EMERGENTES'!$G$5</f>
        <v>Bº RIVERA DEL VALLE ENTRE VILLA EUMELIA Y MONTE CRISTO</v>
      </c>
    </row>
    <row r="611" spans="2:5" x14ac:dyDescent="0.2">
      <c r="B611" s="247" t="str">
        <f>'[1]COMEDORES EMERGENTES'!$B$6</f>
        <v>ESFUERZO PROPIO- Bº ALTOS DE CHOYA</v>
      </c>
      <c r="C611" s="248"/>
      <c r="D611" s="119" t="s">
        <v>184</v>
      </c>
      <c r="E611" s="120" t="str">
        <f>'[1]COMEDORES EMERGENTES'!$G$6</f>
        <v>Bº MUNICIPAL 35VV. NORTE C/14</v>
      </c>
    </row>
    <row r="612" spans="2:5" x14ac:dyDescent="0.2">
      <c r="B612" s="247" t="str">
        <f>'[1]COMEDORES EMERGENTES'!$B$7</f>
        <v>ANGELITOS - LOTEO SUSSEX</v>
      </c>
      <c r="C612" s="248"/>
      <c r="D612" s="119" t="s">
        <v>225</v>
      </c>
      <c r="E612" s="120" t="str">
        <f>'[1]COMEDORES EMERGENTES'!$G$7</f>
        <v>Bº LOTEO SUSEX MZA.Nº 4 LOTE Nº3</v>
      </c>
    </row>
    <row r="613" spans="2:5" x14ac:dyDescent="0.2">
      <c r="B613" s="247" t="str">
        <f>'[1]COMEDORES EMERGENTES'!$B$8</f>
        <v>CLUB DEPORTIVO CHACARITA</v>
      </c>
      <c r="C613" s="248"/>
      <c r="D613" s="119" t="s">
        <v>183</v>
      </c>
      <c r="E613" s="120" t="str">
        <f>'[1]COMEDORES EMERGENTES'!$G$8</f>
        <v>CALLE DR.DERMIDIO GALINDEZ C/2660</v>
      </c>
    </row>
    <row r="614" spans="2:5" x14ac:dyDescent="0.2">
      <c r="B614" s="247" t="str">
        <f>'[1]COMEDORES EMERGENTES'!$B$9</f>
        <v>LA MORO</v>
      </c>
      <c r="C614" s="248"/>
      <c r="D614" s="119" t="s">
        <v>200</v>
      </c>
      <c r="E614" s="120" t="str">
        <f>'[1]COMEDORES EMERGENTES'!$G$9</f>
        <v>MAIPU NORTE 1º ETAPA MZA "H" Bº MI JARDIN</v>
      </c>
    </row>
    <row r="615" spans="2:5" x14ac:dyDescent="0.2">
      <c r="B615" s="247" t="str">
        <f>'[1]COMEDORES EMERGENTES'!$B$10</f>
        <v>PAPA FRANCISCO</v>
      </c>
      <c r="C615" s="248"/>
      <c r="D615" s="119" t="s">
        <v>173</v>
      </c>
      <c r="E615" s="120" t="str">
        <f>'[1]COMEDORES EMERGENTES'!$G$10</f>
        <v>ENTRE AV.TEREBINTO Y AV.SAN JUAN LOTE "2" MZA. "B"</v>
      </c>
    </row>
    <row r="616" spans="2:5" x14ac:dyDescent="0.2">
      <c r="B616" s="247" t="str">
        <f>'[1]COMEDORES EMERGENTES'!$B$11</f>
        <v>E.P.C - 100 V.V NORTE</v>
      </c>
      <c r="C616" s="248"/>
      <c r="D616" s="119" t="s">
        <v>174</v>
      </c>
      <c r="E616" s="120" t="str">
        <f>'[1]COMEDORES EMERGENTES'!$G$11</f>
        <v>Bº VV NORTE C/48 ENTRE ESPAÑA Y FRANCIA</v>
      </c>
    </row>
    <row r="617" spans="2:5" x14ac:dyDescent="0.2">
      <c r="B617" s="247" t="str">
        <f>'[1]COMEDORES EMERGENTES'!$B$12</f>
        <v>HOGAR DE CRISTO - PADRE RAUL CONTRERAS</v>
      </c>
      <c r="C617" s="248"/>
      <c r="D617" s="119" t="s">
        <v>174</v>
      </c>
      <c r="E617" s="120" t="str">
        <f>'[1]COMEDORES EMERGENTES'!$G$12</f>
        <v>Bº SANTA MARTA MZA. "S" LOTE "M" C/39</v>
      </c>
    </row>
    <row r="618" spans="2:5" x14ac:dyDescent="0.2">
      <c r="B618" s="247" t="str">
        <f>'[1]COMEDORES EMERGENTES'!$B$13</f>
        <v>LA LUCIERNAGA</v>
      </c>
      <c r="C618" s="248"/>
      <c r="D618" s="119" t="s">
        <v>173</v>
      </c>
      <c r="E618" s="120" t="str">
        <f>'[1]COMEDORES EMERGENTES'!$G$13</f>
        <v>Bº 20 V.V NORTE C/3</v>
      </c>
    </row>
    <row r="619" spans="2:5" x14ac:dyDescent="0.2">
      <c r="B619" s="247" t="str">
        <f>'[1]COMEDORES EMERGENTES'!$B$14</f>
        <v>VALLE VIEJO - SUMALAO</v>
      </c>
      <c r="C619" s="248"/>
      <c r="D619" s="119" t="s">
        <v>169</v>
      </c>
      <c r="E619" s="120" t="str">
        <f>'[1]COMEDORES EMERGENTES'!$G$14</f>
        <v>PADRE SEGURA S/N</v>
      </c>
    </row>
    <row r="620" spans="2:5" x14ac:dyDescent="0.2">
      <c r="B620" s="247" t="str">
        <f>'[1]COMEDORES EMERGENTES'!$B$15</f>
        <v>NUESTRO FUTURO - LAS VIAS</v>
      </c>
      <c r="C620" s="248"/>
      <c r="D620" s="119" t="s">
        <v>173</v>
      </c>
      <c r="E620" s="120" t="str">
        <f>'[1]COMEDORES EMERGENTES'!$G$15</f>
        <v>Bº LAS VIAS OESTE LOTE 42</v>
      </c>
    </row>
    <row r="621" spans="2:5" x14ac:dyDescent="0.2">
      <c r="B621" s="247" t="str">
        <f>'[1]COMEDORES EMERGENTES'!$B$16</f>
        <v>SAN JOSE OBRERO</v>
      </c>
      <c r="C621" s="248"/>
      <c r="D621" s="119" t="s">
        <v>183</v>
      </c>
      <c r="E621" s="120" t="str">
        <f>'[1]COMEDORES EMERGENTES'!$G$16</f>
        <v>Bº SAN JOSE OBRERO. PJE. SANDOVAL S/Nº</v>
      </c>
    </row>
    <row r="622" spans="2:5" x14ac:dyDescent="0.2">
      <c r="B622" s="247" t="str">
        <f>'[1]COMEDORES EMERGENTES'!$B$17</f>
        <v>VIRGEN DE LUJAN</v>
      </c>
      <c r="C622" s="248"/>
      <c r="D622" s="119" t="s">
        <v>173</v>
      </c>
      <c r="E622" s="120" t="str">
        <f>'[1]COMEDORES EMERGENTES'!$G$17</f>
        <v>Bº OJO DE AGUA C/DR.TEODULFO BARRIONUEVO S/Nº</v>
      </c>
    </row>
    <row r="623" spans="2:5" x14ac:dyDescent="0.2">
      <c r="B623" s="247" t="str">
        <f>'[1]COMEDORES EMERGENTES'!$B$18</f>
        <v>RENACER</v>
      </c>
      <c r="C623" s="248"/>
      <c r="D623" s="119" t="s">
        <v>180</v>
      </c>
      <c r="E623" s="120" t="str">
        <f>'[1]COMEDORES EMERGENTES'!$G$18</f>
        <v>Bº VIRGEN MORENITA</v>
      </c>
    </row>
    <row r="624" spans="2:5" x14ac:dyDescent="0.2">
      <c r="B624" s="247" t="str">
        <f>'[1]COMEDORES EMERGENTES'!$B$19</f>
        <v>CENTRO VECINAL MI JARDIN</v>
      </c>
      <c r="C624" s="248"/>
      <c r="D624" s="119" t="s">
        <v>168</v>
      </c>
      <c r="E624" s="120" t="str">
        <f>'[1]COMEDORES EMERGENTES'!$G$19</f>
        <v>C/ LOS TULIPANES ENTRE FLOR DE CEREZO Y HOLANDA MZA.27 Bº MI JARDIN</v>
      </c>
    </row>
    <row r="625" spans="2:5" x14ac:dyDescent="0.2">
      <c r="B625" s="247" t="str">
        <f>'[1]COMEDORES EMERGENTES'!$B$20</f>
        <v>LA VIEJA ESQUINA</v>
      </c>
      <c r="C625" s="248"/>
      <c r="D625" s="119" t="s">
        <v>226</v>
      </c>
      <c r="E625" s="120" t="str">
        <f>'[1]COMEDORES EMERGENTES'!$G$20</f>
        <v>B° CRISTO REY PJE CAPATAZ VILLAFAÑEZ Y ARMANDO CORREA</v>
      </c>
    </row>
    <row r="626" spans="2:5" x14ac:dyDescent="0.2">
      <c r="B626" s="247" t="str">
        <f>'[1]COMEDORES EMERGENTES'!$B$21</f>
        <v>GAUCHITO GIL</v>
      </c>
      <c r="C626" s="248"/>
      <c r="D626" s="119" t="s">
        <v>226</v>
      </c>
      <c r="E626" s="120" t="str">
        <f>'[1]COMEDORES EMERGENTES'!$G$21</f>
        <v>B° 26 VIVIENDAS CASA N° 3</v>
      </c>
    </row>
    <row r="627" spans="2:5" ht="13.5" thickBot="1" x14ac:dyDescent="0.25">
      <c r="B627" s="261" t="str">
        <f>'[1]COMEDORES EMERGENTES'!$B$22</f>
        <v>LOS TOLDOS</v>
      </c>
      <c r="C627" s="262"/>
      <c r="D627" s="126" t="s">
        <v>283</v>
      </c>
      <c r="E627" s="127" t="str">
        <f>'[1]COMEDORES EMERGENTES'!$G$22</f>
        <v>LOTEO PARQUE SUR CALLE S/NOMBRE S/N°</v>
      </c>
    </row>
    <row r="628" spans="2:5" x14ac:dyDescent="0.2">
      <c r="B628" s="43" t="s">
        <v>18</v>
      </c>
      <c r="C628" s="41"/>
      <c r="D628" s="83"/>
      <c r="E628" s="42"/>
    </row>
    <row r="629" spans="2:5" x14ac:dyDescent="0.2">
      <c r="B629" s="44"/>
      <c r="C629" s="260" t="s">
        <v>62</v>
      </c>
      <c r="D629" s="260"/>
      <c r="E629" s="260"/>
    </row>
    <row r="630" spans="2:5" x14ac:dyDescent="0.2">
      <c r="B630" s="43" t="s">
        <v>19</v>
      </c>
      <c r="C630" s="45"/>
      <c r="D630" s="45"/>
      <c r="E630" s="46"/>
    </row>
    <row r="631" spans="2:5" x14ac:dyDescent="0.2">
      <c r="B631" s="44"/>
      <c r="C631" s="260" t="s">
        <v>139</v>
      </c>
      <c r="D631" s="260"/>
      <c r="E631" s="260"/>
    </row>
    <row r="632" spans="2:5" x14ac:dyDescent="0.2">
      <c r="B632" s="43" t="s">
        <v>20</v>
      </c>
      <c r="C632" s="41"/>
      <c r="D632" s="83"/>
      <c r="E632" s="42"/>
    </row>
    <row r="633" spans="2:5" x14ac:dyDescent="0.2">
      <c r="B633" s="43"/>
      <c r="C633" s="246" t="s">
        <v>63</v>
      </c>
      <c r="D633" s="246"/>
      <c r="E633" s="246"/>
    </row>
    <row r="634" spans="2:5" ht="13.5" thickBot="1" x14ac:dyDescent="0.25">
      <c r="B634" s="47"/>
      <c r="C634" s="48"/>
      <c r="D634" s="84"/>
      <c r="E634" s="49"/>
    </row>
    <row r="635" spans="2:5" ht="13.5" thickBot="1" x14ac:dyDescent="0.25"/>
    <row r="636" spans="2:5" x14ac:dyDescent="0.2">
      <c r="B636" s="37" t="s">
        <v>154</v>
      </c>
      <c r="C636" s="38"/>
      <c r="D636" s="82"/>
      <c r="E636" s="39"/>
    </row>
    <row r="637" spans="2:5" x14ac:dyDescent="0.2">
      <c r="B637" s="40"/>
      <c r="C637" s="41"/>
      <c r="D637" s="83"/>
      <c r="E637" s="42"/>
    </row>
    <row r="638" spans="2:5" x14ac:dyDescent="0.2">
      <c r="B638" s="43" t="s">
        <v>16</v>
      </c>
      <c r="C638" s="41"/>
      <c r="D638" s="83"/>
      <c r="E638" s="42"/>
    </row>
    <row r="639" spans="2:5" ht="25.5" customHeight="1" x14ac:dyDescent="0.2">
      <c r="B639" s="43"/>
      <c r="C639" s="260"/>
      <c r="D639" s="260"/>
      <c r="E639" s="260"/>
    </row>
    <row r="640" spans="2:5" ht="13.5" thickBot="1" x14ac:dyDescent="0.25">
      <c r="B640" s="43" t="s">
        <v>17</v>
      </c>
      <c r="C640" s="41"/>
      <c r="D640" s="83"/>
      <c r="E640" s="42"/>
    </row>
    <row r="641" spans="2:5" ht="13.5" thickBot="1" x14ac:dyDescent="0.25">
      <c r="B641" s="252" t="s">
        <v>136</v>
      </c>
      <c r="C641" s="256"/>
      <c r="D641" s="256"/>
      <c r="E641" s="253"/>
    </row>
    <row r="642" spans="2:5" ht="13.5" thickBot="1" x14ac:dyDescent="0.25">
      <c r="B642" s="252" t="s">
        <v>137</v>
      </c>
      <c r="C642" s="253"/>
      <c r="D642" s="80" t="s">
        <v>11</v>
      </c>
      <c r="E642" s="80" t="s">
        <v>138</v>
      </c>
    </row>
    <row r="643" spans="2:5" x14ac:dyDescent="0.2">
      <c r="B643" s="254" t="str">
        <f>'[1]COMEDORES EMERGENTES'!$B$3</f>
        <v>UNA SONRISA AV. LOS COBACHO</v>
      </c>
      <c r="C643" s="255"/>
      <c r="D643" s="124" t="s">
        <v>221</v>
      </c>
      <c r="E643" s="125" t="str">
        <f>'[1]COMEDORES EMERGENTES'!$G$3</f>
        <v>Bº SAN CARLOS OESTE AV. Bonifacio cobacho 670</v>
      </c>
    </row>
    <row r="644" spans="2:5" x14ac:dyDescent="0.2">
      <c r="B644" s="247" t="str">
        <f>'[1]COMEDORES EMERGENTES'!$B$4</f>
        <v>C.I.F Nº1 - RIVERA DEL VALLE Y FLORIDA</v>
      </c>
      <c r="C644" s="248"/>
      <c r="D644" s="119" t="s">
        <v>170</v>
      </c>
      <c r="E644" s="120" t="str">
        <f>'[1]COMEDORES EMERGENTES'!$G$4</f>
        <v>AV. RIVIERA DEL VALLE ENTRE FLORIDA Y SANTA FE</v>
      </c>
    </row>
    <row r="645" spans="2:5" x14ac:dyDescent="0.2">
      <c r="B645" s="247" t="str">
        <f>'[1]COMEDORES EMERGENTES'!$B$5</f>
        <v>C.I.F - RIVERA DEL VALLE - DILORENZO</v>
      </c>
      <c r="C645" s="248"/>
      <c r="D645" s="119" t="s">
        <v>227</v>
      </c>
      <c r="E645" s="120" t="str">
        <f>'[1]COMEDORES EMERGENTES'!$G$5</f>
        <v>Bº RIVERA DEL VALLE ENTRE VILLA EUMELIA Y MONTE CRISTO</v>
      </c>
    </row>
    <row r="646" spans="2:5" x14ac:dyDescent="0.2">
      <c r="B646" s="247" t="str">
        <f>'[1]COMEDORES EMERGENTES'!$B$6</f>
        <v>ESFUERZO PROPIO- Bº ALTOS DE CHOYA</v>
      </c>
      <c r="C646" s="248"/>
      <c r="D646" s="119" t="s">
        <v>192</v>
      </c>
      <c r="E646" s="120" t="str">
        <f>'[1]COMEDORES EMERGENTES'!$G$6</f>
        <v>Bº MUNICIPAL 35VV. NORTE C/14</v>
      </c>
    </row>
    <row r="647" spans="2:5" x14ac:dyDescent="0.2">
      <c r="B647" s="247" t="str">
        <f>'[1]COMEDORES EMERGENTES'!$B$7</f>
        <v>ANGELITOS - LOTEO SUSSEX</v>
      </c>
      <c r="C647" s="248"/>
      <c r="D647" s="119" t="s">
        <v>168</v>
      </c>
      <c r="E647" s="120" t="str">
        <f>'[1]COMEDORES EMERGENTES'!$G$7</f>
        <v>Bº LOTEO SUSEX MZA.Nº 4 LOTE Nº3</v>
      </c>
    </row>
    <row r="648" spans="2:5" x14ac:dyDescent="0.2">
      <c r="B648" s="247" t="str">
        <f>'[1]COMEDORES EMERGENTES'!$B$8</f>
        <v>CLUB DEPORTIVO CHACARITA</v>
      </c>
      <c r="C648" s="248"/>
      <c r="D648" s="119" t="s">
        <v>201</v>
      </c>
      <c r="E648" s="120" t="str">
        <f>'[1]COMEDORES EMERGENTES'!$G$8</f>
        <v>CALLE DR.DERMIDIO GALINDEZ C/2660</v>
      </c>
    </row>
    <row r="649" spans="2:5" x14ac:dyDescent="0.2">
      <c r="B649" s="247" t="str">
        <f>'[1]COMEDORES EMERGENTES'!$B$9</f>
        <v>LA MORO</v>
      </c>
      <c r="C649" s="248"/>
      <c r="D649" s="119" t="s">
        <v>184</v>
      </c>
      <c r="E649" s="120" t="str">
        <f>'[1]COMEDORES EMERGENTES'!$G$9</f>
        <v>MAIPU NORTE 1º ETAPA MZA "H" Bº MI JARDIN</v>
      </c>
    </row>
    <row r="650" spans="2:5" x14ac:dyDescent="0.2">
      <c r="B650" s="247" t="str">
        <f>'[1]COMEDORES EMERGENTES'!$B$10</f>
        <v>PAPA FRANCISCO</v>
      </c>
      <c r="C650" s="248"/>
      <c r="D650" s="119" t="s">
        <v>196</v>
      </c>
      <c r="E650" s="120" t="str">
        <f>'[1]COMEDORES EMERGENTES'!$G$10</f>
        <v>ENTRE AV.TEREBINTO Y AV.SAN JUAN LOTE "2" MZA. "B"</v>
      </c>
    </row>
    <row r="651" spans="2:5" x14ac:dyDescent="0.2">
      <c r="B651" s="247" t="str">
        <f>'[1]COMEDORES EMERGENTES'!$B$11</f>
        <v>E.P.C - 100 V.V NORTE</v>
      </c>
      <c r="C651" s="248"/>
      <c r="D651" s="119" t="s">
        <v>190</v>
      </c>
      <c r="E651" s="120" t="str">
        <f>'[1]COMEDORES EMERGENTES'!$G$11</f>
        <v>Bº VV NORTE C/48 ENTRE ESPAÑA Y FRANCIA</v>
      </c>
    </row>
    <row r="652" spans="2:5" x14ac:dyDescent="0.2">
      <c r="B652" s="247" t="str">
        <f>'[1]COMEDORES EMERGENTES'!$B$12</f>
        <v>HOGAR DE CRISTO - PADRE RAUL CONTRERAS</v>
      </c>
      <c r="C652" s="248"/>
      <c r="D652" s="119" t="s">
        <v>190</v>
      </c>
      <c r="E652" s="120" t="str">
        <f>'[1]COMEDORES EMERGENTES'!$G$12</f>
        <v>Bº SANTA MARTA MZA. "S" LOTE "M" C/39</v>
      </c>
    </row>
    <row r="653" spans="2:5" x14ac:dyDescent="0.2">
      <c r="B653" s="247" t="str">
        <f>'[1]COMEDORES EMERGENTES'!$B$13</f>
        <v>LA LUCIERNAGA</v>
      </c>
      <c r="C653" s="248"/>
      <c r="D653" s="119" t="s">
        <v>196</v>
      </c>
      <c r="E653" s="120" t="str">
        <f>'[1]COMEDORES EMERGENTES'!$G$13</f>
        <v>Bº 20 V.V NORTE C/3</v>
      </c>
    </row>
    <row r="654" spans="2:5" x14ac:dyDescent="0.2">
      <c r="B654" s="247" t="str">
        <f>'[1]COMEDORES EMERGENTES'!$B$14</f>
        <v>VALLE VIEJO - SUMALAO</v>
      </c>
      <c r="C654" s="248"/>
      <c r="D654" s="119" t="s">
        <v>218</v>
      </c>
      <c r="E654" s="120" t="str">
        <f>'[1]COMEDORES EMERGENTES'!$G$14</f>
        <v>PADRE SEGURA S/N</v>
      </c>
    </row>
    <row r="655" spans="2:5" x14ac:dyDescent="0.2">
      <c r="B655" s="247" t="str">
        <f>'[1]COMEDORES EMERGENTES'!$B$15</f>
        <v>NUESTRO FUTURO - LAS VIAS</v>
      </c>
      <c r="C655" s="248"/>
      <c r="D655" s="119" t="s">
        <v>196</v>
      </c>
      <c r="E655" s="120" t="str">
        <f>'[1]COMEDORES EMERGENTES'!$G$15</f>
        <v>Bº LAS VIAS OESTE LOTE 42</v>
      </c>
    </row>
    <row r="656" spans="2:5" x14ac:dyDescent="0.2">
      <c r="B656" s="247" t="str">
        <f>'[1]COMEDORES EMERGENTES'!$B$16</f>
        <v>SAN JOSE OBRERO</v>
      </c>
      <c r="C656" s="248"/>
      <c r="D656" s="119" t="s">
        <v>201</v>
      </c>
      <c r="E656" s="120" t="str">
        <f>'[1]COMEDORES EMERGENTES'!$G$16</f>
        <v>Bº SAN JOSE OBRERO. PJE. SANDOVAL S/Nº</v>
      </c>
    </row>
    <row r="657" spans="2:5" x14ac:dyDescent="0.2">
      <c r="B657" s="247" t="str">
        <f>'[1]COMEDORES EMERGENTES'!$B$17</f>
        <v>VIRGEN DE LUJAN</v>
      </c>
      <c r="C657" s="248"/>
      <c r="D657" s="119" t="s">
        <v>196</v>
      </c>
      <c r="E657" s="120" t="str">
        <f>'[1]COMEDORES EMERGENTES'!$G$17</f>
        <v>Bº OJO DE AGUA C/DR.TEODULFO BARRIONUEVO S/Nº</v>
      </c>
    </row>
    <row r="658" spans="2:5" x14ac:dyDescent="0.2">
      <c r="B658" s="247" t="str">
        <f>'[1]COMEDORES EMERGENTES'!$B$18</f>
        <v>RENACER</v>
      </c>
      <c r="C658" s="248"/>
      <c r="D658" s="119" t="s">
        <v>175</v>
      </c>
      <c r="E658" s="120" t="str">
        <f>'[1]COMEDORES EMERGENTES'!$G$18</f>
        <v>Bº VIRGEN MORENITA</v>
      </c>
    </row>
    <row r="659" spans="2:5" x14ac:dyDescent="0.2">
      <c r="B659" s="247" t="str">
        <f>'[1]COMEDORES EMERGENTES'!$B$19</f>
        <v>CENTRO VECINAL MI JARDIN</v>
      </c>
      <c r="C659" s="248"/>
      <c r="D659" s="119" t="s">
        <v>188</v>
      </c>
      <c r="E659" s="120" t="str">
        <f>'[1]COMEDORES EMERGENTES'!$G$19</f>
        <v>C/ LOS TULIPANES ENTRE FLOR DE CEREZO Y HOLANDA MZA.27 Bº MI JARDIN</v>
      </c>
    </row>
    <row r="660" spans="2:5" x14ac:dyDescent="0.2">
      <c r="B660" s="247" t="str">
        <f>'[1]COMEDORES EMERGENTES'!$B$20</f>
        <v>LA VIEJA ESQUINA</v>
      </c>
      <c r="C660" s="248"/>
      <c r="D660" s="119" t="s">
        <v>228</v>
      </c>
      <c r="E660" s="120" t="str">
        <f>'[1]COMEDORES EMERGENTES'!$G$20</f>
        <v>B° CRISTO REY PJE CAPATAZ VILLAFAÑEZ Y ARMANDO CORREA</v>
      </c>
    </row>
    <row r="661" spans="2:5" x14ac:dyDescent="0.2">
      <c r="B661" s="247" t="str">
        <f>'[1]COMEDORES EMERGENTES'!$B$21</f>
        <v>GAUCHITO GIL</v>
      </c>
      <c r="C661" s="248"/>
      <c r="D661" s="119" t="s">
        <v>174</v>
      </c>
      <c r="E661" s="120" t="str">
        <f>'[1]COMEDORES EMERGENTES'!$G$21</f>
        <v>B° 26 VIVIENDAS CASA N° 3</v>
      </c>
    </row>
    <row r="662" spans="2:5" ht="13.5" thickBot="1" x14ac:dyDescent="0.25">
      <c r="B662" s="261" t="str">
        <f>'[1]COMEDORES EMERGENTES'!$B$22</f>
        <v>LOS TOLDOS</v>
      </c>
      <c r="C662" s="262"/>
      <c r="D662" s="126" t="s">
        <v>182</v>
      </c>
      <c r="E662" s="127" t="str">
        <f>'[1]COMEDORES EMERGENTES'!$G$22</f>
        <v>LOTEO PARQUE SUR CALLE S/NOMBRE S/N°</v>
      </c>
    </row>
    <row r="663" spans="2:5" x14ac:dyDescent="0.2">
      <c r="B663" s="43" t="s">
        <v>18</v>
      </c>
      <c r="C663" s="41"/>
      <c r="D663" s="83"/>
      <c r="E663" s="42"/>
    </row>
    <row r="664" spans="2:5" x14ac:dyDescent="0.2">
      <c r="B664" s="44"/>
      <c r="C664" s="260" t="s">
        <v>62</v>
      </c>
      <c r="D664" s="260"/>
      <c r="E664" s="260"/>
    </row>
    <row r="665" spans="2:5" x14ac:dyDescent="0.2">
      <c r="B665" s="43" t="s">
        <v>19</v>
      </c>
      <c r="C665" s="45"/>
      <c r="D665" s="45"/>
      <c r="E665" s="46"/>
    </row>
    <row r="666" spans="2:5" x14ac:dyDescent="0.2">
      <c r="B666" s="44"/>
      <c r="C666" s="260" t="s">
        <v>139</v>
      </c>
      <c r="D666" s="260"/>
      <c r="E666" s="260"/>
    </row>
    <row r="667" spans="2:5" x14ac:dyDescent="0.2">
      <c r="B667" s="43" t="s">
        <v>20</v>
      </c>
      <c r="C667" s="41"/>
      <c r="D667" s="83"/>
      <c r="E667" s="42"/>
    </row>
    <row r="668" spans="2:5" x14ac:dyDescent="0.2">
      <c r="B668" s="43"/>
      <c r="C668" s="246" t="s">
        <v>63</v>
      </c>
      <c r="D668" s="246"/>
      <c r="E668" s="246"/>
    </row>
    <row r="669" spans="2:5" ht="13.5" thickBot="1" x14ac:dyDescent="0.25">
      <c r="B669" s="47"/>
      <c r="C669" s="48"/>
      <c r="D669" s="84"/>
      <c r="E669" s="49"/>
    </row>
    <row r="670" spans="2:5" ht="13.5" thickBot="1" x14ac:dyDescent="0.25"/>
    <row r="671" spans="2:5" x14ac:dyDescent="0.2">
      <c r="B671" s="37" t="s">
        <v>155</v>
      </c>
      <c r="C671" s="38"/>
      <c r="D671" s="82"/>
      <c r="E671" s="39"/>
    </row>
    <row r="672" spans="2:5" x14ac:dyDescent="0.2">
      <c r="B672" s="40"/>
      <c r="C672" s="41"/>
      <c r="D672" s="83"/>
      <c r="E672" s="42"/>
    </row>
    <row r="673" spans="2:5" x14ac:dyDescent="0.2">
      <c r="B673" s="43" t="s">
        <v>16</v>
      </c>
      <c r="C673" s="41"/>
      <c r="D673" s="83"/>
      <c r="E673" s="42"/>
    </row>
    <row r="674" spans="2:5" ht="25.5" customHeight="1" x14ac:dyDescent="0.2">
      <c r="B674" s="43"/>
      <c r="C674" s="260"/>
      <c r="D674" s="260"/>
      <c r="E674" s="260"/>
    </row>
    <row r="675" spans="2:5" ht="13.5" thickBot="1" x14ac:dyDescent="0.25">
      <c r="B675" s="43" t="s">
        <v>17</v>
      </c>
      <c r="C675" s="41"/>
      <c r="D675" s="83"/>
      <c r="E675" s="42"/>
    </row>
    <row r="676" spans="2:5" ht="13.5" thickBot="1" x14ac:dyDescent="0.25">
      <c r="B676" s="252" t="s">
        <v>136</v>
      </c>
      <c r="C676" s="256"/>
      <c r="D676" s="256"/>
      <c r="E676" s="253"/>
    </row>
    <row r="677" spans="2:5" ht="13.5" thickBot="1" x14ac:dyDescent="0.25">
      <c r="B677" s="252" t="s">
        <v>137</v>
      </c>
      <c r="C677" s="253"/>
      <c r="D677" s="80" t="s">
        <v>11</v>
      </c>
      <c r="E677" s="80" t="s">
        <v>138</v>
      </c>
    </row>
    <row r="678" spans="2:5" x14ac:dyDescent="0.2">
      <c r="B678" s="254" t="str">
        <f>'[1]COMEDORES EMERGENTES'!$B$3</f>
        <v>UNA SONRISA AV. LOS COBACHO</v>
      </c>
      <c r="C678" s="255"/>
      <c r="D678" s="124" t="s">
        <v>167</v>
      </c>
      <c r="E678" s="125" t="str">
        <f>'[1]COMEDORES EMERGENTES'!$G$3</f>
        <v>Bº SAN CARLOS OESTE AV. Bonifacio cobacho 670</v>
      </c>
    </row>
    <row r="679" spans="2:5" x14ac:dyDescent="0.2">
      <c r="B679" s="247" t="str">
        <f>'[1]COMEDORES EMERGENTES'!$B$4</f>
        <v>C.I.F Nº1 - RIVERA DEL VALLE Y FLORIDA</v>
      </c>
      <c r="C679" s="248"/>
      <c r="D679" s="119" t="s">
        <v>169</v>
      </c>
      <c r="E679" s="120" t="str">
        <f>'[1]COMEDORES EMERGENTES'!$G$4</f>
        <v>AV. RIVIERA DEL VALLE ENTRE FLORIDA Y SANTA FE</v>
      </c>
    </row>
    <row r="680" spans="2:5" x14ac:dyDescent="0.2">
      <c r="B680" s="247" t="str">
        <f>'[1]COMEDORES EMERGENTES'!$B$5</f>
        <v>C.I.F - RIVERA DEL VALLE - DILORENZO</v>
      </c>
      <c r="C680" s="248"/>
      <c r="D680" s="119" t="s">
        <v>170</v>
      </c>
      <c r="E680" s="120" t="str">
        <f>'[1]COMEDORES EMERGENTES'!$G$5</f>
        <v>Bº RIVERA DEL VALLE ENTRE VILLA EUMELIA Y MONTE CRISTO</v>
      </c>
    </row>
    <row r="681" spans="2:5" x14ac:dyDescent="0.2">
      <c r="B681" s="247" t="str">
        <f>'[1]COMEDORES EMERGENTES'!$B$6</f>
        <v>ESFUERZO PROPIO- Bº ALTOS DE CHOYA</v>
      </c>
      <c r="C681" s="248"/>
      <c r="D681" s="119" t="s">
        <v>171</v>
      </c>
      <c r="E681" s="120" t="str">
        <f>'[1]COMEDORES EMERGENTES'!$G$6</f>
        <v>Bº MUNICIPAL 35VV. NORTE C/14</v>
      </c>
    </row>
    <row r="682" spans="2:5" x14ac:dyDescent="0.2">
      <c r="B682" s="247" t="str">
        <f>'[1]COMEDORES EMERGENTES'!$B$7</f>
        <v>ANGELITOS - LOTEO SUSSEX</v>
      </c>
      <c r="C682" s="248"/>
      <c r="D682" s="119" t="s">
        <v>172</v>
      </c>
      <c r="E682" s="120" t="str">
        <f>'[1]COMEDORES EMERGENTES'!$G$7</f>
        <v>Bº LOTEO SUSEX MZA.Nº 4 LOTE Nº3</v>
      </c>
    </row>
    <row r="683" spans="2:5" x14ac:dyDescent="0.2">
      <c r="B683" s="247" t="str">
        <f>'[1]COMEDORES EMERGENTES'!$B$8</f>
        <v>CLUB DEPORTIVO CHACARITA</v>
      </c>
      <c r="C683" s="248"/>
      <c r="D683" s="119" t="s">
        <v>173</v>
      </c>
      <c r="E683" s="120" t="str">
        <f>'[1]COMEDORES EMERGENTES'!$G$8</f>
        <v>CALLE DR.DERMIDIO GALINDEZ C/2660</v>
      </c>
    </row>
    <row r="684" spans="2:5" x14ac:dyDescent="0.2">
      <c r="B684" s="247" t="str">
        <f>'[1]COMEDORES EMERGENTES'!$B$9</f>
        <v>LA MORO</v>
      </c>
      <c r="C684" s="248"/>
      <c r="D684" s="119" t="s">
        <v>168</v>
      </c>
      <c r="E684" s="120" t="str">
        <f>'[1]COMEDORES EMERGENTES'!$G$9</f>
        <v>MAIPU NORTE 1º ETAPA MZA "H" Bº MI JARDIN</v>
      </c>
    </row>
    <row r="685" spans="2:5" x14ac:dyDescent="0.2">
      <c r="B685" s="247" t="str">
        <f>'[1]COMEDORES EMERGENTES'!$B$10</f>
        <v>PAPA FRANCISCO</v>
      </c>
      <c r="C685" s="248"/>
      <c r="D685" s="119" t="s">
        <v>174</v>
      </c>
      <c r="E685" s="120" t="str">
        <f>'[1]COMEDORES EMERGENTES'!$G$10</f>
        <v>ENTRE AV.TEREBINTO Y AV.SAN JUAN LOTE "2" MZA. "B"</v>
      </c>
    </row>
    <row r="686" spans="2:5" x14ac:dyDescent="0.2">
      <c r="B686" s="247" t="str">
        <f>'[1]COMEDORES EMERGENTES'!$B$11</f>
        <v>E.P.C - 100 V.V NORTE</v>
      </c>
      <c r="C686" s="248"/>
      <c r="D686" s="119" t="s">
        <v>175</v>
      </c>
      <c r="E686" s="120" t="str">
        <f>'[1]COMEDORES EMERGENTES'!$G$11</f>
        <v>Bº VV NORTE C/48 ENTRE ESPAÑA Y FRANCIA</v>
      </c>
    </row>
    <row r="687" spans="2:5" x14ac:dyDescent="0.2">
      <c r="B687" s="247" t="str">
        <f>'[1]COMEDORES EMERGENTES'!$B$12</f>
        <v>HOGAR DE CRISTO - PADRE RAUL CONTRERAS</v>
      </c>
      <c r="C687" s="248"/>
      <c r="D687" s="119" t="s">
        <v>175</v>
      </c>
      <c r="E687" s="120" t="str">
        <f>'[1]COMEDORES EMERGENTES'!$G$12</f>
        <v>Bº SANTA MARTA MZA. "S" LOTE "M" C/39</v>
      </c>
    </row>
    <row r="688" spans="2:5" x14ac:dyDescent="0.2">
      <c r="B688" s="247" t="str">
        <f>'[1]COMEDORES EMERGENTES'!$B$13</f>
        <v>LA LUCIERNAGA</v>
      </c>
      <c r="C688" s="248"/>
      <c r="D688" s="119" t="s">
        <v>174</v>
      </c>
      <c r="E688" s="120" t="str">
        <f>'[1]COMEDORES EMERGENTES'!$G$13</f>
        <v>Bº 20 V.V NORTE C/3</v>
      </c>
    </row>
    <row r="689" spans="2:5" x14ac:dyDescent="0.2">
      <c r="B689" s="247" t="str">
        <f>'[1]COMEDORES EMERGENTES'!$B$14</f>
        <v>VALLE VIEJO - SUMALAO</v>
      </c>
      <c r="C689" s="248"/>
      <c r="D689" s="119" t="s">
        <v>176</v>
      </c>
      <c r="E689" s="120" t="str">
        <f>'[1]COMEDORES EMERGENTES'!$G$14</f>
        <v>PADRE SEGURA S/N</v>
      </c>
    </row>
    <row r="690" spans="2:5" x14ac:dyDescent="0.2">
      <c r="B690" s="247" t="str">
        <f>'[1]COMEDORES EMERGENTES'!$B$15</f>
        <v>NUESTRO FUTURO - LAS VIAS</v>
      </c>
      <c r="C690" s="248"/>
      <c r="D690" s="119" t="s">
        <v>174</v>
      </c>
      <c r="E690" s="120" t="str">
        <f>'[1]COMEDORES EMERGENTES'!$G$15</f>
        <v>Bº LAS VIAS OESTE LOTE 42</v>
      </c>
    </row>
    <row r="691" spans="2:5" x14ac:dyDescent="0.2">
      <c r="B691" s="247" t="str">
        <f>'[1]COMEDORES EMERGENTES'!$B$16</f>
        <v>SAN JOSE OBRERO</v>
      </c>
      <c r="C691" s="248"/>
      <c r="D691" s="119" t="s">
        <v>173</v>
      </c>
      <c r="E691" s="120" t="str">
        <f>'[1]COMEDORES EMERGENTES'!$G$16</f>
        <v>Bº SAN JOSE OBRERO. PJE. SANDOVAL S/Nº</v>
      </c>
    </row>
    <row r="692" spans="2:5" x14ac:dyDescent="0.2">
      <c r="B692" s="247" t="str">
        <f>'[1]COMEDORES EMERGENTES'!$B$17</f>
        <v>VIRGEN DE LUJAN</v>
      </c>
      <c r="C692" s="248"/>
      <c r="D692" s="119" t="s">
        <v>174</v>
      </c>
      <c r="E692" s="120" t="str">
        <f>'[1]COMEDORES EMERGENTES'!$G$17</f>
        <v>Bº OJO DE AGUA C/DR.TEODULFO BARRIONUEVO S/Nº</v>
      </c>
    </row>
    <row r="693" spans="2:5" x14ac:dyDescent="0.2">
      <c r="B693" s="247" t="str">
        <f>'[1]COMEDORES EMERGENTES'!$B$18</f>
        <v>RENACER</v>
      </c>
      <c r="C693" s="248"/>
      <c r="D693" s="119" t="s">
        <v>177</v>
      </c>
      <c r="E693" s="120" t="str">
        <f>'[1]COMEDORES EMERGENTES'!$G$18</f>
        <v>Bº VIRGEN MORENITA</v>
      </c>
    </row>
    <row r="694" spans="2:5" x14ac:dyDescent="0.2">
      <c r="B694" s="247" t="str">
        <f>'[1]COMEDORES EMERGENTES'!$B$19</f>
        <v>CENTRO VECINAL MI JARDIN</v>
      </c>
      <c r="C694" s="248"/>
      <c r="D694" s="119" t="s">
        <v>178</v>
      </c>
      <c r="E694" s="120" t="str">
        <f>'[1]COMEDORES EMERGENTES'!$G$19</f>
        <v>C/ LOS TULIPANES ENTRE FLOR DE CEREZO Y HOLANDA MZA.27 Bº MI JARDIN</v>
      </c>
    </row>
    <row r="695" spans="2:5" x14ac:dyDescent="0.2">
      <c r="B695" s="247" t="str">
        <f>'[1]COMEDORES EMERGENTES'!$B$20</f>
        <v>LA VIEJA ESQUINA</v>
      </c>
      <c r="C695" s="248"/>
      <c r="D695" s="119" t="s">
        <v>179</v>
      </c>
      <c r="E695" s="120" t="str">
        <f>'[1]COMEDORES EMERGENTES'!$G$20</f>
        <v>B° CRISTO REY PJE CAPATAZ VILLAFAÑEZ Y ARMANDO CORREA</v>
      </c>
    </row>
    <row r="696" spans="2:5" x14ac:dyDescent="0.2">
      <c r="B696" s="247" t="str">
        <f>'[1]COMEDORES EMERGENTES'!$B$21</f>
        <v>GAUCHITO GIL</v>
      </c>
      <c r="C696" s="248"/>
      <c r="D696" s="119" t="s">
        <v>180</v>
      </c>
      <c r="E696" s="120" t="str">
        <f>'[1]COMEDORES EMERGENTES'!$G$21</f>
        <v>B° 26 VIVIENDAS CASA N° 3</v>
      </c>
    </row>
    <row r="697" spans="2:5" ht="13.5" thickBot="1" x14ac:dyDescent="0.25">
      <c r="B697" s="261" t="str">
        <f>'[1]COMEDORES EMERGENTES'!$B$22</f>
        <v>LOS TOLDOS</v>
      </c>
      <c r="C697" s="262"/>
      <c r="D697" s="126" t="s">
        <v>200</v>
      </c>
      <c r="E697" s="127" t="str">
        <f>'[1]COMEDORES EMERGENTES'!$G$22</f>
        <v>LOTEO PARQUE SUR CALLE S/NOMBRE S/N°</v>
      </c>
    </row>
    <row r="698" spans="2:5" x14ac:dyDescent="0.2">
      <c r="B698" s="43" t="s">
        <v>18</v>
      </c>
      <c r="C698" s="41"/>
      <c r="D698" s="83"/>
      <c r="E698" s="42"/>
    </row>
    <row r="699" spans="2:5" x14ac:dyDescent="0.2">
      <c r="B699" s="44"/>
      <c r="C699" s="260" t="s">
        <v>62</v>
      </c>
      <c r="D699" s="260"/>
      <c r="E699" s="260"/>
    </row>
    <row r="700" spans="2:5" x14ac:dyDescent="0.2">
      <c r="B700" s="43" t="s">
        <v>19</v>
      </c>
      <c r="C700" s="45"/>
      <c r="D700" s="45"/>
      <c r="E700" s="46"/>
    </row>
    <row r="701" spans="2:5" x14ac:dyDescent="0.2">
      <c r="B701" s="44"/>
      <c r="C701" s="260" t="s">
        <v>139</v>
      </c>
      <c r="D701" s="260"/>
      <c r="E701" s="260"/>
    </row>
    <row r="702" spans="2:5" x14ac:dyDescent="0.2">
      <c r="B702" s="43" t="s">
        <v>20</v>
      </c>
      <c r="C702" s="41"/>
      <c r="D702" s="83"/>
      <c r="E702" s="42"/>
    </row>
    <row r="703" spans="2:5" x14ac:dyDescent="0.2">
      <c r="B703" s="43"/>
      <c r="C703" s="246" t="s">
        <v>63</v>
      </c>
      <c r="D703" s="246"/>
      <c r="E703" s="246"/>
    </row>
    <row r="704" spans="2:5" ht="13.5" thickBot="1" x14ac:dyDescent="0.25">
      <c r="B704" s="47"/>
      <c r="C704" s="48"/>
      <c r="D704" s="84"/>
      <c r="E704" s="49"/>
    </row>
    <row r="705" spans="2:5" ht="13.5" thickBot="1" x14ac:dyDescent="0.25"/>
    <row r="706" spans="2:5" x14ac:dyDescent="0.2">
      <c r="B706" s="37" t="s">
        <v>156</v>
      </c>
      <c r="C706" s="38"/>
      <c r="D706" s="82"/>
      <c r="E706" s="39"/>
    </row>
    <row r="707" spans="2:5" x14ac:dyDescent="0.2">
      <c r="B707" s="40"/>
      <c r="C707" s="41"/>
      <c r="D707" s="83"/>
      <c r="E707" s="42"/>
    </row>
    <row r="708" spans="2:5" x14ac:dyDescent="0.2">
      <c r="B708" s="43" t="s">
        <v>16</v>
      </c>
      <c r="C708" s="41"/>
      <c r="D708" s="83"/>
      <c r="E708" s="42"/>
    </row>
    <row r="709" spans="2:5" ht="25.5" customHeight="1" x14ac:dyDescent="0.2">
      <c r="B709" s="43"/>
      <c r="C709" s="260"/>
      <c r="D709" s="260"/>
      <c r="E709" s="260"/>
    </row>
    <row r="710" spans="2:5" ht="13.5" thickBot="1" x14ac:dyDescent="0.25">
      <c r="B710" s="43" t="s">
        <v>17</v>
      </c>
      <c r="C710" s="41"/>
      <c r="D710" s="83"/>
      <c r="E710" s="42"/>
    </row>
    <row r="711" spans="2:5" ht="13.5" thickBot="1" x14ac:dyDescent="0.25">
      <c r="B711" s="252" t="s">
        <v>136</v>
      </c>
      <c r="C711" s="256"/>
      <c r="D711" s="256"/>
      <c r="E711" s="253"/>
    </row>
    <row r="712" spans="2:5" ht="13.5" thickBot="1" x14ac:dyDescent="0.25">
      <c r="B712" s="252" t="s">
        <v>137</v>
      </c>
      <c r="C712" s="253"/>
      <c r="D712" s="80" t="s">
        <v>11</v>
      </c>
      <c r="E712" s="80" t="s">
        <v>138</v>
      </c>
    </row>
    <row r="713" spans="2:5" x14ac:dyDescent="0.2">
      <c r="B713" s="254" t="str">
        <f>'[1]COMEDORES EMERGENTES'!$B$3</f>
        <v>UNA SONRISA AV. LOS COBACHO</v>
      </c>
      <c r="C713" s="255"/>
      <c r="D713" s="124" t="s">
        <v>203</v>
      </c>
      <c r="E713" s="125" t="str">
        <f>'[1]COMEDORES EMERGENTES'!$G$3</f>
        <v>Bº SAN CARLOS OESTE AV. Bonifacio cobacho 670</v>
      </c>
    </row>
    <row r="714" spans="2:5" x14ac:dyDescent="0.2">
      <c r="B714" s="247" t="str">
        <f>'[1]COMEDORES EMERGENTES'!$B$4</f>
        <v>C.I.F Nº1 - RIVERA DEL VALLE Y FLORIDA</v>
      </c>
      <c r="C714" s="248"/>
      <c r="D714" s="119" t="s">
        <v>229</v>
      </c>
      <c r="E714" s="120" t="str">
        <f>'[1]COMEDORES EMERGENTES'!$G$4</f>
        <v>AV. RIVIERA DEL VALLE ENTRE FLORIDA Y SANTA FE</v>
      </c>
    </row>
    <row r="715" spans="2:5" x14ac:dyDescent="0.2">
      <c r="B715" s="247" t="str">
        <f>'[1]COMEDORES EMERGENTES'!$B$5</f>
        <v>C.I.F - RIVERA DEL VALLE - DILORENZO</v>
      </c>
      <c r="C715" s="248"/>
      <c r="D715" s="119" t="s">
        <v>230</v>
      </c>
      <c r="E715" s="120" t="str">
        <f>'[1]COMEDORES EMERGENTES'!$G$5</f>
        <v>Bº RIVERA DEL VALLE ENTRE VILLA EUMELIA Y MONTE CRISTO</v>
      </c>
    </row>
    <row r="716" spans="2:5" x14ac:dyDescent="0.2">
      <c r="B716" s="247" t="str">
        <f>'[1]COMEDORES EMERGENTES'!$B$6</f>
        <v>ESFUERZO PROPIO- Bº ALTOS DE CHOYA</v>
      </c>
      <c r="C716" s="248"/>
      <c r="D716" s="119" t="s">
        <v>217</v>
      </c>
      <c r="E716" s="120" t="str">
        <f>'[1]COMEDORES EMERGENTES'!$G$6</f>
        <v>Bº MUNICIPAL 35VV. NORTE C/14</v>
      </c>
    </row>
    <row r="717" spans="2:5" x14ac:dyDescent="0.2">
      <c r="B717" s="247" t="str">
        <f>'[1]COMEDORES EMERGENTES'!$B$7</f>
        <v>ANGELITOS - LOTEO SUSSEX</v>
      </c>
      <c r="C717" s="248"/>
      <c r="D717" s="119" t="s">
        <v>192</v>
      </c>
      <c r="E717" s="120" t="str">
        <f>'[1]COMEDORES EMERGENTES'!$G$7</f>
        <v>Bº LOTEO SUSEX MZA.Nº 4 LOTE Nº3</v>
      </c>
    </row>
    <row r="718" spans="2:5" x14ac:dyDescent="0.2">
      <c r="B718" s="247" t="str">
        <f>'[1]COMEDORES EMERGENTES'!$B$8</f>
        <v>CLUB DEPORTIVO CHACARITA</v>
      </c>
      <c r="C718" s="248"/>
      <c r="D718" s="119" t="s">
        <v>231</v>
      </c>
      <c r="E718" s="120" t="str">
        <f>'[1]COMEDORES EMERGENTES'!$G$8</f>
        <v>CALLE DR.DERMIDIO GALINDEZ C/2660</v>
      </c>
    </row>
    <row r="719" spans="2:5" x14ac:dyDescent="0.2">
      <c r="B719" s="247" t="str">
        <f>'[1]COMEDORES EMERGENTES'!$B$9</f>
        <v>LA MORO</v>
      </c>
      <c r="C719" s="248"/>
      <c r="D719" s="119" t="s">
        <v>209</v>
      </c>
      <c r="E719" s="120" t="str">
        <f>'[1]COMEDORES EMERGENTES'!$G$9</f>
        <v>MAIPU NORTE 1º ETAPA MZA "H" Bº MI JARDIN</v>
      </c>
    </row>
    <row r="720" spans="2:5" x14ac:dyDescent="0.2">
      <c r="B720" s="247" t="str">
        <f>'[1]COMEDORES EMERGENTES'!$B$10</f>
        <v>PAPA FRANCISCO</v>
      </c>
      <c r="C720" s="248"/>
      <c r="D720" s="119" t="s">
        <v>232</v>
      </c>
      <c r="E720" s="120" t="str">
        <f>'[1]COMEDORES EMERGENTES'!$G$10</f>
        <v>ENTRE AV.TEREBINTO Y AV.SAN JUAN LOTE "2" MZA. "B"</v>
      </c>
    </row>
    <row r="721" spans="2:5" x14ac:dyDescent="0.2">
      <c r="B721" s="247" t="str">
        <f>'[1]COMEDORES EMERGENTES'!$B$11</f>
        <v>E.P.C - 100 V.V NORTE</v>
      </c>
      <c r="C721" s="248"/>
      <c r="D721" s="119" t="s">
        <v>233</v>
      </c>
      <c r="E721" s="120" t="str">
        <f>'[1]COMEDORES EMERGENTES'!$G$11</f>
        <v>Bº VV NORTE C/48 ENTRE ESPAÑA Y FRANCIA</v>
      </c>
    </row>
    <row r="722" spans="2:5" x14ac:dyDescent="0.2">
      <c r="B722" s="247" t="str">
        <f>'[1]COMEDORES EMERGENTES'!$B$12</f>
        <v>HOGAR DE CRISTO - PADRE RAUL CONTRERAS</v>
      </c>
      <c r="C722" s="248"/>
      <c r="D722" s="119" t="s">
        <v>233</v>
      </c>
      <c r="E722" s="120" t="str">
        <f>'[1]COMEDORES EMERGENTES'!$G$12</f>
        <v>Bº SANTA MARTA MZA. "S" LOTE "M" C/39</v>
      </c>
    </row>
    <row r="723" spans="2:5" x14ac:dyDescent="0.2">
      <c r="B723" s="247" t="str">
        <f>'[1]COMEDORES EMERGENTES'!$B$13</f>
        <v>LA LUCIERNAGA</v>
      </c>
      <c r="C723" s="248"/>
      <c r="D723" s="119" t="s">
        <v>232</v>
      </c>
      <c r="E723" s="120" t="str">
        <f>'[1]COMEDORES EMERGENTES'!$G$13</f>
        <v>Bº 20 V.V NORTE C/3</v>
      </c>
    </row>
    <row r="724" spans="2:5" x14ac:dyDescent="0.2">
      <c r="B724" s="247" t="str">
        <f>'[1]COMEDORES EMERGENTES'!$B$14</f>
        <v>VALLE VIEJO - SUMALAO</v>
      </c>
      <c r="C724" s="248"/>
      <c r="D724" s="119" t="s">
        <v>234</v>
      </c>
      <c r="E724" s="120" t="str">
        <f>'[1]COMEDORES EMERGENTES'!$G$14</f>
        <v>PADRE SEGURA S/N</v>
      </c>
    </row>
    <row r="725" spans="2:5" x14ac:dyDescent="0.2">
      <c r="B725" s="247" t="str">
        <f>'[1]COMEDORES EMERGENTES'!$B$15</f>
        <v>NUESTRO FUTURO - LAS VIAS</v>
      </c>
      <c r="C725" s="248"/>
      <c r="D725" s="119" t="s">
        <v>232</v>
      </c>
      <c r="E725" s="120" t="str">
        <f>'[1]COMEDORES EMERGENTES'!$G$15</f>
        <v>Bº LAS VIAS OESTE LOTE 42</v>
      </c>
    </row>
    <row r="726" spans="2:5" x14ac:dyDescent="0.2">
      <c r="B726" s="247" t="str">
        <f>'[1]COMEDORES EMERGENTES'!$B$16</f>
        <v>SAN JOSE OBRERO</v>
      </c>
      <c r="C726" s="248"/>
      <c r="D726" s="119" t="s">
        <v>231</v>
      </c>
      <c r="E726" s="120" t="str">
        <f>'[1]COMEDORES EMERGENTES'!$G$16</f>
        <v>Bº SAN JOSE OBRERO. PJE. SANDOVAL S/Nº</v>
      </c>
    </row>
    <row r="727" spans="2:5" x14ac:dyDescent="0.2">
      <c r="B727" s="247" t="str">
        <f>'[1]COMEDORES EMERGENTES'!$B$17</f>
        <v>VIRGEN DE LUJAN</v>
      </c>
      <c r="C727" s="248"/>
      <c r="D727" s="119" t="s">
        <v>232</v>
      </c>
      <c r="E727" s="120" t="str">
        <f>'[1]COMEDORES EMERGENTES'!$G$17</f>
        <v>Bº OJO DE AGUA C/DR.TEODULFO BARRIONUEVO S/Nº</v>
      </c>
    </row>
    <row r="728" spans="2:5" x14ac:dyDescent="0.2">
      <c r="B728" s="247" t="str">
        <f>'[1]COMEDORES EMERGENTES'!$B$18</f>
        <v>RENACER</v>
      </c>
      <c r="C728" s="248"/>
      <c r="D728" s="119" t="s">
        <v>235</v>
      </c>
      <c r="E728" s="120" t="str">
        <f>'[1]COMEDORES EMERGENTES'!$G$18</f>
        <v>Bº VIRGEN MORENITA</v>
      </c>
    </row>
    <row r="729" spans="2:5" x14ac:dyDescent="0.2">
      <c r="B729" s="247" t="str">
        <f>'[1]COMEDORES EMERGENTES'!$B$19</f>
        <v>CENTRO VECINAL MI JARDIN</v>
      </c>
      <c r="C729" s="248"/>
      <c r="D729" s="119" t="s">
        <v>236</v>
      </c>
      <c r="E729" s="120" t="str">
        <f>'[1]COMEDORES EMERGENTES'!$G$19</f>
        <v>C/ LOS TULIPANES ENTRE FLOR DE CEREZO Y HOLANDA MZA.27 Bº MI JARDIN</v>
      </c>
    </row>
    <row r="730" spans="2:5" x14ac:dyDescent="0.2">
      <c r="B730" s="247" t="str">
        <f>'[1]COMEDORES EMERGENTES'!$B$20</f>
        <v>LA VIEJA ESQUINA</v>
      </c>
      <c r="C730" s="248"/>
      <c r="D730" s="119" t="s">
        <v>237</v>
      </c>
      <c r="E730" s="120" t="str">
        <f>'[1]COMEDORES EMERGENTES'!$G$20</f>
        <v>B° CRISTO REY PJE CAPATAZ VILLAFAÑEZ Y ARMANDO CORREA</v>
      </c>
    </row>
    <row r="731" spans="2:5" x14ac:dyDescent="0.2">
      <c r="B731" s="247" t="str">
        <f>'[1]COMEDORES EMERGENTES'!$B$21</f>
        <v>GAUCHITO GIL</v>
      </c>
      <c r="C731" s="248"/>
      <c r="D731" s="119" t="s">
        <v>238</v>
      </c>
      <c r="E731" s="120" t="str">
        <f>'[1]COMEDORES EMERGENTES'!$G$21</f>
        <v>B° 26 VIVIENDAS CASA N° 3</v>
      </c>
    </row>
    <row r="732" spans="2:5" ht="13.5" thickBot="1" x14ac:dyDescent="0.25">
      <c r="B732" s="261" t="str">
        <f>'[1]COMEDORES EMERGENTES'!$B$22</f>
        <v>LOS TOLDOS</v>
      </c>
      <c r="C732" s="262"/>
      <c r="D732" s="126" t="s">
        <v>188</v>
      </c>
      <c r="E732" s="127" t="str">
        <f>'[1]COMEDORES EMERGENTES'!$G$22</f>
        <v>LOTEO PARQUE SUR CALLE S/NOMBRE S/N°</v>
      </c>
    </row>
    <row r="733" spans="2:5" x14ac:dyDescent="0.2">
      <c r="B733" s="43" t="s">
        <v>18</v>
      </c>
      <c r="C733" s="41"/>
      <c r="D733" s="83"/>
      <c r="E733" s="42"/>
    </row>
    <row r="734" spans="2:5" x14ac:dyDescent="0.2">
      <c r="B734" s="44"/>
      <c r="C734" s="260" t="s">
        <v>62</v>
      </c>
      <c r="D734" s="260"/>
      <c r="E734" s="260"/>
    </row>
    <row r="735" spans="2:5" x14ac:dyDescent="0.2">
      <c r="B735" s="43" t="s">
        <v>19</v>
      </c>
      <c r="C735" s="45"/>
      <c r="D735" s="45"/>
      <c r="E735" s="46"/>
    </row>
    <row r="736" spans="2:5" x14ac:dyDescent="0.2">
      <c r="B736" s="44"/>
      <c r="C736" s="260" t="s">
        <v>139</v>
      </c>
      <c r="D736" s="260"/>
      <c r="E736" s="260"/>
    </row>
    <row r="737" spans="2:5" x14ac:dyDescent="0.2">
      <c r="B737" s="43" t="s">
        <v>20</v>
      </c>
      <c r="C737" s="41"/>
      <c r="D737" s="83"/>
      <c r="E737" s="42"/>
    </row>
    <row r="738" spans="2:5" x14ac:dyDescent="0.2">
      <c r="B738" s="43"/>
      <c r="C738" s="246" t="s">
        <v>63</v>
      </c>
      <c r="D738" s="246"/>
      <c r="E738" s="246"/>
    </row>
    <row r="739" spans="2:5" ht="13.5" thickBot="1" x14ac:dyDescent="0.25">
      <c r="B739" s="47"/>
      <c r="C739" s="48"/>
      <c r="D739" s="84"/>
      <c r="E739" s="49"/>
    </row>
    <row r="740" spans="2:5" ht="13.5" thickBot="1" x14ac:dyDescent="0.25"/>
    <row r="741" spans="2:5" x14ac:dyDescent="0.2">
      <c r="B741" s="37" t="s">
        <v>157</v>
      </c>
      <c r="C741" s="38"/>
      <c r="D741" s="82"/>
      <c r="E741" s="39"/>
    </row>
    <row r="742" spans="2:5" x14ac:dyDescent="0.2">
      <c r="B742" s="40"/>
      <c r="C742" s="41"/>
      <c r="D742" s="83"/>
      <c r="E742" s="42"/>
    </row>
    <row r="743" spans="2:5" x14ac:dyDescent="0.2">
      <c r="B743" s="43" t="s">
        <v>16</v>
      </c>
      <c r="C743" s="41"/>
      <c r="D743" s="83"/>
      <c r="E743" s="42"/>
    </row>
    <row r="744" spans="2:5" ht="25.5" customHeight="1" x14ac:dyDescent="0.2">
      <c r="B744" s="43"/>
      <c r="C744" s="260"/>
      <c r="D744" s="260"/>
      <c r="E744" s="260"/>
    </row>
    <row r="745" spans="2:5" ht="13.5" thickBot="1" x14ac:dyDescent="0.25">
      <c r="B745" s="43" t="s">
        <v>17</v>
      </c>
      <c r="C745" s="41"/>
      <c r="D745" s="83"/>
      <c r="E745" s="42"/>
    </row>
    <row r="746" spans="2:5" ht="13.5" thickBot="1" x14ac:dyDescent="0.25">
      <c r="B746" s="252" t="s">
        <v>239</v>
      </c>
      <c r="C746" s="256"/>
      <c r="D746" s="256"/>
      <c r="E746" s="253"/>
    </row>
    <row r="747" spans="2:5" ht="13.5" thickBot="1" x14ac:dyDescent="0.25">
      <c r="B747" s="252" t="s">
        <v>137</v>
      </c>
      <c r="C747" s="253"/>
      <c r="D747" s="80" t="s">
        <v>11</v>
      </c>
      <c r="E747" s="80" t="s">
        <v>138</v>
      </c>
    </row>
    <row r="748" spans="2:5" x14ac:dyDescent="0.2">
      <c r="B748" s="254" t="str">
        <f>'[1]COMEDORES EMERGENTES'!$B$3</f>
        <v>UNA SONRISA AV. LOS COBACHO</v>
      </c>
      <c r="C748" s="255"/>
      <c r="D748" s="124" t="s">
        <v>240</v>
      </c>
      <c r="E748" s="125" t="str">
        <f>'[1]COMEDORES EMERGENTES'!$G$3</f>
        <v>Bº SAN CARLOS OESTE AV. Bonifacio cobacho 670</v>
      </c>
    </row>
    <row r="749" spans="2:5" x14ac:dyDescent="0.2">
      <c r="B749" s="247" t="str">
        <f>'[1]COMEDORES EMERGENTES'!$B$4</f>
        <v>C.I.F Nº1 - RIVERA DEL VALLE Y FLORIDA</v>
      </c>
      <c r="C749" s="248"/>
      <c r="D749" s="119" t="s">
        <v>240</v>
      </c>
      <c r="E749" s="120" t="str">
        <f>'[1]COMEDORES EMERGENTES'!$G$4</f>
        <v>AV. RIVIERA DEL VALLE ENTRE FLORIDA Y SANTA FE</v>
      </c>
    </row>
    <row r="750" spans="2:5" x14ac:dyDescent="0.2">
      <c r="B750" s="247" t="str">
        <f>'[1]COMEDORES EMERGENTES'!$B$5</f>
        <v>C.I.F - RIVERA DEL VALLE - DILORENZO</v>
      </c>
      <c r="C750" s="248"/>
      <c r="D750" s="119" t="s">
        <v>240</v>
      </c>
      <c r="E750" s="120" t="str">
        <f>'[1]COMEDORES EMERGENTES'!$G$5</f>
        <v>Bº RIVERA DEL VALLE ENTRE VILLA EUMELIA Y MONTE CRISTO</v>
      </c>
    </row>
    <row r="751" spans="2:5" x14ac:dyDescent="0.2">
      <c r="B751" s="247" t="str">
        <f>'[1]COMEDORES EMERGENTES'!$B$6</f>
        <v>ESFUERZO PROPIO- Bº ALTOS DE CHOYA</v>
      </c>
      <c r="C751" s="248"/>
      <c r="D751" s="119" t="s">
        <v>240</v>
      </c>
      <c r="E751" s="120" t="str">
        <f>'[1]COMEDORES EMERGENTES'!$G$6</f>
        <v>Bº MUNICIPAL 35VV. NORTE C/14</v>
      </c>
    </row>
    <row r="752" spans="2:5" x14ac:dyDescent="0.2">
      <c r="B752" s="247" t="str">
        <f>'[1]COMEDORES EMERGENTES'!$B$7</f>
        <v>ANGELITOS - LOTEO SUSSEX</v>
      </c>
      <c r="C752" s="248"/>
      <c r="D752" s="119" t="s">
        <v>240</v>
      </c>
      <c r="E752" s="120" t="str">
        <f>'[1]COMEDORES EMERGENTES'!$G$7</f>
        <v>Bº LOTEO SUSEX MZA.Nº 4 LOTE Nº3</v>
      </c>
    </row>
    <row r="753" spans="2:5" x14ac:dyDescent="0.2">
      <c r="B753" s="247" t="str">
        <f>'[1]COMEDORES EMERGENTES'!$B$8</f>
        <v>CLUB DEPORTIVO CHACARITA</v>
      </c>
      <c r="C753" s="248"/>
      <c r="D753" s="119" t="s">
        <v>240</v>
      </c>
      <c r="E753" s="120" t="str">
        <f>'[1]COMEDORES EMERGENTES'!$G$8</f>
        <v>CALLE DR.DERMIDIO GALINDEZ C/2660</v>
      </c>
    </row>
    <row r="754" spans="2:5" x14ac:dyDescent="0.2">
      <c r="B754" s="247" t="str">
        <f>'[1]COMEDORES EMERGENTES'!$B$9</f>
        <v>LA MORO</v>
      </c>
      <c r="C754" s="248"/>
      <c r="D754" s="119" t="s">
        <v>240</v>
      </c>
      <c r="E754" s="120" t="str">
        <f>'[1]COMEDORES EMERGENTES'!$G$9</f>
        <v>MAIPU NORTE 1º ETAPA MZA "H" Bº MI JARDIN</v>
      </c>
    </row>
    <row r="755" spans="2:5" x14ac:dyDescent="0.2">
      <c r="B755" s="247" t="str">
        <f>'[1]COMEDORES EMERGENTES'!$B$10</f>
        <v>PAPA FRANCISCO</v>
      </c>
      <c r="C755" s="248"/>
      <c r="D755" s="119" t="s">
        <v>240</v>
      </c>
      <c r="E755" s="120" t="str">
        <f>'[1]COMEDORES EMERGENTES'!$G$10</f>
        <v>ENTRE AV.TEREBINTO Y AV.SAN JUAN LOTE "2" MZA. "B"</v>
      </c>
    </row>
    <row r="756" spans="2:5" x14ac:dyDescent="0.2">
      <c r="B756" s="247" t="str">
        <f>'[1]COMEDORES EMERGENTES'!$B$11</f>
        <v>E.P.C - 100 V.V NORTE</v>
      </c>
      <c r="C756" s="248"/>
      <c r="D756" s="119" t="s">
        <v>240</v>
      </c>
      <c r="E756" s="120" t="str">
        <f>'[1]COMEDORES EMERGENTES'!$G$11</f>
        <v>Bº VV NORTE C/48 ENTRE ESPAÑA Y FRANCIA</v>
      </c>
    </row>
    <row r="757" spans="2:5" x14ac:dyDescent="0.2">
      <c r="B757" s="247" t="str">
        <f>'[1]COMEDORES EMERGENTES'!$B$12</f>
        <v>HOGAR DE CRISTO - PADRE RAUL CONTRERAS</v>
      </c>
      <c r="C757" s="248"/>
      <c r="D757" s="119" t="s">
        <v>240</v>
      </c>
      <c r="E757" s="120" t="str">
        <f>'[1]COMEDORES EMERGENTES'!$G$12</f>
        <v>Bº SANTA MARTA MZA. "S" LOTE "M" C/39</v>
      </c>
    </row>
    <row r="758" spans="2:5" x14ac:dyDescent="0.2">
      <c r="B758" s="247" t="str">
        <f>'[1]COMEDORES EMERGENTES'!$B$13</f>
        <v>LA LUCIERNAGA</v>
      </c>
      <c r="C758" s="248"/>
      <c r="D758" s="119" t="s">
        <v>240</v>
      </c>
      <c r="E758" s="120" t="str">
        <f>'[1]COMEDORES EMERGENTES'!$G$13</f>
        <v>Bº 20 V.V NORTE C/3</v>
      </c>
    </row>
    <row r="759" spans="2:5" x14ac:dyDescent="0.2">
      <c r="B759" s="247" t="str">
        <f>'[1]COMEDORES EMERGENTES'!$B$14</f>
        <v>VALLE VIEJO - SUMALAO</v>
      </c>
      <c r="C759" s="248"/>
      <c r="D759" s="119" t="s">
        <v>240</v>
      </c>
      <c r="E759" s="120" t="str">
        <f>'[1]COMEDORES EMERGENTES'!$G$14</f>
        <v>PADRE SEGURA S/N</v>
      </c>
    </row>
    <row r="760" spans="2:5" x14ac:dyDescent="0.2">
      <c r="B760" s="247" t="str">
        <f>'[1]COMEDORES EMERGENTES'!$B$15</f>
        <v>NUESTRO FUTURO - LAS VIAS</v>
      </c>
      <c r="C760" s="248"/>
      <c r="D760" s="119" t="s">
        <v>240</v>
      </c>
      <c r="E760" s="120" t="str">
        <f>'[1]COMEDORES EMERGENTES'!$G$15</f>
        <v>Bº LAS VIAS OESTE LOTE 42</v>
      </c>
    </row>
    <row r="761" spans="2:5" x14ac:dyDescent="0.2">
      <c r="B761" s="247" t="str">
        <f>'[1]COMEDORES EMERGENTES'!$B$16</f>
        <v>SAN JOSE OBRERO</v>
      </c>
      <c r="C761" s="248"/>
      <c r="D761" s="119" t="s">
        <v>240</v>
      </c>
      <c r="E761" s="120" t="str">
        <f>'[1]COMEDORES EMERGENTES'!$G$16</f>
        <v>Bº SAN JOSE OBRERO. PJE. SANDOVAL S/Nº</v>
      </c>
    </row>
    <row r="762" spans="2:5" x14ac:dyDescent="0.2">
      <c r="B762" s="247" t="str">
        <f>'[1]COMEDORES EMERGENTES'!$B$17</f>
        <v>VIRGEN DE LUJAN</v>
      </c>
      <c r="C762" s="248"/>
      <c r="D762" s="119" t="s">
        <v>240</v>
      </c>
      <c r="E762" s="120" t="str">
        <f>'[1]COMEDORES EMERGENTES'!$G$17</f>
        <v>Bº OJO DE AGUA C/DR.TEODULFO BARRIONUEVO S/Nº</v>
      </c>
    </row>
    <row r="763" spans="2:5" x14ac:dyDescent="0.2">
      <c r="B763" s="247" t="str">
        <f>'[1]COMEDORES EMERGENTES'!$B$18</f>
        <v>RENACER</v>
      </c>
      <c r="C763" s="248"/>
      <c r="D763" s="119" t="s">
        <v>240</v>
      </c>
      <c r="E763" s="120" t="str">
        <f>'[1]COMEDORES EMERGENTES'!$G$18</f>
        <v>Bº VIRGEN MORENITA</v>
      </c>
    </row>
    <row r="764" spans="2:5" x14ac:dyDescent="0.2">
      <c r="B764" s="247" t="str">
        <f>'[1]COMEDORES EMERGENTES'!$B$19</f>
        <v>CENTRO VECINAL MI JARDIN</v>
      </c>
      <c r="C764" s="248"/>
      <c r="D764" s="119" t="s">
        <v>240</v>
      </c>
      <c r="E764" s="120" t="str">
        <f>'[1]COMEDORES EMERGENTES'!$G$19</f>
        <v>C/ LOS TULIPANES ENTRE FLOR DE CEREZO Y HOLANDA MZA.27 Bº MI JARDIN</v>
      </c>
    </row>
    <row r="765" spans="2:5" x14ac:dyDescent="0.2">
      <c r="B765" s="247" t="str">
        <f>'[1]COMEDORES EMERGENTES'!$B$20</f>
        <v>LA VIEJA ESQUINA</v>
      </c>
      <c r="C765" s="248"/>
      <c r="D765" s="119" t="s">
        <v>240</v>
      </c>
      <c r="E765" s="120" t="str">
        <f>'[1]COMEDORES EMERGENTES'!$G$20</f>
        <v>B° CRISTO REY PJE CAPATAZ VILLAFAÑEZ Y ARMANDO CORREA</v>
      </c>
    </row>
    <row r="766" spans="2:5" x14ac:dyDescent="0.2">
      <c r="B766" s="247" t="str">
        <f>'[1]COMEDORES EMERGENTES'!$B$21</f>
        <v>GAUCHITO GIL</v>
      </c>
      <c r="C766" s="248"/>
      <c r="D766" s="119" t="s">
        <v>240</v>
      </c>
      <c r="E766" s="120" t="str">
        <f>'[1]COMEDORES EMERGENTES'!$G$21</f>
        <v>B° 26 VIVIENDAS CASA N° 3</v>
      </c>
    </row>
    <row r="767" spans="2:5" ht="13.5" thickBot="1" x14ac:dyDescent="0.25">
      <c r="B767" s="261" t="str">
        <f>'[1]COMEDORES EMERGENTES'!$B$22</f>
        <v>LOS TOLDOS</v>
      </c>
      <c r="C767" s="262"/>
      <c r="D767" s="126" t="s">
        <v>240</v>
      </c>
      <c r="E767" s="127" t="str">
        <f>'[1]COMEDORES EMERGENTES'!$G$22</f>
        <v>LOTEO PARQUE SUR CALLE S/NOMBRE S/N°</v>
      </c>
    </row>
    <row r="768" spans="2:5" x14ac:dyDescent="0.2">
      <c r="B768" s="43" t="s">
        <v>18</v>
      </c>
      <c r="C768" s="41"/>
      <c r="D768" s="83"/>
      <c r="E768" s="42"/>
    </row>
    <row r="769" spans="2:5" x14ac:dyDescent="0.2">
      <c r="B769" s="44"/>
      <c r="C769" s="260" t="s">
        <v>62</v>
      </c>
      <c r="D769" s="260"/>
      <c r="E769" s="260"/>
    </row>
    <row r="770" spans="2:5" x14ac:dyDescent="0.2">
      <c r="B770" s="43" t="s">
        <v>19</v>
      </c>
      <c r="C770" s="45"/>
      <c r="D770" s="45"/>
      <c r="E770" s="46"/>
    </row>
    <row r="771" spans="2:5" x14ac:dyDescent="0.2">
      <c r="B771" s="44"/>
      <c r="C771" s="260" t="s">
        <v>139</v>
      </c>
      <c r="D771" s="260"/>
      <c r="E771" s="260"/>
    </row>
    <row r="772" spans="2:5" x14ac:dyDescent="0.2">
      <c r="B772" s="43" t="s">
        <v>20</v>
      </c>
      <c r="C772" s="41"/>
      <c r="D772" s="83"/>
      <c r="E772" s="42"/>
    </row>
    <row r="773" spans="2:5" x14ac:dyDescent="0.2">
      <c r="B773" s="43"/>
      <c r="C773" s="246" t="s">
        <v>63</v>
      </c>
      <c r="D773" s="246"/>
      <c r="E773" s="246"/>
    </row>
    <row r="774" spans="2:5" ht="13.5" thickBot="1" x14ac:dyDescent="0.25">
      <c r="B774" s="47"/>
      <c r="C774" s="48"/>
      <c r="D774" s="84"/>
      <c r="E774" s="49"/>
    </row>
    <row r="775" spans="2:5" ht="13.5" thickBot="1" x14ac:dyDescent="0.25"/>
    <row r="776" spans="2:5" x14ac:dyDescent="0.2">
      <c r="B776" s="37" t="s">
        <v>158</v>
      </c>
      <c r="C776" s="38"/>
      <c r="D776" s="82"/>
      <c r="E776" s="39"/>
    </row>
    <row r="777" spans="2:5" x14ac:dyDescent="0.2">
      <c r="B777" s="40"/>
      <c r="C777" s="41"/>
      <c r="D777" s="83"/>
      <c r="E777" s="42"/>
    </row>
    <row r="778" spans="2:5" x14ac:dyDescent="0.2">
      <c r="B778" s="43" t="s">
        <v>16</v>
      </c>
      <c r="C778" s="41"/>
      <c r="D778" s="83"/>
      <c r="E778" s="42"/>
    </row>
    <row r="779" spans="2:5" ht="25.5" customHeight="1" x14ac:dyDescent="0.2">
      <c r="B779" s="43"/>
      <c r="C779" s="260"/>
      <c r="D779" s="260"/>
      <c r="E779" s="260"/>
    </row>
    <row r="780" spans="2:5" ht="13.5" thickBot="1" x14ac:dyDescent="0.25">
      <c r="B780" s="43" t="s">
        <v>17</v>
      </c>
      <c r="C780" s="41"/>
      <c r="D780" s="83"/>
      <c r="E780" s="42"/>
    </row>
    <row r="781" spans="2:5" ht="13.5" thickBot="1" x14ac:dyDescent="0.25">
      <c r="B781" s="252" t="s">
        <v>239</v>
      </c>
      <c r="C781" s="256"/>
      <c r="D781" s="256"/>
      <c r="E781" s="253"/>
    </row>
    <row r="782" spans="2:5" ht="13.5" thickBot="1" x14ac:dyDescent="0.25">
      <c r="B782" s="252" t="s">
        <v>137</v>
      </c>
      <c r="C782" s="253"/>
      <c r="D782" s="80" t="s">
        <v>11</v>
      </c>
      <c r="E782" s="80" t="s">
        <v>138</v>
      </c>
    </row>
    <row r="783" spans="2:5" x14ac:dyDescent="0.2">
      <c r="B783" s="254" t="str">
        <f>'[1]COMEDORES EMERGENTES'!$B$3</f>
        <v>UNA SONRISA AV. LOS COBACHO</v>
      </c>
      <c r="C783" s="255"/>
      <c r="D783" s="124" t="s">
        <v>240</v>
      </c>
      <c r="E783" s="125" t="str">
        <f>'[1]COMEDORES EMERGENTES'!$G$3</f>
        <v>Bº SAN CARLOS OESTE AV. Bonifacio cobacho 670</v>
      </c>
    </row>
    <row r="784" spans="2:5" x14ac:dyDescent="0.2">
      <c r="B784" s="247" t="str">
        <f>'[1]COMEDORES EMERGENTES'!$B$4</f>
        <v>C.I.F Nº1 - RIVERA DEL VALLE Y FLORIDA</v>
      </c>
      <c r="C784" s="248"/>
      <c r="D784" s="119" t="s">
        <v>240</v>
      </c>
      <c r="E784" s="120" t="str">
        <f>'[1]COMEDORES EMERGENTES'!$G$4</f>
        <v>AV. RIVIERA DEL VALLE ENTRE FLORIDA Y SANTA FE</v>
      </c>
    </row>
    <row r="785" spans="2:5" x14ac:dyDescent="0.2">
      <c r="B785" s="247" t="str">
        <f>'[1]COMEDORES EMERGENTES'!$B$5</f>
        <v>C.I.F - RIVERA DEL VALLE - DILORENZO</v>
      </c>
      <c r="C785" s="248"/>
      <c r="D785" s="119" t="s">
        <v>240</v>
      </c>
      <c r="E785" s="120" t="str">
        <f>'[1]COMEDORES EMERGENTES'!$G$5</f>
        <v>Bº RIVERA DEL VALLE ENTRE VILLA EUMELIA Y MONTE CRISTO</v>
      </c>
    </row>
    <row r="786" spans="2:5" x14ac:dyDescent="0.2">
      <c r="B786" s="247" t="str">
        <f>'[1]COMEDORES EMERGENTES'!$B$6</f>
        <v>ESFUERZO PROPIO- Bº ALTOS DE CHOYA</v>
      </c>
      <c r="C786" s="248"/>
      <c r="D786" s="119" t="s">
        <v>240</v>
      </c>
      <c r="E786" s="120" t="str">
        <f>'[1]COMEDORES EMERGENTES'!$G$6</f>
        <v>Bº MUNICIPAL 35VV. NORTE C/14</v>
      </c>
    </row>
    <row r="787" spans="2:5" x14ac:dyDescent="0.2">
      <c r="B787" s="247" t="str">
        <f>'[1]COMEDORES EMERGENTES'!$B$7</f>
        <v>ANGELITOS - LOTEO SUSSEX</v>
      </c>
      <c r="C787" s="248"/>
      <c r="D787" s="119" t="s">
        <v>240</v>
      </c>
      <c r="E787" s="120" t="str">
        <f>'[1]COMEDORES EMERGENTES'!$G$7</f>
        <v>Bº LOTEO SUSEX MZA.Nº 4 LOTE Nº3</v>
      </c>
    </row>
    <row r="788" spans="2:5" x14ac:dyDescent="0.2">
      <c r="B788" s="247" t="str">
        <f>'[1]COMEDORES EMERGENTES'!$B$8</f>
        <v>CLUB DEPORTIVO CHACARITA</v>
      </c>
      <c r="C788" s="248"/>
      <c r="D788" s="119" t="s">
        <v>240</v>
      </c>
      <c r="E788" s="120" t="str">
        <f>'[1]COMEDORES EMERGENTES'!$G$8</f>
        <v>CALLE DR.DERMIDIO GALINDEZ C/2660</v>
      </c>
    </row>
    <row r="789" spans="2:5" x14ac:dyDescent="0.2">
      <c r="B789" s="247" t="str">
        <f>'[1]COMEDORES EMERGENTES'!$B$9</f>
        <v>LA MORO</v>
      </c>
      <c r="C789" s="248"/>
      <c r="D789" s="119" t="s">
        <v>240</v>
      </c>
      <c r="E789" s="120" t="str">
        <f>'[1]COMEDORES EMERGENTES'!$G$9</f>
        <v>MAIPU NORTE 1º ETAPA MZA "H" Bº MI JARDIN</v>
      </c>
    </row>
    <row r="790" spans="2:5" x14ac:dyDescent="0.2">
      <c r="B790" s="247" t="str">
        <f>'[1]COMEDORES EMERGENTES'!$B$10</f>
        <v>PAPA FRANCISCO</v>
      </c>
      <c r="C790" s="248"/>
      <c r="D790" s="119" t="s">
        <v>240</v>
      </c>
      <c r="E790" s="120" t="str">
        <f>'[1]COMEDORES EMERGENTES'!$G$10</f>
        <v>ENTRE AV.TEREBINTO Y AV.SAN JUAN LOTE "2" MZA. "B"</v>
      </c>
    </row>
    <row r="791" spans="2:5" x14ac:dyDescent="0.2">
      <c r="B791" s="247" t="str">
        <f>'[1]COMEDORES EMERGENTES'!$B$11</f>
        <v>E.P.C - 100 V.V NORTE</v>
      </c>
      <c r="C791" s="248"/>
      <c r="D791" s="119" t="s">
        <v>240</v>
      </c>
      <c r="E791" s="120" t="str">
        <f>'[1]COMEDORES EMERGENTES'!$G$11</f>
        <v>Bº VV NORTE C/48 ENTRE ESPAÑA Y FRANCIA</v>
      </c>
    </row>
    <row r="792" spans="2:5" x14ac:dyDescent="0.2">
      <c r="B792" s="247" t="str">
        <f>'[1]COMEDORES EMERGENTES'!$B$12</f>
        <v>HOGAR DE CRISTO - PADRE RAUL CONTRERAS</v>
      </c>
      <c r="C792" s="248"/>
      <c r="D792" s="119" t="s">
        <v>240</v>
      </c>
      <c r="E792" s="120" t="str">
        <f>'[1]COMEDORES EMERGENTES'!$G$12</f>
        <v>Bº SANTA MARTA MZA. "S" LOTE "M" C/39</v>
      </c>
    </row>
    <row r="793" spans="2:5" x14ac:dyDescent="0.2">
      <c r="B793" s="247" t="str">
        <f>'[1]COMEDORES EMERGENTES'!$B$13</f>
        <v>LA LUCIERNAGA</v>
      </c>
      <c r="C793" s="248"/>
      <c r="D793" s="119" t="s">
        <v>240</v>
      </c>
      <c r="E793" s="120" t="str">
        <f>'[1]COMEDORES EMERGENTES'!$G$13</f>
        <v>Bº 20 V.V NORTE C/3</v>
      </c>
    </row>
    <row r="794" spans="2:5" x14ac:dyDescent="0.2">
      <c r="B794" s="247" t="str">
        <f>'[1]COMEDORES EMERGENTES'!$B$14</f>
        <v>VALLE VIEJO - SUMALAO</v>
      </c>
      <c r="C794" s="248"/>
      <c r="D794" s="119" t="s">
        <v>240</v>
      </c>
      <c r="E794" s="120" t="str">
        <f>'[1]COMEDORES EMERGENTES'!$G$14</f>
        <v>PADRE SEGURA S/N</v>
      </c>
    </row>
    <row r="795" spans="2:5" x14ac:dyDescent="0.2">
      <c r="B795" s="247" t="str">
        <f>'[1]COMEDORES EMERGENTES'!$B$15</f>
        <v>NUESTRO FUTURO - LAS VIAS</v>
      </c>
      <c r="C795" s="248"/>
      <c r="D795" s="119" t="s">
        <v>240</v>
      </c>
      <c r="E795" s="120" t="str">
        <f>'[1]COMEDORES EMERGENTES'!$G$15</f>
        <v>Bº LAS VIAS OESTE LOTE 42</v>
      </c>
    </row>
    <row r="796" spans="2:5" x14ac:dyDescent="0.2">
      <c r="B796" s="247" t="str">
        <f>'[1]COMEDORES EMERGENTES'!$B$16</f>
        <v>SAN JOSE OBRERO</v>
      </c>
      <c r="C796" s="248"/>
      <c r="D796" s="119" t="s">
        <v>240</v>
      </c>
      <c r="E796" s="120" t="str">
        <f>'[1]COMEDORES EMERGENTES'!$G$16</f>
        <v>Bº SAN JOSE OBRERO. PJE. SANDOVAL S/Nº</v>
      </c>
    </row>
    <row r="797" spans="2:5" x14ac:dyDescent="0.2">
      <c r="B797" s="247" t="str">
        <f>'[1]COMEDORES EMERGENTES'!$B$17</f>
        <v>VIRGEN DE LUJAN</v>
      </c>
      <c r="C797" s="248"/>
      <c r="D797" s="119" t="s">
        <v>240</v>
      </c>
      <c r="E797" s="120" t="str">
        <f>'[1]COMEDORES EMERGENTES'!$G$17</f>
        <v>Bº OJO DE AGUA C/DR.TEODULFO BARRIONUEVO S/Nº</v>
      </c>
    </row>
    <row r="798" spans="2:5" x14ac:dyDescent="0.2">
      <c r="B798" s="247" t="str">
        <f>'[1]COMEDORES EMERGENTES'!$B$18</f>
        <v>RENACER</v>
      </c>
      <c r="C798" s="248"/>
      <c r="D798" s="119" t="s">
        <v>240</v>
      </c>
      <c r="E798" s="120" t="str">
        <f>'[1]COMEDORES EMERGENTES'!$G$18</f>
        <v>Bº VIRGEN MORENITA</v>
      </c>
    </row>
    <row r="799" spans="2:5" x14ac:dyDescent="0.2">
      <c r="B799" s="247" t="str">
        <f>'[1]COMEDORES EMERGENTES'!$B$19</f>
        <v>CENTRO VECINAL MI JARDIN</v>
      </c>
      <c r="C799" s="248"/>
      <c r="D799" s="119" t="s">
        <v>240</v>
      </c>
      <c r="E799" s="120" t="str">
        <f>'[1]COMEDORES EMERGENTES'!$G$19</f>
        <v>C/ LOS TULIPANES ENTRE FLOR DE CEREZO Y HOLANDA MZA.27 Bº MI JARDIN</v>
      </c>
    </row>
    <row r="800" spans="2:5" x14ac:dyDescent="0.2">
      <c r="B800" s="247" t="str">
        <f>'[1]COMEDORES EMERGENTES'!$B$20</f>
        <v>LA VIEJA ESQUINA</v>
      </c>
      <c r="C800" s="248"/>
      <c r="D800" s="119" t="s">
        <v>240</v>
      </c>
      <c r="E800" s="120" t="str">
        <f>'[1]COMEDORES EMERGENTES'!$G$20</f>
        <v>B° CRISTO REY PJE CAPATAZ VILLAFAÑEZ Y ARMANDO CORREA</v>
      </c>
    </row>
    <row r="801" spans="2:5" x14ac:dyDescent="0.2">
      <c r="B801" s="247" t="str">
        <f>'[1]COMEDORES EMERGENTES'!$B$21</f>
        <v>GAUCHITO GIL</v>
      </c>
      <c r="C801" s="248"/>
      <c r="D801" s="119" t="s">
        <v>240</v>
      </c>
      <c r="E801" s="120" t="str">
        <f>'[1]COMEDORES EMERGENTES'!$G$21</f>
        <v>B° 26 VIVIENDAS CASA N° 3</v>
      </c>
    </row>
    <row r="802" spans="2:5" ht="13.5" thickBot="1" x14ac:dyDescent="0.25">
      <c r="B802" s="261" t="str">
        <f>'[1]COMEDORES EMERGENTES'!$B$22</f>
        <v>LOS TOLDOS</v>
      </c>
      <c r="C802" s="262"/>
      <c r="D802" s="126" t="s">
        <v>240</v>
      </c>
      <c r="E802" s="127" t="str">
        <f>'[1]COMEDORES EMERGENTES'!$G$22</f>
        <v>LOTEO PARQUE SUR CALLE S/NOMBRE S/N°</v>
      </c>
    </row>
    <row r="803" spans="2:5" x14ac:dyDescent="0.2">
      <c r="B803" s="43" t="s">
        <v>18</v>
      </c>
      <c r="C803" s="41"/>
      <c r="D803" s="83"/>
      <c r="E803" s="42"/>
    </row>
    <row r="804" spans="2:5" x14ac:dyDescent="0.2">
      <c r="B804" s="44"/>
      <c r="C804" s="260" t="s">
        <v>62</v>
      </c>
      <c r="D804" s="260"/>
      <c r="E804" s="260"/>
    </row>
    <row r="805" spans="2:5" x14ac:dyDescent="0.2">
      <c r="B805" s="43" t="s">
        <v>19</v>
      </c>
      <c r="C805" s="45"/>
      <c r="D805" s="45"/>
      <c r="E805" s="46"/>
    </row>
    <row r="806" spans="2:5" x14ac:dyDescent="0.2">
      <c r="B806" s="44"/>
      <c r="C806" s="260" t="s">
        <v>139</v>
      </c>
      <c r="D806" s="260"/>
      <c r="E806" s="260"/>
    </row>
    <row r="807" spans="2:5" x14ac:dyDescent="0.2">
      <c r="B807" s="43" t="s">
        <v>20</v>
      </c>
      <c r="C807" s="41"/>
      <c r="D807" s="83"/>
      <c r="E807" s="42"/>
    </row>
    <row r="808" spans="2:5" x14ac:dyDescent="0.2">
      <c r="B808" s="43"/>
      <c r="C808" s="246" t="s">
        <v>63</v>
      </c>
      <c r="D808" s="246"/>
      <c r="E808" s="246"/>
    </row>
    <row r="809" spans="2:5" ht="13.5" thickBot="1" x14ac:dyDescent="0.25">
      <c r="B809" s="47"/>
      <c r="C809" s="48"/>
      <c r="D809" s="84"/>
      <c r="E809" s="49"/>
    </row>
    <row r="810" spans="2:5" ht="13.5" thickBot="1" x14ac:dyDescent="0.25"/>
    <row r="811" spans="2:5" x14ac:dyDescent="0.2">
      <c r="B811" s="37" t="s">
        <v>159</v>
      </c>
      <c r="C811" s="38"/>
      <c r="D811" s="82"/>
      <c r="E811" s="39"/>
    </row>
    <row r="812" spans="2:5" x14ac:dyDescent="0.2">
      <c r="B812" s="40"/>
      <c r="C812" s="41"/>
      <c r="D812" s="83"/>
      <c r="E812" s="42"/>
    </row>
    <row r="813" spans="2:5" x14ac:dyDescent="0.2">
      <c r="B813" s="43" t="s">
        <v>16</v>
      </c>
      <c r="C813" s="41"/>
      <c r="D813" s="83"/>
      <c r="E813" s="42"/>
    </row>
    <row r="814" spans="2:5" ht="25.5" customHeight="1" x14ac:dyDescent="0.2">
      <c r="B814" s="43"/>
      <c r="C814" s="260"/>
      <c r="D814" s="260"/>
      <c r="E814" s="260"/>
    </row>
    <row r="815" spans="2:5" ht="13.5" thickBot="1" x14ac:dyDescent="0.25">
      <c r="B815" s="43" t="s">
        <v>17</v>
      </c>
      <c r="C815" s="41"/>
      <c r="D815" s="83"/>
      <c r="E815" s="42"/>
    </row>
    <row r="816" spans="2:5" ht="13.5" thickBot="1" x14ac:dyDescent="0.25">
      <c r="B816" s="252" t="s">
        <v>239</v>
      </c>
      <c r="C816" s="256"/>
      <c r="D816" s="256"/>
      <c r="E816" s="253"/>
    </row>
    <row r="817" spans="2:5" ht="13.5" thickBot="1" x14ac:dyDescent="0.25">
      <c r="B817" s="252" t="s">
        <v>137</v>
      </c>
      <c r="C817" s="253"/>
      <c r="D817" s="80" t="s">
        <v>11</v>
      </c>
      <c r="E817" s="80" t="s">
        <v>138</v>
      </c>
    </row>
    <row r="818" spans="2:5" x14ac:dyDescent="0.2">
      <c r="B818" s="254" t="str">
        <f>'[1]COMEDORES EMERGENTES'!$B$3</f>
        <v>UNA SONRISA AV. LOS COBACHO</v>
      </c>
      <c r="C818" s="255"/>
      <c r="D818" s="124" t="s">
        <v>240</v>
      </c>
      <c r="E818" s="125" t="str">
        <f>'[1]COMEDORES EMERGENTES'!$G$3</f>
        <v>Bº SAN CARLOS OESTE AV. Bonifacio cobacho 670</v>
      </c>
    </row>
    <row r="819" spans="2:5" x14ac:dyDescent="0.2">
      <c r="B819" s="247" t="str">
        <f>'[1]COMEDORES EMERGENTES'!$B$4</f>
        <v>C.I.F Nº1 - RIVERA DEL VALLE Y FLORIDA</v>
      </c>
      <c r="C819" s="248"/>
      <c r="D819" s="119" t="s">
        <v>240</v>
      </c>
      <c r="E819" s="120" t="str">
        <f>'[1]COMEDORES EMERGENTES'!$G$4</f>
        <v>AV. RIVIERA DEL VALLE ENTRE FLORIDA Y SANTA FE</v>
      </c>
    </row>
    <row r="820" spans="2:5" x14ac:dyDescent="0.2">
      <c r="B820" s="247" t="str">
        <f>'[1]COMEDORES EMERGENTES'!$B$5</f>
        <v>C.I.F - RIVERA DEL VALLE - DILORENZO</v>
      </c>
      <c r="C820" s="248"/>
      <c r="D820" s="119" t="s">
        <v>240</v>
      </c>
      <c r="E820" s="120" t="str">
        <f>'[1]COMEDORES EMERGENTES'!$G$5</f>
        <v>Bº RIVERA DEL VALLE ENTRE VILLA EUMELIA Y MONTE CRISTO</v>
      </c>
    </row>
    <row r="821" spans="2:5" x14ac:dyDescent="0.2">
      <c r="B821" s="247" t="str">
        <f>'[1]COMEDORES EMERGENTES'!$B$6</f>
        <v>ESFUERZO PROPIO- Bº ALTOS DE CHOYA</v>
      </c>
      <c r="C821" s="248"/>
      <c r="D821" s="119" t="s">
        <v>240</v>
      </c>
      <c r="E821" s="120" t="str">
        <f>'[1]COMEDORES EMERGENTES'!$G$6</f>
        <v>Bº MUNICIPAL 35VV. NORTE C/14</v>
      </c>
    </row>
    <row r="822" spans="2:5" x14ac:dyDescent="0.2">
      <c r="B822" s="247" t="str">
        <f>'[1]COMEDORES EMERGENTES'!$B$7</f>
        <v>ANGELITOS - LOTEO SUSSEX</v>
      </c>
      <c r="C822" s="248"/>
      <c r="D822" s="119" t="s">
        <v>240</v>
      </c>
      <c r="E822" s="120" t="str">
        <f>'[1]COMEDORES EMERGENTES'!$G$7</f>
        <v>Bº LOTEO SUSEX MZA.Nº 4 LOTE Nº3</v>
      </c>
    </row>
    <row r="823" spans="2:5" x14ac:dyDescent="0.2">
      <c r="B823" s="247" t="str">
        <f>'[1]COMEDORES EMERGENTES'!$B$8</f>
        <v>CLUB DEPORTIVO CHACARITA</v>
      </c>
      <c r="C823" s="248"/>
      <c r="D823" s="119" t="s">
        <v>240</v>
      </c>
      <c r="E823" s="120" t="str">
        <f>'[1]COMEDORES EMERGENTES'!$G$8</f>
        <v>CALLE DR.DERMIDIO GALINDEZ C/2660</v>
      </c>
    </row>
    <row r="824" spans="2:5" x14ac:dyDescent="0.2">
      <c r="B824" s="247" t="str">
        <f>'[1]COMEDORES EMERGENTES'!$B$9</f>
        <v>LA MORO</v>
      </c>
      <c r="C824" s="248"/>
      <c r="D824" s="119" t="s">
        <v>240</v>
      </c>
      <c r="E824" s="120" t="str">
        <f>'[1]COMEDORES EMERGENTES'!$G$9</f>
        <v>MAIPU NORTE 1º ETAPA MZA "H" Bº MI JARDIN</v>
      </c>
    </row>
    <row r="825" spans="2:5" x14ac:dyDescent="0.2">
      <c r="B825" s="247" t="str">
        <f>'[1]COMEDORES EMERGENTES'!$B$10</f>
        <v>PAPA FRANCISCO</v>
      </c>
      <c r="C825" s="248"/>
      <c r="D825" s="119" t="s">
        <v>240</v>
      </c>
      <c r="E825" s="120" t="str">
        <f>'[1]COMEDORES EMERGENTES'!$G$10</f>
        <v>ENTRE AV.TEREBINTO Y AV.SAN JUAN LOTE "2" MZA. "B"</v>
      </c>
    </row>
    <row r="826" spans="2:5" x14ac:dyDescent="0.2">
      <c r="B826" s="247" t="str">
        <f>'[1]COMEDORES EMERGENTES'!$B$11</f>
        <v>E.P.C - 100 V.V NORTE</v>
      </c>
      <c r="C826" s="248"/>
      <c r="D826" s="119" t="s">
        <v>240</v>
      </c>
      <c r="E826" s="120" t="str">
        <f>'[1]COMEDORES EMERGENTES'!$G$11</f>
        <v>Bº VV NORTE C/48 ENTRE ESPAÑA Y FRANCIA</v>
      </c>
    </row>
    <row r="827" spans="2:5" x14ac:dyDescent="0.2">
      <c r="B827" s="247" t="str">
        <f>'[1]COMEDORES EMERGENTES'!$B$12</f>
        <v>HOGAR DE CRISTO - PADRE RAUL CONTRERAS</v>
      </c>
      <c r="C827" s="248"/>
      <c r="D827" s="119" t="s">
        <v>240</v>
      </c>
      <c r="E827" s="120" t="str">
        <f>'[1]COMEDORES EMERGENTES'!$G$12</f>
        <v>Bº SANTA MARTA MZA. "S" LOTE "M" C/39</v>
      </c>
    </row>
    <row r="828" spans="2:5" x14ac:dyDescent="0.2">
      <c r="B828" s="247" t="str">
        <f>'[1]COMEDORES EMERGENTES'!$B$13</f>
        <v>LA LUCIERNAGA</v>
      </c>
      <c r="C828" s="248"/>
      <c r="D828" s="119" t="s">
        <v>240</v>
      </c>
      <c r="E828" s="120" t="str">
        <f>'[1]COMEDORES EMERGENTES'!$G$13</f>
        <v>Bº 20 V.V NORTE C/3</v>
      </c>
    </row>
    <row r="829" spans="2:5" x14ac:dyDescent="0.2">
      <c r="B829" s="247" t="str">
        <f>'[1]COMEDORES EMERGENTES'!$B$14</f>
        <v>VALLE VIEJO - SUMALAO</v>
      </c>
      <c r="C829" s="248"/>
      <c r="D829" s="119" t="s">
        <v>240</v>
      </c>
      <c r="E829" s="120" t="str">
        <f>'[1]COMEDORES EMERGENTES'!$G$14</f>
        <v>PADRE SEGURA S/N</v>
      </c>
    </row>
    <row r="830" spans="2:5" x14ac:dyDescent="0.2">
      <c r="B830" s="247" t="str">
        <f>'[1]COMEDORES EMERGENTES'!$B$15</f>
        <v>NUESTRO FUTURO - LAS VIAS</v>
      </c>
      <c r="C830" s="248"/>
      <c r="D830" s="119" t="s">
        <v>240</v>
      </c>
      <c r="E830" s="120" t="str">
        <f>'[1]COMEDORES EMERGENTES'!$G$15</f>
        <v>Bº LAS VIAS OESTE LOTE 42</v>
      </c>
    </row>
    <row r="831" spans="2:5" x14ac:dyDescent="0.2">
      <c r="B831" s="247" t="str">
        <f>'[1]COMEDORES EMERGENTES'!$B$16</f>
        <v>SAN JOSE OBRERO</v>
      </c>
      <c r="C831" s="248"/>
      <c r="D831" s="119" t="s">
        <v>240</v>
      </c>
      <c r="E831" s="120" t="str">
        <f>'[1]COMEDORES EMERGENTES'!$G$16</f>
        <v>Bº SAN JOSE OBRERO. PJE. SANDOVAL S/Nº</v>
      </c>
    </row>
    <row r="832" spans="2:5" x14ac:dyDescent="0.2">
      <c r="B832" s="247" t="str">
        <f>'[1]COMEDORES EMERGENTES'!$B$17</f>
        <v>VIRGEN DE LUJAN</v>
      </c>
      <c r="C832" s="248"/>
      <c r="D832" s="119" t="s">
        <v>240</v>
      </c>
      <c r="E832" s="120" t="str">
        <f>'[1]COMEDORES EMERGENTES'!$G$17</f>
        <v>Bº OJO DE AGUA C/DR.TEODULFO BARRIONUEVO S/Nº</v>
      </c>
    </row>
    <row r="833" spans="2:5" x14ac:dyDescent="0.2">
      <c r="B833" s="247" t="str">
        <f>'[1]COMEDORES EMERGENTES'!$B$18</f>
        <v>RENACER</v>
      </c>
      <c r="C833" s="248"/>
      <c r="D833" s="119" t="s">
        <v>240</v>
      </c>
      <c r="E833" s="120" t="str">
        <f>'[1]COMEDORES EMERGENTES'!$G$18</f>
        <v>Bº VIRGEN MORENITA</v>
      </c>
    </row>
    <row r="834" spans="2:5" x14ac:dyDescent="0.2">
      <c r="B834" s="247" t="str">
        <f>'[1]COMEDORES EMERGENTES'!$B$19</f>
        <v>CENTRO VECINAL MI JARDIN</v>
      </c>
      <c r="C834" s="248"/>
      <c r="D834" s="119" t="s">
        <v>240</v>
      </c>
      <c r="E834" s="120" t="str">
        <f>'[1]COMEDORES EMERGENTES'!$G$19</f>
        <v>C/ LOS TULIPANES ENTRE FLOR DE CEREZO Y HOLANDA MZA.27 Bº MI JARDIN</v>
      </c>
    </row>
    <row r="835" spans="2:5" x14ac:dyDescent="0.2">
      <c r="B835" s="247" t="str">
        <f>'[1]COMEDORES EMERGENTES'!$B$20</f>
        <v>LA VIEJA ESQUINA</v>
      </c>
      <c r="C835" s="248"/>
      <c r="D835" s="119" t="s">
        <v>240</v>
      </c>
      <c r="E835" s="120" t="str">
        <f>'[1]COMEDORES EMERGENTES'!$G$20</f>
        <v>B° CRISTO REY PJE CAPATAZ VILLAFAÑEZ Y ARMANDO CORREA</v>
      </c>
    </row>
    <row r="836" spans="2:5" x14ac:dyDescent="0.2">
      <c r="B836" s="247" t="str">
        <f>'[1]COMEDORES EMERGENTES'!$B$21</f>
        <v>GAUCHITO GIL</v>
      </c>
      <c r="C836" s="248"/>
      <c r="D836" s="119" t="s">
        <v>240</v>
      </c>
      <c r="E836" s="120" t="str">
        <f>'[1]COMEDORES EMERGENTES'!$G$21</f>
        <v>B° 26 VIVIENDAS CASA N° 3</v>
      </c>
    </row>
    <row r="837" spans="2:5" ht="13.5" thickBot="1" x14ac:dyDescent="0.25">
      <c r="B837" s="261" t="str">
        <f>'[1]COMEDORES EMERGENTES'!$B$22</f>
        <v>LOS TOLDOS</v>
      </c>
      <c r="C837" s="262"/>
      <c r="D837" s="126" t="s">
        <v>240</v>
      </c>
      <c r="E837" s="127" t="str">
        <f>'[1]COMEDORES EMERGENTES'!$G$22</f>
        <v>LOTEO PARQUE SUR CALLE S/NOMBRE S/N°</v>
      </c>
    </row>
    <row r="838" spans="2:5" x14ac:dyDescent="0.2">
      <c r="B838" s="43" t="s">
        <v>18</v>
      </c>
      <c r="C838" s="41"/>
      <c r="D838" s="83"/>
      <c r="E838" s="42"/>
    </row>
    <row r="839" spans="2:5" x14ac:dyDescent="0.2">
      <c r="B839" s="44"/>
      <c r="C839" s="260" t="s">
        <v>62</v>
      </c>
      <c r="D839" s="260"/>
      <c r="E839" s="260"/>
    </row>
    <row r="840" spans="2:5" x14ac:dyDescent="0.2">
      <c r="B840" s="43" t="s">
        <v>19</v>
      </c>
      <c r="C840" s="45"/>
      <c r="D840" s="45"/>
      <c r="E840" s="46"/>
    </row>
    <row r="841" spans="2:5" x14ac:dyDescent="0.2">
      <c r="B841" s="44"/>
      <c r="C841" s="260" t="s">
        <v>139</v>
      </c>
      <c r="D841" s="260"/>
      <c r="E841" s="260"/>
    </row>
    <row r="842" spans="2:5" x14ac:dyDescent="0.2">
      <c r="B842" s="43" t="s">
        <v>20</v>
      </c>
      <c r="C842" s="41"/>
      <c r="D842" s="83"/>
      <c r="E842" s="42"/>
    </row>
    <row r="843" spans="2:5" x14ac:dyDescent="0.2">
      <c r="B843" s="43"/>
      <c r="C843" s="246" t="s">
        <v>63</v>
      </c>
      <c r="D843" s="246"/>
      <c r="E843" s="246"/>
    </row>
    <row r="844" spans="2:5" ht="13.5" thickBot="1" x14ac:dyDescent="0.25">
      <c r="B844" s="47"/>
      <c r="C844" s="48"/>
      <c r="D844" s="84"/>
      <c r="E844" s="49"/>
    </row>
    <row r="845" spans="2:5" ht="13.5" thickBot="1" x14ac:dyDescent="0.25"/>
    <row r="846" spans="2:5" x14ac:dyDescent="0.2">
      <c r="B846" s="37" t="s">
        <v>160</v>
      </c>
      <c r="C846" s="38"/>
      <c r="D846" s="82"/>
      <c r="E846" s="39"/>
    </row>
    <row r="847" spans="2:5" x14ac:dyDescent="0.2">
      <c r="B847" s="40"/>
      <c r="C847" s="41"/>
      <c r="D847" s="83"/>
      <c r="E847" s="42"/>
    </row>
    <row r="848" spans="2:5" x14ac:dyDescent="0.2">
      <c r="B848" s="43" t="s">
        <v>16</v>
      </c>
      <c r="C848" s="41"/>
      <c r="D848" s="83"/>
      <c r="E848" s="42"/>
    </row>
    <row r="849" spans="2:5" ht="25.5" customHeight="1" x14ac:dyDescent="0.2">
      <c r="B849" s="43"/>
      <c r="C849" s="260"/>
      <c r="D849" s="260"/>
      <c r="E849" s="260"/>
    </row>
    <row r="850" spans="2:5" ht="13.5" thickBot="1" x14ac:dyDescent="0.25">
      <c r="B850" s="43" t="s">
        <v>17</v>
      </c>
      <c r="C850" s="41"/>
      <c r="D850" s="83"/>
      <c r="E850" s="42"/>
    </row>
    <row r="851" spans="2:5" ht="13.5" thickBot="1" x14ac:dyDescent="0.25">
      <c r="B851" s="252" t="s">
        <v>239</v>
      </c>
      <c r="C851" s="256"/>
      <c r="D851" s="256"/>
      <c r="E851" s="253"/>
    </row>
    <row r="852" spans="2:5" ht="13.5" thickBot="1" x14ac:dyDescent="0.25">
      <c r="B852" s="252" t="s">
        <v>137</v>
      </c>
      <c r="C852" s="253"/>
      <c r="D852" s="80" t="s">
        <v>11</v>
      </c>
      <c r="E852" s="80" t="s">
        <v>138</v>
      </c>
    </row>
    <row r="853" spans="2:5" x14ac:dyDescent="0.2">
      <c r="B853" s="254" t="str">
        <f>'[1]COMEDORES EMERGENTES'!$B$3</f>
        <v>UNA SONRISA AV. LOS COBACHO</v>
      </c>
      <c r="C853" s="255"/>
      <c r="D853" s="124" t="s">
        <v>240</v>
      </c>
      <c r="E853" s="125" t="str">
        <f>'[1]COMEDORES EMERGENTES'!$G$3</f>
        <v>Bº SAN CARLOS OESTE AV. Bonifacio cobacho 670</v>
      </c>
    </row>
    <row r="854" spans="2:5" x14ac:dyDescent="0.2">
      <c r="B854" s="247" t="str">
        <f>'[1]COMEDORES EMERGENTES'!$B$4</f>
        <v>C.I.F Nº1 - RIVERA DEL VALLE Y FLORIDA</v>
      </c>
      <c r="C854" s="248"/>
      <c r="D854" s="119" t="s">
        <v>240</v>
      </c>
      <c r="E854" s="120" t="str">
        <f>'[1]COMEDORES EMERGENTES'!$G$4</f>
        <v>AV. RIVIERA DEL VALLE ENTRE FLORIDA Y SANTA FE</v>
      </c>
    </row>
    <row r="855" spans="2:5" x14ac:dyDescent="0.2">
      <c r="B855" s="247" t="str">
        <f>'[1]COMEDORES EMERGENTES'!$B$5</f>
        <v>C.I.F - RIVERA DEL VALLE - DILORENZO</v>
      </c>
      <c r="C855" s="248"/>
      <c r="D855" s="119" t="s">
        <v>240</v>
      </c>
      <c r="E855" s="120" t="str">
        <f>'[1]COMEDORES EMERGENTES'!$G$5</f>
        <v>Bº RIVERA DEL VALLE ENTRE VILLA EUMELIA Y MONTE CRISTO</v>
      </c>
    </row>
    <row r="856" spans="2:5" x14ac:dyDescent="0.2">
      <c r="B856" s="247" t="str">
        <f>'[1]COMEDORES EMERGENTES'!$B$6</f>
        <v>ESFUERZO PROPIO- Bº ALTOS DE CHOYA</v>
      </c>
      <c r="C856" s="248"/>
      <c r="D856" s="119" t="s">
        <v>240</v>
      </c>
      <c r="E856" s="120" t="str">
        <f>'[1]COMEDORES EMERGENTES'!$G$6</f>
        <v>Bº MUNICIPAL 35VV. NORTE C/14</v>
      </c>
    </row>
    <row r="857" spans="2:5" x14ac:dyDescent="0.2">
      <c r="B857" s="247" t="str">
        <f>'[1]COMEDORES EMERGENTES'!$B$7</f>
        <v>ANGELITOS - LOTEO SUSSEX</v>
      </c>
      <c r="C857" s="248"/>
      <c r="D857" s="119" t="s">
        <v>240</v>
      </c>
      <c r="E857" s="120" t="str">
        <f>'[1]COMEDORES EMERGENTES'!$G$7</f>
        <v>Bº LOTEO SUSEX MZA.Nº 4 LOTE Nº3</v>
      </c>
    </row>
    <row r="858" spans="2:5" x14ac:dyDescent="0.2">
      <c r="B858" s="247" t="str">
        <f>'[1]COMEDORES EMERGENTES'!$B$8</f>
        <v>CLUB DEPORTIVO CHACARITA</v>
      </c>
      <c r="C858" s="248"/>
      <c r="D858" s="119" t="s">
        <v>240</v>
      </c>
      <c r="E858" s="120" t="str">
        <f>'[1]COMEDORES EMERGENTES'!$G$8</f>
        <v>CALLE DR.DERMIDIO GALINDEZ C/2660</v>
      </c>
    </row>
    <row r="859" spans="2:5" x14ac:dyDescent="0.2">
      <c r="B859" s="247" t="str">
        <f>'[1]COMEDORES EMERGENTES'!$B$9</f>
        <v>LA MORO</v>
      </c>
      <c r="C859" s="248"/>
      <c r="D859" s="119" t="s">
        <v>240</v>
      </c>
      <c r="E859" s="120" t="str">
        <f>'[1]COMEDORES EMERGENTES'!$G$9</f>
        <v>MAIPU NORTE 1º ETAPA MZA "H" Bº MI JARDIN</v>
      </c>
    </row>
    <row r="860" spans="2:5" x14ac:dyDescent="0.2">
      <c r="B860" s="247" t="str">
        <f>'[1]COMEDORES EMERGENTES'!$B$10</f>
        <v>PAPA FRANCISCO</v>
      </c>
      <c r="C860" s="248"/>
      <c r="D860" s="119" t="s">
        <v>240</v>
      </c>
      <c r="E860" s="120" t="str">
        <f>'[1]COMEDORES EMERGENTES'!$G$10</f>
        <v>ENTRE AV.TEREBINTO Y AV.SAN JUAN LOTE "2" MZA. "B"</v>
      </c>
    </row>
    <row r="861" spans="2:5" x14ac:dyDescent="0.2">
      <c r="B861" s="247" t="str">
        <f>'[1]COMEDORES EMERGENTES'!$B$11</f>
        <v>E.P.C - 100 V.V NORTE</v>
      </c>
      <c r="C861" s="248"/>
      <c r="D861" s="119" t="s">
        <v>240</v>
      </c>
      <c r="E861" s="120" t="str">
        <f>'[1]COMEDORES EMERGENTES'!$G$11</f>
        <v>Bº VV NORTE C/48 ENTRE ESPAÑA Y FRANCIA</v>
      </c>
    </row>
    <row r="862" spans="2:5" x14ac:dyDescent="0.2">
      <c r="B862" s="247" t="str">
        <f>'[1]COMEDORES EMERGENTES'!$B$12</f>
        <v>HOGAR DE CRISTO - PADRE RAUL CONTRERAS</v>
      </c>
      <c r="C862" s="248"/>
      <c r="D862" s="119" t="s">
        <v>240</v>
      </c>
      <c r="E862" s="120" t="str">
        <f>'[1]COMEDORES EMERGENTES'!$G$12</f>
        <v>Bº SANTA MARTA MZA. "S" LOTE "M" C/39</v>
      </c>
    </row>
    <row r="863" spans="2:5" x14ac:dyDescent="0.2">
      <c r="B863" s="247" t="str">
        <f>'[1]COMEDORES EMERGENTES'!$B$13</f>
        <v>LA LUCIERNAGA</v>
      </c>
      <c r="C863" s="248"/>
      <c r="D863" s="119" t="s">
        <v>240</v>
      </c>
      <c r="E863" s="120" t="str">
        <f>'[1]COMEDORES EMERGENTES'!$G$13</f>
        <v>Bº 20 V.V NORTE C/3</v>
      </c>
    </row>
    <row r="864" spans="2:5" x14ac:dyDescent="0.2">
      <c r="B864" s="247" t="str">
        <f>'[1]COMEDORES EMERGENTES'!$B$14</f>
        <v>VALLE VIEJO - SUMALAO</v>
      </c>
      <c r="C864" s="248"/>
      <c r="D864" s="119" t="s">
        <v>240</v>
      </c>
      <c r="E864" s="120" t="str">
        <f>'[1]COMEDORES EMERGENTES'!$G$14</f>
        <v>PADRE SEGURA S/N</v>
      </c>
    </row>
    <row r="865" spans="2:5" x14ac:dyDescent="0.2">
      <c r="B865" s="247" t="str">
        <f>'[1]COMEDORES EMERGENTES'!$B$15</f>
        <v>NUESTRO FUTURO - LAS VIAS</v>
      </c>
      <c r="C865" s="248"/>
      <c r="D865" s="119" t="s">
        <v>240</v>
      </c>
      <c r="E865" s="120" t="str">
        <f>'[1]COMEDORES EMERGENTES'!$G$15</f>
        <v>Bº LAS VIAS OESTE LOTE 42</v>
      </c>
    </row>
    <row r="866" spans="2:5" x14ac:dyDescent="0.2">
      <c r="B866" s="247" t="str">
        <f>'[1]COMEDORES EMERGENTES'!$B$16</f>
        <v>SAN JOSE OBRERO</v>
      </c>
      <c r="C866" s="248"/>
      <c r="D866" s="119" t="s">
        <v>240</v>
      </c>
      <c r="E866" s="120" t="str">
        <f>'[1]COMEDORES EMERGENTES'!$G$16</f>
        <v>Bº SAN JOSE OBRERO. PJE. SANDOVAL S/Nº</v>
      </c>
    </row>
    <row r="867" spans="2:5" x14ac:dyDescent="0.2">
      <c r="B867" s="247" t="str">
        <f>'[1]COMEDORES EMERGENTES'!$B$17</f>
        <v>VIRGEN DE LUJAN</v>
      </c>
      <c r="C867" s="248"/>
      <c r="D867" s="119" t="s">
        <v>240</v>
      </c>
      <c r="E867" s="120" t="str">
        <f>'[1]COMEDORES EMERGENTES'!$G$17</f>
        <v>Bº OJO DE AGUA C/DR.TEODULFO BARRIONUEVO S/Nº</v>
      </c>
    </row>
    <row r="868" spans="2:5" x14ac:dyDescent="0.2">
      <c r="B868" s="247" t="str">
        <f>'[1]COMEDORES EMERGENTES'!$B$18</f>
        <v>RENACER</v>
      </c>
      <c r="C868" s="248"/>
      <c r="D868" s="119" t="s">
        <v>240</v>
      </c>
      <c r="E868" s="120" t="str">
        <f>'[1]COMEDORES EMERGENTES'!$G$18</f>
        <v>Bº VIRGEN MORENITA</v>
      </c>
    </row>
    <row r="869" spans="2:5" x14ac:dyDescent="0.2">
      <c r="B869" s="247" t="str">
        <f>'[1]COMEDORES EMERGENTES'!$B$19</f>
        <v>CENTRO VECINAL MI JARDIN</v>
      </c>
      <c r="C869" s="248"/>
      <c r="D869" s="119" t="s">
        <v>240</v>
      </c>
      <c r="E869" s="120" t="str">
        <f>'[1]COMEDORES EMERGENTES'!$G$19</f>
        <v>C/ LOS TULIPANES ENTRE FLOR DE CEREZO Y HOLANDA MZA.27 Bº MI JARDIN</v>
      </c>
    </row>
    <row r="870" spans="2:5" x14ac:dyDescent="0.2">
      <c r="B870" s="247" t="str">
        <f>'[1]COMEDORES EMERGENTES'!$B$20</f>
        <v>LA VIEJA ESQUINA</v>
      </c>
      <c r="C870" s="248"/>
      <c r="D870" s="119" t="s">
        <v>240</v>
      </c>
      <c r="E870" s="120" t="str">
        <f>'[1]COMEDORES EMERGENTES'!$G$20</f>
        <v>B° CRISTO REY PJE CAPATAZ VILLAFAÑEZ Y ARMANDO CORREA</v>
      </c>
    </row>
    <row r="871" spans="2:5" x14ac:dyDescent="0.2">
      <c r="B871" s="247" t="str">
        <f>'[1]COMEDORES EMERGENTES'!$B$21</f>
        <v>GAUCHITO GIL</v>
      </c>
      <c r="C871" s="248"/>
      <c r="D871" s="119" t="s">
        <v>240</v>
      </c>
      <c r="E871" s="120" t="str">
        <f>'[1]COMEDORES EMERGENTES'!$G$21</f>
        <v>B° 26 VIVIENDAS CASA N° 3</v>
      </c>
    </row>
    <row r="872" spans="2:5" ht="13.5" thickBot="1" x14ac:dyDescent="0.25">
      <c r="B872" s="261" t="str">
        <f>'[1]COMEDORES EMERGENTES'!$B$22</f>
        <v>LOS TOLDOS</v>
      </c>
      <c r="C872" s="262"/>
      <c r="D872" s="126" t="s">
        <v>240</v>
      </c>
      <c r="E872" s="127" t="str">
        <f>'[1]COMEDORES EMERGENTES'!$G$22</f>
        <v>LOTEO PARQUE SUR CALLE S/NOMBRE S/N°</v>
      </c>
    </row>
    <row r="873" spans="2:5" x14ac:dyDescent="0.2">
      <c r="B873" s="43" t="s">
        <v>18</v>
      </c>
      <c r="C873" s="41"/>
      <c r="D873" s="83"/>
      <c r="E873" s="42"/>
    </row>
    <row r="874" spans="2:5" x14ac:dyDescent="0.2">
      <c r="B874" s="44"/>
      <c r="C874" s="260" t="s">
        <v>62</v>
      </c>
      <c r="D874" s="260"/>
      <c r="E874" s="260"/>
    </row>
    <row r="875" spans="2:5" x14ac:dyDescent="0.2">
      <c r="B875" s="43" t="s">
        <v>19</v>
      </c>
      <c r="C875" s="45"/>
      <c r="D875" s="45"/>
      <c r="E875" s="46"/>
    </row>
    <row r="876" spans="2:5" x14ac:dyDescent="0.2">
      <c r="B876" s="44"/>
      <c r="C876" s="260" t="s">
        <v>139</v>
      </c>
      <c r="D876" s="260"/>
      <c r="E876" s="260"/>
    </row>
    <row r="877" spans="2:5" x14ac:dyDescent="0.2">
      <c r="B877" s="43" t="s">
        <v>20</v>
      </c>
      <c r="C877" s="41"/>
      <c r="D877" s="83"/>
      <c r="E877" s="42"/>
    </row>
    <row r="878" spans="2:5" x14ac:dyDescent="0.2">
      <c r="B878" s="43"/>
      <c r="C878" s="246" t="s">
        <v>63</v>
      </c>
      <c r="D878" s="246"/>
      <c r="E878" s="246"/>
    </row>
    <row r="879" spans="2:5" ht="13.5" thickBot="1" x14ac:dyDescent="0.25">
      <c r="B879" s="47"/>
      <c r="C879" s="48"/>
      <c r="D879" s="84"/>
      <c r="E879" s="49"/>
    </row>
    <row r="880" spans="2:5" ht="13.5" thickBot="1" x14ac:dyDescent="0.25"/>
    <row r="881" spans="2:5" x14ac:dyDescent="0.2">
      <c r="B881" s="37" t="s">
        <v>161</v>
      </c>
      <c r="C881" s="38"/>
      <c r="D881" s="82"/>
      <c r="E881" s="39"/>
    </row>
    <row r="882" spans="2:5" x14ac:dyDescent="0.2">
      <c r="B882" s="40"/>
      <c r="C882" s="41"/>
      <c r="D882" s="83"/>
      <c r="E882" s="42"/>
    </row>
    <row r="883" spans="2:5" x14ac:dyDescent="0.2">
      <c r="B883" s="43" t="s">
        <v>16</v>
      </c>
      <c r="C883" s="41"/>
      <c r="D883" s="83"/>
      <c r="E883" s="42"/>
    </row>
    <row r="884" spans="2:5" ht="25.5" customHeight="1" x14ac:dyDescent="0.2">
      <c r="B884" s="43"/>
      <c r="C884" s="258"/>
      <c r="D884" s="258"/>
      <c r="E884" s="259"/>
    </row>
    <row r="885" spans="2:5" ht="13.5" thickBot="1" x14ac:dyDescent="0.25">
      <c r="B885" s="43" t="s">
        <v>17</v>
      </c>
      <c r="C885" s="41"/>
      <c r="D885" s="83"/>
      <c r="E885" s="42"/>
    </row>
    <row r="886" spans="2:5" ht="13.5" thickBot="1" x14ac:dyDescent="0.25">
      <c r="B886" s="252" t="s">
        <v>136</v>
      </c>
      <c r="C886" s="256"/>
      <c r="D886" s="256"/>
      <c r="E886" s="253"/>
    </row>
    <row r="887" spans="2:5" ht="13.5" thickBot="1" x14ac:dyDescent="0.25">
      <c r="B887" s="252" t="s">
        <v>137</v>
      </c>
      <c r="C887" s="253"/>
      <c r="D887" s="80" t="s">
        <v>11</v>
      </c>
      <c r="E887" s="80" t="s">
        <v>138</v>
      </c>
    </row>
    <row r="888" spans="2:5" x14ac:dyDescent="0.2">
      <c r="B888" s="254" t="str">
        <f>'[1]COMEDORES EMERGENTES'!$B$3</f>
        <v>UNA SONRISA AV. LOS COBACHO</v>
      </c>
      <c r="C888" s="255"/>
      <c r="D888" s="124">
        <v>2</v>
      </c>
      <c r="E888" s="125" t="str">
        <f>'[1]COMEDORES EMERGENTES'!$G$3</f>
        <v>Bº SAN CARLOS OESTE AV. Bonifacio cobacho 670</v>
      </c>
    </row>
    <row r="889" spans="2:5" x14ac:dyDescent="0.2">
      <c r="B889" s="247" t="str">
        <f>'[1]COMEDORES EMERGENTES'!$B$4</f>
        <v>C.I.F Nº1 - RIVERA DEL VALLE Y FLORIDA</v>
      </c>
      <c r="C889" s="248"/>
      <c r="D889" s="119">
        <v>2</v>
      </c>
      <c r="E889" s="120" t="str">
        <f>'[1]COMEDORES EMERGENTES'!$G$4</f>
        <v>AV. RIVIERA DEL VALLE ENTRE FLORIDA Y SANTA FE</v>
      </c>
    </row>
    <row r="890" spans="2:5" x14ac:dyDescent="0.2">
      <c r="B890" s="247" t="str">
        <f>'[1]COMEDORES EMERGENTES'!$B$5</f>
        <v>C.I.F - RIVERA DEL VALLE - DILORENZO</v>
      </c>
      <c r="C890" s="248"/>
      <c r="D890" s="119">
        <v>3</v>
      </c>
      <c r="E890" s="120" t="str">
        <f>'[1]COMEDORES EMERGENTES'!$G$5</f>
        <v>Bº RIVERA DEL VALLE ENTRE VILLA EUMELIA Y MONTE CRISTO</v>
      </c>
    </row>
    <row r="891" spans="2:5" x14ac:dyDescent="0.2">
      <c r="B891" s="247" t="str">
        <f>'[1]COMEDORES EMERGENTES'!$B$6</f>
        <v>ESFUERZO PROPIO- Bº ALTOS DE CHOYA</v>
      </c>
      <c r="C891" s="248"/>
      <c r="D891" s="119">
        <v>2</v>
      </c>
      <c r="E891" s="120" t="str">
        <f>'[1]COMEDORES EMERGENTES'!$G$6</f>
        <v>Bº MUNICIPAL 35VV. NORTE C/14</v>
      </c>
    </row>
    <row r="892" spans="2:5" x14ac:dyDescent="0.2">
      <c r="B892" s="247" t="str">
        <f>'[1]COMEDORES EMERGENTES'!$B$7</f>
        <v>ANGELITOS - LOTEO SUSSEX</v>
      </c>
      <c r="C892" s="248"/>
      <c r="D892" s="119">
        <v>1</v>
      </c>
      <c r="E892" s="120" t="str">
        <f>'[1]COMEDORES EMERGENTES'!$G$7</f>
        <v>Bº LOTEO SUSEX MZA.Nº 4 LOTE Nº3</v>
      </c>
    </row>
    <row r="893" spans="2:5" x14ac:dyDescent="0.2">
      <c r="B893" s="247" t="str">
        <f>'[1]COMEDORES EMERGENTES'!$B$8</f>
        <v>CLUB DEPORTIVO CHACARITA</v>
      </c>
      <c r="C893" s="248"/>
      <c r="D893" s="119">
        <v>1</v>
      </c>
      <c r="E893" s="120" t="str">
        <f>'[1]COMEDORES EMERGENTES'!$G$8</f>
        <v>CALLE DR.DERMIDIO GALINDEZ C/2660</v>
      </c>
    </row>
    <row r="894" spans="2:5" x14ac:dyDescent="0.2">
      <c r="B894" s="247" t="str">
        <f>'[1]COMEDORES EMERGENTES'!$B$9</f>
        <v>LA MORO</v>
      </c>
      <c r="C894" s="248"/>
      <c r="D894" s="119">
        <v>1</v>
      </c>
      <c r="E894" s="120" t="str">
        <f>'[1]COMEDORES EMERGENTES'!$G$9</f>
        <v>MAIPU NORTE 1º ETAPA MZA "H" Bº MI JARDIN</v>
      </c>
    </row>
    <row r="895" spans="2:5" x14ac:dyDescent="0.2">
      <c r="B895" s="247" t="str">
        <f>'[1]COMEDORES EMERGENTES'!$B$10</f>
        <v>PAPA FRANCISCO</v>
      </c>
      <c r="C895" s="248"/>
      <c r="D895" s="119">
        <v>2</v>
      </c>
      <c r="E895" s="120" t="str">
        <f>'[1]COMEDORES EMERGENTES'!$G$10</f>
        <v>ENTRE AV.TEREBINTO Y AV.SAN JUAN LOTE "2" MZA. "B"</v>
      </c>
    </row>
    <row r="896" spans="2:5" x14ac:dyDescent="0.2">
      <c r="B896" s="247" t="str">
        <f>'[1]COMEDORES EMERGENTES'!$B$11</f>
        <v>E.P.C - 100 V.V NORTE</v>
      </c>
      <c r="C896" s="248"/>
      <c r="D896" s="119">
        <v>3</v>
      </c>
      <c r="E896" s="120" t="str">
        <f>'[1]COMEDORES EMERGENTES'!$G$11</f>
        <v>Bº VV NORTE C/48 ENTRE ESPAÑA Y FRANCIA</v>
      </c>
    </row>
    <row r="897" spans="2:5" x14ac:dyDescent="0.2">
      <c r="B897" s="247" t="str">
        <f>'[1]COMEDORES EMERGENTES'!$B$12</f>
        <v>HOGAR DE CRISTO - PADRE RAUL CONTRERAS</v>
      </c>
      <c r="C897" s="248"/>
      <c r="D897" s="119">
        <v>3</v>
      </c>
      <c r="E897" s="120" t="str">
        <f>'[1]COMEDORES EMERGENTES'!$G$12</f>
        <v>Bº SANTA MARTA MZA. "S" LOTE "M" C/39</v>
      </c>
    </row>
    <row r="898" spans="2:5" x14ac:dyDescent="0.2">
      <c r="B898" s="247" t="str">
        <f>'[1]COMEDORES EMERGENTES'!$B$13</f>
        <v>LA LUCIERNAGA</v>
      </c>
      <c r="C898" s="248"/>
      <c r="D898" s="119">
        <v>2</v>
      </c>
      <c r="E898" s="120" t="str">
        <f>'[1]COMEDORES EMERGENTES'!$G$13</f>
        <v>Bº 20 V.V NORTE C/3</v>
      </c>
    </row>
    <row r="899" spans="2:5" x14ac:dyDescent="0.2">
      <c r="B899" s="247" t="str">
        <f>'[1]COMEDORES EMERGENTES'!$B$14</f>
        <v>VALLE VIEJO - SUMALAO</v>
      </c>
      <c r="C899" s="248"/>
      <c r="D899" s="119">
        <v>4</v>
      </c>
      <c r="E899" s="120" t="str">
        <f>'[1]COMEDORES EMERGENTES'!$G$14</f>
        <v>PADRE SEGURA S/N</v>
      </c>
    </row>
    <row r="900" spans="2:5" x14ac:dyDescent="0.2">
      <c r="B900" s="247" t="str">
        <f>'[1]COMEDORES EMERGENTES'!$B$15</f>
        <v>NUESTRO FUTURO - LAS VIAS</v>
      </c>
      <c r="C900" s="248"/>
      <c r="D900" s="119">
        <v>2</v>
      </c>
      <c r="E900" s="120" t="str">
        <f>'[1]COMEDORES EMERGENTES'!$G$15</f>
        <v>Bº LAS VIAS OESTE LOTE 42</v>
      </c>
    </row>
    <row r="901" spans="2:5" x14ac:dyDescent="0.2">
      <c r="B901" s="247" t="str">
        <f>'[1]COMEDORES EMERGENTES'!$B$16</f>
        <v>SAN JOSE OBRERO</v>
      </c>
      <c r="C901" s="248"/>
      <c r="D901" s="119">
        <v>1</v>
      </c>
      <c r="E901" s="120" t="str">
        <f>'[1]COMEDORES EMERGENTES'!$G$16</f>
        <v>Bº SAN JOSE OBRERO. PJE. SANDOVAL S/Nº</v>
      </c>
    </row>
    <row r="902" spans="2:5" x14ac:dyDescent="0.2">
      <c r="B902" s="247" t="str">
        <f>'[1]COMEDORES EMERGENTES'!$B$17</f>
        <v>VIRGEN DE LUJAN</v>
      </c>
      <c r="C902" s="248"/>
      <c r="D902" s="119">
        <v>2</v>
      </c>
      <c r="E902" s="120" t="str">
        <f>'[1]COMEDORES EMERGENTES'!$G$17</f>
        <v>Bº OJO DE AGUA C/DR.TEODULFO BARRIONUEVO S/Nº</v>
      </c>
    </row>
    <row r="903" spans="2:5" x14ac:dyDescent="0.2">
      <c r="B903" s="247" t="str">
        <f>'[1]COMEDORES EMERGENTES'!$B$18</f>
        <v>RENACER</v>
      </c>
      <c r="C903" s="248"/>
      <c r="D903" s="119">
        <v>3</v>
      </c>
      <c r="E903" s="120" t="str">
        <f>'[1]COMEDORES EMERGENTES'!$G$18</f>
        <v>Bº VIRGEN MORENITA</v>
      </c>
    </row>
    <row r="904" spans="2:5" x14ac:dyDescent="0.2">
      <c r="B904" s="247" t="str">
        <f>'[1]COMEDORES EMERGENTES'!$B$19</f>
        <v>CENTRO VECINAL MI JARDIN</v>
      </c>
      <c r="C904" s="248"/>
      <c r="D904" s="119">
        <v>2</v>
      </c>
      <c r="E904" s="120" t="str">
        <f>'[1]COMEDORES EMERGENTES'!$G$19</f>
        <v>C/ LOS TULIPANES ENTRE FLOR DE CEREZO Y HOLANDA MZA.27 Bº MI JARDIN</v>
      </c>
    </row>
    <row r="905" spans="2:5" x14ac:dyDescent="0.2">
      <c r="B905" s="247" t="str">
        <f>'[1]COMEDORES EMERGENTES'!$B$20</f>
        <v>LA VIEJA ESQUINA</v>
      </c>
      <c r="C905" s="248"/>
      <c r="D905" s="119">
        <v>2</v>
      </c>
      <c r="E905" s="120" t="str">
        <f>'[1]COMEDORES EMERGENTES'!$G$20</f>
        <v>B° CRISTO REY PJE CAPATAZ VILLAFAÑEZ Y ARMANDO CORREA</v>
      </c>
    </row>
    <row r="906" spans="2:5" x14ac:dyDescent="0.2">
      <c r="B906" s="247" t="str">
        <f>'[1]COMEDORES EMERGENTES'!$B$21</f>
        <v>GAUCHITO GIL</v>
      </c>
      <c r="C906" s="248"/>
      <c r="D906" s="119">
        <v>2</v>
      </c>
      <c r="E906" s="120" t="str">
        <f>'[1]COMEDORES EMERGENTES'!$G$21</f>
        <v>B° 26 VIVIENDAS CASA N° 3</v>
      </c>
    </row>
    <row r="907" spans="2:5" ht="13.5" thickBot="1" x14ac:dyDescent="0.25">
      <c r="B907" s="261" t="str">
        <f>'[1]COMEDORES EMERGENTES'!$B$22</f>
        <v>LOS TOLDOS</v>
      </c>
      <c r="C907" s="262"/>
      <c r="D907" s="126">
        <v>1</v>
      </c>
      <c r="E907" s="127" t="str">
        <f>'[1]COMEDORES EMERGENTES'!$G$22</f>
        <v>LOTEO PARQUE SUR CALLE S/NOMBRE S/N°</v>
      </c>
    </row>
    <row r="908" spans="2:5" x14ac:dyDescent="0.2">
      <c r="B908" s="43" t="s">
        <v>18</v>
      </c>
      <c r="C908" s="41"/>
      <c r="D908" s="83"/>
      <c r="E908" s="42"/>
    </row>
    <row r="909" spans="2:5" x14ac:dyDescent="0.2">
      <c r="B909" s="44"/>
      <c r="C909" s="260" t="s">
        <v>62</v>
      </c>
      <c r="D909" s="260"/>
      <c r="E909" s="260"/>
    </row>
    <row r="910" spans="2:5" x14ac:dyDescent="0.2">
      <c r="B910" s="43" t="s">
        <v>19</v>
      </c>
      <c r="C910" s="45"/>
      <c r="D910" s="45"/>
      <c r="E910" s="46"/>
    </row>
    <row r="911" spans="2:5" x14ac:dyDescent="0.2">
      <c r="B911" s="44"/>
      <c r="C911" s="260" t="s">
        <v>139</v>
      </c>
      <c r="D911" s="260"/>
      <c r="E911" s="260"/>
    </row>
    <row r="912" spans="2:5" x14ac:dyDescent="0.2">
      <c r="B912" s="43" t="s">
        <v>20</v>
      </c>
      <c r="C912" s="41"/>
      <c r="D912" s="83"/>
      <c r="E912" s="42"/>
    </row>
    <row r="913" spans="2:5" x14ac:dyDescent="0.2">
      <c r="B913" s="43"/>
      <c r="C913" s="246" t="s">
        <v>63</v>
      </c>
      <c r="D913" s="246"/>
      <c r="E913" s="246"/>
    </row>
    <row r="914" spans="2:5" ht="13.5" thickBot="1" x14ac:dyDescent="0.25">
      <c r="B914" s="47"/>
      <c r="C914" s="48"/>
      <c r="D914" s="84"/>
      <c r="E914" s="49"/>
    </row>
    <row r="915" spans="2:5" ht="13.5" thickBot="1" x14ac:dyDescent="0.25"/>
    <row r="916" spans="2:5" x14ac:dyDescent="0.2">
      <c r="B916" s="37" t="s">
        <v>162</v>
      </c>
      <c r="C916" s="38"/>
      <c r="D916" s="82"/>
      <c r="E916" s="39"/>
    </row>
    <row r="917" spans="2:5" x14ac:dyDescent="0.2">
      <c r="B917" s="40"/>
      <c r="C917" s="41"/>
      <c r="D917" s="83"/>
      <c r="E917" s="42"/>
    </row>
    <row r="918" spans="2:5" x14ac:dyDescent="0.2">
      <c r="B918" s="43" t="s">
        <v>16</v>
      </c>
      <c r="C918" s="41"/>
      <c r="D918" s="83"/>
      <c r="E918" s="42"/>
    </row>
    <row r="919" spans="2:5" ht="25.5" customHeight="1" x14ac:dyDescent="0.2">
      <c r="B919" s="43"/>
      <c r="C919" s="260"/>
      <c r="D919" s="260"/>
      <c r="E919" s="260"/>
    </row>
    <row r="920" spans="2:5" ht="13.5" thickBot="1" x14ac:dyDescent="0.25">
      <c r="B920" s="43" t="s">
        <v>17</v>
      </c>
      <c r="C920" s="41"/>
      <c r="D920" s="83"/>
      <c r="E920" s="42"/>
    </row>
    <row r="921" spans="2:5" ht="13.5" thickBot="1" x14ac:dyDescent="0.25">
      <c r="B921" s="252" t="s">
        <v>136</v>
      </c>
      <c r="C921" s="256"/>
      <c r="D921" s="256"/>
      <c r="E921" s="253"/>
    </row>
    <row r="922" spans="2:5" ht="13.5" thickBot="1" x14ac:dyDescent="0.25">
      <c r="B922" s="252" t="s">
        <v>137</v>
      </c>
      <c r="C922" s="253"/>
      <c r="D922" s="80" t="s">
        <v>11</v>
      </c>
      <c r="E922" s="80" t="s">
        <v>138</v>
      </c>
    </row>
    <row r="923" spans="2:5" x14ac:dyDescent="0.2">
      <c r="B923" s="254" t="str">
        <f>'[1]COMEDORES EMERGENTES'!$B$3</f>
        <v>UNA SONRISA AV. LOS COBACHO</v>
      </c>
      <c r="C923" s="255"/>
      <c r="D923" s="124">
        <v>1</v>
      </c>
      <c r="E923" s="125" t="str">
        <f>'[1]COMEDORES EMERGENTES'!$G$3</f>
        <v>Bº SAN CARLOS OESTE AV. Bonifacio cobacho 670</v>
      </c>
    </row>
    <row r="924" spans="2:5" x14ac:dyDescent="0.2">
      <c r="B924" s="247" t="str">
        <f>'[1]COMEDORES EMERGENTES'!$B$4</f>
        <v>C.I.F Nº1 - RIVERA DEL VALLE Y FLORIDA</v>
      </c>
      <c r="C924" s="248"/>
      <c r="D924" s="119">
        <v>1</v>
      </c>
      <c r="E924" s="120" t="str">
        <f>'[1]COMEDORES EMERGENTES'!$G$4</f>
        <v>AV. RIVIERA DEL VALLE ENTRE FLORIDA Y SANTA FE</v>
      </c>
    </row>
    <row r="925" spans="2:5" x14ac:dyDescent="0.2">
      <c r="B925" s="247" t="str">
        <f>'[1]COMEDORES EMERGENTES'!$B$5</f>
        <v>C.I.F - RIVERA DEL VALLE - DILORENZO</v>
      </c>
      <c r="C925" s="248"/>
      <c r="D925" s="119">
        <v>1</v>
      </c>
      <c r="E925" s="120" t="str">
        <f>'[1]COMEDORES EMERGENTES'!$G$5</f>
        <v>Bº RIVERA DEL VALLE ENTRE VILLA EUMELIA Y MONTE CRISTO</v>
      </c>
    </row>
    <row r="926" spans="2:5" x14ac:dyDescent="0.2">
      <c r="B926" s="247" t="str">
        <f>'[1]COMEDORES EMERGENTES'!$B$6</f>
        <v>ESFUERZO PROPIO- Bº ALTOS DE CHOYA</v>
      </c>
      <c r="C926" s="248"/>
      <c r="D926" s="119">
        <v>1</v>
      </c>
      <c r="E926" s="120" t="str">
        <f>'[1]COMEDORES EMERGENTES'!$G$6</f>
        <v>Bº MUNICIPAL 35VV. NORTE C/14</v>
      </c>
    </row>
    <row r="927" spans="2:5" x14ac:dyDescent="0.2">
      <c r="B927" s="247" t="str">
        <f>'[1]COMEDORES EMERGENTES'!$B$7</f>
        <v>ANGELITOS - LOTEO SUSSEX</v>
      </c>
      <c r="C927" s="248"/>
      <c r="D927" s="119">
        <v>1</v>
      </c>
      <c r="E927" s="120" t="str">
        <f>'[1]COMEDORES EMERGENTES'!$G$7</f>
        <v>Bº LOTEO SUSEX MZA.Nº 4 LOTE Nº3</v>
      </c>
    </row>
    <row r="928" spans="2:5" x14ac:dyDescent="0.2">
      <c r="B928" s="247" t="str">
        <f>'[1]COMEDORES EMERGENTES'!$B$8</f>
        <v>CLUB DEPORTIVO CHACARITA</v>
      </c>
      <c r="C928" s="248"/>
      <c r="D928" s="119">
        <v>1</v>
      </c>
      <c r="E928" s="120" t="str">
        <f>'[1]COMEDORES EMERGENTES'!$G$8</f>
        <v>CALLE DR.DERMIDIO GALINDEZ C/2660</v>
      </c>
    </row>
    <row r="929" spans="2:5" x14ac:dyDescent="0.2">
      <c r="B929" s="247" t="str">
        <f>'[1]COMEDORES EMERGENTES'!$B$9</f>
        <v>LA MORO</v>
      </c>
      <c r="C929" s="248"/>
      <c r="D929" s="119">
        <v>1</v>
      </c>
      <c r="E929" s="120" t="str">
        <f>'[1]COMEDORES EMERGENTES'!$G$9</f>
        <v>MAIPU NORTE 1º ETAPA MZA "H" Bº MI JARDIN</v>
      </c>
    </row>
    <row r="930" spans="2:5" x14ac:dyDescent="0.2">
      <c r="B930" s="247" t="str">
        <f>'[1]COMEDORES EMERGENTES'!$B$10</f>
        <v>PAPA FRANCISCO</v>
      </c>
      <c r="C930" s="248"/>
      <c r="D930" s="119">
        <v>1</v>
      </c>
      <c r="E930" s="120" t="str">
        <f>'[1]COMEDORES EMERGENTES'!$G$10</f>
        <v>ENTRE AV.TEREBINTO Y AV.SAN JUAN LOTE "2" MZA. "B"</v>
      </c>
    </row>
    <row r="931" spans="2:5" x14ac:dyDescent="0.2">
      <c r="B931" s="247" t="str">
        <f>'[1]COMEDORES EMERGENTES'!$B$11</f>
        <v>E.P.C - 100 V.V NORTE</v>
      </c>
      <c r="C931" s="248"/>
      <c r="D931" s="119">
        <v>2</v>
      </c>
      <c r="E931" s="120" t="str">
        <f>'[1]COMEDORES EMERGENTES'!$G$11</f>
        <v>Bº VV NORTE C/48 ENTRE ESPAÑA Y FRANCIA</v>
      </c>
    </row>
    <row r="932" spans="2:5" x14ac:dyDescent="0.2">
      <c r="B932" s="247" t="str">
        <f>'[1]COMEDORES EMERGENTES'!$B$12</f>
        <v>HOGAR DE CRISTO - PADRE RAUL CONTRERAS</v>
      </c>
      <c r="C932" s="248"/>
      <c r="D932" s="119">
        <v>2</v>
      </c>
      <c r="E932" s="120" t="str">
        <f>'[1]COMEDORES EMERGENTES'!$G$12</f>
        <v>Bº SANTA MARTA MZA. "S" LOTE "M" C/39</v>
      </c>
    </row>
    <row r="933" spans="2:5" x14ac:dyDescent="0.2">
      <c r="B933" s="247" t="str">
        <f>'[1]COMEDORES EMERGENTES'!$B$13</f>
        <v>LA LUCIERNAGA</v>
      </c>
      <c r="C933" s="248"/>
      <c r="D933" s="119">
        <v>1</v>
      </c>
      <c r="E933" s="120" t="str">
        <f>'[1]COMEDORES EMERGENTES'!$G$13</f>
        <v>Bº 20 V.V NORTE C/3</v>
      </c>
    </row>
    <row r="934" spans="2:5" x14ac:dyDescent="0.2">
      <c r="B934" s="247" t="str">
        <f>'[1]COMEDORES EMERGENTES'!$B$14</f>
        <v>VALLE VIEJO - SUMALAO</v>
      </c>
      <c r="C934" s="248"/>
      <c r="D934" s="119">
        <v>2</v>
      </c>
      <c r="E934" s="120" t="str">
        <f>'[1]COMEDORES EMERGENTES'!$G$14</f>
        <v>PADRE SEGURA S/N</v>
      </c>
    </row>
    <row r="935" spans="2:5" x14ac:dyDescent="0.2">
      <c r="B935" s="247" t="str">
        <f>'[1]COMEDORES EMERGENTES'!$B$15</f>
        <v>NUESTRO FUTURO - LAS VIAS</v>
      </c>
      <c r="C935" s="248"/>
      <c r="D935" s="119">
        <v>1</v>
      </c>
      <c r="E935" s="120" t="str">
        <f>'[1]COMEDORES EMERGENTES'!$G$15</f>
        <v>Bº LAS VIAS OESTE LOTE 42</v>
      </c>
    </row>
    <row r="936" spans="2:5" x14ac:dyDescent="0.2">
      <c r="B936" s="247" t="str">
        <f>'[1]COMEDORES EMERGENTES'!$B$16</f>
        <v>SAN JOSE OBRERO</v>
      </c>
      <c r="C936" s="248"/>
      <c r="D936" s="119">
        <v>1</v>
      </c>
      <c r="E936" s="120" t="str">
        <f>'[1]COMEDORES EMERGENTES'!$G$16</f>
        <v>Bº SAN JOSE OBRERO. PJE. SANDOVAL S/Nº</v>
      </c>
    </row>
    <row r="937" spans="2:5" x14ac:dyDescent="0.2">
      <c r="B937" s="247" t="str">
        <f>'[1]COMEDORES EMERGENTES'!$B$17</f>
        <v>VIRGEN DE LUJAN</v>
      </c>
      <c r="C937" s="248"/>
      <c r="D937" s="119">
        <v>1</v>
      </c>
      <c r="E937" s="120" t="str">
        <f>'[1]COMEDORES EMERGENTES'!$G$17</f>
        <v>Bº OJO DE AGUA C/DR.TEODULFO BARRIONUEVO S/Nº</v>
      </c>
    </row>
    <row r="938" spans="2:5" x14ac:dyDescent="0.2">
      <c r="B938" s="247" t="str">
        <f>'[1]COMEDORES EMERGENTES'!$B$18</f>
        <v>RENACER</v>
      </c>
      <c r="C938" s="248"/>
      <c r="D938" s="119">
        <v>1</v>
      </c>
      <c r="E938" s="120" t="str">
        <f>'[1]COMEDORES EMERGENTES'!$G$18</f>
        <v>Bº VIRGEN MORENITA</v>
      </c>
    </row>
    <row r="939" spans="2:5" x14ac:dyDescent="0.2">
      <c r="B939" s="247" t="str">
        <f>'[1]COMEDORES EMERGENTES'!$B$19</f>
        <v>CENTRO VECINAL MI JARDIN</v>
      </c>
      <c r="C939" s="248"/>
      <c r="D939" s="119">
        <v>1</v>
      </c>
      <c r="E939" s="120" t="str">
        <f>'[1]COMEDORES EMERGENTES'!$G$19</f>
        <v>C/ LOS TULIPANES ENTRE FLOR DE CEREZO Y HOLANDA MZA.27 Bº MI JARDIN</v>
      </c>
    </row>
    <row r="940" spans="2:5" x14ac:dyDescent="0.2">
      <c r="B940" s="247" t="str">
        <f>'[1]COMEDORES EMERGENTES'!$B$20</f>
        <v>LA VIEJA ESQUINA</v>
      </c>
      <c r="C940" s="248"/>
      <c r="D940" s="119">
        <v>1</v>
      </c>
      <c r="E940" s="120" t="str">
        <f>'[1]COMEDORES EMERGENTES'!$G$20</f>
        <v>B° CRISTO REY PJE CAPATAZ VILLAFAÑEZ Y ARMANDO CORREA</v>
      </c>
    </row>
    <row r="941" spans="2:5" x14ac:dyDescent="0.2">
      <c r="B941" s="247" t="str">
        <f>'[1]COMEDORES EMERGENTES'!$B$21</f>
        <v>GAUCHITO GIL</v>
      </c>
      <c r="C941" s="248"/>
      <c r="D941" s="119">
        <v>1</v>
      </c>
      <c r="E941" s="120" t="str">
        <f>'[1]COMEDORES EMERGENTES'!$G$21</f>
        <v>B° 26 VIVIENDAS CASA N° 3</v>
      </c>
    </row>
    <row r="942" spans="2:5" ht="13.5" thickBot="1" x14ac:dyDescent="0.25">
      <c r="B942" s="261" t="str">
        <f>'[1]COMEDORES EMERGENTES'!$B$22</f>
        <v>LOS TOLDOS</v>
      </c>
      <c r="C942" s="262"/>
      <c r="D942" s="126">
        <v>1</v>
      </c>
      <c r="E942" s="127" t="str">
        <f>'[1]COMEDORES EMERGENTES'!$G$22</f>
        <v>LOTEO PARQUE SUR CALLE S/NOMBRE S/N°</v>
      </c>
    </row>
    <row r="943" spans="2:5" x14ac:dyDescent="0.2">
      <c r="B943" s="43" t="s">
        <v>18</v>
      </c>
      <c r="C943" s="41"/>
      <c r="D943" s="83"/>
      <c r="E943" s="42"/>
    </row>
    <row r="944" spans="2:5" x14ac:dyDescent="0.2">
      <c r="B944" s="44"/>
      <c r="C944" s="260" t="s">
        <v>62</v>
      </c>
      <c r="D944" s="260"/>
      <c r="E944" s="260"/>
    </row>
    <row r="945" spans="2:5" x14ac:dyDescent="0.2">
      <c r="B945" s="43" t="s">
        <v>19</v>
      </c>
      <c r="C945" s="45"/>
      <c r="D945" s="45"/>
      <c r="E945" s="46"/>
    </row>
    <row r="946" spans="2:5" x14ac:dyDescent="0.2">
      <c r="B946" s="44"/>
      <c r="C946" s="260" t="s">
        <v>139</v>
      </c>
      <c r="D946" s="260"/>
      <c r="E946" s="260"/>
    </row>
    <row r="947" spans="2:5" x14ac:dyDescent="0.2">
      <c r="B947" s="43" t="s">
        <v>20</v>
      </c>
      <c r="C947" s="41"/>
      <c r="D947" s="83"/>
      <c r="E947" s="42"/>
    </row>
    <row r="948" spans="2:5" x14ac:dyDescent="0.2">
      <c r="B948" s="43"/>
      <c r="C948" s="246" t="s">
        <v>63</v>
      </c>
      <c r="D948" s="246"/>
      <c r="E948" s="246"/>
    </row>
    <row r="949" spans="2:5" ht="13.5" thickBot="1" x14ac:dyDescent="0.25">
      <c r="B949" s="47"/>
      <c r="C949" s="48"/>
      <c r="D949" s="84"/>
      <c r="E949" s="49"/>
    </row>
    <row r="950" spans="2:5" ht="13.5" thickBot="1" x14ac:dyDescent="0.25"/>
    <row r="951" spans="2:5" x14ac:dyDescent="0.2">
      <c r="B951" s="37" t="s">
        <v>163</v>
      </c>
      <c r="C951" s="38"/>
      <c r="D951" s="82"/>
      <c r="E951" s="39"/>
    </row>
    <row r="952" spans="2:5" x14ac:dyDescent="0.2">
      <c r="B952" s="40"/>
      <c r="C952" s="41"/>
      <c r="D952" s="83"/>
      <c r="E952" s="42"/>
    </row>
    <row r="953" spans="2:5" x14ac:dyDescent="0.2">
      <c r="B953" s="43" t="s">
        <v>16</v>
      </c>
      <c r="C953" s="41"/>
      <c r="D953" s="83"/>
      <c r="E953" s="42"/>
    </row>
    <row r="954" spans="2:5" ht="25.5" customHeight="1" x14ac:dyDescent="0.2">
      <c r="B954" s="43"/>
      <c r="C954" s="260"/>
      <c r="D954" s="260"/>
      <c r="E954" s="260"/>
    </row>
    <row r="955" spans="2:5" ht="13.5" thickBot="1" x14ac:dyDescent="0.25">
      <c r="B955" s="43" t="s">
        <v>17</v>
      </c>
      <c r="C955" s="41"/>
      <c r="D955" s="83"/>
      <c r="E955" s="42"/>
    </row>
    <row r="956" spans="2:5" ht="13.5" thickBot="1" x14ac:dyDescent="0.25">
      <c r="B956" s="252" t="s">
        <v>241</v>
      </c>
      <c r="C956" s="256"/>
      <c r="D956" s="256"/>
      <c r="E956" s="253"/>
    </row>
    <row r="957" spans="2:5" ht="13.5" thickBot="1" x14ac:dyDescent="0.25">
      <c r="B957" s="252" t="s">
        <v>137</v>
      </c>
      <c r="C957" s="253"/>
      <c r="D957" s="80" t="s">
        <v>11</v>
      </c>
      <c r="E957" s="80" t="s">
        <v>138</v>
      </c>
    </row>
    <row r="958" spans="2:5" x14ac:dyDescent="0.2">
      <c r="B958" s="254" t="str">
        <f>'[1]COMEDORES EMERGENTES'!$B$3</f>
        <v>UNA SONRISA AV. LOS COBACHO</v>
      </c>
      <c r="C958" s="255"/>
      <c r="D958" s="124">
        <v>160</v>
      </c>
      <c r="E958" s="125" t="str">
        <f>'[1]COMEDORES EMERGENTES'!$G$3</f>
        <v>Bº SAN CARLOS OESTE AV. Bonifacio cobacho 670</v>
      </c>
    </row>
    <row r="959" spans="2:5" x14ac:dyDescent="0.2">
      <c r="B959" s="247" t="str">
        <f>'[1]COMEDORES EMERGENTES'!$B$4</f>
        <v>C.I.F Nº1 - RIVERA DEL VALLE Y FLORIDA</v>
      </c>
      <c r="C959" s="248"/>
      <c r="D959" s="119">
        <v>230</v>
      </c>
      <c r="E959" s="120" t="str">
        <f>'[1]COMEDORES EMERGENTES'!$G$4</f>
        <v>AV. RIVIERA DEL VALLE ENTRE FLORIDA Y SANTA FE</v>
      </c>
    </row>
    <row r="960" spans="2:5" x14ac:dyDescent="0.2">
      <c r="B960" s="247" t="str">
        <f>'[1]COMEDORES EMERGENTES'!$B$5</f>
        <v>C.I.F - RIVERA DEL VALLE - DILORENZO</v>
      </c>
      <c r="C960" s="248"/>
      <c r="D960" s="119">
        <v>270</v>
      </c>
      <c r="E960" s="120" t="str">
        <f>'[1]COMEDORES EMERGENTES'!$G$5</f>
        <v>Bº RIVERA DEL VALLE ENTRE VILLA EUMELIA Y MONTE CRISTO</v>
      </c>
    </row>
    <row r="961" spans="2:5" x14ac:dyDescent="0.2">
      <c r="B961" s="247" t="str">
        <f>'[1]COMEDORES EMERGENTES'!$B$6</f>
        <v>ESFUERZO PROPIO- Bº ALTOS DE CHOYA</v>
      </c>
      <c r="C961" s="248"/>
      <c r="D961" s="119">
        <v>220</v>
      </c>
      <c r="E961" s="120" t="str">
        <f>'[1]COMEDORES EMERGENTES'!$G$6</f>
        <v>Bº MUNICIPAL 35VV. NORTE C/14</v>
      </c>
    </row>
    <row r="962" spans="2:5" x14ac:dyDescent="0.2">
      <c r="B962" s="247" t="str">
        <f>'[1]COMEDORES EMERGENTES'!$B$7</f>
        <v>ANGELITOS - LOTEO SUSSEX</v>
      </c>
      <c r="C962" s="248"/>
      <c r="D962" s="119">
        <v>100</v>
      </c>
      <c r="E962" s="120" t="str">
        <f>'[1]COMEDORES EMERGENTES'!$G$7</f>
        <v>Bº LOTEO SUSEX MZA.Nº 4 LOTE Nº3</v>
      </c>
    </row>
    <row r="963" spans="2:5" x14ac:dyDescent="0.2">
      <c r="B963" s="247" t="str">
        <f>'[1]COMEDORES EMERGENTES'!$B$8</f>
        <v>CLUB DEPORTIVO CHACARITA</v>
      </c>
      <c r="C963" s="248"/>
      <c r="D963" s="119">
        <v>130</v>
      </c>
      <c r="E963" s="120" t="str">
        <f>'[1]COMEDORES EMERGENTES'!$G$8</f>
        <v>CALLE DR.DERMIDIO GALINDEZ C/2660</v>
      </c>
    </row>
    <row r="964" spans="2:5" x14ac:dyDescent="0.2">
      <c r="B964" s="247" t="str">
        <f>'[1]COMEDORES EMERGENTES'!$B$9</f>
        <v>LA MORO</v>
      </c>
      <c r="C964" s="248"/>
      <c r="D964" s="119">
        <v>120</v>
      </c>
      <c r="E964" s="120" t="str">
        <f>'[1]COMEDORES EMERGENTES'!$G$9</f>
        <v>MAIPU NORTE 1º ETAPA MZA "H" Bº MI JARDIN</v>
      </c>
    </row>
    <row r="965" spans="2:5" x14ac:dyDescent="0.2">
      <c r="B965" s="247" t="str">
        <f>'[1]COMEDORES EMERGENTES'!$B$10</f>
        <v>PAPA FRANCISCO</v>
      </c>
      <c r="C965" s="248"/>
      <c r="D965" s="119">
        <v>200</v>
      </c>
      <c r="E965" s="120" t="str">
        <f>'[1]COMEDORES EMERGENTES'!$G$10</f>
        <v>ENTRE AV.TEREBINTO Y AV.SAN JUAN LOTE "2" MZA. "B"</v>
      </c>
    </row>
    <row r="966" spans="2:5" x14ac:dyDescent="0.2">
      <c r="B966" s="247" t="str">
        <f>'[1]COMEDORES EMERGENTES'!$B$11</f>
        <v>E.P.C - 100 V.V NORTE</v>
      </c>
      <c r="C966" s="248"/>
      <c r="D966" s="119">
        <v>300</v>
      </c>
      <c r="E966" s="120" t="str">
        <f>'[1]COMEDORES EMERGENTES'!$G$11</f>
        <v>Bº VV NORTE C/48 ENTRE ESPAÑA Y FRANCIA</v>
      </c>
    </row>
    <row r="967" spans="2:5" x14ac:dyDescent="0.2">
      <c r="B967" s="247" t="str">
        <f>'[1]COMEDORES EMERGENTES'!$B$12</f>
        <v>HOGAR DE CRISTO - PADRE RAUL CONTRERAS</v>
      </c>
      <c r="C967" s="248"/>
      <c r="D967" s="119">
        <v>300</v>
      </c>
      <c r="E967" s="120" t="str">
        <f>'[1]COMEDORES EMERGENTES'!$G$12</f>
        <v>Bº SANTA MARTA MZA. "S" LOTE "M" C/39</v>
      </c>
    </row>
    <row r="968" spans="2:5" x14ac:dyDescent="0.2">
      <c r="B968" s="247" t="str">
        <f>'[1]COMEDORES EMERGENTES'!$B$13</f>
        <v>LA LUCIERNAGA</v>
      </c>
      <c r="C968" s="248"/>
      <c r="D968" s="119">
        <v>200</v>
      </c>
      <c r="E968" s="120" t="str">
        <f>'[1]COMEDORES EMERGENTES'!$G$13</f>
        <v>Bº 20 V.V NORTE C/3</v>
      </c>
    </row>
    <row r="969" spans="2:5" x14ac:dyDescent="0.2">
      <c r="B969" s="247" t="str">
        <f>'[1]COMEDORES EMERGENTES'!$B$14</f>
        <v>VALLE VIEJO - SUMALAO</v>
      </c>
      <c r="C969" s="248"/>
      <c r="D969" s="119">
        <v>350</v>
      </c>
      <c r="E969" s="120" t="str">
        <f>'[1]COMEDORES EMERGENTES'!$G$14</f>
        <v>PADRE SEGURA S/N</v>
      </c>
    </row>
    <row r="970" spans="2:5" x14ac:dyDescent="0.2">
      <c r="B970" s="247" t="str">
        <f>'[1]COMEDORES EMERGENTES'!$B$15</f>
        <v>NUESTRO FUTURO - LAS VIAS</v>
      </c>
      <c r="C970" s="248"/>
      <c r="D970" s="119">
        <v>200</v>
      </c>
      <c r="E970" s="120" t="str">
        <f>'[1]COMEDORES EMERGENTES'!$G$15</f>
        <v>Bº LAS VIAS OESTE LOTE 42</v>
      </c>
    </row>
    <row r="971" spans="2:5" x14ac:dyDescent="0.2">
      <c r="B971" s="247" t="str">
        <f>'[1]COMEDORES EMERGENTES'!$B$16</f>
        <v>SAN JOSE OBRERO</v>
      </c>
      <c r="C971" s="248"/>
      <c r="D971" s="119">
        <v>130</v>
      </c>
      <c r="E971" s="120" t="str">
        <f>'[1]COMEDORES EMERGENTES'!$G$16</f>
        <v>Bº SAN JOSE OBRERO. PJE. SANDOVAL S/Nº</v>
      </c>
    </row>
    <row r="972" spans="2:5" x14ac:dyDescent="0.2">
      <c r="B972" s="247" t="str">
        <f>'[1]COMEDORES EMERGENTES'!$B$17</f>
        <v>VIRGEN DE LUJAN</v>
      </c>
      <c r="C972" s="248"/>
      <c r="D972" s="119">
        <v>200</v>
      </c>
      <c r="E972" s="120" t="str">
        <f>'[1]COMEDORES EMERGENTES'!$G$17</f>
        <v>Bº OJO DE AGUA C/DR.TEODULFO BARRIONUEVO S/Nº</v>
      </c>
    </row>
    <row r="973" spans="2:5" x14ac:dyDescent="0.2">
      <c r="B973" s="247" t="str">
        <f>'[1]COMEDORES EMERGENTES'!$B$18</f>
        <v>RENACER</v>
      </c>
      <c r="C973" s="248"/>
      <c r="D973" s="119">
        <v>250</v>
      </c>
      <c r="E973" s="120" t="str">
        <f>'[1]COMEDORES EMERGENTES'!$G$18</f>
        <v>Bº VIRGEN MORENITA</v>
      </c>
    </row>
    <row r="974" spans="2:5" x14ac:dyDescent="0.2">
      <c r="B974" s="247" t="str">
        <f>'[1]COMEDORES EMERGENTES'!$B$19</f>
        <v>CENTRO VECINAL MI JARDIN</v>
      </c>
      <c r="C974" s="248"/>
      <c r="D974" s="119">
        <v>180</v>
      </c>
      <c r="E974" s="120" t="str">
        <f>'[1]COMEDORES EMERGENTES'!$G$19</f>
        <v>C/ LOS TULIPANES ENTRE FLOR DE CEREZO Y HOLANDA MZA.27 Bº MI JARDIN</v>
      </c>
    </row>
    <row r="975" spans="2:5" x14ac:dyDescent="0.2">
      <c r="B975" s="247" t="str">
        <f>'[1]COMEDORES EMERGENTES'!$B$20</f>
        <v>LA VIEJA ESQUINA</v>
      </c>
      <c r="C975" s="248"/>
      <c r="D975" s="119">
        <v>172</v>
      </c>
      <c r="E975" s="120" t="str">
        <f>'[1]COMEDORES EMERGENTES'!$G$20</f>
        <v>B° CRISTO REY PJE CAPATAZ VILLAFAÑEZ Y ARMANDO CORREA</v>
      </c>
    </row>
    <row r="976" spans="2:5" x14ac:dyDescent="0.2">
      <c r="B976" s="247" t="str">
        <f>'[1]COMEDORES EMERGENTES'!$B$21</f>
        <v>GAUCHITO GIL</v>
      </c>
      <c r="C976" s="248"/>
      <c r="D976" s="119">
        <v>168</v>
      </c>
      <c r="E976" s="120" t="str">
        <f>'[1]COMEDORES EMERGENTES'!$G$21</f>
        <v>B° 26 VIVIENDAS CASA N° 3</v>
      </c>
    </row>
    <row r="977" spans="2:5" ht="13.5" thickBot="1" x14ac:dyDescent="0.25">
      <c r="B977" s="261" t="str">
        <f>'[1]COMEDORES EMERGENTES'!$B$22</f>
        <v>LOS TOLDOS</v>
      </c>
      <c r="C977" s="262"/>
      <c r="D977" s="126">
        <v>80</v>
      </c>
      <c r="E977" s="127" t="str">
        <f>'[1]COMEDORES EMERGENTES'!$G$22</f>
        <v>LOTEO PARQUE SUR CALLE S/NOMBRE S/N°</v>
      </c>
    </row>
    <row r="978" spans="2:5" x14ac:dyDescent="0.2">
      <c r="B978" s="43" t="s">
        <v>18</v>
      </c>
      <c r="C978" s="41"/>
      <c r="D978" s="83"/>
      <c r="E978" s="42"/>
    </row>
    <row r="979" spans="2:5" x14ac:dyDescent="0.2">
      <c r="B979" s="44"/>
      <c r="C979" s="260" t="s">
        <v>62</v>
      </c>
      <c r="D979" s="260"/>
      <c r="E979" s="260"/>
    </row>
    <row r="980" spans="2:5" x14ac:dyDescent="0.2">
      <c r="B980" s="43" t="s">
        <v>19</v>
      </c>
      <c r="C980" s="45"/>
      <c r="D980" s="45"/>
      <c r="E980" s="46"/>
    </row>
    <row r="981" spans="2:5" x14ac:dyDescent="0.2">
      <c r="B981" s="44"/>
      <c r="C981" s="260" t="s">
        <v>139</v>
      </c>
      <c r="D981" s="260"/>
      <c r="E981" s="260"/>
    </row>
    <row r="982" spans="2:5" x14ac:dyDescent="0.2">
      <c r="B982" s="43" t="s">
        <v>20</v>
      </c>
      <c r="C982" s="41"/>
      <c r="D982" s="83"/>
      <c r="E982" s="42"/>
    </row>
    <row r="983" spans="2:5" x14ac:dyDescent="0.2">
      <c r="B983" s="43"/>
      <c r="C983" s="246" t="s">
        <v>63</v>
      </c>
      <c r="D983" s="246"/>
      <c r="E983" s="246"/>
    </row>
    <row r="984" spans="2:5" ht="13.5" thickBot="1" x14ac:dyDescent="0.25">
      <c r="B984" s="47"/>
      <c r="C984" s="48"/>
      <c r="D984" s="84"/>
      <c r="E984" s="49"/>
    </row>
    <row r="985" spans="2:5" ht="13.5" thickBot="1" x14ac:dyDescent="0.25"/>
    <row r="986" spans="2:5" x14ac:dyDescent="0.2">
      <c r="B986" s="37" t="s">
        <v>164</v>
      </c>
      <c r="C986" s="38"/>
      <c r="D986" s="82"/>
      <c r="E986" s="39"/>
    </row>
    <row r="987" spans="2:5" x14ac:dyDescent="0.2">
      <c r="B987" s="40"/>
      <c r="C987" s="41"/>
      <c r="D987" s="83"/>
      <c r="E987" s="42"/>
    </row>
    <row r="988" spans="2:5" x14ac:dyDescent="0.2">
      <c r="B988" s="43" t="s">
        <v>16</v>
      </c>
      <c r="C988" s="41"/>
      <c r="D988" s="83"/>
      <c r="E988" s="42"/>
    </row>
    <row r="989" spans="2:5" ht="30" customHeight="1" x14ac:dyDescent="0.2">
      <c r="B989" s="43"/>
      <c r="C989" s="260"/>
      <c r="D989" s="260"/>
      <c r="E989" s="260"/>
    </row>
    <row r="990" spans="2:5" ht="13.5" thickBot="1" x14ac:dyDescent="0.25">
      <c r="B990" s="43" t="s">
        <v>17</v>
      </c>
      <c r="C990" s="41"/>
      <c r="D990" s="83"/>
      <c r="E990" s="42"/>
    </row>
    <row r="991" spans="2:5" ht="13.5" thickBot="1" x14ac:dyDescent="0.25">
      <c r="B991" s="252" t="s">
        <v>242</v>
      </c>
      <c r="C991" s="256"/>
      <c r="D991" s="256"/>
      <c r="E991" s="253"/>
    </row>
    <row r="992" spans="2:5" ht="13.5" thickBot="1" x14ac:dyDescent="0.25">
      <c r="B992" s="252" t="s">
        <v>137</v>
      </c>
      <c r="C992" s="253"/>
      <c r="D992" s="80" t="s">
        <v>11</v>
      </c>
      <c r="E992" s="80" t="s">
        <v>138</v>
      </c>
    </row>
    <row r="993" spans="2:5" x14ac:dyDescent="0.2">
      <c r="B993" s="254" t="str">
        <f>'[1]COMEDORES EMERGENTES'!$B$3</f>
        <v>UNA SONRISA AV. LOS COBACHO</v>
      </c>
      <c r="C993" s="255"/>
      <c r="D993" s="124">
        <v>160</v>
      </c>
      <c r="E993" s="125" t="str">
        <f>'[1]COMEDORES EMERGENTES'!$G$3</f>
        <v>Bº SAN CARLOS OESTE AV. Bonifacio cobacho 670</v>
      </c>
    </row>
    <row r="994" spans="2:5" x14ac:dyDescent="0.2">
      <c r="B994" s="247" t="str">
        <f>'[1]COMEDORES EMERGENTES'!$B$4</f>
        <v>C.I.F Nº1 - RIVERA DEL VALLE Y FLORIDA</v>
      </c>
      <c r="C994" s="248"/>
      <c r="D994" s="119">
        <v>230</v>
      </c>
      <c r="E994" s="120" t="str">
        <f>'[1]COMEDORES EMERGENTES'!$G$4</f>
        <v>AV. RIVIERA DEL VALLE ENTRE FLORIDA Y SANTA FE</v>
      </c>
    </row>
    <row r="995" spans="2:5" x14ac:dyDescent="0.2">
      <c r="B995" s="247" t="str">
        <f>'[1]COMEDORES EMERGENTES'!$B$5</f>
        <v>C.I.F - RIVERA DEL VALLE - DILORENZO</v>
      </c>
      <c r="C995" s="248"/>
      <c r="D995" s="119">
        <v>270</v>
      </c>
      <c r="E995" s="120" t="str">
        <f>'[1]COMEDORES EMERGENTES'!$G$5</f>
        <v>Bº RIVERA DEL VALLE ENTRE VILLA EUMELIA Y MONTE CRISTO</v>
      </c>
    </row>
    <row r="996" spans="2:5" x14ac:dyDescent="0.2">
      <c r="B996" s="247" t="str">
        <f>'[1]COMEDORES EMERGENTES'!$B$6</f>
        <v>ESFUERZO PROPIO- Bº ALTOS DE CHOYA</v>
      </c>
      <c r="C996" s="248"/>
      <c r="D996" s="119">
        <v>220</v>
      </c>
      <c r="E996" s="120" t="str">
        <f>'[1]COMEDORES EMERGENTES'!$G$6</f>
        <v>Bº MUNICIPAL 35VV. NORTE C/14</v>
      </c>
    </row>
    <row r="997" spans="2:5" x14ac:dyDescent="0.2">
      <c r="B997" s="247" t="str">
        <f>'[1]COMEDORES EMERGENTES'!$B$7</f>
        <v>ANGELITOS - LOTEO SUSSEX</v>
      </c>
      <c r="C997" s="248"/>
      <c r="D997" s="119">
        <v>100</v>
      </c>
      <c r="E997" s="120" t="str">
        <f>'[1]COMEDORES EMERGENTES'!$G$7</f>
        <v>Bº LOTEO SUSEX MZA.Nº 4 LOTE Nº3</v>
      </c>
    </row>
    <row r="998" spans="2:5" x14ac:dyDescent="0.2">
      <c r="B998" s="247" t="str">
        <f>'[1]COMEDORES EMERGENTES'!$B$8</f>
        <v>CLUB DEPORTIVO CHACARITA</v>
      </c>
      <c r="C998" s="248"/>
      <c r="D998" s="119">
        <v>130</v>
      </c>
      <c r="E998" s="120" t="str">
        <f>'[1]COMEDORES EMERGENTES'!$G$8</f>
        <v>CALLE DR.DERMIDIO GALINDEZ C/2660</v>
      </c>
    </row>
    <row r="999" spans="2:5" x14ac:dyDescent="0.2">
      <c r="B999" s="247" t="str">
        <f>'[1]COMEDORES EMERGENTES'!$B$9</f>
        <v>LA MORO</v>
      </c>
      <c r="C999" s="248"/>
      <c r="D999" s="119">
        <v>120</v>
      </c>
      <c r="E999" s="120" t="str">
        <f>'[1]COMEDORES EMERGENTES'!$G$9</f>
        <v>MAIPU NORTE 1º ETAPA MZA "H" Bº MI JARDIN</v>
      </c>
    </row>
    <row r="1000" spans="2:5" x14ac:dyDescent="0.2">
      <c r="B1000" s="247" t="str">
        <f>'[1]COMEDORES EMERGENTES'!$B$10</f>
        <v>PAPA FRANCISCO</v>
      </c>
      <c r="C1000" s="248"/>
      <c r="D1000" s="119">
        <v>200</v>
      </c>
      <c r="E1000" s="120" t="str">
        <f>'[1]COMEDORES EMERGENTES'!$G$10</f>
        <v>ENTRE AV.TEREBINTO Y AV.SAN JUAN LOTE "2" MZA. "B"</v>
      </c>
    </row>
    <row r="1001" spans="2:5" x14ac:dyDescent="0.2">
      <c r="B1001" s="247" t="str">
        <f>'[1]COMEDORES EMERGENTES'!$B$11</f>
        <v>E.P.C - 100 V.V NORTE</v>
      </c>
      <c r="C1001" s="248"/>
      <c r="D1001" s="119">
        <v>300</v>
      </c>
      <c r="E1001" s="120" t="str">
        <f>'[1]COMEDORES EMERGENTES'!$G$11</f>
        <v>Bº VV NORTE C/48 ENTRE ESPAÑA Y FRANCIA</v>
      </c>
    </row>
    <row r="1002" spans="2:5" x14ac:dyDescent="0.2">
      <c r="B1002" s="247" t="str">
        <f>'[1]COMEDORES EMERGENTES'!$B$12</f>
        <v>HOGAR DE CRISTO - PADRE RAUL CONTRERAS</v>
      </c>
      <c r="C1002" s="248"/>
      <c r="D1002" s="119">
        <v>300</v>
      </c>
      <c r="E1002" s="120" t="str">
        <f>'[1]COMEDORES EMERGENTES'!$G$12</f>
        <v>Bº SANTA MARTA MZA. "S" LOTE "M" C/39</v>
      </c>
    </row>
    <row r="1003" spans="2:5" x14ac:dyDescent="0.2">
      <c r="B1003" s="247" t="str">
        <f>'[1]COMEDORES EMERGENTES'!$B$13</f>
        <v>LA LUCIERNAGA</v>
      </c>
      <c r="C1003" s="248"/>
      <c r="D1003" s="119">
        <v>200</v>
      </c>
      <c r="E1003" s="120" t="str">
        <f>'[1]COMEDORES EMERGENTES'!$G$13</f>
        <v>Bº 20 V.V NORTE C/3</v>
      </c>
    </row>
    <row r="1004" spans="2:5" x14ac:dyDescent="0.2">
      <c r="B1004" s="247" t="str">
        <f>'[1]COMEDORES EMERGENTES'!$B$14</f>
        <v>VALLE VIEJO - SUMALAO</v>
      </c>
      <c r="C1004" s="248"/>
      <c r="D1004" s="119">
        <v>350</v>
      </c>
      <c r="E1004" s="120" t="str">
        <f>'[1]COMEDORES EMERGENTES'!$G$14</f>
        <v>PADRE SEGURA S/N</v>
      </c>
    </row>
    <row r="1005" spans="2:5" x14ac:dyDescent="0.2">
      <c r="B1005" s="247" t="str">
        <f>'[1]COMEDORES EMERGENTES'!$B$15</f>
        <v>NUESTRO FUTURO - LAS VIAS</v>
      </c>
      <c r="C1005" s="248"/>
      <c r="D1005" s="119">
        <v>200</v>
      </c>
      <c r="E1005" s="120" t="str">
        <f>'[1]COMEDORES EMERGENTES'!$G$15</f>
        <v>Bº LAS VIAS OESTE LOTE 42</v>
      </c>
    </row>
    <row r="1006" spans="2:5" x14ac:dyDescent="0.2">
      <c r="B1006" s="247" t="str">
        <f>'[1]COMEDORES EMERGENTES'!$B$16</f>
        <v>SAN JOSE OBRERO</v>
      </c>
      <c r="C1006" s="248"/>
      <c r="D1006" s="119">
        <v>130</v>
      </c>
      <c r="E1006" s="120" t="str">
        <f>'[1]COMEDORES EMERGENTES'!$G$16</f>
        <v>Bº SAN JOSE OBRERO. PJE. SANDOVAL S/Nº</v>
      </c>
    </row>
    <row r="1007" spans="2:5" x14ac:dyDescent="0.2">
      <c r="B1007" s="247" t="str">
        <f>'[1]COMEDORES EMERGENTES'!$B$17</f>
        <v>VIRGEN DE LUJAN</v>
      </c>
      <c r="C1007" s="248"/>
      <c r="D1007" s="119">
        <v>200</v>
      </c>
      <c r="E1007" s="120" t="str">
        <f>'[1]COMEDORES EMERGENTES'!$G$17</f>
        <v>Bº OJO DE AGUA C/DR.TEODULFO BARRIONUEVO S/Nº</v>
      </c>
    </row>
    <row r="1008" spans="2:5" x14ac:dyDescent="0.2">
      <c r="B1008" s="247" t="str">
        <f>'[1]COMEDORES EMERGENTES'!$B$18</f>
        <v>RENACER</v>
      </c>
      <c r="C1008" s="248"/>
      <c r="D1008" s="119">
        <v>250</v>
      </c>
      <c r="E1008" s="120" t="str">
        <f>'[1]COMEDORES EMERGENTES'!$G$18</f>
        <v>Bº VIRGEN MORENITA</v>
      </c>
    </row>
    <row r="1009" spans="2:5" x14ac:dyDescent="0.2">
      <c r="B1009" s="247" t="str">
        <f>'[1]COMEDORES EMERGENTES'!$B$19</f>
        <v>CENTRO VECINAL MI JARDIN</v>
      </c>
      <c r="C1009" s="248"/>
      <c r="D1009" s="119">
        <v>180</v>
      </c>
      <c r="E1009" s="120" t="str">
        <f>'[1]COMEDORES EMERGENTES'!$G$19</f>
        <v>C/ LOS TULIPANES ENTRE FLOR DE CEREZO Y HOLANDA MZA.27 Bº MI JARDIN</v>
      </c>
    </row>
    <row r="1010" spans="2:5" x14ac:dyDescent="0.2">
      <c r="B1010" s="247" t="str">
        <f>'[1]COMEDORES EMERGENTES'!$B$20</f>
        <v>LA VIEJA ESQUINA</v>
      </c>
      <c r="C1010" s="248"/>
      <c r="D1010" s="119">
        <v>172</v>
      </c>
      <c r="E1010" s="120" t="str">
        <f>'[1]COMEDORES EMERGENTES'!$G$20</f>
        <v>B° CRISTO REY PJE CAPATAZ VILLAFAÑEZ Y ARMANDO CORREA</v>
      </c>
    </row>
    <row r="1011" spans="2:5" x14ac:dyDescent="0.2">
      <c r="B1011" s="247" t="str">
        <f>'[1]COMEDORES EMERGENTES'!$B$21</f>
        <v>GAUCHITO GIL</v>
      </c>
      <c r="C1011" s="248"/>
      <c r="D1011" s="119">
        <v>168</v>
      </c>
      <c r="E1011" s="120" t="str">
        <f>'[1]COMEDORES EMERGENTES'!$G$21</f>
        <v>B° 26 VIVIENDAS CASA N° 3</v>
      </c>
    </row>
    <row r="1012" spans="2:5" ht="13.5" thickBot="1" x14ac:dyDescent="0.25">
      <c r="B1012" s="261" t="str">
        <f>'[1]COMEDORES EMERGENTES'!$B$22</f>
        <v>LOS TOLDOS</v>
      </c>
      <c r="C1012" s="262"/>
      <c r="D1012" s="126">
        <v>80</v>
      </c>
      <c r="E1012" s="127" t="str">
        <f>'[1]COMEDORES EMERGENTES'!$G$22</f>
        <v>LOTEO PARQUE SUR CALLE S/NOMBRE S/N°</v>
      </c>
    </row>
    <row r="1013" spans="2:5" x14ac:dyDescent="0.2">
      <c r="B1013" s="43" t="s">
        <v>18</v>
      </c>
      <c r="C1013" s="41"/>
      <c r="D1013" s="83"/>
      <c r="E1013" s="42"/>
    </row>
    <row r="1014" spans="2:5" x14ac:dyDescent="0.2">
      <c r="B1014" s="44"/>
      <c r="C1014" s="260" t="s">
        <v>62</v>
      </c>
      <c r="D1014" s="260"/>
      <c r="E1014" s="260"/>
    </row>
    <row r="1015" spans="2:5" x14ac:dyDescent="0.2">
      <c r="B1015" s="43" t="s">
        <v>19</v>
      </c>
      <c r="C1015" s="45"/>
      <c r="D1015" s="45"/>
      <c r="E1015" s="46"/>
    </row>
    <row r="1016" spans="2:5" x14ac:dyDescent="0.2">
      <c r="B1016" s="44"/>
      <c r="C1016" s="260" t="s">
        <v>139</v>
      </c>
      <c r="D1016" s="260"/>
      <c r="E1016" s="260"/>
    </row>
    <row r="1017" spans="2:5" x14ac:dyDescent="0.2">
      <c r="B1017" s="43" t="s">
        <v>20</v>
      </c>
      <c r="C1017" s="41"/>
      <c r="D1017" s="83"/>
      <c r="E1017" s="42"/>
    </row>
    <row r="1018" spans="2:5" x14ac:dyDescent="0.2">
      <c r="B1018" s="43"/>
      <c r="C1018" s="246" t="s">
        <v>63</v>
      </c>
      <c r="D1018" s="246"/>
      <c r="E1018" s="246"/>
    </row>
    <row r="1019" spans="2:5" ht="13.5" thickBot="1" x14ac:dyDescent="0.25">
      <c r="B1019" s="47"/>
      <c r="C1019" s="48"/>
      <c r="D1019" s="84"/>
      <c r="E1019" s="49"/>
    </row>
    <row r="1020" spans="2:5" ht="13.5" thickBot="1" x14ac:dyDescent="0.25"/>
    <row r="1021" spans="2:5" x14ac:dyDescent="0.2">
      <c r="B1021" s="37" t="s">
        <v>165</v>
      </c>
      <c r="C1021" s="38"/>
      <c r="D1021" s="82"/>
      <c r="E1021" s="39"/>
    </row>
    <row r="1022" spans="2:5" x14ac:dyDescent="0.2">
      <c r="B1022" s="40"/>
      <c r="C1022" s="41"/>
      <c r="D1022" s="83"/>
      <c r="E1022" s="42"/>
    </row>
    <row r="1023" spans="2:5" x14ac:dyDescent="0.2">
      <c r="B1023" s="43" t="s">
        <v>16</v>
      </c>
      <c r="C1023" s="41"/>
      <c r="D1023" s="83"/>
      <c r="E1023" s="42"/>
    </row>
    <row r="1024" spans="2:5" ht="25.5" customHeight="1" x14ac:dyDescent="0.2">
      <c r="B1024" s="43"/>
      <c r="C1024" s="260"/>
      <c r="D1024" s="260"/>
      <c r="E1024" s="260"/>
    </row>
    <row r="1025" spans="2:5" ht="13.5" thickBot="1" x14ac:dyDescent="0.25">
      <c r="B1025" s="43" t="s">
        <v>17</v>
      </c>
      <c r="C1025" s="41"/>
      <c r="D1025" s="83"/>
      <c r="E1025" s="42"/>
    </row>
    <row r="1026" spans="2:5" ht="13.5" thickBot="1" x14ac:dyDescent="0.25">
      <c r="B1026" s="252" t="s">
        <v>244</v>
      </c>
      <c r="C1026" s="256"/>
      <c r="D1026" s="256"/>
      <c r="E1026" s="253"/>
    </row>
    <row r="1027" spans="2:5" ht="13.5" thickBot="1" x14ac:dyDescent="0.25">
      <c r="B1027" s="252" t="s">
        <v>137</v>
      </c>
      <c r="C1027" s="253"/>
      <c r="D1027" s="80" t="s">
        <v>11</v>
      </c>
      <c r="E1027" s="80" t="s">
        <v>138</v>
      </c>
    </row>
    <row r="1028" spans="2:5" x14ac:dyDescent="0.2">
      <c r="B1028" s="254" t="str">
        <f>'[1]COMEDORES EMERGENTES'!$B$3</f>
        <v>UNA SONRISA AV. LOS COBACHO</v>
      </c>
      <c r="C1028" s="255"/>
      <c r="D1028" s="124">
        <v>160</v>
      </c>
      <c r="E1028" s="125" t="str">
        <f>'[1]COMEDORES EMERGENTES'!$G$3</f>
        <v>Bº SAN CARLOS OESTE AV. Bonifacio cobacho 670</v>
      </c>
    </row>
    <row r="1029" spans="2:5" x14ac:dyDescent="0.2">
      <c r="B1029" s="247" t="str">
        <f>'[1]COMEDORES EMERGENTES'!$B$4</f>
        <v>C.I.F Nº1 - RIVERA DEL VALLE Y FLORIDA</v>
      </c>
      <c r="C1029" s="248"/>
      <c r="D1029" s="119">
        <v>230</v>
      </c>
      <c r="E1029" s="120" t="str">
        <f>'[1]COMEDORES EMERGENTES'!$G$4</f>
        <v>AV. RIVIERA DEL VALLE ENTRE FLORIDA Y SANTA FE</v>
      </c>
    </row>
    <row r="1030" spans="2:5" x14ac:dyDescent="0.2">
      <c r="B1030" s="247" t="str">
        <f>'[1]COMEDORES EMERGENTES'!$B$5</f>
        <v>C.I.F - RIVERA DEL VALLE - DILORENZO</v>
      </c>
      <c r="C1030" s="248"/>
      <c r="D1030" s="119">
        <v>270</v>
      </c>
      <c r="E1030" s="120" t="str">
        <f>'[1]COMEDORES EMERGENTES'!$G$5</f>
        <v>Bº RIVERA DEL VALLE ENTRE VILLA EUMELIA Y MONTE CRISTO</v>
      </c>
    </row>
    <row r="1031" spans="2:5" x14ac:dyDescent="0.2">
      <c r="B1031" s="247" t="str">
        <f>'[1]COMEDORES EMERGENTES'!$B$6</f>
        <v>ESFUERZO PROPIO- Bº ALTOS DE CHOYA</v>
      </c>
      <c r="C1031" s="248"/>
      <c r="D1031" s="119">
        <v>220</v>
      </c>
      <c r="E1031" s="120" t="str">
        <f>'[1]COMEDORES EMERGENTES'!$G$6</f>
        <v>Bº MUNICIPAL 35VV. NORTE C/14</v>
      </c>
    </row>
    <row r="1032" spans="2:5" x14ac:dyDescent="0.2">
      <c r="B1032" s="247" t="str">
        <f>'[1]COMEDORES EMERGENTES'!$B$7</f>
        <v>ANGELITOS - LOTEO SUSSEX</v>
      </c>
      <c r="C1032" s="248"/>
      <c r="D1032" s="119">
        <v>100</v>
      </c>
      <c r="E1032" s="120" t="str">
        <f>'[1]COMEDORES EMERGENTES'!$G$7</f>
        <v>Bº LOTEO SUSEX MZA.Nº 4 LOTE Nº3</v>
      </c>
    </row>
    <row r="1033" spans="2:5" x14ac:dyDescent="0.2">
      <c r="B1033" s="247" t="str">
        <f>'[1]COMEDORES EMERGENTES'!$B$8</f>
        <v>CLUB DEPORTIVO CHACARITA</v>
      </c>
      <c r="C1033" s="248"/>
      <c r="D1033" s="119">
        <v>130</v>
      </c>
      <c r="E1033" s="120" t="str">
        <f>'[1]COMEDORES EMERGENTES'!$G$8</f>
        <v>CALLE DR.DERMIDIO GALINDEZ C/2660</v>
      </c>
    </row>
    <row r="1034" spans="2:5" x14ac:dyDescent="0.2">
      <c r="B1034" s="247" t="str">
        <f>'[1]COMEDORES EMERGENTES'!$B$9</f>
        <v>LA MORO</v>
      </c>
      <c r="C1034" s="248"/>
      <c r="D1034" s="119">
        <v>120</v>
      </c>
      <c r="E1034" s="120" t="str">
        <f>'[1]COMEDORES EMERGENTES'!$G$9</f>
        <v>MAIPU NORTE 1º ETAPA MZA "H" Bº MI JARDIN</v>
      </c>
    </row>
    <row r="1035" spans="2:5" x14ac:dyDescent="0.2">
      <c r="B1035" s="247" t="str">
        <f>'[1]COMEDORES EMERGENTES'!$B$10</f>
        <v>PAPA FRANCISCO</v>
      </c>
      <c r="C1035" s="248"/>
      <c r="D1035" s="119">
        <v>200</v>
      </c>
      <c r="E1035" s="120" t="str">
        <f>'[1]COMEDORES EMERGENTES'!$G$10</f>
        <v>ENTRE AV.TEREBINTO Y AV.SAN JUAN LOTE "2" MZA. "B"</v>
      </c>
    </row>
    <row r="1036" spans="2:5" x14ac:dyDescent="0.2">
      <c r="B1036" s="247" t="str">
        <f>'[1]COMEDORES EMERGENTES'!$B$11</f>
        <v>E.P.C - 100 V.V NORTE</v>
      </c>
      <c r="C1036" s="248"/>
      <c r="D1036" s="119">
        <v>300</v>
      </c>
      <c r="E1036" s="120" t="str">
        <f>'[1]COMEDORES EMERGENTES'!$G$11</f>
        <v>Bº VV NORTE C/48 ENTRE ESPAÑA Y FRANCIA</v>
      </c>
    </row>
    <row r="1037" spans="2:5" x14ac:dyDescent="0.2">
      <c r="B1037" s="247" t="str">
        <f>'[1]COMEDORES EMERGENTES'!$B$12</f>
        <v>HOGAR DE CRISTO - PADRE RAUL CONTRERAS</v>
      </c>
      <c r="C1037" s="248"/>
      <c r="D1037" s="119">
        <v>300</v>
      </c>
      <c r="E1037" s="120" t="str">
        <f>'[1]COMEDORES EMERGENTES'!$G$12</f>
        <v>Bº SANTA MARTA MZA. "S" LOTE "M" C/39</v>
      </c>
    </row>
    <row r="1038" spans="2:5" x14ac:dyDescent="0.2">
      <c r="B1038" s="247" t="str">
        <f>'[1]COMEDORES EMERGENTES'!$B$13</f>
        <v>LA LUCIERNAGA</v>
      </c>
      <c r="C1038" s="248"/>
      <c r="D1038" s="119">
        <v>200</v>
      </c>
      <c r="E1038" s="120" t="str">
        <f>'[1]COMEDORES EMERGENTES'!$G$13</f>
        <v>Bº 20 V.V NORTE C/3</v>
      </c>
    </row>
    <row r="1039" spans="2:5" x14ac:dyDescent="0.2">
      <c r="B1039" s="247" t="str">
        <f>'[1]COMEDORES EMERGENTES'!$B$14</f>
        <v>VALLE VIEJO - SUMALAO</v>
      </c>
      <c r="C1039" s="248"/>
      <c r="D1039" s="119">
        <v>350</v>
      </c>
      <c r="E1039" s="120" t="str">
        <f>'[1]COMEDORES EMERGENTES'!$G$14</f>
        <v>PADRE SEGURA S/N</v>
      </c>
    </row>
    <row r="1040" spans="2:5" x14ac:dyDescent="0.2">
      <c r="B1040" s="247" t="str">
        <f>'[1]COMEDORES EMERGENTES'!$B$15</f>
        <v>NUESTRO FUTURO - LAS VIAS</v>
      </c>
      <c r="C1040" s="248"/>
      <c r="D1040" s="119">
        <v>200</v>
      </c>
      <c r="E1040" s="120" t="str">
        <f>'[1]COMEDORES EMERGENTES'!$G$15</f>
        <v>Bº LAS VIAS OESTE LOTE 42</v>
      </c>
    </row>
    <row r="1041" spans="2:5" x14ac:dyDescent="0.2">
      <c r="B1041" s="247" t="str">
        <f>'[1]COMEDORES EMERGENTES'!$B$16</f>
        <v>SAN JOSE OBRERO</v>
      </c>
      <c r="C1041" s="248"/>
      <c r="D1041" s="119">
        <v>130</v>
      </c>
      <c r="E1041" s="120" t="str">
        <f>'[1]COMEDORES EMERGENTES'!$G$16</f>
        <v>Bº SAN JOSE OBRERO. PJE. SANDOVAL S/Nº</v>
      </c>
    </row>
    <row r="1042" spans="2:5" x14ac:dyDescent="0.2">
      <c r="B1042" s="247" t="str">
        <f>'[1]COMEDORES EMERGENTES'!$B$17</f>
        <v>VIRGEN DE LUJAN</v>
      </c>
      <c r="C1042" s="248"/>
      <c r="D1042" s="119">
        <v>200</v>
      </c>
      <c r="E1042" s="120" t="str">
        <f>'[1]COMEDORES EMERGENTES'!$G$17</f>
        <v>Bº OJO DE AGUA C/DR.TEODULFO BARRIONUEVO S/Nº</v>
      </c>
    </row>
    <row r="1043" spans="2:5" x14ac:dyDescent="0.2">
      <c r="B1043" s="247" t="str">
        <f>'[1]COMEDORES EMERGENTES'!$B$18</f>
        <v>RENACER</v>
      </c>
      <c r="C1043" s="248"/>
      <c r="D1043" s="119">
        <v>250</v>
      </c>
      <c r="E1043" s="120" t="str">
        <f>'[1]COMEDORES EMERGENTES'!$G$18</f>
        <v>Bº VIRGEN MORENITA</v>
      </c>
    </row>
    <row r="1044" spans="2:5" x14ac:dyDescent="0.2">
      <c r="B1044" s="247" t="str">
        <f>'[1]COMEDORES EMERGENTES'!$B$19</f>
        <v>CENTRO VECINAL MI JARDIN</v>
      </c>
      <c r="C1044" s="248"/>
      <c r="D1044" s="119">
        <v>180</v>
      </c>
      <c r="E1044" s="120" t="str">
        <f>'[1]COMEDORES EMERGENTES'!$G$19</f>
        <v>C/ LOS TULIPANES ENTRE FLOR DE CEREZO Y HOLANDA MZA.27 Bº MI JARDIN</v>
      </c>
    </row>
    <row r="1045" spans="2:5" x14ac:dyDescent="0.2">
      <c r="B1045" s="247" t="str">
        <f>'[1]COMEDORES EMERGENTES'!$B$20</f>
        <v>LA VIEJA ESQUINA</v>
      </c>
      <c r="C1045" s="248"/>
      <c r="D1045" s="119">
        <v>172</v>
      </c>
      <c r="E1045" s="120" t="str">
        <f>'[1]COMEDORES EMERGENTES'!$G$20</f>
        <v>B° CRISTO REY PJE CAPATAZ VILLAFAÑEZ Y ARMANDO CORREA</v>
      </c>
    </row>
    <row r="1046" spans="2:5" x14ac:dyDescent="0.2">
      <c r="B1046" s="247" t="str">
        <f>'[1]COMEDORES EMERGENTES'!$B$21</f>
        <v>GAUCHITO GIL</v>
      </c>
      <c r="C1046" s="248"/>
      <c r="D1046" s="119">
        <v>168</v>
      </c>
      <c r="E1046" s="120" t="str">
        <f>'[1]COMEDORES EMERGENTES'!$G$21</f>
        <v>B° 26 VIVIENDAS CASA N° 3</v>
      </c>
    </row>
    <row r="1047" spans="2:5" ht="13.5" thickBot="1" x14ac:dyDescent="0.25">
      <c r="B1047" s="261" t="str">
        <f>'[1]COMEDORES EMERGENTES'!$B$22</f>
        <v>LOS TOLDOS</v>
      </c>
      <c r="C1047" s="262"/>
      <c r="D1047" s="126">
        <v>80</v>
      </c>
      <c r="E1047" s="127" t="str">
        <f>'[1]COMEDORES EMERGENTES'!$G$22</f>
        <v>LOTEO PARQUE SUR CALLE S/NOMBRE S/N°</v>
      </c>
    </row>
    <row r="1048" spans="2:5" x14ac:dyDescent="0.2">
      <c r="B1048" s="43" t="s">
        <v>18</v>
      </c>
      <c r="C1048" s="41"/>
      <c r="D1048" s="83"/>
      <c r="E1048" s="42"/>
    </row>
    <row r="1049" spans="2:5" x14ac:dyDescent="0.2">
      <c r="B1049" s="44"/>
      <c r="C1049" s="260" t="s">
        <v>62</v>
      </c>
      <c r="D1049" s="260"/>
      <c r="E1049" s="260"/>
    </row>
    <row r="1050" spans="2:5" x14ac:dyDescent="0.2">
      <c r="B1050" s="43" t="s">
        <v>19</v>
      </c>
      <c r="C1050" s="45"/>
      <c r="D1050" s="45"/>
      <c r="E1050" s="46"/>
    </row>
    <row r="1051" spans="2:5" x14ac:dyDescent="0.2">
      <c r="B1051" s="44"/>
      <c r="C1051" s="260" t="s">
        <v>139</v>
      </c>
      <c r="D1051" s="260"/>
      <c r="E1051" s="260"/>
    </row>
    <row r="1052" spans="2:5" x14ac:dyDescent="0.2">
      <c r="B1052" s="43" t="s">
        <v>20</v>
      </c>
      <c r="C1052" s="41"/>
      <c r="D1052" s="83"/>
      <c r="E1052" s="42"/>
    </row>
    <row r="1053" spans="2:5" x14ac:dyDescent="0.2">
      <c r="B1053" s="43"/>
      <c r="C1053" s="246" t="s">
        <v>63</v>
      </c>
      <c r="D1053" s="246"/>
      <c r="E1053" s="246"/>
    </row>
    <row r="1054" spans="2:5" ht="13.5" thickBot="1" x14ac:dyDescent="0.25">
      <c r="B1054" s="47"/>
      <c r="C1054" s="48"/>
      <c r="D1054" s="84"/>
      <c r="E1054" s="49"/>
    </row>
    <row r="1055" spans="2:5" ht="13.5" thickBot="1" x14ac:dyDescent="0.25"/>
    <row r="1056" spans="2:5" x14ac:dyDescent="0.2">
      <c r="B1056" s="37" t="s">
        <v>166</v>
      </c>
      <c r="C1056" s="38"/>
      <c r="D1056" s="82"/>
      <c r="E1056" s="39"/>
    </row>
    <row r="1057" spans="2:5" x14ac:dyDescent="0.2">
      <c r="B1057" s="40"/>
      <c r="C1057" s="41"/>
      <c r="D1057" s="83"/>
      <c r="E1057" s="42"/>
    </row>
    <row r="1058" spans="2:5" x14ac:dyDescent="0.2">
      <c r="B1058" s="43" t="s">
        <v>16</v>
      </c>
      <c r="C1058" s="41"/>
      <c r="D1058" s="83"/>
      <c r="E1058" s="42"/>
    </row>
    <row r="1059" spans="2:5" ht="25.5" customHeight="1" x14ac:dyDescent="0.2">
      <c r="B1059" s="43"/>
      <c r="C1059" s="260"/>
      <c r="D1059" s="260"/>
      <c r="E1059" s="260"/>
    </row>
    <row r="1060" spans="2:5" ht="13.5" thickBot="1" x14ac:dyDescent="0.25">
      <c r="B1060" s="43" t="s">
        <v>17</v>
      </c>
      <c r="C1060" s="41"/>
      <c r="D1060" s="83"/>
      <c r="E1060" s="42"/>
    </row>
    <row r="1061" spans="2:5" ht="13.5" thickBot="1" x14ac:dyDescent="0.25">
      <c r="B1061" s="252" t="s">
        <v>243</v>
      </c>
      <c r="C1061" s="256"/>
      <c r="D1061" s="256"/>
      <c r="E1061" s="253"/>
    </row>
    <row r="1062" spans="2:5" ht="13.5" thickBot="1" x14ac:dyDescent="0.25">
      <c r="B1062" s="252" t="s">
        <v>137</v>
      </c>
      <c r="C1062" s="253"/>
      <c r="D1062" s="80" t="s">
        <v>11</v>
      </c>
      <c r="E1062" s="80" t="s">
        <v>138</v>
      </c>
    </row>
    <row r="1063" spans="2:5" x14ac:dyDescent="0.2">
      <c r="B1063" s="254" t="str">
        <f>'[1]COMEDORES EMERGENTES'!$B$3</f>
        <v>UNA SONRISA AV. LOS COBACHO</v>
      </c>
      <c r="C1063" s="255"/>
      <c r="D1063" s="124">
        <v>160</v>
      </c>
      <c r="E1063" s="125" t="str">
        <f>'[1]COMEDORES EMERGENTES'!$G$3</f>
        <v>Bº SAN CARLOS OESTE AV. Bonifacio cobacho 670</v>
      </c>
    </row>
    <row r="1064" spans="2:5" x14ac:dyDescent="0.2">
      <c r="B1064" s="247" t="str">
        <f>'[1]COMEDORES EMERGENTES'!$B$4</f>
        <v>C.I.F Nº1 - RIVERA DEL VALLE Y FLORIDA</v>
      </c>
      <c r="C1064" s="248"/>
      <c r="D1064" s="119">
        <v>230</v>
      </c>
      <c r="E1064" s="120" t="str">
        <f>'[1]COMEDORES EMERGENTES'!$G$4</f>
        <v>AV. RIVIERA DEL VALLE ENTRE FLORIDA Y SANTA FE</v>
      </c>
    </row>
    <row r="1065" spans="2:5" x14ac:dyDescent="0.2">
      <c r="B1065" s="247" t="str">
        <f>'[1]COMEDORES EMERGENTES'!$B$5</f>
        <v>C.I.F - RIVERA DEL VALLE - DILORENZO</v>
      </c>
      <c r="C1065" s="248"/>
      <c r="D1065" s="119">
        <v>270</v>
      </c>
      <c r="E1065" s="120" t="str">
        <f>'[1]COMEDORES EMERGENTES'!$G$5</f>
        <v>Bº RIVERA DEL VALLE ENTRE VILLA EUMELIA Y MONTE CRISTO</v>
      </c>
    </row>
    <row r="1066" spans="2:5" x14ac:dyDescent="0.2">
      <c r="B1066" s="247" t="str">
        <f>'[1]COMEDORES EMERGENTES'!$B$6</f>
        <v>ESFUERZO PROPIO- Bº ALTOS DE CHOYA</v>
      </c>
      <c r="C1066" s="248"/>
      <c r="D1066" s="119">
        <v>220</v>
      </c>
      <c r="E1066" s="120" t="str">
        <f>'[1]COMEDORES EMERGENTES'!$G$6</f>
        <v>Bº MUNICIPAL 35VV. NORTE C/14</v>
      </c>
    </row>
    <row r="1067" spans="2:5" x14ac:dyDescent="0.2">
      <c r="B1067" s="247" t="str">
        <f>'[1]COMEDORES EMERGENTES'!$B$7</f>
        <v>ANGELITOS - LOTEO SUSSEX</v>
      </c>
      <c r="C1067" s="248"/>
      <c r="D1067" s="119">
        <v>100</v>
      </c>
      <c r="E1067" s="120" t="str">
        <f>'[1]COMEDORES EMERGENTES'!$G$7</f>
        <v>Bº LOTEO SUSEX MZA.Nº 4 LOTE Nº3</v>
      </c>
    </row>
    <row r="1068" spans="2:5" x14ac:dyDescent="0.2">
      <c r="B1068" s="247" t="str">
        <f>'[1]COMEDORES EMERGENTES'!$B$8</f>
        <v>CLUB DEPORTIVO CHACARITA</v>
      </c>
      <c r="C1068" s="248"/>
      <c r="D1068" s="119">
        <v>130</v>
      </c>
      <c r="E1068" s="120" t="str">
        <f>'[1]COMEDORES EMERGENTES'!$G$8</f>
        <v>CALLE DR.DERMIDIO GALINDEZ C/2660</v>
      </c>
    </row>
    <row r="1069" spans="2:5" x14ac:dyDescent="0.2">
      <c r="B1069" s="247" t="str">
        <f>'[1]COMEDORES EMERGENTES'!$B$9</f>
        <v>LA MORO</v>
      </c>
      <c r="C1069" s="248"/>
      <c r="D1069" s="119">
        <v>120</v>
      </c>
      <c r="E1069" s="120" t="str">
        <f>'[1]COMEDORES EMERGENTES'!$G$9</f>
        <v>MAIPU NORTE 1º ETAPA MZA "H" Bº MI JARDIN</v>
      </c>
    </row>
    <row r="1070" spans="2:5" x14ac:dyDescent="0.2">
      <c r="B1070" s="247" t="str">
        <f>'[1]COMEDORES EMERGENTES'!$B$10</f>
        <v>PAPA FRANCISCO</v>
      </c>
      <c r="C1070" s="248"/>
      <c r="D1070" s="119">
        <v>200</v>
      </c>
      <c r="E1070" s="120" t="str">
        <f>'[1]COMEDORES EMERGENTES'!$G$10</f>
        <v>ENTRE AV.TEREBINTO Y AV.SAN JUAN LOTE "2" MZA. "B"</v>
      </c>
    </row>
    <row r="1071" spans="2:5" x14ac:dyDescent="0.2">
      <c r="B1071" s="247" t="str">
        <f>'[1]COMEDORES EMERGENTES'!$B$11</f>
        <v>E.P.C - 100 V.V NORTE</v>
      </c>
      <c r="C1071" s="248"/>
      <c r="D1071" s="119">
        <v>300</v>
      </c>
      <c r="E1071" s="120" t="str">
        <f>'[1]COMEDORES EMERGENTES'!$G$11</f>
        <v>Bº VV NORTE C/48 ENTRE ESPAÑA Y FRANCIA</v>
      </c>
    </row>
    <row r="1072" spans="2:5" x14ac:dyDescent="0.2">
      <c r="B1072" s="247" t="str">
        <f>'[1]COMEDORES EMERGENTES'!$B$12</f>
        <v>HOGAR DE CRISTO - PADRE RAUL CONTRERAS</v>
      </c>
      <c r="C1072" s="248"/>
      <c r="D1072" s="119">
        <v>300</v>
      </c>
      <c r="E1072" s="120" t="str">
        <f>'[1]COMEDORES EMERGENTES'!$G$12</f>
        <v>Bº SANTA MARTA MZA. "S" LOTE "M" C/39</v>
      </c>
    </row>
    <row r="1073" spans="2:5" x14ac:dyDescent="0.2">
      <c r="B1073" s="247" t="str">
        <f>'[1]COMEDORES EMERGENTES'!$B$13</f>
        <v>LA LUCIERNAGA</v>
      </c>
      <c r="C1073" s="248"/>
      <c r="D1073" s="119">
        <v>200</v>
      </c>
      <c r="E1073" s="120" t="str">
        <f>'[1]COMEDORES EMERGENTES'!$G$13</f>
        <v>Bº 20 V.V NORTE C/3</v>
      </c>
    </row>
    <row r="1074" spans="2:5" x14ac:dyDescent="0.2">
      <c r="B1074" s="247" t="str">
        <f>'[1]COMEDORES EMERGENTES'!$B$14</f>
        <v>VALLE VIEJO - SUMALAO</v>
      </c>
      <c r="C1074" s="248"/>
      <c r="D1074" s="119">
        <v>350</v>
      </c>
      <c r="E1074" s="120" t="str">
        <f>'[1]COMEDORES EMERGENTES'!$G$14</f>
        <v>PADRE SEGURA S/N</v>
      </c>
    </row>
    <row r="1075" spans="2:5" x14ac:dyDescent="0.2">
      <c r="B1075" s="247" t="str">
        <f>'[1]COMEDORES EMERGENTES'!$B$15</f>
        <v>NUESTRO FUTURO - LAS VIAS</v>
      </c>
      <c r="C1075" s="248"/>
      <c r="D1075" s="119">
        <v>200</v>
      </c>
      <c r="E1075" s="120" t="str">
        <f>'[1]COMEDORES EMERGENTES'!$G$15</f>
        <v>Bº LAS VIAS OESTE LOTE 42</v>
      </c>
    </row>
    <row r="1076" spans="2:5" x14ac:dyDescent="0.2">
      <c r="B1076" s="247" t="str">
        <f>'[1]COMEDORES EMERGENTES'!$B$16</f>
        <v>SAN JOSE OBRERO</v>
      </c>
      <c r="C1076" s="248"/>
      <c r="D1076" s="119">
        <v>130</v>
      </c>
      <c r="E1076" s="120" t="str">
        <f>'[1]COMEDORES EMERGENTES'!$G$16</f>
        <v>Bº SAN JOSE OBRERO. PJE. SANDOVAL S/Nº</v>
      </c>
    </row>
    <row r="1077" spans="2:5" x14ac:dyDescent="0.2">
      <c r="B1077" s="247" t="str">
        <f>'[1]COMEDORES EMERGENTES'!$B$17</f>
        <v>VIRGEN DE LUJAN</v>
      </c>
      <c r="C1077" s="248"/>
      <c r="D1077" s="119">
        <v>200</v>
      </c>
      <c r="E1077" s="120" t="str">
        <f>'[1]COMEDORES EMERGENTES'!$G$17</f>
        <v>Bº OJO DE AGUA C/DR.TEODULFO BARRIONUEVO S/Nº</v>
      </c>
    </row>
    <row r="1078" spans="2:5" x14ac:dyDescent="0.2">
      <c r="B1078" s="247" t="str">
        <f>'[1]COMEDORES EMERGENTES'!$B$18</f>
        <v>RENACER</v>
      </c>
      <c r="C1078" s="248"/>
      <c r="D1078" s="119">
        <v>250</v>
      </c>
      <c r="E1078" s="120" t="str">
        <f>'[1]COMEDORES EMERGENTES'!$G$18</f>
        <v>Bº VIRGEN MORENITA</v>
      </c>
    </row>
    <row r="1079" spans="2:5" x14ac:dyDescent="0.2">
      <c r="B1079" s="247" t="str">
        <f>'[1]COMEDORES EMERGENTES'!$B$19</f>
        <v>CENTRO VECINAL MI JARDIN</v>
      </c>
      <c r="C1079" s="248"/>
      <c r="D1079" s="119">
        <v>180</v>
      </c>
      <c r="E1079" s="120" t="str">
        <f>'[1]COMEDORES EMERGENTES'!$G$19</f>
        <v>C/ LOS TULIPANES ENTRE FLOR DE CEREZO Y HOLANDA MZA.27 Bº MI JARDIN</v>
      </c>
    </row>
    <row r="1080" spans="2:5" x14ac:dyDescent="0.2">
      <c r="B1080" s="247" t="str">
        <f>'[1]COMEDORES EMERGENTES'!$B$20</f>
        <v>LA VIEJA ESQUINA</v>
      </c>
      <c r="C1080" s="248"/>
      <c r="D1080" s="119">
        <v>172</v>
      </c>
      <c r="E1080" s="120" t="str">
        <f>'[1]COMEDORES EMERGENTES'!$G$20</f>
        <v>B° CRISTO REY PJE CAPATAZ VILLAFAÑEZ Y ARMANDO CORREA</v>
      </c>
    </row>
    <row r="1081" spans="2:5" x14ac:dyDescent="0.2">
      <c r="B1081" s="247" t="str">
        <f>'[1]COMEDORES EMERGENTES'!$B$21</f>
        <v>GAUCHITO GIL</v>
      </c>
      <c r="C1081" s="248"/>
      <c r="D1081" s="119">
        <v>168</v>
      </c>
      <c r="E1081" s="120" t="str">
        <f>'[1]COMEDORES EMERGENTES'!$G$21</f>
        <v>B° 26 VIVIENDAS CASA N° 3</v>
      </c>
    </row>
    <row r="1082" spans="2:5" ht="13.5" thickBot="1" x14ac:dyDescent="0.25">
      <c r="B1082" s="261" t="str">
        <f>'[1]COMEDORES EMERGENTES'!$B$22</f>
        <v>LOS TOLDOS</v>
      </c>
      <c r="C1082" s="262"/>
      <c r="D1082" s="126">
        <v>80</v>
      </c>
      <c r="E1082" s="127" t="str">
        <f>'[1]COMEDORES EMERGENTES'!$G$22</f>
        <v>LOTEO PARQUE SUR CALLE S/NOMBRE S/N°</v>
      </c>
    </row>
    <row r="1083" spans="2:5" x14ac:dyDescent="0.2">
      <c r="B1083" s="43" t="s">
        <v>18</v>
      </c>
      <c r="C1083" s="41"/>
      <c r="D1083" s="83"/>
      <c r="E1083" s="42"/>
    </row>
    <row r="1084" spans="2:5" x14ac:dyDescent="0.2">
      <c r="B1084" s="44"/>
      <c r="C1084" s="260" t="s">
        <v>62</v>
      </c>
      <c r="D1084" s="260"/>
      <c r="E1084" s="260"/>
    </row>
    <row r="1085" spans="2:5" x14ac:dyDescent="0.2">
      <c r="B1085" s="43" t="s">
        <v>19</v>
      </c>
      <c r="C1085" s="45"/>
      <c r="D1085" s="45"/>
      <c r="E1085" s="46"/>
    </row>
    <row r="1086" spans="2:5" x14ac:dyDescent="0.2">
      <c r="B1086" s="44"/>
      <c r="C1086" s="260" t="s">
        <v>139</v>
      </c>
      <c r="D1086" s="260"/>
      <c r="E1086" s="260"/>
    </row>
    <row r="1087" spans="2:5" x14ac:dyDescent="0.2">
      <c r="B1087" s="43" t="s">
        <v>20</v>
      </c>
      <c r="C1087" s="41"/>
      <c r="D1087" s="83"/>
      <c r="E1087" s="42"/>
    </row>
    <row r="1088" spans="2:5" x14ac:dyDescent="0.2">
      <c r="B1088" s="43"/>
      <c r="C1088" s="246" t="s">
        <v>63</v>
      </c>
      <c r="D1088" s="246"/>
      <c r="E1088" s="246"/>
    </row>
    <row r="1089" spans="2:5" ht="13.5" thickBot="1" x14ac:dyDescent="0.25">
      <c r="B1089" s="47"/>
      <c r="C1089" s="48"/>
      <c r="D1089" s="84"/>
      <c r="E1089" s="49"/>
    </row>
  </sheetData>
  <mergeCells count="787"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79"/>
  <sheetViews>
    <sheetView tabSelected="1" zoomScale="90" zoomScaleNormal="90" workbookViewId="0">
      <selection activeCell="C9" sqref="C9"/>
    </sheetView>
  </sheetViews>
  <sheetFormatPr baseColWidth="10" defaultColWidth="11" defaultRowHeight="12.75" x14ac:dyDescent="0.2"/>
  <cols>
    <col min="1" max="1" width="4.5703125" style="85" customWidth="1"/>
    <col min="2" max="2" width="15.5703125" style="31" customWidth="1"/>
    <col min="3" max="3" width="33.7109375" style="31" customWidth="1"/>
    <col min="4" max="4" width="11.7109375" style="85" bestFit="1" customWidth="1"/>
    <col min="5" max="5" width="214.28515625" style="31" customWidth="1"/>
    <col min="6" max="6" width="15.85546875" style="31" customWidth="1"/>
    <col min="7" max="7" width="16.85546875" style="31" customWidth="1"/>
    <col min="8" max="8" width="17.28515625" style="31" customWidth="1"/>
    <col min="9" max="9" width="18.5703125" style="31" customWidth="1"/>
    <col min="10" max="16384" width="11" style="31"/>
  </cols>
  <sheetData>
    <row r="1" spans="1:9" s="134" customFormat="1" ht="27.75" x14ac:dyDescent="0.4">
      <c r="A1" s="206"/>
      <c r="B1" s="293" t="s">
        <v>0</v>
      </c>
      <c r="C1" s="293"/>
      <c r="D1" s="293"/>
      <c r="E1" s="293"/>
      <c r="F1" s="293"/>
      <c r="G1" s="293"/>
      <c r="H1" s="293"/>
    </row>
    <row r="2" spans="1:9" s="134" customFormat="1" ht="6" customHeight="1" x14ac:dyDescent="0.2">
      <c r="A2" s="206"/>
      <c r="B2" s="177"/>
      <c r="C2" s="177"/>
      <c r="D2" s="206"/>
      <c r="E2" s="177"/>
      <c r="F2" s="177"/>
      <c r="G2" s="177"/>
      <c r="H2" s="177"/>
    </row>
    <row r="3" spans="1:9" s="134" customFormat="1" ht="16.5" customHeight="1" x14ac:dyDescent="0.25">
      <c r="A3" s="294" t="s">
        <v>1</v>
      </c>
      <c r="B3" s="294"/>
      <c r="C3" s="295" t="s">
        <v>566</v>
      </c>
      <c r="D3" s="295"/>
      <c r="E3" s="295"/>
      <c r="F3" s="230"/>
      <c r="G3" s="231"/>
      <c r="H3" s="230"/>
    </row>
    <row r="4" spans="1:9" s="134" customFormat="1" ht="17.25" customHeight="1" x14ac:dyDescent="0.25">
      <c r="A4" s="294" t="s">
        <v>2</v>
      </c>
      <c r="B4" s="294"/>
      <c r="C4" s="295" t="s">
        <v>61</v>
      </c>
      <c r="D4" s="295"/>
      <c r="E4" s="295"/>
      <c r="F4" s="230"/>
      <c r="G4" s="231"/>
      <c r="H4" s="230"/>
    </row>
    <row r="5" spans="1:9" s="134" customFormat="1" ht="15" customHeight="1" x14ac:dyDescent="0.25">
      <c r="A5" s="294" t="s">
        <v>3</v>
      </c>
      <c r="B5" s="294"/>
      <c r="C5" s="232">
        <v>2022</v>
      </c>
      <c r="D5" s="233"/>
      <c r="E5" s="234"/>
      <c r="F5" s="230"/>
      <c r="G5" s="231"/>
      <c r="H5" s="230"/>
    </row>
    <row r="6" spans="1:9" s="134" customFormat="1" ht="16.5" customHeight="1" x14ac:dyDescent="0.25">
      <c r="A6" s="294" t="s">
        <v>303</v>
      </c>
      <c r="B6" s="294"/>
      <c r="C6" s="232">
        <v>2</v>
      </c>
      <c r="D6" s="233"/>
      <c r="E6" s="234"/>
      <c r="F6" s="230"/>
      <c r="G6" s="231"/>
      <c r="H6" s="230"/>
    </row>
    <row r="7" spans="1:9" s="134" customFormat="1" ht="7.5" customHeight="1" thickBot="1" x14ac:dyDescent="0.25">
      <c r="A7" s="206"/>
      <c r="B7" s="230"/>
      <c r="C7" s="231"/>
      <c r="D7" s="231"/>
      <c r="E7" s="230"/>
      <c r="F7" s="230"/>
      <c r="G7" s="231"/>
      <c r="H7" s="230"/>
    </row>
    <row r="8" spans="1:9" s="134" customFormat="1" ht="39" thickBot="1" x14ac:dyDescent="0.25">
      <c r="A8" s="235" t="s">
        <v>5</v>
      </c>
      <c r="B8" s="235" t="s">
        <v>6</v>
      </c>
      <c r="C8" s="235" t="s">
        <v>7</v>
      </c>
      <c r="D8" s="235" t="s">
        <v>8</v>
      </c>
      <c r="E8" s="235" t="s">
        <v>9</v>
      </c>
      <c r="F8" s="235" t="s">
        <v>10</v>
      </c>
      <c r="G8" s="235" t="s">
        <v>11</v>
      </c>
      <c r="H8" s="235" t="s">
        <v>12</v>
      </c>
      <c r="I8" s="175" t="s">
        <v>13</v>
      </c>
    </row>
    <row r="9" spans="1:9" s="134" customFormat="1" ht="24.95" customHeight="1" x14ac:dyDescent="0.2">
      <c r="A9" s="236">
        <v>1</v>
      </c>
      <c r="B9" s="176" t="s">
        <v>86</v>
      </c>
      <c r="C9" s="142" t="s">
        <v>59</v>
      </c>
      <c r="D9" s="142" t="s">
        <v>73</v>
      </c>
      <c r="E9" s="176" t="s">
        <v>93</v>
      </c>
      <c r="F9" s="142" t="s">
        <v>116</v>
      </c>
      <c r="G9" s="180">
        <v>456</v>
      </c>
      <c r="H9" s="237">
        <v>1150</v>
      </c>
      <c r="I9" s="181">
        <f>G9*H9</f>
        <v>524400</v>
      </c>
    </row>
    <row r="10" spans="1:9" s="134" customFormat="1" ht="24.95" customHeight="1" x14ac:dyDescent="0.2">
      <c r="A10" s="238">
        <v>2</v>
      </c>
      <c r="B10" s="177" t="s">
        <v>308</v>
      </c>
      <c r="C10" s="188" t="s">
        <v>59</v>
      </c>
      <c r="D10" s="178" t="s">
        <v>73</v>
      </c>
      <c r="E10" s="179" t="s">
        <v>307</v>
      </c>
      <c r="F10" s="143" t="s">
        <v>116</v>
      </c>
      <c r="G10" s="182">
        <v>456</v>
      </c>
      <c r="H10" s="239">
        <v>1350</v>
      </c>
      <c r="I10" s="183">
        <f>G10*H10</f>
        <v>615600</v>
      </c>
    </row>
    <row r="11" spans="1:9" s="134" customFormat="1" ht="24.95" customHeight="1" x14ac:dyDescent="0.2">
      <c r="A11" s="238">
        <v>3</v>
      </c>
      <c r="B11" s="159" t="s">
        <v>313</v>
      </c>
      <c r="C11" s="143" t="s">
        <v>59</v>
      </c>
      <c r="D11" s="155" t="s">
        <v>73</v>
      </c>
      <c r="E11" s="159" t="s">
        <v>314</v>
      </c>
      <c r="F11" s="143" t="s">
        <v>116</v>
      </c>
      <c r="G11" s="182">
        <v>456</v>
      </c>
      <c r="H11" s="239">
        <v>1350</v>
      </c>
      <c r="I11" s="183">
        <f>G11*H11</f>
        <v>615600</v>
      </c>
    </row>
    <row r="12" spans="1:9" s="134" customFormat="1" ht="24.95" customHeight="1" x14ac:dyDescent="0.2">
      <c r="A12" s="238">
        <v>4</v>
      </c>
      <c r="B12" s="150" t="s">
        <v>315</v>
      </c>
      <c r="C12" s="143" t="s">
        <v>59</v>
      </c>
      <c r="D12" s="155" t="s">
        <v>73</v>
      </c>
      <c r="E12" s="151" t="s">
        <v>316</v>
      </c>
      <c r="F12" s="143" t="s">
        <v>116</v>
      </c>
      <c r="G12" s="182">
        <v>456</v>
      </c>
      <c r="H12" s="239">
        <v>810</v>
      </c>
      <c r="I12" s="183">
        <f t="shared" ref="I12:I70" si="0">G12*H12</f>
        <v>369360</v>
      </c>
    </row>
    <row r="13" spans="1:9" s="134" customFormat="1" ht="24.95" customHeight="1" x14ac:dyDescent="0.2">
      <c r="A13" s="238">
        <v>5</v>
      </c>
      <c r="B13" s="150" t="s">
        <v>317</v>
      </c>
      <c r="C13" s="143" t="s">
        <v>59</v>
      </c>
      <c r="D13" s="155" t="s">
        <v>73</v>
      </c>
      <c r="E13" s="150" t="s">
        <v>318</v>
      </c>
      <c r="F13" s="143" t="s">
        <v>116</v>
      </c>
      <c r="G13" s="182">
        <v>456</v>
      </c>
      <c r="H13" s="239">
        <v>385</v>
      </c>
      <c r="I13" s="183">
        <f t="shared" si="0"/>
        <v>175560</v>
      </c>
    </row>
    <row r="14" spans="1:9" s="153" customFormat="1" ht="24.95" customHeight="1" x14ac:dyDescent="0.2">
      <c r="A14" s="238">
        <v>6</v>
      </c>
      <c r="B14" s="150" t="s">
        <v>72</v>
      </c>
      <c r="C14" s="156" t="s">
        <v>59</v>
      </c>
      <c r="D14" s="156" t="s">
        <v>73</v>
      </c>
      <c r="E14" s="150" t="s">
        <v>80</v>
      </c>
      <c r="F14" s="143" t="s">
        <v>116</v>
      </c>
      <c r="G14" s="182">
        <v>1680</v>
      </c>
      <c r="H14" s="239">
        <v>85</v>
      </c>
      <c r="I14" s="183">
        <f t="shared" si="0"/>
        <v>142800</v>
      </c>
    </row>
    <row r="15" spans="1:9" s="153" customFormat="1" ht="24.95" customHeight="1" x14ac:dyDescent="0.2">
      <c r="A15" s="238">
        <v>7</v>
      </c>
      <c r="B15" s="150" t="s">
        <v>71</v>
      </c>
      <c r="C15" s="156" t="s">
        <v>59</v>
      </c>
      <c r="D15" s="156" t="s">
        <v>73</v>
      </c>
      <c r="E15" s="150" t="s">
        <v>79</v>
      </c>
      <c r="F15" s="143" t="s">
        <v>116</v>
      </c>
      <c r="G15" s="182">
        <v>576</v>
      </c>
      <c r="H15" s="239">
        <v>85</v>
      </c>
      <c r="I15" s="183">
        <f t="shared" si="0"/>
        <v>48960</v>
      </c>
    </row>
    <row r="16" spans="1:9" s="153" customFormat="1" ht="24.95" customHeight="1" x14ac:dyDescent="0.2">
      <c r="A16" s="238">
        <v>8</v>
      </c>
      <c r="B16" s="158" t="s">
        <v>319</v>
      </c>
      <c r="C16" s="156" t="s">
        <v>59</v>
      </c>
      <c r="D16" s="156" t="s">
        <v>73</v>
      </c>
      <c r="E16" s="150" t="s">
        <v>320</v>
      </c>
      <c r="F16" s="143" t="s">
        <v>116</v>
      </c>
      <c r="G16" s="182">
        <v>528</v>
      </c>
      <c r="H16" s="239">
        <v>190</v>
      </c>
      <c r="I16" s="183">
        <f t="shared" si="0"/>
        <v>100320</v>
      </c>
    </row>
    <row r="17" spans="1:9" s="134" customFormat="1" ht="30" customHeight="1" x14ac:dyDescent="0.2">
      <c r="A17" s="238">
        <v>9</v>
      </c>
      <c r="B17" s="160" t="s">
        <v>81</v>
      </c>
      <c r="C17" s="156" t="s">
        <v>59</v>
      </c>
      <c r="D17" s="155" t="s">
        <v>73</v>
      </c>
      <c r="E17" s="157" t="s">
        <v>88</v>
      </c>
      <c r="F17" s="143" t="s">
        <v>468</v>
      </c>
      <c r="G17" s="182">
        <v>288</v>
      </c>
      <c r="H17" s="239">
        <v>135</v>
      </c>
      <c r="I17" s="183">
        <f t="shared" si="0"/>
        <v>38880</v>
      </c>
    </row>
    <row r="18" spans="1:9" s="134" customFormat="1" ht="24.95" customHeight="1" x14ac:dyDescent="0.2">
      <c r="A18" s="238">
        <v>10</v>
      </c>
      <c r="B18" s="150" t="s">
        <v>331</v>
      </c>
      <c r="C18" s="156" t="s">
        <v>59</v>
      </c>
      <c r="D18" s="156" t="s">
        <v>73</v>
      </c>
      <c r="E18" s="158" t="s">
        <v>332</v>
      </c>
      <c r="F18" s="143" t="s">
        <v>116</v>
      </c>
      <c r="G18" s="182">
        <v>480</v>
      </c>
      <c r="H18" s="239">
        <v>80</v>
      </c>
      <c r="I18" s="183">
        <f t="shared" si="0"/>
        <v>38400</v>
      </c>
    </row>
    <row r="19" spans="1:9" s="153" customFormat="1" ht="24.95" customHeight="1" x14ac:dyDescent="0.2">
      <c r="A19" s="238">
        <v>11</v>
      </c>
      <c r="B19" s="150" t="s">
        <v>85</v>
      </c>
      <c r="C19" s="154" t="s">
        <v>59</v>
      </c>
      <c r="D19" s="154" t="s">
        <v>73</v>
      </c>
      <c r="E19" s="150" t="s">
        <v>92</v>
      </c>
      <c r="F19" s="143" t="s">
        <v>116</v>
      </c>
      <c r="G19" s="182">
        <v>480</v>
      </c>
      <c r="H19" s="239">
        <v>80</v>
      </c>
      <c r="I19" s="183">
        <f t="shared" si="0"/>
        <v>38400</v>
      </c>
    </row>
    <row r="20" spans="1:9" s="153" customFormat="1" ht="24.95" customHeight="1" x14ac:dyDescent="0.2">
      <c r="A20" s="238">
        <v>12</v>
      </c>
      <c r="B20" s="150" t="s">
        <v>321</v>
      </c>
      <c r="C20" s="154" t="s">
        <v>59</v>
      </c>
      <c r="D20" s="154" t="s">
        <v>73</v>
      </c>
      <c r="E20" s="150" t="s">
        <v>322</v>
      </c>
      <c r="F20" s="143" t="s">
        <v>116</v>
      </c>
      <c r="G20" s="182">
        <v>480</v>
      </c>
      <c r="H20" s="239">
        <v>90</v>
      </c>
      <c r="I20" s="183">
        <f t="shared" si="0"/>
        <v>43200</v>
      </c>
    </row>
    <row r="21" spans="1:9" s="134" customFormat="1" ht="24.95" customHeight="1" x14ac:dyDescent="0.2">
      <c r="A21" s="238">
        <v>13</v>
      </c>
      <c r="B21" s="150" t="s">
        <v>400</v>
      </c>
      <c r="C21" s="156" t="s">
        <v>59</v>
      </c>
      <c r="D21" s="156" t="s">
        <v>73</v>
      </c>
      <c r="E21" s="150" t="s">
        <v>401</v>
      </c>
      <c r="F21" s="143" t="s">
        <v>14</v>
      </c>
      <c r="G21" s="182">
        <v>408</v>
      </c>
      <c r="H21" s="239">
        <v>45</v>
      </c>
      <c r="I21" s="183">
        <f t="shared" si="0"/>
        <v>18360</v>
      </c>
    </row>
    <row r="22" spans="1:9" s="153" customFormat="1" ht="24.95" customHeight="1" x14ac:dyDescent="0.2">
      <c r="A22" s="238">
        <v>14</v>
      </c>
      <c r="B22" s="150" t="s">
        <v>479</v>
      </c>
      <c r="C22" s="156" t="s">
        <v>59</v>
      </c>
      <c r="D22" s="156" t="s">
        <v>73</v>
      </c>
      <c r="E22" s="150" t="s">
        <v>480</v>
      </c>
      <c r="F22" s="143" t="s">
        <v>116</v>
      </c>
      <c r="G22" s="182">
        <v>528</v>
      </c>
      <c r="H22" s="239">
        <v>230</v>
      </c>
      <c r="I22" s="183">
        <f t="shared" si="0"/>
        <v>121440</v>
      </c>
    </row>
    <row r="23" spans="1:9" s="153" customFormat="1" ht="24.95" customHeight="1" x14ac:dyDescent="0.2">
      <c r="A23" s="238">
        <v>15</v>
      </c>
      <c r="B23" s="150" t="s">
        <v>323</v>
      </c>
      <c r="C23" s="156" t="s">
        <v>59</v>
      </c>
      <c r="D23" s="156" t="s">
        <v>73</v>
      </c>
      <c r="E23" s="150" t="s">
        <v>324</v>
      </c>
      <c r="F23" s="143" t="s">
        <v>116</v>
      </c>
      <c r="G23" s="182">
        <v>528</v>
      </c>
      <c r="H23" s="239">
        <v>80</v>
      </c>
      <c r="I23" s="183">
        <f t="shared" si="0"/>
        <v>42240</v>
      </c>
    </row>
    <row r="24" spans="1:9" s="153" customFormat="1" ht="24.95" customHeight="1" x14ac:dyDescent="0.2">
      <c r="A24" s="238">
        <v>16</v>
      </c>
      <c r="B24" s="150" t="s">
        <v>306</v>
      </c>
      <c r="C24" s="156" t="s">
        <v>59</v>
      </c>
      <c r="D24" s="156" t="s">
        <v>73</v>
      </c>
      <c r="E24" s="150" t="s">
        <v>305</v>
      </c>
      <c r="F24" s="143" t="s">
        <v>116</v>
      </c>
      <c r="G24" s="182">
        <v>528</v>
      </c>
      <c r="H24" s="239">
        <v>250</v>
      </c>
      <c r="I24" s="183">
        <f t="shared" si="0"/>
        <v>132000</v>
      </c>
    </row>
    <row r="25" spans="1:9" s="153" customFormat="1" ht="24.95" customHeight="1" x14ac:dyDescent="0.2">
      <c r="A25" s="238">
        <v>17</v>
      </c>
      <c r="B25" s="150" t="s">
        <v>483</v>
      </c>
      <c r="C25" s="143" t="s">
        <v>59</v>
      </c>
      <c r="D25" s="155" t="s">
        <v>73</v>
      </c>
      <c r="E25" s="161" t="s">
        <v>484</v>
      </c>
      <c r="F25" s="143" t="s">
        <v>116</v>
      </c>
      <c r="G25" s="182">
        <v>528</v>
      </c>
      <c r="H25" s="239">
        <v>230</v>
      </c>
      <c r="I25" s="183">
        <f t="shared" si="0"/>
        <v>121440</v>
      </c>
    </row>
    <row r="26" spans="1:9" s="153" customFormat="1" ht="24.95" customHeight="1" x14ac:dyDescent="0.2">
      <c r="A26" s="238">
        <v>18</v>
      </c>
      <c r="B26" s="150" t="s">
        <v>486</v>
      </c>
      <c r="C26" s="156" t="s">
        <v>59</v>
      </c>
      <c r="D26" s="156" t="s">
        <v>73</v>
      </c>
      <c r="E26" s="158" t="s">
        <v>487</v>
      </c>
      <c r="F26" s="143" t="s">
        <v>468</v>
      </c>
      <c r="G26" s="182">
        <v>372</v>
      </c>
      <c r="H26" s="239">
        <v>200</v>
      </c>
      <c r="I26" s="183">
        <f t="shared" si="0"/>
        <v>74400</v>
      </c>
    </row>
    <row r="27" spans="1:9" s="153" customFormat="1" ht="24.95" customHeight="1" x14ac:dyDescent="0.2">
      <c r="A27" s="238">
        <v>19</v>
      </c>
      <c r="B27" s="150" t="s">
        <v>327</v>
      </c>
      <c r="C27" s="143" t="s">
        <v>59</v>
      </c>
      <c r="D27" s="155" t="s">
        <v>73</v>
      </c>
      <c r="E27" s="150" t="s">
        <v>328</v>
      </c>
      <c r="F27" s="143" t="s">
        <v>14</v>
      </c>
      <c r="G27" s="182">
        <v>60</v>
      </c>
      <c r="H27" s="239">
        <v>4700</v>
      </c>
      <c r="I27" s="183">
        <f t="shared" si="0"/>
        <v>282000</v>
      </c>
    </row>
    <row r="28" spans="1:9" s="153" customFormat="1" ht="32.25" customHeight="1" x14ac:dyDescent="0.2">
      <c r="A28" s="238">
        <v>20</v>
      </c>
      <c r="B28" s="150" t="s">
        <v>325</v>
      </c>
      <c r="C28" s="143" t="s">
        <v>59</v>
      </c>
      <c r="D28" s="155" t="s">
        <v>73</v>
      </c>
      <c r="E28" s="166" t="s">
        <v>326</v>
      </c>
      <c r="F28" s="143" t="s">
        <v>14</v>
      </c>
      <c r="G28" s="182">
        <v>60</v>
      </c>
      <c r="H28" s="239">
        <v>3050</v>
      </c>
      <c r="I28" s="183">
        <f t="shared" si="0"/>
        <v>183000</v>
      </c>
    </row>
    <row r="29" spans="1:9" s="153" customFormat="1" ht="24.95" customHeight="1" x14ac:dyDescent="0.2">
      <c r="A29" s="238">
        <v>21</v>
      </c>
      <c r="B29" s="150" t="s">
        <v>329</v>
      </c>
      <c r="C29" s="143" t="s">
        <v>59</v>
      </c>
      <c r="D29" s="155" t="s">
        <v>73</v>
      </c>
      <c r="E29" s="150" t="s">
        <v>330</v>
      </c>
      <c r="F29" s="143" t="s">
        <v>14</v>
      </c>
      <c r="G29" s="182">
        <v>60</v>
      </c>
      <c r="H29" s="239">
        <v>250</v>
      </c>
      <c r="I29" s="183">
        <f t="shared" si="0"/>
        <v>15000</v>
      </c>
    </row>
    <row r="30" spans="1:9" s="153" customFormat="1" ht="24.95" customHeight="1" x14ac:dyDescent="0.2">
      <c r="A30" s="238">
        <v>22</v>
      </c>
      <c r="B30" s="150" t="s">
        <v>310</v>
      </c>
      <c r="C30" s="156" t="s">
        <v>59</v>
      </c>
      <c r="D30" s="156" t="s">
        <v>73</v>
      </c>
      <c r="E30" s="150" t="s">
        <v>309</v>
      </c>
      <c r="F30" s="143" t="s">
        <v>490</v>
      </c>
      <c r="G30" s="182">
        <v>840</v>
      </c>
      <c r="H30" s="239">
        <v>160</v>
      </c>
      <c r="I30" s="183">
        <f t="shared" si="0"/>
        <v>134400</v>
      </c>
    </row>
    <row r="31" spans="1:9" s="153" customFormat="1" ht="24.95" customHeight="1" x14ac:dyDescent="0.2">
      <c r="A31" s="238">
        <v>23</v>
      </c>
      <c r="B31" s="150" t="s">
        <v>492</v>
      </c>
      <c r="C31" s="156" t="s">
        <v>59</v>
      </c>
      <c r="D31" s="156" t="s">
        <v>73</v>
      </c>
      <c r="E31" s="150" t="s">
        <v>493</v>
      </c>
      <c r="F31" s="143" t="s">
        <v>494</v>
      </c>
      <c r="G31" s="182">
        <v>240</v>
      </c>
      <c r="H31" s="239">
        <v>660</v>
      </c>
      <c r="I31" s="183">
        <f t="shared" si="0"/>
        <v>158400</v>
      </c>
    </row>
    <row r="32" spans="1:9" s="153" customFormat="1" ht="24.95" customHeight="1" x14ac:dyDescent="0.2">
      <c r="A32" s="238">
        <v>24</v>
      </c>
      <c r="B32" s="150" t="s">
        <v>82</v>
      </c>
      <c r="C32" s="156" t="s">
        <v>59</v>
      </c>
      <c r="D32" s="156" t="s">
        <v>73</v>
      </c>
      <c r="E32" s="158" t="s">
        <v>89</v>
      </c>
      <c r="F32" s="143" t="s">
        <v>14</v>
      </c>
      <c r="G32" s="182">
        <v>720</v>
      </c>
      <c r="H32" s="239">
        <v>390</v>
      </c>
      <c r="I32" s="183">
        <f t="shared" si="0"/>
        <v>280800</v>
      </c>
    </row>
    <row r="33" spans="1:9" s="153" customFormat="1" ht="24.95" customHeight="1" x14ac:dyDescent="0.2">
      <c r="A33" s="238">
        <v>25</v>
      </c>
      <c r="B33" s="162" t="s">
        <v>83</v>
      </c>
      <c r="C33" s="164" t="s">
        <v>59</v>
      </c>
      <c r="D33" s="163" t="s">
        <v>73</v>
      </c>
      <c r="E33" s="150" t="s">
        <v>90</v>
      </c>
      <c r="F33" s="164" t="s">
        <v>498</v>
      </c>
      <c r="G33" s="184">
        <v>180</v>
      </c>
      <c r="H33" s="240">
        <v>85</v>
      </c>
      <c r="I33" s="185">
        <f t="shared" si="0"/>
        <v>15300</v>
      </c>
    </row>
    <row r="34" spans="1:9" s="153" customFormat="1" ht="24.95" customHeight="1" x14ac:dyDescent="0.2">
      <c r="A34" s="238">
        <v>26</v>
      </c>
      <c r="B34" s="150" t="s">
        <v>333</v>
      </c>
      <c r="C34" s="156" t="s">
        <v>59</v>
      </c>
      <c r="D34" s="156" t="s">
        <v>73</v>
      </c>
      <c r="E34" s="150" t="s">
        <v>334</v>
      </c>
      <c r="F34" s="164" t="s">
        <v>14</v>
      </c>
      <c r="G34" s="184">
        <v>840</v>
      </c>
      <c r="H34" s="240">
        <v>95</v>
      </c>
      <c r="I34" s="185">
        <f t="shared" si="0"/>
        <v>79800</v>
      </c>
    </row>
    <row r="35" spans="1:9" s="153" customFormat="1" ht="24.95" customHeight="1" x14ac:dyDescent="0.2">
      <c r="A35" s="238">
        <v>27</v>
      </c>
      <c r="B35" s="150" t="s">
        <v>335</v>
      </c>
      <c r="C35" s="156" t="s">
        <v>59</v>
      </c>
      <c r="D35" s="156" t="s">
        <v>73</v>
      </c>
      <c r="E35" s="150" t="s">
        <v>336</v>
      </c>
      <c r="F35" s="164" t="s">
        <v>14</v>
      </c>
      <c r="G35" s="184">
        <v>252</v>
      </c>
      <c r="H35" s="240">
        <v>245</v>
      </c>
      <c r="I35" s="185">
        <f t="shared" si="0"/>
        <v>61740</v>
      </c>
    </row>
    <row r="36" spans="1:9" s="153" customFormat="1" ht="24.95" customHeight="1" x14ac:dyDescent="0.2">
      <c r="A36" s="238">
        <v>28</v>
      </c>
      <c r="B36" s="150" t="s">
        <v>274</v>
      </c>
      <c r="C36" s="156" t="s">
        <v>59</v>
      </c>
      <c r="D36" s="156" t="s">
        <v>73</v>
      </c>
      <c r="E36" s="150" t="s">
        <v>275</v>
      </c>
      <c r="F36" s="164" t="s">
        <v>502</v>
      </c>
      <c r="G36" s="184">
        <v>672</v>
      </c>
      <c r="H36" s="240">
        <v>225</v>
      </c>
      <c r="I36" s="185">
        <f t="shared" si="0"/>
        <v>151200</v>
      </c>
    </row>
    <row r="37" spans="1:9" s="153" customFormat="1" ht="36.75" customHeight="1" x14ac:dyDescent="0.2">
      <c r="A37" s="238">
        <v>29</v>
      </c>
      <c r="B37" s="165" t="s">
        <v>67</v>
      </c>
      <c r="C37" s="156" t="s">
        <v>59</v>
      </c>
      <c r="D37" s="156" t="s">
        <v>73</v>
      </c>
      <c r="E37" s="166" t="s">
        <v>75</v>
      </c>
      <c r="F37" s="164" t="s">
        <v>14</v>
      </c>
      <c r="G37" s="184">
        <v>336</v>
      </c>
      <c r="H37" s="240">
        <v>120</v>
      </c>
      <c r="I37" s="185">
        <f t="shared" si="0"/>
        <v>40320</v>
      </c>
    </row>
    <row r="38" spans="1:9" s="153" customFormat="1" ht="30" customHeight="1" x14ac:dyDescent="0.2">
      <c r="A38" s="238">
        <v>30</v>
      </c>
      <c r="B38" s="162" t="s">
        <v>504</v>
      </c>
      <c r="C38" s="164" t="s">
        <v>59</v>
      </c>
      <c r="D38" s="163" t="s">
        <v>73</v>
      </c>
      <c r="E38" s="167" t="s">
        <v>505</v>
      </c>
      <c r="F38" s="164" t="s">
        <v>14</v>
      </c>
      <c r="G38" s="184">
        <v>672</v>
      </c>
      <c r="H38" s="240">
        <v>65</v>
      </c>
      <c r="I38" s="185">
        <f t="shared" si="0"/>
        <v>43680</v>
      </c>
    </row>
    <row r="39" spans="1:9" s="153" customFormat="1" ht="33" customHeight="1" x14ac:dyDescent="0.2">
      <c r="A39" s="238">
        <v>31</v>
      </c>
      <c r="B39" s="162" t="s">
        <v>506</v>
      </c>
      <c r="C39" s="164" t="s">
        <v>59</v>
      </c>
      <c r="D39" s="163" t="s">
        <v>73</v>
      </c>
      <c r="E39" s="168" t="s">
        <v>507</v>
      </c>
      <c r="F39" s="164" t="s">
        <v>14</v>
      </c>
      <c r="G39" s="184">
        <v>672</v>
      </c>
      <c r="H39" s="240">
        <v>65</v>
      </c>
      <c r="I39" s="185">
        <f t="shared" si="0"/>
        <v>43680</v>
      </c>
    </row>
    <row r="40" spans="1:9" s="153" customFormat="1" ht="35.25" customHeight="1" x14ac:dyDescent="0.2">
      <c r="A40" s="238">
        <v>32</v>
      </c>
      <c r="B40" s="169" t="s">
        <v>337</v>
      </c>
      <c r="C40" s="164" t="s">
        <v>59</v>
      </c>
      <c r="D40" s="163" t="s">
        <v>73</v>
      </c>
      <c r="E40" s="168" t="s">
        <v>338</v>
      </c>
      <c r="F40" s="164" t="s">
        <v>14</v>
      </c>
      <c r="G40" s="184">
        <v>432</v>
      </c>
      <c r="H40" s="240">
        <v>65</v>
      </c>
      <c r="I40" s="185">
        <f t="shared" si="0"/>
        <v>28080</v>
      </c>
    </row>
    <row r="41" spans="1:9" s="153" customFormat="1" ht="35.25" customHeight="1" x14ac:dyDescent="0.2">
      <c r="A41" s="238">
        <v>33</v>
      </c>
      <c r="B41" s="170" t="s">
        <v>514</v>
      </c>
      <c r="C41" s="164" t="s">
        <v>59</v>
      </c>
      <c r="D41" s="163" t="s">
        <v>73</v>
      </c>
      <c r="E41" s="171" t="s">
        <v>515</v>
      </c>
      <c r="F41" s="164" t="s">
        <v>14</v>
      </c>
      <c r="G41" s="184">
        <v>672</v>
      </c>
      <c r="H41" s="240">
        <v>65</v>
      </c>
      <c r="I41" s="185">
        <f t="shared" si="0"/>
        <v>43680</v>
      </c>
    </row>
    <row r="42" spans="1:9" s="153" customFormat="1" ht="24.95" customHeight="1" x14ac:dyDescent="0.2">
      <c r="A42" s="238">
        <v>34</v>
      </c>
      <c r="B42" s="162" t="s">
        <v>516</v>
      </c>
      <c r="C42" s="164" t="s">
        <v>59</v>
      </c>
      <c r="D42" s="163" t="s">
        <v>73</v>
      </c>
      <c r="E42" s="162" t="s">
        <v>517</v>
      </c>
      <c r="F42" s="164" t="s">
        <v>14</v>
      </c>
      <c r="G42" s="184">
        <v>420</v>
      </c>
      <c r="H42" s="240">
        <v>115</v>
      </c>
      <c r="I42" s="185">
        <f t="shared" si="0"/>
        <v>48300</v>
      </c>
    </row>
    <row r="43" spans="1:9" s="153" customFormat="1" ht="24.95" customHeight="1" x14ac:dyDescent="0.2">
      <c r="A43" s="238">
        <v>35</v>
      </c>
      <c r="B43" s="162" t="s">
        <v>339</v>
      </c>
      <c r="C43" s="164" t="s">
        <v>59</v>
      </c>
      <c r="D43" s="163" t="s">
        <v>73</v>
      </c>
      <c r="E43" s="162" t="s">
        <v>340</v>
      </c>
      <c r="F43" s="164" t="s">
        <v>14</v>
      </c>
      <c r="G43" s="184">
        <v>420</v>
      </c>
      <c r="H43" s="240">
        <v>140</v>
      </c>
      <c r="I43" s="185">
        <f t="shared" si="0"/>
        <v>58800</v>
      </c>
    </row>
    <row r="44" spans="1:9" s="153" customFormat="1" ht="24.95" customHeight="1" x14ac:dyDescent="0.2">
      <c r="A44" s="238">
        <v>36</v>
      </c>
      <c r="B44" s="162" t="s">
        <v>521</v>
      </c>
      <c r="C44" s="164" t="s">
        <v>59</v>
      </c>
      <c r="D44" s="163" t="s">
        <v>73</v>
      </c>
      <c r="E44" s="162" t="s">
        <v>522</v>
      </c>
      <c r="F44" s="164" t="s">
        <v>523</v>
      </c>
      <c r="G44" s="184">
        <v>1008</v>
      </c>
      <c r="H44" s="240">
        <v>60</v>
      </c>
      <c r="I44" s="185">
        <f t="shared" si="0"/>
        <v>60480</v>
      </c>
    </row>
    <row r="45" spans="1:9" s="153" customFormat="1" ht="24.95" customHeight="1" x14ac:dyDescent="0.2">
      <c r="A45" s="238">
        <v>37</v>
      </c>
      <c r="B45" s="162" t="s">
        <v>341</v>
      </c>
      <c r="C45" s="164" t="s">
        <v>59</v>
      </c>
      <c r="D45" s="163" t="s">
        <v>73</v>
      </c>
      <c r="E45" s="162" t="s">
        <v>342</v>
      </c>
      <c r="F45" s="164" t="s">
        <v>525</v>
      </c>
      <c r="G45" s="184">
        <v>168</v>
      </c>
      <c r="H45" s="240">
        <v>128</v>
      </c>
      <c r="I45" s="185">
        <f t="shared" si="0"/>
        <v>21504</v>
      </c>
    </row>
    <row r="46" spans="1:9" s="153" customFormat="1" ht="24.95" customHeight="1" x14ac:dyDescent="0.2">
      <c r="A46" s="238">
        <v>38</v>
      </c>
      <c r="B46" s="162" t="s">
        <v>526</v>
      </c>
      <c r="C46" s="164" t="s">
        <v>59</v>
      </c>
      <c r="D46" s="163" t="s">
        <v>73</v>
      </c>
      <c r="E46" s="162" t="s">
        <v>527</v>
      </c>
      <c r="F46" s="164" t="s">
        <v>14</v>
      </c>
      <c r="G46" s="184">
        <v>570</v>
      </c>
      <c r="H46" s="240">
        <v>195</v>
      </c>
      <c r="I46" s="185">
        <f t="shared" si="0"/>
        <v>111150</v>
      </c>
    </row>
    <row r="47" spans="1:9" s="153" customFormat="1" ht="24.95" customHeight="1" x14ac:dyDescent="0.2">
      <c r="A47" s="238">
        <v>39</v>
      </c>
      <c r="B47" s="162" t="s">
        <v>343</v>
      </c>
      <c r="C47" s="164" t="s">
        <v>59</v>
      </c>
      <c r="D47" s="163" t="s">
        <v>73</v>
      </c>
      <c r="E47" s="162" t="s">
        <v>344</v>
      </c>
      <c r="F47" s="164" t="s">
        <v>14</v>
      </c>
      <c r="G47" s="184">
        <v>168</v>
      </c>
      <c r="H47" s="240">
        <v>450</v>
      </c>
      <c r="I47" s="185">
        <f t="shared" si="0"/>
        <v>75600</v>
      </c>
    </row>
    <row r="48" spans="1:9" s="153" customFormat="1" ht="24.95" customHeight="1" x14ac:dyDescent="0.2">
      <c r="A48" s="238">
        <v>40</v>
      </c>
      <c r="B48" s="162" t="s">
        <v>345</v>
      </c>
      <c r="C48" s="164" t="s">
        <v>59</v>
      </c>
      <c r="D48" s="163" t="s">
        <v>73</v>
      </c>
      <c r="E48" s="162" t="s">
        <v>346</v>
      </c>
      <c r="F48" s="164" t="s">
        <v>535</v>
      </c>
      <c r="G48" s="184">
        <v>114</v>
      </c>
      <c r="H48" s="240">
        <v>55</v>
      </c>
      <c r="I48" s="185">
        <f t="shared" si="0"/>
        <v>6270</v>
      </c>
    </row>
    <row r="49" spans="1:9" s="153" customFormat="1" ht="24.95" customHeight="1" x14ac:dyDescent="0.2">
      <c r="A49" s="238">
        <v>41</v>
      </c>
      <c r="B49" s="162" t="s">
        <v>281</v>
      </c>
      <c r="C49" s="164" t="s">
        <v>59</v>
      </c>
      <c r="D49" s="163" t="s">
        <v>73</v>
      </c>
      <c r="E49" s="162" t="s">
        <v>280</v>
      </c>
      <c r="F49" s="164" t="s">
        <v>535</v>
      </c>
      <c r="G49" s="184">
        <v>78</v>
      </c>
      <c r="H49" s="240">
        <v>47</v>
      </c>
      <c r="I49" s="185">
        <f t="shared" si="0"/>
        <v>3666</v>
      </c>
    </row>
    <row r="50" spans="1:9" s="153" customFormat="1" ht="24.95" customHeight="1" x14ac:dyDescent="0.2">
      <c r="A50" s="238">
        <v>42</v>
      </c>
      <c r="B50" s="162" t="s">
        <v>347</v>
      </c>
      <c r="C50" s="164" t="s">
        <v>59</v>
      </c>
      <c r="D50" s="163" t="s">
        <v>73</v>
      </c>
      <c r="E50" s="162" t="s">
        <v>348</v>
      </c>
      <c r="F50" s="164" t="s">
        <v>14</v>
      </c>
      <c r="G50" s="184">
        <v>516</v>
      </c>
      <c r="H50" s="240">
        <v>85</v>
      </c>
      <c r="I50" s="185">
        <f t="shared" si="0"/>
        <v>43860</v>
      </c>
    </row>
    <row r="51" spans="1:9" s="153" customFormat="1" ht="24.95" customHeight="1" x14ac:dyDescent="0.2">
      <c r="A51" s="238">
        <v>43</v>
      </c>
      <c r="B51" s="162" t="s">
        <v>69</v>
      </c>
      <c r="C51" s="164" t="s">
        <v>59</v>
      </c>
      <c r="D51" s="163" t="s">
        <v>73</v>
      </c>
      <c r="E51" s="162" t="s">
        <v>77</v>
      </c>
      <c r="F51" s="164" t="s">
        <v>536</v>
      </c>
      <c r="G51" s="184">
        <v>336</v>
      </c>
      <c r="H51" s="240">
        <v>194</v>
      </c>
      <c r="I51" s="185">
        <f t="shared" si="0"/>
        <v>65184</v>
      </c>
    </row>
    <row r="52" spans="1:9" s="153" customFormat="1" ht="24.95" customHeight="1" x14ac:dyDescent="0.2">
      <c r="A52" s="238">
        <v>44</v>
      </c>
      <c r="B52" s="162" t="s">
        <v>349</v>
      </c>
      <c r="C52" s="164" t="s">
        <v>59</v>
      </c>
      <c r="D52" s="163" t="s">
        <v>73</v>
      </c>
      <c r="E52" s="162" t="s">
        <v>350</v>
      </c>
      <c r="F52" s="164" t="s">
        <v>536</v>
      </c>
      <c r="G52" s="184">
        <v>78</v>
      </c>
      <c r="H52" s="240">
        <v>85</v>
      </c>
      <c r="I52" s="185">
        <f t="shared" si="0"/>
        <v>6630</v>
      </c>
    </row>
    <row r="53" spans="1:9" s="153" customFormat="1" ht="24.95" customHeight="1" x14ac:dyDescent="0.2">
      <c r="A53" s="238">
        <v>45</v>
      </c>
      <c r="B53" s="162" t="s">
        <v>351</v>
      </c>
      <c r="C53" s="164" t="s">
        <v>59</v>
      </c>
      <c r="D53" s="163" t="s">
        <v>73</v>
      </c>
      <c r="E53" s="162" t="s">
        <v>352</v>
      </c>
      <c r="F53" s="164" t="s">
        <v>14</v>
      </c>
      <c r="G53" s="184">
        <v>168</v>
      </c>
      <c r="H53" s="240">
        <v>235</v>
      </c>
      <c r="I53" s="185">
        <f t="shared" si="0"/>
        <v>39480</v>
      </c>
    </row>
    <row r="54" spans="1:9" s="153" customFormat="1" ht="24.95" customHeight="1" x14ac:dyDescent="0.2">
      <c r="A54" s="238">
        <v>46</v>
      </c>
      <c r="B54" s="162" t="s">
        <v>279</v>
      </c>
      <c r="C54" s="164" t="s">
        <v>59</v>
      </c>
      <c r="D54" s="163" t="s">
        <v>73</v>
      </c>
      <c r="E54" s="162" t="s">
        <v>278</v>
      </c>
      <c r="F54" s="164" t="s">
        <v>14</v>
      </c>
      <c r="G54" s="184">
        <v>336</v>
      </c>
      <c r="H54" s="240">
        <v>125</v>
      </c>
      <c r="I54" s="185">
        <f t="shared" si="0"/>
        <v>42000</v>
      </c>
    </row>
    <row r="55" spans="1:9" s="153" customFormat="1" ht="24.95" customHeight="1" x14ac:dyDescent="0.2">
      <c r="A55" s="238">
        <v>47</v>
      </c>
      <c r="B55" s="162" t="s">
        <v>353</v>
      </c>
      <c r="C55" s="164" t="s">
        <v>59</v>
      </c>
      <c r="D55" s="163" t="s">
        <v>73</v>
      </c>
      <c r="E55" s="162" t="s">
        <v>354</v>
      </c>
      <c r="F55" s="164" t="s">
        <v>14</v>
      </c>
      <c r="G55" s="184">
        <v>336</v>
      </c>
      <c r="H55" s="240">
        <v>147</v>
      </c>
      <c r="I55" s="185">
        <f t="shared" si="0"/>
        <v>49392</v>
      </c>
    </row>
    <row r="56" spans="1:9" s="153" customFormat="1" ht="24.95" customHeight="1" x14ac:dyDescent="0.2">
      <c r="A56" s="238">
        <v>48</v>
      </c>
      <c r="B56" s="162" t="s">
        <v>355</v>
      </c>
      <c r="C56" s="164" t="s">
        <v>59</v>
      </c>
      <c r="D56" s="163" t="s">
        <v>73</v>
      </c>
      <c r="E56" s="162" t="s">
        <v>356</v>
      </c>
      <c r="F56" s="164" t="s">
        <v>523</v>
      </c>
      <c r="G56" s="184">
        <v>336</v>
      </c>
      <c r="H56" s="240">
        <v>410</v>
      </c>
      <c r="I56" s="185">
        <f t="shared" si="0"/>
        <v>137760</v>
      </c>
    </row>
    <row r="57" spans="1:9" s="153" customFormat="1" ht="24.95" customHeight="1" x14ac:dyDescent="0.2">
      <c r="A57" s="238">
        <v>49</v>
      </c>
      <c r="B57" s="162" t="s">
        <v>97</v>
      </c>
      <c r="C57" s="164" t="s">
        <v>59</v>
      </c>
      <c r="D57" s="163" t="s">
        <v>73</v>
      </c>
      <c r="E57" s="162" t="s">
        <v>102</v>
      </c>
      <c r="F57" s="164" t="s">
        <v>468</v>
      </c>
      <c r="G57" s="184">
        <v>21</v>
      </c>
      <c r="H57" s="240">
        <v>800</v>
      </c>
      <c r="I57" s="185">
        <f t="shared" si="0"/>
        <v>16800</v>
      </c>
    </row>
    <row r="58" spans="1:9" s="153" customFormat="1" ht="24.95" customHeight="1" x14ac:dyDescent="0.2">
      <c r="A58" s="238">
        <v>50</v>
      </c>
      <c r="B58" s="162" t="s">
        <v>98</v>
      </c>
      <c r="C58" s="164" t="s">
        <v>59</v>
      </c>
      <c r="D58" s="163" t="s">
        <v>73</v>
      </c>
      <c r="E58" s="162" t="s">
        <v>103</v>
      </c>
      <c r="F58" s="164" t="s">
        <v>535</v>
      </c>
      <c r="G58" s="184">
        <v>21</v>
      </c>
      <c r="H58" s="240">
        <v>1300</v>
      </c>
      <c r="I58" s="185">
        <f t="shared" si="0"/>
        <v>27300</v>
      </c>
    </row>
    <row r="59" spans="1:9" s="153" customFormat="1" ht="24.95" customHeight="1" x14ac:dyDescent="0.2">
      <c r="A59" s="238">
        <v>51</v>
      </c>
      <c r="B59" s="162" t="s">
        <v>357</v>
      </c>
      <c r="C59" s="164" t="s">
        <v>59</v>
      </c>
      <c r="D59" s="163" t="s">
        <v>73</v>
      </c>
      <c r="E59" s="162" t="s">
        <v>358</v>
      </c>
      <c r="F59" s="164" t="s">
        <v>523</v>
      </c>
      <c r="G59" s="184">
        <v>1008</v>
      </c>
      <c r="H59" s="240">
        <v>70</v>
      </c>
      <c r="I59" s="185">
        <f t="shared" si="0"/>
        <v>70560</v>
      </c>
    </row>
    <row r="60" spans="1:9" s="153" customFormat="1" ht="24.95" customHeight="1" x14ac:dyDescent="0.2">
      <c r="A60" s="238">
        <v>52</v>
      </c>
      <c r="B60" s="162" t="s">
        <v>359</v>
      </c>
      <c r="C60" s="164" t="s">
        <v>59</v>
      </c>
      <c r="D60" s="163" t="s">
        <v>73</v>
      </c>
      <c r="E60" s="162" t="s">
        <v>360</v>
      </c>
      <c r="F60" s="164" t="s">
        <v>535</v>
      </c>
      <c r="G60" s="184">
        <v>420</v>
      </c>
      <c r="H60" s="240">
        <v>140</v>
      </c>
      <c r="I60" s="185">
        <f t="shared" si="0"/>
        <v>58800</v>
      </c>
    </row>
    <row r="61" spans="1:9" s="153" customFormat="1" ht="24.95" customHeight="1" x14ac:dyDescent="0.2">
      <c r="A61" s="238">
        <v>53</v>
      </c>
      <c r="B61" s="162" t="s">
        <v>361</v>
      </c>
      <c r="C61" s="164" t="s">
        <v>59</v>
      </c>
      <c r="D61" s="163" t="s">
        <v>73</v>
      </c>
      <c r="E61" s="162" t="s">
        <v>362</v>
      </c>
      <c r="F61" s="164" t="s">
        <v>523</v>
      </c>
      <c r="G61" s="184">
        <v>336</v>
      </c>
      <c r="H61" s="240">
        <v>375</v>
      </c>
      <c r="I61" s="185">
        <f t="shared" si="0"/>
        <v>126000</v>
      </c>
    </row>
    <row r="62" spans="1:9" s="153" customFormat="1" ht="24.95" customHeight="1" x14ac:dyDescent="0.2">
      <c r="A62" s="238">
        <v>54</v>
      </c>
      <c r="B62" s="162" t="s">
        <v>363</v>
      </c>
      <c r="C62" s="164" t="s">
        <v>59</v>
      </c>
      <c r="D62" s="163" t="s">
        <v>73</v>
      </c>
      <c r="E62" s="162" t="s">
        <v>364</v>
      </c>
      <c r="F62" s="164" t="s">
        <v>14</v>
      </c>
      <c r="G62" s="184">
        <v>336</v>
      </c>
      <c r="H62" s="240">
        <v>140</v>
      </c>
      <c r="I62" s="185">
        <f t="shared" si="0"/>
        <v>47040</v>
      </c>
    </row>
    <row r="63" spans="1:9" s="153" customFormat="1" ht="24.95" customHeight="1" x14ac:dyDescent="0.2">
      <c r="A63" s="238">
        <v>55</v>
      </c>
      <c r="B63" s="162" t="s">
        <v>365</v>
      </c>
      <c r="C63" s="164" t="s">
        <v>59</v>
      </c>
      <c r="D63" s="163" t="s">
        <v>73</v>
      </c>
      <c r="E63" s="162" t="s">
        <v>366</v>
      </c>
      <c r="F63" s="164" t="s">
        <v>14</v>
      </c>
      <c r="G63" s="184">
        <v>420</v>
      </c>
      <c r="H63" s="240">
        <v>196</v>
      </c>
      <c r="I63" s="185">
        <f t="shared" si="0"/>
        <v>82320</v>
      </c>
    </row>
    <row r="64" spans="1:9" s="153" customFormat="1" ht="24.95" customHeight="1" x14ac:dyDescent="0.2">
      <c r="A64" s="238">
        <v>56</v>
      </c>
      <c r="B64" s="150" t="s">
        <v>367</v>
      </c>
      <c r="C64" s="143" t="s">
        <v>59</v>
      </c>
      <c r="D64" s="155" t="s">
        <v>73</v>
      </c>
      <c r="E64" s="150" t="s">
        <v>368</v>
      </c>
      <c r="F64" s="164" t="s">
        <v>502</v>
      </c>
      <c r="G64" s="182">
        <v>288</v>
      </c>
      <c r="H64" s="239">
        <v>425</v>
      </c>
      <c r="I64" s="183">
        <f t="shared" si="0"/>
        <v>122400</v>
      </c>
    </row>
    <row r="65" spans="1:9" s="153" customFormat="1" ht="24.95" customHeight="1" x14ac:dyDescent="0.2">
      <c r="A65" s="238">
        <v>57</v>
      </c>
      <c r="B65" s="150" t="s">
        <v>369</v>
      </c>
      <c r="C65" s="143" t="s">
        <v>59</v>
      </c>
      <c r="D65" s="155" t="s">
        <v>73</v>
      </c>
      <c r="E65" s="150" t="s">
        <v>370</v>
      </c>
      <c r="F65" s="164" t="s">
        <v>542</v>
      </c>
      <c r="G65" s="182">
        <v>288</v>
      </c>
      <c r="H65" s="239">
        <v>117</v>
      </c>
      <c r="I65" s="183">
        <f t="shared" si="0"/>
        <v>33696</v>
      </c>
    </row>
    <row r="66" spans="1:9" s="134" customFormat="1" ht="24.95" customHeight="1" x14ac:dyDescent="0.2">
      <c r="A66" s="238">
        <v>58</v>
      </c>
      <c r="B66" s="150" t="s">
        <v>371</v>
      </c>
      <c r="C66" s="143" t="s">
        <v>59</v>
      </c>
      <c r="D66" s="155" t="s">
        <v>73</v>
      </c>
      <c r="E66" s="150" t="s">
        <v>372</v>
      </c>
      <c r="F66" s="164" t="s">
        <v>525</v>
      </c>
      <c r="G66" s="182">
        <v>1260</v>
      </c>
      <c r="H66" s="239">
        <v>60</v>
      </c>
      <c r="I66" s="183">
        <f t="shared" si="0"/>
        <v>75600</v>
      </c>
    </row>
    <row r="67" spans="1:9" s="134" customFormat="1" ht="24.95" customHeight="1" x14ac:dyDescent="0.2">
      <c r="A67" s="238">
        <v>59</v>
      </c>
      <c r="B67" s="150" t="s">
        <v>373</v>
      </c>
      <c r="C67" s="143" t="s">
        <v>59</v>
      </c>
      <c r="D67" s="155" t="s">
        <v>73</v>
      </c>
      <c r="E67" s="150" t="s">
        <v>374</v>
      </c>
      <c r="F67" s="164" t="s">
        <v>543</v>
      </c>
      <c r="G67" s="182">
        <v>1260</v>
      </c>
      <c r="H67" s="239">
        <v>60</v>
      </c>
      <c r="I67" s="183">
        <f t="shared" si="0"/>
        <v>75600</v>
      </c>
    </row>
    <row r="68" spans="1:9" s="134" customFormat="1" ht="24.95" customHeight="1" x14ac:dyDescent="0.2">
      <c r="A68" s="238">
        <v>60</v>
      </c>
      <c r="B68" s="150" t="s">
        <v>375</v>
      </c>
      <c r="C68" s="143" t="s">
        <v>59</v>
      </c>
      <c r="D68" s="155" t="s">
        <v>73</v>
      </c>
      <c r="E68" s="150" t="s">
        <v>376</v>
      </c>
      <c r="F68" s="164" t="s">
        <v>525</v>
      </c>
      <c r="G68" s="182">
        <v>1260</v>
      </c>
      <c r="H68" s="239">
        <v>76</v>
      </c>
      <c r="I68" s="183">
        <f t="shared" si="0"/>
        <v>95760</v>
      </c>
    </row>
    <row r="69" spans="1:9" s="134" customFormat="1" ht="24.95" customHeight="1" x14ac:dyDescent="0.2">
      <c r="A69" s="238">
        <v>61</v>
      </c>
      <c r="B69" s="162" t="s">
        <v>377</v>
      </c>
      <c r="C69" s="164" t="s">
        <v>59</v>
      </c>
      <c r="D69" s="163" t="s">
        <v>73</v>
      </c>
      <c r="E69" s="162" t="s">
        <v>378</v>
      </c>
      <c r="F69" s="164" t="s">
        <v>543</v>
      </c>
      <c r="G69" s="184">
        <v>1260</v>
      </c>
      <c r="H69" s="240">
        <v>76</v>
      </c>
      <c r="I69" s="185">
        <f t="shared" si="0"/>
        <v>95760</v>
      </c>
    </row>
    <row r="70" spans="1:9" s="134" customFormat="1" ht="24.95" customHeight="1" thickBot="1" x14ac:dyDescent="0.25">
      <c r="A70" s="238">
        <v>62</v>
      </c>
      <c r="B70" s="172" t="s">
        <v>379</v>
      </c>
      <c r="C70" s="173" t="s">
        <v>59</v>
      </c>
      <c r="D70" s="241" t="s">
        <v>73</v>
      </c>
      <c r="E70" s="172" t="s">
        <v>380</v>
      </c>
      <c r="F70" s="173" t="s">
        <v>544</v>
      </c>
      <c r="G70" s="186">
        <v>1260</v>
      </c>
      <c r="H70" s="242">
        <v>25</v>
      </c>
      <c r="I70" s="187">
        <f t="shared" si="0"/>
        <v>31500</v>
      </c>
    </row>
    <row r="71" spans="1:9" x14ac:dyDescent="0.2">
      <c r="A71" s="243"/>
      <c r="B71" s="158"/>
      <c r="C71" s="158"/>
      <c r="D71" s="243"/>
      <c r="E71" s="158"/>
      <c r="F71" s="158"/>
      <c r="G71" s="158"/>
      <c r="H71" s="158"/>
      <c r="I71" s="141"/>
    </row>
    <row r="72" spans="1:9" s="134" customFormat="1" x14ac:dyDescent="0.2">
      <c r="A72" s="206"/>
      <c r="B72" s="177"/>
      <c r="C72" s="177"/>
      <c r="D72" s="206"/>
      <c r="E72" s="177"/>
      <c r="F72" s="177"/>
      <c r="G72" s="177"/>
      <c r="H72" s="177"/>
    </row>
    <row r="73" spans="1:9" s="134" customFormat="1" x14ac:dyDescent="0.2">
      <c r="A73" s="206"/>
      <c r="B73" s="189" t="s">
        <v>15</v>
      </c>
      <c r="C73" s="190"/>
      <c r="D73" s="209"/>
      <c r="E73" s="191"/>
      <c r="F73" s="177"/>
      <c r="G73" s="177"/>
      <c r="H73" s="177"/>
    </row>
    <row r="74" spans="1:9" s="134" customFormat="1" ht="5.25" customHeight="1" x14ac:dyDescent="0.2">
      <c r="A74" s="206"/>
      <c r="B74" s="192"/>
      <c r="C74" s="193"/>
      <c r="D74" s="210"/>
      <c r="E74" s="194"/>
      <c r="F74" s="177"/>
      <c r="G74" s="177"/>
      <c r="H74" s="177"/>
    </row>
    <row r="75" spans="1:9" s="134" customFormat="1" x14ac:dyDescent="0.2">
      <c r="A75" s="206"/>
      <c r="B75" s="195" t="s">
        <v>16</v>
      </c>
      <c r="C75" s="193"/>
      <c r="D75" s="210"/>
      <c r="E75" s="194"/>
      <c r="F75" s="177"/>
      <c r="G75" s="177"/>
      <c r="H75" s="177"/>
    </row>
    <row r="76" spans="1:9" s="134" customFormat="1" ht="25.5" customHeight="1" x14ac:dyDescent="0.2">
      <c r="A76" s="206"/>
      <c r="B76" s="195"/>
      <c r="C76" s="277" t="s">
        <v>460</v>
      </c>
      <c r="D76" s="277"/>
      <c r="E76" s="277"/>
      <c r="F76" s="177"/>
      <c r="G76" s="177"/>
      <c r="H76" s="177"/>
    </row>
    <row r="77" spans="1:9" s="134" customFormat="1" ht="13.5" thickBot="1" x14ac:dyDescent="0.25">
      <c r="A77" s="206"/>
      <c r="B77" s="195" t="s">
        <v>17</v>
      </c>
      <c r="C77" s="193"/>
      <c r="D77" s="210"/>
      <c r="E77" s="194"/>
      <c r="F77" s="177"/>
      <c r="G77" s="177"/>
      <c r="H77" s="177"/>
    </row>
    <row r="78" spans="1:9" s="134" customFormat="1" ht="13.5" thickBot="1" x14ac:dyDescent="0.25">
      <c r="A78" s="206"/>
      <c r="B78" s="279" t="s">
        <v>136</v>
      </c>
      <c r="C78" s="280"/>
      <c r="D78" s="280"/>
      <c r="E78" s="281"/>
      <c r="F78" s="177"/>
      <c r="G78" s="177"/>
      <c r="H78" s="177"/>
    </row>
    <row r="79" spans="1:9" s="134" customFormat="1" ht="13.5" thickBot="1" x14ac:dyDescent="0.25">
      <c r="A79" s="206"/>
      <c r="B79" s="279" t="s">
        <v>311</v>
      </c>
      <c r="C79" s="281"/>
      <c r="D79" s="196" t="s">
        <v>11</v>
      </c>
      <c r="E79" s="213" t="s">
        <v>567</v>
      </c>
      <c r="F79" s="177"/>
      <c r="G79" s="177"/>
      <c r="H79" s="177"/>
    </row>
    <row r="80" spans="1:9" s="134" customFormat="1" x14ac:dyDescent="0.2">
      <c r="A80" s="206"/>
      <c r="B80" s="282" t="s">
        <v>381</v>
      </c>
      <c r="C80" s="282"/>
      <c r="D80" s="197">
        <v>10</v>
      </c>
      <c r="E80" s="198" t="s">
        <v>382</v>
      </c>
      <c r="F80" s="177"/>
      <c r="G80" s="177"/>
      <c r="H80" s="177"/>
    </row>
    <row r="81" spans="1:8" s="134" customFormat="1" x14ac:dyDescent="0.2">
      <c r="A81" s="206"/>
      <c r="B81" s="283" t="s">
        <v>383</v>
      </c>
      <c r="C81" s="283"/>
      <c r="D81" s="199">
        <v>6</v>
      </c>
      <c r="E81" s="200" t="s">
        <v>384</v>
      </c>
      <c r="F81" s="177"/>
      <c r="G81" s="177"/>
      <c r="H81" s="177"/>
    </row>
    <row r="82" spans="1:8" s="134" customFormat="1" x14ac:dyDescent="0.2">
      <c r="A82" s="206"/>
      <c r="B82" s="283" t="s">
        <v>385</v>
      </c>
      <c r="C82" s="283"/>
      <c r="D82" s="199">
        <v>10</v>
      </c>
      <c r="E82" s="200" t="s">
        <v>388</v>
      </c>
      <c r="F82" s="177"/>
      <c r="G82" s="177"/>
      <c r="H82" s="177"/>
    </row>
    <row r="83" spans="1:8" s="134" customFormat="1" x14ac:dyDescent="0.2">
      <c r="A83" s="206"/>
      <c r="B83" s="283" t="s">
        <v>386</v>
      </c>
      <c r="C83" s="283"/>
      <c r="D83" s="199">
        <v>6</v>
      </c>
      <c r="E83" s="200" t="s">
        <v>392</v>
      </c>
      <c r="F83" s="177"/>
      <c r="G83" s="177"/>
      <c r="H83" s="177"/>
    </row>
    <row r="84" spans="1:8" s="134" customFormat="1" x14ac:dyDescent="0.2">
      <c r="A84" s="206"/>
      <c r="B84" s="283" t="s">
        <v>387</v>
      </c>
      <c r="C84" s="283"/>
      <c r="D84" s="199">
        <v>6</v>
      </c>
      <c r="E84" s="200" t="s">
        <v>389</v>
      </c>
      <c r="F84" s="177"/>
      <c r="G84" s="177"/>
      <c r="H84" s="177"/>
    </row>
    <row r="85" spans="1:8" s="134" customFormat="1" ht="13.5" thickBot="1" x14ac:dyDescent="0.25">
      <c r="A85" s="206"/>
      <c r="B85" s="284"/>
      <c r="C85" s="285"/>
      <c r="D85" s="199"/>
      <c r="E85" s="200"/>
      <c r="F85" s="177"/>
      <c r="G85" s="177"/>
      <c r="H85" s="177"/>
    </row>
    <row r="86" spans="1:8" s="134" customFormat="1" ht="25.5" customHeight="1" thickBot="1" x14ac:dyDescent="0.25">
      <c r="A86" s="206"/>
      <c r="B86" s="286" t="s">
        <v>461</v>
      </c>
      <c r="C86" s="287"/>
      <c r="D86" s="287"/>
      <c r="E86" s="288"/>
      <c r="F86" s="177"/>
      <c r="G86" s="177"/>
      <c r="H86" s="177"/>
    </row>
    <row r="87" spans="1:8" s="134" customFormat="1" x14ac:dyDescent="0.2">
      <c r="A87" s="206"/>
      <c r="B87" s="195" t="s">
        <v>18</v>
      </c>
      <c r="C87" s="193"/>
      <c r="D87" s="210"/>
      <c r="E87" s="194"/>
      <c r="F87" s="177"/>
      <c r="G87" s="177"/>
      <c r="H87" s="177"/>
    </row>
    <row r="88" spans="1:8" s="134" customFormat="1" x14ac:dyDescent="0.2">
      <c r="A88" s="206"/>
      <c r="B88" s="201"/>
      <c r="C88" s="277" t="s">
        <v>62</v>
      </c>
      <c r="D88" s="277"/>
      <c r="E88" s="277"/>
      <c r="F88" s="177"/>
      <c r="G88" s="177"/>
      <c r="H88" s="177"/>
    </row>
    <row r="89" spans="1:8" s="134" customFormat="1" x14ac:dyDescent="0.2">
      <c r="A89" s="206"/>
      <c r="B89" s="195" t="s">
        <v>19</v>
      </c>
      <c r="C89" s="212"/>
      <c r="D89" s="212"/>
      <c r="E89" s="202"/>
      <c r="F89" s="177"/>
      <c r="G89" s="177"/>
      <c r="H89" s="177"/>
    </row>
    <row r="90" spans="1:8" s="134" customFormat="1" x14ac:dyDescent="0.2">
      <c r="A90" s="206"/>
      <c r="B90" s="201"/>
      <c r="C90" s="277" t="s">
        <v>465</v>
      </c>
      <c r="D90" s="277"/>
      <c r="E90" s="277"/>
      <c r="F90" s="177"/>
      <c r="G90" s="177"/>
      <c r="H90" s="177"/>
    </row>
    <row r="91" spans="1:8" s="134" customFormat="1" x14ac:dyDescent="0.2">
      <c r="A91" s="206"/>
      <c r="B91" s="195" t="s">
        <v>20</v>
      </c>
      <c r="C91" s="193"/>
      <c r="D91" s="210"/>
      <c r="E91" s="194"/>
      <c r="F91" s="177"/>
      <c r="G91" s="177"/>
      <c r="H91" s="177"/>
    </row>
    <row r="92" spans="1:8" s="134" customFormat="1" x14ac:dyDescent="0.2">
      <c r="A92" s="206"/>
      <c r="B92" s="195"/>
      <c r="C92" s="278" t="s">
        <v>63</v>
      </c>
      <c r="D92" s="278"/>
      <c r="E92" s="278"/>
      <c r="F92" s="177"/>
      <c r="G92" s="177"/>
      <c r="H92" s="177"/>
    </row>
    <row r="93" spans="1:8" s="134" customFormat="1" ht="13.5" thickBot="1" x14ac:dyDescent="0.25">
      <c r="A93" s="206"/>
      <c r="B93" s="203"/>
      <c r="C93" s="174"/>
      <c r="D93" s="204"/>
      <c r="E93" s="205"/>
      <c r="F93" s="177"/>
      <c r="G93" s="177"/>
      <c r="H93" s="177"/>
    </row>
    <row r="94" spans="1:8" s="134" customFormat="1" ht="13.5" thickBot="1" x14ac:dyDescent="0.25">
      <c r="A94" s="206"/>
      <c r="B94" s="177"/>
      <c r="C94" s="177"/>
      <c r="D94" s="206"/>
      <c r="E94" s="177"/>
      <c r="F94" s="177"/>
      <c r="G94" s="177"/>
      <c r="H94" s="177"/>
    </row>
    <row r="95" spans="1:8" s="134" customFormat="1" x14ac:dyDescent="0.2">
      <c r="A95" s="206"/>
      <c r="B95" s="189" t="s">
        <v>21</v>
      </c>
      <c r="C95" s="190"/>
      <c r="D95" s="209"/>
      <c r="E95" s="191"/>
      <c r="F95" s="177"/>
      <c r="G95" s="177"/>
      <c r="H95" s="177"/>
    </row>
    <row r="96" spans="1:8" s="134" customFormat="1" x14ac:dyDescent="0.2">
      <c r="A96" s="206"/>
      <c r="B96" s="192"/>
      <c r="C96" s="193"/>
      <c r="D96" s="210"/>
      <c r="E96" s="194"/>
      <c r="F96" s="177"/>
      <c r="G96" s="177"/>
      <c r="H96" s="177"/>
    </row>
    <row r="97" spans="1:8" s="134" customFormat="1" x14ac:dyDescent="0.2">
      <c r="A97" s="206"/>
      <c r="B97" s="195" t="s">
        <v>16</v>
      </c>
      <c r="C97" s="193"/>
      <c r="D97" s="210"/>
      <c r="E97" s="194"/>
      <c r="F97" s="177"/>
      <c r="G97" s="177"/>
      <c r="H97" s="177"/>
    </row>
    <row r="98" spans="1:8" s="134" customFormat="1" ht="30.75" customHeight="1" x14ac:dyDescent="0.2">
      <c r="A98" s="206"/>
      <c r="B98" s="195"/>
      <c r="C98" s="277" t="s">
        <v>462</v>
      </c>
      <c r="D98" s="277"/>
      <c r="E98" s="277"/>
      <c r="F98" s="177"/>
      <c r="G98" s="177"/>
      <c r="H98" s="177"/>
    </row>
    <row r="99" spans="1:8" s="134" customFormat="1" ht="13.5" thickBot="1" x14ac:dyDescent="0.25">
      <c r="A99" s="206"/>
      <c r="B99" s="195" t="s">
        <v>17</v>
      </c>
      <c r="C99" s="193"/>
      <c r="D99" s="210"/>
      <c r="E99" s="194"/>
      <c r="F99" s="177"/>
      <c r="G99" s="177"/>
      <c r="H99" s="177"/>
    </row>
    <row r="100" spans="1:8" s="134" customFormat="1" ht="13.5" thickBot="1" x14ac:dyDescent="0.25">
      <c r="A100" s="206"/>
      <c r="B100" s="279" t="s">
        <v>136</v>
      </c>
      <c r="C100" s="280"/>
      <c r="D100" s="280"/>
      <c r="E100" s="281"/>
      <c r="F100" s="177"/>
      <c r="G100" s="177"/>
      <c r="H100" s="177"/>
    </row>
    <row r="101" spans="1:8" s="134" customFormat="1" ht="13.5" thickBot="1" x14ac:dyDescent="0.25">
      <c r="A101" s="206"/>
      <c r="B101" s="279" t="s">
        <v>311</v>
      </c>
      <c r="C101" s="281"/>
      <c r="D101" s="196" t="s">
        <v>11</v>
      </c>
      <c r="E101" s="207" t="s">
        <v>567</v>
      </c>
      <c r="F101" s="177"/>
      <c r="G101" s="177"/>
      <c r="H101" s="177"/>
    </row>
    <row r="102" spans="1:8" s="134" customFormat="1" x14ac:dyDescent="0.2">
      <c r="A102" s="206"/>
      <c r="B102" s="282" t="s">
        <v>381</v>
      </c>
      <c r="C102" s="282"/>
      <c r="D102" s="197">
        <v>10</v>
      </c>
      <c r="E102" s="198" t="s">
        <v>382</v>
      </c>
      <c r="F102" s="177"/>
      <c r="G102" s="177"/>
      <c r="H102" s="177"/>
    </row>
    <row r="103" spans="1:8" s="134" customFormat="1" x14ac:dyDescent="0.2">
      <c r="A103" s="206"/>
      <c r="B103" s="283" t="s">
        <v>383</v>
      </c>
      <c r="C103" s="283"/>
      <c r="D103" s="199">
        <v>6</v>
      </c>
      <c r="E103" s="200" t="s">
        <v>384</v>
      </c>
      <c r="F103" s="177"/>
      <c r="G103" s="177"/>
      <c r="H103" s="177"/>
    </row>
    <row r="104" spans="1:8" s="134" customFormat="1" x14ac:dyDescent="0.2">
      <c r="A104" s="206"/>
      <c r="B104" s="283" t="s">
        <v>385</v>
      </c>
      <c r="C104" s="283"/>
      <c r="D104" s="199">
        <v>10</v>
      </c>
      <c r="E104" s="200" t="s">
        <v>388</v>
      </c>
      <c r="F104" s="177"/>
      <c r="G104" s="177"/>
      <c r="H104" s="177"/>
    </row>
    <row r="105" spans="1:8" s="134" customFormat="1" x14ac:dyDescent="0.2">
      <c r="A105" s="206"/>
      <c r="B105" s="283" t="s">
        <v>386</v>
      </c>
      <c r="C105" s="283"/>
      <c r="D105" s="199">
        <v>6</v>
      </c>
      <c r="E105" s="200" t="s">
        <v>392</v>
      </c>
      <c r="F105" s="177"/>
      <c r="G105" s="177"/>
      <c r="H105" s="177"/>
    </row>
    <row r="106" spans="1:8" s="134" customFormat="1" x14ac:dyDescent="0.2">
      <c r="A106" s="206"/>
      <c r="B106" s="283" t="s">
        <v>387</v>
      </c>
      <c r="C106" s="283"/>
      <c r="D106" s="199">
        <v>6</v>
      </c>
      <c r="E106" s="200" t="s">
        <v>389</v>
      </c>
      <c r="F106" s="177"/>
      <c r="G106" s="177"/>
      <c r="H106" s="177"/>
    </row>
    <row r="107" spans="1:8" s="134" customFormat="1" ht="13.5" thickBot="1" x14ac:dyDescent="0.25">
      <c r="A107" s="206"/>
      <c r="B107" s="284"/>
      <c r="C107" s="285"/>
      <c r="D107" s="199"/>
      <c r="E107" s="200"/>
      <c r="F107" s="177"/>
      <c r="G107" s="177"/>
      <c r="H107" s="177"/>
    </row>
    <row r="108" spans="1:8" s="134" customFormat="1" ht="25.5" customHeight="1" thickBot="1" x14ac:dyDescent="0.25">
      <c r="A108" s="206"/>
      <c r="B108" s="286" t="s">
        <v>463</v>
      </c>
      <c r="C108" s="287"/>
      <c r="D108" s="287"/>
      <c r="E108" s="288"/>
      <c r="F108" s="177"/>
      <c r="G108" s="177"/>
      <c r="H108" s="177"/>
    </row>
    <row r="109" spans="1:8" s="134" customFormat="1" x14ac:dyDescent="0.2">
      <c r="A109" s="206"/>
      <c r="B109" s="195" t="s">
        <v>18</v>
      </c>
      <c r="C109" s="193"/>
      <c r="D109" s="210"/>
      <c r="E109" s="194"/>
      <c r="F109" s="177"/>
      <c r="G109" s="177"/>
      <c r="H109" s="177"/>
    </row>
    <row r="110" spans="1:8" s="134" customFormat="1" x14ac:dyDescent="0.2">
      <c r="A110" s="206"/>
      <c r="B110" s="201"/>
      <c r="C110" s="277" t="s">
        <v>62</v>
      </c>
      <c r="D110" s="277"/>
      <c r="E110" s="277"/>
      <c r="F110" s="177"/>
      <c r="G110" s="177"/>
      <c r="H110" s="177"/>
    </row>
    <row r="111" spans="1:8" s="134" customFormat="1" x14ac:dyDescent="0.2">
      <c r="A111" s="206"/>
      <c r="B111" s="195" t="s">
        <v>19</v>
      </c>
      <c r="C111" s="212"/>
      <c r="D111" s="212"/>
      <c r="E111" s="202"/>
      <c r="F111" s="177"/>
      <c r="G111" s="177"/>
      <c r="H111" s="177"/>
    </row>
    <row r="112" spans="1:8" s="134" customFormat="1" x14ac:dyDescent="0.2">
      <c r="A112" s="206"/>
      <c r="B112" s="201"/>
      <c r="C112" s="277" t="s">
        <v>465</v>
      </c>
      <c r="D112" s="277"/>
      <c r="E112" s="277"/>
      <c r="F112" s="177"/>
      <c r="G112" s="177"/>
      <c r="H112" s="177"/>
    </row>
    <row r="113" spans="1:8" s="134" customFormat="1" x14ac:dyDescent="0.2">
      <c r="A113" s="206"/>
      <c r="B113" s="195" t="s">
        <v>20</v>
      </c>
      <c r="C113" s="193"/>
      <c r="D113" s="210"/>
      <c r="E113" s="194"/>
      <c r="F113" s="177"/>
      <c r="G113" s="177"/>
      <c r="H113" s="177"/>
    </row>
    <row r="114" spans="1:8" s="134" customFormat="1" x14ac:dyDescent="0.2">
      <c r="A114" s="206"/>
      <c r="B114" s="195"/>
      <c r="C114" s="278" t="s">
        <v>63</v>
      </c>
      <c r="D114" s="278"/>
      <c r="E114" s="278"/>
      <c r="F114" s="177"/>
      <c r="G114" s="177"/>
      <c r="H114" s="177"/>
    </row>
    <row r="115" spans="1:8" s="134" customFormat="1" ht="13.5" thickBot="1" x14ac:dyDescent="0.25">
      <c r="A115" s="206"/>
      <c r="B115" s="203"/>
      <c r="C115" s="174"/>
      <c r="D115" s="204"/>
      <c r="E115" s="205"/>
      <c r="F115" s="177"/>
      <c r="G115" s="177"/>
      <c r="H115" s="177"/>
    </row>
    <row r="116" spans="1:8" s="134" customFormat="1" ht="13.5" thickBot="1" x14ac:dyDescent="0.25">
      <c r="A116" s="206"/>
      <c r="B116" s="177"/>
      <c r="C116" s="177"/>
      <c r="D116" s="206"/>
      <c r="E116" s="177"/>
      <c r="F116" s="177"/>
      <c r="G116" s="177"/>
      <c r="H116" s="177"/>
    </row>
    <row r="117" spans="1:8" s="134" customFormat="1" x14ac:dyDescent="0.2">
      <c r="A117" s="206"/>
      <c r="B117" s="189" t="s">
        <v>64</v>
      </c>
      <c r="C117" s="190"/>
      <c r="D117" s="209"/>
      <c r="E117" s="191"/>
      <c r="F117" s="177"/>
      <c r="G117" s="177"/>
      <c r="H117" s="177"/>
    </row>
    <row r="118" spans="1:8" s="134" customFormat="1" x14ac:dyDescent="0.2">
      <c r="A118" s="206"/>
      <c r="B118" s="192"/>
      <c r="C118" s="193"/>
      <c r="D118" s="210"/>
      <c r="E118" s="194"/>
      <c r="F118" s="177"/>
      <c r="G118" s="177"/>
      <c r="H118" s="177"/>
    </row>
    <row r="119" spans="1:8" s="134" customFormat="1" x14ac:dyDescent="0.2">
      <c r="A119" s="206"/>
      <c r="B119" s="195" t="s">
        <v>16</v>
      </c>
      <c r="C119" s="193"/>
      <c r="D119" s="210"/>
      <c r="E119" s="194"/>
      <c r="F119" s="177"/>
      <c r="G119" s="177"/>
      <c r="H119" s="177"/>
    </row>
    <row r="120" spans="1:8" s="134" customFormat="1" ht="25.5" customHeight="1" x14ac:dyDescent="0.2">
      <c r="A120" s="206"/>
      <c r="B120" s="195"/>
      <c r="C120" s="296" t="s">
        <v>464</v>
      </c>
      <c r="D120" s="296"/>
      <c r="E120" s="297"/>
      <c r="F120" s="177"/>
      <c r="G120" s="177"/>
      <c r="H120" s="177"/>
    </row>
    <row r="121" spans="1:8" s="134" customFormat="1" ht="13.5" thickBot="1" x14ac:dyDescent="0.25">
      <c r="A121" s="206"/>
      <c r="B121" s="195" t="s">
        <v>17</v>
      </c>
      <c r="C121" s="193"/>
      <c r="D121" s="210"/>
      <c r="E121" s="194"/>
      <c r="F121" s="177"/>
      <c r="G121" s="177"/>
      <c r="H121" s="177"/>
    </row>
    <row r="122" spans="1:8" s="134" customFormat="1" ht="13.5" thickBot="1" x14ac:dyDescent="0.25">
      <c r="A122" s="206"/>
      <c r="B122" s="279" t="s">
        <v>136</v>
      </c>
      <c r="C122" s="280"/>
      <c r="D122" s="280"/>
      <c r="E122" s="281"/>
      <c r="F122" s="177"/>
      <c r="G122" s="177"/>
      <c r="H122" s="177"/>
    </row>
    <row r="123" spans="1:8" s="134" customFormat="1" ht="13.5" thickBot="1" x14ac:dyDescent="0.25">
      <c r="A123" s="206"/>
      <c r="B123" s="279" t="s">
        <v>311</v>
      </c>
      <c r="C123" s="281"/>
      <c r="D123" s="196" t="s">
        <v>11</v>
      </c>
      <c r="E123" s="208" t="s">
        <v>568</v>
      </c>
      <c r="F123" s="177"/>
      <c r="G123" s="177"/>
      <c r="H123" s="177"/>
    </row>
    <row r="124" spans="1:8" s="134" customFormat="1" x14ac:dyDescent="0.2">
      <c r="A124" s="206"/>
      <c r="B124" s="282" t="s">
        <v>381</v>
      </c>
      <c r="C124" s="282"/>
      <c r="D124" s="197">
        <v>10</v>
      </c>
      <c r="E124" s="198" t="s">
        <v>382</v>
      </c>
      <c r="F124" s="177"/>
      <c r="G124" s="177"/>
      <c r="H124" s="177"/>
    </row>
    <row r="125" spans="1:8" s="134" customFormat="1" x14ac:dyDescent="0.2">
      <c r="A125" s="206"/>
      <c r="B125" s="283" t="s">
        <v>383</v>
      </c>
      <c r="C125" s="283"/>
      <c r="D125" s="199">
        <v>6</v>
      </c>
      <c r="E125" s="200" t="s">
        <v>384</v>
      </c>
      <c r="F125" s="177"/>
      <c r="G125" s="177"/>
      <c r="H125" s="177"/>
    </row>
    <row r="126" spans="1:8" s="134" customFormat="1" x14ac:dyDescent="0.2">
      <c r="A126" s="206"/>
      <c r="B126" s="283" t="s">
        <v>385</v>
      </c>
      <c r="C126" s="283"/>
      <c r="D126" s="199">
        <v>10</v>
      </c>
      <c r="E126" s="200" t="s">
        <v>388</v>
      </c>
      <c r="F126" s="177"/>
      <c r="G126" s="177"/>
      <c r="H126" s="177"/>
    </row>
    <row r="127" spans="1:8" s="134" customFormat="1" x14ac:dyDescent="0.2">
      <c r="A127" s="206"/>
      <c r="B127" s="283" t="s">
        <v>386</v>
      </c>
      <c r="C127" s="283"/>
      <c r="D127" s="199">
        <v>6</v>
      </c>
      <c r="E127" s="200" t="s">
        <v>392</v>
      </c>
      <c r="F127" s="177"/>
      <c r="G127" s="177"/>
      <c r="H127" s="177"/>
    </row>
    <row r="128" spans="1:8" s="134" customFormat="1" x14ac:dyDescent="0.2">
      <c r="A128" s="206"/>
      <c r="B128" s="283" t="s">
        <v>387</v>
      </c>
      <c r="C128" s="283"/>
      <c r="D128" s="199">
        <v>6</v>
      </c>
      <c r="E128" s="200" t="s">
        <v>389</v>
      </c>
      <c r="F128" s="177"/>
      <c r="G128" s="177"/>
      <c r="H128" s="177"/>
    </row>
    <row r="129" spans="1:8" s="134" customFormat="1" ht="13.5" thickBot="1" x14ac:dyDescent="0.25">
      <c r="A129" s="206"/>
      <c r="B129" s="284"/>
      <c r="C129" s="285"/>
      <c r="D129" s="199"/>
      <c r="E129" s="200"/>
      <c r="F129" s="177"/>
      <c r="G129" s="177"/>
      <c r="H129" s="177"/>
    </row>
    <row r="130" spans="1:8" s="134" customFormat="1" ht="26.25" customHeight="1" thickBot="1" x14ac:dyDescent="0.25">
      <c r="A130" s="206"/>
      <c r="B130" s="286" t="s">
        <v>461</v>
      </c>
      <c r="C130" s="287"/>
      <c r="D130" s="287"/>
      <c r="E130" s="288"/>
      <c r="F130" s="177"/>
      <c r="G130" s="177"/>
      <c r="H130" s="177"/>
    </row>
    <row r="131" spans="1:8" s="134" customFormat="1" x14ac:dyDescent="0.2">
      <c r="A131" s="206"/>
      <c r="B131" s="195" t="s">
        <v>18</v>
      </c>
      <c r="C131" s="193"/>
      <c r="D131" s="210"/>
      <c r="E131" s="194"/>
      <c r="F131" s="177"/>
      <c r="G131" s="177"/>
      <c r="H131" s="177"/>
    </row>
    <row r="132" spans="1:8" s="134" customFormat="1" x14ac:dyDescent="0.2">
      <c r="A132" s="206"/>
      <c r="B132" s="201"/>
      <c r="C132" s="277" t="s">
        <v>62</v>
      </c>
      <c r="D132" s="277"/>
      <c r="E132" s="277"/>
      <c r="F132" s="177"/>
      <c r="G132" s="177"/>
      <c r="H132" s="177"/>
    </row>
    <row r="133" spans="1:8" s="134" customFormat="1" x14ac:dyDescent="0.2">
      <c r="A133" s="206"/>
      <c r="B133" s="195" t="s">
        <v>19</v>
      </c>
      <c r="C133" s="212"/>
      <c r="D133" s="212"/>
      <c r="E133" s="202"/>
      <c r="F133" s="177"/>
      <c r="G133" s="177"/>
      <c r="H133" s="177"/>
    </row>
    <row r="134" spans="1:8" s="134" customFormat="1" x14ac:dyDescent="0.2">
      <c r="A134" s="206"/>
      <c r="B134" s="201"/>
      <c r="C134" s="277" t="s">
        <v>465</v>
      </c>
      <c r="D134" s="277"/>
      <c r="E134" s="277"/>
      <c r="F134" s="177"/>
      <c r="G134" s="177"/>
      <c r="H134" s="177"/>
    </row>
    <row r="135" spans="1:8" s="134" customFormat="1" x14ac:dyDescent="0.2">
      <c r="A135" s="206"/>
      <c r="B135" s="195" t="s">
        <v>20</v>
      </c>
      <c r="C135" s="193"/>
      <c r="D135" s="210"/>
      <c r="E135" s="194"/>
      <c r="F135" s="177"/>
      <c r="G135" s="177"/>
      <c r="H135" s="177"/>
    </row>
    <row r="136" spans="1:8" s="134" customFormat="1" x14ac:dyDescent="0.2">
      <c r="A136" s="206"/>
      <c r="B136" s="195"/>
      <c r="C136" s="278" t="s">
        <v>63</v>
      </c>
      <c r="D136" s="278"/>
      <c r="E136" s="278"/>
      <c r="F136" s="177"/>
      <c r="G136" s="177"/>
      <c r="H136" s="177"/>
    </row>
    <row r="137" spans="1:8" s="134" customFormat="1" ht="13.5" thickBot="1" x14ac:dyDescent="0.25">
      <c r="A137" s="206"/>
      <c r="B137" s="203"/>
      <c r="C137" s="174"/>
      <c r="D137" s="204"/>
      <c r="E137" s="205"/>
      <c r="F137" s="177"/>
      <c r="G137" s="177"/>
      <c r="H137" s="177"/>
    </row>
    <row r="138" spans="1:8" s="134" customFormat="1" ht="13.5" thickBot="1" x14ac:dyDescent="0.25">
      <c r="A138" s="206"/>
      <c r="B138" s="177"/>
      <c r="C138" s="177"/>
      <c r="D138" s="206"/>
      <c r="E138" s="177"/>
      <c r="F138" s="177"/>
      <c r="G138" s="177"/>
      <c r="H138" s="177"/>
    </row>
    <row r="139" spans="1:8" s="134" customFormat="1" x14ac:dyDescent="0.2">
      <c r="A139" s="206"/>
      <c r="B139" s="189" t="s">
        <v>140</v>
      </c>
      <c r="C139" s="190"/>
      <c r="D139" s="209"/>
      <c r="E139" s="191"/>
      <c r="F139" s="177"/>
      <c r="G139" s="177"/>
      <c r="H139" s="177"/>
    </row>
    <row r="140" spans="1:8" s="134" customFormat="1" x14ac:dyDescent="0.2">
      <c r="A140" s="206"/>
      <c r="B140" s="192"/>
      <c r="C140" s="193"/>
      <c r="D140" s="210"/>
      <c r="E140" s="194"/>
      <c r="F140" s="177"/>
      <c r="G140" s="177"/>
      <c r="H140" s="177"/>
    </row>
    <row r="141" spans="1:8" s="134" customFormat="1" x14ac:dyDescent="0.2">
      <c r="A141" s="206"/>
      <c r="B141" s="195" t="s">
        <v>16</v>
      </c>
      <c r="C141" s="193"/>
      <c r="D141" s="210"/>
      <c r="E141" s="194"/>
      <c r="F141" s="177"/>
      <c r="G141" s="177"/>
      <c r="H141" s="177"/>
    </row>
    <row r="142" spans="1:8" s="134" customFormat="1" ht="18" customHeight="1" x14ac:dyDescent="0.2">
      <c r="A142" s="206"/>
      <c r="B142" s="195"/>
      <c r="C142" s="296" t="s">
        <v>466</v>
      </c>
      <c r="D142" s="296"/>
      <c r="E142" s="297"/>
      <c r="F142" s="177"/>
      <c r="G142" s="177"/>
      <c r="H142" s="177"/>
    </row>
    <row r="143" spans="1:8" s="134" customFormat="1" ht="13.5" thickBot="1" x14ac:dyDescent="0.25">
      <c r="A143" s="206"/>
      <c r="B143" s="195" t="s">
        <v>17</v>
      </c>
      <c r="C143" s="193"/>
      <c r="D143" s="210"/>
      <c r="E143" s="194"/>
      <c r="F143" s="177"/>
      <c r="G143" s="177"/>
      <c r="H143" s="177"/>
    </row>
    <row r="144" spans="1:8" s="134" customFormat="1" ht="13.5" thickBot="1" x14ac:dyDescent="0.25">
      <c r="A144" s="206"/>
      <c r="B144" s="298" t="s">
        <v>136</v>
      </c>
      <c r="C144" s="299"/>
      <c r="D144" s="299"/>
      <c r="E144" s="300"/>
      <c r="F144" s="177"/>
      <c r="G144" s="177"/>
      <c r="H144" s="177"/>
    </row>
    <row r="145" spans="1:8" s="134" customFormat="1" ht="12.75" customHeight="1" thickBot="1" x14ac:dyDescent="0.25">
      <c r="A145" s="206"/>
      <c r="B145" s="279" t="s">
        <v>311</v>
      </c>
      <c r="C145" s="281"/>
      <c r="D145" s="196" t="s">
        <v>11</v>
      </c>
      <c r="E145" s="213" t="s">
        <v>569</v>
      </c>
      <c r="F145" s="177"/>
      <c r="G145" s="177"/>
      <c r="H145" s="177"/>
    </row>
    <row r="146" spans="1:8" s="134" customFormat="1" x14ac:dyDescent="0.2">
      <c r="A146" s="206"/>
      <c r="B146" s="282" t="s">
        <v>381</v>
      </c>
      <c r="C146" s="282"/>
      <c r="D146" s="197">
        <v>10</v>
      </c>
      <c r="E146" s="198" t="s">
        <v>382</v>
      </c>
      <c r="F146" s="177"/>
      <c r="G146" s="177"/>
      <c r="H146" s="177"/>
    </row>
    <row r="147" spans="1:8" s="134" customFormat="1" x14ac:dyDescent="0.2">
      <c r="A147" s="206"/>
      <c r="B147" s="283" t="s">
        <v>383</v>
      </c>
      <c r="C147" s="283"/>
      <c r="D147" s="199">
        <v>6</v>
      </c>
      <c r="E147" s="200" t="s">
        <v>384</v>
      </c>
      <c r="F147" s="177"/>
      <c r="G147" s="177"/>
      <c r="H147" s="177"/>
    </row>
    <row r="148" spans="1:8" s="134" customFormat="1" x14ac:dyDescent="0.2">
      <c r="A148" s="206"/>
      <c r="B148" s="283" t="s">
        <v>385</v>
      </c>
      <c r="C148" s="283"/>
      <c r="D148" s="199">
        <v>10</v>
      </c>
      <c r="E148" s="200" t="s">
        <v>388</v>
      </c>
      <c r="F148" s="177"/>
      <c r="G148" s="177"/>
      <c r="H148" s="177"/>
    </row>
    <row r="149" spans="1:8" s="134" customFormat="1" x14ac:dyDescent="0.2">
      <c r="A149" s="206"/>
      <c r="B149" s="283" t="s">
        <v>386</v>
      </c>
      <c r="C149" s="283"/>
      <c r="D149" s="199">
        <v>6</v>
      </c>
      <c r="E149" s="200" t="s">
        <v>392</v>
      </c>
      <c r="F149" s="177"/>
      <c r="G149" s="177"/>
      <c r="H149" s="177"/>
    </row>
    <row r="150" spans="1:8" s="134" customFormat="1" x14ac:dyDescent="0.2">
      <c r="A150" s="206"/>
      <c r="B150" s="283" t="s">
        <v>387</v>
      </c>
      <c r="C150" s="283"/>
      <c r="D150" s="199">
        <v>6</v>
      </c>
      <c r="E150" s="200" t="s">
        <v>389</v>
      </c>
      <c r="F150" s="177"/>
      <c r="G150" s="177"/>
      <c r="H150" s="177"/>
    </row>
    <row r="151" spans="1:8" s="134" customFormat="1" ht="13.5" thickBot="1" x14ac:dyDescent="0.25">
      <c r="A151" s="206"/>
      <c r="B151" s="284"/>
      <c r="C151" s="285"/>
      <c r="D151" s="199"/>
      <c r="E151" s="200"/>
      <c r="F151" s="177"/>
      <c r="G151" s="177"/>
      <c r="H151" s="177"/>
    </row>
    <row r="152" spans="1:8" s="134" customFormat="1" ht="26.25" customHeight="1" thickBot="1" x14ac:dyDescent="0.25">
      <c r="A152" s="206"/>
      <c r="B152" s="286" t="s">
        <v>461</v>
      </c>
      <c r="C152" s="287"/>
      <c r="D152" s="287"/>
      <c r="E152" s="288"/>
      <c r="F152" s="177"/>
      <c r="G152" s="177"/>
      <c r="H152" s="177"/>
    </row>
    <row r="153" spans="1:8" s="134" customFormat="1" x14ac:dyDescent="0.2">
      <c r="A153" s="206"/>
      <c r="B153" s="195" t="s">
        <v>18</v>
      </c>
      <c r="C153" s="193"/>
      <c r="D153" s="210"/>
      <c r="E153" s="194"/>
      <c r="F153" s="177"/>
      <c r="G153" s="177"/>
      <c r="H153" s="177"/>
    </row>
    <row r="154" spans="1:8" s="134" customFormat="1" x14ac:dyDescent="0.2">
      <c r="A154" s="206"/>
      <c r="B154" s="201"/>
      <c r="C154" s="277" t="s">
        <v>62</v>
      </c>
      <c r="D154" s="277"/>
      <c r="E154" s="277"/>
      <c r="F154" s="177"/>
      <c r="G154" s="177"/>
      <c r="H154" s="177"/>
    </row>
    <row r="155" spans="1:8" s="134" customFormat="1" x14ac:dyDescent="0.2">
      <c r="A155" s="206"/>
      <c r="B155" s="195" t="s">
        <v>19</v>
      </c>
      <c r="C155" s="212"/>
      <c r="D155" s="212"/>
      <c r="E155" s="202"/>
      <c r="F155" s="177"/>
      <c r="G155" s="177"/>
      <c r="H155" s="177"/>
    </row>
    <row r="156" spans="1:8" s="134" customFormat="1" x14ac:dyDescent="0.2">
      <c r="A156" s="206"/>
      <c r="B156" s="201"/>
      <c r="C156" s="277" t="s">
        <v>465</v>
      </c>
      <c r="D156" s="277"/>
      <c r="E156" s="277"/>
      <c r="F156" s="177"/>
      <c r="G156" s="177"/>
      <c r="H156" s="177"/>
    </row>
    <row r="157" spans="1:8" s="134" customFormat="1" x14ac:dyDescent="0.2">
      <c r="A157" s="206"/>
      <c r="B157" s="195" t="s">
        <v>20</v>
      </c>
      <c r="C157" s="193"/>
      <c r="D157" s="210"/>
      <c r="E157" s="194"/>
      <c r="F157" s="177"/>
      <c r="G157" s="177"/>
      <c r="H157" s="177"/>
    </row>
    <row r="158" spans="1:8" s="134" customFormat="1" x14ac:dyDescent="0.2">
      <c r="A158" s="206"/>
      <c r="B158" s="195"/>
      <c r="C158" s="278" t="s">
        <v>63</v>
      </c>
      <c r="D158" s="278"/>
      <c r="E158" s="278"/>
      <c r="F158" s="177"/>
      <c r="G158" s="177"/>
      <c r="H158" s="177"/>
    </row>
    <row r="159" spans="1:8" s="134" customFormat="1" ht="13.5" thickBot="1" x14ac:dyDescent="0.25">
      <c r="A159" s="206"/>
      <c r="B159" s="203"/>
      <c r="C159" s="174"/>
      <c r="D159" s="204"/>
      <c r="E159" s="205"/>
      <c r="F159" s="177"/>
      <c r="G159" s="177"/>
      <c r="H159" s="177"/>
    </row>
    <row r="160" spans="1:8" s="134" customFormat="1" ht="13.5" thickBot="1" x14ac:dyDescent="0.25">
      <c r="A160" s="206"/>
      <c r="B160" s="177"/>
      <c r="C160" s="177"/>
      <c r="D160" s="206"/>
      <c r="E160" s="177"/>
      <c r="F160" s="177"/>
      <c r="G160" s="177"/>
      <c r="H160" s="177"/>
    </row>
    <row r="161" spans="1:8" s="134" customFormat="1" x14ac:dyDescent="0.2">
      <c r="A161" s="206"/>
      <c r="B161" s="189" t="s">
        <v>141</v>
      </c>
      <c r="C161" s="190"/>
      <c r="D161" s="209"/>
      <c r="E161" s="191"/>
      <c r="F161" s="177"/>
      <c r="G161" s="177"/>
      <c r="H161" s="177"/>
    </row>
    <row r="162" spans="1:8" s="134" customFormat="1" x14ac:dyDescent="0.2">
      <c r="A162" s="206"/>
      <c r="B162" s="192"/>
      <c r="C162" s="193"/>
      <c r="D162" s="210"/>
      <c r="E162" s="194"/>
      <c r="F162" s="177"/>
      <c r="G162" s="177"/>
      <c r="H162" s="177"/>
    </row>
    <row r="163" spans="1:8" s="134" customFormat="1" x14ac:dyDescent="0.2">
      <c r="A163" s="206"/>
      <c r="B163" s="195" t="s">
        <v>16</v>
      </c>
      <c r="C163" s="193"/>
      <c r="D163" s="210"/>
      <c r="E163" s="194"/>
      <c r="F163" s="177"/>
      <c r="G163" s="177"/>
      <c r="H163" s="177"/>
    </row>
    <row r="164" spans="1:8" s="134" customFormat="1" ht="19.5" customHeight="1" x14ac:dyDescent="0.2">
      <c r="A164" s="206"/>
      <c r="B164" s="195"/>
      <c r="C164" s="277" t="s">
        <v>467</v>
      </c>
      <c r="D164" s="277"/>
      <c r="E164" s="277"/>
      <c r="F164" s="177"/>
      <c r="G164" s="177"/>
      <c r="H164" s="177"/>
    </row>
    <row r="165" spans="1:8" s="134" customFormat="1" ht="13.5" thickBot="1" x14ac:dyDescent="0.25">
      <c r="A165" s="206"/>
      <c r="B165" s="195" t="s">
        <v>17</v>
      </c>
      <c r="C165" s="193"/>
      <c r="D165" s="210"/>
      <c r="E165" s="194"/>
      <c r="F165" s="177"/>
      <c r="G165" s="177"/>
      <c r="H165" s="177"/>
    </row>
    <row r="166" spans="1:8" s="134" customFormat="1" ht="13.5" thickBot="1" x14ac:dyDescent="0.25">
      <c r="A166" s="206"/>
      <c r="B166" s="279" t="s">
        <v>136</v>
      </c>
      <c r="C166" s="280"/>
      <c r="D166" s="280"/>
      <c r="E166" s="281"/>
      <c r="F166" s="177"/>
      <c r="G166" s="177"/>
      <c r="H166" s="177"/>
    </row>
    <row r="167" spans="1:8" s="134" customFormat="1" ht="13.5" thickBot="1" x14ac:dyDescent="0.25">
      <c r="A167" s="206"/>
      <c r="B167" s="279" t="s">
        <v>311</v>
      </c>
      <c r="C167" s="281"/>
      <c r="D167" s="196" t="s">
        <v>11</v>
      </c>
      <c r="E167" s="196" t="s">
        <v>570</v>
      </c>
      <c r="F167" s="177"/>
      <c r="G167" s="177"/>
      <c r="H167" s="177"/>
    </row>
    <row r="168" spans="1:8" s="134" customFormat="1" x14ac:dyDescent="0.2">
      <c r="A168" s="206"/>
      <c r="B168" s="282" t="s">
        <v>381</v>
      </c>
      <c r="C168" s="282"/>
      <c r="D168" s="197">
        <v>10</v>
      </c>
      <c r="E168" s="198" t="s">
        <v>382</v>
      </c>
      <c r="F168" s="177"/>
      <c r="G168" s="177"/>
      <c r="H168" s="177"/>
    </row>
    <row r="169" spans="1:8" s="134" customFormat="1" x14ac:dyDescent="0.2">
      <c r="A169" s="206"/>
      <c r="B169" s="283" t="s">
        <v>383</v>
      </c>
      <c r="C169" s="283"/>
      <c r="D169" s="199">
        <v>6</v>
      </c>
      <c r="E169" s="200" t="s">
        <v>384</v>
      </c>
      <c r="F169" s="177"/>
      <c r="G169" s="177"/>
      <c r="H169" s="177"/>
    </row>
    <row r="170" spans="1:8" s="134" customFormat="1" x14ac:dyDescent="0.2">
      <c r="A170" s="206"/>
      <c r="B170" s="283" t="s">
        <v>385</v>
      </c>
      <c r="C170" s="283"/>
      <c r="D170" s="199">
        <v>10</v>
      </c>
      <c r="E170" s="200" t="s">
        <v>388</v>
      </c>
      <c r="F170" s="177"/>
      <c r="G170" s="177"/>
      <c r="H170" s="177"/>
    </row>
    <row r="171" spans="1:8" s="134" customFormat="1" x14ac:dyDescent="0.2">
      <c r="A171" s="206"/>
      <c r="B171" s="283" t="s">
        <v>386</v>
      </c>
      <c r="C171" s="283"/>
      <c r="D171" s="199">
        <v>6</v>
      </c>
      <c r="E171" s="200" t="s">
        <v>392</v>
      </c>
      <c r="F171" s="177"/>
      <c r="G171" s="177"/>
      <c r="H171" s="177"/>
    </row>
    <row r="172" spans="1:8" s="134" customFormat="1" x14ac:dyDescent="0.2">
      <c r="A172" s="206"/>
      <c r="B172" s="283" t="s">
        <v>387</v>
      </c>
      <c r="C172" s="283"/>
      <c r="D172" s="199">
        <v>6</v>
      </c>
      <c r="E172" s="200" t="s">
        <v>389</v>
      </c>
      <c r="F172" s="177"/>
      <c r="G172" s="177"/>
      <c r="H172" s="177"/>
    </row>
    <row r="173" spans="1:8" s="134" customFormat="1" ht="13.5" thickBot="1" x14ac:dyDescent="0.25">
      <c r="A173" s="206"/>
      <c r="B173" s="284"/>
      <c r="C173" s="285"/>
      <c r="D173" s="199"/>
      <c r="E173" s="200"/>
      <c r="F173" s="177"/>
      <c r="G173" s="177"/>
      <c r="H173" s="177"/>
    </row>
    <row r="174" spans="1:8" s="134" customFormat="1" ht="26.25" customHeight="1" thickBot="1" x14ac:dyDescent="0.25">
      <c r="A174" s="206"/>
      <c r="B174" s="286" t="s">
        <v>463</v>
      </c>
      <c r="C174" s="287"/>
      <c r="D174" s="287"/>
      <c r="E174" s="288"/>
      <c r="F174" s="177"/>
      <c r="G174" s="177"/>
      <c r="H174" s="177"/>
    </row>
    <row r="175" spans="1:8" s="134" customFormat="1" x14ac:dyDescent="0.2">
      <c r="A175" s="206"/>
      <c r="B175" s="195" t="s">
        <v>18</v>
      </c>
      <c r="C175" s="193"/>
      <c r="D175" s="210"/>
      <c r="E175" s="194"/>
      <c r="F175" s="177"/>
      <c r="G175" s="177"/>
      <c r="H175" s="177"/>
    </row>
    <row r="176" spans="1:8" s="134" customFormat="1" x14ac:dyDescent="0.2">
      <c r="A176" s="206"/>
      <c r="B176" s="201"/>
      <c r="C176" s="277" t="s">
        <v>62</v>
      </c>
      <c r="D176" s="277"/>
      <c r="E176" s="277"/>
      <c r="F176" s="177"/>
      <c r="G176" s="177"/>
      <c r="H176" s="177"/>
    </row>
    <row r="177" spans="1:8" s="134" customFormat="1" x14ac:dyDescent="0.2">
      <c r="A177" s="206"/>
      <c r="B177" s="195" t="s">
        <v>19</v>
      </c>
      <c r="C177" s="212"/>
      <c r="D177" s="212"/>
      <c r="E177" s="202"/>
      <c r="F177" s="177"/>
      <c r="G177" s="177"/>
      <c r="H177" s="177"/>
    </row>
    <row r="178" spans="1:8" s="134" customFormat="1" x14ac:dyDescent="0.2">
      <c r="A178" s="206"/>
      <c r="B178" s="201"/>
      <c r="C178" s="277" t="s">
        <v>465</v>
      </c>
      <c r="D178" s="277"/>
      <c r="E178" s="277"/>
      <c r="F178" s="177"/>
      <c r="G178" s="177"/>
      <c r="H178" s="177"/>
    </row>
    <row r="179" spans="1:8" s="134" customFormat="1" x14ac:dyDescent="0.2">
      <c r="A179" s="206"/>
      <c r="B179" s="195" t="s">
        <v>20</v>
      </c>
      <c r="C179" s="193"/>
      <c r="D179" s="210"/>
      <c r="E179" s="194"/>
      <c r="F179" s="177"/>
      <c r="G179" s="177"/>
      <c r="H179" s="177"/>
    </row>
    <row r="180" spans="1:8" s="134" customFormat="1" x14ac:dyDescent="0.2">
      <c r="A180" s="206"/>
      <c r="B180" s="195"/>
      <c r="C180" s="278" t="s">
        <v>63</v>
      </c>
      <c r="D180" s="278"/>
      <c r="E180" s="278"/>
      <c r="F180" s="177"/>
      <c r="G180" s="177"/>
      <c r="H180" s="177"/>
    </row>
    <row r="181" spans="1:8" s="134" customFormat="1" ht="13.5" thickBot="1" x14ac:dyDescent="0.25">
      <c r="A181" s="206"/>
      <c r="B181" s="203"/>
      <c r="C181" s="174"/>
      <c r="D181" s="204"/>
      <c r="E181" s="205"/>
      <c r="F181" s="177"/>
      <c r="G181" s="177"/>
      <c r="H181" s="177"/>
    </row>
    <row r="182" spans="1:8" s="134" customFormat="1" ht="13.5" thickBot="1" x14ac:dyDescent="0.25">
      <c r="A182" s="206"/>
      <c r="B182" s="177"/>
      <c r="C182" s="177"/>
      <c r="D182" s="206"/>
      <c r="E182" s="177"/>
      <c r="F182" s="177"/>
      <c r="G182" s="177"/>
      <c r="H182" s="177"/>
    </row>
    <row r="183" spans="1:8" s="134" customFormat="1" x14ac:dyDescent="0.2">
      <c r="A183" s="206"/>
      <c r="B183" s="189" t="s">
        <v>142</v>
      </c>
      <c r="C183" s="190"/>
      <c r="D183" s="209"/>
      <c r="E183" s="191"/>
      <c r="F183" s="177"/>
      <c r="G183" s="177"/>
      <c r="H183" s="177"/>
    </row>
    <row r="184" spans="1:8" s="134" customFormat="1" x14ac:dyDescent="0.2">
      <c r="A184" s="206"/>
      <c r="B184" s="192"/>
      <c r="C184" s="193"/>
      <c r="D184" s="210"/>
      <c r="E184" s="194"/>
      <c r="F184" s="177"/>
      <c r="G184" s="177"/>
      <c r="H184" s="177"/>
    </row>
    <row r="185" spans="1:8" s="134" customFormat="1" x14ac:dyDescent="0.2">
      <c r="A185" s="206"/>
      <c r="B185" s="195" t="s">
        <v>16</v>
      </c>
      <c r="C185" s="193"/>
      <c r="D185" s="210"/>
      <c r="E185" s="194"/>
      <c r="F185" s="177"/>
      <c r="G185" s="177"/>
      <c r="H185" s="177"/>
    </row>
    <row r="186" spans="1:8" s="134" customFormat="1" ht="20.25" customHeight="1" x14ac:dyDescent="0.2">
      <c r="A186" s="206"/>
      <c r="B186" s="195"/>
      <c r="C186" s="277" t="s">
        <v>469</v>
      </c>
      <c r="D186" s="277"/>
      <c r="E186" s="277"/>
      <c r="F186" s="177"/>
      <c r="G186" s="177"/>
      <c r="H186" s="177"/>
    </row>
    <row r="187" spans="1:8" s="134" customFormat="1" ht="13.5" thickBot="1" x14ac:dyDescent="0.25">
      <c r="A187" s="206"/>
      <c r="B187" s="195" t="s">
        <v>17</v>
      </c>
      <c r="C187" s="193"/>
      <c r="D187" s="210"/>
      <c r="E187" s="194"/>
      <c r="F187" s="177"/>
      <c r="G187" s="177"/>
      <c r="H187" s="177"/>
    </row>
    <row r="188" spans="1:8" s="134" customFormat="1" ht="13.5" thickBot="1" x14ac:dyDescent="0.25">
      <c r="A188" s="206"/>
      <c r="B188" s="279" t="s">
        <v>136</v>
      </c>
      <c r="C188" s="280"/>
      <c r="D188" s="280"/>
      <c r="E188" s="281"/>
      <c r="F188" s="177"/>
      <c r="G188" s="177"/>
      <c r="H188" s="177"/>
    </row>
    <row r="189" spans="1:8" s="134" customFormat="1" ht="13.5" thickBot="1" x14ac:dyDescent="0.25">
      <c r="A189" s="206"/>
      <c r="B189" s="279" t="s">
        <v>311</v>
      </c>
      <c r="C189" s="281"/>
      <c r="D189" s="196" t="s">
        <v>11</v>
      </c>
      <c r="E189" s="196" t="s">
        <v>138</v>
      </c>
      <c r="F189" s="177"/>
      <c r="G189" s="177"/>
      <c r="H189" s="177"/>
    </row>
    <row r="190" spans="1:8" s="134" customFormat="1" x14ac:dyDescent="0.2">
      <c r="A190" s="206"/>
      <c r="B190" s="282" t="s">
        <v>381</v>
      </c>
      <c r="C190" s="282"/>
      <c r="D190" s="197">
        <v>40</v>
      </c>
      <c r="E190" s="198" t="s">
        <v>382</v>
      </c>
      <c r="F190" s="177"/>
      <c r="G190" s="177"/>
      <c r="H190" s="177"/>
    </row>
    <row r="191" spans="1:8" s="134" customFormat="1" x14ac:dyDescent="0.2">
      <c r="A191" s="206"/>
      <c r="B191" s="283" t="s">
        <v>383</v>
      </c>
      <c r="C191" s="283"/>
      <c r="D191" s="199">
        <v>20</v>
      </c>
      <c r="E191" s="200" t="s">
        <v>384</v>
      </c>
      <c r="F191" s="177"/>
      <c r="G191" s="177"/>
      <c r="H191" s="177"/>
    </row>
    <row r="192" spans="1:8" s="134" customFormat="1" x14ac:dyDescent="0.2">
      <c r="A192" s="206"/>
      <c r="B192" s="283" t="s">
        <v>385</v>
      </c>
      <c r="C192" s="283"/>
      <c r="D192" s="199">
        <v>40</v>
      </c>
      <c r="E192" s="200" t="s">
        <v>388</v>
      </c>
      <c r="F192" s="177"/>
      <c r="G192" s="177"/>
      <c r="H192" s="177"/>
    </row>
    <row r="193" spans="1:8" s="134" customFormat="1" x14ac:dyDescent="0.2">
      <c r="A193" s="206"/>
      <c r="B193" s="283" t="s">
        <v>386</v>
      </c>
      <c r="C193" s="283"/>
      <c r="D193" s="199">
        <v>20</v>
      </c>
      <c r="E193" s="200" t="s">
        <v>392</v>
      </c>
      <c r="F193" s="177"/>
      <c r="G193" s="177"/>
      <c r="H193" s="177"/>
    </row>
    <row r="194" spans="1:8" s="134" customFormat="1" x14ac:dyDescent="0.2">
      <c r="A194" s="206"/>
      <c r="B194" s="283" t="s">
        <v>387</v>
      </c>
      <c r="C194" s="283"/>
      <c r="D194" s="199">
        <v>20</v>
      </c>
      <c r="E194" s="200" t="s">
        <v>389</v>
      </c>
      <c r="F194" s="177"/>
      <c r="G194" s="177"/>
      <c r="H194" s="177"/>
    </row>
    <row r="195" spans="1:8" s="134" customFormat="1" ht="13.5" thickBot="1" x14ac:dyDescent="0.25">
      <c r="A195" s="206"/>
      <c r="B195" s="284"/>
      <c r="C195" s="285"/>
      <c r="D195" s="199"/>
      <c r="E195" s="200"/>
      <c r="F195" s="177"/>
      <c r="G195" s="177"/>
      <c r="H195" s="177"/>
    </row>
    <row r="196" spans="1:8" s="134" customFormat="1" ht="26.25" customHeight="1" thickBot="1" x14ac:dyDescent="0.25">
      <c r="A196" s="206"/>
      <c r="B196" s="286" t="s">
        <v>397</v>
      </c>
      <c r="C196" s="287"/>
      <c r="D196" s="287"/>
      <c r="E196" s="288"/>
      <c r="F196" s="177"/>
      <c r="G196" s="177"/>
      <c r="H196" s="177"/>
    </row>
    <row r="197" spans="1:8" s="134" customFormat="1" x14ac:dyDescent="0.2">
      <c r="A197" s="206"/>
      <c r="B197" s="195" t="s">
        <v>18</v>
      </c>
      <c r="C197" s="193"/>
      <c r="D197" s="210"/>
      <c r="E197" s="194"/>
      <c r="F197" s="177"/>
      <c r="G197" s="177"/>
      <c r="H197" s="177"/>
    </row>
    <row r="198" spans="1:8" s="134" customFormat="1" x14ac:dyDescent="0.2">
      <c r="A198" s="206"/>
      <c r="B198" s="201"/>
      <c r="C198" s="277" t="s">
        <v>62</v>
      </c>
      <c r="D198" s="277"/>
      <c r="E198" s="277"/>
      <c r="F198" s="177"/>
      <c r="G198" s="177"/>
      <c r="H198" s="177"/>
    </row>
    <row r="199" spans="1:8" s="134" customFormat="1" x14ac:dyDescent="0.2">
      <c r="A199" s="206"/>
      <c r="B199" s="195" t="s">
        <v>19</v>
      </c>
      <c r="C199" s="212"/>
      <c r="D199" s="212"/>
      <c r="E199" s="202"/>
      <c r="F199" s="177"/>
      <c r="G199" s="177"/>
      <c r="H199" s="177"/>
    </row>
    <row r="200" spans="1:8" s="134" customFormat="1" x14ac:dyDescent="0.2">
      <c r="A200" s="206"/>
      <c r="B200" s="201"/>
      <c r="C200" s="277" t="s">
        <v>465</v>
      </c>
      <c r="D200" s="277"/>
      <c r="E200" s="277"/>
      <c r="F200" s="177"/>
      <c r="G200" s="177"/>
      <c r="H200" s="177"/>
    </row>
    <row r="201" spans="1:8" s="134" customFormat="1" x14ac:dyDescent="0.2">
      <c r="A201" s="206"/>
      <c r="B201" s="195" t="s">
        <v>20</v>
      </c>
      <c r="C201" s="193"/>
      <c r="D201" s="210"/>
      <c r="E201" s="194"/>
      <c r="F201" s="177"/>
      <c r="G201" s="177"/>
      <c r="H201" s="177"/>
    </row>
    <row r="202" spans="1:8" s="134" customFormat="1" x14ac:dyDescent="0.2">
      <c r="A202" s="206"/>
      <c r="B202" s="195"/>
      <c r="C202" s="278" t="s">
        <v>63</v>
      </c>
      <c r="D202" s="278"/>
      <c r="E202" s="278"/>
      <c r="F202" s="177"/>
      <c r="G202" s="177"/>
      <c r="H202" s="177"/>
    </row>
    <row r="203" spans="1:8" s="134" customFormat="1" ht="13.5" thickBot="1" x14ac:dyDescent="0.25">
      <c r="A203" s="206"/>
      <c r="B203" s="203"/>
      <c r="C203" s="174"/>
      <c r="D203" s="204"/>
      <c r="E203" s="205"/>
      <c r="F203" s="177"/>
      <c r="G203" s="177"/>
      <c r="H203" s="177"/>
    </row>
    <row r="204" spans="1:8" s="134" customFormat="1" ht="13.5" thickBot="1" x14ac:dyDescent="0.25">
      <c r="A204" s="206"/>
      <c r="B204" s="177"/>
      <c r="C204" s="177"/>
      <c r="D204" s="206"/>
      <c r="E204" s="177"/>
      <c r="F204" s="177"/>
      <c r="G204" s="177"/>
      <c r="H204" s="177"/>
    </row>
    <row r="205" spans="1:8" s="134" customFormat="1" x14ac:dyDescent="0.2">
      <c r="A205" s="206"/>
      <c r="B205" s="189" t="s">
        <v>143</v>
      </c>
      <c r="C205" s="190"/>
      <c r="D205" s="209"/>
      <c r="E205" s="191"/>
      <c r="F205" s="177"/>
      <c r="G205" s="177"/>
      <c r="H205" s="177"/>
    </row>
    <row r="206" spans="1:8" s="134" customFormat="1" x14ac:dyDescent="0.2">
      <c r="A206" s="206"/>
      <c r="B206" s="192"/>
      <c r="C206" s="193"/>
      <c r="D206" s="210"/>
      <c r="E206" s="194"/>
      <c r="F206" s="177"/>
      <c r="G206" s="177"/>
      <c r="H206" s="177"/>
    </row>
    <row r="207" spans="1:8" s="134" customFormat="1" x14ac:dyDescent="0.2">
      <c r="A207" s="206"/>
      <c r="B207" s="195" t="s">
        <v>16</v>
      </c>
      <c r="C207" s="193"/>
      <c r="D207" s="210"/>
      <c r="E207" s="194"/>
      <c r="F207" s="177"/>
      <c r="G207" s="177"/>
      <c r="H207" s="177"/>
    </row>
    <row r="208" spans="1:8" s="134" customFormat="1" ht="19.5" customHeight="1" x14ac:dyDescent="0.2">
      <c r="A208" s="206"/>
      <c r="B208" s="195"/>
      <c r="C208" s="277" t="s">
        <v>470</v>
      </c>
      <c r="D208" s="277"/>
      <c r="E208" s="277"/>
      <c r="F208" s="177"/>
      <c r="G208" s="177"/>
      <c r="H208" s="177"/>
    </row>
    <row r="209" spans="1:8" s="134" customFormat="1" ht="13.5" thickBot="1" x14ac:dyDescent="0.25">
      <c r="A209" s="206"/>
      <c r="B209" s="195" t="s">
        <v>17</v>
      </c>
      <c r="C209" s="193"/>
      <c r="D209" s="210"/>
      <c r="E209" s="194"/>
      <c r="F209" s="177"/>
      <c r="G209" s="177"/>
      <c r="H209" s="177"/>
    </row>
    <row r="210" spans="1:8" s="134" customFormat="1" ht="13.5" thickBot="1" x14ac:dyDescent="0.25">
      <c r="A210" s="206"/>
      <c r="B210" s="279" t="s">
        <v>136</v>
      </c>
      <c r="C210" s="280"/>
      <c r="D210" s="280"/>
      <c r="E210" s="281"/>
      <c r="F210" s="177"/>
      <c r="G210" s="177"/>
      <c r="H210" s="177"/>
    </row>
    <row r="211" spans="1:8" s="134" customFormat="1" ht="13.5" thickBot="1" x14ac:dyDescent="0.25">
      <c r="A211" s="206"/>
      <c r="B211" s="279" t="s">
        <v>311</v>
      </c>
      <c r="C211" s="281"/>
      <c r="D211" s="196" t="s">
        <v>11</v>
      </c>
      <c r="E211" s="207" t="s">
        <v>476</v>
      </c>
      <c r="F211" s="177"/>
      <c r="G211" s="177"/>
      <c r="H211" s="177"/>
    </row>
    <row r="212" spans="1:8" s="134" customFormat="1" x14ac:dyDescent="0.2">
      <c r="A212" s="206"/>
      <c r="B212" s="301" t="s">
        <v>381</v>
      </c>
      <c r="C212" s="302"/>
      <c r="D212" s="197">
        <v>12</v>
      </c>
      <c r="E212" s="198" t="s">
        <v>382</v>
      </c>
      <c r="F212" s="177"/>
      <c r="G212" s="177"/>
      <c r="H212" s="177"/>
    </row>
    <row r="213" spans="1:8" s="134" customFormat="1" x14ac:dyDescent="0.2">
      <c r="A213" s="206"/>
      <c r="B213" s="284" t="s">
        <v>383</v>
      </c>
      <c r="C213" s="285"/>
      <c r="D213" s="199">
        <v>8</v>
      </c>
      <c r="E213" s="200" t="s">
        <v>384</v>
      </c>
      <c r="F213" s="177"/>
      <c r="G213" s="177"/>
      <c r="H213" s="177"/>
    </row>
    <row r="214" spans="1:8" s="134" customFormat="1" x14ac:dyDescent="0.2">
      <c r="A214" s="206"/>
      <c r="B214" s="284" t="s">
        <v>385</v>
      </c>
      <c r="C214" s="285"/>
      <c r="D214" s="199">
        <v>12</v>
      </c>
      <c r="E214" s="200" t="s">
        <v>388</v>
      </c>
      <c r="F214" s="177"/>
      <c r="G214" s="177"/>
      <c r="H214" s="177"/>
    </row>
    <row r="215" spans="1:8" s="134" customFormat="1" x14ac:dyDescent="0.2">
      <c r="A215" s="206"/>
      <c r="B215" s="284" t="s">
        <v>386</v>
      </c>
      <c r="C215" s="285"/>
      <c r="D215" s="199">
        <v>8</v>
      </c>
      <c r="E215" s="200" t="s">
        <v>392</v>
      </c>
      <c r="F215" s="177"/>
      <c r="G215" s="177"/>
      <c r="H215" s="177"/>
    </row>
    <row r="216" spans="1:8" s="134" customFormat="1" x14ac:dyDescent="0.2">
      <c r="A216" s="206"/>
      <c r="B216" s="284" t="s">
        <v>387</v>
      </c>
      <c r="C216" s="285"/>
      <c r="D216" s="199">
        <v>8</v>
      </c>
      <c r="E216" s="200" t="s">
        <v>389</v>
      </c>
      <c r="F216" s="177"/>
      <c r="G216" s="177"/>
      <c r="H216" s="177"/>
    </row>
    <row r="217" spans="1:8" s="134" customFormat="1" ht="13.5" thickBot="1" x14ac:dyDescent="0.25">
      <c r="A217" s="206"/>
      <c r="B217" s="284"/>
      <c r="C217" s="285"/>
      <c r="D217" s="199"/>
      <c r="E217" s="200"/>
      <c r="F217" s="177"/>
      <c r="G217" s="177"/>
      <c r="H217" s="177"/>
    </row>
    <row r="218" spans="1:8" s="134" customFormat="1" ht="26.25" customHeight="1" thickBot="1" x14ac:dyDescent="0.25">
      <c r="A218" s="206"/>
      <c r="B218" s="286" t="s">
        <v>398</v>
      </c>
      <c r="C218" s="287"/>
      <c r="D218" s="287"/>
      <c r="E218" s="288"/>
      <c r="F218" s="177"/>
      <c r="G218" s="177"/>
      <c r="H218" s="177"/>
    </row>
    <row r="219" spans="1:8" s="134" customFormat="1" x14ac:dyDescent="0.2">
      <c r="A219" s="206"/>
      <c r="B219" s="195" t="s">
        <v>18</v>
      </c>
      <c r="C219" s="193"/>
      <c r="D219" s="210"/>
      <c r="E219" s="194"/>
      <c r="F219" s="177"/>
      <c r="G219" s="177"/>
      <c r="H219" s="177"/>
    </row>
    <row r="220" spans="1:8" s="134" customFormat="1" x14ac:dyDescent="0.2">
      <c r="A220" s="206"/>
      <c r="B220" s="201"/>
      <c r="C220" s="277" t="s">
        <v>62</v>
      </c>
      <c r="D220" s="277"/>
      <c r="E220" s="277"/>
      <c r="F220" s="177"/>
      <c r="G220" s="177"/>
      <c r="H220" s="177"/>
    </row>
    <row r="221" spans="1:8" s="134" customFormat="1" x14ac:dyDescent="0.2">
      <c r="A221" s="206"/>
      <c r="B221" s="195" t="s">
        <v>19</v>
      </c>
      <c r="C221" s="212"/>
      <c r="D221" s="212"/>
      <c r="E221" s="202"/>
      <c r="F221" s="177"/>
      <c r="G221" s="177"/>
      <c r="H221" s="177"/>
    </row>
    <row r="222" spans="1:8" s="134" customFormat="1" x14ac:dyDescent="0.2">
      <c r="A222" s="206"/>
      <c r="B222" s="201"/>
      <c r="C222" s="277" t="s">
        <v>465</v>
      </c>
      <c r="D222" s="277"/>
      <c r="E222" s="277"/>
      <c r="F222" s="177"/>
      <c r="G222" s="177"/>
      <c r="H222" s="177"/>
    </row>
    <row r="223" spans="1:8" s="134" customFormat="1" x14ac:dyDescent="0.2">
      <c r="A223" s="206"/>
      <c r="B223" s="195" t="s">
        <v>20</v>
      </c>
      <c r="C223" s="193"/>
      <c r="D223" s="210"/>
      <c r="E223" s="194"/>
      <c r="F223" s="177"/>
      <c r="G223" s="177"/>
      <c r="H223" s="177"/>
    </row>
    <row r="224" spans="1:8" s="134" customFormat="1" x14ac:dyDescent="0.2">
      <c r="A224" s="206"/>
      <c r="B224" s="195"/>
      <c r="C224" s="278" t="s">
        <v>63</v>
      </c>
      <c r="D224" s="278"/>
      <c r="E224" s="278"/>
      <c r="F224" s="177"/>
      <c r="G224" s="177"/>
      <c r="H224" s="177"/>
    </row>
    <row r="225" spans="1:9" s="134" customFormat="1" ht="13.5" thickBot="1" x14ac:dyDescent="0.25">
      <c r="A225" s="206"/>
      <c r="B225" s="203"/>
      <c r="C225" s="174"/>
      <c r="D225" s="204"/>
      <c r="E225" s="205"/>
      <c r="F225" s="177"/>
      <c r="G225" s="177"/>
      <c r="H225" s="177"/>
    </row>
    <row r="226" spans="1:9" s="134" customFormat="1" ht="13.5" thickBot="1" x14ac:dyDescent="0.25">
      <c r="A226" s="206"/>
      <c r="B226" s="177"/>
      <c r="C226" s="177"/>
      <c r="D226" s="206"/>
      <c r="E226" s="177"/>
      <c r="F226" s="177"/>
      <c r="G226" s="177"/>
      <c r="H226" s="177"/>
    </row>
    <row r="227" spans="1:9" s="134" customFormat="1" x14ac:dyDescent="0.2">
      <c r="A227" s="206"/>
      <c r="B227" s="189" t="s">
        <v>144</v>
      </c>
      <c r="C227" s="190"/>
      <c r="D227" s="209"/>
      <c r="E227" s="191"/>
      <c r="F227" s="177"/>
      <c r="G227" s="177"/>
      <c r="H227" s="177"/>
    </row>
    <row r="228" spans="1:9" s="134" customFormat="1" x14ac:dyDescent="0.2">
      <c r="A228" s="206"/>
      <c r="B228" s="192"/>
      <c r="C228" s="193"/>
      <c r="D228" s="210"/>
      <c r="E228" s="194"/>
      <c r="F228" s="177"/>
      <c r="G228" s="177"/>
      <c r="H228" s="177"/>
    </row>
    <row r="229" spans="1:9" s="134" customFormat="1" x14ac:dyDescent="0.2">
      <c r="A229" s="206"/>
      <c r="B229" s="195" t="s">
        <v>16</v>
      </c>
      <c r="C229" s="193"/>
      <c r="D229" s="210"/>
      <c r="E229" s="194"/>
      <c r="F229" s="177"/>
      <c r="G229" s="177"/>
      <c r="H229" s="177"/>
    </row>
    <row r="230" spans="1:9" s="153" customFormat="1" ht="18" customHeight="1" x14ac:dyDescent="0.2">
      <c r="A230" s="206"/>
      <c r="B230" s="195"/>
      <c r="C230" s="296" t="s">
        <v>471</v>
      </c>
      <c r="D230" s="296"/>
      <c r="E230" s="297"/>
      <c r="F230" s="177"/>
      <c r="G230" s="177"/>
      <c r="H230" s="177"/>
      <c r="I230" s="134"/>
    </row>
    <row r="231" spans="1:9" s="134" customFormat="1" ht="13.5" thickBot="1" x14ac:dyDescent="0.25">
      <c r="A231" s="206"/>
      <c r="B231" s="195" t="s">
        <v>17</v>
      </c>
      <c r="C231" s="193"/>
      <c r="D231" s="210"/>
      <c r="E231" s="194"/>
      <c r="F231" s="177"/>
      <c r="G231" s="177"/>
      <c r="H231" s="177"/>
    </row>
    <row r="232" spans="1:9" s="134" customFormat="1" ht="13.5" thickBot="1" x14ac:dyDescent="0.25">
      <c r="A232" s="206"/>
      <c r="B232" s="279" t="s">
        <v>136</v>
      </c>
      <c r="C232" s="280"/>
      <c r="D232" s="280"/>
      <c r="E232" s="281"/>
      <c r="F232" s="177"/>
      <c r="G232" s="177"/>
      <c r="H232" s="177"/>
    </row>
    <row r="233" spans="1:9" s="134" customFormat="1" ht="13.5" thickBot="1" x14ac:dyDescent="0.25">
      <c r="A233" s="206"/>
      <c r="B233" s="279" t="s">
        <v>311</v>
      </c>
      <c r="C233" s="281"/>
      <c r="D233" s="196" t="s">
        <v>11</v>
      </c>
      <c r="E233" s="207" t="s">
        <v>476</v>
      </c>
      <c r="F233" s="177"/>
      <c r="G233" s="177"/>
      <c r="H233" s="177"/>
    </row>
    <row r="234" spans="1:9" s="134" customFormat="1" x14ac:dyDescent="0.2">
      <c r="A234" s="206"/>
      <c r="B234" s="282" t="s">
        <v>381</v>
      </c>
      <c r="C234" s="282"/>
      <c r="D234" s="197">
        <v>10</v>
      </c>
      <c r="E234" s="198" t="s">
        <v>382</v>
      </c>
      <c r="F234" s="177"/>
      <c r="G234" s="177"/>
      <c r="H234" s="177"/>
    </row>
    <row r="235" spans="1:9" s="134" customFormat="1" x14ac:dyDescent="0.2">
      <c r="A235" s="206"/>
      <c r="B235" s="283" t="s">
        <v>383</v>
      </c>
      <c r="C235" s="283"/>
      <c r="D235" s="199">
        <v>8</v>
      </c>
      <c r="E235" s="200" t="s">
        <v>384</v>
      </c>
      <c r="F235" s="177"/>
      <c r="G235" s="177"/>
      <c r="H235" s="177"/>
    </row>
    <row r="236" spans="1:9" s="134" customFormat="1" x14ac:dyDescent="0.2">
      <c r="A236" s="206"/>
      <c r="B236" s="283" t="s">
        <v>385</v>
      </c>
      <c r="C236" s="283"/>
      <c r="D236" s="199">
        <v>10</v>
      </c>
      <c r="E236" s="200" t="s">
        <v>388</v>
      </c>
      <c r="F236" s="177"/>
      <c r="G236" s="177"/>
      <c r="H236" s="177"/>
    </row>
    <row r="237" spans="1:9" s="134" customFormat="1" x14ac:dyDescent="0.2">
      <c r="A237" s="206"/>
      <c r="B237" s="283" t="s">
        <v>386</v>
      </c>
      <c r="C237" s="283"/>
      <c r="D237" s="199">
        <v>8</v>
      </c>
      <c r="E237" s="200" t="s">
        <v>392</v>
      </c>
      <c r="F237" s="177"/>
      <c r="G237" s="177"/>
      <c r="H237" s="177"/>
    </row>
    <row r="238" spans="1:9" s="134" customFormat="1" x14ac:dyDescent="0.2">
      <c r="A238" s="206"/>
      <c r="B238" s="283" t="s">
        <v>387</v>
      </c>
      <c r="C238" s="283"/>
      <c r="D238" s="199">
        <v>8</v>
      </c>
      <c r="E238" s="200" t="s">
        <v>389</v>
      </c>
      <c r="F238" s="177"/>
      <c r="G238" s="177"/>
      <c r="H238" s="177"/>
    </row>
    <row r="239" spans="1:9" s="134" customFormat="1" ht="13.5" thickBot="1" x14ac:dyDescent="0.25">
      <c r="A239" s="206"/>
      <c r="B239" s="284"/>
      <c r="C239" s="285"/>
      <c r="D239" s="199"/>
      <c r="E239" s="200"/>
      <c r="F239" s="177"/>
      <c r="G239" s="177"/>
      <c r="H239" s="177"/>
    </row>
    <row r="240" spans="1:9" s="134" customFormat="1" ht="26.25" customHeight="1" thickBot="1" x14ac:dyDescent="0.25">
      <c r="A240" s="206"/>
      <c r="B240" s="286" t="s">
        <v>399</v>
      </c>
      <c r="C240" s="287"/>
      <c r="D240" s="287"/>
      <c r="E240" s="288"/>
      <c r="F240" s="177"/>
      <c r="G240" s="177"/>
      <c r="H240" s="177"/>
    </row>
    <row r="241" spans="1:9" s="134" customFormat="1" x14ac:dyDescent="0.2">
      <c r="A241" s="206"/>
      <c r="B241" s="195" t="s">
        <v>18</v>
      </c>
      <c r="C241" s="193"/>
      <c r="D241" s="210"/>
      <c r="E241" s="194"/>
      <c r="F241" s="177"/>
      <c r="G241" s="177"/>
      <c r="H241" s="177"/>
    </row>
    <row r="242" spans="1:9" s="134" customFormat="1" x14ac:dyDescent="0.2">
      <c r="A242" s="206"/>
      <c r="B242" s="201"/>
      <c r="C242" s="277" t="s">
        <v>62</v>
      </c>
      <c r="D242" s="277"/>
      <c r="E242" s="277"/>
      <c r="F242" s="177"/>
      <c r="G242" s="177"/>
      <c r="H242" s="177"/>
    </row>
    <row r="243" spans="1:9" s="134" customFormat="1" x14ac:dyDescent="0.2">
      <c r="A243" s="206"/>
      <c r="B243" s="195" t="s">
        <v>19</v>
      </c>
      <c r="C243" s="212"/>
      <c r="D243" s="212"/>
      <c r="E243" s="202"/>
      <c r="F243" s="177"/>
      <c r="G243" s="177"/>
      <c r="H243" s="177"/>
    </row>
    <row r="244" spans="1:9" s="134" customFormat="1" x14ac:dyDescent="0.2">
      <c r="A244" s="206"/>
      <c r="B244" s="201"/>
      <c r="C244" s="277" t="s">
        <v>465</v>
      </c>
      <c r="D244" s="277"/>
      <c r="E244" s="277"/>
      <c r="F244" s="177"/>
      <c r="G244" s="177"/>
      <c r="H244" s="177"/>
    </row>
    <row r="245" spans="1:9" s="134" customFormat="1" x14ac:dyDescent="0.2">
      <c r="A245" s="206"/>
      <c r="B245" s="195" t="s">
        <v>20</v>
      </c>
      <c r="C245" s="193"/>
      <c r="D245" s="210"/>
      <c r="E245" s="194"/>
      <c r="F245" s="177"/>
      <c r="G245" s="177"/>
      <c r="H245" s="177"/>
    </row>
    <row r="246" spans="1:9" s="134" customFormat="1" x14ac:dyDescent="0.2">
      <c r="A246" s="206"/>
      <c r="B246" s="195"/>
      <c r="C246" s="278" t="s">
        <v>63</v>
      </c>
      <c r="D246" s="278"/>
      <c r="E246" s="278"/>
      <c r="F246" s="177"/>
      <c r="G246" s="177"/>
      <c r="H246" s="177"/>
    </row>
    <row r="247" spans="1:9" s="134" customFormat="1" ht="13.5" thickBot="1" x14ac:dyDescent="0.25">
      <c r="A247" s="206"/>
      <c r="B247" s="203"/>
      <c r="C247" s="174"/>
      <c r="D247" s="204"/>
      <c r="E247" s="205"/>
      <c r="F247" s="177"/>
      <c r="G247" s="177"/>
      <c r="H247" s="177"/>
    </row>
    <row r="248" spans="1:9" s="134" customFormat="1" ht="13.5" thickBot="1" x14ac:dyDescent="0.25">
      <c r="A248" s="206"/>
      <c r="B248" s="177"/>
      <c r="C248" s="177"/>
      <c r="D248" s="206"/>
      <c r="E248" s="177"/>
      <c r="F248" s="177"/>
      <c r="G248" s="177"/>
      <c r="H248" s="177"/>
    </row>
    <row r="249" spans="1:9" s="134" customFormat="1" x14ac:dyDescent="0.2">
      <c r="A249" s="206"/>
      <c r="B249" s="189" t="s">
        <v>145</v>
      </c>
      <c r="C249" s="190"/>
      <c r="D249" s="209"/>
      <c r="E249" s="191"/>
      <c r="F249" s="177"/>
      <c r="G249" s="177"/>
      <c r="H249" s="177"/>
    </row>
    <row r="250" spans="1:9" s="134" customFormat="1" x14ac:dyDescent="0.2">
      <c r="A250" s="206"/>
      <c r="B250" s="192"/>
      <c r="C250" s="193"/>
      <c r="D250" s="210"/>
      <c r="E250" s="194"/>
      <c r="F250" s="177"/>
      <c r="G250" s="177"/>
      <c r="H250" s="177"/>
    </row>
    <row r="251" spans="1:9" s="134" customFormat="1" x14ac:dyDescent="0.2">
      <c r="A251" s="206"/>
      <c r="B251" s="195" t="s">
        <v>16</v>
      </c>
      <c r="C251" s="193"/>
      <c r="D251" s="210"/>
      <c r="E251" s="194"/>
      <c r="F251" s="177"/>
      <c r="G251" s="177"/>
      <c r="H251" s="177"/>
    </row>
    <row r="252" spans="1:9" s="153" customFormat="1" ht="21" customHeight="1" x14ac:dyDescent="0.2">
      <c r="A252" s="206"/>
      <c r="B252" s="195"/>
      <c r="C252" s="277" t="s">
        <v>472</v>
      </c>
      <c r="D252" s="277"/>
      <c r="E252" s="277"/>
      <c r="F252" s="177"/>
      <c r="G252" s="177"/>
      <c r="H252" s="177"/>
      <c r="I252" s="134"/>
    </row>
    <row r="253" spans="1:9" s="134" customFormat="1" ht="13.5" thickBot="1" x14ac:dyDescent="0.25">
      <c r="A253" s="206"/>
      <c r="B253" s="195" t="s">
        <v>17</v>
      </c>
      <c r="C253" s="193"/>
      <c r="D253" s="210"/>
      <c r="E253" s="194"/>
      <c r="F253" s="177"/>
      <c r="G253" s="177"/>
      <c r="H253" s="177"/>
    </row>
    <row r="254" spans="1:9" s="134" customFormat="1" ht="13.5" thickBot="1" x14ac:dyDescent="0.25">
      <c r="A254" s="206"/>
      <c r="B254" s="279" t="s">
        <v>136</v>
      </c>
      <c r="C254" s="280"/>
      <c r="D254" s="280"/>
      <c r="E254" s="281"/>
      <c r="F254" s="177"/>
      <c r="G254" s="177"/>
      <c r="H254" s="177"/>
    </row>
    <row r="255" spans="1:9" s="134" customFormat="1" ht="13.5" thickBot="1" x14ac:dyDescent="0.25">
      <c r="A255" s="206"/>
      <c r="B255" s="279" t="s">
        <v>311</v>
      </c>
      <c r="C255" s="281"/>
      <c r="D255" s="196" t="s">
        <v>11</v>
      </c>
      <c r="E255" s="207" t="s">
        <v>475</v>
      </c>
      <c r="F255" s="177"/>
      <c r="G255" s="177"/>
      <c r="H255" s="177"/>
    </row>
    <row r="256" spans="1:9" s="134" customFormat="1" x14ac:dyDescent="0.2">
      <c r="A256" s="206"/>
      <c r="B256" s="282" t="s">
        <v>381</v>
      </c>
      <c r="C256" s="282"/>
      <c r="D256" s="197">
        <v>6</v>
      </c>
      <c r="E256" s="198" t="s">
        <v>382</v>
      </c>
      <c r="F256" s="177"/>
      <c r="G256" s="177"/>
      <c r="H256" s="177"/>
    </row>
    <row r="257" spans="1:8" s="134" customFormat="1" x14ac:dyDescent="0.2">
      <c r="A257" s="206"/>
      <c r="B257" s="283" t="s">
        <v>383</v>
      </c>
      <c r="C257" s="283"/>
      <c r="D257" s="199">
        <v>4</v>
      </c>
      <c r="E257" s="200" t="s">
        <v>384</v>
      </c>
      <c r="F257" s="177"/>
      <c r="G257" s="177"/>
      <c r="H257" s="177"/>
    </row>
    <row r="258" spans="1:8" s="134" customFormat="1" x14ac:dyDescent="0.2">
      <c r="A258" s="206"/>
      <c r="B258" s="283" t="s">
        <v>385</v>
      </c>
      <c r="C258" s="283"/>
      <c r="D258" s="199">
        <v>6</v>
      </c>
      <c r="E258" s="200" t="s">
        <v>388</v>
      </c>
      <c r="F258" s="177"/>
      <c r="G258" s="177"/>
      <c r="H258" s="177"/>
    </row>
    <row r="259" spans="1:8" s="134" customFormat="1" x14ac:dyDescent="0.2">
      <c r="A259" s="206"/>
      <c r="B259" s="283" t="s">
        <v>386</v>
      </c>
      <c r="C259" s="283"/>
      <c r="D259" s="199">
        <v>4</v>
      </c>
      <c r="E259" s="200" t="s">
        <v>392</v>
      </c>
      <c r="F259" s="177"/>
      <c r="G259" s="177"/>
      <c r="H259" s="177"/>
    </row>
    <row r="260" spans="1:8" s="134" customFormat="1" x14ac:dyDescent="0.2">
      <c r="A260" s="206"/>
      <c r="B260" s="283" t="s">
        <v>387</v>
      </c>
      <c r="C260" s="283"/>
      <c r="D260" s="199">
        <v>4</v>
      </c>
      <c r="E260" s="200" t="s">
        <v>389</v>
      </c>
      <c r="F260" s="177"/>
      <c r="G260" s="177"/>
      <c r="H260" s="177"/>
    </row>
    <row r="261" spans="1:8" s="134" customFormat="1" ht="13.5" thickBot="1" x14ac:dyDescent="0.25">
      <c r="A261" s="206"/>
      <c r="B261" s="284"/>
      <c r="C261" s="285"/>
      <c r="D261" s="199"/>
      <c r="E261" s="200"/>
      <c r="F261" s="177"/>
      <c r="G261" s="177"/>
      <c r="H261" s="177"/>
    </row>
    <row r="262" spans="1:8" s="134" customFormat="1" ht="26.25" customHeight="1" thickBot="1" x14ac:dyDescent="0.25">
      <c r="A262" s="206"/>
      <c r="B262" s="286" t="s">
        <v>405</v>
      </c>
      <c r="C262" s="287"/>
      <c r="D262" s="287"/>
      <c r="E262" s="288"/>
      <c r="F262" s="177"/>
      <c r="G262" s="177"/>
      <c r="H262" s="177"/>
    </row>
    <row r="263" spans="1:8" s="134" customFormat="1" x14ac:dyDescent="0.2">
      <c r="A263" s="206"/>
      <c r="B263" s="195" t="s">
        <v>18</v>
      </c>
      <c r="C263" s="193"/>
      <c r="D263" s="210"/>
      <c r="E263" s="194"/>
      <c r="F263" s="177"/>
      <c r="G263" s="177"/>
      <c r="H263" s="177"/>
    </row>
    <row r="264" spans="1:8" s="134" customFormat="1" x14ac:dyDescent="0.2">
      <c r="A264" s="206"/>
      <c r="B264" s="201"/>
      <c r="C264" s="277" t="s">
        <v>62</v>
      </c>
      <c r="D264" s="277"/>
      <c r="E264" s="277"/>
      <c r="F264" s="177"/>
      <c r="G264" s="177"/>
      <c r="H264" s="177"/>
    </row>
    <row r="265" spans="1:8" s="134" customFormat="1" x14ac:dyDescent="0.2">
      <c r="A265" s="206"/>
      <c r="B265" s="195" t="s">
        <v>19</v>
      </c>
      <c r="C265" s="212"/>
      <c r="D265" s="212"/>
      <c r="E265" s="202"/>
      <c r="F265" s="177"/>
      <c r="G265" s="177"/>
      <c r="H265" s="177"/>
    </row>
    <row r="266" spans="1:8" s="134" customFormat="1" x14ac:dyDescent="0.2">
      <c r="A266" s="206"/>
      <c r="B266" s="201"/>
      <c r="C266" s="277" t="s">
        <v>465</v>
      </c>
      <c r="D266" s="277"/>
      <c r="E266" s="277"/>
      <c r="F266" s="177"/>
      <c r="G266" s="177"/>
      <c r="H266" s="177"/>
    </row>
    <row r="267" spans="1:8" s="134" customFormat="1" x14ac:dyDescent="0.2">
      <c r="A267" s="206"/>
      <c r="B267" s="195" t="s">
        <v>20</v>
      </c>
      <c r="C267" s="193"/>
      <c r="D267" s="210"/>
      <c r="E267" s="194"/>
      <c r="F267" s="177"/>
      <c r="G267" s="177"/>
      <c r="H267" s="177"/>
    </row>
    <row r="268" spans="1:8" s="134" customFormat="1" x14ac:dyDescent="0.2">
      <c r="A268" s="206"/>
      <c r="B268" s="195"/>
      <c r="C268" s="278" t="s">
        <v>63</v>
      </c>
      <c r="D268" s="278"/>
      <c r="E268" s="278"/>
      <c r="F268" s="177"/>
      <c r="G268" s="177"/>
      <c r="H268" s="177"/>
    </row>
    <row r="269" spans="1:8" s="134" customFormat="1" ht="13.5" thickBot="1" x14ac:dyDescent="0.25">
      <c r="A269" s="206"/>
      <c r="B269" s="203"/>
      <c r="C269" s="174"/>
      <c r="D269" s="204"/>
      <c r="E269" s="205"/>
      <c r="F269" s="177"/>
      <c r="G269" s="177"/>
      <c r="H269" s="177"/>
    </row>
    <row r="270" spans="1:8" s="134" customFormat="1" ht="13.5" thickBot="1" x14ac:dyDescent="0.25">
      <c r="A270" s="206"/>
      <c r="B270" s="177"/>
      <c r="C270" s="177"/>
      <c r="D270" s="206"/>
      <c r="E270" s="177"/>
      <c r="F270" s="177"/>
      <c r="G270" s="177"/>
      <c r="H270" s="177"/>
    </row>
    <row r="271" spans="1:8" s="134" customFormat="1" x14ac:dyDescent="0.2">
      <c r="A271" s="206"/>
      <c r="B271" s="189" t="s">
        <v>146</v>
      </c>
      <c r="C271" s="190"/>
      <c r="D271" s="209"/>
      <c r="E271" s="191"/>
      <c r="F271" s="177"/>
      <c r="G271" s="177"/>
      <c r="H271" s="177"/>
    </row>
    <row r="272" spans="1:8" s="134" customFormat="1" x14ac:dyDescent="0.2">
      <c r="A272" s="206"/>
      <c r="B272" s="192"/>
      <c r="C272" s="193"/>
      <c r="D272" s="210"/>
      <c r="E272" s="194"/>
      <c r="F272" s="177"/>
      <c r="G272" s="177"/>
      <c r="H272" s="177"/>
    </row>
    <row r="273" spans="1:9" s="134" customFormat="1" x14ac:dyDescent="0.2">
      <c r="A273" s="206"/>
      <c r="B273" s="195" t="s">
        <v>16</v>
      </c>
      <c r="C273" s="193"/>
      <c r="D273" s="210"/>
      <c r="E273" s="194"/>
      <c r="F273" s="177"/>
      <c r="G273" s="177"/>
      <c r="H273" s="177"/>
    </row>
    <row r="274" spans="1:9" s="153" customFormat="1" x14ac:dyDescent="0.2">
      <c r="A274" s="206"/>
      <c r="B274" s="195"/>
      <c r="C274" s="277" t="s">
        <v>473</v>
      </c>
      <c r="D274" s="277"/>
      <c r="E274" s="277"/>
      <c r="F274" s="177"/>
      <c r="G274" s="177"/>
      <c r="H274" s="177"/>
      <c r="I274" s="134"/>
    </row>
    <row r="275" spans="1:9" s="134" customFormat="1" ht="13.5" thickBot="1" x14ac:dyDescent="0.25">
      <c r="A275" s="206"/>
      <c r="B275" s="195" t="s">
        <v>17</v>
      </c>
      <c r="C275" s="193"/>
      <c r="D275" s="210"/>
      <c r="E275" s="194"/>
      <c r="F275" s="177"/>
      <c r="G275" s="177"/>
      <c r="H275" s="177"/>
    </row>
    <row r="276" spans="1:9" s="134" customFormat="1" ht="13.5" thickBot="1" x14ac:dyDescent="0.25">
      <c r="A276" s="206"/>
      <c r="B276" s="279" t="s">
        <v>136</v>
      </c>
      <c r="C276" s="280"/>
      <c r="D276" s="280"/>
      <c r="E276" s="281"/>
      <c r="F276" s="177"/>
      <c r="G276" s="177"/>
      <c r="H276" s="177"/>
    </row>
    <row r="277" spans="1:9" s="134" customFormat="1" ht="12.75" customHeight="1" thickBot="1" x14ac:dyDescent="0.25">
      <c r="A277" s="206"/>
      <c r="B277" s="279" t="s">
        <v>311</v>
      </c>
      <c r="C277" s="281"/>
      <c r="D277" s="196" t="s">
        <v>11</v>
      </c>
      <c r="E277" s="196" t="s">
        <v>138</v>
      </c>
      <c r="F277" s="177"/>
      <c r="G277" s="177"/>
      <c r="H277" s="177"/>
    </row>
    <row r="278" spans="1:9" s="134" customFormat="1" x14ac:dyDescent="0.2">
      <c r="A278" s="206"/>
      <c r="B278" s="282" t="s">
        <v>381</v>
      </c>
      <c r="C278" s="282"/>
      <c r="D278" s="197">
        <v>8</v>
      </c>
      <c r="E278" s="198" t="s">
        <v>382</v>
      </c>
      <c r="F278" s="177"/>
      <c r="G278" s="177"/>
      <c r="H278" s="177"/>
    </row>
    <row r="279" spans="1:9" s="134" customFormat="1" x14ac:dyDescent="0.2">
      <c r="A279" s="206"/>
      <c r="B279" s="283" t="s">
        <v>383</v>
      </c>
      <c r="C279" s="283"/>
      <c r="D279" s="199">
        <v>8</v>
      </c>
      <c r="E279" s="200" t="s">
        <v>384</v>
      </c>
      <c r="F279" s="177"/>
      <c r="G279" s="177"/>
      <c r="H279" s="177"/>
    </row>
    <row r="280" spans="1:9" s="134" customFormat="1" x14ac:dyDescent="0.2">
      <c r="A280" s="206"/>
      <c r="B280" s="283" t="s">
        <v>385</v>
      </c>
      <c r="C280" s="283"/>
      <c r="D280" s="199">
        <v>8</v>
      </c>
      <c r="E280" s="200" t="s">
        <v>388</v>
      </c>
      <c r="F280" s="177"/>
      <c r="G280" s="177"/>
      <c r="H280" s="177"/>
    </row>
    <row r="281" spans="1:9" s="134" customFormat="1" x14ac:dyDescent="0.2">
      <c r="A281" s="206"/>
      <c r="B281" s="283" t="s">
        <v>386</v>
      </c>
      <c r="C281" s="283"/>
      <c r="D281" s="199">
        <v>8</v>
      </c>
      <c r="E281" s="200" t="s">
        <v>392</v>
      </c>
      <c r="F281" s="177"/>
      <c r="G281" s="177"/>
      <c r="H281" s="177"/>
    </row>
    <row r="282" spans="1:9" s="134" customFormat="1" x14ac:dyDescent="0.2">
      <c r="A282" s="206"/>
      <c r="B282" s="283" t="s">
        <v>387</v>
      </c>
      <c r="C282" s="283"/>
      <c r="D282" s="199">
        <v>8</v>
      </c>
      <c r="E282" s="200" t="s">
        <v>389</v>
      </c>
      <c r="F282" s="177"/>
      <c r="G282" s="177"/>
      <c r="H282" s="177"/>
    </row>
    <row r="283" spans="1:9" s="134" customFormat="1" ht="13.5" thickBot="1" x14ac:dyDescent="0.25">
      <c r="A283" s="206"/>
      <c r="B283" s="284"/>
      <c r="C283" s="285"/>
      <c r="D283" s="199"/>
      <c r="E283" s="200"/>
      <c r="F283" s="177"/>
      <c r="G283" s="177"/>
      <c r="H283" s="177"/>
    </row>
    <row r="284" spans="1:9" s="134" customFormat="1" ht="26.25" customHeight="1" thickBot="1" x14ac:dyDescent="0.25">
      <c r="A284" s="206"/>
      <c r="B284" s="286" t="s">
        <v>406</v>
      </c>
      <c r="C284" s="287"/>
      <c r="D284" s="287"/>
      <c r="E284" s="288"/>
      <c r="F284" s="177"/>
      <c r="G284" s="177"/>
      <c r="H284" s="177"/>
    </row>
    <row r="285" spans="1:9" s="134" customFormat="1" x14ac:dyDescent="0.2">
      <c r="A285" s="206"/>
      <c r="B285" s="195" t="s">
        <v>18</v>
      </c>
      <c r="C285" s="193"/>
      <c r="D285" s="210"/>
      <c r="E285" s="194"/>
      <c r="F285" s="177"/>
      <c r="G285" s="177"/>
      <c r="H285" s="177"/>
    </row>
    <row r="286" spans="1:9" s="134" customFormat="1" x14ac:dyDescent="0.2">
      <c r="A286" s="206"/>
      <c r="B286" s="201"/>
      <c r="C286" s="277" t="s">
        <v>62</v>
      </c>
      <c r="D286" s="277"/>
      <c r="E286" s="277"/>
      <c r="F286" s="177"/>
      <c r="G286" s="177"/>
      <c r="H286" s="177"/>
    </row>
    <row r="287" spans="1:9" s="134" customFormat="1" x14ac:dyDescent="0.2">
      <c r="A287" s="206"/>
      <c r="B287" s="195" t="s">
        <v>19</v>
      </c>
      <c r="C287" s="212"/>
      <c r="D287" s="212"/>
      <c r="E287" s="202"/>
      <c r="F287" s="177"/>
      <c r="G287" s="177"/>
      <c r="H287" s="177"/>
    </row>
    <row r="288" spans="1:9" s="134" customFormat="1" x14ac:dyDescent="0.2">
      <c r="A288" s="206"/>
      <c r="B288" s="201"/>
      <c r="C288" s="277" t="s">
        <v>465</v>
      </c>
      <c r="D288" s="277"/>
      <c r="E288" s="277"/>
      <c r="F288" s="177"/>
      <c r="G288" s="177"/>
      <c r="H288" s="177"/>
    </row>
    <row r="289" spans="1:8" s="134" customFormat="1" x14ac:dyDescent="0.2">
      <c r="A289" s="206"/>
      <c r="B289" s="195" t="s">
        <v>20</v>
      </c>
      <c r="C289" s="193"/>
      <c r="D289" s="210"/>
      <c r="E289" s="194"/>
      <c r="F289" s="177"/>
      <c r="G289" s="177"/>
      <c r="H289" s="177"/>
    </row>
    <row r="290" spans="1:8" s="134" customFormat="1" x14ac:dyDescent="0.2">
      <c r="A290" s="206"/>
      <c r="B290" s="195"/>
      <c r="C290" s="278" t="s">
        <v>63</v>
      </c>
      <c r="D290" s="278"/>
      <c r="E290" s="278"/>
      <c r="F290" s="177"/>
      <c r="G290" s="177"/>
      <c r="H290" s="177"/>
    </row>
    <row r="291" spans="1:8" s="134" customFormat="1" ht="13.5" thickBot="1" x14ac:dyDescent="0.25">
      <c r="A291" s="206"/>
      <c r="B291" s="203"/>
      <c r="C291" s="174"/>
      <c r="D291" s="204"/>
      <c r="E291" s="205"/>
      <c r="F291" s="177"/>
      <c r="G291" s="177"/>
      <c r="H291" s="177"/>
    </row>
    <row r="292" spans="1:8" s="134" customFormat="1" ht="13.5" thickBot="1" x14ac:dyDescent="0.25">
      <c r="A292" s="206"/>
      <c r="B292" s="177"/>
      <c r="C292" s="177"/>
      <c r="D292" s="206"/>
      <c r="E292" s="177"/>
      <c r="F292" s="177"/>
      <c r="G292" s="177"/>
      <c r="H292" s="177"/>
    </row>
    <row r="293" spans="1:8" s="134" customFormat="1" x14ac:dyDescent="0.2">
      <c r="A293" s="206"/>
      <c r="B293" s="189" t="s">
        <v>147</v>
      </c>
      <c r="C293" s="190"/>
      <c r="D293" s="209"/>
      <c r="E293" s="191"/>
      <c r="F293" s="177"/>
      <c r="G293" s="177"/>
      <c r="H293" s="177"/>
    </row>
    <row r="294" spans="1:8" s="134" customFormat="1" x14ac:dyDescent="0.2">
      <c r="A294" s="206"/>
      <c r="B294" s="192"/>
      <c r="C294" s="193"/>
      <c r="D294" s="210"/>
      <c r="E294" s="194"/>
      <c r="F294" s="177"/>
      <c r="G294" s="177"/>
      <c r="H294" s="177"/>
    </row>
    <row r="295" spans="1:8" s="134" customFormat="1" x14ac:dyDescent="0.2">
      <c r="A295" s="206"/>
      <c r="B295" s="195" t="s">
        <v>16</v>
      </c>
      <c r="C295" s="193"/>
      <c r="D295" s="210"/>
      <c r="E295" s="194"/>
      <c r="F295" s="177"/>
      <c r="G295" s="177"/>
      <c r="H295" s="177"/>
    </row>
    <row r="296" spans="1:8" s="134" customFormat="1" x14ac:dyDescent="0.2">
      <c r="A296" s="206"/>
      <c r="B296" s="195"/>
      <c r="C296" s="277" t="s">
        <v>481</v>
      </c>
      <c r="D296" s="277"/>
      <c r="E296" s="277"/>
      <c r="F296" s="177"/>
      <c r="G296" s="177"/>
      <c r="H296" s="177"/>
    </row>
    <row r="297" spans="1:8" s="134" customFormat="1" ht="13.5" thickBot="1" x14ac:dyDescent="0.25">
      <c r="A297" s="206"/>
      <c r="B297" s="195" t="s">
        <v>17</v>
      </c>
      <c r="C297" s="193"/>
      <c r="D297" s="210"/>
      <c r="E297" s="194"/>
      <c r="F297" s="177"/>
      <c r="G297" s="177"/>
      <c r="H297" s="177"/>
    </row>
    <row r="298" spans="1:8" s="134" customFormat="1" ht="13.5" thickBot="1" x14ac:dyDescent="0.25">
      <c r="A298" s="206"/>
      <c r="B298" s="279" t="s">
        <v>136</v>
      </c>
      <c r="C298" s="280"/>
      <c r="D298" s="280"/>
      <c r="E298" s="281"/>
      <c r="F298" s="177"/>
      <c r="G298" s="177"/>
      <c r="H298" s="177"/>
    </row>
    <row r="299" spans="1:8" s="134" customFormat="1" ht="13.5" thickBot="1" x14ac:dyDescent="0.25">
      <c r="A299" s="206"/>
      <c r="B299" s="279" t="s">
        <v>311</v>
      </c>
      <c r="C299" s="281"/>
      <c r="D299" s="196" t="s">
        <v>11</v>
      </c>
      <c r="E299" s="196" t="s">
        <v>138</v>
      </c>
      <c r="F299" s="177"/>
      <c r="G299" s="177"/>
      <c r="H299" s="177"/>
    </row>
    <row r="300" spans="1:8" s="134" customFormat="1" x14ac:dyDescent="0.2">
      <c r="A300" s="206"/>
      <c r="B300" s="282" t="s">
        <v>381</v>
      </c>
      <c r="C300" s="282"/>
      <c r="D300" s="197">
        <v>8</v>
      </c>
      <c r="E300" s="198" t="s">
        <v>382</v>
      </c>
      <c r="F300" s="177"/>
      <c r="G300" s="177"/>
      <c r="H300" s="177"/>
    </row>
    <row r="301" spans="1:8" s="134" customFormat="1" x14ac:dyDescent="0.2">
      <c r="A301" s="206"/>
      <c r="B301" s="283" t="s">
        <v>383</v>
      </c>
      <c r="C301" s="283"/>
      <c r="D301" s="199">
        <v>8</v>
      </c>
      <c r="E301" s="200" t="s">
        <v>384</v>
      </c>
      <c r="F301" s="177"/>
      <c r="G301" s="177"/>
      <c r="H301" s="177"/>
    </row>
    <row r="302" spans="1:8" s="134" customFormat="1" x14ac:dyDescent="0.2">
      <c r="A302" s="206"/>
      <c r="B302" s="283" t="s">
        <v>385</v>
      </c>
      <c r="C302" s="283"/>
      <c r="D302" s="199">
        <v>8</v>
      </c>
      <c r="E302" s="200" t="s">
        <v>388</v>
      </c>
      <c r="F302" s="177"/>
      <c r="G302" s="177"/>
      <c r="H302" s="177"/>
    </row>
    <row r="303" spans="1:8" s="134" customFormat="1" x14ac:dyDescent="0.2">
      <c r="A303" s="206"/>
      <c r="B303" s="283" t="s">
        <v>386</v>
      </c>
      <c r="C303" s="283"/>
      <c r="D303" s="199">
        <v>8</v>
      </c>
      <c r="E303" s="200" t="s">
        <v>392</v>
      </c>
      <c r="F303" s="177"/>
      <c r="G303" s="177"/>
      <c r="H303" s="177"/>
    </row>
    <row r="304" spans="1:8" s="134" customFormat="1" x14ac:dyDescent="0.2">
      <c r="A304" s="206"/>
      <c r="B304" s="283" t="s">
        <v>387</v>
      </c>
      <c r="C304" s="283"/>
      <c r="D304" s="199">
        <v>8</v>
      </c>
      <c r="E304" s="200" t="s">
        <v>389</v>
      </c>
      <c r="F304" s="177"/>
      <c r="G304" s="177"/>
      <c r="H304" s="177"/>
    </row>
    <row r="305" spans="1:8" s="134" customFormat="1" ht="13.5" thickBot="1" x14ac:dyDescent="0.25">
      <c r="A305" s="206"/>
      <c r="B305" s="284"/>
      <c r="C305" s="285"/>
      <c r="D305" s="199"/>
      <c r="E305" s="200"/>
      <c r="F305" s="177"/>
      <c r="G305" s="177"/>
      <c r="H305" s="177"/>
    </row>
    <row r="306" spans="1:8" s="134" customFormat="1" ht="26.25" customHeight="1" thickBot="1" x14ac:dyDescent="0.25">
      <c r="A306" s="206"/>
      <c r="B306" s="286" t="s">
        <v>406</v>
      </c>
      <c r="C306" s="287"/>
      <c r="D306" s="287"/>
      <c r="E306" s="288"/>
      <c r="F306" s="177"/>
      <c r="G306" s="177"/>
      <c r="H306" s="177"/>
    </row>
    <row r="307" spans="1:8" s="134" customFormat="1" x14ac:dyDescent="0.2">
      <c r="A307" s="206"/>
      <c r="B307" s="195" t="s">
        <v>18</v>
      </c>
      <c r="C307" s="193"/>
      <c r="D307" s="210"/>
      <c r="E307" s="194"/>
      <c r="F307" s="177"/>
      <c r="G307" s="177"/>
      <c r="H307" s="177"/>
    </row>
    <row r="308" spans="1:8" s="134" customFormat="1" x14ac:dyDescent="0.2">
      <c r="A308" s="206"/>
      <c r="B308" s="201"/>
      <c r="C308" s="277" t="s">
        <v>62</v>
      </c>
      <c r="D308" s="277"/>
      <c r="E308" s="277"/>
      <c r="F308" s="177"/>
      <c r="G308" s="177"/>
      <c r="H308" s="177"/>
    </row>
    <row r="309" spans="1:8" s="134" customFormat="1" x14ac:dyDescent="0.2">
      <c r="A309" s="206"/>
      <c r="B309" s="195" t="s">
        <v>19</v>
      </c>
      <c r="C309" s="212"/>
      <c r="D309" s="212"/>
      <c r="E309" s="202"/>
      <c r="F309" s="177"/>
      <c r="G309" s="177"/>
      <c r="H309" s="177"/>
    </row>
    <row r="310" spans="1:8" s="134" customFormat="1" x14ac:dyDescent="0.2">
      <c r="A310" s="206"/>
      <c r="B310" s="201"/>
      <c r="C310" s="277" t="s">
        <v>465</v>
      </c>
      <c r="D310" s="277"/>
      <c r="E310" s="277"/>
      <c r="F310" s="177"/>
      <c r="G310" s="177"/>
      <c r="H310" s="177"/>
    </row>
    <row r="311" spans="1:8" s="134" customFormat="1" x14ac:dyDescent="0.2">
      <c r="A311" s="206"/>
      <c r="B311" s="195" t="s">
        <v>20</v>
      </c>
      <c r="C311" s="193"/>
      <c r="D311" s="210"/>
      <c r="E311" s="194"/>
      <c r="F311" s="177"/>
      <c r="G311" s="177"/>
      <c r="H311" s="177"/>
    </row>
    <row r="312" spans="1:8" s="134" customFormat="1" x14ac:dyDescent="0.2">
      <c r="A312" s="206"/>
      <c r="B312" s="195"/>
      <c r="C312" s="278" t="s">
        <v>63</v>
      </c>
      <c r="D312" s="278"/>
      <c r="E312" s="278"/>
      <c r="F312" s="177"/>
      <c r="G312" s="177"/>
      <c r="H312" s="177"/>
    </row>
    <row r="313" spans="1:8" s="134" customFormat="1" ht="13.5" thickBot="1" x14ac:dyDescent="0.25">
      <c r="A313" s="206"/>
      <c r="B313" s="203"/>
      <c r="C313" s="174"/>
      <c r="D313" s="204"/>
      <c r="E313" s="205"/>
      <c r="F313" s="177"/>
      <c r="G313" s="177"/>
      <c r="H313" s="177"/>
    </row>
    <row r="314" spans="1:8" s="134" customFormat="1" ht="13.5" thickBot="1" x14ac:dyDescent="0.25">
      <c r="A314" s="206"/>
      <c r="B314" s="177"/>
      <c r="C314" s="177"/>
      <c r="D314" s="206"/>
      <c r="E314" s="177"/>
      <c r="F314" s="177"/>
      <c r="G314" s="177"/>
      <c r="H314" s="177"/>
    </row>
    <row r="315" spans="1:8" s="134" customFormat="1" x14ac:dyDescent="0.2">
      <c r="A315" s="206"/>
      <c r="B315" s="189" t="s">
        <v>148</v>
      </c>
      <c r="C315" s="190"/>
      <c r="D315" s="209"/>
      <c r="E315" s="191"/>
      <c r="F315" s="177"/>
      <c r="G315" s="177"/>
      <c r="H315" s="177"/>
    </row>
    <row r="316" spans="1:8" s="134" customFormat="1" x14ac:dyDescent="0.2">
      <c r="A316" s="206"/>
      <c r="B316" s="192"/>
      <c r="C316" s="303" t="s">
        <v>474</v>
      </c>
      <c r="D316" s="303"/>
      <c r="E316" s="278"/>
      <c r="F316" s="177"/>
      <c r="G316" s="177"/>
      <c r="H316" s="177"/>
    </row>
    <row r="317" spans="1:8" s="134" customFormat="1" x14ac:dyDescent="0.2">
      <c r="A317" s="206"/>
      <c r="B317" s="195" t="s">
        <v>16</v>
      </c>
      <c r="C317" s="193"/>
      <c r="D317" s="210"/>
      <c r="E317" s="194"/>
      <c r="F317" s="177"/>
      <c r="G317" s="177"/>
      <c r="H317" s="177"/>
    </row>
    <row r="318" spans="1:8" s="134" customFormat="1" x14ac:dyDescent="0.2">
      <c r="A318" s="206"/>
      <c r="B318" s="195"/>
      <c r="C318" s="277"/>
      <c r="D318" s="277"/>
      <c r="E318" s="277"/>
      <c r="F318" s="177"/>
      <c r="G318" s="177"/>
      <c r="H318" s="177"/>
    </row>
    <row r="319" spans="1:8" s="134" customFormat="1" ht="13.5" thickBot="1" x14ac:dyDescent="0.25">
      <c r="A319" s="206"/>
      <c r="B319" s="195" t="s">
        <v>17</v>
      </c>
      <c r="C319" s="193"/>
      <c r="D319" s="210"/>
      <c r="E319" s="194"/>
      <c r="F319" s="177"/>
      <c r="G319" s="177"/>
      <c r="H319" s="177"/>
    </row>
    <row r="320" spans="1:8" s="134" customFormat="1" ht="13.5" thickBot="1" x14ac:dyDescent="0.25">
      <c r="A320" s="206"/>
      <c r="B320" s="279" t="s">
        <v>136</v>
      </c>
      <c r="C320" s="280"/>
      <c r="D320" s="280"/>
      <c r="E320" s="281"/>
      <c r="F320" s="177"/>
      <c r="G320" s="177"/>
      <c r="H320" s="177"/>
    </row>
    <row r="321" spans="1:8" s="134" customFormat="1" ht="13.5" thickBot="1" x14ac:dyDescent="0.25">
      <c r="A321" s="206"/>
      <c r="B321" s="279" t="s">
        <v>311</v>
      </c>
      <c r="C321" s="281"/>
      <c r="D321" s="196" t="s">
        <v>11</v>
      </c>
      <c r="E321" s="196" t="s">
        <v>138</v>
      </c>
      <c r="F321" s="177"/>
      <c r="G321" s="177"/>
      <c r="H321" s="177"/>
    </row>
    <row r="322" spans="1:8" s="134" customFormat="1" x14ac:dyDescent="0.2">
      <c r="A322" s="206"/>
      <c r="B322" s="282" t="s">
        <v>381</v>
      </c>
      <c r="C322" s="282"/>
      <c r="D322" s="197">
        <v>8</v>
      </c>
      <c r="E322" s="198" t="s">
        <v>382</v>
      </c>
      <c r="F322" s="177"/>
      <c r="G322" s="177"/>
      <c r="H322" s="177"/>
    </row>
    <row r="323" spans="1:8" s="134" customFormat="1" x14ac:dyDescent="0.2">
      <c r="A323" s="206"/>
      <c r="B323" s="283" t="s">
        <v>383</v>
      </c>
      <c r="C323" s="283"/>
      <c r="D323" s="199">
        <v>8</v>
      </c>
      <c r="E323" s="200" t="s">
        <v>384</v>
      </c>
      <c r="F323" s="177"/>
      <c r="G323" s="177"/>
      <c r="H323" s="177"/>
    </row>
    <row r="324" spans="1:8" s="134" customFormat="1" x14ac:dyDescent="0.2">
      <c r="A324" s="206"/>
      <c r="B324" s="283" t="s">
        <v>385</v>
      </c>
      <c r="C324" s="283"/>
      <c r="D324" s="199">
        <v>8</v>
      </c>
      <c r="E324" s="200" t="s">
        <v>388</v>
      </c>
      <c r="F324" s="177"/>
      <c r="G324" s="177"/>
      <c r="H324" s="177"/>
    </row>
    <row r="325" spans="1:8" s="134" customFormat="1" x14ac:dyDescent="0.2">
      <c r="A325" s="206"/>
      <c r="B325" s="283" t="s">
        <v>386</v>
      </c>
      <c r="C325" s="283"/>
      <c r="D325" s="199">
        <v>8</v>
      </c>
      <c r="E325" s="200" t="s">
        <v>392</v>
      </c>
      <c r="F325" s="177"/>
      <c r="G325" s="177"/>
      <c r="H325" s="177"/>
    </row>
    <row r="326" spans="1:8" s="134" customFormat="1" x14ac:dyDescent="0.2">
      <c r="A326" s="206"/>
      <c r="B326" s="283" t="s">
        <v>387</v>
      </c>
      <c r="C326" s="283"/>
      <c r="D326" s="199">
        <v>8</v>
      </c>
      <c r="E326" s="200" t="s">
        <v>389</v>
      </c>
      <c r="F326" s="177"/>
      <c r="G326" s="177"/>
      <c r="H326" s="177"/>
    </row>
    <row r="327" spans="1:8" s="134" customFormat="1" ht="13.5" thickBot="1" x14ac:dyDescent="0.25">
      <c r="A327" s="206"/>
      <c r="B327" s="284"/>
      <c r="C327" s="285"/>
      <c r="D327" s="199"/>
      <c r="E327" s="200"/>
      <c r="F327" s="177"/>
      <c r="G327" s="177"/>
      <c r="H327" s="177"/>
    </row>
    <row r="328" spans="1:8" s="134" customFormat="1" ht="26.25" customHeight="1" thickBot="1" x14ac:dyDescent="0.25">
      <c r="A328" s="206"/>
      <c r="B328" s="286" t="s">
        <v>406</v>
      </c>
      <c r="C328" s="287"/>
      <c r="D328" s="287"/>
      <c r="E328" s="288"/>
      <c r="F328" s="177"/>
      <c r="G328" s="177"/>
      <c r="H328" s="177"/>
    </row>
    <row r="329" spans="1:8" s="134" customFormat="1" x14ac:dyDescent="0.2">
      <c r="A329" s="206"/>
      <c r="B329" s="195" t="s">
        <v>18</v>
      </c>
      <c r="C329" s="193"/>
      <c r="D329" s="210"/>
      <c r="E329" s="194"/>
      <c r="F329" s="177"/>
      <c r="G329" s="177"/>
      <c r="H329" s="177"/>
    </row>
    <row r="330" spans="1:8" s="134" customFormat="1" x14ac:dyDescent="0.2">
      <c r="A330" s="206"/>
      <c r="B330" s="201"/>
      <c r="C330" s="277" t="s">
        <v>62</v>
      </c>
      <c r="D330" s="277"/>
      <c r="E330" s="277"/>
      <c r="F330" s="177"/>
      <c r="G330" s="177"/>
      <c r="H330" s="177"/>
    </row>
    <row r="331" spans="1:8" s="134" customFormat="1" x14ac:dyDescent="0.2">
      <c r="A331" s="206"/>
      <c r="B331" s="195" t="s">
        <v>19</v>
      </c>
      <c r="C331" s="212"/>
      <c r="D331" s="212"/>
      <c r="E331" s="202"/>
      <c r="F331" s="177"/>
      <c r="G331" s="177"/>
      <c r="H331" s="177"/>
    </row>
    <row r="332" spans="1:8" s="134" customFormat="1" x14ac:dyDescent="0.2">
      <c r="A332" s="206"/>
      <c r="B332" s="201"/>
      <c r="C332" s="277" t="s">
        <v>465</v>
      </c>
      <c r="D332" s="277"/>
      <c r="E332" s="277"/>
      <c r="F332" s="177"/>
      <c r="G332" s="177"/>
      <c r="H332" s="177"/>
    </row>
    <row r="333" spans="1:8" s="134" customFormat="1" x14ac:dyDescent="0.2">
      <c r="A333" s="206"/>
      <c r="B333" s="195" t="s">
        <v>20</v>
      </c>
      <c r="C333" s="193"/>
      <c r="D333" s="210"/>
      <c r="E333" s="194"/>
      <c r="F333" s="177"/>
      <c r="G333" s="177"/>
      <c r="H333" s="177"/>
    </row>
    <row r="334" spans="1:8" s="134" customFormat="1" x14ac:dyDescent="0.2">
      <c r="A334" s="206"/>
      <c r="B334" s="195"/>
      <c r="C334" s="278" t="s">
        <v>63</v>
      </c>
      <c r="D334" s="278"/>
      <c r="E334" s="278"/>
      <c r="F334" s="177"/>
      <c r="G334" s="177"/>
      <c r="H334" s="177"/>
    </row>
    <row r="335" spans="1:8" s="134" customFormat="1" ht="13.5" thickBot="1" x14ac:dyDescent="0.25">
      <c r="A335" s="206"/>
      <c r="B335" s="203"/>
      <c r="C335" s="174"/>
      <c r="D335" s="204"/>
      <c r="E335" s="205"/>
      <c r="F335" s="177"/>
      <c r="G335" s="177"/>
      <c r="H335" s="177"/>
    </row>
    <row r="336" spans="1:8" s="134" customFormat="1" ht="13.5" thickBot="1" x14ac:dyDescent="0.25">
      <c r="A336" s="206"/>
      <c r="B336" s="177"/>
      <c r="C336" s="177"/>
      <c r="D336" s="206"/>
      <c r="E336" s="177"/>
      <c r="F336" s="177"/>
      <c r="G336" s="177"/>
      <c r="H336" s="177"/>
    </row>
    <row r="337" spans="1:8" s="134" customFormat="1" x14ac:dyDescent="0.2">
      <c r="A337" s="206"/>
      <c r="B337" s="189" t="s">
        <v>149</v>
      </c>
      <c r="C337" s="190"/>
      <c r="D337" s="209"/>
      <c r="E337" s="191"/>
      <c r="F337" s="177"/>
      <c r="G337" s="177"/>
      <c r="H337" s="177"/>
    </row>
    <row r="338" spans="1:8" s="134" customFormat="1" x14ac:dyDescent="0.2">
      <c r="A338" s="206"/>
      <c r="B338" s="192"/>
      <c r="C338" s="193"/>
      <c r="D338" s="210"/>
      <c r="E338" s="194"/>
      <c r="F338" s="177"/>
      <c r="G338" s="177"/>
      <c r="H338" s="177"/>
    </row>
    <row r="339" spans="1:8" s="134" customFormat="1" x14ac:dyDescent="0.2">
      <c r="A339" s="206"/>
      <c r="B339" s="195" t="s">
        <v>16</v>
      </c>
      <c r="C339" s="193"/>
      <c r="D339" s="210"/>
      <c r="E339" s="194"/>
      <c r="F339" s="177"/>
      <c r="G339" s="177"/>
      <c r="H339" s="177"/>
    </row>
    <row r="340" spans="1:8" s="134" customFormat="1" x14ac:dyDescent="0.2">
      <c r="A340" s="206"/>
      <c r="B340" s="195"/>
      <c r="C340" s="277" t="s">
        <v>477</v>
      </c>
      <c r="D340" s="277"/>
      <c r="E340" s="277"/>
      <c r="F340" s="177"/>
      <c r="G340" s="177"/>
      <c r="H340" s="177"/>
    </row>
    <row r="341" spans="1:8" s="134" customFormat="1" ht="13.5" thickBot="1" x14ac:dyDescent="0.25">
      <c r="A341" s="206"/>
      <c r="B341" s="195" t="s">
        <v>17</v>
      </c>
      <c r="C341" s="193"/>
      <c r="D341" s="210"/>
      <c r="E341" s="194"/>
      <c r="F341" s="177"/>
      <c r="G341" s="177"/>
      <c r="H341" s="177"/>
    </row>
    <row r="342" spans="1:8" s="134" customFormat="1" ht="13.5" thickBot="1" x14ac:dyDescent="0.25">
      <c r="A342" s="206"/>
      <c r="B342" s="279" t="s">
        <v>136</v>
      </c>
      <c r="C342" s="280"/>
      <c r="D342" s="280"/>
      <c r="E342" s="281"/>
      <c r="F342" s="177"/>
      <c r="G342" s="177"/>
      <c r="H342" s="177"/>
    </row>
    <row r="343" spans="1:8" s="134" customFormat="1" ht="13.5" thickBot="1" x14ac:dyDescent="0.25">
      <c r="A343" s="206"/>
      <c r="B343" s="279" t="s">
        <v>311</v>
      </c>
      <c r="C343" s="281"/>
      <c r="D343" s="196" t="s">
        <v>11</v>
      </c>
      <c r="E343" s="196" t="s">
        <v>138</v>
      </c>
      <c r="F343" s="177"/>
      <c r="G343" s="177"/>
      <c r="H343" s="177"/>
    </row>
    <row r="344" spans="1:8" s="134" customFormat="1" x14ac:dyDescent="0.2">
      <c r="A344" s="206"/>
      <c r="B344" s="282" t="s">
        <v>381</v>
      </c>
      <c r="C344" s="282"/>
      <c r="D344" s="197">
        <v>8</v>
      </c>
      <c r="E344" s="198" t="s">
        <v>382</v>
      </c>
      <c r="F344" s="177"/>
      <c r="G344" s="177"/>
      <c r="H344" s="177"/>
    </row>
    <row r="345" spans="1:8" s="134" customFormat="1" x14ac:dyDescent="0.2">
      <c r="A345" s="206"/>
      <c r="B345" s="283" t="s">
        <v>383</v>
      </c>
      <c r="C345" s="283"/>
      <c r="D345" s="199">
        <v>6</v>
      </c>
      <c r="E345" s="200" t="s">
        <v>384</v>
      </c>
      <c r="F345" s="177"/>
      <c r="G345" s="177"/>
      <c r="H345" s="177"/>
    </row>
    <row r="346" spans="1:8" s="134" customFormat="1" x14ac:dyDescent="0.2">
      <c r="A346" s="206"/>
      <c r="B346" s="283" t="s">
        <v>385</v>
      </c>
      <c r="C346" s="283"/>
      <c r="D346" s="199">
        <v>8</v>
      </c>
      <c r="E346" s="200" t="s">
        <v>388</v>
      </c>
      <c r="F346" s="177"/>
      <c r="G346" s="177"/>
      <c r="H346" s="177"/>
    </row>
    <row r="347" spans="1:8" s="134" customFormat="1" x14ac:dyDescent="0.2">
      <c r="A347" s="206"/>
      <c r="B347" s="283" t="s">
        <v>386</v>
      </c>
      <c r="C347" s="283"/>
      <c r="D347" s="199">
        <v>6</v>
      </c>
      <c r="E347" s="200" t="s">
        <v>392</v>
      </c>
      <c r="F347" s="177"/>
      <c r="G347" s="177"/>
      <c r="H347" s="177"/>
    </row>
    <row r="348" spans="1:8" s="134" customFormat="1" x14ac:dyDescent="0.2">
      <c r="A348" s="206"/>
      <c r="B348" s="283" t="s">
        <v>387</v>
      </c>
      <c r="C348" s="283"/>
      <c r="D348" s="199">
        <v>6</v>
      </c>
      <c r="E348" s="200" t="s">
        <v>389</v>
      </c>
      <c r="F348" s="177"/>
      <c r="G348" s="177"/>
      <c r="H348" s="177"/>
    </row>
    <row r="349" spans="1:8" s="134" customFormat="1" ht="13.5" thickBot="1" x14ac:dyDescent="0.25">
      <c r="A349" s="206"/>
      <c r="B349" s="284"/>
      <c r="C349" s="285"/>
      <c r="D349" s="199"/>
      <c r="E349" s="200"/>
      <c r="F349" s="177"/>
      <c r="G349" s="177"/>
      <c r="H349" s="177"/>
    </row>
    <row r="350" spans="1:8" s="134" customFormat="1" ht="26.25" customHeight="1" thickBot="1" x14ac:dyDescent="0.25">
      <c r="A350" s="206"/>
      <c r="B350" s="286" t="s">
        <v>478</v>
      </c>
      <c r="C350" s="287"/>
      <c r="D350" s="287"/>
      <c r="E350" s="288"/>
      <c r="F350" s="177"/>
      <c r="G350" s="177"/>
      <c r="H350" s="177"/>
    </row>
    <row r="351" spans="1:8" s="134" customFormat="1" x14ac:dyDescent="0.2">
      <c r="A351" s="206"/>
      <c r="B351" s="195" t="s">
        <v>18</v>
      </c>
      <c r="C351" s="193"/>
      <c r="D351" s="210"/>
      <c r="E351" s="194"/>
      <c r="F351" s="177"/>
      <c r="G351" s="177"/>
      <c r="H351" s="177"/>
    </row>
    <row r="352" spans="1:8" s="134" customFormat="1" x14ac:dyDescent="0.2">
      <c r="A352" s="206"/>
      <c r="B352" s="201"/>
      <c r="C352" s="277" t="s">
        <v>62</v>
      </c>
      <c r="D352" s="277"/>
      <c r="E352" s="277"/>
      <c r="F352" s="177"/>
      <c r="G352" s="177"/>
      <c r="H352" s="177"/>
    </row>
    <row r="353" spans="1:8" s="134" customFormat="1" x14ac:dyDescent="0.2">
      <c r="A353" s="206"/>
      <c r="B353" s="195" t="s">
        <v>19</v>
      </c>
      <c r="C353" s="212"/>
      <c r="D353" s="212"/>
      <c r="E353" s="202"/>
      <c r="F353" s="177"/>
      <c r="G353" s="177"/>
      <c r="H353" s="177"/>
    </row>
    <row r="354" spans="1:8" s="134" customFormat="1" x14ac:dyDescent="0.2">
      <c r="A354" s="206"/>
      <c r="B354" s="201"/>
      <c r="C354" s="277" t="s">
        <v>465</v>
      </c>
      <c r="D354" s="277"/>
      <c r="E354" s="277"/>
      <c r="F354" s="177"/>
      <c r="G354" s="177"/>
      <c r="H354" s="177"/>
    </row>
    <row r="355" spans="1:8" s="134" customFormat="1" x14ac:dyDescent="0.2">
      <c r="A355" s="206"/>
      <c r="B355" s="195" t="s">
        <v>20</v>
      </c>
      <c r="C355" s="193"/>
      <c r="D355" s="210"/>
      <c r="E355" s="194"/>
      <c r="F355" s="177"/>
      <c r="G355" s="177"/>
      <c r="H355" s="177"/>
    </row>
    <row r="356" spans="1:8" s="134" customFormat="1" x14ac:dyDescent="0.2">
      <c r="A356" s="206"/>
      <c r="B356" s="195"/>
      <c r="C356" s="278" t="s">
        <v>63</v>
      </c>
      <c r="D356" s="278"/>
      <c r="E356" s="278"/>
      <c r="F356" s="177"/>
      <c r="G356" s="177"/>
      <c r="H356" s="177"/>
    </row>
    <row r="357" spans="1:8" s="134" customFormat="1" ht="13.5" thickBot="1" x14ac:dyDescent="0.25">
      <c r="A357" s="206"/>
      <c r="B357" s="203"/>
      <c r="C357" s="174"/>
      <c r="D357" s="204"/>
      <c r="E357" s="205"/>
      <c r="F357" s="177"/>
      <c r="G357" s="177"/>
      <c r="H357" s="177"/>
    </row>
    <row r="358" spans="1:8" s="134" customFormat="1" ht="13.5" thickBot="1" x14ac:dyDescent="0.25">
      <c r="A358" s="206"/>
      <c r="B358" s="177"/>
      <c r="C358" s="177"/>
      <c r="D358" s="206"/>
      <c r="E358" s="177"/>
      <c r="F358" s="177"/>
      <c r="G358" s="177"/>
      <c r="H358" s="177"/>
    </row>
    <row r="359" spans="1:8" s="134" customFormat="1" x14ac:dyDescent="0.2">
      <c r="A359" s="206"/>
      <c r="B359" s="189" t="s">
        <v>150</v>
      </c>
      <c r="C359" s="190"/>
      <c r="D359" s="209"/>
      <c r="E359" s="191"/>
      <c r="F359" s="177"/>
      <c r="G359" s="177"/>
      <c r="H359" s="177"/>
    </row>
    <row r="360" spans="1:8" s="134" customFormat="1" x14ac:dyDescent="0.2">
      <c r="A360" s="206"/>
      <c r="B360" s="192"/>
      <c r="C360" s="193"/>
      <c r="D360" s="210"/>
      <c r="E360" s="194"/>
      <c r="F360" s="177"/>
      <c r="G360" s="177"/>
      <c r="H360" s="177"/>
    </row>
    <row r="361" spans="1:8" s="134" customFormat="1" x14ac:dyDescent="0.2">
      <c r="A361" s="206"/>
      <c r="B361" s="195" t="s">
        <v>16</v>
      </c>
      <c r="C361" s="193"/>
      <c r="D361" s="210"/>
      <c r="E361" s="194"/>
      <c r="F361" s="177"/>
      <c r="G361" s="177"/>
      <c r="H361" s="177"/>
    </row>
    <row r="362" spans="1:8" s="134" customFormat="1" x14ac:dyDescent="0.2">
      <c r="A362" s="206"/>
      <c r="B362" s="195"/>
      <c r="C362" s="277" t="s">
        <v>561</v>
      </c>
      <c r="D362" s="277"/>
      <c r="E362" s="277"/>
      <c r="F362" s="177"/>
      <c r="G362" s="177"/>
      <c r="H362" s="177"/>
    </row>
    <row r="363" spans="1:8" s="134" customFormat="1" ht="13.5" thickBot="1" x14ac:dyDescent="0.25">
      <c r="A363" s="206"/>
      <c r="B363" s="195" t="s">
        <v>17</v>
      </c>
      <c r="C363" s="193"/>
      <c r="D363" s="210"/>
      <c r="E363" s="194"/>
      <c r="F363" s="177"/>
      <c r="G363" s="177"/>
      <c r="H363" s="177"/>
    </row>
    <row r="364" spans="1:8" s="134" customFormat="1" ht="13.5" thickBot="1" x14ac:dyDescent="0.25">
      <c r="A364" s="206"/>
      <c r="B364" s="279" t="s">
        <v>136</v>
      </c>
      <c r="C364" s="280"/>
      <c r="D364" s="280"/>
      <c r="E364" s="281"/>
      <c r="F364" s="177"/>
      <c r="G364" s="177"/>
      <c r="H364" s="177"/>
    </row>
    <row r="365" spans="1:8" s="134" customFormat="1" ht="13.5" thickBot="1" x14ac:dyDescent="0.25">
      <c r="A365" s="206"/>
      <c r="B365" s="279" t="s">
        <v>311</v>
      </c>
      <c r="C365" s="281"/>
      <c r="D365" s="196" t="s">
        <v>11</v>
      </c>
      <c r="E365" s="196" t="s">
        <v>138</v>
      </c>
      <c r="F365" s="177"/>
      <c r="G365" s="177"/>
      <c r="H365" s="177"/>
    </row>
    <row r="366" spans="1:8" s="134" customFormat="1" x14ac:dyDescent="0.2">
      <c r="A366" s="206"/>
      <c r="B366" s="282" t="s">
        <v>381</v>
      </c>
      <c r="C366" s="282"/>
      <c r="D366" s="197">
        <v>10</v>
      </c>
      <c r="E366" s="198" t="s">
        <v>382</v>
      </c>
      <c r="F366" s="177"/>
      <c r="G366" s="177"/>
      <c r="H366" s="177"/>
    </row>
    <row r="367" spans="1:8" s="134" customFormat="1" x14ac:dyDescent="0.2">
      <c r="A367" s="206"/>
      <c r="B367" s="283" t="s">
        <v>383</v>
      </c>
      <c r="C367" s="283"/>
      <c r="D367" s="199">
        <v>8</v>
      </c>
      <c r="E367" s="200" t="s">
        <v>384</v>
      </c>
      <c r="F367" s="177"/>
      <c r="G367" s="177"/>
      <c r="H367" s="177"/>
    </row>
    <row r="368" spans="1:8" s="134" customFormat="1" x14ac:dyDescent="0.2">
      <c r="A368" s="206"/>
      <c r="B368" s="283" t="s">
        <v>385</v>
      </c>
      <c r="C368" s="283"/>
      <c r="D368" s="199">
        <v>10</v>
      </c>
      <c r="E368" s="200" t="s">
        <v>388</v>
      </c>
      <c r="F368" s="177"/>
      <c r="G368" s="177"/>
      <c r="H368" s="177"/>
    </row>
    <row r="369" spans="1:9" s="134" customFormat="1" x14ac:dyDescent="0.2">
      <c r="A369" s="206"/>
      <c r="B369" s="283" t="s">
        <v>386</v>
      </c>
      <c r="C369" s="283"/>
      <c r="D369" s="199">
        <v>8</v>
      </c>
      <c r="E369" s="200" t="s">
        <v>392</v>
      </c>
      <c r="F369" s="177"/>
      <c r="G369" s="177"/>
      <c r="H369" s="177"/>
    </row>
    <row r="370" spans="1:9" s="134" customFormat="1" x14ac:dyDescent="0.2">
      <c r="A370" s="206"/>
      <c r="B370" s="283" t="s">
        <v>387</v>
      </c>
      <c r="C370" s="283"/>
      <c r="D370" s="199">
        <v>8</v>
      </c>
      <c r="E370" s="200" t="s">
        <v>389</v>
      </c>
      <c r="F370" s="177"/>
      <c r="G370" s="177"/>
      <c r="H370" s="177"/>
    </row>
    <row r="371" spans="1:9" s="134" customFormat="1" ht="13.5" thickBot="1" x14ac:dyDescent="0.25">
      <c r="A371" s="206"/>
      <c r="B371" s="284"/>
      <c r="C371" s="285"/>
      <c r="D371" s="199"/>
      <c r="E371" s="200"/>
      <c r="F371" s="177"/>
      <c r="G371" s="177"/>
      <c r="H371" s="177"/>
    </row>
    <row r="372" spans="1:9" s="134" customFormat="1" ht="25.5" customHeight="1" thickBot="1" x14ac:dyDescent="0.25">
      <c r="A372" s="206"/>
      <c r="B372" s="286" t="s">
        <v>407</v>
      </c>
      <c r="C372" s="287"/>
      <c r="D372" s="287"/>
      <c r="E372" s="288"/>
      <c r="F372" s="177"/>
      <c r="G372" s="177"/>
      <c r="H372" s="177"/>
    </row>
    <row r="373" spans="1:9" s="134" customFormat="1" x14ac:dyDescent="0.2">
      <c r="A373" s="206"/>
      <c r="B373" s="195" t="s">
        <v>18</v>
      </c>
      <c r="C373" s="193"/>
      <c r="D373" s="210"/>
      <c r="E373" s="194"/>
      <c r="F373" s="177"/>
      <c r="G373" s="177"/>
      <c r="H373" s="177"/>
    </row>
    <row r="374" spans="1:9" s="134" customFormat="1" x14ac:dyDescent="0.2">
      <c r="A374" s="206"/>
      <c r="B374" s="201"/>
      <c r="C374" s="277" t="s">
        <v>62</v>
      </c>
      <c r="D374" s="277"/>
      <c r="E374" s="277"/>
      <c r="F374" s="177"/>
      <c r="G374" s="177"/>
      <c r="H374" s="177"/>
    </row>
    <row r="375" spans="1:9" s="134" customFormat="1" x14ac:dyDescent="0.2">
      <c r="A375" s="206"/>
      <c r="B375" s="195" t="s">
        <v>19</v>
      </c>
      <c r="C375" s="212"/>
      <c r="D375" s="212"/>
      <c r="E375" s="202"/>
      <c r="F375" s="177"/>
      <c r="G375" s="177"/>
      <c r="H375" s="177"/>
    </row>
    <row r="376" spans="1:9" s="134" customFormat="1" x14ac:dyDescent="0.2">
      <c r="A376" s="206"/>
      <c r="B376" s="201"/>
      <c r="C376" s="277" t="s">
        <v>465</v>
      </c>
      <c r="D376" s="277"/>
      <c r="E376" s="277"/>
      <c r="F376" s="177"/>
      <c r="G376" s="177"/>
      <c r="H376" s="177"/>
    </row>
    <row r="377" spans="1:9" s="134" customFormat="1" x14ac:dyDescent="0.2">
      <c r="A377" s="206"/>
      <c r="B377" s="195" t="s">
        <v>20</v>
      </c>
      <c r="C377" s="193"/>
      <c r="D377" s="210"/>
      <c r="E377" s="194"/>
      <c r="F377" s="177"/>
      <c r="G377" s="177"/>
      <c r="H377" s="177"/>
    </row>
    <row r="378" spans="1:9" s="134" customFormat="1" x14ac:dyDescent="0.2">
      <c r="A378" s="206"/>
      <c r="B378" s="195"/>
      <c r="C378" s="278" t="s">
        <v>63</v>
      </c>
      <c r="D378" s="278"/>
      <c r="E378" s="278"/>
      <c r="F378" s="177"/>
      <c r="G378" s="177"/>
      <c r="H378" s="177"/>
    </row>
    <row r="379" spans="1:9" s="134" customFormat="1" ht="13.5" thickBot="1" x14ac:dyDescent="0.25">
      <c r="A379" s="206"/>
      <c r="B379" s="203"/>
      <c r="C379" s="174"/>
      <c r="D379" s="204"/>
      <c r="E379" s="205"/>
      <c r="F379" s="177"/>
      <c r="G379" s="177"/>
      <c r="H379" s="177"/>
    </row>
    <row r="380" spans="1:9" s="134" customFormat="1" ht="13.5" thickBot="1" x14ac:dyDescent="0.25">
      <c r="A380" s="206"/>
      <c r="B380" s="177"/>
      <c r="C380" s="177"/>
      <c r="D380" s="206"/>
      <c r="E380" s="177"/>
      <c r="F380" s="177"/>
      <c r="G380" s="177"/>
      <c r="H380" s="177"/>
    </row>
    <row r="381" spans="1:9" s="134" customFormat="1" x14ac:dyDescent="0.2">
      <c r="A381" s="206"/>
      <c r="B381" s="189" t="s">
        <v>151</v>
      </c>
      <c r="C381" s="190"/>
      <c r="D381" s="209"/>
      <c r="E381" s="191"/>
      <c r="F381" s="177"/>
      <c r="G381" s="177"/>
      <c r="H381" s="177"/>
    </row>
    <row r="382" spans="1:9" s="134" customFormat="1" x14ac:dyDescent="0.2">
      <c r="A382" s="206"/>
      <c r="B382" s="192"/>
      <c r="C382" s="193"/>
      <c r="D382" s="210"/>
      <c r="E382" s="194"/>
      <c r="F382" s="177"/>
      <c r="G382" s="177"/>
      <c r="H382" s="177"/>
    </row>
    <row r="383" spans="1:9" s="134" customFormat="1" x14ac:dyDescent="0.2">
      <c r="A383" s="206"/>
      <c r="B383" s="195" t="s">
        <v>16</v>
      </c>
      <c r="C383" s="193"/>
      <c r="D383" s="210"/>
      <c r="E383" s="194"/>
      <c r="F383" s="177"/>
      <c r="G383" s="177"/>
      <c r="H383" s="177"/>
    </row>
    <row r="384" spans="1:9" s="153" customFormat="1" x14ac:dyDescent="0.2">
      <c r="A384" s="206"/>
      <c r="B384" s="195"/>
      <c r="C384" s="277" t="s">
        <v>482</v>
      </c>
      <c r="D384" s="277"/>
      <c r="E384" s="277"/>
      <c r="F384" s="177"/>
      <c r="G384" s="177"/>
      <c r="H384" s="177"/>
      <c r="I384" s="134"/>
    </row>
    <row r="385" spans="1:8" s="134" customFormat="1" ht="13.5" thickBot="1" x14ac:dyDescent="0.25">
      <c r="A385" s="206"/>
      <c r="B385" s="195" t="s">
        <v>17</v>
      </c>
      <c r="C385" s="193"/>
      <c r="D385" s="210"/>
      <c r="E385" s="194"/>
      <c r="F385" s="177"/>
      <c r="G385" s="177"/>
      <c r="H385" s="177"/>
    </row>
    <row r="386" spans="1:8" s="134" customFormat="1" ht="13.5" thickBot="1" x14ac:dyDescent="0.25">
      <c r="A386" s="206"/>
      <c r="B386" s="279" t="s">
        <v>136</v>
      </c>
      <c r="C386" s="280"/>
      <c r="D386" s="280"/>
      <c r="E386" s="281"/>
      <c r="F386" s="177"/>
      <c r="G386" s="177"/>
      <c r="H386" s="177"/>
    </row>
    <row r="387" spans="1:8" s="134" customFormat="1" ht="12.75" customHeight="1" thickBot="1" x14ac:dyDescent="0.25">
      <c r="A387" s="206"/>
      <c r="B387" s="279" t="s">
        <v>311</v>
      </c>
      <c r="C387" s="281"/>
      <c r="D387" s="196" t="s">
        <v>11</v>
      </c>
      <c r="E387" s="196" t="s">
        <v>138</v>
      </c>
      <c r="F387" s="177"/>
      <c r="G387" s="177"/>
      <c r="H387" s="177"/>
    </row>
    <row r="388" spans="1:8" s="134" customFormat="1" x14ac:dyDescent="0.2">
      <c r="A388" s="206"/>
      <c r="B388" s="282" t="s">
        <v>381</v>
      </c>
      <c r="C388" s="282"/>
      <c r="D388" s="197">
        <v>10</v>
      </c>
      <c r="E388" s="198" t="s">
        <v>382</v>
      </c>
      <c r="F388" s="177"/>
      <c r="G388" s="177"/>
      <c r="H388" s="177"/>
    </row>
    <row r="389" spans="1:8" s="134" customFormat="1" x14ac:dyDescent="0.2">
      <c r="A389" s="206"/>
      <c r="B389" s="283" t="s">
        <v>383</v>
      </c>
      <c r="C389" s="283"/>
      <c r="D389" s="199">
        <v>8</v>
      </c>
      <c r="E389" s="200" t="s">
        <v>384</v>
      </c>
      <c r="F389" s="177"/>
      <c r="G389" s="177"/>
      <c r="H389" s="177"/>
    </row>
    <row r="390" spans="1:8" s="134" customFormat="1" x14ac:dyDescent="0.2">
      <c r="A390" s="206"/>
      <c r="B390" s="283" t="s">
        <v>385</v>
      </c>
      <c r="C390" s="283"/>
      <c r="D390" s="199">
        <v>10</v>
      </c>
      <c r="E390" s="200" t="s">
        <v>388</v>
      </c>
      <c r="F390" s="177"/>
      <c r="G390" s="177"/>
      <c r="H390" s="177"/>
    </row>
    <row r="391" spans="1:8" s="134" customFormat="1" x14ac:dyDescent="0.2">
      <c r="A391" s="206"/>
      <c r="B391" s="283" t="s">
        <v>386</v>
      </c>
      <c r="C391" s="283"/>
      <c r="D391" s="199">
        <v>8</v>
      </c>
      <c r="E391" s="200" t="s">
        <v>392</v>
      </c>
      <c r="F391" s="177"/>
      <c r="G391" s="177"/>
      <c r="H391" s="177"/>
    </row>
    <row r="392" spans="1:8" s="134" customFormat="1" x14ac:dyDescent="0.2">
      <c r="A392" s="206"/>
      <c r="B392" s="283" t="s">
        <v>387</v>
      </c>
      <c r="C392" s="283"/>
      <c r="D392" s="199">
        <v>8</v>
      </c>
      <c r="E392" s="200" t="s">
        <v>389</v>
      </c>
      <c r="F392" s="177"/>
      <c r="G392" s="177"/>
      <c r="H392" s="177"/>
    </row>
    <row r="393" spans="1:8" s="134" customFormat="1" ht="13.5" thickBot="1" x14ac:dyDescent="0.25">
      <c r="A393" s="206"/>
      <c r="B393" s="284"/>
      <c r="C393" s="285"/>
      <c r="D393" s="199"/>
      <c r="E393" s="200"/>
      <c r="F393" s="177"/>
      <c r="G393" s="177"/>
      <c r="H393" s="177"/>
    </row>
    <row r="394" spans="1:8" s="134" customFormat="1" ht="26.25" customHeight="1" thickBot="1" x14ac:dyDescent="0.25">
      <c r="A394" s="206"/>
      <c r="B394" s="286" t="s">
        <v>407</v>
      </c>
      <c r="C394" s="287"/>
      <c r="D394" s="287"/>
      <c r="E394" s="288"/>
      <c r="F394" s="177"/>
      <c r="G394" s="177"/>
      <c r="H394" s="177"/>
    </row>
    <row r="395" spans="1:8" s="134" customFormat="1" x14ac:dyDescent="0.2">
      <c r="A395" s="206"/>
      <c r="B395" s="195" t="s">
        <v>18</v>
      </c>
      <c r="C395" s="193"/>
      <c r="D395" s="210"/>
      <c r="E395" s="194"/>
      <c r="F395" s="177"/>
      <c r="G395" s="177"/>
      <c r="H395" s="177"/>
    </row>
    <row r="396" spans="1:8" s="134" customFormat="1" x14ac:dyDescent="0.2">
      <c r="A396" s="206"/>
      <c r="B396" s="201"/>
      <c r="C396" s="277" t="s">
        <v>62</v>
      </c>
      <c r="D396" s="277"/>
      <c r="E396" s="277"/>
      <c r="F396" s="177"/>
      <c r="G396" s="177"/>
      <c r="H396" s="177"/>
    </row>
    <row r="397" spans="1:8" s="134" customFormat="1" x14ac:dyDescent="0.2">
      <c r="A397" s="206"/>
      <c r="B397" s="195" t="s">
        <v>19</v>
      </c>
      <c r="C397" s="212"/>
      <c r="D397" s="212"/>
      <c r="E397" s="202"/>
      <c r="F397" s="177"/>
      <c r="G397" s="177"/>
      <c r="H397" s="177"/>
    </row>
    <row r="398" spans="1:8" s="134" customFormat="1" x14ac:dyDescent="0.2">
      <c r="A398" s="206"/>
      <c r="B398" s="201"/>
      <c r="C398" s="277" t="s">
        <v>465</v>
      </c>
      <c r="D398" s="277"/>
      <c r="E398" s="277"/>
      <c r="F398" s="177"/>
      <c r="G398" s="177"/>
      <c r="H398" s="177"/>
    </row>
    <row r="399" spans="1:8" s="134" customFormat="1" x14ac:dyDescent="0.2">
      <c r="A399" s="206"/>
      <c r="B399" s="195" t="s">
        <v>20</v>
      </c>
      <c r="C399" s="193"/>
      <c r="D399" s="210"/>
      <c r="E399" s="194"/>
      <c r="F399" s="177"/>
      <c r="G399" s="177"/>
      <c r="H399" s="177"/>
    </row>
    <row r="400" spans="1:8" s="134" customFormat="1" x14ac:dyDescent="0.2">
      <c r="A400" s="206"/>
      <c r="B400" s="195"/>
      <c r="C400" s="278" t="s">
        <v>63</v>
      </c>
      <c r="D400" s="278"/>
      <c r="E400" s="278"/>
      <c r="F400" s="177"/>
      <c r="G400" s="177"/>
      <c r="H400" s="177"/>
    </row>
    <row r="401" spans="1:9" s="134" customFormat="1" ht="13.5" thickBot="1" x14ac:dyDescent="0.25">
      <c r="A401" s="206"/>
      <c r="B401" s="203"/>
      <c r="C401" s="174"/>
      <c r="D401" s="204"/>
      <c r="E401" s="205"/>
      <c r="F401" s="177"/>
      <c r="G401" s="177"/>
      <c r="H401" s="177"/>
    </row>
    <row r="402" spans="1:9" s="134" customFormat="1" ht="13.5" thickBot="1" x14ac:dyDescent="0.25">
      <c r="A402" s="206"/>
      <c r="B402" s="177"/>
      <c r="C402" s="177"/>
      <c r="D402" s="206"/>
      <c r="E402" s="177"/>
      <c r="F402" s="177"/>
      <c r="G402" s="177"/>
      <c r="H402" s="177"/>
    </row>
    <row r="403" spans="1:9" s="134" customFormat="1" x14ac:dyDescent="0.2">
      <c r="A403" s="206"/>
      <c r="B403" s="189" t="s">
        <v>152</v>
      </c>
      <c r="C403" s="190"/>
      <c r="D403" s="209"/>
      <c r="E403" s="191"/>
      <c r="F403" s="177"/>
      <c r="G403" s="177"/>
      <c r="H403" s="177"/>
    </row>
    <row r="404" spans="1:9" s="134" customFormat="1" x14ac:dyDescent="0.2">
      <c r="A404" s="206"/>
      <c r="B404" s="192"/>
      <c r="C404" s="193"/>
      <c r="D404" s="210"/>
      <c r="E404" s="194"/>
      <c r="F404" s="177"/>
      <c r="G404" s="177"/>
      <c r="H404" s="177"/>
    </row>
    <row r="405" spans="1:9" s="134" customFormat="1" x14ac:dyDescent="0.2">
      <c r="A405" s="206"/>
      <c r="B405" s="195" t="s">
        <v>16</v>
      </c>
      <c r="C405" s="193"/>
      <c r="D405" s="210"/>
      <c r="E405" s="194"/>
      <c r="F405" s="177"/>
      <c r="G405" s="177"/>
      <c r="H405" s="177"/>
    </row>
    <row r="406" spans="1:9" s="153" customFormat="1" x14ac:dyDescent="0.2">
      <c r="A406" s="206"/>
      <c r="B406" s="195"/>
      <c r="C406" s="277" t="s">
        <v>562</v>
      </c>
      <c r="D406" s="277"/>
      <c r="E406" s="277"/>
      <c r="F406" s="177"/>
      <c r="G406" s="177"/>
      <c r="H406" s="177"/>
      <c r="I406" s="134"/>
    </row>
    <row r="407" spans="1:9" s="134" customFormat="1" ht="13.5" thickBot="1" x14ac:dyDescent="0.25">
      <c r="A407" s="206"/>
      <c r="B407" s="195" t="s">
        <v>17</v>
      </c>
      <c r="C407" s="193"/>
      <c r="D407" s="210"/>
      <c r="E407" s="194"/>
      <c r="F407" s="177"/>
      <c r="G407" s="177"/>
      <c r="H407" s="177"/>
    </row>
    <row r="408" spans="1:9" s="134" customFormat="1" ht="13.5" thickBot="1" x14ac:dyDescent="0.25">
      <c r="A408" s="206"/>
      <c r="B408" s="279" t="s">
        <v>136</v>
      </c>
      <c r="C408" s="280"/>
      <c r="D408" s="280"/>
      <c r="E408" s="281"/>
      <c r="F408" s="177"/>
      <c r="G408" s="177"/>
      <c r="H408" s="177"/>
    </row>
    <row r="409" spans="1:9" s="134" customFormat="1" ht="13.5" thickBot="1" x14ac:dyDescent="0.25">
      <c r="A409" s="206"/>
      <c r="B409" s="279" t="s">
        <v>311</v>
      </c>
      <c r="C409" s="281"/>
      <c r="D409" s="196" t="s">
        <v>11</v>
      </c>
      <c r="E409" s="196" t="s">
        <v>138</v>
      </c>
      <c r="F409" s="177"/>
      <c r="G409" s="177"/>
      <c r="H409" s="177"/>
    </row>
    <row r="410" spans="1:9" s="134" customFormat="1" x14ac:dyDescent="0.2">
      <c r="A410" s="206"/>
      <c r="B410" s="282" t="s">
        <v>381</v>
      </c>
      <c r="C410" s="282"/>
      <c r="D410" s="197">
        <v>10</v>
      </c>
      <c r="E410" s="198" t="s">
        <v>382</v>
      </c>
      <c r="F410" s="177"/>
      <c r="G410" s="177"/>
      <c r="H410" s="177"/>
    </row>
    <row r="411" spans="1:9" s="134" customFormat="1" x14ac:dyDescent="0.2">
      <c r="A411" s="206"/>
      <c r="B411" s="283" t="s">
        <v>383</v>
      </c>
      <c r="C411" s="283"/>
      <c r="D411" s="199">
        <v>8</v>
      </c>
      <c r="E411" s="200" t="s">
        <v>384</v>
      </c>
      <c r="F411" s="177"/>
      <c r="G411" s="177"/>
      <c r="H411" s="177"/>
    </row>
    <row r="412" spans="1:9" s="134" customFormat="1" x14ac:dyDescent="0.2">
      <c r="A412" s="206"/>
      <c r="B412" s="283" t="s">
        <v>385</v>
      </c>
      <c r="C412" s="283"/>
      <c r="D412" s="199">
        <v>10</v>
      </c>
      <c r="E412" s="200" t="s">
        <v>388</v>
      </c>
      <c r="F412" s="177"/>
      <c r="G412" s="177"/>
      <c r="H412" s="177"/>
    </row>
    <row r="413" spans="1:9" s="134" customFormat="1" x14ac:dyDescent="0.2">
      <c r="A413" s="206"/>
      <c r="B413" s="283" t="s">
        <v>386</v>
      </c>
      <c r="C413" s="283"/>
      <c r="D413" s="199">
        <v>8</v>
      </c>
      <c r="E413" s="200" t="s">
        <v>392</v>
      </c>
      <c r="F413" s="177"/>
      <c r="G413" s="177"/>
      <c r="H413" s="177"/>
    </row>
    <row r="414" spans="1:9" s="134" customFormat="1" x14ac:dyDescent="0.2">
      <c r="A414" s="206"/>
      <c r="B414" s="283" t="s">
        <v>387</v>
      </c>
      <c r="C414" s="283"/>
      <c r="D414" s="199">
        <v>8</v>
      </c>
      <c r="E414" s="200" t="s">
        <v>389</v>
      </c>
      <c r="F414" s="177"/>
      <c r="G414" s="177"/>
      <c r="H414" s="177"/>
    </row>
    <row r="415" spans="1:9" s="134" customFormat="1" ht="13.5" thickBot="1" x14ac:dyDescent="0.25">
      <c r="A415" s="206"/>
      <c r="B415" s="284"/>
      <c r="C415" s="285"/>
      <c r="D415" s="199"/>
      <c r="E415" s="200"/>
      <c r="F415" s="177"/>
      <c r="G415" s="177"/>
      <c r="H415" s="177"/>
    </row>
    <row r="416" spans="1:9" s="134" customFormat="1" ht="26.25" customHeight="1" thickBot="1" x14ac:dyDescent="0.25">
      <c r="A416" s="206"/>
      <c r="B416" s="286" t="s">
        <v>407</v>
      </c>
      <c r="C416" s="287"/>
      <c r="D416" s="287"/>
      <c r="E416" s="288"/>
      <c r="F416" s="177"/>
      <c r="G416" s="177"/>
      <c r="H416" s="177"/>
    </row>
    <row r="417" spans="1:9" s="134" customFormat="1" x14ac:dyDescent="0.2">
      <c r="A417" s="206"/>
      <c r="B417" s="195" t="s">
        <v>18</v>
      </c>
      <c r="C417" s="193"/>
      <c r="D417" s="210"/>
      <c r="E417" s="194"/>
      <c r="F417" s="177"/>
      <c r="G417" s="177"/>
      <c r="H417" s="177"/>
    </row>
    <row r="418" spans="1:9" s="134" customFormat="1" x14ac:dyDescent="0.2">
      <c r="A418" s="206"/>
      <c r="B418" s="201"/>
      <c r="C418" s="277" t="s">
        <v>62</v>
      </c>
      <c r="D418" s="277"/>
      <c r="E418" s="277"/>
      <c r="F418" s="177"/>
      <c r="G418" s="177"/>
      <c r="H418" s="177"/>
    </row>
    <row r="419" spans="1:9" s="134" customFormat="1" x14ac:dyDescent="0.2">
      <c r="A419" s="206"/>
      <c r="B419" s="195" t="s">
        <v>19</v>
      </c>
      <c r="C419" s="212"/>
      <c r="D419" s="212"/>
      <c r="E419" s="202"/>
      <c r="F419" s="177"/>
      <c r="G419" s="177"/>
      <c r="H419" s="177"/>
    </row>
    <row r="420" spans="1:9" s="134" customFormat="1" x14ac:dyDescent="0.2">
      <c r="A420" s="206"/>
      <c r="B420" s="201"/>
      <c r="C420" s="277" t="s">
        <v>465</v>
      </c>
      <c r="D420" s="277"/>
      <c r="E420" s="277"/>
      <c r="F420" s="177"/>
      <c r="G420" s="177"/>
      <c r="H420" s="177"/>
    </row>
    <row r="421" spans="1:9" s="134" customFormat="1" x14ac:dyDescent="0.2">
      <c r="A421" s="206"/>
      <c r="B421" s="195" t="s">
        <v>20</v>
      </c>
      <c r="C421" s="193"/>
      <c r="D421" s="210"/>
      <c r="E421" s="194"/>
      <c r="F421" s="177"/>
      <c r="G421" s="177"/>
      <c r="H421" s="177"/>
    </row>
    <row r="422" spans="1:9" s="134" customFormat="1" x14ac:dyDescent="0.2">
      <c r="A422" s="206"/>
      <c r="B422" s="195"/>
      <c r="C422" s="278" t="s">
        <v>63</v>
      </c>
      <c r="D422" s="278"/>
      <c r="E422" s="278"/>
      <c r="F422" s="177"/>
      <c r="G422" s="177"/>
      <c r="H422" s="177"/>
    </row>
    <row r="423" spans="1:9" s="134" customFormat="1" ht="13.5" thickBot="1" x14ac:dyDescent="0.25">
      <c r="A423" s="206"/>
      <c r="B423" s="203"/>
      <c r="C423" s="174"/>
      <c r="D423" s="204"/>
      <c r="E423" s="205"/>
      <c r="F423" s="177"/>
      <c r="G423" s="177"/>
      <c r="H423" s="177"/>
    </row>
    <row r="424" spans="1:9" s="134" customFormat="1" ht="13.5" thickBot="1" x14ac:dyDescent="0.25">
      <c r="A424" s="206"/>
      <c r="B424" s="177"/>
      <c r="C424" s="177"/>
      <c r="D424" s="206"/>
      <c r="E424" s="177"/>
      <c r="F424" s="177"/>
      <c r="G424" s="177"/>
      <c r="H424" s="177"/>
    </row>
    <row r="425" spans="1:9" s="134" customFormat="1" x14ac:dyDescent="0.2">
      <c r="A425" s="206"/>
      <c r="B425" s="189" t="s">
        <v>153</v>
      </c>
      <c r="C425" s="190"/>
      <c r="D425" s="209"/>
      <c r="E425" s="191"/>
      <c r="F425" s="177"/>
      <c r="G425" s="177"/>
      <c r="H425" s="177"/>
    </row>
    <row r="426" spans="1:9" s="134" customFormat="1" x14ac:dyDescent="0.2">
      <c r="A426" s="206"/>
      <c r="B426" s="192"/>
      <c r="C426" s="193"/>
      <c r="D426" s="210"/>
      <c r="E426" s="194"/>
      <c r="F426" s="177"/>
      <c r="G426" s="177"/>
      <c r="H426" s="177"/>
    </row>
    <row r="427" spans="1:9" s="134" customFormat="1" x14ac:dyDescent="0.2">
      <c r="A427" s="206"/>
      <c r="B427" s="195" t="s">
        <v>16</v>
      </c>
      <c r="C427" s="193"/>
      <c r="D427" s="210"/>
      <c r="E427" s="194"/>
      <c r="F427" s="177"/>
      <c r="G427" s="177"/>
      <c r="H427" s="177"/>
    </row>
    <row r="428" spans="1:9" s="153" customFormat="1" x14ac:dyDescent="0.2">
      <c r="A428" s="206"/>
      <c r="B428" s="195"/>
      <c r="C428" s="277" t="s">
        <v>485</v>
      </c>
      <c r="D428" s="277"/>
      <c r="E428" s="277"/>
      <c r="F428" s="177"/>
      <c r="G428" s="177"/>
      <c r="H428" s="177"/>
      <c r="I428" s="134"/>
    </row>
    <row r="429" spans="1:9" s="134" customFormat="1" ht="13.5" thickBot="1" x14ac:dyDescent="0.25">
      <c r="A429" s="206"/>
      <c r="B429" s="195" t="s">
        <v>17</v>
      </c>
      <c r="C429" s="193"/>
      <c r="D429" s="210"/>
      <c r="E429" s="194"/>
      <c r="F429" s="177"/>
      <c r="G429" s="177"/>
      <c r="H429" s="177"/>
    </row>
    <row r="430" spans="1:9" s="134" customFormat="1" ht="13.5" thickBot="1" x14ac:dyDescent="0.25">
      <c r="A430" s="206"/>
      <c r="B430" s="279" t="s">
        <v>136</v>
      </c>
      <c r="C430" s="280"/>
      <c r="D430" s="280"/>
      <c r="E430" s="281"/>
      <c r="F430" s="177"/>
      <c r="G430" s="177"/>
      <c r="H430" s="177"/>
    </row>
    <row r="431" spans="1:9" s="134" customFormat="1" ht="13.5" thickBot="1" x14ac:dyDescent="0.25">
      <c r="A431" s="206"/>
      <c r="B431" s="279" t="s">
        <v>311</v>
      </c>
      <c r="C431" s="281"/>
      <c r="D431" s="196" t="s">
        <v>11</v>
      </c>
      <c r="E431" s="196" t="s">
        <v>138</v>
      </c>
      <c r="F431" s="177"/>
      <c r="G431" s="177"/>
      <c r="H431" s="177"/>
    </row>
    <row r="432" spans="1:9" s="134" customFormat="1" x14ac:dyDescent="0.2">
      <c r="A432" s="206"/>
      <c r="B432" s="282" t="s">
        <v>381</v>
      </c>
      <c r="C432" s="282"/>
      <c r="D432" s="197">
        <v>10</v>
      </c>
      <c r="E432" s="198" t="s">
        <v>382</v>
      </c>
      <c r="F432" s="177"/>
      <c r="G432" s="177"/>
      <c r="H432" s="177"/>
    </row>
    <row r="433" spans="1:8" s="134" customFormat="1" x14ac:dyDescent="0.2">
      <c r="A433" s="206"/>
      <c r="B433" s="283" t="s">
        <v>383</v>
      </c>
      <c r="C433" s="283"/>
      <c r="D433" s="199">
        <v>8</v>
      </c>
      <c r="E433" s="200" t="s">
        <v>384</v>
      </c>
      <c r="F433" s="177"/>
      <c r="G433" s="177"/>
      <c r="H433" s="177"/>
    </row>
    <row r="434" spans="1:8" s="134" customFormat="1" x14ac:dyDescent="0.2">
      <c r="A434" s="206"/>
      <c r="B434" s="283" t="s">
        <v>385</v>
      </c>
      <c r="C434" s="283"/>
      <c r="D434" s="199">
        <v>10</v>
      </c>
      <c r="E434" s="200" t="s">
        <v>388</v>
      </c>
      <c r="F434" s="177"/>
      <c r="G434" s="177"/>
      <c r="H434" s="177"/>
    </row>
    <row r="435" spans="1:8" s="134" customFormat="1" x14ac:dyDescent="0.2">
      <c r="A435" s="206"/>
      <c r="B435" s="283" t="s">
        <v>386</v>
      </c>
      <c r="C435" s="283"/>
      <c r="D435" s="199">
        <v>8</v>
      </c>
      <c r="E435" s="200" t="s">
        <v>392</v>
      </c>
      <c r="F435" s="177"/>
      <c r="G435" s="177"/>
      <c r="H435" s="177"/>
    </row>
    <row r="436" spans="1:8" s="134" customFormat="1" x14ac:dyDescent="0.2">
      <c r="A436" s="206"/>
      <c r="B436" s="283" t="s">
        <v>387</v>
      </c>
      <c r="C436" s="283"/>
      <c r="D436" s="199">
        <v>8</v>
      </c>
      <c r="E436" s="200" t="s">
        <v>389</v>
      </c>
      <c r="F436" s="177"/>
      <c r="G436" s="177"/>
      <c r="H436" s="177"/>
    </row>
    <row r="437" spans="1:8" s="134" customFormat="1" ht="13.5" thickBot="1" x14ac:dyDescent="0.25">
      <c r="A437" s="206"/>
      <c r="B437" s="284"/>
      <c r="C437" s="285"/>
      <c r="D437" s="199"/>
      <c r="E437" s="200"/>
      <c r="F437" s="177"/>
      <c r="G437" s="177"/>
      <c r="H437" s="177"/>
    </row>
    <row r="438" spans="1:8" s="134" customFormat="1" ht="26.25" customHeight="1" thickBot="1" x14ac:dyDescent="0.25">
      <c r="A438" s="206"/>
      <c r="B438" s="286" t="s">
        <v>407</v>
      </c>
      <c r="C438" s="287"/>
      <c r="D438" s="287"/>
      <c r="E438" s="288"/>
      <c r="F438" s="177"/>
      <c r="G438" s="177"/>
      <c r="H438" s="177"/>
    </row>
    <row r="439" spans="1:8" s="134" customFormat="1" x14ac:dyDescent="0.2">
      <c r="A439" s="206"/>
      <c r="B439" s="195" t="s">
        <v>18</v>
      </c>
      <c r="C439" s="193"/>
      <c r="D439" s="210"/>
      <c r="E439" s="194"/>
      <c r="F439" s="177"/>
      <c r="G439" s="177"/>
      <c r="H439" s="177"/>
    </row>
    <row r="440" spans="1:8" s="134" customFormat="1" x14ac:dyDescent="0.2">
      <c r="A440" s="206"/>
      <c r="B440" s="201"/>
      <c r="C440" s="277" t="s">
        <v>62</v>
      </c>
      <c r="D440" s="277"/>
      <c r="E440" s="277"/>
      <c r="F440" s="177"/>
      <c r="G440" s="177"/>
      <c r="H440" s="177"/>
    </row>
    <row r="441" spans="1:8" s="134" customFormat="1" x14ac:dyDescent="0.2">
      <c r="A441" s="206"/>
      <c r="B441" s="195" t="s">
        <v>19</v>
      </c>
      <c r="C441" s="212"/>
      <c r="D441" s="212"/>
      <c r="E441" s="202"/>
      <c r="F441" s="177"/>
      <c r="G441" s="177"/>
      <c r="H441" s="177"/>
    </row>
    <row r="442" spans="1:8" s="134" customFormat="1" x14ac:dyDescent="0.2">
      <c r="A442" s="206"/>
      <c r="B442" s="201"/>
      <c r="C442" s="277" t="s">
        <v>465</v>
      </c>
      <c r="D442" s="277"/>
      <c r="E442" s="277"/>
      <c r="F442" s="177"/>
      <c r="G442" s="177"/>
      <c r="H442" s="177"/>
    </row>
    <row r="443" spans="1:8" s="134" customFormat="1" x14ac:dyDescent="0.2">
      <c r="A443" s="206"/>
      <c r="B443" s="195" t="s">
        <v>20</v>
      </c>
      <c r="C443" s="193"/>
      <c r="D443" s="210"/>
      <c r="E443" s="194"/>
      <c r="F443" s="177"/>
      <c r="G443" s="177"/>
      <c r="H443" s="177"/>
    </row>
    <row r="444" spans="1:8" s="134" customFormat="1" x14ac:dyDescent="0.2">
      <c r="A444" s="206"/>
      <c r="B444" s="195"/>
      <c r="C444" s="278" t="s">
        <v>63</v>
      </c>
      <c r="D444" s="278"/>
      <c r="E444" s="278"/>
      <c r="F444" s="177"/>
      <c r="G444" s="177"/>
      <c r="H444" s="177"/>
    </row>
    <row r="445" spans="1:8" s="134" customFormat="1" ht="13.5" thickBot="1" x14ac:dyDescent="0.25">
      <c r="A445" s="206"/>
      <c r="B445" s="203"/>
      <c r="C445" s="174"/>
      <c r="D445" s="204"/>
      <c r="E445" s="205"/>
      <c r="F445" s="177"/>
      <c r="G445" s="177"/>
      <c r="H445" s="177"/>
    </row>
    <row r="446" spans="1:8" s="134" customFormat="1" ht="13.5" thickBot="1" x14ac:dyDescent="0.25">
      <c r="A446" s="206"/>
      <c r="B446" s="177"/>
      <c r="C446" s="177"/>
      <c r="D446" s="206"/>
      <c r="E446" s="177"/>
      <c r="F446" s="177"/>
      <c r="G446" s="177"/>
      <c r="H446" s="177"/>
    </row>
    <row r="447" spans="1:8" s="134" customFormat="1" x14ac:dyDescent="0.2">
      <c r="A447" s="206"/>
      <c r="B447" s="189" t="s">
        <v>154</v>
      </c>
      <c r="C447" s="190"/>
      <c r="D447" s="209"/>
      <c r="E447" s="191"/>
      <c r="F447" s="177"/>
      <c r="G447" s="177"/>
      <c r="H447" s="177"/>
    </row>
    <row r="448" spans="1:8" s="134" customFormat="1" x14ac:dyDescent="0.2">
      <c r="A448" s="206"/>
      <c r="B448" s="192"/>
      <c r="C448" s="193"/>
      <c r="D448" s="210"/>
      <c r="E448" s="194"/>
      <c r="F448" s="177"/>
      <c r="G448" s="177"/>
      <c r="H448" s="177"/>
    </row>
    <row r="449" spans="1:9" s="134" customFormat="1" x14ac:dyDescent="0.2">
      <c r="A449" s="206"/>
      <c r="B449" s="195" t="s">
        <v>16</v>
      </c>
      <c r="C449" s="193"/>
      <c r="D449" s="210"/>
      <c r="E449" s="194"/>
      <c r="F449" s="177"/>
      <c r="G449" s="177"/>
      <c r="H449" s="177"/>
    </row>
    <row r="450" spans="1:9" s="153" customFormat="1" x14ac:dyDescent="0.2">
      <c r="A450" s="206"/>
      <c r="B450" s="195"/>
      <c r="C450" s="277" t="s">
        <v>488</v>
      </c>
      <c r="D450" s="277"/>
      <c r="E450" s="277"/>
      <c r="F450" s="177"/>
      <c r="G450" s="177"/>
      <c r="H450" s="177"/>
      <c r="I450" s="134"/>
    </row>
    <row r="451" spans="1:9" s="134" customFormat="1" ht="13.5" thickBot="1" x14ac:dyDescent="0.25">
      <c r="A451" s="206"/>
      <c r="B451" s="195" t="s">
        <v>17</v>
      </c>
      <c r="C451" s="193"/>
      <c r="D451" s="210"/>
      <c r="E451" s="194"/>
      <c r="F451" s="177"/>
      <c r="G451" s="177"/>
      <c r="H451" s="177"/>
    </row>
    <row r="452" spans="1:9" s="134" customFormat="1" ht="13.5" thickBot="1" x14ac:dyDescent="0.25">
      <c r="A452" s="206"/>
      <c r="B452" s="279" t="s">
        <v>136</v>
      </c>
      <c r="C452" s="280"/>
      <c r="D452" s="280"/>
      <c r="E452" s="281"/>
      <c r="F452" s="177"/>
      <c r="G452" s="177"/>
      <c r="H452" s="177"/>
    </row>
    <row r="453" spans="1:9" s="134" customFormat="1" ht="13.5" thickBot="1" x14ac:dyDescent="0.25">
      <c r="A453" s="206"/>
      <c r="B453" s="279" t="s">
        <v>311</v>
      </c>
      <c r="C453" s="281"/>
      <c r="D453" s="196" t="s">
        <v>11</v>
      </c>
      <c r="E453" s="196" t="s">
        <v>138</v>
      </c>
      <c r="F453" s="177"/>
      <c r="G453" s="177"/>
      <c r="H453" s="177"/>
    </row>
    <row r="454" spans="1:9" s="134" customFormat="1" x14ac:dyDescent="0.2">
      <c r="A454" s="206"/>
      <c r="B454" s="282" t="s">
        <v>381</v>
      </c>
      <c r="C454" s="282"/>
      <c r="D454" s="197">
        <v>8</v>
      </c>
      <c r="E454" s="198" t="s">
        <v>382</v>
      </c>
      <c r="F454" s="177"/>
      <c r="G454" s="177"/>
      <c r="H454" s="177"/>
    </row>
    <row r="455" spans="1:9" s="134" customFormat="1" x14ac:dyDescent="0.2">
      <c r="A455" s="206"/>
      <c r="B455" s="283" t="s">
        <v>383</v>
      </c>
      <c r="C455" s="283"/>
      <c r="D455" s="199">
        <v>5</v>
      </c>
      <c r="E455" s="200" t="s">
        <v>384</v>
      </c>
      <c r="F455" s="177"/>
      <c r="G455" s="177"/>
      <c r="H455" s="177"/>
    </row>
    <row r="456" spans="1:9" s="134" customFormat="1" x14ac:dyDescent="0.2">
      <c r="A456" s="206"/>
      <c r="B456" s="283" t="s">
        <v>385</v>
      </c>
      <c r="C456" s="283"/>
      <c r="D456" s="199">
        <v>8</v>
      </c>
      <c r="E456" s="200" t="s">
        <v>388</v>
      </c>
      <c r="F456" s="177"/>
      <c r="G456" s="177"/>
      <c r="H456" s="177"/>
    </row>
    <row r="457" spans="1:9" s="134" customFormat="1" x14ac:dyDescent="0.2">
      <c r="A457" s="206"/>
      <c r="B457" s="283" t="s">
        <v>386</v>
      </c>
      <c r="C457" s="283"/>
      <c r="D457" s="199">
        <v>5</v>
      </c>
      <c r="E457" s="200" t="s">
        <v>392</v>
      </c>
      <c r="F457" s="177"/>
      <c r="G457" s="177"/>
      <c r="H457" s="177"/>
    </row>
    <row r="458" spans="1:9" s="134" customFormat="1" x14ac:dyDescent="0.2">
      <c r="A458" s="206"/>
      <c r="B458" s="283" t="s">
        <v>387</v>
      </c>
      <c r="C458" s="283"/>
      <c r="D458" s="199">
        <v>5</v>
      </c>
      <c r="E458" s="200" t="s">
        <v>389</v>
      </c>
      <c r="F458" s="177"/>
      <c r="G458" s="177"/>
      <c r="H458" s="177"/>
    </row>
    <row r="459" spans="1:9" s="134" customFormat="1" ht="13.5" thickBot="1" x14ac:dyDescent="0.25">
      <c r="A459" s="206"/>
      <c r="B459" s="284"/>
      <c r="C459" s="285"/>
      <c r="D459" s="199">
        <f>SUM(D454:D458)</f>
        <v>31</v>
      </c>
      <c r="E459" s="200"/>
      <c r="F459" s="177"/>
      <c r="G459" s="177"/>
      <c r="H459" s="177"/>
    </row>
    <row r="460" spans="1:9" s="134" customFormat="1" ht="26.25" customHeight="1" thickBot="1" x14ac:dyDescent="0.25">
      <c r="A460" s="206"/>
      <c r="B460" s="286" t="s">
        <v>408</v>
      </c>
      <c r="C460" s="287"/>
      <c r="D460" s="287"/>
      <c r="E460" s="288"/>
      <c r="F460" s="177"/>
      <c r="G460" s="177"/>
      <c r="H460" s="177"/>
    </row>
    <row r="461" spans="1:9" s="134" customFormat="1" x14ac:dyDescent="0.2">
      <c r="A461" s="206"/>
      <c r="B461" s="195" t="s">
        <v>18</v>
      </c>
      <c r="C461" s="193"/>
      <c r="D461" s="210"/>
      <c r="E461" s="194"/>
      <c r="F461" s="177"/>
      <c r="G461" s="177"/>
      <c r="H461" s="177"/>
    </row>
    <row r="462" spans="1:9" s="134" customFormat="1" x14ac:dyDescent="0.2">
      <c r="A462" s="206"/>
      <c r="B462" s="201"/>
      <c r="C462" s="277" t="s">
        <v>62</v>
      </c>
      <c r="D462" s="277"/>
      <c r="E462" s="277"/>
      <c r="F462" s="177"/>
      <c r="G462" s="177"/>
      <c r="H462" s="177"/>
    </row>
    <row r="463" spans="1:9" s="134" customFormat="1" x14ac:dyDescent="0.2">
      <c r="A463" s="206"/>
      <c r="B463" s="195" t="s">
        <v>19</v>
      </c>
      <c r="C463" s="212"/>
      <c r="D463" s="212"/>
      <c r="E463" s="202"/>
      <c r="F463" s="177"/>
      <c r="G463" s="177"/>
      <c r="H463" s="177"/>
    </row>
    <row r="464" spans="1:9" s="134" customFormat="1" x14ac:dyDescent="0.2">
      <c r="A464" s="206"/>
      <c r="B464" s="201"/>
      <c r="C464" s="277" t="s">
        <v>139</v>
      </c>
      <c r="D464" s="277"/>
      <c r="E464" s="277"/>
      <c r="F464" s="177"/>
      <c r="G464" s="177"/>
      <c r="H464" s="177"/>
    </row>
    <row r="465" spans="1:9" s="134" customFormat="1" x14ac:dyDescent="0.2">
      <c r="A465" s="206"/>
      <c r="B465" s="195" t="s">
        <v>20</v>
      </c>
      <c r="C465" s="193"/>
      <c r="D465" s="210"/>
      <c r="E465" s="194"/>
      <c r="F465" s="177"/>
      <c r="G465" s="177"/>
      <c r="H465" s="177"/>
    </row>
    <row r="466" spans="1:9" s="134" customFormat="1" x14ac:dyDescent="0.2">
      <c r="A466" s="206"/>
      <c r="B466" s="195"/>
      <c r="C466" s="278" t="s">
        <v>63</v>
      </c>
      <c r="D466" s="278"/>
      <c r="E466" s="278"/>
      <c r="F466" s="177"/>
      <c r="G466" s="177"/>
      <c r="H466" s="177"/>
    </row>
    <row r="467" spans="1:9" s="134" customFormat="1" ht="13.5" thickBot="1" x14ac:dyDescent="0.25">
      <c r="A467" s="206"/>
      <c r="B467" s="203"/>
      <c r="C467" s="174"/>
      <c r="D467" s="204"/>
      <c r="E467" s="205"/>
      <c r="F467" s="177"/>
      <c r="G467" s="177"/>
      <c r="H467" s="177"/>
    </row>
    <row r="468" spans="1:9" s="134" customFormat="1" ht="13.5" thickBot="1" x14ac:dyDescent="0.25">
      <c r="A468" s="206"/>
      <c r="B468" s="177"/>
      <c r="C468" s="177"/>
      <c r="D468" s="206"/>
      <c r="E468" s="177"/>
      <c r="F468" s="177"/>
      <c r="G468" s="177"/>
      <c r="H468" s="177"/>
    </row>
    <row r="469" spans="1:9" s="134" customFormat="1" x14ac:dyDescent="0.2">
      <c r="A469" s="206"/>
      <c r="B469" s="189" t="s">
        <v>155</v>
      </c>
      <c r="C469" s="190"/>
      <c r="D469" s="209"/>
      <c r="E469" s="191"/>
      <c r="F469" s="177"/>
      <c r="G469" s="177"/>
      <c r="H469" s="177"/>
    </row>
    <row r="470" spans="1:9" s="134" customFormat="1" x14ac:dyDescent="0.2">
      <c r="A470" s="206"/>
      <c r="B470" s="192"/>
      <c r="C470" s="193"/>
      <c r="D470" s="210"/>
      <c r="E470" s="194"/>
      <c r="F470" s="177"/>
      <c r="G470" s="177"/>
      <c r="H470" s="177"/>
    </row>
    <row r="471" spans="1:9" s="134" customFormat="1" x14ac:dyDescent="0.2">
      <c r="A471" s="206"/>
      <c r="B471" s="195" t="s">
        <v>16</v>
      </c>
      <c r="C471" s="193"/>
      <c r="D471" s="210"/>
      <c r="E471" s="194"/>
      <c r="F471" s="177"/>
      <c r="G471" s="177"/>
      <c r="H471" s="177"/>
    </row>
    <row r="472" spans="1:9" s="153" customFormat="1" x14ac:dyDescent="0.2">
      <c r="A472" s="206"/>
      <c r="B472" s="195"/>
      <c r="C472" s="277" t="s">
        <v>563</v>
      </c>
      <c r="D472" s="277"/>
      <c r="E472" s="277"/>
      <c r="F472" s="177"/>
      <c r="G472" s="177"/>
      <c r="H472" s="177"/>
      <c r="I472" s="134"/>
    </row>
    <row r="473" spans="1:9" s="134" customFormat="1" ht="13.5" thickBot="1" x14ac:dyDescent="0.25">
      <c r="A473" s="206"/>
      <c r="B473" s="195" t="s">
        <v>17</v>
      </c>
      <c r="C473" s="193"/>
      <c r="D473" s="210"/>
      <c r="E473" s="194"/>
      <c r="F473" s="177"/>
      <c r="G473" s="177"/>
      <c r="H473" s="177"/>
    </row>
    <row r="474" spans="1:9" s="134" customFormat="1" ht="13.5" thickBot="1" x14ac:dyDescent="0.25">
      <c r="A474" s="206"/>
      <c r="B474" s="279" t="s">
        <v>136</v>
      </c>
      <c r="C474" s="280"/>
      <c r="D474" s="280"/>
      <c r="E474" s="281"/>
      <c r="F474" s="177"/>
      <c r="G474" s="177"/>
      <c r="H474" s="177"/>
    </row>
    <row r="475" spans="1:9" s="134" customFormat="1" ht="13.5" thickBot="1" x14ac:dyDescent="0.25">
      <c r="A475" s="206"/>
      <c r="B475" s="279" t="s">
        <v>311</v>
      </c>
      <c r="C475" s="281"/>
      <c r="D475" s="196" t="s">
        <v>11</v>
      </c>
      <c r="E475" s="196" t="s">
        <v>138</v>
      </c>
      <c r="F475" s="177"/>
      <c r="G475" s="177"/>
      <c r="H475" s="177"/>
    </row>
    <row r="476" spans="1:9" s="134" customFormat="1" x14ac:dyDescent="0.2">
      <c r="A476" s="206"/>
      <c r="B476" s="282" t="s">
        <v>381</v>
      </c>
      <c r="C476" s="282"/>
      <c r="D476" s="197">
        <v>1</v>
      </c>
      <c r="E476" s="198" t="s">
        <v>382</v>
      </c>
      <c r="F476" s="177"/>
      <c r="G476" s="177"/>
      <c r="H476" s="177"/>
    </row>
    <row r="477" spans="1:9" s="134" customFormat="1" x14ac:dyDescent="0.2">
      <c r="A477" s="206"/>
      <c r="B477" s="283" t="s">
        <v>383</v>
      </c>
      <c r="C477" s="283"/>
      <c r="D477" s="199">
        <v>1</v>
      </c>
      <c r="E477" s="200" t="s">
        <v>384</v>
      </c>
      <c r="F477" s="177"/>
      <c r="G477" s="177"/>
      <c r="H477" s="177"/>
    </row>
    <row r="478" spans="1:9" s="134" customFormat="1" x14ac:dyDescent="0.2">
      <c r="A478" s="206"/>
      <c r="B478" s="283" t="s">
        <v>385</v>
      </c>
      <c r="C478" s="283"/>
      <c r="D478" s="199">
        <v>1</v>
      </c>
      <c r="E478" s="200" t="s">
        <v>388</v>
      </c>
      <c r="F478" s="177"/>
      <c r="G478" s="177"/>
      <c r="H478" s="177"/>
    </row>
    <row r="479" spans="1:9" s="134" customFormat="1" x14ac:dyDescent="0.2">
      <c r="A479" s="206"/>
      <c r="B479" s="283" t="s">
        <v>386</v>
      </c>
      <c r="C479" s="283"/>
      <c r="D479" s="199">
        <v>1</v>
      </c>
      <c r="E479" s="200" t="s">
        <v>392</v>
      </c>
      <c r="F479" s="177"/>
      <c r="G479" s="177"/>
      <c r="H479" s="177"/>
    </row>
    <row r="480" spans="1:9" s="134" customFormat="1" x14ac:dyDescent="0.2">
      <c r="A480" s="206"/>
      <c r="B480" s="283" t="s">
        <v>387</v>
      </c>
      <c r="C480" s="283"/>
      <c r="D480" s="199">
        <v>1</v>
      </c>
      <c r="E480" s="200" t="s">
        <v>389</v>
      </c>
      <c r="F480" s="177"/>
      <c r="G480" s="177"/>
      <c r="H480" s="177"/>
    </row>
    <row r="481" spans="1:8" s="134" customFormat="1" ht="13.5" thickBot="1" x14ac:dyDescent="0.25">
      <c r="A481" s="206"/>
      <c r="B481" s="284"/>
      <c r="C481" s="285"/>
      <c r="D481" s="199"/>
      <c r="E481" s="200"/>
      <c r="F481" s="177"/>
      <c r="G481" s="177"/>
      <c r="H481" s="177"/>
    </row>
    <row r="482" spans="1:8" s="134" customFormat="1" ht="25.5" customHeight="1" thickBot="1" x14ac:dyDescent="0.25">
      <c r="A482" s="206"/>
      <c r="B482" s="286" t="s">
        <v>409</v>
      </c>
      <c r="C482" s="287"/>
      <c r="D482" s="287"/>
      <c r="E482" s="288"/>
      <c r="F482" s="177"/>
      <c r="G482" s="177"/>
      <c r="H482" s="177"/>
    </row>
    <row r="483" spans="1:8" s="134" customFormat="1" x14ac:dyDescent="0.2">
      <c r="A483" s="206"/>
      <c r="B483" s="195" t="s">
        <v>18</v>
      </c>
      <c r="C483" s="193"/>
      <c r="D483" s="210"/>
      <c r="E483" s="194"/>
      <c r="F483" s="177"/>
      <c r="G483" s="177"/>
      <c r="H483" s="177"/>
    </row>
    <row r="484" spans="1:8" s="134" customFormat="1" x14ac:dyDescent="0.2">
      <c r="A484" s="206"/>
      <c r="B484" s="201"/>
      <c r="C484" s="277" t="s">
        <v>62</v>
      </c>
      <c r="D484" s="277"/>
      <c r="E484" s="277"/>
      <c r="F484" s="177"/>
      <c r="G484" s="177"/>
      <c r="H484" s="177"/>
    </row>
    <row r="485" spans="1:8" s="134" customFormat="1" x14ac:dyDescent="0.2">
      <c r="A485" s="206"/>
      <c r="B485" s="195" t="s">
        <v>19</v>
      </c>
      <c r="C485" s="212"/>
      <c r="D485" s="212"/>
      <c r="E485" s="202"/>
      <c r="F485" s="177"/>
      <c r="G485" s="177"/>
      <c r="H485" s="177"/>
    </row>
    <row r="486" spans="1:8" s="134" customFormat="1" x14ac:dyDescent="0.2">
      <c r="A486" s="206"/>
      <c r="B486" s="201"/>
      <c r="C486" s="277" t="s">
        <v>489</v>
      </c>
      <c r="D486" s="277"/>
      <c r="E486" s="277"/>
      <c r="F486" s="177"/>
      <c r="G486" s="177"/>
      <c r="H486" s="177"/>
    </row>
    <row r="487" spans="1:8" s="134" customFormat="1" x14ac:dyDescent="0.2">
      <c r="A487" s="206"/>
      <c r="B487" s="195" t="s">
        <v>20</v>
      </c>
      <c r="C487" s="193"/>
      <c r="D487" s="210"/>
      <c r="E487" s="194"/>
      <c r="F487" s="177"/>
      <c r="G487" s="177"/>
      <c r="H487" s="177"/>
    </row>
    <row r="488" spans="1:8" s="134" customFormat="1" x14ac:dyDescent="0.2">
      <c r="A488" s="206"/>
      <c r="B488" s="195"/>
      <c r="C488" s="278" t="s">
        <v>63</v>
      </c>
      <c r="D488" s="278"/>
      <c r="E488" s="278"/>
      <c r="F488" s="177"/>
      <c r="G488" s="177"/>
      <c r="H488" s="177"/>
    </row>
    <row r="489" spans="1:8" s="134" customFormat="1" ht="13.5" thickBot="1" x14ac:dyDescent="0.25">
      <c r="A489" s="206"/>
      <c r="B489" s="203"/>
      <c r="C489" s="174"/>
      <c r="D489" s="204"/>
      <c r="E489" s="205"/>
      <c r="F489" s="177"/>
      <c r="G489" s="177"/>
      <c r="H489" s="177"/>
    </row>
    <row r="490" spans="1:8" s="134" customFormat="1" ht="13.5" thickBot="1" x14ac:dyDescent="0.25">
      <c r="A490" s="206"/>
      <c r="B490" s="177"/>
      <c r="C490" s="177"/>
      <c r="D490" s="206"/>
      <c r="E490" s="177"/>
      <c r="F490" s="177"/>
      <c r="G490" s="177"/>
      <c r="H490" s="177"/>
    </row>
    <row r="491" spans="1:8" s="134" customFormat="1" x14ac:dyDescent="0.2">
      <c r="A491" s="206"/>
      <c r="B491" s="189" t="s">
        <v>156</v>
      </c>
      <c r="C491" s="190"/>
      <c r="D491" s="209"/>
      <c r="E491" s="191"/>
      <c r="F491" s="177"/>
      <c r="G491" s="177"/>
      <c r="H491" s="177"/>
    </row>
    <row r="492" spans="1:8" s="134" customFormat="1" x14ac:dyDescent="0.2">
      <c r="A492" s="206"/>
      <c r="B492" s="192"/>
      <c r="C492" s="177"/>
      <c r="D492" s="206"/>
      <c r="E492" s="177"/>
      <c r="F492" s="177"/>
      <c r="G492" s="177"/>
      <c r="H492" s="177"/>
    </row>
    <row r="493" spans="1:8" s="134" customFormat="1" x14ac:dyDescent="0.2">
      <c r="A493" s="206"/>
      <c r="B493" s="195" t="s">
        <v>16</v>
      </c>
      <c r="C493" s="193"/>
      <c r="D493" s="210"/>
      <c r="E493" s="194"/>
      <c r="F493" s="177"/>
      <c r="G493" s="177"/>
      <c r="H493" s="177"/>
    </row>
    <row r="494" spans="1:8" s="134" customFormat="1" x14ac:dyDescent="0.2">
      <c r="A494" s="206"/>
      <c r="B494" s="195"/>
      <c r="C494" s="303" t="s">
        <v>564</v>
      </c>
      <c r="D494" s="303"/>
      <c r="E494" s="278"/>
      <c r="F494" s="177"/>
      <c r="G494" s="177"/>
      <c r="H494" s="177"/>
    </row>
    <row r="495" spans="1:8" s="134" customFormat="1" ht="13.5" thickBot="1" x14ac:dyDescent="0.25">
      <c r="A495" s="206"/>
      <c r="B495" s="195" t="s">
        <v>17</v>
      </c>
      <c r="C495" s="193"/>
      <c r="D495" s="210"/>
      <c r="E495" s="194"/>
      <c r="F495" s="177"/>
      <c r="G495" s="177"/>
      <c r="H495" s="177"/>
    </row>
    <row r="496" spans="1:8" s="134" customFormat="1" ht="13.5" thickBot="1" x14ac:dyDescent="0.25">
      <c r="A496" s="206"/>
      <c r="B496" s="279" t="s">
        <v>136</v>
      </c>
      <c r="C496" s="280"/>
      <c r="D496" s="280"/>
      <c r="E496" s="281"/>
      <c r="F496" s="177"/>
      <c r="G496" s="177"/>
      <c r="H496" s="177"/>
    </row>
    <row r="497" spans="1:8" s="134" customFormat="1" ht="13.5" thickBot="1" x14ac:dyDescent="0.25">
      <c r="A497" s="206"/>
      <c r="B497" s="279" t="s">
        <v>311</v>
      </c>
      <c r="C497" s="281"/>
      <c r="D497" s="196" t="s">
        <v>11</v>
      </c>
      <c r="E497" s="196" t="s">
        <v>138</v>
      </c>
      <c r="F497" s="177"/>
      <c r="G497" s="177"/>
      <c r="H497" s="177"/>
    </row>
    <row r="498" spans="1:8" s="134" customFormat="1" x14ac:dyDescent="0.2">
      <c r="A498" s="206"/>
      <c r="B498" s="282" t="s">
        <v>381</v>
      </c>
      <c r="C498" s="282"/>
      <c r="D498" s="197">
        <v>1</v>
      </c>
      <c r="E498" s="198" t="s">
        <v>382</v>
      </c>
      <c r="F498" s="177"/>
      <c r="G498" s="177"/>
      <c r="H498" s="177"/>
    </row>
    <row r="499" spans="1:8" s="134" customFormat="1" x14ac:dyDescent="0.2">
      <c r="A499" s="206"/>
      <c r="B499" s="283" t="s">
        <v>383</v>
      </c>
      <c r="C499" s="283"/>
      <c r="D499" s="199">
        <v>1</v>
      </c>
      <c r="E499" s="200" t="s">
        <v>384</v>
      </c>
      <c r="F499" s="177"/>
      <c r="G499" s="177"/>
      <c r="H499" s="177"/>
    </row>
    <row r="500" spans="1:8" s="134" customFormat="1" x14ac:dyDescent="0.2">
      <c r="A500" s="206"/>
      <c r="B500" s="283" t="s">
        <v>385</v>
      </c>
      <c r="C500" s="283"/>
      <c r="D500" s="199">
        <v>1</v>
      </c>
      <c r="E500" s="200" t="s">
        <v>388</v>
      </c>
      <c r="F500" s="177"/>
      <c r="G500" s="177"/>
      <c r="H500" s="177"/>
    </row>
    <row r="501" spans="1:8" s="134" customFormat="1" x14ac:dyDescent="0.2">
      <c r="A501" s="206"/>
      <c r="B501" s="283" t="s">
        <v>386</v>
      </c>
      <c r="C501" s="283"/>
      <c r="D501" s="199">
        <v>1</v>
      </c>
      <c r="E501" s="200" t="s">
        <v>392</v>
      </c>
      <c r="F501" s="177"/>
      <c r="G501" s="177"/>
      <c r="H501" s="177"/>
    </row>
    <row r="502" spans="1:8" s="134" customFormat="1" x14ac:dyDescent="0.2">
      <c r="A502" s="206"/>
      <c r="B502" s="283" t="s">
        <v>387</v>
      </c>
      <c r="C502" s="283"/>
      <c r="D502" s="199">
        <v>1</v>
      </c>
      <c r="E502" s="200" t="s">
        <v>389</v>
      </c>
      <c r="F502" s="177"/>
      <c r="G502" s="177"/>
      <c r="H502" s="177"/>
    </row>
    <row r="503" spans="1:8" s="134" customFormat="1" ht="13.5" thickBot="1" x14ac:dyDescent="0.25">
      <c r="A503" s="206"/>
      <c r="B503" s="284"/>
      <c r="C503" s="285"/>
      <c r="D503" s="199"/>
      <c r="E503" s="200"/>
      <c r="F503" s="177"/>
      <c r="G503" s="177"/>
      <c r="H503" s="177"/>
    </row>
    <row r="504" spans="1:8" s="134" customFormat="1" ht="24" customHeight="1" thickBot="1" x14ac:dyDescent="0.25">
      <c r="A504" s="206"/>
      <c r="B504" s="286" t="s">
        <v>409</v>
      </c>
      <c r="C504" s="287"/>
      <c r="D504" s="287"/>
      <c r="E504" s="288"/>
      <c r="F504" s="177"/>
      <c r="G504" s="177"/>
      <c r="H504" s="177"/>
    </row>
    <row r="505" spans="1:8" s="134" customFormat="1" x14ac:dyDescent="0.2">
      <c r="A505" s="206"/>
      <c r="B505" s="195" t="s">
        <v>18</v>
      </c>
      <c r="C505" s="193"/>
      <c r="D505" s="210"/>
      <c r="E505" s="194"/>
      <c r="F505" s="177"/>
      <c r="G505" s="177"/>
      <c r="H505" s="177"/>
    </row>
    <row r="506" spans="1:8" s="134" customFormat="1" x14ac:dyDescent="0.2">
      <c r="A506" s="206"/>
      <c r="B506" s="201"/>
      <c r="C506" s="277" t="s">
        <v>62</v>
      </c>
      <c r="D506" s="277"/>
      <c r="E506" s="277"/>
      <c r="F506" s="177"/>
      <c r="G506" s="177"/>
      <c r="H506" s="177"/>
    </row>
    <row r="507" spans="1:8" s="134" customFormat="1" x14ac:dyDescent="0.2">
      <c r="A507" s="206"/>
      <c r="B507" s="195" t="s">
        <v>19</v>
      </c>
      <c r="C507" s="212"/>
      <c r="D507" s="212"/>
      <c r="E507" s="202"/>
      <c r="F507" s="177"/>
      <c r="G507" s="177"/>
      <c r="H507" s="177"/>
    </row>
    <row r="508" spans="1:8" s="134" customFormat="1" x14ac:dyDescent="0.2">
      <c r="A508" s="206"/>
      <c r="B508" s="201"/>
      <c r="C508" s="277" t="s">
        <v>489</v>
      </c>
      <c r="D508" s="277"/>
      <c r="E508" s="277"/>
      <c r="F508" s="177"/>
      <c r="G508" s="177"/>
      <c r="H508" s="177"/>
    </row>
    <row r="509" spans="1:8" s="134" customFormat="1" x14ac:dyDescent="0.2">
      <c r="A509" s="206"/>
      <c r="B509" s="195" t="s">
        <v>20</v>
      </c>
      <c r="C509" s="193"/>
      <c r="D509" s="210"/>
      <c r="E509" s="194"/>
      <c r="F509" s="177"/>
      <c r="G509" s="177"/>
      <c r="H509" s="177"/>
    </row>
    <row r="510" spans="1:8" s="134" customFormat="1" x14ac:dyDescent="0.2">
      <c r="A510" s="206"/>
      <c r="B510" s="195"/>
      <c r="C510" s="278" t="s">
        <v>63</v>
      </c>
      <c r="D510" s="278"/>
      <c r="E510" s="278"/>
      <c r="F510" s="177"/>
      <c r="G510" s="177"/>
      <c r="H510" s="177"/>
    </row>
    <row r="511" spans="1:8" s="134" customFormat="1" ht="13.5" thickBot="1" x14ac:dyDescent="0.25">
      <c r="A511" s="206"/>
      <c r="B511" s="203"/>
      <c r="C511" s="174"/>
      <c r="D511" s="204"/>
      <c r="E511" s="205"/>
      <c r="F511" s="177"/>
      <c r="G511" s="177"/>
      <c r="H511" s="177"/>
    </row>
    <row r="512" spans="1:8" s="134" customFormat="1" ht="13.5" thickBot="1" x14ac:dyDescent="0.25">
      <c r="A512" s="206"/>
      <c r="B512" s="177"/>
      <c r="C512" s="177"/>
      <c r="D512" s="206"/>
      <c r="E512" s="177"/>
      <c r="F512" s="177"/>
      <c r="G512" s="177"/>
      <c r="H512" s="177"/>
    </row>
    <row r="513" spans="1:9" s="134" customFormat="1" x14ac:dyDescent="0.2">
      <c r="A513" s="206"/>
      <c r="B513" s="189" t="s">
        <v>157</v>
      </c>
      <c r="C513" s="190"/>
      <c r="D513" s="209"/>
      <c r="E513" s="191"/>
      <c r="F513" s="177"/>
      <c r="G513" s="177"/>
      <c r="H513" s="177"/>
    </row>
    <row r="514" spans="1:9" s="134" customFormat="1" x14ac:dyDescent="0.2">
      <c r="A514" s="206"/>
      <c r="B514" s="192"/>
      <c r="C514" s="193"/>
      <c r="D514" s="210"/>
      <c r="E514" s="194"/>
      <c r="F514" s="177"/>
      <c r="G514" s="177"/>
      <c r="H514" s="177"/>
    </row>
    <row r="515" spans="1:9" s="134" customFormat="1" x14ac:dyDescent="0.2">
      <c r="A515" s="206"/>
      <c r="B515" s="195" t="s">
        <v>16</v>
      </c>
      <c r="C515" s="193"/>
      <c r="D515" s="210"/>
      <c r="E515" s="194"/>
      <c r="F515" s="177"/>
      <c r="G515" s="177"/>
      <c r="H515" s="177"/>
    </row>
    <row r="516" spans="1:9" s="153" customFormat="1" x14ac:dyDescent="0.2">
      <c r="A516" s="206"/>
      <c r="B516" s="195"/>
      <c r="C516" s="277" t="s">
        <v>510</v>
      </c>
      <c r="D516" s="277"/>
      <c r="E516" s="277"/>
      <c r="F516" s="177"/>
      <c r="G516" s="177"/>
      <c r="H516" s="177"/>
      <c r="I516" s="134"/>
    </row>
    <row r="517" spans="1:9" s="134" customFormat="1" ht="13.5" thickBot="1" x14ac:dyDescent="0.25">
      <c r="A517" s="206"/>
      <c r="B517" s="195" t="s">
        <v>17</v>
      </c>
      <c r="C517" s="193"/>
      <c r="D517" s="210"/>
      <c r="E517" s="194"/>
      <c r="F517" s="177"/>
      <c r="G517" s="177"/>
      <c r="H517" s="177"/>
    </row>
    <row r="518" spans="1:9" s="134" customFormat="1" ht="13.5" thickBot="1" x14ac:dyDescent="0.25">
      <c r="A518" s="206"/>
      <c r="B518" s="279" t="s">
        <v>402</v>
      </c>
      <c r="C518" s="280"/>
      <c r="D518" s="280"/>
      <c r="E518" s="281"/>
      <c r="F518" s="177"/>
      <c r="G518" s="177"/>
      <c r="H518" s="177"/>
    </row>
    <row r="519" spans="1:9" s="134" customFormat="1" ht="13.5" thickBot="1" x14ac:dyDescent="0.25">
      <c r="A519" s="206"/>
      <c r="B519" s="279" t="s">
        <v>311</v>
      </c>
      <c r="C519" s="281"/>
      <c r="D519" s="196" t="s">
        <v>11</v>
      </c>
      <c r="E519" s="207" t="s">
        <v>476</v>
      </c>
      <c r="F519" s="177"/>
      <c r="G519" s="177"/>
      <c r="H519" s="177"/>
    </row>
    <row r="520" spans="1:9" s="134" customFormat="1" x14ac:dyDescent="0.2">
      <c r="A520" s="206"/>
      <c r="B520" s="282" t="s">
        <v>381</v>
      </c>
      <c r="C520" s="282"/>
      <c r="D520" s="197">
        <v>1</v>
      </c>
      <c r="E520" s="198" t="s">
        <v>382</v>
      </c>
      <c r="F520" s="177"/>
      <c r="G520" s="177"/>
      <c r="H520" s="177"/>
    </row>
    <row r="521" spans="1:9" s="134" customFormat="1" x14ac:dyDescent="0.2">
      <c r="A521" s="206"/>
      <c r="B521" s="283" t="s">
        <v>383</v>
      </c>
      <c r="C521" s="283"/>
      <c r="D521" s="199">
        <v>1</v>
      </c>
      <c r="E521" s="200" t="s">
        <v>384</v>
      </c>
      <c r="F521" s="177"/>
      <c r="G521" s="177"/>
      <c r="H521" s="177"/>
    </row>
    <row r="522" spans="1:9" s="134" customFormat="1" x14ac:dyDescent="0.2">
      <c r="A522" s="206"/>
      <c r="B522" s="283" t="s">
        <v>385</v>
      </c>
      <c r="C522" s="283"/>
      <c r="D522" s="199">
        <v>1</v>
      </c>
      <c r="E522" s="200" t="s">
        <v>388</v>
      </c>
      <c r="F522" s="177"/>
      <c r="G522" s="177"/>
      <c r="H522" s="177"/>
    </row>
    <row r="523" spans="1:9" s="134" customFormat="1" x14ac:dyDescent="0.2">
      <c r="A523" s="206"/>
      <c r="B523" s="283" t="s">
        <v>386</v>
      </c>
      <c r="C523" s="283"/>
      <c r="D523" s="199">
        <v>1</v>
      </c>
      <c r="E523" s="200" t="s">
        <v>392</v>
      </c>
      <c r="F523" s="177"/>
      <c r="G523" s="177"/>
      <c r="H523" s="177"/>
    </row>
    <row r="524" spans="1:9" s="134" customFormat="1" x14ac:dyDescent="0.2">
      <c r="A524" s="206"/>
      <c r="B524" s="283" t="s">
        <v>387</v>
      </c>
      <c r="C524" s="283"/>
      <c r="D524" s="199">
        <v>1</v>
      </c>
      <c r="E524" s="200" t="s">
        <v>389</v>
      </c>
      <c r="F524" s="177"/>
      <c r="G524" s="177"/>
      <c r="H524" s="177"/>
    </row>
    <row r="525" spans="1:9" s="134" customFormat="1" ht="13.5" thickBot="1" x14ac:dyDescent="0.25">
      <c r="A525" s="206"/>
      <c r="B525" s="284"/>
      <c r="C525" s="285"/>
      <c r="D525" s="199"/>
      <c r="E525" s="200"/>
      <c r="F525" s="177"/>
      <c r="G525" s="177"/>
      <c r="H525" s="177"/>
    </row>
    <row r="526" spans="1:9" s="134" customFormat="1" ht="24.75" customHeight="1" thickBot="1" x14ac:dyDescent="0.25">
      <c r="A526" s="206"/>
      <c r="B526" s="286" t="s">
        <v>404</v>
      </c>
      <c r="C526" s="287"/>
      <c r="D526" s="287"/>
      <c r="E526" s="288"/>
      <c r="F526" s="177"/>
      <c r="G526" s="177"/>
      <c r="H526" s="177"/>
    </row>
    <row r="527" spans="1:9" s="134" customFormat="1" x14ac:dyDescent="0.2">
      <c r="A527" s="206"/>
      <c r="B527" s="195" t="s">
        <v>18</v>
      </c>
      <c r="C527" s="193"/>
      <c r="D527" s="210"/>
      <c r="E527" s="194"/>
      <c r="F527" s="177"/>
      <c r="G527" s="177"/>
      <c r="H527" s="177"/>
    </row>
    <row r="528" spans="1:9" s="134" customFormat="1" x14ac:dyDescent="0.2">
      <c r="A528" s="206"/>
      <c r="B528" s="201"/>
      <c r="C528" s="277" t="s">
        <v>62</v>
      </c>
      <c r="D528" s="277"/>
      <c r="E528" s="277"/>
      <c r="F528" s="177"/>
      <c r="G528" s="177"/>
      <c r="H528" s="177"/>
    </row>
    <row r="529" spans="1:9" s="134" customFormat="1" x14ac:dyDescent="0.2">
      <c r="A529" s="206"/>
      <c r="B529" s="195" t="s">
        <v>19</v>
      </c>
      <c r="C529" s="212"/>
      <c r="D529" s="212"/>
      <c r="E529" s="202"/>
      <c r="F529" s="177"/>
      <c r="G529" s="177"/>
      <c r="H529" s="177"/>
    </row>
    <row r="530" spans="1:9" s="134" customFormat="1" x14ac:dyDescent="0.2">
      <c r="A530" s="206"/>
      <c r="B530" s="201"/>
      <c r="C530" s="277" t="s">
        <v>465</v>
      </c>
      <c r="D530" s="277"/>
      <c r="E530" s="277"/>
      <c r="F530" s="177"/>
      <c r="G530" s="177"/>
      <c r="H530" s="177"/>
    </row>
    <row r="531" spans="1:9" s="134" customFormat="1" x14ac:dyDescent="0.2">
      <c r="A531" s="206"/>
      <c r="B531" s="195" t="s">
        <v>20</v>
      </c>
      <c r="C531" s="193"/>
      <c r="D531" s="210"/>
      <c r="E531" s="194"/>
      <c r="F531" s="177"/>
      <c r="G531" s="177"/>
      <c r="H531" s="177"/>
    </row>
    <row r="532" spans="1:9" s="134" customFormat="1" x14ac:dyDescent="0.2">
      <c r="A532" s="206"/>
      <c r="B532" s="195"/>
      <c r="C532" s="278" t="s">
        <v>63</v>
      </c>
      <c r="D532" s="278"/>
      <c r="E532" s="278"/>
      <c r="F532" s="177"/>
      <c r="G532" s="177"/>
      <c r="H532" s="177"/>
    </row>
    <row r="533" spans="1:9" s="134" customFormat="1" ht="13.5" thickBot="1" x14ac:dyDescent="0.25">
      <c r="A533" s="206"/>
      <c r="B533" s="203"/>
      <c r="C533" s="174"/>
      <c r="D533" s="204"/>
      <c r="E533" s="205"/>
      <c r="F533" s="177"/>
      <c r="G533" s="177"/>
      <c r="H533" s="177"/>
    </row>
    <row r="534" spans="1:9" s="134" customFormat="1" x14ac:dyDescent="0.2">
      <c r="A534" s="206"/>
      <c r="B534" s="211"/>
      <c r="C534" s="193"/>
      <c r="D534" s="210"/>
      <c r="E534" s="193"/>
      <c r="F534" s="177"/>
      <c r="G534" s="177"/>
      <c r="H534" s="177"/>
    </row>
    <row r="535" spans="1:9" s="134" customFormat="1" ht="13.5" thickBot="1" x14ac:dyDescent="0.25">
      <c r="A535" s="206"/>
      <c r="B535" s="177"/>
      <c r="C535" s="177"/>
      <c r="D535" s="206"/>
      <c r="E535" s="177"/>
      <c r="F535" s="177"/>
      <c r="G535" s="177"/>
      <c r="H535" s="177"/>
    </row>
    <row r="536" spans="1:9" s="134" customFormat="1" x14ac:dyDescent="0.2">
      <c r="A536" s="206"/>
      <c r="B536" s="189" t="s">
        <v>158</v>
      </c>
      <c r="C536" s="190"/>
      <c r="D536" s="209"/>
      <c r="E536" s="191"/>
      <c r="F536" s="177"/>
      <c r="G536" s="177"/>
      <c r="H536" s="177"/>
    </row>
    <row r="537" spans="1:9" s="134" customFormat="1" x14ac:dyDescent="0.2">
      <c r="A537" s="206"/>
      <c r="B537" s="192"/>
      <c r="C537" s="193"/>
      <c r="D537" s="210"/>
      <c r="E537" s="194"/>
      <c r="F537" s="177"/>
      <c r="G537" s="177"/>
      <c r="H537" s="177"/>
    </row>
    <row r="538" spans="1:9" s="134" customFormat="1" x14ac:dyDescent="0.2">
      <c r="A538" s="206"/>
      <c r="B538" s="195" t="s">
        <v>16</v>
      </c>
      <c r="C538" s="193"/>
      <c r="D538" s="210"/>
      <c r="E538" s="194"/>
      <c r="F538" s="177"/>
      <c r="G538" s="177"/>
      <c r="H538" s="177"/>
    </row>
    <row r="539" spans="1:9" s="153" customFormat="1" x14ac:dyDescent="0.2">
      <c r="A539" s="206"/>
      <c r="B539" s="195"/>
      <c r="C539" s="277" t="s">
        <v>491</v>
      </c>
      <c r="D539" s="277"/>
      <c r="E539" s="277"/>
      <c r="F539" s="177"/>
      <c r="G539" s="177"/>
      <c r="H539" s="177"/>
      <c r="I539" s="134"/>
    </row>
    <row r="540" spans="1:9" s="134" customFormat="1" ht="13.5" thickBot="1" x14ac:dyDescent="0.25">
      <c r="A540" s="206"/>
      <c r="B540" s="195" t="s">
        <v>17</v>
      </c>
      <c r="C540" s="193"/>
      <c r="D540" s="210"/>
      <c r="E540" s="194"/>
      <c r="F540" s="177"/>
      <c r="G540" s="177"/>
      <c r="H540" s="177"/>
    </row>
    <row r="541" spans="1:9" s="134" customFormat="1" ht="13.5" thickBot="1" x14ac:dyDescent="0.25">
      <c r="A541" s="206"/>
      <c r="B541" s="279" t="s">
        <v>136</v>
      </c>
      <c r="C541" s="280"/>
      <c r="D541" s="280"/>
      <c r="E541" s="281"/>
      <c r="F541" s="177"/>
      <c r="G541" s="177"/>
      <c r="H541" s="177"/>
    </row>
    <row r="542" spans="1:9" s="134" customFormat="1" ht="13.5" thickBot="1" x14ac:dyDescent="0.25">
      <c r="A542" s="206"/>
      <c r="B542" s="279" t="s">
        <v>311</v>
      </c>
      <c r="C542" s="281"/>
      <c r="D542" s="196" t="s">
        <v>11</v>
      </c>
      <c r="E542" s="196" t="s">
        <v>138</v>
      </c>
      <c r="F542" s="177"/>
      <c r="G542" s="177"/>
      <c r="H542" s="177"/>
    </row>
    <row r="543" spans="1:9" s="134" customFormat="1" x14ac:dyDescent="0.2">
      <c r="A543" s="206"/>
      <c r="B543" s="282" t="s">
        <v>381</v>
      </c>
      <c r="C543" s="282"/>
      <c r="D543" s="197">
        <v>20</v>
      </c>
      <c r="E543" s="198" t="s">
        <v>382</v>
      </c>
      <c r="F543" s="177"/>
      <c r="G543" s="177"/>
      <c r="H543" s="177"/>
    </row>
    <row r="544" spans="1:9" s="134" customFormat="1" x14ac:dyDescent="0.2">
      <c r="A544" s="206"/>
      <c r="B544" s="283" t="s">
        <v>383</v>
      </c>
      <c r="C544" s="283"/>
      <c r="D544" s="199">
        <v>10</v>
      </c>
      <c r="E544" s="200" t="s">
        <v>384</v>
      </c>
      <c r="F544" s="177"/>
      <c r="G544" s="177"/>
      <c r="H544" s="177"/>
    </row>
    <row r="545" spans="1:8" s="134" customFormat="1" x14ac:dyDescent="0.2">
      <c r="A545" s="206"/>
      <c r="B545" s="283" t="s">
        <v>385</v>
      </c>
      <c r="C545" s="283"/>
      <c r="D545" s="199">
        <v>20</v>
      </c>
      <c r="E545" s="200" t="s">
        <v>388</v>
      </c>
      <c r="F545" s="177"/>
      <c r="G545" s="177"/>
      <c r="H545" s="177"/>
    </row>
    <row r="546" spans="1:8" s="134" customFormat="1" x14ac:dyDescent="0.2">
      <c r="A546" s="206"/>
      <c r="B546" s="283" t="s">
        <v>386</v>
      </c>
      <c r="C546" s="283"/>
      <c r="D546" s="199">
        <v>10</v>
      </c>
      <c r="E546" s="200" t="s">
        <v>392</v>
      </c>
      <c r="F546" s="177"/>
      <c r="G546" s="177"/>
      <c r="H546" s="177"/>
    </row>
    <row r="547" spans="1:8" s="134" customFormat="1" x14ac:dyDescent="0.2">
      <c r="A547" s="206"/>
      <c r="B547" s="283" t="s">
        <v>387</v>
      </c>
      <c r="C547" s="283"/>
      <c r="D547" s="199">
        <v>10</v>
      </c>
      <c r="E547" s="200" t="s">
        <v>389</v>
      </c>
      <c r="F547" s="177"/>
      <c r="G547" s="177"/>
      <c r="H547" s="177"/>
    </row>
    <row r="548" spans="1:8" s="134" customFormat="1" ht="13.5" thickBot="1" x14ac:dyDescent="0.25">
      <c r="A548" s="206"/>
      <c r="B548" s="284"/>
      <c r="C548" s="285"/>
      <c r="D548" s="199"/>
      <c r="E548" s="200"/>
      <c r="F548" s="177"/>
      <c r="G548" s="177"/>
      <c r="H548" s="177"/>
    </row>
    <row r="549" spans="1:8" s="134" customFormat="1" ht="25.5" customHeight="1" thickBot="1" x14ac:dyDescent="0.25">
      <c r="A549" s="206"/>
      <c r="B549" s="286" t="s">
        <v>403</v>
      </c>
      <c r="C549" s="287"/>
      <c r="D549" s="287"/>
      <c r="E549" s="288"/>
      <c r="F549" s="177"/>
      <c r="G549" s="177"/>
      <c r="H549" s="177"/>
    </row>
    <row r="550" spans="1:8" s="134" customFormat="1" x14ac:dyDescent="0.2">
      <c r="A550" s="206"/>
      <c r="B550" s="195" t="s">
        <v>18</v>
      </c>
      <c r="C550" s="193"/>
      <c r="D550" s="210"/>
      <c r="E550" s="194"/>
      <c r="F550" s="177"/>
      <c r="G550" s="177"/>
      <c r="H550" s="177"/>
    </row>
    <row r="551" spans="1:8" s="134" customFormat="1" x14ac:dyDescent="0.2">
      <c r="A551" s="206"/>
      <c r="B551" s="201"/>
      <c r="C551" s="277" t="s">
        <v>62</v>
      </c>
      <c r="D551" s="277"/>
      <c r="E551" s="277"/>
      <c r="F551" s="177"/>
      <c r="G551" s="177"/>
      <c r="H551" s="177"/>
    </row>
    <row r="552" spans="1:8" s="134" customFormat="1" x14ac:dyDescent="0.2">
      <c r="A552" s="206"/>
      <c r="B552" s="195" t="s">
        <v>19</v>
      </c>
      <c r="C552" s="212"/>
      <c r="D552" s="212"/>
      <c r="E552" s="202"/>
      <c r="F552" s="177"/>
      <c r="G552" s="177"/>
      <c r="H552" s="177"/>
    </row>
    <row r="553" spans="1:8" s="134" customFormat="1" x14ac:dyDescent="0.2">
      <c r="A553" s="206"/>
      <c r="B553" s="201"/>
      <c r="C553" s="277" t="s">
        <v>465</v>
      </c>
      <c r="D553" s="277"/>
      <c r="E553" s="277"/>
      <c r="F553" s="177"/>
      <c r="G553" s="177"/>
      <c r="H553" s="177"/>
    </row>
    <row r="554" spans="1:8" s="134" customFormat="1" x14ac:dyDescent="0.2">
      <c r="A554" s="206"/>
      <c r="B554" s="195" t="s">
        <v>20</v>
      </c>
      <c r="C554" s="193"/>
      <c r="D554" s="210"/>
      <c r="E554" s="194"/>
      <c r="F554" s="177"/>
      <c r="G554" s="177"/>
      <c r="H554" s="177"/>
    </row>
    <row r="555" spans="1:8" s="134" customFormat="1" x14ac:dyDescent="0.2">
      <c r="A555" s="206"/>
      <c r="B555" s="195"/>
      <c r="C555" s="278" t="s">
        <v>63</v>
      </c>
      <c r="D555" s="278"/>
      <c r="E555" s="278"/>
      <c r="F555" s="177"/>
      <c r="G555" s="177"/>
      <c r="H555" s="177"/>
    </row>
    <row r="556" spans="1:8" s="134" customFormat="1" ht="13.5" thickBot="1" x14ac:dyDescent="0.25">
      <c r="A556" s="206"/>
      <c r="B556" s="203"/>
      <c r="C556" s="174"/>
      <c r="D556" s="204"/>
      <c r="E556" s="205"/>
      <c r="F556" s="177"/>
      <c r="G556" s="177"/>
      <c r="H556" s="177"/>
    </row>
    <row r="557" spans="1:8" s="134" customFormat="1" x14ac:dyDescent="0.2">
      <c r="A557" s="206"/>
      <c r="B557" s="211"/>
      <c r="C557" s="193"/>
      <c r="D557" s="210"/>
      <c r="E557" s="193"/>
      <c r="F557" s="177"/>
      <c r="G557" s="177"/>
      <c r="H557" s="177"/>
    </row>
    <row r="558" spans="1:8" s="134" customFormat="1" ht="13.5" thickBot="1" x14ac:dyDescent="0.25">
      <c r="A558" s="206"/>
      <c r="B558" s="177"/>
      <c r="C558" s="177"/>
      <c r="D558" s="206"/>
      <c r="E558" s="177"/>
      <c r="F558" s="177"/>
      <c r="G558" s="177"/>
      <c r="H558" s="177"/>
    </row>
    <row r="559" spans="1:8" s="134" customFormat="1" x14ac:dyDescent="0.2">
      <c r="A559" s="206"/>
      <c r="B559" s="189" t="s">
        <v>159</v>
      </c>
      <c r="C559" s="190"/>
      <c r="D559" s="209"/>
      <c r="E559" s="191"/>
      <c r="F559" s="177"/>
      <c r="G559" s="177"/>
      <c r="H559" s="177"/>
    </row>
    <row r="560" spans="1:8" s="134" customFormat="1" x14ac:dyDescent="0.2">
      <c r="A560" s="206"/>
      <c r="B560" s="192"/>
      <c r="C560" s="193"/>
      <c r="D560" s="210"/>
      <c r="E560" s="194"/>
      <c r="F560" s="177"/>
      <c r="G560" s="177"/>
      <c r="H560" s="177"/>
    </row>
    <row r="561" spans="1:9" s="134" customFormat="1" x14ac:dyDescent="0.2">
      <c r="A561" s="206"/>
      <c r="B561" s="195" t="s">
        <v>16</v>
      </c>
      <c r="C561" s="193"/>
      <c r="D561" s="210"/>
      <c r="E561" s="194"/>
      <c r="F561" s="177"/>
      <c r="G561" s="177"/>
      <c r="H561" s="177"/>
    </row>
    <row r="562" spans="1:9" s="153" customFormat="1" x14ac:dyDescent="0.2">
      <c r="A562" s="206"/>
      <c r="B562" s="195"/>
      <c r="C562" s="277" t="s">
        <v>495</v>
      </c>
      <c r="D562" s="277"/>
      <c r="E562" s="277"/>
      <c r="F562" s="177"/>
      <c r="G562" s="177"/>
      <c r="H562" s="177"/>
      <c r="I562" s="134"/>
    </row>
    <row r="563" spans="1:9" s="153" customFormat="1" ht="13.5" thickBot="1" x14ac:dyDescent="0.25">
      <c r="A563" s="206"/>
      <c r="B563" s="195" t="s">
        <v>17</v>
      </c>
      <c r="C563" s="193"/>
      <c r="D563" s="210"/>
      <c r="E563" s="194"/>
      <c r="F563" s="177"/>
      <c r="G563" s="177"/>
      <c r="H563" s="177"/>
      <c r="I563" s="134"/>
    </row>
    <row r="564" spans="1:9" s="134" customFormat="1" ht="13.5" thickBot="1" x14ac:dyDescent="0.25">
      <c r="A564" s="206"/>
      <c r="B564" s="279" t="s">
        <v>136</v>
      </c>
      <c r="C564" s="280"/>
      <c r="D564" s="280"/>
      <c r="E564" s="281"/>
      <c r="F564" s="177"/>
      <c r="G564" s="177"/>
      <c r="H564" s="177"/>
    </row>
    <row r="565" spans="1:9" s="134" customFormat="1" ht="13.5" thickBot="1" x14ac:dyDescent="0.25">
      <c r="A565" s="206"/>
      <c r="B565" s="279" t="s">
        <v>311</v>
      </c>
      <c r="C565" s="281"/>
      <c r="D565" s="196" t="s">
        <v>11</v>
      </c>
      <c r="E565" s="196" t="s">
        <v>138</v>
      </c>
      <c r="F565" s="177"/>
      <c r="G565" s="177"/>
      <c r="H565" s="177"/>
    </row>
    <row r="566" spans="1:9" s="134" customFormat="1" x14ac:dyDescent="0.2">
      <c r="A566" s="206"/>
      <c r="B566" s="282" t="s">
        <v>381</v>
      </c>
      <c r="C566" s="282"/>
      <c r="D566" s="197">
        <v>4</v>
      </c>
      <c r="E566" s="198" t="s">
        <v>382</v>
      </c>
      <c r="F566" s="177"/>
      <c r="G566" s="177"/>
      <c r="H566" s="177"/>
    </row>
    <row r="567" spans="1:9" s="134" customFormat="1" x14ac:dyDescent="0.2">
      <c r="A567" s="206"/>
      <c r="B567" s="283" t="s">
        <v>383</v>
      </c>
      <c r="C567" s="283"/>
      <c r="D567" s="199">
        <v>4</v>
      </c>
      <c r="E567" s="200" t="s">
        <v>384</v>
      </c>
      <c r="F567" s="177"/>
      <c r="G567" s="177"/>
      <c r="H567" s="177"/>
    </row>
    <row r="568" spans="1:9" s="134" customFormat="1" x14ac:dyDescent="0.2">
      <c r="A568" s="206"/>
      <c r="B568" s="283" t="s">
        <v>385</v>
      </c>
      <c r="C568" s="283"/>
      <c r="D568" s="199">
        <v>4</v>
      </c>
      <c r="E568" s="200" t="s">
        <v>388</v>
      </c>
      <c r="F568" s="177"/>
      <c r="G568" s="177"/>
      <c r="H568" s="177"/>
    </row>
    <row r="569" spans="1:9" s="134" customFormat="1" x14ac:dyDescent="0.2">
      <c r="A569" s="206"/>
      <c r="B569" s="283" t="s">
        <v>386</v>
      </c>
      <c r="C569" s="283"/>
      <c r="D569" s="199">
        <v>4</v>
      </c>
      <c r="E569" s="200" t="s">
        <v>392</v>
      </c>
      <c r="F569" s="177"/>
      <c r="G569" s="177"/>
      <c r="H569" s="177"/>
    </row>
    <row r="570" spans="1:9" s="134" customFormat="1" x14ac:dyDescent="0.2">
      <c r="A570" s="206"/>
      <c r="B570" s="283" t="s">
        <v>387</v>
      </c>
      <c r="C570" s="283"/>
      <c r="D570" s="199">
        <v>4</v>
      </c>
      <c r="E570" s="200" t="s">
        <v>389</v>
      </c>
      <c r="F570" s="177"/>
      <c r="G570" s="177"/>
      <c r="H570" s="177"/>
    </row>
    <row r="571" spans="1:9" s="134" customFormat="1" ht="13.5" thickBot="1" x14ac:dyDescent="0.25">
      <c r="A571" s="206"/>
      <c r="B571" s="284"/>
      <c r="C571" s="285"/>
      <c r="D571" s="199"/>
      <c r="E571" s="200"/>
      <c r="F571" s="177"/>
      <c r="G571" s="177"/>
      <c r="H571" s="177"/>
    </row>
    <row r="572" spans="1:9" s="134" customFormat="1" ht="25.5" customHeight="1" thickBot="1" x14ac:dyDescent="0.25">
      <c r="A572" s="206"/>
      <c r="B572" s="286" t="s">
        <v>410</v>
      </c>
      <c r="C572" s="287"/>
      <c r="D572" s="287"/>
      <c r="E572" s="288"/>
      <c r="F572" s="177"/>
      <c r="G572" s="177"/>
      <c r="H572" s="177"/>
    </row>
    <row r="573" spans="1:9" s="134" customFormat="1" x14ac:dyDescent="0.2">
      <c r="A573" s="206"/>
      <c r="B573" s="195" t="s">
        <v>18</v>
      </c>
      <c r="C573" s="193"/>
      <c r="D573" s="210"/>
      <c r="E573" s="194"/>
      <c r="F573" s="177"/>
      <c r="G573" s="177"/>
      <c r="H573" s="177"/>
    </row>
    <row r="574" spans="1:9" s="134" customFormat="1" x14ac:dyDescent="0.2">
      <c r="A574" s="206"/>
      <c r="B574" s="201"/>
      <c r="C574" s="277" t="s">
        <v>62</v>
      </c>
      <c r="D574" s="277"/>
      <c r="E574" s="277"/>
      <c r="F574" s="177"/>
      <c r="G574" s="177"/>
      <c r="H574" s="177"/>
    </row>
    <row r="575" spans="1:9" s="134" customFormat="1" x14ac:dyDescent="0.2">
      <c r="A575" s="206"/>
      <c r="B575" s="195" t="s">
        <v>19</v>
      </c>
      <c r="C575" s="212"/>
      <c r="D575" s="212"/>
      <c r="E575" s="202"/>
      <c r="F575" s="177"/>
      <c r="G575" s="177"/>
      <c r="H575" s="177"/>
    </row>
    <row r="576" spans="1:9" s="134" customFormat="1" x14ac:dyDescent="0.2">
      <c r="A576" s="206"/>
      <c r="B576" s="201"/>
      <c r="C576" s="277" t="s">
        <v>489</v>
      </c>
      <c r="D576" s="277"/>
      <c r="E576" s="277"/>
      <c r="F576" s="177"/>
      <c r="G576" s="177"/>
      <c r="H576" s="177"/>
    </row>
    <row r="577" spans="1:9" s="134" customFormat="1" x14ac:dyDescent="0.2">
      <c r="A577" s="206"/>
      <c r="B577" s="195" t="s">
        <v>20</v>
      </c>
      <c r="C577" s="193"/>
      <c r="D577" s="210"/>
      <c r="E577" s="194"/>
      <c r="F577" s="177"/>
      <c r="G577" s="177"/>
      <c r="H577" s="177"/>
    </row>
    <row r="578" spans="1:9" s="134" customFormat="1" x14ac:dyDescent="0.2">
      <c r="A578" s="206"/>
      <c r="B578" s="195"/>
      <c r="C578" s="278" t="s">
        <v>63</v>
      </c>
      <c r="D578" s="278"/>
      <c r="E578" s="278"/>
      <c r="F578" s="177"/>
      <c r="G578" s="177"/>
      <c r="H578" s="177"/>
    </row>
    <row r="579" spans="1:9" s="134" customFormat="1" ht="13.5" thickBot="1" x14ac:dyDescent="0.25">
      <c r="A579" s="206"/>
      <c r="B579" s="203"/>
      <c r="C579" s="174"/>
      <c r="D579" s="204"/>
      <c r="E579" s="205"/>
      <c r="F579" s="177"/>
      <c r="G579" s="177"/>
      <c r="H579" s="177"/>
    </row>
    <row r="580" spans="1:9" s="134" customFormat="1" x14ac:dyDescent="0.2">
      <c r="A580" s="206"/>
      <c r="B580" s="211"/>
      <c r="C580" s="193"/>
      <c r="D580" s="210"/>
      <c r="E580" s="193"/>
      <c r="F580" s="177"/>
      <c r="G580" s="177"/>
      <c r="H580" s="177"/>
    </row>
    <row r="581" spans="1:9" s="134" customFormat="1" ht="13.5" thickBot="1" x14ac:dyDescent="0.25">
      <c r="A581" s="206"/>
      <c r="B581" s="177"/>
      <c r="C581" s="177"/>
      <c r="D581" s="206"/>
      <c r="E581" s="177"/>
      <c r="F581" s="177"/>
      <c r="G581" s="177"/>
      <c r="H581" s="177"/>
    </row>
    <row r="582" spans="1:9" s="134" customFormat="1" x14ac:dyDescent="0.2">
      <c r="A582" s="206"/>
      <c r="B582" s="189" t="s">
        <v>160</v>
      </c>
      <c r="C582" s="190"/>
      <c r="D582" s="209"/>
      <c r="E582" s="191"/>
      <c r="F582" s="177"/>
      <c r="G582" s="177"/>
      <c r="H582" s="177"/>
    </row>
    <row r="583" spans="1:9" s="134" customFormat="1" x14ac:dyDescent="0.2">
      <c r="A583" s="206"/>
      <c r="B583" s="192"/>
      <c r="C583" s="193"/>
      <c r="D583" s="210"/>
      <c r="E583" s="194"/>
      <c r="F583" s="177"/>
      <c r="G583" s="177"/>
      <c r="H583" s="177"/>
    </row>
    <row r="584" spans="1:9" s="134" customFormat="1" x14ac:dyDescent="0.2">
      <c r="A584" s="206"/>
      <c r="B584" s="195" t="s">
        <v>16</v>
      </c>
      <c r="C584" s="193"/>
      <c r="D584" s="210"/>
      <c r="E584" s="194"/>
      <c r="F584" s="177"/>
      <c r="G584" s="177"/>
      <c r="H584" s="177"/>
    </row>
    <row r="585" spans="1:9" s="153" customFormat="1" x14ac:dyDescent="0.2">
      <c r="A585" s="206"/>
      <c r="B585" s="195"/>
      <c r="C585" s="277" t="s">
        <v>496</v>
      </c>
      <c r="D585" s="277"/>
      <c r="E585" s="277"/>
      <c r="F585" s="177"/>
      <c r="G585" s="177"/>
      <c r="H585" s="177"/>
      <c r="I585" s="134"/>
    </row>
    <row r="586" spans="1:9" s="134" customFormat="1" ht="13.5" thickBot="1" x14ac:dyDescent="0.25">
      <c r="A586" s="206"/>
      <c r="B586" s="195" t="s">
        <v>17</v>
      </c>
      <c r="C586" s="193"/>
      <c r="D586" s="210"/>
      <c r="E586" s="194"/>
      <c r="F586" s="177"/>
      <c r="G586" s="177"/>
      <c r="H586" s="177"/>
    </row>
    <row r="587" spans="1:9" s="134" customFormat="1" ht="13.5" thickBot="1" x14ac:dyDescent="0.25">
      <c r="A587" s="206"/>
      <c r="B587" s="279" t="s">
        <v>136</v>
      </c>
      <c r="C587" s="280"/>
      <c r="D587" s="280"/>
      <c r="E587" s="281"/>
      <c r="F587" s="177"/>
      <c r="G587" s="177"/>
      <c r="H587" s="177"/>
    </row>
    <row r="588" spans="1:9" s="134" customFormat="1" ht="13.5" thickBot="1" x14ac:dyDescent="0.25">
      <c r="A588" s="206"/>
      <c r="B588" s="279" t="s">
        <v>311</v>
      </c>
      <c r="C588" s="281"/>
      <c r="D588" s="196" t="s">
        <v>11</v>
      </c>
      <c r="E588" s="196" t="s">
        <v>138</v>
      </c>
      <c r="F588" s="177"/>
      <c r="G588" s="177"/>
      <c r="H588" s="177"/>
    </row>
    <row r="589" spans="1:9" s="134" customFormat="1" x14ac:dyDescent="0.2">
      <c r="A589" s="206"/>
      <c r="B589" s="282" t="s">
        <v>381</v>
      </c>
      <c r="C589" s="282"/>
      <c r="D589" s="197">
        <v>12</v>
      </c>
      <c r="E589" s="198" t="s">
        <v>382</v>
      </c>
      <c r="F589" s="177"/>
      <c r="G589" s="177"/>
      <c r="H589" s="177"/>
    </row>
    <row r="590" spans="1:9" s="134" customFormat="1" x14ac:dyDescent="0.2">
      <c r="A590" s="206"/>
      <c r="B590" s="283" t="s">
        <v>383</v>
      </c>
      <c r="C590" s="283"/>
      <c r="D590" s="199">
        <v>12</v>
      </c>
      <c r="E590" s="200" t="s">
        <v>384</v>
      </c>
      <c r="F590" s="177"/>
      <c r="G590" s="177"/>
      <c r="H590" s="177"/>
    </row>
    <row r="591" spans="1:9" s="134" customFormat="1" x14ac:dyDescent="0.2">
      <c r="A591" s="206"/>
      <c r="B591" s="283" t="s">
        <v>385</v>
      </c>
      <c r="C591" s="283"/>
      <c r="D591" s="199">
        <v>12</v>
      </c>
      <c r="E591" s="200" t="s">
        <v>388</v>
      </c>
      <c r="F591" s="177"/>
      <c r="G591" s="177"/>
      <c r="H591" s="177"/>
    </row>
    <row r="592" spans="1:9" s="134" customFormat="1" x14ac:dyDescent="0.2">
      <c r="A592" s="206"/>
      <c r="B592" s="283" t="s">
        <v>386</v>
      </c>
      <c r="C592" s="283"/>
      <c r="D592" s="199">
        <v>12</v>
      </c>
      <c r="E592" s="200" t="s">
        <v>392</v>
      </c>
      <c r="F592" s="177"/>
      <c r="G592" s="177"/>
      <c r="H592" s="177"/>
    </row>
    <row r="593" spans="1:9" s="134" customFormat="1" x14ac:dyDescent="0.2">
      <c r="A593" s="206"/>
      <c r="B593" s="283" t="s">
        <v>387</v>
      </c>
      <c r="C593" s="283"/>
      <c r="D593" s="199">
        <v>12</v>
      </c>
      <c r="E593" s="200" t="s">
        <v>389</v>
      </c>
      <c r="F593" s="177"/>
      <c r="G593" s="177"/>
      <c r="H593" s="177"/>
    </row>
    <row r="594" spans="1:9" s="134" customFormat="1" ht="13.5" thickBot="1" x14ac:dyDescent="0.25">
      <c r="A594" s="206"/>
      <c r="B594" s="284"/>
      <c r="C594" s="285"/>
      <c r="D594" s="199"/>
      <c r="E594" s="200"/>
      <c r="F594" s="177"/>
      <c r="G594" s="177"/>
      <c r="H594" s="177"/>
    </row>
    <row r="595" spans="1:9" s="134" customFormat="1" ht="25.5" customHeight="1" thickBot="1" x14ac:dyDescent="0.25">
      <c r="A595" s="206"/>
      <c r="B595" s="286" t="s">
        <v>412</v>
      </c>
      <c r="C595" s="287"/>
      <c r="D595" s="287"/>
      <c r="E595" s="288"/>
      <c r="F595" s="177"/>
      <c r="G595" s="177"/>
      <c r="H595" s="177"/>
    </row>
    <row r="596" spans="1:9" s="134" customFormat="1" x14ac:dyDescent="0.2">
      <c r="A596" s="206"/>
      <c r="B596" s="195" t="s">
        <v>18</v>
      </c>
      <c r="C596" s="193"/>
      <c r="D596" s="210"/>
      <c r="E596" s="194"/>
      <c r="F596" s="177"/>
      <c r="G596" s="177"/>
      <c r="H596" s="177"/>
    </row>
    <row r="597" spans="1:9" s="134" customFormat="1" x14ac:dyDescent="0.2">
      <c r="A597" s="206"/>
      <c r="B597" s="201"/>
      <c r="C597" s="277" t="s">
        <v>62</v>
      </c>
      <c r="D597" s="277"/>
      <c r="E597" s="277"/>
      <c r="F597" s="177"/>
      <c r="G597" s="177"/>
      <c r="H597" s="177"/>
    </row>
    <row r="598" spans="1:9" s="134" customFormat="1" x14ac:dyDescent="0.2">
      <c r="A598" s="206"/>
      <c r="B598" s="195" t="s">
        <v>19</v>
      </c>
      <c r="C598" s="212"/>
      <c r="D598" s="212"/>
      <c r="E598" s="202"/>
      <c r="F598" s="177"/>
      <c r="G598" s="177"/>
      <c r="H598" s="177"/>
    </row>
    <row r="599" spans="1:9" s="134" customFormat="1" x14ac:dyDescent="0.2">
      <c r="A599" s="206"/>
      <c r="B599" s="201"/>
      <c r="C599" s="277" t="s">
        <v>489</v>
      </c>
      <c r="D599" s="277"/>
      <c r="E599" s="277"/>
      <c r="F599" s="177"/>
      <c r="G599" s="177"/>
      <c r="H599" s="177"/>
    </row>
    <row r="600" spans="1:9" s="134" customFormat="1" x14ac:dyDescent="0.2">
      <c r="A600" s="206"/>
      <c r="B600" s="195" t="s">
        <v>20</v>
      </c>
      <c r="C600" s="193"/>
      <c r="D600" s="210"/>
      <c r="E600" s="194"/>
      <c r="F600" s="177"/>
      <c r="G600" s="177"/>
      <c r="H600" s="177"/>
    </row>
    <row r="601" spans="1:9" s="134" customFormat="1" x14ac:dyDescent="0.2">
      <c r="A601" s="206"/>
      <c r="B601" s="195"/>
      <c r="C601" s="278" t="s">
        <v>63</v>
      </c>
      <c r="D601" s="278"/>
      <c r="E601" s="278"/>
      <c r="F601" s="177"/>
      <c r="G601" s="177"/>
      <c r="H601" s="177"/>
    </row>
    <row r="602" spans="1:9" s="134" customFormat="1" ht="13.5" thickBot="1" x14ac:dyDescent="0.25">
      <c r="A602" s="206"/>
      <c r="B602" s="203"/>
      <c r="C602" s="174"/>
      <c r="D602" s="204"/>
      <c r="E602" s="205"/>
      <c r="F602" s="177"/>
      <c r="G602" s="177"/>
      <c r="H602" s="177"/>
    </row>
    <row r="603" spans="1:9" s="134" customFormat="1" x14ac:dyDescent="0.2">
      <c r="A603" s="206"/>
      <c r="B603" s="211"/>
      <c r="C603" s="193"/>
      <c r="D603" s="210"/>
      <c r="E603" s="193"/>
      <c r="F603" s="177"/>
      <c r="G603" s="177"/>
      <c r="H603" s="177"/>
    </row>
    <row r="604" spans="1:9" s="134" customFormat="1" ht="13.5" thickBot="1" x14ac:dyDescent="0.25">
      <c r="A604" s="206"/>
      <c r="B604" s="177"/>
      <c r="C604" s="177"/>
      <c r="D604" s="206"/>
      <c r="E604" s="177"/>
      <c r="F604" s="177"/>
      <c r="G604" s="177"/>
      <c r="H604" s="177"/>
    </row>
    <row r="605" spans="1:9" s="134" customFormat="1" x14ac:dyDescent="0.2">
      <c r="A605" s="206"/>
      <c r="B605" s="189" t="s">
        <v>161</v>
      </c>
      <c r="C605" s="190"/>
      <c r="D605" s="209"/>
      <c r="E605" s="191"/>
      <c r="F605" s="177"/>
      <c r="G605" s="177"/>
      <c r="H605" s="177"/>
    </row>
    <row r="606" spans="1:9" s="134" customFormat="1" x14ac:dyDescent="0.2">
      <c r="A606" s="206"/>
      <c r="B606" s="192"/>
      <c r="C606" s="193"/>
      <c r="D606" s="210"/>
      <c r="E606" s="194"/>
      <c r="F606" s="177"/>
      <c r="G606" s="177"/>
      <c r="H606" s="177"/>
    </row>
    <row r="607" spans="1:9" s="134" customFormat="1" x14ac:dyDescent="0.2">
      <c r="A607" s="206"/>
      <c r="B607" s="195" t="s">
        <v>16</v>
      </c>
      <c r="C607" s="193"/>
      <c r="D607" s="210"/>
      <c r="E607" s="194"/>
      <c r="F607" s="177"/>
      <c r="G607" s="177"/>
      <c r="H607" s="177"/>
    </row>
    <row r="608" spans="1:9" s="153" customFormat="1" x14ac:dyDescent="0.2">
      <c r="A608" s="206"/>
      <c r="B608" s="195"/>
      <c r="C608" s="296" t="s">
        <v>497</v>
      </c>
      <c r="D608" s="296"/>
      <c r="E608" s="297"/>
      <c r="F608" s="177"/>
      <c r="G608" s="177"/>
      <c r="H608" s="177"/>
      <c r="I608" s="134"/>
    </row>
    <row r="609" spans="1:8" s="134" customFormat="1" ht="13.5" thickBot="1" x14ac:dyDescent="0.25">
      <c r="A609" s="206"/>
      <c r="B609" s="195" t="s">
        <v>17</v>
      </c>
      <c r="C609" s="193"/>
      <c r="D609" s="210"/>
      <c r="E609" s="194"/>
      <c r="F609" s="177"/>
      <c r="G609" s="177"/>
      <c r="H609" s="177"/>
    </row>
    <row r="610" spans="1:8" s="134" customFormat="1" ht="13.5" thickBot="1" x14ac:dyDescent="0.25">
      <c r="A610" s="206"/>
      <c r="B610" s="279" t="s">
        <v>136</v>
      </c>
      <c r="C610" s="280"/>
      <c r="D610" s="280"/>
      <c r="E610" s="281"/>
      <c r="F610" s="177"/>
      <c r="G610" s="177"/>
      <c r="H610" s="177"/>
    </row>
    <row r="611" spans="1:8" s="134" customFormat="1" ht="13.5" thickBot="1" x14ac:dyDescent="0.25">
      <c r="A611" s="206"/>
      <c r="B611" s="279" t="s">
        <v>311</v>
      </c>
      <c r="C611" s="281"/>
      <c r="D611" s="196" t="s">
        <v>11</v>
      </c>
      <c r="E611" s="196" t="s">
        <v>138</v>
      </c>
      <c r="F611" s="177"/>
      <c r="G611" s="177"/>
      <c r="H611" s="177"/>
    </row>
    <row r="612" spans="1:8" s="134" customFormat="1" x14ac:dyDescent="0.2">
      <c r="A612" s="206"/>
      <c r="B612" s="282" t="s">
        <v>381</v>
      </c>
      <c r="C612" s="282"/>
      <c r="D612" s="197">
        <v>3</v>
      </c>
      <c r="E612" s="198" t="s">
        <v>382</v>
      </c>
      <c r="F612" s="177"/>
      <c r="G612" s="177"/>
      <c r="H612" s="177"/>
    </row>
    <row r="613" spans="1:8" s="134" customFormat="1" x14ac:dyDescent="0.2">
      <c r="A613" s="206"/>
      <c r="B613" s="283" t="s">
        <v>383</v>
      </c>
      <c r="C613" s="283"/>
      <c r="D613" s="199">
        <v>3</v>
      </c>
      <c r="E613" s="200" t="s">
        <v>384</v>
      </c>
      <c r="F613" s="177"/>
      <c r="G613" s="177"/>
      <c r="H613" s="177"/>
    </row>
    <row r="614" spans="1:8" s="134" customFormat="1" x14ac:dyDescent="0.2">
      <c r="A614" s="206"/>
      <c r="B614" s="283" t="s">
        <v>385</v>
      </c>
      <c r="C614" s="283"/>
      <c r="D614" s="199">
        <v>3</v>
      </c>
      <c r="E614" s="200" t="s">
        <v>388</v>
      </c>
      <c r="F614" s="177"/>
      <c r="G614" s="177"/>
      <c r="H614" s="177"/>
    </row>
    <row r="615" spans="1:8" s="134" customFormat="1" x14ac:dyDescent="0.2">
      <c r="A615" s="206"/>
      <c r="B615" s="283" t="s">
        <v>386</v>
      </c>
      <c r="C615" s="283"/>
      <c r="D615" s="199">
        <v>3</v>
      </c>
      <c r="E615" s="200" t="s">
        <v>392</v>
      </c>
      <c r="F615" s="177"/>
      <c r="G615" s="177"/>
      <c r="H615" s="177"/>
    </row>
    <row r="616" spans="1:8" s="134" customFormat="1" x14ac:dyDescent="0.2">
      <c r="A616" s="206"/>
      <c r="B616" s="283" t="s">
        <v>387</v>
      </c>
      <c r="C616" s="283"/>
      <c r="D616" s="199">
        <v>3</v>
      </c>
      <c r="E616" s="200" t="s">
        <v>389</v>
      </c>
      <c r="F616" s="177"/>
      <c r="G616" s="177"/>
      <c r="H616" s="177"/>
    </row>
    <row r="617" spans="1:8" s="134" customFormat="1" ht="13.5" thickBot="1" x14ac:dyDescent="0.25">
      <c r="A617" s="206"/>
      <c r="B617" s="284"/>
      <c r="C617" s="285"/>
      <c r="D617" s="199"/>
      <c r="E617" s="200"/>
      <c r="F617" s="177"/>
      <c r="G617" s="177"/>
      <c r="H617" s="177"/>
    </row>
    <row r="618" spans="1:8" s="134" customFormat="1" ht="25.5" customHeight="1" thickBot="1" x14ac:dyDescent="0.25">
      <c r="A618" s="206"/>
      <c r="B618" s="286" t="s">
        <v>411</v>
      </c>
      <c r="C618" s="287"/>
      <c r="D618" s="287"/>
      <c r="E618" s="288"/>
      <c r="F618" s="177"/>
      <c r="G618" s="177"/>
      <c r="H618" s="177"/>
    </row>
    <row r="619" spans="1:8" s="134" customFormat="1" x14ac:dyDescent="0.2">
      <c r="A619" s="206"/>
      <c r="B619" s="195" t="s">
        <v>18</v>
      </c>
      <c r="C619" s="193"/>
      <c r="D619" s="210"/>
      <c r="E619" s="194"/>
      <c r="F619" s="177"/>
      <c r="G619" s="177"/>
      <c r="H619" s="177"/>
    </row>
    <row r="620" spans="1:8" s="134" customFormat="1" x14ac:dyDescent="0.2">
      <c r="A620" s="206"/>
      <c r="B620" s="201"/>
      <c r="C620" s="277" t="s">
        <v>62</v>
      </c>
      <c r="D620" s="277"/>
      <c r="E620" s="277"/>
      <c r="F620" s="177"/>
      <c r="G620" s="177"/>
      <c r="H620" s="177"/>
    </row>
    <row r="621" spans="1:8" s="134" customFormat="1" x14ac:dyDescent="0.2">
      <c r="A621" s="206"/>
      <c r="B621" s="195" t="s">
        <v>19</v>
      </c>
      <c r="C621" s="212"/>
      <c r="D621" s="212"/>
      <c r="E621" s="202"/>
      <c r="F621" s="177"/>
      <c r="G621" s="177"/>
      <c r="H621" s="177"/>
    </row>
    <row r="622" spans="1:8" s="134" customFormat="1" x14ac:dyDescent="0.2">
      <c r="A622" s="206"/>
      <c r="B622" s="201"/>
      <c r="C622" s="277" t="s">
        <v>465</v>
      </c>
      <c r="D622" s="277"/>
      <c r="E622" s="277"/>
      <c r="F622" s="177"/>
      <c r="G622" s="177"/>
      <c r="H622" s="177"/>
    </row>
    <row r="623" spans="1:8" s="134" customFormat="1" x14ac:dyDescent="0.2">
      <c r="A623" s="206"/>
      <c r="B623" s="195" t="s">
        <v>20</v>
      </c>
      <c r="C623" s="193"/>
      <c r="D623" s="210"/>
      <c r="E623" s="194"/>
      <c r="F623" s="177"/>
      <c r="G623" s="177"/>
      <c r="H623" s="177"/>
    </row>
    <row r="624" spans="1:8" s="134" customFormat="1" x14ac:dyDescent="0.2">
      <c r="A624" s="206"/>
      <c r="B624" s="195"/>
      <c r="C624" s="278" t="s">
        <v>63</v>
      </c>
      <c r="D624" s="278"/>
      <c r="E624" s="278"/>
      <c r="F624" s="177"/>
      <c r="G624" s="177"/>
      <c r="H624" s="177"/>
    </row>
    <row r="625" spans="1:9" s="134" customFormat="1" ht="13.5" thickBot="1" x14ac:dyDescent="0.25">
      <c r="A625" s="206"/>
      <c r="B625" s="203"/>
      <c r="C625" s="174"/>
      <c r="D625" s="204"/>
      <c r="E625" s="205"/>
      <c r="F625" s="177"/>
      <c r="G625" s="177"/>
      <c r="H625" s="177"/>
    </row>
    <row r="626" spans="1:9" s="134" customFormat="1" x14ac:dyDescent="0.2">
      <c r="A626" s="206"/>
      <c r="B626" s="211"/>
      <c r="C626" s="193"/>
      <c r="D626" s="210"/>
      <c r="E626" s="193"/>
      <c r="F626" s="177"/>
      <c r="G626" s="177"/>
      <c r="H626" s="177"/>
    </row>
    <row r="627" spans="1:9" s="134" customFormat="1" ht="13.5" thickBot="1" x14ac:dyDescent="0.25">
      <c r="A627" s="206"/>
      <c r="B627" s="177"/>
      <c r="C627" s="177"/>
      <c r="D627" s="206"/>
      <c r="E627" s="177"/>
      <c r="F627" s="177"/>
      <c r="G627" s="177"/>
      <c r="H627" s="177"/>
    </row>
    <row r="628" spans="1:9" s="134" customFormat="1" x14ac:dyDescent="0.2">
      <c r="A628" s="206"/>
      <c r="B628" s="189" t="s">
        <v>162</v>
      </c>
      <c r="C628" s="190"/>
      <c r="D628" s="209"/>
      <c r="E628" s="191"/>
      <c r="F628" s="177"/>
      <c r="G628" s="177"/>
      <c r="H628" s="177"/>
    </row>
    <row r="629" spans="1:9" s="134" customFormat="1" x14ac:dyDescent="0.2">
      <c r="A629" s="206"/>
      <c r="B629" s="192"/>
      <c r="C629" s="193"/>
      <c r="D629" s="210"/>
      <c r="E629" s="194"/>
      <c r="F629" s="177"/>
      <c r="G629" s="177"/>
      <c r="H629" s="177"/>
    </row>
    <row r="630" spans="1:9" s="134" customFormat="1" x14ac:dyDescent="0.2">
      <c r="A630" s="206"/>
      <c r="B630" s="195" t="s">
        <v>16</v>
      </c>
      <c r="C630" s="193"/>
      <c r="D630" s="210"/>
      <c r="E630" s="194"/>
      <c r="F630" s="177"/>
      <c r="G630" s="177"/>
      <c r="H630" s="177"/>
    </row>
    <row r="631" spans="1:9" s="153" customFormat="1" x14ac:dyDescent="0.2">
      <c r="A631" s="206"/>
      <c r="B631" s="195"/>
      <c r="C631" s="277" t="s">
        <v>499</v>
      </c>
      <c r="D631" s="277"/>
      <c r="E631" s="277"/>
      <c r="F631" s="177"/>
      <c r="G631" s="177"/>
      <c r="H631" s="177"/>
      <c r="I631" s="134"/>
    </row>
    <row r="632" spans="1:9" s="134" customFormat="1" ht="13.5" thickBot="1" x14ac:dyDescent="0.25">
      <c r="A632" s="206"/>
      <c r="B632" s="195" t="s">
        <v>17</v>
      </c>
      <c r="C632" s="193"/>
      <c r="D632" s="210"/>
      <c r="E632" s="194"/>
      <c r="F632" s="177"/>
      <c r="G632" s="177"/>
      <c r="H632" s="177"/>
    </row>
    <row r="633" spans="1:9" s="134" customFormat="1" ht="13.5" thickBot="1" x14ac:dyDescent="0.25">
      <c r="A633" s="206"/>
      <c r="B633" s="279" t="s">
        <v>413</v>
      </c>
      <c r="C633" s="280"/>
      <c r="D633" s="280"/>
      <c r="E633" s="281"/>
      <c r="F633" s="177"/>
      <c r="G633" s="177"/>
      <c r="H633" s="177"/>
    </row>
    <row r="634" spans="1:9" s="134" customFormat="1" ht="13.5" thickBot="1" x14ac:dyDescent="0.25">
      <c r="A634" s="206"/>
      <c r="B634" s="279" t="s">
        <v>311</v>
      </c>
      <c r="C634" s="281"/>
      <c r="D634" s="196" t="s">
        <v>11</v>
      </c>
      <c r="E634" s="196" t="s">
        <v>138</v>
      </c>
      <c r="F634" s="177"/>
      <c r="G634" s="177"/>
      <c r="H634" s="177"/>
    </row>
    <row r="635" spans="1:9" s="134" customFormat="1" x14ac:dyDescent="0.2">
      <c r="A635" s="206"/>
      <c r="B635" s="282" t="s">
        <v>381</v>
      </c>
      <c r="C635" s="282"/>
      <c r="D635" s="197">
        <v>80</v>
      </c>
      <c r="E635" s="198" t="s">
        <v>382</v>
      </c>
      <c r="F635" s="177"/>
      <c r="G635" s="177"/>
      <c r="H635" s="177"/>
    </row>
    <row r="636" spans="1:9" s="134" customFormat="1" x14ac:dyDescent="0.2">
      <c r="A636" s="206"/>
      <c r="B636" s="283" t="s">
        <v>383</v>
      </c>
      <c r="C636" s="283"/>
      <c r="D636" s="199">
        <v>40</v>
      </c>
      <c r="E636" s="200" t="s">
        <v>384</v>
      </c>
      <c r="F636" s="177"/>
      <c r="G636" s="177"/>
      <c r="H636" s="177"/>
    </row>
    <row r="637" spans="1:9" s="134" customFormat="1" x14ac:dyDescent="0.2">
      <c r="A637" s="206"/>
      <c r="B637" s="283" t="s">
        <v>385</v>
      </c>
      <c r="C637" s="283"/>
      <c r="D637" s="199">
        <v>80</v>
      </c>
      <c r="E637" s="200" t="s">
        <v>388</v>
      </c>
      <c r="F637" s="177"/>
      <c r="G637" s="177"/>
      <c r="H637" s="177"/>
    </row>
    <row r="638" spans="1:9" s="134" customFormat="1" x14ac:dyDescent="0.2">
      <c r="A638" s="206"/>
      <c r="B638" s="283" t="s">
        <v>386</v>
      </c>
      <c r="C638" s="283"/>
      <c r="D638" s="199">
        <v>40</v>
      </c>
      <c r="E638" s="200" t="s">
        <v>392</v>
      </c>
      <c r="F638" s="177"/>
      <c r="G638" s="177"/>
      <c r="H638" s="177"/>
    </row>
    <row r="639" spans="1:9" s="134" customFormat="1" x14ac:dyDescent="0.2">
      <c r="A639" s="206"/>
      <c r="B639" s="283" t="s">
        <v>387</v>
      </c>
      <c r="C639" s="283"/>
      <c r="D639" s="199">
        <v>40</v>
      </c>
      <c r="E639" s="200" t="s">
        <v>389</v>
      </c>
      <c r="F639" s="177"/>
      <c r="G639" s="177"/>
      <c r="H639" s="177"/>
    </row>
    <row r="640" spans="1:9" s="134" customFormat="1" ht="13.5" thickBot="1" x14ac:dyDescent="0.25">
      <c r="A640" s="206"/>
      <c r="B640" s="284"/>
      <c r="C640" s="285"/>
      <c r="D640" s="199"/>
      <c r="E640" s="200"/>
      <c r="F640" s="177"/>
      <c r="G640" s="177"/>
      <c r="H640" s="177"/>
    </row>
    <row r="641" spans="1:9" s="134" customFormat="1" ht="25.5" customHeight="1" thickBot="1" x14ac:dyDescent="0.25">
      <c r="A641" s="206"/>
      <c r="B641" s="286" t="s">
        <v>415</v>
      </c>
      <c r="C641" s="287"/>
      <c r="D641" s="287"/>
      <c r="E641" s="288"/>
      <c r="F641" s="177"/>
      <c r="G641" s="177"/>
      <c r="H641" s="177"/>
    </row>
    <row r="642" spans="1:9" s="134" customFormat="1" x14ac:dyDescent="0.2">
      <c r="A642" s="206"/>
      <c r="B642" s="195" t="s">
        <v>18</v>
      </c>
      <c r="C642" s="193"/>
      <c r="D642" s="210"/>
      <c r="E642" s="194"/>
      <c r="F642" s="177"/>
      <c r="G642" s="177"/>
      <c r="H642" s="177"/>
    </row>
    <row r="643" spans="1:9" s="134" customFormat="1" x14ac:dyDescent="0.2">
      <c r="A643" s="206"/>
      <c r="B643" s="201"/>
      <c r="C643" s="277" t="s">
        <v>62</v>
      </c>
      <c r="D643" s="277"/>
      <c r="E643" s="277"/>
      <c r="F643" s="177"/>
      <c r="G643" s="177"/>
      <c r="H643" s="177"/>
    </row>
    <row r="644" spans="1:9" s="134" customFormat="1" x14ac:dyDescent="0.2">
      <c r="A644" s="206"/>
      <c r="B644" s="195" t="s">
        <v>19</v>
      </c>
      <c r="C644" s="212"/>
      <c r="D644" s="212"/>
      <c r="E644" s="202"/>
      <c r="F644" s="177"/>
      <c r="G644" s="177"/>
      <c r="H644" s="177"/>
    </row>
    <row r="645" spans="1:9" s="134" customFormat="1" x14ac:dyDescent="0.2">
      <c r="A645" s="206"/>
      <c r="B645" s="201"/>
      <c r="C645" s="277" t="s">
        <v>465</v>
      </c>
      <c r="D645" s="277"/>
      <c r="E645" s="277"/>
      <c r="F645" s="177"/>
      <c r="G645" s="177"/>
      <c r="H645" s="177"/>
    </row>
    <row r="646" spans="1:9" s="134" customFormat="1" x14ac:dyDescent="0.2">
      <c r="A646" s="206"/>
      <c r="B646" s="195" t="s">
        <v>20</v>
      </c>
      <c r="C646" s="193"/>
      <c r="D646" s="210"/>
      <c r="E646" s="194"/>
      <c r="F646" s="177"/>
      <c r="G646" s="177"/>
      <c r="H646" s="177"/>
    </row>
    <row r="647" spans="1:9" s="134" customFormat="1" x14ac:dyDescent="0.2">
      <c r="A647" s="206"/>
      <c r="B647" s="195"/>
      <c r="C647" s="278" t="s">
        <v>63</v>
      </c>
      <c r="D647" s="278"/>
      <c r="E647" s="278"/>
      <c r="F647" s="177"/>
      <c r="G647" s="177"/>
      <c r="H647" s="177"/>
    </row>
    <row r="648" spans="1:9" s="134" customFormat="1" ht="13.5" thickBot="1" x14ac:dyDescent="0.25">
      <c r="A648" s="206"/>
      <c r="B648" s="203"/>
      <c r="C648" s="174"/>
      <c r="D648" s="204"/>
      <c r="E648" s="205"/>
      <c r="F648" s="177"/>
      <c r="G648" s="177"/>
      <c r="H648" s="177"/>
    </row>
    <row r="649" spans="1:9" s="134" customFormat="1" x14ac:dyDescent="0.2">
      <c r="A649" s="206"/>
      <c r="B649" s="211"/>
      <c r="C649" s="193"/>
      <c r="D649" s="210"/>
      <c r="E649" s="193"/>
      <c r="F649" s="177"/>
      <c r="G649" s="177"/>
      <c r="H649" s="177"/>
    </row>
    <row r="650" spans="1:9" s="134" customFormat="1" ht="13.5" thickBot="1" x14ac:dyDescent="0.25">
      <c r="A650" s="206"/>
      <c r="B650" s="177"/>
      <c r="C650" s="177"/>
      <c r="D650" s="206"/>
      <c r="E650" s="177"/>
      <c r="F650" s="177"/>
      <c r="G650" s="177"/>
      <c r="H650" s="177"/>
    </row>
    <row r="651" spans="1:9" s="134" customFormat="1" x14ac:dyDescent="0.2">
      <c r="A651" s="206"/>
      <c r="B651" s="189" t="s">
        <v>163</v>
      </c>
      <c r="C651" s="190"/>
      <c r="D651" s="209"/>
      <c r="E651" s="191"/>
      <c r="F651" s="177"/>
      <c r="G651" s="177"/>
      <c r="H651" s="177"/>
    </row>
    <row r="652" spans="1:9" s="134" customFormat="1" x14ac:dyDescent="0.2">
      <c r="A652" s="206"/>
      <c r="B652" s="192"/>
      <c r="C652" s="303"/>
      <c r="D652" s="303"/>
      <c r="E652" s="278"/>
      <c r="F652" s="177"/>
      <c r="G652" s="177"/>
      <c r="H652" s="177"/>
    </row>
    <row r="653" spans="1:9" s="134" customFormat="1" x14ac:dyDescent="0.2">
      <c r="A653" s="206"/>
      <c r="B653" s="195" t="s">
        <v>16</v>
      </c>
      <c r="C653" s="193"/>
      <c r="D653" s="210"/>
      <c r="E653" s="194"/>
      <c r="F653" s="177"/>
      <c r="G653" s="177"/>
      <c r="H653" s="177"/>
    </row>
    <row r="654" spans="1:9" s="153" customFormat="1" x14ac:dyDescent="0.2">
      <c r="A654" s="206"/>
      <c r="B654" s="195"/>
      <c r="C654" s="277" t="s">
        <v>500</v>
      </c>
      <c r="D654" s="277"/>
      <c r="E654" s="277"/>
      <c r="F654" s="177"/>
      <c r="G654" s="177"/>
      <c r="H654" s="177"/>
      <c r="I654" s="134"/>
    </row>
    <row r="655" spans="1:9" s="134" customFormat="1" ht="13.5" thickBot="1" x14ac:dyDescent="0.25">
      <c r="A655" s="206"/>
      <c r="B655" s="195" t="s">
        <v>17</v>
      </c>
      <c r="C655" s="193"/>
      <c r="D655" s="210"/>
      <c r="E655" s="194"/>
      <c r="F655" s="177"/>
      <c r="G655" s="177"/>
      <c r="H655" s="177"/>
    </row>
    <row r="656" spans="1:9" s="134" customFormat="1" ht="13.5" thickBot="1" x14ac:dyDescent="0.25">
      <c r="A656" s="206"/>
      <c r="B656" s="279" t="s">
        <v>414</v>
      </c>
      <c r="C656" s="280"/>
      <c r="D656" s="280"/>
      <c r="E656" s="281"/>
      <c r="F656" s="177"/>
      <c r="G656" s="177"/>
      <c r="H656" s="177"/>
    </row>
    <row r="657" spans="1:8" s="134" customFormat="1" ht="13.5" thickBot="1" x14ac:dyDescent="0.25">
      <c r="A657" s="206"/>
      <c r="B657" s="279" t="s">
        <v>311</v>
      </c>
      <c r="C657" s="281"/>
      <c r="D657" s="196" t="s">
        <v>11</v>
      </c>
      <c r="E657" s="196" t="s">
        <v>138</v>
      </c>
      <c r="F657" s="177"/>
      <c r="G657" s="177"/>
      <c r="H657" s="177"/>
    </row>
    <row r="658" spans="1:8" s="134" customFormat="1" x14ac:dyDescent="0.2">
      <c r="A658" s="206"/>
      <c r="B658" s="282" t="s">
        <v>381</v>
      </c>
      <c r="C658" s="282"/>
      <c r="D658" s="197">
        <v>24</v>
      </c>
      <c r="E658" s="198" t="s">
        <v>382</v>
      </c>
      <c r="F658" s="177"/>
      <c r="G658" s="177"/>
      <c r="H658" s="177"/>
    </row>
    <row r="659" spans="1:8" s="134" customFormat="1" x14ac:dyDescent="0.2">
      <c r="A659" s="206"/>
      <c r="B659" s="283" t="s">
        <v>383</v>
      </c>
      <c r="C659" s="283"/>
      <c r="D659" s="199">
        <v>12</v>
      </c>
      <c r="E659" s="200" t="s">
        <v>384</v>
      </c>
      <c r="F659" s="177"/>
      <c r="G659" s="177"/>
      <c r="H659" s="177"/>
    </row>
    <row r="660" spans="1:8" s="134" customFormat="1" x14ac:dyDescent="0.2">
      <c r="A660" s="206"/>
      <c r="B660" s="283" t="s">
        <v>385</v>
      </c>
      <c r="C660" s="283"/>
      <c r="D660" s="199">
        <v>24</v>
      </c>
      <c r="E660" s="200" t="s">
        <v>388</v>
      </c>
      <c r="F660" s="177"/>
      <c r="G660" s="177"/>
      <c r="H660" s="177"/>
    </row>
    <row r="661" spans="1:8" s="134" customFormat="1" x14ac:dyDescent="0.2">
      <c r="A661" s="206"/>
      <c r="B661" s="283" t="s">
        <v>386</v>
      </c>
      <c r="C661" s="283"/>
      <c r="D661" s="199">
        <v>12</v>
      </c>
      <c r="E661" s="200" t="s">
        <v>392</v>
      </c>
      <c r="F661" s="177"/>
      <c r="G661" s="177"/>
      <c r="H661" s="177"/>
    </row>
    <row r="662" spans="1:8" s="134" customFormat="1" x14ac:dyDescent="0.2">
      <c r="A662" s="206"/>
      <c r="B662" s="283" t="s">
        <v>387</v>
      </c>
      <c r="C662" s="283"/>
      <c r="D662" s="199">
        <v>12</v>
      </c>
      <c r="E662" s="200" t="s">
        <v>389</v>
      </c>
      <c r="F662" s="177"/>
      <c r="G662" s="177"/>
      <c r="H662" s="177"/>
    </row>
    <row r="663" spans="1:8" s="134" customFormat="1" ht="13.5" thickBot="1" x14ac:dyDescent="0.25">
      <c r="A663" s="206"/>
      <c r="B663" s="284"/>
      <c r="C663" s="285"/>
      <c r="D663" s="199"/>
      <c r="E663" s="200"/>
      <c r="F663" s="177"/>
      <c r="G663" s="177"/>
      <c r="H663" s="177"/>
    </row>
    <row r="664" spans="1:8" s="134" customFormat="1" ht="27" customHeight="1" thickBot="1" x14ac:dyDescent="0.25">
      <c r="A664" s="206"/>
      <c r="B664" s="286" t="s">
        <v>416</v>
      </c>
      <c r="C664" s="287"/>
      <c r="D664" s="287"/>
      <c r="E664" s="288"/>
      <c r="F664" s="177"/>
      <c r="G664" s="177"/>
      <c r="H664" s="177"/>
    </row>
    <row r="665" spans="1:8" s="134" customFormat="1" x14ac:dyDescent="0.2">
      <c r="A665" s="206"/>
      <c r="B665" s="195" t="s">
        <v>18</v>
      </c>
      <c r="C665" s="193"/>
      <c r="D665" s="210"/>
      <c r="E665" s="194"/>
      <c r="F665" s="177"/>
      <c r="G665" s="177"/>
      <c r="H665" s="177"/>
    </row>
    <row r="666" spans="1:8" s="134" customFormat="1" x14ac:dyDescent="0.2">
      <c r="A666" s="206"/>
      <c r="B666" s="201"/>
      <c r="C666" s="277" t="s">
        <v>62</v>
      </c>
      <c r="D666" s="277"/>
      <c r="E666" s="277"/>
      <c r="F666" s="177"/>
      <c r="G666" s="177"/>
      <c r="H666" s="177"/>
    </row>
    <row r="667" spans="1:8" s="134" customFormat="1" x14ac:dyDescent="0.2">
      <c r="A667" s="206"/>
      <c r="B667" s="195" t="s">
        <v>19</v>
      </c>
      <c r="C667" s="212"/>
      <c r="D667" s="212"/>
      <c r="E667" s="202"/>
      <c r="F667" s="177"/>
      <c r="G667" s="177"/>
      <c r="H667" s="177"/>
    </row>
    <row r="668" spans="1:8" s="134" customFormat="1" x14ac:dyDescent="0.2">
      <c r="A668" s="206"/>
      <c r="B668" s="201"/>
      <c r="C668" s="277" t="s">
        <v>465</v>
      </c>
      <c r="D668" s="277"/>
      <c r="E668" s="277"/>
      <c r="F668" s="177"/>
      <c r="G668" s="177"/>
      <c r="H668" s="177"/>
    </row>
    <row r="669" spans="1:8" s="134" customFormat="1" x14ac:dyDescent="0.2">
      <c r="A669" s="206"/>
      <c r="B669" s="195" t="s">
        <v>20</v>
      </c>
      <c r="C669" s="193"/>
      <c r="D669" s="210"/>
      <c r="E669" s="194"/>
      <c r="F669" s="177"/>
      <c r="G669" s="177"/>
      <c r="H669" s="177"/>
    </row>
    <row r="670" spans="1:8" s="134" customFormat="1" x14ac:dyDescent="0.2">
      <c r="A670" s="206"/>
      <c r="B670" s="195"/>
      <c r="C670" s="278" t="s">
        <v>63</v>
      </c>
      <c r="D670" s="278"/>
      <c r="E670" s="278"/>
      <c r="F670" s="177"/>
      <c r="G670" s="177"/>
      <c r="H670" s="177"/>
    </row>
    <row r="671" spans="1:8" s="134" customFormat="1" ht="13.5" thickBot="1" x14ac:dyDescent="0.25">
      <c r="A671" s="206"/>
      <c r="B671" s="203"/>
      <c r="C671" s="174"/>
      <c r="D671" s="204"/>
      <c r="E671" s="205"/>
      <c r="F671" s="177"/>
      <c r="G671" s="177"/>
      <c r="H671" s="177"/>
    </row>
    <row r="672" spans="1:8" s="134" customFormat="1" x14ac:dyDescent="0.2">
      <c r="A672" s="206"/>
      <c r="B672" s="211"/>
      <c r="C672" s="193"/>
      <c r="D672" s="210"/>
      <c r="E672" s="193"/>
      <c r="F672" s="177"/>
      <c r="G672" s="177"/>
      <c r="H672" s="177"/>
    </row>
    <row r="673" spans="1:9" s="134" customFormat="1" ht="13.5" thickBot="1" x14ac:dyDescent="0.25">
      <c r="A673" s="206"/>
      <c r="B673" s="177"/>
      <c r="C673" s="177"/>
      <c r="D673" s="206"/>
      <c r="E673" s="177"/>
      <c r="F673" s="177"/>
      <c r="G673" s="177"/>
      <c r="H673" s="177"/>
    </row>
    <row r="674" spans="1:9" s="134" customFormat="1" x14ac:dyDescent="0.2">
      <c r="A674" s="206"/>
      <c r="B674" s="189" t="s">
        <v>164</v>
      </c>
      <c r="C674" s="190"/>
      <c r="D674" s="209"/>
      <c r="E674" s="191"/>
      <c r="F674" s="177"/>
      <c r="G674" s="177"/>
      <c r="H674" s="177"/>
    </row>
    <row r="675" spans="1:9" s="134" customFormat="1" x14ac:dyDescent="0.2">
      <c r="A675" s="206"/>
      <c r="B675" s="192"/>
      <c r="C675" s="303"/>
      <c r="D675" s="303"/>
      <c r="E675" s="278"/>
      <c r="F675" s="177"/>
      <c r="G675" s="177"/>
      <c r="H675" s="177"/>
    </row>
    <row r="676" spans="1:9" s="134" customFormat="1" x14ac:dyDescent="0.2">
      <c r="A676" s="206"/>
      <c r="B676" s="195" t="s">
        <v>16</v>
      </c>
      <c r="C676" s="193"/>
      <c r="D676" s="210"/>
      <c r="E676" s="194"/>
      <c r="F676" s="177"/>
      <c r="G676" s="177"/>
      <c r="H676" s="177"/>
    </row>
    <row r="677" spans="1:9" s="153" customFormat="1" x14ac:dyDescent="0.2">
      <c r="A677" s="206"/>
      <c r="B677" s="195"/>
      <c r="C677" s="277" t="s">
        <v>501</v>
      </c>
      <c r="D677" s="277"/>
      <c r="E677" s="277"/>
      <c r="F677" s="177"/>
      <c r="G677" s="177"/>
      <c r="H677" s="177"/>
      <c r="I677" s="134"/>
    </row>
    <row r="678" spans="1:9" s="134" customFormat="1" ht="13.5" thickBot="1" x14ac:dyDescent="0.25">
      <c r="A678" s="206"/>
      <c r="B678" s="195" t="s">
        <v>17</v>
      </c>
      <c r="C678" s="193"/>
      <c r="D678" s="210"/>
      <c r="E678" s="194"/>
      <c r="F678" s="177"/>
      <c r="G678" s="177"/>
      <c r="H678" s="177"/>
    </row>
    <row r="679" spans="1:9" s="134" customFormat="1" ht="13.5" thickBot="1" x14ac:dyDescent="0.25">
      <c r="A679" s="206"/>
      <c r="B679" s="279" t="s">
        <v>414</v>
      </c>
      <c r="C679" s="280"/>
      <c r="D679" s="280"/>
      <c r="E679" s="281"/>
      <c r="F679" s="177"/>
      <c r="G679" s="177"/>
      <c r="H679" s="177"/>
    </row>
    <row r="680" spans="1:9" s="134" customFormat="1" ht="13.5" thickBot="1" x14ac:dyDescent="0.25">
      <c r="A680" s="206"/>
      <c r="B680" s="279" t="s">
        <v>311</v>
      </c>
      <c r="C680" s="281"/>
      <c r="D680" s="196" t="s">
        <v>11</v>
      </c>
      <c r="E680" s="196" t="s">
        <v>138</v>
      </c>
      <c r="F680" s="177"/>
      <c r="G680" s="177"/>
      <c r="H680" s="177"/>
    </row>
    <row r="681" spans="1:9" s="134" customFormat="1" x14ac:dyDescent="0.2">
      <c r="A681" s="206"/>
      <c r="B681" s="282" t="s">
        <v>381</v>
      </c>
      <c r="C681" s="282"/>
      <c r="D681" s="197">
        <v>64</v>
      </c>
      <c r="E681" s="198" t="s">
        <v>382</v>
      </c>
      <c r="F681" s="177"/>
      <c r="G681" s="177"/>
      <c r="H681" s="177"/>
    </row>
    <row r="682" spans="1:9" s="134" customFormat="1" x14ac:dyDescent="0.2">
      <c r="A682" s="206"/>
      <c r="B682" s="283" t="s">
        <v>383</v>
      </c>
      <c r="C682" s="283"/>
      <c r="D682" s="199">
        <v>32</v>
      </c>
      <c r="E682" s="200" t="s">
        <v>384</v>
      </c>
      <c r="F682" s="177"/>
      <c r="G682" s="177"/>
      <c r="H682" s="177"/>
    </row>
    <row r="683" spans="1:9" s="134" customFormat="1" x14ac:dyDescent="0.2">
      <c r="A683" s="206"/>
      <c r="B683" s="283" t="s">
        <v>385</v>
      </c>
      <c r="C683" s="283"/>
      <c r="D683" s="199">
        <v>64</v>
      </c>
      <c r="E683" s="200" t="s">
        <v>388</v>
      </c>
      <c r="F683" s="177"/>
      <c r="G683" s="177"/>
      <c r="H683" s="177"/>
    </row>
    <row r="684" spans="1:9" s="134" customFormat="1" x14ac:dyDescent="0.2">
      <c r="A684" s="206"/>
      <c r="B684" s="283" t="s">
        <v>386</v>
      </c>
      <c r="C684" s="283"/>
      <c r="D684" s="199">
        <v>32</v>
      </c>
      <c r="E684" s="200" t="s">
        <v>392</v>
      </c>
      <c r="F684" s="177"/>
      <c r="G684" s="177"/>
      <c r="H684" s="177"/>
    </row>
    <row r="685" spans="1:9" s="134" customFormat="1" x14ac:dyDescent="0.2">
      <c r="A685" s="206"/>
      <c r="B685" s="283" t="s">
        <v>387</v>
      </c>
      <c r="C685" s="283"/>
      <c r="D685" s="199">
        <v>32</v>
      </c>
      <c r="E685" s="200" t="s">
        <v>389</v>
      </c>
      <c r="F685" s="177"/>
      <c r="G685" s="177"/>
      <c r="H685" s="177"/>
    </row>
    <row r="686" spans="1:9" s="134" customFormat="1" ht="13.5" thickBot="1" x14ac:dyDescent="0.25">
      <c r="A686" s="206"/>
      <c r="B686" s="284"/>
      <c r="C686" s="285"/>
      <c r="D686" s="199"/>
      <c r="E686" s="200"/>
      <c r="F686" s="177"/>
      <c r="G686" s="177"/>
      <c r="H686" s="177"/>
    </row>
    <row r="687" spans="1:9" s="134" customFormat="1" ht="24.75" customHeight="1" thickBot="1" x14ac:dyDescent="0.25">
      <c r="A687" s="206"/>
      <c r="B687" s="286" t="s">
        <v>417</v>
      </c>
      <c r="C687" s="287"/>
      <c r="D687" s="287"/>
      <c r="E687" s="288"/>
      <c r="F687" s="177"/>
      <c r="G687" s="177"/>
      <c r="H687" s="177"/>
    </row>
    <row r="688" spans="1:9" s="134" customFormat="1" x14ac:dyDescent="0.2">
      <c r="A688" s="206"/>
      <c r="B688" s="195" t="s">
        <v>18</v>
      </c>
      <c r="C688" s="193"/>
      <c r="D688" s="210"/>
      <c r="E688" s="194"/>
      <c r="F688" s="177"/>
      <c r="G688" s="177"/>
      <c r="H688" s="177"/>
    </row>
    <row r="689" spans="1:8" s="134" customFormat="1" x14ac:dyDescent="0.2">
      <c r="A689" s="206"/>
      <c r="B689" s="201"/>
      <c r="C689" s="277" t="s">
        <v>62</v>
      </c>
      <c r="D689" s="277"/>
      <c r="E689" s="277"/>
      <c r="F689" s="177"/>
      <c r="G689" s="177"/>
      <c r="H689" s="177"/>
    </row>
    <row r="690" spans="1:8" s="134" customFormat="1" x14ac:dyDescent="0.2">
      <c r="A690" s="206"/>
      <c r="B690" s="195" t="s">
        <v>19</v>
      </c>
      <c r="C690" s="212"/>
      <c r="D690" s="212"/>
      <c r="E690" s="202"/>
      <c r="F690" s="177"/>
      <c r="G690" s="177"/>
      <c r="H690" s="177"/>
    </row>
    <row r="691" spans="1:8" s="134" customFormat="1" x14ac:dyDescent="0.2">
      <c r="A691" s="206"/>
      <c r="B691" s="201"/>
      <c r="C691" s="277" t="s">
        <v>465</v>
      </c>
      <c r="D691" s="277"/>
      <c r="E691" s="277"/>
      <c r="F691" s="177"/>
      <c r="G691" s="177"/>
      <c r="H691" s="177"/>
    </row>
    <row r="692" spans="1:8" s="134" customFormat="1" x14ac:dyDescent="0.2">
      <c r="A692" s="206"/>
      <c r="B692" s="195" t="s">
        <v>20</v>
      </c>
      <c r="C692" s="193"/>
      <c r="D692" s="210"/>
      <c r="E692" s="194"/>
      <c r="F692" s="177"/>
      <c r="G692" s="177"/>
      <c r="H692" s="177"/>
    </row>
    <row r="693" spans="1:8" s="134" customFormat="1" x14ac:dyDescent="0.2">
      <c r="A693" s="206"/>
      <c r="B693" s="195"/>
      <c r="C693" s="278" t="s">
        <v>63</v>
      </c>
      <c r="D693" s="278"/>
      <c r="E693" s="278"/>
      <c r="F693" s="177"/>
      <c r="G693" s="177"/>
      <c r="H693" s="177"/>
    </row>
    <row r="694" spans="1:8" s="134" customFormat="1" ht="13.5" thickBot="1" x14ac:dyDescent="0.25">
      <c r="A694" s="206"/>
      <c r="B694" s="203"/>
      <c r="C694" s="174"/>
      <c r="D694" s="204"/>
      <c r="E694" s="205"/>
      <c r="F694" s="177"/>
      <c r="G694" s="177"/>
      <c r="H694" s="177"/>
    </row>
    <row r="695" spans="1:8" s="134" customFormat="1" x14ac:dyDescent="0.2">
      <c r="A695" s="206"/>
      <c r="B695" s="211"/>
      <c r="C695" s="193"/>
      <c r="D695" s="210"/>
      <c r="E695" s="193"/>
      <c r="F695" s="177"/>
      <c r="G695" s="177"/>
      <c r="H695" s="177"/>
    </row>
    <row r="696" spans="1:8" s="134" customFormat="1" ht="13.5" thickBot="1" x14ac:dyDescent="0.25">
      <c r="A696" s="206"/>
      <c r="B696" s="177"/>
      <c r="C696" s="177"/>
      <c r="D696" s="206"/>
      <c r="E696" s="177"/>
      <c r="F696" s="177"/>
      <c r="G696" s="177"/>
      <c r="H696" s="177"/>
    </row>
    <row r="697" spans="1:8" s="134" customFormat="1" x14ac:dyDescent="0.2">
      <c r="A697" s="206"/>
      <c r="B697" s="189" t="s">
        <v>165</v>
      </c>
      <c r="C697" s="190"/>
      <c r="D697" s="209"/>
      <c r="E697" s="191"/>
      <c r="F697" s="177"/>
      <c r="G697" s="177"/>
      <c r="H697" s="177"/>
    </row>
    <row r="698" spans="1:8" s="134" customFormat="1" x14ac:dyDescent="0.2">
      <c r="A698" s="206"/>
      <c r="B698" s="192"/>
      <c r="C698" s="303"/>
      <c r="D698" s="303"/>
      <c r="E698" s="278"/>
      <c r="F698" s="177"/>
      <c r="G698" s="177"/>
      <c r="H698" s="177"/>
    </row>
    <row r="699" spans="1:8" s="134" customFormat="1" x14ac:dyDescent="0.2">
      <c r="A699" s="206"/>
      <c r="B699" s="195" t="s">
        <v>16</v>
      </c>
      <c r="C699" s="193"/>
      <c r="D699" s="210"/>
      <c r="E699" s="194"/>
      <c r="F699" s="177"/>
      <c r="G699" s="177"/>
      <c r="H699" s="177"/>
    </row>
    <row r="700" spans="1:8" s="134" customFormat="1" x14ac:dyDescent="0.2">
      <c r="A700" s="206"/>
      <c r="B700" s="195"/>
      <c r="C700" s="277" t="s">
        <v>503</v>
      </c>
      <c r="D700" s="277"/>
      <c r="E700" s="277"/>
      <c r="F700" s="177"/>
      <c r="G700" s="177"/>
      <c r="H700" s="177"/>
    </row>
    <row r="701" spans="1:8" s="134" customFormat="1" ht="13.5" thickBot="1" x14ac:dyDescent="0.25">
      <c r="A701" s="206"/>
      <c r="B701" s="195" t="s">
        <v>17</v>
      </c>
      <c r="C701" s="193"/>
      <c r="D701" s="210"/>
      <c r="E701" s="194"/>
      <c r="F701" s="177"/>
      <c r="G701" s="177"/>
      <c r="H701" s="177"/>
    </row>
    <row r="702" spans="1:8" s="134" customFormat="1" ht="13.5" thickBot="1" x14ac:dyDescent="0.25">
      <c r="A702" s="206"/>
      <c r="B702" s="279" t="s">
        <v>414</v>
      </c>
      <c r="C702" s="280"/>
      <c r="D702" s="280"/>
      <c r="E702" s="281"/>
      <c r="F702" s="177"/>
      <c r="G702" s="177"/>
      <c r="H702" s="177"/>
    </row>
    <row r="703" spans="1:8" s="134" customFormat="1" ht="13.5" thickBot="1" x14ac:dyDescent="0.25">
      <c r="A703" s="206"/>
      <c r="B703" s="279" t="s">
        <v>311</v>
      </c>
      <c r="C703" s="281"/>
      <c r="D703" s="196" t="s">
        <v>11</v>
      </c>
      <c r="E703" s="207" t="s">
        <v>476</v>
      </c>
      <c r="F703" s="177"/>
      <c r="G703" s="177"/>
      <c r="H703" s="177"/>
    </row>
    <row r="704" spans="1:8" s="134" customFormat="1" x14ac:dyDescent="0.2">
      <c r="A704" s="206"/>
      <c r="B704" s="282" t="s">
        <v>381</v>
      </c>
      <c r="C704" s="282"/>
      <c r="D704" s="197">
        <v>32</v>
      </c>
      <c r="E704" s="198" t="s">
        <v>382</v>
      </c>
      <c r="F704" s="177"/>
      <c r="G704" s="177"/>
      <c r="H704" s="177"/>
    </row>
    <row r="705" spans="1:8" s="134" customFormat="1" x14ac:dyDescent="0.2">
      <c r="A705" s="206"/>
      <c r="B705" s="283" t="s">
        <v>383</v>
      </c>
      <c r="C705" s="283"/>
      <c r="D705" s="199">
        <v>16</v>
      </c>
      <c r="E705" s="200" t="s">
        <v>384</v>
      </c>
      <c r="F705" s="177"/>
      <c r="G705" s="177"/>
      <c r="H705" s="177"/>
    </row>
    <row r="706" spans="1:8" s="134" customFormat="1" x14ac:dyDescent="0.2">
      <c r="A706" s="206"/>
      <c r="B706" s="283" t="s">
        <v>385</v>
      </c>
      <c r="C706" s="283"/>
      <c r="D706" s="199">
        <v>32</v>
      </c>
      <c r="E706" s="200" t="s">
        <v>388</v>
      </c>
      <c r="F706" s="177"/>
      <c r="G706" s="177"/>
      <c r="H706" s="177"/>
    </row>
    <row r="707" spans="1:8" s="134" customFormat="1" x14ac:dyDescent="0.2">
      <c r="A707" s="206"/>
      <c r="B707" s="283" t="s">
        <v>386</v>
      </c>
      <c r="C707" s="283"/>
      <c r="D707" s="199">
        <v>16</v>
      </c>
      <c r="E707" s="200" t="s">
        <v>392</v>
      </c>
      <c r="F707" s="177"/>
      <c r="G707" s="177"/>
      <c r="H707" s="177"/>
    </row>
    <row r="708" spans="1:8" s="134" customFormat="1" x14ac:dyDescent="0.2">
      <c r="A708" s="206"/>
      <c r="B708" s="283" t="s">
        <v>387</v>
      </c>
      <c r="C708" s="283"/>
      <c r="D708" s="199">
        <v>16</v>
      </c>
      <c r="E708" s="200" t="s">
        <v>389</v>
      </c>
      <c r="F708" s="177"/>
      <c r="G708" s="177"/>
      <c r="H708" s="177"/>
    </row>
    <row r="709" spans="1:8" s="134" customFormat="1" ht="13.5" thickBot="1" x14ac:dyDescent="0.25">
      <c r="A709" s="206"/>
      <c r="B709" s="284"/>
      <c r="C709" s="285"/>
      <c r="D709" s="199"/>
      <c r="E709" s="200"/>
      <c r="F709" s="177"/>
      <c r="G709" s="177"/>
      <c r="H709" s="177"/>
    </row>
    <row r="710" spans="1:8" s="134" customFormat="1" ht="25.5" customHeight="1" thickBot="1" x14ac:dyDescent="0.25">
      <c r="A710" s="206"/>
      <c r="B710" s="286" t="s">
        <v>418</v>
      </c>
      <c r="C710" s="287"/>
      <c r="D710" s="287"/>
      <c r="E710" s="288"/>
      <c r="F710" s="177"/>
      <c r="G710" s="177"/>
      <c r="H710" s="177"/>
    </row>
    <row r="711" spans="1:8" s="134" customFormat="1" x14ac:dyDescent="0.2">
      <c r="A711" s="206"/>
      <c r="B711" s="195" t="s">
        <v>18</v>
      </c>
      <c r="C711" s="193"/>
      <c r="D711" s="210"/>
      <c r="E711" s="194"/>
      <c r="F711" s="177"/>
      <c r="G711" s="177"/>
      <c r="H711" s="177"/>
    </row>
    <row r="712" spans="1:8" s="134" customFormat="1" x14ac:dyDescent="0.2">
      <c r="A712" s="206"/>
      <c r="B712" s="201"/>
      <c r="C712" s="277" t="s">
        <v>62</v>
      </c>
      <c r="D712" s="277"/>
      <c r="E712" s="277"/>
      <c r="F712" s="177"/>
      <c r="G712" s="177"/>
      <c r="H712" s="177"/>
    </row>
    <row r="713" spans="1:8" s="134" customFormat="1" x14ac:dyDescent="0.2">
      <c r="A713" s="206"/>
      <c r="B713" s="195" t="s">
        <v>19</v>
      </c>
      <c r="C713" s="212"/>
      <c r="D713" s="212"/>
      <c r="E713" s="202"/>
      <c r="F713" s="177"/>
      <c r="G713" s="177"/>
      <c r="H713" s="177"/>
    </row>
    <row r="714" spans="1:8" s="134" customFormat="1" x14ac:dyDescent="0.2">
      <c r="A714" s="206"/>
      <c r="B714" s="201"/>
      <c r="C714" s="277" t="s">
        <v>465</v>
      </c>
      <c r="D714" s="277"/>
      <c r="E714" s="277"/>
      <c r="F714" s="177"/>
      <c r="G714" s="177"/>
      <c r="H714" s="177"/>
    </row>
    <row r="715" spans="1:8" s="134" customFormat="1" x14ac:dyDescent="0.2">
      <c r="A715" s="206"/>
      <c r="B715" s="195" t="s">
        <v>20</v>
      </c>
      <c r="C715" s="193"/>
      <c r="D715" s="210"/>
      <c r="E715" s="194"/>
      <c r="F715" s="177"/>
      <c r="G715" s="177"/>
      <c r="H715" s="177"/>
    </row>
    <row r="716" spans="1:8" s="134" customFormat="1" x14ac:dyDescent="0.2">
      <c r="A716" s="206"/>
      <c r="B716" s="195"/>
      <c r="C716" s="278" t="s">
        <v>63</v>
      </c>
      <c r="D716" s="278"/>
      <c r="E716" s="278"/>
      <c r="F716" s="177"/>
      <c r="G716" s="177"/>
      <c r="H716" s="177"/>
    </row>
    <row r="717" spans="1:8" s="134" customFormat="1" ht="13.5" thickBot="1" x14ac:dyDescent="0.25">
      <c r="A717" s="206"/>
      <c r="B717" s="203"/>
      <c r="C717" s="174"/>
      <c r="D717" s="204"/>
      <c r="E717" s="205"/>
      <c r="F717" s="177"/>
      <c r="G717" s="177"/>
      <c r="H717" s="177"/>
    </row>
    <row r="718" spans="1:8" s="134" customFormat="1" x14ac:dyDescent="0.2">
      <c r="A718" s="206"/>
      <c r="B718" s="211"/>
      <c r="C718" s="193"/>
      <c r="D718" s="210"/>
      <c r="E718" s="193"/>
      <c r="F718" s="177"/>
      <c r="G718" s="177"/>
      <c r="H718" s="177"/>
    </row>
    <row r="719" spans="1:8" s="134" customFormat="1" ht="13.5" thickBot="1" x14ac:dyDescent="0.25">
      <c r="A719" s="206"/>
      <c r="B719" s="177"/>
      <c r="C719" s="177"/>
      <c r="D719" s="206"/>
      <c r="E719" s="177"/>
      <c r="F719" s="177"/>
      <c r="G719" s="177"/>
      <c r="H719" s="177"/>
    </row>
    <row r="720" spans="1:8" s="134" customFormat="1" x14ac:dyDescent="0.2">
      <c r="A720" s="206"/>
      <c r="B720" s="189" t="s">
        <v>166</v>
      </c>
      <c r="C720" s="190"/>
      <c r="D720" s="209"/>
      <c r="E720" s="191"/>
      <c r="F720" s="177"/>
      <c r="G720" s="177"/>
      <c r="H720" s="177"/>
    </row>
    <row r="721" spans="1:9" s="134" customFormat="1" x14ac:dyDescent="0.2">
      <c r="A721" s="206"/>
      <c r="B721" s="192"/>
      <c r="C721" s="303"/>
      <c r="D721" s="303"/>
      <c r="E721" s="278"/>
      <c r="F721" s="177"/>
      <c r="G721" s="177"/>
      <c r="H721" s="177"/>
    </row>
    <row r="722" spans="1:9" s="134" customFormat="1" x14ac:dyDescent="0.2">
      <c r="A722" s="206"/>
      <c r="B722" s="195" t="s">
        <v>16</v>
      </c>
      <c r="C722" s="193"/>
      <c r="D722" s="210"/>
      <c r="E722" s="194"/>
      <c r="F722" s="177"/>
      <c r="G722" s="177"/>
      <c r="H722" s="177"/>
    </row>
    <row r="723" spans="1:9" s="153" customFormat="1" x14ac:dyDescent="0.2">
      <c r="A723" s="206"/>
      <c r="B723" s="195"/>
      <c r="C723" s="277" t="s">
        <v>511</v>
      </c>
      <c r="D723" s="277"/>
      <c r="E723" s="277"/>
      <c r="F723" s="177"/>
      <c r="G723" s="177"/>
      <c r="H723" s="177"/>
      <c r="I723" s="134"/>
    </row>
    <row r="724" spans="1:9" s="134" customFormat="1" ht="13.5" thickBot="1" x14ac:dyDescent="0.25">
      <c r="A724" s="206"/>
      <c r="B724" s="195" t="s">
        <v>17</v>
      </c>
      <c r="C724" s="193"/>
      <c r="D724" s="210"/>
      <c r="E724" s="194"/>
      <c r="F724" s="177"/>
      <c r="G724" s="177"/>
      <c r="H724" s="177"/>
    </row>
    <row r="725" spans="1:9" s="134" customFormat="1" ht="13.5" thickBot="1" x14ac:dyDescent="0.25">
      <c r="A725" s="206"/>
      <c r="B725" s="279" t="s">
        <v>413</v>
      </c>
      <c r="C725" s="280"/>
      <c r="D725" s="280"/>
      <c r="E725" s="281"/>
      <c r="F725" s="177"/>
      <c r="G725" s="177"/>
      <c r="H725" s="177"/>
    </row>
    <row r="726" spans="1:9" s="134" customFormat="1" ht="13.5" thickBot="1" x14ac:dyDescent="0.25">
      <c r="A726" s="206"/>
      <c r="B726" s="279" t="s">
        <v>311</v>
      </c>
      <c r="C726" s="281"/>
      <c r="D726" s="196" t="s">
        <v>11</v>
      </c>
      <c r="E726" s="207" t="s">
        <v>508</v>
      </c>
      <c r="F726" s="177"/>
      <c r="G726" s="177"/>
      <c r="H726" s="177"/>
    </row>
    <row r="727" spans="1:9" s="134" customFormat="1" x14ac:dyDescent="0.2">
      <c r="A727" s="206"/>
      <c r="B727" s="282" t="s">
        <v>381</v>
      </c>
      <c r="C727" s="282"/>
      <c r="D727" s="197">
        <v>64</v>
      </c>
      <c r="E727" s="198" t="s">
        <v>382</v>
      </c>
      <c r="F727" s="177"/>
      <c r="G727" s="177"/>
      <c r="H727" s="177"/>
    </row>
    <row r="728" spans="1:9" s="134" customFormat="1" x14ac:dyDescent="0.2">
      <c r="A728" s="206"/>
      <c r="B728" s="283" t="s">
        <v>383</v>
      </c>
      <c r="C728" s="283"/>
      <c r="D728" s="199">
        <v>32</v>
      </c>
      <c r="E728" s="200" t="s">
        <v>384</v>
      </c>
      <c r="F728" s="177"/>
      <c r="G728" s="177"/>
      <c r="H728" s="177"/>
    </row>
    <row r="729" spans="1:9" s="134" customFormat="1" x14ac:dyDescent="0.2">
      <c r="A729" s="206"/>
      <c r="B729" s="283" t="s">
        <v>385</v>
      </c>
      <c r="C729" s="283"/>
      <c r="D729" s="199">
        <v>64</v>
      </c>
      <c r="E729" s="200" t="s">
        <v>388</v>
      </c>
      <c r="F729" s="177"/>
      <c r="G729" s="177"/>
      <c r="H729" s="177"/>
    </row>
    <row r="730" spans="1:9" s="134" customFormat="1" x14ac:dyDescent="0.2">
      <c r="A730" s="206"/>
      <c r="B730" s="283" t="s">
        <v>386</v>
      </c>
      <c r="C730" s="283"/>
      <c r="D730" s="199">
        <v>32</v>
      </c>
      <c r="E730" s="200" t="s">
        <v>392</v>
      </c>
      <c r="F730" s="177"/>
      <c r="G730" s="177"/>
      <c r="H730" s="177"/>
    </row>
    <row r="731" spans="1:9" s="134" customFormat="1" x14ac:dyDescent="0.2">
      <c r="A731" s="206"/>
      <c r="B731" s="283" t="s">
        <v>387</v>
      </c>
      <c r="C731" s="283"/>
      <c r="D731" s="199">
        <v>32</v>
      </c>
      <c r="E731" s="200" t="s">
        <v>389</v>
      </c>
      <c r="F731" s="177"/>
      <c r="G731" s="177"/>
      <c r="H731" s="177"/>
    </row>
    <row r="732" spans="1:9" s="134" customFormat="1" ht="13.5" thickBot="1" x14ac:dyDescent="0.25">
      <c r="A732" s="206"/>
      <c r="B732" s="284"/>
      <c r="C732" s="285"/>
      <c r="D732" s="199"/>
      <c r="E732" s="200"/>
      <c r="F732" s="177"/>
      <c r="G732" s="177"/>
      <c r="H732" s="177"/>
    </row>
    <row r="733" spans="1:9" s="134" customFormat="1" ht="24.75" customHeight="1" thickBot="1" x14ac:dyDescent="0.25">
      <c r="A733" s="206"/>
      <c r="B733" s="286" t="s">
        <v>417</v>
      </c>
      <c r="C733" s="287"/>
      <c r="D733" s="287"/>
      <c r="E733" s="288"/>
      <c r="F733" s="177"/>
      <c r="G733" s="177"/>
      <c r="H733" s="177"/>
    </row>
    <row r="734" spans="1:9" s="134" customFormat="1" x14ac:dyDescent="0.2">
      <c r="A734" s="206"/>
      <c r="B734" s="195" t="s">
        <v>18</v>
      </c>
      <c r="C734" s="193"/>
      <c r="D734" s="210"/>
      <c r="E734" s="194"/>
      <c r="F734" s="177"/>
      <c r="G734" s="177"/>
      <c r="H734" s="177"/>
    </row>
    <row r="735" spans="1:9" s="134" customFormat="1" x14ac:dyDescent="0.2">
      <c r="A735" s="206"/>
      <c r="B735" s="201"/>
      <c r="C735" s="277" t="s">
        <v>62</v>
      </c>
      <c r="D735" s="277"/>
      <c r="E735" s="277"/>
      <c r="F735" s="177"/>
      <c r="G735" s="177"/>
      <c r="H735" s="177"/>
    </row>
    <row r="736" spans="1:9" s="134" customFormat="1" x14ac:dyDescent="0.2">
      <c r="A736" s="206"/>
      <c r="B736" s="195" t="s">
        <v>19</v>
      </c>
      <c r="C736" s="212"/>
      <c r="D736" s="212"/>
      <c r="E736" s="202"/>
      <c r="F736" s="177"/>
      <c r="G736" s="177"/>
      <c r="H736" s="177"/>
    </row>
    <row r="737" spans="1:8" s="134" customFormat="1" x14ac:dyDescent="0.2">
      <c r="A737" s="206"/>
      <c r="B737" s="201"/>
      <c r="C737" s="277" t="s">
        <v>465</v>
      </c>
      <c r="D737" s="277"/>
      <c r="E737" s="277"/>
      <c r="F737" s="177"/>
      <c r="G737" s="177"/>
      <c r="H737" s="177"/>
    </row>
    <row r="738" spans="1:8" s="134" customFormat="1" x14ac:dyDescent="0.2">
      <c r="A738" s="206"/>
      <c r="B738" s="195" t="s">
        <v>20</v>
      </c>
      <c r="C738" s="193"/>
      <c r="D738" s="210"/>
      <c r="E738" s="194"/>
      <c r="F738" s="177"/>
      <c r="G738" s="177"/>
      <c r="H738" s="177"/>
    </row>
    <row r="739" spans="1:8" s="134" customFormat="1" x14ac:dyDescent="0.2">
      <c r="A739" s="206"/>
      <c r="B739" s="195"/>
      <c r="C739" s="278" t="s">
        <v>63</v>
      </c>
      <c r="D739" s="278"/>
      <c r="E739" s="278"/>
      <c r="F739" s="177"/>
      <c r="G739" s="177"/>
      <c r="H739" s="177"/>
    </row>
    <row r="740" spans="1:8" s="134" customFormat="1" ht="13.5" thickBot="1" x14ac:dyDescent="0.25">
      <c r="A740" s="206"/>
      <c r="B740" s="203"/>
      <c r="C740" s="174"/>
      <c r="D740" s="204"/>
      <c r="E740" s="205"/>
      <c r="F740" s="177"/>
      <c r="G740" s="177"/>
      <c r="H740" s="177"/>
    </row>
    <row r="741" spans="1:8" s="134" customFormat="1" x14ac:dyDescent="0.2">
      <c r="A741" s="206"/>
      <c r="B741" s="211"/>
      <c r="C741" s="193"/>
      <c r="D741" s="210"/>
      <c r="E741" s="193"/>
      <c r="F741" s="177"/>
      <c r="G741" s="177"/>
      <c r="H741" s="177"/>
    </row>
    <row r="742" spans="1:8" s="134" customFormat="1" ht="13.5" thickBot="1" x14ac:dyDescent="0.25">
      <c r="A742" s="206"/>
      <c r="B742" s="177"/>
      <c r="C742" s="177"/>
      <c r="D742" s="206"/>
      <c r="E742" s="177"/>
      <c r="F742" s="177"/>
      <c r="G742" s="177"/>
      <c r="H742" s="177"/>
    </row>
    <row r="743" spans="1:8" s="134" customFormat="1" x14ac:dyDescent="0.2">
      <c r="A743" s="206"/>
      <c r="B743" s="189" t="s">
        <v>286</v>
      </c>
      <c r="C743" s="190"/>
      <c r="D743" s="209"/>
      <c r="E743" s="191"/>
      <c r="F743" s="177"/>
      <c r="G743" s="177"/>
      <c r="H743" s="177"/>
    </row>
    <row r="744" spans="1:8" s="134" customFormat="1" ht="5.25" customHeight="1" x14ac:dyDescent="0.2">
      <c r="A744" s="206"/>
      <c r="B744" s="192"/>
      <c r="C744" s="193"/>
      <c r="D744" s="210"/>
      <c r="E744" s="194"/>
      <c r="F744" s="177"/>
      <c r="G744" s="177"/>
      <c r="H744" s="177"/>
    </row>
    <row r="745" spans="1:8" s="134" customFormat="1" x14ac:dyDescent="0.2">
      <c r="A745" s="206"/>
      <c r="B745" s="195" t="s">
        <v>16</v>
      </c>
      <c r="C745" s="193"/>
      <c r="D745" s="210"/>
      <c r="E745" s="194"/>
      <c r="F745" s="177"/>
      <c r="G745" s="177"/>
      <c r="H745" s="177"/>
    </row>
    <row r="746" spans="1:8" s="134" customFormat="1" ht="25.5" customHeight="1" x14ac:dyDescent="0.2">
      <c r="A746" s="206"/>
      <c r="B746" s="195"/>
      <c r="C746" s="277" t="s">
        <v>509</v>
      </c>
      <c r="D746" s="277"/>
      <c r="E746" s="277"/>
      <c r="F746" s="177"/>
      <c r="G746" s="177"/>
      <c r="H746" s="177"/>
    </row>
    <row r="747" spans="1:8" s="134" customFormat="1" ht="13.5" thickBot="1" x14ac:dyDescent="0.25">
      <c r="A747" s="206"/>
      <c r="B747" s="195" t="s">
        <v>17</v>
      </c>
      <c r="C747" s="193"/>
      <c r="D747" s="210"/>
      <c r="E747" s="194"/>
      <c r="F747" s="177"/>
      <c r="G747" s="177"/>
      <c r="H747" s="177"/>
    </row>
    <row r="748" spans="1:8" s="134" customFormat="1" ht="13.5" thickBot="1" x14ac:dyDescent="0.25">
      <c r="A748" s="206"/>
      <c r="B748" s="279" t="s">
        <v>413</v>
      </c>
      <c r="C748" s="280"/>
      <c r="D748" s="280"/>
      <c r="E748" s="281"/>
      <c r="F748" s="177"/>
      <c r="G748" s="177"/>
      <c r="H748" s="177"/>
    </row>
    <row r="749" spans="1:8" s="134" customFormat="1" ht="13.5" thickBot="1" x14ac:dyDescent="0.25">
      <c r="A749" s="206"/>
      <c r="B749" s="279" t="s">
        <v>311</v>
      </c>
      <c r="C749" s="281"/>
      <c r="D749" s="196" t="s">
        <v>11</v>
      </c>
      <c r="E749" s="207" t="s">
        <v>475</v>
      </c>
      <c r="F749" s="177"/>
      <c r="G749" s="177"/>
      <c r="H749" s="177"/>
    </row>
    <row r="750" spans="1:8" s="134" customFormat="1" x14ac:dyDescent="0.2">
      <c r="A750" s="206"/>
      <c r="B750" s="282" t="s">
        <v>381</v>
      </c>
      <c r="C750" s="282"/>
      <c r="D750" s="197">
        <v>64</v>
      </c>
      <c r="E750" s="198" t="s">
        <v>382</v>
      </c>
      <c r="F750" s="177"/>
      <c r="G750" s="177"/>
      <c r="H750" s="177"/>
    </row>
    <row r="751" spans="1:8" s="134" customFormat="1" x14ac:dyDescent="0.2">
      <c r="A751" s="206"/>
      <c r="B751" s="283" t="s">
        <v>383</v>
      </c>
      <c r="C751" s="283"/>
      <c r="D751" s="199">
        <v>32</v>
      </c>
      <c r="E751" s="200" t="s">
        <v>384</v>
      </c>
      <c r="F751" s="177"/>
      <c r="G751" s="177"/>
      <c r="H751" s="177"/>
    </row>
    <row r="752" spans="1:8" s="134" customFormat="1" x14ac:dyDescent="0.2">
      <c r="A752" s="206"/>
      <c r="B752" s="283" t="s">
        <v>385</v>
      </c>
      <c r="C752" s="283"/>
      <c r="D752" s="199">
        <v>64</v>
      </c>
      <c r="E752" s="200" t="s">
        <v>388</v>
      </c>
      <c r="F752" s="177"/>
      <c r="G752" s="177"/>
      <c r="H752" s="177"/>
    </row>
    <row r="753" spans="1:8" s="134" customFormat="1" x14ac:dyDescent="0.2">
      <c r="A753" s="206"/>
      <c r="B753" s="283" t="s">
        <v>386</v>
      </c>
      <c r="C753" s="283"/>
      <c r="D753" s="199">
        <v>32</v>
      </c>
      <c r="E753" s="200" t="s">
        <v>392</v>
      </c>
      <c r="F753" s="177"/>
      <c r="G753" s="177"/>
      <c r="H753" s="177"/>
    </row>
    <row r="754" spans="1:8" s="134" customFormat="1" x14ac:dyDescent="0.2">
      <c r="A754" s="206"/>
      <c r="B754" s="283" t="s">
        <v>387</v>
      </c>
      <c r="C754" s="283"/>
      <c r="D754" s="199">
        <v>32</v>
      </c>
      <c r="E754" s="200" t="s">
        <v>389</v>
      </c>
      <c r="F754" s="177"/>
      <c r="G754" s="177"/>
      <c r="H754" s="177"/>
    </row>
    <row r="755" spans="1:8" s="134" customFormat="1" ht="13.5" thickBot="1" x14ac:dyDescent="0.25">
      <c r="A755" s="206"/>
      <c r="B755" s="284"/>
      <c r="C755" s="285"/>
      <c r="D755" s="199"/>
      <c r="E755" s="200"/>
      <c r="F755" s="177"/>
      <c r="G755" s="177"/>
      <c r="H755" s="177"/>
    </row>
    <row r="756" spans="1:8" s="134" customFormat="1" ht="25.5" customHeight="1" thickBot="1" x14ac:dyDescent="0.25">
      <c r="A756" s="206"/>
      <c r="B756" s="286" t="s">
        <v>417</v>
      </c>
      <c r="C756" s="287"/>
      <c r="D756" s="287"/>
      <c r="E756" s="288"/>
      <c r="F756" s="177"/>
      <c r="G756" s="177"/>
      <c r="H756" s="177"/>
    </row>
    <row r="757" spans="1:8" s="134" customFormat="1" x14ac:dyDescent="0.2">
      <c r="A757" s="206"/>
      <c r="B757" s="195" t="s">
        <v>18</v>
      </c>
      <c r="C757" s="193"/>
      <c r="D757" s="210"/>
      <c r="E757" s="194"/>
      <c r="F757" s="177"/>
      <c r="G757" s="177"/>
      <c r="H757" s="177"/>
    </row>
    <row r="758" spans="1:8" s="134" customFormat="1" x14ac:dyDescent="0.2">
      <c r="A758" s="206"/>
      <c r="B758" s="201"/>
      <c r="C758" s="277" t="s">
        <v>62</v>
      </c>
      <c r="D758" s="277"/>
      <c r="E758" s="277"/>
      <c r="F758" s="177"/>
      <c r="G758" s="177"/>
      <c r="H758" s="177"/>
    </row>
    <row r="759" spans="1:8" s="134" customFormat="1" x14ac:dyDescent="0.2">
      <c r="A759" s="206"/>
      <c r="B759" s="195" t="s">
        <v>19</v>
      </c>
      <c r="C759" s="212"/>
      <c r="D759" s="212"/>
      <c r="E759" s="202"/>
      <c r="F759" s="177"/>
      <c r="G759" s="177"/>
      <c r="H759" s="177"/>
    </row>
    <row r="760" spans="1:8" s="134" customFormat="1" x14ac:dyDescent="0.2">
      <c r="A760" s="206"/>
      <c r="B760" s="201"/>
      <c r="C760" s="277" t="s">
        <v>465</v>
      </c>
      <c r="D760" s="277"/>
      <c r="E760" s="277"/>
      <c r="F760" s="177"/>
      <c r="G760" s="177"/>
      <c r="H760" s="177"/>
    </row>
    <row r="761" spans="1:8" s="134" customFormat="1" x14ac:dyDescent="0.2">
      <c r="A761" s="206"/>
      <c r="B761" s="195" t="s">
        <v>20</v>
      </c>
      <c r="C761" s="193"/>
      <c r="D761" s="210"/>
      <c r="E761" s="194"/>
      <c r="F761" s="177"/>
      <c r="G761" s="177"/>
      <c r="H761" s="177"/>
    </row>
    <row r="762" spans="1:8" s="134" customFormat="1" x14ac:dyDescent="0.2">
      <c r="A762" s="206"/>
      <c r="B762" s="195"/>
      <c r="C762" s="278" t="s">
        <v>63</v>
      </c>
      <c r="D762" s="278"/>
      <c r="E762" s="278"/>
      <c r="F762" s="177"/>
      <c r="G762" s="177"/>
      <c r="H762" s="177"/>
    </row>
    <row r="763" spans="1:8" s="134" customFormat="1" ht="13.5" thickBot="1" x14ac:dyDescent="0.25">
      <c r="A763" s="206"/>
      <c r="B763" s="203"/>
      <c r="C763" s="174"/>
      <c r="D763" s="204"/>
      <c r="E763" s="205"/>
      <c r="F763" s="177"/>
      <c r="G763" s="177"/>
      <c r="H763" s="177"/>
    </row>
    <row r="764" spans="1:8" s="134" customFormat="1" x14ac:dyDescent="0.2">
      <c r="A764" s="206"/>
      <c r="B764" s="211"/>
      <c r="C764" s="193"/>
      <c r="D764" s="210"/>
      <c r="E764" s="193"/>
      <c r="F764" s="177"/>
      <c r="G764" s="177"/>
      <c r="H764" s="177"/>
    </row>
    <row r="765" spans="1:8" s="134" customFormat="1" ht="13.5" thickBot="1" x14ac:dyDescent="0.25">
      <c r="A765" s="206"/>
      <c r="B765" s="177"/>
      <c r="C765" s="177"/>
      <c r="D765" s="206"/>
      <c r="E765" s="177"/>
      <c r="F765" s="177"/>
      <c r="G765" s="177"/>
      <c r="H765" s="177"/>
    </row>
    <row r="766" spans="1:8" s="134" customFormat="1" x14ac:dyDescent="0.2">
      <c r="A766" s="206"/>
      <c r="B766" s="189" t="s">
        <v>298</v>
      </c>
      <c r="C766" s="190"/>
      <c r="D766" s="209"/>
      <c r="E766" s="191"/>
      <c r="F766" s="177"/>
      <c r="G766" s="177"/>
      <c r="H766" s="177"/>
    </row>
    <row r="767" spans="1:8" s="134" customFormat="1" x14ac:dyDescent="0.2">
      <c r="A767" s="206"/>
      <c r="B767" s="192"/>
      <c r="C767" s="193"/>
      <c r="D767" s="210"/>
      <c r="E767" s="194"/>
      <c r="F767" s="177"/>
      <c r="G767" s="177"/>
      <c r="H767" s="177"/>
    </row>
    <row r="768" spans="1:8" s="134" customFormat="1" x14ac:dyDescent="0.2">
      <c r="A768" s="206"/>
      <c r="B768" s="195" t="s">
        <v>16</v>
      </c>
      <c r="C768" s="193"/>
      <c r="D768" s="210"/>
      <c r="E768" s="194"/>
      <c r="F768" s="177"/>
      <c r="G768" s="177"/>
      <c r="H768" s="177"/>
    </row>
    <row r="769" spans="1:8" s="134" customFormat="1" x14ac:dyDescent="0.2">
      <c r="A769" s="206"/>
      <c r="B769" s="195"/>
      <c r="C769" s="277" t="s">
        <v>512</v>
      </c>
      <c r="D769" s="277"/>
      <c r="E769" s="277"/>
      <c r="F769" s="177"/>
      <c r="G769" s="177"/>
      <c r="H769" s="177"/>
    </row>
    <row r="770" spans="1:8" s="134" customFormat="1" ht="13.5" thickBot="1" x14ac:dyDescent="0.25">
      <c r="A770" s="206"/>
      <c r="B770" s="195" t="s">
        <v>17</v>
      </c>
      <c r="C770" s="193"/>
      <c r="D770" s="210"/>
      <c r="E770" s="194"/>
      <c r="F770" s="177"/>
      <c r="G770" s="177"/>
      <c r="H770" s="177"/>
    </row>
    <row r="771" spans="1:8" s="134" customFormat="1" ht="13.5" thickBot="1" x14ac:dyDescent="0.25">
      <c r="A771" s="206"/>
      <c r="B771" s="279" t="s">
        <v>413</v>
      </c>
      <c r="C771" s="280"/>
      <c r="D771" s="280"/>
      <c r="E771" s="281"/>
      <c r="F771" s="177"/>
      <c r="G771" s="177"/>
      <c r="H771" s="177"/>
    </row>
    <row r="772" spans="1:8" s="134" customFormat="1" ht="13.5" thickBot="1" x14ac:dyDescent="0.25">
      <c r="A772" s="206"/>
      <c r="B772" s="279" t="s">
        <v>311</v>
      </c>
      <c r="C772" s="281"/>
      <c r="D772" s="196" t="s">
        <v>11</v>
      </c>
      <c r="E772" s="207" t="s">
        <v>475</v>
      </c>
      <c r="F772" s="177"/>
      <c r="G772" s="177"/>
      <c r="H772" s="177"/>
    </row>
    <row r="773" spans="1:8" s="134" customFormat="1" x14ac:dyDescent="0.2">
      <c r="A773" s="206"/>
      <c r="B773" s="282" t="s">
        <v>381</v>
      </c>
      <c r="C773" s="282"/>
      <c r="D773" s="197">
        <v>30</v>
      </c>
      <c r="E773" s="198" t="s">
        <v>382</v>
      </c>
      <c r="F773" s="177"/>
      <c r="G773" s="177"/>
      <c r="H773" s="177"/>
    </row>
    <row r="774" spans="1:8" s="134" customFormat="1" x14ac:dyDescent="0.2">
      <c r="A774" s="206"/>
      <c r="B774" s="283" t="s">
        <v>383</v>
      </c>
      <c r="C774" s="283"/>
      <c r="D774" s="199">
        <v>28</v>
      </c>
      <c r="E774" s="200" t="s">
        <v>384</v>
      </c>
      <c r="F774" s="177"/>
      <c r="G774" s="177"/>
      <c r="H774" s="177"/>
    </row>
    <row r="775" spans="1:8" s="134" customFormat="1" x14ac:dyDescent="0.2">
      <c r="A775" s="206"/>
      <c r="B775" s="283" t="s">
        <v>385</v>
      </c>
      <c r="C775" s="283"/>
      <c r="D775" s="199">
        <v>30</v>
      </c>
      <c r="E775" s="200" t="s">
        <v>388</v>
      </c>
      <c r="F775" s="177"/>
      <c r="G775" s="177"/>
      <c r="H775" s="177"/>
    </row>
    <row r="776" spans="1:8" s="134" customFormat="1" x14ac:dyDescent="0.2">
      <c r="A776" s="206"/>
      <c r="B776" s="283" t="s">
        <v>386</v>
      </c>
      <c r="C776" s="283"/>
      <c r="D776" s="199">
        <v>28</v>
      </c>
      <c r="E776" s="200" t="s">
        <v>392</v>
      </c>
      <c r="F776" s="177"/>
      <c r="G776" s="177"/>
      <c r="H776" s="177"/>
    </row>
    <row r="777" spans="1:8" s="134" customFormat="1" x14ac:dyDescent="0.2">
      <c r="A777" s="206"/>
      <c r="B777" s="283" t="s">
        <v>387</v>
      </c>
      <c r="C777" s="283"/>
      <c r="D777" s="199">
        <v>28</v>
      </c>
      <c r="E777" s="200" t="s">
        <v>389</v>
      </c>
      <c r="F777" s="177"/>
      <c r="G777" s="177"/>
      <c r="H777" s="177"/>
    </row>
    <row r="778" spans="1:8" s="134" customFormat="1" ht="13.5" thickBot="1" x14ac:dyDescent="0.25">
      <c r="A778" s="206"/>
      <c r="B778" s="284"/>
      <c r="C778" s="285"/>
      <c r="D778" s="199"/>
      <c r="E778" s="200"/>
      <c r="F778" s="177"/>
      <c r="G778" s="177"/>
      <c r="H778" s="177"/>
    </row>
    <row r="779" spans="1:8" s="134" customFormat="1" ht="27" customHeight="1" thickBot="1" x14ac:dyDescent="0.25">
      <c r="A779" s="206"/>
      <c r="B779" s="286" t="s">
        <v>419</v>
      </c>
      <c r="C779" s="287"/>
      <c r="D779" s="287"/>
      <c r="E779" s="288"/>
      <c r="F779" s="177"/>
      <c r="G779" s="177"/>
      <c r="H779" s="177"/>
    </row>
    <row r="780" spans="1:8" s="134" customFormat="1" x14ac:dyDescent="0.2">
      <c r="A780" s="206"/>
      <c r="B780" s="195" t="s">
        <v>18</v>
      </c>
      <c r="C780" s="193"/>
      <c r="D780" s="210"/>
      <c r="E780" s="194"/>
      <c r="F780" s="177"/>
      <c r="G780" s="177"/>
      <c r="H780" s="177"/>
    </row>
    <row r="781" spans="1:8" s="134" customFormat="1" x14ac:dyDescent="0.2">
      <c r="A781" s="206"/>
      <c r="B781" s="201"/>
      <c r="C781" s="277" t="s">
        <v>62</v>
      </c>
      <c r="D781" s="277"/>
      <c r="E781" s="277"/>
      <c r="F781" s="177"/>
      <c r="G781" s="177"/>
      <c r="H781" s="177"/>
    </row>
    <row r="782" spans="1:8" s="134" customFormat="1" x14ac:dyDescent="0.2">
      <c r="A782" s="206"/>
      <c r="B782" s="195" t="s">
        <v>19</v>
      </c>
      <c r="C782" s="212"/>
      <c r="D782" s="212"/>
      <c r="E782" s="202"/>
      <c r="F782" s="177"/>
      <c r="G782" s="177"/>
      <c r="H782" s="177"/>
    </row>
    <row r="783" spans="1:8" s="134" customFormat="1" x14ac:dyDescent="0.2">
      <c r="A783" s="206"/>
      <c r="B783" s="201"/>
      <c r="C783" s="277" t="s">
        <v>465</v>
      </c>
      <c r="D783" s="277"/>
      <c r="E783" s="277"/>
      <c r="F783" s="177"/>
      <c r="G783" s="177"/>
      <c r="H783" s="177"/>
    </row>
    <row r="784" spans="1:8" s="134" customFormat="1" x14ac:dyDescent="0.2">
      <c r="A784" s="206"/>
      <c r="B784" s="195" t="s">
        <v>20</v>
      </c>
      <c r="C784" s="193"/>
      <c r="D784" s="210"/>
      <c r="E784" s="194"/>
      <c r="F784" s="177"/>
      <c r="G784" s="177"/>
      <c r="H784" s="177"/>
    </row>
    <row r="785" spans="1:9" s="134" customFormat="1" x14ac:dyDescent="0.2">
      <c r="A785" s="206"/>
      <c r="B785" s="195"/>
      <c r="C785" s="278" t="s">
        <v>63</v>
      </c>
      <c r="D785" s="278"/>
      <c r="E785" s="278"/>
      <c r="F785" s="177"/>
      <c r="G785" s="177"/>
      <c r="H785" s="177"/>
    </row>
    <row r="786" spans="1:9" s="134" customFormat="1" ht="13.5" thickBot="1" x14ac:dyDescent="0.25">
      <c r="A786" s="206"/>
      <c r="B786" s="203"/>
      <c r="C786" s="174"/>
      <c r="D786" s="204"/>
      <c r="E786" s="205"/>
      <c r="F786" s="177"/>
      <c r="G786" s="177"/>
      <c r="H786" s="177"/>
    </row>
    <row r="787" spans="1:9" s="134" customFormat="1" x14ac:dyDescent="0.2">
      <c r="A787" s="206"/>
      <c r="B787" s="211"/>
      <c r="C787" s="193"/>
      <c r="D787" s="210"/>
      <c r="E787" s="193"/>
      <c r="F787" s="177"/>
      <c r="G787" s="177"/>
      <c r="H787" s="177"/>
    </row>
    <row r="788" spans="1:9" s="134" customFormat="1" ht="13.5" thickBot="1" x14ac:dyDescent="0.25">
      <c r="A788" s="206"/>
      <c r="B788" s="177"/>
      <c r="C788" s="177"/>
      <c r="D788" s="206"/>
      <c r="E788" s="177"/>
      <c r="F788" s="177"/>
      <c r="G788" s="177"/>
      <c r="H788" s="177"/>
    </row>
    <row r="789" spans="1:9" s="134" customFormat="1" x14ac:dyDescent="0.2">
      <c r="A789" s="206"/>
      <c r="B789" s="189" t="s">
        <v>299</v>
      </c>
      <c r="C789" s="190"/>
      <c r="D789" s="209"/>
      <c r="E789" s="191"/>
      <c r="F789" s="177"/>
      <c r="G789" s="177"/>
      <c r="H789" s="177"/>
    </row>
    <row r="790" spans="1:9" s="134" customFormat="1" x14ac:dyDescent="0.2">
      <c r="A790" s="206"/>
      <c r="B790" s="192"/>
      <c r="C790" s="193"/>
      <c r="D790" s="210"/>
      <c r="E790" s="194"/>
      <c r="F790" s="177"/>
      <c r="G790" s="177"/>
      <c r="H790" s="177"/>
    </row>
    <row r="791" spans="1:9" s="134" customFormat="1" x14ac:dyDescent="0.2">
      <c r="A791" s="206"/>
      <c r="B791" s="195" t="s">
        <v>16</v>
      </c>
      <c r="C791" s="193"/>
      <c r="D791" s="210"/>
      <c r="E791" s="194"/>
      <c r="F791" s="177"/>
      <c r="G791" s="177"/>
      <c r="H791" s="177"/>
    </row>
    <row r="792" spans="1:9" s="153" customFormat="1" x14ac:dyDescent="0.2">
      <c r="A792" s="206"/>
      <c r="B792" s="195"/>
      <c r="C792" s="277" t="s">
        <v>513</v>
      </c>
      <c r="D792" s="277"/>
      <c r="E792" s="277"/>
      <c r="F792" s="177"/>
      <c r="G792" s="177"/>
      <c r="H792" s="177"/>
      <c r="I792" s="134"/>
    </row>
    <row r="793" spans="1:9" s="134" customFormat="1" ht="13.5" thickBot="1" x14ac:dyDescent="0.25">
      <c r="A793" s="206"/>
      <c r="B793" s="195" t="s">
        <v>17</v>
      </c>
      <c r="C793" s="193"/>
      <c r="D793" s="210"/>
      <c r="E793" s="194"/>
      <c r="F793" s="177"/>
      <c r="G793" s="177"/>
      <c r="H793" s="177"/>
    </row>
    <row r="794" spans="1:9" s="134" customFormat="1" ht="13.5" thickBot="1" x14ac:dyDescent="0.25">
      <c r="A794" s="206"/>
      <c r="B794" s="279" t="s">
        <v>413</v>
      </c>
      <c r="C794" s="280"/>
      <c r="D794" s="280"/>
      <c r="E794" s="281"/>
      <c r="F794" s="177"/>
      <c r="G794" s="177"/>
      <c r="H794" s="177"/>
    </row>
    <row r="795" spans="1:9" s="134" customFormat="1" ht="13.5" thickBot="1" x14ac:dyDescent="0.25">
      <c r="A795" s="206"/>
      <c r="B795" s="279" t="s">
        <v>311</v>
      </c>
      <c r="C795" s="281"/>
      <c r="D795" s="196" t="s">
        <v>11</v>
      </c>
      <c r="E795" s="196" t="s">
        <v>138</v>
      </c>
      <c r="F795" s="177"/>
      <c r="G795" s="177"/>
      <c r="H795" s="177"/>
    </row>
    <row r="796" spans="1:9" s="134" customFormat="1" x14ac:dyDescent="0.2">
      <c r="A796" s="206"/>
      <c r="B796" s="282" t="s">
        <v>381</v>
      </c>
      <c r="C796" s="282"/>
      <c r="D796" s="197">
        <v>64</v>
      </c>
      <c r="E796" s="198" t="s">
        <v>382</v>
      </c>
      <c r="F796" s="177"/>
      <c r="G796" s="177"/>
      <c r="H796" s="177"/>
    </row>
    <row r="797" spans="1:9" s="134" customFormat="1" x14ac:dyDescent="0.2">
      <c r="A797" s="206"/>
      <c r="B797" s="283" t="s">
        <v>383</v>
      </c>
      <c r="C797" s="283"/>
      <c r="D797" s="199">
        <v>32</v>
      </c>
      <c r="E797" s="200" t="s">
        <v>384</v>
      </c>
      <c r="F797" s="177"/>
      <c r="G797" s="177"/>
      <c r="H797" s="177"/>
    </row>
    <row r="798" spans="1:9" s="134" customFormat="1" x14ac:dyDescent="0.2">
      <c r="A798" s="206"/>
      <c r="B798" s="283" t="s">
        <v>385</v>
      </c>
      <c r="C798" s="283"/>
      <c r="D798" s="199">
        <v>64</v>
      </c>
      <c r="E798" s="200" t="s">
        <v>388</v>
      </c>
      <c r="F798" s="177"/>
      <c r="G798" s="177"/>
      <c r="H798" s="177"/>
    </row>
    <row r="799" spans="1:9" s="134" customFormat="1" x14ac:dyDescent="0.2">
      <c r="A799" s="206"/>
      <c r="B799" s="283" t="s">
        <v>386</v>
      </c>
      <c r="C799" s="283"/>
      <c r="D799" s="199">
        <v>32</v>
      </c>
      <c r="E799" s="200" t="s">
        <v>392</v>
      </c>
      <c r="F799" s="177"/>
      <c r="G799" s="177"/>
      <c r="H799" s="177"/>
    </row>
    <row r="800" spans="1:9" s="134" customFormat="1" x14ac:dyDescent="0.2">
      <c r="A800" s="206"/>
      <c r="B800" s="283" t="s">
        <v>387</v>
      </c>
      <c r="C800" s="283"/>
      <c r="D800" s="199">
        <v>32</v>
      </c>
      <c r="E800" s="200" t="s">
        <v>389</v>
      </c>
      <c r="F800" s="177"/>
      <c r="G800" s="177"/>
      <c r="H800" s="177"/>
    </row>
    <row r="801" spans="1:9" s="134" customFormat="1" ht="13.5" thickBot="1" x14ac:dyDescent="0.25">
      <c r="A801" s="206"/>
      <c r="B801" s="284"/>
      <c r="C801" s="285"/>
      <c r="D801" s="199"/>
      <c r="E801" s="200"/>
      <c r="F801" s="177"/>
      <c r="G801" s="177"/>
      <c r="H801" s="177"/>
    </row>
    <row r="802" spans="1:9" s="134" customFormat="1" ht="27" customHeight="1" thickBot="1" x14ac:dyDescent="0.25">
      <c r="A802" s="206"/>
      <c r="B802" s="286" t="s">
        <v>417</v>
      </c>
      <c r="C802" s="287"/>
      <c r="D802" s="287"/>
      <c r="E802" s="288"/>
      <c r="F802" s="177"/>
      <c r="G802" s="177"/>
      <c r="H802" s="177"/>
    </row>
    <row r="803" spans="1:9" s="134" customFormat="1" x14ac:dyDescent="0.2">
      <c r="A803" s="206"/>
      <c r="B803" s="195" t="s">
        <v>18</v>
      </c>
      <c r="C803" s="193"/>
      <c r="D803" s="210"/>
      <c r="E803" s="194"/>
      <c r="F803" s="177"/>
      <c r="G803" s="177"/>
      <c r="H803" s="177"/>
    </row>
    <row r="804" spans="1:9" s="134" customFormat="1" x14ac:dyDescent="0.2">
      <c r="A804" s="206"/>
      <c r="B804" s="201"/>
      <c r="C804" s="277" t="s">
        <v>62</v>
      </c>
      <c r="D804" s="277"/>
      <c r="E804" s="277"/>
      <c r="F804" s="177"/>
      <c r="G804" s="177"/>
      <c r="H804" s="177"/>
    </row>
    <row r="805" spans="1:9" s="134" customFormat="1" x14ac:dyDescent="0.2">
      <c r="A805" s="206"/>
      <c r="B805" s="195" t="s">
        <v>19</v>
      </c>
      <c r="C805" s="212"/>
      <c r="D805" s="212"/>
      <c r="E805" s="202"/>
      <c r="F805" s="177"/>
      <c r="G805" s="177"/>
      <c r="H805" s="177"/>
    </row>
    <row r="806" spans="1:9" s="134" customFormat="1" x14ac:dyDescent="0.2">
      <c r="A806" s="206"/>
      <c r="B806" s="201"/>
      <c r="C806" s="277" t="s">
        <v>465</v>
      </c>
      <c r="D806" s="277"/>
      <c r="E806" s="277"/>
      <c r="F806" s="177"/>
      <c r="G806" s="177"/>
      <c r="H806" s="177"/>
    </row>
    <row r="807" spans="1:9" s="134" customFormat="1" x14ac:dyDescent="0.2">
      <c r="A807" s="206"/>
      <c r="B807" s="195" t="s">
        <v>20</v>
      </c>
      <c r="C807" s="193"/>
      <c r="D807" s="210"/>
      <c r="E807" s="194"/>
      <c r="F807" s="177"/>
      <c r="G807" s="177"/>
      <c r="H807" s="177"/>
    </row>
    <row r="808" spans="1:9" s="134" customFormat="1" x14ac:dyDescent="0.2">
      <c r="A808" s="206"/>
      <c r="B808" s="195"/>
      <c r="C808" s="278" t="s">
        <v>63</v>
      </c>
      <c r="D808" s="278"/>
      <c r="E808" s="278"/>
      <c r="F808" s="177"/>
      <c r="G808" s="177"/>
      <c r="H808" s="177"/>
    </row>
    <row r="809" spans="1:9" s="134" customFormat="1" ht="13.5" thickBot="1" x14ac:dyDescent="0.25">
      <c r="A809" s="206"/>
      <c r="B809" s="203"/>
      <c r="C809" s="174"/>
      <c r="D809" s="204"/>
      <c r="E809" s="205"/>
      <c r="F809" s="177"/>
      <c r="G809" s="177"/>
      <c r="H809" s="177"/>
    </row>
    <row r="810" spans="1:9" s="134" customFormat="1" x14ac:dyDescent="0.2">
      <c r="A810" s="206"/>
      <c r="B810" s="211"/>
      <c r="C810" s="193"/>
      <c r="D810" s="210"/>
      <c r="E810" s="193"/>
      <c r="F810" s="177"/>
      <c r="G810" s="177"/>
      <c r="H810" s="177"/>
    </row>
    <row r="811" spans="1:9" s="134" customFormat="1" ht="13.5" thickBot="1" x14ac:dyDescent="0.25">
      <c r="A811" s="206"/>
      <c r="B811" s="177"/>
      <c r="C811" s="177"/>
      <c r="D811" s="206"/>
      <c r="E811" s="177"/>
      <c r="F811" s="177"/>
      <c r="G811" s="177"/>
      <c r="H811" s="177"/>
    </row>
    <row r="812" spans="1:9" s="134" customFormat="1" x14ac:dyDescent="0.2">
      <c r="A812" s="206"/>
      <c r="B812" s="189" t="s">
        <v>300</v>
      </c>
      <c r="C812" s="190"/>
      <c r="D812" s="209"/>
      <c r="E812" s="191"/>
      <c r="F812" s="177"/>
      <c r="G812" s="177"/>
      <c r="H812" s="177"/>
    </row>
    <row r="813" spans="1:9" s="134" customFormat="1" x14ac:dyDescent="0.2">
      <c r="A813" s="206"/>
      <c r="B813" s="192"/>
      <c r="C813" s="193"/>
      <c r="D813" s="210"/>
      <c r="E813" s="194"/>
      <c r="F813" s="177"/>
      <c r="G813" s="177"/>
      <c r="H813" s="177"/>
    </row>
    <row r="814" spans="1:9" s="134" customFormat="1" x14ac:dyDescent="0.2">
      <c r="A814" s="206"/>
      <c r="B814" s="195" t="s">
        <v>16</v>
      </c>
      <c r="C814" s="193"/>
      <c r="D814" s="210"/>
      <c r="E814" s="194"/>
      <c r="F814" s="177"/>
      <c r="G814" s="177"/>
      <c r="H814" s="177"/>
    </row>
    <row r="815" spans="1:9" s="153" customFormat="1" x14ac:dyDescent="0.2">
      <c r="A815" s="206"/>
      <c r="B815" s="195"/>
      <c r="C815" s="277" t="s">
        <v>518</v>
      </c>
      <c r="D815" s="277"/>
      <c r="E815" s="277"/>
      <c r="F815" s="177"/>
      <c r="G815" s="177"/>
      <c r="H815" s="177"/>
      <c r="I815" s="134"/>
    </row>
    <row r="816" spans="1:9" s="134" customFormat="1" ht="13.5" thickBot="1" x14ac:dyDescent="0.25">
      <c r="A816" s="206"/>
      <c r="B816" s="195" t="s">
        <v>17</v>
      </c>
      <c r="C816" s="193"/>
      <c r="D816" s="210"/>
      <c r="E816" s="194"/>
      <c r="F816" s="177"/>
      <c r="G816" s="177"/>
      <c r="H816" s="177"/>
    </row>
    <row r="817" spans="1:8" s="134" customFormat="1" ht="13.5" thickBot="1" x14ac:dyDescent="0.25">
      <c r="A817" s="206"/>
      <c r="B817" s="279" t="s">
        <v>413</v>
      </c>
      <c r="C817" s="280"/>
      <c r="D817" s="280"/>
      <c r="E817" s="281"/>
      <c r="F817" s="177"/>
      <c r="G817" s="177"/>
      <c r="H817" s="177"/>
    </row>
    <row r="818" spans="1:8" s="134" customFormat="1" ht="13.5" thickBot="1" x14ac:dyDescent="0.25">
      <c r="A818" s="206"/>
      <c r="B818" s="279" t="s">
        <v>311</v>
      </c>
      <c r="C818" s="281"/>
      <c r="D818" s="196" t="s">
        <v>11</v>
      </c>
      <c r="E818" s="196" t="s">
        <v>138</v>
      </c>
      <c r="F818" s="177"/>
      <c r="G818" s="177"/>
      <c r="H818" s="177"/>
    </row>
    <row r="819" spans="1:8" s="134" customFormat="1" x14ac:dyDescent="0.2">
      <c r="A819" s="206"/>
      <c r="B819" s="282" t="s">
        <v>381</v>
      </c>
      <c r="C819" s="282"/>
      <c r="D819" s="197">
        <v>40</v>
      </c>
      <c r="E819" s="198" t="s">
        <v>382</v>
      </c>
      <c r="F819" s="177"/>
      <c r="G819" s="177"/>
      <c r="H819" s="177"/>
    </row>
    <row r="820" spans="1:8" s="134" customFormat="1" x14ac:dyDescent="0.2">
      <c r="A820" s="206"/>
      <c r="B820" s="283" t="s">
        <v>383</v>
      </c>
      <c r="C820" s="283"/>
      <c r="D820" s="199">
        <v>20</v>
      </c>
      <c r="E820" s="200" t="s">
        <v>384</v>
      </c>
      <c r="F820" s="177"/>
      <c r="G820" s="177"/>
      <c r="H820" s="177"/>
    </row>
    <row r="821" spans="1:8" s="134" customFormat="1" x14ac:dyDescent="0.2">
      <c r="A821" s="206"/>
      <c r="B821" s="283" t="s">
        <v>385</v>
      </c>
      <c r="C821" s="283"/>
      <c r="D821" s="199">
        <v>40</v>
      </c>
      <c r="E821" s="200" t="s">
        <v>388</v>
      </c>
      <c r="F821" s="177"/>
      <c r="G821" s="177"/>
      <c r="H821" s="177"/>
    </row>
    <row r="822" spans="1:8" s="134" customFormat="1" x14ac:dyDescent="0.2">
      <c r="A822" s="206"/>
      <c r="B822" s="283" t="s">
        <v>386</v>
      </c>
      <c r="C822" s="283"/>
      <c r="D822" s="199">
        <v>20</v>
      </c>
      <c r="E822" s="200" t="s">
        <v>392</v>
      </c>
      <c r="F822" s="177"/>
      <c r="G822" s="177"/>
      <c r="H822" s="177"/>
    </row>
    <row r="823" spans="1:8" s="134" customFormat="1" x14ac:dyDescent="0.2">
      <c r="A823" s="206"/>
      <c r="B823" s="283" t="s">
        <v>387</v>
      </c>
      <c r="C823" s="283"/>
      <c r="D823" s="199">
        <v>20</v>
      </c>
      <c r="E823" s="200" t="s">
        <v>389</v>
      </c>
      <c r="F823" s="177"/>
      <c r="G823" s="177"/>
      <c r="H823" s="177"/>
    </row>
    <row r="824" spans="1:8" s="134" customFormat="1" ht="13.5" thickBot="1" x14ac:dyDescent="0.25">
      <c r="A824" s="206"/>
      <c r="B824" s="284"/>
      <c r="C824" s="285"/>
      <c r="D824" s="199"/>
      <c r="E824" s="200"/>
      <c r="F824" s="177"/>
      <c r="G824" s="177"/>
      <c r="H824" s="177"/>
    </row>
    <row r="825" spans="1:8" s="134" customFormat="1" ht="27" customHeight="1" thickBot="1" x14ac:dyDescent="0.25">
      <c r="A825" s="206"/>
      <c r="B825" s="286" t="s">
        <v>420</v>
      </c>
      <c r="C825" s="287"/>
      <c r="D825" s="287"/>
      <c r="E825" s="288"/>
      <c r="F825" s="177"/>
      <c r="G825" s="177"/>
      <c r="H825" s="177"/>
    </row>
    <row r="826" spans="1:8" s="134" customFormat="1" x14ac:dyDescent="0.2">
      <c r="A826" s="206"/>
      <c r="B826" s="195" t="s">
        <v>18</v>
      </c>
      <c r="C826" s="193"/>
      <c r="D826" s="210"/>
      <c r="E826" s="194"/>
      <c r="F826" s="177"/>
      <c r="G826" s="177"/>
      <c r="H826" s="177"/>
    </row>
    <row r="827" spans="1:8" s="134" customFormat="1" x14ac:dyDescent="0.2">
      <c r="A827" s="206"/>
      <c r="B827" s="201"/>
      <c r="C827" s="277" t="s">
        <v>62</v>
      </c>
      <c r="D827" s="277"/>
      <c r="E827" s="277"/>
      <c r="F827" s="177"/>
      <c r="G827" s="177"/>
      <c r="H827" s="177"/>
    </row>
    <row r="828" spans="1:8" s="134" customFormat="1" x14ac:dyDescent="0.2">
      <c r="A828" s="206"/>
      <c r="B828" s="195" t="s">
        <v>19</v>
      </c>
      <c r="C828" s="212"/>
      <c r="D828" s="212"/>
      <c r="E828" s="202"/>
      <c r="F828" s="177"/>
      <c r="G828" s="177"/>
      <c r="H828" s="177"/>
    </row>
    <row r="829" spans="1:8" s="134" customFormat="1" x14ac:dyDescent="0.2">
      <c r="A829" s="206"/>
      <c r="B829" s="201"/>
      <c r="C829" s="277" t="s">
        <v>489</v>
      </c>
      <c r="D829" s="277"/>
      <c r="E829" s="277"/>
      <c r="F829" s="177"/>
      <c r="G829" s="177"/>
      <c r="H829" s="177"/>
    </row>
    <row r="830" spans="1:8" s="134" customFormat="1" x14ac:dyDescent="0.2">
      <c r="A830" s="206"/>
      <c r="B830" s="195" t="s">
        <v>20</v>
      </c>
      <c r="C830" s="193"/>
      <c r="D830" s="210"/>
      <c r="E830" s="194"/>
      <c r="F830" s="177"/>
      <c r="G830" s="177"/>
      <c r="H830" s="177"/>
    </row>
    <row r="831" spans="1:8" s="134" customFormat="1" x14ac:dyDescent="0.2">
      <c r="A831" s="206"/>
      <c r="B831" s="195"/>
      <c r="C831" s="278" t="s">
        <v>63</v>
      </c>
      <c r="D831" s="278"/>
      <c r="E831" s="278"/>
      <c r="F831" s="177"/>
      <c r="G831" s="177"/>
      <c r="H831" s="177"/>
    </row>
    <row r="832" spans="1:8" s="134" customFormat="1" ht="13.5" thickBot="1" x14ac:dyDescent="0.25">
      <c r="A832" s="206"/>
      <c r="B832" s="203"/>
      <c r="C832" s="174"/>
      <c r="D832" s="204"/>
      <c r="E832" s="205"/>
      <c r="F832" s="177"/>
      <c r="G832" s="177"/>
      <c r="H832" s="177"/>
    </row>
    <row r="833" spans="1:9" s="134" customFormat="1" x14ac:dyDescent="0.2">
      <c r="A833" s="206"/>
      <c r="B833" s="211"/>
      <c r="C833" s="193"/>
      <c r="D833" s="210"/>
      <c r="E833" s="193"/>
      <c r="F833" s="177"/>
      <c r="G833" s="177"/>
      <c r="H833" s="177"/>
    </row>
    <row r="834" spans="1:9" s="134" customFormat="1" ht="13.5" thickBot="1" x14ac:dyDescent="0.25">
      <c r="A834" s="206"/>
      <c r="B834" s="177"/>
      <c r="C834" s="177"/>
      <c r="D834" s="206"/>
      <c r="E834" s="177"/>
      <c r="F834" s="177"/>
      <c r="G834" s="177"/>
      <c r="H834" s="177"/>
    </row>
    <row r="835" spans="1:9" s="134" customFormat="1" x14ac:dyDescent="0.2">
      <c r="A835" s="206"/>
      <c r="B835" s="189" t="s">
        <v>301</v>
      </c>
      <c r="C835" s="190"/>
      <c r="D835" s="209"/>
      <c r="E835" s="191"/>
      <c r="F835" s="177"/>
      <c r="G835" s="177"/>
      <c r="H835" s="177"/>
    </row>
    <row r="836" spans="1:9" s="134" customFormat="1" x14ac:dyDescent="0.2">
      <c r="A836" s="206"/>
      <c r="B836" s="192"/>
      <c r="C836" s="193"/>
      <c r="D836" s="210"/>
      <c r="E836" s="194"/>
      <c r="F836" s="177"/>
      <c r="G836" s="177"/>
      <c r="H836" s="177"/>
    </row>
    <row r="837" spans="1:9" s="134" customFormat="1" x14ac:dyDescent="0.2">
      <c r="A837" s="206"/>
      <c r="B837" s="195" t="s">
        <v>16</v>
      </c>
      <c r="C837" s="193"/>
      <c r="D837" s="210"/>
      <c r="E837" s="194"/>
      <c r="F837" s="177"/>
      <c r="G837" s="177"/>
      <c r="H837" s="177"/>
    </row>
    <row r="838" spans="1:9" s="153" customFormat="1" x14ac:dyDescent="0.2">
      <c r="A838" s="206"/>
      <c r="B838" s="195"/>
      <c r="C838" s="304" t="s">
        <v>520</v>
      </c>
      <c r="D838" s="304"/>
      <c r="E838" s="305"/>
      <c r="F838" s="177"/>
      <c r="G838" s="177"/>
      <c r="H838" s="177"/>
      <c r="I838" s="134"/>
    </row>
    <row r="839" spans="1:9" s="134" customFormat="1" ht="13.5" thickBot="1" x14ac:dyDescent="0.25">
      <c r="A839" s="206"/>
      <c r="B839" s="195" t="s">
        <v>17</v>
      </c>
      <c r="C839" s="193"/>
      <c r="D839" s="210"/>
      <c r="E839" s="194"/>
      <c r="F839" s="177"/>
      <c r="G839" s="177"/>
      <c r="H839" s="177"/>
    </row>
    <row r="840" spans="1:9" s="134" customFormat="1" ht="13.5" thickBot="1" x14ac:dyDescent="0.25">
      <c r="A840" s="206"/>
      <c r="B840" s="279" t="s">
        <v>413</v>
      </c>
      <c r="C840" s="280"/>
      <c r="D840" s="280"/>
      <c r="E840" s="281"/>
      <c r="F840" s="177"/>
      <c r="G840" s="177"/>
      <c r="H840" s="177"/>
    </row>
    <row r="841" spans="1:9" s="134" customFormat="1" ht="13.5" thickBot="1" x14ac:dyDescent="0.25">
      <c r="A841" s="206"/>
      <c r="B841" s="279" t="s">
        <v>311</v>
      </c>
      <c r="C841" s="281"/>
      <c r="D841" s="196" t="s">
        <v>11</v>
      </c>
      <c r="E841" s="207" t="s">
        <v>508</v>
      </c>
      <c r="F841" s="177"/>
      <c r="G841" s="177"/>
      <c r="H841" s="177"/>
    </row>
    <row r="842" spans="1:9" s="134" customFormat="1" x14ac:dyDescent="0.2">
      <c r="A842" s="206"/>
      <c r="B842" s="282" t="s">
        <v>381</v>
      </c>
      <c r="C842" s="282"/>
      <c r="D842" s="197">
        <v>40</v>
      </c>
      <c r="E842" s="198" t="s">
        <v>382</v>
      </c>
      <c r="F842" s="177"/>
      <c r="G842" s="177"/>
      <c r="H842" s="177"/>
    </row>
    <row r="843" spans="1:9" s="134" customFormat="1" x14ac:dyDescent="0.2">
      <c r="A843" s="206"/>
      <c r="B843" s="283" t="s">
        <v>383</v>
      </c>
      <c r="C843" s="283"/>
      <c r="D843" s="199">
        <v>20</v>
      </c>
      <c r="E843" s="200" t="s">
        <v>384</v>
      </c>
      <c r="F843" s="177"/>
      <c r="G843" s="177"/>
      <c r="H843" s="177"/>
    </row>
    <row r="844" spans="1:9" s="134" customFormat="1" x14ac:dyDescent="0.2">
      <c r="A844" s="206"/>
      <c r="B844" s="283" t="s">
        <v>385</v>
      </c>
      <c r="C844" s="283"/>
      <c r="D844" s="199">
        <v>40</v>
      </c>
      <c r="E844" s="200" t="s">
        <v>388</v>
      </c>
      <c r="F844" s="177"/>
      <c r="G844" s="177"/>
      <c r="H844" s="177"/>
    </row>
    <row r="845" spans="1:9" s="134" customFormat="1" x14ac:dyDescent="0.2">
      <c r="A845" s="206"/>
      <c r="B845" s="283" t="s">
        <v>386</v>
      </c>
      <c r="C845" s="283"/>
      <c r="D845" s="199">
        <v>20</v>
      </c>
      <c r="E845" s="200" t="s">
        <v>392</v>
      </c>
      <c r="F845" s="177"/>
      <c r="G845" s="177"/>
      <c r="H845" s="177"/>
    </row>
    <row r="846" spans="1:9" s="134" customFormat="1" x14ac:dyDescent="0.2">
      <c r="A846" s="206"/>
      <c r="B846" s="283" t="s">
        <v>387</v>
      </c>
      <c r="C846" s="283"/>
      <c r="D846" s="199">
        <v>20</v>
      </c>
      <c r="E846" s="200" t="s">
        <v>389</v>
      </c>
      <c r="F846" s="177"/>
      <c r="G846" s="177"/>
      <c r="H846" s="177"/>
    </row>
    <row r="847" spans="1:9" s="134" customFormat="1" ht="13.5" thickBot="1" x14ac:dyDescent="0.25">
      <c r="A847" s="206"/>
      <c r="B847" s="284"/>
      <c r="C847" s="285"/>
      <c r="D847" s="199"/>
      <c r="E847" s="200"/>
      <c r="F847" s="177"/>
      <c r="G847" s="177"/>
      <c r="H847" s="177"/>
    </row>
    <row r="848" spans="1:9" s="134" customFormat="1" ht="27" customHeight="1" thickBot="1" x14ac:dyDescent="0.25">
      <c r="A848" s="206"/>
      <c r="B848" s="286" t="s">
        <v>420</v>
      </c>
      <c r="C848" s="287"/>
      <c r="D848" s="287"/>
      <c r="E848" s="288"/>
      <c r="F848" s="177"/>
      <c r="G848" s="177"/>
      <c r="H848" s="177"/>
    </row>
    <row r="849" spans="1:9" s="134" customFormat="1" x14ac:dyDescent="0.2">
      <c r="A849" s="206"/>
      <c r="B849" s="195" t="s">
        <v>18</v>
      </c>
      <c r="C849" s="193"/>
      <c r="D849" s="210"/>
      <c r="E849" s="194"/>
      <c r="F849" s="177"/>
      <c r="G849" s="177"/>
      <c r="H849" s="177"/>
    </row>
    <row r="850" spans="1:9" s="134" customFormat="1" x14ac:dyDescent="0.2">
      <c r="A850" s="206"/>
      <c r="B850" s="201"/>
      <c r="C850" s="277" t="s">
        <v>62</v>
      </c>
      <c r="D850" s="277"/>
      <c r="E850" s="277"/>
      <c r="F850" s="177"/>
      <c r="G850" s="177"/>
      <c r="H850" s="177"/>
    </row>
    <row r="851" spans="1:9" s="134" customFormat="1" x14ac:dyDescent="0.2">
      <c r="A851" s="206"/>
      <c r="B851" s="195" t="s">
        <v>19</v>
      </c>
      <c r="C851" s="212"/>
      <c r="D851" s="212"/>
      <c r="E851" s="202"/>
      <c r="F851" s="177"/>
      <c r="G851" s="177"/>
      <c r="H851" s="177"/>
    </row>
    <row r="852" spans="1:9" s="134" customFormat="1" x14ac:dyDescent="0.2">
      <c r="A852" s="206"/>
      <c r="B852" s="201"/>
      <c r="C852" s="277" t="s">
        <v>465</v>
      </c>
      <c r="D852" s="277"/>
      <c r="E852" s="277"/>
      <c r="F852" s="177"/>
      <c r="G852" s="177"/>
      <c r="H852" s="177"/>
    </row>
    <row r="853" spans="1:9" s="134" customFormat="1" x14ac:dyDescent="0.2">
      <c r="A853" s="206"/>
      <c r="B853" s="195" t="s">
        <v>20</v>
      </c>
      <c r="C853" s="193"/>
      <c r="D853" s="210"/>
      <c r="E853" s="194"/>
      <c r="F853" s="177"/>
      <c r="G853" s="177"/>
      <c r="H853" s="177"/>
    </row>
    <row r="854" spans="1:9" s="134" customFormat="1" x14ac:dyDescent="0.2">
      <c r="A854" s="206"/>
      <c r="B854" s="195"/>
      <c r="C854" s="278" t="s">
        <v>63</v>
      </c>
      <c r="D854" s="278"/>
      <c r="E854" s="278"/>
      <c r="F854" s="177"/>
      <c r="G854" s="177"/>
      <c r="H854" s="177"/>
    </row>
    <row r="855" spans="1:9" s="134" customFormat="1" ht="13.5" thickBot="1" x14ac:dyDescent="0.25">
      <c r="A855" s="206"/>
      <c r="B855" s="203"/>
      <c r="C855" s="174"/>
      <c r="D855" s="204"/>
      <c r="E855" s="205"/>
      <c r="F855" s="177"/>
      <c r="G855" s="177"/>
      <c r="H855" s="177"/>
    </row>
    <row r="856" spans="1:9" s="134" customFormat="1" x14ac:dyDescent="0.2">
      <c r="A856" s="206"/>
      <c r="B856" s="177"/>
      <c r="C856" s="177"/>
      <c r="D856" s="206"/>
      <c r="E856" s="177"/>
      <c r="F856" s="177"/>
      <c r="G856" s="177"/>
      <c r="H856" s="177"/>
    </row>
    <row r="857" spans="1:9" s="134" customFormat="1" ht="13.5" thickBot="1" x14ac:dyDescent="0.25">
      <c r="A857" s="206"/>
      <c r="B857" s="177"/>
      <c r="C857" s="177"/>
      <c r="D857" s="206"/>
      <c r="E857" s="177"/>
      <c r="F857" s="177"/>
      <c r="G857" s="177"/>
      <c r="H857" s="177"/>
    </row>
    <row r="858" spans="1:9" s="134" customFormat="1" x14ac:dyDescent="0.2">
      <c r="A858" s="206"/>
      <c r="B858" s="189" t="s">
        <v>393</v>
      </c>
      <c r="C858" s="190"/>
      <c r="D858" s="209"/>
      <c r="E858" s="191"/>
      <c r="F858" s="177"/>
      <c r="G858" s="177"/>
      <c r="H858" s="177"/>
    </row>
    <row r="859" spans="1:9" s="134" customFormat="1" x14ac:dyDescent="0.2">
      <c r="A859" s="206"/>
      <c r="B859" s="192"/>
      <c r="C859" s="193"/>
      <c r="D859" s="210"/>
      <c r="E859" s="194"/>
      <c r="F859" s="177"/>
      <c r="G859" s="177"/>
      <c r="H859" s="177"/>
    </row>
    <row r="860" spans="1:9" s="134" customFormat="1" x14ac:dyDescent="0.2">
      <c r="A860" s="206"/>
      <c r="B860" s="195" t="s">
        <v>16</v>
      </c>
      <c r="C860" s="193"/>
      <c r="D860" s="210"/>
      <c r="E860" s="194"/>
      <c r="F860" s="177"/>
      <c r="G860" s="177"/>
      <c r="H860" s="177"/>
    </row>
    <row r="861" spans="1:9" s="153" customFormat="1" x14ac:dyDescent="0.2">
      <c r="A861" s="206"/>
      <c r="B861" s="195"/>
      <c r="C861" s="277" t="s">
        <v>524</v>
      </c>
      <c r="D861" s="277"/>
      <c r="E861" s="277"/>
      <c r="F861" s="177"/>
      <c r="G861" s="177"/>
      <c r="H861" s="177"/>
      <c r="I861" s="134"/>
    </row>
    <row r="862" spans="1:9" s="134" customFormat="1" ht="13.5" thickBot="1" x14ac:dyDescent="0.25">
      <c r="A862" s="206"/>
      <c r="B862" s="195" t="s">
        <v>17</v>
      </c>
      <c r="C862" s="193"/>
      <c r="D862" s="210"/>
      <c r="E862" s="194"/>
      <c r="F862" s="177"/>
      <c r="G862" s="177"/>
      <c r="H862" s="177"/>
    </row>
    <row r="863" spans="1:9" s="134" customFormat="1" ht="13.5" thickBot="1" x14ac:dyDescent="0.25">
      <c r="A863" s="206"/>
      <c r="B863" s="279" t="s">
        <v>413</v>
      </c>
      <c r="C863" s="280"/>
      <c r="D863" s="280"/>
      <c r="E863" s="281"/>
      <c r="F863" s="177"/>
      <c r="G863" s="177"/>
      <c r="H863" s="177"/>
    </row>
    <row r="864" spans="1:9" s="134" customFormat="1" ht="13.5" thickBot="1" x14ac:dyDescent="0.25">
      <c r="A864" s="206"/>
      <c r="B864" s="279" t="s">
        <v>311</v>
      </c>
      <c r="C864" s="281"/>
      <c r="D864" s="196" t="s">
        <v>11</v>
      </c>
      <c r="E864" s="207" t="s">
        <v>519</v>
      </c>
      <c r="F864" s="177"/>
      <c r="G864" s="177"/>
      <c r="H864" s="177"/>
    </row>
    <row r="865" spans="1:8" s="134" customFormat="1" x14ac:dyDescent="0.2">
      <c r="A865" s="206"/>
      <c r="B865" s="282" t="s">
        <v>381</v>
      </c>
      <c r="C865" s="282"/>
      <c r="D865" s="197">
        <v>96</v>
      </c>
      <c r="E865" s="198" t="s">
        <v>382</v>
      </c>
      <c r="F865" s="177"/>
      <c r="G865" s="177"/>
      <c r="H865" s="177"/>
    </row>
    <row r="866" spans="1:8" s="134" customFormat="1" x14ac:dyDescent="0.2">
      <c r="A866" s="206"/>
      <c r="B866" s="283" t="s">
        <v>383</v>
      </c>
      <c r="C866" s="283"/>
      <c r="D866" s="199">
        <v>48</v>
      </c>
      <c r="E866" s="200" t="s">
        <v>384</v>
      </c>
      <c r="F866" s="177"/>
      <c r="G866" s="177"/>
      <c r="H866" s="177"/>
    </row>
    <row r="867" spans="1:8" s="134" customFormat="1" x14ac:dyDescent="0.2">
      <c r="A867" s="206"/>
      <c r="B867" s="283" t="s">
        <v>385</v>
      </c>
      <c r="C867" s="283"/>
      <c r="D867" s="199">
        <v>96</v>
      </c>
      <c r="E867" s="200" t="s">
        <v>388</v>
      </c>
      <c r="F867" s="177"/>
      <c r="G867" s="177"/>
      <c r="H867" s="177"/>
    </row>
    <row r="868" spans="1:8" s="134" customFormat="1" x14ac:dyDescent="0.2">
      <c r="A868" s="206"/>
      <c r="B868" s="283" t="s">
        <v>386</v>
      </c>
      <c r="C868" s="283"/>
      <c r="D868" s="199">
        <v>48</v>
      </c>
      <c r="E868" s="200" t="s">
        <v>392</v>
      </c>
      <c r="F868" s="177"/>
      <c r="G868" s="177"/>
      <c r="H868" s="177"/>
    </row>
    <row r="869" spans="1:8" s="134" customFormat="1" x14ac:dyDescent="0.2">
      <c r="A869" s="206"/>
      <c r="B869" s="283" t="s">
        <v>387</v>
      </c>
      <c r="C869" s="283"/>
      <c r="D869" s="199">
        <v>48</v>
      </c>
      <c r="E869" s="200" t="s">
        <v>389</v>
      </c>
      <c r="F869" s="177"/>
      <c r="G869" s="177"/>
      <c r="H869" s="177"/>
    </row>
    <row r="870" spans="1:8" s="134" customFormat="1" ht="13.5" thickBot="1" x14ac:dyDescent="0.25">
      <c r="A870" s="206"/>
      <c r="B870" s="284"/>
      <c r="C870" s="285"/>
      <c r="D870" s="199"/>
      <c r="E870" s="200"/>
      <c r="F870" s="177"/>
      <c r="G870" s="177"/>
      <c r="H870" s="177"/>
    </row>
    <row r="871" spans="1:8" s="134" customFormat="1" ht="13.5" customHeight="1" thickBot="1" x14ac:dyDescent="0.25">
      <c r="A871" s="206"/>
      <c r="B871" s="286" t="s">
        <v>421</v>
      </c>
      <c r="C871" s="287"/>
      <c r="D871" s="287"/>
      <c r="E871" s="288"/>
      <c r="F871" s="177"/>
      <c r="G871" s="177"/>
      <c r="H871" s="177"/>
    </row>
    <row r="872" spans="1:8" s="134" customFormat="1" x14ac:dyDescent="0.2">
      <c r="A872" s="206"/>
      <c r="B872" s="195" t="s">
        <v>18</v>
      </c>
      <c r="C872" s="193"/>
      <c r="D872" s="210"/>
      <c r="E872" s="194"/>
      <c r="F872" s="177"/>
      <c r="G872" s="177"/>
      <c r="H872" s="177"/>
    </row>
    <row r="873" spans="1:8" s="134" customFormat="1" x14ac:dyDescent="0.2">
      <c r="A873" s="206"/>
      <c r="B873" s="201"/>
      <c r="C873" s="277" t="s">
        <v>62</v>
      </c>
      <c r="D873" s="277"/>
      <c r="E873" s="277"/>
      <c r="F873" s="177"/>
      <c r="G873" s="177"/>
      <c r="H873" s="177"/>
    </row>
    <row r="874" spans="1:8" s="134" customFormat="1" x14ac:dyDescent="0.2">
      <c r="A874" s="206"/>
      <c r="B874" s="195" t="s">
        <v>19</v>
      </c>
      <c r="C874" s="212"/>
      <c r="D874" s="212"/>
      <c r="E874" s="202"/>
      <c r="F874" s="177"/>
      <c r="G874" s="177"/>
      <c r="H874" s="177"/>
    </row>
    <row r="875" spans="1:8" s="134" customFormat="1" x14ac:dyDescent="0.2">
      <c r="A875" s="206"/>
      <c r="B875" s="201"/>
      <c r="C875" s="277" t="s">
        <v>465</v>
      </c>
      <c r="D875" s="277"/>
      <c r="E875" s="277"/>
      <c r="F875" s="177"/>
      <c r="G875" s="177"/>
      <c r="H875" s="177"/>
    </row>
    <row r="876" spans="1:8" s="134" customFormat="1" x14ac:dyDescent="0.2">
      <c r="A876" s="206"/>
      <c r="B876" s="195" t="s">
        <v>20</v>
      </c>
      <c r="C876" s="193"/>
      <c r="D876" s="210"/>
      <c r="E876" s="194"/>
      <c r="F876" s="177"/>
      <c r="G876" s="177"/>
      <c r="H876" s="177"/>
    </row>
    <row r="877" spans="1:8" s="134" customFormat="1" x14ac:dyDescent="0.2">
      <c r="A877" s="206"/>
      <c r="B877" s="195"/>
      <c r="C877" s="278" t="s">
        <v>63</v>
      </c>
      <c r="D877" s="278"/>
      <c r="E877" s="278"/>
      <c r="F877" s="177"/>
      <c r="G877" s="177"/>
      <c r="H877" s="177"/>
    </row>
    <row r="878" spans="1:8" s="134" customFormat="1" ht="13.5" thickBot="1" x14ac:dyDescent="0.25">
      <c r="A878" s="206"/>
      <c r="B878" s="203"/>
      <c r="C878" s="174"/>
      <c r="D878" s="204"/>
      <c r="E878" s="205"/>
      <c r="F878" s="177"/>
      <c r="G878" s="177"/>
      <c r="H878" s="177"/>
    </row>
    <row r="879" spans="1:8" s="134" customFormat="1" x14ac:dyDescent="0.2">
      <c r="A879" s="206"/>
      <c r="B879" s="177"/>
      <c r="C879" s="177"/>
      <c r="D879" s="206"/>
      <c r="E879" s="177"/>
      <c r="F879" s="177"/>
      <c r="G879" s="177"/>
      <c r="H879" s="177"/>
    </row>
    <row r="880" spans="1:8" s="134" customFormat="1" ht="13.5" thickBot="1" x14ac:dyDescent="0.25">
      <c r="A880" s="206"/>
      <c r="B880" s="177"/>
      <c r="C880" s="177"/>
      <c r="D880" s="206"/>
      <c r="E880" s="177"/>
      <c r="F880" s="177"/>
      <c r="G880" s="177"/>
      <c r="H880" s="177"/>
    </row>
    <row r="881" spans="1:9" s="134" customFormat="1" x14ac:dyDescent="0.2">
      <c r="A881" s="206"/>
      <c r="B881" s="189" t="s">
        <v>394</v>
      </c>
      <c r="C881" s="190"/>
      <c r="D881" s="209"/>
      <c r="E881" s="191"/>
      <c r="F881" s="177"/>
      <c r="G881" s="177"/>
      <c r="H881" s="177"/>
    </row>
    <row r="882" spans="1:9" s="134" customFormat="1" x14ac:dyDescent="0.2">
      <c r="A882" s="206"/>
      <c r="B882" s="192"/>
      <c r="C882" s="193"/>
      <c r="D882" s="210"/>
      <c r="E882" s="194"/>
      <c r="F882" s="177"/>
      <c r="G882" s="177"/>
      <c r="H882" s="177"/>
    </row>
    <row r="883" spans="1:9" s="134" customFormat="1" x14ac:dyDescent="0.2">
      <c r="A883" s="206"/>
      <c r="B883" s="195" t="s">
        <v>16</v>
      </c>
      <c r="C883" s="193"/>
      <c r="D883" s="210"/>
      <c r="E883" s="194"/>
      <c r="F883" s="177"/>
      <c r="G883" s="177"/>
      <c r="H883" s="177"/>
    </row>
    <row r="884" spans="1:9" s="153" customFormat="1" x14ac:dyDescent="0.2">
      <c r="A884" s="206"/>
      <c r="B884" s="195"/>
      <c r="C884" s="277" t="s">
        <v>528</v>
      </c>
      <c r="D884" s="277"/>
      <c r="E884" s="277"/>
      <c r="F884" s="177"/>
      <c r="G884" s="177"/>
      <c r="H884" s="177"/>
      <c r="I884" s="134"/>
    </row>
    <row r="885" spans="1:9" s="134" customFormat="1" ht="13.5" thickBot="1" x14ac:dyDescent="0.25">
      <c r="A885" s="206"/>
      <c r="B885" s="195" t="s">
        <v>17</v>
      </c>
      <c r="C885" s="193"/>
      <c r="D885" s="210"/>
      <c r="E885" s="194"/>
      <c r="F885" s="177"/>
      <c r="G885" s="177"/>
      <c r="H885" s="177"/>
    </row>
    <row r="886" spans="1:9" s="134" customFormat="1" ht="13.5" thickBot="1" x14ac:dyDescent="0.25">
      <c r="A886" s="206"/>
      <c r="B886" s="279" t="s">
        <v>413</v>
      </c>
      <c r="C886" s="280"/>
      <c r="D886" s="280"/>
      <c r="E886" s="281"/>
      <c r="F886" s="177"/>
      <c r="G886" s="177"/>
      <c r="H886" s="177"/>
    </row>
    <row r="887" spans="1:9" s="134" customFormat="1" ht="13.5" thickBot="1" x14ac:dyDescent="0.25">
      <c r="A887" s="206"/>
      <c r="B887" s="279" t="s">
        <v>311</v>
      </c>
      <c r="C887" s="281"/>
      <c r="D887" s="196" t="s">
        <v>11</v>
      </c>
      <c r="E887" s="207" t="s">
        <v>475</v>
      </c>
      <c r="F887" s="177"/>
      <c r="G887" s="177"/>
      <c r="H887" s="177"/>
    </row>
    <row r="888" spans="1:9" s="134" customFormat="1" x14ac:dyDescent="0.2">
      <c r="A888" s="206"/>
      <c r="B888" s="282" t="s">
        <v>381</v>
      </c>
      <c r="C888" s="282"/>
      <c r="D888" s="197">
        <v>16</v>
      </c>
      <c r="E888" s="198" t="s">
        <v>382</v>
      </c>
      <c r="F888" s="177"/>
      <c r="G888" s="177"/>
      <c r="H888" s="177"/>
    </row>
    <row r="889" spans="1:9" s="134" customFormat="1" x14ac:dyDescent="0.2">
      <c r="A889" s="206"/>
      <c r="B889" s="283" t="s">
        <v>383</v>
      </c>
      <c r="C889" s="283"/>
      <c r="D889" s="199">
        <v>8</v>
      </c>
      <c r="E889" s="200" t="s">
        <v>384</v>
      </c>
      <c r="F889" s="177"/>
      <c r="G889" s="177"/>
      <c r="H889" s="177"/>
    </row>
    <row r="890" spans="1:9" s="134" customFormat="1" x14ac:dyDescent="0.2">
      <c r="A890" s="206"/>
      <c r="B890" s="283" t="s">
        <v>385</v>
      </c>
      <c r="C890" s="283"/>
      <c r="D890" s="199">
        <v>16</v>
      </c>
      <c r="E890" s="200" t="s">
        <v>388</v>
      </c>
      <c r="F890" s="177"/>
      <c r="G890" s="177"/>
      <c r="H890" s="177"/>
    </row>
    <row r="891" spans="1:9" s="134" customFormat="1" x14ac:dyDescent="0.2">
      <c r="A891" s="206"/>
      <c r="B891" s="283" t="s">
        <v>386</v>
      </c>
      <c r="C891" s="283"/>
      <c r="D891" s="199">
        <v>8</v>
      </c>
      <c r="E891" s="200" t="s">
        <v>392</v>
      </c>
      <c r="F891" s="177"/>
      <c r="G891" s="177"/>
      <c r="H891" s="177"/>
    </row>
    <row r="892" spans="1:9" s="134" customFormat="1" x14ac:dyDescent="0.2">
      <c r="A892" s="206"/>
      <c r="B892" s="283" t="s">
        <v>387</v>
      </c>
      <c r="C892" s="283"/>
      <c r="D892" s="199">
        <v>8</v>
      </c>
      <c r="E892" s="200" t="s">
        <v>389</v>
      </c>
      <c r="F892" s="177"/>
      <c r="G892" s="177"/>
      <c r="H892" s="177"/>
    </row>
    <row r="893" spans="1:9" s="134" customFormat="1" ht="13.5" thickBot="1" x14ac:dyDescent="0.25">
      <c r="A893" s="206"/>
      <c r="B893" s="284"/>
      <c r="C893" s="285"/>
      <c r="D893" s="199"/>
      <c r="E893" s="200"/>
      <c r="F893" s="177"/>
      <c r="G893" s="177"/>
      <c r="H893" s="177"/>
    </row>
    <row r="894" spans="1:9" s="134" customFormat="1" ht="13.5" customHeight="1" thickBot="1" x14ac:dyDescent="0.25">
      <c r="A894" s="206"/>
      <c r="B894" s="286" t="s">
        <v>422</v>
      </c>
      <c r="C894" s="287"/>
      <c r="D894" s="287"/>
      <c r="E894" s="288"/>
      <c r="F894" s="177"/>
      <c r="G894" s="177"/>
      <c r="H894" s="177"/>
    </row>
    <row r="895" spans="1:9" s="134" customFormat="1" x14ac:dyDescent="0.2">
      <c r="A895" s="206"/>
      <c r="B895" s="195" t="s">
        <v>18</v>
      </c>
      <c r="C895" s="193"/>
      <c r="D895" s="210"/>
      <c r="E895" s="194"/>
      <c r="F895" s="177"/>
      <c r="G895" s="177"/>
      <c r="H895" s="177"/>
    </row>
    <row r="896" spans="1:9" s="134" customFormat="1" x14ac:dyDescent="0.2">
      <c r="A896" s="206"/>
      <c r="B896" s="201"/>
      <c r="C896" s="277" t="s">
        <v>62</v>
      </c>
      <c r="D896" s="277"/>
      <c r="E896" s="277"/>
      <c r="F896" s="177"/>
      <c r="G896" s="177"/>
      <c r="H896" s="177"/>
    </row>
    <row r="897" spans="1:8" s="134" customFormat="1" x14ac:dyDescent="0.2">
      <c r="A897" s="206"/>
      <c r="B897" s="195" t="s">
        <v>19</v>
      </c>
      <c r="C897" s="212"/>
      <c r="D897" s="212"/>
      <c r="E897" s="202"/>
      <c r="F897" s="177"/>
      <c r="G897" s="177"/>
      <c r="H897" s="177"/>
    </row>
    <row r="898" spans="1:8" s="134" customFormat="1" x14ac:dyDescent="0.2">
      <c r="A898" s="206"/>
      <c r="B898" s="201"/>
      <c r="C898" s="277" t="s">
        <v>465</v>
      </c>
      <c r="D898" s="277"/>
      <c r="E898" s="277"/>
      <c r="F898" s="177"/>
      <c r="G898" s="177"/>
      <c r="H898" s="177"/>
    </row>
    <row r="899" spans="1:8" s="134" customFormat="1" x14ac:dyDescent="0.2">
      <c r="A899" s="206"/>
      <c r="B899" s="195" t="s">
        <v>20</v>
      </c>
      <c r="C899" s="193"/>
      <c r="D899" s="210"/>
      <c r="E899" s="194"/>
      <c r="F899" s="177"/>
      <c r="G899" s="177"/>
      <c r="H899" s="177"/>
    </row>
    <row r="900" spans="1:8" s="134" customFormat="1" x14ac:dyDescent="0.2">
      <c r="A900" s="206"/>
      <c r="B900" s="195"/>
      <c r="C900" s="278" t="s">
        <v>63</v>
      </c>
      <c r="D900" s="278"/>
      <c r="E900" s="278"/>
      <c r="F900" s="177"/>
      <c r="G900" s="177"/>
      <c r="H900" s="177"/>
    </row>
    <row r="901" spans="1:8" s="134" customFormat="1" ht="13.5" thickBot="1" x14ac:dyDescent="0.25">
      <c r="A901" s="206"/>
      <c r="B901" s="203"/>
      <c r="C901" s="174"/>
      <c r="D901" s="204"/>
      <c r="E901" s="205"/>
      <c r="F901" s="177"/>
      <c r="G901" s="177"/>
      <c r="H901" s="177"/>
    </row>
    <row r="902" spans="1:8" s="134" customFormat="1" x14ac:dyDescent="0.2">
      <c r="A902" s="206"/>
      <c r="B902" s="177"/>
      <c r="C902" s="177"/>
      <c r="D902" s="206"/>
      <c r="E902" s="177"/>
      <c r="F902" s="177"/>
      <c r="G902" s="177"/>
      <c r="H902" s="177"/>
    </row>
    <row r="903" spans="1:8" s="134" customFormat="1" ht="13.5" thickBot="1" x14ac:dyDescent="0.25">
      <c r="A903" s="206"/>
      <c r="B903" s="177"/>
      <c r="C903" s="177"/>
      <c r="D903" s="206"/>
      <c r="E903" s="177"/>
      <c r="F903" s="177"/>
      <c r="G903" s="177"/>
      <c r="H903" s="177"/>
    </row>
    <row r="904" spans="1:8" s="134" customFormat="1" x14ac:dyDescent="0.2">
      <c r="A904" s="206"/>
      <c r="B904" s="189" t="s">
        <v>395</v>
      </c>
      <c r="C904" s="190"/>
      <c r="D904" s="209"/>
      <c r="E904" s="191"/>
      <c r="F904" s="177"/>
      <c r="G904" s="177"/>
      <c r="H904" s="177"/>
    </row>
    <row r="905" spans="1:8" s="134" customFormat="1" x14ac:dyDescent="0.2">
      <c r="A905" s="206"/>
      <c r="B905" s="192"/>
      <c r="C905" s="193"/>
      <c r="D905" s="210"/>
      <c r="E905" s="194"/>
      <c r="F905" s="177"/>
      <c r="G905" s="177"/>
      <c r="H905" s="177"/>
    </row>
    <row r="906" spans="1:8" s="134" customFormat="1" x14ac:dyDescent="0.2">
      <c r="A906" s="206"/>
      <c r="B906" s="195" t="s">
        <v>16</v>
      </c>
      <c r="C906" s="193"/>
      <c r="D906" s="210"/>
      <c r="E906" s="194"/>
      <c r="F906" s="177"/>
      <c r="G906" s="177"/>
      <c r="H906" s="177"/>
    </row>
    <row r="907" spans="1:8" s="134" customFormat="1" x14ac:dyDescent="0.2">
      <c r="A907" s="206"/>
      <c r="B907" s="195"/>
      <c r="C907" s="277" t="s">
        <v>529</v>
      </c>
      <c r="D907" s="277"/>
      <c r="E907" s="277"/>
      <c r="F907" s="177"/>
      <c r="G907" s="177"/>
      <c r="H907" s="177"/>
    </row>
    <row r="908" spans="1:8" s="134" customFormat="1" ht="13.5" thickBot="1" x14ac:dyDescent="0.25">
      <c r="A908" s="206"/>
      <c r="B908" s="195" t="s">
        <v>17</v>
      </c>
      <c r="C908" s="193"/>
      <c r="D908" s="210"/>
      <c r="E908" s="194"/>
      <c r="F908" s="177"/>
      <c r="G908" s="177"/>
      <c r="H908" s="177"/>
    </row>
    <row r="909" spans="1:8" s="134" customFormat="1" ht="13.5" thickBot="1" x14ac:dyDescent="0.25">
      <c r="A909" s="206"/>
      <c r="B909" s="279" t="s">
        <v>413</v>
      </c>
      <c r="C909" s="280"/>
      <c r="D909" s="280"/>
      <c r="E909" s="281"/>
      <c r="F909" s="177"/>
      <c r="G909" s="177"/>
      <c r="H909" s="177"/>
    </row>
    <row r="910" spans="1:8" s="134" customFormat="1" ht="13.5" thickBot="1" x14ac:dyDescent="0.25">
      <c r="A910" s="206"/>
      <c r="B910" s="279" t="s">
        <v>311</v>
      </c>
      <c r="C910" s="281"/>
      <c r="D910" s="196" t="s">
        <v>11</v>
      </c>
      <c r="E910" s="196" t="s">
        <v>138</v>
      </c>
      <c r="F910" s="177"/>
      <c r="G910" s="177"/>
      <c r="H910" s="177"/>
    </row>
    <row r="911" spans="1:8" s="134" customFormat="1" x14ac:dyDescent="0.2">
      <c r="A911" s="206"/>
      <c r="B911" s="282" t="s">
        <v>381</v>
      </c>
      <c r="C911" s="282"/>
      <c r="D911" s="197">
        <v>50</v>
      </c>
      <c r="E911" s="198" t="s">
        <v>382</v>
      </c>
      <c r="F911" s="177"/>
      <c r="G911" s="177"/>
      <c r="H911" s="177"/>
    </row>
    <row r="912" spans="1:8" s="134" customFormat="1" x14ac:dyDescent="0.2">
      <c r="A912" s="206"/>
      <c r="B912" s="283" t="s">
        <v>383</v>
      </c>
      <c r="C912" s="283"/>
      <c r="D912" s="199">
        <v>30</v>
      </c>
      <c r="E912" s="200" t="s">
        <v>384</v>
      </c>
      <c r="F912" s="177"/>
      <c r="G912" s="177"/>
      <c r="H912" s="177"/>
    </row>
    <row r="913" spans="1:8" s="134" customFormat="1" x14ac:dyDescent="0.2">
      <c r="A913" s="206"/>
      <c r="B913" s="283" t="s">
        <v>385</v>
      </c>
      <c r="C913" s="283"/>
      <c r="D913" s="199">
        <v>50</v>
      </c>
      <c r="E913" s="200" t="s">
        <v>388</v>
      </c>
      <c r="F913" s="177"/>
      <c r="G913" s="177"/>
      <c r="H913" s="177"/>
    </row>
    <row r="914" spans="1:8" s="134" customFormat="1" x14ac:dyDescent="0.2">
      <c r="A914" s="206"/>
      <c r="B914" s="283" t="s">
        <v>386</v>
      </c>
      <c r="C914" s="283"/>
      <c r="D914" s="199">
        <v>30</v>
      </c>
      <c r="E914" s="200" t="s">
        <v>392</v>
      </c>
      <c r="F914" s="177"/>
      <c r="G914" s="177"/>
      <c r="H914" s="177"/>
    </row>
    <row r="915" spans="1:8" s="134" customFormat="1" x14ac:dyDescent="0.2">
      <c r="A915" s="206"/>
      <c r="B915" s="283" t="s">
        <v>387</v>
      </c>
      <c r="C915" s="283"/>
      <c r="D915" s="199">
        <v>30</v>
      </c>
      <c r="E915" s="200" t="s">
        <v>389</v>
      </c>
      <c r="F915" s="177"/>
      <c r="G915" s="177"/>
      <c r="H915" s="177"/>
    </row>
    <row r="916" spans="1:8" s="134" customFormat="1" ht="13.5" thickBot="1" x14ac:dyDescent="0.25">
      <c r="A916" s="206"/>
      <c r="B916" s="284"/>
      <c r="C916" s="285"/>
      <c r="D916" s="199">
        <f>SUM(D911:D915)</f>
        <v>190</v>
      </c>
      <c r="E916" s="200"/>
      <c r="F916" s="177"/>
      <c r="G916" s="177"/>
      <c r="H916" s="177"/>
    </row>
    <row r="917" spans="1:8" s="134" customFormat="1" ht="13.5" customHeight="1" thickBot="1" x14ac:dyDescent="0.25">
      <c r="A917" s="206"/>
      <c r="B917" s="286" t="s">
        <v>423</v>
      </c>
      <c r="C917" s="287"/>
      <c r="D917" s="287"/>
      <c r="E917" s="288"/>
      <c r="F917" s="177"/>
      <c r="G917" s="177"/>
      <c r="H917" s="177"/>
    </row>
    <row r="918" spans="1:8" s="134" customFormat="1" x14ac:dyDescent="0.2">
      <c r="A918" s="206"/>
      <c r="B918" s="195" t="s">
        <v>18</v>
      </c>
      <c r="C918" s="193"/>
      <c r="D918" s="210"/>
      <c r="E918" s="194"/>
      <c r="F918" s="177"/>
      <c r="G918" s="177"/>
      <c r="H918" s="177"/>
    </row>
    <row r="919" spans="1:8" s="134" customFormat="1" x14ac:dyDescent="0.2">
      <c r="A919" s="206"/>
      <c r="B919" s="201"/>
      <c r="C919" s="277" t="s">
        <v>62</v>
      </c>
      <c r="D919" s="277"/>
      <c r="E919" s="277"/>
      <c r="F919" s="177"/>
      <c r="G919" s="177"/>
      <c r="H919" s="177"/>
    </row>
    <row r="920" spans="1:8" s="134" customFormat="1" x14ac:dyDescent="0.2">
      <c r="A920" s="206"/>
      <c r="B920" s="195" t="s">
        <v>19</v>
      </c>
      <c r="C920" s="212"/>
      <c r="D920" s="212"/>
      <c r="E920" s="202"/>
      <c r="F920" s="177"/>
      <c r="G920" s="177"/>
      <c r="H920" s="177"/>
    </row>
    <row r="921" spans="1:8" s="134" customFormat="1" x14ac:dyDescent="0.2">
      <c r="A921" s="206"/>
      <c r="B921" s="201"/>
      <c r="C921" s="277" t="s">
        <v>465</v>
      </c>
      <c r="D921" s="277"/>
      <c r="E921" s="277"/>
      <c r="F921" s="177"/>
      <c r="G921" s="177"/>
      <c r="H921" s="177"/>
    </row>
    <row r="922" spans="1:8" s="134" customFormat="1" x14ac:dyDescent="0.2">
      <c r="A922" s="206"/>
      <c r="B922" s="195" t="s">
        <v>20</v>
      </c>
      <c r="C922" s="193"/>
      <c r="D922" s="210"/>
      <c r="E922" s="194"/>
      <c r="F922" s="177"/>
      <c r="G922" s="177"/>
      <c r="H922" s="177"/>
    </row>
    <row r="923" spans="1:8" s="134" customFormat="1" x14ac:dyDescent="0.2">
      <c r="A923" s="206"/>
      <c r="B923" s="195"/>
      <c r="C923" s="278" t="s">
        <v>63</v>
      </c>
      <c r="D923" s="278"/>
      <c r="E923" s="278"/>
      <c r="F923" s="177"/>
      <c r="G923" s="177"/>
      <c r="H923" s="177"/>
    </row>
    <row r="924" spans="1:8" s="134" customFormat="1" ht="13.5" thickBot="1" x14ac:dyDescent="0.25">
      <c r="A924" s="206"/>
      <c r="B924" s="203"/>
      <c r="C924" s="174"/>
      <c r="D924" s="204"/>
      <c r="E924" s="205"/>
      <c r="F924" s="177"/>
      <c r="G924" s="177"/>
      <c r="H924" s="177"/>
    </row>
    <row r="925" spans="1:8" s="134" customFormat="1" x14ac:dyDescent="0.2">
      <c r="A925" s="206"/>
      <c r="B925" s="177"/>
      <c r="C925" s="177"/>
      <c r="D925" s="206"/>
      <c r="E925" s="177"/>
      <c r="F925" s="177"/>
      <c r="G925" s="177"/>
      <c r="H925" s="177"/>
    </row>
    <row r="926" spans="1:8" s="134" customFormat="1" ht="13.5" thickBot="1" x14ac:dyDescent="0.25">
      <c r="A926" s="206"/>
      <c r="B926" s="177"/>
      <c r="C926" s="177"/>
      <c r="D926" s="206"/>
      <c r="E926" s="177"/>
      <c r="F926" s="177"/>
      <c r="G926" s="177"/>
      <c r="H926" s="177"/>
    </row>
    <row r="927" spans="1:8" s="134" customFormat="1" x14ac:dyDescent="0.2">
      <c r="A927" s="206"/>
      <c r="B927" s="189" t="s">
        <v>396</v>
      </c>
      <c r="C927" s="190"/>
      <c r="D927" s="209"/>
      <c r="E927" s="191"/>
      <c r="F927" s="177"/>
      <c r="G927" s="177"/>
      <c r="H927" s="177"/>
    </row>
    <row r="928" spans="1:8" s="134" customFormat="1" x14ac:dyDescent="0.2">
      <c r="A928" s="206"/>
      <c r="B928" s="192"/>
      <c r="C928" s="193"/>
      <c r="D928" s="210"/>
      <c r="E928" s="194"/>
      <c r="F928" s="177"/>
      <c r="G928" s="177"/>
      <c r="H928" s="177"/>
    </row>
    <row r="929" spans="1:9" s="134" customFormat="1" x14ac:dyDescent="0.2">
      <c r="A929" s="206"/>
      <c r="B929" s="195" t="s">
        <v>16</v>
      </c>
      <c r="C929" s="193"/>
      <c r="D929" s="210"/>
      <c r="E929" s="194"/>
      <c r="F929" s="177"/>
      <c r="G929" s="177"/>
      <c r="H929" s="177"/>
    </row>
    <row r="930" spans="1:9" s="153" customFormat="1" x14ac:dyDescent="0.2">
      <c r="A930" s="206"/>
      <c r="B930" s="195"/>
      <c r="C930" s="277" t="s">
        <v>530</v>
      </c>
      <c r="D930" s="277"/>
      <c r="E930" s="277"/>
      <c r="F930" s="177"/>
      <c r="G930" s="177"/>
      <c r="H930" s="177"/>
      <c r="I930" s="134"/>
    </row>
    <row r="931" spans="1:9" s="134" customFormat="1" ht="13.5" thickBot="1" x14ac:dyDescent="0.25">
      <c r="A931" s="206"/>
      <c r="B931" s="195" t="s">
        <v>17</v>
      </c>
      <c r="C931" s="193"/>
      <c r="D931" s="210"/>
      <c r="E931" s="194"/>
      <c r="F931" s="177"/>
      <c r="G931" s="177"/>
      <c r="H931" s="177"/>
    </row>
    <row r="932" spans="1:9" s="134" customFormat="1" ht="13.5" thickBot="1" x14ac:dyDescent="0.25">
      <c r="A932" s="206"/>
      <c r="B932" s="279" t="s">
        <v>413</v>
      </c>
      <c r="C932" s="280"/>
      <c r="D932" s="280"/>
      <c r="E932" s="281"/>
      <c r="F932" s="177"/>
      <c r="G932" s="177"/>
      <c r="H932" s="177"/>
    </row>
    <row r="933" spans="1:9" s="134" customFormat="1" ht="13.5" thickBot="1" x14ac:dyDescent="0.25">
      <c r="A933" s="206"/>
      <c r="B933" s="279" t="s">
        <v>311</v>
      </c>
      <c r="C933" s="281"/>
      <c r="D933" s="196" t="s">
        <v>11</v>
      </c>
      <c r="E933" s="196" t="s">
        <v>138</v>
      </c>
      <c r="F933" s="177"/>
      <c r="G933" s="177"/>
      <c r="H933" s="177"/>
    </row>
    <row r="934" spans="1:9" s="134" customFormat="1" x14ac:dyDescent="0.2">
      <c r="A934" s="206"/>
      <c r="B934" s="282" t="s">
        <v>381</v>
      </c>
      <c r="C934" s="282"/>
      <c r="D934" s="197">
        <v>16</v>
      </c>
      <c r="E934" s="198" t="s">
        <v>382</v>
      </c>
      <c r="F934" s="177"/>
      <c r="G934" s="177"/>
      <c r="H934" s="177"/>
    </row>
    <row r="935" spans="1:9" s="134" customFormat="1" x14ac:dyDescent="0.2">
      <c r="A935" s="206"/>
      <c r="B935" s="283" t="s">
        <v>383</v>
      </c>
      <c r="C935" s="283"/>
      <c r="D935" s="199">
        <v>8</v>
      </c>
      <c r="E935" s="200" t="s">
        <v>384</v>
      </c>
      <c r="F935" s="177"/>
      <c r="G935" s="177"/>
      <c r="H935" s="177"/>
    </row>
    <row r="936" spans="1:9" s="134" customFormat="1" x14ac:dyDescent="0.2">
      <c r="A936" s="206"/>
      <c r="B936" s="283" t="s">
        <v>385</v>
      </c>
      <c r="C936" s="283"/>
      <c r="D936" s="199">
        <v>16</v>
      </c>
      <c r="E936" s="200" t="s">
        <v>388</v>
      </c>
      <c r="F936" s="177"/>
      <c r="G936" s="177"/>
      <c r="H936" s="177"/>
    </row>
    <row r="937" spans="1:9" s="134" customFormat="1" x14ac:dyDescent="0.2">
      <c r="A937" s="206"/>
      <c r="B937" s="283" t="s">
        <v>386</v>
      </c>
      <c r="C937" s="283"/>
      <c r="D937" s="199">
        <v>8</v>
      </c>
      <c r="E937" s="200" t="s">
        <v>392</v>
      </c>
      <c r="F937" s="177"/>
      <c r="G937" s="177"/>
      <c r="H937" s="177"/>
    </row>
    <row r="938" spans="1:9" s="134" customFormat="1" x14ac:dyDescent="0.2">
      <c r="A938" s="206"/>
      <c r="B938" s="283" t="s">
        <v>387</v>
      </c>
      <c r="C938" s="283"/>
      <c r="D938" s="199">
        <v>8</v>
      </c>
      <c r="E938" s="200" t="s">
        <v>389</v>
      </c>
      <c r="F938" s="177"/>
      <c r="G938" s="177"/>
      <c r="H938" s="177"/>
    </row>
    <row r="939" spans="1:9" s="134" customFormat="1" ht="13.5" thickBot="1" x14ac:dyDescent="0.25">
      <c r="A939" s="206"/>
      <c r="B939" s="284"/>
      <c r="C939" s="285"/>
      <c r="D939" s="199"/>
      <c r="E939" s="200"/>
      <c r="F939" s="177"/>
      <c r="G939" s="177"/>
      <c r="H939" s="177"/>
    </row>
    <row r="940" spans="1:9" s="134" customFormat="1" ht="13.5" customHeight="1" thickBot="1" x14ac:dyDescent="0.25">
      <c r="A940" s="206"/>
      <c r="B940" s="286" t="s">
        <v>422</v>
      </c>
      <c r="C940" s="287"/>
      <c r="D940" s="287"/>
      <c r="E940" s="288"/>
      <c r="F940" s="177"/>
      <c r="G940" s="177"/>
      <c r="H940" s="177"/>
    </row>
    <row r="941" spans="1:9" s="134" customFormat="1" x14ac:dyDescent="0.2">
      <c r="A941" s="206"/>
      <c r="B941" s="195" t="s">
        <v>18</v>
      </c>
      <c r="C941" s="193"/>
      <c r="D941" s="210"/>
      <c r="E941" s="194"/>
      <c r="F941" s="177"/>
      <c r="G941" s="177"/>
      <c r="H941" s="177"/>
    </row>
    <row r="942" spans="1:9" s="134" customFormat="1" x14ac:dyDescent="0.2">
      <c r="A942" s="206"/>
      <c r="B942" s="201"/>
      <c r="C942" s="277" t="s">
        <v>62</v>
      </c>
      <c r="D942" s="277"/>
      <c r="E942" s="277"/>
      <c r="F942" s="177"/>
      <c r="G942" s="177"/>
      <c r="H942" s="177"/>
    </row>
    <row r="943" spans="1:9" s="134" customFormat="1" x14ac:dyDescent="0.2">
      <c r="A943" s="206"/>
      <c r="B943" s="195" t="s">
        <v>19</v>
      </c>
      <c r="C943" s="212"/>
      <c r="D943" s="212"/>
      <c r="E943" s="202"/>
      <c r="F943" s="177"/>
      <c r="G943" s="177"/>
      <c r="H943" s="177"/>
    </row>
    <row r="944" spans="1:9" s="134" customFormat="1" x14ac:dyDescent="0.2">
      <c r="A944" s="206"/>
      <c r="B944" s="201"/>
      <c r="C944" s="277" t="s">
        <v>465</v>
      </c>
      <c r="D944" s="277"/>
      <c r="E944" s="277"/>
      <c r="F944" s="177"/>
      <c r="G944" s="177"/>
      <c r="H944" s="177"/>
    </row>
    <row r="945" spans="1:9" s="134" customFormat="1" x14ac:dyDescent="0.2">
      <c r="A945" s="206"/>
      <c r="B945" s="195" t="s">
        <v>20</v>
      </c>
      <c r="C945" s="193"/>
      <c r="D945" s="210"/>
      <c r="E945" s="194"/>
      <c r="F945" s="177"/>
      <c r="G945" s="177"/>
      <c r="H945" s="177"/>
    </row>
    <row r="946" spans="1:9" s="134" customFormat="1" x14ac:dyDescent="0.2">
      <c r="A946" s="206"/>
      <c r="B946" s="195"/>
      <c r="C946" s="278" t="s">
        <v>63</v>
      </c>
      <c r="D946" s="278"/>
      <c r="E946" s="278"/>
      <c r="F946" s="177"/>
      <c r="G946" s="177"/>
      <c r="H946" s="177"/>
    </row>
    <row r="947" spans="1:9" s="134" customFormat="1" ht="13.5" thickBot="1" x14ac:dyDescent="0.25">
      <c r="A947" s="206"/>
      <c r="B947" s="203"/>
      <c r="C947" s="174"/>
      <c r="D947" s="204"/>
      <c r="E947" s="205"/>
      <c r="F947" s="177"/>
      <c r="G947" s="177"/>
      <c r="H947" s="177"/>
    </row>
    <row r="948" spans="1:9" s="134" customFormat="1" x14ac:dyDescent="0.2">
      <c r="A948" s="206"/>
      <c r="B948" s="177"/>
      <c r="C948" s="177"/>
      <c r="D948" s="206"/>
      <c r="E948" s="177"/>
      <c r="F948" s="177"/>
      <c r="G948" s="177"/>
      <c r="H948" s="177"/>
    </row>
    <row r="949" spans="1:9" s="134" customFormat="1" ht="13.5" thickBot="1" x14ac:dyDescent="0.25">
      <c r="A949" s="206"/>
      <c r="B949" s="177"/>
      <c r="C949" s="177"/>
      <c r="D949" s="206"/>
      <c r="E949" s="177"/>
      <c r="F949" s="177"/>
      <c r="G949" s="177"/>
      <c r="H949" s="177"/>
    </row>
    <row r="950" spans="1:9" s="134" customFormat="1" x14ac:dyDescent="0.2">
      <c r="A950" s="206"/>
      <c r="B950" s="189" t="s">
        <v>424</v>
      </c>
      <c r="C950" s="190"/>
      <c r="D950" s="209"/>
      <c r="E950" s="191"/>
      <c r="F950" s="177"/>
      <c r="G950" s="177"/>
      <c r="H950" s="177"/>
    </row>
    <row r="951" spans="1:9" s="134" customFormat="1" x14ac:dyDescent="0.2">
      <c r="A951" s="206"/>
      <c r="B951" s="192"/>
      <c r="C951" s="193"/>
      <c r="D951" s="210"/>
      <c r="E951" s="194"/>
      <c r="F951" s="177"/>
      <c r="G951" s="177"/>
      <c r="H951" s="177"/>
    </row>
    <row r="952" spans="1:9" s="134" customFormat="1" x14ac:dyDescent="0.2">
      <c r="A952" s="206"/>
      <c r="B952" s="195" t="s">
        <v>16</v>
      </c>
      <c r="C952" s="193"/>
      <c r="D952" s="210"/>
      <c r="E952" s="194"/>
      <c r="F952" s="177"/>
      <c r="G952" s="177"/>
      <c r="H952" s="177"/>
    </row>
    <row r="953" spans="1:9" s="153" customFormat="1" x14ac:dyDescent="0.2">
      <c r="A953" s="206"/>
      <c r="B953" s="195"/>
      <c r="C953" s="277" t="s">
        <v>534</v>
      </c>
      <c r="D953" s="277"/>
      <c r="E953" s="277"/>
      <c r="F953" s="177"/>
      <c r="G953" s="177"/>
      <c r="H953" s="177"/>
      <c r="I953" s="134"/>
    </row>
    <row r="954" spans="1:9" s="134" customFormat="1" ht="13.5" thickBot="1" x14ac:dyDescent="0.25">
      <c r="A954" s="206"/>
      <c r="B954" s="195" t="s">
        <v>17</v>
      </c>
      <c r="C954" s="193"/>
      <c r="D954" s="210"/>
      <c r="E954" s="194"/>
      <c r="F954" s="177"/>
      <c r="G954" s="177"/>
      <c r="H954" s="177"/>
    </row>
    <row r="955" spans="1:9" s="134" customFormat="1" ht="13.5" thickBot="1" x14ac:dyDescent="0.25">
      <c r="A955" s="206"/>
      <c r="B955" s="279" t="s">
        <v>413</v>
      </c>
      <c r="C955" s="280"/>
      <c r="D955" s="280"/>
      <c r="E955" s="281"/>
      <c r="F955" s="177"/>
      <c r="G955" s="177"/>
      <c r="H955" s="177"/>
    </row>
    <row r="956" spans="1:9" s="134" customFormat="1" ht="13.5" thickBot="1" x14ac:dyDescent="0.25">
      <c r="A956" s="206"/>
      <c r="B956" s="279" t="s">
        <v>311</v>
      </c>
      <c r="C956" s="281"/>
      <c r="D956" s="196" t="s">
        <v>11</v>
      </c>
      <c r="E956" s="207" t="s">
        <v>531</v>
      </c>
      <c r="F956" s="177"/>
      <c r="G956" s="177"/>
      <c r="H956" s="177"/>
    </row>
    <row r="957" spans="1:9" s="134" customFormat="1" x14ac:dyDescent="0.2">
      <c r="A957" s="206"/>
      <c r="B957" s="282" t="s">
        <v>381</v>
      </c>
      <c r="C957" s="282"/>
      <c r="D957" s="197">
        <v>10</v>
      </c>
      <c r="E957" s="198" t="s">
        <v>382</v>
      </c>
      <c r="F957" s="177"/>
      <c r="G957" s="177"/>
      <c r="H957" s="177"/>
    </row>
    <row r="958" spans="1:9" s="134" customFormat="1" x14ac:dyDescent="0.2">
      <c r="A958" s="206"/>
      <c r="B958" s="283" t="s">
        <v>383</v>
      </c>
      <c r="C958" s="283"/>
      <c r="D958" s="199">
        <v>6</v>
      </c>
      <c r="E958" s="200" t="s">
        <v>384</v>
      </c>
      <c r="F958" s="177"/>
      <c r="G958" s="177"/>
      <c r="H958" s="177"/>
    </row>
    <row r="959" spans="1:9" s="134" customFormat="1" x14ac:dyDescent="0.2">
      <c r="A959" s="206"/>
      <c r="B959" s="283" t="s">
        <v>385</v>
      </c>
      <c r="C959" s="283"/>
      <c r="D959" s="199">
        <v>10</v>
      </c>
      <c r="E959" s="200" t="s">
        <v>388</v>
      </c>
      <c r="F959" s="177"/>
      <c r="G959" s="177"/>
      <c r="H959" s="177"/>
    </row>
    <row r="960" spans="1:9" s="134" customFormat="1" x14ac:dyDescent="0.2">
      <c r="A960" s="206"/>
      <c r="B960" s="283" t="s">
        <v>386</v>
      </c>
      <c r="C960" s="283"/>
      <c r="D960" s="199">
        <v>6</v>
      </c>
      <c r="E960" s="200" t="s">
        <v>392</v>
      </c>
      <c r="F960" s="177"/>
      <c r="G960" s="177"/>
      <c r="H960" s="177"/>
    </row>
    <row r="961" spans="1:8" s="134" customFormat="1" x14ac:dyDescent="0.2">
      <c r="A961" s="206"/>
      <c r="B961" s="283" t="s">
        <v>387</v>
      </c>
      <c r="C961" s="283"/>
      <c r="D961" s="199">
        <v>6</v>
      </c>
      <c r="E961" s="200" t="s">
        <v>389</v>
      </c>
      <c r="F961" s="177"/>
      <c r="G961" s="177"/>
      <c r="H961" s="177"/>
    </row>
    <row r="962" spans="1:8" s="134" customFormat="1" ht="13.5" thickBot="1" x14ac:dyDescent="0.25">
      <c r="A962" s="206"/>
      <c r="B962" s="284"/>
      <c r="C962" s="285"/>
      <c r="D962" s="199"/>
      <c r="E962" s="200"/>
      <c r="F962" s="177"/>
      <c r="G962" s="177"/>
      <c r="H962" s="177"/>
    </row>
    <row r="963" spans="1:8" s="134" customFormat="1" ht="13.5" customHeight="1" thickBot="1" x14ac:dyDescent="0.25">
      <c r="A963" s="206"/>
      <c r="B963" s="286" t="s">
        <v>428</v>
      </c>
      <c r="C963" s="287"/>
      <c r="D963" s="287"/>
      <c r="E963" s="288"/>
      <c r="F963" s="177"/>
      <c r="G963" s="177"/>
      <c r="H963" s="177"/>
    </row>
    <row r="964" spans="1:8" s="134" customFormat="1" x14ac:dyDescent="0.2">
      <c r="A964" s="206"/>
      <c r="B964" s="195" t="s">
        <v>18</v>
      </c>
      <c r="C964" s="193"/>
      <c r="D964" s="210"/>
      <c r="E964" s="194"/>
      <c r="F964" s="177"/>
      <c r="G964" s="177"/>
      <c r="H964" s="177"/>
    </row>
    <row r="965" spans="1:8" s="134" customFormat="1" x14ac:dyDescent="0.2">
      <c r="A965" s="206"/>
      <c r="B965" s="201"/>
      <c r="C965" s="277" t="s">
        <v>62</v>
      </c>
      <c r="D965" s="277"/>
      <c r="E965" s="277"/>
      <c r="F965" s="177"/>
      <c r="G965" s="177"/>
      <c r="H965" s="177"/>
    </row>
    <row r="966" spans="1:8" s="134" customFormat="1" x14ac:dyDescent="0.2">
      <c r="A966" s="206"/>
      <c r="B966" s="195" t="s">
        <v>19</v>
      </c>
      <c r="C966" s="212"/>
      <c r="D966" s="212"/>
      <c r="E966" s="202"/>
      <c r="F966" s="177"/>
      <c r="G966" s="177"/>
      <c r="H966" s="177"/>
    </row>
    <row r="967" spans="1:8" s="134" customFormat="1" x14ac:dyDescent="0.2">
      <c r="A967" s="206"/>
      <c r="B967" s="201"/>
      <c r="C967" s="277" t="s">
        <v>465</v>
      </c>
      <c r="D967" s="277"/>
      <c r="E967" s="277"/>
      <c r="F967" s="177"/>
      <c r="G967" s="177"/>
      <c r="H967" s="177"/>
    </row>
    <row r="968" spans="1:8" s="134" customFormat="1" x14ac:dyDescent="0.2">
      <c r="A968" s="206"/>
      <c r="B968" s="195" t="s">
        <v>20</v>
      </c>
      <c r="C968" s="193"/>
      <c r="D968" s="210"/>
      <c r="E968" s="194"/>
      <c r="F968" s="177"/>
      <c r="G968" s="177"/>
      <c r="H968" s="177"/>
    </row>
    <row r="969" spans="1:8" s="134" customFormat="1" x14ac:dyDescent="0.2">
      <c r="A969" s="206"/>
      <c r="B969" s="195"/>
      <c r="C969" s="278" t="s">
        <v>63</v>
      </c>
      <c r="D969" s="278"/>
      <c r="E969" s="278"/>
      <c r="F969" s="177"/>
      <c r="G969" s="177"/>
      <c r="H969" s="177"/>
    </row>
    <row r="970" spans="1:8" s="134" customFormat="1" ht="13.5" thickBot="1" x14ac:dyDescent="0.25">
      <c r="A970" s="206"/>
      <c r="B970" s="203"/>
      <c r="C970" s="174"/>
      <c r="D970" s="204"/>
      <c r="E970" s="205"/>
      <c r="F970" s="177"/>
      <c r="G970" s="177"/>
      <c r="H970" s="177"/>
    </row>
    <row r="971" spans="1:8" s="134" customFormat="1" x14ac:dyDescent="0.2">
      <c r="A971" s="206"/>
      <c r="B971" s="177"/>
      <c r="C971" s="177"/>
      <c r="D971" s="206"/>
      <c r="E971" s="177"/>
      <c r="F971" s="177"/>
      <c r="G971" s="177"/>
      <c r="H971" s="177"/>
    </row>
    <row r="972" spans="1:8" s="134" customFormat="1" ht="13.5" thickBot="1" x14ac:dyDescent="0.25">
      <c r="A972" s="206"/>
      <c r="B972" s="177"/>
      <c r="C972" s="177"/>
      <c r="D972" s="206"/>
      <c r="E972" s="177"/>
      <c r="F972" s="177"/>
      <c r="G972" s="177"/>
      <c r="H972" s="177"/>
    </row>
    <row r="973" spans="1:8" s="134" customFormat="1" x14ac:dyDescent="0.2">
      <c r="A973" s="206"/>
      <c r="B973" s="189" t="s">
        <v>425</v>
      </c>
      <c r="C973" s="190"/>
      <c r="D973" s="209"/>
      <c r="E973" s="191"/>
      <c r="F973" s="177"/>
      <c r="G973" s="177"/>
      <c r="H973" s="177"/>
    </row>
    <row r="974" spans="1:8" s="134" customFormat="1" x14ac:dyDescent="0.2">
      <c r="A974" s="206"/>
      <c r="B974" s="192"/>
      <c r="C974" s="193"/>
      <c r="D974" s="210"/>
      <c r="E974" s="194"/>
      <c r="F974" s="177"/>
      <c r="G974" s="177"/>
      <c r="H974" s="177"/>
    </row>
    <row r="975" spans="1:8" s="134" customFormat="1" x14ac:dyDescent="0.2">
      <c r="A975" s="206"/>
      <c r="B975" s="195" t="s">
        <v>16</v>
      </c>
      <c r="C975" s="193"/>
      <c r="D975" s="210"/>
      <c r="E975" s="194"/>
      <c r="F975" s="177"/>
      <c r="G975" s="177"/>
      <c r="H975" s="177"/>
    </row>
    <row r="976" spans="1:8" s="134" customFormat="1" x14ac:dyDescent="0.2">
      <c r="A976" s="206"/>
      <c r="B976" s="195"/>
      <c r="C976" s="277" t="s">
        <v>532</v>
      </c>
      <c r="D976" s="277"/>
      <c r="E976" s="277"/>
      <c r="F976" s="177"/>
      <c r="G976" s="177"/>
      <c r="H976" s="177"/>
    </row>
    <row r="977" spans="1:8" s="134" customFormat="1" ht="13.5" thickBot="1" x14ac:dyDescent="0.25">
      <c r="A977" s="206"/>
      <c r="B977" s="195" t="s">
        <v>17</v>
      </c>
      <c r="C977" s="193"/>
      <c r="D977" s="210"/>
      <c r="E977" s="194"/>
      <c r="F977" s="177"/>
      <c r="G977" s="177"/>
      <c r="H977" s="177"/>
    </row>
    <row r="978" spans="1:8" s="134" customFormat="1" ht="13.5" thickBot="1" x14ac:dyDescent="0.25">
      <c r="A978" s="206"/>
      <c r="B978" s="279" t="s">
        <v>413</v>
      </c>
      <c r="C978" s="280"/>
      <c r="D978" s="280"/>
      <c r="E978" s="281"/>
      <c r="F978" s="177"/>
      <c r="G978" s="177"/>
      <c r="H978" s="177"/>
    </row>
    <row r="979" spans="1:8" s="134" customFormat="1" ht="13.5" thickBot="1" x14ac:dyDescent="0.25">
      <c r="A979" s="206"/>
      <c r="B979" s="279" t="s">
        <v>311</v>
      </c>
      <c r="C979" s="281"/>
      <c r="D979" s="196" t="s">
        <v>11</v>
      </c>
      <c r="E979" s="207" t="s">
        <v>533</v>
      </c>
      <c r="F979" s="177"/>
      <c r="G979" s="177"/>
      <c r="H979" s="177"/>
    </row>
    <row r="980" spans="1:8" s="134" customFormat="1" x14ac:dyDescent="0.2">
      <c r="A980" s="206"/>
      <c r="B980" s="282" t="s">
        <v>381</v>
      </c>
      <c r="C980" s="282"/>
      <c r="D980" s="197">
        <v>7</v>
      </c>
      <c r="E980" s="198" t="s">
        <v>382</v>
      </c>
      <c r="F980" s="177"/>
      <c r="G980" s="177"/>
      <c r="H980" s="177"/>
    </row>
    <row r="981" spans="1:8" s="134" customFormat="1" x14ac:dyDescent="0.2">
      <c r="A981" s="206"/>
      <c r="B981" s="283" t="s">
        <v>383</v>
      </c>
      <c r="C981" s="283"/>
      <c r="D981" s="199">
        <v>4</v>
      </c>
      <c r="E981" s="200" t="s">
        <v>384</v>
      </c>
      <c r="F981" s="177"/>
      <c r="G981" s="177"/>
      <c r="H981" s="177"/>
    </row>
    <row r="982" spans="1:8" s="134" customFormat="1" x14ac:dyDescent="0.2">
      <c r="A982" s="206"/>
      <c r="B982" s="283" t="s">
        <v>385</v>
      </c>
      <c r="C982" s="283"/>
      <c r="D982" s="199">
        <v>7</v>
      </c>
      <c r="E982" s="200" t="s">
        <v>388</v>
      </c>
      <c r="F982" s="177"/>
      <c r="G982" s="177"/>
      <c r="H982" s="177"/>
    </row>
    <row r="983" spans="1:8" s="134" customFormat="1" x14ac:dyDescent="0.2">
      <c r="A983" s="206"/>
      <c r="B983" s="283" t="s">
        <v>386</v>
      </c>
      <c r="C983" s="283"/>
      <c r="D983" s="199">
        <v>4</v>
      </c>
      <c r="E983" s="200" t="s">
        <v>392</v>
      </c>
      <c r="F983" s="177"/>
      <c r="G983" s="177"/>
      <c r="H983" s="177"/>
    </row>
    <row r="984" spans="1:8" s="134" customFormat="1" x14ac:dyDescent="0.2">
      <c r="A984" s="206"/>
      <c r="B984" s="283" t="s">
        <v>387</v>
      </c>
      <c r="C984" s="283"/>
      <c r="D984" s="199">
        <v>4</v>
      </c>
      <c r="E984" s="200" t="s">
        <v>389</v>
      </c>
      <c r="F984" s="177"/>
      <c r="G984" s="177"/>
      <c r="H984" s="177"/>
    </row>
    <row r="985" spans="1:8" s="134" customFormat="1" ht="13.5" thickBot="1" x14ac:dyDescent="0.25">
      <c r="A985" s="206"/>
      <c r="B985" s="284"/>
      <c r="C985" s="285"/>
      <c r="D985" s="199"/>
      <c r="E985" s="200"/>
      <c r="F985" s="177"/>
      <c r="G985" s="177"/>
      <c r="H985" s="177"/>
    </row>
    <row r="986" spans="1:8" s="134" customFormat="1" ht="13.5" customHeight="1" thickBot="1" x14ac:dyDescent="0.25">
      <c r="A986" s="206"/>
      <c r="B986" s="286" t="s">
        <v>429</v>
      </c>
      <c r="C986" s="287"/>
      <c r="D986" s="287"/>
      <c r="E986" s="288"/>
      <c r="F986" s="177"/>
      <c r="G986" s="177"/>
      <c r="H986" s="177"/>
    </row>
    <row r="987" spans="1:8" s="134" customFormat="1" x14ac:dyDescent="0.2">
      <c r="A987" s="206"/>
      <c r="B987" s="195" t="s">
        <v>18</v>
      </c>
      <c r="C987" s="193"/>
      <c r="D987" s="210"/>
      <c r="E987" s="194"/>
      <c r="F987" s="177"/>
      <c r="G987" s="177"/>
      <c r="H987" s="177"/>
    </row>
    <row r="988" spans="1:8" s="134" customFormat="1" x14ac:dyDescent="0.2">
      <c r="A988" s="206"/>
      <c r="B988" s="201"/>
      <c r="C988" s="277" t="s">
        <v>62</v>
      </c>
      <c r="D988" s="277"/>
      <c r="E988" s="277"/>
      <c r="F988" s="177"/>
      <c r="G988" s="177"/>
      <c r="H988" s="177"/>
    </row>
    <row r="989" spans="1:8" s="134" customFormat="1" x14ac:dyDescent="0.2">
      <c r="A989" s="206"/>
      <c r="B989" s="195" t="s">
        <v>19</v>
      </c>
      <c r="C989" s="212"/>
      <c r="D989" s="212"/>
      <c r="E989" s="202"/>
      <c r="F989" s="177"/>
      <c r="G989" s="177"/>
      <c r="H989" s="177"/>
    </row>
    <row r="990" spans="1:8" s="134" customFormat="1" x14ac:dyDescent="0.2">
      <c r="A990" s="206"/>
      <c r="B990" s="201"/>
      <c r="C990" s="277" t="s">
        <v>465</v>
      </c>
      <c r="D990" s="277"/>
      <c r="E990" s="277"/>
      <c r="F990" s="177"/>
      <c r="G990" s="177"/>
      <c r="H990" s="177"/>
    </row>
    <row r="991" spans="1:8" s="134" customFormat="1" x14ac:dyDescent="0.2">
      <c r="A991" s="206"/>
      <c r="B991" s="195" t="s">
        <v>20</v>
      </c>
      <c r="C991" s="193"/>
      <c r="D991" s="210"/>
      <c r="E991" s="194"/>
      <c r="F991" s="177"/>
      <c r="G991" s="177"/>
      <c r="H991" s="177"/>
    </row>
    <row r="992" spans="1:8" s="134" customFormat="1" x14ac:dyDescent="0.2">
      <c r="A992" s="206"/>
      <c r="B992" s="195"/>
      <c r="C992" s="278" t="s">
        <v>63</v>
      </c>
      <c r="D992" s="278"/>
      <c r="E992" s="278"/>
      <c r="F992" s="177"/>
      <c r="G992" s="177"/>
      <c r="H992" s="177"/>
    </row>
    <row r="993" spans="1:8" s="134" customFormat="1" ht="13.5" thickBot="1" x14ac:dyDescent="0.25">
      <c r="A993" s="206"/>
      <c r="B993" s="203"/>
      <c r="C993" s="174"/>
      <c r="D993" s="204"/>
      <c r="E993" s="205"/>
      <c r="F993" s="177"/>
      <c r="G993" s="177"/>
      <c r="H993" s="177"/>
    </row>
    <row r="994" spans="1:8" s="134" customFormat="1" x14ac:dyDescent="0.2">
      <c r="A994" s="206"/>
      <c r="B994" s="177"/>
      <c r="C994" s="177"/>
      <c r="D994" s="206"/>
      <c r="E994" s="177"/>
      <c r="F994" s="177"/>
      <c r="G994" s="177"/>
      <c r="H994" s="177"/>
    </row>
    <row r="995" spans="1:8" s="134" customFormat="1" ht="13.5" thickBot="1" x14ac:dyDescent="0.25">
      <c r="A995" s="206"/>
      <c r="B995" s="177"/>
      <c r="C995" s="177"/>
      <c r="D995" s="206"/>
      <c r="E995" s="177"/>
      <c r="F995" s="177"/>
      <c r="G995" s="177"/>
      <c r="H995" s="177"/>
    </row>
    <row r="996" spans="1:8" s="134" customFormat="1" x14ac:dyDescent="0.2">
      <c r="A996" s="206"/>
      <c r="B996" s="189" t="s">
        <v>426</v>
      </c>
      <c r="C996" s="190"/>
      <c r="D996" s="209"/>
      <c r="E996" s="191"/>
      <c r="F996" s="177"/>
      <c r="G996" s="177"/>
      <c r="H996" s="177"/>
    </row>
    <row r="997" spans="1:8" s="134" customFormat="1" x14ac:dyDescent="0.2">
      <c r="A997" s="206"/>
      <c r="B997" s="192"/>
      <c r="C997" s="193"/>
      <c r="D997" s="210"/>
      <c r="E997" s="194"/>
      <c r="F997" s="177"/>
      <c r="G997" s="177"/>
      <c r="H997" s="177"/>
    </row>
    <row r="998" spans="1:8" s="134" customFormat="1" x14ac:dyDescent="0.2">
      <c r="A998" s="206"/>
      <c r="B998" s="195" t="s">
        <v>16</v>
      </c>
      <c r="C998" s="193"/>
      <c r="D998" s="210"/>
      <c r="E998" s="194"/>
      <c r="F998" s="177"/>
      <c r="G998" s="177"/>
      <c r="H998" s="177"/>
    </row>
    <row r="999" spans="1:8" s="134" customFormat="1" x14ac:dyDescent="0.2">
      <c r="A999" s="206"/>
      <c r="B999" s="195"/>
      <c r="C999" s="277" t="s">
        <v>537</v>
      </c>
      <c r="D999" s="277"/>
      <c r="E999" s="277"/>
      <c r="F999" s="177"/>
      <c r="G999" s="177"/>
      <c r="H999" s="177"/>
    </row>
    <row r="1000" spans="1:8" s="134" customFormat="1" ht="13.5" thickBot="1" x14ac:dyDescent="0.25">
      <c r="A1000" s="206"/>
      <c r="B1000" s="195" t="s">
        <v>17</v>
      </c>
      <c r="C1000" s="193"/>
      <c r="D1000" s="210"/>
      <c r="E1000" s="194"/>
      <c r="F1000" s="177"/>
      <c r="G1000" s="177"/>
      <c r="H1000" s="177"/>
    </row>
    <row r="1001" spans="1:8" s="134" customFormat="1" ht="13.5" thickBot="1" x14ac:dyDescent="0.25">
      <c r="A1001" s="206"/>
      <c r="B1001" s="290" t="s">
        <v>540</v>
      </c>
      <c r="C1001" s="291"/>
      <c r="D1001" s="291"/>
      <c r="E1001" s="292"/>
      <c r="F1001" s="177"/>
      <c r="G1001" s="177"/>
      <c r="H1001" s="177"/>
    </row>
    <row r="1002" spans="1:8" s="134" customFormat="1" ht="13.5" thickBot="1" x14ac:dyDescent="0.25">
      <c r="A1002" s="206"/>
      <c r="B1002" s="279" t="s">
        <v>311</v>
      </c>
      <c r="C1002" s="281"/>
      <c r="D1002" s="196" t="s">
        <v>11</v>
      </c>
      <c r="E1002" s="207" t="s">
        <v>539</v>
      </c>
      <c r="F1002" s="177"/>
      <c r="G1002" s="177"/>
      <c r="H1002" s="177"/>
    </row>
    <row r="1003" spans="1:8" s="134" customFormat="1" x14ac:dyDescent="0.2">
      <c r="A1003" s="206"/>
      <c r="B1003" s="282" t="s">
        <v>381</v>
      </c>
      <c r="C1003" s="282"/>
      <c r="D1003" s="197">
        <v>50</v>
      </c>
      <c r="E1003" s="198" t="s">
        <v>382</v>
      </c>
      <c r="F1003" s="177"/>
      <c r="G1003" s="177"/>
      <c r="H1003" s="177"/>
    </row>
    <row r="1004" spans="1:8" s="134" customFormat="1" x14ac:dyDescent="0.2">
      <c r="A1004" s="206"/>
      <c r="B1004" s="283" t="s">
        <v>383</v>
      </c>
      <c r="C1004" s="283"/>
      <c r="D1004" s="199">
        <v>24</v>
      </c>
      <c r="E1004" s="200" t="s">
        <v>384</v>
      </c>
      <c r="F1004" s="177"/>
      <c r="G1004" s="177"/>
      <c r="H1004" s="177"/>
    </row>
    <row r="1005" spans="1:8" s="134" customFormat="1" x14ac:dyDescent="0.2">
      <c r="A1005" s="206"/>
      <c r="B1005" s="283" t="s">
        <v>385</v>
      </c>
      <c r="C1005" s="283"/>
      <c r="D1005" s="199">
        <v>50</v>
      </c>
      <c r="E1005" s="200" t="s">
        <v>388</v>
      </c>
      <c r="F1005" s="177"/>
      <c r="G1005" s="177"/>
      <c r="H1005" s="177"/>
    </row>
    <row r="1006" spans="1:8" s="134" customFormat="1" x14ac:dyDescent="0.2">
      <c r="A1006" s="206"/>
      <c r="B1006" s="283" t="s">
        <v>386</v>
      </c>
      <c r="C1006" s="283"/>
      <c r="D1006" s="199">
        <v>24</v>
      </c>
      <c r="E1006" s="200" t="s">
        <v>392</v>
      </c>
      <c r="F1006" s="177"/>
      <c r="G1006" s="177"/>
      <c r="H1006" s="177"/>
    </row>
    <row r="1007" spans="1:8" s="134" customFormat="1" x14ac:dyDescent="0.2">
      <c r="A1007" s="206"/>
      <c r="B1007" s="283" t="s">
        <v>387</v>
      </c>
      <c r="C1007" s="283"/>
      <c r="D1007" s="199">
        <v>24</v>
      </c>
      <c r="E1007" s="200" t="s">
        <v>389</v>
      </c>
      <c r="F1007" s="177"/>
      <c r="G1007" s="177"/>
      <c r="H1007" s="177"/>
    </row>
    <row r="1008" spans="1:8" s="134" customFormat="1" ht="13.5" thickBot="1" x14ac:dyDescent="0.25">
      <c r="A1008" s="206"/>
      <c r="B1008" s="284"/>
      <c r="C1008" s="285"/>
      <c r="D1008" s="199"/>
      <c r="E1008" s="200"/>
      <c r="F1008" s="177"/>
      <c r="G1008" s="177"/>
      <c r="H1008" s="177"/>
    </row>
    <row r="1009" spans="1:8" s="134" customFormat="1" ht="13.5" customHeight="1" thickBot="1" x14ac:dyDescent="0.25">
      <c r="A1009" s="206"/>
      <c r="B1009" s="286" t="s">
        <v>430</v>
      </c>
      <c r="C1009" s="287"/>
      <c r="D1009" s="287"/>
      <c r="E1009" s="288"/>
      <c r="F1009" s="177"/>
      <c r="G1009" s="177"/>
      <c r="H1009" s="177"/>
    </row>
    <row r="1010" spans="1:8" s="134" customFormat="1" x14ac:dyDescent="0.2">
      <c r="A1010" s="206"/>
      <c r="B1010" s="195" t="s">
        <v>18</v>
      </c>
      <c r="C1010" s="193"/>
      <c r="D1010" s="210"/>
      <c r="E1010" s="194"/>
      <c r="F1010" s="177"/>
      <c r="G1010" s="177"/>
      <c r="H1010" s="177"/>
    </row>
    <row r="1011" spans="1:8" s="134" customFormat="1" x14ac:dyDescent="0.2">
      <c r="A1011" s="206"/>
      <c r="B1011" s="201"/>
      <c r="C1011" s="277" t="s">
        <v>62</v>
      </c>
      <c r="D1011" s="277"/>
      <c r="E1011" s="277"/>
      <c r="F1011" s="177"/>
      <c r="G1011" s="177"/>
      <c r="H1011" s="177"/>
    </row>
    <row r="1012" spans="1:8" s="134" customFormat="1" x14ac:dyDescent="0.2">
      <c r="A1012" s="206"/>
      <c r="B1012" s="195" t="s">
        <v>19</v>
      </c>
      <c r="C1012" s="212"/>
      <c r="D1012" s="212"/>
      <c r="E1012" s="202"/>
      <c r="F1012" s="177"/>
      <c r="G1012" s="177"/>
      <c r="H1012" s="177"/>
    </row>
    <row r="1013" spans="1:8" s="134" customFormat="1" x14ac:dyDescent="0.2">
      <c r="A1013" s="206"/>
      <c r="B1013" s="201"/>
      <c r="C1013" s="277" t="s">
        <v>465</v>
      </c>
      <c r="D1013" s="277"/>
      <c r="E1013" s="277"/>
      <c r="F1013" s="177"/>
      <c r="G1013" s="177"/>
      <c r="H1013" s="177"/>
    </row>
    <row r="1014" spans="1:8" s="134" customFormat="1" x14ac:dyDescent="0.2">
      <c r="A1014" s="206"/>
      <c r="B1014" s="195" t="s">
        <v>20</v>
      </c>
      <c r="C1014" s="193"/>
      <c r="D1014" s="210"/>
      <c r="E1014" s="194"/>
      <c r="F1014" s="177"/>
      <c r="G1014" s="177"/>
      <c r="H1014" s="177"/>
    </row>
    <row r="1015" spans="1:8" s="134" customFormat="1" x14ac:dyDescent="0.2">
      <c r="A1015" s="206"/>
      <c r="B1015" s="195"/>
      <c r="C1015" s="278" t="s">
        <v>63</v>
      </c>
      <c r="D1015" s="278"/>
      <c r="E1015" s="278"/>
      <c r="F1015" s="177"/>
      <c r="G1015" s="177"/>
      <c r="H1015" s="177"/>
    </row>
    <row r="1016" spans="1:8" s="134" customFormat="1" ht="13.5" thickBot="1" x14ac:dyDescent="0.25">
      <c r="A1016" s="206"/>
      <c r="B1016" s="203"/>
      <c r="C1016" s="174"/>
      <c r="D1016" s="204"/>
      <c r="E1016" s="205"/>
      <c r="F1016" s="177"/>
      <c r="G1016" s="177"/>
      <c r="H1016" s="177"/>
    </row>
    <row r="1017" spans="1:8" s="134" customFormat="1" x14ac:dyDescent="0.2">
      <c r="A1017" s="206"/>
      <c r="B1017" s="177"/>
      <c r="C1017" s="177"/>
      <c r="D1017" s="206"/>
      <c r="E1017" s="177"/>
      <c r="F1017" s="177"/>
      <c r="G1017" s="177"/>
      <c r="H1017" s="177"/>
    </row>
    <row r="1018" spans="1:8" s="134" customFormat="1" ht="13.5" thickBot="1" x14ac:dyDescent="0.25">
      <c r="A1018" s="206"/>
      <c r="B1018" s="177"/>
      <c r="C1018" s="177"/>
      <c r="D1018" s="206"/>
      <c r="E1018" s="177"/>
      <c r="F1018" s="177"/>
      <c r="G1018" s="177"/>
      <c r="H1018" s="177"/>
    </row>
    <row r="1019" spans="1:8" s="134" customFormat="1" x14ac:dyDescent="0.2">
      <c r="A1019" s="206"/>
      <c r="B1019" s="189" t="s">
        <v>427</v>
      </c>
      <c r="C1019" s="190"/>
      <c r="D1019" s="209"/>
      <c r="E1019" s="191"/>
      <c r="F1019" s="177"/>
      <c r="G1019" s="177"/>
      <c r="H1019" s="177"/>
    </row>
    <row r="1020" spans="1:8" s="134" customFormat="1" x14ac:dyDescent="0.2">
      <c r="A1020" s="206"/>
      <c r="B1020" s="192"/>
      <c r="C1020" s="193"/>
      <c r="D1020" s="210"/>
      <c r="E1020" s="194"/>
      <c r="F1020" s="177"/>
      <c r="G1020" s="177"/>
      <c r="H1020" s="177"/>
    </row>
    <row r="1021" spans="1:8" s="134" customFormat="1" x14ac:dyDescent="0.2">
      <c r="A1021" s="206"/>
      <c r="B1021" s="195" t="s">
        <v>16</v>
      </c>
      <c r="C1021" s="193"/>
      <c r="D1021" s="210"/>
      <c r="E1021" s="194"/>
      <c r="F1021" s="177"/>
      <c r="G1021" s="177"/>
      <c r="H1021" s="177"/>
    </row>
    <row r="1022" spans="1:8" s="134" customFormat="1" x14ac:dyDescent="0.2">
      <c r="A1022" s="206"/>
      <c r="B1022" s="195"/>
      <c r="C1022" s="277" t="s">
        <v>538</v>
      </c>
      <c r="D1022" s="277"/>
      <c r="E1022" s="277"/>
      <c r="F1022" s="177"/>
      <c r="G1022" s="177"/>
      <c r="H1022" s="177"/>
    </row>
    <row r="1023" spans="1:8" s="134" customFormat="1" ht="13.5" thickBot="1" x14ac:dyDescent="0.25">
      <c r="A1023" s="206"/>
      <c r="B1023" s="195" t="s">
        <v>17</v>
      </c>
      <c r="C1023" s="193"/>
      <c r="D1023" s="210"/>
      <c r="E1023" s="194"/>
      <c r="F1023" s="177"/>
      <c r="G1023" s="177"/>
      <c r="H1023" s="177"/>
    </row>
    <row r="1024" spans="1:8" s="134" customFormat="1" ht="13.5" thickBot="1" x14ac:dyDescent="0.25">
      <c r="A1024" s="206"/>
      <c r="B1024" s="279" t="s">
        <v>413</v>
      </c>
      <c r="C1024" s="280"/>
      <c r="D1024" s="280"/>
      <c r="E1024" s="281"/>
      <c r="F1024" s="177"/>
      <c r="G1024" s="177"/>
      <c r="H1024" s="177"/>
    </row>
    <row r="1025" spans="1:8" s="134" customFormat="1" ht="13.5" thickBot="1" x14ac:dyDescent="0.25">
      <c r="A1025" s="206"/>
      <c r="B1025" s="279" t="s">
        <v>311</v>
      </c>
      <c r="C1025" s="281"/>
      <c r="D1025" s="196" t="s">
        <v>11</v>
      </c>
      <c r="E1025" s="196" t="s">
        <v>138</v>
      </c>
      <c r="F1025" s="177"/>
      <c r="G1025" s="177"/>
      <c r="H1025" s="177"/>
    </row>
    <row r="1026" spans="1:8" s="134" customFormat="1" x14ac:dyDescent="0.2">
      <c r="A1026" s="206"/>
      <c r="B1026" s="282" t="s">
        <v>381</v>
      </c>
      <c r="C1026" s="282"/>
      <c r="D1026" s="197">
        <v>32</v>
      </c>
      <c r="E1026" s="198" t="s">
        <v>382</v>
      </c>
      <c r="F1026" s="177"/>
      <c r="G1026" s="177"/>
      <c r="H1026" s="177"/>
    </row>
    <row r="1027" spans="1:8" s="134" customFormat="1" x14ac:dyDescent="0.2">
      <c r="A1027" s="206"/>
      <c r="B1027" s="283" t="s">
        <v>383</v>
      </c>
      <c r="C1027" s="283"/>
      <c r="D1027" s="199">
        <v>16</v>
      </c>
      <c r="E1027" s="200" t="s">
        <v>384</v>
      </c>
      <c r="F1027" s="177"/>
      <c r="G1027" s="177"/>
      <c r="H1027" s="177"/>
    </row>
    <row r="1028" spans="1:8" s="134" customFormat="1" x14ac:dyDescent="0.2">
      <c r="A1028" s="206"/>
      <c r="B1028" s="283" t="s">
        <v>385</v>
      </c>
      <c r="C1028" s="283"/>
      <c r="D1028" s="199">
        <v>32</v>
      </c>
      <c r="E1028" s="200" t="s">
        <v>388</v>
      </c>
      <c r="F1028" s="177"/>
      <c r="G1028" s="177"/>
      <c r="H1028" s="177"/>
    </row>
    <row r="1029" spans="1:8" s="134" customFormat="1" x14ac:dyDescent="0.2">
      <c r="A1029" s="206"/>
      <c r="B1029" s="283" t="s">
        <v>386</v>
      </c>
      <c r="C1029" s="283"/>
      <c r="D1029" s="199">
        <v>16</v>
      </c>
      <c r="E1029" s="200" t="s">
        <v>392</v>
      </c>
      <c r="F1029" s="177"/>
      <c r="G1029" s="177"/>
      <c r="H1029" s="177"/>
    </row>
    <row r="1030" spans="1:8" s="134" customFormat="1" x14ac:dyDescent="0.2">
      <c r="A1030" s="206"/>
      <c r="B1030" s="283" t="s">
        <v>387</v>
      </c>
      <c r="C1030" s="283"/>
      <c r="D1030" s="199">
        <v>16</v>
      </c>
      <c r="E1030" s="200" t="s">
        <v>389</v>
      </c>
      <c r="F1030" s="177"/>
      <c r="G1030" s="177"/>
      <c r="H1030" s="177"/>
    </row>
    <row r="1031" spans="1:8" s="134" customFormat="1" ht="13.5" thickBot="1" x14ac:dyDescent="0.25">
      <c r="A1031" s="206"/>
      <c r="B1031" s="284"/>
      <c r="C1031" s="285"/>
      <c r="D1031" s="199">
        <f>SUM(D1026:D1030)</f>
        <v>112</v>
      </c>
      <c r="E1031" s="200"/>
      <c r="F1031" s="177"/>
      <c r="G1031" s="177"/>
      <c r="H1031" s="177"/>
    </row>
    <row r="1032" spans="1:8" s="134" customFormat="1" ht="13.5" customHeight="1" thickBot="1" x14ac:dyDescent="0.25">
      <c r="A1032" s="206"/>
      <c r="B1032" s="286" t="s">
        <v>431</v>
      </c>
      <c r="C1032" s="287"/>
      <c r="D1032" s="287"/>
      <c r="E1032" s="288"/>
      <c r="F1032" s="177"/>
      <c r="G1032" s="177"/>
      <c r="H1032" s="177"/>
    </row>
    <row r="1033" spans="1:8" s="134" customFormat="1" x14ac:dyDescent="0.2">
      <c r="A1033" s="206"/>
      <c r="B1033" s="195" t="s">
        <v>18</v>
      </c>
      <c r="C1033" s="193"/>
      <c r="D1033" s="210"/>
      <c r="E1033" s="194"/>
      <c r="F1033" s="177"/>
      <c r="G1033" s="177"/>
      <c r="H1033" s="177"/>
    </row>
    <row r="1034" spans="1:8" s="134" customFormat="1" x14ac:dyDescent="0.2">
      <c r="A1034" s="206"/>
      <c r="B1034" s="201"/>
      <c r="C1034" s="277" t="s">
        <v>62</v>
      </c>
      <c r="D1034" s="277"/>
      <c r="E1034" s="277"/>
      <c r="F1034" s="177"/>
      <c r="G1034" s="177"/>
      <c r="H1034" s="177"/>
    </row>
    <row r="1035" spans="1:8" s="134" customFormat="1" x14ac:dyDescent="0.2">
      <c r="A1035" s="206"/>
      <c r="B1035" s="195" t="s">
        <v>19</v>
      </c>
      <c r="C1035" s="212"/>
      <c r="D1035" s="212"/>
      <c r="E1035" s="202"/>
      <c r="F1035" s="177"/>
      <c r="G1035" s="177"/>
      <c r="H1035" s="177"/>
    </row>
    <row r="1036" spans="1:8" s="134" customFormat="1" x14ac:dyDescent="0.2">
      <c r="A1036" s="206"/>
      <c r="B1036" s="201"/>
      <c r="C1036" s="277" t="s">
        <v>465</v>
      </c>
      <c r="D1036" s="277"/>
      <c r="E1036" s="277"/>
      <c r="F1036" s="177"/>
      <c r="G1036" s="177"/>
      <c r="H1036" s="177"/>
    </row>
    <row r="1037" spans="1:8" s="134" customFormat="1" x14ac:dyDescent="0.2">
      <c r="A1037" s="206"/>
      <c r="B1037" s="195" t="s">
        <v>20</v>
      </c>
      <c r="C1037" s="193"/>
      <c r="D1037" s="210"/>
      <c r="E1037" s="194"/>
      <c r="F1037" s="177"/>
      <c r="G1037" s="177"/>
      <c r="H1037" s="177"/>
    </row>
    <row r="1038" spans="1:8" s="134" customFormat="1" x14ac:dyDescent="0.2">
      <c r="A1038" s="206"/>
      <c r="B1038" s="195"/>
      <c r="C1038" s="278" t="s">
        <v>63</v>
      </c>
      <c r="D1038" s="278"/>
      <c r="E1038" s="278"/>
      <c r="F1038" s="177"/>
      <c r="G1038" s="177"/>
      <c r="H1038" s="177"/>
    </row>
    <row r="1039" spans="1:8" s="134" customFormat="1" ht="13.5" thickBot="1" x14ac:dyDescent="0.25">
      <c r="A1039" s="206"/>
      <c r="B1039" s="203"/>
      <c r="C1039" s="174"/>
      <c r="D1039" s="204"/>
      <c r="E1039" s="205"/>
      <c r="F1039" s="177"/>
      <c r="G1039" s="177"/>
      <c r="H1039" s="177"/>
    </row>
    <row r="1040" spans="1:8" s="134" customFormat="1" x14ac:dyDescent="0.2">
      <c r="A1040" s="206"/>
      <c r="B1040" s="177"/>
      <c r="C1040" s="177"/>
      <c r="D1040" s="206"/>
      <c r="E1040" s="177"/>
      <c r="F1040" s="177"/>
      <c r="G1040" s="177"/>
      <c r="H1040" s="177"/>
    </row>
    <row r="1041" spans="1:8" s="134" customFormat="1" ht="13.5" thickBot="1" x14ac:dyDescent="0.25">
      <c r="A1041" s="206"/>
      <c r="B1041" s="177"/>
      <c r="C1041" s="177"/>
      <c r="D1041" s="206"/>
      <c r="E1041" s="177"/>
      <c r="F1041" s="177"/>
      <c r="G1041" s="177"/>
      <c r="H1041" s="177"/>
    </row>
    <row r="1042" spans="1:8" s="134" customFormat="1" x14ac:dyDescent="0.2">
      <c r="A1042" s="206"/>
      <c r="B1042" s="189" t="s">
        <v>432</v>
      </c>
      <c r="C1042" s="190"/>
      <c r="D1042" s="209"/>
      <c r="E1042" s="191"/>
      <c r="F1042" s="177"/>
      <c r="G1042" s="177"/>
      <c r="H1042" s="177"/>
    </row>
    <row r="1043" spans="1:8" s="134" customFormat="1" x14ac:dyDescent="0.2">
      <c r="A1043" s="206"/>
      <c r="B1043" s="192"/>
      <c r="C1043" s="193"/>
      <c r="D1043" s="210"/>
      <c r="E1043" s="194"/>
      <c r="F1043" s="177"/>
      <c r="G1043" s="177"/>
      <c r="H1043" s="177"/>
    </row>
    <row r="1044" spans="1:8" s="134" customFormat="1" x14ac:dyDescent="0.2">
      <c r="A1044" s="206"/>
      <c r="B1044" s="195" t="s">
        <v>16</v>
      </c>
      <c r="C1044" s="193"/>
      <c r="D1044" s="210"/>
      <c r="E1044" s="194"/>
      <c r="F1044" s="177"/>
      <c r="G1044" s="177"/>
      <c r="H1044" s="177"/>
    </row>
    <row r="1045" spans="1:8" s="134" customFormat="1" x14ac:dyDescent="0.2">
      <c r="A1045" s="206"/>
      <c r="B1045" s="195"/>
      <c r="C1045" s="277" t="s">
        <v>541</v>
      </c>
      <c r="D1045" s="277"/>
      <c r="E1045" s="277"/>
      <c r="F1045" s="177"/>
      <c r="G1045" s="177"/>
      <c r="H1045" s="177"/>
    </row>
    <row r="1046" spans="1:8" s="134" customFormat="1" ht="13.5" thickBot="1" x14ac:dyDescent="0.25">
      <c r="A1046" s="206"/>
      <c r="B1046" s="195" t="s">
        <v>17</v>
      </c>
      <c r="C1046" s="193"/>
      <c r="D1046" s="210"/>
      <c r="E1046" s="194"/>
      <c r="F1046" s="177"/>
      <c r="G1046" s="177"/>
      <c r="H1046" s="177"/>
    </row>
    <row r="1047" spans="1:8" s="134" customFormat="1" ht="13.5" thickBot="1" x14ac:dyDescent="0.25">
      <c r="A1047" s="206"/>
      <c r="B1047" s="279" t="s">
        <v>413</v>
      </c>
      <c r="C1047" s="280"/>
      <c r="D1047" s="280"/>
      <c r="E1047" s="281"/>
      <c r="F1047" s="177"/>
      <c r="G1047" s="177"/>
      <c r="H1047" s="177"/>
    </row>
    <row r="1048" spans="1:8" s="134" customFormat="1" ht="13.5" thickBot="1" x14ac:dyDescent="0.25">
      <c r="A1048" s="206"/>
      <c r="B1048" s="279" t="s">
        <v>311</v>
      </c>
      <c r="C1048" s="281"/>
      <c r="D1048" s="196" t="s">
        <v>11</v>
      </c>
      <c r="E1048" s="196" t="s">
        <v>138</v>
      </c>
      <c r="F1048" s="177"/>
      <c r="G1048" s="177"/>
      <c r="H1048" s="177"/>
    </row>
    <row r="1049" spans="1:8" s="134" customFormat="1" x14ac:dyDescent="0.2">
      <c r="A1049" s="206"/>
      <c r="B1049" s="282" t="s">
        <v>381</v>
      </c>
      <c r="C1049" s="282"/>
      <c r="D1049" s="197">
        <v>7</v>
      </c>
      <c r="E1049" s="198" t="s">
        <v>382</v>
      </c>
      <c r="F1049" s="177"/>
      <c r="G1049" s="177"/>
      <c r="H1049" s="177"/>
    </row>
    <row r="1050" spans="1:8" s="134" customFormat="1" x14ac:dyDescent="0.2">
      <c r="A1050" s="206"/>
      <c r="B1050" s="283" t="s">
        <v>383</v>
      </c>
      <c r="C1050" s="283"/>
      <c r="D1050" s="199">
        <v>4</v>
      </c>
      <c r="E1050" s="200" t="s">
        <v>384</v>
      </c>
      <c r="F1050" s="177"/>
      <c r="G1050" s="177"/>
      <c r="H1050" s="177"/>
    </row>
    <row r="1051" spans="1:8" s="134" customFormat="1" x14ac:dyDescent="0.2">
      <c r="A1051" s="206"/>
      <c r="B1051" s="283" t="s">
        <v>385</v>
      </c>
      <c r="C1051" s="283"/>
      <c r="D1051" s="199">
        <v>7</v>
      </c>
      <c r="E1051" s="200" t="s">
        <v>388</v>
      </c>
      <c r="F1051" s="177"/>
      <c r="G1051" s="177"/>
      <c r="H1051" s="177"/>
    </row>
    <row r="1052" spans="1:8" s="134" customFormat="1" x14ac:dyDescent="0.2">
      <c r="A1052" s="206"/>
      <c r="B1052" s="283" t="s">
        <v>386</v>
      </c>
      <c r="C1052" s="283"/>
      <c r="D1052" s="199">
        <v>4</v>
      </c>
      <c r="E1052" s="200" t="s">
        <v>392</v>
      </c>
      <c r="F1052" s="177"/>
      <c r="G1052" s="177"/>
      <c r="H1052" s="177"/>
    </row>
    <row r="1053" spans="1:8" s="134" customFormat="1" x14ac:dyDescent="0.2">
      <c r="A1053" s="206"/>
      <c r="B1053" s="283" t="s">
        <v>387</v>
      </c>
      <c r="C1053" s="283"/>
      <c r="D1053" s="199">
        <v>4</v>
      </c>
      <c r="E1053" s="200" t="s">
        <v>389</v>
      </c>
      <c r="F1053" s="177"/>
      <c r="G1053" s="177"/>
      <c r="H1053" s="177"/>
    </row>
    <row r="1054" spans="1:8" s="134" customFormat="1" ht="13.5" thickBot="1" x14ac:dyDescent="0.25">
      <c r="A1054" s="206"/>
      <c r="B1054" s="284"/>
      <c r="C1054" s="285"/>
      <c r="D1054" s="199"/>
      <c r="E1054" s="200"/>
      <c r="F1054" s="177"/>
      <c r="G1054" s="177"/>
      <c r="H1054" s="177"/>
    </row>
    <row r="1055" spans="1:8" s="134" customFormat="1" ht="13.5" customHeight="1" thickBot="1" x14ac:dyDescent="0.25">
      <c r="A1055" s="206"/>
      <c r="B1055" s="286" t="s">
        <v>429</v>
      </c>
      <c r="C1055" s="287"/>
      <c r="D1055" s="287"/>
      <c r="E1055" s="288"/>
      <c r="F1055" s="177"/>
      <c r="G1055" s="177"/>
      <c r="H1055" s="177"/>
    </row>
    <row r="1056" spans="1:8" s="134" customFormat="1" x14ac:dyDescent="0.2">
      <c r="A1056" s="206"/>
      <c r="B1056" s="195" t="s">
        <v>18</v>
      </c>
      <c r="C1056" s="193"/>
      <c r="D1056" s="210"/>
      <c r="E1056" s="194"/>
      <c r="F1056" s="177"/>
      <c r="G1056" s="177"/>
      <c r="H1056" s="177"/>
    </row>
    <row r="1057" spans="1:9" s="134" customFormat="1" x14ac:dyDescent="0.2">
      <c r="A1057" s="206"/>
      <c r="B1057" s="201"/>
      <c r="C1057" s="277" t="s">
        <v>62</v>
      </c>
      <c r="D1057" s="277"/>
      <c r="E1057" s="277"/>
      <c r="F1057" s="177"/>
      <c r="G1057" s="177"/>
      <c r="H1057" s="177"/>
    </row>
    <row r="1058" spans="1:9" s="134" customFormat="1" x14ac:dyDescent="0.2">
      <c r="A1058" s="206"/>
      <c r="B1058" s="195" t="s">
        <v>19</v>
      </c>
      <c r="C1058" s="212"/>
      <c r="D1058" s="212"/>
      <c r="E1058" s="202"/>
      <c r="F1058" s="177"/>
      <c r="G1058" s="177"/>
      <c r="H1058" s="177"/>
    </row>
    <row r="1059" spans="1:9" s="134" customFormat="1" x14ac:dyDescent="0.2">
      <c r="A1059" s="206"/>
      <c r="B1059" s="201"/>
      <c r="C1059" s="277" t="s">
        <v>465</v>
      </c>
      <c r="D1059" s="277"/>
      <c r="E1059" s="277"/>
      <c r="F1059" s="177"/>
      <c r="G1059" s="177"/>
      <c r="H1059" s="177"/>
    </row>
    <row r="1060" spans="1:9" s="134" customFormat="1" x14ac:dyDescent="0.2">
      <c r="A1060" s="206"/>
      <c r="B1060" s="195" t="s">
        <v>20</v>
      </c>
      <c r="C1060" s="193"/>
      <c r="D1060" s="210"/>
      <c r="E1060" s="194"/>
      <c r="F1060" s="177"/>
      <c r="G1060" s="177"/>
      <c r="H1060" s="177"/>
    </row>
    <row r="1061" spans="1:9" s="134" customFormat="1" x14ac:dyDescent="0.2">
      <c r="A1061" s="206"/>
      <c r="B1061" s="195"/>
      <c r="C1061" s="278" t="s">
        <v>63</v>
      </c>
      <c r="D1061" s="278"/>
      <c r="E1061" s="278"/>
      <c r="F1061" s="177"/>
      <c r="G1061" s="177"/>
      <c r="H1061" s="177"/>
    </row>
    <row r="1062" spans="1:9" s="134" customFormat="1" ht="13.5" thickBot="1" x14ac:dyDescent="0.25">
      <c r="A1062" s="206"/>
      <c r="B1062" s="203"/>
      <c r="C1062" s="174"/>
      <c r="D1062" s="204"/>
      <c r="E1062" s="205"/>
      <c r="F1062" s="177"/>
      <c r="G1062" s="177"/>
      <c r="H1062" s="177"/>
    </row>
    <row r="1063" spans="1:9" s="134" customFormat="1" x14ac:dyDescent="0.2">
      <c r="A1063" s="206"/>
      <c r="B1063" s="177"/>
      <c r="C1063" s="177"/>
      <c r="D1063" s="206"/>
      <c r="E1063" s="177"/>
      <c r="F1063" s="177"/>
      <c r="G1063" s="177"/>
      <c r="H1063" s="177"/>
    </row>
    <row r="1064" spans="1:9" s="134" customFormat="1" ht="13.5" thickBot="1" x14ac:dyDescent="0.25">
      <c r="A1064" s="206"/>
      <c r="B1064" s="177"/>
      <c r="C1064" s="177"/>
      <c r="D1064" s="206"/>
      <c r="E1064" s="177"/>
      <c r="F1064" s="177"/>
      <c r="G1064" s="177"/>
      <c r="H1064" s="177"/>
    </row>
    <row r="1065" spans="1:9" s="134" customFormat="1" x14ac:dyDescent="0.2">
      <c r="A1065" s="206"/>
      <c r="B1065" s="189" t="s">
        <v>433</v>
      </c>
      <c r="C1065" s="190"/>
      <c r="D1065" s="209"/>
      <c r="E1065" s="191"/>
      <c r="F1065" s="177"/>
      <c r="G1065" s="177"/>
      <c r="H1065" s="177"/>
    </row>
    <row r="1066" spans="1:9" s="134" customFormat="1" x14ac:dyDescent="0.2">
      <c r="A1066" s="206"/>
      <c r="B1066" s="192"/>
      <c r="C1066" s="193"/>
      <c r="D1066" s="210"/>
      <c r="E1066" s="194"/>
      <c r="F1066" s="177"/>
      <c r="G1066" s="177"/>
      <c r="H1066" s="177"/>
    </row>
    <row r="1067" spans="1:9" s="134" customFormat="1" x14ac:dyDescent="0.2">
      <c r="A1067" s="206"/>
      <c r="B1067" s="195" t="s">
        <v>16</v>
      </c>
      <c r="C1067" s="193"/>
      <c r="D1067" s="210"/>
      <c r="E1067" s="194"/>
      <c r="F1067" s="177"/>
      <c r="G1067" s="177"/>
      <c r="H1067" s="177"/>
    </row>
    <row r="1068" spans="1:9" s="153" customFormat="1" x14ac:dyDescent="0.2">
      <c r="A1068" s="206"/>
      <c r="B1068" s="195"/>
      <c r="C1068" s="277" t="s">
        <v>545</v>
      </c>
      <c r="D1068" s="277"/>
      <c r="E1068" s="277"/>
      <c r="F1068" s="177"/>
      <c r="G1068" s="177"/>
      <c r="H1068" s="177"/>
      <c r="I1068" s="134"/>
    </row>
    <row r="1069" spans="1:9" s="134" customFormat="1" ht="13.5" thickBot="1" x14ac:dyDescent="0.25">
      <c r="A1069" s="206"/>
      <c r="B1069" s="195" t="s">
        <v>17</v>
      </c>
      <c r="C1069" s="193"/>
      <c r="D1069" s="210"/>
      <c r="E1069" s="194"/>
      <c r="F1069" s="177"/>
      <c r="G1069" s="177"/>
      <c r="H1069" s="177"/>
    </row>
    <row r="1070" spans="1:9" s="134" customFormat="1" ht="13.5" thickBot="1" x14ac:dyDescent="0.25">
      <c r="A1070" s="206"/>
      <c r="B1070" s="279" t="s">
        <v>413</v>
      </c>
      <c r="C1070" s="280"/>
      <c r="D1070" s="280"/>
      <c r="E1070" s="281"/>
      <c r="F1070" s="177"/>
      <c r="G1070" s="177"/>
      <c r="H1070" s="177"/>
    </row>
    <row r="1071" spans="1:9" s="134" customFormat="1" ht="13.5" thickBot="1" x14ac:dyDescent="0.25">
      <c r="A1071" s="206"/>
      <c r="B1071" s="279" t="s">
        <v>311</v>
      </c>
      <c r="C1071" s="281"/>
      <c r="D1071" s="196" t="s">
        <v>11</v>
      </c>
      <c r="E1071" s="196" t="s">
        <v>138</v>
      </c>
      <c r="F1071" s="177"/>
      <c r="G1071" s="177"/>
      <c r="H1071" s="177"/>
    </row>
    <row r="1072" spans="1:9" s="134" customFormat="1" x14ac:dyDescent="0.2">
      <c r="A1072" s="206"/>
      <c r="B1072" s="282" t="s">
        <v>381</v>
      </c>
      <c r="C1072" s="282"/>
      <c r="D1072" s="197">
        <v>16</v>
      </c>
      <c r="E1072" s="198" t="s">
        <v>382</v>
      </c>
      <c r="F1072" s="177"/>
      <c r="G1072" s="177"/>
      <c r="H1072" s="177"/>
    </row>
    <row r="1073" spans="1:8" s="134" customFormat="1" x14ac:dyDescent="0.2">
      <c r="A1073" s="206"/>
      <c r="B1073" s="283" t="s">
        <v>383</v>
      </c>
      <c r="C1073" s="283"/>
      <c r="D1073" s="199">
        <v>8</v>
      </c>
      <c r="E1073" s="200" t="s">
        <v>384</v>
      </c>
      <c r="F1073" s="177"/>
      <c r="G1073" s="177"/>
      <c r="H1073" s="177"/>
    </row>
    <row r="1074" spans="1:8" s="134" customFormat="1" x14ac:dyDescent="0.2">
      <c r="A1074" s="206"/>
      <c r="B1074" s="283" t="s">
        <v>385</v>
      </c>
      <c r="C1074" s="283"/>
      <c r="D1074" s="199">
        <v>16</v>
      </c>
      <c r="E1074" s="200" t="s">
        <v>388</v>
      </c>
      <c r="F1074" s="177"/>
      <c r="G1074" s="177"/>
      <c r="H1074" s="177"/>
    </row>
    <row r="1075" spans="1:8" s="134" customFormat="1" x14ac:dyDescent="0.2">
      <c r="A1075" s="206"/>
      <c r="B1075" s="283" t="s">
        <v>386</v>
      </c>
      <c r="C1075" s="283"/>
      <c r="D1075" s="199">
        <v>8</v>
      </c>
      <c r="E1075" s="200" t="s">
        <v>392</v>
      </c>
      <c r="F1075" s="177"/>
      <c r="G1075" s="177"/>
      <c r="H1075" s="177"/>
    </row>
    <row r="1076" spans="1:8" s="134" customFormat="1" x14ac:dyDescent="0.2">
      <c r="A1076" s="206"/>
      <c r="B1076" s="283" t="s">
        <v>387</v>
      </c>
      <c r="C1076" s="283"/>
      <c r="D1076" s="199">
        <v>8</v>
      </c>
      <c r="E1076" s="200" t="s">
        <v>389</v>
      </c>
      <c r="F1076" s="177"/>
      <c r="G1076" s="177"/>
      <c r="H1076" s="177"/>
    </row>
    <row r="1077" spans="1:8" s="134" customFormat="1" ht="13.5" thickBot="1" x14ac:dyDescent="0.25">
      <c r="A1077" s="206"/>
      <c r="B1077" s="284"/>
      <c r="C1077" s="285"/>
      <c r="D1077" s="199"/>
      <c r="E1077" s="200"/>
      <c r="F1077" s="177"/>
      <c r="G1077" s="177"/>
      <c r="H1077" s="177"/>
    </row>
    <row r="1078" spans="1:8" s="134" customFormat="1" ht="13.5" customHeight="1" thickBot="1" x14ac:dyDescent="0.25">
      <c r="A1078" s="206"/>
      <c r="B1078" s="286" t="s">
        <v>422</v>
      </c>
      <c r="C1078" s="287"/>
      <c r="D1078" s="287"/>
      <c r="E1078" s="288"/>
      <c r="F1078" s="177"/>
      <c r="G1078" s="177"/>
      <c r="H1078" s="177"/>
    </row>
    <row r="1079" spans="1:8" s="134" customFormat="1" x14ac:dyDescent="0.2">
      <c r="A1079" s="206"/>
      <c r="B1079" s="195" t="s">
        <v>18</v>
      </c>
      <c r="C1079" s="193"/>
      <c r="D1079" s="210"/>
      <c r="E1079" s="194"/>
      <c r="F1079" s="177"/>
      <c r="G1079" s="177"/>
      <c r="H1079" s="177"/>
    </row>
    <row r="1080" spans="1:8" s="134" customFormat="1" x14ac:dyDescent="0.2">
      <c r="A1080" s="206"/>
      <c r="B1080" s="201"/>
      <c r="C1080" s="277" t="s">
        <v>62</v>
      </c>
      <c r="D1080" s="277"/>
      <c r="E1080" s="277"/>
      <c r="F1080" s="177"/>
      <c r="G1080" s="177"/>
      <c r="H1080" s="177"/>
    </row>
    <row r="1081" spans="1:8" s="134" customFormat="1" x14ac:dyDescent="0.2">
      <c r="A1081" s="206"/>
      <c r="B1081" s="195" t="s">
        <v>19</v>
      </c>
      <c r="C1081" s="212"/>
      <c r="D1081" s="212"/>
      <c r="E1081" s="202"/>
      <c r="F1081" s="177"/>
      <c r="G1081" s="177"/>
      <c r="H1081" s="177"/>
    </row>
    <row r="1082" spans="1:8" s="134" customFormat="1" x14ac:dyDescent="0.2">
      <c r="A1082" s="206"/>
      <c r="B1082" s="201"/>
      <c r="C1082" s="289" t="s">
        <v>465</v>
      </c>
      <c r="D1082" s="289"/>
      <c r="E1082" s="277"/>
      <c r="F1082" s="177"/>
      <c r="G1082" s="177"/>
      <c r="H1082" s="177"/>
    </row>
    <row r="1083" spans="1:8" s="134" customFormat="1" x14ac:dyDescent="0.2">
      <c r="A1083" s="206"/>
      <c r="B1083" s="195" t="s">
        <v>20</v>
      </c>
      <c r="C1083" s="193"/>
      <c r="D1083" s="210"/>
      <c r="E1083" s="194"/>
      <c r="F1083" s="177"/>
      <c r="G1083" s="177"/>
      <c r="H1083" s="177"/>
    </row>
    <row r="1084" spans="1:8" s="134" customFormat="1" x14ac:dyDescent="0.2">
      <c r="A1084" s="206"/>
      <c r="B1084" s="195"/>
      <c r="C1084" s="278" t="s">
        <v>63</v>
      </c>
      <c r="D1084" s="278"/>
      <c r="E1084" s="278"/>
      <c r="F1084" s="177"/>
      <c r="G1084" s="177"/>
      <c r="H1084" s="177"/>
    </row>
    <row r="1085" spans="1:8" s="134" customFormat="1" ht="13.5" thickBot="1" x14ac:dyDescent="0.25">
      <c r="A1085" s="206"/>
      <c r="B1085" s="203"/>
      <c r="C1085" s="174"/>
      <c r="D1085" s="204"/>
      <c r="E1085" s="205"/>
      <c r="F1085" s="177"/>
      <c r="G1085" s="177"/>
      <c r="H1085" s="177"/>
    </row>
    <row r="1086" spans="1:8" s="134" customFormat="1" x14ac:dyDescent="0.2">
      <c r="A1086" s="206"/>
      <c r="B1086" s="177"/>
      <c r="C1086" s="177"/>
      <c r="D1086" s="206"/>
      <c r="E1086" s="177"/>
      <c r="F1086" s="177"/>
      <c r="G1086" s="177"/>
      <c r="H1086" s="177"/>
    </row>
    <row r="1087" spans="1:8" s="134" customFormat="1" ht="13.5" thickBot="1" x14ac:dyDescent="0.25">
      <c r="A1087" s="206"/>
      <c r="B1087" s="177"/>
      <c r="C1087" s="177"/>
      <c r="D1087" s="206"/>
      <c r="E1087" s="177"/>
      <c r="F1087" s="177"/>
      <c r="G1087" s="177"/>
      <c r="H1087" s="177"/>
    </row>
    <row r="1088" spans="1:8" s="134" customFormat="1" x14ac:dyDescent="0.2">
      <c r="A1088" s="206"/>
      <c r="B1088" s="189" t="s">
        <v>434</v>
      </c>
      <c r="C1088" s="190"/>
      <c r="D1088" s="209"/>
      <c r="E1088" s="191"/>
      <c r="F1088" s="177"/>
      <c r="G1088" s="177"/>
      <c r="H1088" s="177"/>
    </row>
    <row r="1089" spans="1:9" s="134" customFormat="1" x14ac:dyDescent="0.2">
      <c r="A1089" s="206"/>
      <c r="B1089" s="192"/>
      <c r="C1089" s="193"/>
      <c r="D1089" s="210"/>
      <c r="E1089" s="194"/>
      <c r="F1089" s="177"/>
      <c r="G1089" s="177"/>
      <c r="H1089" s="177"/>
    </row>
    <row r="1090" spans="1:9" s="134" customFormat="1" x14ac:dyDescent="0.2">
      <c r="A1090" s="206"/>
      <c r="B1090" s="195" t="s">
        <v>16</v>
      </c>
      <c r="C1090" s="193"/>
      <c r="D1090" s="210"/>
      <c r="E1090" s="194"/>
      <c r="F1090" s="177"/>
      <c r="G1090" s="177"/>
      <c r="H1090" s="177"/>
    </row>
    <row r="1091" spans="1:9" s="153" customFormat="1" x14ac:dyDescent="0.2">
      <c r="A1091" s="206"/>
      <c r="B1091" s="195"/>
      <c r="C1091" s="277" t="s">
        <v>546</v>
      </c>
      <c r="D1091" s="277"/>
      <c r="E1091" s="277"/>
      <c r="F1091" s="177"/>
      <c r="G1091" s="177"/>
      <c r="H1091" s="177"/>
      <c r="I1091" s="134"/>
    </row>
    <row r="1092" spans="1:9" s="134" customFormat="1" ht="13.5" thickBot="1" x14ac:dyDescent="0.25">
      <c r="A1092" s="206"/>
      <c r="B1092" s="195" t="s">
        <v>17</v>
      </c>
      <c r="C1092" s="193"/>
      <c r="D1092" s="210"/>
      <c r="E1092" s="194"/>
      <c r="F1092" s="177"/>
      <c r="G1092" s="177"/>
      <c r="H1092" s="177"/>
    </row>
    <row r="1093" spans="1:9" s="134" customFormat="1" ht="13.5" thickBot="1" x14ac:dyDescent="0.25">
      <c r="A1093" s="206"/>
      <c r="B1093" s="279" t="s">
        <v>413</v>
      </c>
      <c r="C1093" s="280"/>
      <c r="D1093" s="280"/>
      <c r="E1093" s="281"/>
      <c r="F1093" s="177"/>
      <c r="G1093" s="177"/>
      <c r="H1093" s="177"/>
    </row>
    <row r="1094" spans="1:9" s="134" customFormat="1" ht="13.5" thickBot="1" x14ac:dyDescent="0.25">
      <c r="A1094" s="206"/>
      <c r="B1094" s="279" t="s">
        <v>311</v>
      </c>
      <c r="C1094" s="281"/>
      <c r="D1094" s="196" t="s">
        <v>11</v>
      </c>
      <c r="E1094" s="196" t="s">
        <v>138</v>
      </c>
      <c r="F1094" s="177"/>
      <c r="G1094" s="177"/>
      <c r="H1094" s="177"/>
    </row>
    <row r="1095" spans="1:9" s="134" customFormat="1" x14ac:dyDescent="0.2">
      <c r="A1095" s="206"/>
      <c r="B1095" s="282" t="s">
        <v>381</v>
      </c>
      <c r="C1095" s="282"/>
      <c r="D1095" s="197">
        <v>32</v>
      </c>
      <c r="E1095" s="198" t="s">
        <v>382</v>
      </c>
      <c r="F1095" s="177"/>
      <c r="G1095" s="177"/>
      <c r="H1095" s="177"/>
    </row>
    <row r="1096" spans="1:9" s="134" customFormat="1" x14ac:dyDescent="0.2">
      <c r="A1096" s="206"/>
      <c r="B1096" s="283" t="s">
        <v>383</v>
      </c>
      <c r="C1096" s="283"/>
      <c r="D1096" s="199">
        <v>16</v>
      </c>
      <c r="E1096" s="200" t="s">
        <v>384</v>
      </c>
      <c r="F1096" s="177"/>
      <c r="G1096" s="177"/>
      <c r="H1096" s="177"/>
    </row>
    <row r="1097" spans="1:9" s="134" customFormat="1" x14ac:dyDescent="0.2">
      <c r="A1097" s="206"/>
      <c r="B1097" s="283" t="s">
        <v>385</v>
      </c>
      <c r="C1097" s="283"/>
      <c r="D1097" s="199">
        <v>32</v>
      </c>
      <c r="E1097" s="200" t="s">
        <v>388</v>
      </c>
      <c r="F1097" s="177"/>
      <c r="G1097" s="177"/>
      <c r="H1097" s="177"/>
    </row>
    <row r="1098" spans="1:9" s="134" customFormat="1" x14ac:dyDescent="0.2">
      <c r="A1098" s="206"/>
      <c r="B1098" s="283" t="s">
        <v>386</v>
      </c>
      <c r="C1098" s="283"/>
      <c r="D1098" s="199">
        <v>16</v>
      </c>
      <c r="E1098" s="200" t="s">
        <v>392</v>
      </c>
      <c r="F1098" s="177"/>
      <c r="G1098" s="177"/>
      <c r="H1098" s="177"/>
    </row>
    <row r="1099" spans="1:9" s="134" customFormat="1" x14ac:dyDescent="0.2">
      <c r="A1099" s="206"/>
      <c r="B1099" s="283" t="s">
        <v>387</v>
      </c>
      <c r="C1099" s="283"/>
      <c r="D1099" s="199">
        <v>16</v>
      </c>
      <c r="E1099" s="200" t="s">
        <v>389</v>
      </c>
      <c r="F1099" s="177"/>
      <c r="G1099" s="177"/>
      <c r="H1099" s="177"/>
    </row>
    <row r="1100" spans="1:9" s="134" customFormat="1" ht="13.5" thickBot="1" x14ac:dyDescent="0.25">
      <c r="A1100" s="206"/>
      <c r="B1100" s="284"/>
      <c r="C1100" s="285"/>
      <c r="D1100" s="199"/>
      <c r="E1100" s="200"/>
      <c r="F1100" s="177"/>
      <c r="G1100" s="177"/>
      <c r="H1100" s="177"/>
    </row>
    <row r="1101" spans="1:9" s="134" customFormat="1" ht="13.5" customHeight="1" thickBot="1" x14ac:dyDescent="0.25">
      <c r="A1101" s="206"/>
      <c r="B1101" s="286" t="s">
        <v>431</v>
      </c>
      <c r="C1101" s="287"/>
      <c r="D1101" s="287"/>
      <c r="E1101" s="288"/>
      <c r="F1101" s="177"/>
      <c r="G1101" s="177"/>
      <c r="H1101" s="177"/>
    </row>
    <row r="1102" spans="1:9" s="134" customFormat="1" x14ac:dyDescent="0.2">
      <c r="A1102" s="206"/>
      <c r="B1102" s="195" t="s">
        <v>18</v>
      </c>
      <c r="C1102" s="193"/>
      <c r="D1102" s="210"/>
      <c r="E1102" s="194"/>
      <c r="F1102" s="177"/>
      <c r="G1102" s="177"/>
      <c r="H1102" s="177"/>
    </row>
    <row r="1103" spans="1:9" s="134" customFormat="1" x14ac:dyDescent="0.2">
      <c r="A1103" s="206"/>
      <c r="B1103" s="201"/>
      <c r="C1103" s="277" t="s">
        <v>62</v>
      </c>
      <c r="D1103" s="277"/>
      <c r="E1103" s="277"/>
      <c r="F1103" s="177"/>
      <c r="G1103" s="177"/>
      <c r="H1103" s="177"/>
    </row>
    <row r="1104" spans="1:9" s="134" customFormat="1" x14ac:dyDescent="0.2">
      <c r="A1104" s="206"/>
      <c r="B1104" s="195" t="s">
        <v>19</v>
      </c>
      <c r="C1104" s="212"/>
      <c r="D1104" s="212"/>
      <c r="E1104" s="202"/>
      <c r="F1104" s="177"/>
      <c r="G1104" s="177"/>
      <c r="H1104" s="177"/>
    </row>
    <row r="1105" spans="1:8" s="134" customFormat="1" x14ac:dyDescent="0.2">
      <c r="A1105" s="206"/>
      <c r="B1105" s="201"/>
      <c r="C1105" s="277" t="s">
        <v>465</v>
      </c>
      <c r="D1105" s="277"/>
      <c r="E1105" s="277"/>
      <c r="F1105" s="177"/>
      <c r="G1105" s="177"/>
      <c r="H1105" s="177"/>
    </row>
    <row r="1106" spans="1:8" s="134" customFormat="1" x14ac:dyDescent="0.2">
      <c r="A1106" s="206"/>
      <c r="B1106" s="195" t="s">
        <v>20</v>
      </c>
      <c r="C1106" s="193"/>
      <c r="D1106" s="210"/>
      <c r="E1106" s="194"/>
      <c r="F1106" s="177"/>
      <c r="G1106" s="177"/>
      <c r="H1106" s="177"/>
    </row>
    <row r="1107" spans="1:8" s="134" customFormat="1" x14ac:dyDescent="0.2">
      <c r="A1107" s="206"/>
      <c r="B1107" s="195"/>
      <c r="C1107" s="278" t="s">
        <v>63</v>
      </c>
      <c r="D1107" s="278"/>
      <c r="E1107" s="278"/>
      <c r="F1107" s="177"/>
      <c r="G1107" s="177"/>
      <c r="H1107" s="177"/>
    </row>
    <row r="1108" spans="1:8" s="134" customFormat="1" ht="13.5" thickBot="1" x14ac:dyDescent="0.25">
      <c r="A1108" s="206"/>
      <c r="B1108" s="203"/>
      <c r="C1108" s="174"/>
      <c r="D1108" s="204"/>
      <c r="E1108" s="205"/>
      <c r="F1108" s="177"/>
      <c r="G1108" s="177"/>
      <c r="H1108" s="177"/>
    </row>
    <row r="1109" spans="1:8" s="134" customFormat="1" x14ac:dyDescent="0.2">
      <c r="A1109" s="206"/>
      <c r="B1109" s="177"/>
      <c r="C1109" s="177"/>
      <c r="D1109" s="206"/>
      <c r="E1109" s="177"/>
      <c r="F1109" s="177"/>
      <c r="G1109" s="177"/>
      <c r="H1109" s="177"/>
    </row>
    <row r="1110" spans="1:8" s="134" customFormat="1" ht="13.5" thickBot="1" x14ac:dyDescent="0.25">
      <c r="A1110" s="206"/>
      <c r="B1110" s="177"/>
      <c r="C1110" s="177"/>
      <c r="D1110" s="206"/>
      <c r="E1110" s="177"/>
      <c r="F1110" s="177"/>
      <c r="G1110" s="177"/>
      <c r="H1110" s="177"/>
    </row>
    <row r="1111" spans="1:8" s="134" customFormat="1" x14ac:dyDescent="0.2">
      <c r="A1111" s="206"/>
      <c r="B1111" s="189" t="s">
        <v>435</v>
      </c>
      <c r="C1111" s="190"/>
      <c r="D1111" s="209"/>
      <c r="E1111" s="191"/>
      <c r="F1111" s="177"/>
      <c r="G1111" s="177"/>
      <c r="H1111" s="177"/>
    </row>
    <row r="1112" spans="1:8" s="134" customFormat="1" x14ac:dyDescent="0.2">
      <c r="A1112" s="206"/>
      <c r="B1112" s="192"/>
      <c r="C1112" s="193"/>
      <c r="D1112" s="210"/>
      <c r="E1112" s="194"/>
      <c r="F1112" s="177"/>
      <c r="G1112" s="177"/>
      <c r="H1112" s="177"/>
    </row>
    <row r="1113" spans="1:8" s="134" customFormat="1" x14ac:dyDescent="0.2">
      <c r="A1113" s="206"/>
      <c r="B1113" s="195" t="s">
        <v>16</v>
      </c>
      <c r="C1113" s="193"/>
      <c r="D1113" s="210"/>
      <c r="E1113" s="194"/>
      <c r="F1113" s="177"/>
      <c r="G1113" s="177"/>
      <c r="H1113" s="177"/>
    </row>
    <row r="1114" spans="1:8" s="134" customFormat="1" x14ac:dyDescent="0.2">
      <c r="A1114" s="206"/>
      <c r="B1114" s="195"/>
      <c r="C1114" s="277" t="s">
        <v>547</v>
      </c>
      <c r="D1114" s="277"/>
      <c r="E1114" s="277"/>
      <c r="F1114" s="177"/>
      <c r="G1114" s="177"/>
      <c r="H1114" s="177"/>
    </row>
    <row r="1115" spans="1:8" s="134" customFormat="1" ht="13.5" thickBot="1" x14ac:dyDescent="0.25">
      <c r="A1115" s="206"/>
      <c r="B1115" s="195" t="s">
        <v>17</v>
      </c>
      <c r="C1115" s="193"/>
      <c r="D1115" s="210"/>
      <c r="E1115" s="194"/>
      <c r="F1115" s="177"/>
      <c r="G1115" s="177"/>
      <c r="H1115" s="177"/>
    </row>
    <row r="1116" spans="1:8" s="134" customFormat="1" ht="13.5" thickBot="1" x14ac:dyDescent="0.25">
      <c r="A1116" s="206"/>
      <c r="B1116" s="279" t="s">
        <v>413</v>
      </c>
      <c r="C1116" s="280"/>
      <c r="D1116" s="280"/>
      <c r="E1116" s="281"/>
      <c r="F1116" s="177"/>
      <c r="G1116" s="177"/>
      <c r="H1116" s="177"/>
    </row>
    <row r="1117" spans="1:8" s="134" customFormat="1" ht="13.5" thickBot="1" x14ac:dyDescent="0.25">
      <c r="A1117" s="206"/>
      <c r="B1117" s="279" t="s">
        <v>311</v>
      </c>
      <c r="C1117" s="281"/>
      <c r="D1117" s="196" t="s">
        <v>11</v>
      </c>
      <c r="E1117" s="196" t="s">
        <v>138</v>
      </c>
      <c r="F1117" s="177"/>
      <c r="G1117" s="177"/>
      <c r="H1117" s="177"/>
    </row>
    <row r="1118" spans="1:8" s="134" customFormat="1" x14ac:dyDescent="0.2">
      <c r="A1118" s="206"/>
      <c r="B1118" s="282" t="s">
        <v>381</v>
      </c>
      <c r="C1118" s="282"/>
      <c r="D1118" s="197">
        <v>32</v>
      </c>
      <c r="E1118" s="198" t="s">
        <v>382</v>
      </c>
      <c r="F1118" s="177"/>
      <c r="G1118" s="177"/>
      <c r="H1118" s="177"/>
    </row>
    <row r="1119" spans="1:8" s="134" customFormat="1" x14ac:dyDescent="0.2">
      <c r="A1119" s="206"/>
      <c r="B1119" s="283" t="s">
        <v>383</v>
      </c>
      <c r="C1119" s="283"/>
      <c r="D1119" s="199">
        <v>16</v>
      </c>
      <c r="E1119" s="200" t="s">
        <v>384</v>
      </c>
      <c r="F1119" s="177"/>
      <c r="G1119" s="177"/>
      <c r="H1119" s="177"/>
    </row>
    <row r="1120" spans="1:8" s="134" customFormat="1" x14ac:dyDescent="0.2">
      <c r="A1120" s="206"/>
      <c r="B1120" s="283" t="s">
        <v>385</v>
      </c>
      <c r="C1120" s="283"/>
      <c r="D1120" s="199">
        <v>32</v>
      </c>
      <c r="E1120" s="200" t="s">
        <v>388</v>
      </c>
      <c r="F1120" s="177"/>
      <c r="G1120" s="177"/>
      <c r="H1120" s="177"/>
    </row>
    <row r="1121" spans="1:8" s="134" customFormat="1" x14ac:dyDescent="0.2">
      <c r="A1121" s="206"/>
      <c r="B1121" s="283" t="s">
        <v>386</v>
      </c>
      <c r="C1121" s="283"/>
      <c r="D1121" s="199">
        <v>16</v>
      </c>
      <c r="E1121" s="200" t="s">
        <v>392</v>
      </c>
      <c r="F1121" s="177"/>
      <c r="G1121" s="177"/>
      <c r="H1121" s="177"/>
    </row>
    <row r="1122" spans="1:8" s="134" customFormat="1" x14ac:dyDescent="0.2">
      <c r="A1122" s="206"/>
      <c r="B1122" s="283" t="s">
        <v>387</v>
      </c>
      <c r="C1122" s="283"/>
      <c r="D1122" s="199">
        <v>16</v>
      </c>
      <c r="E1122" s="200" t="s">
        <v>389</v>
      </c>
      <c r="F1122" s="177"/>
      <c r="G1122" s="177"/>
      <c r="H1122" s="177"/>
    </row>
    <row r="1123" spans="1:8" s="134" customFormat="1" ht="13.5" thickBot="1" x14ac:dyDescent="0.25">
      <c r="A1123" s="206"/>
      <c r="B1123" s="284"/>
      <c r="C1123" s="285"/>
      <c r="D1123" s="199"/>
      <c r="E1123" s="200"/>
      <c r="F1123" s="177"/>
      <c r="G1123" s="177"/>
      <c r="H1123" s="177"/>
    </row>
    <row r="1124" spans="1:8" s="134" customFormat="1" ht="13.5" customHeight="1" thickBot="1" x14ac:dyDescent="0.25">
      <c r="A1124" s="206"/>
      <c r="B1124" s="286" t="s">
        <v>431</v>
      </c>
      <c r="C1124" s="287"/>
      <c r="D1124" s="287"/>
      <c r="E1124" s="288"/>
      <c r="F1124" s="177"/>
      <c r="G1124" s="177"/>
      <c r="H1124" s="177"/>
    </row>
    <row r="1125" spans="1:8" s="134" customFormat="1" x14ac:dyDescent="0.2">
      <c r="A1125" s="206"/>
      <c r="B1125" s="195" t="s">
        <v>18</v>
      </c>
      <c r="C1125" s="193"/>
      <c r="D1125" s="210"/>
      <c r="E1125" s="194"/>
      <c r="F1125" s="177"/>
      <c r="G1125" s="177"/>
      <c r="H1125" s="177"/>
    </row>
    <row r="1126" spans="1:8" s="134" customFormat="1" x14ac:dyDescent="0.2">
      <c r="A1126" s="206"/>
      <c r="B1126" s="201"/>
      <c r="C1126" s="277" t="s">
        <v>62</v>
      </c>
      <c r="D1126" s="277"/>
      <c r="E1126" s="277"/>
      <c r="F1126" s="177"/>
      <c r="G1126" s="177"/>
      <c r="H1126" s="177"/>
    </row>
    <row r="1127" spans="1:8" s="134" customFormat="1" x14ac:dyDescent="0.2">
      <c r="A1127" s="206"/>
      <c r="B1127" s="195" t="s">
        <v>19</v>
      </c>
      <c r="C1127" s="212"/>
      <c r="D1127" s="212"/>
      <c r="E1127" s="202"/>
      <c r="F1127" s="177"/>
      <c r="G1127" s="177"/>
      <c r="H1127" s="177"/>
    </row>
    <row r="1128" spans="1:8" s="134" customFormat="1" x14ac:dyDescent="0.2">
      <c r="A1128" s="206"/>
      <c r="B1128" s="201"/>
      <c r="C1128" s="277" t="s">
        <v>465</v>
      </c>
      <c r="D1128" s="277"/>
      <c r="E1128" s="277"/>
      <c r="F1128" s="177"/>
      <c r="G1128" s="177"/>
      <c r="H1128" s="177"/>
    </row>
    <row r="1129" spans="1:8" s="134" customFormat="1" x14ac:dyDescent="0.2">
      <c r="A1129" s="206"/>
      <c r="B1129" s="195" t="s">
        <v>20</v>
      </c>
      <c r="C1129" s="193"/>
      <c r="D1129" s="210"/>
      <c r="E1129" s="194"/>
      <c r="F1129" s="177"/>
      <c r="G1129" s="177"/>
      <c r="H1129" s="177"/>
    </row>
    <row r="1130" spans="1:8" s="134" customFormat="1" x14ac:dyDescent="0.2">
      <c r="A1130" s="206"/>
      <c r="B1130" s="195"/>
      <c r="C1130" s="278" t="s">
        <v>63</v>
      </c>
      <c r="D1130" s="278"/>
      <c r="E1130" s="278"/>
      <c r="F1130" s="177"/>
      <c r="G1130" s="177"/>
      <c r="H1130" s="177"/>
    </row>
    <row r="1131" spans="1:8" s="134" customFormat="1" ht="13.5" thickBot="1" x14ac:dyDescent="0.25">
      <c r="A1131" s="206"/>
      <c r="B1131" s="203"/>
      <c r="C1131" s="174"/>
      <c r="D1131" s="204"/>
      <c r="E1131" s="205"/>
      <c r="F1131" s="177"/>
      <c r="G1131" s="177"/>
      <c r="H1131" s="177"/>
    </row>
    <row r="1132" spans="1:8" s="134" customFormat="1" x14ac:dyDescent="0.2">
      <c r="A1132" s="206"/>
      <c r="B1132" s="177"/>
      <c r="C1132" s="177"/>
      <c r="D1132" s="206"/>
      <c r="E1132" s="177"/>
      <c r="F1132" s="177"/>
      <c r="G1132" s="177"/>
      <c r="H1132" s="177"/>
    </row>
    <row r="1133" spans="1:8" s="134" customFormat="1" ht="13.5" thickBot="1" x14ac:dyDescent="0.25">
      <c r="A1133" s="206"/>
      <c r="B1133" s="177"/>
      <c r="C1133" s="177"/>
      <c r="D1133" s="206"/>
      <c r="E1133" s="177"/>
      <c r="F1133" s="177"/>
      <c r="G1133" s="177"/>
      <c r="H1133" s="177"/>
    </row>
    <row r="1134" spans="1:8" s="134" customFormat="1" x14ac:dyDescent="0.2">
      <c r="A1134" s="206"/>
      <c r="B1134" s="189" t="s">
        <v>436</v>
      </c>
      <c r="C1134" s="190"/>
      <c r="D1134" s="209"/>
      <c r="E1134" s="191"/>
      <c r="F1134" s="177"/>
      <c r="G1134" s="177"/>
      <c r="H1134" s="177"/>
    </row>
    <row r="1135" spans="1:8" s="134" customFormat="1" x14ac:dyDescent="0.2">
      <c r="A1135" s="206"/>
      <c r="B1135" s="192"/>
      <c r="C1135" s="193"/>
      <c r="D1135" s="210"/>
      <c r="E1135" s="194"/>
      <c r="F1135" s="177"/>
      <c r="G1135" s="177"/>
      <c r="H1135" s="177"/>
    </row>
    <row r="1136" spans="1:8" s="134" customFormat="1" x14ac:dyDescent="0.2">
      <c r="A1136" s="206"/>
      <c r="B1136" s="195" t="s">
        <v>16</v>
      </c>
      <c r="C1136" s="193"/>
      <c r="D1136" s="210"/>
      <c r="E1136" s="194"/>
      <c r="F1136" s="177"/>
      <c r="G1136" s="177"/>
      <c r="H1136" s="177"/>
    </row>
    <row r="1137" spans="1:8" s="134" customFormat="1" x14ac:dyDescent="0.2">
      <c r="A1137" s="206"/>
      <c r="B1137" s="195"/>
      <c r="C1137" s="277" t="s">
        <v>548</v>
      </c>
      <c r="D1137" s="277"/>
      <c r="E1137" s="277"/>
      <c r="F1137" s="177"/>
      <c r="G1137" s="177"/>
      <c r="H1137" s="177"/>
    </row>
    <row r="1138" spans="1:8" s="134" customFormat="1" ht="13.5" thickBot="1" x14ac:dyDescent="0.25">
      <c r="A1138" s="206"/>
      <c r="B1138" s="195" t="s">
        <v>17</v>
      </c>
      <c r="C1138" s="193"/>
      <c r="D1138" s="210"/>
      <c r="E1138" s="194"/>
      <c r="F1138" s="177"/>
      <c r="G1138" s="177"/>
      <c r="H1138" s="177"/>
    </row>
    <row r="1139" spans="1:8" s="134" customFormat="1" ht="13.5" thickBot="1" x14ac:dyDescent="0.25">
      <c r="A1139" s="206"/>
      <c r="B1139" s="279" t="s">
        <v>413</v>
      </c>
      <c r="C1139" s="280"/>
      <c r="D1139" s="280"/>
      <c r="E1139" s="281"/>
      <c r="F1139" s="177"/>
      <c r="G1139" s="177"/>
      <c r="H1139" s="177"/>
    </row>
    <row r="1140" spans="1:8" s="134" customFormat="1" ht="13.5" thickBot="1" x14ac:dyDescent="0.25">
      <c r="A1140" s="206"/>
      <c r="B1140" s="279" t="s">
        <v>311</v>
      </c>
      <c r="C1140" s="281"/>
      <c r="D1140" s="196" t="s">
        <v>11</v>
      </c>
      <c r="E1140" s="196" t="s">
        <v>138</v>
      </c>
      <c r="F1140" s="177"/>
      <c r="G1140" s="177"/>
      <c r="H1140" s="177"/>
    </row>
    <row r="1141" spans="1:8" s="134" customFormat="1" x14ac:dyDescent="0.2">
      <c r="A1141" s="206"/>
      <c r="B1141" s="282" t="s">
        <v>381</v>
      </c>
      <c r="C1141" s="282"/>
      <c r="D1141" s="197">
        <v>32</v>
      </c>
      <c r="E1141" s="198" t="s">
        <v>382</v>
      </c>
      <c r="F1141" s="177"/>
      <c r="G1141" s="177"/>
      <c r="H1141" s="177"/>
    </row>
    <row r="1142" spans="1:8" s="134" customFormat="1" x14ac:dyDescent="0.2">
      <c r="A1142" s="206"/>
      <c r="B1142" s="283" t="s">
        <v>383</v>
      </c>
      <c r="C1142" s="283"/>
      <c r="D1142" s="199">
        <v>16</v>
      </c>
      <c r="E1142" s="200" t="s">
        <v>384</v>
      </c>
      <c r="F1142" s="177"/>
      <c r="G1142" s="177"/>
      <c r="H1142" s="177"/>
    </row>
    <row r="1143" spans="1:8" s="134" customFormat="1" x14ac:dyDescent="0.2">
      <c r="A1143" s="206"/>
      <c r="B1143" s="283" t="s">
        <v>385</v>
      </c>
      <c r="C1143" s="283"/>
      <c r="D1143" s="199">
        <v>32</v>
      </c>
      <c r="E1143" s="200" t="s">
        <v>388</v>
      </c>
      <c r="F1143" s="177"/>
      <c r="G1143" s="177"/>
      <c r="H1143" s="177"/>
    </row>
    <row r="1144" spans="1:8" s="134" customFormat="1" x14ac:dyDescent="0.2">
      <c r="A1144" s="206"/>
      <c r="B1144" s="283" t="s">
        <v>386</v>
      </c>
      <c r="C1144" s="283"/>
      <c r="D1144" s="199">
        <v>16</v>
      </c>
      <c r="E1144" s="200" t="s">
        <v>392</v>
      </c>
      <c r="F1144" s="177"/>
      <c r="G1144" s="177"/>
      <c r="H1144" s="177"/>
    </row>
    <row r="1145" spans="1:8" s="134" customFormat="1" x14ac:dyDescent="0.2">
      <c r="A1145" s="206"/>
      <c r="B1145" s="283" t="s">
        <v>387</v>
      </c>
      <c r="C1145" s="283"/>
      <c r="D1145" s="199">
        <v>16</v>
      </c>
      <c r="E1145" s="200" t="s">
        <v>389</v>
      </c>
      <c r="F1145" s="177"/>
      <c r="G1145" s="177"/>
      <c r="H1145" s="177"/>
    </row>
    <row r="1146" spans="1:8" s="134" customFormat="1" ht="13.5" thickBot="1" x14ac:dyDescent="0.25">
      <c r="A1146" s="206"/>
      <c r="B1146" s="284"/>
      <c r="C1146" s="285"/>
      <c r="D1146" s="199"/>
      <c r="E1146" s="200"/>
      <c r="F1146" s="177"/>
      <c r="G1146" s="177"/>
      <c r="H1146" s="177"/>
    </row>
    <row r="1147" spans="1:8" s="134" customFormat="1" ht="13.5" customHeight="1" thickBot="1" x14ac:dyDescent="0.25">
      <c r="A1147" s="206"/>
      <c r="B1147" s="286" t="s">
        <v>431</v>
      </c>
      <c r="C1147" s="287"/>
      <c r="D1147" s="287"/>
      <c r="E1147" s="288"/>
      <c r="F1147" s="177"/>
      <c r="G1147" s="177"/>
      <c r="H1147" s="177"/>
    </row>
    <row r="1148" spans="1:8" s="134" customFormat="1" x14ac:dyDescent="0.2">
      <c r="A1148" s="206"/>
      <c r="B1148" s="195" t="s">
        <v>18</v>
      </c>
      <c r="C1148" s="193"/>
      <c r="D1148" s="210"/>
      <c r="E1148" s="194"/>
      <c r="F1148" s="177"/>
      <c r="G1148" s="177"/>
      <c r="H1148" s="177"/>
    </row>
    <row r="1149" spans="1:8" s="134" customFormat="1" x14ac:dyDescent="0.2">
      <c r="A1149" s="206"/>
      <c r="B1149" s="201"/>
      <c r="C1149" s="277" t="s">
        <v>62</v>
      </c>
      <c r="D1149" s="277"/>
      <c r="E1149" s="277"/>
      <c r="F1149" s="177"/>
      <c r="G1149" s="177"/>
      <c r="H1149" s="177"/>
    </row>
    <row r="1150" spans="1:8" s="134" customFormat="1" x14ac:dyDescent="0.2">
      <c r="A1150" s="206"/>
      <c r="B1150" s="195" t="s">
        <v>19</v>
      </c>
      <c r="C1150" s="212"/>
      <c r="D1150" s="212"/>
      <c r="E1150" s="202"/>
      <c r="F1150" s="177"/>
      <c r="G1150" s="177"/>
      <c r="H1150" s="177"/>
    </row>
    <row r="1151" spans="1:8" s="134" customFormat="1" x14ac:dyDescent="0.2">
      <c r="A1151" s="206"/>
      <c r="B1151" s="201"/>
      <c r="C1151" s="277" t="s">
        <v>465</v>
      </c>
      <c r="D1151" s="277"/>
      <c r="E1151" s="277"/>
      <c r="F1151" s="177"/>
      <c r="G1151" s="177"/>
      <c r="H1151" s="177"/>
    </row>
    <row r="1152" spans="1:8" s="134" customFormat="1" x14ac:dyDescent="0.2">
      <c r="A1152" s="206"/>
      <c r="B1152" s="195" t="s">
        <v>20</v>
      </c>
      <c r="C1152" s="193"/>
      <c r="D1152" s="210"/>
      <c r="E1152" s="194"/>
      <c r="F1152" s="177"/>
      <c r="G1152" s="177"/>
      <c r="H1152" s="177"/>
    </row>
    <row r="1153" spans="1:9" s="134" customFormat="1" x14ac:dyDescent="0.2">
      <c r="A1153" s="206"/>
      <c r="B1153" s="195"/>
      <c r="C1153" s="278" t="s">
        <v>63</v>
      </c>
      <c r="D1153" s="278"/>
      <c r="E1153" s="278"/>
      <c r="F1153" s="177"/>
      <c r="G1153" s="177"/>
      <c r="H1153" s="177"/>
    </row>
    <row r="1154" spans="1:9" s="134" customFormat="1" ht="13.5" thickBot="1" x14ac:dyDescent="0.25">
      <c r="A1154" s="206"/>
      <c r="B1154" s="203"/>
      <c r="C1154" s="174"/>
      <c r="D1154" s="204"/>
      <c r="E1154" s="205"/>
      <c r="F1154" s="177"/>
      <c r="G1154" s="177"/>
      <c r="H1154" s="177"/>
    </row>
    <row r="1155" spans="1:9" s="134" customFormat="1" x14ac:dyDescent="0.2">
      <c r="A1155" s="206"/>
      <c r="B1155" s="177"/>
      <c r="C1155" s="177"/>
      <c r="D1155" s="206"/>
      <c r="E1155" s="177"/>
      <c r="F1155" s="177"/>
      <c r="G1155" s="177"/>
      <c r="H1155" s="177"/>
    </row>
    <row r="1156" spans="1:9" s="134" customFormat="1" ht="13.5" thickBot="1" x14ac:dyDescent="0.25">
      <c r="A1156" s="206"/>
      <c r="B1156" s="177"/>
      <c r="C1156" s="177"/>
      <c r="D1156" s="206"/>
      <c r="E1156" s="177"/>
      <c r="F1156" s="177"/>
      <c r="G1156" s="177"/>
      <c r="H1156" s="177"/>
    </row>
    <row r="1157" spans="1:9" s="134" customFormat="1" x14ac:dyDescent="0.2">
      <c r="A1157" s="206"/>
      <c r="B1157" s="189" t="s">
        <v>437</v>
      </c>
      <c r="C1157" s="190"/>
      <c r="D1157" s="209"/>
      <c r="E1157" s="191"/>
      <c r="F1157" s="177"/>
      <c r="G1157" s="177"/>
      <c r="H1157" s="177"/>
    </row>
    <row r="1158" spans="1:9" s="134" customFormat="1" x14ac:dyDescent="0.2">
      <c r="A1158" s="206"/>
      <c r="B1158" s="192"/>
      <c r="C1158" s="193"/>
      <c r="D1158" s="210"/>
      <c r="E1158" s="194"/>
      <c r="F1158" s="177"/>
      <c r="G1158" s="177"/>
      <c r="H1158" s="177"/>
    </row>
    <row r="1159" spans="1:9" s="134" customFormat="1" x14ac:dyDescent="0.2">
      <c r="A1159" s="206"/>
      <c r="B1159" s="195" t="s">
        <v>16</v>
      </c>
      <c r="C1159" s="193"/>
      <c r="D1159" s="210"/>
      <c r="E1159" s="194"/>
      <c r="F1159" s="177"/>
      <c r="G1159" s="177"/>
      <c r="H1159" s="177"/>
    </row>
    <row r="1160" spans="1:9" s="153" customFormat="1" x14ac:dyDescent="0.2">
      <c r="A1160" s="206"/>
      <c r="B1160" s="195"/>
      <c r="C1160" s="277" t="s">
        <v>549</v>
      </c>
      <c r="D1160" s="277"/>
      <c r="E1160" s="277"/>
      <c r="F1160" s="177"/>
      <c r="G1160" s="177"/>
      <c r="H1160" s="177"/>
      <c r="I1160" s="134"/>
    </row>
    <row r="1161" spans="1:9" s="134" customFormat="1" ht="13.5" thickBot="1" x14ac:dyDescent="0.25">
      <c r="A1161" s="206"/>
      <c r="B1161" s="195" t="s">
        <v>17</v>
      </c>
      <c r="C1161" s="193"/>
      <c r="D1161" s="210"/>
      <c r="E1161" s="194"/>
      <c r="F1161" s="177"/>
      <c r="G1161" s="177"/>
      <c r="H1161" s="177"/>
    </row>
    <row r="1162" spans="1:9" s="134" customFormat="1" ht="13.5" thickBot="1" x14ac:dyDescent="0.25">
      <c r="A1162" s="206"/>
      <c r="B1162" s="279" t="s">
        <v>413</v>
      </c>
      <c r="C1162" s="280"/>
      <c r="D1162" s="280"/>
      <c r="E1162" s="281"/>
      <c r="F1162" s="177"/>
      <c r="G1162" s="177"/>
      <c r="H1162" s="177"/>
    </row>
    <row r="1163" spans="1:9" s="134" customFormat="1" ht="13.5" thickBot="1" x14ac:dyDescent="0.25">
      <c r="A1163" s="206"/>
      <c r="B1163" s="279" t="s">
        <v>311</v>
      </c>
      <c r="C1163" s="281"/>
      <c r="D1163" s="196" t="s">
        <v>11</v>
      </c>
      <c r="E1163" s="196" t="s">
        <v>138</v>
      </c>
      <c r="F1163" s="177"/>
      <c r="G1163" s="177"/>
      <c r="H1163" s="177"/>
    </row>
    <row r="1164" spans="1:9" s="134" customFormat="1" x14ac:dyDescent="0.2">
      <c r="A1164" s="206"/>
      <c r="B1164" s="282" t="s">
        <v>381</v>
      </c>
      <c r="C1164" s="282"/>
      <c r="D1164" s="197">
        <v>2</v>
      </c>
      <c r="E1164" s="198" t="s">
        <v>382</v>
      </c>
      <c r="F1164" s="177"/>
      <c r="G1164" s="177"/>
      <c r="H1164" s="177"/>
    </row>
    <row r="1165" spans="1:9" s="134" customFormat="1" x14ac:dyDescent="0.2">
      <c r="A1165" s="206"/>
      <c r="B1165" s="283" t="s">
        <v>383</v>
      </c>
      <c r="C1165" s="283"/>
      <c r="D1165" s="199">
        <v>1</v>
      </c>
      <c r="E1165" s="200" t="s">
        <v>384</v>
      </c>
      <c r="F1165" s="177"/>
      <c r="G1165" s="177"/>
      <c r="H1165" s="177"/>
    </row>
    <row r="1166" spans="1:9" s="134" customFormat="1" x14ac:dyDescent="0.2">
      <c r="A1166" s="206"/>
      <c r="B1166" s="283" t="s">
        <v>385</v>
      </c>
      <c r="C1166" s="283"/>
      <c r="D1166" s="199">
        <v>2</v>
      </c>
      <c r="E1166" s="200" t="s">
        <v>388</v>
      </c>
      <c r="F1166" s="177"/>
      <c r="G1166" s="177"/>
      <c r="H1166" s="177"/>
    </row>
    <row r="1167" spans="1:9" s="134" customFormat="1" x14ac:dyDescent="0.2">
      <c r="A1167" s="206"/>
      <c r="B1167" s="283" t="s">
        <v>386</v>
      </c>
      <c r="C1167" s="283"/>
      <c r="D1167" s="199">
        <v>1</v>
      </c>
      <c r="E1167" s="200" t="s">
        <v>392</v>
      </c>
      <c r="F1167" s="177"/>
      <c r="G1167" s="177"/>
      <c r="H1167" s="177"/>
    </row>
    <row r="1168" spans="1:9" s="134" customFormat="1" x14ac:dyDescent="0.2">
      <c r="A1168" s="206"/>
      <c r="B1168" s="283" t="s">
        <v>387</v>
      </c>
      <c r="C1168" s="283"/>
      <c r="D1168" s="199">
        <v>1</v>
      </c>
      <c r="E1168" s="200" t="s">
        <v>389</v>
      </c>
      <c r="F1168" s="177"/>
      <c r="G1168" s="177"/>
      <c r="H1168" s="177"/>
    </row>
    <row r="1169" spans="1:9" s="134" customFormat="1" ht="13.5" thickBot="1" x14ac:dyDescent="0.25">
      <c r="A1169" s="206"/>
      <c r="B1169" s="284"/>
      <c r="C1169" s="285"/>
      <c r="D1169" s="199"/>
      <c r="E1169" s="200"/>
      <c r="F1169" s="177"/>
      <c r="G1169" s="177"/>
      <c r="H1169" s="177"/>
    </row>
    <row r="1170" spans="1:9" s="134" customFormat="1" ht="13.5" customHeight="1" thickBot="1" x14ac:dyDescent="0.25">
      <c r="A1170" s="206"/>
      <c r="B1170" s="286" t="s">
        <v>440</v>
      </c>
      <c r="C1170" s="287"/>
      <c r="D1170" s="287"/>
      <c r="E1170" s="288"/>
      <c r="F1170" s="177"/>
      <c r="G1170" s="177"/>
      <c r="H1170" s="177"/>
    </row>
    <row r="1171" spans="1:9" s="134" customFormat="1" x14ac:dyDescent="0.2">
      <c r="A1171" s="206"/>
      <c r="B1171" s="195" t="s">
        <v>18</v>
      </c>
      <c r="C1171" s="193"/>
      <c r="D1171" s="210"/>
      <c r="E1171" s="194"/>
      <c r="F1171" s="177"/>
      <c r="G1171" s="177"/>
      <c r="H1171" s="177"/>
    </row>
    <row r="1172" spans="1:9" s="134" customFormat="1" x14ac:dyDescent="0.2">
      <c r="A1172" s="206"/>
      <c r="B1172" s="201"/>
      <c r="C1172" s="277" t="s">
        <v>62</v>
      </c>
      <c r="D1172" s="277"/>
      <c r="E1172" s="277"/>
      <c r="F1172" s="177"/>
      <c r="G1172" s="177"/>
      <c r="H1172" s="177"/>
    </row>
    <row r="1173" spans="1:9" s="134" customFormat="1" x14ac:dyDescent="0.2">
      <c r="A1173" s="206"/>
      <c r="B1173" s="195" t="s">
        <v>19</v>
      </c>
      <c r="C1173" s="212"/>
      <c r="D1173" s="212"/>
      <c r="E1173" s="202"/>
      <c r="F1173" s="177"/>
      <c r="G1173" s="177"/>
      <c r="H1173" s="177"/>
    </row>
    <row r="1174" spans="1:9" s="134" customFormat="1" x14ac:dyDescent="0.2">
      <c r="A1174" s="206"/>
      <c r="B1174" s="201"/>
      <c r="C1174" s="277" t="s">
        <v>465</v>
      </c>
      <c r="D1174" s="277"/>
      <c r="E1174" s="277"/>
      <c r="F1174" s="177"/>
      <c r="G1174" s="177"/>
      <c r="H1174" s="177"/>
    </row>
    <row r="1175" spans="1:9" s="134" customFormat="1" x14ac:dyDescent="0.2">
      <c r="A1175" s="206"/>
      <c r="B1175" s="195" t="s">
        <v>20</v>
      </c>
      <c r="C1175" s="193"/>
      <c r="D1175" s="210"/>
      <c r="E1175" s="194"/>
      <c r="F1175" s="177"/>
      <c r="G1175" s="177"/>
      <c r="H1175" s="177"/>
    </row>
    <row r="1176" spans="1:9" s="134" customFormat="1" x14ac:dyDescent="0.2">
      <c r="A1176" s="206"/>
      <c r="B1176" s="195"/>
      <c r="C1176" s="278" t="s">
        <v>63</v>
      </c>
      <c r="D1176" s="278"/>
      <c r="E1176" s="278"/>
      <c r="F1176" s="177"/>
      <c r="G1176" s="177"/>
      <c r="H1176" s="177"/>
    </row>
    <row r="1177" spans="1:9" s="134" customFormat="1" ht="13.5" thickBot="1" x14ac:dyDescent="0.25">
      <c r="A1177" s="206"/>
      <c r="B1177" s="203"/>
      <c r="C1177" s="174"/>
      <c r="D1177" s="204"/>
      <c r="E1177" s="205"/>
      <c r="F1177" s="177"/>
      <c r="G1177" s="177"/>
      <c r="H1177" s="177"/>
    </row>
    <row r="1178" spans="1:9" s="134" customFormat="1" x14ac:dyDescent="0.2">
      <c r="A1178" s="206"/>
      <c r="B1178" s="177"/>
      <c r="C1178" s="177"/>
      <c r="D1178" s="206"/>
      <c r="E1178" s="177"/>
      <c r="F1178" s="177"/>
      <c r="G1178" s="177"/>
      <c r="H1178" s="177"/>
    </row>
    <row r="1179" spans="1:9" s="134" customFormat="1" ht="13.5" thickBot="1" x14ac:dyDescent="0.25">
      <c r="A1179" s="206"/>
      <c r="B1179" s="177"/>
      <c r="C1179" s="177"/>
      <c r="D1179" s="206"/>
      <c r="E1179" s="177"/>
      <c r="F1179" s="177"/>
      <c r="G1179" s="177"/>
      <c r="H1179" s="177"/>
    </row>
    <row r="1180" spans="1:9" s="134" customFormat="1" x14ac:dyDescent="0.2">
      <c r="A1180" s="206"/>
      <c r="B1180" s="189" t="s">
        <v>438</v>
      </c>
      <c r="C1180" s="190"/>
      <c r="D1180" s="209"/>
      <c r="E1180" s="191"/>
      <c r="F1180" s="177"/>
      <c r="G1180" s="177"/>
      <c r="H1180" s="177"/>
    </row>
    <row r="1181" spans="1:9" s="134" customFormat="1" x14ac:dyDescent="0.2">
      <c r="A1181" s="206"/>
      <c r="B1181" s="192"/>
      <c r="C1181" s="193"/>
      <c r="D1181" s="210"/>
      <c r="E1181" s="194"/>
      <c r="F1181" s="177"/>
      <c r="G1181" s="177"/>
      <c r="H1181" s="177"/>
    </row>
    <row r="1182" spans="1:9" s="134" customFormat="1" x14ac:dyDescent="0.2">
      <c r="A1182" s="206"/>
      <c r="B1182" s="195" t="s">
        <v>16</v>
      </c>
      <c r="C1182" s="193"/>
      <c r="D1182" s="210"/>
      <c r="E1182" s="194"/>
      <c r="F1182" s="177"/>
      <c r="G1182" s="177"/>
      <c r="H1182" s="177"/>
    </row>
    <row r="1183" spans="1:9" s="153" customFormat="1" x14ac:dyDescent="0.2">
      <c r="A1183" s="206"/>
      <c r="B1183" s="195"/>
      <c r="C1183" s="277" t="s">
        <v>550</v>
      </c>
      <c r="D1183" s="277"/>
      <c r="E1183" s="277"/>
      <c r="F1183" s="177"/>
      <c r="G1183" s="177"/>
      <c r="H1183" s="177"/>
      <c r="I1183" s="134"/>
    </row>
    <row r="1184" spans="1:9" s="134" customFormat="1" ht="13.5" thickBot="1" x14ac:dyDescent="0.25">
      <c r="A1184" s="206"/>
      <c r="B1184" s="195" t="s">
        <v>17</v>
      </c>
      <c r="C1184" s="193"/>
      <c r="D1184" s="210"/>
      <c r="E1184" s="194"/>
      <c r="F1184" s="177"/>
      <c r="G1184" s="177"/>
      <c r="H1184" s="177"/>
    </row>
    <row r="1185" spans="1:8" s="134" customFormat="1" ht="13.5" thickBot="1" x14ac:dyDescent="0.25">
      <c r="A1185" s="206"/>
      <c r="B1185" s="279" t="s">
        <v>413</v>
      </c>
      <c r="C1185" s="280"/>
      <c r="D1185" s="280"/>
      <c r="E1185" s="281"/>
      <c r="F1185" s="177"/>
      <c r="G1185" s="177"/>
      <c r="H1185" s="177"/>
    </row>
    <row r="1186" spans="1:8" s="134" customFormat="1" ht="13.5" thickBot="1" x14ac:dyDescent="0.25">
      <c r="A1186" s="206"/>
      <c r="B1186" s="279" t="s">
        <v>311</v>
      </c>
      <c r="C1186" s="281"/>
      <c r="D1186" s="196" t="s">
        <v>11</v>
      </c>
      <c r="E1186" s="196" t="s">
        <v>138</v>
      </c>
      <c r="F1186" s="177"/>
      <c r="G1186" s="177"/>
      <c r="H1186" s="177"/>
    </row>
    <row r="1187" spans="1:8" s="134" customFormat="1" x14ac:dyDescent="0.2">
      <c r="A1187" s="206"/>
      <c r="B1187" s="282" t="s">
        <v>381</v>
      </c>
      <c r="C1187" s="282"/>
      <c r="D1187" s="197">
        <v>2</v>
      </c>
      <c r="E1187" s="198" t="s">
        <v>382</v>
      </c>
      <c r="F1187" s="177"/>
      <c r="G1187" s="177"/>
      <c r="H1187" s="177"/>
    </row>
    <row r="1188" spans="1:8" s="134" customFormat="1" x14ac:dyDescent="0.2">
      <c r="A1188" s="206"/>
      <c r="B1188" s="283" t="s">
        <v>383</v>
      </c>
      <c r="C1188" s="283"/>
      <c r="D1188" s="199">
        <v>1</v>
      </c>
      <c r="E1188" s="200" t="s">
        <v>384</v>
      </c>
      <c r="F1188" s="177"/>
      <c r="G1188" s="177"/>
      <c r="H1188" s="177"/>
    </row>
    <row r="1189" spans="1:8" s="134" customFormat="1" x14ac:dyDescent="0.2">
      <c r="A1189" s="206"/>
      <c r="B1189" s="283" t="s">
        <v>385</v>
      </c>
      <c r="C1189" s="283"/>
      <c r="D1189" s="199">
        <v>2</v>
      </c>
      <c r="E1189" s="200" t="s">
        <v>388</v>
      </c>
      <c r="F1189" s="177"/>
      <c r="G1189" s="177"/>
      <c r="H1189" s="177"/>
    </row>
    <row r="1190" spans="1:8" s="134" customFormat="1" x14ac:dyDescent="0.2">
      <c r="A1190" s="206"/>
      <c r="B1190" s="283" t="s">
        <v>386</v>
      </c>
      <c r="C1190" s="283"/>
      <c r="D1190" s="199">
        <v>1</v>
      </c>
      <c r="E1190" s="200" t="s">
        <v>392</v>
      </c>
      <c r="F1190" s="177"/>
      <c r="G1190" s="177"/>
      <c r="H1190" s="177"/>
    </row>
    <row r="1191" spans="1:8" s="134" customFormat="1" x14ac:dyDescent="0.2">
      <c r="A1191" s="206"/>
      <c r="B1191" s="283" t="s">
        <v>387</v>
      </c>
      <c r="C1191" s="283"/>
      <c r="D1191" s="199">
        <v>1</v>
      </c>
      <c r="E1191" s="200" t="s">
        <v>389</v>
      </c>
      <c r="F1191" s="177"/>
      <c r="G1191" s="177"/>
      <c r="H1191" s="177"/>
    </row>
    <row r="1192" spans="1:8" s="134" customFormat="1" ht="13.5" thickBot="1" x14ac:dyDescent="0.25">
      <c r="A1192" s="206"/>
      <c r="B1192" s="284"/>
      <c r="C1192" s="285"/>
      <c r="D1192" s="199"/>
      <c r="E1192" s="200"/>
      <c r="F1192" s="177"/>
      <c r="G1192" s="177"/>
      <c r="H1192" s="177"/>
    </row>
    <row r="1193" spans="1:8" s="134" customFormat="1" ht="13.5" customHeight="1" thickBot="1" x14ac:dyDescent="0.25">
      <c r="A1193" s="206"/>
      <c r="B1193" s="286" t="s">
        <v>440</v>
      </c>
      <c r="C1193" s="287"/>
      <c r="D1193" s="287"/>
      <c r="E1193" s="288"/>
      <c r="F1193" s="177"/>
      <c r="G1193" s="177"/>
      <c r="H1193" s="177"/>
    </row>
    <row r="1194" spans="1:8" s="134" customFormat="1" x14ac:dyDescent="0.2">
      <c r="A1194" s="206"/>
      <c r="B1194" s="195" t="s">
        <v>18</v>
      </c>
      <c r="C1194" s="193"/>
      <c r="D1194" s="210"/>
      <c r="E1194" s="194"/>
      <c r="F1194" s="177"/>
      <c r="G1194" s="177"/>
      <c r="H1194" s="177"/>
    </row>
    <row r="1195" spans="1:8" s="134" customFormat="1" x14ac:dyDescent="0.2">
      <c r="A1195" s="206"/>
      <c r="B1195" s="201"/>
      <c r="C1195" s="289" t="s">
        <v>62</v>
      </c>
      <c r="D1195" s="289"/>
      <c r="E1195" s="277"/>
      <c r="F1195" s="177"/>
      <c r="G1195" s="177"/>
      <c r="H1195" s="177"/>
    </row>
    <row r="1196" spans="1:8" s="134" customFormat="1" x14ac:dyDescent="0.2">
      <c r="A1196" s="206"/>
      <c r="B1196" s="195" t="s">
        <v>19</v>
      </c>
      <c r="C1196" s="212"/>
      <c r="D1196" s="212"/>
      <c r="E1196" s="202"/>
      <c r="F1196" s="177"/>
      <c r="G1196" s="177"/>
      <c r="H1196" s="177"/>
    </row>
    <row r="1197" spans="1:8" s="134" customFormat="1" x14ac:dyDescent="0.2">
      <c r="A1197" s="206"/>
      <c r="B1197" s="201"/>
      <c r="C1197" s="289" t="s">
        <v>465</v>
      </c>
      <c r="D1197" s="289"/>
      <c r="E1197" s="277"/>
      <c r="F1197" s="177"/>
      <c r="G1197" s="177"/>
      <c r="H1197" s="177"/>
    </row>
    <row r="1198" spans="1:8" s="134" customFormat="1" x14ac:dyDescent="0.2">
      <c r="A1198" s="206"/>
      <c r="B1198" s="195" t="s">
        <v>20</v>
      </c>
      <c r="C1198" s="193"/>
      <c r="D1198" s="210"/>
      <c r="E1198" s="194"/>
      <c r="F1198" s="177"/>
      <c r="G1198" s="177"/>
      <c r="H1198" s="177"/>
    </row>
    <row r="1199" spans="1:8" s="134" customFormat="1" x14ac:dyDescent="0.2">
      <c r="A1199" s="206"/>
      <c r="B1199" s="195"/>
      <c r="C1199" s="278" t="s">
        <v>63</v>
      </c>
      <c r="D1199" s="278"/>
      <c r="E1199" s="278"/>
      <c r="F1199" s="177"/>
      <c r="G1199" s="177"/>
      <c r="H1199" s="177"/>
    </row>
    <row r="1200" spans="1:8" s="134" customFormat="1" ht="13.5" thickBot="1" x14ac:dyDescent="0.25">
      <c r="A1200" s="206"/>
      <c r="B1200" s="203"/>
      <c r="C1200" s="174"/>
      <c r="D1200" s="204"/>
      <c r="E1200" s="205"/>
      <c r="F1200" s="177"/>
      <c r="G1200" s="177"/>
      <c r="H1200" s="177"/>
    </row>
    <row r="1201" spans="1:8" s="134" customFormat="1" x14ac:dyDescent="0.2">
      <c r="A1201" s="206"/>
      <c r="B1201" s="177"/>
      <c r="C1201" s="177"/>
      <c r="D1201" s="206"/>
      <c r="E1201" s="177"/>
      <c r="F1201" s="177"/>
      <c r="G1201" s="177"/>
      <c r="H1201" s="177"/>
    </row>
    <row r="1202" spans="1:8" s="134" customFormat="1" ht="13.5" thickBot="1" x14ac:dyDescent="0.25">
      <c r="A1202" s="206"/>
      <c r="B1202" s="177"/>
      <c r="C1202" s="177"/>
      <c r="D1202" s="206"/>
      <c r="E1202" s="177"/>
      <c r="F1202" s="177"/>
      <c r="G1202" s="177"/>
      <c r="H1202" s="177"/>
    </row>
    <row r="1203" spans="1:8" s="134" customFormat="1" x14ac:dyDescent="0.2">
      <c r="A1203" s="206"/>
      <c r="B1203" s="189" t="s">
        <v>439</v>
      </c>
      <c r="C1203" s="190"/>
      <c r="D1203" s="209"/>
      <c r="E1203" s="191"/>
      <c r="F1203" s="177"/>
      <c r="G1203" s="177"/>
      <c r="H1203" s="177"/>
    </row>
    <row r="1204" spans="1:8" s="134" customFormat="1" x14ac:dyDescent="0.2">
      <c r="A1204" s="206"/>
      <c r="B1204" s="192"/>
      <c r="C1204" s="193"/>
      <c r="D1204" s="210"/>
      <c r="E1204" s="194"/>
      <c r="F1204" s="177"/>
      <c r="G1204" s="177"/>
      <c r="H1204" s="177"/>
    </row>
    <row r="1205" spans="1:8" s="134" customFormat="1" x14ac:dyDescent="0.2">
      <c r="A1205" s="206"/>
      <c r="B1205" s="195" t="s">
        <v>16</v>
      </c>
      <c r="C1205" s="193"/>
      <c r="D1205" s="210"/>
      <c r="E1205" s="194"/>
      <c r="F1205" s="177"/>
      <c r="G1205" s="177"/>
      <c r="H1205" s="177"/>
    </row>
    <row r="1206" spans="1:8" s="134" customFormat="1" x14ac:dyDescent="0.2">
      <c r="A1206" s="206"/>
      <c r="B1206" s="195"/>
      <c r="C1206" s="277" t="s">
        <v>551</v>
      </c>
      <c r="D1206" s="277"/>
      <c r="E1206" s="277"/>
      <c r="F1206" s="177"/>
      <c r="G1206" s="177"/>
      <c r="H1206" s="177"/>
    </row>
    <row r="1207" spans="1:8" s="134" customFormat="1" ht="13.5" thickBot="1" x14ac:dyDescent="0.25">
      <c r="A1207" s="206"/>
      <c r="B1207" s="195" t="s">
        <v>17</v>
      </c>
      <c r="C1207" s="193"/>
      <c r="D1207" s="210"/>
      <c r="E1207" s="194"/>
      <c r="F1207" s="177"/>
      <c r="G1207" s="177"/>
      <c r="H1207" s="177"/>
    </row>
    <row r="1208" spans="1:8" s="134" customFormat="1" ht="13.5" thickBot="1" x14ac:dyDescent="0.25">
      <c r="A1208" s="206"/>
      <c r="B1208" s="279" t="s">
        <v>413</v>
      </c>
      <c r="C1208" s="280"/>
      <c r="D1208" s="280"/>
      <c r="E1208" s="281"/>
      <c r="F1208" s="177"/>
      <c r="G1208" s="177"/>
      <c r="H1208" s="177"/>
    </row>
    <row r="1209" spans="1:8" s="134" customFormat="1" ht="13.5" thickBot="1" x14ac:dyDescent="0.25">
      <c r="A1209" s="206"/>
      <c r="B1209" s="279" t="s">
        <v>311</v>
      </c>
      <c r="C1209" s="281"/>
      <c r="D1209" s="196" t="s">
        <v>11</v>
      </c>
      <c r="E1209" s="196" t="s">
        <v>138</v>
      </c>
      <c r="F1209" s="177"/>
      <c r="G1209" s="177"/>
      <c r="H1209" s="177"/>
    </row>
    <row r="1210" spans="1:8" s="134" customFormat="1" x14ac:dyDescent="0.2">
      <c r="A1210" s="206"/>
      <c r="B1210" s="282" t="s">
        <v>381</v>
      </c>
      <c r="C1210" s="282"/>
      <c r="D1210" s="197">
        <v>96</v>
      </c>
      <c r="E1210" s="198" t="s">
        <v>382</v>
      </c>
      <c r="F1210" s="177"/>
      <c r="G1210" s="177"/>
      <c r="H1210" s="177"/>
    </row>
    <row r="1211" spans="1:8" s="134" customFormat="1" x14ac:dyDescent="0.2">
      <c r="A1211" s="206"/>
      <c r="B1211" s="283" t="s">
        <v>383</v>
      </c>
      <c r="C1211" s="283"/>
      <c r="D1211" s="199">
        <v>48</v>
      </c>
      <c r="E1211" s="200" t="s">
        <v>384</v>
      </c>
      <c r="F1211" s="177"/>
      <c r="G1211" s="177"/>
      <c r="H1211" s="177"/>
    </row>
    <row r="1212" spans="1:8" s="134" customFormat="1" x14ac:dyDescent="0.2">
      <c r="A1212" s="206"/>
      <c r="B1212" s="283" t="s">
        <v>385</v>
      </c>
      <c r="C1212" s="283"/>
      <c r="D1212" s="199">
        <v>96</v>
      </c>
      <c r="E1212" s="200" t="s">
        <v>388</v>
      </c>
      <c r="F1212" s="177"/>
      <c r="G1212" s="177"/>
      <c r="H1212" s="177"/>
    </row>
    <row r="1213" spans="1:8" s="134" customFormat="1" x14ac:dyDescent="0.2">
      <c r="A1213" s="206"/>
      <c r="B1213" s="283" t="s">
        <v>386</v>
      </c>
      <c r="C1213" s="283"/>
      <c r="D1213" s="199">
        <v>48</v>
      </c>
      <c r="E1213" s="200" t="s">
        <v>392</v>
      </c>
      <c r="F1213" s="177"/>
      <c r="G1213" s="177"/>
      <c r="H1213" s="177"/>
    </row>
    <row r="1214" spans="1:8" s="134" customFormat="1" x14ac:dyDescent="0.2">
      <c r="A1214" s="206"/>
      <c r="B1214" s="283" t="s">
        <v>387</v>
      </c>
      <c r="C1214" s="283"/>
      <c r="D1214" s="199">
        <v>48</v>
      </c>
      <c r="E1214" s="200" t="s">
        <v>389</v>
      </c>
      <c r="F1214" s="177"/>
      <c r="G1214" s="177"/>
      <c r="H1214" s="177"/>
    </row>
    <row r="1215" spans="1:8" s="134" customFormat="1" ht="13.5" thickBot="1" x14ac:dyDescent="0.25">
      <c r="A1215" s="206"/>
      <c r="B1215" s="284"/>
      <c r="C1215" s="285"/>
      <c r="D1215" s="199"/>
      <c r="E1215" s="200"/>
      <c r="F1215" s="177"/>
      <c r="G1215" s="177"/>
      <c r="H1215" s="177"/>
    </row>
    <row r="1216" spans="1:8" s="134" customFormat="1" ht="13.5" customHeight="1" thickBot="1" x14ac:dyDescent="0.25">
      <c r="A1216" s="206"/>
      <c r="B1216" s="286" t="s">
        <v>421</v>
      </c>
      <c r="C1216" s="287"/>
      <c r="D1216" s="287"/>
      <c r="E1216" s="288"/>
      <c r="F1216" s="177"/>
      <c r="G1216" s="177"/>
      <c r="H1216" s="177"/>
    </row>
    <row r="1217" spans="1:8" s="134" customFormat="1" x14ac:dyDescent="0.2">
      <c r="A1217" s="206"/>
      <c r="B1217" s="195" t="s">
        <v>18</v>
      </c>
      <c r="C1217" s="193"/>
      <c r="D1217" s="210"/>
      <c r="E1217" s="194"/>
      <c r="F1217" s="177"/>
      <c r="G1217" s="177"/>
      <c r="H1217" s="177"/>
    </row>
    <row r="1218" spans="1:8" s="134" customFormat="1" x14ac:dyDescent="0.2">
      <c r="A1218" s="206"/>
      <c r="B1218" s="201"/>
      <c r="C1218" s="277" t="s">
        <v>62</v>
      </c>
      <c r="D1218" s="277"/>
      <c r="E1218" s="277"/>
      <c r="F1218" s="177"/>
      <c r="G1218" s="177"/>
      <c r="H1218" s="177"/>
    </row>
    <row r="1219" spans="1:8" s="134" customFormat="1" x14ac:dyDescent="0.2">
      <c r="A1219" s="206"/>
      <c r="B1219" s="195" t="s">
        <v>19</v>
      </c>
      <c r="C1219" s="212"/>
      <c r="D1219" s="212"/>
      <c r="E1219" s="202"/>
      <c r="F1219" s="177"/>
      <c r="G1219" s="177"/>
      <c r="H1219" s="177"/>
    </row>
    <row r="1220" spans="1:8" s="134" customFormat="1" x14ac:dyDescent="0.2">
      <c r="A1220" s="206"/>
      <c r="B1220" s="201"/>
      <c r="C1220" s="277" t="s">
        <v>465</v>
      </c>
      <c r="D1220" s="277"/>
      <c r="E1220" s="277"/>
      <c r="F1220" s="177"/>
      <c r="G1220" s="177"/>
      <c r="H1220" s="177"/>
    </row>
    <row r="1221" spans="1:8" s="134" customFormat="1" x14ac:dyDescent="0.2">
      <c r="A1221" s="206"/>
      <c r="B1221" s="195" t="s">
        <v>20</v>
      </c>
      <c r="C1221" s="193"/>
      <c r="D1221" s="210"/>
      <c r="E1221" s="194"/>
      <c r="F1221" s="177"/>
      <c r="G1221" s="177"/>
      <c r="H1221" s="177"/>
    </row>
    <row r="1222" spans="1:8" s="134" customFormat="1" x14ac:dyDescent="0.2">
      <c r="A1222" s="206"/>
      <c r="B1222" s="195"/>
      <c r="C1222" s="278" t="s">
        <v>63</v>
      </c>
      <c r="D1222" s="278"/>
      <c r="E1222" s="278"/>
      <c r="F1222" s="177"/>
      <c r="G1222" s="177"/>
      <c r="H1222" s="177"/>
    </row>
    <row r="1223" spans="1:8" s="134" customFormat="1" ht="13.5" thickBot="1" x14ac:dyDescent="0.25">
      <c r="A1223" s="206"/>
      <c r="B1223" s="203"/>
      <c r="C1223" s="174"/>
      <c r="D1223" s="204"/>
      <c r="E1223" s="205"/>
      <c r="F1223" s="177"/>
      <c r="G1223" s="177"/>
      <c r="H1223" s="177"/>
    </row>
    <row r="1224" spans="1:8" s="134" customFormat="1" x14ac:dyDescent="0.2">
      <c r="A1224" s="206"/>
      <c r="B1224" s="177"/>
      <c r="C1224" s="177"/>
      <c r="D1224" s="206"/>
      <c r="E1224" s="177"/>
      <c r="F1224" s="177"/>
      <c r="G1224" s="177"/>
      <c r="H1224" s="177"/>
    </row>
    <row r="1225" spans="1:8" s="134" customFormat="1" ht="13.5" thickBot="1" x14ac:dyDescent="0.25">
      <c r="A1225" s="206"/>
      <c r="B1225" s="177"/>
      <c r="C1225" s="177"/>
      <c r="D1225" s="206"/>
      <c r="E1225" s="177"/>
      <c r="F1225" s="177"/>
      <c r="G1225" s="177"/>
      <c r="H1225" s="177"/>
    </row>
    <row r="1226" spans="1:8" s="134" customFormat="1" x14ac:dyDescent="0.2">
      <c r="A1226" s="206"/>
      <c r="B1226" s="189" t="s">
        <v>441</v>
      </c>
      <c r="C1226" s="190"/>
      <c r="D1226" s="209"/>
      <c r="E1226" s="191"/>
      <c r="F1226" s="177"/>
      <c r="G1226" s="177"/>
      <c r="H1226" s="177"/>
    </row>
    <row r="1227" spans="1:8" s="134" customFormat="1" x14ac:dyDescent="0.2">
      <c r="A1227" s="206"/>
      <c r="B1227" s="192"/>
      <c r="C1227" s="193"/>
      <c r="D1227" s="210"/>
      <c r="E1227" s="194"/>
      <c r="F1227" s="177"/>
      <c r="G1227" s="177"/>
      <c r="H1227" s="177"/>
    </row>
    <row r="1228" spans="1:8" s="134" customFormat="1" x14ac:dyDescent="0.2">
      <c r="A1228" s="206"/>
      <c r="B1228" s="195" t="s">
        <v>16</v>
      </c>
      <c r="C1228" s="193"/>
      <c r="D1228" s="210"/>
      <c r="E1228" s="194"/>
      <c r="F1228" s="177"/>
      <c r="G1228" s="177"/>
      <c r="H1228" s="177"/>
    </row>
    <row r="1229" spans="1:8" s="134" customFormat="1" x14ac:dyDescent="0.2">
      <c r="A1229" s="206"/>
      <c r="B1229" s="195"/>
      <c r="C1229" s="277" t="s">
        <v>552</v>
      </c>
      <c r="D1229" s="277"/>
      <c r="E1229" s="277"/>
      <c r="F1229" s="177"/>
      <c r="G1229" s="177"/>
      <c r="H1229" s="177"/>
    </row>
    <row r="1230" spans="1:8" s="134" customFormat="1" ht="13.5" thickBot="1" x14ac:dyDescent="0.25">
      <c r="A1230" s="206"/>
      <c r="B1230" s="195" t="s">
        <v>17</v>
      </c>
      <c r="C1230" s="193"/>
      <c r="D1230" s="210"/>
      <c r="E1230" s="194"/>
      <c r="F1230" s="177"/>
      <c r="G1230" s="177"/>
      <c r="H1230" s="177"/>
    </row>
    <row r="1231" spans="1:8" s="134" customFormat="1" ht="13.5" thickBot="1" x14ac:dyDescent="0.25">
      <c r="A1231" s="206"/>
      <c r="B1231" s="279" t="s">
        <v>413</v>
      </c>
      <c r="C1231" s="280"/>
      <c r="D1231" s="280"/>
      <c r="E1231" s="281"/>
      <c r="F1231" s="177"/>
      <c r="G1231" s="177"/>
      <c r="H1231" s="177"/>
    </row>
    <row r="1232" spans="1:8" s="134" customFormat="1" ht="13.5" thickBot="1" x14ac:dyDescent="0.25">
      <c r="A1232" s="206"/>
      <c r="B1232" s="279" t="s">
        <v>311</v>
      </c>
      <c r="C1232" s="281"/>
      <c r="D1232" s="196" t="s">
        <v>11</v>
      </c>
      <c r="E1232" s="196" t="s">
        <v>138</v>
      </c>
      <c r="F1232" s="177"/>
      <c r="G1232" s="177"/>
      <c r="H1232" s="177"/>
    </row>
    <row r="1233" spans="1:8" s="134" customFormat="1" x14ac:dyDescent="0.2">
      <c r="A1233" s="206"/>
      <c r="B1233" s="282" t="s">
        <v>381</v>
      </c>
      <c r="C1233" s="282"/>
      <c r="D1233" s="197">
        <v>40</v>
      </c>
      <c r="E1233" s="198" t="s">
        <v>382</v>
      </c>
      <c r="F1233" s="177"/>
      <c r="G1233" s="177"/>
      <c r="H1233" s="177"/>
    </row>
    <row r="1234" spans="1:8" s="134" customFormat="1" x14ac:dyDescent="0.2">
      <c r="A1234" s="206"/>
      <c r="B1234" s="283" t="s">
        <v>383</v>
      </c>
      <c r="C1234" s="283"/>
      <c r="D1234" s="199">
        <v>20</v>
      </c>
      <c r="E1234" s="200" t="s">
        <v>384</v>
      </c>
      <c r="F1234" s="177"/>
      <c r="G1234" s="177"/>
      <c r="H1234" s="177"/>
    </row>
    <row r="1235" spans="1:8" s="134" customFormat="1" x14ac:dyDescent="0.2">
      <c r="A1235" s="206"/>
      <c r="B1235" s="283" t="s">
        <v>385</v>
      </c>
      <c r="C1235" s="283"/>
      <c r="D1235" s="199">
        <v>40</v>
      </c>
      <c r="E1235" s="200" t="s">
        <v>388</v>
      </c>
      <c r="F1235" s="177"/>
      <c r="G1235" s="177"/>
      <c r="H1235" s="177"/>
    </row>
    <row r="1236" spans="1:8" s="134" customFormat="1" x14ac:dyDescent="0.2">
      <c r="A1236" s="206"/>
      <c r="B1236" s="283" t="s">
        <v>386</v>
      </c>
      <c r="C1236" s="283"/>
      <c r="D1236" s="199">
        <v>20</v>
      </c>
      <c r="E1236" s="200" t="s">
        <v>392</v>
      </c>
      <c r="F1236" s="177"/>
      <c r="G1236" s="177"/>
      <c r="H1236" s="177"/>
    </row>
    <row r="1237" spans="1:8" s="134" customFormat="1" x14ac:dyDescent="0.2">
      <c r="A1237" s="206"/>
      <c r="B1237" s="283" t="s">
        <v>387</v>
      </c>
      <c r="C1237" s="283"/>
      <c r="D1237" s="199">
        <v>20</v>
      </c>
      <c r="E1237" s="200" t="s">
        <v>389</v>
      </c>
      <c r="F1237" s="177"/>
      <c r="G1237" s="177"/>
      <c r="H1237" s="177"/>
    </row>
    <row r="1238" spans="1:8" s="134" customFormat="1" ht="13.5" thickBot="1" x14ac:dyDescent="0.25">
      <c r="A1238" s="206"/>
      <c r="B1238" s="284"/>
      <c r="C1238" s="285"/>
      <c r="D1238" s="199"/>
      <c r="E1238" s="200"/>
      <c r="F1238" s="177"/>
      <c r="G1238" s="177"/>
      <c r="H1238" s="177"/>
    </row>
    <row r="1239" spans="1:8" s="134" customFormat="1" ht="13.5" customHeight="1" thickBot="1" x14ac:dyDescent="0.25">
      <c r="A1239" s="206"/>
      <c r="B1239" s="286" t="s">
        <v>420</v>
      </c>
      <c r="C1239" s="287"/>
      <c r="D1239" s="287"/>
      <c r="E1239" s="288"/>
      <c r="F1239" s="177"/>
      <c r="G1239" s="177"/>
      <c r="H1239" s="177"/>
    </row>
    <row r="1240" spans="1:8" s="134" customFormat="1" x14ac:dyDescent="0.2">
      <c r="A1240" s="206"/>
      <c r="B1240" s="195" t="s">
        <v>18</v>
      </c>
      <c r="C1240" s="193"/>
      <c r="D1240" s="210"/>
      <c r="E1240" s="194"/>
      <c r="F1240" s="177"/>
      <c r="G1240" s="177"/>
      <c r="H1240" s="177"/>
    </row>
    <row r="1241" spans="1:8" s="134" customFormat="1" x14ac:dyDescent="0.2">
      <c r="A1241" s="206"/>
      <c r="B1241" s="201"/>
      <c r="C1241" s="277" t="s">
        <v>62</v>
      </c>
      <c r="D1241" s="277"/>
      <c r="E1241" s="277"/>
      <c r="F1241" s="177"/>
      <c r="G1241" s="177"/>
      <c r="H1241" s="177"/>
    </row>
    <row r="1242" spans="1:8" s="134" customFormat="1" x14ac:dyDescent="0.2">
      <c r="A1242" s="206"/>
      <c r="B1242" s="195" t="s">
        <v>19</v>
      </c>
      <c r="C1242" s="212"/>
      <c r="D1242" s="212"/>
      <c r="E1242" s="202"/>
      <c r="F1242" s="177"/>
      <c r="G1242" s="177"/>
      <c r="H1242" s="177"/>
    </row>
    <row r="1243" spans="1:8" s="134" customFormat="1" x14ac:dyDescent="0.2">
      <c r="A1243" s="206"/>
      <c r="B1243" s="201"/>
      <c r="C1243" s="277" t="s">
        <v>465</v>
      </c>
      <c r="D1243" s="277"/>
      <c r="E1243" s="277"/>
      <c r="F1243" s="177"/>
      <c r="G1243" s="177"/>
      <c r="H1243" s="177"/>
    </row>
    <row r="1244" spans="1:8" s="134" customFormat="1" x14ac:dyDescent="0.2">
      <c r="A1244" s="206"/>
      <c r="B1244" s="195" t="s">
        <v>20</v>
      </c>
      <c r="C1244" s="193"/>
      <c r="D1244" s="210"/>
      <c r="E1244" s="194"/>
      <c r="F1244" s="177"/>
      <c r="G1244" s="177"/>
      <c r="H1244" s="177"/>
    </row>
    <row r="1245" spans="1:8" s="134" customFormat="1" x14ac:dyDescent="0.2">
      <c r="A1245" s="206"/>
      <c r="B1245" s="195"/>
      <c r="C1245" s="278" t="s">
        <v>63</v>
      </c>
      <c r="D1245" s="278"/>
      <c r="E1245" s="278"/>
      <c r="F1245" s="177"/>
      <c r="G1245" s="177"/>
      <c r="H1245" s="177"/>
    </row>
    <row r="1246" spans="1:8" s="134" customFormat="1" ht="13.5" thickBot="1" x14ac:dyDescent="0.25">
      <c r="A1246" s="206"/>
      <c r="B1246" s="203"/>
      <c r="C1246" s="174"/>
      <c r="D1246" s="204"/>
      <c r="E1246" s="205"/>
      <c r="F1246" s="177"/>
      <c r="G1246" s="177"/>
      <c r="H1246" s="177"/>
    </row>
    <row r="1247" spans="1:8" s="134" customFormat="1" x14ac:dyDescent="0.2">
      <c r="A1247" s="206"/>
      <c r="B1247" s="177"/>
      <c r="C1247" s="177"/>
      <c r="D1247" s="206"/>
      <c r="E1247" s="177"/>
      <c r="F1247" s="177"/>
      <c r="G1247" s="177"/>
      <c r="H1247" s="177"/>
    </row>
    <row r="1248" spans="1:8" s="134" customFormat="1" ht="13.5" thickBot="1" x14ac:dyDescent="0.25">
      <c r="A1248" s="206"/>
      <c r="B1248" s="177"/>
      <c r="C1248" s="177"/>
      <c r="D1248" s="206"/>
      <c r="E1248" s="177"/>
      <c r="F1248" s="177"/>
      <c r="G1248" s="177"/>
      <c r="H1248" s="177"/>
    </row>
    <row r="1249" spans="1:9" s="134" customFormat="1" x14ac:dyDescent="0.2">
      <c r="A1249" s="206"/>
      <c r="B1249" s="189" t="s">
        <v>442</v>
      </c>
      <c r="C1249" s="190"/>
      <c r="D1249" s="209"/>
      <c r="E1249" s="191"/>
      <c r="F1249" s="177"/>
      <c r="G1249" s="177"/>
      <c r="H1249" s="177"/>
    </row>
    <row r="1250" spans="1:9" s="134" customFormat="1" x14ac:dyDescent="0.2">
      <c r="A1250" s="206"/>
      <c r="B1250" s="192"/>
      <c r="C1250" s="193"/>
      <c r="D1250" s="210"/>
      <c r="E1250" s="194"/>
      <c r="F1250" s="177"/>
      <c r="G1250" s="177"/>
      <c r="H1250" s="177"/>
    </row>
    <row r="1251" spans="1:9" s="134" customFormat="1" x14ac:dyDescent="0.2">
      <c r="A1251" s="206"/>
      <c r="B1251" s="195" t="s">
        <v>16</v>
      </c>
      <c r="C1251" s="193"/>
      <c r="D1251" s="210"/>
      <c r="E1251" s="194"/>
      <c r="F1251" s="177"/>
      <c r="G1251" s="177"/>
      <c r="H1251" s="177"/>
    </row>
    <row r="1252" spans="1:9" s="153" customFormat="1" x14ac:dyDescent="0.2">
      <c r="A1252" s="206"/>
      <c r="B1252" s="195"/>
      <c r="C1252" s="277" t="s">
        <v>553</v>
      </c>
      <c r="D1252" s="277"/>
      <c r="E1252" s="277"/>
      <c r="F1252" s="177"/>
      <c r="G1252" s="177"/>
      <c r="H1252" s="177"/>
      <c r="I1252" s="134"/>
    </row>
    <row r="1253" spans="1:9" s="134" customFormat="1" ht="13.5" thickBot="1" x14ac:dyDescent="0.25">
      <c r="A1253" s="206"/>
      <c r="B1253" s="195" t="s">
        <v>17</v>
      </c>
      <c r="C1253" s="193"/>
      <c r="D1253" s="210"/>
      <c r="E1253" s="194"/>
      <c r="F1253" s="177"/>
      <c r="G1253" s="177"/>
      <c r="H1253" s="177"/>
    </row>
    <row r="1254" spans="1:9" s="134" customFormat="1" ht="13.5" thickBot="1" x14ac:dyDescent="0.25">
      <c r="A1254" s="206"/>
      <c r="B1254" s="279" t="s">
        <v>413</v>
      </c>
      <c r="C1254" s="280"/>
      <c r="D1254" s="280"/>
      <c r="E1254" s="281"/>
      <c r="F1254" s="177"/>
      <c r="G1254" s="177"/>
      <c r="H1254" s="177"/>
    </row>
    <row r="1255" spans="1:9" s="134" customFormat="1" ht="13.5" thickBot="1" x14ac:dyDescent="0.25">
      <c r="A1255" s="206"/>
      <c r="B1255" s="279" t="s">
        <v>311</v>
      </c>
      <c r="C1255" s="281"/>
      <c r="D1255" s="196" t="s">
        <v>11</v>
      </c>
      <c r="E1255" s="196" t="s">
        <v>138</v>
      </c>
      <c r="F1255" s="177"/>
      <c r="G1255" s="177"/>
      <c r="H1255" s="177"/>
    </row>
    <row r="1256" spans="1:9" s="134" customFormat="1" x14ac:dyDescent="0.2">
      <c r="A1256" s="206"/>
      <c r="B1256" s="282" t="s">
        <v>381</v>
      </c>
      <c r="C1256" s="282"/>
      <c r="D1256" s="197">
        <v>32</v>
      </c>
      <c r="E1256" s="198" t="s">
        <v>382</v>
      </c>
      <c r="F1256" s="177"/>
      <c r="G1256" s="177"/>
      <c r="H1256" s="177"/>
    </row>
    <row r="1257" spans="1:9" s="134" customFormat="1" x14ac:dyDescent="0.2">
      <c r="A1257" s="206"/>
      <c r="B1257" s="283" t="s">
        <v>383</v>
      </c>
      <c r="C1257" s="283"/>
      <c r="D1257" s="199">
        <v>16</v>
      </c>
      <c r="E1257" s="200" t="s">
        <v>384</v>
      </c>
      <c r="F1257" s="177"/>
      <c r="G1257" s="177"/>
      <c r="H1257" s="177"/>
    </row>
    <row r="1258" spans="1:9" s="134" customFormat="1" x14ac:dyDescent="0.2">
      <c r="A1258" s="206"/>
      <c r="B1258" s="283" t="s">
        <v>385</v>
      </c>
      <c r="C1258" s="283"/>
      <c r="D1258" s="199">
        <v>32</v>
      </c>
      <c r="E1258" s="200" t="s">
        <v>388</v>
      </c>
      <c r="F1258" s="177"/>
      <c r="G1258" s="177"/>
      <c r="H1258" s="177"/>
    </row>
    <row r="1259" spans="1:9" s="134" customFormat="1" x14ac:dyDescent="0.2">
      <c r="A1259" s="206"/>
      <c r="B1259" s="283" t="s">
        <v>386</v>
      </c>
      <c r="C1259" s="283"/>
      <c r="D1259" s="199">
        <v>16</v>
      </c>
      <c r="E1259" s="200" t="s">
        <v>392</v>
      </c>
      <c r="F1259" s="177"/>
      <c r="G1259" s="177"/>
      <c r="H1259" s="177"/>
    </row>
    <row r="1260" spans="1:9" s="134" customFormat="1" x14ac:dyDescent="0.2">
      <c r="A1260" s="206"/>
      <c r="B1260" s="283" t="s">
        <v>387</v>
      </c>
      <c r="C1260" s="283"/>
      <c r="D1260" s="199">
        <v>16</v>
      </c>
      <c r="E1260" s="200" t="s">
        <v>389</v>
      </c>
      <c r="F1260" s="177"/>
      <c r="G1260" s="177"/>
      <c r="H1260" s="177"/>
    </row>
    <row r="1261" spans="1:9" s="134" customFormat="1" ht="13.5" thickBot="1" x14ac:dyDescent="0.25">
      <c r="A1261" s="206"/>
      <c r="B1261" s="284"/>
      <c r="C1261" s="285"/>
      <c r="D1261" s="199"/>
      <c r="E1261" s="200"/>
      <c r="F1261" s="177"/>
      <c r="G1261" s="177"/>
      <c r="H1261" s="177"/>
    </row>
    <row r="1262" spans="1:9" s="134" customFormat="1" ht="13.5" customHeight="1" thickBot="1" x14ac:dyDescent="0.25">
      <c r="A1262" s="206"/>
      <c r="B1262" s="286" t="s">
        <v>431</v>
      </c>
      <c r="C1262" s="287"/>
      <c r="D1262" s="287"/>
      <c r="E1262" s="288"/>
      <c r="F1262" s="177"/>
      <c r="G1262" s="177"/>
      <c r="H1262" s="177"/>
    </row>
    <row r="1263" spans="1:9" s="134" customFormat="1" x14ac:dyDescent="0.2">
      <c r="A1263" s="206"/>
      <c r="B1263" s="195" t="s">
        <v>18</v>
      </c>
      <c r="C1263" s="193"/>
      <c r="D1263" s="210"/>
      <c r="E1263" s="194"/>
      <c r="F1263" s="177"/>
      <c r="G1263" s="177"/>
      <c r="H1263" s="177"/>
    </row>
    <row r="1264" spans="1:9" s="134" customFormat="1" x14ac:dyDescent="0.2">
      <c r="A1264" s="206"/>
      <c r="B1264" s="201"/>
      <c r="C1264" s="277" t="s">
        <v>62</v>
      </c>
      <c r="D1264" s="277"/>
      <c r="E1264" s="277"/>
      <c r="F1264" s="177"/>
      <c r="G1264" s="177"/>
      <c r="H1264" s="177"/>
    </row>
    <row r="1265" spans="1:8" s="134" customFormat="1" x14ac:dyDescent="0.2">
      <c r="A1265" s="206"/>
      <c r="B1265" s="195" t="s">
        <v>19</v>
      </c>
      <c r="C1265" s="212"/>
      <c r="D1265" s="212"/>
      <c r="E1265" s="202"/>
      <c r="F1265" s="177"/>
      <c r="G1265" s="177"/>
      <c r="H1265" s="177"/>
    </row>
    <row r="1266" spans="1:8" s="134" customFormat="1" x14ac:dyDescent="0.2">
      <c r="A1266" s="206"/>
      <c r="B1266" s="201"/>
      <c r="C1266" s="277" t="s">
        <v>465</v>
      </c>
      <c r="D1266" s="277"/>
      <c r="E1266" s="277"/>
      <c r="F1266" s="177"/>
      <c r="G1266" s="177"/>
      <c r="H1266" s="177"/>
    </row>
    <row r="1267" spans="1:8" s="134" customFormat="1" x14ac:dyDescent="0.2">
      <c r="A1267" s="206"/>
      <c r="B1267" s="195" t="s">
        <v>20</v>
      </c>
      <c r="C1267" s="193"/>
      <c r="D1267" s="210"/>
      <c r="E1267" s="194"/>
      <c r="F1267" s="177"/>
      <c r="G1267" s="177"/>
      <c r="H1267" s="177"/>
    </row>
    <row r="1268" spans="1:8" s="134" customFormat="1" x14ac:dyDescent="0.2">
      <c r="A1268" s="206"/>
      <c r="B1268" s="195"/>
      <c r="C1268" s="278" t="s">
        <v>63</v>
      </c>
      <c r="D1268" s="278"/>
      <c r="E1268" s="278"/>
      <c r="F1268" s="177"/>
      <c r="G1268" s="177"/>
      <c r="H1268" s="177"/>
    </row>
    <row r="1269" spans="1:8" s="134" customFormat="1" ht="13.5" thickBot="1" x14ac:dyDescent="0.25">
      <c r="A1269" s="206"/>
      <c r="B1269" s="203"/>
      <c r="C1269" s="174"/>
      <c r="D1269" s="204"/>
      <c r="E1269" s="205"/>
      <c r="F1269" s="177"/>
      <c r="G1269" s="177"/>
      <c r="H1269" s="177"/>
    </row>
    <row r="1270" spans="1:8" s="134" customFormat="1" x14ac:dyDescent="0.2">
      <c r="A1270" s="206"/>
      <c r="B1270" s="177"/>
      <c r="C1270" s="177"/>
      <c r="D1270" s="206"/>
      <c r="E1270" s="177"/>
      <c r="F1270" s="177"/>
      <c r="G1270" s="177"/>
      <c r="H1270" s="177"/>
    </row>
    <row r="1271" spans="1:8" s="134" customFormat="1" ht="13.5" thickBot="1" x14ac:dyDescent="0.25">
      <c r="A1271" s="206"/>
      <c r="B1271" s="177"/>
      <c r="C1271" s="177"/>
      <c r="D1271" s="206"/>
      <c r="E1271" s="177"/>
      <c r="F1271" s="177"/>
      <c r="G1271" s="177"/>
      <c r="H1271" s="177"/>
    </row>
    <row r="1272" spans="1:8" s="134" customFormat="1" x14ac:dyDescent="0.2">
      <c r="A1272" s="206"/>
      <c r="B1272" s="189" t="s">
        <v>443</v>
      </c>
      <c r="C1272" s="190"/>
      <c r="D1272" s="209"/>
      <c r="E1272" s="191"/>
      <c r="F1272" s="177"/>
      <c r="G1272" s="177"/>
      <c r="H1272" s="177"/>
    </row>
    <row r="1273" spans="1:8" s="134" customFormat="1" x14ac:dyDescent="0.2">
      <c r="A1273" s="206"/>
      <c r="B1273" s="192"/>
      <c r="C1273" s="193"/>
      <c r="D1273" s="210"/>
      <c r="E1273" s="194"/>
      <c r="F1273" s="177"/>
      <c r="G1273" s="177"/>
      <c r="H1273" s="177"/>
    </row>
    <row r="1274" spans="1:8" s="134" customFormat="1" x14ac:dyDescent="0.2">
      <c r="A1274" s="206"/>
      <c r="B1274" s="195" t="s">
        <v>16</v>
      </c>
      <c r="C1274" s="193"/>
      <c r="D1274" s="210"/>
      <c r="E1274" s="194"/>
      <c r="F1274" s="177"/>
      <c r="G1274" s="177"/>
      <c r="H1274" s="177"/>
    </row>
    <row r="1275" spans="1:8" s="134" customFormat="1" x14ac:dyDescent="0.2">
      <c r="A1275" s="206"/>
      <c r="B1275" s="195"/>
      <c r="C1275" s="277" t="s">
        <v>554</v>
      </c>
      <c r="D1275" s="277"/>
      <c r="E1275" s="277"/>
      <c r="F1275" s="177"/>
      <c r="G1275" s="177"/>
      <c r="H1275" s="177"/>
    </row>
    <row r="1276" spans="1:8" s="134" customFormat="1" ht="13.5" thickBot="1" x14ac:dyDescent="0.25">
      <c r="A1276" s="206"/>
      <c r="B1276" s="195" t="s">
        <v>17</v>
      </c>
      <c r="C1276" s="193"/>
      <c r="D1276" s="210"/>
      <c r="E1276" s="194"/>
      <c r="F1276" s="177"/>
      <c r="G1276" s="177"/>
      <c r="H1276" s="177"/>
    </row>
    <row r="1277" spans="1:8" s="134" customFormat="1" ht="13.5" thickBot="1" x14ac:dyDescent="0.25">
      <c r="A1277" s="206"/>
      <c r="B1277" s="279" t="s">
        <v>413</v>
      </c>
      <c r="C1277" s="280"/>
      <c r="D1277" s="280"/>
      <c r="E1277" s="281"/>
      <c r="F1277" s="177"/>
      <c r="G1277" s="177"/>
      <c r="H1277" s="177"/>
    </row>
    <row r="1278" spans="1:8" s="134" customFormat="1" ht="13.5" thickBot="1" x14ac:dyDescent="0.25">
      <c r="A1278" s="206"/>
      <c r="B1278" s="279" t="s">
        <v>311</v>
      </c>
      <c r="C1278" s="281"/>
      <c r="D1278" s="196" t="s">
        <v>11</v>
      </c>
      <c r="E1278" s="196" t="s">
        <v>138</v>
      </c>
      <c r="F1278" s="177"/>
      <c r="G1278" s="177"/>
      <c r="H1278" s="177"/>
    </row>
    <row r="1279" spans="1:8" s="134" customFormat="1" x14ac:dyDescent="0.2">
      <c r="A1279" s="206"/>
      <c r="B1279" s="282" t="s">
        <v>381</v>
      </c>
      <c r="C1279" s="282"/>
      <c r="D1279" s="197">
        <v>32</v>
      </c>
      <c r="E1279" s="198" t="s">
        <v>382</v>
      </c>
      <c r="F1279" s="177"/>
      <c r="G1279" s="177"/>
      <c r="H1279" s="177"/>
    </row>
    <row r="1280" spans="1:8" s="134" customFormat="1" x14ac:dyDescent="0.2">
      <c r="A1280" s="206"/>
      <c r="B1280" s="283" t="s">
        <v>383</v>
      </c>
      <c r="C1280" s="283"/>
      <c r="D1280" s="199">
        <v>16</v>
      </c>
      <c r="E1280" s="200" t="s">
        <v>384</v>
      </c>
      <c r="F1280" s="177"/>
      <c r="G1280" s="177"/>
      <c r="H1280" s="177"/>
    </row>
    <row r="1281" spans="1:8" s="134" customFormat="1" x14ac:dyDescent="0.2">
      <c r="A1281" s="206"/>
      <c r="B1281" s="283" t="s">
        <v>385</v>
      </c>
      <c r="C1281" s="283"/>
      <c r="D1281" s="199">
        <v>32</v>
      </c>
      <c r="E1281" s="200" t="s">
        <v>388</v>
      </c>
      <c r="F1281" s="177"/>
      <c r="G1281" s="177"/>
      <c r="H1281" s="177"/>
    </row>
    <row r="1282" spans="1:8" s="134" customFormat="1" x14ac:dyDescent="0.2">
      <c r="A1282" s="206"/>
      <c r="B1282" s="283" t="s">
        <v>386</v>
      </c>
      <c r="C1282" s="283"/>
      <c r="D1282" s="199">
        <v>16</v>
      </c>
      <c r="E1282" s="200" t="s">
        <v>392</v>
      </c>
      <c r="F1282" s="177"/>
      <c r="G1282" s="177"/>
      <c r="H1282" s="177"/>
    </row>
    <row r="1283" spans="1:8" s="134" customFormat="1" x14ac:dyDescent="0.2">
      <c r="A1283" s="206"/>
      <c r="B1283" s="283" t="s">
        <v>387</v>
      </c>
      <c r="C1283" s="283"/>
      <c r="D1283" s="199">
        <v>16</v>
      </c>
      <c r="E1283" s="200" t="s">
        <v>389</v>
      </c>
      <c r="F1283" s="177"/>
      <c r="G1283" s="177"/>
      <c r="H1283" s="177"/>
    </row>
    <row r="1284" spans="1:8" s="134" customFormat="1" ht="13.5" thickBot="1" x14ac:dyDescent="0.25">
      <c r="A1284" s="206"/>
      <c r="B1284" s="284"/>
      <c r="C1284" s="285"/>
      <c r="D1284" s="199"/>
      <c r="E1284" s="200"/>
      <c r="F1284" s="177"/>
      <c r="G1284" s="177"/>
      <c r="H1284" s="177"/>
    </row>
    <row r="1285" spans="1:8" s="134" customFormat="1" ht="13.5" customHeight="1" thickBot="1" x14ac:dyDescent="0.25">
      <c r="A1285" s="206"/>
      <c r="B1285" s="286" t="s">
        <v>431</v>
      </c>
      <c r="C1285" s="287"/>
      <c r="D1285" s="287"/>
      <c r="E1285" s="288"/>
      <c r="F1285" s="177"/>
      <c r="G1285" s="177"/>
      <c r="H1285" s="177"/>
    </row>
    <row r="1286" spans="1:8" s="134" customFormat="1" x14ac:dyDescent="0.2">
      <c r="A1286" s="206"/>
      <c r="B1286" s="195" t="s">
        <v>18</v>
      </c>
      <c r="C1286" s="193"/>
      <c r="D1286" s="210"/>
      <c r="E1286" s="194"/>
      <c r="F1286" s="177"/>
      <c r="G1286" s="177"/>
      <c r="H1286" s="177"/>
    </row>
    <row r="1287" spans="1:8" s="134" customFormat="1" x14ac:dyDescent="0.2">
      <c r="A1287" s="206"/>
      <c r="B1287" s="201"/>
      <c r="C1287" s="277" t="s">
        <v>62</v>
      </c>
      <c r="D1287" s="277"/>
      <c r="E1287" s="277"/>
      <c r="F1287" s="177"/>
      <c r="G1287" s="177"/>
      <c r="H1287" s="177"/>
    </row>
    <row r="1288" spans="1:8" s="134" customFormat="1" x14ac:dyDescent="0.2">
      <c r="A1288" s="206"/>
      <c r="B1288" s="195" t="s">
        <v>19</v>
      </c>
      <c r="C1288" s="212"/>
      <c r="D1288" s="212"/>
      <c r="E1288" s="202"/>
      <c r="F1288" s="177"/>
      <c r="G1288" s="177"/>
      <c r="H1288" s="177"/>
    </row>
    <row r="1289" spans="1:8" s="134" customFormat="1" x14ac:dyDescent="0.2">
      <c r="A1289" s="206"/>
      <c r="B1289" s="201"/>
      <c r="C1289" s="277" t="s">
        <v>465</v>
      </c>
      <c r="D1289" s="277"/>
      <c r="E1289" s="277"/>
      <c r="F1289" s="177"/>
      <c r="G1289" s="177"/>
      <c r="H1289" s="177"/>
    </row>
    <row r="1290" spans="1:8" s="134" customFormat="1" x14ac:dyDescent="0.2">
      <c r="A1290" s="206"/>
      <c r="B1290" s="195" t="s">
        <v>20</v>
      </c>
      <c r="C1290" s="193"/>
      <c r="D1290" s="210"/>
      <c r="E1290" s="194"/>
      <c r="F1290" s="177"/>
      <c r="G1290" s="177"/>
      <c r="H1290" s="177"/>
    </row>
    <row r="1291" spans="1:8" s="134" customFormat="1" x14ac:dyDescent="0.2">
      <c r="A1291" s="206"/>
      <c r="B1291" s="195"/>
      <c r="C1291" s="278" t="s">
        <v>63</v>
      </c>
      <c r="D1291" s="278"/>
      <c r="E1291" s="278"/>
      <c r="F1291" s="177"/>
      <c r="G1291" s="177"/>
      <c r="H1291" s="177"/>
    </row>
    <row r="1292" spans="1:8" s="134" customFormat="1" ht="13.5" thickBot="1" x14ac:dyDescent="0.25">
      <c r="A1292" s="206"/>
      <c r="B1292" s="203"/>
      <c r="C1292" s="174"/>
      <c r="D1292" s="204"/>
      <c r="E1292" s="205"/>
      <c r="F1292" s="177"/>
      <c r="G1292" s="177"/>
      <c r="H1292" s="177"/>
    </row>
    <row r="1293" spans="1:8" s="134" customFormat="1" x14ac:dyDescent="0.2">
      <c r="A1293" s="206"/>
      <c r="B1293" s="177"/>
      <c r="C1293" s="177"/>
      <c r="D1293" s="206"/>
      <c r="E1293" s="177"/>
      <c r="F1293" s="177"/>
      <c r="G1293" s="177"/>
      <c r="H1293" s="177"/>
    </row>
    <row r="1294" spans="1:8" s="134" customFormat="1" ht="13.5" thickBot="1" x14ac:dyDescent="0.25">
      <c r="A1294" s="206"/>
      <c r="B1294" s="177"/>
      <c r="C1294" s="177"/>
      <c r="D1294" s="206"/>
      <c r="E1294" s="177"/>
      <c r="F1294" s="177"/>
      <c r="G1294" s="177"/>
      <c r="H1294" s="177"/>
    </row>
    <row r="1295" spans="1:8" s="134" customFormat="1" x14ac:dyDescent="0.2">
      <c r="A1295" s="206"/>
      <c r="B1295" s="189" t="s">
        <v>444</v>
      </c>
      <c r="C1295" s="190"/>
      <c r="D1295" s="209"/>
      <c r="E1295" s="191"/>
      <c r="F1295" s="177"/>
      <c r="G1295" s="177"/>
      <c r="H1295" s="177"/>
    </row>
    <row r="1296" spans="1:8" s="134" customFormat="1" x14ac:dyDescent="0.2">
      <c r="A1296" s="206"/>
      <c r="B1296" s="192"/>
      <c r="C1296" s="193"/>
      <c r="D1296" s="210"/>
      <c r="E1296" s="194"/>
      <c r="F1296" s="177"/>
      <c r="G1296" s="177"/>
      <c r="H1296" s="177"/>
    </row>
    <row r="1297" spans="1:8" s="134" customFormat="1" x14ac:dyDescent="0.2">
      <c r="A1297" s="206"/>
      <c r="B1297" s="195" t="s">
        <v>16</v>
      </c>
      <c r="C1297" s="193"/>
      <c r="D1297" s="210"/>
      <c r="E1297" s="194"/>
      <c r="F1297" s="177"/>
      <c r="G1297" s="177"/>
      <c r="H1297" s="177"/>
    </row>
    <row r="1298" spans="1:8" s="134" customFormat="1" x14ac:dyDescent="0.2">
      <c r="A1298" s="206"/>
      <c r="B1298" s="195"/>
      <c r="C1298" s="277" t="s">
        <v>555</v>
      </c>
      <c r="D1298" s="277"/>
      <c r="E1298" s="277"/>
      <c r="F1298" s="177"/>
      <c r="G1298" s="177"/>
      <c r="H1298" s="177"/>
    </row>
    <row r="1299" spans="1:8" s="134" customFormat="1" ht="13.5" thickBot="1" x14ac:dyDescent="0.25">
      <c r="A1299" s="206"/>
      <c r="B1299" s="195" t="s">
        <v>17</v>
      </c>
      <c r="C1299" s="193"/>
      <c r="D1299" s="210"/>
      <c r="E1299" s="194"/>
      <c r="F1299" s="177"/>
      <c r="G1299" s="177"/>
      <c r="H1299" s="177"/>
    </row>
    <row r="1300" spans="1:8" s="134" customFormat="1" ht="13.5" thickBot="1" x14ac:dyDescent="0.25">
      <c r="A1300" s="206"/>
      <c r="B1300" s="279" t="s">
        <v>413</v>
      </c>
      <c r="C1300" s="280"/>
      <c r="D1300" s="280"/>
      <c r="E1300" s="281"/>
      <c r="F1300" s="177"/>
      <c r="G1300" s="177"/>
      <c r="H1300" s="177"/>
    </row>
    <row r="1301" spans="1:8" s="134" customFormat="1" ht="13.5" thickBot="1" x14ac:dyDescent="0.25">
      <c r="A1301" s="206"/>
      <c r="B1301" s="279" t="s">
        <v>311</v>
      </c>
      <c r="C1301" s="281"/>
      <c r="D1301" s="196" t="s">
        <v>11</v>
      </c>
      <c r="E1301" s="196" t="s">
        <v>138</v>
      </c>
      <c r="F1301" s="177"/>
      <c r="G1301" s="177"/>
      <c r="H1301" s="177"/>
    </row>
    <row r="1302" spans="1:8" s="134" customFormat="1" x14ac:dyDescent="0.2">
      <c r="A1302" s="206"/>
      <c r="B1302" s="282" t="s">
        <v>381</v>
      </c>
      <c r="C1302" s="282"/>
      <c r="D1302" s="197">
        <v>40</v>
      </c>
      <c r="E1302" s="198" t="s">
        <v>382</v>
      </c>
      <c r="F1302" s="177"/>
      <c r="G1302" s="177"/>
      <c r="H1302" s="177"/>
    </row>
    <row r="1303" spans="1:8" s="134" customFormat="1" x14ac:dyDescent="0.2">
      <c r="A1303" s="206"/>
      <c r="B1303" s="283" t="s">
        <v>383</v>
      </c>
      <c r="C1303" s="283"/>
      <c r="D1303" s="199">
        <v>20</v>
      </c>
      <c r="E1303" s="200" t="s">
        <v>384</v>
      </c>
      <c r="F1303" s="177"/>
      <c r="G1303" s="177"/>
      <c r="H1303" s="177"/>
    </row>
    <row r="1304" spans="1:8" s="134" customFormat="1" x14ac:dyDescent="0.2">
      <c r="A1304" s="206"/>
      <c r="B1304" s="283" t="s">
        <v>385</v>
      </c>
      <c r="C1304" s="283"/>
      <c r="D1304" s="199">
        <v>40</v>
      </c>
      <c r="E1304" s="200" t="s">
        <v>388</v>
      </c>
      <c r="F1304" s="177"/>
      <c r="G1304" s="177"/>
      <c r="H1304" s="177"/>
    </row>
    <row r="1305" spans="1:8" s="134" customFormat="1" x14ac:dyDescent="0.2">
      <c r="A1305" s="206"/>
      <c r="B1305" s="283" t="s">
        <v>386</v>
      </c>
      <c r="C1305" s="283"/>
      <c r="D1305" s="199">
        <v>20</v>
      </c>
      <c r="E1305" s="200" t="s">
        <v>392</v>
      </c>
      <c r="F1305" s="177"/>
      <c r="G1305" s="177"/>
      <c r="H1305" s="177"/>
    </row>
    <row r="1306" spans="1:8" s="134" customFormat="1" x14ac:dyDescent="0.2">
      <c r="A1306" s="206"/>
      <c r="B1306" s="283" t="s">
        <v>387</v>
      </c>
      <c r="C1306" s="283"/>
      <c r="D1306" s="199">
        <v>20</v>
      </c>
      <c r="E1306" s="200" t="s">
        <v>389</v>
      </c>
      <c r="F1306" s="177"/>
      <c r="G1306" s="177"/>
      <c r="H1306" s="177"/>
    </row>
    <row r="1307" spans="1:8" s="134" customFormat="1" ht="13.5" thickBot="1" x14ac:dyDescent="0.25">
      <c r="A1307" s="206"/>
      <c r="B1307" s="284"/>
      <c r="C1307" s="285"/>
      <c r="D1307" s="199"/>
      <c r="E1307" s="200"/>
      <c r="F1307" s="177"/>
      <c r="G1307" s="177"/>
      <c r="H1307" s="177"/>
    </row>
    <row r="1308" spans="1:8" s="134" customFormat="1" ht="13.5" customHeight="1" thickBot="1" x14ac:dyDescent="0.25">
      <c r="A1308" s="206"/>
      <c r="B1308" s="286" t="s">
        <v>420</v>
      </c>
      <c r="C1308" s="287"/>
      <c r="D1308" s="287"/>
      <c r="E1308" s="288"/>
      <c r="F1308" s="177"/>
      <c r="G1308" s="177"/>
      <c r="H1308" s="177"/>
    </row>
    <row r="1309" spans="1:8" s="134" customFormat="1" x14ac:dyDescent="0.2">
      <c r="A1309" s="206"/>
      <c r="B1309" s="195" t="s">
        <v>18</v>
      </c>
      <c r="C1309" s="193"/>
      <c r="D1309" s="210"/>
      <c r="E1309" s="194"/>
      <c r="F1309" s="177"/>
      <c r="G1309" s="177"/>
      <c r="H1309" s="177"/>
    </row>
    <row r="1310" spans="1:8" s="134" customFormat="1" x14ac:dyDescent="0.2">
      <c r="A1310" s="206"/>
      <c r="B1310" s="201"/>
      <c r="C1310" s="277" t="s">
        <v>62</v>
      </c>
      <c r="D1310" s="277"/>
      <c r="E1310" s="277"/>
      <c r="F1310" s="177"/>
      <c r="G1310" s="177"/>
      <c r="H1310" s="177"/>
    </row>
    <row r="1311" spans="1:8" s="134" customFormat="1" x14ac:dyDescent="0.2">
      <c r="A1311" s="206"/>
      <c r="B1311" s="195" t="s">
        <v>19</v>
      </c>
      <c r="C1311" s="212"/>
      <c r="D1311" s="212"/>
      <c r="E1311" s="202"/>
      <c r="F1311" s="177"/>
      <c r="G1311" s="177"/>
      <c r="H1311" s="177"/>
    </row>
    <row r="1312" spans="1:8" s="134" customFormat="1" x14ac:dyDescent="0.2">
      <c r="A1312" s="206"/>
      <c r="B1312" s="201"/>
      <c r="C1312" s="277" t="s">
        <v>465</v>
      </c>
      <c r="D1312" s="277"/>
      <c r="E1312" s="277"/>
      <c r="F1312" s="177"/>
      <c r="G1312" s="177"/>
      <c r="H1312" s="177"/>
    </row>
    <row r="1313" spans="1:8" s="134" customFormat="1" x14ac:dyDescent="0.2">
      <c r="A1313" s="206"/>
      <c r="B1313" s="195" t="s">
        <v>20</v>
      </c>
      <c r="C1313" s="193"/>
      <c r="D1313" s="210"/>
      <c r="E1313" s="194"/>
      <c r="F1313" s="177"/>
      <c r="G1313" s="177"/>
      <c r="H1313" s="177"/>
    </row>
    <row r="1314" spans="1:8" s="134" customFormat="1" x14ac:dyDescent="0.2">
      <c r="A1314" s="206"/>
      <c r="B1314" s="195"/>
      <c r="C1314" s="278" t="s">
        <v>63</v>
      </c>
      <c r="D1314" s="278"/>
      <c r="E1314" s="278"/>
      <c r="F1314" s="177"/>
      <c r="G1314" s="177"/>
      <c r="H1314" s="177"/>
    </row>
    <row r="1315" spans="1:8" s="134" customFormat="1" ht="13.5" thickBot="1" x14ac:dyDescent="0.25">
      <c r="A1315" s="206"/>
      <c r="B1315" s="203"/>
      <c r="C1315" s="174"/>
      <c r="D1315" s="204"/>
      <c r="E1315" s="205"/>
      <c r="F1315" s="177"/>
      <c r="G1315" s="177"/>
      <c r="H1315" s="177"/>
    </row>
    <row r="1316" spans="1:8" s="134" customFormat="1" x14ac:dyDescent="0.2">
      <c r="A1316" s="206"/>
      <c r="B1316" s="177"/>
      <c r="C1316" s="177"/>
      <c r="D1316" s="206"/>
      <c r="E1316" s="177"/>
      <c r="F1316" s="177"/>
      <c r="G1316" s="177"/>
      <c r="H1316" s="177"/>
    </row>
    <row r="1317" spans="1:8" s="134" customFormat="1" ht="13.5" thickBot="1" x14ac:dyDescent="0.25">
      <c r="A1317" s="206"/>
      <c r="B1317" s="177"/>
      <c r="C1317" s="177"/>
      <c r="D1317" s="206"/>
      <c r="E1317" s="177"/>
      <c r="F1317" s="177"/>
      <c r="G1317" s="177"/>
      <c r="H1317" s="177"/>
    </row>
    <row r="1318" spans="1:8" s="134" customFormat="1" x14ac:dyDescent="0.2">
      <c r="A1318" s="206"/>
      <c r="B1318" s="189" t="s">
        <v>445</v>
      </c>
      <c r="C1318" s="190"/>
      <c r="D1318" s="209"/>
      <c r="E1318" s="191"/>
      <c r="F1318" s="177"/>
      <c r="G1318" s="177"/>
      <c r="H1318" s="177"/>
    </row>
    <row r="1319" spans="1:8" s="134" customFormat="1" x14ac:dyDescent="0.2">
      <c r="A1319" s="206"/>
      <c r="B1319" s="192"/>
      <c r="C1319" s="193"/>
      <c r="D1319" s="210"/>
      <c r="E1319" s="194"/>
      <c r="F1319" s="177"/>
      <c r="G1319" s="177"/>
      <c r="H1319" s="177"/>
    </row>
    <row r="1320" spans="1:8" s="134" customFormat="1" x14ac:dyDescent="0.2">
      <c r="A1320" s="206"/>
      <c r="B1320" s="195" t="s">
        <v>16</v>
      </c>
      <c r="C1320" s="193"/>
      <c r="D1320" s="210"/>
      <c r="E1320" s="194"/>
      <c r="F1320" s="177"/>
      <c r="G1320" s="177"/>
      <c r="H1320" s="177"/>
    </row>
    <row r="1321" spans="1:8" s="134" customFormat="1" ht="15" customHeight="1" x14ac:dyDescent="0.2">
      <c r="A1321" s="206"/>
      <c r="B1321" s="195"/>
      <c r="C1321" s="277" t="s">
        <v>556</v>
      </c>
      <c r="D1321" s="277"/>
      <c r="E1321" s="277"/>
      <c r="F1321" s="177"/>
      <c r="G1321" s="177"/>
      <c r="H1321" s="177"/>
    </row>
    <row r="1322" spans="1:8" s="134" customFormat="1" ht="13.5" thickBot="1" x14ac:dyDescent="0.25">
      <c r="A1322" s="206"/>
      <c r="B1322" s="195" t="s">
        <v>17</v>
      </c>
      <c r="C1322" s="193"/>
      <c r="D1322" s="210"/>
      <c r="E1322" s="194"/>
      <c r="F1322" s="177"/>
      <c r="G1322" s="177"/>
      <c r="H1322" s="177"/>
    </row>
    <row r="1323" spans="1:8" s="134" customFormat="1" ht="13.5" thickBot="1" x14ac:dyDescent="0.25">
      <c r="A1323" s="206"/>
      <c r="B1323" s="279" t="s">
        <v>413</v>
      </c>
      <c r="C1323" s="280"/>
      <c r="D1323" s="280"/>
      <c r="E1323" s="281"/>
      <c r="F1323" s="177"/>
      <c r="G1323" s="177"/>
      <c r="H1323" s="177"/>
    </row>
    <row r="1324" spans="1:8" s="134" customFormat="1" ht="13.5" thickBot="1" x14ac:dyDescent="0.25">
      <c r="A1324" s="206"/>
      <c r="B1324" s="279" t="s">
        <v>311</v>
      </c>
      <c r="C1324" s="281"/>
      <c r="D1324" s="196" t="s">
        <v>11</v>
      </c>
      <c r="E1324" s="196" t="s">
        <v>138</v>
      </c>
      <c r="F1324" s="177"/>
      <c r="G1324" s="177"/>
      <c r="H1324" s="177"/>
    </row>
    <row r="1325" spans="1:8" s="134" customFormat="1" x14ac:dyDescent="0.2">
      <c r="A1325" s="206"/>
      <c r="B1325" s="282" t="s">
        <v>381</v>
      </c>
      <c r="C1325" s="282"/>
      <c r="D1325" s="197">
        <v>27</v>
      </c>
      <c r="E1325" s="198" t="s">
        <v>382</v>
      </c>
      <c r="F1325" s="177"/>
      <c r="G1325" s="177"/>
      <c r="H1325" s="177"/>
    </row>
    <row r="1326" spans="1:8" s="134" customFormat="1" x14ac:dyDescent="0.2">
      <c r="A1326" s="206"/>
      <c r="B1326" s="283" t="s">
        <v>383</v>
      </c>
      <c r="C1326" s="283"/>
      <c r="D1326" s="199">
        <v>14</v>
      </c>
      <c r="E1326" s="200" t="s">
        <v>384</v>
      </c>
      <c r="F1326" s="177"/>
      <c r="G1326" s="177"/>
      <c r="H1326" s="177"/>
    </row>
    <row r="1327" spans="1:8" s="134" customFormat="1" x14ac:dyDescent="0.2">
      <c r="A1327" s="206"/>
      <c r="B1327" s="283" t="s">
        <v>385</v>
      </c>
      <c r="C1327" s="283"/>
      <c r="D1327" s="199">
        <v>27</v>
      </c>
      <c r="E1327" s="200" t="s">
        <v>388</v>
      </c>
      <c r="F1327" s="177"/>
      <c r="G1327" s="177"/>
      <c r="H1327" s="177"/>
    </row>
    <row r="1328" spans="1:8" s="134" customFormat="1" x14ac:dyDescent="0.2">
      <c r="A1328" s="206"/>
      <c r="B1328" s="283" t="s">
        <v>386</v>
      </c>
      <c r="C1328" s="283"/>
      <c r="D1328" s="199">
        <v>14</v>
      </c>
      <c r="E1328" s="200" t="s">
        <v>392</v>
      </c>
      <c r="F1328" s="177"/>
      <c r="G1328" s="177"/>
      <c r="H1328" s="177"/>
    </row>
    <row r="1329" spans="1:8" s="134" customFormat="1" x14ac:dyDescent="0.2">
      <c r="A1329" s="206"/>
      <c r="B1329" s="283" t="s">
        <v>387</v>
      </c>
      <c r="C1329" s="283"/>
      <c r="D1329" s="199">
        <v>14</v>
      </c>
      <c r="E1329" s="200" t="s">
        <v>389</v>
      </c>
      <c r="F1329" s="177"/>
      <c r="G1329" s="177"/>
      <c r="H1329" s="177"/>
    </row>
    <row r="1330" spans="1:8" s="134" customFormat="1" ht="13.5" thickBot="1" x14ac:dyDescent="0.25">
      <c r="A1330" s="206"/>
      <c r="B1330" s="284"/>
      <c r="C1330" s="285"/>
      <c r="D1330" s="199"/>
      <c r="E1330" s="200"/>
      <c r="F1330" s="177"/>
      <c r="G1330" s="177"/>
      <c r="H1330" s="177"/>
    </row>
    <row r="1331" spans="1:8" s="134" customFormat="1" ht="13.5" customHeight="1" thickBot="1" x14ac:dyDescent="0.25">
      <c r="A1331" s="206"/>
      <c r="B1331" s="286" t="s">
        <v>446</v>
      </c>
      <c r="C1331" s="287"/>
      <c r="D1331" s="287"/>
      <c r="E1331" s="288"/>
      <c r="F1331" s="177"/>
      <c r="G1331" s="177"/>
      <c r="H1331" s="177"/>
    </row>
    <row r="1332" spans="1:8" s="134" customFormat="1" x14ac:dyDescent="0.2">
      <c r="A1332" s="206"/>
      <c r="B1332" s="195" t="s">
        <v>18</v>
      </c>
      <c r="C1332" s="193"/>
      <c r="D1332" s="210"/>
      <c r="E1332" s="194"/>
      <c r="F1332" s="177"/>
      <c r="G1332" s="177"/>
      <c r="H1332" s="177"/>
    </row>
    <row r="1333" spans="1:8" s="134" customFormat="1" x14ac:dyDescent="0.2">
      <c r="A1333" s="206"/>
      <c r="B1333" s="201"/>
      <c r="C1333" s="277" t="s">
        <v>62</v>
      </c>
      <c r="D1333" s="277"/>
      <c r="E1333" s="277"/>
      <c r="F1333" s="177"/>
      <c r="G1333" s="177"/>
      <c r="H1333" s="177"/>
    </row>
    <row r="1334" spans="1:8" s="134" customFormat="1" x14ac:dyDescent="0.2">
      <c r="A1334" s="206"/>
      <c r="B1334" s="195" t="s">
        <v>19</v>
      </c>
      <c r="C1334" s="212"/>
      <c r="D1334" s="212"/>
      <c r="E1334" s="202"/>
      <c r="F1334" s="177"/>
      <c r="G1334" s="177"/>
      <c r="H1334" s="177"/>
    </row>
    <row r="1335" spans="1:8" s="134" customFormat="1" x14ac:dyDescent="0.2">
      <c r="A1335" s="206"/>
      <c r="B1335" s="201"/>
      <c r="C1335" s="277" t="s">
        <v>465</v>
      </c>
      <c r="D1335" s="277"/>
      <c r="E1335" s="277"/>
      <c r="F1335" s="177"/>
      <c r="G1335" s="177"/>
      <c r="H1335" s="177"/>
    </row>
    <row r="1336" spans="1:8" s="134" customFormat="1" x14ac:dyDescent="0.2">
      <c r="A1336" s="206"/>
      <c r="B1336" s="195" t="s">
        <v>20</v>
      </c>
      <c r="C1336" s="193"/>
      <c r="D1336" s="210"/>
      <c r="E1336" s="194"/>
      <c r="F1336" s="177"/>
      <c r="G1336" s="177"/>
      <c r="H1336" s="177"/>
    </row>
    <row r="1337" spans="1:8" s="134" customFormat="1" x14ac:dyDescent="0.2">
      <c r="A1337" s="206"/>
      <c r="B1337" s="195"/>
      <c r="C1337" s="278" t="s">
        <v>63</v>
      </c>
      <c r="D1337" s="278"/>
      <c r="E1337" s="278"/>
      <c r="F1337" s="177"/>
      <c r="G1337" s="177"/>
      <c r="H1337" s="177"/>
    </row>
    <row r="1338" spans="1:8" s="134" customFormat="1" ht="13.5" thickBot="1" x14ac:dyDescent="0.25">
      <c r="A1338" s="206"/>
      <c r="B1338" s="203"/>
      <c r="C1338" s="174"/>
      <c r="D1338" s="204"/>
      <c r="E1338" s="205"/>
      <c r="F1338" s="177"/>
      <c r="G1338" s="177"/>
      <c r="H1338" s="177"/>
    </row>
    <row r="1339" spans="1:8" s="134" customFormat="1" x14ac:dyDescent="0.2">
      <c r="A1339" s="206"/>
      <c r="B1339" s="177"/>
      <c r="C1339" s="177"/>
      <c r="D1339" s="206"/>
      <c r="E1339" s="177"/>
      <c r="F1339" s="177"/>
      <c r="G1339" s="177"/>
      <c r="H1339" s="177"/>
    </row>
    <row r="1340" spans="1:8" s="134" customFormat="1" ht="13.5" thickBot="1" x14ac:dyDescent="0.25">
      <c r="A1340" s="206"/>
      <c r="B1340" s="177"/>
      <c r="C1340" s="177"/>
      <c r="D1340" s="206"/>
      <c r="E1340" s="177"/>
      <c r="F1340" s="177"/>
      <c r="G1340" s="177"/>
      <c r="H1340" s="177"/>
    </row>
    <row r="1341" spans="1:8" s="134" customFormat="1" x14ac:dyDescent="0.2">
      <c r="A1341" s="206"/>
      <c r="B1341" s="189" t="s">
        <v>447</v>
      </c>
      <c r="C1341" s="190"/>
      <c r="D1341" s="209"/>
      <c r="E1341" s="191"/>
      <c r="F1341" s="177"/>
      <c r="G1341" s="177"/>
      <c r="H1341" s="177"/>
    </row>
    <row r="1342" spans="1:8" s="134" customFormat="1" x14ac:dyDescent="0.2">
      <c r="A1342" s="206"/>
      <c r="B1342" s="192"/>
      <c r="C1342" s="193"/>
      <c r="D1342" s="210"/>
      <c r="E1342" s="194"/>
      <c r="F1342" s="177"/>
      <c r="G1342" s="177"/>
      <c r="H1342" s="177"/>
    </row>
    <row r="1343" spans="1:8" s="134" customFormat="1" x14ac:dyDescent="0.2">
      <c r="A1343" s="206"/>
      <c r="B1343" s="195" t="s">
        <v>16</v>
      </c>
      <c r="C1343" s="193"/>
      <c r="D1343" s="210"/>
      <c r="E1343" s="194"/>
      <c r="F1343" s="177"/>
      <c r="G1343" s="177"/>
      <c r="H1343" s="177"/>
    </row>
    <row r="1344" spans="1:8" s="134" customFormat="1" ht="12.75" customHeight="1" x14ac:dyDescent="0.2">
      <c r="A1344" s="206"/>
      <c r="B1344" s="195"/>
      <c r="C1344" s="289" t="s">
        <v>557</v>
      </c>
      <c r="D1344" s="289"/>
      <c r="E1344" s="277"/>
      <c r="F1344" s="177"/>
      <c r="G1344" s="177"/>
      <c r="H1344" s="177"/>
    </row>
    <row r="1345" spans="1:8" s="134" customFormat="1" ht="13.5" thickBot="1" x14ac:dyDescent="0.25">
      <c r="A1345" s="206"/>
      <c r="B1345" s="195" t="s">
        <v>17</v>
      </c>
      <c r="C1345" s="193"/>
      <c r="D1345" s="210"/>
      <c r="E1345" s="194"/>
      <c r="F1345" s="177"/>
      <c r="G1345" s="177"/>
      <c r="H1345" s="177"/>
    </row>
    <row r="1346" spans="1:8" s="134" customFormat="1" ht="13.5" thickBot="1" x14ac:dyDescent="0.25">
      <c r="A1346" s="206"/>
      <c r="B1346" s="279" t="s">
        <v>413</v>
      </c>
      <c r="C1346" s="280"/>
      <c r="D1346" s="280"/>
      <c r="E1346" s="281"/>
      <c r="F1346" s="177"/>
      <c r="G1346" s="177"/>
      <c r="H1346" s="177"/>
    </row>
    <row r="1347" spans="1:8" s="134" customFormat="1" ht="13.5" thickBot="1" x14ac:dyDescent="0.25">
      <c r="A1347" s="206"/>
      <c r="B1347" s="279" t="s">
        <v>311</v>
      </c>
      <c r="C1347" s="281"/>
      <c r="D1347" s="196" t="s">
        <v>11</v>
      </c>
      <c r="E1347" s="196" t="s">
        <v>138</v>
      </c>
      <c r="F1347" s="177"/>
      <c r="G1347" s="177"/>
      <c r="H1347" s="177"/>
    </row>
    <row r="1348" spans="1:8" s="134" customFormat="1" x14ac:dyDescent="0.2">
      <c r="A1348" s="206"/>
      <c r="B1348" s="282" t="s">
        <v>381</v>
      </c>
      <c r="C1348" s="282"/>
      <c r="D1348" s="197">
        <v>27</v>
      </c>
      <c r="E1348" s="198" t="s">
        <v>382</v>
      </c>
      <c r="F1348" s="177"/>
      <c r="G1348" s="177"/>
      <c r="H1348" s="177"/>
    </row>
    <row r="1349" spans="1:8" s="134" customFormat="1" x14ac:dyDescent="0.2">
      <c r="A1349" s="206"/>
      <c r="B1349" s="283" t="s">
        <v>383</v>
      </c>
      <c r="C1349" s="283"/>
      <c r="D1349" s="199">
        <v>14</v>
      </c>
      <c r="E1349" s="200" t="s">
        <v>384</v>
      </c>
      <c r="F1349" s="177"/>
      <c r="G1349" s="177"/>
      <c r="H1349" s="177"/>
    </row>
    <row r="1350" spans="1:8" s="134" customFormat="1" x14ac:dyDescent="0.2">
      <c r="A1350" s="206"/>
      <c r="B1350" s="283" t="s">
        <v>385</v>
      </c>
      <c r="C1350" s="283"/>
      <c r="D1350" s="199">
        <v>27</v>
      </c>
      <c r="E1350" s="200" t="s">
        <v>388</v>
      </c>
      <c r="F1350" s="177"/>
      <c r="G1350" s="177"/>
      <c r="H1350" s="177"/>
    </row>
    <row r="1351" spans="1:8" s="134" customFormat="1" x14ac:dyDescent="0.2">
      <c r="A1351" s="206"/>
      <c r="B1351" s="283" t="s">
        <v>386</v>
      </c>
      <c r="C1351" s="283"/>
      <c r="D1351" s="199">
        <v>14</v>
      </c>
      <c r="E1351" s="200" t="s">
        <v>392</v>
      </c>
      <c r="F1351" s="177"/>
      <c r="G1351" s="177"/>
      <c r="H1351" s="177"/>
    </row>
    <row r="1352" spans="1:8" s="134" customFormat="1" x14ac:dyDescent="0.2">
      <c r="A1352" s="206"/>
      <c r="B1352" s="283" t="s">
        <v>387</v>
      </c>
      <c r="C1352" s="283"/>
      <c r="D1352" s="199">
        <v>14</v>
      </c>
      <c r="E1352" s="200" t="s">
        <v>389</v>
      </c>
      <c r="F1352" s="177"/>
      <c r="G1352" s="177"/>
      <c r="H1352" s="177"/>
    </row>
    <row r="1353" spans="1:8" s="134" customFormat="1" ht="13.5" thickBot="1" x14ac:dyDescent="0.25">
      <c r="A1353" s="206"/>
      <c r="B1353" s="284"/>
      <c r="C1353" s="285"/>
      <c r="D1353" s="199"/>
      <c r="E1353" s="200"/>
      <c r="F1353" s="177"/>
      <c r="G1353" s="177"/>
      <c r="H1353" s="177"/>
    </row>
    <row r="1354" spans="1:8" s="134" customFormat="1" ht="13.5" thickBot="1" x14ac:dyDescent="0.25">
      <c r="A1354" s="206"/>
      <c r="B1354" s="286" t="s">
        <v>446</v>
      </c>
      <c r="C1354" s="287"/>
      <c r="D1354" s="287"/>
      <c r="E1354" s="288"/>
      <c r="F1354" s="177"/>
      <c r="G1354" s="177"/>
      <c r="H1354" s="177"/>
    </row>
    <row r="1355" spans="1:8" s="134" customFormat="1" x14ac:dyDescent="0.2">
      <c r="A1355" s="206"/>
      <c r="B1355" s="195" t="s">
        <v>18</v>
      </c>
      <c r="C1355" s="193"/>
      <c r="D1355" s="210"/>
      <c r="E1355" s="194"/>
      <c r="F1355" s="177"/>
      <c r="G1355" s="177"/>
      <c r="H1355" s="177"/>
    </row>
    <row r="1356" spans="1:8" s="134" customFormat="1" x14ac:dyDescent="0.2">
      <c r="A1356" s="206"/>
      <c r="B1356" s="201"/>
      <c r="C1356" s="277" t="s">
        <v>62</v>
      </c>
      <c r="D1356" s="277"/>
      <c r="E1356" s="277"/>
      <c r="F1356" s="177"/>
      <c r="G1356" s="177"/>
      <c r="H1356" s="177"/>
    </row>
    <row r="1357" spans="1:8" s="134" customFormat="1" x14ac:dyDescent="0.2">
      <c r="A1357" s="206"/>
      <c r="B1357" s="195" t="s">
        <v>19</v>
      </c>
      <c r="C1357" s="212"/>
      <c r="D1357" s="212"/>
      <c r="E1357" s="202"/>
      <c r="F1357" s="177"/>
      <c r="G1357" s="177"/>
      <c r="H1357" s="177"/>
    </row>
    <row r="1358" spans="1:8" s="134" customFormat="1" x14ac:dyDescent="0.2">
      <c r="A1358" s="206"/>
      <c r="B1358" s="201"/>
      <c r="C1358" s="277" t="s">
        <v>465</v>
      </c>
      <c r="D1358" s="277"/>
      <c r="E1358" s="277"/>
      <c r="F1358" s="177"/>
      <c r="G1358" s="177"/>
      <c r="H1358" s="177"/>
    </row>
    <row r="1359" spans="1:8" s="134" customFormat="1" x14ac:dyDescent="0.2">
      <c r="A1359" s="206"/>
      <c r="B1359" s="195" t="s">
        <v>20</v>
      </c>
      <c r="C1359" s="193"/>
      <c r="D1359" s="210"/>
      <c r="E1359" s="194"/>
      <c r="F1359" s="177"/>
      <c r="G1359" s="177"/>
      <c r="H1359" s="177"/>
    </row>
    <row r="1360" spans="1:8" s="134" customFormat="1" x14ac:dyDescent="0.2">
      <c r="A1360" s="206"/>
      <c r="B1360" s="195"/>
      <c r="C1360" s="278" t="s">
        <v>63</v>
      </c>
      <c r="D1360" s="278"/>
      <c r="E1360" s="278"/>
      <c r="F1360" s="177"/>
      <c r="G1360" s="177"/>
      <c r="H1360" s="177"/>
    </row>
    <row r="1361" spans="1:8" s="134" customFormat="1" ht="13.5" thickBot="1" x14ac:dyDescent="0.25">
      <c r="A1361" s="206"/>
      <c r="B1361" s="203"/>
      <c r="C1361" s="174"/>
      <c r="D1361" s="204"/>
      <c r="E1361" s="205"/>
      <c r="F1361" s="177"/>
      <c r="G1361" s="177"/>
      <c r="H1361" s="177"/>
    </row>
    <row r="1362" spans="1:8" s="134" customFormat="1" x14ac:dyDescent="0.2">
      <c r="A1362" s="206"/>
      <c r="B1362" s="177"/>
      <c r="C1362" s="177"/>
      <c r="D1362" s="206"/>
      <c r="E1362" s="177"/>
      <c r="F1362" s="177"/>
      <c r="G1362" s="177"/>
      <c r="H1362" s="177"/>
    </row>
    <row r="1363" spans="1:8" s="134" customFormat="1" ht="13.5" thickBot="1" x14ac:dyDescent="0.25">
      <c r="A1363" s="206"/>
      <c r="B1363" s="177"/>
      <c r="C1363" s="177"/>
      <c r="D1363" s="206"/>
      <c r="E1363" s="174"/>
      <c r="F1363" s="177"/>
      <c r="G1363" s="177"/>
      <c r="H1363" s="177"/>
    </row>
    <row r="1364" spans="1:8" s="134" customFormat="1" x14ac:dyDescent="0.2">
      <c r="A1364" s="206"/>
      <c r="B1364" s="189" t="s">
        <v>448</v>
      </c>
      <c r="C1364" s="190"/>
      <c r="D1364" s="209"/>
      <c r="E1364" s="191"/>
      <c r="F1364" s="177"/>
      <c r="G1364" s="177"/>
      <c r="H1364" s="177"/>
    </row>
    <row r="1365" spans="1:8" s="134" customFormat="1" x14ac:dyDescent="0.2">
      <c r="A1365" s="206"/>
      <c r="B1365" s="192"/>
      <c r="C1365" s="193"/>
      <c r="D1365" s="210"/>
      <c r="E1365" s="194"/>
      <c r="F1365" s="177"/>
      <c r="G1365" s="177"/>
      <c r="H1365" s="177"/>
    </row>
    <row r="1366" spans="1:8" s="134" customFormat="1" x14ac:dyDescent="0.2">
      <c r="A1366" s="206"/>
      <c r="B1366" s="195" t="s">
        <v>16</v>
      </c>
      <c r="C1366" s="193"/>
      <c r="D1366" s="210"/>
      <c r="E1366" s="194"/>
      <c r="F1366" s="177"/>
      <c r="G1366" s="177"/>
      <c r="H1366" s="177"/>
    </row>
    <row r="1367" spans="1:8" s="134" customFormat="1" x14ac:dyDescent="0.2">
      <c r="A1367" s="206"/>
      <c r="B1367" s="195"/>
      <c r="C1367" s="277" t="s">
        <v>559</v>
      </c>
      <c r="D1367" s="277"/>
      <c r="E1367" s="277"/>
      <c r="F1367" s="177"/>
      <c r="G1367" s="177"/>
      <c r="H1367" s="177"/>
    </row>
    <row r="1368" spans="1:8" s="134" customFormat="1" ht="13.5" thickBot="1" x14ac:dyDescent="0.25">
      <c r="A1368" s="206"/>
      <c r="B1368" s="195" t="s">
        <v>17</v>
      </c>
      <c r="C1368" s="193"/>
      <c r="D1368" s="210"/>
      <c r="E1368" s="194"/>
      <c r="F1368" s="177"/>
      <c r="G1368" s="177"/>
      <c r="H1368" s="177"/>
    </row>
    <row r="1369" spans="1:8" s="134" customFormat="1" ht="13.5" thickBot="1" x14ac:dyDescent="0.25">
      <c r="A1369" s="206"/>
      <c r="B1369" s="279" t="s">
        <v>413</v>
      </c>
      <c r="C1369" s="280"/>
      <c r="D1369" s="280"/>
      <c r="E1369" s="281"/>
      <c r="F1369" s="177"/>
      <c r="G1369" s="177"/>
      <c r="H1369" s="177"/>
    </row>
    <row r="1370" spans="1:8" s="134" customFormat="1" ht="13.5" thickBot="1" x14ac:dyDescent="0.25">
      <c r="A1370" s="206"/>
      <c r="B1370" s="279" t="s">
        <v>311</v>
      </c>
      <c r="C1370" s="281"/>
      <c r="D1370" s="196" t="s">
        <v>11</v>
      </c>
      <c r="E1370" s="196" t="s">
        <v>138</v>
      </c>
      <c r="F1370" s="177"/>
      <c r="G1370" s="177"/>
      <c r="H1370" s="177"/>
    </row>
    <row r="1371" spans="1:8" s="134" customFormat="1" x14ac:dyDescent="0.2">
      <c r="A1371" s="206"/>
      <c r="B1371" s="282" t="s">
        <v>381</v>
      </c>
      <c r="C1371" s="282"/>
      <c r="D1371" s="197">
        <v>120</v>
      </c>
      <c r="E1371" s="198" t="s">
        <v>382</v>
      </c>
      <c r="F1371" s="177"/>
      <c r="G1371" s="177"/>
      <c r="H1371" s="177"/>
    </row>
    <row r="1372" spans="1:8" s="134" customFormat="1" x14ac:dyDescent="0.2">
      <c r="A1372" s="206"/>
      <c r="B1372" s="283" t="s">
        <v>383</v>
      </c>
      <c r="C1372" s="283"/>
      <c r="D1372" s="199">
        <v>60</v>
      </c>
      <c r="E1372" s="200" t="s">
        <v>384</v>
      </c>
      <c r="F1372" s="177"/>
      <c r="G1372" s="177"/>
      <c r="H1372" s="177"/>
    </row>
    <row r="1373" spans="1:8" s="134" customFormat="1" x14ac:dyDescent="0.2">
      <c r="A1373" s="206"/>
      <c r="B1373" s="283" t="s">
        <v>385</v>
      </c>
      <c r="C1373" s="283"/>
      <c r="D1373" s="199">
        <v>120</v>
      </c>
      <c r="E1373" s="200" t="s">
        <v>388</v>
      </c>
      <c r="F1373" s="177"/>
      <c r="G1373" s="177"/>
      <c r="H1373" s="177"/>
    </row>
    <row r="1374" spans="1:8" s="134" customFormat="1" x14ac:dyDescent="0.2">
      <c r="A1374" s="206"/>
      <c r="B1374" s="283" t="s">
        <v>386</v>
      </c>
      <c r="C1374" s="283"/>
      <c r="D1374" s="199">
        <v>60</v>
      </c>
      <c r="E1374" s="200" t="s">
        <v>392</v>
      </c>
      <c r="F1374" s="177"/>
      <c r="G1374" s="177"/>
      <c r="H1374" s="177"/>
    </row>
    <row r="1375" spans="1:8" s="134" customFormat="1" x14ac:dyDescent="0.2">
      <c r="A1375" s="206"/>
      <c r="B1375" s="283" t="s">
        <v>387</v>
      </c>
      <c r="C1375" s="283"/>
      <c r="D1375" s="199">
        <v>60</v>
      </c>
      <c r="E1375" s="200" t="s">
        <v>389</v>
      </c>
      <c r="F1375" s="177"/>
      <c r="G1375" s="177"/>
      <c r="H1375" s="177"/>
    </row>
    <row r="1376" spans="1:8" s="134" customFormat="1" ht="13.5" thickBot="1" x14ac:dyDescent="0.25">
      <c r="A1376" s="206"/>
      <c r="B1376" s="284"/>
      <c r="C1376" s="285"/>
      <c r="D1376" s="199"/>
      <c r="E1376" s="200"/>
      <c r="F1376" s="177"/>
      <c r="G1376" s="177"/>
      <c r="H1376" s="177"/>
    </row>
    <row r="1377" spans="1:8" s="134" customFormat="1" ht="13.5" thickBot="1" x14ac:dyDescent="0.25">
      <c r="A1377" s="206"/>
      <c r="B1377" s="286" t="s">
        <v>453</v>
      </c>
      <c r="C1377" s="287"/>
      <c r="D1377" s="287"/>
      <c r="E1377" s="288"/>
      <c r="F1377" s="177"/>
      <c r="G1377" s="177"/>
      <c r="H1377" s="177"/>
    </row>
    <row r="1378" spans="1:8" s="134" customFormat="1" x14ac:dyDescent="0.2">
      <c r="A1378" s="206"/>
      <c r="B1378" s="195" t="s">
        <v>18</v>
      </c>
      <c r="C1378" s="193"/>
      <c r="D1378" s="210"/>
      <c r="E1378" s="194"/>
      <c r="F1378" s="177"/>
      <c r="G1378" s="177"/>
      <c r="H1378" s="177"/>
    </row>
    <row r="1379" spans="1:8" s="134" customFormat="1" x14ac:dyDescent="0.2">
      <c r="A1379" s="206"/>
      <c r="B1379" s="201"/>
      <c r="C1379" s="277" t="s">
        <v>62</v>
      </c>
      <c r="D1379" s="277"/>
      <c r="E1379" s="277"/>
      <c r="F1379" s="177"/>
      <c r="G1379" s="177"/>
      <c r="H1379" s="177"/>
    </row>
    <row r="1380" spans="1:8" s="134" customFormat="1" x14ac:dyDescent="0.2">
      <c r="A1380" s="206"/>
      <c r="B1380" s="195" t="s">
        <v>19</v>
      </c>
      <c r="C1380" s="212"/>
      <c r="D1380" s="212"/>
      <c r="E1380" s="202"/>
      <c r="F1380" s="177"/>
      <c r="G1380" s="177"/>
      <c r="H1380" s="177"/>
    </row>
    <row r="1381" spans="1:8" s="134" customFormat="1" x14ac:dyDescent="0.2">
      <c r="A1381" s="206"/>
      <c r="B1381" s="201"/>
      <c r="C1381" s="277" t="s">
        <v>465</v>
      </c>
      <c r="D1381" s="277"/>
      <c r="E1381" s="277"/>
      <c r="F1381" s="177"/>
      <c r="G1381" s="177"/>
      <c r="H1381" s="177"/>
    </row>
    <row r="1382" spans="1:8" s="134" customFormat="1" x14ac:dyDescent="0.2">
      <c r="A1382" s="206"/>
      <c r="B1382" s="195" t="s">
        <v>20</v>
      </c>
      <c r="C1382" s="193"/>
      <c r="D1382" s="210"/>
      <c r="E1382" s="194"/>
      <c r="F1382" s="177"/>
      <c r="G1382" s="177"/>
      <c r="H1382" s="177"/>
    </row>
    <row r="1383" spans="1:8" s="134" customFormat="1" x14ac:dyDescent="0.2">
      <c r="A1383" s="206"/>
      <c r="B1383" s="195"/>
      <c r="C1383" s="278" t="s">
        <v>63</v>
      </c>
      <c r="D1383" s="278"/>
      <c r="E1383" s="278"/>
      <c r="F1383" s="177"/>
      <c r="G1383" s="177"/>
      <c r="H1383" s="177"/>
    </row>
    <row r="1384" spans="1:8" s="134" customFormat="1" ht="13.5" thickBot="1" x14ac:dyDescent="0.25">
      <c r="A1384" s="206"/>
      <c r="B1384" s="203"/>
      <c r="C1384" s="174"/>
      <c r="D1384" s="204"/>
      <c r="E1384" s="205"/>
      <c r="F1384" s="177"/>
      <c r="G1384" s="177"/>
      <c r="H1384" s="177"/>
    </row>
    <row r="1385" spans="1:8" s="134" customFormat="1" x14ac:dyDescent="0.2">
      <c r="A1385" s="206"/>
      <c r="B1385" s="177"/>
      <c r="C1385" s="177"/>
      <c r="D1385" s="206"/>
      <c r="E1385" s="177"/>
      <c r="F1385" s="177"/>
      <c r="G1385" s="177"/>
      <c r="H1385" s="177"/>
    </row>
    <row r="1386" spans="1:8" s="134" customFormat="1" ht="13.5" thickBot="1" x14ac:dyDescent="0.25">
      <c r="A1386" s="206"/>
      <c r="B1386" s="177"/>
      <c r="C1386" s="177"/>
      <c r="D1386" s="206"/>
      <c r="E1386" s="177"/>
      <c r="F1386" s="177"/>
      <c r="G1386" s="177"/>
      <c r="H1386" s="177"/>
    </row>
    <row r="1387" spans="1:8" s="134" customFormat="1" x14ac:dyDescent="0.2">
      <c r="A1387" s="206"/>
      <c r="B1387" s="189" t="s">
        <v>449</v>
      </c>
      <c r="C1387" s="190"/>
      <c r="D1387" s="209"/>
      <c r="E1387" s="191"/>
      <c r="F1387" s="177"/>
      <c r="G1387" s="177"/>
      <c r="H1387" s="177"/>
    </row>
    <row r="1388" spans="1:8" s="134" customFormat="1" x14ac:dyDescent="0.2">
      <c r="A1388" s="206"/>
      <c r="B1388" s="192"/>
      <c r="C1388" s="193"/>
      <c r="D1388" s="210"/>
      <c r="E1388" s="194"/>
      <c r="F1388" s="177"/>
      <c r="G1388" s="177"/>
      <c r="H1388" s="177"/>
    </row>
    <row r="1389" spans="1:8" s="134" customFormat="1" x14ac:dyDescent="0.2">
      <c r="A1389" s="206"/>
      <c r="B1389" s="195" t="s">
        <v>16</v>
      </c>
      <c r="C1389" s="193"/>
      <c r="D1389" s="210"/>
      <c r="E1389" s="194"/>
      <c r="F1389" s="177"/>
      <c r="G1389" s="177"/>
      <c r="H1389" s="177"/>
    </row>
    <row r="1390" spans="1:8" s="134" customFormat="1" x14ac:dyDescent="0.2">
      <c r="A1390" s="206"/>
      <c r="B1390" s="195"/>
      <c r="C1390" s="277" t="s">
        <v>558</v>
      </c>
      <c r="D1390" s="277"/>
      <c r="E1390" s="277"/>
      <c r="F1390" s="177"/>
      <c r="G1390" s="177"/>
      <c r="H1390" s="177"/>
    </row>
    <row r="1391" spans="1:8" s="134" customFormat="1" ht="13.5" thickBot="1" x14ac:dyDescent="0.25">
      <c r="A1391" s="206"/>
      <c r="B1391" s="195" t="s">
        <v>17</v>
      </c>
      <c r="C1391" s="193"/>
      <c r="D1391" s="210"/>
      <c r="E1391" s="194"/>
      <c r="F1391" s="177"/>
      <c r="G1391" s="177"/>
      <c r="H1391" s="177"/>
    </row>
    <row r="1392" spans="1:8" s="134" customFormat="1" ht="13.5" thickBot="1" x14ac:dyDescent="0.25">
      <c r="A1392" s="206"/>
      <c r="B1392" s="279" t="s">
        <v>413</v>
      </c>
      <c r="C1392" s="280"/>
      <c r="D1392" s="280"/>
      <c r="E1392" s="281"/>
      <c r="F1392" s="177"/>
      <c r="G1392" s="177"/>
      <c r="H1392" s="177"/>
    </row>
    <row r="1393" spans="1:8" s="134" customFormat="1" ht="13.5" thickBot="1" x14ac:dyDescent="0.25">
      <c r="A1393" s="206"/>
      <c r="B1393" s="279" t="s">
        <v>311</v>
      </c>
      <c r="C1393" s="281"/>
      <c r="D1393" s="196" t="s">
        <v>11</v>
      </c>
      <c r="E1393" s="196" t="s">
        <v>138</v>
      </c>
      <c r="F1393" s="177"/>
      <c r="G1393" s="177"/>
      <c r="H1393" s="177"/>
    </row>
    <row r="1394" spans="1:8" s="134" customFormat="1" x14ac:dyDescent="0.2">
      <c r="A1394" s="206"/>
      <c r="B1394" s="282" t="s">
        <v>381</v>
      </c>
      <c r="C1394" s="282"/>
      <c r="D1394" s="197">
        <v>120</v>
      </c>
      <c r="E1394" s="198" t="s">
        <v>382</v>
      </c>
      <c r="F1394" s="177"/>
      <c r="G1394" s="177"/>
      <c r="H1394" s="177"/>
    </row>
    <row r="1395" spans="1:8" s="134" customFormat="1" x14ac:dyDescent="0.2">
      <c r="A1395" s="206"/>
      <c r="B1395" s="283" t="s">
        <v>383</v>
      </c>
      <c r="C1395" s="283"/>
      <c r="D1395" s="199">
        <v>60</v>
      </c>
      <c r="E1395" s="200" t="s">
        <v>384</v>
      </c>
      <c r="F1395" s="177"/>
      <c r="G1395" s="177"/>
      <c r="H1395" s="177"/>
    </row>
    <row r="1396" spans="1:8" s="134" customFormat="1" x14ac:dyDescent="0.2">
      <c r="A1396" s="206"/>
      <c r="B1396" s="283" t="s">
        <v>385</v>
      </c>
      <c r="C1396" s="283"/>
      <c r="D1396" s="199">
        <v>120</v>
      </c>
      <c r="E1396" s="200" t="s">
        <v>388</v>
      </c>
      <c r="F1396" s="177"/>
      <c r="G1396" s="177"/>
      <c r="H1396" s="177"/>
    </row>
    <row r="1397" spans="1:8" s="134" customFormat="1" x14ac:dyDescent="0.2">
      <c r="A1397" s="206"/>
      <c r="B1397" s="283" t="s">
        <v>386</v>
      </c>
      <c r="C1397" s="283"/>
      <c r="D1397" s="199">
        <v>60</v>
      </c>
      <c r="E1397" s="200" t="s">
        <v>392</v>
      </c>
      <c r="F1397" s="177"/>
      <c r="G1397" s="177"/>
      <c r="H1397" s="177"/>
    </row>
    <row r="1398" spans="1:8" s="134" customFormat="1" x14ac:dyDescent="0.2">
      <c r="A1398" s="206"/>
      <c r="B1398" s="283" t="s">
        <v>387</v>
      </c>
      <c r="C1398" s="283"/>
      <c r="D1398" s="199">
        <v>60</v>
      </c>
      <c r="E1398" s="200" t="s">
        <v>389</v>
      </c>
      <c r="F1398" s="177"/>
      <c r="G1398" s="177"/>
      <c r="H1398" s="177"/>
    </row>
    <row r="1399" spans="1:8" s="134" customFormat="1" ht="13.5" thickBot="1" x14ac:dyDescent="0.25">
      <c r="A1399" s="206"/>
      <c r="B1399" s="284"/>
      <c r="C1399" s="285"/>
      <c r="D1399" s="199"/>
      <c r="E1399" s="200"/>
      <c r="F1399" s="177"/>
      <c r="G1399" s="177"/>
      <c r="H1399" s="177"/>
    </row>
    <row r="1400" spans="1:8" s="134" customFormat="1" ht="13.5" customHeight="1" thickBot="1" x14ac:dyDescent="0.25">
      <c r="A1400" s="206"/>
      <c r="B1400" s="286" t="s">
        <v>453</v>
      </c>
      <c r="C1400" s="287"/>
      <c r="D1400" s="287"/>
      <c r="E1400" s="288"/>
      <c r="F1400" s="177"/>
      <c r="G1400" s="177"/>
      <c r="H1400" s="177"/>
    </row>
    <row r="1401" spans="1:8" s="134" customFormat="1" x14ac:dyDescent="0.2">
      <c r="A1401" s="206"/>
      <c r="B1401" s="195" t="s">
        <v>18</v>
      </c>
      <c r="C1401" s="193"/>
      <c r="D1401" s="210"/>
      <c r="E1401" s="194"/>
      <c r="F1401" s="177"/>
      <c r="G1401" s="177"/>
      <c r="H1401" s="177"/>
    </row>
    <row r="1402" spans="1:8" s="134" customFormat="1" x14ac:dyDescent="0.2">
      <c r="A1402" s="206"/>
      <c r="B1402" s="201"/>
      <c r="C1402" s="277" t="s">
        <v>62</v>
      </c>
      <c r="D1402" s="277"/>
      <c r="E1402" s="277"/>
      <c r="F1402" s="177"/>
      <c r="G1402" s="177"/>
      <c r="H1402" s="177"/>
    </row>
    <row r="1403" spans="1:8" s="134" customFormat="1" x14ac:dyDescent="0.2">
      <c r="A1403" s="206"/>
      <c r="B1403" s="195" t="s">
        <v>19</v>
      </c>
      <c r="C1403" s="212"/>
      <c r="D1403" s="212"/>
      <c r="E1403" s="202"/>
      <c r="F1403" s="177"/>
      <c r="G1403" s="177"/>
      <c r="H1403" s="177"/>
    </row>
    <row r="1404" spans="1:8" s="134" customFormat="1" x14ac:dyDescent="0.2">
      <c r="A1404" s="206"/>
      <c r="B1404" s="201"/>
      <c r="C1404" s="277" t="s">
        <v>465</v>
      </c>
      <c r="D1404" s="277"/>
      <c r="E1404" s="277"/>
      <c r="F1404" s="177"/>
      <c r="G1404" s="177"/>
      <c r="H1404" s="177"/>
    </row>
    <row r="1405" spans="1:8" s="134" customFormat="1" x14ac:dyDescent="0.2">
      <c r="A1405" s="206"/>
      <c r="B1405" s="195" t="s">
        <v>20</v>
      </c>
      <c r="C1405" s="193"/>
      <c r="D1405" s="210"/>
      <c r="E1405" s="194"/>
      <c r="F1405" s="177"/>
      <c r="G1405" s="177"/>
      <c r="H1405" s="177"/>
    </row>
    <row r="1406" spans="1:8" s="134" customFormat="1" x14ac:dyDescent="0.2">
      <c r="A1406" s="206"/>
      <c r="B1406" s="195"/>
      <c r="C1406" s="278" t="s">
        <v>63</v>
      </c>
      <c r="D1406" s="278"/>
      <c r="E1406" s="278"/>
      <c r="F1406" s="177"/>
      <c r="G1406" s="177"/>
      <c r="H1406" s="177"/>
    </row>
    <row r="1407" spans="1:8" s="134" customFormat="1" ht="13.5" thickBot="1" x14ac:dyDescent="0.25">
      <c r="A1407" s="206"/>
      <c r="B1407" s="203"/>
      <c r="C1407" s="174"/>
      <c r="D1407" s="204"/>
      <c r="E1407" s="205"/>
      <c r="F1407" s="177"/>
      <c r="G1407" s="177"/>
      <c r="H1407" s="177"/>
    </row>
    <row r="1408" spans="1:8" s="134" customFormat="1" x14ac:dyDescent="0.2">
      <c r="A1408" s="206"/>
      <c r="B1408" s="177"/>
      <c r="C1408" s="177"/>
      <c r="D1408" s="206"/>
      <c r="E1408" s="177"/>
      <c r="F1408" s="177"/>
      <c r="G1408" s="177"/>
      <c r="H1408" s="177"/>
    </row>
    <row r="1409" spans="1:8" s="134" customFormat="1" ht="13.5" thickBot="1" x14ac:dyDescent="0.25">
      <c r="A1409" s="206"/>
      <c r="B1409" s="177"/>
      <c r="C1409" s="177"/>
      <c r="D1409" s="206"/>
      <c r="E1409" s="177"/>
      <c r="F1409" s="177"/>
      <c r="G1409" s="177"/>
      <c r="H1409" s="177"/>
    </row>
    <row r="1410" spans="1:8" s="134" customFormat="1" x14ac:dyDescent="0.2">
      <c r="A1410" s="206"/>
      <c r="B1410" s="189" t="s">
        <v>450</v>
      </c>
      <c r="C1410" s="190"/>
      <c r="D1410" s="209"/>
      <c r="E1410" s="191"/>
      <c r="F1410" s="177"/>
      <c r="G1410" s="177"/>
      <c r="H1410" s="177"/>
    </row>
    <row r="1411" spans="1:8" s="134" customFormat="1" x14ac:dyDescent="0.2">
      <c r="A1411" s="206"/>
      <c r="B1411" s="192"/>
      <c r="C1411" s="193"/>
      <c r="D1411" s="210"/>
      <c r="E1411" s="194"/>
      <c r="F1411" s="177"/>
      <c r="G1411" s="177"/>
      <c r="H1411" s="177"/>
    </row>
    <row r="1412" spans="1:8" s="134" customFormat="1" x14ac:dyDescent="0.2">
      <c r="A1412" s="206"/>
      <c r="B1412" s="195" t="s">
        <v>16</v>
      </c>
      <c r="C1412" s="193"/>
      <c r="D1412" s="210"/>
      <c r="E1412" s="194"/>
      <c r="F1412" s="177"/>
      <c r="G1412" s="177"/>
      <c r="H1412" s="177"/>
    </row>
    <row r="1413" spans="1:8" s="134" customFormat="1" x14ac:dyDescent="0.2">
      <c r="A1413" s="206"/>
      <c r="B1413" s="195"/>
      <c r="C1413" s="277" t="s">
        <v>376</v>
      </c>
      <c r="D1413" s="277"/>
      <c r="E1413" s="277"/>
      <c r="F1413" s="177"/>
      <c r="G1413" s="177"/>
      <c r="H1413" s="177"/>
    </row>
    <row r="1414" spans="1:8" s="134" customFormat="1" ht="13.5" thickBot="1" x14ac:dyDescent="0.25">
      <c r="A1414" s="206"/>
      <c r="B1414" s="195" t="s">
        <v>17</v>
      </c>
      <c r="C1414" s="193"/>
      <c r="D1414" s="210"/>
      <c r="E1414" s="194"/>
      <c r="F1414" s="177"/>
      <c r="G1414" s="177"/>
      <c r="H1414" s="177"/>
    </row>
    <row r="1415" spans="1:8" s="134" customFormat="1" ht="13.5" thickBot="1" x14ac:dyDescent="0.25">
      <c r="A1415" s="206"/>
      <c r="B1415" s="279" t="s">
        <v>413</v>
      </c>
      <c r="C1415" s="280"/>
      <c r="D1415" s="280"/>
      <c r="E1415" s="281"/>
      <c r="F1415" s="177"/>
      <c r="G1415" s="177"/>
      <c r="H1415" s="177"/>
    </row>
    <row r="1416" spans="1:8" s="134" customFormat="1" ht="13.5" thickBot="1" x14ac:dyDescent="0.25">
      <c r="A1416" s="206"/>
      <c r="B1416" s="279" t="s">
        <v>311</v>
      </c>
      <c r="C1416" s="281"/>
      <c r="D1416" s="196" t="s">
        <v>11</v>
      </c>
      <c r="E1416" s="196" t="s">
        <v>138</v>
      </c>
      <c r="F1416" s="177"/>
      <c r="G1416" s="177"/>
      <c r="H1416" s="177"/>
    </row>
    <row r="1417" spans="1:8" s="134" customFormat="1" x14ac:dyDescent="0.2">
      <c r="A1417" s="206"/>
      <c r="B1417" s="282" t="s">
        <v>381</v>
      </c>
      <c r="C1417" s="282"/>
      <c r="D1417" s="197">
        <v>120</v>
      </c>
      <c r="E1417" s="198" t="s">
        <v>382</v>
      </c>
      <c r="F1417" s="177"/>
      <c r="G1417" s="177"/>
      <c r="H1417" s="177"/>
    </row>
    <row r="1418" spans="1:8" s="134" customFormat="1" x14ac:dyDescent="0.2">
      <c r="A1418" s="206"/>
      <c r="B1418" s="283" t="s">
        <v>383</v>
      </c>
      <c r="C1418" s="283"/>
      <c r="D1418" s="199">
        <v>60</v>
      </c>
      <c r="E1418" s="200" t="s">
        <v>384</v>
      </c>
      <c r="F1418" s="177"/>
      <c r="G1418" s="177"/>
      <c r="H1418" s="177"/>
    </row>
    <row r="1419" spans="1:8" s="134" customFormat="1" x14ac:dyDescent="0.2">
      <c r="A1419" s="206"/>
      <c r="B1419" s="283" t="s">
        <v>385</v>
      </c>
      <c r="C1419" s="283"/>
      <c r="D1419" s="199">
        <v>120</v>
      </c>
      <c r="E1419" s="200" t="s">
        <v>388</v>
      </c>
      <c r="F1419" s="177"/>
      <c r="G1419" s="177"/>
      <c r="H1419" s="177"/>
    </row>
    <row r="1420" spans="1:8" s="134" customFormat="1" x14ac:dyDescent="0.2">
      <c r="A1420" s="206"/>
      <c r="B1420" s="283" t="s">
        <v>386</v>
      </c>
      <c r="C1420" s="283"/>
      <c r="D1420" s="199">
        <v>60</v>
      </c>
      <c r="E1420" s="200" t="s">
        <v>392</v>
      </c>
      <c r="F1420" s="177"/>
      <c r="G1420" s="177"/>
      <c r="H1420" s="177"/>
    </row>
    <row r="1421" spans="1:8" s="134" customFormat="1" x14ac:dyDescent="0.2">
      <c r="A1421" s="206"/>
      <c r="B1421" s="283" t="s">
        <v>387</v>
      </c>
      <c r="C1421" s="283"/>
      <c r="D1421" s="199">
        <v>60</v>
      </c>
      <c r="E1421" s="200" t="s">
        <v>389</v>
      </c>
      <c r="F1421" s="177"/>
      <c r="G1421" s="177"/>
      <c r="H1421" s="177"/>
    </row>
    <row r="1422" spans="1:8" s="134" customFormat="1" ht="13.5" thickBot="1" x14ac:dyDescent="0.25">
      <c r="A1422" s="206"/>
      <c r="B1422" s="284"/>
      <c r="C1422" s="285"/>
      <c r="D1422" s="199"/>
      <c r="E1422" s="200"/>
      <c r="F1422" s="177"/>
      <c r="G1422" s="177"/>
      <c r="H1422" s="177"/>
    </row>
    <row r="1423" spans="1:8" s="134" customFormat="1" ht="13.5" customHeight="1" thickBot="1" x14ac:dyDescent="0.25">
      <c r="A1423" s="206"/>
      <c r="B1423" s="286" t="s">
        <v>453</v>
      </c>
      <c r="C1423" s="287"/>
      <c r="D1423" s="287"/>
      <c r="E1423" s="288"/>
      <c r="F1423" s="177"/>
      <c r="G1423" s="177"/>
      <c r="H1423" s="177"/>
    </row>
    <row r="1424" spans="1:8" s="134" customFormat="1" x14ac:dyDescent="0.2">
      <c r="A1424" s="206"/>
      <c r="B1424" s="195" t="s">
        <v>18</v>
      </c>
      <c r="C1424" s="193"/>
      <c r="D1424" s="210"/>
      <c r="E1424" s="194"/>
      <c r="F1424" s="177"/>
      <c r="G1424" s="177"/>
      <c r="H1424" s="177"/>
    </row>
    <row r="1425" spans="1:8" s="134" customFormat="1" x14ac:dyDescent="0.2">
      <c r="A1425" s="206"/>
      <c r="B1425" s="201"/>
      <c r="C1425" s="277" t="s">
        <v>62</v>
      </c>
      <c r="D1425" s="277"/>
      <c r="E1425" s="277"/>
      <c r="F1425" s="177"/>
      <c r="G1425" s="177"/>
      <c r="H1425" s="177"/>
    </row>
    <row r="1426" spans="1:8" s="134" customFormat="1" x14ac:dyDescent="0.2">
      <c r="A1426" s="206"/>
      <c r="B1426" s="195" t="s">
        <v>19</v>
      </c>
      <c r="C1426" s="212"/>
      <c r="D1426" s="212"/>
      <c r="E1426" s="202"/>
      <c r="F1426" s="177"/>
      <c r="G1426" s="177"/>
      <c r="H1426" s="177"/>
    </row>
    <row r="1427" spans="1:8" s="134" customFormat="1" x14ac:dyDescent="0.2">
      <c r="A1427" s="206"/>
      <c r="B1427" s="201"/>
      <c r="C1427" s="277" t="s">
        <v>465</v>
      </c>
      <c r="D1427" s="277"/>
      <c r="E1427" s="277"/>
      <c r="F1427" s="177"/>
      <c r="G1427" s="177"/>
      <c r="H1427" s="177"/>
    </row>
    <row r="1428" spans="1:8" s="134" customFormat="1" x14ac:dyDescent="0.2">
      <c r="A1428" s="206"/>
      <c r="B1428" s="195" t="s">
        <v>20</v>
      </c>
      <c r="C1428" s="193"/>
      <c r="D1428" s="210"/>
      <c r="E1428" s="194"/>
      <c r="F1428" s="177"/>
      <c r="G1428" s="177"/>
      <c r="H1428" s="177"/>
    </row>
    <row r="1429" spans="1:8" s="134" customFormat="1" x14ac:dyDescent="0.2">
      <c r="A1429" s="206"/>
      <c r="B1429" s="195"/>
      <c r="C1429" s="278" t="s">
        <v>63</v>
      </c>
      <c r="D1429" s="278"/>
      <c r="E1429" s="278"/>
      <c r="F1429" s="177"/>
      <c r="G1429" s="177"/>
      <c r="H1429" s="177"/>
    </row>
    <row r="1430" spans="1:8" s="134" customFormat="1" ht="13.5" thickBot="1" x14ac:dyDescent="0.25">
      <c r="A1430" s="206"/>
      <c r="B1430" s="203"/>
      <c r="C1430" s="174"/>
      <c r="D1430" s="204"/>
      <c r="E1430" s="205"/>
      <c r="F1430" s="177"/>
      <c r="G1430" s="177"/>
      <c r="H1430" s="177"/>
    </row>
    <row r="1431" spans="1:8" s="134" customFormat="1" x14ac:dyDescent="0.2">
      <c r="A1431" s="206"/>
      <c r="B1431" s="177"/>
      <c r="C1431" s="177"/>
      <c r="D1431" s="206"/>
      <c r="E1431" s="177"/>
      <c r="F1431" s="177"/>
      <c r="G1431" s="177"/>
      <c r="H1431" s="177"/>
    </row>
    <row r="1432" spans="1:8" s="134" customFormat="1" ht="13.5" thickBot="1" x14ac:dyDescent="0.25">
      <c r="A1432" s="206"/>
      <c r="B1432" s="177"/>
      <c r="C1432" s="177"/>
      <c r="D1432" s="206"/>
      <c r="E1432" s="177"/>
      <c r="F1432" s="177"/>
      <c r="G1432" s="177"/>
      <c r="H1432" s="177"/>
    </row>
    <row r="1433" spans="1:8" s="134" customFormat="1" x14ac:dyDescent="0.2">
      <c r="A1433" s="206"/>
      <c r="B1433" s="189" t="s">
        <v>451</v>
      </c>
      <c r="C1433" s="190"/>
      <c r="D1433" s="209"/>
      <c r="E1433" s="191"/>
      <c r="F1433" s="177"/>
      <c r="G1433" s="177"/>
      <c r="H1433" s="177"/>
    </row>
    <row r="1434" spans="1:8" s="134" customFormat="1" x14ac:dyDescent="0.2">
      <c r="A1434" s="206"/>
      <c r="B1434" s="192"/>
      <c r="C1434" s="193"/>
      <c r="D1434" s="210"/>
      <c r="E1434" s="194"/>
      <c r="F1434" s="177"/>
      <c r="G1434" s="177"/>
      <c r="H1434" s="177"/>
    </row>
    <row r="1435" spans="1:8" s="134" customFormat="1" x14ac:dyDescent="0.2">
      <c r="A1435" s="206"/>
      <c r="B1435" s="195" t="s">
        <v>16</v>
      </c>
      <c r="C1435" s="193"/>
      <c r="D1435" s="210"/>
      <c r="E1435" s="194"/>
      <c r="F1435" s="177"/>
      <c r="G1435" s="177"/>
      <c r="H1435" s="177"/>
    </row>
    <row r="1436" spans="1:8" s="134" customFormat="1" x14ac:dyDescent="0.2">
      <c r="A1436" s="206"/>
      <c r="B1436" s="195"/>
      <c r="C1436" s="277" t="s">
        <v>378</v>
      </c>
      <c r="D1436" s="277"/>
      <c r="E1436" s="277"/>
      <c r="F1436" s="177"/>
      <c r="G1436" s="177"/>
      <c r="H1436" s="177"/>
    </row>
    <row r="1437" spans="1:8" s="134" customFormat="1" ht="13.5" thickBot="1" x14ac:dyDescent="0.25">
      <c r="A1437" s="206"/>
      <c r="B1437" s="195" t="s">
        <v>17</v>
      </c>
      <c r="C1437" s="193"/>
      <c r="D1437" s="210"/>
      <c r="E1437" s="194"/>
      <c r="F1437" s="177"/>
      <c r="G1437" s="177"/>
      <c r="H1437" s="177"/>
    </row>
    <row r="1438" spans="1:8" s="134" customFormat="1" ht="13.5" thickBot="1" x14ac:dyDescent="0.25">
      <c r="A1438" s="206"/>
      <c r="B1438" s="279" t="s">
        <v>413</v>
      </c>
      <c r="C1438" s="280"/>
      <c r="D1438" s="280"/>
      <c r="E1438" s="281"/>
      <c r="F1438" s="177"/>
      <c r="G1438" s="177"/>
      <c r="H1438" s="177"/>
    </row>
    <row r="1439" spans="1:8" s="134" customFormat="1" ht="13.5" thickBot="1" x14ac:dyDescent="0.25">
      <c r="A1439" s="206"/>
      <c r="B1439" s="279" t="s">
        <v>311</v>
      </c>
      <c r="C1439" s="281"/>
      <c r="D1439" s="196" t="s">
        <v>11</v>
      </c>
      <c r="E1439" s="196" t="s">
        <v>138</v>
      </c>
      <c r="F1439" s="177"/>
      <c r="G1439" s="177"/>
      <c r="H1439" s="177"/>
    </row>
    <row r="1440" spans="1:8" s="134" customFormat="1" x14ac:dyDescent="0.2">
      <c r="A1440" s="206"/>
      <c r="B1440" s="282" t="s">
        <v>381</v>
      </c>
      <c r="C1440" s="282"/>
      <c r="D1440" s="197">
        <v>120</v>
      </c>
      <c r="E1440" s="198" t="s">
        <v>382</v>
      </c>
      <c r="F1440" s="177"/>
      <c r="G1440" s="177"/>
      <c r="H1440" s="177"/>
    </row>
    <row r="1441" spans="1:8" s="134" customFormat="1" x14ac:dyDescent="0.2">
      <c r="A1441" s="206"/>
      <c r="B1441" s="283" t="s">
        <v>383</v>
      </c>
      <c r="C1441" s="283"/>
      <c r="D1441" s="199">
        <v>60</v>
      </c>
      <c r="E1441" s="200" t="s">
        <v>384</v>
      </c>
      <c r="F1441" s="177"/>
      <c r="G1441" s="177"/>
      <c r="H1441" s="177"/>
    </row>
    <row r="1442" spans="1:8" s="134" customFormat="1" x14ac:dyDescent="0.2">
      <c r="A1442" s="206"/>
      <c r="B1442" s="283" t="s">
        <v>385</v>
      </c>
      <c r="C1442" s="283"/>
      <c r="D1442" s="199">
        <v>120</v>
      </c>
      <c r="E1442" s="200" t="s">
        <v>388</v>
      </c>
      <c r="F1442" s="177"/>
      <c r="G1442" s="177"/>
      <c r="H1442" s="177"/>
    </row>
    <row r="1443" spans="1:8" s="134" customFormat="1" x14ac:dyDescent="0.2">
      <c r="A1443" s="206"/>
      <c r="B1443" s="283" t="s">
        <v>386</v>
      </c>
      <c r="C1443" s="283"/>
      <c r="D1443" s="199">
        <v>60</v>
      </c>
      <c r="E1443" s="200" t="s">
        <v>392</v>
      </c>
      <c r="F1443" s="177"/>
      <c r="G1443" s="177"/>
      <c r="H1443" s="177"/>
    </row>
    <row r="1444" spans="1:8" s="134" customFormat="1" x14ac:dyDescent="0.2">
      <c r="A1444" s="206"/>
      <c r="B1444" s="283" t="s">
        <v>387</v>
      </c>
      <c r="C1444" s="283"/>
      <c r="D1444" s="199">
        <v>60</v>
      </c>
      <c r="E1444" s="200" t="s">
        <v>389</v>
      </c>
      <c r="F1444" s="177"/>
      <c r="G1444" s="177"/>
      <c r="H1444" s="177"/>
    </row>
    <row r="1445" spans="1:8" s="134" customFormat="1" ht="13.5" thickBot="1" x14ac:dyDescent="0.25">
      <c r="A1445" s="206"/>
      <c r="B1445" s="284"/>
      <c r="C1445" s="285"/>
      <c r="D1445" s="199"/>
      <c r="E1445" s="200"/>
      <c r="F1445" s="177"/>
      <c r="G1445" s="177"/>
      <c r="H1445" s="177"/>
    </row>
    <row r="1446" spans="1:8" s="134" customFormat="1" ht="13.5" customHeight="1" thickBot="1" x14ac:dyDescent="0.25">
      <c r="A1446" s="206"/>
      <c r="B1446" s="286" t="s">
        <v>453</v>
      </c>
      <c r="C1446" s="287"/>
      <c r="D1446" s="287"/>
      <c r="E1446" s="288"/>
      <c r="F1446" s="177"/>
      <c r="G1446" s="177"/>
      <c r="H1446" s="177"/>
    </row>
    <row r="1447" spans="1:8" s="134" customFormat="1" x14ac:dyDescent="0.2">
      <c r="A1447" s="206"/>
      <c r="B1447" s="195" t="s">
        <v>18</v>
      </c>
      <c r="C1447" s="193"/>
      <c r="D1447" s="210"/>
      <c r="E1447" s="194"/>
      <c r="F1447" s="177"/>
      <c r="G1447" s="177"/>
      <c r="H1447" s="177"/>
    </row>
    <row r="1448" spans="1:8" s="134" customFormat="1" x14ac:dyDescent="0.2">
      <c r="A1448" s="206"/>
      <c r="B1448" s="201"/>
      <c r="C1448" s="277" t="s">
        <v>62</v>
      </c>
      <c r="D1448" s="277"/>
      <c r="E1448" s="277"/>
      <c r="F1448" s="177"/>
      <c r="G1448" s="177"/>
      <c r="H1448" s="177"/>
    </row>
    <row r="1449" spans="1:8" s="134" customFormat="1" x14ac:dyDescent="0.2">
      <c r="A1449" s="206"/>
      <c r="B1449" s="195" t="s">
        <v>19</v>
      </c>
      <c r="C1449" s="212"/>
      <c r="D1449" s="212"/>
      <c r="E1449" s="202"/>
      <c r="F1449" s="177"/>
      <c r="G1449" s="177"/>
      <c r="H1449" s="177"/>
    </row>
    <row r="1450" spans="1:8" s="134" customFormat="1" x14ac:dyDescent="0.2">
      <c r="A1450" s="206"/>
      <c r="B1450" s="201"/>
      <c r="C1450" s="277" t="s">
        <v>465</v>
      </c>
      <c r="D1450" s="277"/>
      <c r="E1450" s="277"/>
      <c r="F1450" s="177"/>
      <c r="G1450" s="177"/>
      <c r="H1450" s="177"/>
    </row>
    <row r="1451" spans="1:8" s="134" customFormat="1" x14ac:dyDescent="0.2">
      <c r="A1451" s="206"/>
      <c r="B1451" s="195" t="s">
        <v>20</v>
      </c>
      <c r="C1451" s="193"/>
      <c r="D1451" s="210"/>
      <c r="E1451" s="194"/>
      <c r="F1451" s="177"/>
      <c r="G1451" s="177"/>
      <c r="H1451" s="177"/>
    </row>
    <row r="1452" spans="1:8" s="134" customFormat="1" x14ac:dyDescent="0.2">
      <c r="A1452" s="206"/>
      <c r="B1452" s="195"/>
      <c r="C1452" s="278" t="s">
        <v>63</v>
      </c>
      <c r="D1452" s="278"/>
      <c r="E1452" s="278"/>
      <c r="F1452" s="177"/>
      <c r="G1452" s="177"/>
      <c r="H1452" s="177"/>
    </row>
    <row r="1453" spans="1:8" s="134" customFormat="1" ht="13.5" thickBot="1" x14ac:dyDescent="0.25">
      <c r="A1453" s="206"/>
      <c r="B1453" s="203"/>
      <c r="C1453" s="174"/>
      <c r="D1453" s="204"/>
      <c r="E1453" s="205"/>
      <c r="F1453" s="177"/>
      <c r="G1453" s="177"/>
      <c r="H1453" s="177"/>
    </row>
    <row r="1454" spans="1:8" s="134" customFormat="1" x14ac:dyDescent="0.2">
      <c r="A1454" s="206"/>
      <c r="B1454" s="177"/>
      <c r="C1454" s="177"/>
      <c r="D1454" s="206"/>
      <c r="E1454" s="177"/>
      <c r="F1454" s="177"/>
      <c r="G1454" s="177"/>
      <c r="H1454" s="177"/>
    </row>
    <row r="1455" spans="1:8" s="134" customFormat="1" ht="13.5" thickBot="1" x14ac:dyDescent="0.25">
      <c r="A1455" s="206"/>
      <c r="B1455" s="177"/>
      <c r="C1455" s="177"/>
      <c r="D1455" s="206"/>
      <c r="E1455" s="177"/>
      <c r="F1455" s="177"/>
      <c r="G1455" s="177"/>
      <c r="H1455" s="177"/>
    </row>
    <row r="1456" spans="1:8" s="134" customFormat="1" x14ac:dyDescent="0.2">
      <c r="A1456" s="206"/>
      <c r="B1456" s="189" t="s">
        <v>452</v>
      </c>
      <c r="C1456" s="190"/>
      <c r="D1456" s="209"/>
      <c r="E1456" s="191"/>
      <c r="F1456" s="177"/>
      <c r="G1456" s="177"/>
      <c r="H1456" s="177"/>
    </row>
    <row r="1457" spans="1:8" s="134" customFormat="1" x14ac:dyDescent="0.2">
      <c r="A1457" s="206"/>
      <c r="B1457" s="192"/>
      <c r="C1457" s="193"/>
      <c r="D1457" s="210"/>
      <c r="E1457" s="194"/>
      <c r="F1457" s="177"/>
      <c r="G1457" s="177"/>
      <c r="H1457" s="177"/>
    </row>
    <row r="1458" spans="1:8" s="134" customFormat="1" x14ac:dyDescent="0.2">
      <c r="A1458" s="206"/>
      <c r="B1458" s="195" t="s">
        <v>16</v>
      </c>
      <c r="C1458" s="193"/>
      <c r="D1458" s="210"/>
      <c r="E1458" s="194"/>
      <c r="F1458" s="177"/>
      <c r="G1458" s="177"/>
      <c r="H1458" s="177"/>
    </row>
    <row r="1459" spans="1:8" s="134" customFormat="1" x14ac:dyDescent="0.2">
      <c r="A1459" s="206"/>
      <c r="B1459" s="195"/>
      <c r="C1459" s="277" t="s">
        <v>380</v>
      </c>
      <c r="D1459" s="277"/>
      <c r="E1459" s="277"/>
      <c r="F1459" s="177"/>
      <c r="G1459" s="177"/>
      <c r="H1459" s="177"/>
    </row>
    <row r="1460" spans="1:8" s="134" customFormat="1" ht="13.5" thickBot="1" x14ac:dyDescent="0.25">
      <c r="A1460" s="206"/>
      <c r="B1460" s="195" t="s">
        <v>17</v>
      </c>
      <c r="C1460" s="193"/>
      <c r="D1460" s="210"/>
      <c r="E1460" s="194"/>
      <c r="F1460" s="177"/>
      <c r="G1460" s="177"/>
      <c r="H1460" s="177"/>
    </row>
    <row r="1461" spans="1:8" s="134" customFormat="1" ht="13.5" thickBot="1" x14ac:dyDescent="0.25">
      <c r="A1461" s="206"/>
      <c r="B1461" s="279" t="s">
        <v>413</v>
      </c>
      <c r="C1461" s="280"/>
      <c r="D1461" s="280"/>
      <c r="E1461" s="281"/>
      <c r="F1461" s="177"/>
      <c r="G1461" s="177"/>
      <c r="H1461" s="177"/>
    </row>
    <row r="1462" spans="1:8" s="134" customFormat="1" ht="13.5" thickBot="1" x14ac:dyDescent="0.25">
      <c r="A1462" s="206"/>
      <c r="B1462" s="279" t="s">
        <v>311</v>
      </c>
      <c r="C1462" s="281"/>
      <c r="D1462" s="196" t="s">
        <v>11</v>
      </c>
      <c r="E1462" s="196" t="s">
        <v>138</v>
      </c>
      <c r="F1462" s="177"/>
      <c r="G1462" s="177"/>
      <c r="H1462" s="177"/>
    </row>
    <row r="1463" spans="1:8" s="134" customFormat="1" x14ac:dyDescent="0.2">
      <c r="A1463" s="206"/>
      <c r="B1463" s="282" t="s">
        <v>381</v>
      </c>
      <c r="C1463" s="282"/>
      <c r="D1463" s="197">
        <v>120</v>
      </c>
      <c r="E1463" s="198" t="s">
        <v>382</v>
      </c>
      <c r="F1463" s="177"/>
      <c r="G1463" s="177"/>
      <c r="H1463" s="177"/>
    </row>
    <row r="1464" spans="1:8" s="134" customFormat="1" x14ac:dyDescent="0.2">
      <c r="A1464" s="206"/>
      <c r="B1464" s="283" t="s">
        <v>383</v>
      </c>
      <c r="C1464" s="283"/>
      <c r="D1464" s="199">
        <v>60</v>
      </c>
      <c r="E1464" s="200" t="s">
        <v>384</v>
      </c>
      <c r="F1464" s="177"/>
      <c r="G1464" s="177"/>
      <c r="H1464" s="177"/>
    </row>
    <row r="1465" spans="1:8" s="134" customFormat="1" x14ac:dyDescent="0.2">
      <c r="A1465" s="206"/>
      <c r="B1465" s="283" t="s">
        <v>385</v>
      </c>
      <c r="C1465" s="283"/>
      <c r="D1465" s="199">
        <v>120</v>
      </c>
      <c r="E1465" s="200" t="s">
        <v>388</v>
      </c>
      <c r="F1465" s="177"/>
      <c r="G1465" s="177"/>
      <c r="H1465" s="177"/>
    </row>
    <row r="1466" spans="1:8" s="134" customFormat="1" x14ac:dyDescent="0.2">
      <c r="A1466" s="206"/>
      <c r="B1466" s="283" t="s">
        <v>386</v>
      </c>
      <c r="C1466" s="283"/>
      <c r="D1466" s="199">
        <v>60</v>
      </c>
      <c r="E1466" s="200" t="s">
        <v>392</v>
      </c>
      <c r="F1466" s="177"/>
      <c r="G1466" s="177"/>
      <c r="H1466" s="177"/>
    </row>
    <row r="1467" spans="1:8" s="134" customFormat="1" x14ac:dyDescent="0.2">
      <c r="A1467" s="206"/>
      <c r="B1467" s="283" t="s">
        <v>387</v>
      </c>
      <c r="C1467" s="283"/>
      <c r="D1467" s="199">
        <v>60</v>
      </c>
      <c r="E1467" s="200" t="s">
        <v>389</v>
      </c>
      <c r="F1467" s="177"/>
      <c r="G1467" s="177"/>
      <c r="H1467" s="177"/>
    </row>
    <row r="1468" spans="1:8" s="134" customFormat="1" ht="13.5" thickBot="1" x14ac:dyDescent="0.25">
      <c r="A1468" s="206"/>
      <c r="B1468" s="284"/>
      <c r="C1468" s="285"/>
      <c r="D1468" s="199"/>
      <c r="E1468" s="200"/>
      <c r="F1468" s="177"/>
      <c r="G1468" s="177"/>
      <c r="H1468" s="177"/>
    </row>
    <row r="1469" spans="1:8" s="134" customFormat="1" ht="13.5" customHeight="1" thickBot="1" x14ac:dyDescent="0.25">
      <c r="A1469" s="206"/>
      <c r="B1469" s="286" t="s">
        <v>453</v>
      </c>
      <c r="C1469" s="287"/>
      <c r="D1469" s="287"/>
      <c r="E1469" s="288"/>
      <c r="F1469" s="177"/>
      <c r="G1469" s="177"/>
      <c r="H1469" s="177"/>
    </row>
    <row r="1470" spans="1:8" s="134" customFormat="1" x14ac:dyDescent="0.2">
      <c r="A1470" s="206"/>
      <c r="B1470" s="195" t="s">
        <v>18</v>
      </c>
      <c r="C1470" s="193"/>
      <c r="D1470" s="210"/>
      <c r="E1470" s="194"/>
      <c r="F1470" s="177"/>
      <c r="G1470" s="177"/>
      <c r="H1470" s="177"/>
    </row>
    <row r="1471" spans="1:8" s="134" customFormat="1" x14ac:dyDescent="0.2">
      <c r="A1471" s="206"/>
      <c r="B1471" s="201"/>
      <c r="C1471" s="277" t="s">
        <v>62</v>
      </c>
      <c r="D1471" s="277"/>
      <c r="E1471" s="277"/>
      <c r="F1471" s="177"/>
      <c r="G1471" s="177"/>
      <c r="H1471" s="177"/>
    </row>
    <row r="1472" spans="1:8" s="134" customFormat="1" x14ac:dyDescent="0.2">
      <c r="A1472" s="206"/>
      <c r="B1472" s="195" t="s">
        <v>19</v>
      </c>
      <c r="C1472" s="212"/>
      <c r="D1472" s="212"/>
      <c r="E1472" s="202"/>
      <c r="F1472" s="177"/>
      <c r="G1472" s="177"/>
      <c r="H1472" s="177"/>
    </row>
    <row r="1473" spans="1:8" s="134" customFormat="1" x14ac:dyDescent="0.2">
      <c r="A1473" s="206"/>
      <c r="B1473" s="201"/>
      <c r="C1473" s="277" t="s">
        <v>465</v>
      </c>
      <c r="D1473" s="277"/>
      <c r="E1473" s="277"/>
      <c r="F1473" s="177"/>
      <c r="G1473" s="177"/>
      <c r="H1473" s="177"/>
    </row>
    <row r="1474" spans="1:8" s="134" customFormat="1" x14ac:dyDescent="0.2">
      <c r="A1474" s="206"/>
      <c r="B1474" s="195" t="s">
        <v>20</v>
      </c>
      <c r="C1474" s="193"/>
      <c r="D1474" s="210"/>
      <c r="E1474" s="194"/>
      <c r="F1474" s="177"/>
      <c r="G1474" s="177"/>
      <c r="H1474" s="177"/>
    </row>
    <row r="1475" spans="1:8" s="134" customFormat="1" x14ac:dyDescent="0.2">
      <c r="A1475" s="206"/>
      <c r="B1475" s="195"/>
      <c r="C1475" s="278" t="s">
        <v>63</v>
      </c>
      <c r="D1475" s="278"/>
      <c r="E1475" s="278"/>
      <c r="F1475" s="177"/>
      <c r="G1475" s="177"/>
      <c r="H1475" s="177"/>
    </row>
    <row r="1476" spans="1:8" s="134" customFormat="1" ht="13.5" thickBot="1" x14ac:dyDescent="0.25">
      <c r="A1476" s="206"/>
      <c r="B1476" s="203"/>
      <c r="C1476" s="174"/>
      <c r="D1476" s="204"/>
      <c r="E1476" s="205"/>
      <c r="F1476" s="177"/>
      <c r="G1476" s="177"/>
      <c r="H1476" s="177"/>
    </row>
    <row r="1477" spans="1:8" s="134" customFormat="1" x14ac:dyDescent="0.2">
      <c r="A1477" s="206"/>
      <c r="B1477" s="177"/>
      <c r="C1477" s="177"/>
      <c r="D1477" s="206"/>
      <c r="E1477" s="177"/>
      <c r="F1477" s="177"/>
      <c r="G1477" s="177"/>
      <c r="H1477" s="177"/>
    </row>
    <row r="1478" spans="1:8" x14ac:dyDescent="0.2">
      <c r="A1478" s="243"/>
      <c r="B1478" s="158"/>
      <c r="C1478" s="158"/>
      <c r="D1478" s="243"/>
      <c r="E1478" s="158"/>
      <c r="F1478" s="158"/>
      <c r="G1478" s="158"/>
      <c r="H1478" s="158"/>
    </row>
    <row r="1479" spans="1:8" x14ac:dyDescent="0.2">
      <c r="A1479" s="243"/>
      <c r="B1479" s="158"/>
      <c r="C1479" s="158"/>
      <c r="D1479" s="243"/>
      <c r="E1479" s="158"/>
      <c r="F1479" s="158"/>
      <c r="G1479" s="158"/>
      <c r="H1479" s="158"/>
    </row>
  </sheetData>
  <mergeCells count="818">
    <mergeCell ref="B1467:C1467"/>
    <mergeCell ref="B1468:C1468"/>
    <mergeCell ref="B1469:E1469"/>
    <mergeCell ref="C1471:E1471"/>
    <mergeCell ref="C1473:E1473"/>
    <mergeCell ref="C1475:E1475"/>
    <mergeCell ref="C1450:E1450"/>
    <mergeCell ref="C1452:E1452"/>
    <mergeCell ref="C1459:E1459"/>
    <mergeCell ref="B1461:E1461"/>
    <mergeCell ref="B1462:C1462"/>
    <mergeCell ref="B1463:C1463"/>
    <mergeCell ref="B1464:C1464"/>
    <mergeCell ref="B1465:C1465"/>
    <mergeCell ref="B1466:C1466"/>
    <mergeCell ref="B1439:C1439"/>
    <mergeCell ref="B1440:C1440"/>
    <mergeCell ref="B1441:C1441"/>
    <mergeCell ref="B1442:C1442"/>
    <mergeCell ref="B1443:C1443"/>
    <mergeCell ref="B1444:C1444"/>
    <mergeCell ref="B1445:C1445"/>
    <mergeCell ref="B1446:E1446"/>
    <mergeCell ref="C1448:E1448"/>
    <mergeCell ref="B1420:C1420"/>
    <mergeCell ref="B1421:C1421"/>
    <mergeCell ref="B1422:C1422"/>
    <mergeCell ref="B1423:E1423"/>
    <mergeCell ref="C1425:E1425"/>
    <mergeCell ref="C1427:E1427"/>
    <mergeCell ref="C1429:E1429"/>
    <mergeCell ref="C1436:E1436"/>
    <mergeCell ref="B1438:E1438"/>
    <mergeCell ref="C1402:E1402"/>
    <mergeCell ref="C1404:E1404"/>
    <mergeCell ref="C1406:E1406"/>
    <mergeCell ref="C1413:E1413"/>
    <mergeCell ref="B1415:E1415"/>
    <mergeCell ref="B1416:C1416"/>
    <mergeCell ref="B1417:C1417"/>
    <mergeCell ref="B1418:C1418"/>
    <mergeCell ref="B1419:C1419"/>
    <mergeCell ref="B1392:E1392"/>
    <mergeCell ref="B1393:C1393"/>
    <mergeCell ref="B1394:C1394"/>
    <mergeCell ref="B1395:C1395"/>
    <mergeCell ref="B1396:C1396"/>
    <mergeCell ref="B1397:C1397"/>
    <mergeCell ref="B1398:C1398"/>
    <mergeCell ref="B1399:C1399"/>
    <mergeCell ref="B1400:E1400"/>
    <mergeCell ref="B1373:C1373"/>
    <mergeCell ref="B1374:C1374"/>
    <mergeCell ref="B1375:C1375"/>
    <mergeCell ref="B1376:C1376"/>
    <mergeCell ref="B1377:E1377"/>
    <mergeCell ref="C1379:E1379"/>
    <mergeCell ref="C1381:E1381"/>
    <mergeCell ref="C1383:E1383"/>
    <mergeCell ref="C1390:E1390"/>
    <mergeCell ref="B1354:E1354"/>
    <mergeCell ref="C1356:E1356"/>
    <mergeCell ref="C1358:E1358"/>
    <mergeCell ref="C1360:E1360"/>
    <mergeCell ref="C1367:E1367"/>
    <mergeCell ref="B1369:E1369"/>
    <mergeCell ref="B1370:C1370"/>
    <mergeCell ref="B1371:C1371"/>
    <mergeCell ref="B1372:C1372"/>
    <mergeCell ref="C1344:E1344"/>
    <mergeCell ref="B1346:E1346"/>
    <mergeCell ref="B1347:C1347"/>
    <mergeCell ref="B1348:C1348"/>
    <mergeCell ref="B1349:C1349"/>
    <mergeCell ref="B1350:C1350"/>
    <mergeCell ref="B1351:C1351"/>
    <mergeCell ref="B1352:C1352"/>
    <mergeCell ref="B1353:C1353"/>
    <mergeCell ref="B845:C845"/>
    <mergeCell ref="B846:C846"/>
    <mergeCell ref="B847:C847"/>
    <mergeCell ref="B848:E848"/>
    <mergeCell ref="C850:E850"/>
    <mergeCell ref="C852:E852"/>
    <mergeCell ref="C854:E854"/>
    <mergeCell ref="C827:E827"/>
    <mergeCell ref="C829:E829"/>
    <mergeCell ref="C831:E831"/>
    <mergeCell ref="C838:E838"/>
    <mergeCell ref="B840:E840"/>
    <mergeCell ref="B841:C841"/>
    <mergeCell ref="B842:C842"/>
    <mergeCell ref="B843:C843"/>
    <mergeCell ref="B844:C844"/>
    <mergeCell ref="B817:E817"/>
    <mergeCell ref="B818:C818"/>
    <mergeCell ref="B819:C819"/>
    <mergeCell ref="B820:C820"/>
    <mergeCell ref="B821:C821"/>
    <mergeCell ref="B822:C822"/>
    <mergeCell ref="B823:C823"/>
    <mergeCell ref="B824:C824"/>
    <mergeCell ref="B825:E825"/>
    <mergeCell ref="B798:C798"/>
    <mergeCell ref="B799:C799"/>
    <mergeCell ref="B800:C800"/>
    <mergeCell ref="B801:C801"/>
    <mergeCell ref="B802:E802"/>
    <mergeCell ref="C804:E804"/>
    <mergeCell ref="C806:E806"/>
    <mergeCell ref="C808:E808"/>
    <mergeCell ref="C815:E815"/>
    <mergeCell ref="B779:E779"/>
    <mergeCell ref="C781:E781"/>
    <mergeCell ref="C783:E783"/>
    <mergeCell ref="C785:E785"/>
    <mergeCell ref="C792:E792"/>
    <mergeCell ref="B794:E794"/>
    <mergeCell ref="B795:C795"/>
    <mergeCell ref="B796:C796"/>
    <mergeCell ref="B797:C797"/>
    <mergeCell ref="C769:E769"/>
    <mergeCell ref="B771:E771"/>
    <mergeCell ref="B772:C772"/>
    <mergeCell ref="B773:C773"/>
    <mergeCell ref="B774:C774"/>
    <mergeCell ref="B775:C775"/>
    <mergeCell ref="B776:C776"/>
    <mergeCell ref="B777:C777"/>
    <mergeCell ref="B778:C778"/>
    <mergeCell ref="C739:E739"/>
    <mergeCell ref="C735:E735"/>
    <mergeCell ref="C737:E737"/>
    <mergeCell ref="B733:E733"/>
    <mergeCell ref="B482:E482"/>
    <mergeCell ref="B504:E504"/>
    <mergeCell ref="B86:E86"/>
    <mergeCell ref="B108:E108"/>
    <mergeCell ref="B130:E130"/>
    <mergeCell ref="B152:E152"/>
    <mergeCell ref="B174:E174"/>
    <mergeCell ref="B196:E196"/>
    <mergeCell ref="B218:E218"/>
    <mergeCell ref="B240:E240"/>
    <mergeCell ref="B262:E262"/>
    <mergeCell ref="B498:C498"/>
    <mergeCell ref="C712:E712"/>
    <mergeCell ref="C714:E714"/>
    <mergeCell ref="C716:E716"/>
    <mergeCell ref="C723:E723"/>
    <mergeCell ref="B710:E710"/>
    <mergeCell ref="C721:E721"/>
    <mergeCell ref="B731:C731"/>
    <mergeCell ref="B732:C732"/>
    <mergeCell ref="B725:E725"/>
    <mergeCell ref="B726:C726"/>
    <mergeCell ref="B727:C727"/>
    <mergeCell ref="B728:C728"/>
    <mergeCell ref="B729:C729"/>
    <mergeCell ref="B730:C730"/>
    <mergeCell ref="B703:C703"/>
    <mergeCell ref="B687:E687"/>
    <mergeCell ref="C698:E698"/>
    <mergeCell ref="B704:C704"/>
    <mergeCell ref="B705:C705"/>
    <mergeCell ref="B706:C706"/>
    <mergeCell ref="B707:C707"/>
    <mergeCell ref="B708:C708"/>
    <mergeCell ref="B709:C709"/>
    <mergeCell ref="B683:C683"/>
    <mergeCell ref="B684:C684"/>
    <mergeCell ref="B685:C685"/>
    <mergeCell ref="B686:C686"/>
    <mergeCell ref="C689:E689"/>
    <mergeCell ref="C691:E691"/>
    <mergeCell ref="C693:E693"/>
    <mergeCell ref="C700:E700"/>
    <mergeCell ref="B702:E702"/>
    <mergeCell ref="B662:C662"/>
    <mergeCell ref="B663:C663"/>
    <mergeCell ref="C670:E670"/>
    <mergeCell ref="C677:E677"/>
    <mergeCell ref="B679:E679"/>
    <mergeCell ref="B680:C680"/>
    <mergeCell ref="B681:C681"/>
    <mergeCell ref="B682:C682"/>
    <mergeCell ref="C666:E666"/>
    <mergeCell ref="C668:E668"/>
    <mergeCell ref="B664:E664"/>
    <mergeCell ref="C675:E675"/>
    <mergeCell ref="B656:E656"/>
    <mergeCell ref="B657:C657"/>
    <mergeCell ref="B658:C658"/>
    <mergeCell ref="B659:C659"/>
    <mergeCell ref="B660:C660"/>
    <mergeCell ref="B661:C661"/>
    <mergeCell ref="C643:E643"/>
    <mergeCell ref="C645:E645"/>
    <mergeCell ref="C647:E647"/>
    <mergeCell ref="C654:E654"/>
    <mergeCell ref="C652:E652"/>
    <mergeCell ref="B635:C635"/>
    <mergeCell ref="B636:C636"/>
    <mergeCell ref="B637:C637"/>
    <mergeCell ref="B638:C638"/>
    <mergeCell ref="B639:C639"/>
    <mergeCell ref="B640:C640"/>
    <mergeCell ref="C620:E620"/>
    <mergeCell ref="C622:E622"/>
    <mergeCell ref="C624:E624"/>
    <mergeCell ref="C631:E631"/>
    <mergeCell ref="B633:E633"/>
    <mergeCell ref="B634:C634"/>
    <mergeCell ref="C597:E597"/>
    <mergeCell ref="C599:E599"/>
    <mergeCell ref="B595:E595"/>
    <mergeCell ref="B614:C614"/>
    <mergeCell ref="B615:C615"/>
    <mergeCell ref="B616:C616"/>
    <mergeCell ref="B617:C617"/>
    <mergeCell ref="C601:E601"/>
    <mergeCell ref="C608:E608"/>
    <mergeCell ref="B610:E610"/>
    <mergeCell ref="B611:C611"/>
    <mergeCell ref="B612:C612"/>
    <mergeCell ref="B613:C613"/>
    <mergeCell ref="C576:E576"/>
    <mergeCell ref="C578:E578"/>
    <mergeCell ref="C585:E585"/>
    <mergeCell ref="B572:E572"/>
    <mergeCell ref="B593:C593"/>
    <mergeCell ref="B594:C594"/>
    <mergeCell ref="B587:E587"/>
    <mergeCell ref="B588:C588"/>
    <mergeCell ref="B589:C589"/>
    <mergeCell ref="B590:C590"/>
    <mergeCell ref="B591:C591"/>
    <mergeCell ref="B592:C592"/>
    <mergeCell ref="B565:C565"/>
    <mergeCell ref="B549:E549"/>
    <mergeCell ref="B566:C566"/>
    <mergeCell ref="B567:C567"/>
    <mergeCell ref="B568:C568"/>
    <mergeCell ref="B569:C569"/>
    <mergeCell ref="B570:C570"/>
    <mergeCell ref="B571:C571"/>
    <mergeCell ref="C574:E574"/>
    <mergeCell ref="B545:C545"/>
    <mergeCell ref="B546:C546"/>
    <mergeCell ref="B547:C547"/>
    <mergeCell ref="B548:C548"/>
    <mergeCell ref="C551:E551"/>
    <mergeCell ref="C553:E553"/>
    <mergeCell ref="C555:E555"/>
    <mergeCell ref="C562:E562"/>
    <mergeCell ref="B564:E564"/>
    <mergeCell ref="B524:C524"/>
    <mergeCell ref="B525:C525"/>
    <mergeCell ref="C532:E532"/>
    <mergeCell ref="C539:E539"/>
    <mergeCell ref="B541:E541"/>
    <mergeCell ref="B542:C542"/>
    <mergeCell ref="B543:C543"/>
    <mergeCell ref="B544:C544"/>
    <mergeCell ref="C528:E528"/>
    <mergeCell ref="C530:E530"/>
    <mergeCell ref="B526:E526"/>
    <mergeCell ref="B518:E518"/>
    <mergeCell ref="B519:C519"/>
    <mergeCell ref="B520:C520"/>
    <mergeCell ref="B521:C521"/>
    <mergeCell ref="B522:C522"/>
    <mergeCell ref="B523:C523"/>
    <mergeCell ref="C506:E506"/>
    <mergeCell ref="C508:E508"/>
    <mergeCell ref="C510:E510"/>
    <mergeCell ref="C516:E516"/>
    <mergeCell ref="B499:C499"/>
    <mergeCell ref="B500:C500"/>
    <mergeCell ref="B501:C501"/>
    <mergeCell ref="B502:C502"/>
    <mergeCell ref="B503:C503"/>
    <mergeCell ref="C484:E484"/>
    <mergeCell ref="C486:E486"/>
    <mergeCell ref="C488:E488"/>
    <mergeCell ref="B496:E496"/>
    <mergeCell ref="B497:C497"/>
    <mergeCell ref="C494:E494"/>
    <mergeCell ref="C462:E462"/>
    <mergeCell ref="C464:E464"/>
    <mergeCell ref="B460:E460"/>
    <mergeCell ref="B478:C478"/>
    <mergeCell ref="B479:C479"/>
    <mergeCell ref="B480:C480"/>
    <mergeCell ref="B481:C481"/>
    <mergeCell ref="C466:E466"/>
    <mergeCell ref="C472:E472"/>
    <mergeCell ref="B474:E474"/>
    <mergeCell ref="B475:C475"/>
    <mergeCell ref="B476:C476"/>
    <mergeCell ref="B477:C477"/>
    <mergeCell ref="C442:E442"/>
    <mergeCell ref="C444:E444"/>
    <mergeCell ref="C450:E450"/>
    <mergeCell ref="B438:E438"/>
    <mergeCell ref="B458:C458"/>
    <mergeCell ref="B459:C459"/>
    <mergeCell ref="B452:E452"/>
    <mergeCell ref="B453:C453"/>
    <mergeCell ref="B454:C454"/>
    <mergeCell ref="B455:C455"/>
    <mergeCell ref="B456:C456"/>
    <mergeCell ref="B457:C457"/>
    <mergeCell ref="B431:C431"/>
    <mergeCell ref="B416:E416"/>
    <mergeCell ref="B432:C432"/>
    <mergeCell ref="B433:C433"/>
    <mergeCell ref="B434:C434"/>
    <mergeCell ref="B435:C435"/>
    <mergeCell ref="B436:C436"/>
    <mergeCell ref="B437:C437"/>
    <mergeCell ref="C440:E440"/>
    <mergeCell ref="B412:C412"/>
    <mergeCell ref="B413:C413"/>
    <mergeCell ref="B414:C414"/>
    <mergeCell ref="B415:C415"/>
    <mergeCell ref="C418:E418"/>
    <mergeCell ref="C420:E420"/>
    <mergeCell ref="C422:E422"/>
    <mergeCell ref="C428:E428"/>
    <mergeCell ref="B430:E430"/>
    <mergeCell ref="B394:E394"/>
    <mergeCell ref="B392:C392"/>
    <mergeCell ref="B393:C393"/>
    <mergeCell ref="C400:E400"/>
    <mergeCell ref="C406:E406"/>
    <mergeCell ref="B408:E408"/>
    <mergeCell ref="B409:C409"/>
    <mergeCell ref="B410:C410"/>
    <mergeCell ref="B411:C411"/>
    <mergeCell ref="C396:E396"/>
    <mergeCell ref="C398:E398"/>
    <mergeCell ref="B372:E372"/>
    <mergeCell ref="B386:E386"/>
    <mergeCell ref="B387:C387"/>
    <mergeCell ref="B388:C388"/>
    <mergeCell ref="B389:C389"/>
    <mergeCell ref="B390:C390"/>
    <mergeCell ref="B391:C391"/>
    <mergeCell ref="C374:E374"/>
    <mergeCell ref="C376:E376"/>
    <mergeCell ref="C378:E378"/>
    <mergeCell ref="C384:E384"/>
    <mergeCell ref="B350:E350"/>
    <mergeCell ref="B366:C366"/>
    <mergeCell ref="B367:C367"/>
    <mergeCell ref="B368:C368"/>
    <mergeCell ref="B369:C369"/>
    <mergeCell ref="B370:C370"/>
    <mergeCell ref="B371:C371"/>
    <mergeCell ref="C352:E352"/>
    <mergeCell ref="C354:E354"/>
    <mergeCell ref="C356:E356"/>
    <mergeCell ref="C362:E362"/>
    <mergeCell ref="B364:E364"/>
    <mergeCell ref="B365:C365"/>
    <mergeCell ref="C330:E330"/>
    <mergeCell ref="C332:E332"/>
    <mergeCell ref="B328:E328"/>
    <mergeCell ref="B346:C346"/>
    <mergeCell ref="B347:C347"/>
    <mergeCell ref="B348:C348"/>
    <mergeCell ref="B349:C349"/>
    <mergeCell ref="C334:E334"/>
    <mergeCell ref="C340:E340"/>
    <mergeCell ref="B342:E342"/>
    <mergeCell ref="B343:C343"/>
    <mergeCell ref="B344:C344"/>
    <mergeCell ref="B345:C345"/>
    <mergeCell ref="C310:E310"/>
    <mergeCell ref="C312:E312"/>
    <mergeCell ref="C318:E318"/>
    <mergeCell ref="B306:E306"/>
    <mergeCell ref="C316:E316"/>
    <mergeCell ref="B326:C326"/>
    <mergeCell ref="B327:C327"/>
    <mergeCell ref="B320:E320"/>
    <mergeCell ref="B321:C321"/>
    <mergeCell ref="B322:C322"/>
    <mergeCell ref="B323:C323"/>
    <mergeCell ref="B324:C324"/>
    <mergeCell ref="B325:C325"/>
    <mergeCell ref="B299:C299"/>
    <mergeCell ref="B284:E284"/>
    <mergeCell ref="B300:C300"/>
    <mergeCell ref="B301:C301"/>
    <mergeCell ref="B302:C302"/>
    <mergeCell ref="B303:C303"/>
    <mergeCell ref="B304:C304"/>
    <mergeCell ref="B305:C305"/>
    <mergeCell ref="C308:E308"/>
    <mergeCell ref="B280:C280"/>
    <mergeCell ref="B281:C281"/>
    <mergeCell ref="B282:C282"/>
    <mergeCell ref="B283:C283"/>
    <mergeCell ref="C286:E286"/>
    <mergeCell ref="C288:E288"/>
    <mergeCell ref="C290:E290"/>
    <mergeCell ref="C296:E296"/>
    <mergeCell ref="B298:E298"/>
    <mergeCell ref="B260:C260"/>
    <mergeCell ref="B261:C261"/>
    <mergeCell ref="C268:E268"/>
    <mergeCell ref="C274:E274"/>
    <mergeCell ref="B276:E276"/>
    <mergeCell ref="B277:C277"/>
    <mergeCell ref="B278:C278"/>
    <mergeCell ref="B279:C279"/>
    <mergeCell ref="C264:E264"/>
    <mergeCell ref="C266:E266"/>
    <mergeCell ref="B254:E254"/>
    <mergeCell ref="B255:C255"/>
    <mergeCell ref="B256:C256"/>
    <mergeCell ref="B257:C257"/>
    <mergeCell ref="B258:C258"/>
    <mergeCell ref="B259:C259"/>
    <mergeCell ref="C242:E242"/>
    <mergeCell ref="C244:E244"/>
    <mergeCell ref="C246:E246"/>
    <mergeCell ref="C252:E252"/>
    <mergeCell ref="B234:C234"/>
    <mergeCell ref="B235:C235"/>
    <mergeCell ref="B236:C236"/>
    <mergeCell ref="B237:C237"/>
    <mergeCell ref="B238:C238"/>
    <mergeCell ref="B239:C239"/>
    <mergeCell ref="C220:E220"/>
    <mergeCell ref="C222:E222"/>
    <mergeCell ref="C224:E224"/>
    <mergeCell ref="C230:E230"/>
    <mergeCell ref="B232:E232"/>
    <mergeCell ref="B233:C233"/>
    <mergeCell ref="C198:E198"/>
    <mergeCell ref="C200:E200"/>
    <mergeCell ref="B214:C214"/>
    <mergeCell ref="B215:C215"/>
    <mergeCell ref="B216:C216"/>
    <mergeCell ref="B217:C217"/>
    <mergeCell ref="C202:E202"/>
    <mergeCell ref="C208:E208"/>
    <mergeCell ref="B210:E210"/>
    <mergeCell ref="B211:C211"/>
    <mergeCell ref="B212:C212"/>
    <mergeCell ref="B213:C213"/>
    <mergeCell ref="C180:E180"/>
    <mergeCell ref="C186:E186"/>
    <mergeCell ref="B194:C194"/>
    <mergeCell ref="B195:C195"/>
    <mergeCell ref="B188:E188"/>
    <mergeCell ref="B189:C189"/>
    <mergeCell ref="B190:C190"/>
    <mergeCell ref="B191:C191"/>
    <mergeCell ref="B192:C192"/>
    <mergeCell ref="B193:C193"/>
    <mergeCell ref="B167:C167"/>
    <mergeCell ref="B168:C168"/>
    <mergeCell ref="B169:C169"/>
    <mergeCell ref="B170:C170"/>
    <mergeCell ref="B171:C171"/>
    <mergeCell ref="B172:C172"/>
    <mergeCell ref="B173:C173"/>
    <mergeCell ref="C176:E176"/>
    <mergeCell ref="C178:E178"/>
    <mergeCell ref="B148:C148"/>
    <mergeCell ref="B149:C149"/>
    <mergeCell ref="B150:C150"/>
    <mergeCell ref="B151:C151"/>
    <mergeCell ref="C154:E154"/>
    <mergeCell ref="C156:E156"/>
    <mergeCell ref="C158:E158"/>
    <mergeCell ref="C164:E164"/>
    <mergeCell ref="B166:E166"/>
    <mergeCell ref="C120:E120"/>
    <mergeCell ref="B128:C128"/>
    <mergeCell ref="B129:C129"/>
    <mergeCell ref="C136:E136"/>
    <mergeCell ref="C142:E142"/>
    <mergeCell ref="B144:E144"/>
    <mergeCell ref="B145:C145"/>
    <mergeCell ref="B146:C146"/>
    <mergeCell ref="B147:C147"/>
    <mergeCell ref="C132:E132"/>
    <mergeCell ref="C134:E134"/>
    <mergeCell ref="B1:H1"/>
    <mergeCell ref="A3:B3"/>
    <mergeCell ref="C3:E3"/>
    <mergeCell ref="A4:B4"/>
    <mergeCell ref="C4:E4"/>
    <mergeCell ref="A5:B5"/>
    <mergeCell ref="B82:C82"/>
    <mergeCell ref="B83:C83"/>
    <mergeCell ref="B84:C84"/>
    <mergeCell ref="A6:B6"/>
    <mergeCell ref="C76:E76"/>
    <mergeCell ref="B78:E78"/>
    <mergeCell ref="B79:C79"/>
    <mergeCell ref="B80:C80"/>
    <mergeCell ref="B81:C81"/>
    <mergeCell ref="B618:E618"/>
    <mergeCell ref="B641:E641"/>
    <mergeCell ref="B85:C85"/>
    <mergeCell ref="C88:E88"/>
    <mergeCell ref="C90:E90"/>
    <mergeCell ref="C92:E92"/>
    <mergeCell ref="C98:E98"/>
    <mergeCell ref="B100:E100"/>
    <mergeCell ref="B101:C101"/>
    <mergeCell ref="B102:C102"/>
    <mergeCell ref="B103:C103"/>
    <mergeCell ref="B104:C104"/>
    <mergeCell ref="B105:C105"/>
    <mergeCell ref="B106:C106"/>
    <mergeCell ref="B107:C107"/>
    <mergeCell ref="B122:E122"/>
    <mergeCell ref="B123:C123"/>
    <mergeCell ref="B124:C124"/>
    <mergeCell ref="B125:C125"/>
    <mergeCell ref="B126:C126"/>
    <mergeCell ref="B127:C127"/>
    <mergeCell ref="C110:E110"/>
    <mergeCell ref="C112:E112"/>
    <mergeCell ref="C114:E114"/>
    <mergeCell ref="B756:E756"/>
    <mergeCell ref="C758:E758"/>
    <mergeCell ref="C760:E760"/>
    <mergeCell ref="C762:E762"/>
    <mergeCell ref="C746:E746"/>
    <mergeCell ref="B748:E748"/>
    <mergeCell ref="B749:C749"/>
    <mergeCell ref="B750:C750"/>
    <mergeCell ref="B751:C751"/>
    <mergeCell ref="B752:C752"/>
    <mergeCell ref="B753:C753"/>
    <mergeCell ref="B754:C754"/>
    <mergeCell ref="B755:C755"/>
    <mergeCell ref="C861:E861"/>
    <mergeCell ref="B863:E863"/>
    <mergeCell ref="B864:C864"/>
    <mergeCell ref="B865:C865"/>
    <mergeCell ref="B866:C866"/>
    <mergeCell ref="B867:C867"/>
    <mergeCell ref="B868:C868"/>
    <mergeCell ref="B869:C869"/>
    <mergeCell ref="B870:C870"/>
    <mergeCell ref="B871:E871"/>
    <mergeCell ref="C873:E873"/>
    <mergeCell ref="C875:E875"/>
    <mergeCell ref="C877:E877"/>
    <mergeCell ref="C884:E884"/>
    <mergeCell ref="B886:E886"/>
    <mergeCell ref="B887:C887"/>
    <mergeCell ref="B888:C888"/>
    <mergeCell ref="B889:C889"/>
    <mergeCell ref="B890:C890"/>
    <mergeCell ref="B891:C891"/>
    <mergeCell ref="B892:C892"/>
    <mergeCell ref="B893:C893"/>
    <mergeCell ref="B894:E894"/>
    <mergeCell ref="C896:E896"/>
    <mergeCell ref="C898:E898"/>
    <mergeCell ref="C900:E900"/>
    <mergeCell ref="C907:E907"/>
    <mergeCell ref="B909:E909"/>
    <mergeCell ref="B910:C910"/>
    <mergeCell ref="B911:C911"/>
    <mergeCell ref="B912:C912"/>
    <mergeCell ref="B913:C913"/>
    <mergeCell ref="B914:C914"/>
    <mergeCell ref="B915:C915"/>
    <mergeCell ref="B916:C916"/>
    <mergeCell ref="B917:E917"/>
    <mergeCell ref="C919:E919"/>
    <mergeCell ref="C921:E921"/>
    <mergeCell ref="C923:E923"/>
    <mergeCell ref="C930:E930"/>
    <mergeCell ref="B932:E932"/>
    <mergeCell ref="B933:C933"/>
    <mergeCell ref="B934:C934"/>
    <mergeCell ref="B935:C935"/>
    <mergeCell ref="B936:C936"/>
    <mergeCell ref="B937:C937"/>
    <mergeCell ref="B938:C938"/>
    <mergeCell ref="B939:C939"/>
    <mergeCell ref="B940:E940"/>
    <mergeCell ref="C942:E942"/>
    <mergeCell ref="C944:E944"/>
    <mergeCell ref="C946:E946"/>
    <mergeCell ref="C953:E953"/>
    <mergeCell ref="B955:E955"/>
    <mergeCell ref="C967:E967"/>
    <mergeCell ref="C969:E969"/>
    <mergeCell ref="B956:C956"/>
    <mergeCell ref="B957:C957"/>
    <mergeCell ref="B958:C958"/>
    <mergeCell ref="B959:C959"/>
    <mergeCell ref="B960:C960"/>
    <mergeCell ref="B961:C961"/>
    <mergeCell ref="B962:C962"/>
    <mergeCell ref="B963:E963"/>
    <mergeCell ref="C965:E965"/>
    <mergeCell ref="C976:E976"/>
    <mergeCell ref="B978:E978"/>
    <mergeCell ref="B979:C979"/>
    <mergeCell ref="B980:C980"/>
    <mergeCell ref="B981:C981"/>
    <mergeCell ref="B982:C982"/>
    <mergeCell ref="B983:C983"/>
    <mergeCell ref="B984:C984"/>
    <mergeCell ref="B985:C985"/>
    <mergeCell ref="B986:E986"/>
    <mergeCell ref="C988:E988"/>
    <mergeCell ref="C990:E990"/>
    <mergeCell ref="C992:E992"/>
    <mergeCell ref="C999:E999"/>
    <mergeCell ref="B1001:E1001"/>
    <mergeCell ref="B1002:C1002"/>
    <mergeCell ref="B1003:C1003"/>
    <mergeCell ref="B1004:C1004"/>
    <mergeCell ref="B1005:C1005"/>
    <mergeCell ref="B1006:C1006"/>
    <mergeCell ref="B1007:C1007"/>
    <mergeCell ref="B1008:C1008"/>
    <mergeCell ref="B1009:E1009"/>
    <mergeCell ref="C1011:E1011"/>
    <mergeCell ref="C1013:E1013"/>
    <mergeCell ref="C1015:E1015"/>
    <mergeCell ref="C1022:E1022"/>
    <mergeCell ref="B1024:E1024"/>
    <mergeCell ref="B1025:C1025"/>
    <mergeCell ref="B1026:C1026"/>
    <mergeCell ref="B1027:C1027"/>
    <mergeCell ref="B1028:C1028"/>
    <mergeCell ref="B1029:C1029"/>
    <mergeCell ref="B1030:C1030"/>
    <mergeCell ref="B1031:C1031"/>
    <mergeCell ref="B1032:E1032"/>
    <mergeCell ref="C1034:E1034"/>
    <mergeCell ref="C1036:E1036"/>
    <mergeCell ref="C1038:E1038"/>
    <mergeCell ref="C1045:E1045"/>
    <mergeCell ref="B1047:E1047"/>
    <mergeCell ref="B1048:C1048"/>
    <mergeCell ref="B1049:C1049"/>
    <mergeCell ref="B1050:C1050"/>
    <mergeCell ref="B1051:C1051"/>
    <mergeCell ref="B1052:C1052"/>
    <mergeCell ref="B1053:C1053"/>
    <mergeCell ref="B1054:C1054"/>
    <mergeCell ref="B1055:E1055"/>
    <mergeCell ref="C1057:E1057"/>
    <mergeCell ref="C1059:E1059"/>
    <mergeCell ref="C1061:E1061"/>
    <mergeCell ref="C1068:E1068"/>
    <mergeCell ref="B1070:E1070"/>
    <mergeCell ref="B1071:C1071"/>
    <mergeCell ref="B1072:C1072"/>
    <mergeCell ref="B1073:C1073"/>
    <mergeCell ref="B1074:C1074"/>
    <mergeCell ref="B1075:C1075"/>
    <mergeCell ref="B1076:C1076"/>
    <mergeCell ref="B1077:C1077"/>
    <mergeCell ref="B1078:E1078"/>
    <mergeCell ref="C1080:E1080"/>
    <mergeCell ref="C1082:E1082"/>
    <mergeCell ref="C1084:E1084"/>
    <mergeCell ref="C1091:E1091"/>
    <mergeCell ref="B1093:E1093"/>
    <mergeCell ref="B1094:C1094"/>
    <mergeCell ref="B1095:C1095"/>
    <mergeCell ref="B1096:C1096"/>
    <mergeCell ref="B1097:C1097"/>
    <mergeCell ref="B1098:C1098"/>
    <mergeCell ref="B1099:C1099"/>
    <mergeCell ref="B1100:C1100"/>
    <mergeCell ref="B1101:E1101"/>
    <mergeCell ref="C1103:E1103"/>
    <mergeCell ref="C1105:E1105"/>
    <mergeCell ref="C1107:E1107"/>
    <mergeCell ref="C1114:E1114"/>
    <mergeCell ref="B1116:E1116"/>
    <mergeCell ref="B1117:C1117"/>
    <mergeCell ref="B1118:C1118"/>
    <mergeCell ref="B1119:C1119"/>
    <mergeCell ref="B1120:C1120"/>
    <mergeCell ref="B1121:C1121"/>
    <mergeCell ref="B1122:C1122"/>
    <mergeCell ref="B1123:C1123"/>
    <mergeCell ref="B1124:E1124"/>
    <mergeCell ref="C1126:E1126"/>
    <mergeCell ref="C1128:E1128"/>
    <mergeCell ref="C1130:E1130"/>
    <mergeCell ref="C1137:E1137"/>
    <mergeCell ref="B1139:E1139"/>
    <mergeCell ref="B1140:C1140"/>
    <mergeCell ref="B1141:C1141"/>
    <mergeCell ref="B1142:C1142"/>
    <mergeCell ref="B1143:C1143"/>
    <mergeCell ref="B1144:C1144"/>
    <mergeCell ref="B1145:C1145"/>
    <mergeCell ref="B1146:C1146"/>
    <mergeCell ref="B1147:E1147"/>
    <mergeCell ref="C1149:E1149"/>
    <mergeCell ref="C1151:E1151"/>
    <mergeCell ref="C1153:E1153"/>
    <mergeCell ref="C1160:E1160"/>
    <mergeCell ref="B1162:E1162"/>
    <mergeCell ref="B1163:C1163"/>
    <mergeCell ref="B1164:C1164"/>
    <mergeCell ref="B1165:C1165"/>
    <mergeCell ref="B1166:C1166"/>
    <mergeCell ref="B1167:C1167"/>
    <mergeCell ref="B1168:C1168"/>
    <mergeCell ref="B1169:C1169"/>
    <mergeCell ref="B1170:E1170"/>
    <mergeCell ref="C1172:E1172"/>
    <mergeCell ref="C1174:E1174"/>
    <mergeCell ref="C1176:E1176"/>
    <mergeCell ref="C1183:E1183"/>
    <mergeCell ref="B1185:E1185"/>
    <mergeCell ref="B1186:C1186"/>
    <mergeCell ref="B1187:C1187"/>
    <mergeCell ref="B1188:C1188"/>
    <mergeCell ref="B1189:C1189"/>
    <mergeCell ref="B1190:C1190"/>
    <mergeCell ref="B1191:C1191"/>
    <mergeCell ref="B1192:C1192"/>
    <mergeCell ref="B1193:E1193"/>
    <mergeCell ref="C1195:E1195"/>
    <mergeCell ref="C1197:E1197"/>
    <mergeCell ref="C1199:E1199"/>
    <mergeCell ref="C1206:E1206"/>
    <mergeCell ref="B1208:E1208"/>
    <mergeCell ref="B1209:C1209"/>
    <mergeCell ref="B1210:C1210"/>
    <mergeCell ref="B1211:C1211"/>
    <mergeCell ref="B1212:C1212"/>
    <mergeCell ref="B1213:C1213"/>
    <mergeCell ref="B1214:C1214"/>
    <mergeCell ref="B1215:C1215"/>
    <mergeCell ref="B1216:E1216"/>
    <mergeCell ref="C1218:E1218"/>
    <mergeCell ref="C1220:E1220"/>
    <mergeCell ref="C1222:E1222"/>
    <mergeCell ref="C1229:E1229"/>
    <mergeCell ref="C1241:E1241"/>
    <mergeCell ref="C1243:E1243"/>
    <mergeCell ref="C1245:E1245"/>
    <mergeCell ref="B1256:C1256"/>
    <mergeCell ref="B1257:C1257"/>
    <mergeCell ref="B1258:C1258"/>
    <mergeCell ref="B1259:C1259"/>
    <mergeCell ref="B1231:E1231"/>
    <mergeCell ref="B1232:C1232"/>
    <mergeCell ref="B1233:C1233"/>
    <mergeCell ref="B1234:C1234"/>
    <mergeCell ref="B1235:C1235"/>
    <mergeCell ref="B1236:C1236"/>
    <mergeCell ref="B1237:C1237"/>
    <mergeCell ref="B1238:C1238"/>
    <mergeCell ref="B1239:E1239"/>
    <mergeCell ref="B1260:C1260"/>
    <mergeCell ref="B1261:C1261"/>
    <mergeCell ref="C1252:E1252"/>
    <mergeCell ref="B1254:E1254"/>
    <mergeCell ref="B1255:C1255"/>
    <mergeCell ref="B1262:E1262"/>
    <mergeCell ref="C1264:E1264"/>
    <mergeCell ref="C1266:E1266"/>
    <mergeCell ref="C1268:E1268"/>
    <mergeCell ref="C1275:E1275"/>
    <mergeCell ref="B1277:E1277"/>
    <mergeCell ref="B1278:C1278"/>
    <mergeCell ref="B1279:C1279"/>
    <mergeCell ref="B1280:C1280"/>
    <mergeCell ref="B1281:C1281"/>
    <mergeCell ref="B1282:C1282"/>
    <mergeCell ref="B1283:C1283"/>
    <mergeCell ref="B1284:C1284"/>
    <mergeCell ref="B1285:E1285"/>
    <mergeCell ref="C1287:E1287"/>
    <mergeCell ref="C1289:E1289"/>
    <mergeCell ref="C1291:E1291"/>
    <mergeCell ref="C1298:E1298"/>
    <mergeCell ref="B1300:E1300"/>
    <mergeCell ref="B1301:C1301"/>
    <mergeCell ref="B1302:C1302"/>
    <mergeCell ref="B1303:C1303"/>
    <mergeCell ref="B1304:C1304"/>
    <mergeCell ref="B1305:C1305"/>
    <mergeCell ref="B1306:C1306"/>
    <mergeCell ref="B1307:C1307"/>
    <mergeCell ref="B1308:E1308"/>
    <mergeCell ref="C1310:E1310"/>
    <mergeCell ref="C1312:E1312"/>
    <mergeCell ref="C1314:E1314"/>
    <mergeCell ref="C1321:E1321"/>
    <mergeCell ref="C1333:E1333"/>
    <mergeCell ref="C1335:E1335"/>
    <mergeCell ref="C1337:E1337"/>
    <mergeCell ref="B1323:E1323"/>
    <mergeCell ref="B1324:C1324"/>
    <mergeCell ref="B1325:C1325"/>
    <mergeCell ref="B1326:C1326"/>
    <mergeCell ref="B1327:C1327"/>
    <mergeCell ref="B1328:C1328"/>
    <mergeCell ref="B1329:C1329"/>
    <mergeCell ref="B1330:C1330"/>
    <mergeCell ref="B1331:E1331"/>
  </mergeCells>
  <phoneticPr fontId="26" type="noConversion"/>
  <pageMargins left="0.39370078740157483" right="0.31496062992125984" top="0.31496062992125984" bottom="0.31496062992125984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4"/>
  <sheetViews>
    <sheetView topLeftCell="A4" zoomScaleNormal="100" workbookViewId="0">
      <selection activeCell="C15" sqref="C15:G15"/>
    </sheetView>
  </sheetViews>
  <sheetFormatPr baseColWidth="10" defaultColWidth="9.140625" defaultRowHeight="12.75" x14ac:dyDescent="0.2"/>
  <cols>
    <col min="1" max="1" width="5" style="2" customWidth="1"/>
    <col min="2" max="2" width="20.85546875" style="2" bestFit="1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5" style="2" customWidth="1"/>
    <col min="8" max="8" width="9.28515625" style="2" customWidth="1"/>
    <col min="9" max="9" width="14.5703125" style="2" customWidth="1"/>
    <col min="10" max="10" width="14" style="2" customWidth="1"/>
    <col min="11" max="11" width="12.42578125" style="2" customWidth="1"/>
    <col min="12" max="12" width="14.140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269" t="s">
        <v>22</v>
      </c>
      <c r="B1" s="269"/>
      <c r="C1" s="269"/>
      <c r="D1" s="269"/>
      <c r="E1" s="269"/>
      <c r="F1" s="269"/>
      <c r="G1" s="269"/>
      <c r="H1" s="269"/>
      <c r="I1" s="269"/>
      <c r="J1" s="214" t="s">
        <v>23</v>
      </c>
      <c r="K1" s="215" t="s">
        <v>458</v>
      </c>
      <c r="L1" s="216"/>
    </row>
    <row r="2" spans="1:12" ht="18.75" customHeight="1" thickBot="1" x14ac:dyDescent="0.25">
      <c r="A2" s="217"/>
      <c r="B2" s="217"/>
      <c r="C2" s="217"/>
      <c r="D2" s="218"/>
      <c r="E2" s="218"/>
      <c r="F2" s="218"/>
      <c r="G2" s="218"/>
      <c r="H2" s="218"/>
      <c r="I2" s="218"/>
      <c r="J2" s="218"/>
      <c r="K2" s="218"/>
      <c r="L2" s="219"/>
    </row>
    <row r="3" spans="1:12" ht="18.75" customHeight="1" thickBot="1" x14ac:dyDescent="0.25">
      <c r="A3" s="270" t="s">
        <v>56</v>
      </c>
      <c r="B3" s="270"/>
      <c r="C3" s="270"/>
      <c r="D3" s="271" t="s">
        <v>304</v>
      </c>
      <c r="E3" s="271"/>
      <c r="F3" s="271"/>
      <c r="G3" s="271"/>
      <c r="H3" s="271"/>
      <c r="I3" s="271"/>
      <c r="J3" s="271"/>
      <c r="K3" s="271"/>
      <c r="L3" s="219"/>
    </row>
    <row r="4" spans="1:12" ht="18.75" customHeight="1" thickBot="1" x14ac:dyDescent="0.25">
      <c r="A4" s="272" t="s">
        <v>57</v>
      </c>
      <c r="B4" s="272"/>
      <c r="C4" s="272"/>
      <c r="D4" s="271" t="str">
        <f>alimento!C4</f>
        <v>25- Direccion Provincial de Gestion Administracion y RRHH</v>
      </c>
      <c r="E4" s="271"/>
      <c r="F4" s="271"/>
      <c r="G4" s="271"/>
      <c r="H4" s="271"/>
      <c r="I4" s="271"/>
      <c r="J4" s="271"/>
      <c r="K4" s="271"/>
      <c r="L4" s="219"/>
    </row>
    <row r="5" spans="1:12" ht="18.75" customHeight="1" thickBot="1" x14ac:dyDescent="0.25">
      <c r="A5" s="272" t="s">
        <v>35</v>
      </c>
      <c r="B5" s="272"/>
      <c r="C5" s="272"/>
      <c r="D5" s="271" t="s">
        <v>312</v>
      </c>
      <c r="E5" s="271"/>
      <c r="F5" s="271"/>
      <c r="G5" s="271"/>
      <c r="H5" s="271"/>
      <c r="I5" s="271"/>
      <c r="J5" s="271"/>
      <c r="K5" s="271"/>
      <c r="L5" s="219"/>
    </row>
    <row r="6" spans="1:12" ht="16.5" customHeight="1" thickBot="1" x14ac:dyDescent="0.25">
      <c r="A6" s="270" t="s">
        <v>58</v>
      </c>
      <c r="B6" s="270"/>
      <c r="C6" s="270"/>
      <c r="D6" s="271" t="s">
        <v>391</v>
      </c>
      <c r="E6" s="271"/>
      <c r="F6" s="271"/>
      <c r="G6" s="271"/>
      <c r="H6" s="271"/>
      <c r="I6" s="271"/>
      <c r="J6" s="271"/>
      <c r="K6" s="271"/>
      <c r="L6" s="219"/>
    </row>
    <row r="7" spans="1:12" ht="15" x14ac:dyDescent="0.2">
      <c r="A7" s="272" t="s">
        <v>24</v>
      </c>
      <c r="B7" s="272"/>
      <c r="C7" s="272"/>
      <c r="D7" s="271" t="s">
        <v>565</v>
      </c>
      <c r="E7" s="271"/>
      <c r="F7" s="271"/>
      <c r="G7" s="271"/>
      <c r="H7" s="271"/>
      <c r="I7" s="271"/>
      <c r="J7" s="271"/>
      <c r="K7" s="271"/>
      <c r="L7" s="219"/>
    </row>
    <row r="8" spans="1:12" ht="48" customHeight="1" thickBot="1" x14ac:dyDescent="0.25">
      <c r="A8" s="264" t="s">
        <v>25</v>
      </c>
      <c r="B8" s="264"/>
      <c r="C8" s="264"/>
      <c r="D8" s="267" t="s">
        <v>455</v>
      </c>
      <c r="E8" s="267"/>
      <c r="F8" s="267"/>
      <c r="G8" s="267"/>
      <c r="H8" s="267"/>
      <c r="I8" s="267"/>
      <c r="J8" s="267"/>
      <c r="K8" s="267"/>
      <c r="L8" s="219"/>
    </row>
    <row r="9" spans="1:12" ht="20.25" customHeight="1" thickBot="1" x14ac:dyDescent="0.25">
      <c r="A9" s="220"/>
      <c r="B9" s="220"/>
      <c r="C9" s="220"/>
      <c r="D9" s="221"/>
      <c r="E9" s="221"/>
      <c r="F9" s="221"/>
      <c r="G9" s="221"/>
      <c r="H9" s="221"/>
      <c r="I9" s="221"/>
      <c r="J9" s="221"/>
      <c r="K9" s="221"/>
      <c r="L9" s="219"/>
    </row>
    <row r="10" spans="1:12" ht="18.75" customHeight="1" thickBot="1" x14ac:dyDescent="0.25">
      <c r="A10" s="265" t="s">
        <v>26</v>
      </c>
      <c r="B10" s="266" t="s">
        <v>27</v>
      </c>
      <c r="C10" s="266" t="s">
        <v>28</v>
      </c>
      <c r="D10" s="266"/>
      <c r="E10" s="266"/>
      <c r="F10" s="266"/>
      <c r="G10" s="266"/>
      <c r="H10" s="266" t="s">
        <v>29</v>
      </c>
      <c r="I10" s="266" t="s">
        <v>30</v>
      </c>
      <c r="J10" s="266" t="s">
        <v>31</v>
      </c>
      <c r="K10" s="268" t="s">
        <v>32</v>
      </c>
      <c r="L10" s="268" t="s">
        <v>285</v>
      </c>
    </row>
    <row r="11" spans="1:12" ht="24" customHeight="1" thickBot="1" x14ac:dyDescent="0.25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8"/>
      <c r="L11" s="268"/>
    </row>
    <row r="12" spans="1:12" ht="39.950000000000003" customHeight="1" thickBot="1" x14ac:dyDescent="0.25">
      <c r="A12" s="229">
        <v>1</v>
      </c>
      <c r="B12" s="222" t="str">
        <f>'ALIM-IMP'!B9</f>
        <v>2.1.1-541.7</v>
      </c>
      <c r="C12" s="263" t="str">
        <f>'ALIM-IMP'!E9</f>
        <v>CARNES; ESPECIE: VACUNA, CORTE: PICADA ESPECIAL, TIPO: VACUNA</v>
      </c>
      <c r="D12" s="263"/>
      <c r="E12" s="263"/>
      <c r="F12" s="263"/>
      <c r="G12" s="263"/>
      <c r="H12" s="223" t="s">
        <v>560</v>
      </c>
      <c r="I12" s="224" t="str">
        <f>'ALIM-IMP'!F9</f>
        <v>KG</v>
      </c>
      <c r="J12" s="225">
        <f>'ALIM-IMP'!H9</f>
        <v>1150</v>
      </c>
      <c r="K12" s="226">
        <f>'ALIM-IMP'!G9</f>
        <v>456</v>
      </c>
      <c r="L12" s="227">
        <f>J12*K12</f>
        <v>524400</v>
      </c>
    </row>
    <row r="13" spans="1:12" ht="39.950000000000003" customHeight="1" thickBot="1" x14ac:dyDescent="0.25">
      <c r="A13" s="228">
        <v>2</v>
      </c>
      <c r="B13" s="222" t="str">
        <f>'ALIM-IMP'!B10</f>
        <v>2.1.1-541.154</v>
      </c>
      <c r="C13" s="263" t="str">
        <f>'ALIM-IMP'!E10</f>
        <v>CARNES; ESPECIE: CARNE VACUNA, CORTE: MILANESA NALGA, TIPO: CARNE VACUNA</v>
      </c>
      <c r="D13" s="263"/>
      <c r="E13" s="263"/>
      <c r="F13" s="263"/>
      <c r="G13" s="263"/>
      <c r="H13" s="223" t="s">
        <v>560</v>
      </c>
      <c r="I13" s="224" t="str">
        <f>'ALIM-IMP'!F10</f>
        <v>KG</v>
      </c>
      <c r="J13" s="225">
        <f>'ALIM-IMP'!H10</f>
        <v>1350</v>
      </c>
      <c r="K13" s="226">
        <f>'ALIM-IMP'!G10</f>
        <v>456</v>
      </c>
      <c r="L13" s="227">
        <f t="shared" ref="L13:L73" si="0">J13*K13</f>
        <v>615600</v>
      </c>
    </row>
    <row r="14" spans="1:12" ht="39.950000000000003" customHeight="1" thickBot="1" x14ac:dyDescent="0.25">
      <c r="A14" s="228">
        <v>3</v>
      </c>
      <c r="B14" s="222" t="str">
        <f>'ALIM-IMP'!B11</f>
        <v>2.1.1-541.134</v>
      </c>
      <c r="C14" s="263" t="str">
        <f>'ALIM-IMP'!E11</f>
        <v>CARNES; ESPECIE: CARNE VACUNA, CORTE: CUAD,CARN,C.DE LOMO,Y OTROS, TIPO: CARNE VACUNA</v>
      </c>
      <c r="D14" s="263"/>
      <c r="E14" s="263"/>
      <c r="F14" s="263"/>
      <c r="G14" s="263"/>
      <c r="H14" s="223" t="s">
        <v>560</v>
      </c>
      <c r="I14" s="224" t="str">
        <f>'ALIM-IMP'!F11</f>
        <v>KG</v>
      </c>
      <c r="J14" s="225">
        <f>'ALIM-IMP'!H11</f>
        <v>1350</v>
      </c>
      <c r="K14" s="226">
        <f>'ALIM-IMP'!G11</f>
        <v>456</v>
      </c>
      <c r="L14" s="227">
        <f t="shared" si="0"/>
        <v>615600</v>
      </c>
    </row>
    <row r="15" spans="1:12" ht="39.950000000000003" customHeight="1" thickBot="1" x14ac:dyDescent="0.25">
      <c r="A15" s="228">
        <v>4</v>
      </c>
      <c r="B15" s="222" t="str">
        <f>'ALIM-IMP'!B12</f>
        <v>2.1.1-621.15</v>
      </c>
      <c r="C15" s="263" t="str">
        <f>'ALIM-IMP'!E12</f>
        <v>AVES; ESPECIE: PECHUGA DE POLLO, PRESENTACION: A GRANEL, EVISCERADO: SIN MENUDOS, TIPO: PECHUGA DE POLLO</v>
      </c>
      <c r="D15" s="263"/>
      <c r="E15" s="263"/>
      <c r="F15" s="263"/>
      <c r="G15" s="263"/>
      <c r="H15" s="223" t="s">
        <v>560</v>
      </c>
      <c r="I15" s="224" t="str">
        <f>'ALIM-IMP'!F12</f>
        <v>KG</v>
      </c>
      <c r="J15" s="225">
        <f>'ALIM-IMP'!H12</f>
        <v>810</v>
      </c>
      <c r="K15" s="226">
        <f>'ALIM-IMP'!G12</f>
        <v>456</v>
      </c>
      <c r="L15" s="227">
        <f t="shared" si="0"/>
        <v>369360</v>
      </c>
    </row>
    <row r="16" spans="1:12" ht="39.950000000000003" customHeight="1" thickBot="1" x14ac:dyDescent="0.25">
      <c r="A16" s="229">
        <v>5</v>
      </c>
      <c r="B16" s="222" t="str">
        <f>'ALIM-IMP'!B13</f>
        <v>2.1.1-621.19</v>
      </c>
      <c r="C16" s="263" t="str">
        <f>'ALIM-IMP'!E13</f>
        <v>AVES; TIPO: POLLO, PRESENTACION: PATA MUSLO, EVISCERADO: SI, ELEM. TRANSPORTE: SIN, MATERIAL ELEM. TRANSPORTE: SIN, LIBRE DE GLUTEN: SIN VALOR</v>
      </c>
      <c r="D16" s="263"/>
      <c r="E16" s="263"/>
      <c r="F16" s="263"/>
      <c r="G16" s="263"/>
      <c r="H16" s="223" t="s">
        <v>560</v>
      </c>
      <c r="I16" s="224" t="str">
        <f>'ALIM-IMP'!F13</f>
        <v>KG</v>
      </c>
      <c r="J16" s="225">
        <f>'ALIM-IMP'!H13</f>
        <v>385</v>
      </c>
      <c r="K16" s="226">
        <f>'ALIM-IMP'!G13</f>
        <v>456</v>
      </c>
      <c r="L16" s="227">
        <f t="shared" si="0"/>
        <v>175560</v>
      </c>
    </row>
    <row r="17" spans="1:12" ht="39.950000000000003" customHeight="1" thickBot="1" x14ac:dyDescent="0.25">
      <c r="A17" s="228">
        <v>6</v>
      </c>
      <c r="B17" s="222" t="str">
        <f>'ALIM-IMP'!B14</f>
        <v>2.1.1-6546.100</v>
      </c>
      <c r="C17" s="263" t="str">
        <f>'ALIM-IMP'!E14</f>
        <v>VERDURAS Y HORTALIZAS; ESTADO: NATURAL, PRESENTACION: GRANEL, VARIEDAD: PAPA BLANCA, PESO: SIN VALOR</v>
      </c>
      <c r="D17" s="263"/>
      <c r="E17" s="263"/>
      <c r="F17" s="263"/>
      <c r="G17" s="263"/>
      <c r="H17" s="223" t="s">
        <v>560</v>
      </c>
      <c r="I17" s="224" t="str">
        <f>'ALIM-IMP'!F14</f>
        <v>KG</v>
      </c>
      <c r="J17" s="225">
        <f>'ALIM-IMP'!H14</f>
        <v>85</v>
      </c>
      <c r="K17" s="226">
        <f>'ALIM-IMP'!G14</f>
        <v>1680</v>
      </c>
      <c r="L17" s="227">
        <f t="shared" si="0"/>
        <v>142800</v>
      </c>
    </row>
    <row r="18" spans="1:12" ht="39.950000000000003" customHeight="1" thickBot="1" x14ac:dyDescent="0.25">
      <c r="A18" s="228">
        <v>7</v>
      </c>
      <c r="B18" s="222" t="str">
        <f>'ALIM-IMP'!B15</f>
        <v>2.1.1-6546.46</v>
      </c>
      <c r="C18" s="263" t="str">
        <f>'ALIM-IMP'!E15</f>
        <v>VERDURAS Y HORTALIZAS; VARIEDAD: CEBOLLA, ESTADO: NATURAL, PRESENTACION: GRANEL, PESO: SIN VALOR</v>
      </c>
      <c r="D18" s="263"/>
      <c r="E18" s="263"/>
      <c r="F18" s="263"/>
      <c r="G18" s="263"/>
      <c r="H18" s="223" t="s">
        <v>560</v>
      </c>
      <c r="I18" s="224" t="str">
        <f>'ALIM-IMP'!F15</f>
        <v>KG</v>
      </c>
      <c r="J18" s="225">
        <f>'ALIM-IMP'!H15</f>
        <v>85</v>
      </c>
      <c r="K18" s="226">
        <f>'ALIM-IMP'!G15</f>
        <v>576</v>
      </c>
      <c r="L18" s="227">
        <f t="shared" si="0"/>
        <v>48960</v>
      </c>
    </row>
    <row r="19" spans="1:12" ht="39.950000000000003" customHeight="1" thickBot="1" x14ac:dyDescent="0.25">
      <c r="A19" s="228">
        <v>8</v>
      </c>
      <c r="B19" s="222" t="str">
        <f>'ALIM-IMP'!B16</f>
        <v>2.1.1-6546.1</v>
      </c>
      <c r="C19" s="263" t="str">
        <f>'ALIM-IMP'!E16</f>
        <v>VERDURAS Y HORTALIZAS; VARIEDAD: TOMATE PERITA, ESTADO: NATURAL, PRESENTACION: GRANEL, PESO: SIN VALOR</v>
      </c>
      <c r="D19" s="263"/>
      <c r="E19" s="263"/>
      <c r="F19" s="263"/>
      <c r="G19" s="263"/>
      <c r="H19" s="223" t="s">
        <v>560</v>
      </c>
      <c r="I19" s="224" t="str">
        <f>'ALIM-IMP'!F16</f>
        <v>KG</v>
      </c>
      <c r="J19" s="225">
        <f>'ALIM-IMP'!H16</f>
        <v>190</v>
      </c>
      <c r="K19" s="226">
        <f>'ALIM-IMP'!G16</f>
        <v>528</v>
      </c>
      <c r="L19" s="227">
        <f t="shared" si="0"/>
        <v>100320</v>
      </c>
    </row>
    <row r="20" spans="1:12" ht="39.950000000000003" customHeight="1" thickBot="1" x14ac:dyDescent="0.25">
      <c r="A20" s="229">
        <v>9</v>
      </c>
      <c r="B20" s="222" t="str">
        <f>'ALIM-IMP'!B17</f>
        <v>2.1.1-6546.403</v>
      </c>
      <c r="C20" s="263" t="str">
        <f>'ALIM-IMP'!E17</f>
        <v>VERDURAS Y HORTALIZAS; VARIEDAD: ZANAHORIA, ESTADO: NATURAL, PRESENTACION: BOLSA, PESO: NO CORRESPONDE, ELEM. TRANSPORTE: SIN, MATERIAL ELEM. TRANSPORTE: SIN, LIBRE DE GLUTEN: SI, ORGANICO: NO</v>
      </c>
      <c r="D20" s="263"/>
      <c r="E20" s="263"/>
      <c r="F20" s="263"/>
      <c r="G20" s="263"/>
      <c r="H20" s="223" t="s">
        <v>560</v>
      </c>
      <c r="I20" s="224" t="str">
        <f>'ALIM-IMP'!F17</f>
        <v>BOLSA</v>
      </c>
      <c r="J20" s="225">
        <f>'ALIM-IMP'!H17</f>
        <v>135</v>
      </c>
      <c r="K20" s="226">
        <f>'ALIM-IMP'!G17</f>
        <v>288</v>
      </c>
      <c r="L20" s="227">
        <f t="shared" si="0"/>
        <v>38880</v>
      </c>
    </row>
    <row r="21" spans="1:12" ht="39.950000000000003" customHeight="1" thickBot="1" x14ac:dyDescent="0.25">
      <c r="A21" s="228">
        <v>10</v>
      </c>
      <c r="B21" s="222" t="str">
        <f>'ALIM-IMP'!B18</f>
        <v>2.1.1-6546.158</v>
      </c>
      <c r="C21" s="263" t="str">
        <f>'ALIM-IMP'!E18</f>
        <v>VERDURAS Y HORTALIZAS; ESTADO: NATURAL, VARIEDAD: ZAPALLO ANCO, PRESENTACION: GRANEL, PESO: SIN VALOR</v>
      </c>
      <c r="D21" s="263"/>
      <c r="E21" s="263"/>
      <c r="F21" s="263"/>
      <c r="G21" s="263"/>
      <c r="H21" s="223" t="s">
        <v>560</v>
      </c>
      <c r="I21" s="224" t="str">
        <f>'ALIM-IMP'!F18</f>
        <v>KG</v>
      </c>
      <c r="J21" s="225">
        <f>'ALIM-IMP'!H18</f>
        <v>80</v>
      </c>
      <c r="K21" s="226">
        <f>'ALIM-IMP'!G18</f>
        <v>480</v>
      </c>
      <c r="L21" s="227">
        <f t="shared" si="0"/>
        <v>38400</v>
      </c>
    </row>
    <row r="22" spans="1:12" ht="39.950000000000003" customHeight="1" thickBot="1" x14ac:dyDescent="0.25">
      <c r="A22" s="228">
        <v>11</v>
      </c>
      <c r="B22" s="222" t="str">
        <f>'ALIM-IMP'!B19</f>
        <v>2.1.1-6546.162</v>
      </c>
      <c r="C22" s="263" t="str">
        <f>'ALIM-IMP'!E19</f>
        <v>VERDURAS Y HORTALIZAS; VARIEDAD: ZAPALLO CRIOLLO, ESTADO: NATURAL, PRESENTACION: UNIDAD, PESO: SIN VALOR</v>
      </c>
      <c r="D22" s="263"/>
      <c r="E22" s="263"/>
      <c r="F22" s="263"/>
      <c r="G22" s="263"/>
      <c r="H22" s="223" t="s">
        <v>560</v>
      </c>
      <c r="I22" s="224" t="str">
        <f>'ALIM-IMP'!F19</f>
        <v>KG</v>
      </c>
      <c r="J22" s="225">
        <f>'ALIM-IMP'!H19</f>
        <v>80</v>
      </c>
      <c r="K22" s="226">
        <f>'ALIM-IMP'!G19</f>
        <v>480</v>
      </c>
      <c r="L22" s="227">
        <f t="shared" si="0"/>
        <v>38400</v>
      </c>
    </row>
    <row r="23" spans="1:12" ht="39.950000000000003" customHeight="1" thickBot="1" x14ac:dyDescent="0.25">
      <c r="A23" s="228">
        <v>12</v>
      </c>
      <c r="B23" s="222" t="str">
        <f>'ALIM-IMP'!B20</f>
        <v>2.1.1-6546.150</v>
      </c>
      <c r="C23" s="263" t="str">
        <f>'ALIM-IMP'!E20</f>
        <v>VERDURAS Y HORTALIZAS; ESTADO: NATURAL, PESO: SIN VALOR, VARIEDAD: ZAPALLITO REDONDO, PRESENTACION: GRANEL</v>
      </c>
      <c r="D23" s="263"/>
      <c r="E23" s="263"/>
      <c r="F23" s="263"/>
      <c r="G23" s="263"/>
      <c r="H23" s="223" t="s">
        <v>560</v>
      </c>
      <c r="I23" s="224" t="str">
        <f>'ALIM-IMP'!F20</f>
        <v>KG</v>
      </c>
      <c r="J23" s="225">
        <f>'ALIM-IMP'!H20</f>
        <v>90</v>
      </c>
      <c r="K23" s="226">
        <f>'ALIM-IMP'!G20</f>
        <v>480</v>
      </c>
      <c r="L23" s="227">
        <f t="shared" si="0"/>
        <v>43200</v>
      </c>
    </row>
    <row r="24" spans="1:12" ht="39.950000000000003" customHeight="1" thickBot="1" x14ac:dyDescent="0.25">
      <c r="A24" s="229">
        <v>13</v>
      </c>
      <c r="B24" s="222" t="str">
        <f>'ALIM-IMP'!B21</f>
        <v>2.1.1-6546.34</v>
      </c>
      <c r="C24" s="263" t="str">
        <f>'ALIM-IMP'!E21</f>
        <v>VERDURAS Y HORTALIZAS; VARIEDAD: ACELGA, ESTADO: EN HOJA, PRESENTACION: ATADO, PESO: SIN VALOR</v>
      </c>
      <c r="D24" s="263"/>
      <c r="E24" s="263"/>
      <c r="F24" s="263"/>
      <c r="G24" s="263"/>
      <c r="H24" s="223" t="s">
        <v>560</v>
      </c>
      <c r="I24" s="224" t="str">
        <f>'ALIM-IMP'!F21</f>
        <v>UNIDAD</v>
      </c>
      <c r="J24" s="225">
        <f>'ALIM-IMP'!H21</f>
        <v>45</v>
      </c>
      <c r="K24" s="226">
        <f>'ALIM-IMP'!G21</f>
        <v>408</v>
      </c>
      <c r="L24" s="227">
        <f t="shared" si="0"/>
        <v>18360</v>
      </c>
    </row>
    <row r="25" spans="1:12" ht="39.950000000000003" customHeight="1" thickBot="1" x14ac:dyDescent="0.25">
      <c r="A25" s="228">
        <v>14</v>
      </c>
      <c r="B25" s="222" t="str">
        <f>'ALIM-IMP'!B22</f>
        <v>2.1.1-6539.16</v>
      </c>
      <c r="C25" s="263" t="str">
        <f>'ALIM-IMP'!E22</f>
        <v>FRUTAS; VARIEDAD: MANZANA RED DELICIOSA, ESTADO: NATURAL, PRESENTACION: GRANEL, PESO: SIN VALOR</v>
      </c>
      <c r="D25" s="263"/>
      <c r="E25" s="263"/>
      <c r="F25" s="263"/>
      <c r="G25" s="263"/>
      <c r="H25" s="223" t="s">
        <v>560</v>
      </c>
      <c r="I25" s="224" t="str">
        <f>'ALIM-IMP'!F22</f>
        <v>KG</v>
      </c>
      <c r="J25" s="225">
        <f>'ALIM-IMP'!H22</f>
        <v>230</v>
      </c>
      <c r="K25" s="226">
        <f>'ALIM-IMP'!G22</f>
        <v>528</v>
      </c>
      <c r="L25" s="227">
        <f t="shared" si="0"/>
        <v>121440</v>
      </c>
    </row>
    <row r="26" spans="1:12" ht="39.950000000000003" customHeight="1" thickBot="1" x14ac:dyDescent="0.25">
      <c r="A26" s="228">
        <v>15</v>
      </c>
      <c r="B26" s="222" t="str">
        <f>'ALIM-IMP'!B23</f>
        <v>2.1.1-6539.7</v>
      </c>
      <c r="C26" s="263" t="str">
        <f>'ALIM-IMP'!E23</f>
        <v>FRUTAS; ESTADO: NATURAL, VARIEDAD: NARANJA PARA JUGO, PRESENTACION: A GRANEL, PESO: SIN VALOR</v>
      </c>
      <c r="D26" s="263"/>
      <c r="E26" s="263"/>
      <c r="F26" s="263"/>
      <c r="G26" s="263"/>
      <c r="H26" s="223" t="s">
        <v>560</v>
      </c>
      <c r="I26" s="224" t="str">
        <f>'ALIM-IMP'!F23</f>
        <v>KG</v>
      </c>
      <c r="J26" s="225">
        <f>'ALIM-IMP'!H23</f>
        <v>80</v>
      </c>
      <c r="K26" s="226">
        <f>'ALIM-IMP'!G23</f>
        <v>528</v>
      </c>
      <c r="L26" s="227">
        <f t="shared" si="0"/>
        <v>42240</v>
      </c>
    </row>
    <row r="27" spans="1:12" ht="39.950000000000003" customHeight="1" thickBot="1" x14ac:dyDescent="0.25">
      <c r="A27" s="228">
        <v>16</v>
      </c>
      <c r="B27" s="222" t="str">
        <f>'ALIM-IMP'!B24</f>
        <v>2.1.1-6539.29</v>
      </c>
      <c r="C27" s="263" t="str">
        <f>'ALIM-IMP'!E24</f>
        <v>FRUTAS; VARIEDAD: BANANA, ESTADO: NATURAL, PRESENTACION: GRANEL, PESO: SIN VALOR</v>
      </c>
      <c r="D27" s="263"/>
      <c r="E27" s="263"/>
      <c r="F27" s="263"/>
      <c r="G27" s="263"/>
      <c r="H27" s="223" t="s">
        <v>560</v>
      </c>
      <c r="I27" s="224" t="str">
        <f>'ALIM-IMP'!F24</f>
        <v>KG</v>
      </c>
      <c r="J27" s="225">
        <f>'ALIM-IMP'!H24</f>
        <v>250</v>
      </c>
      <c r="K27" s="226">
        <f>'ALIM-IMP'!G24</f>
        <v>528</v>
      </c>
      <c r="L27" s="227">
        <f t="shared" si="0"/>
        <v>132000</v>
      </c>
    </row>
    <row r="28" spans="1:12" ht="39.950000000000003" customHeight="1" thickBot="1" x14ac:dyDescent="0.25">
      <c r="A28" s="229">
        <v>17</v>
      </c>
      <c r="B28" s="222" t="str">
        <f>'ALIM-IMP'!B25</f>
        <v>2.1.1-6539.31</v>
      </c>
      <c r="C28" s="263" t="str">
        <f>'ALIM-IMP'!E25</f>
        <v>FRUTAS; VARIEDAD: PERA AMARILLA, PRESENTACION: GRANEL, ESTADO: NATURAL, PESO: SIN VALOR</v>
      </c>
      <c r="D28" s="263"/>
      <c r="E28" s="263"/>
      <c r="F28" s="263"/>
      <c r="G28" s="263"/>
      <c r="H28" s="223" t="s">
        <v>560</v>
      </c>
      <c r="I28" s="224" t="str">
        <f>'ALIM-IMP'!F25</f>
        <v>KG</v>
      </c>
      <c r="J28" s="225">
        <f>'ALIM-IMP'!H25</f>
        <v>230</v>
      </c>
      <c r="K28" s="226">
        <f>'ALIM-IMP'!G25</f>
        <v>528</v>
      </c>
      <c r="L28" s="227">
        <f t="shared" si="0"/>
        <v>121440</v>
      </c>
    </row>
    <row r="29" spans="1:12" ht="39.950000000000003" customHeight="1" thickBot="1" x14ac:dyDescent="0.25">
      <c r="A29" s="228">
        <v>18</v>
      </c>
      <c r="B29" s="222" t="str">
        <f>'ALIM-IMP'!B26</f>
        <v>2.1.1-669.25</v>
      </c>
      <c r="C29" s="263" t="str">
        <f>'ALIM-IMP'!E26</f>
        <v>PANES; TIPO: RALLADO, PRESENTACION: BOLSA DE 1000 GR</v>
      </c>
      <c r="D29" s="263"/>
      <c r="E29" s="263"/>
      <c r="F29" s="263"/>
      <c r="G29" s="263"/>
      <c r="H29" s="223" t="s">
        <v>560</v>
      </c>
      <c r="I29" s="224" t="str">
        <f>'ALIM-IMP'!F26</f>
        <v>BOLSA</v>
      </c>
      <c r="J29" s="225">
        <f>'ALIM-IMP'!H26</f>
        <v>200</v>
      </c>
      <c r="K29" s="226">
        <f>'ALIM-IMP'!G26</f>
        <v>372</v>
      </c>
      <c r="L29" s="227">
        <f t="shared" si="0"/>
        <v>74400</v>
      </c>
    </row>
    <row r="30" spans="1:12" ht="39.950000000000003" customHeight="1" thickBot="1" x14ac:dyDescent="0.25">
      <c r="A30" s="228">
        <v>19</v>
      </c>
      <c r="B30" s="222" t="str">
        <f>'ALIM-IMP'!B27</f>
        <v>2.1.1-542.207</v>
      </c>
      <c r="C30" s="263" t="str">
        <f>'ALIM-IMP'!E27</f>
        <v>QUESOS; TIPO: SARDO, PRESENTACION: HORMA X 3 Kg, ELEM. TRANSPORTE: SIN, MATERIAL ELEM. TRANSPORTE: SIN, MATERIAL ENVASE: SIN, CERTIFICADO FORESTAL (GFS): SIN, LIBRE DE GLUTEN: NO</v>
      </c>
      <c r="D30" s="263"/>
      <c r="E30" s="263"/>
      <c r="F30" s="263"/>
      <c r="G30" s="263"/>
      <c r="H30" s="223" t="s">
        <v>560</v>
      </c>
      <c r="I30" s="224" t="str">
        <f>'ALIM-IMP'!F27</f>
        <v>UNIDAD</v>
      </c>
      <c r="J30" s="225">
        <f>'ALIM-IMP'!H27</f>
        <v>4700</v>
      </c>
      <c r="K30" s="226">
        <f>'ALIM-IMP'!G27</f>
        <v>60</v>
      </c>
      <c r="L30" s="227">
        <f t="shared" si="0"/>
        <v>282000</v>
      </c>
    </row>
    <row r="31" spans="1:12" ht="39.950000000000003" customHeight="1" thickBot="1" x14ac:dyDescent="0.25">
      <c r="A31" s="228">
        <v>20</v>
      </c>
      <c r="B31" s="222" t="str">
        <f>'ALIM-IMP'!B28</f>
        <v>2.1.1-542.205</v>
      </c>
      <c r="C31" s="263" t="str">
        <f>'ALIM-IMP'!E28</f>
        <v>QUESOS; TIPO: CREMOSO, PRESENTACION: ENVASE X 4 Kg, ELEM. TRANSPORTE: SIN, MATERIAL ELEM. TRANSPORTE: SIN, MATERIAL ENVASE: BOLSA TERMOCONTRAIBLE, CERTIFICADO FORESTAL (GFS): SIN, LIBRE DE GLUTEN: SI</v>
      </c>
      <c r="D31" s="263"/>
      <c r="E31" s="263"/>
      <c r="F31" s="263"/>
      <c r="G31" s="263"/>
      <c r="H31" s="223" t="s">
        <v>560</v>
      </c>
      <c r="I31" s="224" t="str">
        <f>'ALIM-IMP'!F28</f>
        <v>UNIDAD</v>
      </c>
      <c r="J31" s="225">
        <f>'ALIM-IMP'!H28</f>
        <v>3050</v>
      </c>
      <c r="K31" s="226">
        <f>'ALIM-IMP'!G28</f>
        <v>60</v>
      </c>
      <c r="L31" s="227">
        <f t="shared" si="0"/>
        <v>183000</v>
      </c>
    </row>
    <row r="32" spans="1:12" ht="39.950000000000003" customHeight="1" thickBot="1" x14ac:dyDescent="0.25">
      <c r="A32" s="229">
        <v>21</v>
      </c>
      <c r="B32" s="222" t="str">
        <f>'ALIM-IMP'!B29</f>
        <v>2.1.1-434.12</v>
      </c>
      <c r="C32" s="263" t="str">
        <f>'ALIM-IMP'!E29</f>
        <v>MARGARINAS; TIPO: VEGETAL, ENVASE: PAPEL, PESO UNITARIO: PAPEL X 500 GR, PRESENTACION: PAPEL X 500 GR</v>
      </c>
      <c r="D32" s="263"/>
      <c r="E32" s="263"/>
      <c r="F32" s="263"/>
      <c r="G32" s="263"/>
      <c r="H32" s="223" t="s">
        <v>560</v>
      </c>
      <c r="I32" s="224" t="str">
        <f>'ALIM-IMP'!F29</f>
        <v>UNIDAD</v>
      </c>
      <c r="J32" s="225">
        <f>'ALIM-IMP'!H29</f>
        <v>250</v>
      </c>
      <c r="K32" s="226">
        <f>'ALIM-IMP'!G29</f>
        <v>60</v>
      </c>
      <c r="L32" s="227">
        <f t="shared" si="0"/>
        <v>15000</v>
      </c>
    </row>
    <row r="33" spans="1:12" ht="39.950000000000003" customHeight="1" thickBot="1" x14ac:dyDescent="0.25">
      <c r="A33" s="228">
        <v>22</v>
      </c>
      <c r="B33" s="222" t="str">
        <f>'ALIM-IMP'!B30</f>
        <v>2.1.1-456.22</v>
      </c>
      <c r="C33" s="263" t="str">
        <f>'ALIM-IMP'!E30</f>
        <v>YOGHURT; CAPACIDAD: 1 L, SABOR: FRUTILLA, TIPO: ENTERO, ENVASE: SACHET, AGREGADO: SIN VALOR, CONSISTENCIA: BEBIBLE, PRESENTACION: SACHET X 1 L</v>
      </c>
      <c r="D33" s="263"/>
      <c r="E33" s="263"/>
      <c r="F33" s="263"/>
      <c r="G33" s="263"/>
      <c r="H33" s="223" t="s">
        <v>560</v>
      </c>
      <c r="I33" s="224" t="str">
        <f>'ALIM-IMP'!F30</f>
        <v>SACHET</v>
      </c>
      <c r="J33" s="225">
        <f>'ALIM-IMP'!H30</f>
        <v>160</v>
      </c>
      <c r="K33" s="226">
        <f>'ALIM-IMP'!G30</f>
        <v>840</v>
      </c>
      <c r="L33" s="227">
        <f t="shared" si="0"/>
        <v>134400</v>
      </c>
    </row>
    <row r="34" spans="1:12" ht="39.950000000000003" customHeight="1" thickBot="1" x14ac:dyDescent="0.25">
      <c r="A34" s="228">
        <v>23</v>
      </c>
      <c r="B34" s="222" t="str">
        <f>'ALIM-IMP'!B31</f>
        <v>2.1.1-483.33</v>
      </c>
      <c r="C34" s="263" t="str">
        <f>'ALIM-IMP'!E31</f>
        <v>HUEVO DE GALLINA; TAMAÑO: MEDIANOS, COLOR: BLANCOS, PRESENTACION: 30</v>
      </c>
      <c r="D34" s="263"/>
      <c r="E34" s="263"/>
      <c r="F34" s="263"/>
      <c r="G34" s="263"/>
      <c r="H34" s="223" t="s">
        <v>560</v>
      </c>
      <c r="I34" s="224" t="str">
        <f>'ALIM-IMP'!F31</f>
        <v>MAPLE</v>
      </c>
      <c r="J34" s="225">
        <f>'ALIM-IMP'!H31</f>
        <v>660</v>
      </c>
      <c r="K34" s="226">
        <f>'ALIM-IMP'!G31</f>
        <v>240</v>
      </c>
      <c r="L34" s="227">
        <f t="shared" si="0"/>
        <v>158400</v>
      </c>
    </row>
    <row r="35" spans="1:12" ht="39.950000000000003" customHeight="1" thickBot="1" x14ac:dyDescent="0.25">
      <c r="A35" s="228">
        <v>24</v>
      </c>
      <c r="B35" s="222" t="str">
        <f>'ALIM-IMP'!B32</f>
        <v>2.1.1-6546.95</v>
      </c>
      <c r="C35" s="263" t="str">
        <f>'ALIM-IMP'!E32</f>
        <v>VERDURAS Y HORTALIZAS; VARIEDAD: MORRON VERDE, ESTADO: NATURAL, PRESENTACION: GRANEL, PESO: SIN VALOR</v>
      </c>
      <c r="D35" s="263"/>
      <c r="E35" s="263"/>
      <c r="F35" s="263"/>
      <c r="G35" s="263"/>
      <c r="H35" s="223" t="s">
        <v>560</v>
      </c>
      <c r="I35" s="224" t="str">
        <f>'ALIM-IMP'!F32</f>
        <v>UNIDAD</v>
      </c>
      <c r="J35" s="225">
        <f>'ALIM-IMP'!H32</f>
        <v>390</v>
      </c>
      <c r="K35" s="226">
        <f>'ALIM-IMP'!G32</f>
        <v>720</v>
      </c>
      <c r="L35" s="227">
        <f t="shared" si="0"/>
        <v>280800</v>
      </c>
    </row>
    <row r="36" spans="1:12" ht="39.950000000000003" customHeight="1" thickBot="1" x14ac:dyDescent="0.25">
      <c r="A36" s="229">
        <v>25</v>
      </c>
      <c r="B36" s="222" t="str">
        <f>'ALIM-IMP'!B33</f>
        <v>2.1.1-6546.401</v>
      </c>
      <c r="C36" s="263" t="str">
        <f>'ALIM-IMP'!E33</f>
        <v>VERDURAS Y HORTALIZAS; VARIEDAD: AJO, ESTADO: NATURAL, PRESENTACION: UNIDAD, PESO: NO CORRESPONDE, ELEM. TRANSPORTE: SIN, MATERIAL ELEM. TRANSPORTE: SIN, LIBRE DE GLUTEN: SI, ORGANICO: NO</v>
      </c>
      <c r="D36" s="263"/>
      <c r="E36" s="263"/>
      <c r="F36" s="263"/>
      <c r="G36" s="263"/>
      <c r="H36" s="223" t="s">
        <v>560</v>
      </c>
      <c r="I36" s="224" t="str">
        <f>'ALIM-IMP'!F33</f>
        <v>CABEZA</v>
      </c>
      <c r="J36" s="225">
        <f>'ALIM-IMP'!H33</f>
        <v>85</v>
      </c>
      <c r="K36" s="226">
        <f>'ALIM-IMP'!G33</f>
        <v>180</v>
      </c>
      <c r="L36" s="227">
        <f t="shared" si="0"/>
        <v>15300</v>
      </c>
    </row>
    <row r="37" spans="1:12" ht="39.950000000000003" customHeight="1" thickBot="1" x14ac:dyDescent="0.25">
      <c r="A37" s="228">
        <v>26</v>
      </c>
      <c r="B37" s="222" t="str">
        <f>'ALIM-IMP'!B34</f>
        <v>2.1.1-481.38</v>
      </c>
      <c r="C37" s="263" t="str">
        <f>'ALIM-IMP'!E34</f>
        <v>AZUCARES; TIPO: "A" COMUN, ESTADO: MOLIDA, PESO: 1 Kg, MATERIAL ENVASE: PLASTICO, CERTIFICADO FORESTAL (GFS): SIN, ELEM. TRANSPORTE: SIN, MATERIAL ELEM. TRANSPORTE: SIN</v>
      </c>
      <c r="D37" s="263"/>
      <c r="E37" s="263"/>
      <c r="F37" s="263"/>
      <c r="G37" s="263"/>
      <c r="H37" s="223" t="s">
        <v>560</v>
      </c>
      <c r="I37" s="224" t="str">
        <f>'ALIM-IMP'!F34</f>
        <v>UNIDAD</v>
      </c>
      <c r="J37" s="225">
        <f>'ALIM-IMP'!H34</f>
        <v>95</v>
      </c>
      <c r="K37" s="226">
        <f>'ALIM-IMP'!G34</f>
        <v>840</v>
      </c>
      <c r="L37" s="227">
        <f t="shared" si="0"/>
        <v>79800</v>
      </c>
    </row>
    <row r="38" spans="1:12" ht="39.950000000000003" customHeight="1" thickBot="1" x14ac:dyDescent="0.25">
      <c r="A38" s="228">
        <v>27</v>
      </c>
      <c r="B38" s="222" t="str">
        <f>'ALIM-IMP'!B35</f>
        <v>2.1.1-454.26</v>
      </c>
      <c r="C38" s="263" t="str">
        <f>'ALIM-IMP'!E35</f>
        <v>YERBAS; PALO: CON, PESO: 500 GR, MATERIAL ENVASE : PAPEL, CERTIFICADO FORESTAL (GFS): CON, ELEM. TRANSPORTE: SIN, MATERIAL ELEM. TRANSPORTE: SIN, LIBRE DE GLUTEN: SI</v>
      </c>
      <c r="D38" s="263"/>
      <c r="E38" s="263"/>
      <c r="F38" s="263"/>
      <c r="G38" s="263"/>
      <c r="H38" s="223" t="s">
        <v>560</v>
      </c>
      <c r="I38" s="224" t="str">
        <f>'ALIM-IMP'!F35</f>
        <v>UNIDAD</v>
      </c>
      <c r="J38" s="225">
        <f>'ALIM-IMP'!H35</f>
        <v>245</v>
      </c>
      <c r="K38" s="226">
        <f>'ALIM-IMP'!G35</f>
        <v>252</v>
      </c>
      <c r="L38" s="227">
        <f t="shared" si="0"/>
        <v>61740</v>
      </c>
    </row>
    <row r="39" spans="1:12" ht="39.950000000000003" customHeight="1" thickBot="1" x14ac:dyDescent="0.25">
      <c r="A39" s="228">
        <v>28</v>
      </c>
      <c r="B39" s="222" t="str">
        <f>'ALIM-IMP'!B36</f>
        <v>2.1.1-439.67</v>
      </c>
      <c r="C39" s="263" t="str">
        <f>'ALIM-IMP'!E36</f>
        <v>ACEITES COMESTIBLES; TIPO: GIRASOL, PRESENTACION: ENVASE X 900 CM3, MATERIAL ENVASE: PLASTICO 1 (PET), ELEM. TRANSPORTE: SIN, MATERIAL ELEM. TRANSPORTE : SIN, LIBRE DE GLUTEN: NO</v>
      </c>
      <c r="D39" s="263"/>
      <c r="E39" s="263"/>
      <c r="F39" s="263"/>
      <c r="G39" s="263"/>
      <c r="H39" s="223" t="s">
        <v>560</v>
      </c>
      <c r="I39" s="224" t="str">
        <f>'ALIM-IMP'!F36</f>
        <v>POTE</v>
      </c>
      <c r="J39" s="225">
        <f>'ALIM-IMP'!H36</f>
        <v>225</v>
      </c>
      <c r="K39" s="226">
        <f>'ALIM-IMP'!G36</f>
        <v>672</v>
      </c>
      <c r="L39" s="227">
        <f t="shared" si="0"/>
        <v>151200</v>
      </c>
    </row>
    <row r="40" spans="1:12" ht="39.950000000000003" customHeight="1" thickBot="1" x14ac:dyDescent="0.25">
      <c r="A40" s="229">
        <v>29</v>
      </c>
      <c r="B40" s="222" t="str">
        <f>'ALIM-IMP'!B37</f>
        <v>2.1.1-435.60</v>
      </c>
      <c r="C40" s="263" t="str">
        <f>'ALIM-IMP'!E37</f>
        <v>ARROZ; TIPO GRANO: LARGO-FINO, TIPO: BLANCO, PROCESO: SIN CASCARA, PRESENTACION: BOLSA X 1 Kg, MATERIAL ENVASE: PLASTICO, CERTIFICADO FORESTAL (GFS): SIN, ELEM. TRANSPORTE: SIN, MATERIAL ELEM. TRANSPORTE: SIN, LIBRE DE GLUTEN: SI</v>
      </c>
      <c r="D40" s="263"/>
      <c r="E40" s="263"/>
      <c r="F40" s="263"/>
      <c r="G40" s="263"/>
      <c r="H40" s="223" t="s">
        <v>560</v>
      </c>
      <c r="I40" s="224" t="str">
        <f>'ALIM-IMP'!F37</f>
        <v>UNIDAD</v>
      </c>
      <c r="J40" s="225">
        <f>'ALIM-IMP'!H37</f>
        <v>120</v>
      </c>
      <c r="K40" s="226">
        <f>'ALIM-IMP'!G37</f>
        <v>336</v>
      </c>
      <c r="L40" s="227">
        <f t="shared" si="0"/>
        <v>40320</v>
      </c>
    </row>
    <row r="41" spans="1:12" ht="39.950000000000003" customHeight="1" thickBot="1" x14ac:dyDescent="0.25">
      <c r="A41" s="228">
        <v>30</v>
      </c>
      <c r="B41" s="222" t="str">
        <f>'ALIM-IMP'!B38</f>
        <v>2.1.1-2868.71</v>
      </c>
      <c r="C41" s="263" t="str">
        <f>'ALIM-IMP'!E38</f>
        <v>FIDEOS SECOS; VARIEDAD: GUISERO, RELLENO: SIN, PRESENTACION: ENVASE X 500 GR, MATERIAL ENVASE: PLASTICO 1 (PET), ELEM. TRANSPORTE: SIN, MATERIAL ELEM. TRANSPORTE: SIN, CERTIFICADO FORESTAL (GFS): SIN, LIBRE DE GLUTEN: NO</v>
      </c>
      <c r="D41" s="263"/>
      <c r="E41" s="263"/>
      <c r="F41" s="263"/>
      <c r="G41" s="263"/>
      <c r="H41" s="223" t="s">
        <v>560</v>
      </c>
      <c r="I41" s="224" t="str">
        <f>'ALIM-IMP'!F38</f>
        <v>UNIDAD</v>
      </c>
      <c r="J41" s="225">
        <f>'ALIM-IMP'!H38</f>
        <v>65</v>
      </c>
      <c r="K41" s="226">
        <f>'ALIM-IMP'!G38</f>
        <v>672</v>
      </c>
      <c r="L41" s="227">
        <f t="shared" si="0"/>
        <v>43680</v>
      </c>
    </row>
    <row r="42" spans="1:12" ht="39.950000000000003" customHeight="1" thickBot="1" x14ac:dyDescent="0.25">
      <c r="A42" s="228">
        <v>31</v>
      </c>
      <c r="B42" s="222" t="str">
        <f>'ALIM-IMP'!B39</f>
        <v>2.1.1-2868.54</v>
      </c>
      <c r="C42" s="263" t="str">
        <f>'ALIM-IMP'!E39</f>
        <v>FIDEOS SECOS; VARIEDAD: SOPERO, RELLENO: SIN, PRESENTACION: ENVASE X 500 GR, MATERIAL ENVASE: PLASTICO 1 (PET), ELEM. TRANSPORTE: SIN, MATERIAL ELEM. TRANSPORTE: SIN, CERTIFICADO FORESTAL (GFS): SIN, LIBRE DE GLUTEN: NO</v>
      </c>
      <c r="D42" s="263"/>
      <c r="E42" s="263"/>
      <c r="F42" s="263"/>
      <c r="G42" s="263"/>
      <c r="H42" s="223" t="s">
        <v>560</v>
      </c>
      <c r="I42" s="224" t="str">
        <f>'ALIM-IMP'!F39</f>
        <v>UNIDAD</v>
      </c>
      <c r="J42" s="225">
        <f>'ALIM-IMP'!H39</f>
        <v>65</v>
      </c>
      <c r="K42" s="226">
        <f>'ALIM-IMP'!G39</f>
        <v>672</v>
      </c>
      <c r="L42" s="227">
        <f t="shared" si="0"/>
        <v>43680</v>
      </c>
    </row>
    <row r="43" spans="1:12" ht="39.950000000000003" customHeight="1" thickBot="1" x14ac:dyDescent="0.25">
      <c r="A43" s="228">
        <v>32</v>
      </c>
      <c r="B43" s="222" t="str">
        <f>'ALIM-IMP'!B40</f>
        <v>2.1.1-2868.56</v>
      </c>
      <c r="C43" s="263" t="str">
        <f>'ALIM-IMP'!E40</f>
        <v>FIDEOS SECOS; VARIEDAD: CABELLO DE ANGEL, RELLENO: SIN, PRESENTACION: ENVASE X 500 GR, MATERIAL ENVASE: PVC, ELEM. TRANSPORTE: CAJA, MATERIAL ELEM. TRANSPORTE: CARTON, CERTIFICADO FORESTAL (GFS): SIN, LIBRE DE GLUTEN: NO</v>
      </c>
      <c r="D43" s="263"/>
      <c r="E43" s="263"/>
      <c r="F43" s="263"/>
      <c r="G43" s="263"/>
      <c r="H43" s="223" t="s">
        <v>560</v>
      </c>
      <c r="I43" s="224" t="str">
        <f>'ALIM-IMP'!F40</f>
        <v>UNIDAD</v>
      </c>
      <c r="J43" s="225">
        <f>'ALIM-IMP'!H40</f>
        <v>65</v>
      </c>
      <c r="K43" s="226">
        <f>'ALIM-IMP'!G40</f>
        <v>432</v>
      </c>
      <c r="L43" s="227">
        <f t="shared" si="0"/>
        <v>28080</v>
      </c>
    </row>
    <row r="44" spans="1:12" ht="39.950000000000003" customHeight="1" thickBot="1" x14ac:dyDescent="0.25">
      <c r="A44" s="229">
        <v>33</v>
      </c>
      <c r="B44" s="222" t="str">
        <f>'ALIM-IMP'!B41</f>
        <v>2.1.1-2868.55</v>
      </c>
      <c r="C44" s="263" t="str">
        <f>'ALIM-IMP'!E41</f>
        <v>FIDEOS SECOS; VARIEDAD: TALLARIN, RELLENO: SIN, PRESENTACION: ENVASE X 500 GR, MATERIAL ENVASE: PLASTICO 1 (PET), ELEM. TRANSPORTE: SIN, MATERIAL ELEM. TRANSPORTE: SIN, CERTIFICADO FORESTAL (GFS): SIN, LIBRE DE GLUTEN: NO</v>
      </c>
      <c r="D44" s="263"/>
      <c r="E44" s="263"/>
      <c r="F44" s="263"/>
      <c r="G44" s="263"/>
      <c r="H44" s="223" t="s">
        <v>560</v>
      </c>
      <c r="I44" s="224" t="str">
        <f>'ALIM-IMP'!F41</f>
        <v>UNIDAD</v>
      </c>
      <c r="J44" s="225">
        <f>'ALIM-IMP'!H41</f>
        <v>65</v>
      </c>
      <c r="K44" s="226">
        <f>'ALIM-IMP'!G41</f>
        <v>672</v>
      </c>
      <c r="L44" s="227">
        <f t="shared" si="0"/>
        <v>43680</v>
      </c>
    </row>
    <row r="45" spans="1:12" ht="39.950000000000003" customHeight="1" thickBot="1" x14ac:dyDescent="0.25">
      <c r="A45" s="228">
        <v>34</v>
      </c>
      <c r="B45" s="222" t="str">
        <f>'ALIM-IMP'!B42</f>
        <v>2.1.1-482.70</v>
      </c>
      <c r="C45" s="263" t="str">
        <f>'ALIM-IMP'!E42</f>
        <v>HARINAS; TIPO: 000, PRESENTACION: ENVASE X 1 Kg, MATERIAL ENVASE: PAPEL, CERTICADO FORESTAL (GFS): SI, ELEM. TRANSPORTE: SIN, MATERIAL ELEM. TRANSPORTE: SIN, LIBRE DE GLUTEN: NO</v>
      </c>
      <c r="D45" s="263"/>
      <c r="E45" s="263"/>
      <c r="F45" s="263"/>
      <c r="G45" s="263"/>
      <c r="H45" s="223" t="s">
        <v>560</v>
      </c>
      <c r="I45" s="224" t="str">
        <f>'ALIM-IMP'!F42</f>
        <v>UNIDAD</v>
      </c>
      <c r="J45" s="225">
        <f>'ALIM-IMP'!H42</f>
        <v>115</v>
      </c>
      <c r="K45" s="226">
        <f>'ALIM-IMP'!G42</f>
        <v>420</v>
      </c>
      <c r="L45" s="227">
        <f t="shared" si="0"/>
        <v>48300</v>
      </c>
    </row>
    <row r="46" spans="1:12" ht="39.950000000000003" customHeight="1" thickBot="1" x14ac:dyDescent="0.25">
      <c r="A46" s="228">
        <v>35</v>
      </c>
      <c r="B46" s="222" t="str">
        <f>'ALIM-IMP'!B43</f>
        <v>2.1.1-482.81</v>
      </c>
      <c r="C46" s="263" t="str">
        <f>'ALIM-IMP'!E43</f>
        <v>HARINAS; TIPO: LEUDANTE, PRESENTACION: ENVASE X 1 Kg, MATERIAL ENVASE: PAPEL, CERTICADO FORESTAL (GFS): SIN, ELEM. TRANSPORTE: SIN, MATERIAL ELEM. TRANSPORTE: SIN, LIBRE DE GLUTEN: NO</v>
      </c>
      <c r="D46" s="263"/>
      <c r="E46" s="263"/>
      <c r="F46" s="263"/>
      <c r="G46" s="263"/>
      <c r="H46" s="223" t="s">
        <v>560</v>
      </c>
      <c r="I46" s="224" t="str">
        <f>'ALIM-IMP'!F43</f>
        <v>UNIDAD</v>
      </c>
      <c r="J46" s="225">
        <f>'ALIM-IMP'!H43</f>
        <v>140</v>
      </c>
      <c r="K46" s="226">
        <f>'ALIM-IMP'!G43</f>
        <v>420</v>
      </c>
      <c r="L46" s="227">
        <f t="shared" si="0"/>
        <v>58800</v>
      </c>
    </row>
    <row r="47" spans="1:12" ht="39.950000000000003" customHeight="1" thickBot="1" x14ac:dyDescent="0.25">
      <c r="A47" s="228">
        <v>36</v>
      </c>
      <c r="B47" s="222" t="str">
        <f>'ALIM-IMP'!B44</f>
        <v>2.1.1-6547.84</v>
      </c>
      <c r="C47" s="263" t="str">
        <f>'ALIM-IMP'!E44</f>
        <v>LEGUMBRES; VARIEDAD: ARVEJAS, ESTADO: CONSERVA, PRESENTACION: LATA, PESO: 350 GR, MATERIAL ENVASE: METAL, ELEM. TRANSPORTE: SIN, MATERIAL ELEM. TRANSPORTE: SIN, LIBRE DE GLUTEN: NO</v>
      </c>
      <c r="D47" s="263"/>
      <c r="E47" s="263"/>
      <c r="F47" s="263"/>
      <c r="G47" s="263"/>
      <c r="H47" s="223" t="s">
        <v>560</v>
      </c>
      <c r="I47" s="224" t="str">
        <f>'ALIM-IMP'!F44</f>
        <v>LATA</v>
      </c>
      <c r="J47" s="225">
        <f>'ALIM-IMP'!H44</f>
        <v>60</v>
      </c>
      <c r="K47" s="226">
        <f>'ALIM-IMP'!G44</f>
        <v>1008</v>
      </c>
      <c r="L47" s="227">
        <f t="shared" si="0"/>
        <v>60480</v>
      </c>
    </row>
    <row r="48" spans="1:12" ht="39.950000000000003" customHeight="1" thickBot="1" x14ac:dyDescent="0.25">
      <c r="A48" s="229">
        <v>37</v>
      </c>
      <c r="B48" s="222" t="str">
        <f>'ALIM-IMP'!B45</f>
        <v>2.1.1-2431.31</v>
      </c>
      <c r="C48" s="263" t="str">
        <f>'ALIM-IMP'!E45</f>
        <v>CALDOS; GUSTO: CARNE, TIPO: DESHIDRATADO, PRESENTACION: CAJA CON CUBOS X 9,5 GR, LIBRE DE GLUTEN: NO</v>
      </c>
      <c r="D48" s="263"/>
      <c r="E48" s="263"/>
      <c r="F48" s="263"/>
      <c r="G48" s="263"/>
      <c r="H48" s="223" t="s">
        <v>560</v>
      </c>
      <c r="I48" s="224" t="str">
        <f>'ALIM-IMP'!F45</f>
        <v>CAJA</v>
      </c>
      <c r="J48" s="225">
        <f>'ALIM-IMP'!H45</f>
        <v>128</v>
      </c>
      <c r="K48" s="226">
        <f>'ALIM-IMP'!G45</f>
        <v>168</v>
      </c>
      <c r="L48" s="227">
        <f t="shared" si="0"/>
        <v>21504</v>
      </c>
    </row>
    <row r="49" spans="1:12" ht="39.950000000000003" customHeight="1" thickBot="1" x14ac:dyDescent="0.25">
      <c r="A49" s="228">
        <v>38</v>
      </c>
      <c r="B49" s="222" t="str">
        <f>'ALIM-IMP'!B46</f>
        <v>2.1.1-482.89</v>
      </c>
      <c r="C49" s="263" t="str">
        <f>'ALIM-IMP'!E46</f>
        <v>HARINAS; TIPO: MAIZ PRECOCIDA O DE COCCION RAPIDA. PRESENTACION: ENVASE POR 500 GR. LIBRE DE GLUTEN: SI</v>
      </c>
      <c r="D49" s="263"/>
      <c r="E49" s="263"/>
      <c r="F49" s="263"/>
      <c r="G49" s="263"/>
      <c r="H49" s="223" t="s">
        <v>560</v>
      </c>
      <c r="I49" s="224" t="str">
        <f>'ALIM-IMP'!F46</f>
        <v>UNIDAD</v>
      </c>
      <c r="J49" s="225">
        <f>'ALIM-IMP'!H46</f>
        <v>195</v>
      </c>
      <c r="K49" s="226">
        <f>'ALIM-IMP'!G46</f>
        <v>570</v>
      </c>
      <c r="L49" s="227">
        <f t="shared" si="0"/>
        <v>111150</v>
      </c>
    </row>
    <row r="50" spans="1:12" ht="39.950000000000003" customHeight="1" thickBot="1" x14ac:dyDescent="0.25">
      <c r="A50" s="228">
        <v>39</v>
      </c>
      <c r="B50" s="222" t="str">
        <f>'ALIM-IMP'!B47</f>
        <v>2.1.1-2126.13</v>
      </c>
      <c r="C50" s="263" t="str">
        <f>'ALIM-IMP'!E47</f>
        <v>SEMOLAS; TIPO: VITINA, PRESENTACION: BOLSA, PESO: 500 GR, MATERIAL ENVASE: PLASTICO 1 (PET), CERTICADO FORESTAL (GFS): SIN, LIBRE DE GLUTEN: NO</v>
      </c>
      <c r="D50" s="263"/>
      <c r="E50" s="263"/>
      <c r="F50" s="263"/>
      <c r="G50" s="263"/>
      <c r="H50" s="223" t="s">
        <v>560</v>
      </c>
      <c r="I50" s="224" t="str">
        <f>'ALIM-IMP'!F47</f>
        <v>UNIDAD</v>
      </c>
      <c r="J50" s="225">
        <f>'ALIM-IMP'!H47</f>
        <v>450</v>
      </c>
      <c r="K50" s="226">
        <f>'ALIM-IMP'!G47</f>
        <v>168</v>
      </c>
      <c r="L50" s="227">
        <f t="shared" si="0"/>
        <v>75600</v>
      </c>
    </row>
    <row r="51" spans="1:12" ht="39.950000000000003" customHeight="1" thickBot="1" x14ac:dyDescent="0.25">
      <c r="A51" s="228">
        <v>40</v>
      </c>
      <c r="B51" s="222" t="str">
        <f>'ALIM-IMP'!B48</f>
        <v>2.1.1-514.31</v>
      </c>
      <c r="C51" s="263" t="str">
        <f>'ALIM-IMP'!E48</f>
        <v>SAL DE MESA; CONSISTENCIA: GRUESA, ENVASE: PAQUETE, PESO: 1 Kg, TIPO: COMUN, LIBRE DE GLUTEN: NO</v>
      </c>
      <c r="D51" s="263"/>
      <c r="E51" s="263"/>
      <c r="F51" s="263"/>
      <c r="G51" s="263"/>
      <c r="H51" s="223" t="s">
        <v>560</v>
      </c>
      <c r="I51" s="224" t="str">
        <f>'ALIM-IMP'!F48</f>
        <v>PAQUETE</v>
      </c>
      <c r="J51" s="225">
        <f>'ALIM-IMP'!H48</f>
        <v>55</v>
      </c>
      <c r="K51" s="226">
        <f>'ALIM-IMP'!G48</f>
        <v>114</v>
      </c>
      <c r="L51" s="227">
        <f t="shared" si="0"/>
        <v>6270</v>
      </c>
    </row>
    <row r="52" spans="1:12" ht="39.950000000000003" customHeight="1" thickBot="1" x14ac:dyDescent="0.25">
      <c r="A52" s="229">
        <v>41</v>
      </c>
      <c r="B52" s="222" t="str">
        <f>'ALIM-IMP'!B49</f>
        <v>2.1.1-514.2</v>
      </c>
      <c r="C52" s="263" t="str">
        <f>'ALIM-IMP'!E49</f>
        <v>SAL DE MESA; CONSISTENCIA: FINA, PESO: 500 GR, TIPO: SIN VALOR, ENVASE: PAQUETE</v>
      </c>
      <c r="D52" s="263"/>
      <c r="E52" s="263"/>
      <c r="F52" s="263"/>
      <c r="G52" s="263"/>
      <c r="H52" s="223" t="s">
        <v>560</v>
      </c>
      <c r="I52" s="224" t="str">
        <f>'ALIM-IMP'!F49</f>
        <v>PAQUETE</v>
      </c>
      <c r="J52" s="225">
        <f>'ALIM-IMP'!H49</f>
        <v>47</v>
      </c>
      <c r="K52" s="226">
        <f>'ALIM-IMP'!G49</f>
        <v>78</v>
      </c>
      <c r="L52" s="227">
        <f t="shared" si="0"/>
        <v>3666</v>
      </c>
    </row>
    <row r="53" spans="1:12" ht="39.950000000000003" customHeight="1" thickBot="1" x14ac:dyDescent="0.25">
      <c r="A53" s="228">
        <v>42</v>
      </c>
      <c r="B53" s="222" t="str">
        <f>'ALIM-IMP'!B50</f>
        <v>2.1.1-6546.260</v>
      </c>
      <c r="C53" s="263" t="str">
        <f>'ALIM-IMP'!E50</f>
        <v>VERDURAS Y HORTALIZAS; VARIEDAD: TOMATE, ESTADO: PURE, PRESENTACION: TETRABRIK, PESO: 520 GR</v>
      </c>
      <c r="D53" s="263"/>
      <c r="E53" s="263"/>
      <c r="F53" s="263"/>
      <c r="G53" s="263"/>
      <c r="H53" s="223" t="s">
        <v>560</v>
      </c>
      <c r="I53" s="224" t="str">
        <f>'ALIM-IMP'!F50</f>
        <v>UNIDAD</v>
      </c>
      <c r="J53" s="225">
        <f>'ALIM-IMP'!H50</f>
        <v>85</v>
      </c>
      <c r="K53" s="226">
        <f>'ALIM-IMP'!G50</f>
        <v>516</v>
      </c>
      <c r="L53" s="227">
        <f t="shared" si="0"/>
        <v>43860</v>
      </c>
    </row>
    <row r="54" spans="1:12" ht="39.950000000000003" customHeight="1" thickBot="1" x14ac:dyDescent="0.25">
      <c r="A54" s="228">
        <v>43</v>
      </c>
      <c r="B54" s="222" t="str">
        <f>'ALIM-IMP'!B51</f>
        <v>2.1.1-6546.4</v>
      </c>
      <c r="C54" s="263" t="str">
        <f>'ALIM-IMP'!E51</f>
        <v>VERDURAS Y HORTALIZAS; VARIEDAD: TOMATE PERITA, ESTADO: TRITURADO, PRESENTACION: BOTELLA, PESO: 950 GR</v>
      </c>
      <c r="D54" s="263"/>
      <c r="E54" s="263"/>
      <c r="F54" s="263"/>
      <c r="G54" s="263"/>
      <c r="H54" s="223" t="s">
        <v>560</v>
      </c>
      <c r="I54" s="224" t="str">
        <f>'ALIM-IMP'!F51</f>
        <v>BOTELLA</v>
      </c>
      <c r="J54" s="225">
        <f>'ALIM-IMP'!H51</f>
        <v>194</v>
      </c>
      <c r="K54" s="226">
        <f>'ALIM-IMP'!G51</f>
        <v>336</v>
      </c>
      <c r="L54" s="227">
        <f t="shared" si="0"/>
        <v>65184</v>
      </c>
    </row>
    <row r="55" spans="1:12" ht="39.950000000000003" customHeight="1" thickBot="1" x14ac:dyDescent="0.25">
      <c r="A55" s="228">
        <v>44</v>
      </c>
      <c r="B55" s="222" t="str">
        <f>'ALIM-IMP'!B52</f>
        <v>2.1.1-519.24</v>
      </c>
      <c r="C55" s="263" t="str">
        <f>'ALIM-IMP'!E52</f>
        <v>VINAGRES; TIPO: ALCOHOL, PRESENTACION: BOTELLA X 1  L, MATERIAL ENVASE: PLASTICO</v>
      </c>
      <c r="D55" s="263"/>
      <c r="E55" s="263"/>
      <c r="F55" s="263"/>
      <c r="G55" s="263"/>
      <c r="H55" s="223" t="s">
        <v>560</v>
      </c>
      <c r="I55" s="224" t="str">
        <f>'ALIM-IMP'!F52</f>
        <v>BOTELLA</v>
      </c>
      <c r="J55" s="225">
        <f>'ALIM-IMP'!H52</f>
        <v>85</v>
      </c>
      <c r="K55" s="226">
        <f>'ALIM-IMP'!G52</f>
        <v>78</v>
      </c>
      <c r="L55" s="227">
        <f t="shared" si="0"/>
        <v>6630</v>
      </c>
    </row>
    <row r="56" spans="1:12" ht="39.950000000000003" customHeight="1" thickBot="1" x14ac:dyDescent="0.25">
      <c r="A56" s="229">
        <v>45</v>
      </c>
      <c r="B56" s="222" t="str">
        <f>'ALIM-IMP'!B53</f>
        <v>2.1.1-2124.8</v>
      </c>
      <c r="C56" s="263" t="str">
        <f>'ALIM-IMP'!E53</f>
        <v>AVENAS; TIPO: INSTANTANEA, ESTADO: EXTRAFINA, PRESENTACION: ENVASE X 400 GR, PESO: SIN VALOR</v>
      </c>
      <c r="D56" s="263"/>
      <c r="E56" s="263"/>
      <c r="F56" s="263"/>
      <c r="G56" s="263"/>
      <c r="H56" s="223" t="s">
        <v>560</v>
      </c>
      <c r="I56" s="224" t="str">
        <f>'ALIM-IMP'!F53</f>
        <v>UNIDAD</v>
      </c>
      <c r="J56" s="225">
        <f>'ALIM-IMP'!H53</f>
        <v>235</v>
      </c>
      <c r="K56" s="226">
        <f>'ALIM-IMP'!G53</f>
        <v>168</v>
      </c>
      <c r="L56" s="227">
        <f t="shared" si="0"/>
        <v>39480</v>
      </c>
    </row>
    <row r="57" spans="1:12" ht="39.950000000000003" customHeight="1" thickBot="1" x14ac:dyDescent="0.25">
      <c r="A57" s="228">
        <v>46</v>
      </c>
      <c r="B57" s="222" t="str">
        <f>'ALIM-IMP'!B54</f>
        <v>2.1.1-2616.9</v>
      </c>
      <c r="C57" s="263" t="str">
        <f>'ALIM-IMP'!E54</f>
        <v>MAIZ; TIPO: BLANCO PISADO, PRESENTACION: ENVASE X 500 GR, FORMA DE PRESENTACION: SIN VALOR</v>
      </c>
      <c r="D57" s="263"/>
      <c r="E57" s="263"/>
      <c r="F57" s="263"/>
      <c r="G57" s="263"/>
      <c r="H57" s="223" t="s">
        <v>560</v>
      </c>
      <c r="I57" s="224" t="str">
        <f>'ALIM-IMP'!F54</f>
        <v>UNIDAD</v>
      </c>
      <c r="J57" s="225">
        <f>'ALIM-IMP'!H54</f>
        <v>125</v>
      </c>
      <c r="K57" s="226">
        <f>'ALIM-IMP'!G54</f>
        <v>336</v>
      </c>
      <c r="L57" s="227">
        <f t="shared" si="0"/>
        <v>42000</v>
      </c>
    </row>
    <row r="58" spans="1:12" ht="39.950000000000003" customHeight="1" thickBot="1" x14ac:dyDescent="0.25">
      <c r="A58" s="228">
        <v>47</v>
      </c>
      <c r="B58" s="222" t="str">
        <f>'ALIM-IMP'!B55</f>
        <v>2.1.1-6547.31</v>
      </c>
      <c r="C58" s="263" t="str">
        <f>'ALIM-IMP'!E55</f>
        <v>LEGUMBRES; VARIEDAD: POROTO ALUBIA, ESTADO: NATURAL, PRESENTACION: BOLSA PLASTICA, PESO: 500 GR</v>
      </c>
      <c r="D58" s="263"/>
      <c r="E58" s="263"/>
      <c r="F58" s="263"/>
      <c r="G58" s="263"/>
      <c r="H58" s="223" t="s">
        <v>560</v>
      </c>
      <c r="I58" s="224" t="str">
        <f>'ALIM-IMP'!F55</f>
        <v>UNIDAD</v>
      </c>
      <c r="J58" s="225">
        <f>'ALIM-IMP'!H55</f>
        <v>147</v>
      </c>
      <c r="K58" s="226">
        <f>'ALIM-IMP'!G55</f>
        <v>336</v>
      </c>
      <c r="L58" s="227">
        <f t="shared" si="0"/>
        <v>49392</v>
      </c>
    </row>
    <row r="59" spans="1:12" ht="39.950000000000003" customHeight="1" thickBot="1" x14ac:dyDescent="0.25">
      <c r="A59" s="228">
        <v>48</v>
      </c>
      <c r="B59" s="222" t="str">
        <f>'ALIM-IMP'!B56</f>
        <v>2.1.1-708.23</v>
      </c>
      <c r="C59" s="263" t="str">
        <f>'ALIM-IMP'!E56</f>
        <v>CONSERVAS PESCADO Y FRUTOS MAR; ESTADO: AL NATURAL, PESO: 380 GR, ENVASE: LATA, TIPO: CABALLA, ESPECIE: CABALLA</v>
      </c>
      <c r="D59" s="263"/>
      <c r="E59" s="263"/>
      <c r="F59" s="263"/>
      <c r="G59" s="263"/>
      <c r="H59" s="223" t="s">
        <v>560</v>
      </c>
      <c r="I59" s="224" t="str">
        <f>'ALIM-IMP'!F56</f>
        <v>LATA</v>
      </c>
      <c r="J59" s="225">
        <f>'ALIM-IMP'!H56</f>
        <v>410</v>
      </c>
      <c r="K59" s="226">
        <f>'ALIM-IMP'!G56</f>
        <v>336</v>
      </c>
      <c r="L59" s="227">
        <f t="shared" si="0"/>
        <v>137760</v>
      </c>
    </row>
    <row r="60" spans="1:12" ht="39.950000000000003" customHeight="1" thickBot="1" x14ac:dyDescent="0.25">
      <c r="A60" s="229">
        <v>49</v>
      </c>
      <c r="B60" s="222" t="str">
        <f>'ALIM-IMP'!B57</f>
        <v>2.1.1-489.67</v>
      </c>
      <c r="C60" s="263" t="str">
        <f>'ALIM-IMP'!E57</f>
        <v>ESPECIAS; TIPO: PIMENTON, PRESENTACION: BOLSA DE 1 Kg</v>
      </c>
      <c r="D60" s="263"/>
      <c r="E60" s="263"/>
      <c r="F60" s="263"/>
      <c r="G60" s="263"/>
      <c r="H60" s="223" t="s">
        <v>560</v>
      </c>
      <c r="I60" s="224" t="str">
        <f>'ALIM-IMP'!F57</f>
        <v>BOLSA</v>
      </c>
      <c r="J60" s="225">
        <f>'ALIM-IMP'!H57</f>
        <v>800</v>
      </c>
      <c r="K60" s="226">
        <f>'ALIM-IMP'!G57</f>
        <v>21</v>
      </c>
      <c r="L60" s="227">
        <f t="shared" si="0"/>
        <v>16800</v>
      </c>
    </row>
    <row r="61" spans="1:12" ht="39.950000000000003" customHeight="1" thickBot="1" x14ac:dyDescent="0.25">
      <c r="A61" s="228">
        <v>50</v>
      </c>
      <c r="B61" s="222" t="str">
        <f>'ALIM-IMP'!B58</f>
        <v>2.1.1-489.109</v>
      </c>
      <c r="C61" s="263" t="str">
        <f>'ALIM-IMP'!E58</f>
        <v>ESPECIAS; TIPO: PROVENZAL, PRESENTACION: PAQUETE X 1 Kg</v>
      </c>
      <c r="D61" s="263"/>
      <c r="E61" s="263"/>
      <c r="F61" s="263"/>
      <c r="G61" s="263"/>
      <c r="H61" s="223" t="s">
        <v>560</v>
      </c>
      <c r="I61" s="224" t="str">
        <f>'ALIM-IMP'!F58</f>
        <v>PAQUETE</v>
      </c>
      <c r="J61" s="225">
        <f>'ALIM-IMP'!H58</f>
        <v>1300</v>
      </c>
      <c r="K61" s="226">
        <f>'ALIM-IMP'!G58</f>
        <v>21</v>
      </c>
      <c r="L61" s="227">
        <f t="shared" si="0"/>
        <v>27300</v>
      </c>
    </row>
    <row r="62" spans="1:12" ht="39.950000000000003" customHeight="1" thickBot="1" x14ac:dyDescent="0.25">
      <c r="A62" s="228">
        <v>51</v>
      </c>
      <c r="B62" s="222" t="str">
        <f>'ALIM-IMP'!B59</f>
        <v>2.1.1-731.13</v>
      </c>
      <c r="C62" s="263" t="str">
        <f>'ALIM-IMP'!E59</f>
        <v>CONSERVAS DE CARNE; TIPO: PICADILLO, PESO: 90 GR, VARIEDAD: SIN VALOR, ENVASE: LATA</v>
      </c>
      <c r="D62" s="263"/>
      <c r="E62" s="263"/>
      <c r="F62" s="263"/>
      <c r="G62" s="263"/>
      <c r="H62" s="223" t="s">
        <v>560</v>
      </c>
      <c r="I62" s="224" t="str">
        <f>'ALIM-IMP'!F59</f>
        <v>LATA</v>
      </c>
      <c r="J62" s="225">
        <f>'ALIM-IMP'!H59</f>
        <v>70</v>
      </c>
      <c r="K62" s="226">
        <f>'ALIM-IMP'!G59</f>
        <v>1008</v>
      </c>
      <c r="L62" s="227">
        <f t="shared" si="0"/>
        <v>70560</v>
      </c>
    </row>
    <row r="63" spans="1:12" ht="39.950000000000003" customHeight="1" thickBot="1" x14ac:dyDescent="0.25">
      <c r="A63" s="228">
        <v>52</v>
      </c>
      <c r="B63" s="222" t="str">
        <f>'ALIM-IMP'!B60</f>
        <v>2.1.1-788.264</v>
      </c>
      <c r="C63" s="263" t="str">
        <f>'ALIM-IMP'!E60</f>
        <v>GALLETITAS; VARIEDAD: VAINILLA, RELLENO: SIN, PRESENTACION: ENVASE X 150 GR, ELEM. TRANSPORTE: SIN, MATERIAL ELEM. TRANSPORTE: SIN, LIBRE DE GLUTEN: NO</v>
      </c>
      <c r="D63" s="263"/>
      <c r="E63" s="263"/>
      <c r="F63" s="263"/>
      <c r="G63" s="263"/>
      <c r="H63" s="223" t="s">
        <v>560</v>
      </c>
      <c r="I63" s="224" t="str">
        <f>'ALIM-IMP'!F60</f>
        <v>PAQUETE</v>
      </c>
      <c r="J63" s="225">
        <f>'ALIM-IMP'!H60</f>
        <v>140</v>
      </c>
      <c r="K63" s="226">
        <f>'ALIM-IMP'!G60</f>
        <v>420</v>
      </c>
      <c r="L63" s="227">
        <f t="shared" si="0"/>
        <v>58800</v>
      </c>
    </row>
    <row r="64" spans="1:12" ht="39.950000000000003" customHeight="1" thickBot="1" x14ac:dyDescent="0.25">
      <c r="A64" s="229">
        <v>53</v>
      </c>
      <c r="B64" s="222" t="str">
        <f>'ALIM-IMP'!B61</f>
        <v>2.1.1-6539.47</v>
      </c>
      <c r="C64" s="263" t="str">
        <f>'ALIM-IMP'!E61</f>
        <v>FRUTAS; VARIEDAD: DURAZNO, ESTADO: CONSERVA, PRESENTACION: ENVASE X 820 GR, PESO: 820 GR</v>
      </c>
      <c r="D64" s="263"/>
      <c r="E64" s="263"/>
      <c r="F64" s="263"/>
      <c r="G64" s="263"/>
      <c r="H64" s="223" t="s">
        <v>560</v>
      </c>
      <c r="I64" s="224" t="str">
        <f>'ALIM-IMP'!F61</f>
        <v>LATA</v>
      </c>
      <c r="J64" s="225">
        <f>'ALIM-IMP'!H61</f>
        <v>375</v>
      </c>
      <c r="K64" s="226">
        <f>'ALIM-IMP'!G61</f>
        <v>336</v>
      </c>
      <c r="L64" s="227">
        <f t="shared" si="0"/>
        <v>126000</v>
      </c>
    </row>
    <row r="65" spans="1:12" ht="39.950000000000003" customHeight="1" thickBot="1" x14ac:dyDescent="0.25">
      <c r="A65" s="228">
        <v>54</v>
      </c>
      <c r="B65" s="222" t="str">
        <f>'ALIM-IMP'!B62</f>
        <v>2.1.1-788.224</v>
      </c>
      <c r="C65" s="263" t="str">
        <f>'ALIM-IMP'!E62</f>
        <v>GALLETITAS; VARIEDAD: SALADA, RELLENO: SIN, PRESENTACION: ENVASE X 275 GR, ELEM. TRANSPORTE: SIN, MATERIAL ELEM. TRANSPORTE: SIN, LIBRE DE GLUTEN: SI</v>
      </c>
      <c r="D65" s="263"/>
      <c r="E65" s="263"/>
      <c r="F65" s="263"/>
      <c r="G65" s="263"/>
      <c r="H65" s="223" t="s">
        <v>560</v>
      </c>
      <c r="I65" s="224" t="str">
        <f>'ALIM-IMP'!F62</f>
        <v>UNIDAD</v>
      </c>
      <c r="J65" s="225">
        <f>'ALIM-IMP'!H62</f>
        <v>140</v>
      </c>
      <c r="K65" s="226">
        <f>'ALIM-IMP'!G62</f>
        <v>336</v>
      </c>
      <c r="L65" s="227">
        <f t="shared" si="0"/>
        <v>47040</v>
      </c>
    </row>
    <row r="66" spans="1:12" ht="39.950000000000003" customHeight="1" thickBot="1" x14ac:dyDescent="0.25">
      <c r="A66" s="228">
        <v>55</v>
      </c>
      <c r="B66" s="222" t="str">
        <f>'ALIM-IMP'!B63</f>
        <v>2.1.1-788.257</v>
      </c>
      <c r="C66" s="263" t="str">
        <f>'ALIM-IMP'!E63</f>
        <v>GALLETITAS; VARIEDAD: DULCE, RELLENO: SIN, PRESENTACION: ENVASE X 400 GR, ELEM. TRANSPORTE: SIN, MATERIAL ELEM. TRANSPORTE: SIN, LIBRE DE GLUTEN: NO</v>
      </c>
      <c r="D66" s="263"/>
      <c r="E66" s="263"/>
      <c r="F66" s="263"/>
      <c r="G66" s="263"/>
      <c r="H66" s="223" t="s">
        <v>560</v>
      </c>
      <c r="I66" s="224" t="str">
        <f>'ALIM-IMP'!F63</f>
        <v>UNIDAD</v>
      </c>
      <c r="J66" s="225">
        <f>'ALIM-IMP'!H63</f>
        <v>196</v>
      </c>
      <c r="K66" s="226">
        <f>'ALIM-IMP'!G63</f>
        <v>420</v>
      </c>
      <c r="L66" s="227">
        <f t="shared" si="0"/>
        <v>82320</v>
      </c>
    </row>
    <row r="67" spans="1:12" ht="39.950000000000003" customHeight="1" thickBot="1" x14ac:dyDescent="0.25">
      <c r="A67" s="228">
        <v>56</v>
      </c>
      <c r="B67" s="222" t="str">
        <f>'ALIM-IMP'!B64</f>
        <v>2.1.1-455.24</v>
      </c>
      <c r="C67" s="263" t="str">
        <f>'ALIM-IMP'!E64</f>
        <v>DULCE DE LECHE; TIPO: COMUN, ENVASE: PLASTICO, CAPACIDAD: 1 Kg, PRESENTACION: ENVASE PLASTICO X 1 Kg</v>
      </c>
      <c r="D67" s="263"/>
      <c r="E67" s="263"/>
      <c r="F67" s="263"/>
      <c r="G67" s="263"/>
      <c r="H67" s="223" t="s">
        <v>560</v>
      </c>
      <c r="I67" s="224" t="str">
        <f>'ALIM-IMP'!F64</f>
        <v>POTE</v>
      </c>
      <c r="J67" s="225">
        <f>'ALIM-IMP'!H64</f>
        <v>425</v>
      </c>
      <c r="K67" s="226">
        <f>'ALIM-IMP'!G64</f>
        <v>288</v>
      </c>
      <c r="L67" s="227">
        <f t="shared" si="0"/>
        <v>122400</v>
      </c>
    </row>
    <row r="68" spans="1:12" ht="39.950000000000003" customHeight="1" thickBot="1" x14ac:dyDescent="0.25">
      <c r="A68" s="229">
        <v>57</v>
      </c>
      <c r="B68" s="222" t="str">
        <f>'ALIM-IMP'!B65</f>
        <v>2.1.1-2125.77</v>
      </c>
      <c r="C68" s="263" t="str">
        <f>'ALIM-IMP'!E65</f>
        <v>MERMELADAS; SABOR: DURAZNO, TIPO: UNTABLE, PRESENTACION: ENVASE X 454 GR, MATERIAL ENVASE: VIDRIO, ELEM. TRANSPORTE: SIN, MATERIAL ELEM. TRANSPORTE: SIN, LIBRE DE GLUTEN: SI</v>
      </c>
      <c r="D68" s="263"/>
      <c r="E68" s="263"/>
      <c r="F68" s="263"/>
      <c r="G68" s="263"/>
      <c r="H68" s="223" t="s">
        <v>560</v>
      </c>
      <c r="I68" s="224" t="str">
        <f>'ALIM-IMP'!F65</f>
        <v>FRASCO</v>
      </c>
      <c r="J68" s="225">
        <f>'ALIM-IMP'!H65</f>
        <v>117</v>
      </c>
      <c r="K68" s="226">
        <f>'ALIM-IMP'!G65</f>
        <v>288</v>
      </c>
      <c r="L68" s="227">
        <f t="shared" si="0"/>
        <v>33696</v>
      </c>
    </row>
    <row r="69" spans="1:12" ht="39.950000000000003" customHeight="1" thickBot="1" x14ac:dyDescent="0.25">
      <c r="A69" s="228">
        <v>58</v>
      </c>
      <c r="B69" s="222" t="str">
        <f>'ALIM-IMP'!B66</f>
        <v>2.1.1-513.9</v>
      </c>
      <c r="C69" s="263" t="str">
        <f>'ALIM-IMP'!E66</f>
        <v>FLANES; PESO: 60 GR, ENVASE: CAJA CARTON, ESTADO PREPARACION: CON COCCION, SABOR: VAINILLA, TIPO: SIN VALOR, PRESENTACION: 60 GR</v>
      </c>
      <c r="D69" s="263"/>
      <c r="E69" s="263"/>
      <c r="F69" s="263"/>
      <c r="G69" s="263"/>
      <c r="H69" s="223" t="s">
        <v>560</v>
      </c>
      <c r="I69" s="224" t="str">
        <f>'ALIM-IMP'!F66</f>
        <v>CAJA</v>
      </c>
      <c r="J69" s="225">
        <f>'ALIM-IMP'!H66</f>
        <v>60</v>
      </c>
      <c r="K69" s="226">
        <f>'ALIM-IMP'!G66</f>
        <v>1260</v>
      </c>
      <c r="L69" s="227">
        <f t="shared" si="0"/>
        <v>75600</v>
      </c>
    </row>
    <row r="70" spans="1:12" ht="39.950000000000003" customHeight="1" thickBot="1" x14ac:dyDescent="0.25">
      <c r="A70" s="228">
        <v>59</v>
      </c>
      <c r="B70" s="222" t="str">
        <f>'ALIM-IMP'!B67</f>
        <v>2.1.1-513.8</v>
      </c>
      <c r="C70" s="263" t="str">
        <f>'ALIM-IMP'!E67</f>
        <v>FLANES; PESO: ENVASE X 60 GR, ESTADO PREPARACION: CON COCCION, ENVASE: CAJA CARTON, TIPO: SIN VALOR, SABOR: DULCE DE LECHE, PRESENTACION: ENVASE X 60 GR</v>
      </c>
      <c r="D70" s="263"/>
      <c r="E70" s="263"/>
      <c r="F70" s="263"/>
      <c r="G70" s="263"/>
      <c r="H70" s="223" t="s">
        <v>560</v>
      </c>
      <c r="I70" s="224" t="str">
        <f>'ALIM-IMP'!F67</f>
        <v xml:space="preserve">CAJA </v>
      </c>
      <c r="J70" s="225">
        <f>'ALIM-IMP'!H67</f>
        <v>60</v>
      </c>
      <c r="K70" s="226">
        <f>'ALIM-IMP'!G67</f>
        <v>1260</v>
      </c>
      <c r="L70" s="227">
        <f t="shared" si="0"/>
        <v>75600</v>
      </c>
    </row>
    <row r="71" spans="1:12" ht="39.950000000000003" customHeight="1" thickBot="1" x14ac:dyDescent="0.25">
      <c r="A71" s="228">
        <v>60</v>
      </c>
      <c r="B71" s="222" t="str">
        <f>'ALIM-IMP'!B68</f>
        <v>2.1.1-510.67</v>
      </c>
      <c r="C71" s="263" t="str">
        <f>'ALIM-IMP'!E68</f>
        <v>GELATINAS; TIPO: COMUN, PESO: 50 GR, SABOR: FRUTILLA, ENVASE: CAJA DE CARTON, LIBRE DE GLUTEN: SI</v>
      </c>
      <c r="D71" s="263"/>
      <c r="E71" s="263"/>
      <c r="F71" s="263"/>
      <c r="G71" s="263"/>
      <c r="H71" s="223" t="s">
        <v>560</v>
      </c>
      <c r="I71" s="224" t="str">
        <f>'ALIM-IMP'!F68</f>
        <v>CAJA</v>
      </c>
      <c r="J71" s="225">
        <f>'ALIM-IMP'!H68</f>
        <v>76</v>
      </c>
      <c r="K71" s="226">
        <f>'ALIM-IMP'!G68</f>
        <v>1260</v>
      </c>
      <c r="L71" s="227">
        <f t="shared" si="0"/>
        <v>95760</v>
      </c>
    </row>
    <row r="72" spans="1:12" ht="39.950000000000003" customHeight="1" thickBot="1" x14ac:dyDescent="0.25">
      <c r="A72" s="229">
        <v>61</v>
      </c>
      <c r="B72" s="222" t="str">
        <f>'ALIM-IMP'!B69</f>
        <v>2.1.1-510.63</v>
      </c>
      <c r="C72" s="263" t="str">
        <f>'ALIM-IMP'!E69</f>
        <v>GELATINAS; TIPO: COMUN, PESO: 50 GR, SABOR: NARANJA, ENVASE: CAJA DE CARTON, LIBRE DE GLUTEN: NO</v>
      </c>
      <c r="D72" s="263"/>
      <c r="E72" s="263"/>
      <c r="F72" s="263"/>
      <c r="G72" s="263"/>
      <c r="H72" s="223" t="s">
        <v>560</v>
      </c>
      <c r="I72" s="224" t="str">
        <f>'ALIM-IMP'!F69</f>
        <v xml:space="preserve">CAJA </v>
      </c>
      <c r="J72" s="225">
        <f>'ALIM-IMP'!H69</f>
        <v>76</v>
      </c>
      <c r="K72" s="226">
        <f>'ALIM-IMP'!G69</f>
        <v>1260</v>
      </c>
      <c r="L72" s="227">
        <f t="shared" si="0"/>
        <v>95760</v>
      </c>
    </row>
    <row r="73" spans="1:12" ht="39.950000000000003" customHeight="1" thickBot="1" x14ac:dyDescent="0.25">
      <c r="A73" s="228">
        <v>62</v>
      </c>
      <c r="B73" s="222" t="str">
        <f>'ALIM-IMP'!B70</f>
        <v>2.1.1-3390.124</v>
      </c>
      <c r="C73" s="263" t="str">
        <f>'ALIM-IMP'!E70</f>
        <v>JUGOS; TIPO: EN POLVO, SABOR: NARANJA, PRESENTACION: SOBRE X 20 GR, MATERIAL ENVASE: TETRAFILM, CERTIFICADO FORESTAL (GFS): SIN, LIBRE DE GLUTEN: SI</v>
      </c>
      <c r="D73" s="263"/>
      <c r="E73" s="263"/>
      <c r="F73" s="263"/>
      <c r="G73" s="263"/>
      <c r="H73" s="223" t="s">
        <v>560</v>
      </c>
      <c r="I73" s="224" t="str">
        <f>'ALIM-IMP'!F70</f>
        <v>SOBRE</v>
      </c>
      <c r="J73" s="225">
        <f>'ALIM-IMP'!H70</f>
        <v>25</v>
      </c>
      <c r="K73" s="226">
        <f>'ALIM-IMP'!G70</f>
        <v>1260</v>
      </c>
      <c r="L73" s="227">
        <f t="shared" si="0"/>
        <v>31500</v>
      </c>
    </row>
    <row r="74" spans="1:12" ht="30" customHeight="1" thickBot="1" x14ac:dyDescent="0.25">
      <c r="A74" s="276" t="s">
        <v>454</v>
      </c>
      <c r="B74" s="276"/>
      <c r="C74" s="276"/>
      <c r="D74" s="276"/>
      <c r="E74" s="276"/>
      <c r="F74" s="276"/>
      <c r="G74" s="276"/>
      <c r="H74" s="276"/>
      <c r="I74" s="276"/>
      <c r="J74" s="273">
        <f>SUM(L12:L73)</f>
        <v>6551652</v>
      </c>
      <c r="K74" s="274"/>
      <c r="L74" s="275"/>
    </row>
  </sheetData>
  <mergeCells count="85">
    <mergeCell ref="L10:L11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C15:G15"/>
    <mergeCell ref="C16:G16"/>
    <mergeCell ref="C17:G17"/>
    <mergeCell ref="J74:L74"/>
    <mergeCell ref="A74:I74"/>
    <mergeCell ref="C22:G22"/>
    <mergeCell ref="C19:G19"/>
    <mergeCell ref="C21:G21"/>
    <mergeCell ref="C34:G34"/>
    <mergeCell ref="C35:G35"/>
    <mergeCell ref="C20:G20"/>
    <mergeCell ref="C23:G23"/>
    <mergeCell ref="C29:G29"/>
    <mergeCell ref="C70:G70"/>
    <mergeCell ref="C71:G71"/>
    <mergeCell ref="C52:G52"/>
    <mergeCell ref="C53:G53"/>
    <mergeCell ref="C41:G41"/>
    <mergeCell ref="C67:G6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8:G18"/>
    <mergeCell ref="A10:A11"/>
    <mergeCell ref="B10:B11"/>
    <mergeCell ref="C10:G11"/>
    <mergeCell ref="D8:K8"/>
    <mergeCell ref="J10:J11"/>
    <mergeCell ref="K10:K11"/>
    <mergeCell ref="H10:H11"/>
    <mergeCell ref="I10:I11"/>
    <mergeCell ref="C12:G12"/>
    <mergeCell ref="C13:G13"/>
    <mergeCell ref="C14:G14"/>
    <mergeCell ref="C46:G46"/>
    <mergeCell ref="C64:G64"/>
    <mergeCell ref="C51:G51"/>
    <mergeCell ref="C72:G72"/>
    <mergeCell ref="C54:G54"/>
    <mergeCell ref="C55:G55"/>
    <mergeCell ref="C56:G56"/>
    <mergeCell ref="C57:G57"/>
    <mergeCell ref="C58:G58"/>
    <mergeCell ref="C68:G68"/>
    <mergeCell ref="C59:G59"/>
    <mergeCell ref="C60:G60"/>
    <mergeCell ref="C61:G61"/>
    <mergeCell ref="C62:G62"/>
    <mergeCell ref="C63:G63"/>
    <mergeCell ref="C66:G66"/>
    <mergeCell ref="C73:G73"/>
    <mergeCell ref="C36:G36"/>
    <mergeCell ref="C37:G37"/>
    <mergeCell ref="C38:G38"/>
    <mergeCell ref="C39:G39"/>
    <mergeCell ref="C40:G40"/>
    <mergeCell ref="C42:G42"/>
    <mergeCell ref="C43:G43"/>
    <mergeCell ref="C44:G44"/>
    <mergeCell ref="C47:G47"/>
    <mergeCell ref="C48:G48"/>
    <mergeCell ref="C50:G50"/>
    <mergeCell ref="C49:G49"/>
    <mergeCell ref="C69:G69"/>
    <mergeCell ref="C65:G65"/>
    <mergeCell ref="C45:G45"/>
  </mergeCells>
  <printOptions horizontalCentered="1"/>
  <pageMargins left="0.19685039370078741" right="0.19685039370078741" top="0.23622047244094491" bottom="0.27559055118110237" header="0.19685039370078741" footer="0.15748031496062992"/>
  <pageSetup paperSize="5" scale="80" firstPageNumber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topLeftCell="A22" zoomScale="130" zoomScaleNormal="130" workbookViewId="0">
      <selection activeCell="J34" sqref="J3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6.5703125" bestFit="1" customWidth="1"/>
  </cols>
  <sheetData>
    <row r="1" spans="1:17" ht="15.75" customHeight="1" x14ac:dyDescent="0.25">
      <c r="A1" s="331" t="s">
        <v>3</v>
      </c>
      <c r="B1" s="331"/>
      <c r="C1" s="331"/>
      <c r="D1" s="332">
        <f>'ALIM-IMP'!C5</f>
        <v>2022</v>
      </c>
      <c r="E1" s="332"/>
      <c r="F1" s="4"/>
      <c r="G1" s="4"/>
      <c r="H1" s="5"/>
      <c r="I1" s="5"/>
      <c r="J1" s="5"/>
      <c r="K1" s="5"/>
      <c r="L1" s="5"/>
      <c r="M1" s="5"/>
      <c r="N1" s="5"/>
      <c r="P1" s="333" t="s">
        <v>33</v>
      </c>
      <c r="Q1" s="333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333"/>
      <c r="Q2" s="333"/>
    </row>
    <row r="4" spans="1:17" s="6" customFormat="1" ht="18" customHeight="1" thickBot="1" x14ac:dyDescent="0.25">
      <c r="A4" s="334" t="s">
        <v>34</v>
      </c>
      <c r="B4" s="334"/>
      <c r="C4" s="334"/>
      <c r="D4" s="334"/>
      <c r="E4" s="334"/>
      <c r="F4" s="334"/>
      <c r="G4" s="329" t="str">
        <f>' NotaPedido'!D3</f>
        <v>45- Ministerio de Desarrollo Social</v>
      </c>
      <c r="H4" s="329"/>
      <c r="I4" s="329"/>
      <c r="J4" s="329"/>
      <c r="K4" s="329"/>
      <c r="L4" s="329"/>
      <c r="M4" s="329"/>
      <c r="N4" s="329"/>
      <c r="O4" s="329"/>
      <c r="P4" s="329"/>
      <c r="Q4" s="329"/>
    </row>
    <row r="5" spans="1:17" s="6" customFormat="1" ht="18" customHeight="1" thickBot="1" x14ac:dyDescent="0.25">
      <c r="A5" s="326" t="s">
        <v>57</v>
      </c>
      <c r="B5" s="327"/>
      <c r="C5" s="327"/>
      <c r="D5" s="327"/>
      <c r="E5" s="327"/>
      <c r="F5" s="328"/>
      <c r="G5" s="329" t="str">
        <f>' NotaPedido'!D4</f>
        <v>25- Direccion Provincial de Gestion Administracion y RRHH</v>
      </c>
      <c r="H5" s="329"/>
      <c r="I5" s="329"/>
      <c r="J5" s="329"/>
      <c r="K5" s="329"/>
      <c r="L5" s="329"/>
      <c r="M5" s="329"/>
      <c r="N5" s="329"/>
      <c r="O5" s="329"/>
      <c r="P5" s="329"/>
      <c r="Q5" s="329"/>
    </row>
    <row r="6" spans="1:17" s="6" customFormat="1" ht="18" customHeight="1" thickBot="1" x14ac:dyDescent="0.25">
      <c r="A6" s="326" t="s">
        <v>35</v>
      </c>
      <c r="B6" s="327"/>
      <c r="C6" s="327"/>
      <c r="D6" s="327"/>
      <c r="E6" s="327"/>
      <c r="F6" s="328"/>
      <c r="G6" s="329" t="s">
        <v>390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</row>
    <row r="7" spans="1:17" s="6" customFormat="1" ht="18" customHeight="1" thickBot="1" x14ac:dyDescent="0.25">
      <c r="A7" s="326" t="s">
        <v>58</v>
      </c>
      <c r="B7" s="327"/>
      <c r="C7" s="327"/>
      <c r="D7" s="327"/>
      <c r="E7" s="327"/>
      <c r="F7" s="328"/>
      <c r="G7" s="329" t="s">
        <v>302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8" customHeight="1" thickBot="1" x14ac:dyDescent="0.25">
      <c r="A8" s="330" t="s">
        <v>36</v>
      </c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</row>
    <row r="9" spans="1:17" ht="18" customHeight="1" x14ac:dyDescent="0.2">
      <c r="A9" s="320" t="s">
        <v>37</v>
      </c>
      <c r="B9" s="320"/>
      <c r="C9" s="320"/>
      <c r="D9" s="320"/>
      <c r="E9" s="320"/>
      <c r="F9" s="320"/>
      <c r="G9" s="320"/>
      <c r="H9" s="320"/>
      <c r="I9" s="320"/>
      <c r="J9" s="320"/>
      <c r="K9" s="320"/>
      <c r="L9" s="320"/>
      <c r="M9" s="320"/>
      <c r="N9" s="320"/>
      <c r="O9" s="1"/>
      <c r="P9" s="1"/>
      <c r="Q9" s="7"/>
    </row>
    <row r="10" spans="1:17" ht="54.75" customHeight="1" x14ac:dyDescent="0.2">
      <c r="A10" s="32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115/2022,  afectando la erogación resultante a los créditos presupuestarios aprobados a favor de esta Unidad Ejecutora, conforme al siguiente detalle:</v>
      </c>
      <c r="B10" s="321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322" t="s">
        <v>38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</row>
    <row r="13" spans="1:17" ht="15.75" customHeight="1" x14ac:dyDescent="0.2">
      <c r="A13" s="323" t="s">
        <v>39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4" t="s">
        <v>40</v>
      </c>
      <c r="P13" s="324"/>
      <c r="Q13" s="325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324"/>
      <c r="P14" s="324"/>
      <c r="Q14" s="325"/>
    </row>
    <row r="15" spans="1:17" ht="17.25" customHeight="1" x14ac:dyDescent="0.2">
      <c r="A15" s="144">
        <v>23</v>
      </c>
      <c r="B15" s="145"/>
      <c r="C15" s="145"/>
      <c r="D15" s="145">
        <v>1</v>
      </c>
      <c r="E15" s="145"/>
      <c r="F15" s="145">
        <v>4901</v>
      </c>
      <c r="G15" s="145">
        <v>1</v>
      </c>
      <c r="H15" s="145">
        <v>4</v>
      </c>
      <c r="I15" s="146" t="str">
        <f>LEFT('[2]Necesidades Trimestrales'!D10,1)</f>
        <v>2</v>
      </c>
      <c r="J15" s="146">
        <v>1</v>
      </c>
      <c r="K15" s="146">
        <v>1</v>
      </c>
      <c r="L15" s="145"/>
      <c r="M15" s="147">
        <v>1</v>
      </c>
      <c r="N15" s="152" t="s">
        <v>457</v>
      </c>
      <c r="O15" s="317" t="s">
        <v>60</v>
      </c>
      <c r="P15" s="318"/>
      <c r="Q15" s="148">
        <v>6551652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319"/>
      <c r="P16" s="319"/>
      <c r="Q16" s="59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311"/>
      <c r="P17" s="311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311"/>
      <c r="P18" s="311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311"/>
      <c r="P19" s="311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311"/>
      <c r="P20" s="311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312"/>
      <c r="P21" s="312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313"/>
      <c r="P22" s="313"/>
      <c r="Q22" s="30"/>
    </row>
    <row r="23" spans="1:18" ht="33.75" customHeight="1" x14ac:dyDescent="0.2">
      <c r="A23" s="314" t="s">
        <v>456</v>
      </c>
      <c r="B23" s="315"/>
      <c r="C23" s="315"/>
      <c r="D23" s="315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149">
        <f>SUM(Q15:Q22)</f>
        <v>6551652</v>
      </c>
    </row>
    <row r="24" spans="1:18" ht="18" customHeight="1" thickBot="1" x14ac:dyDescent="0.25">
      <c r="A24" s="316"/>
      <c r="B24" s="316"/>
      <c r="C24" s="316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6"/>
      <c r="P24" s="316"/>
      <c r="Q24" s="316"/>
    </row>
    <row r="25" spans="1:18" ht="17.25" customHeight="1" thickBot="1" x14ac:dyDescent="0.25">
      <c r="A25" s="306" t="s">
        <v>55</v>
      </c>
      <c r="B25" s="307"/>
      <c r="C25" s="307"/>
      <c r="D25" s="307"/>
      <c r="E25" s="307"/>
      <c r="F25" s="308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</row>
    <row r="26" spans="1:18" ht="18" customHeight="1" thickBot="1" x14ac:dyDescent="0.25">
      <c r="A26" s="310" t="s">
        <v>459</v>
      </c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</row>
    <row r="27" spans="1:18" ht="15" customHeight="1" x14ac:dyDescent="0.2">
      <c r="A27" s="310"/>
      <c r="B27" s="310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90" firstPageNumber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31" customWidth="1"/>
    <col min="2" max="2" width="19.28515625" style="31" customWidth="1"/>
    <col min="3" max="3" width="29.28515625" style="31" customWidth="1"/>
    <col min="4" max="4" width="8.85546875" style="31" customWidth="1"/>
    <col min="5" max="5" width="110.140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1" spans="1:9" ht="27" x14ac:dyDescent="0.35">
      <c r="B1" s="249" t="s">
        <v>0</v>
      </c>
      <c r="C1" s="249"/>
      <c r="D1" s="249"/>
      <c r="E1" s="249"/>
      <c r="F1" s="249"/>
      <c r="G1" s="249"/>
      <c r="H1" s="249"/>
    </row>
    <row r="2" spans="1:9" ht="8.25" customHeight="1" x14ac:dyDescent="0.2"/>
    <row r="3" spans="1:9" ht="18" customHeight="1" x14ac:dyDescent="0.25">
      <c r="A3" s="250" t="s">
        <v>1</v>
      </c>
      <c r="B3" s="250"/>
      <c r="C3" s="251" t="s">
        <v>65</v>
      </c>
      <c r="D3" s="251"/>
      <c r="E3" s="251"/>
      <c r="F3" s="32"/>
      <c r="G3" s="33"/>
      <c r="H3" s="32"/>
    </row>
    <row r="4" spans="1:9" ht="18" customHeight="1" x14ac:dyDescent="0.25">
      <c r="A4" s="250" t="s">
        <v>2</v>
      </c>
      <c r="B4" s="250"/>
      <c r="C4" s="251" t="s">
        <v>61</v>
      </c>
      <c r="D4" s="251"/>
      <c r="E4" s="251"/>
      <c r="F4" s="32"/>
      <c r="G4" s="33"/>
      <c r="H4" s="32"/>
    </row>
    <row r="5" spans="1:9" ht="16.5" customHeight="1" x14ac:dyDescent="0.25">
      <c r="A5" s="250" t="s">
        <v>3</v>
      </c>
      <c r="B5" s="250"/>
      <c r="C5" s="50">
        <v>2020</v>
      </c>
      <c r="D5" s="51"/>
      <c r="E5" s="51"/>
      <c r="F5" s="32"/>
      <c r="G5" s="33"/>
      <c r="H5" s="32"/>
    </row>
    <row r="6" spans="1:9" ht="16.5" customHeight="1" x14ac:dyDescent="0.25">
      <c r="A6" s="250" t="s">
        <v>4</v>
      </c>
      <c r="B6" s="250"/>
      <c r="C6" s="50">
        <v>4</v>
      </c>
      <c r="D6" s="51"/>
      <c r="E6" s="51"/>
      <c r="F6" s="32"/>
      <c r="G6" s="33"/>
      <c r="H6" s="32"/>
    </row>
    <row r="7" spans="1:9" ht="9" customHeight="1" thickBot="1" x14ac:dyDescent="0.25">
      <c r="B7" s="32"/>
      <c r="C7" s="33"/>
      <c r="D7" s="32"/>
      <c r="E7" s="32"/>
      <c r="F7" s="32"/>
      <c r="G7" s="33"/>
      <c r="H7" s="32"/>
    </row>
    <row r="8" spans="1:9" ht="39" thickBot="1" x14ac:dyDescent="0.25">
      <c r="A8" s="53" t="s">
        <v>5</v>
      </c>
      <c r="B8" s="63" t="s">
        <v>6</v>
      </c>
      <c r="C8" s="53" t="s">
        <v>7</v>
      </c>
      <c r="D8" s="53" t="s">
        <v>8</v>
      </c>
      <c r="E8" s="63" t="s">
        <v>9</v>
      </c>
      <c r="F8" s="54" t="s">
        <v>10</v>
      </c>
      <c r="G8" s="55" t="s">
        <v>11</v>
      </c>
      <c r="H8" s="55" t="s">
        <v>12</v>
      </c>
      <c r="I8" s="56" t="s">
        <v>13</v>
      </c>
    </row>
    <row r="9" spans="1:9" x14ac:dyDescent="0.2">
      <c r="A9" s="34">
        <v>1</v>
      </c>
      <c r="B9" s="60" t="s">
        <v>121</v>
      </c>
      <c r="C9" s="74" t="s">
        <v>109</v>
      </c>
      <c r="D9" s="77" t="s">
        <v>110</v>
      </c>
      <c r="E9" s="60" t="s">
        <v>124</v>
      </c>
      <c r="F9" s="70" t="s">
        <v>117</v>
      </c>
      <c r="G9" s="71">
        <v>240</v>
      </c>
      <c r="H9" s="135"/>
      <c r="I9" s="138">
        <f>G9*H9</f>
        <v>0</v>
      </c>
    </row>
    <row r="10" spans="1:9" x14ac:dyDescent="0.2">
      <c r="A10" s="35">
        <v>2</v>
      </c>
      <c r="B10" s="52" t="s">
        <v>122</v>
      </c>
      <c r="C10" s="75" t="s">
        <v>109</v>
      </c>
      <c r="D10" s="78" t="s">
        <v>110</v>
      </c>
      <c r="E10" s="52" t="s">
        <v>125</v>
      </c>
      <c r="F10" s="61" t="s">
        <v>117</v>
      </c>
      <c r="G10" s="62">
        <v>240</v>
      </c>
      <c r="H10" s="136"/>
      <c r="I10" s="139">
        <f>G10*H10</f>
        <v>0</v>
      </c>
    </row>
    <row r="11" spans="1:9" ht="13.5" thickBot="1" x14ac:dyDescent="0.25">
      <c r="A11" s="36">
        <v>3</v>
      </c>
      <c r="B11" s="57" t="s">
        <v>123</v>
      </c>
      <c r="C11" s="76" t="s">
        <v>109</v>
      </c>
      <c r="D11" s="79" t="s">
        <v>110</v>
      </c>
      <c r="E11" s="57" t="s">
        <v>126</v>
      </c>
      <c r="F11" s="72" t="s">
        <v>117</v>
      </c>
      <c r="G11" s="73">
        <v>240</v>
      </c>
      <c r="H11" s="137"/>
      <c r="I11" s="140">
        <f>G11*H11</f>
        <v>0</v>
      </c>
    </row>
    <row r="14" spans="1:9" x14ac:dyDescent="0.2">
      <c r="B14" s="37" t="s">
        <v>15</v>
      </c>
      <c r="C14" s="38"/>
      <c r="D14" s="38"/>
      <c r="E14" s="39"/>
    </row>
    <row r="15" spans="1:9" ht="5.25" customHeight="1" x14ac:dyDescent="0.2">
      <c r="B15" s="40"/>
      <c r="C15" s="41"/>
      <c r="D15" s="41"/>
      <c r="E15" s="42"/>
    </row>
    <row r="16" spans="1:9" x14ac:dyDescent="0.2">
      <c r="B16" s="43" t="s">
        <v>16</v>
      </c>
      <c r="C16" s="41"/>
      <c r="D16" s="41"/>
      <c r="E16" s="42"/>
    </row>
    <row r="17" spans="2:5" x14ac:dyDescent="0.2">
      <c r="B17" s="43"/>
      <c r="C17" s="258" t="s">
        <v>127</v>
      </c>
      <c r="D17" s="258"/>
      <c r="E17" s="259"/>
    </row>
    <row r="18" spans="2:5" ht="13.5" thickBot="1" x14ac:dyDescent="0.25">
      <c r="B18" s="43" t="s">
        <v>17</v>
      </c>
      <c r="C18" s="41"/>
      <c r="D18" s="41"/>
      <c r="E18" s="42"/>
    </row>
    <row r="19" spans="2:5" ht="13.5" thickBot="1" x14ac:dyDescent="0.25">
      <c r="B19" s="252" t="s">
        <v>136</v>
      </c>
      <c r="C19" s="256"/>
      <c r="D19" s="256"/>
      <c r="E19" s="253"/>
    </row>
    <row r="20" spans="2:5" ht="13.5" thickBot="1" x14ac:dyDescent="0.25">
      <c r="B20" s="252" t="s">
        <v>137</v>
      </c>
      <c r="C20" s="253"/>
      <c r="D20" s="80" t="s">
        <v>11</v>
      </c>
      <c r="E20" s="80" t="s">
        <v>138</v>
      </c>
    </row>
    <row r="21" spans="2:5" x14ac:dyDescent="0.2">
      <c r="B21" s="336" t="s">
        <v>290</v>
      </c>
      <c r="C21" s="336"/>
      <c r="D21" s="132">
        <v>1</v>
      </c>
      <c r="E21" s="133" t="s">
        <v>289</v>
      </c>
    </row>
    <row r="22" spans="2:5" x14ac:dyDescent="0.2">
      <c r="B22" s="335" t="s">
        <v>291</v>
      </c>
      <c r="C22" s="335"/>
      <c r="D22" s="128">
        <v>1</v>
      </c>
      <c r="E22" s="129" t="s">
        <v>245</v>
      </c>
    </row>
    <row r="23" spans="2:5" x14ac:dyDescent="0.2">
      <c r="B23" s="335" t="s">
        <v>293</v>
      </c>
      <c r="C23" s="335"/>
      <c r="D23" s="128">
        <v>1</v>
      </c>
      <c r="E23" s="129" t="s">
        <v>246</v>
      </c>
    </row>
    <row r="24" spans="2:5" x14ac:dyDescent="0.2">
      <c r="B24" s="335" t="s">
        <v>292</v>
      </c>
      <c r="C24" s="335"/>
      <c r="D24" s="128">
        <v>1</v>
      </c>
      <c r="E24" s="129" t="s">
        <v>247</v>
      </c>
    </row>
    <row r="25" spans="2:5" x14ac:dyDescent="0.2">
      <c r="B25" s="335" t="s">
        <v>287</v>
      </c>
      <c r="C25" s="335"/>
      <c r="D25" s="128">
        <v>1</v>
      </c>
      <c r="E25" s="129" t="s">
        <v>288</v>
      </c>
    </row>
    <row r="26" spans="2:5" x14ac:dyDescent="0.2">
      <c r="B26" s="335" t="s">
        <v>248</v>
      </c>
      <c r="C26" s="335"/>
      <c r="D26" s="128">
        <v>1</v>
      </c>
      <c r="E26" s="129" t="s">
        <v>249</v>
      </c>
    </row>
    <row r="27" spans="2:5" x14ac:dyDescent="0.2">
      <c r="B27" s="335" t="s">
        <v>250</v>
      </c>
      <c r="C27" s="335"/>
      <c r="D27" s="128">
        <v>1</v>
      </c>
      <c r="E27" s="129" t="s">
        <v>251</v>
      </c>
    </row>
    <row r="28" spans="2:5" x14ac:dyDescent="0.2">
      <c r="B28" s="335" t="s">
        <v>252</v>
      </c>
      <c r="C28" s="335"/>
      <c r="D28" s="128">
        <v>1</v>
      </c>
      <c r="E28" s="129" t="s">
        <v>253</v>
      </c>
    </row>
    <row r="29" spans="2:5" x14ac:dyDescent="0.2">
      <c r="B29" s="335" t="s">
        <v>254</v>
      </c>
      <c r="C29" s="335"/>
      <c r="D29" s="128">
        <v>1</v>
      </c>
      <c r="E29" s="129" t="s">
        <v>255</v>
      </c>
    </row>
    <row r="30" spans="2:5" x14ac:dyDescent="0.2">
      <c r="B30" s="335" t="s">
        <v>294</v>
      </c>
      <c r="C30" s="335"/>
      <c r="D30" s="128">
        <v>1</v>
      </c>
      <c r="E30" s="129" t="s">
        <v>256</v>
      </c>
    </row>
    <row r="31" spans="2:5" x14ac:dyDescent="0.2">
      <c r="B31" s="335" t="s">
        <v>257</v>
      </c>
      <c r="C31" s="335"/>
      <c r="D31" s="128">
        <v>1</v>
      </c>
      <c r="E31" s="129" t="s">
        <v>258</v>
      </c>
    </row>
    <row r="32" spans="2:5" x14ac:dyDescent="0.2">
      <c r="B32" s="335" t="s">
        <v>259</v>
      </c>
      <c r="C32" s="335"/>
      <c r="D32" s="128">
        <v>1</v>
      </c>
      <c r="E32" s="129" t="s">
        <v>260</v>
      </c>
    </row>
    <row r="33" spans="2:5" x14ac:dyDescent="0.2">
      <c r="B33" s="335" t="s">
        <v>295</v>
      </c>
      <c r="C33" s="335"/>
      <c r="D33" s="128">
        <v>1</v>
      </c>
      <c r="E33" s="129" t="s">
        <v>261</v>
      </c>
    </row>
    <row r="34" spans="2:5" x14ac:dyDescent="0.2">
      <c r="B34" s="335" t="s">
        <v>262</v>
      </c>
      <c r="C34" s="335"/>
      <c r="D34" s="128">
        <v>1</v>
      </c>
      <c r="E34" s="129" t="s">
        <v>263</v>
      </c>
    </row>
    <row r="35" spans="2:5" x14ac:dyDescent="0.2">
      <c r="B35" s="335" t="s">
        <v>264</v>
      </c>
      <c r="C35" s="335"/>
      <c r="D35" s="128">
        <v>1</v>
      </c>
      <c r="E35" s="129" t="s">
        <v>265</v>
      </c>
    </row>
    <row r="36" spans="2:5" x14ac:dyDescent="0.2">
      <c r="B36" s="335" t="s">
        <v>266</v>
      </c>
      <c r="C36" s="335"/>
      <c r="D36" s="128">
        <v>1</v>
      </c>
      <c r="E36" s="129" t="s">
        <v>267</v>
      </c>
    </row>
    <row r="37" spans="2:5" x14ac:dyDescent="0.2">
      <c r="B37" s="335" t="s">
        <v>268</v>
      </c>
      <c r="C37" s="335"/>
      <c r="D37" s="128">
        <v>1</v>
      </c>
      <c r="E37" s="129" t="s">
        <v>269</v>
      </c>
    </row>
    <row r="38" spans="2:5" x14ac:dyDescent="0.2">
      <c r="B38" s="335" t="s">
        <v>270</v>
      </c>
      <c r="C38" s="335"/>
      <c r="D38" s="128">
        <v>1</v>
      </c>
      <c r="E38" s="129" t="s">
        <v>271</v>
      </c>
    </row>
    <row r="39" spans="2:5" x14ac:dyDescent="0.2">
      <c r="B39" s="335" t="s">
        <v>272</v>
      </c>
      <c r="C39" s="335"/>
      <c r="D39" s="128">
        <v>1</v>
      </c>
      <c r="E39" s="129" t="s">
        <v>273</v>
      </c>
    </row>
    <row r="40" spans="2:5" ht="13.5" thickBot="1" x14ac:dyDescent="0.25">
      <c r="B40" s="337" t="s">
        <v>296</v>
      </c>
      <c r="C40" s="337"/>
      <c r="D40" s="130">
        <v>1</v>
      </c>
      <c r="E40" s="131" t="s">
        <v>297</v>
      </c>
    </row>
    <row r="41" spans="2:5" ht="24.75" customHeight="1" thickBot="1" x14ac:dyDescent="0.25">
      <c r="B41" s="338" t="s">
        <v>284</v>
      </c>
      <c r="C41" s="339"/>
      <c r="D41" s="339"/>
      <c r="E41" s="340"/>
    </row>
    <row r="42" spans="2:5" x14ac:dyDescent="0.2">
      <c r="B42" s="43" t="s">
        <v>18</v>
      </c>
      <c r="C42" s="41"/>
      <c r="D42" s="41"/>
      <c r="E42" s="42"/>
    </row>
    <row r="43" spans="2:5" x14ac:dyDescent="0.2">
      <c r="B43" s="44"/>
      <c r="C43" s="260" t="s">
        <v>62</v>
      </c>
      <c r="D43" s="260"/>
      <c r="E43" s="260"/>
    </row>
    <row r="44" spans="2:5" x14ac:dyDescent="0.2">
      <c r="B44" s="43" t="s">
        <v>19</v>
      </c>
      <c r="C44" s="45"/>
      <c r="D44" s="45"/>
      <c r="E44" s="46"/>
    </row>
    <row r="45" spans="2:5" x14ac:dyDescent="0.2">
      <c r="B45" s="44"/>
      <c r="C45" s="260" t="s">
        <v>139</v>
      </c>
      <c r="D45" s="260"/>
      <c r="E45" s="260"/>
    </row>
    <row r="46" spans="2:5" x14ac:dyDescent="0.2">
      <c r="B46" s="43" t="s">
        <v>20</v>
      </c>
      <c r="C46" s="41"/>
      <c r="D46" s="41"/>
      <c r="E46" s="42"/>
    </row>
    <row r="47" spans="2:5" x14ac:dyDescent="0.2">
      <c r="B47" s="43"/>
      <c r="C47" s="246" t="s">
        <v>63</v>
      </c>
      <c r="D47" s="246"/>
      <c r="E47" s="246"/>
    </row>
    <row r="48" spans="2:5" ht="13.5" thickBot="1" x14ac:dyDescent="0.25">
      <c r="B48" s="47"/>
      <c r="C48" s="48"/>
      <c r="D48" s="48"/>
      <c r="E48" s="49"/>
    </row>
    <row r="50" spans="2:5" x14ac:dyDescent="0.2">
      <c r="B50" s="37" t="s">
        <v>21</v>
      </c>
      <c r="C50" s="38"/>
      <c r="D50" s="38"/>
      <c r="E50" s="39"/>
    </row>
    <row r="51" spans="2:5" x14ac:dyDescent="0.2">
      <c r="B51" s="40"/>
      <c r="C51" s="41"/>
      <c r="D51" s="41"/>
      <c r="E51" s="42"/>
    </row>
    <row r="52" spans="2:5" x14ac:dyDescent="0.2">
      <c r="B52" s="43" t="s">
        <v>16</v>
      </c>
      <c r="C52" s="41"/>
      <c r="D52" s="41"/>
      <c r="E52" s="42"/>
    </row>
    <row r="53" spans="2:5" x14ac:dyDescent="0.2">
      <c r="B53" s="43"/>
      <c r="C53" s="258" t="s">
        <v>127</v>
      </c>
      <c r="D53" s="258"/>
      <c r="E53" s="259"/>
    </row>
    <row r="54" spans="2:5" ht="13.5" thickBot="1" x14ac:dyDescent="0.25">
      <c r="B54" s="43" t="s">
        <v>17</v>
      </c>
      <c r="C54" s="41"/>
      <c r="D54" s="41"/>
      <c r="E54" s="42"/>
    </row>
    <row r="55" spans="2:5" ht="13.5" thickBot="1" x14ac:dyDescent="0.25">
      <c r="B55" s="252" t="s">
        <v>136</v>
      </c>
      <c r="C55" s="256"/>
      <c r="D55" s="256"/>
      <c r="E55" s="253"/>
    </row>
    <row r="56" spans="2:5" ht="13.5" thickBot="1" x14ac:dyDescent="0.25">
      <c r="B56" s="252" t="s">
        <v>137</v>
      </c>
      <c r="C56" s="253"/>
      <c r="D56" s="80" t="s">
        <v>11</v>
      </c>
      <c r="E56" s="80" t="s">
        <v>138</v>
      </c>
    </row>
    <row r="57" spans="2:5" x14ac:dyDescent="0.2">
      <c r="B57" s="336" t="s">
        <v>290</v>
      </c>
      <c r="C57" s="336"/>
      <c r="D57" s="132">
        <v>1</v>
      </c>
      <c r="E57" s="133" t="s">
        <v>289</v>
      </c>
    </row>
    <row r="58" spans="2:5" x14ac:dyDescent="0.2">
      <c r="B58" s="335" t="s">
        <v>291</v>
      </c>
      <c r="C58" s="335"/>
      <c r="D58" s="128">
        <v>1</v>
      </c>
      <c r="E58" s="129" t="s">
        <v>245</v>
      </c>
    </row>
    <row r="59" spans="2:5" x14ac:dyDescent="0.2">
      <c r="B59" s="335" t="s">
        <v>293</v>
      </c>
      <c r="C59" s="335"/>
      <c r="D59" s="128">
        <v>1</v>
      </c>
      <c r="E59" s="129" t="s">
        <v>246</v>
      </c>
    </row>
    <row r="60" spans="2:5" x14ac:dyDescent="0.2">
      <c r="B60" s="335" t="s">
        <v>292</v>
      </c>
      <c r="C60" s="335"/>
      <c r="D60" s="128">
        <v>1</v>
      </c>
      <c r="E60" s="129" t="s">
        <v>247</v>
      </c>
    </row>
    <row r="61" spans="2:5" x14ac:dyDescent="0.2">
      <c r="B61" s="335" t="s">
        <v>287</v>
      </c>
      <c r="C61" s="335"/>
      <c r="D61" s="128">
        <v>1</v>
      </c>
      <c r="E61" s="129" t="s">
        <v>288</v>
      </c>
    </row>
    <row r="62" spans="2:5" x14ac:dyDescent="0.2">
      <c r="B62" s="335" t="s">
        <v>248</v>
      </c>
      <c r="C62" s="335"/>
      <c r="D62" s="128">
        <v>1</v>
      </c>
      <c r="E62" s="129" t="s">
        <v>249</v>
      </c>
    </row>
    <row r="63" spans="2:5" x14ac:dyDescent="0.2">
      <c r="B63" s="335" t="s">
        <v>250</v>
      </c>
      <c r="C63" s="335"/>
      <c r="D63" s="128">
        <v>1</v>
      </c>
      <c r="E63" s="129" t="s">
        <v>251</v>
      </c>
    </row>
    <row r="64" spans="2:5" x14ac:dyDescent="0.2">
      <c r="B64" s="335" t="s">
        <v>252</v>
      </c>
      <c r="C64" s="335"/>
      <c r="D64" s="128">
        <v>1</v>
      </c>
      <c r="E64" s="129" t="s">
        <v>253</v>
      </c>
    </row>
    <row r="65" spans="2:5" x14ac:dyDescent="0.2">
      <c r="B65" s="335" t="s">
        <v>254</v>
      </c>
      <c r="C65" s="335"/>
      <c r="D65" s="128">
        <v>1</v>
      </c>
      <c r="E65" s="129" t="s">
        <v>255</v>
      </c>
    </row>
    <row r="66" spans="2:5" x14ac:dyDescent="0.2">
      <c r="B66" s="335" t="s">
        <v>294</v>
      </c>
      <c r="C66" s="335"/>
      <c r="D66" s="128">
        <v>1</v>
      </c>
      <c r="E66" s="129" t="s">
        <v>256</v>
      </c>
    </row>
    <row r="67" spans="2:5" x14ac:dyDescent="0.2">
      <c r="B67" s="335" t="s">
        <v>257</v>
      </c>
      <c r="C67" s="335"/>
      <c r="D67" s="128">
        <v>1</v>
      </c>
      <c r="E67" s="129" t="s">
        <v>258</v>
      </c>
    </row>
    <row r="68" spans="2:5" x14ac:dyDescent="0.2">
      <c r="B68" s="335" t="s">
        <v>259</v>
      </c>
      <c r="C68" s="335"/>
      <c r="D68" s="128">
        <v>1</v>
      </c>
      <c r="E68" s="129" t="s">
        <v>260</v>
      </c>
    </row>
    <row r="69" spans="2:5" x14ac:dyDescent="0.2">
      <c r="B69" s="335" t="s">
        <v>295</v>
      </c>
      <c r="C69" s="335"/>
      <c r="D69" s="128">
        <v>1</v>
      </c>
      <c r="E69" s="129" t="s">
        <v>261</v>
      </c>
    </row>
    <row r="70" spans="2:5" x14ac:dyDescent="0.2">
      <c r="B70" s="335" t="s">
        <v>262</v>
      </c>
      <c r="C70" s="335"/>
      <c r="D70" s="128">
        <v>1</v>
      </c>
      <c r="E70" s="129" t="s">
        <v>263</v>
      </c>
    </row>
    <row r="71" spans="2:5" x14ac:dyDescent="0.2">
      <c r="B71" s="335" t="s">
        <v>264</v>
      </c>
      <c r="C71" s="335"/>
      <c r="D71" s="128">
        <v>1</v>
      </c>
      <c r="E71" s="129" t="s">
        <v>265</v>
      </c>
    </row>
    <row r="72" spans="2:5" x14ac:dyDescent="0.2">
      <c r="B72" s="335" t="s">
        <v>266</v>
      </c>
      <c r="C72" s="335"/>
      <c r="D72" s="128">
        <v>1</v>
      </c>
      <c r="E72" s="129" t="s">
        <v>267</v>
      </c>
    </row>
    <row r="73" spans="2:5" x14ac:dyDescent="0.2">
      <c r="B73" s="335" t="s">
        <v>268</v>
      </c>
      <c r="C73" s="335"/>
      <c r="D73" s="128">
        <v>1</v>
      </c>
      <c r="E73" s="129" t="s">
        <v>269</v>
      </c>
    </row>
    <row r="74" spans="2:5" x14ac:dyDescent="0.2">
      <c r="B74" s="335" t="s">
        <v>270</v>
      </c>
      <c r="C74" s="335"/>
      <c r="D74" s="128">
        <v>1</v>
      </c>
      <c r="E74" s="129" t="s">
        <v>271</v>
      </c>
    </row>
    <row r="75" spans="2:5" x14ac:dyDescent="0.2">
      <c r="B75" s="335" t="s">
        <v>272</v>
      </c>
      <c r="C75" s="335"/>
      <c r="D75" s="128">
        <v>1</v>
      </c>
      <c r="E75" s="129" t="s">
        <v>273</v>
      </c>
    </row>
    <row r="76" spans="2:5" ht="13.5" thickBot="1" x14ac:dyDescent="0.25">
      <c r="B76" s="335" t="s">
        <v>296</v>
      </c>
      <c r="C76" s="335"/>
      <c r="D76" s="128">
        <v>1</v>
      </c>
      <c r="E76" s="129" t="s">
        <v>297</v>
      </c>
    </row>
    <row r="77" spans="2:5" ht="24.75" customHeight="1" thickBot="1" x14ac:dyDescent="0.25">
      <c r="B77" s="338" t="s">
        <v>284</v>
      </c>
      <c r="C77" s="339"/>
      <c r="D77" s="339"/>
      <c r="E77" s="340"/>
    </row>
    <row r="78" spans="2:5" x14ac:dyDescent="0.2">
      <c r="B78" s="43" t="s">
        <v>18</v>
      </c>
      <c r="C78" s="41"/>
      <c r="D78" s="41"/>
      <c r="E78" s="42"/>
    </row>
    <row r="79" spans="2:5" x14ac:dyDescent="0.2">
      <c r="B79" s="44"/>
      <c r="C79" s="260" t="s">
        <v>62</v>
      </c>
      <c r="D79" s="260"/>
      <c r="E79" s="260"/>
    </row>
    <row r="80" spans="2:5" x14ac:dyDescent="0.2">
      <c r="B80" s="43" t="s">
        <v>19</v>
      </c>
      <c r="C80" s="45"/>
      <c r="D80" s="45"/>
      <c r="E80" s="46"/>
    </row>
    <row r="81" spans="2:5" x14ac:dyDescent="0.2">
      <c r="B81" s="44"/>
      <c r="C81" s="260" t="s">
        <v>139</v>
      </c>
      <c r="D81" s="260"/>
      <c r="E81" s="260"/>
    </row>
    <row r="82" spans="2:5" x14ac:dyDescent="0.2">
      <c r="B82" s="43" t="s">
        <v>20</v>
      </c>
      <c r="C82" s="41"/>
      <c r="D82" s="41"/>
      <c r="E82" s="42"/>
    </row>
    <row r="83" spans="2:5" x14ac:dyDescent="0.2">
      <c r="B83" s="43"/>
      <c r="C83" s="246" t="s">
        <v>63</v>
      </c>
      <c r="D83" s="246"/>
      <c r="E83" s="246"/>
    </row>
    <row r="84" spans="2:5" ht="13.5" thickBot="1" x14ac:dyDescent="0.25">
      <c r="B84" s="47"/>
      <c r="C84" s="48"/>
      <c r="D84" s="48"/>
      <c r="E84" s="49"/>
    </row>
    <row r="85" spans="2:5" ht="13.5" thickBot="1" x14ac:dyDescent="0.25"/>
    <row r="86" spans="2:5" x14ac:dyDescent="0.2">
      <c r="B86" s="37" t="s">
        <v>64</v>
      </c>
      <c r="C86" s="38"/>
      <c r="D86" s="38"/>
      <c r="E86" s="39"/>
    </row>
    <row r="87" spans="2:5" x14ac:dyDescent="0.2">
      <c r="B87" s="40"/>
      <c r="C87" s="41"/>
      <c r="D87" s="41"/>
      <c r="E87" s="42"/>
    </row>
    <row r="88" spans="2:5" x14ac:dyDescent="0.2">
      <c r="B88" s="43" t="s">
        <v>16</v>
      </c>
      <c r="C88" s="41"/>
      <c r="D88" s="41"/>
      <c r="E88" s="42"/>
    </row>
    <row r="89" spans="2:5" x14ac:dyDescent="0.2">
      <c r="B89" s="43"/>
      <c r="C89" s="258" t="s">
        <v>127</v>
      </c>
      <c r="D89" s="258"/>
      <c r="E89" s="259"/>
    </row>
    <row r="90" spans="2:5" ht="13.5" thickBot="1" x14ac:dyDescent="0.25">
      <c r="B90" s="43" t="s">
        <v>17</v>
      </c>
      <c r="C90" s="41"/>
      <c r="D90" s="41"/>
      <c r="E90" s="42"/>
    </row>
    <row r="91" spans="2:5" ht="13.5" thickBot="1" x14ac:dyDescent="0.25">
      <c r="B91" s="252" t="s">
        <v>136</v>
      </c>
      <c r="C91" s="256"/>
      <c r="D91" s="256"/>
      <c r="E91" s="253"/>
    </row>
    <row r="92" spans="2:5" ht="13.5" thickBot="1" x14ac:dyDescent="0.25">
      <c r="B92" s="252" t="s">
        <v>137</v>
      </c>
      <c r="C92" s="253"/>
      <c r="D92" s="80" t="s">
        <v>11</v>
      </c>
      <c r="E92" s="80" t="s">
        <v>138</v>
      </c>
    </row>
    <row r="93" spans="2:5" x14ac:dyDescent="0.2">
      <c r="B93" s="336" t="s">
        <v>290</v>
      </c>
      <c r="C93" s="336"/>
      <c r="D93" s="132">
        <v>1</v>
      </c>
      <c r="E93" s="133" t="s">
        <v>289</v>
      </c>
    </row>
    <row r="94" spans="2:5" x14ac:dyDescent="0.2">
      <c r="B94" s="335" t="s">
        <v>291</v>
      </c>
      <c r="C94" s="335"/>
      <c r="D94" s="128">
        <v>1</v>
      </c>
      <c r="E94" s="129" t="s">
        <v>245</v>
      </c>
    </row>
    <row r="95" spans="2:5" x14ac:dyDescent="0.2">
      <c r="B95" s="335" t="s">
        <v>293</v>
      </c>
      <c r="C95" s="335"/>
      <c r="D95" s="128">
        <v>1</v>
      </c>
      <c r="E95" s="129" t="s">
        <v>246</v>
      </c>
    </row>
    <row r="96" spans="2:5" x14ac:dyDescent="0.2">
      <c r="B96" s="335" t="s">
        <v>292</v>
      </c>
      <c r="C96" s="335"/>
      <c r="D96" s="128">
        <v>1</v>
      </c>
      <c r="E96" s="129" t="s">
        <v>247</v>
      </c>
    </row>
    <row r="97" spans="2:5" x14ac:dyDescent="0.2">
      <c r="B97" s="335" t="s">
        <v>287</v>
      </c>
      <c r="C97" s="335"/>
      <c r="D97" s="128">
        <v>1</v>
      </c>
      <c r="E97" s="129" t="s">
        <v>288</v>
      </c>
    </row>
    <row r="98" spans="2:5" x14ac:dyDescent="0.2">
      <c r="B98" s="335" t="s">
        <v>248</v>
      </c>
      <c r="C98" s="335"/>
      <c r="D98" s="128">
        <v>1</v>
      </c>
      <c r="E98" s="129" t="s">
        <v>249</v>
      </c>
    </row>
    <row r="99" spans="2:5" x14ac:dyDescent="0.2">
      <c r="B99" s="335" t="s">
        <v>250</v>
      </c>
      <c r="C99" s="335"/>
      <c r="D99" s="128">
        <v>1</v>
      </c>
      <c r="E99" s="129" t="s">
        <v>251</v>
      </c>
    </row>
    <row r="100" spans="2:5" x14ac:dyDescent="0.2">
      <c r="B100" s="335" t="s">
        <v>252</v>
      </c>
      <c r="C100" s="335"/>
      <c r="D100" s="128">
        <v>1</v>
      </c>
      <c r="E100" s="129" t="s">
        <v>253</v>
      </c>
    </row>
    <row r="101" spans="2:5" x14ac:dyDescent="0.2">
      <c r="B101" s="335" t="s">
        <v>254</v>
      </c>
      <c r="C101" s="335"/>
      <c r="D101" s="128">
        <v>1</v>
      </c>
      <c r="E101" s="129" t="s">
        <v>255</v>
      </c>
    </row>
    <row r="102" spans="2:5" x14ac:dyDescent="0.2">
      <c r="B102" s="335" t="s">
        <v>294</v>
      </c>
      <c r="C102" s="335"/>
      <c r="D102" s="128">
        <v>1</v>
      </c>
      <c r="E102" s="129" t="s">
        <v>256</v>
      </c>
    </row>
    <row r="103" spans="2:5" x14ac:dyDescent="0.2">
      <c r="B103" s="335" t="s">
        <v>257</v>
      </c>
      <c r="C103" s="335"/>
      <c r="D103" s="128">
        <v>1</v>
      </c>
      <c r="E103" s="129" t="s">
        <v>258</v>
      </c>
    </row>
    <row r="104" spans="2:5" x14ac:dyDescent="0.2">
      <c r="B104" s="335" t="s">
        <v>259</v>
      </c>
      <c r="C104" s="335"/>
      <c r="D104" s="128">
        <v>1</v>
      </c>
      <c r="E104" s="129" t="s">
        <v>260</v>
      </c>
    </row>
    <row r="105" spans="2:5" x14ac:dyDescent="0.2">
      <c r="B105" s="335" t="s">
        <v>295</v>
      </c>
      <c r="C105" s="335"/>
      <c r="D105" s="128">
        <v>1</v>
      </c>
      <c r="E105" s="129" t="s">
        <v>261</v>
      </c>
    </row>
    <row r="106" spans="2:5" x14ac:dyDescent="0.2">
      <c r="B106" s="335" t="s">
        <v>262</v>
      </c>
      <c r="C106" s="335"/>
      <c r="D106" s="128">
        <v>1</v>
      </c>
      <c r="E106" s="129" t="s">
        <v>263</v>
      </c>
    </row>
    <row r="107" spans="2:5" x14ac:dyDescent="0.2">
      <c r="B107" s="335" t="s">
        <v>264</v>
      </c>
      <c r="C107" s="335"/>
      <c r="D107" s="128">
        <v>1</v>
      </c>
      <c r="E107" s="129" t="s">
        <v>265</v>
      </c>
    </row>
    <row r="108" spans="2:5" x14ac:dyDescent="0.2">
      <c r="B108" s="335" t="s">
        <v>266</v>
      </c>
      <c r="C108" s="335"/>
      <c r="D108" s="128">
        <v>1</v>
      </c>
      <c r="E108" s="129" t="s">
        <v>267</v>
      </c>
    </row>
    <row r="109" spans="2:5" x14ac:dyDescent="0.2">
      <c r="B109" s="335" t="s">
        <v>268</v>
      </c>
      <c r="C109" s="335"/>
      <c r="D109" s="128">
        <v>1</v>
      </c>
      <c r="E109" s="129" t="s">
        <v>269</v>
      </c>
    </row>
    <row r="110" spans="2:5" x14ac:dyDescent="0.2">
      <c r="B110" s="335" t="s">
        <v>270</v>
      </c>
      <c r="C110" s="335"/>
      <c r="D110" s="128">
        <v>1</v>
      </c>
      <c r="E110" s="129" t="s">
        <v>271</v>
      </c>
    </row>
    <row r="111" spans="2:5" x14ac:dyDescent="0.2">
      <c r="B111" s="335" t="s">
        <v>272</v>
      </c>
      <c r="C111" s="335"/>
      <c r="D111" s="128">
        <v>1</v>
      </c>
      <c r="E111" s="129" t="s">
        <v>273</v>
      </c>
    </row>
    <row r="112" spans="2:5" ht="13.5" thickBot="1" x14ac:dyDescent="0.25">
      <c r="B112" s="337" t="s">
        <v>296</v>
      </c>
      <c r="C112" s="337"/>
      <c r="D112" s="130">
        <v>1</v>
      </c>
      <c r="E112" s="131" t="s">
        <v>297</v>
      </c>
    </row>
    <row r="113" spans="2:5" ht="24.75" customHeight="1" thickBot="1" x14ac:dyDescent="0.25">
      <c r="B113" s="338" t="s">
        <v>284</v>
      </c>
      <c r="C113" s="339"/>
      <c r="D113" s="339"/>
      <c r="E113" s="340"/>
    </row>
    <row r="114" spans="2:5" x14ac:dyDescent="0.2">
      <c r="B114" s="43" t="s">
        <v>18</v>
      </c>
      <c r="C114" s="41"/>
      <c r="D114" s="41"/>
      <c r="E114" s="42"/>
    </row>
    <row r="115" spans="2:5" x14ac:dyDescent="0.2">
      <c r="B115" s="44"/>
      <c r="C115" s="260" t="s">
        <v>62</v>
      </c>
      <c r="D115" s="260"/>
      <c r="E115" s="260"/>
    </row>
    <row r="116" spans="2:5" x14ac:dyDescent="0.2">
      <c r="B116" s="43" t="s">
        <v>19</v>
      </c>
      <c r="C116" s="45"/>
      <c r="D116" s="45"/>
      <c r="E116" s="46"/>
    </row>
    <row r="117" spans="2:5" x14ac:dyDescent="0.2">
      <c r="B117" s="44"/>
      <c r="C117" s="260" t="s">
        <v>139</v>
      </c>
      <c r="D117" s="260"/>
      <c r="E117" s="260"/>
    </row>
    <row r="118" spans="2:5" x14ac:dyDescent="0.2">
      <c r="B118" s="43" t="s">
        <v>20</v>
      </c>
      <c r="C118" s="41"/>
      <c r="D118" s="41"/>
      <c r="E118" s="42"/>
    </row>
    <row r="119" spans="2:5" x14ac:dyDescent="0.2">
      <c r="B119" s="43"/>
      <c r="C119" s="246" t="s">
        <v>63</v>
      </c>
      <c r="D119" s="246"/>
      <c r="E119" s="246"/>
    </row>
    <row r="120" spans="2:5" ht="13.5" thickBot="1" x14ac:dyDescent="0.25">
      <c r="B120" s="47"/>
      <c r="C120" s="48"/>
      <c r="D120" s="48"/>
      <c r="E120" s="49"/>
    </row>
  </sheetData>
  <mergeCells count="88">
    <mergeCell ref="C119:E119"/>
    <mergeCell ref="B109:C109"/>
    <mergeCell ref="B110:C110"/>
    <mergeCell ref="B111:C111"/>
    <mergeCell ref="B112:C112"/>
    <mergeCell ref="C115:E115"/>
    <mergeCell ref="C117:E117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B102:C102"/>
    <mergeCell ref="B103:C103"/>
    <mergeCell ref="C81:E81"/>
    <mergeCell ref="C83:E83"/>
    <mergeCell ref="C89:E89"/>
    <mergeCell ref="B91:E91"/>
    <mergeCell ref="B92:C92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A5:B5"/>
    <mergeCell ref="B1:H1"/>
    <mergeCell ref="A3:B3"/>
    <mergeCell ref="C3:E3"/>
    <mergeCell ref="A4:B4"/>
    <mergeCell ref="C4:E4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gas</vt:lpstr>
      <vt:lpstr>limpieza</vt:lpstr>
      <vt:lpstr>alimento</vt:lpstr>
      <vt:lpstr>ALIM-IMP</vt:lpstr>
      <vt:lpstr> NotaPedido</vt:lpstr>
      <vt:lpstr>Autor Gastar</vt:lpstr>
      <vt:lpstr>LIM-IMP</vt:lpstr>
      <vt:lpstr>' NotaPedido'!Área_de_impresión</vt:lpstr>
      <vt:lpstr>'ALIM-IMP'!Área_de_impresión</vt:lpstr>
      <vt:lpstr>'Autor Gastar'!Área_de_impresión</vt:lpstr>
      <vt:lpstr>limpieza!Área_de_impresión</vt:lpstr>
      <vt:lpstr>' NotaPedido'!Títulos_a_imprimir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2022-02-22T15:15:00Z</cp:lastPrinted>
  <dcterms:created xsi:type="dcterms:W3CDTF">2020-07-17T23:44:49Z</dcterms:created>
  <dcterms:modified xsi:type="dcterms:W3CDTF">2022-04-22T14:13:10Z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