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20" yWindow="-120" windowWidth="29040" windowHeight="15840"/>
  </bookViews>
  <sheets>
    <sheet name="Table 1" sheetId="1" r:id="rId1"/>
  </sheets>
  <definedNames>
    <definedName name="_xlnm._FilterDatabase" localSheetId="0" hidden="1">'Table 1'!$A$3:$H$3</definedName>
  </definedNames>
  <calcPr calcId="162913"/>
</workbook>
</file>

<file path=xl/calcChain.xml><?xml version="1.0" encoding="utf-8"?>
<calcChain xmlns="http://schemas.openxmlformats.org/spreadsheetml/2006/main">
  <c r="J5" i="1" l="1"/>
  <c r="J219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4" i="1"/>
</calcChain>
</file>

<file path=xl/sharedStrings.xml><?xml version="1.0" encoding="utf-8"?>
<sst xmlns="http://schemas.openxmlformats.org/spreadsheetml/2006/main" count="873" uniqueCount="330">
  <si>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SAF7 Adquisición Repuestos y Accesorios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</si>
  <si>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90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7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POLICIA DE CATAMARCA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DIVISION TRANSPORTE (D4)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BIENES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</si>
  <si>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</si>
  <si>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</si>
  <si>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</si>
  <si>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</si>
  <si>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</si>
  <si>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</si>
  <si>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No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</si>
  <si>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32.528.477,00</t>
    </r>
  </si>
  <si>
    <t>REP. Y ACC. P/AUTOMOTOR; MARCA AUTOMOVIL: TOYOTA, MODELO AUTOMOVIL: ETIOS, ELEMENTO: KIT DE FILTROS</t>
  </si>
  <si>
    <t>REP. Y ACC. P/CAMIONETAS; MARCA AUTOMOTOR: TOYOTA, MODELO AUTOMOTOR: HILUX, ELEMENTO: KIT DE FILTROS</t>
  </si>
  <si>
    <t>REP. Y ACC. P/CAMIONETAS; MARCA AUTOMOTOR: TOYOTA, MODELO AUTOMOTOR: HILUX, ELEMENTO: AMORTIGUADOR DELANTERO</t>
  </si>
  <si>
    <t>REP. Y ACC. P/CAMIONETAS; MARCA AUTOMOTOR: TOYOTA, MODELO AUTOMOTOR: HILUX, ELEMENTO: AMORTIGUADOR TRASERO</t>
  </si>
  <si>
    <t>REP. Y ACC. P/CAMIONETAS; MARCA AUTOMOTOR: TOYOTA, MODELO AUTOMOTOR: HILUX, ELEMENTO: JGO DE PASTILLAS DE FRENO</t>
  </si>
  <si>
    <t>REP. Y ACC. P/CAMIONETAS; MARCA AUTOMOTOR: TOYOTA, MODELO AUTOMOTOR: HILUX, ELEMENTO: INYECTOR</t>
  </si>
  <si>
    <t>REP. Y ACC. P/CAMIONETAS; MARCA AUTOMOTOR: TOYOTA, MODELO AUTOMOTOR: HILUX, ELEMENTO: RADIADOR</t>
  </si>
  <si>
    <t>REP. Y ACC. P/CAMIONETAS; MARCA AUTOMOTOR: TOYOTA, MODELO AUTOMOTOR: HILUX, ELEMENTO: KIT DE EMBRAGUE</t>
  </si>
  <si>
    <t>REP. Y ACC. P/CAMIONETAS; MARCA AUTOMOTOR: TOYOTA, MODELO AUTOMOTOR: HILUX, ELEMENTO: KIT DE DISTRIBUCION</t>
  </si>
  <si>
    <t>REP. Y ACC. P/CAMIONETAS; MARCA AUTOMOTOR: TOYOTA, MODELO AUTOMOTOR: HILUX, ELEMENTO: BOMBA DE AGUA</t>
  </si>
  <si>
    <t>REP. Y ACC. P/CAMIONETAS; MARCA AUTOMOTOR: TOYOTA, MODELO AUTOMOTOR: HILUX, ELEMENTO: PARRILLA SUPERIOR</t>
  </si>
  <si>
    <t>REP. Y ACC. P/CAMIONETAS; MARCA AUTOMOTOR: TOYOTA, MODELO AUTOMOTOR: HILUX, ELEMENTO: PARRILLA INFERIOR</t>
  </si>
  <si>
    <t>REP. Y ACC. P/AUTOMOVILES; MARCA AUTOMOVIL: TOYOTA, MODELO AUTOMOVIL: ETIOS, ELEMENTO: PARRILLA SUSPENSION</t>
  </si>
  <si>
    <t>REP. Y ACC. P/CAMIONETAS; MARCA AUTOMOTOR: TOYOTA, MODELO AUTOMOTOR: HILUX, ELEMENTO: BIELETAS DE BARRA</t>
  </si>
  <si>
    <t>REP. Y ACC. P/CAMIONETAS; MARCA AUTOMOTOR: TOYOTA, MODELO AUTOMOTOR: HILUX, ELEMENTO: EXTREMO DE DIRECCION</t>
  </si>
  <si>
    <t>REP. Y ACC. P/CAMIONETAS; MARCA AUTOMOTOR: TOYOTA, MODELO AUTOMOTOR: HILUX, ELEMENTO: PRECAP</t>
  </si>
  <si>
    <t>REP. Y ACC. P/CAMIONETAS; MARCA AUTOMOTOR: TOYOTA, MODELO AUTOMOTOR: HILUX, ELEMENTO: BUJE BARRA ESTABILIZADORA</t>
  </si>
  <si>
    <t>REP. Y ACC. P/MOTOS; REPUESTO: JUEGOS DE DISCOS DE EMBRAGUE, USO: SEGUN PLIEGO, MODELO MOTO: SEGUN PLIEGO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</si>
  <si>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</si>
  <si>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</si>
  <si>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</si>
  <si>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</si>
  <si>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</si>
  <si>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</si>
  <si>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4978.9996</t>
    </r>
  </si>
  <si>
    <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</si>
  <si>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</si>
  <si>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</si>
  <si>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9688.94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</si>
  <si>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</si>
  <si>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</si>
  <si>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</si>
  <si>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</si>
  <si>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</si>
  <si>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</si>
  <si>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</si>
  <si>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</si>
  <si>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</si>
  <si>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9688.606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</si>
  <si>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</si>
  <si>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9688.194</t>
    </r>
  </si>
  <si>
    <t>2.9.6-9688.626</t>
  </si>
  <si>
    <t>2.9.6-9688.606</t>
  </si>
  <si>
    <r>
      <t>2.9.6-</t>
    </r>
    <r>
      <rPr>
        <sz val="12"/>
        <rFont val="Times New Roman"/>
        <family val="1"/>
      </rPr>
      <t>9688.145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</si>
  <si>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</si>
  <si>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</si>
  <si>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</si>
  <si>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</si>
  <si>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</si>
  <si>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</si>
  <si>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</si>
  <si>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</si>
  <si>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</si>
  <si>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</si>
  <si>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</si>
  <si>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</si>
  <si>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</si>
  <si>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</si>
  <si>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</si>
  <si>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</si>
  <si>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</si>
  <si>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4978.8452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</si>
  <si>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</si>
  <si>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</si>
  <si>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</si>
  <si>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</si>
  <si>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9688.552</t>
    </r>
  </si>
  <si>
    <t>2.9.6-9688.552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</si>
  <si>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</si>
  <si>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</si>
  <si>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</si>
  <si>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</si>
  <si>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</si>
  <si>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</si>
  <si>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</si>
  <si>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</si>
  <si>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</si>
  <si>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</si>
  <si>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</si>
  <si>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</si>
  <si>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</si>
  <si>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</si>
  <si>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</si>
  <si>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</si>
  <si>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</si>
  <si>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</si>
  <si>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</si>
  <si>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9740.913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</si>
  <si>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</si>
  <si>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</si>
  <si>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</si>
  <si>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</si>
  <si>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</si>
  <si>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</si>
  <si>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</si>
  <si>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</si>
  <si>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</si>
  <si>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</si>
  <si>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</si>
  <si>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</si>
  <si>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</si>
  <si>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</si>
  <si>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</si>
  <si>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</si>
  <si>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</si>
  <si>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</si>
  <si>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</si>
  <si>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</si>
  <si>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</si>
  <si>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</si>
  <si>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</si>
  <si>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</si>
  <si>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</si>
  <si>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</si>
  <si>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</si>
  <si>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</si>
  <si>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</si>
  <si>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</si>
  <si>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</si>
  <si>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</si>
  <si>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</si>
  <si>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</si>
  <si>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</si>
  <si>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</si>
  <si>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</si>
  <si>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</si>
  <si>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</si>
  <si>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</si>
  <si>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</si>
  <si>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</si>
  <si>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</si>
  <si>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</si>
  <si>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</si>
  <si>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</si>
  <si>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</si>
  <si>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</si>
  <si>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</si>
  <si>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</si>
  <si>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</si>
  <si>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</si>
  <si>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</si>
  <si>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</si>
  <si>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</si>
  <si>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</si>
  <si>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</si>
  <si>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</si>
  <si>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</si>
  <si>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</si>
  <si>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</si>
  <si>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</si>
  <si>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</si>
  <si>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</si>
  <si>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</si>
  <si>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</si>
  <si>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</si>
  <si>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</si>
  <si>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</si>
  <si>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</si>
  <si>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</si>
  <si>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</si>
  <si>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</si>
  <si>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</si>
  <si>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</si>
  <si>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</si>
  <si>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</si>
  <si>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</si>
  <si>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</si>
  <si>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</si>
  <si>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</si>
  <si>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</si>
  <si>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</si>
  <si>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</si>
  <si>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3997.674</t>
    </r>
  </si>
  <si>
    <t>REP. Y ACC. P/MOTOS; REPUESTO: CABLE DE EMBRAGUE, USO: UNIVERSAL, MODELO MOTO: XR 250</t>
  </si>
  <si>
    <t>REP. Y ACC. P/MOTOS; REPUESTO: CABLE DE ACELERADOR, USO: UNIVERSAL, MODELO MOTO: XR 250</t>
  </si>
  <si>
    <t>REP. Y ACC. P/MOTOS; REPUESTO: PALANCA DE EMBRAGUE, USO: SEGUN  PLIEGO,  MODELO  MOTO: SEGUN PLIEGO</t>
  </si>
  <si>
    <t>REP. Y ACC. P/MOTOS; REPUESTO: PALANCA DE FRENO A DISCO, USO: SEGÚN  PLIEGO,  MODELO  MOTO: SEGÚN PLIEGO</t>
  </si>
  <si>
    <t>REP. Y ACC. P/AUTOMOTOR; MARCA AUTOMOVIL: CITROEN, MODELO AUTOMOVIL: BERLINGO, ELEMENTO: KIT DE FILTROS</t>
  </si>
  <si>
    <t>REP. Y ACC. P/AUTOMOTOR; MARCA AUTOMOVIL:  FIAT,  MODELO AUTOMOVIL: SIENA, ELEMENTO: KIT DE FILTROS</t>
  </si>
  <si>
    <t>REP. Y ACC. P/CAMIONETAS; MARCA AUTOMOTOR:  SEGÚN PLIEGO, MODELO AUTOMOTOR: SEGÚN</t>
  </si>
  <si>
    <t>REP. Y ACC. P/CAMIONETAS; MARCA AUTOMOTOR:  SEGÚN PLIEGO, MODELO AUTOMOTOR: SEGÚN PLIEGO, ELEMENTO: KIT DE FILTROS</t>
  </si>
  <si>
    <t>REP. Y ACC. P/CAMIONETAS; MARCA AUTOMOTOR: CHEVROLET, MODELO AUTOMOTOR: S10, ELEMENTO: KIT DE FILTROS</t>
  </si>
  <si>
    <t>REP. Y ACC. P/CAMIONETAS; MARCA AUTOMOTOR: VOLKSWAGEN, MODELO AUTOMOTOR: AMAROK, ELEMENTO: AMORTIGUADOR</t>
  </si>
  <si>
    <t>REP. Y ACC. P/CAMIONETAS; MARCA AUTOMOTOR: CHEVROLET, MODELO AUTOMOTOR: S10, ELEMENTO: VOLANTE BIMASA REP. Y ACC. P/CAMIONETAS; MARCA</t>
  </si>
  <si>
    <t>AUTOMOTOR: CHEVROLET, MODELO AUTOMOTOR: S10, ELEMENTO: AMORTIGUADOR DELANTERO</t>
  </si>
  <si>
    <t>REP. Y ACC. P/CAMIONETAS; MARCA AUTOMOTOR: CHEVROLET, MODELO AUTOMOTOR: S10, ELEMENTO: AMORTIGUADOR TRASERO</t>
  </si>
  <si>
    <t>REP. Y ACC. P/CAMIONETAS; MARCA AUTOMOTOR: VOLKSWAGEN, MODELO AUTOMOTOR: AMAROK, ELEMENTO: PASTILLA DE FRENO</t>
  </si>
  <si>
    <t>REP. Y ACC. P/CAMIONETAS; MARCA AUTOMOTOR:  SEGÚN PLIEGO, MODELO AUTOMOTOR: SEGÚN PLIEGO, ELEMENTO: JUEGO PASTILLAS DE FRENO</t>
  </si>
  <si>
    <t>REP. Y ACC. P/CAMIONETAS; MARCA AUTOMOTOR: VOLKSWAGEN, MODELO AUTOMOTOR: AMAROK, ELEMENTO: INYECTORES</t>
  </si>
  <si>
    <t>REP. Y ACC. P/CAMIONETAS; MARCA AUTOMOTOR: CHEVROLET, MODELO AUTOMOTOR: S10, ELEMENTO: JUEGO DE INYECTORES</t>
  </si>
  <si>
    <t>REP. Y ACC. P/CAMIONETAS; MARCA AUTOMOTOR:  SEGÚN PLIEGO, MODELO AUTOMOTOR: SEGÚN PLIEGO, ELEMENTO: RADIADOR</t>
  </si>
  <si>
    <t>REP. Y ACC. P/CAMIONETAS; MARCA AUTOMOTOR:  SEGÚN PLIEGO, MODELO AUTOMOTOR: SEGÚN PLIEGO, ELEMENTO: VOLANTE BIMASA</t>
  </si>
  <si>
    <t>REP. Y ACC. P/CAMIONETAS; MARCA AUTOMOTOR: VOLKSWAGEN, MODELO AUTOMOTOR: AMAROK, ELEMENTO: CONJUNTO EMBRAGUE</t>
  </si>
  <si>
    <t>REP. Y ACC. P/CAMIONETAS; MARCA AUTOMOTOR: VOLKSWAGEN, MODELO AUTOMOTOR: AMAROK, ELEMENTO: PRECAP DE DIRECCION</t>
  </si>
  <si>
    <t>REP. Y ACC. P/CAMIONETAS; MARCA AUTOMOTOR: VOLKSWAGEN, MODELO AUTOMOTOR: AMAROK, ELEMENTO: EXTREMO DE DIRECCION</t>
  </si>
  <si>
    <t>REP. Y ACC. P/CAMIONETAS; MARCA AUTOMOTOR: VOLKSWAGEN, MODELO AUTOMOTOR: AMAROK, ELEMENTO: BIELETAS</t>
  </si>
  <si>
    <t>REP. Y ACC. P/CAMIONETAS; MARCA AUTOMOTOR: VOLKSWAGEN, MODELO AUTOMOTOR: AMAROK, ELEMENTO: CANASTILLA (RODILLO COLA CIGÜEÑAL)</t>
  </si>
  <si>
    <t>REP. Y ACC. P/CAMIONETAS; MARCA AUTOMOTOR: VOLKSWAGEN, MODELO AUTOMOTOR: AMAROK, ELEMENTO: REGULADOR DE VOLTAJE</t>
  </si>
  <si>
    <t>REP. Y ACC. P/CAMIONETAS; MARCA AUTOMOTOR: VOLKSWAGEN, MODELO AUTOMOTOR: AMAROK, ELEMENTO: KIT DE DISTRIBUCION</t>
  </si>
  <si>
    <t>REP. Y ACC. P/CAMIONETAS; MARCA AUTOMOTOR:  SEGÚN PLIEGO, MODELO AUTOMOTOR: SEGÚN PLIEGO, ELEMENTO: ENFRIADOR DE ACEITE REP. Y ACC. P/CAMIONETAS; MARCA</t>
  </si>
  <si>
    <t>AUTOMOTOR:  SEGÚN PLIEGO, MODELO AUTOMOTOR: SEGÚN PLIEGO, ELEMENTO: CORREA DEL ALTERNADOR TRACKER</t>
  </si>
  <si>
    <t>REP. Y ACC. P/CAMIONETAS; MARCA AUTOMOTOR:  SEGÚN PLIEGO, MODELO AUTOMOTOR: SEGÚN PLIEGO, ELEMENTO: PARRILLA SUPERIOR</t>
  </si>
  <si>
    <t>REP. Y ACC. P/CAMIONETAS; MARCA AUTOMOTOR: VOLKSWAGEN, MODELO AUTOMOTOR: AMAROK, ELEMENTO: PARRILLA DE SUSPENSION INF.</t>
  </si>
  <si>
    <t>REP. Y ACC. P/CAMIONETAS; MARCA AUTOMOTOR:  SEGÚN PLIEGO, MODELO AUTOMOTOR: SEGÚN PLIEGO,  ELEMENTO:  TENSOR MONOCORREA</t>
  </si>
  <si>
    <t>REP. Y ACC. P/CAMIONETAS; MARCA AUTOMOTOR: VOLKSWAGEN, MODELO AUTOMOTOR: AMAROK, ELEMENTO: DISCOS DE FRENOS</t>
  </si>
  <si>
    <t>REP. Y ACC. P/CAMIONETAS; MARCA AUTOMOTOR:  SEGÚN PLIEGO, MODELO AUTOMOTOR: SEGÚN PLIEGO, ELEMENTO: BOMBA  DE COMBUSTIBLE</t>
  </si>
  <si>
    <t>REP. Y ACC. P/CAMIONETAS; MARCA AUTOMOTOR: VOLKSWAGEN, MODELO AUTOMOTOR: AMAROK, ELEMENTO: ROTULAS DE SUSPENSION</t>
  </si>
  <si>
    <t>REP. Y ACC. P/CAMIONETAS; MARCA AUTOMOTOR:  SEGÚN PLIEGO, MODELO AUTOMOTOR: SEGÚN PLIEGO,  ELEMENTO:  BOMBA AUXILIAR ELECTRICA</t>
  </si>
  <si>
    <t>REP. Y ACC. P/CAMIONETAS; MARCA AUTOMOTOR: VOLKSWAGEN, MODELO AUTOMOTOR: AMAROK, ELEMENTO: CORREA POLI V</t>
  </si>
  <si>
    <t>REP. Y ACC. P/CAMIONETAS; MARCA AUTOMOTOR:  SEGÚN PLIEGO, MODELO AUTOMOTOR: SEGÚN PLIEGO, ELEMENTO: RETEN DE CIGÜEÑAL  CON  CARCASA PORTA RETEN</t>
  </si>
  <si>
    <t>REP. Y ACC. P/CAMIONETAS; MARCA AUTOMOTOR: VOLKSWAGEN, MODELO AUTOMOTOR: AMAROK, ELEMENTO: MASA DE RUEDA DELANTERA</t>
  </si>
  <si>
    <t>REP. Y ACC. P/CAMIONETAS; MARCA AUTOMOTOR: VOLKSWAGEN, MODELO AUTOMOTOR: AMAROK, ELEMENTO: TENSOR FIJO</t>
  </si>
  <si>
    <t>REP. Y ACC. P/AUTOMOTOR; REPUESTO: DISCO DE FRENO, MARCA: TOYOTA, MODELO: Hilux DISCOS DE FRENO</t>
  </si>
  <si>
    <t>REP. Y ACC. P/CAMIONETAS; MARCA AUTOMOTOR: NISSAN, MODELO AUTOMOTOR: FRONTIER, ELEMENTO: KIT DE EMBRAGUE</t>
  </si>
  <si>
    <t>REP. Y ACC. P/CAMIONETAS; MARCA AUTOMOTOR: NISSAN, MODELO AUTOMOTOR: FRONTIER, ELEMENTO: KIT DE DISTRIBUCION</t>
  </si>
  <si>
    <t>REP. Y ACC. P/CAMIONETAS; MARCA AUTOMOTOR: NISSAN, MODELO AUTOMOTOR: FRONTIER, ELEMENTO: JUEGO DE AMORTIGUADORES TRASEROS</t>
  </si>
  <si>
    <t>REP. Y ACC. P/CAMIONETAS; MARCA AUTOMOTOR: NISSAN, MODELO AUTOMOTOR: FRONTIER, ELEMENTO: JUEGO DE AMORTIGUADORES DELANTEROS</t>
  </si>
  <si>
    <t>REP. Y ACC. P/CAMIONETAS; MARCA AUTOMOTOR: NISSAN, MODELO AUTOMOTOR: FRONTIER, ELEMENTO: EXTREMO DE DIRECCION</t>
  </si>
  <si>
    <t>REP. Y ACC. P/CAMIONETAS; MARCA AUTOMOTOR: NISSAN, MODELO AUTOMOTOR: FRONTIER, ELEMENTO: BIELETAS DE BARRA SUSPENSIÓN</t>
  </si>
  <si>
    <t>REP. Y ACC. P/CAMIONETAS; MARCA AUTOMOTOR: NISSAN, MODELO AUTOMOTOR: FRONTIER, ELEMENTO: PRECAP</t>
  </si>
  <si>
    <t>REP. Y ACC. P/CAMIONETAS; MARCA AUTOMOTOR: NISSAN, MODELO AUTOMOTOR: FRONTIER, ELEMENTO: PARRILLA SUPERIOR</t>
  </si>
  <si>
    <t>REP. Y ACC. P/CAMIONETAS; MARCA AUTOMOTOR: NISSAN, MODELO AUTOMOTOR: FRONTIER, ELEMENTO: PARRILLA INFERIOR</t>
  </si>
  <si>
    <t>REP. Y ACC. P/CAMIONETAS; MARCA AUTOMOTOR: NISSAN, MODELO AUTOMOTOR: FRONTIER, ELEMENTO: PASTILLAS DE FRENO</t>
  </si>
  <si>
    <t>REP. Y ACC. P/CAMIONETAS; MARCA AUTOMOTOR:  SEGÚN PLIEGO, MODELO AUTOMOTOR: SEGÚN PLIEGO, ELEMENTO: DERIVADOR DE AGUA</t>
  </si>
  <si>
    <t>REP. Y ACC. P/CAMIONETAS; MARCA AUTOMOTOR:  SEGÚN PLIEGO, MODELO AUTOMOTOR: SEGÚN PLIEGO, ELEMENTO: POLEA EMBRAGUE PARA ALTERNADOR</t>
  </si>
  <si>
    <t>REP. Y ACC. P/CAMIONETAS; MARCA AUTOMOTOR:  SEGÚN PLIEGO, MODELO AUTOMOTOR: SEGÚN PLIEGO, ELEMENTO: TERMOSTATO</t>
  </si>
  <si>
    <t>REP. Y ACC. P/CAMIONETAS; MARCA AUTOMOTOR:  SEGÚN PLIEGO, MODELO AUTOMOTOR: SEGÚN PLIEGO, ELEMENTO: RODAMIENTO</t>
  </si>
  <si>
    <t>REP. Y ACC. P/AUTOMOTOR; REPUESTO: KIT DE FILTRO, MARCA: SEGÚN  PLIEGO,  MODELO: SEGÚN PLIEGO</t>
  </si>
  <si>
    <t>REP. Y ACC. P/AUTOMOTOR; REPUESTO: RAMPA INYECTORA, MARCA: SEGÚN PLIEGO, MODELO: SEGÚN PLIEGO</t>
  </si>
  <si>
    <t>REP. Y ACC. P/AUTOMOTOR; REPUESTO: PRECAP, MARCA: SEGUN PLIEGO, MODELO: SEGUN PLIEGO, TIPO: AUTO</t>
  </si>
  <si>
    <t>REP. Y ACC. P/AUTOMOTOR; REPUESTO: BIELETA, MARCA: SEGUN PLIEGO, MODELO: SEGUN PLIEGO, TIPO: AUTO</t>
  </si>
  <si>
    <t>REP. Y ACC. P/AUTOMOTOR; REPUESTO: EXTREMO DE DIRECCION, MARCA: SEGUN PLIEGO, MODELO: SEGUN PLIEGO, TIPO: AUTO</t>
  </si>
  <si>
    <t>REP. Y ACC. P/AUTOMOTOR; REPUESTO: JUEGO DE PASTILLAS DE FRENO,  MARCA:  SEGUN  PLIEGO, MODELO: SEGUN PLIEGO, TIPO: AUTO</t>
  </si>
  <si>
    <t>REP. Y ACC. P/AUTOMOTOR; REPUESTO:  BUJE  BARRA ESTABILIZADORA,  MARCA:  SEGUN PLIEGO, MODELO: SEGUN PLIEGO, TIPO: AUTO</t>
  </si>
  <si>
    <t>REP. Y ACC. P/AUTOMOTOR; REPUESTO: HOMOCINETICA, MARCA: SEGUN  PLIEGO,  MODELO: SEGUN PLIEGO, TIPO: AUTO</t>
  </si>
  <si>
    <t>REP. Y ACC. P/CAMIONETAS; MARCA AUTOMOTOR:  SEGUN PLIEGO, MODELO AUTOMOTOR: SEGUN PLIEGO, ELEMENTO: SOPORTE DE CAJA</t>
  </si>
  <si>
    <t>REP. Y ACC. P/CAMIONETAS; MARCA AUTOMOTOR:  SEGUN PLIEGO, MODELO AUTOMOTOR: SEGUN PLIEGO, ELEMENTO: BUJE BARRA ESTABILIZADORA</t>
  </si>
  <si>
    <t>REP. Y ACC. P/CAMIONETAS; MARCA AUTOMOTOR:  SEGUN PLIEGO, MODELO AUTOMOTOR: SEGUN PLIEGO, ELEMENTO: BUJE  CAJA DIRECCION</t>
  </si>
  <si>
    <t>REP. Y ACC. P/CAMIONETAS; MARCA AUTOMOTOR: CHEVROLET, MODELO AUTOMOTOR: S10, ELEMENTO: PARRILLA SUPERIOR</t>
  </si>
  <si>
    <t>REP. Y ACC. P/CAMIONETAS; MARCA AUTOMOTOR: CHEVROLET, MODELO AUTOMOTOR: S10, ELEMENTO: PARRILLA INFERIOR</t>
  </si>
  <si>
    <t>REP. Y ACC. P/CAMIONETAS; MARCA AUTOMOTOR: CHEVROLET, MODELO AUTOMOTOR: S10, ELEMENTO: CORREA POLI V</t>
  </si>
  <si>
    <t>REP. Y ACC. P/CAMIONETAS; MARCA AUTOMOTOR:  SEGUN PLIEGO, MODELO AUTOMOTOR: SEGUN PLIEGO, ELEMENTO: CARCAZA PORTA FILTRO, COMBUSTIBLE</t>
  </si>
  <si>
    <t>REP. Y ACC. P/MOTOS; REPUESTO: FILTRO  DE  AIRE,  USO:  HONDA, MODELO AUTOMOTOR: XR 250 R /// XR 250 TORNADO, MODELO MOTO: XR 250 R</t>
  </si>
  <si>
    <t>REP. Y ACC. P/MOTOS; REPUESTO: FILTRO DE AIRE, USO: SEGUN PLIEGO, MODELO MOTO: SEGUN PLIEGO</t>
  </si>
  <si>
    <t>REP. Y ACC. P/MOTOS; REPUESTO: PASTILLA FRENO DELANTERO, USO: HONDA, MODELO MOTO: XR 250 TORNADO REP. Y ACC. P/MOTOS; REPUESTO:</t>
  </si>
  <si>
    <t>JUEGO DE PASTILLAS DE FRENO, USO: SEGUN  PLIEGO,  MODELO  MOTO: SEGUN PLIEGO</t>
  </si>
  <si>
    <t>REP. Y ACC. P/MOTOS; REPUESTO: ZAPATAS DE FRENO TRASERO, USO: SEGUN  PLIEGO,  MODELO  MOTO: SEGUN PLIEGO</t>
  </si>
  <si>
    <t>REP. Y ACC. P/MOTOS; REPUESTO: PALANCA DE EMBRAGUE, USO: SEGUN PLIEGO, MODELO MOTO: SEGUN PLIEGO</t>
  </si>
  <si>
    <t>REP. Y ACC. P/MOTOS; REPUESTO: PALANCA DE FRENO A DISCO, USO: SEGÚN PLIEGO, MODELO MOTO: SEGÚN PLIEGO</t>
  </si>
  <si>
    <t>REP. Y ACC. P/MOTOS; REPUESTO: BULBO  DE  FRENO,  USO:  SEGÚN PLIEGO,  MODELO  MOTO:  SEGÚN PLIEGO</t>
  </si>
  <si>
    <t>REP. Y ACC. P/MOTOS; REPUESTO: UNION DE CADENA, USO: SEGÚN PLIEGO,  MODELO  MOTO:  SEGÚN PLIEGO</t>
  </si>
  <si>
    <t>REP. Y ACC. P/MOTOS; REPUESTO: JUEGOS DE RETENES DE SUSPENSION, USO: SEGUN PLIEGO, MODELO MOTO: SEGUN PLIEGO</t>
  </si>
  <si>
    <t>REP. Y ACC. P/MOTOS; REPUESTO: JUEGOS DE CARBONES DE MOTOR DE ARRANQUE,  USO:  SEGUN PLIEGO, MODELO MOTO: SEGUN PLIEGO</t>
  </si>
  <si>
    <t>REP. Y ACC. P/MOTOS; REPUESTO: BUJIA, USO: SEGÚN PLIEGO, MODELO MOTO: SEGÚN PLIEGO</t>
  </si>
  <si>
    <t>REP. Y ACC. P/MOTOS; REPUESTO: KIT EMBRAGUE, USO: HONDA, MODELO MOTO: XR 250 TORNADO</t>
  </si>
  <si>
    <t>REP. Y ACC. P/MOTOS; REPUESTO: PASTILLA DE FRENO DELANTERO, USO: YAMAHA, MODELO MOTO: XTZ 250</t>
  </si>
  <si>
    <t>REP. Y ACC. P/MOTOS; REPUESTO: PASTILLA DE FRENO TRASERO, USO: YAMAHA, MODELO MOTO: XTZ 250</t>
  </si>
  <si>
    <t>REP. Y ACC. P/MOTOS; REPUESTO: CABLE DE EMBRAGUE, USO: SEGÚN PLIEGO MODELO MOTO:  SEGÚN PLIEGO</t>
  </si>
  <si>
    <t>REP. Y ACC. P/MOTOS; REPUESTO: FILTRO DE ACEITE, USO: YAMAHA, MODELO MOTO: XTZ 250</t>
  </si>
  <si>
    <t>REP. Y ACC. P/MOTOS; REPUESTO: KIT DE TRANSMISION , USO: YAMAHA, MODELO MOTO: XTZ 250</t>
  </si>
  <si>
    <t>REP. Y ACC. P/CAMIONETAS; MARCA AUTOMOTOR: NISSAN, MODELO AUTOMOTOR: FRONTIER, ELEMENTO: BOMBA DE COMBUSTIBLE</t>
  </si>
  <si>
    <t>REP. Y ACC. P/MOTOS; REPUESTO: FLEXIBLE DE FRENO, USO: SEGÚN PLIEGO,  MODELO  MOTO:  SEGÚN PLIEGO</t>
  </si>
  <si>
    <t>REP. Y ACC. P/MOTOS; REPUESTO: PALANCA DE FRENO A DISCO, USO: SEGUN  PLIEGO,  MODELO  MOTO: SEGUN PLIEGO</t>
  </si>
  <si>
    <t>REP. Y ACC. P/MOTOS; REPUESTO: KIT DE  TRANSMISION,  USO:  HONDA, MODELO AUTOMOTOR: XR 250 R, MODELO MOTO: XR 250 R</t>
  </si>
  <si>
    <t>REP. Y ACC. P/MOTOS; REPUESTO: KIT DE  TRANSMISION,  USO:  HONDA, MODELO MOTO: XR 150</t>
  </si>
  <si>
    <t>REP. Y ACC. P/MOTOS; REPUESTO: KIT DE  TRANSMISION,  USO:  HONDA, MODELO MOTO: XR 125</t>
  </si>
  <si>
    <t>REP. Y ACC. P/MOTOS; REPUESTO: KIT DE  TRANSMISION,  USO:  HONDA, MODELO MOTO: CBX 250</t>
  </si>
  <si>
    <t>REP. Y ACC. P/MOTOS; REPUESTO: KIT DE  TRANSMISION,  USO:  HONDA, MODELO MOTO: FALCON 400</t>
  </si>
  <si>
    <t>REP. Y ACC. P/MOTOS; REPUESTO: KIT DE  TRANSMISION,  USO:  HONDA, MODELO MOTO: TRANSLAP 600</t>
  </si>
  <si>
    <t>REP. Y ACC. P/MOTOS; REPUESTO: KIT DE  TRANSMISION,  USO:  GILERA, MODELO MOTO: SMX 200</t>
  </si>
  <si>
    <t>REP. Y ACC. P/MOTOS; REPUESTO: KIT DE  TRANSMISION,  USO: BENELLI, MODELO MOTO: TRX 502</t>
  </si>
  <si>
    <t>REP. Y ACC. P/MOTOS; REPUESTO: FILTRO DE ACEITE, USO: HONDA, MODELO MOTO: XR 250 TORNADO</t>
  </si>
  <si>
    <t>REP. Y ACC. P/MOTOS; REPUESTO: FILTRO DE ACEITE, USO: GILERA, MODELO MOTO: SMX 200 CC</t>
  </si>
  <si>
    <t>REP. Y ACC. P/MOTOS; REPUESTO: FILTRO DE ACEITE, USO: BENELLI, MODELO MOTO: TRX 502 CC</t>
  </si>
  <si>
    <t>REP. Y ACC. P/MOTOS; REPUESTO: FILTRO CENTRIFUGOS, USO: HONDA, MODELO MOTO: XR 125CC</t>
  </si>
  <si>
    <t>REP. Y ACC. P/MOTOS; REPUESTO: FILTRO CENTRIFUGOS, USO: HONDA, MODELO MOTO: XR 150CC</t>
  </si>
  <si>
    <t>REP. Y ACC. P/MOTOS; REPUESTO: JUEGO DE PASTILLAS DE FRENO, USO: SEGUN  PLIEGO,  MODELO  MOTO: SEGUN PLIEGO</t>
  </si>
  <si>
    <t>REP. Y ACC. P/MOTOS; REPUESTO: CADENAS DE DIRTRIBUCION, USO: HONDA, MODELO MOTO: XR 250 CC</t>
  </si>
  <si>
    <t>REP. Y ACC. P/MOTOS; REPUESTO: GUIAS DE DISTRIBUCION, USO: HONDA, MODELO MOTO: XR 250 CC</t>
  </si>
  <si>
    <t>REP. Y ACC. P/MOTOS; REPUESTO: CADENAS DE DIRTRIBUCION, USO: HONDA, MODELO MOTO: XR 125 CC</t>
  </si>
  <si>
    <t>REP. Y ACC. P/MOTOS; REPUESTO: GUIAS DE DISTRIBUCION, USO: HONDA, MODELO MOTO: XR 125 CC</t>
  </si>
  <si>
    <t>REP. Y ACC. P/MOTOS; REPUESTO: CADENAS DE DIRTRIBUCION, USO: HONDA, MODELO MOTO: FALCON 400 CC</t>
  </si>
  <si>
    <t>REP. Y ACC. P/MOTOS; REPUESTO: GUIAS DE DISTRIBUCION, USO: HONDA, MODELO MOTO: FALCON 400 CC</t>
  </si>
  <si>
    <t>REP. Y ACC. P/MOTOS; REPUESTO: TENSORES GUIAS, USO:  HONDA, MODELO MOTO: XR 250 CC</t>
  </si>
  <si>
    <t>REP. Y ACC. P/MOTOS; REPUESTO: TENSORES GUIAS, USO:  HONDA, MODELO MOTO: XR 125 CC</t>
  </si>
  <si>
    <t>REP. Y ACC. P/MOTOS; REPUESTO: TENSORES GUIAS, USO:  HONDA, MODELO MOTO: FALCON 400 CC</t>
  </si>
  <si>
    <t>REP. Y ACC. P/MOTOS; REPUESTO: JUEGO  DE  JUNTA  MOTOR, USO: HONDA, MODELO MOTO: XR 250</t>
  </si>
  <si>
    <t>REP. Y ACC. P/MOTOS; REPUESTO: JUEGOS DE JUNTAS MOTOR, USO: HONDA, MODELO MOTO: XR 150 CC</t>
  </si>
  <si>
    <t>REP. Y ACC. P/MOTOS; REPUESTO: JUEGOS DE JUNTAS MOTOR, USO: HONDA, MODELO MOTO: XR 125 CC</t>
  </si>
  <si>
    <t>REP. Y ACC. P/MOTOS; REPUESTO: KIT DE RETENES DE VALVULAS, USO: HONDA, MODELO MOTO: XR 250 CC</t>
  </si>
  <si>
    <t>REP. Y ACC. P/MOTOS; REPUESTO: KIT DE RETENES DE VALVULAS, USO: HONDA, MODELO MOTO: XR 150 CC</t>
  </si>
  <si>
    <t>REP. Y ACC. P/MOTOS; REPUESTO: KIT DE RETENES DE VALVULAS, USO: HONDA, MODELO MOTO: XR 125 CC</t>
  </si>
  <si>
    <t>REP. Y ACC. P/MOTOS; REPUESTO: JUEGO DE JUNTAS, USO: CORVEN, MODELO MOTO: TRIAX 250 CC</t>
  </si>
  <si>
    <t>REP. Y ACC. P/MOTOS; REPUESTO: JUEGO DE JUNTAS, USO: CORVEN, MODELO MOTO: TRIAX 150 CC</t>
  </si>
  <si>
    <t>REP. Y ACC. P/MOTOS; REPUESTO: JUEGO DE VALVULAS DE ADMISION Y ESCAPE,  USO:  CORVEN,  MODELO MOTO: TRIAX 250 CC</t>
  </si>
  <si>
    <t>REP. Y ACC. P/MOTOS; REPUESTO: JUEGO DE VALVULAS DE ADMISION Y ESCAPE,  USO:  CORVEN,  MODELO MOTO: TRIAX 150 CC</t>
  </si>
  <si>
    <t>REP. Y ACC. P/MOTOS; REPUESTO: VALVULAS DE ADMISION Y ESCAPE, USO: HONDA, MODELO MOTO: XR 250 CC</t>
  </si>
  <si>
    <t>REP. Y ACC. P/MOTOS; REPUESTO: VALVULAS DE ADMISION Y ESCAPE, USO: HONDA, MODELO MOTO: XR 150 CC</t>
  </si>
  <si>
    <t>REP. Y ACC. P/MOTOS; REPUESTO: VALVULAS DE ADMISION Y ESCAPE, USO: HONDA, MODELO MOTO: XR 125 CC</t>
  </si>
  <si>
    <t>REP. Y ACC. P/MOTOS; REPUESTO: KIT DE PISTON Y AROS, USO: HONDA, MODELO MOTO: XR 250 CC</t>
  </si>
  <si>
    <t>REP. Y ACC. P/MOTOS; REPUESTO: KIT DE PISTON Y AROS, USO: HONDA, MODELO MOTO: XR 150 CC</t>
  </si>
  <si>
    <t>REP. Y ACC. P/MOTOS; REPUESTO: KIT DE PISTON Y AROS, USO: HONDA, MODELO MOTO: XR 125 CC</t>
  </si>
  <si>
    <t>REP. Y ACC. P/MOTOS; REPUESTO: EXTRACTOR DE BOMBA DE ACEITE, USO: HONDA, MODELO MOTO: XR 250 CC</t>
  </si>
  <si>
    <t>REP. Y ACC. P/MOTOS; REPUESTO: EXTRACTOR DE BOMBA DE ACEITE, USO: HONDA, MODELO MOTO: XR 150 CC</t>
  </si>
  <si>
    <t>REP. Y ACC. P/MOTOS; REPUESTO: ESPEJOS RETROVISORES, USO: HONDA, MODELO MOTO: XR 150 CC</t>
  </si>
  <si>
    <t>REP. Y ACC. P/MOTOS; REPUESTO: ESPEJOS RETROVISORES, USO: HONDA, MODELO MOTO: XR 250 CC</t>
  </si>
  <si>
    <t>REP. Y ACC. P/MOTOS; REPUESTO: ESPEJOS RETROVISORES, USO: YAMAHA, MODELO MOTO: XTZ 250 CC</t>
  </si>
  <si>
    <t>REP. Y ACC. P/MOTOS; REPUESTO: ESPEJOS RETROVISORES, USO: GILERA, MODELO MOTO: SMX 200 CC</t>
  </si>
  <si>
    <t>REP. Y ACC. P/MOTOS; REPUESTO: ESPEJOS RETROVISORES, USO: BENELLI, MODELO MOTO: TRX 502 CC</t>
  </si>
  <si>
    <t>REP. Y ACC. P/MOTOS; REPUESTO: GUIÑO, USO: HONDA, MODELO MOTO: XR 250 CC</t>
  </si>
  <si>
    <t>REP. Y ACC. P/MOTOS; REPUESTO: GUIÑO, USO: HONDA, MODELO MOTO: FALCON 400 CC</t>
  </si>
  <si>
    <t>REP. Y ACC. P/MOTOS; REPUESTO: GUIÑO, USO: GILERA, MODELO MOTO: SMX 200 CC</t>
  </si>
  <si>
    <t>REP. Y ACC. P/MOTOS; REPUESTO: GUIÑO, USO: BENELLI,  MODELO MOTO: TRX 502 CC</t>
  </si>
  <si>
    <r>
      <t>2.9.6-</t>
    </r>
    <r>
      <rPr>
        <sz val="12"/>
        <rFont val="Times New Roman"/>
        <family val="1"/>
      </rPr>
      <t>9688.636</t>
    </r>
  </si>
  <si>
    <t>ID</t>
  </si>
  <si>
    <t>Código item</t>
  </si>
  <si>
    <t>Importe total estimado</t>
  </si>
  <si>
    <t xml:space="preserve">Cantidad </t>
  </si>
  <si>
    <t>Rubro de Compra</t>
  </si>
  <si>
    <t>I.P.P.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</si>
</sst>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 indent="2"/>
    </xf>
    <xf numFmtId="0" fontId="3" fillId="0" borderId="1" xfId="0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2" xfId="0" applyNumberFormat="1" applyFont="1" applyFill="1" applyBorder="1" applyAlignment="1">
      <alignment horizontal="right" vertical="center" indent="2" shrinkToFit="1"/>
    </xf>
    <xf numFmtId="1" fontId="2" fillId="0" borderId="3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/>
    </xf>
    <xf numFmtId="4" fontId="2" fillId="0" borderId="3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indent="1" shrinkToFit="1"/>
    </xf>
    <xf numFmtId="0" fontId="3" fillId="0" borderId="5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center" indent="2" shrinkToFit="1"/>
    </xf>
    <xf numFmtId="2" fontId="2" fillId="0" borderId="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right" vertical="center" indent="1" shrinkToFit="1"/>
    </xf>
    <xf numFmtId="1" fontId="2" fillId="0" borderId="5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right" vertical="top" wrapText="1" indent="2"/>
    </xf>
    <xf numFmtId="0" fontId="3" fillId="0" borderId="5" xfId="0" applyFont="1" applyFill="1" applyBorder="1" applyAlignment="1">
      <alignment horizontal="right" vertical="top" wrapText="1"/>
    </xf>
    <xf numFmtId="4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center" indent="2" shrinkToFit="1"/>
    </xf>
    <xf numFmtId="2" fontId="2" fillId="0" borderId="2" xfId="0" applyNumberFormat="1" applyFont="1" applyFill="1" applyBorder="1" applyAlignment="1">
      <alignment horizontal="left" vertical="center" indent="1" shrinkToFit="1"/>
    </xf>
    <xf numFmtId="0" fontId="3" fillId="0" borderId="3" xfId="0" applyFont="1" applyFill="1" applyBorder="1" applyAlignment="1">
      <alignment horizontal="right" vertical="center" wrapText="1" indent="2"/>
    </xf>
    <xf numFmtId="2" fontId="2" fillId="0" borderId="4" xfId="0" applyNumberFormat="1" applyFont="1" applyFill="1" applyBorder="1" applyAlignment="1">
      <alignment horizontal="left" vertical="center" indent="2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right" vertical="center" wrapText="1" indent="2"/>
    </xf>
    <xf numFmtId="0" fontId="3" fillId="0" borderId="5" xfId="0" applyFont="1" applyFill="1" applyBorder="1" applyAlignment="1">
      <alignment horizontal="right" vertical="center" wrapText="1"/>
    </xf>
    <xf numFmtId="4" fontId="2" fillId="0" borderId="5" xfId="0" applyNumberFormat="1" applyFont="1" applyFill="1" applyBorder="1" applyAlignment="1">
      <alignment horizontal="right" vertical="center" shrinkToFit="1"/>
    </xf>
    <xf numFmtId="2" fontId="2" fillId="0" borderId="6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left" vertical="center" indent="2" shrinkToFit="1"/>
    </xf>
    <xf numFmtId="2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center" indent="1" shrinkToFi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right" vertical="center" wrapText="1" indent="2"/>
    </xf>
    <xf numFmtId="0" fontId="3" fillId="0" borderId="7" xfId="0" applyFont="1" applyFill="1" applyBorder="1" applyAlignment="1">
      <alignment horizontal="right" vertical="center" wrapText="1"/>
    </xf>
    <xf numFmtId="4" fontId="2" fillId="0" borderId="7" xfId="0" applyNumberFormat="1" applyFont="1" applyFill="1" applyBorder="1" applyAlignment="1">
      <alignment horizontal="right" vertical="center" shrinkToFit="1"/>
    </xf>
    <xf numFmtId="2" fontId="2" fillId="0" borderId="8" xfId="0" applyNumberFormat="1" applyFont="1" applyFill="1" applyBorder="1" applyAlignment="1">
      <alignment horizontal="left" vertical="center" indent="2" shrinkToFi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4" fontId="0" fillId="0" borderId="0" xfId="0" applyNumberFormat="1" applyFill="1" applyBorder="1" applyAlignment="1">
      <alignment horizontal="left" vertical="top"/>
    </xf>
    <xf numFmtId="0" fontId="7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633412</xdr:rowOff>
    </xdr:from>
    <xdr:to>
      <xdr:col>4</xdr:col>
      <xdr:colOff>2832100</xdr:colOff>
      <xdr:row>7</xdr:row>
      <xdr:rowOff>38099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90812"/>
          <a:ext cx="6546850" cy="33337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9522</xdr:colOff>
      <xdr:row>78</xdr:row>
      <xdr:rowOff>9532</xdr:rowOff>
    </xdr:from>
    <xdr:to>
      <xdr:col>0</xdr:col>
      <xdr:colOff>19682</xdr:colOff>
      <xdr:row>78</xdr:row>
      <xdr:rowOff>28582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466722</xdr:colOff>
      <xdr:row>78</xdr:row>
      <xdr:rowOff>9520</xdr:rowOff>
    </xdr:from>
    <xdr:to>
      <xdr:col>1</xdr:col>
      <xdr:colOff>10157</xdr:colOff>
      <xdr:row>78</xdr:row>
      <xdr:rowOff>29205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4</xdr:col>
      <xdr:colOff>69847</xdr:colOff>
      <xdr:row>78</xdr:row>
      <xdr:rowOff>9532</xdr:rowOff>
    </xdr:from>
    <xdr:to>
      <xdr:col>4</xdr:col>
      <xdr:colOff>80007</xdr:colOff>
      <xdr:row>78</xdr:row>
      <xdr:rowOff>28582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4</xdr:col>
      <xdr:colOff>2867022</xdr:colOff>
      <xdr:row>78</xdr:row>
      <xdr:rowOff>9520</xdr:rowOff>
    </xdr:from>
    <xdr:to>
      <xdr:col>4</xdr:col>
      <xdr:colOff>2877182</xdr:colOff>
      <xdr:row>78</xdr:row>
      <xdr:rowOff>29205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8</xdr:col>
      <xdr:colOff>742947</xdr:colOff>
      <xdr:row>78</xdr:row>
      <xdr:rowOff>9532</xdr:rowOff>
    </xdr:from>
    <xdr:to>
      <xdr:col>9</xdr:col>
      <xdr:colOff>632</xdr:colOff>
      <xdr:row>78</xdr:row>
      <xdr:rowOff>28582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42090975"/>
          <a:ext cx="29209" cy="619125"/>
          <a:chOff x="0" y="0"/>
          <a:chExt cx="29209" cy="619125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42090975"/>
          <a:ext cx="29209" cy="619125"/>
          <a:chOff x="0" y="0"/>
          <a:chExt cx="29209" cy="61912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45091350"/>
          <a:ext cx="29209" cy="619125"/>
          <a:chOff x="0" y="0"/>
          <a:chExt cx="29209" cy="619125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0" y="45091350"/>
          <a:ext cx="29209" cy="619125"/>
          <a:chOff x="0" y="0"/>
          <a:chExt cx="29209" cy="619125"/>
        </a:xfrm>
      </xdr:grpSpPr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Views>
    <sheetView tabSelected="1" workbookViewId="0">
      <selection activeCell="C2" sqref="C2"/>
    </sheetView>
  </sheetViews>
  <sheetFormatPr baseColWidth="10" defaultColWidth="9.33203125" defaultRowHeight="12.75" x14ac:dyDescent="0.2"/>
  <cols>
    <col min="1" max="1" width="8.1640625" bestFit="1" customWidth="1"/>
    <col min="2" max="2" width="28.1640625" customWidth="1"/>
    <col min="3" max="3" width="16.5" customWidth="1"/>
    <col min="4" max="4" width="12.1640625" customWidth="1"/>
    <col min="5" max="5" width="172" customWidth="1"/>
    <col min="6" max="6" width="9.33203125" customWidth="1"/>
    <col min="7" max="7" width="11.33203125" bestFit="1" customWidth="1"/>
    <col min="8" max="8" width="12" bestFit="1" customWidth="1"/>
    <col min="9" max="9" width="13.1640625" bestFit="1" customWidth="1"/>
    <col min="10" max="10" width="15.1640625" bestFit="1" customWidth="1"/>
  </cols>
  <sheetData>
    <row r="1" spans="1:10" ht="12.75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88.5" customHeight="1" x14ac:dyDescent="0.2">
      <c r="A2" s="57" t="s">
        <v>1</v>
      </c>
      <c r="B2" s="57"/>
      <c r="C2" s="57"/>
      <c r="D2" s="57"/>
      <c r="E2" s="57"/>
      <c r="F2" s="57"/>
      <c r="G2" s="57"/>
      <c r="H2" s="57"/>
      <c r="I2" s="57"/>
    </row>
    <row r="3" spans="1:10" ht="47.25" x14ac:dyDescent="0.2">
      <c r="A3" s="55" t="s">
        <v>324</v>
      </c>
      <c r="B3" s="56" t="s">
        <v>325</v>
      </c>
      <c r="C3" s="56" t="s">
        <v>328</v>
      </c>
      <c r="D3" s="56" t="s">
        <v>329</v>
      </c>
      <c r="E3" s="1" t="s">
        <v>2</v>
      </c>
      <c r="F3" s="2" t="s">
        <v>3</v>
      </c>
      <c r="G3" s="3" t="s">
        <v>4</v>
      </c>
      <c r="H3" s="61" t="s">
        <v>327</v>
      </c>
      <c r="I3" s="3" t="s">
        <v>5</v>
      </c>
      <c r="J3" s="60" t="s">
        <v>326</v>
      </c>
    </row>
    <row r="4" spans="1:10" ht="15.75" x14ac:dyDescent="0.2">
      <c r="A4" s="4">
        <v>1</v>
      </c>
      <c r="B4" s="48" t="s">
        <v>34</v>
      </c>
      <c r="C4" s="48"/>
      <c r="D4" s="48"/>
      <c r="E4" s="5" t="s">
        <v>187</v>
      </c>
      <c r="F4" s="6" t="s">
        <v>6</v>
      </c>
      <c r="G4" s="7" t="s">
        <v>7</v>
      </c>
      <c r="H4" s="9">
        <v>4</v>
      </c>
      <c r="I4" s="8">
        <v>10155</v>
      </c>
      <c r="J4" s="8">
        <f>+H4*I4</f>
        <v>40620</v>
      </c>
    </row>
    <row r="5" spans="1:10" ht="15.75" x14ac:dyDescent="0.2">
      <c r="A5" s="4">
        <v>2</v>
      </c>
      <c r="B5" s="48" t="s">
        <v>28</v>
      </c>
      <c r="C5" s="48"/>
      <c r="D5" s="48"/>
      <c r="E5" s="5" t="s">
        <v>188</v>
      </c>
      <c r="F5" s="6" t="s">
        <v>6</v>
      </c>
      <c r="G5" s="7" t="s">
        <v>7</v>
      </c>
      <c r="H5" s="9">
        <v>4</v>
      </c>
      <c r="I5" s="8">
        <v>5682</v>
      </c>
      <c r="J5" s="8">
        <f t="shared" ref="J5:J68" si="0">+H5*I5</f>
        <v>22728</v>
      </c>
    </row>
    <row r="6" spans="1:10" ht="15.75" x14ac:dyDescent="0.2">
      <c r="A6" s="4">
        <v>3</v>
      </c>
      <c r="B6" s="48" t="s">
        <v>29</v>
      </c>
      <c r="C6" s="48"/>
      <c r="D6" s="48"/>
      <c r="E6" s="5" t="s">
        <v>10</v>
      </c>
      <c r="F6" s="6" t="s">
        <v>6</v>
      </c>
      <c r="G6" s="7" t="s">
        <v>7</v>
      </c>
      <c r="H6" s="9">
        <v>3</v>
      </c>
      <c r="I6" s="8">
        <v>5433</v>
      </c>
      <c r="J6" s="8">
        <f t="shared" si="0"/>
        <v>16299</v>
      </c>
    </row>
    <row r="7" spans="1:10" ht="15.75" x14ac:dyDescent="0.2">
      <c r="A7" s="10">
        <v>4</v>
      </c>
      <c r="B7" s="49" t="s">
        <v>30</v>
      </c>
      <c r="C7" s="49"/>
      <c r="D7" s="49"/>
      <c r="E7" s="11" t="s">
        <v>189</v>
      </c>
      <c r="F7" s="12" t="s">
        <v>8</v>
      </c>
      <c r="G7" s="13" t="s">
        <v>7</v>
      </c>
      <c r="H7" s="15">
        <v>15</v>
      </c>
      <c r="I7" s="14">
        <v>14590</v>
      </c>
      <c r="J7" s="8">
        <f t="shared" si="0"/>
        <v>218850</v>
      </c>
    </row>
    <row r="8" spans="1:10" ht="31.5" x14ac:dyDescent="0.2">
      <c r="A8" s="17">
        <v>5</v>
      </c>
      <c r="B8" s="48" t="s">
        <v>30</v>
      </c>
      <c r="C8" s="48"/>
      <c r="D8" s="48"/>
      <c r="E8" s="5" t="s">
        <v>190</v>
      </c>
      <c r="F8" s="6" t="s">
        <v>6</v>
      </c>
      <c r="G8" s="7" t="s">
        <v>7</v>
      </c>
      <c r="H8" s="18">
        <v>6</v>
      </c>
      <c r="I8" s="8">
        <v>14590</v>
      </c>
      <c r="J8" s="8">
        <f t="shared" si="0"/>
        <v>87540</v>
      </c>
    </row>
    <row r="9" spans="1:10" ht="31.5" x14ac:dyDescent="0.2">
      <c r="A9" s="17">
        <v>6</v>
      </c>
      <c r="B9" s="48" t="s">
        <v>30</v>
      </c>
      <c r="C9" s="48"/>
      <c r="D9" s="48"/>
      <c r="E9" s="5" t="s">
        <v>190</v>
      </c>
      <c r="F9" s="6" t="s">
        <v>6</v>
      </c>
      <c r="G9" s="7" t="s">
        <v>7</v>
      </c>
      <c r="H9" s="18">
        <v>80</v>
      </c>
      <c r="I9" s="8">
        <v>10101</v>
      </c>
      <c r="J9" s="8">
        <f t="shared" si="0"/>
        <v>808080</v>
      </c>
    </row>
    <row r="10" spans="1:10" ht="31.5" x14ac:dyDescent="0.2">
      <c r="A10" s="17">
        <v>7</v>
      </c>
      <c r="B10" s="48" t="s">
        <v>30</v>
      </c>
      <c r="C10" s="48"/>
      <c r="D10" s="48"/>
      <c r="E10" s="5" t="s">
        <v>190</v>
      </c>
      <c r="F10" s="6" t="s">
        <v>6</v>
      </c>
      <c r="G10" s="7" t="s">
        <v>7</v>
      </c>
      <c r="H10" s="18">
        <v>140</v>
      </c>
      <c r="I10" s="8">
        <v>12000</v>
      </c>
      <c r="J10" s="8">
        <f t="shared" si="0"/>
        <v>1680000</v>
      </c>
    </row>
    <row r="11" spans="1:10" ht="15.75" x14ac:dyDescent="0.2">
      <c r="A11" s="17">
        <v>8</v>
      </c>
      <c r="B11" s="48" t="s">
        <v>31</v>
      </c>
      <c r="C11" s="48"/>
      <c r="D11" s="48"/>
      <c r="E11" s="5" t="s">
        <v>11</v>
      </c>
      <c r="F11" s="6" t="s">
        <v>6</v>
      </c>
      <c r="G11" s="7" t="s">
        <v>7</v>
      </c>
      <c r="H11" s="18">
        <v>90</v>
      </c>
      <c r="I11" s="8">
        <v>8000</v>
      </c>
      <c r="J11" s="8">
        <f t="shared" si="0"/>
        <v>720000</v>
      </c>
    </row>
    <row r="12" spans="1:10" ht="15.75" x14ac:dyDescent="0.2">
      <c r="A12" s="17">
        <v>9</v>
      </c>
      <c r="B12" s="48" t="s">
        <v>32</v>
      </c>
      <c r="C12" s="48"/>
      <c r="D12" s="48"/>
      <c r="E12" s="5" t="s">
        <v>191</v>
      </c>
      <c r="F12" s="6" t="s">
        <v>6</v>
      </c>
      <c r="G12" s="7" t="s">
        <v>7</v>
      </c>
      <c r="H12" s="18">
        <v>40</v>
      </c>
      <c r="I12" s="8">
        <v>16050</v>
      </c>
      <c r="J12" s="8">
        <f t="shared" si="0"/>
        <v>642000</v>
      </c>
    </row>
    <row r="13" spans="1:10" ht="15.75" x14ac:dyDescent="0.2">
      <c r="A13" s="19">
        <v>10</v>
      </c>
      <c r="B13" s="48" t="s">
        <v>33</v>
      </c>
      <c r="C13" s="48"/>
      <c r="D13" s="48"/>
      <c r="E13" s="5" t="s">
        <v>192</v>
      </c>
      <c r="F13" s="6" t="s">
        <v>6</v>
      </c>
      <c r="G13" s="7" t="s">
        <v>7</v>
      </c>
      <c r="H13" s="18">
        <v>3</v>
      </c>
      <c r="I13" s="8">
        <v>30303</v>
      </c>
      <c r="J13" s="8">
        <f t="shared" si="0"/>
        <v>90909</v>
      </c>
    </row>
    <row r="14" spans="1:10" ht="15.75" x14ac:dyDescent="0.2">
      <c r="A14" s="19">
        <v>11</v>
      </c>
      <c r="B14" s="48" t="s">
        <v>35</v>
      </c>
      <c r="C14" s="48"/>
      <c r="D14" s="48"/>
      <c r="E14" s="5" t="s">
        <v>192</v>
      </c>
      <c r="F14" s="6" t="s">
        <v>6</v>
      </c>
      <c r="G14" s="7" t="s">
        <v>7</v>
      </c>
      <c r="H14" s="18">
        <v>3</v>
      </c>
      <c r="I14" s="8">
        <v>18415</v>
      </c>
      <c r="J14" s="8">
        <f t="shared" si="0"/>
        <v>55245</v>
      </c>
    </row>
    <row r="15" spans="1:10" ht="31.5" x14ac:dyDescent="0.2">
      <c r="A15" s="19">
        <v>12</v>
      </c>
      <c r="B15" s="48" t="s">
        <v>36</v>
      </c>
      <c r="C15" s="48"/>
      <c r="D15" s="48"/>
      <c r="E15" s="5" t="s">
        <v>12</v>
      </c>
      <c r="F15" s="6" t="s">
        <v>6</v>
      </c>
      <c r="G15" s="7" t="s">
        <v>7</v>
      </c>
      <c r="H15" s="18">
        <v>3</v>
      </c>
      <c r="I15" s="8">
        <v>21307</v>
      </c>
      <c r="J15" s="8">
        <f t="shared" si="0"/>
        <v>63921</v>
      </c>
    </row>
    <row r="16" spans="1:10" ht="15.75" x14ac:dyDescent="0.2">
      <c r="A16" s="19">
        <v>13</v>
      </c>
      <c r="B16" s="48" t="s">
        <v>37</v>
      </c>
      <c r="C16" s="48"/>
      <c r="D16" s="48"/>
      <c r="E16" s="5" t="s">
        <v>13</v>
      </c>
      <c r="F16" s="6" t="s">
        <v>6</v>
      </c>
      <c r="G16" s="7" t="s">
        <v>7</v>
      </c>
      <c r="H16" s="18">
        <v>3</v>
      </c>
      <c r="I16" s="8">
        <v>15031</v>
      </c>
      <c r="J16" s="8">
        <f t="shared" si="0"/>
        <v>45093</v>
      </c>
    </row>
    <row r="17" spans="1:10" ht="31.5" x14ac:dyDescent="0.2">
      <c r="A17" s="19">
        <v>14</v>
      </c>
      <c r="B17" s="48" t="s">
        <v>36</v>
      </c>
      <c r="C17" s="48"/>
      <c r="D17" s="48"/>
      <c r="E17" s="5" t="s">
        <v>12</v>
      </c>
      <c r="F17" s="6" t="s">
        <v>6</v>
      </c>
      <c r="G17" s="7" t="s">
        <v>7</v>
      </c>
      <c r="H17" s="18">
        <v>3</v>
      </c>
      <c r="I17" s="8">
        <v>21892</v>
      </c>
      <c r="J17" s="8">
        <f t="shared" si="0"/>
        <v>65676</v>
      </c>
    </row>
    <row r="18" spans="1:10" ht="15.75" x14ac:dyDescent="0.2">
      <c r="A18" s="19">
        <v>15</v>
      </c>
      <c r="B18" s="48" t="s">
        <v>37</v>
      </c>
      <c r="C18" s="48"/>
      <c r="D18" s="48"/>
      <c r="E18" s="5" t="s">
        <v>13</v>
      </c>
      <c r="F18" s="6" t="s">
        <v>6</v>
      </c>
      <c r="G18" s="7" t="s">
        <v>7</v>
      </c>
      <c r="H18" s="18">
        <v>3</v>
      </c>
      <c r="I18" s="8">
        <v>17010</v>
      </c>
      <c r="J18" s="8">
        <f t="shared" si="0"/>
        <v>51030</v>
      </c>
    </row>
    <row r="19" spans="1:10" ht="31.5" x14ac:dyDescent="0.2">
      <c r="A19" s="19">
        <v>16</v>
      </c>
      <c r="B19" s="48" t="s">
        <v>38</v>
      </c>
      <c r="C19" s="48"/>
      <c r="D19" s="48"/>
      <c r="E19" s="5" t="s">
        <v>193</v>
      </c>
      <c r="F19" s="6" t="s">
        <v>6</v>
      </c>
      <c r="G19" s="7" t="s">
        <v>7</v>
      </c>
      <c r="H19" s="18">
        <v>5</v>
      </c>
      <c r="I19" s="8">
        <v>204000</v>
      </c>
      <c r="J19" s="8">
        <f t="shared" si="0"/>
        <v>1020000</v>
      </c>
    </row>
    <row r="20" spans="1:10" ht="15.75" x14ac:dyDescent="0.2">
      <c r="A20" s="20">
        <v>17</v>
      </c>
      <c r="B20" s="50" t="s">
        <v>39</v>
      </c>
      <c r="C20" s="50"/>
      <c r="D20" s="50"/>
      <c r="E20" s="16" t="s">
        <v>194</v>
      </c>
      <c r="F20" s="21" t="s">
        <v>6</v>
      </c>
      <c r="G20" s="22" t="s">
        <v>7</v>
      </c>
      <c r="H20" s="24">
        <v>5</v>
      </c>
      <c r="I20" s="23">
        <v>26630</v>
      </c>
      <c r="J20" s="8">
        <f t="shared" si="0"/>
        <v>133150</v>
      </c>
    </row>
    <row r="21" spans="1:10" ht="15.75" x14ac:dyDescent="0.2">
      <c r="A21" s="4">
        <v>18</v>
      </c>
      <c r="B21" s="48" t="s">
        <v>40</v>
      </c>
      <c r="C21" s="48"/>
      <c r="D21" s="48"/>
      <c r="E21" s="5" t="s">
        <v>195</v>
      </c>
      <c r="F21" s="6" t="s">
        <v>6</v>
      </c>
      <c r="G21" s="7" t="s">
        <v>7</v>
      </c>
      <c r="H21" s="25">
        <v>5</v>
      </c>
      <c r="I21" s="8">
        <v>19958</v>
      </c>
      <c r="J21" s="8">
        <f t="shared" si="0"/>
        <v>99790</v>
      </c>
    </row>
    <row r="22" spans="1:10" ht="31.5" x14ac:dyDescent="0.2">
      <c r="A22" s="4">
        <v>19</v>
      </c>
      <c r="B22" s="48" t="s">
        <v>41</v>
      </c>
      <c r="C22" s="48"/>
      <c r="D22" s="48"/>
      <c r="E22" s="5" t="s">
        <v>196</v>
      </c>
      <c r="F22" s="6" t="s">
        <v>6</v>
      </c>
      <c r="G22" s="7" t="s">
        <v>7</v>
      </c>
      <c r="H22" s="26">
        <v>20</v>
      </c>
      <c r="I22" s="8">
        <v>6212</v>
      </c>
      <c r="J22" s="8">
        <f t="shared" si="0"/>
        <v>124240</v>
      </c>
    </row>
    <row r="23" spans="1:10" ht="31.5" x14ac:dyDescent="0.2">
      <c r="A23" s="4">
        <v>20</v>
      </c>
      <c r="B23" s="48" t="s">
        <v>42</v>
      </c>
      <c r="C23" s="48"/>
      <c r="D23" s="48"/>
      <c r="E23" s="5" t="s">
        <v>14</v>
      </c>
      <c r="F23" s="6" t="s">
        <v>6</v>
      </c>
      <c r="G23" s="7" t="s">
        <v>7</v>
      </c>
      <c r="H23" s="26">
        <v>10</v>
      </c>
      <c r="I23" s="8">
        <v>6000</v>
      </c>
      <c r="J23" s="8">
        <f t="shared" si="0"/>
        <v>60000</v>
      </c>
    </row>
    <row r="24" spans="1:10" ht="31.5" x14ac:dyDescent="0.2">
      <c r="A24" s="4">
        <v>21</v>
      </c>
      <c r="B24" s="48" t="s">
        <v>42</v>
      </c>
      <c r="C24" s="48"/>
      <c r="D24" s="48"/>
      <c r="E24" s="5" t="s">
        <v>14</v>
      </c>
      <c r="F24" s="6" t="s">
        <v>6</v>
      </c>
      <c r="G24" s="7" t="s">
        <v>7</v>
      </c>
      <c r="H24" s="26">
        <v>10</v>
      </c>
      <c r="I24" s="8">
        <v>5759</v>
      </c>
      <c r="J24" s="8">
        <f t="shared" si="0"/>
        <v>57590</v>
      </c>
    </row>
    <row r="25" spans="1:10" ht="31.5" x14ac:dyDescent="0.2">
      <c r="A25" s="4">
        <v>22</v>
      </c>
      <c r="B25" s="51" t="s">
        <v>43</v>
      </c>
      <c r="C25" s="51"/>
      <c r="D25" s="51"/>
      <c r="E25" s="5" t="s">
        <v>197</v>
      </c>
      <c r="F25" s="6" t="s">
        <v>6</v>
      </c>
      <c r="G25" s="7" t="s">
        <v>7</v>
      </c>
      <c r="H25" s="26">
        <v>12</v>
      </c>
      <c r="I25" s="8">
        <v>4602</v>
      </c>
      <c r="J25" s="8">
        <f t="shared" si="0"/>
        <v>55224</v>
      </c>
    </row>
    <row r="26" spans="1:10" ht="15.75" x14ac:dyDescent="0.2">
      <c r="A26" s="4">
        <v>23</v>
      </c>
      <c r="B26" s="48" t="s">
        <v>44</v>
      </c>
      <c r="C26" s="48"/>
      <c r="D26" s="48"/>
      <c r="E26" s="5" t="s">
        <v>198</v>
      </c>
      <c r="F26" s="6" t="s">
        <v>6</v>
      </c>
      <c r="G26" s="7" t="s">
        <v>7</v>
      </c>
      <c r="H26" s="25">
        <v>2</v>
      </c>
      <c r="I26" s="8">
        <v>220000</v>
      </c>
      <c r="J26" s="8">
        <f t="shared" si="0"/>
        <v>440000</v>
      </c>
    </row>
    <row r="27" spans="1:10" ht="15.75" x14ac:dyDescent="0.2">
      <c r="A27" s="4">
        <v>24</v>
      </c>
      <c r="B27" s="48" t="s">
        <v>45</v>
      </c>
      <c r="C27" s="48"/>
      <c r="D27" s="48"/>
      <c r="E27" s="5" t="s">
        <v>15</v>
      </c>
      <c r="F27" s="6" t="s">
        <v>6</v>
      </c>
      <c r="G27" s="7" t="s">
        <v>7</v>
      </c>
      <c r="H27" s="25">
        <v>2</v>
      </c>
      <c r="I27" s="8">
        <v>320000</v>
      </c>
      <c r="J27" s="8">
        <f t="shared" si="0"/>
        <v>640000</v>
      </c>
    </row>
    <row r="28" spans="1:10" ht="15.75" x14ac:dyDescent="0.2">
      <c r="A28" s="4">
        <v>25</v>
      </c>
      <c r="B28" s="48" t="s">
        <v>45</v>
      </c>
      <c r="C28" s="48"/>
      <c r="D28" s="48"/>
      <c r="E28" s="5" t="s">
        <v>15</v>
      </c>
      <c r="F28" s="6" t="s">
        <v>6</v>
      </c>
      <c r="G28" s="7" t="s">
        <v>7</v>
      </c>
      <c r="H28" s="25">
        <v>2</v>
      </c>
      <c r="I28" s="8">
        <v>340000</v>
      </c>
      <c r="J28" s="8">
        <f t="shared" si="0"/>
        <v>680000</v>
      </c>
    </row>
    <row r="29" spans="1:10" ht="15.75" x14ac:dyDescent="0.2">
      <c r="A29" s="4">
        <v>26</v>
      </c>
      <c r="B29" s="48" t="s">
        <v>46</v>
      </c>
      <c r="C29" s="48"/>
      <c r="D29" s="48"/>
      <c r="E29" s="5" t="s">
        <v>199</v>
      </c>
      <c r="F29" s="6" t="s">
        <v>6</v>
      </c>
      <c r="G29" s="7" t="s">
        <v>7</v>
      </c>
      <c r="H29" s="25">
        <v>1</v>
      </c>
      <c r="I29" s="8">
        <v>220000</v>
      </c>
      <c r="J29" s="8">
        <f t="shared" si="0"/>
        <v>220000</v>
      </c>
    </row>
    <row r="30" spans="1:10" ht="15.75" x14ac:dyDescent="0.2">
      <c r="A30" s="4">
        <v>27</v>
      </c>
      <c r="B30" s="48" t="s">
        <v>47</v>
      </c>
      <c r="C30" s="48"/>
      <c r="D30" s="48"/>
      <c r="E30" s="5" t="s">
        <v>200</v>
      </c>
      <c r="F30" s="6" t="s">
        <v>6</v>
      </c>
      <c r="G30" s="7" t="s">
        <v>7</v>
      </c>
      <c r="H30" s="25">
        <v>2</v>
      </c>
      <c r="I30" s="8">
        <v>55000</v>
      </c>
      <c r="J30" s="8">
        <f t="shared" si="0"/>
        <v>110000</v>
      </c>
    </row>
    <row r="31" spans="1:10" ht="15.75" x14ac:dyDescent="0.2">
      <c r="A31" s="4">
        <v>28</v>
      </c>
      <c r="B31" s="48" t="s">
        <v>48</v>
      </c>
      <c r="C31" s="48"/>
      <c r="D31" s="48"/>
      <c r="E31" s="5" t="s">
        <v>16</v>
      </c>
      <c r="F31" s="6" t="s">
        <v>6</v>
      </c>
      <c r="G31" s="7" t="s">
        <v>7</v>
      </c>
      <c r="H31" s="25">
        <v>2</v>
      </c>
      <c r="I31" s="8">
        <v>47000</v>
      </c>
      <c r="J31" s="8">
        <f t="shared" si="0"/>
        <v>94000</v>
      </c>
    </row>
    <row r="32" spans="1:10" ht="15.75" x14ac:dyDescent="0.2">
      <c r="A32" s="10">
        <v>29</v>
      </c>
      <c r="B32" s="52" t="s">
        <v>52</v>
      </c>
      <c r="C32" s="52"/>
      <c r="D32" s="52"/>
      <c r="E32" s="11" t="s">
        <v>16</v>
      </c>
      <c r="F32" s="27" t="s">
        <v>6</v>
      </c>
      <c r="G32" s="13" t="s">
        <v>7</v>
      </c>
      <c r="H32" s="28">
        <v>1</v>
      </c>
      <c r="I32" s="14">
        <v>50000</v>
      </c>
      <c r="J32" s="8">
        <f t="shared" si="0"/>
        <v>50000</v>
      </c>
    </row>
    <row r="33" spans="1:10" ht="15.75" x14ac:dyDescent="0.2">
      <c r="A33" s="4">
        <v>30</v>
      </c>
      <c r="B33" s="48" t="s">
        <v>51</v>
      </c>
      <c r="C33" s="48"/>
      <c r="D33" s="48"/>
      <c r="E33" s="5" t="s">
        <v>200</v>
      </c>
      <c r="F33" s="6" t="s">
        <v>6</v>
      </c>
      <c r="G33" s="7" t="s">
        <v>7</v>
      </c>
      <c r="H33" s="25">
        <v>2</v>
      </c>
      <c r="I33" s="8">
        <v>62000</v>
      </c>
      <c r="J33" s="8">
        <f t="shared" si="0"/>
        <v>124000</v>
      </c>
    </row>
    <row r="34" spans="1:10" ht="31.5" x14ac:dyDescent="0.2">
      <c r="A34" s="4">
        <v>31</v>
      </c>
      <c r="B34" s="51" t="s">
        <v>49</v>
      </c>
      <c r="C34" s="51"/>
      <c r="D34" s="51"/>
      <c r="E34" s="5" t="s">
        <v>201</v>
      </c>
      <c r="F34" s="6" t="s">
        <v>6</v>
      </c>
      <c r="G34" s="7" t="s">
        <v>7</v>
      </c>
      <c r="H34" s="26">
        <v>10</v>
      </c>
      <c r="I34" s="8">
        <v>190000</v>
      </c>
      <c r="J34" s="8">
        <f t="shared" si="0"/>
        <v>1900000</v>
      </c>
    </row>
    <row r="35" spans="1:10" ht="31.5" x14ac:dyDescent="0.2">
      <c r="A35" s="4">
        <v>32</v>
      </c>
      <c r="B35" s="48" t="s">
        <v>53</v>
      </c>
      <c r="C35" s="48"/>
      <c r="D35" s="48"/>
      <c r="E35" s="5" t="s">
        <v>202</v>
      </c>
      <c r="F35" s="6" t="s">
        <v>6</v>
      </c>
      <c r="G35" s="7" t="s">
        <v>7</v>
      </c>
      <c r="H35" s="26">
        <v>10</v>
      </c>
      <c r="I35" s="8">
        <v>100000</v>
      </c>
      <c r="J35" s="8">
        <f t="shared" si="0"/>
        <v>1000000</v>
      </c>
    </row>
    <row r="36" spans="1:10" ht="31.5" x14ac:dyDescent="0.2">
      <c r="A36" s="4">
        <v>33</v>
      </c>
      <c r="B36" s="48" t="s">
        <v>50</v>
      </c>
      <c r="C36" s="48"/>
      <c r="D36" s="48"/>
      <c r="E36" s="5" t="s">
        <v>203</v>
      </c>
      <c r="F36" s="6" t="s">
        <v>6</v>
      </c>
      <c r="G36" s="7" t="s">
        <v>7</v>
      </c>
      <c r="H36" s="26">
        <v>30</v>
      </c>
      <c r="I36" s="8">
        <v>3206</v>
      </c>
      <c r="J36" s="8">
        <f t="shared" si="0"/>
        <v>96180</v>
      </c>
    </row>
    <row r="37" spans="1:10" ht="31.5" x14ac:dyDescent="0.2">
      <c r="A37" s="4">
        <v>34</v>
      </c>
      <c r="B37" s="48" t="s">
        <v>54</v>
      </c>
      <c r="C37" s="48"/>
      <c r="D37" s="48"/>
      <c r="E37" s="5" t="s">
        <v>204</v>
      </c>
      <c r="F37" s="6" t="s">
        <v>6</v>
      </c>
      <c r="G37" s="7" t="s">
        <v>7</v>
      </c>
      <c r="H37" s="26">
        <v>20</v>
      </c>
      <c r="I37" s="8">
        <v>3679</v>
      </c>
      <c r="J37" s="8">
        <f t="shared" si="0"/>
        <v>73580</v>
      </c>
    </row>
    <row r="38" spans="1:10" ht="31.5" x14ac:dyDescent="0.2">
      <c r="A38" s="4">
        <v>35</v>
      </c>
      <c r="B38" s="48" t="s">
        <v>54</v>
      </c>
      <c r="C38" s="48"/>
      <c r="D38" s="48"/>
      <c r="E38" s="5" t="s">
        <v>204</v>
      </c>
      <c r="F38" s="6" t="s">
        <v>6</v>
      </c>
      <c r="G38" s="7" t="s">
        <v>7</v>
      </c>
      <c r="H38" s="26">
        <v>20</v>
      </c>
      <c r="I38" s="8">
        <v>3679</v>
      </c>
      <c r="J38" s="8">
        <f t="shared" si="0"/>
        <v>73580</v>
      </c>
    </row>
    <row r="39" spans="1:10" ht="15.75" x14ac:dyDescent="0.2">
      <c r="A39" s="4">
        <v>36</v>
      </c>
      <c r="B39" s="48" t="s">
        <v>55</v>
      </c>
      <c r="C39" s="48"/>
      <c r="D39" s="48"/>
      <c r="E39" s="5" t="s">
        <v>205</v>
      </c>
      <c r="F39" s="6" t="s">
        <v>6</v>
      </c>
      <c r="G39" s="7" t="s">
        <v>7</v>
      </c>
      <c r="H39" s="26">
        <v>20</v>
      </c>
      <c r="I39" s="8">
        <v>4680</v>
      </c>
      <c r="J39" s="8">
        <f t="shared" si="0"/>
        <v>93600</v>
      </c>
    </row>
    <row r="40" spans="1:10" ht="31.5" x14ac:dyDescent="0.2">
      <c r="A40" s="4">
        <v>37</v>
      </c>
      <c r="B40" s="51" t="s">
        <v>56</v>
      </c>
      <c r="C40" s="51"/>
      <c r="D40" s="51"/>
      <c r="E40" s="5" t="s">
        <v>206</v>
      </c>
      <c r="F40" s="6" t="s">
        <v>6</v>
      </c>
      <c r="G40" s="7" t="s">
        <v>7</v>
      </c>
      <c r="H40" s="26">
        <v>10</v>
      </c>
      <c r="I40" s="8">
        <v>3000</v>
      </c>
      <c r="J40" s="8">
        <f t="shared" si="0"/>
        <v>30000</v>
      </c>
    </row>
    <row r="41" spans="1:10" ht="31.5" x14ac:dyDescent="0.2">
      <c r="A41" s="4">
        <v>38</v>
      </c>
      <c r="B41" s="48" t="s">
        <v>57</v>
      </c>
      <c r="C41" s="48"/>
      <c r="D41" s="48"/>
      <c r="E41" s="5" t="s">
        <v>207</v>
      </c>
      <c r="F41" s="6" t="s">
        <v>6</v>
      </c>
      <c r="G41" s="7" t="s">
        <v>7</v>
      </c>
      <c r="H41" s="26">
        <v>20</v>
      </c>
      <c r="I41" s="8">
        <v>7000</v>
      </c>
      <c r="J41" s="8">
        <f t="shared" si="0"/>
        <v>140000</v>
      </c>
    </row>
    <row r="42" spans="1:10" ht="31.5" x14ac:dyDescent="0.2">
      <c r="A42" s="4">
        <v>39</v>
      </c>
      <c r="B42" s="48" t="s">
        <v>58</v>
      </c>
      <c r="C42" s="48"/>
      <c r="D42" s="48"/>
      <c r="E42" s="5" t="s">
        <v>208</v>
      </c>
      <c r="F42" s="6" t="s">
        <v>6</v>
      </c>
      <c r="G42" s="7" t="s">
        <v>7</v>
      </c>
      <c r="H42" s="26">
        <v>10</v>
      </c>
      <c r="I42" s="8">
        <v>52147</v>
      </c>
      <c r="J42" s="8">
        <f t="shared" si="0"/>
        <v>521470</v>
      </c>
    </row>
    <row r="43" spans="1:10" ht="31.5" x14ac:dyDescent="0.2">
      <c r="A43" s="4">
        <v>40</v>
      </c>
      <c r="B43" s="51" t="s">
        <v>59</v>
      </c>
      <c r="C43" s="51"/>
      <c r="D43" s="51"/>
      <c r="E43" s="5" t="s">
        <v>209</v>
      </c>
      <c r="F43" s="6" t="s">
        <v>6</v>
      </c>
      <c r="G43" s="7" t="s">
        <v>7</v>
      </c>
      <c r="H43" s="26">
        <v>20</v>
      </c>
      <c r="I43" s="8">
        <v>15000</v>
      </c>
      <c r="J43" s="8">
        <f t="shared" si="0"/>
        <v>300000</v>
      </c>
    </row>
    <row r="44" spans="1:10" ht="15.75" x14ac:dyDescent="0.2">
      <c r="A44" s="20">
        <v>41</v>
      </c>
      <c r="B44" s="50" t="s">
        <v>60</v>
      </c>
      <c r="C44" s="50"/>
      <c r="D44" s="50"/>
      <c r="E44" s="16" t="s">
        <v>210</v>
      </c>
      <c r="F44" s="21" t="s">
        <v>6</v>
      </c>
      <c r="G44" s="22" t="s">
        <v>7</v>
      </c>
      <c r="H44" s="29">
        <v>10</v>
      </c>
      <c r="I44" s="23">
        <v>7500</v>
      </c>
      <c r="J44" s="8">
        <f t="shared" si="0"/>
        <v>75000</v>
      </c>
    </row>
    <row r="45" spans="1:10" ht="31.5" x14ac:dyDescent="0.2">
      <c r="A45" s="4">
        <v>42</v>
      </c>
      <c r="B45" s="51" t="s">
        <v>61</v>
      </c>
      <c r="C45" s="51"/>
      <c r="D45" s="51"/>
      <c r="E45" s="5" t="s">
        <v>211</v>
      </c>
      <c r="F45" s="6" t="s">
        <v>6</v>
      </c>
      <c r="G45" s="7" t="s">
        <v>7</v>
      </c>
      <c r="H45" s="25">
        <v>5</v>
      </c>
      <c r="I45" s="8">
        <v>23000</v>
      </c>
      <c r="J45" s="8">
        <f t="shared" si="0"/>
        <v>115000</v>
      </c>
    </row>
    <row r="46" spans="1:10" ht="31.5" x14ac:dyDescent="0.2">
      <c r="A46" s="4">
        <v>43</v>
      </c>
      <c r="B46" s="51" t="s">
        <v>61</v>
      </c>
      <c r="C46" s="51"/>
      <c r="D46" s="51"/>
      <c r="E46" s="5" t="s">
        <v>211</v>
      </c>
      <c r="F46" s="6" t="s">
        <v>6</v>
      </c>
      <c r="G46" s="7" t="s">
        <v>7</v>
      </c>
      <c r="H46" s="25">
        <v>5</v>
      </c>
      <c r="I46" s="8">
        <v>23000</v>
      </c>
      <c r="J46" s="8">
        <f t="shared" si="0"/>
        <v>115000</v>
      </c>
    </row>
    <row r="47" spans="1:10" ht="31.5" x14ac:dyDescent="0.2">
      <c r="A47" s="4">
        <v>44</v>
      </c>
      <c r="B47" s="51" t="s">
        <v>62</v>
      </c>
      <c r="C47" s="51"/>
      <c r="D47" s="51"/>
      <c r="E47" s="5" t="s">
        <v>212</v>
      </c>
      <c r="F47" s="6" t="s">
        <v>6</v>
      </c>
      <c r="G47" s="7" t="s">
        <v>7</v>
      </c>
      <c r="H47" s="25">
        <v>5</v>
      </c>
      <c r="I47" s="8">
        <v>27000</v>
      </c>
      <c r="J47" s="8">
        <f t="shared" si="0"/>
        <v>135000</v>
      </c>
    </row>
    <row r="48" spans="1:10" ht="31.5" x14ac:dyDescent="0.2">
      <c r="A48" s="4">
        <v>45</v>
      </c>
      <c r="B48" s="51" t="s">
        <v>62</v>
      </c>
      <c r="C48" s="51"/>
      <c r="D48" s="51"/>
      <c r="E48" s="5" t="s">
        <v>212</v>
      </c>
      <c r="F48" s="6" t="s">
        <v>6</v>
      </c>
      <c r="G48" s="7" t="s">
        <v>7</v>
      </c>
      <c r="H48" s="25">
        <v>5</v>
      </c>
      <c r="I48" s="8">
        <v>27000</v>
      </c>
      <c r="J48" s="8">
        <f t="shared" si="0"/>
        <v>135000</v>
      </c>
    </row>
    <row r="49" spans="1:10" ht="31.5" x14ac:dyDescent="0.2">
      <c r="A49" s="4">
        <v>46</v>
      </c>
      <c r="B49" s="51" t="s">
        <v>63</v>
      </c>
      <c r="C49" s="51"/>
      <c r="D49" s="51"/>
      <c r="E49" s="5" t="s">
        <v>213</v>
      </c>
      <c r="F49" s="6" t="s">
        <v>6</v>
      </c>
      <c r="G49" s="7" t="s">
        <v>7</v>
      </c>
      <c r="H49" s="25">
        <v>8</v>
      </c>
      <c r="I49" s="8">
        <v>16991</v>
      </c>
      <c r="J49" s="8">
        <f t="shared" si="0"/>
        <v>135928</v>
      </c>
    </row>
    <row r="50" spans="1:10" ht="31.5" x14ac:dyDescent="0.2">
      <c r="A50" s="4">
        <v>47</v>
      </c>
      <c r="B50" s="48" t="s">
        <v>64</v>
      </c>
      <c r="C50" s="48"/>
      <c r="D50" s="48"/>
      <c r="E50" s="5" t="s">
        <v>214</v>
      </c>
      <c r="F50" s="6" t="s">
        <v>6</v>
      </c>
      <c r="G50" s="7" t="s">
        <v>7</v>
      </c>
      <c r="H50" s="25">
        <v>3</v>
      </c>
      <c r="I50" s="8">
        <v>25610</v>
      </c>
      <c r="J50" s="8">
        <f t="shared" si="0"/>
        <v>76830</v>
      </c>
    </row>
    <row r="51" spans="1:10" ht="31.5" x14ac:dyDescent="0.2">
      <c r="A51" s="4">
        <v>48</v>
      </c>
      <c r="B51" s="51" t="s">
        <v>65</v>
      </c>
      <c r="C51" s="51"/>
      <c r="D51" s="51"/>
      <c r="E51" s="5" t="s">
        <v>215</v>
      </c>
      <c r="F51" s="6" t="s">
        <v>6</v>
      </c>
      <c r="G51" s="7" t="s">
        <v>7</v>
      </c>
      <c r="H51" s="26">
        <v>20</v>
      </c>
      <c r="I51" s="8">
        <v>10000</v>
      </c>
      <c r="J51" s="8">
        <f t="shared" si="0"/>
        <v>200000</v>
      </c>
    </row>
    <row r="52" spans="1:10" ht="31.5" x14ac:dyDescent="0.2">
      <c r="A52" s="4">
        <v>49</v>
      </c>
      <c r="B52" s="48" t="s">
        <v>66</v>
      </c>
      <c r="C52" s="48"/>
      <c r="D52" s="48"/>
      <c r="E52" s="5" t="s">
        <v>216</v>
      </c>
      <c r="F52" s="6" t="s">
        <v>6</v>
      </c>
      <c r="G52" s="7" t="s">
        <v>7</v>
      </c>
      <c r="H52" s="26">
        <v>10</v>
      </c>
      <c r="I52" s="8">
        <v>5070</v>
      </c>
      <c r="J52" s="8">
        <f t="shared" si="0"/>
        <v>50700</v>
      </c>
    </row>
    <row r="53" spans="1:10" ht="31.5" x14ac:dyDescent="0.2">
      <c r="A53" s="4">
        <v>50</v>
      </c>
      <c r="B53" s="51" t="s">
        <v>67</v>
      </c>
      <c r="C53" s="51"/>
      <c r="D53" s="51"/>
      <c r="E53" s="5" t="s">
        <v>217</v>
      </c>
      <c r="F53" s="6" t="s">
        <v>6</v>
      </c>
      <c r="G53" s="7" t="s">
        <v>7</v>
      </c>
      <c r="H53" s="26">
        <v>10</v>
      </c>
      <c r="I53" s="8">
        <v>23000</v>
      </c>
      <c r="J53" s="8">
        <f t="shared" si="0"/>
        <v>230000</v>
      </c>
    </row>
    <row r="54" spans="1:10" ht="15.75" x14ac:dyDescent="0.2">
      <c r="A54" s="4">
        <v>51</v>
      </c>
      <c r="B54" s="48" t="s">
        <v>68</v>
      </c>
      <c r="C54" s="48"/>
      <c r="D54" s="48"/>
      <c r="E54" s="5" t="s">
        <v>218</v>
      </c>
      <c r="F54" s="6" t="s">
        <v>6</v>
      </c>
      <c r="G54" s="7" t="s">
        <v>7</v>
      </c>
      <c r="H54" s="26">
        <v>20</v>
      </c>
      <c r="I54" s="8">
        <v>2113</v>
      </c>
      <c r="J54" s="8">
        <f t="shared" si="0"/>
        <v>42260</v>
      </c>
    </row>
    <row r="55" spans="1:10" ht="31.5" x14ac:dyDescent="0.2">
      <c r="A55" s="30">
        <v>52</v>
      </c>
      <c r="B55" s="53" t="s">
        <v>323</v>
      </c>
      <c r="C55" s="53"/>
      <c r="D55" s="53"/>
      <c r="E55" s="16" t="s">
        <v>219</v>
      </c>
      <c r="F55" s="31" t="s">
        <v>6</v>
      </c>
      <c r="G55" s="32" t="s">
        <v>7</v>
      </c>
      <c r="H55" s="34">
        <v>5</v>
      </c>
      <c r="I55" s="33">
        <v>17000</v>
      </c>
      <c r="J55" s="8">
        <f t="shared" si="0"/>
        <v>85000</v>
      </c>
    </row>
    <row r="56" spans="1:10" ht="31.5" x14ac:dyDescent="0.2">
      <c r="A56" s="4">
        <v>53</v>
      </c>
      <c r="B56" s="51" t="s">
        <v>69</v>
      </c>
      <c r="C56" s="51"/>
      <c r="D56" s="51"/>
      <c r="E56" s="5" t="s">
        <v>220</v>
      </c>
      <c r="F56" s="6" t="s">
        <v>6</v>
      </c>
      <c r="G56" s="7" t="s">
        <v>7</v>
      </c>
      <c r="H56" s="18">
        <v>2</v>
      </c>
      <c r="I56" s="8">
        <v>24876</v>
      </c>
      <c r="J56" s="8">
        <f t="shared" si="0"/>
        <v>49752</v>
      </c>
    </row>
    <row r="57" spans="1:10" ht="15.75" x14ac:dyDescent="0.2">
      <c r="A57" s="4">
        <v>54</v>
      </c>
      <c r="B57" s="48" t="s">
        <v>70</v>
      </c>
      <c r="C57" s="48"/>
      <c r="D57" s="48"/>
      <c r="E57" s="5" t="s">
        <v>221</v>
      </c>
      <c r="F57" s="6" t="s">
        <v>6</v>
      </c>
      <c r="G57" s="7" t="s">
        <v>7</v>
      </c>
      <c r="H57" s="18">
        <v>8</v>
      </c>
      <c r="I57" s="8">
        <v>18500</v>
      </c>
      <c r="J57" s="8">
        <f t="shared" si="0"/>
        <v>148000</v>
      </c>
    </row>
    <row r="58" spans="1:10" ht="15.75" x14ac:dyDescent="0.2">
      <c r="A58" s="4">
        <v>55</v>
      </c>
      <c r="B58" s="48" t="s">
        <v>71</v>
      </c>
      <c r="C58" s="48"/>
      <c r="D58" s="48"/>
      <c r="E58" s="5" t="s">
        <v>222</v>
      </c>
      <c r="F58" s="6" t="s">
        <v>6</v>
      </c>
      <c r="G58" s="7" t="s">
        <v>7</v>
      </c>
      <c r="H58" s="18">
        <v>3</v>
      </c>
      <c r="I58" s="8">
        <v>12350</v>
      </c>
      <c r="J58" s="8">
        <f t="shared" si="0"/>
        <v>37050</v>
      </c>
    </row>
    <row r="59" spans="1:10" ht="15.75" x14ac:dyDescent="0.2">
      <c r="A59" s="4">
        <v>56</v>
      </c>
      <c r="B59" s="48" t="s">
        <v>71</v>
      </c>
      <c r="C59" s="48"/>
      <c r="D59" s="48"/>
      <c r="E59" s="5" t="s">
        <v>222</v>
      </c>
      <c r="F59" s="6" t="s">
        <v>6</v>
      </c>
      <c r="G59" s="7" t="s">
        <v>7</v>
      </c>
      <c r="H59" s="18">
        <v>3</v>
      </c>
      <c r="I59" s="8">
        <v>12350</v>
      </c>
      <c r="J59" s="8">
        <f t="shared" si="0"/>
        <v>37050</v>
      </c>
    </row>
    <row r="60" spans="1:10" ht="15.75" x14ac:dyDescent="0.2">
      <c r="A60" s="4">
        <v>57</v>
      </c>
      <c r="B60" s="48" t="s">
        <v>72</v>
      </c>
      <c r="C60" s="48"/>
      <c r="D60" s="48"/>
      <c r="E60" s="5" t="s">
        <v>17</v>
      </c>
      <c r="F60" s="6" t="s">
        <v>6</v>
      </c>
      <c r="G60" s="7" t="s">
        <v>7</v>
      </c>
      <c r="H60" s="18">
        <v>5</v>
      </c>
      <c r="I60" s="8">
        <v>70000</v>
      </c>
      <c r="J60" s="8">
        <f t="shared" si="0"/>
        <v>350000</v>
      </c>
    </row>
    <row r="61" spans="1:10" ht="15.75" x14ac:dyDescent="0.2">
      <c r="A61" s="4">
        <v>58</v>
      </c>
      <c r="B61" s="48" t="s">
        <v>73</v>
      </c>
      <c r="C61" s="48"/>
      <c r="D61" s="48"/>
      <c r="E61" s="5" t="s">
        <v>223</v>
      </c>
      <c r="F61" s="6" t="s">
        <v>6</v>
      </c>
      <c r="G61" s="7" t="s">
        <v>7</v>
      </c>
      <c r="H61" s="18">
        <v>4</v>
      </c>
      <c r="I61" s="8">
        <v>80000</v>
      </c>
      <c r="J61" s="8">
        <f t="shared" si="0"/>
        <v>320000</v>
      </c>
    </row>
    <row r="62" spans="1:10" ht="15.75" x14ac:dyDescent="0.2">
      <c r="A62" s="4">
        <v>59</v>
      </c>
      <c r="B62" s="48" t="s">
        <v>74</v>
      </c>
      <c r="C62" s="48"/>
      <c r="D62" s="48"/>
      <c r="E62" s="5" t="s">
        <v>224</v>
      </c>
      <c r="F62" s="6" t="s">
        <v>6</v>
      </c>
      <c r="G62" s="7" t="s">
        <v>7</v>
      </c>
      <c r="H62" s="18">
        <v>3</v>
      </c>
      <c r="I62" s="8">
        <v>75500</v>
      </c>
      <c r="J62" s="8">
        <f t="shared" si="0"/>
        <v>226500</v>
      </c>
    </row>
    <row r="63" spans="1:10" ht="31.5" x14ac:dyDescent="0.2">
      <c r="A63" s="4">
        <v>60</v>
      </c>
      <c r="B63" s="51" t="s">
        <v>54</v>
      </c>
      <c r="C63" s="51"/>
      <c r="D63" s="51"/>
      <c r="E63" s="5" t="s">
        <v>225</v>
      </c>
      <c r="F63" s="6" t="s">
        <v>6</v>
      </c>
      <c r="G63" s="7" t="s">
        <v>7</v>
      </c>
      <c r="H63" s="18">
        <v>3</v>
      </c>
      <c r="I63" s="8">
        <v>25226</v>
      </c>
      <c r="J63" s="8">
        <f t="shared" si="0"/>
        <v>75678</v>
      </c>
    </row>
    <row r="64" spans="1:10" ht="31.5" x14ac:dyDescent="0.2">
      <c r="A64" s="4">
        <v>61</v>
      </c>
      <c r="B64" s="51" t="s">
        <v>75</v>
      </c>
      <c r="C64" s="51"/>
      <c r="D64" s="51"/>
      <c r="E64" s="5" t="s">
        <v>226</v>
      </c>
      <c r="F64" s="6" t="s">
        <v>6</v>
      </c>
      <c r="G64" s="7" t="s">
        <v>7</v>
      </c>
      <c r="H64" s="18">
        <v>3</v>
      </c>
      <c r="I64" s="8">
        <v>22000</v>
      </c>
      <c r="J64" s="8">
        <f t="shared" si="0"/>
        <v>66000</v>
      </c>
    </row>
    <row r="65" spans="1:10" ht="15.75" x14ac:dyDescent="0.2">
      <c r="A65" s="4">
        <v>62</v>
      </c>
      <c r="B65" s="48" t="s">
        <v>76</v>
      </c>
      <c r="C65" s="48"/>
      <c r="D65" s="48"/>
      <c r="E65" s="5" t="s">
        <v>227</v>
      </c>
      <c r="F65" s="6" t="s">
        <v>6</v>
      </c>
      <c r="G65" s="7" t="s">
        <v>7</v>
      </c>
      <c r="H65" s="18">
        <v>5</v>
      </c>
      <c r="I65" s="8">
        <v>4095</v>
      </c>
      <c r="J65" s="8">
        <f t="shared" si="0"/>
        <v>20475</v>
      </c>
    </row>
    <row r="66" spans="1:10" ht="15.75" x14ac:dyDescent="0.2">
      <c r="A66" s="4">
        <v>63</v>
      </c>
      <c r="B66" s="51" t="s">
        <v>77</v>
      </c>
      <c r="C66" s="51"/>
      <c r="D66" s="51"/>
      <c r="E66" s="5" t="s">
        <v>227</v>
      </c>
      <c r="F66" s="6" t="s">
        <v>6</v>
      </c>
      <c r="G66" s="7" t="s">
        <v>7</v>
      </c>
      <c r="H66" s="18">
        <v>5</v>
      </c>
      <c r="I66" s="8">
        <v>4095</v>
      </c>
      <c r="J66" s="8">
        <f t="shared" si="0"/>
        <v>20475</v>
      </c>
    </row>
    <row r="67" spans="1:10" ht="31.5" x14ac:dyDescent="0.2">
      <c r="A67" s="4">
        <v>64</v>
      </c>
      <c r="B67" s="48" t="s">
        <v>78</v>
      </c>
      <c r="C67" s="48"/>
      <c r="D67" s="48"/>
      <c r="E67" s="5" t="s">
        <v>228</v>
      </c>
      <c r="F67" s="6" t="s">
        <v>6</v>
      </c>
      <c r="G67" s="7" t="s">
        <v>7</v>
      </c>
      <c r="H67" s="18">
        <v>3</v>
      </c>
      <c r="I67" s="8">
        <v>12000</v>
      </c>
      <c r="J67" s="8">
        <f t="shared" si="0"/>
        <v>36000</v>
      </c>
    </row>
    <row r="68" spans="1:10" ht="31.5" x14ac:dyDescent="0.2">
      <c r="A68" s="4">
        <v>65</v>
      </c>
      <c r="B68" s="48" t="s">
        <v>78</v>
      </c>
      <c r="C68" s="48"/>
      <c r="D68" s="48"/>
      <c r="E68" s="5" t="s">
        <v>228</v>
      </c>
      <c r="F68" s="6" t="s">
        <v>6</v>
      </c>
      <c r="G68" s="7" t="s">
        <v>7</v>
      </c>
      <c r="H68" s="18">
        <v>3</v>
      </c>
      <c r="I68" s="8">
        <v>12000</v>
      </c>
      <c r="J68" s="8">
        <f t="shared" si="0"/>
        <v>36000</v>
      </c>
    </row>
    <row r="69" spans="1:10" ht="15.75" x14ac:dyDescent="0.2">
      <c r="A69" s="4">
        <v>66</v>
      </c>
      <c r="B69" s="48" t="s">
        <v>79</v>
      </c>
      <c r="C69" s="48"/>
      <c r="D69" s="48"/>
      <c r="E69" s="5" t="s">
        <v>229</v>
      </c>
      <c r="F69" s="6" t="s">
        <v>6</v>
      </c>
      <c r="G69" s="7" t="s">
        <v>7</v>
      </c>
      <c r="H69" s="18">
        <v>6</v>
      </c>
      <c r="I69" s="8">
        <v>2626</v>
      </c>
      <c r="J69" s="8">
        <f t="shared" ref="J69:J132" si="1">+H69*I69</f>
        <v>15756</v>
      </c>
    </row>
    <row r="70" spans="1:10" ht="15.75" x14ac:dyDescent="0.2">
      <c r="A70" s="4">
        <v>67</v>
      </c>
      <c r="B70" s="48" t="s">
        <v>80</v>
      </c>
      <c r="C70" s="48"/>
      <c r="D70" s="48"/>
      <c r="E70" s="5" t="s">
        <v>230</v>
      </c>
      <c r="F70" s="6" t="s">
        <v>6</v>
      </c>
      <c r="G70" s="7" t="s">
        <v>7</v>
      </c>
      <c r="H70" s="18">
        <v>3</v>
      </c>
      <c r="I70" s="8">
        <v>55000</v>
      </c>
      <c r="J70" s="8">
        <f t="shared" si="1"/>
        <v>165000</v>
      </c>
    </row>
    <row r="71" spans="1:10" ht="15.75" x14ac:dyDescent="0.2">
      <c r="A71" s="4">
        <v>68</v>
      </c>
      <c r="B71" s="48" t="s">
        <v>80</v>
      </c>
      <c r="C71" s="48"/>
      <c r="D71" s="48"/>
      <c r="E71" s="5" t="s">
        <v>230</v>
      </c>
      <c r="F71" s="6" t="s">
        <v>6</v>
      </c>
      <c r="G71" s="7" t="s">
        <v>7</v>
      </c>
      <c r="H71" s="18">
        <v>3</v>
      </c>
      <c r="I71" s="8">
        <v>55000</v>
      </c>
      <c r="J71" s="8">
        <f t="shared" si="1"/>
        <v>165000</v>
      </c>
    </row>
    <row r="72" spans="1:10" ht="15.75" x14ac:dyDescent="0.2">
      <c r="A72" s="4">
        <v>69</v>
      </c>
      <c r="B72" s="48" t="s">
        <v>81</v>
      </c>
      <c r="C72" s="48"/>
      <c r="D72" s="48"/>
      <c r="E72" s="5" t="s">
        <v>231</v>
      </c>
      <c r="F72" s="6" t="s">
        <v>6</v>
      </c>
      <c r="G72" s="7" t="s">
        <v>7</v>
      </c>
      <c r="H72" s="18">
        <v>3</v>
      </c>
      <c r="I72" s="8">
        <v>120000</v>
      </c>
      <c r="J72" s="8">
        <f t="shared" si="1"/>
        <v>360000</v>
      </c>
    </row>
    <row r="73" spans="1:10" ht="15.75" x14ac:dyDescent="0.2">
      <c r="A73" s="4">
        <v>70</v>
      </c>
      <c r="B73" s="48" t="s">
        <v>81</v>
      </c>
      <c r="C73" s="48"/>
      <c r="D73" s="48"/>
      <c r="E73" s="5" t="s">
        <v>231</v>
      </c>
      <c r="F73" s="6" t="s">
        <v>6</v>
      </c>
      <c r="G73" s="7" t="s">
        <v>7</v>
      </c>
      <c r="H73" s="18">
        <v>3</v>
      </c>
      <c r="I73" s="8">
        <v>120000</v>
      </c>
      <c r="J73" s="8">
        <f t="shared" si="1"/>
        <v>360000</v>
      </c>
    </row>
    <row r="74" spans="1:10" ht="15.75" x14ac:dyDescent="0.2">
      <c r="A74" s="4">
        <v>71</v>
      </c>
      <c r="B74" s="48" t="s">
        <v>82</v>
      </c>
      <c r="C74" s="48"/>
      <c r="D74" s="48"/>
      <c r="E74" s="5" t="s">
        <v>232</v>
      </c>
      <c r="F74" s="6" t="s">
        <v>6</v>
      </c>
      <c r="G74" s="7" t="s">
        <v>7</v>
      </c>
      <c r="H74" s="18">
        <v>5</v>
      </c>
      <c r="I74" s="8">
        <v>13000</v>
      </c>
      <c r="J74" s="8">
        <f t="shared" si="1"/>
        <v>65000</v>
      </c>
    </row>
    <row r="75" spans="1:10" ht="15.75" x14ac:dyDescent="0.2">
      <c r="A75" s="4">
        <v>72</v>
      </c>
      <c r="B75" s="48" t="s">
        <v>83</v>
      </c>
      <c r="C75" s="48"/>
      <c r="D75" s="48"/>
      <c r="E75" s="5" t="s">
        <v>18</v>
      </c>
      <c r="F75" s="6" t="s">
        <v>6</v>
      </c>
      <c r="G75" s="7" t="s">
        <v>7</v>
      </c>
      <c r="H75" s="18">
        <v>5</v>
      </c>
      <c r="I75" s="8">
        <v>34526</v>
      </c>
      <c r="J75" s="8">
        <f t="shared" si="1"/>
        <v>172630</v>
      </c>
    </row>
    <row r="76" spans="1:10" ht="15.75" x14ac:dyDescent="0.2">
      <c r="A76" s="4">
        <v>73</v>
      </c>
      <c r="B76" s="48" t="s">
        <v>84</v>
      </c>
      <c r="C76" s="48"/>
      <c r="D76" s="48"/>
      <c r="E76" s="5" t="s">
        <v>19</v>
      </c>
      <c r="F76" s="6" t="s">
        <v>6</v>
      </c>
      <c r="G76" s="7" t="s">
        <v>7</v>
      </c>
      <c r="H76" s="18">
        <v>3</v>
      </c>
      <c r="I76" s="8">
        <v>11830</v>
      </c>
      <c r="J76" s="8">
        <f t="shared" si="1"/>
        <v>35490</v>
      </c>
    </row>
    <row r="77" spans="1:10" ht="15.75" x14ac:dyDescent="0.2">
      <c r="A77" s="4">
        <v>74</v>
      </c>
      <c r="B77" s="48" t="s">
        <v>85</v>
      </c>
      <c r="C77" s="48"/>
      <c r="D77" s="48"/>
      <c r="E77" s="5" t="s">
        <v>20</v>
      </c>
      <c r="F77" s="6" t="s">
        <v>6</v>
      </c>
      <c r="G77" s="7" t="s">
        <v>7</v>
      </c>
      <c r="H77" s="18">
        <v>5</v>
      </c>
      <c r="I77" s="8">
        <v>15000</v>
      </c>
      <c r="J77" s="8">
        <f t="shared" si="1"/>
        <v>75000</v>
      </c>
    </row>
    <row r="78" spans="1:10" ht="15.75" x14ac:dyDescent="0.2">
      <c r="A78" s="4">
        <v>75</v>
      </c>
      <c r="B78" s="48" t="s">
        <v>86</v>
      </c>
      <c r="C78" s="48"/>
      <c r="D78" s="48"/>
      <c r="E78" s="5" t="s">
        <v>21</v>
      </c>
      <c r="F78" s="6" t="s">
        <v>6</v>
      </c>
      <c r="G78" s="7" t="s">
        <v>7</v>
      </c>
      <c r="H78" s="18">
        <v>5</v>
      </c>
      <c r="I78" s="8">
        <v>23000</v>
      </c>
      <c r="J78" s="8">
        <f t="shared" si="1"/>
        <v>115000</v>
      </c>
    </row>
    <row r="79" spans="1:10" ht="15.75" x14ac:dyDescent="0.2">
      <c r="A79" s="30">
        <v>76</v>
      </c>
      <c r="B79" s="50" t="s">
        <v>86</v>
      </c>
      <c r="C79" s="50"/>
      <c r="D79" s="50"/>
      <c r="E79" s="16" t="s">
        <v>21</v>
      </c>
      <c r="F79" s="31" t="s">
        <v>6</v>
      </c>
      <c r="G79" s="32" t="s">
        <v>7</v>
      </c>
      <c r="H79" s="34">
        <v>5</v>
      </c>
      <c r="I79" s="33">
        <v>23000</v>
      </c>
      <c r="J79" s="8">
        <f t="shared" si="1"/>
        <v>115000</v>
      </c>
    </row>
    <row r="80" spans="1:10" ht="15.75" x14ac:dyDescent="0.2">
      <c r="A80" s="4">
        <v>77</v>
      </c>
      <c r="B80" s="48" t="s">
        <v>85</v>
      </c>
      <c r="C80" s="48"/>
      <c r="D80" s="48"/>
      <c r="E80" s="5" t="s">
        <v>20</v>
      </c>
      <c r="F80" s="6" t="s">
        <v>6</v>
      </c>
      <c r="G80" s="7" t="s">
        <v>7</v>
      </c>
      <c r="H80" s="18">
        <v>5</v>
      </c>
      <c r="I80" s="8">
        <v>15000</v>
      </c>
      <c r="J80" s="8">
        <f t="shared" si="1"/>
        <v>75000</v>
      </c>
    </row>
    <row r="81" spans="1:10" ht="15.75" x14ac:dyDescent="0.2">
      <c r="A81" s="4">
        <v>78</v>
      </c>
      <c r="B81" s="48" t="s">
        <v>85</v>
      </c>
      <c r="C81" s="48"/>
      <c r="D81" s="48"/>
      <c r="E81" s="5" t="s">
        <v>20</v>
      </c>
      <c r="F81" s="6" t="s">
        <v>6</v>
      </c>
      <c r="G81" s="7" t="s">
        <v>7</v>
      </c>
      <c r="H81" s="18">
        <v>3</v>
      </c>
      <c r="I81" s="8">
        <v>15000</v>
      </c>
      <c r="J81" s="8">
        <f t="shared" si="1"/>
        <v>45000</v>
      </c>
    </row>
    <row r="82" spans="1:10" ht="15.75" x14ac:dyDescent="0.2">
      <c r="A82" s="4">
        <v>79</v>
      </c>
      <c r="B82" s="48" t="s">
        <v>86</v>
      </c>
      <c r="C82" s="48"/>
      <c r="D82" s="48"/>
      <c r="E82" s="5" t="s">
        <v>21</v>
      </c>
      <c r="F82" s="6" t="s">
        <v>6</v>
      </c>
      <c r="G82" s="7" t="s">
        <v>7</v>
      </c>
      <c r="H82" s="18">
        <v>3</v>
      </c>
      <c r="I82" s="8">
        <v>23000</v>
      </c>
      <c r="J82" s="8">
        <f t="shared" si="1"/>
        <v>69000</v>
      </c>
    </row>
    <row r="83" spans="1:10" ht="15.75" x14ac:dyDescent="0.2">
      <c r="A83" s="4">
        <v>80</v>
      </c>
      <c r="B83" s="48" t="s">
        <v>86</v>
      </c>
      <c r="C83" s="48"/>
      <c r="D83" s="48"/>
      <c r="E83" s="5" t="s">
        <v>21</v>
      </c>
      <c r="F83" s="6" t="s">
        <v>6</v>
      </c>
      <c r="G83" s="7" t="s">
        <v>7</v>
      </c>
      <c r="H83" s="18">
        <v>3</v>
      </c>
      <c r="I83" s="8">
        <v>23000</v>
      </c>
      <c r="J83" s="8">
        <f t="shared" si="1"/>
        <v>69000</v>
      </c>
    </row>
    <row r="84" spans="1:10" ht="15.75" x14ac:dyDescent="0.2">
      <c r="A84" s="4">
        <v>81</v>
      </c>
      <c r="B84" s="48" t="s">
        <v>85</v>
      </c>
      <c r="C84" s="48"/>
      <c r="D84" s="48"/>
      <c r="E84" s="5" t="s">
        <v>20</v>
      </c>
      <c r="F84" s="6" t="s">
        <v>6</v>
      </c>
      <c r="G84" s="7" t="s">
        <v>7</v>
      </c>
      <c r="H84" s="18">
        <v>3</v>
      </c>
      <c r="I84" s="8">
        <v>15000</v>
      </c>
      <c r="J84" s="8">
        <f t="shared" si="1"/>
        <v>45000</v>
      </c>
    </row>
    <row r="85" spans="1:10" ht="31.5" x14ac:dyDescent="0.2">
      <c r="A85" s="4">
        <v>82</v>
      </c>
      <c r="B85" s="51" t="s">
        <v>87</v>
      </c>
      <c r="C85" s="51"/>
      <c r="D85" s="51"/>
      <c r="E85" s="5" t="s">
        <v>233</v>
      </c>
      <c r="F85" s="6" t="s">
        <v>6</v>
      </c>
      <c r="G85" s="7" t="s">
        <v>7</v>
      </c>
      <c r="H85" s="18">
        <v>15</v>
      </c>
      <c r="I85" s="8">
        <v>23000</v>
      </c>
      <c r="J85" s="8">
        <f t="shared" si="1"/>
        <v>345000</v>
      </c>
    </row>
    <row r="86" spans="1:10" ht="31.5" x14ac:dyDescent="0.2">
      <c r="A86" s="4">
        <v>83</v>
      </c>
      <c r="B86" s="51" t="s">
        <v>88</v>
      </c>
      <c r="C86" s="51"/>
      <c r="D86" s="51"/>
      <c r="E86" s="5" t="s">
        <v>234</v>
      </c>
      <c r="F86" s="6" t="s">
        <v>6</v>
      </c>
      <c r="G86" s="7" t="s">
        <v>7</v>
      </c>
      <c r="H86" s="18">
        <v>12</v>
      </c>
      <c r="I86" s="8">
        <v>12000</v>
      </c>
      <c r="J86" s="8">
        <f t="shared" si="1"/>
        <v>144000</v>
      </c>
    </row>
    <row r="87" spans="1:10" ht="31.5" x14ac:dyDescent="0.2">
      <c r="A87" s="4">
        <v>84</v>
      </c>
      <c r="B87" s="48" t="s">
        <v>89</v>
      </c>
      <c r="C87" s="48"/>
      <c r="D87" s="48"/>
      <c r="E87" s="5" t="s">
        <v>235</v>
      </c>
      <c r="F87" s="6" t="s">
        <v>6</v>
      </c>
      <c r="G87" s="7" t="s">
        <v>7</v>
      </c>
      <c r="H87" s="18">
        <v>15</v>
      </c>
      <c r="I87" s="8">
        <v>6000</v>
      </c>
      <c r="J87" s="8">
        <f t="shared" si="1"/>
        <v>90000</v>
      </c>
    </row>
    <row r="88" spans="1:10" ht="31.5" x14ac:dyDescent="0.2">
      <c r="A88" s="4">
        <v>85</v>
      </c>
      <c r="B88" s="48" t="s">
        <v>90</v>
      </c>
      <c r="C88" s="48"/>
      <c r="D88" s="48"/>
      <c r="E88" s="5" t="s">
        <v>236</v>
      </c>
      <c r="F88" s="6" t="s">
        <v>6</v>
      </c>
      <c r="G88" s="7" t="s">
        <v>7</v>
      </c>
      <c r="H88" s="18">
        <v>15</v>
      </c>
      <c r="I88" s="8">
        <v>5655</v>
      </c>
      <c r="J88" s="8">
        <f t="shared" si="1"/>
        <v>84825</v>
      </c>
    </row>
    <row r="89" spans="1:10" ht="15.75" x14ac:dyDescent="0.2">
      <c r="A89" s="4">
        <v>86</v>
      </c>
      <c r="B89" s="48" t="s">
        <v>91</v>
      </c>
      <c r="C89" s="48"/>
      <c r="D89" s="48"/>
      <c r="E89" s="5" t="s">
        <v>237</v>
      </c>
      <c r="F89" s="6" t="s">
        <v>6</v>
      </c>
      <c r="G89" s="7" t="s">
        <v>7</v>
      </c>
      <c r="H89" s="37">
        <v>2500</v>
      </c>
      <c r="I89" s="36">
        <v>8</v>
      </c>
      <c r="J89" s="8">
        <f t="shared" si="1"/>
        <v>20000</v>
      </c>
    </row>
    <row r="90" spans="1:10" ht="15.75" x14ac:dyDescent="0.2">
      <c r="A90" s="4">
        <v>87</v>
      </c>
      <c r="B90" s="48" t="s">
        <v>92</v>
      </c>
      <c r="C90" s="48"/>
      <c r="D90" s="48"/>
      <c r="E90" s="5" t="s">
        <v>238</v>
      </c>
      <c r="F90" s="6" t="s">
        <v>6</v>
      </c>
      <c r="G90" s="7" t="s">
        <v>7</v>
      </c>
      <c r="H90" s="18">
        <v>1</v>
      </c>
      <c r="I90" s="8">
        <v>180000</v>
      </c>
      <c r="J90" s="8">
        <f t="shared" si="1"/>
        <v>180000</v>
      </c>
    </row>
    <row r="91" spans="1:10" ht="15.75" x14ac:dyDescent="0.2">
      <c r="A91" s="30">
        <v>88</v>
      </c>
      <c r="B91" s="50" t="s">
        <v>93</v>
      </c>
      <c r="C91" s="50"/>
      <c r="D91" s="50"/>
      <c r="E91" s="16" t="s">
        <v>239</v>
      </c>
      <c r="F91" s="31" t="s">
        <v>6</v>
      </c>
      <c r="G91" s="32" t="s">
        <v>7</v>
      </c>
      <c r="H91" s="38">
        <v>6</v>
      </c>
      <c r="I91" s="33">
        <v>4290</v>
      </c>
      <c r="J91" s="8">
        <f t="shared" si="1"/>
        <v>25740</v>
      </c>
    </row>
    <row r="92" spans="1:10" ht="15.75" x14ac:dyDescent="0.2">
      <c r="A92" s="4">
        <v>89</v>
      </c>
      <c r="B92" s="48" t="s">
        <v>94</v>
      </c>
      <c r="C92" s="48"/>
      <c r="D92" s="48"/>
      <c r="E92" s="5" t="s">
        <v>240</v>
      </c>
      <c r="F92" s="6" t="s">
        <v>6</v>
      </c>
      <c r="G92" s="7" t="s">
        <v>7</v>
      </c>
      <c r="H92" s="25">
        <v>4</v>
      </c>
      <c r="I92" s="8">
        <v>3000</v>
      </c>
      <c r="J92" s="8">
        <f t="shared" si="1"/>
        <v>12000</v>
      </c>
    </row>
    <row r="93" spans="1:10" ht="15.75" x14ac:dyDescent="0.2">
      <c r="A93" s="4">
        <v>90</v>
      </c>
      <c r="B93" s="48" t="s">
        <v>95</v>
      </c>
      <c r="C93" s="48"/>
      <c r="D93" s="48"/>
      <c r="E93" s="5" t="s">
        <v>241</v>
      </c>
      <c r="F93" s="6" t="s">
        <v>6</v>
      </c>
      <c r="G93" s="7" t="s">
        <v>7</v>
      </c>
      <c r="H93" s="25">
        <v>6</v>
      </c>
      <c r="I93" s="8">
        <v>4316</v>
      </c>
      <c r="J93" s="8">
        <f t="shared" si="1"/>
        <v>25896</v>
      </c>
    </row>
    <row r="94" spans="1:10" ht="31.5" x14ac:dyDescent="0.2">
      <c r="A94" s="4">
        <v>91</v>
      </c>
      <c r="B94" s="48" t="s">
        <v>96</v>
      </c>
      <c r="C94" s="48"/>
      <c r="D94" s="48"/>
      <c r="E94" s="5" t="s">
        <v>242</v>
      </c>
      <c r="F94" s="6" t="s">
        <v>6</v>
      </c>
      <c r="G94" s="7" t="s">
        <v>7</v>
      </c>
      <c r="H94" s="25">
        <v>6</v>
      </c>
      <c r="I94" s="8">
        <v>5590</v>
      </c>
      <c r="J94" s="8">
        <f t="shared" si="1"/>
        <v>33540</v>
      </c>
    </row>
    <row r="95" spans="1:10" ht="15.75" x14ac:dyDescent="0.2">
      <c r="A95" s="4">
        <v>92</v>
      </c>
      <c r="B95" s="48" t="s">
        <v>97</v>
      </c>
      <c r="C95" s="48"/>
      <c r="D95" s="48"/>
      <c r="E95" s="5" t="s">
        <v>22</v>
      </c>
      <c r="F95" s="6" t="s">
        <v>6</v>
      </c>
      <c r="G95" s="7" t="s">
        <v>7</v>
      </c>
      <c r="H95" s="25">
        <v>4</v>
      </c>
      <c r="I95" s="8">
        <v>13780</v>
      </c>
      <c r="J95" s="8">
        <f t="shared" si="1"/>
        <v>55120</v>
      </c>
    </row>
    <row r="96" spans="1:10" ht="31.5" x14ac:dyDescent="0.2">
      <c r="A96" s="4">
        <v>93</v>
      </c>
      <c r="B96" s="51" t="s">
        <v>98</v>
      </c>
      <c r="C96" s="51"/>
      <c r="D96" s="51"/>
      <c r="E96" s="5" t="s">
        <v>243</v>
      </c>
      <c r="F96" s="6" t="s">
        <v>6</v>
      </c>
      <c r="G96" s="7" t="s">
        <v>7</v>
      </c>
      <c r="H96" s="25">
        <v>4</v>
      </c>
      <c r="I96" s="36">
        <v>600</v>
      </c>
      <c r="J96" s="8">
        <f t="shared" si="1"/>
        <v>2400</v>
      </c>
    </row>
    <row r="97" spans="1:10" ht="15.75" x14ac:dyDescent="0.2">
      <c r="A97" s="4">
        <v>94</v>
      </c>
      <c r="B97" s="48" t="s">
        <v>99</v>
      </c>
      <c r="C97" s="48"/>
      <c r="D97" s="48"/>
      <c r="E97" s="5" t="s">
        <v>244</v>
      </c>
      <c r="F97" s="6" t="s">
        <v>6</v>
      </c>
      <c r="G97" s="7" t="s">
        <v>7</v>
      </c>
      <c r="H97" s="25">
        <v>2</v>
      </c>
      <c r="I97" s="8">
        <v>9126</v>
      </c>
      <c r="J97" s="8">
        <f t="shared" si="1"/>
        <v>18252</v>
      </c>
    </row>
    <row r="98" spans="1:10" ht="31.5" x14ac:dyDescent="0.2">
      <c r="A98" s="4">
        <v>95</v>
      </c>
      <c r="B98" s="51" t="s">
        <v>100</v>
      </c>
      <c r="C98" s="51"/>
      <c r="D98" s="51"/>
      <c r="E98" s="5" t="s">
        <v>245</v>
      </c>
      <c r="F98" s="6" t="s">
        <v>6</v>
      </c>
      <c r="G98" s="7" t="s">
        <v>7</v>
      </c>
      <c r="H98" s="26">
        <v>10</v>
      </c>
      <c r="I98" s="8">
        <v>20000</v>
      </c>
      <c r="J98" s="8">
        <f t="shared" si="1"/>
        <v>200000</v>
      </c>
    </row>
    <row r="99" spans="1:10" ht="31.5" x14ac:dyDescent="0.2">
      <c r="A99" s="4">
        <v>96</v>
      </c>
      <c r="B99" s="51" t="s">
        <v>101</v>
      </c>
      <c r="C99" s="51"/>
      <c r="D99" s="51"/>
      <c r="E99" s="5" t="s">
        <v>246</v>
      </c>
      <c r="F99" s="6" t="s">
        <v>6</v>
      </c>
      <c r="G99" s="7" t="s">
        <v>7</v>
      </c>
      <c r="H99" s="26">
        <v>10</v>
      </c>
      <c r="I99" s="8">
        <v>2282</v>
      </c>
      <c r="J99" s="8">
        <f t="shared" si="1"/>
        <v>22820</v>
      </c>
    </row>
    <row r="100" spans="1:10" ht="31.5" x14ac:dyDescent="0.2">
      <c r="A100" s="4">
        <v>97</v>
      </c>
      <c r="B100" s="51" t="s">
        <v>102</v>
      </c>
      <c r="C100" s="51"/>
      <c r="D100" s="51"/>
      <c r="E100" s="5" t="s">
        <v>247</v>
      </c>
      <c r="F100" s="6" t="s">
        <v>6</v>
      </c>
      <c r="G100" s="7" t="s">
        <v>7</v>
      </c>
      <c r="H100" s="26">
        <v>10</v>
      </c>
      <c r="I100" s="8">
        <v>1235</v>
      </c>
      <c r="J100" s="8">
        <f t="shared" si="1"/>
        <v>12350</v>
      </c>
    </row>
    <row r="101" spans="1:10" ht="15.75" x14ac:dyDescent="0.2">
      <c r="A101" s="4">
        <v>98</v>
      </c>
      <c r="B101" s="48" t="s">
        <v>103</v>
      </c>
      <c r="C101" s="48"/>
      <c r="D101" s="48"/>
      <c r="E101" s="5" t="s">
        <v>23</v>
      </c>
      <c r="F101" s="6" t="s">
        <v>6</v>
      </c>
      <c r="G101" s="7" t="s">
        <v>7</v>
      </c>
      <c r="H101" s="26">
        <v>12</v>
      </c>
      <c r="I101" s="8">
        <v>8000</v>
      </c>
      <c r="J101" s="8">
        <f t="shared" si="1"/>
        <v>96000</v>
      </c>
    </row>
    <row r="102" spans="1:10" ht="15.75" x14ac:dyDescent="0.2">
      <c r="A102" s="10">
        <v>99</v>
      </c>
      <c r="B102" s="49" t="s">
        <v>103</v>
      </c>
      <c r="C102" s="49"/>
      <c r="D102" s="49"/>
      <c r="E102" s="11" t="s">
        <v>23</v>
      </c>
      <c r="F102" s="27" t="s">
        <v>6</v>
      </c>
      <c r="G102" s="13" t="s">
        <v>7</v>
      </c>
      <c r="H102" s="28">
        <v>6</v>
      </c>
      <c r="I102" s="14">
        <v>8000</v>
      </c>
      <c r="J102" s="8">
        <f t="shared" si="1"/>
        <v>48000</v>
      </c>
    </row>
    <row r="103" spans="1:10" ht="15.75" x14ac:dyDescent="0.2">
      <c r="A103" s="4">
        <v>100</v>
      </c>
      <c r="B103" s="48" t="s">
        <v>104</v>
      </c>
      <c r="C103" s="48"/>
      <c r="D103" s="48"/>
      <c r="E103" s="5" t="s">
        <v>24</v>
      </c>
      <c r="F103" s="6" t="s">
        <v>6</v>
      </c>
      <c r="G103" s="7" t="s">
        <v>7</v>
      </c>
      <c r="H103" s="26">
        <v>10</v>
      </c>
      <c r="I103" s="8">
        <v>4000</v>
      </c>
      <c r="J103" s="8">
        <f t="shared" si="1"/>
        <v>40000</v>
      </c>
    </row>
    <row r="104" spans="1:10" ht="15.75" x14ac:dyDescent="0.2">
      <c r="A104" s="4">
        <v>101</v>
      </c>
      <c r="B104" s="48" t="s">
        <v>104</v>
      </c>
      <c r="C104" s="48"/>
      <c r="D104" s="48"/>
      <c r="E104" s="5" t="s">
        <v>24</v>
      </c>
      <c r="F104" s="6" t="s">
        <v>6</v>
      </c>
      <c r="G104" s="7" t="s">
        <v>7</v>
      </c>
      <c r="H104" s="25">
        <v>8</v>
      </c>
      <c r="I104" s="8">
        <v>4000</v>
      </c>
      <c r="J104" s="8">
        <f t="shared" si="1"/>
        <v>32000</v>
      </c>
    </row>
    <row r="105" spans="1:10" ht="15.75" x14ac:dyDescent="0.2">
      <c r="A105" s="4">
        <v>102</v>
      </c>
      <c r="B105" s="48" t="s">
        <v>105</v>
      </c>
      <c r="C105" s="48"/>
      <c r="D105" s="48"/>
      <c r="E105" s="5" t="s">
        <v>25</v>
      </c>
      <c r="F105" s="6" t="s">
        <v>6</v>
      </c>
      <c r="G105" s="7" t="s">
        <v>7</v>
      </c>
      <c r="H105" s="26">
        <v>10</v>
      </c>
      <c r="I105" s="8">
        <v>3419</v>
      </c>
      <c r="J105" s="8">
        <f t="shared" si="1"/>
        <v>34190</v>
      </c>
    </row>
    <row r="106" spans="1:10" ht="15.75" x14ac:dyDescent="0.2">
      <c r="A106" s="4">
        <v>103</v>
      </c>
      <c r="B106" s="48" t="s">
        <v>105</v>
      </c>
      <c r="C106" s="48"/>
      <c r="D106" s="48"/>
      <c r="E106" s="5" t="s">
        <v>25</v>
      </c>
      <c r="F106" s="6" t="s">
        <v>6</v>
      </c>
      <c r="G106" s="7" t="s">
        <v>7</v>
      </c>
      <c r="H106" s="25">
        <v>8</v>
      </c>
      <c r="I106" s="8">
        <v>3419</v>
      </c>
      <c r="J106" s="8">
        <f t="shared" si="1"/>
        <v>27352</v>
      </c>
    </row>
    <row r="107" spans="1:10" ht="31.5" x14ac:dyDescent="0.2">
      <c r="A107" s="4">
        <v>104</v>
      </c>
      <c r="B107" s="48" t="s">
        <v>106</v>
      </c>
      <c r="C107" s="48"/>
      <c r="D107" s="48"/>
      <c r="E107" s="5" t="s">
        <v>26</v>
      </c>
      <c r="F107" s="6" t="s">
        <v>6</v>
      </c>
      <c r="G107" s="7" t="s">
        <v>7</v>
      </c>
      <c r="H107" s="25">
        <v>6</v>
      </c>
      <c r="I107" s="36">
        <v>611</v>
      </c>
      <c r="J107" s="8">
        <f t="shared" si="1"/>
        <v>3666</v>
      </c>
    </row>
    <row r="108" spans="1:10" ht="31.5" x14ac:dyDescent="0.2">
      <c r="A108" s="4">
        <v>105</v>
      </c>
      <c r="B108" s="51" t="s">
        <v>100</v>
      </c>
      <c r="C108" s="51"/>
      <c r="D108" s="51"/>
      <c r="E108" s="5" t="s">
        <v>245</v>
      </c>
      <c r="F108" s="6" t="s">
        <v>6</v>
      </c>
      <c r="G108" s="7" t="s">
        <v>7</v>
      </c>
      <c r="H108" s="25">
        <v>8</v>
      </c>
      <c r="I108" s="8">
        <v>11000</v>
      </c>
      <c r="J108" s="8">
        <f t="shared" si="1"/>
        <v>88000</v>
      </c>
    </row>
    <row r="109" spans="1:10" ht="15.75" x14ac:dyDescent="0.2">
      <c r="A109" s="4">
        <v>106</v>
      </c>
      <c r="B109" s="48" t="s">
        <v>72</v>
      </c>
      <c r="C109" s="48"/>
      <c r="D109" s="48"/>
      <c r="E109" s="5" t="s">
        <v>17</v>
      </c>
      <c r="F109" s="6" t="s">
        <v>6</v>
      </c>
      <c r="G109" s="7" t="s">
        <v>7</v>
      </c>
      <c r="H109" s="25">
        <v>7</v>
      </c>
      <c r="I109" s="8">
        <v>65000</v>
      </c>
      <c r="J109" s="8">
        <f t="shared" si="1"/>
        <v>455000</v>
      </c>
    </row>
    <row r="110" spans="1:10" ht="31.5" x14ac:dyDescent="0.2">
      <c r="A110" s="4">
        <v>107</v>
      </c>
      <c r="B110" s="51" t="s">
        <v>43</v>
      </c>
      <c r="C110" s="51"/>
      <c r="D110" s="51"/>
      <c r="E110" s="5" t="s">
        <v>197</v>
      </c>
      <c r="F110" s="6" t="s">
        <v>6</v>
      </c>
      <c r="G110" s="7" t="s">
        <v>7</v>
      </c>
      <c r="H110" s="26">
        <v>15</v>
      </c>
      <c r="I110" s="8">
        <v>7235</v>
      </c>
      <c r="J110" s="8">
        <f t="shared" si="1"/>
        <v>108525</v>
      </c>
    </row>
    <row r="111" spans="1:10" ht="31.5" x14ac:dyDescent="0.2">
      <c r="A111" s="4">
        <v>108</v>
      </c>
      <c r="B111" s="48" t="s">
        <v>36</v>
      </c>
      <c r="C111" s="48"/>
      <c r="D111" s="48"/>
      <c r="E111" s="5" t="s">
        <v>12</v>
      </c>
      <c r="F111" s="6" t="s">
        <v>6</v>
      </c>
      <c r="G111" s="7" t="s">
        <v>7</v>
      </c>
      <c r="H111" s="25">
        <v>5</v>
      </c>
      <c r="I111" s="8">
        <v>20410</v>
      </c>
      <c r="J111" s="8">
        <f t="shared" si="1"/>
        <v>102050</v>
      </c>
    </row>
    <row r="112" spans="1:10" ht="15.75" x14ac:dyDescent="0.2">
      <c r="A112" s="4">
        <v>109</v>
      </c>
      <c r="B112" s="48" t="s">
        <v>37</v>
      </c>
      <c r="C112" s="48"/>
      <c r="D112" s="48"/>
      <c r="E112" s="5" t="s">
        <v>13</v>
      </c>
      <c r="F112" s="6" t="s">
        <v>6</v>
      </c>
      <c r="G112" s="7" t="s">
        <v>7</v>
      </c>
      <c r="H112" s="25">
        <v>5</v>
      </c>
      <c r="I112" s="8">
        <v>14820</v>
      </c>
      <c r="J112" s="8">
        <f t="shared" si="1"/>
        <v>74100</v>
      </c>
    </row>
    <row r="113" spans="1:10" ht="15.75" x14ac:dyDescent="0.2">
      <c r="A113" s="4">
        <v>110</v>
      </c>
      <c r="B113" s="48" t="s">
        <v>85</v>
      </c>
      <c r="C113" s="48"/>
      <c r="D113" s="48"/>
      <c r="E113" s="5" t="s">
        <v>20</v>
      </c>
      <c r="F113" s="6" t="s">
        <v>6</v>
      </c>
      <c r="G113" s="7" t="s">
        <v>7</v>
      </c>
      <c r="H113" s="25">
        <v>7</v>
      </c>
      <c r="I113" s="8">
        <v>10790</v>
      </c>
      <c r="J113" s="8">
        <f t="shared" si="1"/>
        <v>75530</v>
      </c>
    </row>
    <row r="114" spans="1:10" ht="15.75" x14ac:dyDescent="0.2">
      <c r="A114" s="10">
        <v>111</v>
      </c>
      <c r="B114" s="49" t="s">
        <v>85</v>
      </c>
      <c r="C114" s="49"/>
      <c r="D114" s="49"/>
      <c r="E114" s="11" t="s">
        <v>20</v>
      </c>
      <c r="F114" s="27" t="s">
        <v>6</v>
      </c>
      <c r="G114" s="13" t="s">
        <v>7</v>
      </c>
      <c r="H114" s="28">
        <v>7</v>
      </c>
      <c r="I114" s="14">
        <v>10790</v>
      </c>
      <c r="J114" s="8">
        <f t="shared" si="1"/>
        <v>75530</v>
      </c>
    </row>
    <row r="115" spans="1:10" ht="15.75" x14ac:dyDescent="0.2">
      <c r="A115" s="4">
        <v>112</v>
      </c>
      <c r="B115" s="48" t="s">
        <v>86</v>
      </c>
      <c r="C115" s="48"/>
      <c r="D115" s="48"/>
      <c r="E115" s="5" t="s">
        <v>21</v>
      </c>
      <c r="F115" s="6" t="s">
        <v>6</v>
      </c>
      <c r="G115" s="7" t="s">
        <v>7</v>
      </c>
      <c r="H115" s="18">
        <v>7</v>
      </c>
      <c r="I115" s="8">
        <v>18746</v>
      </c>
      <c r="J115" s="8">
        <f t="shared" si="1"/>
        <v>131222</v>
      </c>
    </row>
    <row r="116" spans="1:10" ht="15.75" x14ac:dyDescent="0.2">
      <c r="A116" s="4">
        <v>113</v>
      </c>
      <c r="B116" s="48" t="s">
        <v>86</v>
      </c>
      <c r="C116" s="48"/>
      <c r="D116" s="48"/>
      <c r="E116" s="5" t="s">
        <v>21</v>
      </c>
      <c r="F116" s="6" t="s">
        <v>6</v>
      </c>
      <c r="G116" s="7" t="s">
        <v>7</v>
      </c>
      <c r="H116" s="18">
        <v>7</v>
      </c>
      <c r="I116" s="8">
        <v>18746</v>
      </c>
      <c r="J116" s="8">
        <f t="shared" si="1"/>
        <v>131222</v>
      </c>
    </row>
    <row r="117" spans="1:10" ht="15.75" x14ac:dyDescent="0.2">
      <c r="A117" s="4">
        <v>114</v>
      </c>
      <c r="B117" s="48" t="s">
        <v>107</v>
      </c>
      <c r="C117" s="48"/>
      <c r="D117" s="48"/>
      <c r="E117" s="5" t="s">
        <v>248</v>
      </c>
      <c r="F117" s="6" t="s">
        <v>6</v>
      </c>
      <c r="G117" s="7" t="s">
        <v>7</v>
      </c>
      <c r="H117" s="18">
        <v>8</v>
      </c>
      <c r="I117" s="8">
        <v>23010</v>
      </c>
      <c r="J117" s="8">
        <f t="shared" si="1"/>
        <v>184080</v>
      </c>
    </row>
    <row r="118" spans="1:10" ht="15.75" x14ac:dyDescent="0.2">
      <c r="A118" s="4">
        <v>115</v>
      </c>
      <c r="B118" s="48" t="s">
        <v>107</v>
      </c>
      <c r="C118" s="48"/>
      <c r="D118" s="48"/>
      <c r="E118" s="5" t="s">
        <v>248</v>
      </c>
      <c r="F118" s="6" t="s">
        <v>6</v>
      </c>
      <c r="G118" s="7" t="s">
        <v>7</v>
      </c>
      <c r="H118" s="18">
        <v>8</v>
      </c>
      <c r="I118" s="8">
        <v>23010</v>
      </c>
      <c r="J118" s="8">
        <f t="shared" si="1"/>
        <v>184080</v>
      </c>
    </row>
    <row r="119" spans="1:10" ht="15.75" x14ac:dyDescent="0.2">
      <c r="A119" s="4">
        <v>116</v>
      </c>
      <c r="B119" s="48" t="s">
        <v>108</v>
      </c>
      <c r="C119" s="48"/>
      <c r="D119" s="48"/>
      <c r="E119" s="5" t="s">
        <v>249</v>
      </c>
      <c r="F119" s="6" t="s">
        <v>6</v>
      </c>
      <c r="G119" s="7" t="s">
        <v>7</v>
      </c>
      <c r="H119" s="18">
        <v>8</v>
      </c>
      <c r="I119" s="8">
        <v>45000</v>
      </c>
      <c r="J119" s="8">
        <f t="shared" si="1"/>
        <v>360000</v>
      </c>
    </row>
    <row r="120" spans="1:10" ht="15.75" x14ac:dyDescent="0.2">
      <c r="A120" s="4">
        <v>117</v>
      </c>
      <c r="B120" s="48" t="s">
        <v>108</v>
      </c>
      <c r="C120" s="48"/>
      <c r="D120" s="48"/>
      <c r="E120" s="5" t="s">
        <v>249</v>
      </c>
      <c r="F120" s="6" t="s">
        <v>6</v>
      </c>
      <c r="G120" s="7" t="s">
        <v>7</v>
      </c>
      <c r="H120" s="18">
        <v>8</v>
      </c>
      <c r="I120" s="8">
        <v>45000</v>
      </c>
      <c r="J120" s="8">
        <f t="shared" si="1"/>
        <v>360000</v>
      </c>
    </row>
    <row r="121" spans="1:10" ht="15.75" x14ac:dyDescent="0.2">
      <c r="A121" s="4">
        <v>118</v>
      </c>
      <c r="B121" s="48" t="s">
        <v>109</v>
      </c>
      <c r="C121" s="48"/>
      <c r="D121" s="48"/>
      <c r="E121" s="5" t="s">
        <v>250</v>
      </c>
      <c r="F121" s="6" t="s">
        <v>6</v>
      </c>
      <c r="G121" s="7" t="s">
        <v>7</v>
      </c>
      <c r="H121" s="18">
        <v>5</v>
      </c>
      <c r="I121" s="8">
        <v>7000</v>
      </c>
      <c r="J121" s="8">
        <f t="shared" si="1"/>
        <v>35000</v>
      </c>
    </row>
    <row r="122" spans="1:10" ht="31.5" x14ac:dyDescent="0.2">
      <c r="A122" s="4">
        <v>119</v>
      </c>
      <c r="B122" s="51" t="s">
        <v>110</v>
      </c>
      <c r="C122" s="51"/>
      <c r="D122" s="51"/>
      <c r="E122" s="5" t="s">
        <v>251</v>
      </c>
      <c r="F122" s="6" t="s">
        <v>6</v>
      </c>
      <c r="G122" s="7" t="s">
        <v>7</v>
      </c>
      <c r="H122" s="18">
        <v>7</v>
      </c>
      <c r="I122" s="8">
        <v>15000</v>
      </c>
      <c r="J122" s="8">
        <f t="shared" si="1"/>
        <v>105000</v>
      </c>
    </row>
    <row r="123" spans="1:10" ht="31.5" x14ac:dyDescent="0.2">
      <c r="A123" s="4">
        <v>120</v>
      </c>
      <c r="B123" s="51" t="s">
        <v>111</v>
      </c>
      <c r="C123" s="51"/>
      <c r="D123" s="51"/>
      <c r="E123" s="5" t="s">
        <v>252</v>
      </c>
      <c r="F123" s="6" t="s">
        <v>6</v>
      </c>
      <c r="G123" s="7" t="s">
        <v>7</v>
      </c>
      <c r="H123" s="18">
        <v>100</v>
      </c>
      <c r="I123" s="36">
        <v>800</v>
      </c>
      <c r="J123" s="8">
        <f t="shared" si="1"/>
        <v>80000</v>
      </c>
    </row>
    <row r="124" spans="1:10" ht="15.75" x14ac:dyDescent="0.2">
      <c r="A124" s="4">
        <v>121</v>
      </c>
      <c r="B124" s="48" t="s">
        <v>112</v>
      </c>
      <c r="C124" s="48"/>
      <c r="D124" s="48"/>
      <c r="E124" s="5" t="s">
        <v>253</v>
      </c>
      <c r="F124" s="6" t="s">
        <v>6</v>
      </c>
      <c r="G124" s="7" t="s">
        <v>7</v>
      </c>
      <c r="H124" s="18">
        <v>25</v>
      </c>
      <c r="I124" s="36">
        <v>980</v>
      </c>
      <c r="J124" s="8">
        <f t="shared" si="1"/>
        <v>24500</v>
      </c>
    </row>
    <row r="125" spans="1:10" ht="15.75" x14ac:dyDescent="0.2">
      <c r="A125" s="4">
        <v>122</v>
      </c>
      <c r="B125" s="48" t="s">
        <v>112</v>
      </c>
      <c r="C125" s="48"/>
      <c r="D125" s="48"/>
      <c r="E125" s="5" t="s">
        <v>253</v>
      </c>
      <c r="F125" s="6" t="s">
        <v>6</v>
      </c>
      <c r="G125" s="7" t="s">
        <v>7</v>
      </c>
      <c r="H125" s="18">
        <v>50</v>
      </c>
      <c r="I125" s="36">
        <v>730</v>
      </c>
      <c r="J125" s="8">
        <f t="shared" si="1"/>
        <v>36500</v>
      </c>
    </row>
    <row r="126" spans="1:10" ht="31.5" x14ac:dyDescent="0.2">
      <c r="A126" s="4">
        <v>123</v>
      </c>
      <c r="B126" s="48" t="s">
        <v>113</v>
      </c>
      <c r="C126" s="48"/>
      <c r="D126" s="48"/>
      <c r="E126" s="5" t="s">
        <v>254</v>
      </c>
      <c r="F126" s="6" t="s">
        <v>6</v>
      </c>
      <c r="G126" s="7" t="s">
        <v>7</v>
      </c>
      <c r="H126" s="18">
        <v>40</v>
      </c>
      <c r="I126" s="8">
        <v>1000</v>
      </c>
      <c r="J126" s="8">
        <f t="shared" si="1"/>
        <v>40000</v>
      </c>
    </row>
    <row r="127" spans="1:10" ht="15.75" x14ac:dyDescent="0.2">
      <c r="A127" s="20">
        <v>124</v>
      </c>
      <c r="B127" s="50" t="s">
        <v>114</v>
      </c>
      <c r="C127" s="50"/>
      <c r="D127" s="50"/>
      <c r="E127" s="16" t="s">
        <v>255</v>
      </c>
      <c r="F127" s="21" t="s">
        <v>6</v>
      </c>
      <c r="G127" s="22" t="s">
        <v>7</v>
      </c>
      <c r="H127" s="35">
        <v>50</v>
      </c>
      <c r="I127" s="23">
        <v>1000</v>
      </c>
      <c r="J127" s="8">
        <f t="shared" si="1"/>
        <v>50000</v>
      </c>
    </row>
    <row r="128" spans="1:10" ht="15.75" x14ac:dyDescent="0.2">
      <c r="A128" s="4">
        <v>125</v>
      </c>
      <c r="B128" s="48" t="s">
        <v>115</v>
      </c>
      <c r="C128" s="48"/>
      <c r="D128" s="48"/>
      <c r="E128" s="5" t="s">
        <v>256</v>
      </c>
      <c r="F128" s="6" t="s">
        <v>6</v>
      </c>
      <c r="G128" s="7" t="s">
        <v>7</v>
      </c>
      <c r="H128" s="18">
        <v>40</v>
      </c>
      <c r="I128" s="8">
        <v>1900</v>
      </c>
      <c r="J128" s="8">
        <f t="shared" si="1"/>
        <v>76000</v>
      </c>
    </row>
    <row r="129" spans="1:10" ht="15.75" x14ac:dyDescent="0.2">
      <c r="A129" s="4">
        <v>126</v>
      </c>
      <c r="B129" s="48" t="s">
        <v>115</v>
      </c>
      <c r="C129" s="48"/>
      <c r="D129" s="48"/>
      <c r="E129" s="5" t="s">
        <v>256</v>
      </c>
      <c r="F129" s="6" t="s">
        <v>6</v>
      </c>
      <c r="G129" s="7" t="s">
        <v>7</v>
      </c>
      <c r="H129" s="18">
        <v>50</v>
      </c>
      <c r="I129" s="8">
        <v>1900</v>
      </c>
      <c r="J129" s="8">
        <f t="shared" si="1"/>
        <v>95000</v>
      </c>
    </row>
    <row r="130" spans="1:10" ht="15.75" x14ac:dyDescent="0.2">
      <c r="A130" s="4">
        <v>127</v>
      </c>
      <c r="B130" s="48" t="s">
        <v>115</v>
      </c>
      <c r="C130" s="48"/>
      <c r="D130" s="48"/>
      <c r="E130" s="5" t="s">
        <v>256</v>
      </c>
      <c r="F130" s="6" t="s">
        <v>6</v>
      </c>
      <c r="G130" s="7" t="s">
        <v>7</v>
      </c>
      <c r="H130" s="18">
        <v>50</v>
      </c>
      <c r="I130" s="8">
        <v>1900</v>
      </c>
      <c r="J130" s="8">
        <f t="shared" si="1"/>
        <v>95000</v>
      </c>
    </row>
    <row r="131" spans="1:10" ht="15.75" x14ac:dyDescent="0.2">
      <c r="A131" s="4">
        <v>128</v>
      </c>
      <c r="B131" s="48" t="s">
        <v>116</v>
      </c>
      <c r="C131" s="48"/>
      <c r="D131" s="48"/>
      <c r="E131" s="5" t="s">
        <v>183</v>
      </c>
      <c r="F131" s="6" t="s">
        <v>6</v>
      </c>
      <c r="G131" s="7" t="s">
        <v>7</v>
      </c>
      <c r="H131" s="18">
        <v>80</v>
      </c>
      <c r="I131" s="36">
        <v>500</v>
      </c>
      <c r="J131" s="8">
        <f t="shared" si="1"/>
        <v>40000</v>
      </c>
    </row>
    <row r="132" spans="1:10" ht="15.75" x14ac:dyDescent="0.2">
      <c r="A132" s="4">
        <v>129</v>
      </c>
      <c r="B132" s="48" t="s">
        <v>117</v>
      </c>
      <c r="C132" s="48"/>
      <c r="D132" s="48"/>
      <c r="E132" s="5" t="s">
        <v>184</v>
      </c>
      <c r="F132" s="6" t="s">
        <v>6</v>
      </c>
      <c r="G132" s="7" t="s">
        <v>7</v>
      </c>
      <c r="H132" s="18">
        <v>100</v>
      </c>
      <c r="I132" s="36">
        <v>190</v>
      </c>
      <c r="J132" s="8">
        <f t="shared" si="1"/>
        <v>19000</v>
      </c>
    </row>
    <row r="133" spans="1:10" ht="15.75" x14ac:dyDescent="0.2">
      <c r="A133" s="4">
        <v>130</v>
      </c>
      <c r="B133" s="48" t="s">
        <v>118</v>
      </c>
      <c r="C133" s="48"/>
      <c r="D133" s="48"/>
      <c r="E133" s="5" t="s">
        <v>257</v>
      </c>
      <c r="F133" s="6" t="s">
        <v>6</v>
      </c>
      <c r="G133" s="7" t="s">
        <v>7</v>
      </c>
      <c r="H133" s="18">
        <v>40</v>
      </c>
      <c r="I133" s="36">
        <v>950</v>
      </c>
      <c r="J133" s="8">
        <f t="shared" ref="J133:J196" si="2">+H133*I133</f>
        <v>38000</v>
      </c>
    </row>
    <row r="134" spans="1:10" ht="15.75" x14ac:dyDescent="0.2">
      <c r="A134" s="4">
        <v>131</v>
      </c>
      <c r="B134" s="48" t="s">
        <v>118</v>
      </c>
      <c r="C134" s="48"/>
      <c r="D134" s="48"/>
      <c r="E134" s="5" t="s">
        <v>257</v>
      </c>
      <c r="F134" s="6" t="s">
        <v>6</v>
      </c>
      <c r="G134" s="7" t="s">
        <v>7</v>
      </c>
      <c r="H134" s="18">
        <v>40</v>
      </c>
      <c r="I134" s="36">
        <v>950</v>
      </c>
      <c r="J134" s="8">
        <f t="shared" si="2"/>
        <v>38000</v>
      </c>
    </row>
    <row r="135" spans="1:10" ht="15.75" x14ac:dyDescent="0.2">
      <c r="A135" s="4">
        <v>132</v>
      </c>
      <c r="B135" s="48" t="s">
        <v>118</v>
      </c>
      <c r="C135" s="48"/>
      <c r="D135" s="48"/>
      <c r="E135" s="5" t="s">
        <v>257</v>
      </c>
      <c r="F135" s="6" t="s">
        <v>6</v>
      </c>
      <c r="G135" s="7" t="s">
        <v>7</v>
      </c>
      <c r="H135" s="18">
        <v>40</v>
      </c>
      <c r="I135" s="36">
        <v>950</v>
      </c>
      <c r="J135" s="8">
        <f t="shared" si="2"/>
        <v>38000</v>
      </c>
    </row>
    <row r="136" spans="1:10" ht="15.75" x14ac:dyDescent="0.2">
      <c r="A136" s="4">
        <v>133</v>
      </c>
      <c r="B136" s="48" t="s">
        <v>119</v>
      </c>
      <c r="C136" s="48"/>
      <c r="D136" s="48"/>
      <c r="E136" s="5" t="s">
        <v>258</v>
      </c>
      <c r="F136" s="6" t="s">
        <v>6</v>
      </c>
      <c r="G136" s="7" t="s">
        <v>7</v>
      </c>
      <c r="H136" s="18">
        <v>40</v>
      </c>
      <c r="I136" s="8">
        <v>1000</v>
      </c>
      <c r="J136" s="8">
        <f t="shared" si="2"/>
        <v>40000</v>
      </c>
    </row>
    <row r="137" spans="1:10" ht="15.75" x14ac:dyDescent="0.2">
      <c r="A137" s="4">
        <v>134</v>
      </c>
      <c r="B137" s="48" t="s">
        <v>119</v>
      </c>
      <c r="C137" s="48"/>
      <c r="D137" s="48"/>
      <c r="E137" s="5" t="s">
        <v>258</v>
      </c>
      <c r="F137" s="6" t="s">
        <v>6</v>
      </c>
      <c r="G137" s="7" t="s">
        <v>7</v>
      </c>
      <c r="H137" s="18">
        <v>40</v>
      </c>
      <c r="I137" s="8">
        <v>1000</v>
      </c>
      <c r="J137" s="8">
        <f t="shared" si="2"/>
        <v>40000</v>
      </c>
    </row>
    <row r="138" spans="1:10" ht="15.75" x14ac:dyDescent="0.2">
      <c r="A138" s="4">
        <v>135</v>
      </c>
      <c r="B138" s="48" t="s">
        <v>119</v>
      </c>
      <c r="C138" s="48"/>
      <c r="D138" s="48"/>
      <c r="E138" s="5" t="s">
        <v>258</v>
      </c>
      <c r="F138" s="6" t="s">
        <v>6</v>
      </c>
      <c r="G138" s="7" t="s">
        <v>7</v>
      </c>
      <c r="H138" s="18">
        <v>40</v>
      </c>
      <c r="I138" s="8">
        <v>1000</v>
      </c>
      <c r="J138" s="8">
        <f t="shared" si="2"/>
        <v>40000</v>
      </c>
    </row>
    <row r="139" spans="1:10" ht="15.75" x14ac:dyDescent="0.2">
      <c r="A139" s="4">
        <v>136</v>
      </c>
      <c r="B139" s="48" t="s">
        <v>120</v>
      </c>
      <c r="C139" s="48"/>
      <c r="D139" s="48"/>
      <c r="E139" s="5" t="s">
        <v>259</v>
      </c>
      <c r="F139" s="6" t="s">
        <v>6</v>
      </c>
      <c r="G139" s="7" t="s">
        <v>7</v>
      </c>
      <c r="H139" s="18">
        <v>10</v>
      </c>
      <c r="I139" s="36">
        <v>500</v>
      </c>
      <c r="J139" s="8">
        <f t="shared" si="2"/>
        <v>5000</v>
      </c>
    </row>
    <row r="140" spans="1:10" ht="15.75" x14ac:dyDescent="0.2">
      <c r="A140" s="20">
        <v>137</v>
      </c>
      <c r="B140" s="50" t="s">
        <v>120</v>
      </c>
      <c r="C140" s="50"/>
      <c r="D140" s="50"/>
      <c r="E140" s="16" t="s">
        <v>259</v>
      </c>
      <c r="F140" s="21" t="s">
        <v>6</v>
      </c>
      <c r="G140" s="22" t="s">
        <v>7</v>
      </c>
      <c r="H140" s="35">
        <v>10</v>
      </c>
      <c r="I140" s="39">
        <v>600</v>
      </c>
      <c r="J140" s="8">
        <f t="shared" si="2"/>
        <v>6000</v>
      </c>
    </row>
    <row r="141" spans="1:10" ht="15.75" x14ac:dyDescent="0.2">
      <c r="A141" s="4">
        <v>138</v>
      </c>
      <c r="B141" s="48" t="s">
        <v>121</v>
      </c>
      <c r="C141" s="48"/>
      <c r="D141" s="48"/>
      <c r="E141" s="5" t="s">
        <v>260</v>
      </c>
      <c r="F141" s="6" t="s">
        <v>6</v>
      </c>
      <c r="G141" s="7" t="s">
        <v>7</v>
      </c>
      <c r="H141" s="18">
        <v>40</v>
      </c>
      <c r="I141" s="36">
        <v>600</v>
      </c>
      <c r="J141" s="8">
        <f t="shared" si="2"/>
        <v>24000</v>
      </c>
    </row>
    <row r="142" spans="1:10" ht="15.75" x14ac:dyDescent="0.2">
      <c r="A142" s="4">
        <v>139</v>
      </c>
      <c r="B142" s="48" t="s">
        <v>121</v>
      </c>
      <c r="C142" s="48"/>
      <c r="D142" s="48"/>
      <c r="E142" s="5" t="s">
        <v>260</v>
      </c>
      <c r="F142" s="6" t="s">
        <v>6</v>
      </c>
      <c r="G142" s="7" t="s">
        <v>7</v>
      </c>
      <c r="H142" s="18">
        <v>40</v>
      </c>
      <c r="I142" s="36">
        <v>500</v>
      </c>
      <c r="J142" s="8">
        <f t="shared" si="2"/>
        <v>20000</v>
      </c>
    </row>
    <row r="143" spans="1:10" ht="15.75" x14ac:dyDescent="0.2">
      <c r="A143" s="4">
        <v>140</v>
      </c>
      <c r="B143" s="48" t="s">
        <v>122</v>
      </c>
      <c r="C143" s="48"/>
      <c r="D143" s="48"/>
      <c r="E143" s="5" t="s">
        <v>261</v>
      </c>
      <c r="F143" s="6" t="s">
        <v>6</v>
      </c>
      <c r="G143" s="7" t="s">
        <v>7</v>
      </c>
      <c r="H143" s="18">
        <v>40</v>
      </c>
      <c r="I143" s="8">
        <v>1400</v>
      </c>
      <c r="J143" s="8">
        <f t="shared" si="2"/>
        <v>56000</v>
      </c>
    </row>
    <row r="144" spans="1:10" ht="15.75" x14ac:dyDescent="0.2">
      <c r="A144" s="4">
        <v>141</v>
      </c>
      <c r="B144" s="48" t="s">
        <v>122</v>
      </c>
      <c r="C144" s="48"/>
      <c r="D144" s="48"/>
      <c r="E144" s="5" t="s">
        <v>261</v>
      </c>
      <c r="F144" s="6" t="s">
        <v>6</v>
      </c>
      <c r="G144" s="7" t="s">
        <v>7</v>
      </c>
      <c r="H144" s="18">
        <v>40</v>
      </c>
      <c r="I144" s="8">
        <v>1500</v>
      </c>
      <c r="J144" s="8">
        <f t="shared" si="2"/>
        <v>60000</v>
      </c>
    </row>
    <row r="145" spans="1:10" ht="31.5" x14ac:dyDescent="0.2">
      <c r="A145" s="4">
        <v>142</v>
      </c>
      <c r="B145" s="48" t="s">
        <v>123</v>
      </c>
      <c r="C145" s="48"/>
      <c r="D145" s="48"/>
      <c r="E145" s="5" t="s">
        <v>262</v>
      </c>
      <c r="F145" s="6" t="s">
        <v>6</v>
      </c>
      <c r="G145" s="7" t="s">
        <v>7</v>
      </c>
      <c r="H145" s="18">
        <v>100</v>
      </c>
      <c r="I145" s="8">
        <v>1800</v>
      </c>
      <c r="J145" s="8">
        <f t="shared" si="2"/>
        <v>180000</v>
      </c>
    </row>
    <row r="146" spans="1:10" ht="15.75" x14ac:dyDescent="0.2">
      <c r="A146" s="4">
        <v>143</v>
      </c>
      <c r="B146" s="48" t="s">
        <v>124</v>
      </c>
      <c r="C146" s="48"/>
      <c r="D146" s="48"/>
      <c r="E146" s="5" t="s">
        <v>27</v>
      </c>
      <c r="F146" s="6" t="s">
        <v>6</v>
      </c>
      <c r="G146" s="7" t="s">
        <v>7</v>
      </c>
      <c r="H146" s="18">
        <v>30</v>
      </c>
      <c r="I146" s="8">
        <v>4300</v>
      </c>
      <c r="J146" s="8">
        <f t="shared" si="2"/>
        <v>129000</v>
      </c>
    </row>
    <row r="147" spans="1:10" ht="15.75" x14ac:dyDescent="0.2">
      <c r="A147" s="4">
        <v>144</v>
      </c>
      <c r="B147" s="48" t="s">
        <v>125</v>
      </c>
      <c r="C147" s="48"/>
      <c r="D147" s="48"/>
      <c r="E147" s="5" t="s">
        <v>263</v>
      </c>
      <c r="F147" s="6" t="s">
        <v>6</v>
      </c>
      <c r="G147" s="7" t="s">
        <v>7</v>
      </c>
      <c r="H147" s="18">
        <v>80</v>
      </c>
      <c r="I147" s="36">
        <v>950</v>
      </c>
      <c r="J147" s="8">
        <f t="shared" si="2"/>
        <v>76000</v>
      </c>
    </row>
    <row r="148" spans="1:10" ht="15.75" x14ac:dyDescent="0.2">
      <c r="A148" s="4">
        <v>145</v>
      </c>
      <c r="B148" s="48" t="s">
        <v>125</v>
      </c>
      <c r="C148" s="48"/>
      <c r="D148" s="48"/>
      <c r="E148" s="5" t="s">
        <v>263</v>
      </c>
      <c r="F148" s="6" t="s">
        <v>6</v>
      </c>
      <c r="G148" s="7" t="s">
        <v>7</v>
      </c>
      <c r="H148" s="18">
        <v>50</v>
      </c>
      <c r="I148" s="36">
        <v>510</v>
      </c>
      <c r="J148" s="8">
        <f t="shared" si="2"/>
        <v>25500</v>
      </c>
    </row>
    <row r="149" spans="1:10" ht="15.75" x14ac:dyDescent="0.2">
      <c r="A149" s="4">
        <v>146</v>
      </c>
      <c r="B149" s="48" t="s">
        <v>126</v>
      </c>
      <c r="C149" s="48"/>
      <c r="D149" s="48"/>
      <c r="E149" s="5" t="s">
        <v>264</v>
      </c>
      <c r="F149" s="6" t="s">
        <v>6</v>
      </c>
      <c r="G149" s="7" t="s">
        <v>7</v>
      </c>
      <c r="H149" s="18">
        <v>30</v>
      </c>
      <c r="I149" s="8">
        <v>1600</v>
      </c>
      <c r="J149" s="8">
        <f t="shared" si="2"/>
        <v>48000</v>
      </c>
    </row>
    <row r="150" spans="1:10" ht="15.75" x14ac:dyDescent="0.2">
      <c r="A150" s="4">
        <v>147</v>
      </c>
      <c r="B150" s="48" t="s">
        <v>127</v>
      </c>
      <c r="C150" s="48"/>
      <c r="D150" s="48"/>
      <c r="E150" s="5" t="s">
        <v>265</v>
      </c>
      <c r="F150" s="6" t="s">
        <v>6</v>
      </c>
      <c r="G150" s="7" t="s">
        <v>7</v>
      </c>
      <c r="H150" s="18">
        <v>40</v>
      </c>
      <c r="I150" s="36">
        <v>980</v>
      </c>
      <c r="J150" s="8">
        <f t="shared" si="2"/>
        <v>39200</v>
      </c>
    </row>
    <row r="151" spans="1:10" ht="15.75" x14ac:dyDescent="0.2">
      <c r="A151" s="4">
        <v>148</v>
      </c>
      <c r="B151" s="48" t="s">
        <v>128</v>
      </c>
      <c r="C151" s="48"/>
      <c r="D151" s="48"/>
      <c r="E151" s="5" t="s">
        <v>266</v>
      </c>
      <c r="F151" s="6" t="s">
        <v>6</v>
      </c>
      <c r="G151" s="7" t="s">
        <v>7</v>
      </c>
      <c r="H151" s="18">
        <v>40</v>
      </c>
      <c r="I151" s="8">
        <v>1250</v>
      </c>
      <c r="J151" s="8">
        <f t="shared" si="2"/>
        <v>50000</v>
      </c>
    </row>
    <row r="152" spans="1:10" ht="15.75" x14ac:dyDescent="0.2">
      <c r="A152" s="4">
        <v>149</v>
      </c>
      <c r="B152" s="48" t="s">
        <v>129</v>
      </c>
      <c r="C152" s="48"/>
      <c r="D152" s="48"/>
      <c r="E152" s="5" t="s">
        <v>267</v>
      </c>
      <c r="F152" s="6" t="s">
        <v>6</v>
      </c>
      <c r="G152" s="7" t="s">
        <v>7</v>
      </c>
      <c r="H152" s="18">
        <v>20</v>
      </c>
      <c r="I152" s="36">
        <v>750</v>
      </c>
      <c r="J152" s="8">
        <f t="shared" si="2"/>
        <v>15000</v>
      </c>
    </row>
    <row r="153" spans="1:10" ht="15.75" x14ac:dyDescent="0.2">
      <c r="A153" s="4">
        <v>150</v>
      </c>
      <c r="B153" s="48" t="s">
        <v>125</v>
      </c>
      <c r="C153" s="48"/>
      <c r="D153" s="48"/>
      <c r="E153" s="5" t="s">
        <v>263</v>
      </c>
      <c r="F153" s="6" t="s">
        <v>6</v>
      </c>
      <c r="G153" s="7" t="s">
        <v>7</v>
      </c>
      <c r="H153" s="18">
        <v>40</v>
      </c>
      <c r="I153" s="36">
        <v>510</v>
      </c>
      <c r="J153" s="8">
        <f t="shared" si="2"/>
        <v>20400</v>
      </c>
    </row>
    <row r="154" spans="1:10" ht="15.75" x14ac:dyDescent="0.2">
      <c r="A154" s="30">
        <v>151</v>
      </c>
      <c r="B154" s="50" t="s">
        <v>130</v>
      </c>
      <c r="C154" s="50"/>
      <c r="D154" s="50"/>
      <c r="E154" s="16" t="s">
        <v>268</v>
      </c>
      <c r="F154" s="31" t="s">
        <v>6</v>
      </c>
      <c r="G154" s="32" t="s">
        <v>7</v>
      </c>
      <c r="H154" s="40">
        <v>70</v>
      </c>
      <c r="I154" s="33">
        <v>2100</v>
      </c>
      <c r="J154" s="8">
        <f t="shared" si="2"/>
        <v>147000</v>
      </c>
    </row>
    <row r="155" spans="1:10" ht="15.75" x14ac:dyDescent="0.2">
      <c r="A155" s="4">
        <v>152</v>
      </c>
      <c r="B155" s="48" t="s">
        <v>124</v>
      </c>
      <c r="C155" s="48"/>
      <c r="D155" s="48"/>
      <c r="E155" s="5" t="s">
        <v>27</v>
      </c>
      <c r="F155" s="6" t="s">
        <v>6</v>
      </c>
      <c r="G155" s="7" t="s">
        <v>7</v>
      </c>
      <c r="H155" s="26">
        <v>15</v>
      </c>
      <c r="I155" s="8">
        <v>2200</v>
      </c>
      <c r="J155" s="8">
        <f t="shared" si="2"/>
        <v>33000</v>
      </c>
    </row>
    <row r="156" spans="1:10" ht="15.75" x14ac:dyDescent="0.2">
      <c r="A156" s="4">
        <v>153</v>
      </c>
      <c r="B156" s="48" t="s">
        <v>131</v>
      </c>
      <c r="C156" s="48"/>
      <c r="D156" s="48"/>
      <c r="E156" s="5" t="s">
        <v>269</v>
      </c>
      <c r="F156" s="6" t="s">
        <v>6</v>
      </c>
      <c r="G156" s="7" t="s">
        <v>7</v>
      </c>
      <c r="H156" s="26">
        <v>30</v>
      </c>
      <c r="I156" s="8">
        <v>1560</v>
      </c>
      <c r="J156" s="8">
        <f t="shared" si="2"/>
        <v>46800</v>
      </c>
    </row>
    <row r="157" spans="1:10" ht="15.75" x14ac:dyDescent="0.2">
      <c r="A157" s="4">
        <v>154</v>
      </c>
      <c r="B157" s="48" t="s">
        <v>119</v>
      </c>
      <c r="C157" s="48"/>
      <c r="D157" s="48"/>
      <c r="E157" s="5" t="s">
        <v>186</v>
      </c>
      <c r="F157" s="6" t="s">
        <v>6</v>
      </c>
      <c r="G157" s="7" t="s">
        <v>7</v>
      </c>
      <c r="H157" s="26">
        <v>20</v>
      </c>
      <c r="I157" s="8">
        <v>1200</v>
      </c>
      <c r="J157" s="8">
        <f t="shared" si="2"/>
        <v>24000</v>
      </c>
    </row>
    <row r="158" spans="1:10" ht="15.75" x14ac:dyDescent="0.2">
      <c r="A158" s="4">
        <v>155</v>
      </c>
      <c r="B158" s="48" t="s">
        <v>118</v>
      </c>
      <c r="C158" s="48"/>
      <c r="D158" s="48"/>
      <c r="E158" s="5" t="s">
        <v>185</v>
      </c>
      <c r="F158" s="6" t="s">
        <v>6</v>
      </c>
      <c r="G158" s="7" t="s">
        <v>7</v>
      </c>
      <c r="H158" s="26">
        <v>20</v>
      </c>
      <c r="I158" s="8">
        <v>1300</v>
      </c>
      <c r="J158" s="8">
        <f t="shared" si="2"/>
        <v>26000</v>
      </c>
    </row>
    <row r="159" spans="1:10" ht="15.75" x14ac:dyDescent="0.2">
      <c r="A159" s="4">
        <v>156</v>
      </c>
      <c r="B159" s="48" t="s">
        <v>122</v>
      </c>
      <c r="C159" s="48"/>
      <c r="D159" s="48"/>
      <c r="E159" s="5" t="s">
        <v>261</v>
      </c>
      <c r="F159" s="6" t="s">
        <v>6</v>
      </c>
      <c r="G159" s="7" t="s">
        <v>7</v>
      </c>
      <c r="H159" s="26">
        <v>20</v>
      </c>
      <c r="I159" s="8">
        <v>1500</v>
      </c>
      <c r="J159" s="8">
        <f t="shared" si="2"/>
        <v>30000</v>
      </c>
    </row>
    <row r="160" spans="1:10" ht="31.5" x14ac:dyDescent="0.2">
      <c r="A160" s="4">
        <v>157</v>
      </c>
      <c r="B160" s="48" t="s">
        <v>132</v>
      </c>
      <c r="C160" s="48"/>
      <c r="D160" s="48"/>
      <c r="E160" s="5" t="s">
        <v>270</v>
      </c>
      <c r="F160" s="6" t="s">
        <v>6</v>
      </c>
      <c r="G160" s="7" t="s">
        <v>7</v>
      </c>
      <c r="H160" s="25">
        <v>3</v>
      </c>
      <c r="I160" s="8">
        <v>75000</v>
      </c>
      <c r="J160" s="8">
        <f t="shared" si="2"/>
        <v>225000</v>
      </c>
    </row>
    <row r="161" spans="1:10" ht="15.75" x14ac:dyDescent="0.2">
      <c r="A161" s="4">
        <v>158</v>
      </c>
      <c r="B161" s="48" t="s">
        <v>133</v>
      </c>
      <c r="C161" s="48"/>
      <c r="D161" s="48"/>
      <c r="E161" s="5" t="s">
        <v>271</v>
      </c>
      <c r="F161" s="6" t="s">
        <v>6</v>
      </c>
      <c r="G161" s="7" t="s">
        <v>7</v>
      </c>
      <c r="H161" s="26">
        <v>20</v>
      </c>
      <c r="I161" s="8">
        <v>1900</v>
      </c>
      <c r="J161" s="8">
        <f t="shared" si="2"/>
        <v>38000</v>
      </c>
    </row>
    <row r="162" spans="1:10" ht="15.75" x14ac:dyDescent="0.2">
      <c r="A162" s="4">
        <v>159</v>
      </c>
      <c r="B162" s="48" t="s">
        <v>119</v>
      </c>
      <c r="C162" s="48"/>
      <c r="D162" s="48"/>
      <c r="E162" s="5" t="s">
        <v>272</v>
      </c>
      <c r="F162" s="6" t="s">
        <v>6</v>
      </c>
      <c r="G162" s="7" t="s">
        <v>7</v>
      </c>
      <c r="H162" s="26">
        <v>20</v>
      </c>
      <c r="I162" s="8">
        <v>1300</v>
      </c>
      <c r="J162" s="8">
        <f t="shared" si="2"/>
        <v>26000</v>
      </c>
    </row>
    <row r="163" spans="1:10" ht="15.75" x14ac:dyDescent="0.2">
      <c r="A163" s="4">
        <v>160</v>
      </c>
      <c r="B163" s="48" t="s">
        <v>134</v>
      </c>
      <c r="C163" s="48"/>
      <c r="D163" s="48"/>
      <c r="E163" s="5" t="s">
        <v>273</v>
      </c>
      <c r="F163" s="6" t="s">
        <v>6</v>
      </c>
      <c r="G163" s="7" t="s">
        <v>7</v>
      </c>
      <c r="H163" s="26">
        <v>80</v>
      </c>
      <c r="I163" s="8">
        <v>3150</v>
      </c>
      <c r="J163" s="8">
        <f t="shared" si="2"/>
        <v>252000</v>
      </c>
    </row>
    <row r="164" spans="1:10" ht="15.75" x14ac:dyDescent="0.2">
      <c r="A164" s="4">
        <v>161</v>
      </c>
      <c r="B164" s="48" t="s">
        <v>135</v>
      </c>
      <c r="C164" s="48"/>
      <c r="D164" s="48"/>
      <c r="E164" s="5" t="s">
        <v>274</v>
      </c>
      <c r="F164" s="6" t="s">
        <v>6</v>
      </c>
      <c r="G164" s="7" t="s">
        <v>7</v>
      </c>
      <c r="H164" s="26">
        <v>50</v>
      </c>
      <c r="I164" s="8">
        <v>13000</v>
      </c>
      <c r="J164" s="8">
        <f t="shared" si="2"/>
        <v>650000</v>
      </c>
    </row>
    <row r="165" spans="1:10" ht="15.75" x14ac:dyDescent="0.2">
      <c r="A165" s="4">
        <v>162</v>
      </c>
      <c r="B165" s="48" t="s">
        <v>136</v>
      </c>
      <c r="C165" s="48"/>
      <c r="D165" s="48"/>
      <c r="E165" s="5" t="s">
        <v>275</v>
      </c>
      <c r="F165" s="6" t="s">
        <v>6</v>
      </c>
      <c r="G165" s="7" t="s">
        <v>7</v>
      </c>
      <c r="H165" s="26">
        <v>80</v>
      </c>
      <c r="I165" s="8">
        <v>13000</v>
      </c>
      <c r="J165" s="8">
        <f t="shared" si="2"/>
        <v>1040000</v>
      </c>
    </row>
    <row r="166" spans="1:10" ht="15.75" x14ac:dyDescent="0.2">
      <c r="A166" s="4">
        <v>163</v>
      </c>
      <c r="B166" s="48" t="s">
        <v>137</v>
      </c>
      <c r="C166" s="48"/>
      <c r="D166" s="48"/>
      <c r="E166" s="5" t="s">
        <v>276</v>
      </c>
      <c r="F166" s="6" t="s">
        <v>6</v>
      </c>
      <c r="G166" s="7" t="s">
        <v>7</v>
      </c>
      <c r="H166" s="26">
        <v>10</v>
      </c>
      <c r="I166" s="8">
        <v>13500</v>
      </c>
      <c r="J166" s="8">
        <f t="shared" si="2"/>
        <v>135000</v>
      </c>
    </row>
    <row r="167" spans="1:10" ht="15.75" x14ac:dyDescent="0.2">
      <c r="A167" s="4">
        <v>164</v>
      </c>
      <c r="B167" s="48" t="s">
        <v>138</v>
      </c>
      <c r="C167" s="48"/>
      <c r="D167" s="48"/>
      <c r="E167" s="5" t="s">
        <v>277</v>
      </c>
      <c r="F167" s="6" t="s">
        <v>6</v>
      </c>
      <c r="G167" s="7" t="s">
        <v>7</v>
      </c>
      <c r="H167" s="25">
        <v>6</v>
      </c>
      <c r="I167" s="8">
        <v>17100</v>
      </c>
      <c r="J167" s="8">
        <f t="shared" si="2"/>
        <v>102600</v>
      </c>
    </row>
    <row r="168" spans="1:10" ht="15.75" x14ac:dyDescent="0.2">
      <c r="A168" s="30">
        <v>165</v>
      </c>
      <c r="B168" s="50" t="s">
        <v>139</v>
      </c>
      <c r="C168" s="50"/>
      <c r="D168" s="50"/>
      <c r="E168" s="16" t="s">
        <v>278</v>
      </c>
      <c r="F168" s="31" t="s">
        <v>6</v>
      </c>
      <c r="G168" s="32" t="s">
        <v>7</v>
      </c>
      <c r="H168" s="38">
        <v>3</v>
      </c>
      <c r="I168" s="33">
        <v>19900</v>
      </c>
      <c r="J168" s="8">
        <f t="shared" si="2"/>
        <v>59700</v>
      </c>
    </row>
    <row r="169" spans="1:10" ht="15.75" x14ac:dyDescent="0.2">
      <c r="A169" s="4">
        <v>166</v>
      </c>
      <c r="B169" s="48" t="s">
        <v>140</v>
      </c>
      <c r="C169" s="48"/>
      <c r="D169" s="48"/>
      <c r="E169" s="5" t="s">
        <v>279</v>
      </c>
      <c r="F169" s="6" t="s">
        <v>6</v>
      </c>
      <c r="G169" s="7" t="s">
        <v>7</v>
      </c>
      <c r="H169" s="26">
        <v>28</v>
      </c>
      <c r="I169" s="8">
        <v>13000</v>
      </c>
      <c r="J169" s="8">
        <f t="shared" si="2"/>
        <v>364000</v>
      </c>
    </row>
    <row r="170" spans="1:10" ht="15.75" x14ac:dyDescent="0.2">
      <c r="A170" s="4">
        <v>167</v>
      </c>
      <c r="B170" s="48" t="s">
        <v>141</v>
      </c>
      <c r="C170" s="48"/>
      <c r="D170" s="48"/>
      <c r="E170" s="5" t="s">
        <v>280</v>
      </c>
      <c r="F170" s="6" t="s">
        <v>6</v>
      </c>
      <c r="G170" s="7" t="s">
        <v>7</v>
      </c>
      <c r="H170" s="25">
        <v>5</v>
      </c>
      <c r="I170" s="8">
        <v>26250</v>
      </c>
      <c r="J170" s="8">
        <f t="shared" si="2"/>
        <v>131250</v>
      </c>
    </row>
    <row r="171" spans="1:10" ht="15.75" x14ac:dyDescent="0.2">
      <c r="A171" s="4">
        <v>168</v>
      </c>
      <c r="B171" s="48" t="s">
        <v>112</v>
      </c>
      <c r="C171" s="48"/>
      <c r="D171" s="48"/>
      <c r="E171" s="5" t="s">
        <v>253</v>
      </c>
      <c r="F171" s="6" t="s">
        <v>6</v>
      </c>
      <c r="G171" s="7" t="s">
        <v>7</v>
      </c>
      <c r="H171" s="26">
        <v>30</v>
      </c>
      <c r="I171" s="8">
        <v>1990</v>
      </c>
      <c r="J171" s="8">
        <f t="shared" si="2"/>
        <v>59700</v>
      </c>
    </row>
    <row r="172" spans="1:10" ht="15.75" x14ac:dyDescent="0.2">
      <c r="A172" s="4">
        <v>169</v>
      </c>
      <c r="B172" s="48" t="s">
        <v>112</v>
      </c>
      <c r="C172" s="48"/>
      <c r="D172" s="48"/>
      <c r="E172" s="5" t="s">
        <v>253</v>
      </c>
      <c r="F172" s="6" t="s">
        <v>6</v>
      </c>
      <c r="G172" s="7" t="s">
        <v>7</v>
      </c>
      <c r="H172" s="26">
        <v>28</v>
      </c>
      <c r="I172" s="8">
        <v>1700</v>
      </c>
      <c r="J172" s="8">
        <f t="shared" si="2"/>
        <v>47600</v>
      </c>
    </row>
    <row r="173" spans="1:10" ht="15.75" x14ac:dyDescent="0.2">
      <c r="A173" s="4">
        <v>170</v>
      </c>
      <c r="B173" s="48" t="s">
        <v>112</v>
      </c>
      <c r="C173" s="48"/>
      <c r="D173" s="48"/>
      <c r="E173" s="5" t="s">
        <v>253</v>
      </c>
      <c r="F173" s="6" t="s">
        <v>6</v>
      </c>
      <c r="G173" s="7" t="s">
        <v>7</v>
      </c>
      <c r="H173" s="25">
        <v>5</v>
      </c>
      <c r="I173" s="8">
        <v>1771</v>
      </c>
      <c r="J173" s="8">
        <f t="shared" si="2"/>
        <v>8855</v>
      </c>
    </row>
    <row r="174" spans="1:10" ht="15.75" x14ac:dyDescent="0.2">
      <c r="A174" s="4">
        <v>171</v>
      </c>
      <c r="B174" s="48" t="s">
        <v>142</v>
      </c>
      <c r="C174" s="48"/>
      <c r="D174" s="48"/>
      <c r="E174" s="5" t="s">
        <v>281</v>
      </c>
      <c r="F174" s="6" t="s">
        <v>6</v>
      </c>
      <c r="G174" s="7" t="s">
        <v>7</v>
      </c>
      <c r="H174" s="26">
        <v>80</v>
      </c>
      <c r="I174" s="8">
        <v>1850</v>
      </c>
      <c r="J174" s="8">
        <f t="shared" si="2"/>
        <v>148000</v>
      </c>
    </row>
    <row r="175" spans="1:10" ht="15.75" x14ac:dyDescent="0.2">
      <c r="A175" s="4">
        <v>172</v>
      </c>
      <c r="B175" s="48" t="s">
        <v>143</v>
      </c>
      <c r="C175" s="48"/>
      <c r="D175" s="48"/>
      <c r="E175" s="5" t="s">
        <v>282</v>
      </c>
      <c r="F175" s="6" t="s">
        <v>6</v>
      </c>
      <c r="G175" s="7" t="s">
        <v>7</v>
      </c>
      <c r="H175" s="26">
        <v>28</v>
      </c>
      <c r="I175" s="8">
        <v>1700</v>
      </c>
      <c r="J175" s="8">
        <f t="shared" si="2"/>
        <v>47600</v>
      </c>
    </row>
    <row r="176" spans="1:10" ht="15.75" x14ac:dyDescent="0.2">
      <c r="A176" s="4">
        <v>173</v>
      </c>
      <c r="B176" s="48" t="s">
        <v>144</v>
      </c>
      <c r="C176" s="48"/>
      <c r="D176" s="48"/>
      <c r="E176" s="5" t="s">
        <v>283</v>
      </c>
      <c r="F176" s="6" t="s">
        <v>6</v>
      </c>
      <c r="G176" s="7" t="s">
        <v>7</v>
      </c>
      <c r="H176" s="25">
        <v>5</v>
      </c>
      <c r="I176" s="8">
        <v>2497</v>
      </c>
      <c r="J176" s="8">
        <f t="shared" si="2"/>
        <v>12485</v>
      </c>
    </row>
    <row r="177" spans="1:10" ht="15.75" x14ac:dyDescent="0.2">
      <c r="A177" s="4">
        <v>174</v>
      </c>
      <c r="B177" s="48" t="s">
        <v>145</v>
      </c>
      <c r="C177" s="48"/>
      <c r="D177" s="48"/>
      <c r="E177" s="5" t="s">
        <v>284</v>
      </c>
      <c r="F177" s="6" t="s">
        <v>6</v>
      </c>
      <c r="G177" s="7" t="s">
        <v>7</v>
      </c>
      <c r="H177" s="26">
        <v>20</v>
      </c>
      <c r="I177" s="8">
        <v>5500</v>
      </c>
      <c r="J177" s="8">
        <f t="shared" si="2"/>
        <v>110000</v>
      </c>
    </row>
    <row r="178" spans="1:10" ht="15.75" x14ac:dyDescent="0.2">
      <c r="A178" s="4">
        <v>175</v>
      </c>
      <c r="B178" s="48" t="s">
        <v>146</v>
      </c>
      <c r="C178" s="48"/>
      <c r="D178" s="48"/>
      <c r="E178" s="5" t="s">
        <v>285</v>
      </c>
      <c r="F178" s="6" t="s">
        <v>6</v>
      </c>
      <c r="G178" s="7" t="s">
        <v>7</v>
      </c>
      <c r="H178" s="26">
        <v>20</v>
      </c>
      <c r="I178" s="8">
        <v>5500</v>
      </c>
      <c r="J178" s="8">
        <f t="shared" si="2"/>
        <v>110000</v>
      </c>
    </row>
    <row r="179" spans="1:10" ht="15.75" x14ac:dyDescent="0.2">
      <c r="A179" s="4">
        <v>176</v>
      </c>
      <c r="B179" s="48" t="s">
        <v>114</v>
      </c>
      <c r="C179" s="48"/>
      <c r="D179" s="48"/>
      <c r="E179" s="5" t="s">
        <v>286</v>
      </c>
      <c r="F179" s="6" t="s">
        <v>6</v>
      </c>
      <c r="G179" s="7" t="s">
        <v>7</v>
      </c>
      <c r="H179" s="26">
        <v>30</v>
      </c>
      <c r="I179" s="8">
        <v>6000</v>
      </c>
      <c r="J179" s="8">
        <f t="shared" si="2"/>
        <v>180000</v>
      </c>
    </row>
    <row r="180" spans="1:10" ht="15.75" x14ac:dyDescent="0.2">
      <c r="A180" s="4">
        <v>177</v>
      </c>
      <c r="B180" s="48" t="s">
        <v>124</v>
      </c>
      <c r="C180" s="48"/>
      <c r="D180" s="48"/>
      <c r="E180" s="5" t="s">
        <v>27</v>
      </c>
      <c r="F180" s="6" t="s">
        <v>6</v>
      </c>
      <c r="G180" s="7" t="s">
        <v>7</v>
      </c>
      <c r="H180" s="26">
        <v>50</v>
      </c>
      <c r="I180" s="8">
        <v>1850</v>
      </c>
      <c r="J180" s="8">
        <f t="shared" si="2"/>
        <v>92500</v>
      </c>
    </row>
    <row r="181" spans="1:10" ht="15.75" x14ac:dyDescent="0.2">
      <c r="A181" s="4">
        <v>178</v>
      </c>
      <c r="B181" s="48" t="s">
        <v>124</v>
      </c>
      <c r="C181" s="48"/>
      <c r="D181" s="48"/>
      <c r="E181" s="5" t="s">
        <v>27</v>
      </c>
      <c r="F181" s="6" t="s">
        <v>6</v>
      </c>
      <c r="G181" s="7" t="s">
        <v>7</v>
      </c>
      <c r="H181" s="26">
        <v>30</v>
      </c>
      <c r="I181" s="8">
        <v>1600</v>
      </c>
      <c r="J181" s="8">
        <f t="shared" si="2"/>
        <v>48000</v>
      </c>
    </row>
    <row r="182" spans="1:10" ht="15.75" x14ac:dyDescent="0.2">
      <c r="A182" s="4">
        <v>179</v>
      </c>
      <c r="B182" s="48" t="s">
        <v>124</v>
      </c>
      <c r="C182" s="48"/>
      <c r="D182" s="48"/>
      <c r="E182" s="5" t="s">
        <v>27</v>
      </c>
      <c r="F182" s="6" t="s">
        <v>6</v>
      </c>
      <c r="G182" s="7" t="s">
        <v>7</v>
      </c>
      <c r="H182" s="25">
        <v>5</v>
      </c>
      <c r="I182" s="8">
        <v>12500</v>
      </c>
      <c r="J182" s="8">
        <f t="shared" si="2"/>
        <v>62500</v>
      </c>
    </row>
    <row r="183" spans="1:10" ht="15.75" x14ac:dyDescent="0.2">
      <c r="A183" s="20">
        <v>180</v>
      </c>
      <c r="B183" s="50" t="s">
        <v>147</v>
      </c>
      <c r="C183" s="50"/>
      <c r="D183" s="50"/>
      <c r="E183" s="16" t="s">
        <v>287</v>
      </c>
      <c r="F183" s="21" t="s">
        <v>6</v>
      </c>
      <c r="G183" s="22" t="s">
        <v>7</v>
      </c>
      <c r="H183" s="29">
        <v>35</v>
      </c>
      <c r="I183" s="23">
        <v>16000</v>
      </c>
      <c r="J183" s="8">
        <f t="shared" si="2"/>
        <v>560000</v>
      </c>
    </row>
    <row r="184" spans="1:10" ht="15.75" x14ac:dyDescent="0.2">
      <c r="A184" s="4">
        <v>181</v>
      </c>
      <c r="B184" s="48" t="s">
        <v>148</v>
      </c>
      <c r="C184" s="48"/>
      <c r="D184" s="48"/>
      <c r="E184" s="5" t="s">
        <v>288</v>
      </c>
      <c r="F184" s="6" t="s">
        <v>6</v>
      </c>
      <c r="G184" s="7" t="s">
        <v>7</v>
      </c>
      <c r="H184" s="26">
        <v>35</v>
      </c>
      <c r="I184" s="8">
        <v>7000</v>
      </c>
      <c r="J184" s="8">
        <f t="shared" si="2"/>
        <v>245000</v>
      </c>
    </row>
    <row r="185" spans="1:10" ht="15.75" x14ac:dyDescent="0.2">
      <c r="A185" s="4">
        <v>182</v>
      </c>
      <c r="B185" s="48" t="s">
        <v>149</v>
      </c>
      <c r="C185" s="48"/>
      <c r="D185" s="48"/>
      <c r="E185" s="5" t="s">
        <v>289</v>
      </c>
      <c r="F185" s="6" t="s">
        <v>6</v>
      </c>
      <c r="G185" s="7" t="s">
        <v>7</v>
      </c>
      <c r="H185" s="26">
        <v>35</v>
      </c>
      <c r="I185" s="8">
        <v>14300</v>
      </c>
      <c r="J185" s="8">
        <f t="shared" si="2"/>
        <v>500500</v>
      </c>
    </row>
    <row r="186" spans="1:10" ht="15.75" x14ac:dyDescent="0.2">
      <c r="A186" s="4">
        <v>183</v>
      </c>
      <c r="B186" s="48" t="s">
        <v>150</v>
      </c>
      <c r="C186" s="48"/>
      <c r="D186" s="48"/>
      <c r="E186" s="5" t="s">
        <v>290</v>
      </c>
      <c r="F186" s="6" t="s">
        <v>6</v>
      </c>
      <c r="G186" s="7" t="s">
        <v>7</v>
      </c>
      <c r="H186" s="26">
        <v>35</v>
      </c>
      <c r="I186" s="8">
        <v>5500</v>
      </c>
      <c r="J186" s="8">
        <f t="shared" si="2"/>
        <v>192500</v>
      </c>
    </row>
    <row r="187" spans="1:10" ht="15.75" x14ac:dyDescent="0.2">
      <c r="A187" s="4">
        <v>184</v>
      </c>
      <c r="B187" s="48" t="s">
        <v>151</v>
      </c>
      <c r="C187" s="48"/>
      <c r="D187" s="48"/>
      <c r="E187" s="5" t="s">
        <v>291</v>
      </c>
      <c r="F187" s="6" t="s">
        <v>6</v>
      </c>
      <c r="G187" s="7" t="s">
        <v>7</v>
      </c>
      <c r="H187" s="25">
        <v>5</v>
      </c>
      <c r="I187" s="8">
        <v>19700</v>
      </c>
      <c r="J187" s="8">
        <f t="shared" si="2"/>
        <v>98500</v>
      </c>
    </row>
    <row r="188" spans="1:10" ht="15.75" x14ac:dyDescent="0.2">
      <c r="A188" s="4">
        <v>185</v>
      </c>
      <c r="B188" s="48" t="s">
        <v>152</v>
      </c>
      <c r="C188" s="48"/>
      <c r="D188" s="48"/>
      <c r="E188" s="5" t="s">
        <v>292</v>
      </c>
      <c r="F188" s="6" t="s">
        <v>6</v>
      </c>
      <c r="G188" s="7" t="s">
        <v>7</v>
      </c>
      <c r="H188" s="25">
        <v>5</v>
      </c>
      <c r="I188" s="8">
        <v>8600</v>
      </c>
      <c r="J188" s="8">
        <f t="shared" si="2"/>
        <v>43000</v>
      </c>
    </row>
    <row r="189" spans="1:10" ht="15.75" x14ac:dyDescent="0.2">
      <c r="A189" s="4">
        <v>186</v>
      </c>
      <c r="B189" s="48" t="s">
        <v>153</v>
      </c>
      <c r="C189" s="48"/>
      <c r="D189" s="48"/>
      <c r="E189" s="5" t="s">
        <v>293</v>
      </c>
      <c r="F189" s="6" t="s">
        <v>6</v>
      </c>
      <c r="G189" s="7" t="s">
        <v>7</v>
      </c>
      <c r="H189" s="26">
        <v>30</v>
      </c>
      <c r="I189" s="8">
        <v>3500</v>
      </c>
      <c r="J189" s="8">
        <f t="shared" si="2"/>
        <v>105000</v>
      </c>
    </row>
    <row r="190" spans="1:10" ht="15.75" x14ac:dyDescent="0.2">
      <c r="A190" s="4">
        <v>187</v>
      </c>
      <c r="B190" s="48" t="s">
        <v>154</v>
      </c>
      <c r="C190" s="48"/>
      <c r="D190" s="48"/>
      <c r="E190" s="5" t="s">
        <v>294</v>
      </c>
      <c r="F190" s="6" t="s">
        <v>6</v>
      </c>
      <c r="G190" s="7" t="s">
        <v>7</v>
      </c>
      <c r="H190" s="26">
        <v>30</v>
      </c>
      <c r="I190" s="8">
        <v>4500</v>
      </c>
      <c r="J190" s="8">
        <f t="shared" si="2"/>
        <v>135000</v>
      </c>
    </row>
    <row r="191" spans="1:10" ht="15.75" x14ac:dyDescent="0.2">
      <c r="A191" s="4">
        <v>188</v>
      </c>
      <c r="B191" s="48" t="s">
        <v>155</v>
      </c>
      <c r="C191" s="48"/>
      <c r="D191" s="48"/>
      <c r="E191" s="47" t="s">
        <v>295</v>
      </c>
      <c r="F191" s="6" t="s">
        <v>6</v>
      </c>
      <c r="G191" s="7" t="s">
        <v>7</v>
      </c>
      <c r="H191" s="25">
        <v>5</v>
      </c>
      <c r="I191" s="8">
        <v>6000</v>
      </c>
      <c r="J191" s="8">
        <f t="shared" si="2"/>
        <v>30000</v>
      </c>
    </row>
    <row r="192" spans="1:10" ht="15.75" x14ac:dyDescent="0.2">
      <c r="A192" s="4">
        <v>189</v>
      </c>
      <c r="B192" s="48" t="s">
        <v>156</v>
      </c>
      <c r="C192" s="48"/>
      <c r="D192" s="48"/>
      <c r="E192" s="47" t="s">
        <v>296</v>
      </c>
      <c r="F192" s="6" t="s">
        <v>6</v>
      </c>
      <c r="G192" s="7" t="s">
        <v>7</v>
      </c>
      <c r="H192" s="26">
        <v>40</v>
      </c>
      <c r="I192" s="8">
        <v>2100</v>
      </c>
      <c r="J192" s="8">
        <f t="shared" si="2"/>
        <v>84000</v>
      </c>
    </row>
    <row r="193" spans="1:10" ht="15.75" x14ac:dyDescent="0.2">
      <c r="A193" s="4">
        <v>190</v>
      </c>
      <c r="B193" s="48" t="s">
        <v>157</v>
      </c>
      <c r="C193" s="48"/>
      <c r="D193" s="48"/>
      <c r="E193" s="47" t="s">
        <v>297</v>
      </c>
      <c r="F193" s="6" t="s">
        <v>6</v>
      </c>
      <c r="G193" s="7" t="s">
        <v>7</v>
      </c>
      <c r="H193" s="26">
        <v>40</v>
      </c>
      <c r="I193" s="8">
        <v>5800</v>
      </c>
      <c r="J193" s="8">
        <f t="shared" si="2"/>
        <v>232000</v>
      </c>
    </row>
    <row r="194" spans="1:10" ht="15.75" x14ac:dyDescent="0.2">
      <c r="A194" s="4">
        <v>191</v>
      </c>
      <c r="B194" s="48" t="s">
        <v>158</v>
      </c>
      <c r="C194" s="48"/>
      <c r="D194" s="48"/>
      <c r="E194" s="5" t="s">
        <v>298</v>
      </c>
      <c r="F194" s="6" t="s">
        <v>6</v>
      </c>
      <c r="G194" s="7" t="s">
        <v>7</v>
      </c>
      <c r="H194" s="25">
        <v>5</v>
      </c>
      <c r="I194" s="36">
        <v>860</v>
      </c>
      <c r="J194" s="8">
        <f t="shared" si="2"/>
        <v>4300</v>
      </c>
    </row>
    <row r="195" spans="1:10" ht="15.75" x14ac:dyDescent="0.2">
      <c r="A195" s="4">
        <v>192</v>
      </c>
      <c r="B195" s="48" t="s">
        <v>159</v>
      </c>
      <c r="C195" s="48"/>
      <c r="D195" s="48"/>
      <c r="E195" s="5" t="s">
        <v>299</v>
      </c>
      <c r="F195" s="6" t="s">
        <v>6</v>
      </c>
      <c r="G195" s="7" t="s">
        <v>7</v>
      </c>
      <c r="H195" s="26">
        <v>40</v>
      </c>
      <c r="I195" s="8">
        <v>3600</v>
      </c>
      <c r="J195" s="8">
        <f t="shared" si="2"/>
        <v>144000</v>
      </c>
    </row>
    <row r="196" spans="1:10" ht="15.75" x14ac:dyDescent="0.2">
      <c r="A196" s="4">
        <v>193</v>
      </c>
      <c r="B196" s="48" t="s">
        <v>160</v>
      </c>
      <c r="C196" s="48"/>
      <c r="D196" s="48"/>
      <c r="E196" s="5" t="s">
        <v>300</v>
      </c>
      <c r="F196" s="6" t="s">
        <v>6</v>
      </c>
      <c r="G196" s="7" t="s">
        <v>7</v>
      </c>
      <c r="H196" s="26">
        <v>40</v>
      </c>
      <c r="I196" s="8">
        <v>3600</v>
      </c>
      <c r="J196" s="8">
        <f t="shared" si="2"/>
        <v>144000</v>
      </c>
    </row>
    <row r="197" spans="1:10" ht="15.75" x14ac:dyDescent="0.2">
      <c r="A197" s="4">
        <v>194</v>
      </c>
      <c r="B197" s="48" t="s">
        <v>161</v>
      </c>
      <c r="C197" s="48"/>
      <c r="D197" s="48"/>
      <c r="E197" s="5" t="s">
        <v>301</v>
      </c>
      <c r="F197" s="6" t="s">
        <v>6</v>
      </c>
      <c r="G197" s="7" t="s">
        <v>7</v>
      </c>
      <c r="H197" s="26">
        <v>40</v>
      </c>
      <c r="I197" s="8">
        <v>3300</v>
      </c>
      <c r="J197" s="8">
        <f t="shared" ref="J197:J218" si="3">+H197*I197</f>
        <v>132000</v>
      </c>
    </row>
    <row r="198" spans="1:10" ht="15.75" x14ac:dyDescent="0.2">
      <c r="A198" s="4">
        <v>195</v>
      </c>
      <c r="B198" s="48" t="s">
        <v>162</v>
      </c>
      <c r="C198" s="48"/>
      <c r="D198" s="48"/>
      <c r="E198" s="5" t="s">
        <v>302</v>
      </c>
      <c r="F198" s="6" t="s">
        <v>6</v>
      </c>
      <c r="G198" s="7" t="s">
        <v>7</v>
      </c>
      <c r="H198" s="26">
        <v>15</v>
      </c>
      <c r="I198" s="8">
        <v>3300</v>
      </c>
      <c r="J198" s="8">
        <f t="shared" si="3"/>
        <v>49500</v>
      </c>
    </row>
    <row r="199" spans="1:10" ht="15.75" x14ac:dyDescent="0.2">
      <c r="A199" s="30">
        <v>196</v>
      </c>
      <c r="B199" s="50" t="s">
        <v>163</v>
      </c>
      <c r="C199" s="50"/>
      <c r="D199" s="50"/>
      <c r="E199" s="16" t="s">
        <v>303</v>
      </c>
      <c r="F199" s="31" t="s">
        <v>6</v>
      </c>
      <c r="G199" s="32" t="s">
        <v>7</v>
      </c>
      <c r="H199" s="40">
        <v>15</v>
      </c>
      <c r="I199" s="33">
        <v>2000</v>
      </c>
      <c r="J199" s="8">
        <f t="shared" si="3"/>
        <v>30000</v>
      </c>
    </row>
    <row r="200" spans="1:10" ht="15.75" x14ac:dyDescent="0.2">
      <c r="A200" s="4">
        <v>197</v>
      </c>
      <c r="B200" s="48" t="s">
        <v>164</v>
      </c>
      <c r="C200" s="48"/>
      <c r="D200" s="48"/>
      <c r="E200" s="5" t="s">
        <v>304</v>
      </c>
      <c r="F200" s="6" t="s">
        <v>6</v>
      </c>
      <c r="G200" s="7" t="s">
        <v>7</v>
      </c>
      <c r="H200" s="26">
        <v>15</v>
      </c>
      <c r="I200" s="8">
        <v>2000</v>
      </c>
      <c r="J200" s="8">
        <f t="shared" si="3"/>
        <v>30000</v>
      </c>
    </row>
    <row r="201" spans="1:10" ht="15.75" x14ac:dyDescent="0.2">
      <c r="A201" s="4">
        <v>198</v>
      </c>
      <c r="B201" s="48" t="s">
        <v>165</v>
      </c>
      <c r="C201" s="48"/>
      <c r="D201" s="48"/>
      <c r="E201" s="5" t="s">
        <v>305</v>
      </c>
      <c r="F201" s="6" t="s">
        <v>6</v>
      </c>
      <c r="G201" s="7" t="s">
        <v>7</v>
      </c>
      <c r="H201" s="26">
        <v>15</v>
      </c>
      <c r="I201" s="8">
        <v>7500</v>
      </c>
      <c r="J201" s="8">
        <f t="shared" si="3"/>
        <v>112500</v>
      </c>
    </row>
    <row r="202" spans="1:10" ht="15.75" x14ac:dyDescent="0.2">
      <c r="A202" s="4">
        <v>199</v>
      </c>
      <c r="B202" s="48" t="s">
        <v>166</v>
      </c>
      <c r="C202" s="48"/>
      <c r="D202" s="48"/>
      <c r="E202" s="5" t="s">
        <v>306</v>
      </c>
      <c r="F202" s="6" t="s">
        <v>6</v>
      </c>
      <c r="G202" s="7" t="s">
        <v>7</v>
      </c>
      <c r="H202" s="26">
        <v>40</v>
      </c>
      <c r="I202" s="8">
        <v>7000</v>
      </c>
      <c r="J202" s="8">
        <f t="shared" si="3"/>
        <v>280000</v>
      </c>
    </row>
    <row r="203" spans="1:10" ht="15.75" x14ac:dyDescent="0.2">
      <c r="A203" s="4">
        <v>200</v>
      </c>
      <c r="B203" s="48" t="s">
        <v>167</v>
      </c>
      <c r="C203" s="48"/>
      <c r="D203" s="48"/>
      <c r="E203" s="5" t="s">
        <v>307</v>
      </c>
      <c r="F203" s="6" t="s">
        <v>6</v>
      </c>
      <c r="G203" s="7" t="s">
        <v>7</v>
      </c>
      <c r="H203" s="26">
        <v>40</v>
      </c>
      <c r="I203" s="8">
        <v>7000</v>
      </c>
      <c r="J203" s="8">
        <f t="shared" si="3"/>
        <v>280000</v>
      </c>
    </row>
    <row r="204" spans="1:10" ht="15.75" x14ac:dyDescent="0.2">
      <c r="A204" s="4">
        <v>201</v>
      </c>
      <c r="B204" s="48" t="s">
        <v>168</v>
      </c>
      <c r="C204" s="48"/>
      <c r="D204" s="48"/>
      <c r="E204" s="5" t="s">
        <v>308</v>
      </c>
      <c r="F204" s="6" t="s">
        <v>6</v>
      </c>
      <c r="G204" s="7" t="s">
        <v>7</v>
      </c>
      <c r="H204" s="26">
        <v>40</v>
      </c>
      <c r="I204" s="8">
        <v>4000</v>
      </c>
      <c r="J204" s="8">
        <f t="shared" si="3"/>
        <v>160000</v>
      </c>
    </row>
    <row r="205" spans="1:10" ht="15.75" x14ac:dyDescent="0.2">
      <c r="A205" s="4">
        <v>202</v>
      </c>
      <c r="B205" s="48" t="s">
        <v>169</v>
      </c>
      <c r="C205" s="48"/>
      <c r="D205" s="48"/>
      <c r="E205" s="5" t="s">
        <v>309</v>
      </c>
      <c r="F205" s="6" t="s">
        <v>6</v>
      </c>
      <c r="G205" s="7" t="s">
        <v>7</v>
      </c>
      <c r="H205" s="26">
        <v>40</v>
      </c>
      <c r="I205" s="8">
        <v>8000</v>
      </c>
      <c r="J205" s="8">
        <f t="shared" si="3"/>
        <v>320000</v>
      </c>
    </row>
    <row r="206" spans="1:10" ht="15.75" x14ac:dyDescent="0.2">
      <c r="A206" s="4">
        <v>203</v>
      </c>
      <c r="B206" s="48" t="s">
        <v>170</v>
      </c>
      <c r="C206" s="48"/>
      <c r="D206" s="48"/>
      <c r="E206" s="5" t="s">
        <v>310</v>
      </c>
      <c r="F206" s="6" t="s">
        <v>6</v>
      </c>
      <c r="G206" s="7" t="s">
        <v>7</v>
      </c>
      <c r="H206" s="26">
        <v>40</v>
      </c>
      <c r="I206" s="8">
        <v>7500</v>
      </c>
      <c r="J206" s="8">
        <f t="shared" si="3"/>
        <v>300000</v>
      </c>
    </row>
    <row r="207" spans="1:10" ht="15.75" x14ac:dyDescent="0.2">
      <c r="A207" s="4">
        <v>204</v>
      </c>
      <c r="B207" s="48" t="s">
        <v>171</v>
      </c>
      <c r="C207" s="48"/>
      <c r="D207" s="48"/>
      <c r="E207" s="5" t="s">
        <v>311</v>
      </c>
      <c r="F207" s="6" t="s">
        <v>6</v>
      </c>
      <c r="G207" s="7" t="s">
        <v>7</v>
      </c>
      <c r="H207" s="26">
        <v>40</v>
      </c>
      <c r="I207" s="8">
        <v>4950</v>
      </c>
      <c r="J207" s="8">
        <f t="shared" si="3"/>
        <v>198000</v>
      </c>
    </row>
    <row r="208" spans="1:10" ht="15.75" x14ac:dyDescent="0.2">
      <c r="A208" s="4">
        <v>205</v>
      </c>
      <c r="B208" s="48" t="s">
        <v>172</v>
      </c>
      <c r="C208" s="48"/>
      <c r="D208" s="48"/>
      <c r="E208" s="5" t="s">
        <v>312</v>
      </c>
      <c r="F208" s="6" t="s">
        <v>6</v>
      </c>
      <c r="G208" s="7" t="s">
        <v>7</v>
      </c>
      <c r="H208" s="25">
        <v>1</v>
      </c>
      <c r="I208" s="8">
        <v>8900</v>
      </c>
      <c r="J208" s="8">
        <f t="shared" si="3"/>
        <v>8900</v>
      </c>
    </row>
    <row r="209" spans="1:10" ht="15.75" x14ac:dyDescent="0.2">
      <c r="A209" s="4">
        <v>206</v>
      </c>
      <c r="B209" s="48" t="s">
        <v>173</v>
      </c>
      <c r="C209" s="48"/>
      <c r="D209" s="48"/>
      <c r="E209" s="5" t="s">
        <v>313</v>
      </c>
      <c r="F209" s="6" t="s">
        <v>6</v>
      </c>
      <c r="G209" s="7" t="s">
        <v>7</v>
      </c>
      <c r="H209" s="25">
        <v>1</v>
      </c>
      <c r="I209" s="8">
        <v>8900</v>
      </c>
      <c r="J209" s="8">
        <f t="shared" si="3"/>
        <v>8900</v>
      </c>
    </row>
    <row r="210" spans="1:10" ht="15.75" x14ac:dyDescent="0.2">
      <c r="A210" s="4">
        <v>207</v>
      </c>
      <c r="B210" s="48" t="s">
        <v>174</v>
      </c>
      <c r="C210" s="48"/>
      <c r="D210" s="48"/>
      <c r="E210" s="47" t="s">
        <v>314</v>
      </c>
      <c r="F210" s="6" t="s">
        <v>6</v>
      </c>
      <c r="G210" s="7" t="s">
        <v>7</v>
      </c>
      <c r="H210" s="26">
        <v>20</v>
      </c>
      <c r="I210" s="8">
        <v>8500</v>
      </c>
      <c r="J210" s="8">
        <f t="shared" si="3"/>
        <v>170000</v>
      </c>
    </row>
    <row r="211" spans="1:10" ht="15.75" x14ac:dyDescent="0.2">
      <c r="A211" s="4">
        <v>208</v>
      </c>
      <c r="B211" s="48" t="s">
        <v>175</v>
      </c>
      <c r="C211" s="48"/>
      <c r="D211" s="48"/>
      <c r="E211" s="5" t="s">
        <v>315</v>
      </c>
      <c r="F211" s="6" t="s">
        <v>6</v>
      </c>
      <c r="G211" s="7" t="s">
        <v>7</v>
      </c>
      <c r="H211" s="26">
        <v>20</v>
      </c>
      <c r="I211" s="8">
        <v>8500</v>
      </c>
      <c r="J211" s="8">
        <f t="shared" si="3"/>
        <v>170000</v>
      </c>
    </row>
    <row r="212" spans="1:10" ht="15.75" x14ac:dyDescent="0.2">
      <c r="A212" s="4">
        <v>209</v>
      </c>
      <c r="B212" s="48" t="s">
        <v>176</v>
      </c>
      <c r="C212" s="48"/>
      <c r="D212" s="48"/>
      <c r="E212" s="5" t="s">
        <v>316</v>
      </c>
      <c r="F212" s="6" t="s">
        <v>6</v>
      </c>
      <c r="G212" s="7" t="s">
        <v>7</v>
      </c>
      <c r="H212" s="26">
        <v>20</v>
      </c>
      <c r="I212" s="8">
        <v>8500</v>
      </c>
      <c r="J212" s="8">
        <f t="shared" si="3"/>
        <v>170000</v>
      </c>
    </row>
    <row r="213" spans="1:10" ht="15.75" x14ac:dyDescent="0.2">
      <c r="A213" s="20">
        <v>210</v>
      </c>
      <c r="B213" s="50" t="s">
        <v>177</v>
      </c>
      <c r="C213" s="50"/>
      <c r="D213" s="50"/>
      <c r="E213" s="16" t="s">
        <v>317</v>
      </c>
      <c r="F213" s="21" t="s">
        <v>6</v>
      </c>
      <c r="G213" s="22" t="s">
        <v>7</v>
      </c>
      <c r="H213" s="29">
        <v>10</v>
      </c>
      <c r="I213" s="23">
        <v>7500</v>
      </c>
      <c r="J213" s="8">
        <f t="shared" si="3"/>
        <v>75000</v>
      </c>
    </row>
    <row r="214" spans="1:10" ht="15.75" x14ac:dyDescent="0.2">
      <c r="A214" s="4">
        <v>211</v>
      </c>
      <c r="B214" s="48" t="s">
        <v>178</v>
      </c>
      <c r="C214" s="48"/>
      <c r="D214" s="48"/>
      <c r="E214" s="5" t="s">
        <v>318</v>
      </c>
      <c r="F214" s="6" t="s">
        <v>6</v>
      </c>
      <c r="G214" s="7" t="s">
        <v>7</v>
      </c>
      <c r="H214" s="25">
        <v>5</v>
      </c>
      <c r="I214" s="8">
        <v>9174</v>
      </c>
      <c r="J214" s="8">
        <f t="shared" si="3"/>
        <v>45870</v>
      </c>
    </row>
    <row r="215" spans="1:10" ht="15.75" x14ac:dyDescent="0.2">
      <c r="A215" s="4">
        <v>212</v>
      </c>
      <c r="B215" s="48" t="s">
        <v>179</v>
      </c>
      <c r="C215" s="48"/>
      <c r="D215" s="48"/>
      <c r="E215" s="5" t="s">
        <v>319</v>
      </c>
      <c r="F215" s="6" t="s">
        <v>6</v>
      </c>
      <c r="G215" s="7" t="s">
        <v>7</v>
      </c>
      <c r="H215" s="26">
        <v>40</v>
      </c>
      <c r="I215" s="8">
        <v>1700</v>
      </c>
      <c r="J215" s="8">
        <f t="shared" si="3"/>
        <v>68000</v>
      </c>
    </row>
    <row r="216" spans="1:10" ht="15.75" x14ac:dyDescent="0.2">
      <c r="A216" s="4">
        <v>213</v>
      </c>
      <c r="B216" s="48" t="s">
        <v>180</v>
      </c>
      <c r="C216" s="48"/>
      <c r="D216" s="48"/>
      <c r="E216" s="5" t="s">
        <v>320</v>
      </c>
      <c r="F216" s="6" t="s">
        <v>6</v>
      </c>
      <c r="G216" s="7" t="s">
        <v>7</v>
      </c>
      <c r="H216" s="25">
        <v>5</v>
      </c>
      <c r="I216" s="8">
        <v>3500</v>
      </c>
      <c r="J216" s="8">
        <f t="shared" si="3"/>
        <v>17500</v>
      </c>
    </row>
    <row r="217" spans="1:10" ht="15.75" x14ac:dyDescent="0.2">
      <c r="A217" s="4">
        <v>214</v>
      </c>
      <c r="B217" s="48" t="s">
        <v>181</v>
      </c>
      <c r="C217" s="48"/>
      <c r="D217" s="48"/>
      <c r="E217" s="5" t="s">
        <v>321</v>
      </c>
      <c r="F217" s="6" t="s">
        <v>6</v>
      </c>
      <c r="G217" s="7" t="s">
        <v>7</v>
      </c>
      <c r="H217" s="25">
        <v>8</v>
      </c>
      <c r="I217" s="8">
        <v>1600</v>
      </c>
      <c r="J217" s="8">
        <f t="shared" si="3"/>
        <v>12800</v>
      </c>
    </row>
    <row r="218" spans="1:10" ht="15.75" x14ac:dyDescent="0.2">
      <c r="A218" s="41">
        <v>215</v>
      </c>
      <c r="B218" s="54" t="s">
        <v>182</v>
      </c>
      <c r="C218" s="54"/>
      <c r="D218" s="54"/>
      <c r="E218" s="42" t="s">
        <v>322</v>
      </c>
      <c r="F218" s="43" t="s">
        <v>6</v>
      </c>
      <c r="G218" s="44" t="s">
        <v>7</v>
      </c>
      <c r="H218" s="46">
        <v>2</v>
      </c>
      <c r="I218" s="45">
        <v>18779</v>
      </c>
      <c r="J218" s="8">
        <f t="shared" si="3"/>
        <v>37558</v>
      </c>
    </row>
    <row r="219" spans="1:10" ht="12.75" customHeight="1" x14ac:dyDescent="0.2">
      <c r="A219" s="58" t="s">
        <v>9</v>
      </c>
      <c r="B219" s="57"/>
      <c r="C219" s="57"/>
      <c r="D219" s="57"/>
      <c r="E219" s="57"/>
      <c r="F219" s="57"/>
      <c r="G219" s="57"/>
      <c r="H219" s="57"/>
      <c r="I219" s="57"/>
      <c r="J219" s="59">
        <f>SUM(J4:J218)</f>
        <v>32528477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D:\livecycle\tmp\pdfg-IOPGDEMSLCT01_\0e\5059-f7a36c-b2fc09-17daa5-f1035b-eadbbe\File.html</dc:title>
  <cp:lastModifiedBy>COMPRAS</cp:lastModifiedBy>
  <dcterms:created xsi:type="dcterms:W3CDTF">2022-06-01T14:09:26Z</dcterms:created>
  <dcterms:modified xsi:type="dcterms:W3CDTF">2022-06-06T15:08:46Z</dcterms:modified>
</cp:coreProperties>
</file>