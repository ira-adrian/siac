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0" i="1"/>
  <c r="A26" i="3"/>
  <c r="A10" i="3"/>
  <c r="K13" i="2"/>
  <c r="I13" i="2"/>
  <c r="C13" i="2"/>
  <c r="B13" i="2"/>
  <c r="K12" i="2"/>
  <c r="I12" i="2"/>
  <c r="C12" i="2"/>
  <c r="B12" i="2"/>
  <c r="I11" i="1"/>
  <c r="I10" i="1"/>
  <c r="J14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<sst xmlns="http://schemas.openxmlformats.org/spreadsheetml/2006/main" count="99" uniqueCount="83">
  <si>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</si>
  <si>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</si>
  <si>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</si>
  <si>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</si>
  <si>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</si>
  <si>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</si>
  <si>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</si>
  <si>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</si>
  <si>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</si>
  <si>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</si>
  <si>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</si>
  <si>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</si>
  <si>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</si>
  <si>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</si>
  <si>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</si>
  <si>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</si>
  <si>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</si>
  <si>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</si>
  <si>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</si>
  <si>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</si>
  <si>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</si>
  <si>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</si>
  <si>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</si>
  <si>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</si>
  <si>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</si>
  <si>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</si>
  <si>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</si>
  <si>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</si>
  <si>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</si>
  <si>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</si>
  <si>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</si>
  <si>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</si>
  <si>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</si>
  <si>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</si>
  <si>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</si>
  <si>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</si>
  <si>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</si>
  <si>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</si>
  <si>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</si>
  <si>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</si>
  <si>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</si>
  <si>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</si>
  <si>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</si>
  <si>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</si>
  <si>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</si>
  <si>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</si>
  <si>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</si>
  <si>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</si>
  <si>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</si>
  <si>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</si>
  <si>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</si>
  <si>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</si>
  <si>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</si>
  <si>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</si>
  <si>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</si>
  <si>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</si>
  <si>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</si>
  <si>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</si>
  <si>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</si>
  <si>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 xml:space="preserve">45 dias habiles </t>
  </si>
  <si>
    <t>3.1</t>
  </si>
  <si>
    <t>1.1</t>
  </si>
  <si>
    <t>TUBO DE RAYOS X MARCA IAE, MODELO X39 FOCO 1/2 MM; 22/47KW 125 KW CON CALOTA .</t>
  </si>
  <si>
    <t xml:space="preserve">20 dias habiles - Departamento de Electromedicina del HSJB </t>
  </si>
  <si>
    <t>SERVICIO DE INSTALACION Y CALIBRADO PARA EQUIPO DE RADIODIAGNOSTICO MARCA GBA MODELO 550 HF I</t>
  </si>
  <si>
    <t>MANT. Y REPAR. EQUIPO RAYOS X; DESCRIPCION: MANTENIMIENTO EQUIPO RAYOS X</t>
  </si>
  <si>
    <t>UNIDAD</t>
  </si>
  <si>
    <t>3.3.3-8553.1</t>
  </si>
  <si>
    <t>MANT. REPARACION Y LIMPIEZA</t>
  </si>
  <si>
    <t>2.9.6-5730.9</t>
  </si>
  <si>
    <t>REP Y ACC P/EQUIPOS RAYOS X; REPUESTO: TUBO, TIPO: SIN VALOR</t>
  </si>
  <si>
    <t>REPUESTOS</t>
  </si>
  <si>
    <t>237 - Dirección de Mantenimiento</t>
  </si>
  <si>
    <t xml:space="preserve">Departamento Electromedicina </t>
  </si>
  <si>
    <t xml:space="preserve">Reparación y Provisión de Tubo para equipo de rayos X marca IAE </t>
  </si>
  <si>
    <t xml:space="preserve">Repuestos y Accesorios </t>
  </si>
  <si>
    <t>Mant. Y Reparación De Equip. Y Maq.</t>
  </si>
  <si>
    <t xml:space="preserve">01 AÑO DE GARANTIA A PARTIR DE LA INSTALACION DEL REPUESTO POR LA FIRMA COMERCIAL EN EL APARATO OBJETO DE LA CONTRATACION </t>
  </si>
  <si>
    <t>TOTAL DE PESOS: UN MILLON TRESCIENTOS CON 00/100.----</t>
  </si>
  <si>
    <t>Costo total estimado: UN MILLON TRESCIENTOS CON 00/100.-------</t>
  </si>
  <si>
    <t>NOTA DE PEDIDO 060</t>
  </si>
  <si>
    <t>SI</t>
  </si>
  <si>
    <t>DOCFI-2022-01073457-CAT-DMAN#HSJB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</si>
</sst>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6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zoomScale="85" zoomScaleNormal="85" workbookViewId="0">
      <selection activeCell="E10" sqref="E1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5" t="s">
        <v>1</v>
      </c>
      <c r="B4" s="85"/>
      <c r="C4" s="88" t="s">
        <v>57</v>
      </c>
      <c r="D4" s="88"/>
      <c r="E4" s="88"/>
      <c r="F4" s="40"/>
      <c r="G4" s="41"/>
      <c r="H4" s="40"/>
    </row>
    <row r="5" spans="1:9" ht="18" customHeight="1" x14ac:dyDescent="0.25">
      <c r="A5" s="85" t="s">
        <v>2</v>
      </c>
      <c r="B5" s="85"/>
      <c r="C5" s="88" t="s">
        <v>58</v>
      </c>
      <c r="D5" s="88"/>
      <c r="E5" s="88"/>
      <c r="F5" s="40"/>
      <c r="G5" s="41"/>
      <c r="H5" s="40"/>
    </row>
    <row r="6" spans="1:9" ht="16.5" customHeight="1" x14ac:dyDescent="0.25">
      <c r="A6" s="85" t="s">
        <v>3</v>
      </c>
      <c r="B6" s="85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5" t="s">
        <v>4</v>
      </c>
      <c r="B7" s="85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69</v>
      </c>
      <c r="C10" s="57" t="s">
        <v>71</v>
      </c>
      <c r="D10" s="58" t="str">
        <f>LEFT(B10,5)</f>
        <v>2.9.6</v>
      </c>
      <c r="E10" s="59" t="s">
        <v>70</v>
      </c>
      <c r="F10" s="60" t="s">
        <v>66</v>
      </c>
      <c r="G10" s="60">
        <v>1</v>
      </c>
      <c r="H10" s="61">
        <v>800240</v>
      </c>
      <c r="I10" s="62">
        <f t="shared" ref="I10:I11" si="0">G10*H10</f>
        <v>800240</v>
      </c>
    </row>
    <row r="11" spans="1:9" ht="39.75" customHeight="1" thickBot="1" x14ac:dyDescent="0.25">
      <c r="A11" s="56">
        <v>2</v>
      </c>
      <c r="B11" s="60" t="s">
        <v>67</v>
      </c>
      <c r="C11" s="57" t="s">
        <v>68</v>
      </c>
      <c r="D11" s="58" t="str">
        <f t="shared" ref="D11" si="1">LEFT(B11,5)</f>
        <v>3.3.3</v>
      </c>
      <c r="E11" s="59" t="s">
        <v>65</v>
      </c>
      <c r="F11" s="60" t="s">
        <v>66</v>
      </c>
      <c r="G11" s="60">
        <v>1</v>
      </c>
      <c r="H11" s="61">
        <v>200060</v>
      </c>
      <c r="I11" s="62">
        <f t="shared" si="0"/>
        <v>200060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1" t="s">
        <v>62</v>
      </c>
      <c r="D17" s="81"/>
      <c r="E17" s="82"/>
    </row>
    <row r="18" spans="2:5" x14ac:dyDescent="0.2">
      <c r="B18" s="48" t="s">
        <v>16</v>
      </c>
      <c r="C18" s="46"/>
      <c r="D18" s="46"/>
      <c r="E18" s="47"/>
    </row>
    <row r="19" spans="2:5" ht="21.75" customHeight="1" x14ac:dyDescent="0.2">
      <c r="B19" s="49"/>
      <c r="C19" s="83" t="s">
        <v>63</v>
      </c>
      <c r="D19" s="83"/>
      <c r="E19" s="84"/>
    </row>
    <row r="20" spans="2:5" x14ac:dyDescent="0.2">
      <c r="B20" s="49"/>
      <c r="C20" s="86"/>
      <c r="D20" s="86"/>
      <c r="E20" s="86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80"/>
      <c r="D22" s="80"/>
      <c r="E22" s="80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">
      <c r="B24" s="49"/>
      <c r="C24" s="81" t="s">
        <v>59</v>
      </c>
      <c r="D24" s="81"/>
      <c r="E24" s="82"/>
    </row>
    <row r="25" spans="2:5" x14ac:dyDescent="0.2">
      <c r="B25" s="48" t="s">
        <v>19</v>
      </c>
      <c r="C25" s="46"/>
      <c r="D25" s="46"/>
      <c r="E25" s="47"/>
    </row>
    <row r="26" spans="2:5" ht="34.5" customHeight="1" x14ac:dyDescent="0.2">
      <c r="B26" s="48"/>
      <c r="C26" s="81" t="s">
        <v>77</v>
      </c>
      <c r="D26" s="81"/>
      <c r="E26" s="82"/>
    </row>
    <row r="27" spans="2:5" ht="13.5" thickBot="1" x14ac:dyDescent="0.25">
      <c r="B27" s="52"/>
      <c r="C27" s="53"/>
      <c r="D27" s="53"/>
      <c r="E27" s="54"/>
    </row>
    <row r="29" spans="2:5" x14ac:dyDescent="0.2">
      <c r="B29" s="42" t="s">
        <v>20</v>
      </c>
      <c r="C29" s="43"/>
      <c r="D29" s="43"/>
      <c r="E29" s="44"/>
    </row>
    <row r="30" spans="2:5" ht="7.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39" customHeight="1" x14ac:dyDescent="0.2">
      <c r="B32" s="48"/>
      <c r="C32" s="81" t="s">
        <v>64</v>
      </c>
      <c r="D32" s="81"/>
      <c r="E32" s="82"/>
    </row>
    <row r="33" spans="2:5" x14ac:dyDescent="0.2">
      <c r="B33" s="48" t="s">
        <v>16</v>
      </c>
      <c r="C33" s="46"/>
      <c r="D33" s="46"/>
      <c r="E33" s="47"/>
    </row>
    <row r="34" spans="2:5" ht="27.75" customHeight="1" x14ac:dyDescent="0.2">
      <c r="B34" s="49"/>
      <c r="C34" s="83" t="s">
        <v>63</v>
      </c>
      <c r="D34" s="83"/>
      <c r="E34" s="84"/>
    </row>
    <row r="35" spans="2:5" x14ac:dyDescent="0.2">
      <c r="B35" s="49"/>
      <c r="C35" s="79"/>
      <c r="D35" s="79"/>
      <c r="E35" s="79"/>
    </row>
    <row r="36" spans="2:5" x14ac:dyDescent="0.2">
      <c r="B36" s="48" t="s">
        <v>17</v>
      </c>
      <c r="C36" s="46"/>
      <c r="D36" s="46"/>
      <c r="E36" s="47"/>
    </row>
    <row r="37" spans="2:5" ht="21.75" customHeight="1" x14ac:dyDescent="0.2">
      <c r="B37" s="49"/>
      <c r="C37" s="80"/>
      <c r="D37" s="80"/>
      <c r="E37" s="80"/>
    </row>
    <row r="38" spans="2:5" x14ac:dyDescent="0.2">
      <c r="B38" s="48" t="s">
        <v>18</v>
      </c>
      <c r="C38" s="50"/>
      <c r="D38" s="50"/>
      <c r="E38" s="51"/>
    </row>
    <row r="39" spans="2:5" ht="27.75" customHeight="1" x14ac:dyDescent="0.2">
      <c r="B39" s="49"/>
      <c r="C39" s="81" t="s">
        <v>59</v>
      </c>
      <c r="D39" s="81"/>
      <c r="E39" s="82"/>
    </row>
    <row r="40" spans="2:5" x14ac:dyDescent="0.2">
      <c r="B40" s="48" t="s">
        <v>19</v>
      </c>
      <c r="C40" s="46"/>
      <c r="D40" s="46"/>
      <c r="E40" s="47"/>
    </row>
    <row r="41" spans="2:5" x14ac:dyDescent="0.2">
      <c r="B41" s="48"/>
      <c r="C41" s="79"/>
      <c r="D41" s="79"/>
      <c r="E41" s="79"/>
    </row>
    <row r="42" spans="2:5" x14ac:dyDescent="0.2">
      <c r="B42" s="52"/>
      <c r="C42" s="53"/>
      <c r="D42" s="53"/>
      <c r="E42" s="54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17:E17"/>
    <mergeCell ref="C19:E19"/>
    <mergeCell ref="C20:E20"/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L30" sqref="L3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12" style="2" customWidth="1"/>
    <col min="9" max="9" width="14.7109375" style="2" customWidth="1"/>
    <col min="10" max="10" width="13.28515625" style="2" customWidth="1"/>
    <col min="11" max="11" width="39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7" t="s">
        <v>80</v>
      </c>
      <c r="B1" s="97"/>
      <c r="C1" s="97"/>
      <c r="D1" s="97"/>
      <c r="E1" s="97"/>
      <c r="F1" s="97"/>
      <c r="G1" s="97"/>
      <c r="H1" s="97"/>
      <c r="I1" s="97"/>
      <c r="J1" s="3" t="s">
        <v>21</v>
      </c>
      <c r="K1" s="78" t="s">
        <v>82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8" t="s">
        <v>54</v>
      </c>
      <c r="B3" s="98"/>
      <c r="C3" s="98"/>
      <c r="D3" s="99" t="str">
        <f>'Necesidades Trimestrales'!C4</f>
        <v>40 - Ministerio de Salud</v>
      </c>
      <c r="E3" s="99"/>
      <c r="F3" s="99"/>
      <c r="G3" s="99"/>
      <c r="H3" s="99"/>
      <c r="I3" s="99"/>
      <c r="J3" s="99"/>
      <c r="K3" s="99"/>
    </row>
    <row r="4" spans="1:1024" ht="18.75" customHeight="1" thickBot="1" x14ac:dyDescent="0.25">
      <c r="A4" s="100" t="s">
        <v>55</v>
      </c>
      <c r="B4" s="100"/>
      <c r="C4" s="100"/>
      <c r="D4" s="99" t="str">
        <f>'Necesidades Trimestrales'!C5</f>
        <v>23 - Hospital Interzonal San Juan Bautista</v>
      </c>
      <c r="E4" s="99"/>
      <c r="F4" s="99"/>
      <c r="G4" s="99"/>
      <c r="H4" s="99"/>
      <c r="I4" s="99"/>
      <c r="J4" s="99"/>
      <c r="K4" s="99"/>
    </row>
    <row r="5" spans="1:1024" ht="18.75" customHeight="1" thickBot="1" x14ac:dyDescent="0.25">
      <c r="A5" s="100" t="s">
        <v>33</v>
      </c>
      <c r="B5" s="100"/>
      <c r="C5" s="100"/>
      <c r="D5" s="99" t="s">
        <v>72</v>
      </c>
      <c r="E5" s="99"/>
      <c r="F5" s="99"/>
      <c r="G5" s="99"/>
      <c r="H5" s="99"/>
      <c r="I5" s="99"/>
      <c r="J5" s="99"/>
      <c r="K5" s="99"/>
    </row>
    <row r="6" spans="1:1024" ht="16.5" customHeight="1" thickBot="1" x14ac:dyDescent="0.25">
      <c r="A6" s="98" t="s">
        <v>56</v>
      </c>
      <c r="B6" s="98"/>
      <c r="C6" s="98"/>
      <c r="D6" s="99" t="s">
        <v>73</v>
      </c>
      <c r="E6" s="99"/>
      <c r="F6" s="99"/>
      <c r="G6" s="99"/>
      <c r="H6" s="99"/>
      <c r="I6" s="99"/>
      <c r="J6" s="99"/>
      <c r="K6" s="99"/>
    </row>
    <row r="7" spans="1:1024" ht="16.5" customHeight="1" x14ac:dyDescent="0.2">
      <c r="A7" s="100" t="s">
        <v>22</v>
      </c>
      <c r="B7" s="100"/>
      <c r="C7" s="100"/>
      <c r="D7" s="99" t="str">
        <f>'Necesidades Trimestrales'!C7 &amp; "° Trimestre - Año " &amp; 'Necesidades Trimestrales'!C6</f>
        <v>3° Trimestre - Año 2022</v>
      </c>
      <c r="E7" s="99"/>
      <c r="F7" s="99"/>
      <c r="G7" s="99"/>
      <c r="H7" s="99"/>
      <c r="I7" s="99"/>
      <c r="J7" s="99"/>
      <c r="K7" s="99"/>
    </row>
    <row r="8" spans="1:1024" ht="26.25" customHeight="1" x14ac:dyDescent="0.2">
      <c r="A8" s="92" t="s">
        <v>23</v>
      </c>
      <c r="B8" s="92"/>
      <c r="C8" s="92"/>
      <c r="D8" s="93" t="s">
        <v>74</v>
      </c>
      <c r="E8" s="93"/>
      <c r="F8" s="93"/>
      <c r="G8" s="93"/>
      <c r="H8" s="93"/>
      <c r="I8" s="93"/>
      <c r="J8" s="93"/>
      <c r="K8" s="93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4" t="s">
        <v>24</v>
      </c>
      <c r="B10" s="95" t="s">
        <v>25</v>
      </c>
      <c r="C10" s="95" t="s">
        <v>26</v>
      </c>
      <c r="D10" s="95"/>
      <c r="E10" s="95"/>
      <c r="F10" s="95"/>
      <c r="G10" s="95"/>
      <c r="H10" s="95" t="s">
        <v>27</v>
      </c>
      <c r="I10" s="95" t="s">
        <v>28</v>
      </c>
      <c r="J10" s="95" t="s">
        <v>29</v>
      </c>
      <c r="K10" s="96" t="s">
        <v>30</v>
      </c>
    </row>
    <row r="11" spans="1:1024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024" ht="20.25" customHeight="1" thickBot="1" x14ac:dyDescent="0.25">
      <c r="A12" s="8">
        <v>1</v>
      </c>
      <c r="B12" s="65" t="str">
        <f>'Necesidades Trimestrales'!B10</f>
        <v>2.9.6-5730.9</v>
      </c>
      <c r="C12" s="89" t="str">
        <f>'Necesidades Trimestrales'!E10</f>
        <v>REP Y ACC P/EQUIPOS RAYOS X; REPUESTO: TUBO, TIPO: SIN VALOR</v>
      </c>
      <c r="D12" s="89"/>
      <c r="E12" s="89"/>
      <c r="F12" s="89"/>
      <c r="G12" s="89"/>
      <c r="H12" s="66" t="s">
        <v>81</v>
      </c>
      <c r="I12" s="67" t="str">
        <f>'Necesidades Trimestrales'!F10</f>
        <v>UNIDAD</v>
      </c>
      <c r="J12" s="68">
        <v>800240</v>
      </c>
      <c r="K12" s="69">
        <f>'Necesidades Trimestrales'!G10</f>
        <v>1</v>
      </c>
    </row>
    <row r="13" spans="1:1024" ht="20.25" customHeight="1" thickBot="1" x14ac:dyDescent="0.25">
      <c r="A13" s="8">
        <v>2</v>
      </c>
      <c r="B13" s="65" t="str">
        <f>'Necesidades Trimestrales'!B11</f>
        <v>3.3.3-8553.1</v>
      </c>
      <c r="C13" s="89" t="str">
        <f>'Necesidades Trimestrales'!E11</f>
        <v>MANT. Y REPAR. EQUIPO RAYOS X; DESCRIPCION: MANTENIMIENTO EQUIPO RAYOS X</v>
      </c>
      <c r="D13" s="89"/>
      <c r="E13" s="89"/>
      <c r="F13" s="89"/>
      <c r="G13" s="89"/>
      <c r="H13" s="66" t="s">
        <v>81</v>
      </c>
      <c r="I13" s="67" t="str">
        <f>'Necesidades Trimestrales'!F11</f>
        <v>UNIDAD</v>
      </c>
      <c r="J13" s="68">
        <v>200060</v>
      </c>
      <c r="K13" s="69">
        <f>'Necesidades Trimestrales'!G11</f>
        <v>1</v>
      </c>
    </row>
    <row r="14" spans="1:1024" ht="20.25" customHeight="1" thickBot="1" x14ac:dyDescent="0.25">
      <c r="A14" s="90" t="s">
        <v>79</v>
      </c>
      <c r="B14" s="90"/>
      <c r="C14" s="90"/>
      <c r="D14" s="90"/>
      <c r="E14" s="90"/>
      <c r="F14" s="90"/>
      <c r="G14" s="90"/>
      <c r="H14" s="90"/>
      <c r="I14" s="90"/>
      <c r="J14" s="91">
        <f>SUMPRODUCT(J12:J13,K12:K13)</f>
        <v>1000300</v>
      </c>
      <c r="K14" s="91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O20" sqref="O20:P2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2022</v>
      </c>
      <c r="E1" s="126"/>
      <c r="F1" s="10"/>
      <c r="G1" s="10"/>
      <c r="H1" s="11"/>
      <c r="I1" s="11"/>
      <c r="J1" s="11"/>
      <c r="K1" s="11"/>
      <c r="L1" s="11"/>
      <c r="M1" s="11"/>
      <c r="N1" s="11"/>
      <c r="P1" s="127" t="s">
        <v>31</v>
      </c>
      <c r="Q1" s="12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7"/>
      <c r="Q2" s="127"/>
    </row>
    <row r="4" spans="1:17" s="12" customFormat="1" ht="18" customHeight="1" thickBot="1" x14ac:dyDescent="0.25">
      <c r="A4" s="128" t="s">
        <v>32</v>
      </c>
      <c r="B4" s="128"/>
      <c r="C4" s="128"/>
      <c r="D4" s="128"/>
      <c r="E4" s="128"/>
      <c r="F4" s="128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0" t="s">
        <v>55</v>
      </c>
      <c r="B5" s="121"/>
      <c r="C5" s="121"/>
      <c r="D5" s="121"/>
      <c r="E5" s="121"/>
      <c r="F5" s="122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0" t="s">
        <v>33</v>
      </c>
      <c r="B6" s="121"/>
      <c r="C6" s="121"/>
      <c r="D6" s="121"/>
      <c r="E6" s="121"/>
      <c r="F6" s="122"/>
      <c r="G6" s="123" t="str">
        <f>NotaPedido!D5</f>
        <v>237 - Dirección de Mantenimiento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0" t="s">
        <v>56</v>
      </c>
      <c r="B7" s="121"/>
      <c r="C7" s="121"/>
      <c r="D7" s="121"/>
      <c r="E7" s="121"/>
      <c r="F7" s="122"/>
      <c r="G7" s="123" t="str">
        <f>NotaPedido!D6</f>
        <v xml:space="preserve">Departamento Electromedicina 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4" t="s">
        <v>34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DOCFI-2022-01073457-CAT-DMAN#HSJB,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6" t="s">
        <v>36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38</v>
      </c>
      <c r="P13" s="118"/>
      <c r="Q13" s="119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8"/>
      <c r="P14" s="118"/>
      <c r="Q14" s="119"/>
    </row>
    <row r="15" spans="1:17" ht="17.25" customHeight="1" x14ac:dyDescent="0.2">
      <c r="A15" s="72">
        <v>33</v>
      </c>
      <c r="B15" s="73"/>
      <c r="C15" s="73"/>
      <c r="D15" s="73">
        <v>4</v>
      </c>
      <c r="E15" s="73"/>
      <c r="F15" s="73">
        <v>4901</v>
      </c>
      <c r="G15" s="73">
        <v>3</v>
      </c>
      <c r="H15" s="74" t="s">
        <v>60</v>
      </c>
      <c r="I15" s="75">
        <v>2</v>
      </c>
      <c r="J15" s="75">
        <v>9</v>
      </c>
      <c r="K15" s="75">
        <v>6</v>
      </c>
      <c r="L15" s="73"/>
      <c r="M15" s="76">
        <v>1</v>
      </c>
      <c r="N15" s="74" t="s">
        <v>61</v>
      </c>
      <c r="O15" s="111" t="s">
        <v>75</v>
      </c>
      <c r="P15" s="111"/>
      <c r="Q15" s="23">
        <v>800240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70" t="s">
        <v>60</v>
      </c>
      <c r="I16" s="25">
        <v>3</v>
      </c>
      <c r="J16" s="25">
        <v>3</v>
      </c>
      <c r="K16" s="25">
        <v>3</v>
      </c>
      <c r="L16" s="25"/>
      <c r="M16" s="26">
        <v>1</v>
      </c>
      <c r="N16" s="71" t="s">
        <v>61</v>
      </c>
      <c r="O16" s="112" t="s">
        <v>76</v>
      </c>
      <c r="P16" s="112"/>
      <c r="Q16" s="28">
        <v>200060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2"/>
      <c r="P17" s="112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13"/>
      <c r="P18" s="10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6"/>
      <c r="P19" s="10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6"/>
      <c r="P20" s="10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7"/>
      <c r="P21" s="10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8"/>
      <c r="P22" s="108"/>
      <c r="Q22" s="37"/>
    </row>
    <row r="23" spans="1:19" ht="20.25" customHeight="1" x14ac:dyDescent="0.2">
      <c r="A23" s="109" t="s">
        <v>78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38">
        <f>SUM(Q15:Q22)</f>
        <v>1000300</v>
      </c>
    </row>
    <row r="24" spans="1:19" ht="18" customHeight="1" thickBot="1" x14ac:dyDescent="0.25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</row>
    <row r="25" spans="1:19" ht="17.25" customHeight="1" thickBot="1" x14ac:dyDescent="0.25">
      <c r="A25" s="101" t="s">
        <v>53</v>
      </c>
      <c r="B25" s="102"/>
      <c r="C25" s="102"/>
      <c r="D25" s="102"/>
      <c r="E25" s="102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9" ht="18" customHeight="1" thickBot="1" x14ac:dyDescent="0.25">
      <c r="A26" s="105" t="str">
        <f>"Para la "&amp; NotaPedido!D8 &amp;" para ser destinados al " &amp; NotaPedido!D6 &amp;"  del HISJB del Ministerio de Salud."</f>
        <v>Para la Reparación y Provisión de Tubo para equipo de rayos X marca IAE  para ser destinados al Departamento Electromedicina   del HISJB del Ministerio de Salud.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9" ht="15" customHeight="1" x14ac:dyDescent="0.2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2022-06-27T13:26:10Z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