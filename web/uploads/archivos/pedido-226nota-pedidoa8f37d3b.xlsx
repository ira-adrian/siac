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6FC6C230-01DB-448E-B6B4-12A2D9E246FE}" xr6:coauthVersionLast="46" xr6:coauthVersionMax="46" xr10:uidLastSave="{00000000-0000-0000-0000-000000000000}"/>
  <bookViews>
    <workbookView xWindow="-120" yWindow="-120" windowWidth="29040" windowHeight="15840" xr2:uid="{2F66A5AA-3283-4C60-AB6C-CD40C7E3FCEA}"/>
  </bookViews>
  <sheets>
    <sheet name="MATERNIDAD P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" i="1" l="1"/>
  <c r="I10" i="1"/>
  <c r="D11" i="1"/>
  <c r="I11" i="1"/>
  <c r="D12" i="1"/>
  <c r="I12" i="1"/>
  <c r="D13" i="1"/>
  <c r="I13" i="1"/>
  <c r="D14" i="1"/>
  <c r="I14" i="1"/>
  <c r="D15" i="1"/>
  <c r="I15" i="1"/>
  <c r="D16" i="1"/>
  <c r="I16" i="1"/>
  <c r="D17" i="1"/>
  <c r="I17" i="1"/>
  <c r="D18" i="1"/>
  <c r="I18" i="1"/>
  <c r="D19" i="1"/>
  <c r="I19" i="1"/>
  <c r="D20" i="1"/>
  <c r="I20" i="1"/>
  <c r="D21" i="1"/>
  <c r="I21" i="1"/>
  <c r="D22" i="1"/>
  <c r="I22" i="1"/>
  <c r="D23" i="1"/>
  <c r="I23" i="1"/>
  <c r="D24" i="1"/>
  <c r="I24" i="1"/>
  <c r="D25" i="1"/>
  <c r="I25" i="1"/>
  <c r="D26" i="1"/>
  <c r="I26" i="1"/>
  <c r="D27" i="1"/>
  <c r="I27" i="1"/>
  <c r="D28" i="1"/>
  <c r="I28" i="1"/>
  <c r="D29" i="1"/>
  <c r="I29" i="1"/>
  <c r="D30" i="1"/>
  <c r="I30" i="1"/>
  <c r="D31" i="1"/>
  <c r="I31" i="1"/>
  <c r="D32" i="1"/>
  <c r="I32" i="1"/>
  <c r="D33" i="1"/>
  <c r="I33" i="1"/>
  <c r="D34" i="1"/>
  <c r="I34" i="1"/>
</calcChain>
</file>

<file path=xl/sharedStrings.xml><?xml version="1.0" encoding="utf-8"?>
<sst xmlns="http://schemas.openxmlformats.org/spreadsheetml/2006/main" count="147" uniqueCount="98">
  <si>
    <t>Garantia</t>
  </si>
  <si>
    <t>30 dias corrido</t>
  </si>
  <si>
    <t>Mantenimiento</t>
  </si>
  <si>
    <t>Calidad Minima esperada</t>
  </si>
  <si>
    <t>8 a 12 Hs</t>
  </si>
  <si>
    <t xml:space="preserve">Hora de entrega: </t>
  </si>
  <si>
    <t xml:space="preserve">SECTOR ECONOMATO-MATERNIDAD PROVINCIAL 25 DE MAYO , HERNADO DE PEDRAZA 1650- </t>
  </si>
  <si>
    <t>Lugares de entrega:</t>
  </si>
  <si>
    <t>10 dias corrido desde la firma del instrumento contractual</t>
  </si>
  <si>
    <t xml:space="preserve">Plazo de Entrega : </t>
  </si>
  <si>
    <t>LAVANDINA LIQUIDA POR 5 LITROS</t>
  </si>
  <si>
    <t>Descripción técnica</t>
  </si>
  <si>
    <t>Especificidades Item N° 24.</t>
  </si>
  <si>
    <t xml:space="preserve">30 dias </t>
  </si>
  <si>
    <t>10 dias  desde la firma del instrumento contractual</t>
  </si>
  <si>
    <t xml:space="preserve">LISOFORD O AYUDIN </t>
  </si>
  <si>
    <t>Especificidades Item N° 3.</t>
  </si>
  <si>
    <t>Horario de entrega: de 8 a 12 hs</t>
  </si>
  <si>
    <t>Lugar de entrega: Servicio de economato de Maternidad Provincial 25 de Mayo- Hernando de Pedraza Nº 1.550</t>
  </si>
  <si>
    <t xml:space="preserve">Plazo de mantenimiento de oferta: 30 dias </t>
  </si>
  <si>
    <t xml:space="preserve">Plazo de entrega:  10 dias </t>
  </si>
  <si>
    <t>Unidad</t>
  </si>
  <si>
    <t>LIMPIADORES; TIPO: DETERGENTE ENZIMATICO, PRESENTACION: ENVASE X 1 L, BIODEGRADABLE: SI</t>
  </si>
  <si>
    <t>ELEMENTOS DE LIMPIEZA</t>
  </si>
  <si>
    <t>2.9.1-6951.289</t>
  </si>
  <si>
    <t xml:space="preserve">Bidon </t>
  </si>
  <si>
    <t>LIMPIADORES; TIPO: LAVANDINA, PRESENTACION: ENVASE X 5 L</t>
  </si>
  <si>
    <t>2.9.1-6951.30</t>
  </si>
  <si>
    <t>Bidon</t>
  </si>
  <si>
    <t>ELEM. LIMPIEZA P/INDUMENTARIA; TIPO: DETERGENTE, PRESENTACION: ENVASE X 5 L</t>
  </si>
  <si>
    <t>2.9.1-6960.50</t>
  </si>
  <si>
    <t>unidad</t>
  </si>
  <si>
    <t>TRAPOS REPASADORES; MATERIAL: ALGODON, DIMENSION: 60 X 60 Cm</t>
  </si>
  <si>
    <t>2.9.1-2029.14</t>
  </si>
  <si>
    <t>TRAPOS DE PISO; DIMENSION: 48 X 60 Cm, COLOR: GRIS</t>
  </si>
  <si>
    <t>2.9.1-713.6</t>
  </si>
  <si>
    <t>Bobina</t>
  </si>
  <si>
    <t>TOALLAS DE PAPEL; MATERIAL: FIBRA CELULOSICA, GRAMAJE: 20 GR/M2, DIMENSION: 25 Cm, PRESENTACION: 2 X BOBINA X 400 M</t>
  </si>
  <si>
    <t>2.3.4-783.84</t>
  </si>
  <si>
    <t>caja</t>
  </si>
  <si>
    <t>TOALLAS DE PAPEL; MATERIAL: PAPEL ECOLOGICO, GRAMAJE: 30 GR/CM2, DIMENSION: 18,4 X 24 Cm, PRESENTACION: X 10</t>
  </si>
  <si>
    <t>2.3.4-783.54</t>
  </si>
  <si>
    <t>TACHOS DE RESIDUOS; MATERIAL: PLASTICO, SECCION: CIRCULAR, DIMENSION: 12 L, TAPA: CON</t>
  </si>
  <si>
    <t>2.9.1-2661.20</t>
  </si>
  <si>
    <t>paquete</t>
  </si>
  <si>
    <t>PAPEL HIGIENICO; PRESENTACION: PAQUETE X 4 UN, TIPO: ROLLO PRECORTADO, HOJA: DOBLE, ANCHO: 10 Cm, LARGO: 30 M, TIPO DE HOJA: DOBLE, MATERIAL HOJA: DOBLE</t>
  </si>
  <si>
    <t>2.3.4-786.34</t>
  </si>
  <si>
    <t>LIMPIADORES MULTIUSO; COMPUESTOS BIODEGRADABLES: SI, PRESENTACION: ENVASE X 5 L, TIPO: JABON LIQUIDO TOCADOR</t>
  </si>
  <si>
    <t>2.9.1-4784.55</t>
  </si>
  <si>
    <t>LIMPIADORES; TIPO: CREMOSO, PRESENTACION: ENVASE X 750 CM3</t>
  </si>
  <si>
    <t>2.9.1-6951.197</t>
  </si>
  <si>
    <t>LIMPIADORES; TIPO: DESENGRASANTE, PRESENTACION: ENVASE X 5 L</t>
  </si>
  <si>
    <t>2.9.1-6951.60</t>
  </si>
  <si>
    <t>INSECTICIDAS; PRINCIPIO ACTIVO: BETA CYFLUTRINA, USO P/CONTROL: MOSCAS Y MOSQUITOS, ACCION: RESIDUAL, PRESENTACION: AEROSOL X 440 CM3, CONTROL: MOSCAS Y MOSQUITOS, CAPACIDAD: 440 CM3</t>
  </si>
  <si>
    <t>2.5.4-506.50</t>
  </si>
  <si>
    <t>ESPONJAS; MATERIAL: POLIURETANO POLIETER, USO: P/COCINA, ADITAMENTO: FIBRA POLIESTER SUAVE, FORMA: PRISMATICA, LARGO X ANCHO X ESP: 10 X 6 X 3,5 Cm, COLOR: AMARILLO</t>
  </si>
  <si>
    <t>2.9.1-1164.1</t>
  </si>
  <si>
    <t>ESPONJA DE ACERO; PESO: 25 GR, MATERIAL: ACERO</t>
  </si>
  <si>
    <t>2.9.1-1083.8</t>
  </si>
  <si>
    <t xml:space="preserve">bolsa </t>
  </si>
  <si>
    <t>ELEM. P/LIMPIEZA SANITARIOS; TIPO: SODA CAUSTICA, PRESENTACION: ENVASE X 1 Kg</t>
  </si>
  <si>
    <t>2.9.1-6961.23</t>
  </si>
  <si>
    <t>ELEM. LIMPIEZA P/INDUMENTARIA; TIPO: JABON EN POLVO BAJA ESPUMA, PRESENTACION: ENVASE X 6 Kg</t>
  </si>
  <si>
    <t>2.9.1-6960.51</t>
  </si>
  <si>
    <t>ELEM. LIMPIEZA P/INDUMENTARIA; TIPO: JABON EN PAN, PRESENTACION: 200 GR</t>
  </si>
  <si>
    <t>2.9.1-6960.27</t>
  </si>
  <si>
    <t>DESODORANTES DE AMBIENTE; FORMATO: AEROSOL, FRAGANCIA: JAZMIN, PRESENTACION: ENVASE X 185 GR, LIBRE DE CFC: NO CORRESPONDE</t>
  </si>
  <si>
    <t>2.9.1-544.66</t>
  </si>
  <si>
    <t>DESODORANTES DE AMBIENTE; PRESENTACION: UNIDAD, CONTENIDO: 440 CM3, FORMATO: AEROSOL, FRAGANCIA: FLORECER SILVESTRE, LIBRE DE CFC: SI</t>
  </si>
  <si>
    <t>2.9.1-544.7</t>
  </si>
  <si>
    <t>DESODORANTES DE AMBIENTE; FRAGANCIA: CASA DE CAMPO, PRESENTACION: UNIDAD, FORMATO: AEROSOL, CONTENIDO: 440 CM3, LIBRE DE CFC: SI</t>
  </si>
  <si>
    <t>2.9.1-544.4</t>
  </si>
  <si>
    <t xml:space="preserve">unidad </t>
  </si>
  <si>
    <t>DESODORANTES DE AMBIENTE; PRESENTACION: UNIDAD, FRAGANCIA: VISTA AL MAR, CONTENIDO: 440 CM3, FORMATO: AEROSOL, LIBRE DE CFC: SI</t>
  </si>
  <si>
    <t>2.9.1-544.3</t>
  </si>
  <si>
    <t>DESINFECTANTES; PRINCIPIO ACTIVO: ANTIBACTERIANO, CONTROL: BACTERIAS Y HONGOS, PRESENTACION: ENVASE X 390 CM3</t>
  </si>
  <si>
    <t>2.5.4-505.90</t>
  </si>
  <si>
    <t>CEPILLOS; TIPO: DE MANO Y UÑA, MATERIAL: CERDA</t>
  </si>
  <si>
    <t>2.9.1-6952.20</t>
  </si>
  <si>
    <t>CEPILLOS; TIPO: DE ROPA, MATERIAL: CERDA</t>
  </si>
  <si>
    <t>2.9.1-6952.19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</si>
  <si>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</si>
  <si>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</si>
  <si>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</si>
  <si>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</si>
  <si>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</si>
  <si>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</si>
  <si>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</si>
  <si>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</si>
  <si>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</si>
  <si>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2do Trimestre</t>
  </si>
  <si>
    <t>TRIMESTRE:</t>
  </si>
  <si>
    <t>EJERCICIO:</t>
  </si>
  <si>
    <t>28 - MATERNIDAD PROVINCIAL 25 DE MAYO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</si>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</sst>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$-2C0A]\ #,##0.00;[$$-2C0A]&quot; -&quot;#,##0.00"/>
    <numFmt numFmtId="165" formatCode="&quot;$&quot;\ #,##0.00;[Red]&quot;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indent="3"/>
    </xf>
    <xf numFmtId="0" fontId="2" fillId="0" borderId="3" xfId="0" applyFont="1" applyBorder="1"/>
    <xf numFmtId="0" fontId="3" fillId="0" borderId="4" xfId="0" applyFont="1" applyBorder="1" applyAlignment="1">
      <alignment horizontal="left" indent="3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left" indent="3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/>
    <xf numFmtId="0" fontId="2" fillId="4" borderId="0" xfId="0" applyFont="1" applyFill="1"/>
    <xf numFmtId="0" fontId="2" fillId="0" borderId="0" xfId="0" applyFont="1" applyAlignment="1">
      <alignment horizontal="left" indent="3"/>
    </xf>
    <xf numFmtId="164" fontId="4" fillId="5" borderId="8" xfId="1" applyNumberFormat="1" applyFont="1" applyFill="1" applyBorder="1" applyAlignment="1" applyProtection="1">
      <alignment horizontal="center" vertical="center" wrapText="1"/>
    </xf>
    <xf numFmtId="165" fontId="2" fillId="4" borderId="9" xfId="0" applyNumberFormat="1" applyFont="1" applyFill="1" applyBorder="1" applyAlignment="1">
      <alignment horizontal="center" vertical="center"/>
    </xf>
    <xf numFmtId="0" fontId="1" fillId="4" borderId="10" xfId="2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65" fontId="2" fillId="4" borderId="10" xfId="0" applyNumberFormat="1" applyFont="1" applyFill="1" applyBorder="1"/>
    <xf numFmtId="0" fontId="1" fillId="4" borderId="10" xfId="3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5" fontId="2" fillId="0" borderId="10" xfId="0" applyNumberFormat="1" applyFont="1" applyBorder="1"/>
    <xf numFmtId="164" fontId="4" fillId="5" borderId="13" xfId="1" applyNumberFormat="1" applyFont="1" applyFill="1" applyBorder="1" applyAlignment="1" applyProtection="1">
      <alignment horizontal="center" vertical="center" wrapText="1"/>
    </xf>
    <xf numFmtId="0" fontId="1" fillId="4" borderId="10" xfId="3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6" fillId="4" borderId="0" xfId="0" applyFont="1" applyFill="1" applyAlignment="1">
      <alignment horizontal="left" wrapText="1"/>
    </xf>
    <xf numFmtId="0" fontId="8" fillId="5" borderId="0" xfId="0" applyFont="1" applyFill="1" applyAlignment="1">
      <alignment horizontal="left" wrapText="1" indent="1"/>
    </xf>
    <xf numFmtId="0" fontId="9" fillId="0" borderId="0" xfId="0" applyFont="1" applyAlignment="1">
      <alignment horizontal="left" vertical="center" wrapText="1"/>
    </xf>
    <xf numFmtId="0" fontId="8" fillId="5" borderId="0" xfId="0" applyFont="1" applyFill="1" applyAlignment="1">
      <alignment horizontal="left" wrapText="1" indent="1"/>
    </xf>
    <xf numFmtId="0" fontId="10" fillId="0" borderId="0" xfId="0" applyFont="1" applyAlignment="1">
      <alignment horizontal="center"/>
    </xf>
  </cellXfs>
  <cellStyles count="4">
    <cellStyle name="20% - Énfasis2" xfId="2" builtinId="34"/>
    <cellStyle name="20% - Énfasis4" xfId="3" builtinId="42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87CBB-0704-4F0C-961F-4AFFC58D2315}">
  <dimension ref="A1:I90"/>
  <sheetViews>
    <sheetView tabSelected="1" workbookViewId="0">
      <selection activeCell="G10" sqref="G10:G35"/>
    </sheetView>
  </sheetViews>
  <sheetFormatPr baseColWidth="10" defaultRowHeight="15" x14ac:dyDescent="0.25"/>
  <cols>
    <col min="1" max="1" width="4.5703125" customWidth="1"/>
    <col min="2" max="2" width="14" customWidth="1"/>
    <col min="3" max="3" width="21.7109375" customWidth="1"/>
    <col min="4" max="4" width="8.42578125" customWidth="1"/>
    <col min="5" max="5" width="79" customWidth="1"/>
    <col min="7" max="7" width="12.7109375" customWidth="1"/>
    <col min="8" max="8" width="13.85546875" customWidth="1"/>
    <col min="9" max="9" width="18.5703125" customWidth="1"/>
  </cols>
  <sheetData>
    <row r="1" spans="1:9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47" t="s">
        <v>97</v>
      </c>
      <c r="C2" s="47"/>
      <c r="D2" s="47"/>
      <c r="E2" s="47"/>
      <c r="F2" s="47"/>
      <c r="G2" s="47"/>
      <c r="H2" s="47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45" t="s">
        <v>96</v>
      </c>
      <c r="B4" s="45"/>
      <c r="C4" s="46" t="s">
        <v>95</v>
      </c>
      <c r="D4" s="46"/>
      <c r="E4" s="46"/>
      <c r="F4" s="41"/>
      <c r="G4" s="42"/>
      <c r="H4" s="41"/>
      <c r="I4" s="1"/>
    </row>
    <row r="5" spans="1:9" ht="15.75" x14ac:dyDescent="0.25">
      <c r="A5" s="45" t="s">
        <v>94</v>
      </c>
      <c r="B5" s="45"/>
      <c r="C5" s="46" t="s">
        <v>93</v>
      </c>
      <c r="D5" s="46"/>
      <c r="E5" s="46"/>
      <c r="F5" s="41"/>
      <c r="G5" s="42"/>
      <c r="H5" s="41"/>
      <c r="I5" s="1"/>
    </row>
    <row r="6" spans="1:9" ht="15.75" x14ac:dyDescent="0.25">
      <c r="A6" s="45" t="s">
        <v>92</v>
      </c>
      <c r="B6" s="45"/>
      <c r="C6" s="44">
        <v>2021</v>
      </c>
      <c r="D6" s="43"/>
      <c r="E6" s="43"/>
      <c r="F6" s="41"/>
      <c r="G6" s="42"/>
      <c r="H6" s="41"/>
      <c r="I6" s="1"/>
    </row>
    <row r="7" spans="1:9" ht="15.75" x14ac:dyDescent="0.25">
      <c r="A7" s="45" t="s">
        <v>91</v>
      </c>
      <c r="B7" s="45"/>
      <c r="C7" s="44" t="s">
        <v>90</v>
      </c>
      <c r="D7" s="43"/>
      <c r="E7" s="43"/>
      <c r="F7" s="41"/>
      <c r="G7" s="42"/>
      <c r="H7" s="41"/>
      <c r="I7" s="1"/>
    </row>
    <row r="8" spans="1:9" ht="15.75" thickBot="1" x14ac:dyDescent="0.3">
      <c r="A8" s="1"/>
      <c r="B8" s="41"/>
      <c r="C8" s="42"/>
      <c r="D8" s="41"/>
      <c r="E8" s="41"/>
      <c r="F8" s="41"/>
      <c r="G8" s="42"/>
      <c r="H8" s="41"/>
      <c r="I8" s="1"/>
    </row>
    <row r="9" spans="1:9" ht="39" thickBot="1" x14ac:dyDescent="0.3">
      <c r="A9" s="39" t="s">
        <v>89</v>
      </c>
      <c r="B9" s="40" t="s">
        <v>88</v>
      </c>
      <c r="C9" s="39" t="s">
        <v>87</v>
      </c>
      <c r="D9" s="38" t="s">
        <v>86</v>
      </c>
      <c r="E9" s="35" t="s">
        <v>85</v>
      </c>
      <c r="F9" s="37" t="s">
        <v>84</v>
      </c>
      <c r="G9" s="35" t="s">
        <v>83</v>
      </c>
      <c r="H9" s="36" t="s">
        <v>82</v>
      </c>
      <c r="I9" s="35" t="s">
        <v>81</v>
      </c>
    </row>
    <row r="10" spans="1:9" ht="30" x14ac:dyDescent="0.25">
      <c r="A10" s="25">
        <v>1</v>
      </c>
      <c r="B10" s="34" t="s">
        <v>80</v>
      </c>
      <c r="C10" s="25" t="s">
        <v>23</v>
      </c>
      <c r="D10" s="24" t="str">
        <f>LEFT(B10,5)</f>
        <v>2.9.1</v>
      </c>
      <c r="E10" s="33" t="s">
        <v>79</v>
      </c>
      <c r="F10" s="33" t="s">
        <v>72</v>
      </c>
      <c r="G10" s="33">
        <v>15</v>
      </c>
      <c r="H10" s="31">
        <v>135</v>
      </c>
      <c r="I10" s="32">
        <f>G10*H10</f>
        <v>2025</v>
      </c>
    </row>
    <row r="11" spans="1:9" ht="30" x14ac:dyDescent="0.25">
      <c r="A11" s="26">
        <v>2</v>
      </c>
      <c r="B11" s="24" t="s">
        <v>78</v>
      </c>
      <c r="C11" s="25" t="s">
        <v>23</v>
      </c>
      <c r="D11" s="24" t="str">
        <f>LEFT(B11,5)</f>
        <v>2.9.1</v>
      </c>
      <c r="E11" s="33" t="s">
        <v>77</v>
      </c>
      <c r="F11" s="33" t="s">
        <v>31</v>
      </c>
      <c r="G11" s="33">
        <v>15</v>
      </c>
      <c r="H11" s="31">
        <v>135</v>
      </c>
      <c r="I11" s="21">
        <f>G11*H11</f>
        <v>2025</v>
      </c>
    </row>
    <row r="12" spans="1:9" ht="30" x14ac:dyDescent="0.25">
      <c r="A12" s="26">
        <v>3</v>
      </c>
      <c r="B12" s="24" t="s">
        <v>76</v>
      </c>
      <c r="C12" s="25" t="s">
        <v>23</v>
      </c>
      <c r="D12" s="24" t="str">
        <f>LEFT(B12,5)</f>
        <v>2.5.4</v>
      </c>
      <c r="E12" s="33" t="s">
        <v>75</v>
      </c>
      <c r="F12" s="28" t="s">
        <v>72</v>
      </c>
      <c r="G12" s="28">
        <v>83</v>
      </c>
      <c r="H12" s="31">
        <v>250</v>
      </c>
      <c r="I12" s="21">
        <f>G12*H12</f>
        <v>20750</v>
      </c>
    </row>
    <row r="13" spans="1:9" ht="30" x14ac:dyDescent="0.25">
      <c r="A13" s="26">
        <v>4</v>
      </c>
      <c r="B13" s="24" t="s">
        <v>74</v>
      </c>
      <c r="C13" s="25" t="s">
        <v>23</v>
      </c>
      <c r="D13" s="24" t="str">
        <f>LEFT(B13,5)</f>
        <v>2.9.1</v>
      </c>
      <c r="E13" s="33" t="s">
        <v>73</v>
      </c>
      <c r="F13" s="33" t="s">
        <v>72</v>
      </c>
      <c r="G13" s="33">
        <v>50</v>
      </c>
      <c r="H13" s="31">
        <v>150</v>
      </c>
      <c r="I13" s="21">
        <f>G13*H13</f>
        <v>7500</v>
      </c>
    </row>
    <row r="14" spans="1:9" ht="30" x14ac:dyDescent="0.25">
      <c r="A14" s="25">
        <v>5</v>
      </c>
      <c r="B14" s="24" t="s">
        <v>71</v>
      </c>
      <c r="C14" s="25" t="s">
        <v>23</v>
      </c>
      <c r="D14" s="24" t="str">
        <f>LEFT(B14,5)</f>
        <v>2.9.1</v>
      </c>
      <c r="E14" s="33" t="s">
        <v>70</v>
      </c>
      <c r="F14" s="33" t="s">
        <v>31</v>
      </c>
      <c r="G14" s="33">
        <v>50</v>
      </c>
      <c r="H14" s="31">
        <v>150</v>
      </c>
      <c r="I14" s="21">
        <f>G14*H14</f>
        <v>7500</v>
      </c>
    </row>
    <row r="15" spans="1:9" ht="30" x14ac:dyDescent="0.25">
      <c r="A15" s="25">
        <v>6</v>
      </c>
      <c r="B15" s="24" t="s">
        <v>69</v>
      </c>
      <c r="C15" s="25" t="s">
        <v>23</v>
      </c>
      <c r="D15" s="24" t="str">
        <f>LEFT(B15,5)</f>
        <v>2.9.1</v>
      </c>
      <c r="E15" s="33" t="s">
        <v>68</v>
      </c>
      <c r="F15" s="33" t="s">
        <v>31</v>
      </c>
      <c r="G15" s="33">
        <v>50</v>
      </c>
      <c r="H15" s="31">
        <v>150</v>
      </c>
      <c r="I15" s="21">
        <f>G15*H15</f>
        <v>7500</v>
      </c>
    </row>
    <row r="16" spans="1:9" ht="30.75" thickBot="1" x14ac:dyDescent="0.3">
      <c r="A16" s="26">
        <v>7</v>
      </c>
      <c r="B16" s="24" t="s">
        <v>67</v>
      </c>
      <c r="C16" s="25" t="s">
        <v>23</v>
      </c>
      <c r="D16" s="24" t="str">
        <f>LEFT(B16,5)</f>
        <v>2.9.1</v>
      </c>
      <c r="E16" s="33" t="s">
        <v>66</v>
      </c>
      <c r="F16" s="33" t="s">
        <v>31</v>
      </c>
      <c r="G16" s="33">
        <v>50</v>
      </c>
      <c r="H16" s="31">
        <v>150</v>
      </c>
      <c r="I16" s="21">
        <f>G16*H16</f>
        <v>7500</v>
      </c>
    </row>
    <row r="17" spans="1:9" ht="30" x14ac:dyDescent="0.25">
      <c r="A17" s="25">
        <v>8</v>
      </c>
      <c r="B17" s="34" t="s">
        <v>65</v>
      </c>
      <c r="C17" s="25" t="s">
        <v>23</v>
      </c>
      <c r="D17" s="24" t="str">
        <f>LEFT(B17,5)</f>
        <v>2.9.1</v>
      </c>
      <c r="E17" s="33" t="s">
        <v>64</v>
      </c>
      <c r="F17" s="33" t="s">
        <v>31</v>
      </c>
      <c r="G17" s="33">
        <v>50</v>
      </c>
      <c r="H17" s="31">
        <v>70</v>
      </c>
      <c r="I17" s="32">
        <f>G17*H17</f>
        <v>3500</v>
      </c>
    </row>
    <row r="18" spans="1:9" ht="30" x14ac:dyDescent="0.25">
      <c r="A18" s="26">
        <v>9</v>
      </c>
      <c r="B18" s="24" t="s">
        <v>63</v>
      </c>
      <c r="C18" s="25" t="s">
        <v>23</v>
      </c>
      <c r="D18" s="24" t="str">
        <f>LEFT(B18,5)</f>
        <v>2.9.1</v>
      </c>
      <c r="E18" s="33" t="s">
        <v>62</v>
      </c>
      <c r="F18" s="33" t="s">
        <v>59</v>
      </c>
      <c r="G18" s="33">
        <v>100</v>
      </c>
      <c r="H18" s="31">
        <v>850</v>
      </c>
      <c r="I18" s="21">
        <f>G18*H18</f>
        <v>85000</v>
      </c>
    </row>
    <row r="19" spans="1:9" ht="30" x14ac:dyDescent="0.25">
      <c r="A19" s="26">
        <v>10</v>
      </c>
      <c r="B19" s="24" t="s">
        <v>61</v>
      </c>
      <c r="C19" s="25" t="s">
        <v>23</v>
      </c>
      <c r="D19" s="24" t="str">
        <f>LEFT(B19,5)</f>
        <v>2.9.1</v>
      </c>
      <c r="E19" s="33" t="s">
        <v>60</v>
      </c>
      <c r="F19" s="33" t="s">
        <v>59</v>
      </c>
      <c r="G19" s="33">
        <v>30</v>
      </c>
      <c r="H19" s="31">
        <v>390</v>
      </c>
      <c r="I19" s="21">
        <f>G19*H19</f>
        <v>11700</v>
      </c>
    </row>
    <row r="20" spans="1:9" ht="30" x14ac:dyDescent="0.25">
      <c r="A20" s="26">
        <v>11</v>
      </c>
      <c r="B20" s="24" t="s">
        <v>58</v>
      </c>
      <c r="C20" s="25" t="s">
        <v>23</v>
      </c>
      <c r="D20" s="24" t="str">
        <f>LEFT(B20,5)</f>
        <v>2.9.1</v>
      </c>
      <c r="E20" s="33" t="s">
        <v>57</v>
      </c>
      <c r="F20" s="33" t="s">
        <v>31</v>
      </c>
      <c r="G20" s="33">
        <v>30</v>
      </c>
      <c r="H20" s="31">
        <v>90</v>
      </c>
      <c r="I20" s="21">
        <f>G20*H20</f>
        <v>2700</v>
      </c>
    </row>
    <row r="21" spans="1:9" ht="45" x14ac:dyDescent="0.25">
      <c r="A21" s="25">
        <v>12</v>
      </c>
      <c r="B21" s="24" t="s">
        <v>56</v>
      </c>
      <c r="C21" s="25" t="s">
        <v>23</v>
      </c>
      <c r="D21" s="24" t="str">
        <f>LEFT(B21,5)</f>
        <v>2.9.1</v>
      </c>
      <c r="E21" s="33" t="s">
        <v>55</v>
      </c>
      <c r="F21" s="33" t="s">
        <v>31</v>
      </c>
      <c r="G21" s="33">
        <v>60</v>
      </c>
      <c r="H21" s="31">
        <v>70</v>
      </c>
      <c r="I21" s="21">
        <f>G21*H21</f>
        <v>4200</v>
      </c>
    </row>
    <row r="22" spans="1:9" ht="45" x14ac:dyDescent="0.25">
      <c r="A22" s="25">
        <v>13</v>
      </c>
      <c r="B22" s="24" t="s">
        <v>54</v>
      </c>
      <c r="C22" s="25" t="s">
        <v>23</v>
      </c>
      <c r="D22" s="24" t="str">
        <f>LEFT(B22,5)</f>
        <v>2.5.4</v>
      </c>
      <c r="E22" s="33" t="s">
        <v>53</v>
      </c>
      <c r="F22" s="33" t="s">
        <v>31</v>
      </c>
      <c r="G22" s="33">
        <v>80</v>
      </c>
      <c r="H22" s="31">
        <v>190</v>
      </c>
      <c r="I22" s="21">
        <f>G22*H22</f>
        <v>15200</v>
      </c>
    </row>
    <row r="23" spans="1:9" ht="30.75" thickBot="1" x14ac:dyDescent="0.3">
      <c r="A23" s="26">
        <v>14</v>
      </c>
      <c r="B23" s="24" t="s">
        <v>52</v>
      </c>
      <c r="C23" s="25" t="s">
        <v>23</v>
      </c>
      <c r="D23" s="24" t="str">
        <f>LEFT(B23,5)</f>
        <v>2.9.1</v>
      </c>
      <c r="E23" s="33" t="s">
        <v>51</v>
      </c>
      <c r="F23" s="33" t="s">
        <v>28</v>
      </c>
      <c r="G23" s="33">
        <v>80</v>
      </c>
      <c r="H23" s="31">
        <v>780</v>
      </c>
      <c r="I23" s="21">
        <f>G23*H23</f>
        <v>62400</v>
      </c>
    </row>
    <row r="24" spans="1:9" ht="30" x14ac:dyDescent="0.25">
      <c r="A24" s="25">
        <v>15</v>
      </c>
      <c r="B24" s="34" t="s">
        <v>50</v>
      </c>
      <c r="C24" s="25" t="s">
        <v>23</v>
      </c>
      <c r="D24" s="24" t="str">
        <f>LEFT(B24,5)</f>
        <v>2.9.1</v>
      </c>
      <c r="E24" s="33" t="s">
        <v>49</v>
      </c>
      <c r="F24" s="33" t="s">
        <v>31</v>
      </c>
      <c r="G24" s="33">
        <v>30</v>
      </c>
      <c r="H24" s="31">
        <v>210</v>
      </c>
      <c r="I24" s="32">
        <f>G24*H24</f>
        <v>6300</v>
      </c>
    </row>
    <row r="25" spans="1:9" ht="30" x14ac:dyDescent="0.25">
      <c r="A25" s="26">
        <v>16</v>
      </c>
      <c r="B25" s="24" t="s">
        <v>48</v>
      </c>
      <c r="C25" s="25" t="s">
        <v>23</v>
      </c>
      <c r="D25" s="24" t="str">
        <f>LEFT(B25,5)</f>
        <v>2.9.1</v>
      </c>
      <c r="E25" s="33" t="s">
        <v>47</v>
      </c>
      <c r="F25" s="33" t="s">
        <v>28</v>
      </c>
      <c r="G25" s="33">
        <v>150</v>
      </c>
      <c r="H25" s="31">
        <v>780</v>
      </c>
      <c r="I25" s="21">
        <f>G25*H25</f>
        <v>117000</v>
      </c>
    </row>
    <row r="26" spans="1:9" ht="30" x14ac:dyDescent="0.25">
      <c r="A26" s="26">
        <v>17</v>
      </c>
      <c r="B26" s="24" t="s">
        <v>46</v>
      </c>
      <c r="C26" s="25" t="s">
        <v>23</v>
      </c>
      <c r="D26" s="24" t="str">
        <f>LEFT(B26,5)</f>
        <v>2.3.4</v>
      </c>
      <c r="E26" s="33" t="s">
        <v>45</v>
      </c>
      <c r="F26" s="33" t="s">
        <v>44</v>
      </c>
      <c r="G26" s="33">
        <v>80</v>
      </c>
      <c r="H26" s="31">
        <v>180</v>
      </c>
      <c r="I26" s="21">
        <f>G26*H26</f>
        <v>14400</v>
      </c>
    </row>
    <row r="27" spans="1:9" ht="30" x14ac:dyDescent="0.25">
      <c r="A27" s="26">
        <v>18</v>
      </c>
      <c r="B27" s="24" t="s">
        <v>43</v>
      </c>
      <c r="C27" s="25" t="s">
        <v>23</v>
      </c>
      <c r="D27" s="24" t="str">
        <f>LEFT(B27,5)</f>
        <v>2.9.1</v>
      </c>
      <c r="E27" s="33" t="s">
        <v>42</v>
      </c>
      <c r="F27" s="33" t="s">
        <v>31</v>
      </c>
      <c r="G27" s="33">
        <v>10</v>
      </c>
      <c r="H27" s="31">
        <v>1190</v>
      </c>
      <c r="I27" s="21">
        <f>G27*H27</f>
        <v>11900</v>
      </c>
    </row>
    <row r="28" spans="1:9" ht="30" x14ac:dyDescent="0.25">
      <c r="A28" s="25">
        <v>19</v>
      </c>
      <c r="B28" s="24" t="s">
        <v>41</v>
      </c>
      <c r="C28" s="25" t="s">
        <v>23</v>
      </c>
      <c r="D28" s="24" t="str">
        <f>LEFT(B28,5)</f>
        <v>2.3.4</v>
      </c>
      <c r="E28" s="33" t="s">
        <v>40</v>
      </c>
      <c r="F28" s="33" t="s">
        <v>39</v>
      </c>
      <c r="G28" s="33">
        <v>550</v>
      </c>
      <c r="H28" s="31">
        <v>1550</v>
      </c>
      <c r="I28" s="21">
        <f>G28*H28</f>
        <v>852500</v>
      </c>
    </row>
    <row r="29" spans="1:9" ht="30" x14ac:dyDescent="0.25">
      <c r="A29" s="25">
        <v>20</v>
      </c>
      <c r="B29" s="24" t="s">
        <v>38</v>
      </c>
      <c r="C29" s="25" t="s">
        <v>23</v>
      </c>
      <c r="D29" s="24" t="str">
        <f>LEFT(B29,5)</f>
        <v>2.3.4</v>
      </c>
      <c r="E29" s="33" t="s">
        <v>37</v>
      </c>
      <c r="F29" s="33" t="s">
        <v>36</v>
      </c>
      <c r="G29" s="33">
        <v>400</v>
      </c>
      <c r="H29" s="31">
        <v>2800</v>
      </c>
      <c r="I29" s="21">
        <f>G29*H29</f>
        <v>1120000</v>
      </c>
    </row>
    <row r="30" spans="1:9" ht="30.75" thickBot="1" x14ac:dyDescent="0.3">
      <c r="A30" s="26">
        <v>21</v>
      </c>
      <c r="B30" s="24" t="s">
        <v>35</v>
      </c>
      <c r="C30" s="25" t="s">
        <v>23</v>
      </c>
      <c r="D30" s="24" t="str">
        <f>LEFT(B30,5)</f>
        <v>2.9.1</v>
      </c>
      <c r="E30" s="33" t="s">
        <v>34</v>
      </c>
      <c r="F30" s="33" t="s">
        <v>31</v>
      </c>
      <c r="G30" s="33">
        <v>50</v>
      </c>
      <c r="H30" s="31">
        <v>90</v>
      </c>
      <c r="I30" s="21">
        <f>G30*H30</f>
        <v>4500</v>
      </c>
    </row>
    <row r="31" spans="1:9" ht="30" x14ac:dyDescent="0.25">
      <c r="A31" s="25">
        <v>22</v>
      </c>
      <c r="B31" s="34" t="s">
        <v>33</v>
      </c>
      <c r="C31" s="25" t="s">
        <v>23</v>
      </c>
      <c r="D31" s="24" t="str">
        <f>LEFT(B31,5)</f>
        <v>2.9.1</v>
      </c>
      <c r="E31" s="33" t="s">
        <v>32</v>
      </c>
      <c r="F31" s="33" t="s">
        <v>31</v>
      </c>
      <c r="G31" s="33">
        <v>50</v>
      </c>
      <c r="H31" s="31">
        <v>200</v>
      </c>
      <c r="I31" s="32">
        <f>G31*H31</f>
        <v>10000</v>
      </c>
    </row>
    <row r="32" spans="1:9" ht="30" x14ac:dyDescent="0.25">
      <c r="A32" s="26">
        <v>23</v>
      </c>
      <c r="B32" s="24" t="s">
        <v>30</v>
      </c>
      <c r="C32" s="25" t="s">
        <v>23</v>
      </c>
      <c r="D32" s="24" t="str">
        <f>LEFT(B32,5)</f>
        <v>2.9.1</v>
      </c>
      <c r="E32" s="28" t="s">
        <v>29</v>
      </c>
      <c r="F32" s="28" t="s">
        <v>28</v>
      </c>
      <c r="G32" s="28">
        <v>150</v>
      </c>
      <c r="H32" s="31">
        <v>450</v>
      </c>
      <c r="I32" s="21">
        <f>G32*H32</f>
        <v>67500</v>
      </c>
    </row>
    <row r="33" spans="1:9" ht="30" x14ac:dyDescent="0.25">
      <c r="A33" s="26">
        <v>24</v>
      </c>
      <c r="B33" s="29" t="s">
        <v>27</v>
      </c>
      <c r="C33" s="30" t="s">
        <v>23</v>
      </c>
      <c r="D33" s="29" t="str">
        <f>LEFT(B33,5)</f>
        <v>2.9.1</v>
      </c>
      <c r="E33" s="28" t="s">
        <v>26</v>
      </c>
      <c r="F33" s="28" t="s">
        <v>25</v>
      </c>
      <c r="G33" s="28">
        <v>400</v>
      </c>
      <c r="H33" s="27">
        <v>420</v>
      </c>
      <c r="I33" s="21">
        <f>G33*H33</f>
        <v>168000</v>
      </c>
    </row>
    <row r="34" spans="1:9" ht="30" x14ac:dyDescent="0.25">
      <c r="A34" s="26">
        <v>25</v>
      </c>
      <c r="B34" t="s">
        <v>24</v>
      </c>
      <c r="C34" s="25" t="s">
        <v>23</v>
      </c>
      <c r="D34" s="24" t="str">
        <f>LEFT(B34,5)</f>
        <v>2.9.1</v>
      </c>
      <c r="E34" s="23" t="s">
        <v>22</v>
      </c>
      <c r="F34" s="23" t="s">
        <v>21</v>
      </c>
      <c r="G34" s="23">
        <v>40</v>
      </c>
      <c r="H34" s="22">
        <v>456.25</v>
      </c>
      <c r="I34" s="21">
        <f>G34*H34</f>
        <v>18250</v>
      </c>
    </row>
    <row r="35" spans="1:9" x14ac:dyDescent="0.25">
      <c r="A35" s="1"/>
      <c r="B35" s="20"/>
      <c r="C35" s="1"/>
      <c r="D35" s="1"/>
      <c r="E35" s="1"/>
      <c r="F35" s="1"/>
      <c r="G35" s="1"/>
      <c r="H35" s="1"/>
      <c r="I35" s="1"/>
    </row>
    <row r="36" spans="1:9" x14ac:dyDescent="0.25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25">
      <c r="A37" s="1"/>
      <c r="B37" s="19" t="s">
        <v>20</v>
      </c>
      <c r="C37" s="1"/>
      <c r="D37" s="1"/>
      <c r="E37" s="1"/>
      <c r="F37" s="1"/>
      <c r="G37" s="1"/>
      <c r="H37" s="1"/>
      <c r="I37" s="1"/>
    </row>
    <row r="38" spans="1:9" x14ac:dyDescent="0.25">
      <c r="A38" s="1"/>
      <c r="B38" s="19"/>
      <c r="C38" s="1"/>
      <c r="D38" s="1"/>
      <c r="E38" s="1"/>
      <c r="F38" s="1"/>
      <c r="G38" s="1"/>
      <c r="H38" s="1"/>
      <c r="I38" s="1"/>
    </row>
    <row r="39" spans="1:9" x14ac:dyDescent="0.25">
      <c r="A39" s="1"/>
      <c r="B39" s="19" t="s">
        <v>19</v>
      </c>
      <c r="C39" s="1"/>
      <c r="D39" s="1"/>
      <c r="E39" s="1"/>
      <c r="F39" s="1"/>
      <c r="G39" s="1"/>
      <c r="H39" s="1"/>
      <c r="I39" s="1"/>
    </row>
    <row r="40" spans="1:9" x14ac:dyDescent="0.25">
      <c r="A40" s="1"/>
      <c r="B40" s="19"/>
      <c r="C40" s="1"/>
      <c r="D40" s="1"/>
      <c r="E40" s="1"/>
      <c r="F40" s="1"/>
      <c r="G40" s="1"/>
      <c r="H40" s="1"/>
      <c r="I40" s="1"/>
    </row>
    <row r="41" spans="1:9" x14ac:dyDescent="0.25">
      <c r="A41" s="1"/>
      <c r="B41" s="19" t="s">
        <v>18</v>
      </c>
      <c r="C41" s="1"/>
      <c r="D41" s="1"/>
      <c r="E41" s="1"/>
      <c r="F41" s="1"/>
      <c r="G41" s="1"/>
      <c r="H41" s="1"/>
      <c r="I41" s="1"/>
    </row>
    <row r="42" spans="1:9" x14ac:dyDescent="0.25">
      <c r="A42" s="1"/>
      <c r="B42" s="19"/>
      <c r="C42" s="1"/>
      <c r="D42" s="1"/>
      <c r="E42" s="1"/>
      <c r="F42" s="1"/>
      <c r="G42" s="1"/>
      <c r="H42" s="1"/>
      <c r="I42" s="1"/>
    </row>
    <row r="43" spans="1:9" x14ac:dyDescent="0.25">
      <c r="A43" s="1"/>
      <c r="B43" s="19" t="s">
        <v>17</v>
      </c>
      <c r="C43" s="1"/>
      <c r="D43" s="1"/>
      <c r="E43" s="1"/>
      <c r="F43" s="1"/>
      <c r="G43" s="1"/>
      <c r="H43" s="1"/>
      <c r="I43" s="1"/>
    </row>
    <row r="44" spans="1:9" ht="15.75" thickBot="1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25">
      <c r="A45" s="1"/>
      <c r="B45" s="1"/>
      <c r="C45" s="18" t="s">
        <v>16</v>
      </c>
      <c r="D45" s="17"/>
      <c r="E45" s="17"/>
      <c r="F45" s="16"/>
      <c r="G45" s="1"/>
      <c r="H45" s="1"/>
      <c r="I45" s="1"/>
    </row>
    <row r="46" spans="1:9" x14ac:dyDescent="0.25">
      <c r="A46" s="1"/>
      <c r="B46" s="1"/>
      <c r="C46" s="15"/>
      <c r="D46" s="1"/>
      <c r="E46" s="1"/>
      <c r="F46" s="4"/>
      <c r="G46" s="1"/>
      <c r="H46" s="1"/>
      <c r="I46" s="1"/>
    </row>
    <row r="47" spans="1:9" x14ac:dyDescent="0.25">
      <c r="A47" s="1"/>
      <c r="B47" s="1"/>
      <c r="C47" s="5" t="s">
        <v>11</v>
      </c>
      <c r="D47" s="1"/>
      <c r="E47" s="1"/>
      <c r="F47" s="4"/>
      <c r="G47" s="1"/>
      <c r="H47" s="1"/>
      <c r="I47" s="1"/>
    </row>
    <row r="48" spans="1:9" x14ac:dyDescent="0.25">
      <c r="A48" s="1"/>
      <c r="B48" s="1"/>
      <c r="C48" s="5"/>
      <c r="D48" s="14" t="s">
        <v>15</v>
      </c>
      <c r="E48" s="6"/>
      <c r="F48" s="6"/>
      <c r="G48" s="1"/>
      <c r="H48" s="1"/>
      <c r="I48" s="1"/>
    </row>
    <row r="49" spans="1:9" x14ac:dyDescent="0.25">
      <c r="A49" s="1"/>
      <c r="B49" s="1"/>
      <c r="C49" s="5"/>
      <c r="D49" s="13"/>
      <c r="E49" s="9"/>
      <c r="F49" s="8"/>
      <c r="G49" s="1"/>
      <c r="H49" s="1"/>
      <c r="I49" s="1"/>
    </row>
    <row r="50" spans="1:9" x14ac:dyDescent="0.25">
      <c r="A50" s="1"/>
      <c r="B50" s="1"/>
      <c r="C50" s="5" t="s">
        <v>9</v>
      </c>
      <c r="D50" s="1"/>
      <c r="E50" s="11" t="s">
        <v>14</v>
      </c>
      <c r="F50" s="4"/>
      <c r="G50" s="1"/>
      <c r="H50" s="1"/>
      <c r="I50" s="1"/>
    </row>
    <row r="51" spans="1:9" x14ac:dyDescent="0.25">
      <c r="A51" s="1"/>
      <c r="B51" s="1"/>
      <c r="C51" s="7"/>
      <c r="D51" s="12"/>
      <c r="E51" s="12"/>
      <c r="F51" s="12"/>
      <c r="G51" s="1"/>
      <c r="H51" s="1"/>
      <c r="I51" s="1"/>
    </row>
    <row r="52" spans="1:9" x14ac:dyDescent="0.25">
      <c r="A52" s="1"/>
      <c r="B52" s="1"/>
      <c r="C52" s="5" t="s">
        <v>7</v>
      </c>
      <c r="D52" s="12" t="s">
        <v>6</v>
      </c>
      <c r="E52" s="12"/>
      <c r="F52" s="12"/>
      <c r="G52" s="1"/>
      <c r="H52" s="1"/>
      <c r="I52" s="1"/>
    </row>
    <row r="53" spans="1:9" x14ac:dyDescent="0.25">
      <c r="A53" s="1"/>
      <c r="B53" s="1"/>
      <c r="C53" s="5"/>
      <c r="D53" s="11"/>
      <c r="E53" s="11"/>
      <c r="F53" s="10"/>
      <c r="G53" s="1"/>
      <c r="H53" s="1"/>
      <c r="I53" s="1"/>
    </row>
    <row r="54" spans="1:9" x14ac:dyDescent="0.25">
      <c r="A54" s="1"/>
      <c r="B54" s="1"/>
      <c r="C54" s="5" t="s">
        <v>5</v>
      </c>
      <c r="D54" s="11"/>
      <c r="E54" s="11" t="s">
        <v>4</v>
      </c>
      <c r="F54" s="10"/>
      <c r="G54" s="1"/>
      <c r="H54" s="1"/>
      <c r="I54" s="1"/>
    </row>
    <row r="55" spans="1:9" x14ac:dyDescent="0.25">
      <c r="A55" s="1"/>
      <c r="B55" s="1"/>
      <c r="C55" s="5"/>
      <c r="D55" s="11"/>
      <c r="E55" s="11"/>
      <c r="F55" s="10"/>
      <c r="G55" s="1"/>
      <c r="H55" s="1"/>
      <c r="I55" s="1"/>
    </row>
    <row r="56" spans="1:9" x14ac:dyDescent="0.25">
      <c r="A56" s="1"/>
      <c r="B56" s="1"/>
      <c r="C56" s="5" t="s">
        <v>3</v>
      </c>
      <c r="D56" s="1"/>
      <c r="E56" s="1"/>
      <c r="F56" s="4"/>
      <c r="G56" s="1"/>
      <c r="H56" s="1"/>
      <c r="I56" s="1"/>
    </row>
    <row r="57" spans="1:9" x14ac:dyDescent="0.25">
      <c r="A57" s="1"/>
      <c r="B57" s="1"/>
      <c r="C57" s="7"/>
      <c r="D57" s="6"/>
      <c r="E57" s="6"/>
      <c r="F57" s="6"/>
      <c r="G57" s="1"/>
      <c r="H57" s="1"/>
      <c r="I57" s="1"/>
    </row>
    <row r="58" spans="1:9" x14ac:dyDescent="0.25">
      <c r="A58" s="1"/>
      <c r="B58" s="1"/>
      <c r="C58" s="5" t="s">
        <v>2</v>
      </c>
      <c r="D58" s="9"/>
      <c r="E58" s="9" t="s">
        <v>13</v>
      </c>
      <c r="F58" s="8"/>
      <c r="G58" s="1"/>
      <c r="H58" s="1"/>
      <c r="I58" s="1"/>
    </row>
    <row r="59" spans="1:9" x14ac:dyDescent="0.25">
      <c r="A59" s="1"/>
      <c r="B59" s="1"/>
      <c r="C59" s="7"/>
      <c r="D59" s="6"/>
      <c r="E59" s="6"/>
      <c r="F59" s="6"/>
      <c r="G59" s="1"/>
      <c r="H59" s="1"/>
      <c r="I59" s="1"/>
    </row>
    <row r="60" spans="1:9" x14ac:dyDescent="0.25">
      <c r="A60" s="1"/>
      <c r="B60" s="1"/>
      <c r="C60" s="5" t="s">
        <v>0</v>
      </c>
      <c r="D60" s="1"/>
      <c r="E60" s="1"/>
      <c r="F60" s="4"/>
      <c r="G60" s="1"/>
      <c r="H60" s="1"/>
      <c r="I60" s="1"/>
    </row>
    <row r="61" spans="1:9" ht="15.75" thickBot="1" x14ac:dyDescent="0.3">
      <c r="A61" s="1"/>
      <c r="B61" s="1"/>
      <c r="C61" s="3"/>
      <c r="D61" s="2"/>
      <c r="E61" s="2"/>
      <c r="F61" s="2"/>
      <c r="G61" s="1"/>
      <c r="H61" s="1"/>
      <c r="I61" s="1"/>
    </row>
    <row r="62" spans="1:9" ht="15.75" thickBot="1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25">
      <c r="A63" s="1"/>
      <c r="B63" s="1"/>
      <c r="C63" s="18" t="s">
        <v>12</v>
      </c>
      <c r="D63" s="17"/>
      <c r="E63" s="17"/>
      <c r="F63" s="16"/>
      <c r="G63" s="1"/>
      <c r="H63" s="1"/>
      <c r="I63" s="1"/>
    </row>
    <row r="64" spans="1:9" x14ac:dyDescent="0.25">
      <c r="A64" s="1"/>
      <c r="B64" s="1"/>
      <c r="C64" s="15"/>
      <c r="D64" s="1"/>
      <c r="E64" s="1"/>
      <c r="F64" s="4"/>
      <c r="G64" s="1"/>
      <c r="H64" s="1"/>
      <c r="I64" s="1"/>
    </row>
    <row r="65" spans="1:9" x14ac:dyDescent="0.25">
      <c r="A65" s="1"/>
      <c r="B65" s="1"/>
      <c r="C65" s="5" t="s">
        <v>11</v>
      </c>
      <c r="D65" s="1"/>
      <c r="E65" s="1"/>
      <c r="F65" s="4"/>
      <c r="G65" s="1"/>
      <c r="H65" s="1"/>
      <c r="I65" s="1"/>
    </row>
    <row r="66" spans="1:9" x14ac:dyDescent="0.25">
      <c r="A66" s="1"/>
      <c r="B66" s="1"/>
      <c r="C66" s="5"/>
      <c r="D66" s="14" t="s">
        <v>10</v>
      </c>
      <c r="E66" s="6"/>
      <c r="F66" s="6"/>
      <c r="G66" s="1"/>
      <c r="H66" s="1"/>
      <c r="I66" s="1"/>
    </row>
    <row r="67" spans="1:9" x14ac:dyDescent="0.25">
      <c r="A67" s="1"/>
      <c r="B67" s="1"/>
      <c r="C67" s="5"/>
      <c r="D67" s="13"/>
      <c r="E67" s="9"/>
      <c r="F67" s="8"/>
      <c r="G67" s="1"/>
      <c r="H67" s="1"/>
      <c r="I67" s="1"/>
    </row>
    <row r="68" spans="1:9" x14ac:dyDescent="0.25">
      <c r="A68" s="1"/>
      <c r="B68" s="1"/>
      <c r="C68" s="5" t="s">
        <v>9</v>
      </c>
      <c r="D68" s="1"/>
      <c r="E68" s="11" t="s">
        <v>8</v>
      </c>
      <c r="F68" s="4"/>
      <c r="G68" s="1"/>
      <c r="H68" s="1"/>
      <c r="I68" s="1"/>
    </row>
    <row r="69" spans="1:9" x14ac:dyDescent="0.25">
      <c r="A69" s="1"/>
      <c r="B69" s="1"/>
      <c r="C69" s="7"/>
      <c r="D69" s="12"/>
      <c r="E69" s="12"/>
      <c r="F69" s="12"/>
      <c r="G69" s="1"/>
      <c r="H69" s="1"/>
      <c r="I69" s="1"/>
    </row>
    <row r="70" spans="1:9" x14ac:dyDescent="0.25">
      <c r="A70" s="1"/>
      <c r="B70" s="1"/>
      <c r="C70" s="5" t="s">
        <v>7</v>
      </c>
      <c r="D70" s="12" t="s">
        <v>6</v>
      </c>
      <c r="E70" s="12"/>
      <c r="F70" s="12"/>
      <c r="G70" s="1"/>
      <c r="H70" s="1"/>
      <c r="I70" s="1"/>
    </row>
    <row r="71" spans="1:9" x14ac:dyDescent="0.25">
      <c r="A71" s="1"/>
      <c r="B71" s="1"/>
      <c r="C71" s="5"/>
      <c r="D71" s="11"/>
      <c r="E71" s="11"/>
      <c r="F71" s="10"/>
      <c r="G71" s="1"/>
      <c r="H71" s="1"/>
      <c r="I71" s="1"/>
    </row>
    <row r="72" spans="1:9" x14ac:dyDescent="0.25">
      <c r="A72" s="1"/>
      <c r="B72" s="1"/>
      <c r="C72" s="5" t="s">
        <v>5</v>
      </c>
      <c r="D72" s="11"/>
      <c r="E72" s="11" t="s">
        <v>4</v>
      </c>
      <c r="F72" s="10"/>
      <c r="G72" s="1"/>
      <c r="H72" s="1"/>
      <c r="I72" s="1"/>
    </row>
    <row r="73" spans="1:9" x14ac:dyDescent="0.25">
      <c r="A73" s="1"/>
      <c r="B73" s="1"/>
      <c r="C73" s="5"/>
      <c r="D73" s="11"/>
      <c r="E73" s="11"/>
      <c r="F73" s="10"/>
      <c r="G73" s="1"/>
      <c r="H73" s="1"/>
      <c r="I73" s="1"/>
    </row>
    <row r="74" spans="1:9" x14ac:dyDescent="0.25">
      <c r="A74" s="1"/>
      <c r="B74" s="1"/>
      <c r="C74" s="5" t="s">
        <v>3</v>
      </c>
      <c r="D74" s="1"/>
      <c r="E74" s="1"/>
      <c r="F74" s="4"/>
      <c r="G74" s="1"/>
      <c r="H74" s="1"/>
      <c r="I74" s="1"/>
    </row>
    <row r="75" spans="1:9" x14ac:dyDescent="0.25">
      <c r="A75" s="1"/>
      <c r="B75" s="1"/>
      <c r="C75" s="7"/>
      <c r="D75" s="6"/>
      <c r="E75" s="6"/>
      <c r="F75" s="6"/>
      <c r="G75" s="1"/>
      <c r="H75" s="1"/>
      <c r="I75" s="1"/>
    </row>
    <row r="76" spans="1:9" x14ac:dyDescent="0.25">
      <c r="A76" s="1"/>
      <c r="B76" s="1"/>
      <c r="C76" s="5" t="s">
        <v>2</v>
      </c>
      <c r="D76" s="9"/>
      <c r="E76" s="9" t="s">
        <v>1</v>
      </c>
      <c r="F76" s="8"/>
      <c r="G76" s="1"/>
      <c r="H76" s="1"/>
      <c r="I76" s="1"/>
    </row>
    <row r="77" spans="1:9" x14ac:dyDescent="0.25">
      <c r="A77" s="1"/>
      <c r="B77" s="1"/>
      <c r="C77" s="7"/>
      <c r="D77" s="6"/>
      <c r="E77" s="6"/>
      <c r="F77" s="6"/>
      <c r="G77" s="1"/>
      <c r="H77" s="1"/>
      <c r="I77" s="1"/>
    </row>
    <row r="78" spans="1:9" x14ac:dyDescent="0.25">
      <c r="A78" s="1"/>
      <c r="B78" s="1"/>
      <c r="C78" s="5" t="s">
        <v>0</v>
      </c>
      <c r="D78" s="1"/>
      <c r="E78" s="1"/>
      <c r="F78" s="4"/>
      <c r="G78" s="1"/>
      <c r="H78" s="1"/>
      <c r="I78" s="1"/>
    </row>
    <row r="79" spans="1:9" ht="15.75" thickBot="1" x14ac:dyDescent="0.3">
      <c r="A79" s="1"/>
      <c r="B79" s="1"/>
      <c r="C79" s="3"/>
      <c r="D79" s="2"/>
      <c r="E79" s="2"/>
      <c r="F79" s="2"/>
      <c r="G79" s="1"/>
      <c r="H79" s="1"/>
      <c r="I79" s="1"/>
    </row>
    <row r="80" spans="1:9" x14ac:dyDescent="0.25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25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25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25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25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25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25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25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/>
      <c r="B90" s="1"/>
      <c r="C90" s="1"/>
      <c r="D90" s="1"/>
      <c r="E90" s="1"/>
      <c r="F90" s="1"/>
      <c r="G90" s="1"/>
      <c r="H90" s="1"/>
      <c r="I90" s="1"/>
    </row>
  </sheetData>
  <mergeCells count="19">
    <mergeCell ref="D48:F48"/>
    <mergeCell ref="D52:F52"/>
    <mergeCell ref="D57:F57"/>
    <mergeCell ref="A6:B6"/>
    <mergeCell ref="D51:F51"/>
    <mergeCell ref="A4:B4"/>
    <mergeCell ref="C4:E4"/>
    <mergeCell ref="A5:B5"/>
    <mergeCell ref="B2:H2"/>
    <mergeCell ref="C5:E5"/>
    <mergeCell ref="A7:B7"/>
    <mergeCell ref="D79:F79"/>
    <mergeCell ref="D59:F59"/>
    <mergeCell ref="D61:F61"/>
    <mergeCell ref="D66:F66"/>
    <mergeCell ref="D70:F70"/>
    <mergeCell ref="D75:F75"/>
    <mergeCell ref="D69:F69"/>
    <mergeCell ref="D77:F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MATERNIDAD P.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2021-08-13T11:08:30Z</dcterms:created>
  <dcterms:modified xsi:type="dcterms:W3CDTF">2021-08-13T11:09:46Z</dcterms:modified>
</cp:coreProperties>
</file>