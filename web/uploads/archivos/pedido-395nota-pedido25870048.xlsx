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C:\Users\elias\Downloads\"/>
    </mc:Choice>
  </mc:AlternateContent>
  <xr:revisionPtr revIDLastSave="0" documentId="8_{321B0C31-442F-43C7-A4C2-C66990F8D06A}" xr6:coauthVersionLast="47" xr6:coauthVersionMax="47" xr10:uidLastSave="{00000000-0000-0000-0000-000000000000}"/>
  <bookViews>
    <workbookView xWindow="-120" yWindow="-120" windowWidth="29040" windowHeight="15840" tabRatio="500" firstSheet="3" activeTab="3" xr2:uid="{00000000-000D-0000-FFFF-FFFF00000000}"/>
  </bookViews>
  <sheets>
    <sheet name="gas" sheetId="4" state="hidden" r:id="rId1"/>
    <sheet name="limpieza" sheetId="5" state="hidden" r:id="rId2"/>
    <sheet name="alimento" sheetId="1" state="hidden" r:id="rId3"/>
    <sheet name=" NotaPedido" sheetId="2" r:id="rId4"/>
    <sheet name="Autor Gastar" sheetId="3" r:id="rId5"/>
    <sheet name="ALIM-IMP" sheetId="9" r:id="rId6"/>
  </sheets>
  <externalReferences>
    <externalReference r:id="rId7"/>
    <externalReference r:id="rId8"/>
  </externalReferences>
  <definedNames>
    <definedName name="_xlnm.Print_Area" localSheetId="3">' NotaPedido'!$A$1:$L$43</definedName>
    <definedName name="_xlnm.Print_Area" localSheetId="5">'ALIM-IMP'!$A$8:$I$40</definedName>
    <definedName name="_xlnm.Print_Area" localSheetId="4">'Autor Gastar'!$A$1:$Q$27</definedName>
    <definedName name="_xlnm.Print_Area" localSheetId="1">limpieza!$A$1:$I$118</definedName>
    <definedName name="_xlnm.Print_Titles" localSheetId="3">' NotaPedido'!$1:$9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21" i="9" l="1"/>
  <c r="G1021" i="9" s="1"/>
  <c r="H1021" i="9" s="1"/>
  <c r="F229" i="9"/>
  <c r="G229" i="9" s="1"/>
  <c r="H229" i="9" s="1"/>
  <c r="B42" i="2" l="1"/>
  <c r="C42" i="2"/>
  <c r="I42" i="2"/>
  <c r="J42" i="2"/>
  <c r="L42" i="2" s="1"/>
  <c r="K42" i="2"/>
  <c r="F1129" i="9" l="1"/>
  <c r="G1129" i="9" s="1"/>
  <c r="H1129" i="9" s="1"/>
  <c r="I39" i="9"/>
  <c r="G337" i="9" l="1"/>
  <c r="H337" i="9" s="1"/>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12" i="2"/>
  <c r="J13" i="2"/>
  <c r="L13" i="2" s="1"/>
  <c r="J14" i="2"/>
  <c r="J15" i="2"/>
  <c r="L15" i="2" s="1"/>
  <c r="J16" i="2"/>
  <c r="L16" i="2" s="1"/>
  <c r="J17" i="2"/>
  <c r="L17" i="2" s="1"/>
  <c r="J18" i="2"/>
  <c r="J19" i="2"/>
  <c r="J20" i="2"/>
  <c r="J21" i="2"/>
  <c r="J22" i="2"/>
  <c r="J23" i="2"/>
  <c r="J24" i="2"/>
  <c r="L24" i="2" s="1"/>
  <c r="J25" i="2"/>
  <c r="L25" i="2" s="1"/>
  <c r="J26" i="2"/>
  <c r="J27" i="2"/>
  <c r="L27" i="2" s="1"/>
  <c r="J28" i="2"/>
  <c r="L28" i="2" s="1"/>
  <c r="J29" i="2"/>
  <c r="L29" i="2" s="1"/>
  <c r="J30" i="2"/>
  <c r="J31" i="2"/>
  <c r="J32" i="2"/>
  <c r="J33" i="2"/>
  <c r="L33" i="2" s="1"/>
  <c r="J34" i="2"/>
  <c r="J35" i="2"/>
  <c r="J36" i="2"/>
  <c r="L36" i="2" s="1"/>
  <c r="J37" i="2"/>
  <c r="L37" i="2" s="1"/>
  <c r="J38" i="2"/>
  <c r="J39" i="2"/>
  <c r="L39" i="2" s="1"/>
  <c r="J40" i="2"/>
  <c r="J41" i="2"/>
  <c r="L41" i="2" s="1"/>
  <c r="J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12" i="2"/>
  <c r="L35" i="2" l="1"/>
  <c r="L23" i="2"/>
  <c r="L21" i="2"/>
  <c r="L32" i="2"/>
  <c r="L20" i="2"/>
  <c r="L31" i="2"/>
  <c r="L19" i="2"/>
  <c r="L12" i="2"/>
  <c r="L34" i="2"/>
  <c r="L30" i="2"/>
  <c r="L26" i="2"/>
  <c r="L22" i="2"/>
  <c r="L18" i="2"/>
  <c r="L14" i="2"/>
  <c r="L40" i="2"/>
  <c r="L38" i="2"/>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10" i="9"/>
  <c r="I9" i="9"/>
  <c r="G877" i="9"/>
  <c r="H877" i="9" s="1"/>
  <c r="G841" i="9"/>
  <c r="H841" i="9" s="1"/>
  <c r="G805" i="9"/>
  <c r="G769" i="9"/>
  <c r="F1093" i="9"/>
  <c r="G1093" i="9" s="1"/>
  <c r="F1057" i="9"/>
  <c r="F985" i="9"/>
  <c r="F949" i="9"/>
  <c r="G949" i="9" s="1"/>
  <c r="H949" i="9" s="1"/>
  <c r="F913" i="9"/>
  <c r="G913" i="9" s="1"/>
  <c r="H913" i="9" s="1"/>
  <c r="H805" i="9"/>
  <c r="H769" i="9"/>
  <c r="G733" i="9"/>
  <c r="H733" i="9" s="1"/>
  <c r="G697" i="9"/>
  <c r="H697" i="9" s="1"/>
  <c r="G661" i="9"/>
  <c r="H661" i="9" s="1"/>
  <c r="G625" i="9"/>
  <c r="H625" i="9" s="1"/>
  <c r="G589" i="9"/>
  <c r="H589" i="9" s="1"/>
  <c r="F553" i="9"/>
  <c r="G553" i="9" s="1"/>
  <c r="H553" i="9" s="1"/>
  <c r="G517" i="9"/>
  <c r="H517" i="9" s="1"/>
  <c r="F481" i="9"/>
  <c r="G481" i="9" s="1"/>
  <c r="H481" i="9" s="1"/>
  <c r="F445" i="9"/>
  <c r="G445" i="9" s="1"/>
  <c r="H445" i="9" s="1"/>
  <c r="G409" i="9"/>
  <c r="H409" i="9" s="1"/>
  <c r="G373" i="9"/>
  <c r="H373" i="9" s="1"/>
  <c r="F301" i="9"/>
  <c r="G301" i="9" s="1"/>
  <c r="H301" i="9" s="1"/>
  <c r="F265" i="9"/>
  <c r="G265" i="9" s="1"/>
  <c r="H265" i="9" s="1"/>
  <c r="F193" i="9"/>
  <c r="G193" i="9" s="1"/>
  <c r="H193" i="9" s="1"/>
  <c r="F157" i="9"/>
  <c r="G157" i="9" s="1"/>
  <c r="H157" i="9" s="1"/>
  <c r="F121" i="9"/>
  <c r="G121" i="9" s="1"/>
  <c r="H121" i="9" s="1"/>
  <c r="F85" i="9"/>
  <c r="G85" i="9" s="1"/>
  <c r="H85" i="9" s="1"/>
  <c r="F49" i="9"/>
  <c r="C1117" i="9" s="1"/>
  <c r="E111" i="5"/>
  <c r="B111" i="5"/>
  <c r="E76" i="5"/>
  <c r="B76" i="5"/>
  <c r="B41" i="5"/>
  <c r="E41" i="5"/>
  <c r="E39" i="4"/>
  <c r="B39" i="4"/>
  <c r="E1082" i="1"/>
  <c r="B1082" i="1"/>
  <c r="E1047" i="1"/>
  <c r="B1047" i="1"/>
  <c r="E1012" i="1"/>
  <c r="B1012" i="1"/>
  <c r="E977" i="1"/>
  <c r="B977" i="1"/>
  <c r="E942" i="1"/>
  <c r="B942" i="1"/>
  <c r="E907" i="1"/>
  <c r="B907" i="1"/>
  <c r="E872" i="1"/>
  <c r="B872" i="1"/>
  <c r="E837" i="1"/>
  <c r="B837" i="1"/>
  <c r="E802" i="1"/>
  <c r="B802" i="1"/>
  <c r="E767" i="1"/>
  <c r="B767" i="1"/>
  <c r="E732" i="1"/>
  <c r="B732" i="1"/>
  <c r="E697" i="1"/>
  <c r="B697" i="1"/>
  <c r="E662" i="1"/>
  <c r="B662" i="1"/>
  <c r="E627" i="1"/>
  <c r="B627" i="1"/>
  <c r="E592" i="1"/>
  <c r="B592" i="1"/>
  <c r="E557" i="1"/>
  <c r="B557" i="1"/>
  <c r="E522" i="1"/>
  <c r="B522" i="1"/>
  <c r="E487" i="1"/>
  <c r="B487" i="1"/>
  <c r="E452" i="1"/>
  <c r="B452" i="1"/>
  <c r="E417" i="1"/>
  <c r="B417" i="1"/>
  <c r="E382" i="1"/>
  <c r="B382" i="1"/>
  <c r="E347" i="1"/>
  <c r="B347" i="1"/>
  <c r="E312" i="1"/>
  <c r="B312" i="1"/>
  <c r="E277" i="1"/>
  <c r="B277" i="1"/>
  <c r="E242" i="1"/>
  <c r="B242" i="1"/>
  <c r="E207" i="1"/>
  <c r="B207" i="1"/>
  <c r="E172" i="1"/>
  <c r="B172" i="1"/>
  <c r="E137" i="1"/>
  <c r="B137" i="1"/>
  <c r="E102" i="1"/>
  <c r="B102" i="1"/>
  <c r="E67" i="1"/>
  <c r="B67" i="1"/>
  <c r="I40" i="9" l="1"/>
  <c r="J43" i="2"/>
  <c r="G49" i="9"/>
  <c r="H49" i="9" s="1"/>
  <c r="H1093" i="9"/>
  <c r="G1057" i="9"/>
  <c r="H1057" i="9" s="1"/>
  <c r="G985" i="9"/>
  <c r="H985" i="9" s="1"/>
  <c r="E110" i="5"/>
  <c r="B110" i="5"/>
  <c r="E109" i="5"/>
  <c r="B109" i="5"/>
  <c r="E108" i="5"/>
  <c r="B108" i="5"/>
  <c r="E107" i="5"/>
  <c r="B107" i="5"/>
  <c r="E106" i="5"/>
  <c r="B106" i="5"/>
  <c r="E105" i="5"/>
  <c r="B105" i="5"/>
  <c r="E104" i="5"/>
  <c r="B104" i="5"/>
  <c r="E103" i="5"/>
  <c r="B103" i="5"/>
  <c r="E102" i="5"/>
  <c r="B102" i="5"/>
  <c r="E101" i="5"/>
  <c r="B101" i="5"/>
  <c r="E100" i="5"/>
  <c r="B100" i="5"/>
  <c r="E99" i="5"/>
  <c r="B99" i="5"/>
  <c r="E98" i="5"/>
  <c r="B98" i="5"/>
  <c r="E97" i="5"/>
  <c r="B97" i="5"/>
  <c r="E96" i="5"/>
  <c r="B96" i="5"/>
  <c r="E95" i="5"/>
  <c r="B95" i="5"/>
  <c r="E94" i="5"/>
  <c r="B94" i="5"/>
  <c r="E93" i="5"/>
  <c r="B93" i="5"/>
  <c r="E92" i="5"/>
  <c r="B92" i="5"/>
  <c r="E75" i="5"/>
  <c r="B75" i="5"/>
  <c r="E74" i="5"/>
  <c r="B74" i="5"/>
  <c r="E73" i="5"/>
  <c r="B73" i="5"/>
  <c r="E72" i="5"/>
  <c r="B72" i="5"/>
  <c r="E71" i="5"/>
  <c r="B71" i="5"/>
  <c r="E70" i="5"/>
  <c r="B70" i="5"/>
  <c r="E69" i="5"/>
  <c r="B69" i="5"/>
  <c r="E68" i="5"/>
  <c r="B68" i="5"/>
  <c r="E67" i="5"/>
  <c r="B67" i="5"/>
  <c r="E66" i="5"/>
  <c r="B66" i="5"/>
  <c r="E65" i="5"/>
  <c r="B65" i="5"/>
  <c r="E64" i="5"/>
  <c r="B64" i="5"/>
  <c r="E63" i="5"/>
  <c r="B63" i="5"/>
  <c r="E62" i="5"/>
  <c r="B62" i="5"/>
  <c r="E61" i="5"/>
  <c r="B61" i="5"/>
  <c r="E60" i="5"/>
  <c r="B60" i="5"/>
  <c r="E59" i="5"/>
  <c r="B59" i="5"/>
  <c r="E58" i="5"/>
  <c r="B58" i="5"/>
  <c r="E57" i="5"/>
  <c r="B57" i="5"/>
  <c r="E40" i="5"/>
  <c r="B40" i="5"/>
  <c r="E39" i="5"/>
  <c r="B39" i="5"/>
  <c r="E38" i="5"/>
  <c r="B38" i="5"/>
  <c r="E37" i="5"/>
  <c r="B37" i="5"/>
  <c r="E36" i="5"/>
  <c r="B36" i="5"/>
  <c r="E35" i="5"/>
  <c r="B35" i="5"/>
  <c r="E34" i="5"/>
  <c r="B34" i="5"/>
  <c r="E33" i="5"/>
  <c r="B33" i="5"/>
  <c r="E32" i="5"/>
  <c r="B32" i="5"/>
  <c r="E31" i="5"/>
  <c r="B31" i="5"/>
  <c r="E30" i="5"/>
  <c r="B30" i="5"/>
  <c r="E29" i="5"/>
  <c r="B29" i="5"/>
  <c r="E28" i="5"/>
  <c r="B28" i="5"/>
  <c r="E27" i="5"/>
  <c r="B27" i="5"/>
  <c r="E26" i="5"/>
  <c r="B26" i="5"/>
  <c r="E25" i="5"/>
  <c r="B25" i="5"/>
  <c r="E24" i="5"/>
  <c r="B24" i="5"/>
  <c r="E23" i="5"/>
  <c r="B23" i="5"/>
  <c r="E22" i="5"/>
  <c r="B22" i="5"/>
  <c r="E38" i="4"/>
  <c r="B38" i="4"/>
  <c r="E37" i="4"/>
  <c r="B37" i="4"/>
  <c r="E36" i="4"/>
  <c r="B36" i="4"/>
  <c r="E35" i="4"/>
  <c r="B35" i="4"/>
  <c r="E34" i="4"/>
  <c r="B34" i="4"/>
  <c r="E33" i="4"/>
  <c r="B33" i="4"/>
  <c r="E32" i="4"/>
  <c r="B32" i="4"/>
  <c r="E31" i="4"/>
  <c r="B31" i="4"/>
  <c r="E30" i="4"/>
  <c r="B30" i="4"/>
  <c r="E29" i="4"/>
  <c r="B29" i="4"/>
  <c r="E28" i="4"/>
  <c r="B28" i="4"/>
  <c r="E27" i="4"/>
  <c r="B27" i="4"/>
  <c r="E26" i="4"/>
  <c r="B26" i="4"/>
  <c r="E25" i="4"/>
  <c r="B25" i="4"/>
  <c r="E24" i="4"/>
  <c r="B24" i="4"/>
  <c r="E23" i="4"/>
  <c r="B23" i="4"/>
  <c r="E22" i="4"/>
  <c r="B22" i="4"/>
  <c r="E21" i="4"/>
  <c r="B21" i="4"/>
  <c r="E20" i="4"/>
  <c r="B20" i="4"/>
  <c r="B547" i="1" l="1"/>
  <c r="E1081" i="1" l="1"/>
  <c r="B1081" i="1"/>
  <c r="E1080" i="1"/>
  <c r="B1080" i="1"/>
  <c r="E1079" i="1"/>
  <c r="B1079" i="1"/>
  <c r="E1078" i="1"/>
  <c r="B1078" i="1"/>
  <c r="E1077" i="1"/>
  <c r="B1077" i="1"/>
  <c r="E1076" i="1"/>
  <c r="B1076" i="1"/>
  <c r="E1075" i="1"/>
  <c r="B1075" i="1"/>
  <c r="E1074" i="1"/>
  <c r="B1074" i="1"/>
  <c r="E1073" i="1"/>
  <c r="B1073" i="1"/>
  <c r="E1072" i="1"/>
  <c r="B1072" i="1"/>
  <c r="E1071" i="1"/>
  <c r="B1071" i="1"/>
  <c r="E1070" i="1"/>
  <c r="B1070" i="1"/>
  <c r="E1069" i="1"/>
  <c r="B1069" i="1"/>
  <c r="E1068" i="1"/>
  <c r="B1068" i="1"/>
  <c r="E1067" i="1"/>
  <c r="B1067" i="1"/>
  <c r="E1066" i="1"/>
  <c r="B1066" i="1"/>
  <c r="E1065" i="1"/>
  <c r="B1065" i="1"/>
  <c r="E1064" i="1"/>
  <c r="B1064" i="1"/>
  <c r="E1063" i="1"/>
  <c r="B1063" i="1"/>
  <c r="E1046" i="1"/>
  <c r="B1046" i="1"/>
  <c r="E1045" i="1"/>
  <c r="B1045" i="1"/>
  <c r="E1044" i="1"/>
  <c r="B1044" i="1"/>
  <c r="E1043" i="1"/>
  <c r="B1043" i="1"/>
  <c r="E1042" i="1"/>
  <c r="B1042" i="1"/>
  <c r="E1041" i="1"/>
  <c r="B1041" i="1"/>
  <c r="E1040" i="1"/>
  <c r="B1040" i="1"/>
  <c r="E1039" i="1"/>
  <c r="B1039" i="1"/>
  <c r="E1038" i="1"/>
  <c r="B1038" i="1"/>
  <c r="E1037" i="1"/>
  <c r="B1037" i="1"/>
  <c r="E1036" i="1"/>
  <c r="B1036" i="1"/>
  <c r="E1035" i="1"/>
  <c r="B1035" i="1"/>
  <c r="E1034" i="1"/>
  <c r="B1034" i="1"/>
  <c r="E1033" i="1"/>
  <c r="B1033" i="1"/>
  <c r="E1032" i="1"/>
  <c r="B1032" i="1"/>
  <c r="E1031" i="1"/>
  <c r="B1031" i="1"/>
  <c r="E1030" i="1"/>
  <c r="B1030" i="1"/>
  <c r="E1029" i="1"/>
  <c r="B1029" i="1"/>
  <c r="E1028" i="1"/>
  <c r="B1028" i="1"/>
  <c r="E1011" i="1"/>
  <c r="B1011" i="1"/>
  <c r="E1010" i="1"/>
  <c r="B1010" i="1"/>
  <c r="E1009" i="1"/>
  <c r="B1009" i="1"/>
  <c r="E1008" i="1"/>
  <c r="B1008" i="1"/>
  <c r="E1007" i="1"/>
  <c r="B1007" i="1"/>
  <c r="E1006" i="1"/>
  <c r="B1006" i="1"/>
  <c r="E1005" i="1"/>
  <c r="B1005" i="1"/>
  <c r="E1004" i="1"/>
  <c r="B1004" i="1"/>
  <c r="E1003" i="1"/>
  <c r="B1003" i="1"/>
  <c r="E1002" i="1"/>
  <c r="B1002" i="1"/>
  <c r="E1001" i="1"/>
  <c r="B1001" i="1"/>
  <c r="E1000" i="1"/>
  <c r="B1000" i="1"/>
  <c r="E999" i="1"/>
  <c r="B999" i="1"/>
  <c r="E998" i="1"/>
  <c r="B998" i="1"/>
  <c r="E997" i="1"/>
  <c r="B997" i="1"/>
  <c r="E996" i="1"/>
  <c r="B996" i="1"/>
  <c r="E995" i="1"/>
  <c r="B995" i="1"/>
  <c r="E994" i="1"/>
  <c r="B994" i="1"/>
  <c r="E993" i="1"/>
  <c r="B993" i="1"/>
  <c r="E976" i="1"/>
  <c r="B976" i="1"/>
  <c r="E975" i="1"/>
  <c r="B975" i="1"/>
  <c r="E974" i="1"/>
  <c r="B974" i="1"/>
  <c r="E973" i="1"/>
  <c r="B973" i="1"/>
  <c r="E972" i="1"/>
  <c r="B972" i="1"/>
  <c r="E971" i="1"/>
  <c r="B971" i="1"/>
  <c r="E970" i="1"/>
  <c r="B970" i="1"/>
  <c r="E969" i="1"/>
  <c r="B969" i="1"/>
  <c r="E968" i="1"/>
  <c r="B968" i="1"/>
  <c r="E967" i="1"/>
  <c r="B967" i="1"/>
  <c r="E966" i="1"/>
  <c r="B966" i="1"/>
  <c r="E965" i="1"/>
  <c r="B965" i="1"/>
  <c r="E964" i="1"/>
  <c r="B964" i="1"/>
  <c r="E963" i="1"/>
  <c r="B963" i="1"/>
  <c r="E962" i="1"/>
  <c r="B962" i="1"/>
  <c r="E961" i="1"/>
  <c r="B961" i="1"/>
  <c r="E960" i="1"/>
  <c r="B960" i="1"/>
  <c r="E959" i="1"/>
  <c r="B959" i="1"/>
  <c r="E958" i="1"/>
  <c r="B958" i="1"/>
  <c r="E941" i="1"/>
  <c r="B941" i="1"/>
  <c r="E940" i="1"/>
  <c r="B940" i="1"/>
  <c r="E939" i="1"/>
  <c r="B939" i="1"/>
  <c r="E938" i="1"/>
  <c r="B938" i="1"/>
  <c r="E937" i="1"/>
  <c r="B937" i="1"/>
  <c r="E936" i="1"/>
  <c r="B936" i="1"/>
  <c r="E935" i="1"/>
  <c r="B935" i="1"/>
  <c r="E934" i="1"/>
  <c r="B934" i="1"/>
  <c r="E933" i="1"/>
  <c r="B933" i="1"/>
  <c r="E932" i="1"/>
  <c r="B932" i="1"/>
  <c r="E931" i="1"/>
  <c r="B931" i="1"/>
  <c r="E930" i="1"/>
  <c r="B930" i="1"/>
  <c r="E929" i="1"/>
  <c r="B929" i="1"/>
  <c r="E928" i="1"/>
  <c r="B928" i="1"/>
  <c r="E927" i="1"/>
  <c r="B927" i="1"/>
  <c r="E926" i="1"/>
  <c r="B926" i="1"/>
  <c r="E925" i="1"/>
  <c r="B925" i="1"/>
  <c r="E924" i="1"/>
  <c r="B924" i="1"/>
  <c r="E923" i="1"/>
  <c r="B923" i="1"/>
  <c r="E906" i="1"/>
  <c r="B906" i="1"/>
  <c r="E905" i="1"/>
  <c r="B905" i="1"/>
  <c r="E904" i="1"/>
  <c r="B904" i="1"/>
  <c r="E903" i="1"/>
  <c r="B903" i="1"/>
  <c r="E902" i="1"/>
  <c r="B902" i="1"/>
  <c r="E901" i="1"/>
  <c r="B901" i="1"/>
  <c r="E900" i="1"/>
  <c r="B900" i="1"/>
  <c r="E899" i="1"/>
  <c r="B899" i="1"/>
  <c r="E898" i="1"/>
  <c r="B898" i="1"/>
  <c r="E897" i="1"/>
  <c r="B897" i="1"/>
  <c r="E896" i="1"/>
  <c r="B896" i="1"/>
  <c r="E895" i="1"/>
  <c r="B895" i="1"/>
  <c r="E894" i="1"/>
  <c r="B894" i="1"/>
  <c r="E893" i="1"/>
  <c r="B893" i="1"/>
  <c r="E892" i="1"/>
  <c r="B892" i="1"/>
  <c r="E891" i="1"/>
  <c r="B891" i="1"/>
  <c r="E890" i="1"/>
  <c r="B890" i="1"/>
  <c r="E889" i="1"/>
  <c r="B889" i="1"/>
  <c r="E888" i="1"/>
  <c r="B888" i="1"/>
  <c r="E871" i="1"/>
  <c r="B871" i="1"/>
  <c r="E870" i="1"/>
  <c r="B870" i="1"/>
  <c r="E869" i="1"/>
  <c r="B869" i="1"/>
  <c r="E868" i="1"/>
  <c r="B868" i="1"/>
  <c r="E867" i="1"/>
  <c r="B867" i="1"/>
  <c r="E866" i="1"/>
  <c r="B866" i="1"/>
  <c r="E865" i="1"/>
  <c r="B865" i="1"/>
  <c r="E864" i="1"/>
  <c r="B864" i="1"/>
  <c r="E863" i="1"/>
  <c r="B863" i="1"/>
  <c r="E862" i="1"/>
  <c r="B862" i="1"/>
  <c r="E861" i="1"/>
  <c r="B861" i="1"/>
  <c r="E860" i="1"/>
  <c r="B860" i="1"/>
  <c r="E859" i="1"/>
  <c r="B859" i="1"/>
  <c r="E858" i="1"/>
  <c r="B858" i="1"/>
  <c r="E857" i="1"/>
  <c r="B857" i="1"/>
  <c r="E856" i="1"/>
  <c r="B856" i="1"/>
  <c r="E855" i="1"/>
  <c r="B855" i="1"/>
  <c r="E854" i="1"/>
  <c r="B854" i="1"/>
  <c r="E853" i="1"/>
  <c r="B853" i="1"/>
  <c r="E836" i="1"/>
  <c r="B836" i="1"/>
  <c r="E835" i="1"/>
  <c r="B835" i="1"/>
  <c r="E834" i="1"/>
  <c r="B834" i="1"/>
  <c r="E833" i="1"/>
  <c r="B833" i="1"/>
  <c r="E832" i="1"/>
  <c r="B832" i="1"/>
  <c r="E831" i="1"/>
  <c r="B831" i="1"/>
  <c r="E830" i="1"/>
  <c r="B830" i="1"/>
  <c r="E829" i="1"/>
  <c r="B829" i="1"/>
  <c r="E828" i="1"/>
  <c r="B828" i="1"/>
  <c r="E827" i="1"/>
  <c r="B827" i="1"/>
  <c r="E826" i="1"/>
  <c r="B826" i="1"/>
  <c r="E825" i="1"/>
  <c r="B825" i="1"/>
  <c r="E824" i="1"/>
  <c r="B824" i="1"/>
  <c r="E823" i="1"/>
  <c r="B823" i="1"/>
  <c r="E822" i="1"/>
  <c r="B822" i="1"/>
  <c r="E821" i="1"/>
  <c r="B821" i="1"/>
  <c r="E820" i="1"/>
  <c r="B820" i="1"/>
  <c r="E819" i="1"/>
  <c r="B819" i="1"/>
  <c r="E818" i="1"/>
  <c r="B818" i="1"/>
  <c r="E801" i="1"/>
  <c r="B801" i="1"/>
  <c r="E800" i="1"/>
  <c r="B800" i="1"/>
  <c r="E799" i="1"/>
  <c r="B799" i="1"/>
  <c r="E798" i="1"/>
  <c r="B798" i="1"/>
  <c r="E797" i="1"/>
  <c r="B797" i="1"/>
  <c r="E796" i="1"/>
  <c r="B796" i="1"/>
  <c r="E795" i="1"/>
  <c r="B795" i="1"/>
  <c r="E794" i="1"/>
  <c r="B794" i="1"/>
  <c r="E793" i="1"/>
  <c r="B793" i="1"/>
  <c r="E792" i="1"/>
  <c r="B792" i="1"/>
  <c r="E791" i="1"/>
  <c r="B791" i="1"/>
  <c r="E790" i="1"/>
  <c r="B790" i="1"/>
  <c r="E789" i="1"/>
  <c r="B789" i="1"/>
  <c r="E788" i="1"/>
  <c r="B788" i="1"/>
  <c r="E787" i="1"/>
  <c r="B787" i="1"/>
  <c r="E786" i="1"/>
  <c r="B786" i="1"/>
  <c r="E785" i="1"/>
  <c r="B785" i="1"/>
  <c r="E784" i="1"/>
  <c r="B784" i="1"/>
  <c r="E783" i="1"/>
  <c r="B783" i="1"/>
  <c r="E766" i="1"/>
  <c r="B766" i="1"/>
  <c r="E765" i="1"/>
  <c r="B765" i="1"/>
  <c r="E764" i="1"/>
  <c r="B764" i="1"/>
  <c r="E763" i="1"/>
  <c r="B763" i="1"/>
  <c r="E762" i="1"/>
  <c r="B762" i="1"/>
  <c r="E761" i="1"/>
  <c r="B761" i="1"/>
  <c r="E760" i="1"/>
  <c r="B760" i="1"/>
  <c r="E759" i="1"/>
  <c r="B759" i="1"/>
  <c r="E758" i="1"/>
  <c r="B758" i="1"/>
  <c r="E757" i="1"/>
  <c r="B757" i="1"/>
  <c r="E756" i="1"/>
  <c r="B756" i="1"/>
  <c r="E755" i="1"/>
  <c r="B755" i="1"/>
  <c r="E754" i="1"/>
  <c r="B754" i="1"/>
  <c r="E753" i="1"/>
  <c r="B753" i="1"/>
  <c r="E752" i="1"/>
  <c r="B752" i="1"/>
  <c r="E751" i="1"/>
  <c r="B751" i="1"/>
  <c r="E750" i="1"/>
  <c r="B750" i="1"/>
  <c r="E749" i="1"/>
  <c r="B749" i="1"/>
  <c r="E748" i="1"/>
  <c r="B748" i="1"/>
  <c r="E731" i="1"/>
  <c r="B731" i="1"/>
  <c r="E730" i="1"/>
  <c r="B730" i="1"/>
  <c r="E729" i="1"/>
  <c r="B729" i="1"/>
  <c r="E728" i="1"/>
  <c r="B728" i="1"/>
  <c r="E727" i="1"/>
  <c r="B727" i="1"/>
  <c r="E726" i="1"/>
  <c r="B726" i="1"/>
  <c r="E725" i="1"/>
  <c r="B725" i="1"/>
  <c r="E724" i="1"/>
  <c r="B724" i="1"/>
  <c r="E723" i="1"/>
  <c r="B723" i="1"/>
  <c r="E722" i="1"/>
  <c r="B722" i="1"/>
  <c r="E721" i="1"/>
  <c r="B721" i="1"/>
  <c r="E720" i="1"/>
  <c r="B720" i="1"/>
  <c r="E719" i="1"/>
  <c r="B719" i="1"/>
  <c r="E718" i="1"/>
  <c r="B718" i="1"/>
  <c r="E717" i="1"/>
  <c r="B717" i="1"/>
  <c r="E716" i="1"/>
  <c r="B716" i="1"/>
  <c r="E715" i="1"/>
  <c r="B715" i="1"/>
  <c r="E714" i="1"/>
  <c r="B714" i="1"/>
  <c r="E713" i="1"/>
  <c r="B713" i="1"/>
  <c r="E696" i="1"/>
  <c r="B696" i="1"/>
  <c r="E695" i="1"/>
  <c r="B695" i="1"/>
  <c r="E694" i="1"/>
  <c r="B694" i="1"/>
  <c r="E693" i="1"/>
  <c r="B693" i="1"/>
  <c r="E692" i="1"/>
  <c r="B692" i="1"/>
  <c r="E691" i="1"/>
  <c r="B691" i="1"/>
  <c r="E690" i="1"/>
  <c r="B690" i="1"/>
  <c r="E689" i="1"/>
  <c r="B689" i="1"/>
  <c r="E688" i="1"/>
  <c r="B688" i="1"/>
  <c r="E687" i="1"/>
  <c r="B687" i="1"/>
  <c r="E686" i="1"/>
  <c r="B686" i="1"/>
  <c r="E685" i="1"/>
  <c r="B685" i="1"/>
  <c r="E684" i="1"/>
  <c r="B684" i="1"/>
  <c r="E683" i="1"/>
  <c r="B683" i="1"/>
  <c r="E682" i="1"/>
  <c r="B682" i="1"/>
  <c r="E681" i="1"/>
  <c r="B681" i="1"/>
  <c r="E680" i="1"/>
  <c r="B680" i="1"/>
  <c r="E679" i="1"/>
  <c r="B679" i="1"/>
  <c r="E678" i="1"/>
  <c r="B678" i="1"/>
  <c r="E661" i="1"/>
  <c r="B661" i="1"/>
  <c r="E660" i="1"/>
  <c r="B660" i="1"/>
  <c r="E659" i="1"/>
  <c r="B659" i="1"/>
  <c r="E658" i="1"/>
  <c r="B658" i="1"/>
  <c r="E657" i="1"/>
  <c r="B657" i="1"/>
  <c r="E656" i="1"/>
  <c r="B656" i="1"/>
  <c r="E655" i="1"/>
  <c r="B655" i="1"/>
  <c r="E654" i="1"/>
  <c r="B654" i="1"/>
  <c r="E653" i="1"/>
  <c r="B653" i="1"/>
  <c r="E652" i="1"/>
  <c r="B652" i="1"/>
  <c r="E651" i="1"/>
  <c r="B651" i="1"/>
  <c r="E650" i="1"/>
  <c r="B650" i="1"/>
  <c r="E649" i="1"/>
  <c r="B649" i="1"/>
  <c r="E648" i="1"/>
  <c r="B648" i="1"/>
  <c r="E647" i="1"/>
  <c r="B647" i="1"/>
  <c r="E646" i="1"/>
  <c r="B646" i="1"/>
  <c r="E645" i="1"/>
  <c r="B645" i="1"/>
  <c r="E644" i="1"/>
  <c r="B644" i="1"/>
  <c r="E643" i="1"/>
  <c r="B643" i="1"/>
  <c r="E626" i="1"/>
  <c r="B626" i="1"/>
  <c r="E625" i="1"/>
  <c r="B625" i="1"/>
  <c r="E624" i="1"/>
  <c r="B624" i="1"/>
  <c r="E623" i="1"/>
  <c r="B623" i="1"/>
  <c r="E622" i="1"/>
  <c r="B622" i="1"/>
  <c r="E621" i="1"/>
  <c r="B621" i="1"/>
  <c r="E620" i="1"/>
  <c r="B620" i="1"/>
  <c r="E619" i="1"/>
  <c r="B619" i="1"/>
  <c r="E618" i="1"/>
  <c r="B618" i="1"/>
  <c r="E617" i="1"/>
  <c r="B617" i="1"/>
  <c r="E616" i="1"/>
  <c r="B616" i="1"/>
  <c r="E615" i="1"/>
  <c r="B615" i="1"/>
  <c r="E614" i="1"/>
  <c r="B614" i="1"/>
  <c r="E613" i="1"/>
  <c r="B613" i="1"/>
  <c r="E612" i="1"/>
  <c r="B612" i="1"/>
  <c r="E611" i="1"/>
  <c r="B611" i="1"/>
  <c r="E610" i="1"/>
  <c r="B610" i="1"/>
  <c r="E609" i="1"/>
  <c r="B609" i="1"/>
  <c r="E608" i="1"/>
  <c r="B608" i="1"/>
  <c r="E591" i="1"/>
  <c r="B591" i="1"/>
  <c r="E590" i="1"/>
  <c r="B590" i="1"/>
  <c r="E589" i="1"/>
  <c r="B589" i="1"/>
  <c r="E588" i="1"/>
  <c r="B588" i="1"/>
  <c r="E587" i="1"/>
  <c r="B587" i="1"/>
  <c r="E586" i="1"/>
  <c r="B586" i="1"/>
  <c r="E585" i="1"/>
  <c r="B585" i="1"/>
  <c r="E584" i="1"/>
  <c r="B584" i="1"/>
  <c r="E583" i="1"/>
  <c r="B583" i="1"/>
  <c r="E582" i="1"/>
  <c r="B582" i="1"/>
  <c r="E581" i="1"/>
  <c r="B581" i="1"/>
  <c r="E580" i="1"/>
  <c r="B580" i="1"/>
  <c r="E579" i="1"/>
  <c r="B579" i="1"/>
  <c r="E578" i="1"/>
  <c r="B578" i="1"/>
  <c r="E577" i="1"/>
  <c r="B577" i="1"/>
  <c r="E576" i="1"/>
  <c r="B576" i="1"/>
  <c r="E575" i="1"/>
  <c r="B575" i="1"/>
  <c r="E574" i="1"/>
  <c r="B574" i="1"/>
  <c r="E573" i="1"/>
  <c r="B573" i="1"/>
  <c r="E556" i="1"/>
  <c r="B556" i="1"/>
  <c r="E555" i="1"/>
  <c r="B555" i="1"/>
  <c r="E554" i="1"/>
  <c r="B554" i="1"/>
  <c r="E553" i="1"/>
  <c r="B553" i="1"/>
  <c r="E552" i="1"/>
  <c r="B552" i="1"/>
  <c r="E551" i="1"/>
  <c r="B551" i="1"/>
  <c r="E550" i="1"/>
  <c r="B550" i="1"/>
  <c r="E549" i="1"/>
  <c r="B549" i="1"/>
  <c r="E548" i="1"/>
  <c r="B548" i="1"/>
  <c r="E547" i="1"/>
  <c r="E546" i="1"/>
  <c r="B546" i="1"/>
  <c r="E545" i="1"/>
  <c r="B545" i="1"/>
  <c r="E544" i="1"/>
  <c r="B544" i="1"/>
  <c r="E543" i="1"/>
  <c r="B543" i="1"/>
  <c r="E542" i="1"/>
  <c r="B542" i="1"/>
  <c r="E541" i="1"/>
  <c r="B541" i="1"/>
  <c r="E540" i="1"/>
  <c r="B540" i="1"/>
  <c r="E539" i="1"/>
  <c r="B539" i="1"/>
  <c r="E538" i="1"/>
  <c r="B538" i="1"/>
  <c r="E521" i="1"/>
  <c r="B521" i="1"/>
  <c r="E520" i="1"/>
  <c r="B520" i="1"/>
  <c r="E519" i="1"/>
  <c r="B519" i="1"/>
  <c r="E518" i="1"/>
  <c r="B518" i="1"/>
  <c r="E517" i="1"/>
  <c r="B517" i="1"/>
  <c r="E516" i="1"/>
  <c r="B516" i="1"/>
  <c r="E515" i="1"/>
  <c r="B515" i="1"/>
  <c r="E514" i="1"/>
  <c r="B514" i="1"/>
  <c r="E513" i="1"/>
  <c r="B513" i="1"/>
  <c r="E512" i="1"/>
  <c r="B512" i="1"/>
  <c r="E511" i="1"/>
  <c r="B511" i="1"/>
  <c r="E510" i="1"/>
  <c r="B510" i="1"/>
  <c r="E509" i="1"/>
  <c r="B509" i="1"/>
  <c r="E508" i="1"/>
  <c r="B508" i="1"/>
  <c r="E507" i="1"/>
  <c r="B507" i="1"/>
  <c r="E506" i="1"/>
  <c r="B506" i="1"/>
  <c r="E505" i="1"/>
  <c r="B505" i="1"/>
  <c r="E504" i="1"/>
  <c r="B504" i="1"/>
  <c r="E503" i="1"/>
  <c r="B503" i="1"/>
  <c r="E486" i="1"/>
  <c r="B486" i="1"/>
  <c r="E485" i="1"/>
  <c r="B485" i="1"/>
  <c r="E484" i="1"/>
  <c r="B484" i="1"/>
  <c r="E483" i="1"/>
  <c r="B483" i="1"/>
  <c r="E482" i="1"/>
  <c r="B482" i="1"/>
  <c r="E481" i="1"/>
  <c r="B481" i="1"/>
  <c r="E480" i="1"/>
  <c r="B480" i="1"/>
  <c r="E479" i="1"/>
  <c r="B479" i="1"/>
  <c r="E478" i="1"/>
  <c r="B478" i="1"/>
  <c r="E477" i="1"/>
  <c r="B477" i="1"/>
  <c r="E476" i="1"/>
  <c r="B476" i="1"/>
  <c r="E475" i="1"/>
  <c r="B475" i="1"/>
  <c r="E474" i="1"/>
  <c r="B474" i="1"/>
  <c r="E473" i="1"/>
  <c r="B473" i="1"/>
  <c r="E472" i="1"/>
  <c r="B472" i="1"/>
  <c r="E471" i="1"/>
  <c r="B471" i="1"/>
  <c r="E470" i="1"/>
  <c r="B470" i="1"/>
  <c r="E469" i="1"/>
  <c r="B469" i="1"/>
  <c r="E468" i="1"/>
  <c r="B468" i="1"/>
  <c r="E451" i="1"/>
  <c r="B451" i="1"/>
  <c r="E450" i="1"/>
  <c r="B450" i="1"/>
  <c r="E449" i="1"/>
  <c r="B449" i="1"/>
  <c r="E448" i="1"/>
  <c r="B448" i="1"/>
  <c r="E447" i="1"/>
  <c r="B447" i="1"/>
  <c r="E446" i="1"/>
  <c r="B446" i="1"/>
  <c r="E445" i="1"/>
  <c r="B445" i="1"/>
  <c r="E444" i="1"/>
  <c r="B444" i="1"/>
  <c r="E443" i="1"/>
  <c r="B443" i="1"/>
  <c r="E442" i="1"/>
  <c r="B442" i="1"/>
  <c r="E441" i="1"/>
  <c r="B441" i="1"/>
  <c r="E440" i="1"/>
  <c r="B440" i="1"/>
  <c r="E439" i="1"/>
  <c r="B439" i="1"/>
  <c r="E438" i="1"/>
  <c r="B438" i="1"/>
  <c r="E437" i="1"/>
  <c r="B437" i="1"/>
  <c r="E436" i="1"/>
  <c r="B436" i="1"/>
  <c r="E435" i="1"/>
  <c r="B435" i="1"/>
  <c r="E434" i="1"/>
  <c r="B434" i="1"/>
  <c r="E433" i="1"/>
  <c r="B433" i="1"/>
  <c r="E416" i="1"/>
  <c r="B416" i="1"/>
  <c r="E415" i="1"/>
  <c r="B415" i="1"/>
  <c r="E414" i="1"/>
  <c r="B414" i="1"/>
  <c r="E413" i="1"/>
  <c r="B413" i="1"/>
  <c r="E412" i="1"/>
  <c r="B412" i="1"/>
  <c r="E411" i="1"/>
  <c r="B411" i="1"/>
  <c r="E410" i="1"/>
  <c r="B410" i="1"/>
  <c r="E409" i="1"/>
  <c r="B409" i="1"/>
  <c r="E408" i="1"/>
  <c r="B408" i="1"/>
  <c r="E407" i="1"/>
  <c r="B407" i="1"/>
  <c r="E406" i="1"/>
  <c r="B406" i="1"/>
  <c r="E405" i="1"/>
  <c r="B405" i="1"/>
  <c r="E404" i="1"/>
  <c r="B404" i="1"/>
  <c r="E403" i="1"/>
  <c r="B403" i="1"/>
  <c r="E402" i="1"/>
  <c r="B402" i="1"/>
  <c r="E401" i="1"/>
  <c r="B401" i="1"/>
  <c r="E400" i="1"/>
  <c r="B400" i="1"/>
  <c r="E399" i="1"/>
  <c r="B399" i="1"/>
  <c r="E398" i="1"/>
  <c r="B398" i="1"/>
  <c r="E381" i="1"/>
  <c r="B381" i="1"/>
  <c r="E380" i="1"/>
  <c r="B380" i="1"/>
  <c r="E379" i="1"/>
  <c r="B379" i="1"/>
  <c r="E378" i="1"/>
  <c r="B378" i="1"/>
  <c r="E377" i="1"/>
  <c r="B377" i="1"/>
  <c r="E376" i="1"/>
  <c r="B376" i="1"/>
  <c r="E375" i="1"/>
  <c r="B375" i="1"/>
  <c r="E374" i="1"/>
  <c r="B374" i="1"/>
  <c r="E373" i="1"/>
  <c r="B373" i="1"/>
  <c r="E372" i="1"/>
  <c r="B372" i="1"/>
  <c r="E371" i="1"/>
  <c r="B371" i="1"/>
  <c r="E370" i="1"/>
  <c r="B370" i="1"/>
  <c r="E369" i="1"/>
  <c r="B369" i="1"/>
  <c r="E368" i="1"/>
  <c r="B368" i="1"/>
  <c r="E367" i="1"/>
  <c r="B367" i="1"/>
  <c r="E366" i="1"/>
  <c r="B366" i="1"/>
  <c r="E365" i="1"/>
  <c r="B365" i="1"/>
  <c r="E364" i="1"/>
  <c r="B364" i="1"/>
  <c r="E363" i="1"/>
  <c r="B363" i="1"/>
  <c r="E346" i="1"/>
  <c r="B346" i="1"/>
  <c r="E345" i="1"/>
  <c r="B345" i="1"/>
  <c r="E344" i="1"/>
  <c r="B344" i="1"/>
  <c r="E343" i="1"/>
  <c r="B343" i="1"/>
  <c r="E342" i="1"/>
  <c r="B342" i="1"/>
  <c r="E341" i="1"/>
  <c r="B341" i="1"/>
  <c r="E340" i="1"/>
  <c r="B340" i="1"/>
  <c r="E339" i="1"/>
  <c r="B339" i="1"/>
  <c r="E338" i="1"/>
  <c r="B338" i="1"/>
  <c r="E337" i="1"/>
  <c r="B337" i="1"/>
  <c r="E336" i="1"/>
  <c r="B336" i="1"/>
  <c r="E335" i="1"/>
  <c r="B335" i="1"/>
  <c r="E334" i="1"/>
  <c r="B334" i="1"/>
  <c r="E333" i="1"/>
  <c r="B333" i="1"/>
  <c r="E332" i="1"/>
  <c r="B332" i="1"/>
  <c r="E331" i="1"/>
  <c r="B331" i="1"/>
  <c r="E330" i="1"/>
  <c r="B330" i="1"/>
  <c r="E329" i="1"/>
  <c r="B329" i="1"/>
  <c r="E328" i="1"/>
  <c r="B328" i="1"/>
  <c r="E311" i="1"/>
  <c r="B311" i="1"/>
  <c r="E310" i="1"/>
  <c r="B310" i="1"/>
  <c r="E309" i="1"/>
  <c r="B309" i="1"/>
  <c r="E308" i="1"/>
  <c r="B308" i="1"/>
  <c r="E307" i="1"/>
  <c r="B307" i="1"/>
  <c r="E306" i="1"/>
  <c r="B306" i="1"/>
  <c r="E305" i="1"/>
  <c r="B305" i="1"/>
  <c r="E304" i="1"/>
  <c r="B304" i="1"/>
  <c r="E303" i="1"/>
  <c r="B303" i="1"/>
  <c r="E302" i="1"/>
  <c r="B302" i="1"/>
  <c r="E301" i="1"/>
  <c r="B301" i="1"/>
  <c r="E300" i="1"/>
  <c r="B300" i="1"/>
  <c r="E299" i="1"/>
  <c r="B299" i="1"/>
  <c r="E298" i="1"/>
  <c r="B298" i="1"/>
  <c r="E297" i="1"/>
  <c r="B297" i="1"/>
  <c r="E296" i="1"/>
  <c r="B296" i="1"/>
  <c r="E295" i="1"/>
  <c r="B295" i="1"/>
  <c r="E294" i="1"/>
  <c r="B294" i="1"/>
  <c r="E293" i="1"/>
  <c r="B293" i="1"/>
  <c r="E276" i="1"/>
  <c r="B276" i="1"/>
  <c r="E275" i="1"/>
  <c r="B275" i="1"/>
  <c r="E274" i="1"/>
  <c r="B274" i="1"/>
  <c r="E273" i="1"/>
  <c r="B273" i="1"/>
  <c r="E272" i="1"/>
  <c r="B272" i="1"/>
  <c r="E271" i="1"/>
  <c r="B271" i="1"/>
  <c r="E270" i="1"/>
  <c r="B270" i="1"/>
  <c r="E269" i="1"/>
  <c r="B269" i="1"/>
  <c r="E268" i="1"/>
  <c r="B268" i="1"/>
  <c r="E267" i="1"/>
  <c r="B267" i="1"/>
  <c r="E266" i="1"/>
  <c r="B266" i="1"/>
  <c r="E265" i="1"/>
  <c r="B265" i="1"/>
  <c r="E264" i="1"/>
  <c r="B264" i="1"/>
  <c r="E263" i="1"/>
  <c r="B263" i="1"/>
  <c r="E262" i="1"/>
  <c r="B262" i="1"/>
  <c r="E261" i="1"/>
  <c r="B261" i="1"/>
  <c r="E260" i="1"/>
  <c r="B260" i="1"/>
  <c r="E259" i="1"/>
  <c r="B259" i="1"/>
  <c r="E258" i="1"/>
  <c r="B258" i="1"/>
  <c r="E241" i="1"/>
  <c r="B241" i="1"/>
  <c r="E240" i="1"/>
  <c r="B240" i="1"/>
  <c r="E239" i="1"/>
  <c r="B239" i="1"/>
  <c r="E238" i="1"/>
  <c r="B238" i="1"/>
  <c r="E237" i="1"/>
  <c r="B237" i="1"/>
  <c r="E236" i="1"/>
  <c r="B236" i="1"/>
  <c r="E235" i="1"/>
  <c r="B235" i="1"/>
  <c r="E234" i="1"/>
  <c r="B234" i="1"/>
  <c r="E233" i="1"/>
  <c r="B233" i="1"/>
  <c r="E232" i="1"/>
  <c r="B232" i="1"/>
  <c r="E231" i="1"/>
  <c r="B231" i="1"/>
  <c r="E230" i="1"/>
  <c r="B230" i="1"/>
  <c r="E229" i="1"/>
  <c r="B229" i="1"/>
  <c r="E228" i="1"/>
  <c r="B228" i="1"/>
  <c r="E227" i="1"/>
  <c r="B227" i="1"/>
  <c r="E226" i="1"/>
  <c r="B226" i="1"/>
  <c r="E225" i="1"/>
  <c r="B225" i="1"/>
  <c r="E224" i="1"/>
  <c r="B224" i="1"/>
  <c r="E223" i="1"/>
  <c r="B223" i="1"/>
  <c r="E206" i="1"/>
  <c r="B206" i="1"/>
  <c r="E205" i="1"/>
  <c r="B205" i="1"/>
  <c r="E204" i="1"/>
  <c r="B204" i="1"/>
  <c r="E203" i="1"/>
  <c r="B203" i="1"/>
  <c r="E202" i="1"/>
  <c r="B202" i="1"/>
  <c r="E201" i="1"/>
  <c r="B201" i="1"/>
  <c r="E200" i="1"/>
  <c r="B200" i="1"/>
  <c r="E199" i="1"/>
  <c r="B199" i="1"/>
  <c r="E198" i="1"/>
  <c r="B198" i="1"/>
  <c r="E197" i="1"/>
  <c r="B197" i="1"/>
  <c r="E196" i="1"/>
  <c r="B196" i="1"/>
  <c r="E195" i="1"/>
  <c r="B195" i="1"/>
  <c r="E194" i="1"/>
  <c r="B194" i="1"/>
  <c r="E193" i="1"/>
  <c r="B193" i="1"/>
  <c r="E192" i="1"/>
  <c r="B192" i="1"/>
  <c r="E191" i="1"/>
  <c r="B191" i="1"/>
  <c r="E190" i="1"/>
  <c r="B190" i="1"/>
  <c r="E189" i="1"/>
  <c r="B189" i="1"/>
  <c r="E188" i="1"/>
  <c r="B188" i="1"/>
  <c r="E171" i="1"/>
  <c r="B171" i="1"/>
  <c r="E170" i="1"/>
  <c r="B170" i="1"/>
  <c r="E169" i="1"/>
  <c r="B169" i="1"/>
  <c r="E168" i="1"/>
  <c r="B168" i="1"/>
  <c r="E167" i="1"/>
  <c r="B167" i="1"/>
  <c r="E166" i="1"/>
  <c r="B166" i="1"/>
  <c r="E165" i="1"/>
  <c r="B165" i="1"/>
  <c r="E164" i="1"/>
  <c r="B164" i="1"/>
  <c r="E163" i="1"/>
  <c r="B163" i="1"/>
  <c r="E162" i="1"/>
  <c r="B162" i="1"/>
  <c r="E161" i="1"/>
  <c r="B161" i="1"/>
  <c r="E160" i="1"/>
  <c r="B160" i="1"/>
  <c r="E159" i="1"/>
  <c r="B159" i="1"/>
  <c r="E158" i="1"/>
  <c r="B158" i="1"/>
  <c r="E157" i="1"/>
  <c r="B157" i="1"/>
  <c r="E156" i="1"/>
  <c r="B156" i="1"/>
  <c r="E155" i="1"/>
  <c r="B155" i="1"/>
  <c r="E154" i="1"/>
  <c r="B154" i="1"/>
  <c r="E153" i="1"/>
  <c r="B153" i="1"/>
  <c r="E136" i="1"/>
  <c r="B136" i="1"/>
  <c r="E135" i="1"/>
  <c r="B135" i="1"/>
  <c r="E134" i="1"/>
  <c r="B134" i="1"/>
  <c r="E133" i="1"/>
  <c r="B133" i="1"/>
  <c r="E132" i="1"/>
  <c r="B132" i="1"/>
  <c r="E131" i="1"/>
  <c r="B131" i="1"/>
  <c r="E130" i="1"/>
  <c r="B130" i="1"/>
  <c r="E129" i="1"/>
  <c r="B129" i="1"/>
  <c r="E128" i="1"/>
  <c r="B128" i="1"/>
  <c r="E127" i="1"/>
  <c r="B127" i="1"/>
  <c r="E126" i="1"/>
  <c r="B126" i="1"/>
  <c r="E125" i="1"/>
  <c r="B125" i="1"/>
  <c r="E124" i="1"/>
  <c r="B124" i="1"/>
  <c r="E123" i="1"/>
  <c r="B123" i="1"/>
  <c r="E122" i="1"/>
  <c r="B122" i="1"/>
  <c r="E121" i="1"/>
  <c r="B121" i="1"/>
  <c r="E120" i="1"/>
  <c r="B120" i="1"/>
  <c r="E119" i="1"/>
  <c r="B119" i="1"/>
  <c r="E118" i="1"/>
  <c r="B118" i="1"/>
  <c r="E101" i="1"/>
  <c r="B101" i="1"/>
  <c r="E100" i="1"/>
  <c r="B100" i="1"/>
  <c r="E99" i="1"/>
  <c r="B99" i="1"/>
  <c r="E98" i="1"/>
  <c r="B98" i="1"/>
  <c r="E97" i="1"/>
  <c r="B97" i="1"/>
  <c r="E96" i="1"/>
  <c r="B96" i="1"/>
  <c r="E95" i="1"/>
  <c r="B95" i="1"/>
  <c r="E94" i="1"/>
  <c r="B94" i="1"/>
  <c r="E93" i="1"/>
  <c r="B93" i="1"/>
  <c r="E92" i="1"/>
  <c r="B92" i="1"/>
  <c r="E91" i="1"/>
  <c r="B91" i="1"/>
  <c r="E90" i="1"/>
  <c r="B90" i="1"/>
  <c r="E89" i="1"/>
  <c r="B89" i="1"/>
  <c r="E88" i="1"/>
  <c r="B88" i="1"/>
  <c r="E87" i="1"/>
  <c r="B87" i="1"/>
  <c r="E86" i="1"/>
  <c r="B86" i="1"/>
  <c r="E85" i="1"/>
  <c r="B85" i="1"/>
  <c r="E84" i="1"/>
  <c r="B84" i="1"/>
  <c r="E83" i="1"/>
  <c r="B83" i="1"/>
  <c r="E66" i="1"/>
  <c r="E65" i="1"/>
  <c r="E64" i="1"/>
  <c r="E63" i="1"/>
  <c r="E62" i="1"/>
  <c r="E61" i="1"/>
  <c r="E60" i="1"/>
  <c r="E59" i="1"/>
  <c r="E58" i="1"/>
  <c r="E57" i="1"/>
  <c r="E56" i="1"/>
  <c r="E55" i="1"/>
  <c r="E54" i="1"/>
  <c r="E53" i="1"/>
  <c r="E52" i="1"/>
  <c r="E51" i="1"/>
  <c r="E50" i="1"/>
  <c r="E49" i="1"/>
  <c r="E48" i="1"/>
  <c r="B66" i="1"/>
  <c r="B65" i="1"/>
  <c r="B64" i="1"/>
  <c r="B63" i="1"/>
  <c r="B62" i="1"/>
  <c r="B61" i="1"/>
  <c r="B60" i="1"/>
  <c r="B59" i="1"/>
  <c r="B58" i="1"/>
  <c r="B57" i="1"/>
  <c r="B56" i="1"/>
  <c r="B55" i="1"/>
  <c r="B54" i="1"/>
  <c r="B53" i="1"/>
  <c r="B52" i="1"/>
  <c r="B51" i="1"/>
  <c r="B50" i="1"/>
  <c r="B49" i="1"/>
  <c r="B48" i="1"/>
  <c r="D38" i="1" l="1"/>
  <c r="D37" i="1"/>
  <c r="I11" i="5" l="1"/>
  <c r="I12" i="5"/>
  <c r="I10" i="5"/>
  <c r="I10" i="4" l="1"/>
  <c r="D26" i="1"/>
  <c r="D27" i="1"/>
  <c r="D17" i="1" l="1"/>
  <c r="D18" i="1"/>
  <c r="D21" i="1"/>
  <c r="D22" i="1"/>
  <c r="D24" i="1"/>
  <c r="D25" i="1"/>
  <c r="D19" i="1"/>
  <c r="D30" i="1"/>
  <c r="D33" i="1"/>
  <c r="D34" i="1"/>
  <c r="D12" i="1"/>
  <c r="D15" i="1"/>
  <c r="I15" i="3" l="1"/>
  <c r="Q23" i="3" l="1"/>
  <c r="D9" i="1"/>
  <c r="D3" i="2" l="1"/>
  <c r="G4" i="3" s="1"/>
  <c r="D4" i="2"/>
  <c r="G5" i="3" s="1"/>
  <c r="A10" i="3" l="1"/>
</calcChain>
</file>

<file path=xl/sharedStrings.xml><?xml version="1.0" encoding="utf-8"?>
<sst xmlns="http://schemas.openxmlformats.org/spreadsheetml/2006/main" count="3218" uniqueCount="366">
  <si>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</si>
  <si>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</si>
  <si>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</si>
  <si>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</si>
  <si>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</si>
  <si>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</si>
  <si>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</si>
  <si>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</si>
  <si>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</si>
  <si>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</si>
  <si>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</si>
  <si>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</si>
  <si>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</si>
  <si>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</si>
  <si>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</si>
  <si>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</si>
  <si>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</si>
  <si>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</si>
  <si>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</si>
  <si>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</si>
  <si>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</si>
  <si>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</si>
  <si>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</si>
  <si>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</si>
  <si>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</si>
  <si>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</si>
  <si>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</si>
  <si>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</si>
  <si>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</si>
  <si>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</si>
  <si>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</si>
  <si>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</si>
  <si>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</si>
  <si>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</si>
  <si>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</si>
  <si>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</si>
  <si>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</si>
  <si>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</si>
  <si>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</si>
  <si>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</si>
  <si>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</si>
  <si>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</si>
  <si>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</si>
  <si>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</si>
  <si>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</si>
  <si>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</si>
  <si>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</si>
  <si>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</si>
  <si>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</si>
  <si>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</si>
  <si>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</si>
  <si>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</si>
  <si>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</si>
  <si>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</si>
  <si>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</si>
  <si>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</si>
  <si>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</si>
  <si>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</si>
  <si>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</si>
  <si>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</si>
  <si>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ALIMENTOS</t>
  </si>
  <si>
    <t>Alimentos para Personas</t>
  </si>
  <si>
    <t>25- Direccion Provincial de Gestion Administracion y RRHH</t>
  </si>
  <si>
    <t>Actividad Central</t>
  </si>
  <si>
    <t>ALTA</t>
  </si>
  <si>
    <t>S/E</t>
  </si>
  <si>
    <t>Especificidades Item N° 3:</t>
  </si>
  <si>
    <t>45- Ministerio de Desarrollo Social y Deporte.-</t>
  </si>
  <si>
    <t>2.1.1-482.69</t>
  </si>
  <si>
    <t>2.1.1-435.60</t>
  </si>
  <si>
    <t>2.1.1-6547.56</t>
  </si>
  <si>
    <t>2.1.1-6546.4</t>
  </si>
  <si>
    <t>2.1.1-6547.17</t>
  </si>
  <si>
    <t>2.1.1-6546.46</t>
  </si>
  <si>
    <t>2.1.1-6546.100</t>
  </si>
  <si>
    <t>2.1.1</t>
  </si>
  <si>
    <t>HARINAS; TIPO: MAIZ, PRESENTACION: ENVASE X 1 Kg, MATERIAL ENVASE: PAPEL, CERTICADO FORESTAL (GFS): SIN, ELEM. TRANSPORTE: SIN, MATERIAL ELEM. TRANSPORTE: SIN, LIBRE DE GLUTEN: NO</t>
  </si>
  <si>
    <t>ARROZ; TIPO GRANO: LARGO-FINO, TIPO: BLANCO, PROCESO: SIN CASCARA, PRESENTACION: BOLSA X 1 Kg, MATERIAL ENVASE: PLASTICO, CERTIFICADO FORESTAL (GFS): SIN, ELEM. TRANSPORTE: SIN, MATERIAL ELEM. TRANSPORTE: SIN, LIBRE DE GLUTEN: SI</t>
  </si>
  <si>
    <t>LEGUMBRES; VARIEDAD: POROTO BLANCO OVAL, ESTADO: SECO, PRESENTACION: BOLSA, PESO: 500 GR</t>
  </si>
  <si>
    <t>VERDURAS Y HORTALIZAS; VARIEDAD: TOMATE PERITA, ESTADO: TRITURADO, PRESENTACION: BOTELLA, PESO: 950 GR</t>
  </si>
  <si>
    <t>LEGUMBRES; VARIEDAD: ARVEJA, ESTADO: REMOJADO EN CONSERVA, PRESENTACION: LATA, PESO: 350 GR</t>
  </si>
  <si>
    <t>VERDURAS Y HORTALIZAS; VARIEDAD: CEBOLLA, ESTADO: NATURAL, PRESENTACION: GRANEL, PESO: SIN VALOR</t>
  </si>
  <si>
    <t>VERDURAS Y HORTALIZAS; ESTADO: NATURAL, PRESENTACION: GRANEL, VARIEDAD: PAPA BLANCA, PESO: SIN VALOR</t>
  </si>
  <si>
    <t>2.1.1-6546.403</t>
  </si>
  <si>
    <t>2.1.1-6546.95</t>
  </si>
  <si>
    <t>2.1.1-6546.401</t>
  </si>
  <si>
    <t>2.1.1-6546.47</t>
  </si>
  <si>
    <t>2.1.1-6546.162</t>
  </si>
  <si>
    <t>2.1.1-541.7</t>
  </si>
  <si>
    <t>2.1.1-541.49</t>
  </si>
  <si>
    <t>VERDURAS Y HORTALIZAS; VARIEDAD: ZANAHORIA, ESTADO: NATURAL, PRESENTACION: BOLSA, PESO: NO CORRESPONDE, ELEM. TRANSPORTE: SIN, MATERIAL ELEM. TRANSPORTE: SIN, LIBRE DE GLUTEN: SI, ORGANICO: NO</t>
  </si>
  <si>
    <t>VERDURAS Y HORTALIZAS; VARIEDAD: MORRON VERDE, ESTADO: NATURAL, PRESENTACION: GRANEL, PESO: SIN VALOR</t>
  </si>
  <si>
    <t>VERDURAS Y HORTALIZAS; VARIEDAD: AJO, ESTADO: NATURAL, PRESENTACION: UNIDAD, PESO: NO CORRESPONDE, ELEM. TRANSPORTE: SIN, MATERIAL ELEM. TRANSPORTE: SIN, LIBRE DE GLUTEN: SI, ORGANICO: NO</t>
  </si>
  <si>
    <t>VERDURAS Y HORTALIZAS; VARIEDAD: CEBOLLA DE VERDEO, ESTADO: NATURAL, PRESENTACION: GRANEL, PESO: SIN VALOR</t>
  </si>
  <si>
    <t>VERDURAS Y HORTALIZAS; VARIEDAD: ZAPALLO CRIOLLO, ESTADO: NATURAL, PRESENTACION: UNIDAD, PESO: SIN VALOR</t>
  </si>
  <si>
    <t>CARNES; ESPECIE: VACUNA, CORTE: PICADA ESPECIAL, TIPO: VACUNA</t>
  </si>
  <si>
    <t>CARNES; ESPECIE: VACUNA, CORTE: NALGA, TIPO: VACUNA</t>
  </si>
  <si>
    <t>2.1.1-489.132</t>
  </si>
  <si>
    <t>2.1.1-489.66</t>
  </si>
  <si>
    <t>2.1.1-489.67</t>
  </si>
  <si>
    <t>2.1.1-489.109</t>
  </si>
  <si>
    <t>2.1.1-514.15</t>
  </si>
  <si>
    <t>ESPECIAS; TIPO: PIMIENTA BLANCA, PRESENTACION: ENVASE X 1 Kg</t>
  </si>
  <si>
    <t>ESPECIAS; TIPO: OREGANO, PRESENTACION: BOLSA DE 1 Kg</t>
  </si>
  <si>
    <t>ESPECIAS; TIPO: PIMENTON, PRESENTACION: BOLSA DE 1 Kg</t>
  </si>
  <si>
    <t>ESPECIAS; TIPO: PROVENZAL, PRESENTACION: PAQUETE X 1 Kg</t>
  </si>
  <si>
    <t>SAL DE MESA; CONSISTENCIA: GRUESA, ENVASE: BOLSA, PESO: 1 Kg, TIPO: SIN VALOR</t>
  </si>
  <si>
    <t>2.5.6-798.8</t>
  </si>
  <si>
    <t>COMBUSTIBLES Y LUBRICANTES</t>
  </si>
  <si>
    <t>2.5.6</t>
  </si>
  <si>
    <t>GAS EN GARRAFA; CAPACIDAD: 10 Kg</t>
  </si>
  <si>
    <t>ELEMENTOS DE LIMPIEZA</t>
  </si>
  <si>
    <t>2.9.1</t>
  </si>
  <si>
    <t>2.1.1-6546.148</t>
  </si>
  <si>
    <t>VERDURAS Y HORTALIZAS; VARIEDAD: ZAPALLITO LARGO, ESTADO: NATURAL, PRESENTACION: CAJON, PESO: SIN VALOR</t>
  </si>
  <si>
    <t>2.1.1-669.32</t>
  </si>
  <si>
    <t>PANES; PRESENTACION: UNIDAD, TIPO: BAGUETTE</t>
  </si>
  <si>
    <t xml:space="preserve">UNIDAD </t>
  </si>
  <si>
    <t>KG</t>
  </si>
  <si>
    <t>LITROS</t>
  </si>
  <si>
    <t>2.1.1-621.3</t>
  </si>
  <si>
    <t>AVES; PRESENTACION: TROZADO SIN PIEL, ESPECIE: POLLO, EVISCERADO: SIN VALOR, TIPO: POLLO</t>
  </si>
  <si>
    <t>GARRAFA X 10 KGS. TIPO COMERCIAL</t>
  </si>
  <si>
    <t>2.9.1-6951.30</t>
  </si>
  <si>
    <t>2.9.1-6951.12</t>
  </si>
  <si>
    <t>2.9.1-4784.51</t>
  </si>
  <si>
    <t>LIMPIADORES; TIPO: LAVANDINA, PRESENTACION: ENVASE X 5 L</t>
  </si>
  <si>
    <t>LIMPIADORES; PRESENTACION: ENVASE X 5 L, TIPO: DETERGENTE</t>
  </si>
  <si>
    <t>LIMPIADORES MULTIUSO; COMPUESTOS BIODEGRADABLES: SI, PRESENTACION: ENVASE X 5 L, TIPO: DESENGRASANTE</t>
  </si>
  <si>
    <t>PRESENTACION EN BIDONES PLASTICOS POR 5LTS.</t>
  </si>
  <si>
    <t>2.1.1-6539.8</t>
  </si>
  <si>
    <t>2.1.1-6539.19</t>
  </si>
  <si>
    <t>2.1.1-6539.30</t>
  </si>
  <si>
    <t>2.1.1-6539.32</t>
  </si>
  <si>
    <t>FRUTAS; VARIEDAD: NARANJA ESPECIAL, ESTADO: NATURAL, PRESENTACION: CAJON, PESO: SIN VALOR</t>
  </si>
  <si>
    <t>FRUTAS; ESTADO: NATURAL, VARIEDAD: MANZANA RED ELEGIDA, PRESENTACION: CAJON, PESO: SIN VALOR</t>
  </si>
  <si>
    <t>FRUTAS; VARIEDAD: BANANA, PRESENTACION: CAJON, ESTADO: NATURAL, PESO: SIN VALOR</t>
  </si>
  <si>
    <t>FRUTAS; VARIEDAD: PERA AMARILLA, ESTADO: NATURAL, PRESENTACION: CAJON, PESO: SIN VALOR</t>
  </si>
  <si>
    <t>SEMANAL</t>
  </si>
  <si>
    <t>COMEDOR</t>
  </si>
  <si>
    <t>DOMICILIO DE ENTREGA</t>
  </si>
  <si>
    <t>60 DIAS</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</si>
  <si>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</si>
  <si>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</si>
  <si>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</si>
  <si>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</si>
  <si>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</si>
  <si>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</si>
  <si>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</si>
  <si>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</si>
  <si>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</si>
  <si>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</si>
  <si>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</si>
  <si>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</si>
  <si>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</si>
  <si>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</si>
  <si>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</si>
  <si>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</si>
  <si>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Especificidades Item N° 20:</t>
  </si>
  <si>
    <t>Especificidades Item N° 21:</t>
  </si>
  <si>
    <t>Especificidades Item N° 22:</t>
  </si>
  <si>
    <t>Especificidades Item N° 23:</t>
  </si>
  <si>
    <t>Especificidades Item N° 24:</t>
  </si>
  <si>
    <t>Especificidades Item N° 25:</t>
  </si>
  <si>
    <t>Especificidades Item N° 26:</t>
  </si>
  <si>
    <t>Especificidades Item N° 27:</t>
  </si>
  <si>
    <t>Especificidades Item N° 28:</t>
  </si>
  <si>
    <t>Especificidades Item N° 29:</t>
  </si>
  <si>
    <t>Especificidades Item N° 30:</t>
  </si>
  <si>
    <t>24 KG</t>
  </si>
  <si>
    <t>18 KG</t>
  </si>
  <si>
    <t>35 KG</t>
  </si>
  <si>
    <t>41 KG</t>
  </si>
  <si>
    <t>33 KG</t>
  </si>
  <si>
    <t>15 KG</t>
  </si>
  <si>
    <t>20 KG</t>
  </si>
  <si>
    <t>30 KG</t>
  </si>
  <si>
    <t>45 KG</t>
  </si>
  <si>
    <t>53 KG</t>
  </si>
  <si>
    <t>38 KG</t>
  </si>
  <si>
    <t>27 KG</t>
  </si>
  <si>
    <t>26 KG</t>
  </si>
  <si>
    <t>25 KG</t>
  </si>
  <si>
    <t>11 KG</t>
  </si>
  <si>
    <t>14 KG</t>
  </si>
  <si>
    <t>13 KG</t>
  </si>
  <si>
    <t>22 KG</t>
  </si>
  <si>
    <t>39 KG</t>
  </si>
  <si>
    <t>28 KG</t>
  </si>
  <si>
    <t>19 KG</t>
  </si>
  <si>
    <t>32 KG</t>
  </si>
  <si>
    <t>46 KG</t>
  </si>
  <si>
    <t>54 KG</t>
  </si>
  <si>
    <t>44 KG</t>
  </si>
  <si>
    <t>40 KG</t>
  </si>
  <si>
    <t>60 KG</t>
  </si>
  <si>
    <t>70 KG</t>
  </si>
  <si>
    <t>50 KG</t>
  </si>
  <si>
    <t>36 KG</t>
  </si>
  <si>
    <t>34 KG</t>
  </si>
  <si>
    <t>21 KG</t>
  </si>
  <si>
    <t>9 KG</t>
  </si>
  <si>
    <t>12 KG</t>
  </si>
  <si>
    <t>23 KG</t>
  </si>
  <si>
    <t>16 KG</t>
  </si>
  <si>
    <t>64 KG</t>
  </si>
  <si>
    <t>76 KG</t>
  </si>
  <si>
    <t>62 KG</t>
  </si>
  <si>
    <t>56 KG</t>
  </si>
  <si>
    <t>84 KG</t>
  </si>
  <si>
    <t>98 KG</t>
  </si>
  <si>
    <t>48 KG</t>
  </si>
  <si>
    <t>47 KG</t>
  </si>
  <si>
    <t>81 KG</t>
  </si>
  <si>
    <t>95 KG</t>
  </si>
  <si>
    <t>77 KG</t>
  </si>
  <si>
    <t>42 KG</t>
  </si>
  <si>
    <t>105 KG</t>
  </si>
  <si>
    <t>123 KG</t>
  </si>
  <si>
    <t>88 KG</t>
  </si>
  <si>
    <t>63 KG</t>
  </si>
  <si>
    <t>59 KG</t>
  </si>
  <si>
    <t>51 KG</t>
  </si>
  <si>
    <t>29 KG</t>
  </si>
  <si>
    <t>66 KG</t>
  </si>
  <si>
    <t>55 KG</t>
  </si>
  <si>
    <t>37 KG</t>
  </si>
  <si>
    <t>10 KG</t>
  </si>
  <si>
    <t>17 KG</t>
  </si>
  <si>
    <t>49 KG</t>
  </si>
  <si>
    <t>31 KG</t>
  </si>
  <si>
    <t>92 KG</t>
  </si>
  <si>
    <t>108 KG</t>
  </si>
  <si>
    <t>52 KG</t>
  </si>
  <si>
    <t>80 KG</t>
  </si>
  <si>
    <t>120 KG</t>
  </si>
  <si>
    <t>140 KG</t>
  </si>
  <si>
    <t>100 KG</t>
  </si>
  <si>
    <t>72 KG</t>
  </si>
  <si>
    <t>69 KG</t>
  </si>
  <si>
    <t>67 KG</t>
  </si>
  <si>
    <t>QUINCENAL</t>
  </si>
  <si>
    <t>2 KG</t>
  </si>
  <si>
    <t>SEMANAL INTERCALANDO CON ITEM 29</t>
  </si>
  <si>
    <t>SEMANAL INTERCALANDO CON ITEM 30</t>
  </si>
  <si>
    <t>SEMANAL INTERCALANDO CON ITEM 28</t>
  </si>
  <si>
    <t>SEMANAL INTERCALANDO CON ITEM 27</t>
  </si>
  <si>
    <t>AV. RIVIERA DEL VALLE ENTRE FLORIDA Y SANTA FE</t>
  </si>
  <si>
    <t>Bº RIVERA DEL VALLE ENTRE VILLA EUMELIA Y MONTE CRISTO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</si>
  <si>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</si>
  <si>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</si>
  <si>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</si>
  <si>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</si>
  <si>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</si>
  <si>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</si>
  <si>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</si>
  <si>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</si>
  <si>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</si>
  <si>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Bº SANTA MARTA MZA. "S" LOTE "M" C/39</t>
  </si>
  <si>
    <t>LA LUCIERNAGA</t>
  </si>
  <si>
    <t>Bº 20 V.V NORTE C/3</t>
  </si>
  <si>
    <t>VALLE VIEJO - SUMALAO</t>
  </si>
  <si>
    <t>PADRE SEGURA S/N</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</si>
  <si>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</si>
  <si>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</si>
  <si>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</si>
  <si>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</si>
  <si>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</si>
  <si>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</si>
  <si>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</si>
  <si>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</si>
  <si>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</si>
  <si>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</si>
  <si>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</si>
  <si>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</si>
  <si>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</si>
  <si>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2.1.1-439.67</t>
  </si>
  <si>
    <t>ACEITES COMESTIBLES; TIPO: GIRASOL, PRESENTACION: ENVASE X 900 CM3, MATERIAL ENVASE: PLASTICO 1 (PET), ELEM. TRANSPORTE: SIN, MATERIAL ELEM. TRANSPORTE : SIN, LIBRE DE GLUTEN: NO</t>
  </si>
  <si>
    <t>LEGUMBRES; VARIEDAD: LENTEJA, ESTADO: NATURAL, PRESENTACION: BOLSA PLASTICA, PESO: 500 GR</t>
  </si>
  <si>
    <t>2.1.1-6547.22</t>
  </si>
  <si>
    <t>MAIZ; TIPO: BLANCO PISADO, PRESENTACION: ENVASE X 500 GR, FORMA DE PRESENTACION: SIN VALOR</t>
  </si>
  <si>
    <t>2.1.1-2616.9</t>
  </si>
  <si>
    <t>SAL DE MESA; CONSISTENCIA: FINA, PESO: 500 GR, TIPO: SIN VALOR, ENVASE: PAQUETE</t>
  </si>
  <si>
    <t>2.1.1-514.2</t>
  </si>
  <si>
    <t>7 KG</t>
  </si>
  <si>
    <t>8 KG</t>
  </si>
  <si>
    <t>1 KG</t>
  </si>
  <si>
    <t>LOS DIAS MARTES CADA 15 DIAS</t>
  </si>
  <si>
    <t>LOS DIAS JUEVES CADA 15 DIAS</t>
  </si>
  <si>
    <t>POR DIA (LUNES-MARTES-MIERCOLES-JUEVES Y VIERNES)</t>
  </si>
  <si>
    <t>12,800 KG</t>
  </si>
  <si>
    <t>*SE REALIZA LA ENTREGA DE 20 KG QUINCENALES ( DISTRIBUIDOS SEGÚN DETALLE PARA CADA COMEDOR)   LO QUE HACE UNA SUMA DE 40 KG MENSUALES  QUE REPRESENTA UN TOTAL DE 120 KG TRIMESTRALES</t>
  </si>
  <si>
    <t>*SE REALIZA LA ENTREGA DE 20 KG QUINCENALES ( DISTRIBUIDOS SEGÚN DETALLE PARA CADA COMEDOR)   LO QUE HACE UNA SUMA DE 40 KG MENSUALES QUE REPRESENTA UN TOTAL DE 120 KG TRIMESTRALES</t>
  </si>
  <si>
    <t>Importe Estimado</t>
  </si>
  <si>
    <t>2.1.1-2868.55</t>
  </si>
  <si>
    <t>FIDEOS SECOS; VARIEDAD: TALLARIN, RELLENO: SIN, PRESENTACION: ENVASE X 500 GR, MATERIAL ENVASE: PLASTICO 1 (PET), ELEM. TRANSPORTE: SIN, MATERIAL ELEM. TRANSPORTE: SIN, CERTIFICADO FORESTAL (GFS): SIN, LIBRE DE GLUTEN: NO</t>
  </si>
  <si>
    <t>43 KG</t>
  </si>
  <si>
    <t>68 KG</t>
  </si>
  <si>
    <t>75 KG</t>
  </si>
  <si>
    <t>2.1.1-6546.2</t>
  </si>
  <si>
    <t>VERDURAS Y HORTALIZAS; VARIEDAD: TOMATE REDONDO, ESTADO: NATURAL, PRESENTACION: GRANEL, PESO: SIN VALOR</t>
  </si>
  <si>
    <t>2.1.1-483.33</t>
  </si>
  <si>
    <t>HUEVO DE GALLINA; TAMAÑO: MEDIANOS, COLOR: BLANCOS, PRESENTACION: 30</t>
  </si>
  <si>
    <t>2.1.1-6546.158</t>
  </si>
  <si>
    <t>VERDURAS Y HORTALIZAS; ESTADO: NATURAL, VARIEDAD: ZAPALLO ANCO, PRESENTACION: GRANEL, PESO: SIN VALOR</t>
  </si>
  <si>
    <t>2.1.1-6546.374</t>
  </si>
  <si>
    <t>VERDURAS Y HORTALIZAS; VARIEDAD: LECHUGA ARREPOLLADA, ESTADO: NATURAL, PRESENTACION: A GRANEL, PESO: 300 GR CADA PLANTA, ELEM. TRANSPORTE: SIN, MATERIAL ELEM. TRANSPORTE: SIN, LIBRE DE GLUTEN: SI</t>
  </si>
  <si>
    <t>CONSERVAS PESCADO Y FRUTOS MAR; ESPECIE: CABALLA, ESTADO: EN ACEITE, PESO: 380 GR, ENVASE: LATA, TIPO: CABALLA</t>
  </si>
  <si>
    <t>2.1.1-708.19</t>
  </si>
  <si>
    <t>2.1.1-5917.8</t>
  </si>
  <si>
    <t>CEREALES; TIPO: TRIGO BURGOL, PRESENTACION: ENVASE X 1 Kg</t>
  </si>
  <si>
    <t>2.1.1-669.25</t>
  </si>
  <si>
    <t>PANES; TIPO: RALLADO, PRESENTACION: BOLSA DE 1000 GR</t>
  </si>
  <si>
    <t>Especificidades Item N° 31:</t>
  </si>
  <si>
    <t>JIREH LOTEO SUSSEX</t>
  </si>
  <si>
    <t>B° LA RIVERA CASA N° 28</t>
  </si>
  <si>
    <t>Bº SAN CARLOS OESTE AV. BONIFACIO COBACHO N° 670</t>
  </si>
  <si>
    <t xml:space="preserve">UNA SONRISA </t>
  </si>
  <si>
    <t xml:space="preserve">C.I.F Nº1 </t>
  </si>
  <si>
    <t>ESFUERZO PROPIO</t>
  </si>
  <si>
    <t xml:space="preserve">C.I.F - RIVERA DEL VALLE </t>
  </si>
  <si>
    <t xml:space="preserve">HOGAR DE CRISTO </t>
  </si>
  <si>
    <t xml:space="preserve">NUESTRO FUTURO </t>
  </si>
  <si>
    <t>CORAZONES FELICES</t>
  </si>
  <si>
    <t>LOTEO PARQUE SUR MZ 1 LOTE N° 21</t>
  </si>
  <si>
    <t>*SE REALIZA LA ENTREGA DE 1.319 UNIDADES POR SEMANA ( DISTRIBUIDOS SEGÚN DETALLE PARA CADA COMEDOR)   LO QUE HACE UNA SUMA DE 5.276 UNIDADES MENSUALES  QUE REPRESENTAN UN TOTAL DE 15.828 UNIDADES TRIMESTRALES</t>
  </si>
  <si>
    <t>*SE REALIZA LA ENTREGA DE 660 UNIDADES POR SEMANA ( DISTRIBUIDOS SEGÚN DETALLE PARA CADA COMEDOR)   LO QUE HACE UNA SUMA DE 2.640 UNIDADES MENSUALES  QUE REPRESENTAN UN TOTAL DE 7.920 UNIDADES TRIMESTRALES</t>
  </si>
  <si>
    <t>*SE REALIZA LA ENTREGA DE 550 KG POR SEMANA ( DISTRIBUIDOS SEGÚN DETALLE PARA CADA COMEDOR)   LO QUE HACE UNA SUMA DE 2.200 KG MENSUALES  QUE REPRESENTA UN TOTAL DE 6.600 KG TRIMESTRALES</t>
  </si>
  <si>
    <t>*SE REALIZA LA ENTREGA DE 280 UNIDADES POR SEMANA ( DISTRIBUIDOS SEGÚN DETALLE PARA CADA COMEDOR)   LO QUE HACE UNA SUMA DE 1.120 UNIDADES MENSUALES  QUE REPRESENTA UN TOTAL DE 3.360 UNIDADES TRIMESTRALES</t>
  </si>
  <si>
    <t>*SE REALIZA LA ENTREGA DE 610 UNIDADES POR SEMANA ( DISTRIBUIDOS SEGÚN DETALLE PARA CADA COMEDOR)   LO QUE HACE UNA SUMA DE 2.440 UNIDADES MENSUALES  QUE REPRESENTA UN TOTAL DE 7.320 UNIDADES TRIMESTRALES</t>
  </si>
  <si>
    <t>*SE REALIZA LA ENTREGA DE 1.100 UNIDADES POR SEMANA ( DISTRIBUIDOS SEGÚN DETALLE PARA CADA COMEDOR)   LO QUE HACE UNA SUMA DE 4.400 UNIDADES MENSUALES  QUE REPRESENTA UN TOTAL DE 13.200 UNIDADES TRIMESTRALES</t>
  </si>
  <si>
    <t>*SE REALIZA LA ENTREGA DE 499 UNIDADES POR SEMANA ( DISTRIBUIDOS SEGÚN DETALLE PARA CADA COMEDOR)   LO QUE HACE UNA SUMA DE 1.996 UNIDADES MENSUALES  QUE REPRESENTA UN TOTAL DE 5.988 UNIDADES TRIMESTRALES</t>
  </si>
  <si>
    <t>160 KG</t>
  </si>
  <si>
    <t>152 KG</t>
  </si>
  <si>
    <t>*SE REALIZA LA ENTREGA DE 2.170 KG POR SEMANA ( DISTRIBUIDOS SEGÚN DETALLE PARA CADA COMEDOR)   LO QUE HACE UNA SUMA DE 8.680 KG MENSUALES  QUE REPRESENTA UN TOTAL DE 26.040 KG TRIMESTRALES</t>
  </si>
  <si>
    <t>103 KG</t>
  </si>
  <si>
    <t>*SE REALIZA LA ENTREGA DE 1.490 KG POR SEMANA ( DISTRIBUIDOS SEGÚN DETALLE PARA CADA COMEDOR)   LO QUE HACE UNA SUMA DE 5.960 KG MENSUALES  QUE REPRESENTA UN TOTAL DE 17.880 KG TRIMESTRALES</t>
  </si>
  <si>
    <t>*SE REALIZA LA ENTREGA DE 219 UNIDADES POR SEMANA ( DISTRIBUIDOS SEGÚN DETALLE PARA CADA COMEDOR)   LO QUE HACE UNA SUMA DE 876 UNIDADES MENSUALES  QUE REPRESENTA UN TOTAL DE 2.628 UNIDADES TRIMESTRALES</t>
  </si>
  <si>
    <t>*SE REALIZA LA ENTREGA DE 990 UNIDADES POR SEMANA ( DISTRIBUIDOS SEGÚN DETALLE PARA CADA COMEDOR)   LO QUE HACE UNA SUMA DE 3.960 UNIDADES MENSUALES  QUE REPRESENTA UN TOTAL DE 11.880 UNIDADES TRIMESTRALES</t>
  </si>
  <si>
    <t>*SE REALIZA LA ENTREGA DE 169 UNIDADES POR SEMANA ( DISTRIBUIDOS SEGÚN DETALLE PARA CADA COMEDOR)   LO QUE HACE UNA SUMA DE 676 UNIDADES MENSUALES  QUE REPRESENTA UN TOTAL DE 2.028 UNIDADES TRIMESTRALES</t>
  </si>
  <si>
    <t>*SE REALIZA LA ENTREGA DE 1.100 KG POR SEMANA ( DISTRIBUIDOS SEGÚN DETALLE PARA CADA COMEDOR)   LO QUE HACE UNA SUMA DE 4.400 KG MENSUALES  QUE REPRESENTA UN TOTAL DE 13.200 KG TRIMESTRALES</t>
  </si>
  <si>
    <t>*SE REALIZA LA ENTREGA DE 1.380 KG POR SEMANA ( DISTRIBUIDOS SEGÚN DETALLE PARA CADA COMEDOR)   LO QUE HACE UNA SUMA DE 5.520 KG MENSUALES  QUE REPRESENTA UN TOTAL DE 16.560 KG TRIMESTRALES</t>
  </si>
  <si>
    <t>30,400 KG</t>
  </si>
  <si>
    <t>8,800 KG</t>
  </si>
  <si>
    <t>*SE REALIZA LA ENTREGA DE 440 KG POR DIA ( DISTRIBUIDOS SEGÚN DETALLE PARA CADA COMEDOR) RESULTANDO 2.200 KG POR SEMANA  LO QUE HACE UNA SUMA DE 8.800 KG MENSUALES  QUE REPRESENTA UN TOTAL DE 26.400 KG TRIMESTRALES</t>
  </si>
  <si>
    <t>*SE REALIZA LA ENTREGA DE 60 UNIDADES POR SEMANA ( DISTRIBUIDOS SEGÚN DETALLE PARA CADA COMEDOR)   LO QUE HACE UNA SUMA DE 240 UNIDADES MENSUALES  QUE REPRESENTA UN TOTAL DE 720 UNIDADES TRIMESTRALES</t>
  </si>
  <si>
    <t>*SE REALIZA LA ENTREGA DE 29 UNIDADES POR SEMANA ( DISTRIBUIDOS SEGÚN DETALLE PARA CADA COMEDOR)   LO QUE HACE UNA SUMA DE 116  UNIDADES MENSUALES  QUE REPRESENTA UN TOTAL DE 348 UNIDADES TRIMESTRALES</t>
  </si>
  <si>
    <t>*SE REALIZA LA ENTREGA DE 67 UNIDADES CADA 15 DIAS ( DISTRIBUIDOS SEGÚN DETALLE PARA CADA COMEDOR)   LO QUE HACE UNA SUMA DE 134  UNIDADES MENSUALES  QUE REPRESENTA UN TOTAL DE 402 UNIDADES TRIMESTRALES. LA ENTREGA NO DEBE COINCIDIR CON EL DIA MARTES EN QUE SE ENTREGA EL ITEM 29 (BANANA)</t>
  </si>
  <si>
    <t>*SE REALIZA LA ENTREGA DE 56 UNIDADES CADA 15 DIAS ( DISTRIBUIDOS SEGÚN DETALLE PARA CADA COMEDOR)   LO QUE HACE UNA SUMA DE 112  UNIDADES MENSUALES QUE REPRESENTA UN TOTAL DE 336 UNIDADES TRIMESTRALES. LA ENTREGA NO DEBE COINCIDIR CON EL DIA JUEVES EN QUE SE ENTREGA EL ITEM 30 (PERA)</t>
  </si>
  <si>
    <t>*SE REALIZA LA ENTREGA DE 56 UNIDADES CADA 15 DIAS ( DISTRIBUIDOS SEGÚN DETALLE PARA CADA COMEDOR)   LO QUE HACE UNA SUMA DE 112  UNIDADES MENSUALES QUE REPRESENTA UN TOTAL DE 336 UNIDADES TRIMESTRALES. LA ENTREGA NO DEBE COINCIDIR CON EL DIA JUEVES EN QUE SE ENTREGA EL ITEM 28 (MANZANA)</t>
  </si>
  <si>
    <t>*SE REALIZA LA ENTREGA DE 45 UNIDADES CADA 15 DIAS ( DISTRIBUIDOS SEGÚN DETALLE PARA CADA COMEDOR)   LO QUE HACE UNA SUMA DE 90  UNIDADES MENSUALES  QUE REPRESENTA UN TOTAL DE 270 UNIDADES TRIMESTRALES. LA ENTREGA NO DEBE COINCIDIR CON EL DIA MARTES EN QUE SE ENTREGA EL ITEM 27 (NARANJA)</t>
  </si>
  <si>
    <t>*SE REALIZA LA ENTREGA DE 110 UNIDADES POR SEMANA ( DISTRIBUIDOS SEGÚN DETALLE PARA CADA COMEDOR)   LO QUE HACE UNA SUMA DE 440 UNIDADES MENSUALES  QUE REPRESENTAN UN TOTAL DE 1.320 UNIDADES TRIMESTRALES</t>
  </si>
  <si>
    <t>CAJON X 20 KG</t>
  </si>
  <si>
    <t>CAJON X 18 KG</t>
  </si>
  <si>
    <t>PESO APROXIMADO POR UNIDAD 200 GRS</t>
  </si>
  <si>
    <t>2.1.1-669.35</t>
  </si>
  <si>
    <t>PANES; TIPO: FRANCES, PRESENTACION: GRANEL</t>
  </si>
  <si>
    <t>PAN FRANCES X KG</t>
  </si>
  <si>
    <t>127/2021</t>
  </si>
  <si>
    <t>1º Trimestre del Año 2021</t>
  </si>
  <si>
    <t>Costo total estimado:  CUARENTA Y DOS MILLONES CIENTO SESENTA Y SEIS MIL QUINIENTOS NOVENTA Y DOS CON 40/100.-</t>
  </si>
  <si>
    <t>TOTAL DE PESOS: CUARENTA Y DOS MILLONES CIENTO SESENTA Y SEIS MIL QUINIENTOS NOVENTA Y DOS CON 40/100.-</t>
  </si>
  <si>
    <t>Adquisición de Alimentos para Asistir a Comedores Emergentes.-</t>
  </si>
  <si>
    <t>Promocion Socio- Alimentaria</t>
  </si>
  <si>
    <t>20- Promocion Socio-Alimentaria.-</t>
  </si>
  <si>
    <t>01- Actividad 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</si>
</sst>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64" formatCode="_(\$* #,##0.00_);_(\$* \(#,##0.00\);_(\$* \-??_);_(@_)"/>
    <numFmt numFmtId="165" formatCode="_-* #,##0.00&quot; €&quot;_-;\-* #,##0.00&quot; €&quot;_-;_-* \-??&quot; €&quot;_-;_-@_-"/>
    <numFmt numFmtId="166" formatCode="[$$-2C0A]\ #,##0.00;[$$-2C0A]&quot; -&quot;#,##0.00"/>
    <numFmt numFmtId="167" formatCode="[$$-2C0A]\ #,##0.00"/>
    <numFmt numFmtId="168" formatCode="dd\-mm\-yy;@"/>
    <numFmt numFmtId="169" formatCode="&quot;$&quot;\ #,##0.00"/>
    <numFmt numFmtId="170" formatCode="0.000"/>
  </numFmts>
  <fonts count="30"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0"/>
      <name val="Arial"/>
      <family val="2"/>
    </font>
    <font>
      <b/>
      <sz val="10"/>
      <name val="Arial"/>
      <family val="2"/>
    </font>
    <font>
      <b/>
      <sz val="10"/>
      <name val="Times New Roman"/>
      <family val="1"/>
    </font>
    <font>
      <sz val="10"/>
      <color theme="0"/>
      <name val="Times New Roman"/>
      <family val="1"/>
    </font>
    <font>
      <b/>
      <sz val="9"/>
      <name val="Times New Roman"/>
      <family val="1"/>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rgb="FFFFFF00"/>
        <bgColor indexed="64"/>
      </patternFill>
    </fill>
    <fill>
      <patternFill patternType="solid">
        <fgColor theme="0"/>
        <bgColor indexed="64"/>
      </patternFill>
    </fill>
    <fill>
      <patternFill patternType="solid">
        <fgColor theme="0"/>
        <bgColor rgb="FFFFFF00"/>
      </patternFill>
    </fill>
  </fills>
  <borders count="79">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rgb="FF3D3D3D"/>
      </left>
      <right style="medium">
        <color rgb="FF3D3D3D"/>
      </right>
      <top/>
      <bottom style="thin">
        <color rgb="FF3D3D3D"/>
      </bottom>
      <diagonal/>
    </border>
    <border>
      <left style="medium">
        <color rgb="FF3D3D3D"/>
      </left>
      <right style="thin">
        <color rgb="FF3D3D3D"/>
      </right>
      <top style="medium">
        <color rgb="FF3D3D3D"/>
      </top>
      <bottom style="thin">
        <color indexed="64"/>
      </bottom>
      <diagonal/>
    </border>
    <border>
      <left style="thin">
        <color rgb="FF3D3D3D"/>
      </left>
      <right style="thin">
        <color rgb="FF3D3D3D"/>
      </right>
      <top style="medium">
        <color rgb="FF3D3D3D"/>
      </top>
      <bottom style="thin">
        <color indexed="64"/>
      </bottom>
      <diagonal/>
    </border>
    <border>
      <left style="thin">
        <color rgb="FF3D3D3D"/>
      </left>
      <right/>
      <top style="medium">
        <color rgb="FF3D3D3D"/>
      </top>
      <bottom style="thin">
        <color indexed="64"/>
      </bottom>
      <diagonal/>
    </border>
    <border>
      <left style="thin">
        <color rgb="FF3D3D3D"/>
      </left>
      <right style="medium">
        <color rgb="FF3D3D3D"/>
      </right>
      <top style="medium">
        <color rgb="FF3D3D3D"/>
      </top>
      <bottom style="thin">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indexed="64"/>
      </left>
      <right style="thin">
        <color auto="1"/>
      </right>
      <top/>
      <bottom style="medium">
        <color indexed="64"/>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256">
    <xf numFmtId="0" fontId="0" fillId="0" borderId="0" xfId="0"/>
    <xf numFmtId="0" fontId="0" fillId="0" borderId="0" xfId="0" applyBorder="1"/>
    <xf numFmtId="0" fontId="2"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4" fillId="0" borderId="26" xfId="0" applyFont="1" applyBorder="1" applyAlignment="1">
      <alignment horizontal="center" vertical="center"/>
    </xf>
    <xf numFmtId="0" fontId="9" fillId="0" borderId="27"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7" xfId="0" applyBorder="1"/>
    <xf numFmtId="0" fontId="0" fillId="0" borderId="33" xfId="0" applyBorder="1"/>
    <xf numFmtId="0" fontId="0" fillId="0" borderId="19" xfId="0" applyBorder="1"/>
    <xf numFmtId="0" fontId="0" fillId="0" borderId="19" xfId="0" applyBorder="1" applyAlignment="1">
      <alignment horizontal="left"/>
    </xf>
    <xf numFmtId="0" fontId="0" fillId="0" borderId="34" xfId="0" applyBorder="1"/>
    <xf numFmtId="0" fontId="14" fillId="0" borderId="36" xfId="0" applyFont="1" applyBorder="1" applyAlignment="1">
      <alignment horizontal="center" vertical="center"/>
    </xf>
    <xf numFmtId="0" fontId="14" fillId="0" borderId="37" xfId="0" applyFont="1" applyBorder="1" applyAlignment="1">
      <alignment horizontal="center" vertical="center"/>
    </xf>
    <xf numFmtId="0" fontId="14" fillId="0" borderId="37" xfId="0" applyFont="1" applyBorder="1" applyAlignment="1">
      <alignment horizontal="left" vertical="center"/>
    </xf>
    <xf numFmtId="0" fontId="14" fillId="0" borderId="38" xfId="0" applyFont="1" applyBorder="1" applyAlignment="1">
      <alignment horizontal="center" vertical="center"/>
    </xf>
    <xf numFmtId="0" fontId="14" fillId="0" borderId="32" xfId="0"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21" fillId="0" borderId="7" xfId="0" applyFont="1" applyBorder="1" applyAlignment="1">
      <alignment horizontal="center" vertical="center"/>
    </xf>
    <xf numFmtId="0" fontId="23" fillId="0" borderId="9" xfId="0" applyFont="1" applyBorder="1"/>
    <xf numFmtId="0" fontId="16" fillId="0" borderId="10" xfId="0" applyFont="1" applyBorder="1"/>
    <xf numFmtId="0" fontId="16" fillId="0" borderId="11" xfId="0" applyFont="1" applyBorder="1"/>
    <xf numFmtId="0" fontId="16" fillId="0" borderId="12" xfId="0" applyFont="1" applyBorder="1"/>
    <xf numFmtId="0" fontId="16" fillId="0" borderId="0" xfId="0" applyFont="1" applyBorder="1"/>
    <xf numFmtId="0" fontId="16" fillId="0" borderId="13" xfId="0" applyFont="1" applyBorder="1"/>
    <xf numFmtId="0" fontId="23" fillId="0" borderId="12" xfId="0" applyFont="1" applyBorder="1" applyAlignment="1">
      <alignment horizontal="left" indent="3"/>
    </xf>
    <xf numFmtId="0" fontId="16" fillId="0" borderId="12" xfId="0" applyFont="1" applyBorder="1" applyAlignment="1">
      <alignment horizontal="left" indent="3"/>
    </xf>
    <xf numFmtId="0" fontId="16" fillId="0" borderId="0" xfId="0" applyFont="1" applyBorder="1" applyAlignment="1">
      <alignment horizontal="center" wrapText="1"/>
    </xf>
    <xf numFmtId="0" fontId="16" fillId="0" borderId="13" xfId="0" applyFont="1" applyBorder="1" applyAlignment="1">
      <alignment horizontal="center" wrapText="1"/>
    </xf>
    <xf numFmtId="0" fontId="16" fillId="0" borderId="14" xfId="0" applyFont="1" applyBorder="1" applyAlignment="1">
      <alignment horizontal="left" indent="3"/>
    </xf>
    <xf numFmtId="0" fontId="16" fillId="0" borderId="15" xfId="0" applyFont="1" applyBorder="1"/>
    <xf numFmtId="0" fontId="16" fillId="0" borderId="16" xfId="0" applyFont="1" applyBorder="1"/>
    <xf numFmtId="0" fontId="24" fillId="3" borderId="0" xfId="0" applyFont="1" applyFill="1" applyAlignment="1">
      <alignment horizontal="left" wrapText="1" indent="1"/>
    </xf>
    <xf numFmtId="0" fontId="20" fillId="0" borderId="0" xfId="0" applyFont="1" applyAlignment="1">
      <alignment horizontal="left" wrapText="1"/>
    </xf>
    <xf numFmtId="0" fontId="0" fillId="0" borderId="5" xfId="0" applyBorder="1"/>
    <xf numFmtId="0" fontId="20" fillId="0" borderId="9"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57" xfId="0" applyFont="1" applyBorder="1" applyAlignment="1">
      <alignment horizontal="center" vertical="center" wrapText="1"/>
    </xf>
    <xf numFmtId="0" fontId="20" fillId="0" borderId="58" xfId="0" applyFont="1" applyBorder="1" applyAlignment="1">
      <alignment horizontal="center" vertical="center" wrapText="1"/>
    </xf>
    <xf numFmtId="0" fontId="0" fillId="0" borderId="8" xfId="0" applyBorder="1"/>
    <xf numFmtId="0" fontId="20" fillId="0" borderId="10" xfId="0" applyFont="1" applyBorder="1" applyAlignment="1">
      <alignment horizontal="center" vertical="center" wrapText="1"/>
    </xf>
    <xf numFmtId="0" fontId="0" fillId="0" borderId="3" xfId="0" applyBorder="1"/>
    <xf numFmtId="0" fontId="0" fillId="0" borderId="5" xfId="0" applyBorder="1" applyAlignment="1">
      <alignment horizontal="center"/>
    </xf>
    <xf numFmtId="41" fontId="0" fillId="0" borderId="5" xfId="0" applyNumberFormat="1" applyBorder="1" applyAlignment="1"/>
    <xf numFmtId="0" fontId="20" fillId="0" borderId="70" xfId="0" applyFont="1" applyBorder="1" applyAlignment="1">
      <alignment horizontal="center" vertical="center" wrapText="1"/>
    </xf>
    <xf numFmtId="0" fontId="21" fillId="0" borderId="71" xfId="0" applyFont="1" applyBorder="1" applyAlignment="1">
      <alignment horizontal="center" vertical="center"/>
    </xf>
    <xf numFmtId="0" fontId="0" fillId="0" borderId="72" xfId="0" applyBorder="1"/>
    <xf numFmtId="0" fontId="0" fillId="0" borderId="73" xfId="0" applyBorder="1"/>
    <xf numFmtId="0" fontId="22" fillId="0" borderId="73" xfId="0" applyFont="1" applyBorder="1" applyAlignment="1">
      <alignment horizontal="center" vertical="center" wrapText="1"/>
    </xf>
    <xf numFmtId="0" fontId="0" fillId="0" borderId="73" xfId="0" applyBorder="1" applyAlignment="1">
      <alignment horizontal="center"/>
    </xf>
    <xf numFmtId="0" fontId="0" fillId="0" borderId="73" xfId="0" applyBorder="1" applyAlignment="1">
      <alignment horizontal="right"/>
    </xf>
    <xf numFmtId="0" fontId="0" fillId="0" borderId="3" xfId="0" applyBorder="1" applyAlignment="1">
      <alignment horizontal="center"/>
    </xf>
    <xf numFmtId="41" fontId="0" fillId="0" borderId="3" xfId="0" applyNumberFormat="1" applyBorder="1" applyAlignment="1"/>
    <xf numFmtId="0" fontId="0" fillId="0" borderId="8" xfId="0" applyBorder="1" applyAlignment="1">
      <alignment horizontal="center"/>
    </xf>
    <xf numFmtId="41" fontId="0" fillId="0" borderId="8" xfId="0" applyNumberFormat="1" applyBorder="1" applyAlignment="1"/>
    <xf numFmtId="0" fontId="0" fillId="0" borderId="75" xfId="0" applyBorder="1"/>
    <xf numFmtId="0" fontId="0" fillId="0" borderId="76" xfId="0" applyBorder="1"/>
    <xf numFmtId="0" fontId="0" fillId="0" borderId="77" xfId="0" applyBorder="1"/>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7" xfId="0" applyFont="1" applyBorder="1" applyAlignment="1">
      <alignment horizontal="center" vertical="center" wrapText="1"/>
    </xf>
    <xf numFmtId="0" fontId="16" fillId="3" borderId="21" xfId="0" applyFont="1" applyFill="1" applyBorder="1" applyAlignment="1">
      <alignment horizontal="center"/>
    </xf>
    <xf numFmtId="0" fontId="20" fillId="0" borderId="0" xfId="0" applyFont="1" applyAlignment="1">
      <alignment horizontal="center" wrapText="1"/>
    </xf>
    <xf numFmtId="0" fontId="16" fillId="0" borderId="10" xfId="0" applyFont="1" applyBorder="1" applyAlignment="1">
      <alignment horizontal="center"/>
    </xf>
    <xf numFmtId="0" fontId="16" fillId="0" borderId="0" xfId="0" applyFont="1" applyBorder="1" applyAlignment="1">
      <alignment horizontal="center"/>
    </xf>
    <xf numFmtId="0" fontId="16" fillId="0" borderId="15" xfId="0" applyFont="1" applyBorder="1" applyAlignment="1">
      <alignment horizontal="center"/>
    </xf>
    <xf numFmtId="0" fontId="16" fillId="0" borderId="0" xfId="0" applyFont="1" applyAlignment="1">
      <alignment horizontal="center"/>
    </xf>
    <xf numFmtId="0" fontId="21" fillId="5" borderId="2" xfId="0" applyFont="1" applyFill="1" applyBorder="1" applyAlignment="1">
      <alignment horizontal="center" vertical="center"/>
    </xf>
    <xf numFmtId="0" fontId="0" fillId="5" borderId="3" xfId="0" applyFill="1" applyBorder="1"/>
    <xf numFmtId="0" fontId="22" fillId="5" borderId="55" xfId="0" applyFont="1" applyFill="1" applyBorder="1" applyAlignment="1">
      <alignment horizontal="center" vertical="center" wrapText="1"/>
    </xf>
    <xf numFmtId="0" fontId="0" fillId="5" borderId="3" xfId="0" applyFont="1" applyFill="1" applyBorder="1" applyAlignment="1">
      <alignment horizontal="center"/>
    </xf>
    <xf numFmtId="3" fontId="26" fillId="5" borderId="3" xfId="0" applyNumberFormat="1" applyFont="1" applyFill="1" applyBorder="1" applyAlignment="1">
      <alignment horizontal="right" vertical="center"/>
    </xf>
    <xf numFmtId="166" fontId="21" fillId="6" borderId="59" xfId="1" applyNumberFormat="1" applyFont="1" applyFill="1" applyBorder="1" applyAlignment="1" applyProtection="1">
      <alignment horizontal="right" vertical="center" wrapText="1"/>
    </xf>
    <xf numFmtId="166" fontId="21" fillId="6" borderId="60" xfId="1" applyNumberFormat="1" applyFont="1" applyFill="1" applyBorder="1" applyAlignment="1" applyProtection="1">
      <alignment horizontal="right" vertical="center" wrapText="1"/>
    </xf>
    <xf numFmtId="0" fontId="21" fillId="5" borderId="68" xfId="0" applyFont="1" applyFill="1" applyBorder="1" applyAlignment="1">
      <alignment horizontal="center" vertical="center"/>
    </xf>
    <xf numFmtId="0" fontId="0" fillId="5" borderId="5" xfId="0" applyFill="1" applyBorder="1"/>
    <xf numFmtId="0" fontId="22" fillId="5" borderId="5" xfId="0" applyFont="1" applyFill="1" applyBorder="1" applyAlignment="1">
      <alignment horizontal="center" vertical="center" wrapText="1"/>
    </xf>
    <xf numFmtId="0" fontId="0" fillId="5" borderId="5" xfId="0" applyFont="1" applyFill="1" applyBorder="1" applyAlignment="1">
      <alignment horizontal="center"/>
    </xf>
    <xf numFmtId="3" fontId="26" fillId="5" borderId="5" xfId="0" applyNumberFormat="1" applyFont="1" applyFill="1" applyBorder="1" applyAlignment="1">
      <alignment horizontal="right" vertical="center"/>
    </xf>
    <xf numFmtId="166" fontId="21" fillId="6" borderId="5" xfId="1" applyNumberFormat="1" applyFont="1" applyFill="1" applyBorder="1" applyAlignment="1" applyProtection="1">
      <alignment horizontal="right" vertical="center" wrapText="1"/>
    </xf>
    <xf numFmtId="166" fontId="21" fillId="6" borderId="6" xfId="1" applyNumberFormat="1" applyFont="1" applyFill="1" applyBorder="1" applyAlignment="1" applyProtection="1">
      <alignment horizontal="right" vertical="center" wrapText="1"/>
    </xf>
    <xf numFmtId="0" fontId="15" fillId="5" borderId="5" xfId="0" applyFont="1" applyFill="1" applyBorder="1"/>
    <xf numFmtId="0" fontId="21" fillId="5" borderId="52" xfId="0" applyFont="1" applyFill="1" applyBorder="1" applyAlignment="1">
      <alignment horizontal="center" vertical="center" wrapText="1"/>
    </xf>
    <xf numFmtId="0" fontId="15" fillId="5" borderId="5" xfId="0" applyFont="1" applyFill="1" applyBorder="1" applyAlignment="1">
      <alignment horizontal="center"/>
    </xf>
    <xf numFmtId="0" fontId="21" fillId="5" borderId="5" xfId="0" applyFont="1" applyFill="1" applyBorder="1" applyAlignment="1">
      <alignment horizontal="center" vertical="center" wrapText="1"/>
    </xf>
    <xf numFmtId="0" fontId="0" fillId="5" borderId="52" xfId="0" applyFont="1" applyFill="1" applyBorder="1" applyAlignment="1">
      <alignment horizontal="center"/>
    </xf>
    <xf numFmtId="3" fontId="26" fillId="5" borderId="52" xfId="0" applyNumberFormat="1" applyFont="1" applyFill="1" applyBorder="1" applyAlignment="1">
      <alignment horizontal="right" vertical="center"/>
    </xf>
    <xf numFmtId="0" fontId="0" fillId="5" borderId="0" xfId="0" applyFill="1" applyBorder="1"/>
    <xf numFmtId="3" fontId="26" fillId="5" borderId="54" xfId="0" applyNumberFormat="1" applyFont="1" applyFill="1" applyBorder="1" applyAlignment="1">
      <alignment horizontal="right" vertical="center"/>
    </xf>
    <xf numFmtId="166" fontId="21" fillId="6" borderId="53" xfId="1" applyNumberFormat="1" applyFont="1" applyFill="1" applyBorder="1" applyAlignment="1" applyProtection="1">
      <alignment horizontal="right" vertical="center" wrapText="1"/>
    </xf>
    <xf numFmtId="166" fontId="21" fillId="6" borderId="69" xfId="1" applyNumberFormat="1" applyFont="1" applyFill="1" applyBorder="1" applyAlignment="1" applyProtection="1">
      <alignment horizontal="right" vertical="center" wrapText="1"/>
    </xf>
    <xf numFmtId="0" fontId="15" fillId="5" borderId="52" xfId="0" applyFont="1" applyFill="1" applyBorder="1" applyAlignment="1">
      <alignment horizontal="center"/>
    </xf>
    <xf numFmtId="3" fontId="26" fillId="5" borderId="5" xfId="0" applyNumberFormat="1" applyFont="1" applyFill="1" applyBorder="1" applyAlignment="1">
      <alignment horizontal="right"/>
    </xf>
    <xf numFmtId="0" fontId="21" fillId="5" borderId="78" xfId="0" applyFont="1" applyFill="1" applyBorder="1" applyAlignment="1">
      <alignment horizontal="center" vertical="center"/>
    </xf>
    <xf numFmtId="0" fontId="0" fillId="5" borderId="8" xfId="0" applyFill="1" applyBorder="1"/>
    <xf numFmtId="0" fontId="22" fillId="5" borderId="8" xfId="0" applyFont="1" applyFill="1" applyBorder="1" applyAlignment="1">
      <alignment horizontal="center" vertical="center" wrapText="1"/>
    </xf>
    <xf numFmtId="0" fontId="15" fillId="5" borderId="8" xfId="0" applyFont="1" applyFill="1" applyBorder="1" applyAlignment="1">
      <alignment horizontal="center"/>
    </xf>
    <xf numFmtId="3" fontId="26" fillId="5" borderId="8" xfId="0" applyNumberFormat="1" applyFont="1" applyFill="1" applyBorder="1" applyAlignment="1">
      <alignment horizontal="right"/>
    </xf>
    <xf numFmtId="166" fontId="21" fillId="6" borderId="61" xfId="1" applyNumberFormat="1" applyFont="1" applyFill="1" applyBorder="1" applyAlignment="1" applyProtection="1">
      <alignment horizontal="right" vertical="center" wrapText="1"/>
    </xf>
    <xf numFmtId="166" fontId="21" fillId="6" borderId="62" xfId="1" applyNumberFormat="1" applyFont="1" applyFill="1" applyBorder="1" applyAlignment="1" applyProtection="1">
      <alignment horizontal="right" vertical="center" wrapText="1"/>
    </xf>
    <xf numFmtId="0" fontId="16" fillId="6" borderId="0" xfId="0" applyFont="1" applyFill="1" applyBorder="1" applyAlignment="1">
      <alignment horizontal="center"/>
    </xf>
    <xf numFmtId="0" fontId="16" fillId="6" borderId="13" xfId="0" applyFont="1" applyFill="1" applyBorder="1" applyAlignment="1"/>
    <xf numFmtId="166" fontId="21" fillId="6" borderId="73" xfId="1" applyNumberFormat="1" applyFont="1" applyFill="1" applyBorder="1" applyAlignment="1" applyProtection="1">
      <alignment horizontal="right" vertical="center" wrapText="1"/>
    </xf>
    <xf numFmtId="166" fontId="21" fillId="6" borderId="74" xfId="1" applyNumberFormat="1" applyFont="1" applyFill="1" applyBorder="1" applyAlignment="1" applyProtection="1">
      <alignment horizontal="right" vertical="center" wrapText="1"/>
    </xf>
    <xf numFmtId="166" fontId="21" fillId="6" borderId="3" xfId="1" applyNumberFormat="1" applyFont="1" applyFill="1" applyBorder="1" applyAlignment="1" applyProtection="1">
      <alignment horizontal="right" vertical="center" wrapText="1"/>
    </xf>
    <xf numFmtId="0" fontId="16" fillId="6" borderId="10" xfId="0" applyFont="1" applyFill="1" applyBorder="1" applyAlignment="1">
      <alignment horizontal="center"/>
    </xf>
    <xf numFmtId="0" fontId="16" fillId="6" borderId="11" xfId="0" applyFont="1" applyFill="1" applyBorder="1" applyAlignment="1"/>
    <xf numFmtId="0" fontId="16" fillId="6" borderId="15" xfId="0" applyFont="1" applyFill="1" applyBorder="1" applyAlignment="1">
      <alignment horizontal="center"/>
    </xf>
    <xf numFmtId="0" fontId="16" fillId="6" borderId="16" xfId="0" applyFont="1" applyFill="1" applyBorder="1" applyAlignment="1"/>
    <xf numFmtId="0" fontId="4" fillId="5" borderId="26" xfId="0" applyFont="1" applyFill="1" applyBorder="1" applyAlignment="1">
      <alignment horizontal="left" vertical="center"/>
    </xf>
    <xf numFmtId="0" fontId="4" fillId="6" borderId="26" xfId="0" applyFont="1" applyFill="1" applyBorder="1" applyAlignment="1">
      <alignment horizontal="center" vertical="center"/>
    </xf>
    <xf numFmtId="0" fontId="4" fillId="5" borderId="26" xfId="0" applyFont="1" applyFill="1" applyBorder="1" applyAlignment="1">
      <alignment horizontal="center" vertical="center" wrapText="1"/>
    </xf>
    <xf numFmtId="166" fontId="4" fillId="5" borderId="26" xfId="1" applyNumberFormat="1" applyFont="1" applyFill="1" applyBorder="1" applyAlignment="1" applyProtection="1">
      <alignment horizontal="right" vertical="center" wrapText="1"/>
    </xf>
    <xf numFmtId="3" fontId="4" fillId="5" borderId="26" xfId="0" applyNumberFormat="1" applyFont="1" applyFill="1" applyBorder="1" applyAlignment="1">
      <alignment horizontal="center" vertical="center"/>
    </xf>
    <xf numFmtId="0" fontId="16" fillId="3" borderId="29" xfId="0" applyFont="1" applyFill="1" applyBorder="1" applyAlignment="1">
      <alignment horizontal="center"/>
    </xf>
    <xf numFmtId="0" fontId="16" fillId="3" borderId="70" xfId="0" applyFont="1" applyFill="1" applyBorder="1" applyAlignment="1">
      <alignment horizontal="center"/>
    </xf>
    <xf numFmtId="0" fontId="16" fillId="5" borderId="0" xfId="0" applyFont="1" applyFill="1"/>
    <xf numFmtId="0" fontId="28" fillId="0" borderId="0" xfId="0" applyFont="1"/>
    <xf numFmtId="169" fontId="4" fillId="5" borderId="26" xfId="0" applyNumberFormat="1" applyFont="1" applyFill="1" applyBorder="1" applyAlignment="1">
      <alignment horizontal="center" vertical="center"/>
    </xf>
    <xf numFmtId="166" fontId="4" fillId="5" borderId="70" xfId="1" applyNumberFormat="1" applyFont="1" applyFill="1" applyBorder="1" applyAlignment="1" applyProtection="1">
      <alignment horizontal="right" vertical="center" wrapText="1"/>
    </xf>
    <xf numFmtId="3" fontId="4" fillId="5" borderId="70" xfId="0" applyNumberFormat="1" applyFont="1" applyFill="1" applyBorder="1" applyAlignment="1">
      <alignment horizontal="center" vertical="center"/>
    </xf>
    <xf numFmtId="169" fontId="4" fillId="5" borderId="70" xfId="0" applyNumberFormat="1" applyFont="1" applyFill="1" applyBorder="1" applyAlignment="1">
      <alignment horizontal="center" vertical="center"/>
    </xf>
    <xf numFmtId="0" fontId="16" fillId="0" borderId="0" xfId="0" applyFont="1" applyFill="1"/>
    <xf numFmtId="0" fontId="0" fillId="5" borderId="0" xfId="0" applyFill="1"/>
    <xf numFmtId="0" fontId="0" fillId="5" borderId="5" xfId="0" applyFill="1" applyBorder="1" applyAlignment="1">
      <alignment horizontal="center"/>
    </xf>
    <xf numFmtId="0" fontId="21" fillId="5" borderId="4" xfId="0" applyFont="1" applyFill="1" applyBorder="1" applyAlignment="1">
      <alignment horizontal="center" vertical="center"/>
    </xf>
    <xf numFmtId="0" fontId="0" fillId="5" borderId="61" xfId="0" applyFill="1" applyBorder="1"/>
    <xf numFmtId="0" fontId="22" fillId="5" borderId="61" xfId="0" applyFont="1" applyFill="1" applyBorder="1" applyAlignment="1">
      <alignment horizontal="center" vertical="center" wrapText="1"/>
    </xf>
    <xf numFmtId="0" fontId="15" fillId="5" borderId="61" xfId="0" applyFont="1" applyFill="1" applyBorder="1" applyAlignment="1">
      <alignment horizontal="center"/>
    </xf>
    <xf numFmtId="0" fontId="16" fillId="0" borderId="53" xfId="0" applyFont="1" applyFill="1" applyBorder="1" applyAlignment="1">
      <alignment horizontal="center"/>
    </xf>
    <xf numFmtId="0" fontId="16" fillId="0" borderId="53" xfId="0" applyFont="1" applyFill="1" applyBorder="1" applyAlignment="1"/>
    <xf numFmtId="0" fontId="28" fillId="0" borderId="0" xfId="0" applyFont="1" applyFill="1"/>
    <xf numFmtId="0" fontId="16" fillId="0" borderId="5" xfId="0" applyFont="1" applyFill="1" applyBorder="1" applyAlignment="1">
      <alignment horizontal="center"/>
    </xf>
    <xf numFmtId="0" fontId="16" fillId="0" borderId="5" xfId="0" applyFont="1" applyFill="1" applyBorder="1" applyAlignment="1"/>
    <xf numFmtId="0" fontId="16" fillId="0" borderId="52" xfId="0" applyFont="1" applyFill="1" applyBorder="1" applyAlignment="1">
      <alignment horizontal="center"/>
    </xf>
    <xf numFmtId="0" fontId="16" fillId="0" borderId="52" xfId="0" applyFont="1" applyFill="1" applyBorder="1" applyAlignment="1"/>
    <xf numFmtId="170" fontId="16" fillId="0" borderId="53" xfId="0" applyNumberFormat="1" applyFont="1" applyFill="1" applyBorder="1" applyAlignment="1">
      <alignment horizontal="center"/>
    </xf>
    <xf numFmtId="170" fontId="16" fillId="0" borderId="5" xfId="0" applyNumberFormat="1" applyFont="1" applyFill="1" applyBorder="1" applyAlignment="1">
      <alignment horizontal="center"/>
    </xf>
    <xf numFmtId="166" fontId="27" fillId="0" borderId="0" xfId="0" applyNumberFormat="1" applyFont="1"/>
    <xf numFmtId="3" fontId="26" fillId="0" borderId="3" xfId="0" applyNumberFormat="1" applyFont="1" applyFill="1" applyBorder="1" applyAlignment="1">
      <alignment horizontal="right" vertical="center"/>
    </xf>
    <xf numFmtId="166" fontId="29" fillId="0" borderId="59" xfId="1" applyNumberFormat="1" applyFont="1" applyFill="1" applyBorder="1" applyAlignment="1" applyProtection="1">
      <alignment horizontal="right" vertical="center" wrapText="1"/>
    </xf>
    <xf numFmtId="166" fontId="29" fillId="0" borderId="60" xfId="1" applyNumberFormat="1" applyFont="1" applyFill="1" applyBorder="1" applyAlignment="1" applyProtection="1">
      <alignment horizontal="right" vertical="center" wrapText="1"/>
    </xf>
    <xf numFmtId="3" fontId="26" fillId="0" borderId="5" xfId="0" applyNumberFormat="1" applyFont="1" applyFill="1" applyBorder="1" applyAlignment="1">
      <alignment horizontal="right" vertical="center"/>
    </xf>
    <xf numFmtId="166" fontId="29" fillId="0" borderId="5" xfId="1" applyNumberFormat="1" applyFont="1" applyFill="1" applyBorder="1" applyAlignment="1" applyProtection="1">
      <alignment horizontal="right" vertical="center" wrapText="1"/>
    </xf>
    <xf numFmtId="166" fontId="29" fillId="0" borderId="6" xfId="1" applyNumberFormat="1" applyFont="1" applyFill="1" applyBorder="1" applyAlignment="1" applyProtection="1">
      <alignment horizontal="right" vertical="center" wrapText="1"/>
    </xf>
    <xf numFmtId="3" fontId="26" fillId="0" borderId="52" xfId="0" applyNumberFormat="1" applyFont="1" applyFill="1" applyBorder="1" applyAlignment="1">
      <alignment horizontal="right" vertical="center"/>
    </xf>
    <xf numFmtId="3" fontId="26" fillId="0" borderId="54" xfId="0" applyNumberFormat="1" applyFont="1" applyFill="1" applyBorder="1" applyAlignment="1">
      <alignment horizontal="right" vertical="center"/>
    </xf>
    <xf numFmtId="166" fontId="29" fillId="0" borderId="53" xfId="1" applyNumberFormat="1" applyFont="1" applyFill="1" applyBorder="1" applyAlignment="1" applyProtection="1">
      <alignment horizontal="right" vertical="center" wrapText="1"/>
    </xf>
    <xf numFmtId="3" fontId="26" fillId="0" borderId="5" xfId="0" applyNumberFormat="1" applyFont="1" applyFill="1" applyBorder="1" applyAlignment="1">
      <alignment horizontal="right"/>
    </xf>
    <xf numFmtId="3" fontId="26" fillId="0" borderId="61" xfId="0" applyNumberFormat="1" applyFont="1" applyFill="1" applyBorder="1" applyAlignment="1">
      <alignment horizontal="right"/>
    </xf>
    <xf numFmtId="166" fontId="29" fillId="0" borderId="61" xfId="1" applyNumberFormat="1" applyFont="1" applyFill="1" applyBorder="1" applyAlignment="1" applyProtection="1">
      <alignment horizontal="right" vertical="center" wrapText="1"/>
    </xf>
    <xf numFmtId="0" fontId="0" fillId="0" borderId="64" xfId="0" applyFont="1" applyFill="1" applyBorder="1" applyAlignment="1">
      <alignment horizontal="center" vertical="center"/>
    </xf>
    <xf numFmtId="0" fontId="0" fillId="0" borderId="65" xfId="0" applyFont="1" applyFill="1" applyBorder="1" applyAlignment="1">
      <alignment horizontal="center" vertical="center"/>
    </xf>
    <xf numFmtId="0" fontId="0" fillId="0" borderId="66" xfId="0" applyFont="1" applyFill="1" applyBorder="1" applyAlignment="1">
      <alignment horizontal="center" vertical="center"/>
    </xf>
    <xf numFmtId="166" fontId="15" fillId="0" borderId="67" xfId="3" applyNumberFormat="1" applyFont="1" applyFill="1" applyBorder="1" applyAlignment="1" applyProtection="1">
      <alignment horizontal="center" vertical="center"/>
    </xf>
    <xf numFmtId="0" fontId="0" fillId="0" borderId="39" xfId="0" applyFont="1" applyFill="1" applyBorder="1" applyAlignment="1">
      <alignment horizontal="center" vertical="center"/>
    </xf>
    <xf numFmtId="0" fontId="0" fillId="0" borderId="40" xfId="0" applyFont="1" applyFill="1" applyBorder="1" applyAlignment="1">
      <alignment horizontal="center" vertical="center"/>
    </xf>
    <xf numFmtId="0" fontId="0" fillId="0" borderId="41" xfId="0" applyFont="1" applyFill="1" applyBorder="1" applyAlignment="1">
      <alignment horizontal="center" vertical="center"/>
    </xf>
    <xf numFmtId="166" fontId="0" fillId="0" borderId="63" xfId="3" applyNumberFormat="1" applyFont="1" applyFill="1" applyBorder="1" applyAlignment="1" applyProtection="1">
      <alignment horizontal="center" vertical="center"/>
    </xf>
    <xf numFmtId="0" fontId="0" fillId="0" borderId="42" xfId="0" applyFont="1" applyFill="1" applyBorder="1" applyAlignment="1">
      <alignment horizontal="center" vertical="center"/>
    </xf>
    <xf numFmtId="166" fontId="0" fillId="0" borderId="43" xfId="3" applyNumberFormat="1" applyFont="1" applyFill="1" applyBorder="1" applyAlignment="1" applyProtection="1">
      <alignment horizontal="center" vertical="center"/>
    </xf>
    <xf numFmtId="0" fontId="12" fillId="0" borderId="39" xfId="0" applyFont="1" applyFill="1" applyBorder="1" applyAlignment="1">
      <alignment horizontal="center" vertical="center"/>
    </xf>
    <xf numFmtId="0" fontId="12" fillId="0" borderId="40" xfId="0" applyFont="1" applyFill="1" applyBorder="1" applyAlignment="1">
      <alignment horizontal="center" vertical="center"/>
    </xf>
    <xf numFmtId="0" fontId="0" fillId="0" borderId="42" xfId="0" applyFill="1" applyBorder="1" applyAlignment="1">
      <alignment horizontal="center" vertical="center"/>
    </xf>
    <xf numFmtId="0" fontId="12" fillId="0" borderId="41" xfId="0" applyFont="1" applyFill="1" applyBorder="1" applyAlignment="1">
      <alignment horizontal="center" vertical="center"/>
    </xf>
    <xf numFmtId="0" fontId="12" fillId="0" borderId="42" xfId="0" applyFont="1" applyFill="1" applyBorder="1" applyAlignment="1">
      <alignment horizontal="center" vertical="center"/>
    </xf>
    <xf numFmtId="0" fontId="0" fillId="0" borderId="44" xfId="0" applyFill="1" applyBorder="1" applyAlignment="1">
      <alignment horizontal="center" vertical="center"/>
    </xf>
    <xf numFmtId="0" fontId="0" fillId="0" borderId="45" xfId="0" applyFill="1" applyBorder="1" applyAlignment="1">
      <alignment horizontal="center" vertical="center"/>
    </xf>
    <xf numFmtId="0" fontId="0" fillId="0" borderId="46" xfId="0" applyFill="1" applyBorder="1" applyAlignment="1">
      <alignment horizontal="center" vertical="center"/>
    </xf>
    <xf numFmtId="166" fontId="0" fillId="0" borderId="47" xfId="3" applyNumberFormat="1" applyFont="1" applyFill="1" applyBorder="1" applyAlignment="1" applyProtection="1">
      <alignment horizontal="center" vertical="center"/>
    </xf>
    <xf numFmtId="166" fontId="14" fillId="0" borderId="48" xfId="0" applyNumberFormat="1" applyFont="1" applyFill="1" applyBorder="1" applyAlignment="1">
      <alignment horizontal="center" vertical="center"/>
    </xf>
    <xf numFmtId="0" fontId="5" fillId="0" borderId="17" xfId="0" applyFont="1" applyFill="1" applyBorder="1" applyAlignment="1">
      <alignment horizontal="right" vertical="center"/>
    </xf>
    <xf numFmtId="0" fontId="6" fillId="0" borderId="18" xfId="0" applyFont="1" applyFill="1" applyBorder="1" applyAlignment="1">
      <alignment horizontal="center" vertical="center"/>
    </xf>
    <xf numFmtId="0" fontId="5" fillId="0" borderId="19" xfId="0" applyFont="1" applyFill="1" applyBorder="1" applyAlignment="1">
      <alignment vertical="center"/>
    </xf>
    <xf numFmtId="0" fontId="5" fillId="0" borderId="0" xfId="0" applyFont="1" applyFill="1" applyBorder="1" applyAlignment="1">
      <alignment vertical="center"/>
    </xf>
    <xf numFmtId="0" fontId="16" fillId="6" borderId="12" xfId="0" applyFont="1" applyFill="1" applyBorder="1" applyAlignment="1">
      <alignment horizontal="center"/>
    </xf>
    <xf numFmtId="0" fontId="16" fillId="6" borderId="0" xfId="0" applyFont="1" applyFill="1" applyBorder="1" applyAlignment="1">
      <alignment horizontal="center"/>
    </xf>
    <xf numFmtId="0" fontId="16" fillId="3" borderId="28" xfId="0" applyFont="1" applyFill="1" applyBorder="1" applyAlignment="1">
      <alignment horizontal="center"/>
    </xf>
    <xf numFmtId="0" fontId="16" fillId="3" borderId="72" xfId="0" applyFont="1" applyFill="1" applyBorder="1" applyAlignment="1">
      <alignment horizontal="center"/>
    </xf>
    <xf numFmtId="0" fontId="16" fillId="3" borderId="29" xfId="0" applyFont="1" applyFill="1" applyBorder="1" applyAlignment="1">
      <alignment horizontal="center"/>
    </xf>
    <xf numFmtId="0" fontId="16" fillId="3" borderId="12" xfId="0" applyFont="1" applyFill="1" applyBorder="1" applyAlignment="1">
      <alignment horizontal="center" vertical="center" wrapText="1"/>
    </xf>
    <xf numFmtId="0" fontId="16" fillId="3" borderId="0"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8" fillId="0" borderId="0" xfId="0" applyFont="1" applyBorder="1" applyAlignment="1">
      <alignment horizontal="left" vertical="center" wrapText="1"/>
    </xf>
    <xf numFmtId="0" fontId="16" fillId="6" borderId="9" xfId="0" applyFont="1" applyFill="1" applyBorder="1" applyAlignment="1">
      <alignment horizontal="center"/>
    </xf>
    <xf numFmtId="0" fontId="16" fillId="6" borderId="10" xfId="0" applyFont="1" applyFill="1" applyBorder="1" applyAlignment="1">
      <alignment horizontal="center"/>
    </xf>
    <xf numFmtId="0" fontId="17" fillId="0" borderId="0" xfId="0" applyFont="1" applyBorder="1" applyAlignment="1">
      <alignment horizontal="center"/>
    </xf>
    <xf numFmtId="0" fontId="24" fillId="3" borderId="0" xfId="0" applyFont="1" applyFill="1" applyBorder="1" applyAlignment="1">
      <alignment horizontal="left" wrapText="1" indent="1"/>
    </xf>
    <xf numFmtId="0" fontId="16" fillId="3" borderId="12" xfId="0" applyFont="1" applyFill="1" applyBorder="1" applyAlignment="1">
      <alignment horizontal="center"/>
    </xf>
    <xf numFmtId="0" fontId="16" fillId="3" borderId="0" xfId="0" applyFont="1" applyFill="1" applyBorder="1" applyAlignment="1">
      <alignment horizontal="center"/>
    </xf>
    <xf numFmtId="0" fontId="16" fillId="3" borderId="13" xfId="0" applyFont="1" applyFill="1" applyBorder="1" applyAlignment="1">
      <alignment horizontal="center"/>
    </xf>
    <xf numFmtId="0" fontId="16" fillId="3" borderId="13" xfId="0" applyFont="1" applyFill="1" applyBorder="1" applyAlignment="1">
      <alignment horizontal="center" wrapText="1"/>
    </xf>
    <xf numFmtId="0" fontId="16" fillId="6" borderId="14" xfId="0" applyFont="1" applyFill="1" applyBorder="1" applyAlignment="1">
      <alignment horizontal="center"/>
    </xf>
    <xf numFmtId="0" fontId="16" fillId="6" borderId="15" xfId="0" applyFont="1" applyFill="1" applyBorder="1" applyAlignment="1">
      <alignment horizontal="center"/>
    </xf>
    <xf numFmtId="0" fontId="4" fillId="5" borderId="26" xfId="0" applyFont="1" applyFill="1" applyBorder="1" applyAlignment="1">
      <alignment horizontal="left" vertical="center" wrapText="1"/>
    </xf>
    <xf numFmtId="0" fontId="8" fillId="0" borderId="24" xfId="0" applyFont="1" applyBorder="1" applyAlignment="1">
      <alignment horizontal="center" vertical="center" wrapText="1"/>
    </xf>
    <xf numFmtId="167" fontId="6" fillId="0" borderId="28" xfId="0" applyNumberFormat="1" applyFont="1" applyFill="1" applyBorder="1" applyAlignment="1">
      <alignment horizontal="center" vertical="center"/>
    </xf>
    <xf numFmtId="167" fontId="6" fillId="0" borderId="72" xfId="0" applyNumberFormat="1" applyFont="1" applyFill="1" applyBorder="1" applyAlignment="1">
      <alignment horizontal="center" vertical="center"/>
    </xf>
    <xf numFmtId="167" fontId="6" fillId="0" borderId="29" xfId="0" applyNumberFormat="1" applyFont="1" applyFill="1" applyBorder="1" applyAlignment="1">
      <alignment horizontal="center" vertical="center"/>
    </xf>
    <xf numFmtId="0" fontId="6" fillId="0" borderId="21" xfId="0" applyFont="1" applyFill="1" applyBorder="1" applyAlignment="1">
      <alignment horizontal="left" vertical="center" wrapText="1" indent="1"/>
    </xf>
    <xf numFmtId="0" fontId="5" fillId="0" borderId="0" xfId="0" applyFont="1" applyFill="1" applyBorder="1" applyAlignment="1">
      <alignment horizontal="center" vertical="center"/>
    </xf>
    <xf numFmtId="0" fontId="7" fillId="0" borderId="20" xfId="0" applyFont="1" applyFill="1" applyBorder="1" applyAlignment="1">
      <alignment horizontal="left" vertical="center" wrapTex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xf>
    <xf numFmtId="0" fontId="8" fillId="0" borderId="23" xfId="0" applyFont="1" applyBorder="1" applyAlignment="1">
      <alignment horizontal="center" vertical="center"/>
    </xf>
    <xf numFmtId="0" fontId="8" fillId="0" borderId="25" xfId="0" applyFont="1" applyBorder="1" applyAlignment="1">
      <alignment horizontal="center" vertical="center" wrapText="1"/>
    </xf>
    <xf numFmtId="0" fontId="6" fillId="0" borderId="24" xfId="0" applyFont="1" applyFill="1" applyBorder="1" applyAlignment="1">
      <alignment horizontal="left" vertical="center" wrapText="1" indent="1"/>
    </xf>
    <xf numFmtId="0" fontId="0" fillId="0" borderId="28" xfId="0" applyFont="1" applyBorder="1" applyAlignment="1">
      <alignment horizontal="center"/>
    </xf>
    <xf numFmtId="3" fontId="10" fillId="0" borderId="29" xfId="0" applyNumberFormat="1" applyFont="1" applyBorder="1" applyAlignment="1">
      <alignment horizontal="center"/>
    </xf>
    <xf numFmtId="0" fontId="11" fillId="0" borderId="18" xfId="0" applyFont="1" applyBorder="1" applyAlignment="1">
      <alignment horizontal="center" vertical="center" wrapText="1"/>
    </xf>
    <xf numFmtId="0" fontId="2" fillId="0" borderId="18" xfId="0" applyFont="1" applyBorder="1"/>
    <xf numFmtId="0" fontId="12" fillId="0" borderId="18" xfId="0" applyFont="1" applyBorder="1" applyAlignment="1">
      <alignment horizontal="left" indent="1"/>
    </xf>
    <xf numFmtId="0" fontId="4" fillId="0" borderId="20"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13" fillId="0" borderId="18" xfId="0" applyFont="1" applyBorder="1" applyAlignment="1">
      <alignment horizontal="left"/>
    </xf>
    <xf numFmtId="0" fontId="12" fillId="0" borderId="31" xfId="0" applyFont="1" applyBorder="1"/>
    <xf numFmtId="0" fontId="12" fillId="0" borderId="32" xfId="0" applyFont="1" applyBorder="1" applyAlignment="1">
      <alignment horizontal="left" vertical="center" wrapText="1" indent="1"/>
    </xf>
    <xf numFmtId="0" fontId="14" fillId="0" borderId="30" xfId="0" applyFont="1" applyBorder="1" applyAlignment="1">
      <alignment horizontal="center" vertical="center"/>
    </xf>
    <xf numFmtId="0" fontId="14" fillId="0" borderId="18" xfId="0" applyFont="1" applyBorder="1" applyAlignment="1">
      <alignment horizontal="center" vertical="center"/>
    </xf>
    <xf numFmtId="0" fontId="14" fillId="0" borderId="30" xfId="0" applyFont="1" applyBorder="1" applyAlignment="1">
      <alignment horizontal="center" vertical="center" wrapText="1"/>
    </xf>
    <xf numFmtId="0" fontId="14" fillId="0" borderId="35" xfId="0" applyFont="1" applyBorder="1" applyAlignment="1">
      <alignment horizontal="center" vertical="center"/>
    </xf>
    <xf numFmtId="0" fontId="25" fillId="0" borderId="65" xfId="0" applyFont="1" applyFill="1" applyBorder="1" applyAlignment="1">
      <alignment horizontal="left" vertical="center" wrapText="1"/>
    </xf>
    <xf numFmtId="0" fontId="0" fillId="0" borderId="65" xfId="0" applyFont="1" applyFill="1" applyBorder="1" applyAlignment="1">
      <alignment horizontal="left" vertical="center" wrapText="1"/>
    </xf>
    <xf numFmtId="0" fontId="0" fillId="0" borderId="40" xfId="0" applyFont="1" applyFill="1" applyBorder="1" applyAlignment="1">
      <alignment horizontal="left" vertical="center"/>
    </xf>
    <xf numFmtId="0" fontId="0" fillId="0" borderId="42" xfId="0" applyFont="1" applyFill="1" applyBorder="1" applyAlignment="1">
      <alignment horizontal="left" vertical="center"/>
    </xf>
    <xf numFmtId="0" fontId="10" fillId="0" borderId="28" xfId="0" applyFont="1" applyBorder="1" applyAlignment="1">
      <alignment vertical="center" wrapText="1"/>
    </xf>
    <xf numFmtId="0" fontId="10" fillId="0" borderId="49" xfId="0" applyFont="1" applyBorder="1" applyAlignment="1">
      <alignment vertical="center" wrapText="1"/>
    </xf>
    <xf numFmtId="0" fontId="10" fillId="0" borderId="24" xfId="0" applyFont="1" applyBorder="1" applyAlignment="1">
      <alignment vertical="center" wrapText="1"/>
    </xf>
    <xf numFmtId="0" fontId="12" fillId="0" borderId="35" xfId="0" applyFont="1" applyBorder="1" applyAlignment="1">
      <alignment vertical="center" wrapText="1"/>
    </xf>
    <xf numFmtId="0" fontId="12" fillId="0" borderId="48" xfId="0" applyFont="1" applyFill="1" applyBorder="1" applyAlignment="1">
      <alignment horizontal="left" vertical="center" wrapText="1" indent="1"/>
    </xf>
    <xf numFmtId="0" fontId="0" fillId="0" borderId="42" xfId="0" applyFill="1" applyBorder="1" applyAlignment="1">
      <alignment horizontal="left" vertical="center"/>
    </xf>
    <xf numFmtId="0" fontId="0" fillId="0" borderId="45" xfId="0" applyFill="1" applyBorder="1" applyAlignment="1">
      <alignment horizontal="left" vertical="center"/>
    </xf>
    <xf numFmtId="0" fontId="14" fillId="0" borderId="48" xfId="0" applyFont="1" applyFill="1" applyBorder="1" applyAlignment="1">
      <alignment horizontal="left" vertical="center" wrapText="1"/>
    </xf>
    <xf numFmtId="0" fontId="0" fillId="0" borderId="30" xfId="0" applyBorder="1"/>
    <xf numFmtId="0" fontId="27" fillId="6" borderId="28" xfId="0" applyFont="1" applyFill="1" applyBorder="1" applyAlignment="1">
      <alignment horizontal="left" vertical="center" wrapText="1"/>
    </xf>
    <xf numFmtId="0" fontId="27" fillId="6" borderId="72" xfId="0" applyFont="1" applyFill="1" applyBorder="1" applyAlignment="1">
      <alignment horizontal="left" vertical="center" wrapText="1"/>
    </xf>
    <xf numFmtId="0" fontId="27" fillId="6" borderId="29" xfId="0" applyFont="1" applyFill="1" applyBorder="1" applyAlignment="1">
      <alignment horizontal="left" vertical="center" wrapText="1"/>
    </xf>
    <xf numFmtId="0" fontId="16" fillId="0" borderId="5" xfId="0" applyFont="1" applyFill="1" applyBorder="1" applyAlignment="1">
      <alignment horizontal="center"/>
    </xf>
    <xf numFmtId="0" fontId="16" fillId="0" borderId="53" xfId="0" applyFont="1" applyFill="1" applyBorder="1" applyAlignment="1">
      <alignment horizontal="center"/>
    </xf>
    <xf numFmtId="0" fontId="16" fillId="3" borderId="9" xfId="0" applyFont="1" applyFill="1" applyBorder="1" applyAlignment="1">
      <alignment horizontal="center"/>
    </xf>
    <xf numFmtId="0" fontId="16" fillId="3" borderId="11" xfId="0" applyFont="1" applyFill="1" applyBorder="1" applyAlignment="1">
      <alignment horizontal="center"/>
    </xf>
    <xf numFmtId="0" fontId="16" fillId="4" borderId="0" xfId="0" applyFont="1" applyFill="1" applyBorder="1" applyAlignment="1">
      <alignment horizontal="center"/>
    </xf>
    <xf numFmtId="0" fontId="16" fillId="4" borderId="13" xfId="0" applyFont="1" applyFill="1" applyBorder="1" applyAlignment="1">
      <alignment horizontal="center"/>
    </xf>
    <xf numFmtId="0" fontId="16" fillId="0" borderId="52" xfId="0" applyFont="1" applyFill="1" applyBorder="1" applyAlignment="1">
      <alignment horizontal="center"/>
    </xf>
    <xf numFmtId="0" fontId="16" fillId="3" borderId="10" xfId="0" applyFont="1" applyFill="1" applyBorder="1" applyAlignment="1">
      <alignment horizontal="center"/>
    </xf>
    <xf numFmtId="0" fontId="16" fillId="3" borderId="71" xfId="0" applyFont="1" applyFill="1" applyBorder="1" applyAlignment="1">
      <alignment horizontal="center"/>
    </xf>
    <xf numFmtId="0" fontId="16" fillId="3" borderId="74" xfId="0" applyFont="1" applyFill="1" applyBorder="1" applyAlignment="1">
      <alignment horizontal="center"/>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scrit\COMEDORES\COMEDORES%20EMERGENTES\COMESORES%20DESDE%2025-06-20\LISTA%20COMEDORES%20EMERGENT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escargas\COMBUSTIBLE\NecesidadesTrimestrales-NP-APG%20Combusti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row r="3">
          <cell r="B3" t="str">
            <v>UNA SONRISA AV. LOS COBACHO</v>
          </cell>
          <cell r="G3" t="str">
            <v>Bº SAN CARLOS OESTE AV. Bonifacio cobacho 670</v>
          </cell>
        </row>
        <row r="4">
          <cell r="B4" t="str">
            <v>C.I.F Nº1 - RIVERA DEL VALLE Y FLORIDA</v>
          </cell>
          <cell r="G4" t="str">
            <v>AV. RIVIERA DEL VALLE ENTRE FLORIDA Y SANTA FE</v>
          </cell>
        </row>
        <row r="5">
          <cell r="B5" t="str">
            <v>C.I.F - RIVERA DEL VALLE - DILORENZO</v>
          </cell>
          <cell r="G5" t="str">
            <v>Bº RIVERA DEL VALLE ENTRE VILLA EUMELIA Y MONTE CRISTO</v>
          </cell>
        </row>
        <row r="6">
          <cell r="B6" t="str">
            <v>ESFUERZO PROPIO- Bº ALTOS DE CHOYA</v>
          </cell>
          <cell r="G6" t="str">
            <v>Bº MUNICIPAL 35VV. NORTE C/14</v>
          </cell>
        </row>
        <row r="7">
          <cell r="B7" t="str">
            <v>ANGELITOS - LOTEO SUSSEX</v>
          </cell>
          <cell r="G7" t="str">
            <v>Bº LOTEO SUSEX MZA.Nº 4 LOTE Nº3</v>
          </cell>
        </row>
        <row r="8">
          <cell r="B8" t="str">
            <v>CLUB DEPORTIVO CHACARITA</v>
          </cell>
          <cell r="G8" t="str">
            <v>CALLE DR.DERMIDIO GALINDEZ C/2660</v>
          </cell>
        </row>
        <row r="9">
          <cell r="B9" t="str">
            <v>LA MORO</v>
          </cell>
          <cell r="G9" t="str">
            <v>MAIPU NORTE 1º ETAPA MZA "H" Bº MI JARDIN</v>
          </cell>
        </row>
        <row r="10">
          <cell r="B10" t="str">
            <v>PAPA FRANCISCO</v>
          </cell>
          <cell r="G10" t="str">
            <v>ENTRE AV.TEREBINTO Y AV.SAN JUAN LOTE "2" MZA. "B"</v>
          </cell>
        </row>
        <row r="11">
          <cell r="B11" t="str">
            <v>E.P.C - 100 V.V NORTE</v>
          </cell>
          <cell r="G11" t="str">
            <v>Bº VV NORTE C/48 ENTRE ESPAÑA Y FRANCIA</v>
          </cell>
        </row>
        <row r="12">
          <cell r="B12" t="str">
            <v>HOGAR DE CRISTO - PADRE RAUL CONTRERAS</v>
          </cell>
          <cell r="G12" t="str">
            <v>Bº SANTA MARTA MZA. "S" LOTE "M" C/39</v>
          </cell>
        </row>
        <row r="13">
          <cell r="B13" t="str">
            <v>LA LUCIERNAGA</v>
          </cell>
          <cell r="G13" t="str">
            <v>Bº 20 V.V NORTE C/3</v>
          </cell>
        </row>
        <row r="14">
          <cell r="B14" t="str">
            <v>VALLE VIEJO - SUMALAO</v>
          </cell>
          <cell r="G14" t="str">
            <v>PADRE SEGURA S/N</v>
          </cell>
        </row>
        <row r="15">
          <cell r="B15" t="str">
            <v>NUESTRO FUTURO - LAS VIAS</v>
          </cell>
          <cell r="G15" t="str">
            <v>Bº LAS VIAS OESTE LOTE 42</v>
          </cell>
        </row>
        <row r="16">
          <cell r="B16" t="str">
            <v>SAN JOSE OBRERO</v>
          </cell>
          <cell r="G16" t="str">
            <v>Bº SAN JOSE OBRERO. PJE. SANDOVAL S/Nº</v>
          </cell>
        </row>
        <row r="17">
          <cell r="B17" t="str">
            <v>VIRGEN DE LUJAN</v>
          </cell>
          <cell r="G17" t="str">
            <v>Bº OJO DE AGUA C/DR.TEODULFO BARRIONUEVO S/Nº</v>
          </cell>
        </row>
        <row r="18">
          <cell r="B18" t="str">
            <v>RENACER</v>
          </cell>
          <cell r="G18" t="str">
            <v>Bº VIRGEN MORENITA</v>
          </cell>
        </row>
        <row r="19">
          <cell r="B19" t="str">
            <v>CENTRO VECINAL MI JARDIN</v>
          </cell>
          <cell r="G19" t="str">
            <v>C/ LOS TULIPANES ENTRE FLOR DE CEREZO Y HOLANDA MZA.27 Bº MI JARDIN</v>
          </cell>
        </row>
        <row r="20">
          <cell r="B20" t="str">
            <v>LA VIEJA ESQUINA</v>
          </cell>
          <cell r="G20" t="str">
            <v>B° CRISTO REY PJE CAPATAZ VILLAFAÑEZ Y ARMANDO CORREA</v>
          </cell>
        </row>
        <row r="21">
          <cell r="B21" t="str">
            <v>GAUCHITO GIL</v>
          </cell>
          <cell r="G21" t="str">
            <v>B° 26 VIVIENDAS CASA N° 3</v>
          </cell>
        </row>
        <row r="22">
          <cell r="B22" t="str">
            <v>LOS TOLDOS</v>
          </cell>
          <cell r="G22" t="str">
            <v>LOTEO PARQUE SUR CALLE S/NOMBRE S/N°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s>
    <sheetDataSet>
      <sheetData sheetId="0">
        <row r="10">
          <cell r="D10" t="str">
            <v>2.5.6</v>
          </cell>
        </row>
      </sheetData>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2"/>
  <sheetViews>
    <sheetView workbookViewId="0">
      <selection sqref="A1:XFD1048576"/>
    </sheetView>
  </sheetViews>
  <sheetFormatPr baseColWidth="10" defaultColWidth="11" defaultRowHeight="12.75" x14ac:dyDescent="0.2"/>
  <cols>
    <col min="1" max="1" width="4.5703125" style="21" customWidth="1"/>
    <col min="2" max="2" width="19.85546875" style="21" customWidth="1"/>
    <col min="3" max="3" width="32.42578125" style="21" customWidth="1"/>
    <col min="4" max="4" width="10.42578125" style="21" customWidth="1"/>
    <col min="5" max="5" width="68.85546875" style="21" customWidth="1"/>
    <col min="6" max="6" width="11" style="21"/>
    <col min="7" max="7" width="12.7109375" style="21" customWidth="1"/>
    <col min="8" max="8" width="13.85546875" style="21" customWidth="1"/>
    <col min="9" max="9" width="18.5703125" style="21" customWidth="1"/>
    <col min="10" max="16384" width="11" style="21"/>
  </cols>
  <sheetData>
    <row r="2" spans="1:9" ht="27" x14ac:dyDescent="0.35">
      <c r="B2" s="194" t="s">
        <v>0</v>
      </c>
      <c r="C2" s="194"/>
      <c r="D2" s="194"/>
      <c r="E2" s="194"/>
      <c r="F2" s="194"/>
      <c r="G2" s="194"/>
      <c r="H2" s="194"/>
    </row>
    <row r="4" spans="1:9" ht="18" customHeight="1" x14ac:dyDescent="0.25">
      <c r="A4" s="191" t="s">
        <v>1</v>
      </c>
      <c r="B4" s="191"/>
      <c r="C4" s="195" t="s">
        <v>67</v>
      </c>
      <c r="D4" s="195"/>
      <c r="E4" s="195"/>
      <c r="F4" s="22"/>
      <c r="G4" s="23"/>
      <c r="H4" s="22"/>
    </row>
    <row r="5" spans="1:9" ht="18" customHeight="1" x14ac:dyDescent="0.25">
      <c r="A5" s="191" t="s">
        <v>2</v>
      </c>
      <c r="B5" s="191"/>
      <c r="C5" s="195" t="s">
        <v>62</v>
      </c>
      <c r="D5" s="195"/>
      <c r="E5" s="195"/>
      <c r="F5" s="22"/>
      <c r="G5" s="23"/>
      <c r="H5" s="22"/>
    </row>
    <row r="6" spans="1:9" ht="16.5" customHeight="1" x14ac:dyDescent="0.25">
      <c r="A6" s="191" t="s">
        <v>3</v>
      </c>
      <c r="B6" s="191"/>
      <c r="C6" s="40">
        <v>2020</v>
      </c>
      <c r="D6" s="41"/>
      <c r="E6" s="41"/>
      <c r="F6" s="22"/>
      <c r="G6" s="23"/>
      <c r="H6" s="22"/>
    </row>
    <row r="7" spans="1:9" ht="16.5" customHeight="1" x14ac:dyDescent="0.25">
      <c r="A7" s="191" t="s">
        <v>4</v>
      </c>
      <c r="B7" s="191"/>
      <c r="C7" s="40">
        <v>3</v>
      </c>
      <c r="D7" s="41"/>
      <c r="E7" s="41"/>
      <c r="F7" s="22"/>
      <c r="G7" s="23"/>
      <c r="H7" s="22"/>
    </row>
    <row r="8" spans="1:9" ht="13.5" thickBot="1" x14ac:dyDescent="0.25">
      <c r="B8" s="22"/>
      <c r="C8" s="23"/>
      <c r="D8" s="22"/>
      <c r="E8" s="22"/>
      <c r="F8" s="22"/>
      <c r="G8" s="23"/>
      <c r="H8" s="22"/>
    </row>
    <row r="9" spans="1:9" ht="39" thickBot="1" x14ac:dyDescent="0.25">
      <c r="A9" s="43" t="s">
        <v>5</v>
      </c>
      <c r="B9" s="52" t="s">
        <v>6</v>
      </c>
      <c r="C9" s="52" t="s">
        <v>7</v>
      </c>
      <c r="D9" s="48" t="s">
        <v>8</v>
      </c>
      <c r="E9" s="52" t="s">
        <v>9</v>
      </c>
      <c r="F9" s="44" t="s">
        <v>10</v>
      </c>
      <c r="G9" s="45" t="s">
        <v>11</v>
      </c>
      <c r="H9" s="45" t="s">
        <v>12</v>
      </c>
      <c r="I9" s="46" t="s">
        <v>13</v>
      </c>
    </row>
    <row r="10" spans="1:9" ht="13.5" thickBot="1" x14ac:dyDescent="0.25">
      <c r="A10" s="53">
        <v>28</v>
      </c>
      <c r="B10" s="54" t="s">
        <v>107</v>
      </c>
      <c r="C10" s="55" t="s">
        <v>108</v>
      </c>
      <c r="D10" s="56" t="s">
        <v>109</v>
      </c>
      <c r="E10" s="55" t="s">
        <v>110</v>
      </c>
      <c r="F10" s="57" t="s">
        <v>14</v>
      </c>
      <c r="G10" s="58">
        <v>240</v>
      </c>
      <c r="H10" s="110">
        <v>450</v>
      </c>
      <c r="I10" s="111">
        <f>+G10*H10</f>
        <v>108000</v>
      </c>
    </row>
    <row r="12" spans="1:9" ht="13.5" thickBot="1" x14ac:dyDescent="0.25"/>
    <row r="13" spans="1:9" x14ac:dyDescent="0.2">
      <c r="B13" s="27" t="s">
        <v>15</v>
      </c>
      <c r="C13" s="28"/>
      <c r="D13" s="28"/>
      <c r="E13" s="29"/>
    </row>
    <row r="14" spans="1:9" ht="5.25" customHeight="1" x14ac:dyDescent="0.2">
      <c r="B14" s="30"/>
      <c r="C14" s="31"/>
      <c r="D14" s="31"/>
      <c r="E14" s="32"/>
    </row>
    <row r="15" spans="1:9" x14ac:dyDescent="0.2">
      <c r="B15" s="33" t="s">
        <v>16</v>
      </c>
      <c r="C15" s="31"/>
      <c r="D15" s="31"/>
      <c r="E15" s="32"/>
    </row>
    <row r="16" spans="1:9" ht="25.5" customHeight="1" x14ac:dyDescent="0.2">
      <c r="B16" s="188" t="s">
        <v>122</v>
      </c>
      <c r="C16" s="189"/>
      <c r="D16" s="189"/>
      <c r="E16" s="190"/>
    </row>
    <row r="17" spans="2:5" ht="13.5" thickBot="1" x14ac:dyDescent="0.25">
      <c r="B17" s="33" t="s">
        <v>17</v>
      </c>
      <c r="C17" s="31"/>
      <c r="D17" s="31"/>
      <c r="E17" s="32"/>
    </row>
    <row r="18" spans="2:5" ht="13.5" thickBot="1" x14ac:dyDescent="0.25">
      <c r="B18" s="185" t="s">
        <v>138</v>
      </c>
      <c r="C18" s="186"/>
      <c r="D18" s="186"/>
      <c r="E18" s="187"/>
    </row>
    <row r="19" spans="2:5" ht="13.5" thickBot="1" x14ac:dyDescent="0.25">
      <c r="B19" s="185" t="s">
        <v>139</v>
      </c>
      <c r="C19" s="187"/>
      <c r="D19" s="69" t="s">
        <v>11</v>
      </c>
      <c r="E19" s="69" t="s">
        <v>140</v>
      </c>
    </row>
    <row r="20" spans="2:5" x14ac:dyDescent="0.2">
      <c r="B20" s="192" t="str">
        <f>'[1]COMEDORES EMERGENTES'!$B$3</f>
        <v>UNA SONRISA AV. LOS COBACHO</v>
      </c>
      <c r="C20" s="193"/>
      <c r="D20" s="108">
        <v>1</v>
      </c>
      <c r="E20" s="109" t="str">
        <f>'[1]COMEDORES EMERGENTES'!$G$3</f>
        <v>Bº SAN CARLOS OESTE AV. Bonifacio cobacho 670</v>
      </c>
    </row>
    <row r="21" spans="2:5" x14ac:dyDescent="0.2">
      <c r="B21" s="183" t="str">
        <f>'[1]COMEDORES EMERGENTES'!$B$4</f>
        <v>C.I.F Nº1 - RIVERA DEL VALLE Y FLORIDA</v>
      </c>
      <c r="C21" s="184"/>
      <c r="D21" s="108">
        <v>1</v>
      </c>
      <c r="E21" s="109" t="str">
        <f>'[1]COMEDORES EMERGENTES'!$G$4</f>
        <v>AV. RIVIERA DEL VALLE ENTRE FLORIDA Y SANTA FE</v>
      </c>
    </row>
    <row r="22" spans="2:5" x14ac:dyDescent="0.2">
      <c r="B22" s="183" t="str">
        <f>'[1]COMEDORES EMERGENTES'!$B$5</f>
        <v>C.I.F - RIVERA DEL VALLE - DILORENZO</v>
      </c>
      <c r="C22" s="184"/>
      <c r="D22" s="108">
        <v>1</v>
      </c>
      <c r="E22" s="109" t="str">
        <f>'[1]COMEDORES EMERGENTES'!$G$5</f>
        <v>Bº RIVERA DEL VALLE ENTRE VILLA EUMELIA Y MONTE CRISTO</v>
      </c>
    </row>
    <row r="23" spans="2:5" x14ac:dyDescent="0.2">
      <c r="B23" s="183" t="str">
        <f>'[1]COMEDORES EMERGENTES'!$B$6</f>
        <v>ESFUERZO PROPIO- Bº ALTOS DE CHOYA</v>
      </c>
      <c r="C23" s="184"/>
      <c r="D23" s="108">
        <v>1</v>
      </c>
      <c r="E23" s="109" t="str">
        <f>'[1]COMEDORES EMERGENTES'!$G$6</f>
        <v>Bº MUNICIPAL 35VV. NORTE C/14</v>
      </c>
    </row>
    <row r="24" spans="2:5" x14ac:dyDescent="0.2">
      <c r="B24" s="183" t="str">
        <f>'[1]COMEDORES EMERGENTES'!$B$7</f>
        <v>ANGELITOS - LOTEO SUSSEX</v>
      </c>
      <c r="C24" s="184"/>
      <c r="D24" s="108">
        <v>1</v>
      </c>
      <c r="E24" s="109" t="str">
        <f>'[1]COMEDORES EMERGENTES'!$G$7</f>
        <v>Bº LOTEO SUSEX MZA.Nº 4 LOTE Nº3</v>
      </c>
    </row>
    <row r="25" spans="2:5" x14ac:dyDescent="0.2">
      <c r="B25" s="183" t="str">
        <f>'[1]COMEDORES EMERGENTES'!$B$8</f>
        <v>CLUB DEPORTIVO CHACARITA</v>
      </c>
      <c r="C25" s="184"/>
      <c r="D25" s="108">
        <v>1</v>
      </c>
      <c r="E25" s="109" t="str">
        <f>'[1]COMEDORES EMERGENTES'!$G$8</f>
        <v>CALLE DR.DERMIDIO GALINDEZ C/2660</v>
      </c>
    </row>
    <row r="26" spans="2:5" x14ac:dyDescent="0.2">
      <c r="B26" s="183" t="str">
        <f>'[1]COMEDORES EMERGENTES'!$B$9</f>
        <v>LA MORO</v>
      </c>
      <c r="C26" s="184"/>
      <c r="D26" s="108">
        <v>1</v>
      </c>
      <c r="E26" s="109" t="str">
        <f>'[1]COMEDORES EMERGENTES'!$G$9</f>
        <v>MAIPU NORTE 1º ETAPA MZA "H" Bº MI JARDIN</v>
      </c>
    </row>
    <row r="27" spans="2:5" x14ac:dyDescent="0.2">
      <c r="B27" s="183" t="str">
        <f>'[1]COMEDORES EMERGENTES'!$B$10</f>
        <v>PAPA FRANCISCO</v>
      </c>
      <c r="C27" s="184"/>
      <c r="D27" s="108">
        <v>1</v>
      </c>
      <c r="E27" s="109" t="str">
        <f>'[1]COMEDORES EMERGENTES'!$G$10</f>
        <v>ENTRE AV.TEREBINTO Y AV.SAN JUAN LOTE "2" MZA. "B"</v>
      </c>
    </row>
    <row r="28" spans="2:5" x14ac:dyDescent="0.2">
      <c r="B28" s="183" t="str">
        <f>'[1]COMEDORES EMERGENTES'!$B$11</f>
        <v>E.P.C - 100 V.V NORTE</v>
      </c>
      <c r="C28" s="184"/>
      <c r="D28" s="108">
        <v>1</v>
      </c>
      <c r="E28" s="109" t="str">
        <f>'[1]COMEDORES EMERGENTES'!$G$11</f>
        <v>Bº VV NORTE C/48 ENTRE ESPAÑA Y FRANCIA</v>
      </c>
    </row>
    <row r="29" spans="2:5" x14ac:dyDescent="0.2">
      <c r="B29" s="183" t="str">
        <f>'[1]COMEDORES EMERGENTES'!$B$12</f>
        <v>HOGAR DE CRISTO - PADRE RAUL CONTRERAS</v>
      </c>
      <c r="C29" s="184"/>
      <c r="D29" s="108">
        <v>1</v>
      </c>
      <c r="E29" s="109" t="str">
        <f>'[1]COMEDORES EMERGENTES'!$G$12</f>
        <v>Bº SANTA MARTA MZA. "S" LOTE "M" C/39</v>
      </c>
    </row>
    <row r="30" spans="2:5" x14ac:dyDescent="0.2">
      <c r="B30" s="183" t="str">
        <f>'[1]COMEDORES EMERGENTES'!$B$13</f>
        <v>LA LUCIERNAGA</v>
      </c>
      <c r="C30" s="184"/>
      <c r="D30" s="108">
        <v>1</v>
      </c>
      <c r="E30" s="109" t="str">
        <f>'[1]COMEDORES EMERGENTES'!$G$13</f>
        <v>Bº 20 V.V NORTE C/3</v>
      </c>
    </row>
    <row r="31" spans="2:5" x14ac:dyDescent="0.2">
      <c r="B31" s="183" t="str">
        <f>'[1]COMEDORES EMERGENTES'!$B$14</f>
        <v>VALLE VIEJO - SUMALAO</v>
      </c>
      <c r="C31" s="184"/>
      <c r="D31" s="108">
        <v>1</v>
      </c>
      <c r="E31" s="109" t="str">
        <f>'[1]COMEDORES EMERGENTES'!$G$14</f>
        <v>PADRE SEGURA S/N</v>
      </c>
    </row>
    <row r="32" spans="2:5" x14ac:dyDescent="0.2">
      <c r="B32" s="183" t="str">
        <f>'[1]COMEDORES EMERGENTES'!$B$15</f>
        <v>NUESTRO FUTURO - LAS VIAS</v>
      </c>
      <c r="C32" s="184"/>
      <c r="D32" s="108">
        <v>1</v>
      </c>
      <c r="E32" s="109" t="str">
        <f>'[1]COMEDORES EMERGENTES'!$G$15</f>
        <v>Bº LAS VIAS OESTE LOTE 42</v>
      </c>
    </row>
    <row r="33" spans="2:5" x14ac:dyDescent="0.2">
      <c r="B33" s="183" t="str">
        <f>'[1]COMEDORES EMERGENTES'!$B$16</f>
        <v>SAN JOSE OBRERO</v>
      </c>
      <c r="C33" s="184"/>
      <c r="D33" s="108">
        <v>1</v>
      </c>
      <c r="E33" s="109" t="str">
        <f>'[1]COMEDORES EMERGENTES'!$G$16</f>
        <v>Bº SAN JOSE OBRERO. PJE. SANDOVAL S/Nº</v>
      </c>
    </row>
    <row r="34" spans="2:5" x14ac:dyDescent="0.2">
      <c r="B34" s="183" t="str">
        <f>'[1]COMEDORES EMERGENTES'!$B$17</f>
        <v>VIRGEN DE LUJAN</v>
      </c>
      <c r="C34" s="184"/>
      <c r="D34" s="108">
        <v>1</v>
      </c>
      <c r="E34" s="109" t="str">
        <f>'[1]COMEDORES EMERGENTES'!$G$17</f>
        <v>Bº OJO DE AGUA C/DR.TEODULFO BARRIONUEVO S/Nº</v>
      </c>
    </row>
    <row r="35" spans="2:5" x14ac:dyDescent="0.2">
      <c r="B35" s="183" t="str">
        <f>'[1]COMEDORES EMERGENTES'!$B$18</f>
        <v>RENACER</v>
      </c>
      <c r="C35" s="184"/>
      <c r="D35" s="108">
        <v>1</v>
      </c>
      <c r="E35" s="109" t="str">
        <f>'[1]COMEDORES EMERGENTES'!$G$18</f>
        <v>Bº VIRGEN MORENITA</v>
      </c>
    </row>
    <row r="36" spans="2:5" x14ac:dyDescent="0.2">
      <c r="B36" s="183" t="str">
        <f>'[1]COMEDORES EMERGENTES'!$B$19</f>
        <v>CENTRO VECINAL MI JARDIN</v>
      </c>
      <c r="C36" s="184"/>
      <c r="D36" s="108">
        <v>1</v>
      </c>
      <c r="E36" s="109" t="str">
        <f>'[1]COMEDORES EMERGENTES'!$G$19</f>
        <v>C/ LOS TULIPANES ENTRE FLOR DE CEREZO Y HOLANDA MZA.27 Bº MI JARDIN</v>
      </c>
    </row>
    <row r="37" spans="2:5" x14ac:dyDescent="0.2">
      <c r="B37" s="183" t="str">
        <f>'[1]COMEDORES EMERGENTES'!$B$20</f>
        <v>LA VIEJA ESQUINA</v>
      </c>
      <c r="C37" s="184"/>
      <c r="D37" s="108">
        <v>1</v>
      </c>
      <c r="E37" s="109" t="str">
        <f>'[1]COMEDORES EMERGENTES'!$G$20</f>
        <v>B° CRISTO REY PJE CAPATAZ VILLAFAÑEZ Y ARMANDO CORREA</v>
      </c>
    </row>
    <row r="38" spans="2:5" x14ac:dyDescent="0.2">
      <c r="B38" s="183" t="str">
        <f>'[1]COMEDORES EMERGENTES'!$B$21</f>
        <v>GAUCHITO GIL</v>
      </c>
      <c r="C38" s="184"/>
      <c r="D38" s="108">
        <v>1</v>
      </c>
      <c r="E38" s="109" t="str">
        <f>'[1]COMEDORES EMERGENTES'!$G$21</f>
        <v>B° 26 VIVIENDAS CASA N° 3</v>
      </c>
    </row>
    <row r="39" spans="2:5" x14ac:dyDescent="0.2">
      <c r="B39" s="183" t="str">
        <f>'[1]COMEDORES EMERGENTES'!$B$22</f>
        <v>LOS TOLDOS</v>
      </c>
      <c r="C39" s="184"/>
      <c r="D39" s="108">
        <v>1</v>
      </c>
      <c r="E39" s="109" t="str">
        <f>'[1]COMEDORES EMERGENTES'!$G$22</f>
        <v>LOTEO PARQUE SUR CALLE S/NOMBRE S/N°</v>
      </c>
    </row>
    <row r="40" spans="2:5" x14ac:dyDescent="0.2">
      <c r="B40" s="33" t="s">
        <v>20</v>
      </c>
      <c r="C40" s="31"/>
      <c r="D40" s="31"/>
      <c r="E40" s="32"/>
    </row>
    <row r="41" spans="2:5" x14ac:dyDescent="0.2">
      <c r="B41" s="196" t="s">
        <v>65</v>
      </c>
      <c r="C41" s="197"/>
      <c r="D41" s="197"/>
      <c r="E41" s="198"/>
    </row>
    <row r="42" spans="2:5" ht="13.5" thickBot="1" x14ac:dyDescent="0.25">
      <c r="B42" s="37"/>
      <c r="C42" s="38"/>
      <c r="D42" s="38"/>
      <c r="E42" s="39"/>
    </row>
  </sheetData>
  <mergeCells count="31">
    <mergeCell ref="B41:E41"/>
    <mergeCell ref="B33:C33"/>
    <mergeCell ref="B34:C34"/>
    <mergeCell ref="B35:C35"/>
    <mergeCell ref="B36:C36"/>
    <mergeCell ref="B37:C37"/>
    <mergeCell ref="B39:C39"/>
    <mergeCell ref="B2:H2"/>
    <mergeCell ref="A4:B4"/>
    <mergeCell ref="C4:E4"/>
    <mergeCell ref="A5:B5"/>
    <mergeCell ref="C5:E5"/>
    <mergeCell ref="A6:B6"/>
    <mergeCell ref="A7:B7"/>
    <mergeCell ref="B19:C19"/>
    <mergeCell ref="B20:C20"/>
    <mergeCell ref="B21:C21"/>
    <mergeCell ref="B22:C22"/>
    <mergeCell ref="B38:C38"/>
    <mergeCell ref="B18:E18"/>
    <mergeCell ref="B16:E16"/>
    <mergeCell ref="B28:C28"/>
    <mergeCell ref="B29:C29"/>
    <mergeCell ref="B30:C30"/>
    <mergeCell ref="B31:C31"/>
    <mergeCell ref="B32:C32"/>
    <mergeCell ref="B23:C23"/>
    <mergeCell ref="B24:C24"/>
    <mergeCell ref="B25:C25"/>
    <mergeCell ref="B26:C26"/>
    <mergeCell ref="B27:C27"/>
  </mergeCells>
  <pageMargins left="0.43307086614173229" right="0.51181102362204722" top="0.31496062992125984" bottom="0.74803149606299213" header="0.31496062992125984" footer="0.31496062992125984"/>
  <pageSetup paperSize="5"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8"/>
  <sheetViews>
    <sheetView workbookViewId="0">
      <selection sqref="A1:XFD1048576"/>
    </sheetView>
  </sheetViews>
  <sheetFormatPr baseColWidth="10" defaultColWidth="11" defaultRowHeight="12.75" x14ac:dyDescent="0.2"/>
  <cols>
    <col min="1" max="1" width="3.5703125" style="21" customWidth="1"/>
    <col min="2" max="2" width="19.28515625" style="21" customWidth="1"/>
    <col min="3" max="3" width="29.28515625" style="21" customWidth="1"/>
    <col min="4" max="4" width="8.85546875" style="21" customWidth="1"/>
    <col min="5" max="5" width="110.140625" style="21" customWidth="1"/>
    <col min="6" max="6" width="11" style="21"/>
    <col min="7" max="7" width="12.7109375" style="21" customWidth="1"/>
    <col min="8" max="8" width="13.85546875" style="21" customWidth="1"/>
    <col min="9" max="9" width="18.5703125" style="21" customWidth="1"/>
    <col min="10" max="16384" width="11" style="21"/>
  </cols>
  <sheetData>
    <row r="2" spans="1:9" ht="27" x14ac:dyDescent="0.35">
      <c r="B2" s="194" t="s">
        <v>0</v>
      </c>
      <c r="C2" s="194"/>
      <c r="D2" s="194"/>
      <c r="E2" s="194"/>
      <c r="F2" s="194"/>
      <c r="G2" s="194"/>
      <c r="H2" s="194"/>
    </row>
    <row r="4" spans="1:9" ht="18" customHeight="1" x14ac:dyDescent="0.25">
      <c r="A4" s="191" t="s">
        <v>1</v>
      </c>
      <c r="B4" s="191"/>
      <c r="C4" s="195" t="s">
        <v>67</v>
      </c>
      <c r="D4" s="195"/>
      <c r="E4" s="195"/>
      <c r="F4" s="22"/>
      <c r="G4" s="23"/>
      <c r="H4" s="22"/>
    </row>
    <row r="5" spans="1:9" ht="18" customHeight="1" x14ac:dyDescent="0.25">
      <c r="A5" s="191" t="s">
        <v>2</v>
      </c>
      <c r="B5" s="191"/>
      <c r="C5" s="195" t="s">
        <v>62</v>
      </c>
      <c r="D5" s="195"/>
      <c r="E5" s="195"/>
      <c r="F5" s="22"/>
      <c r="G5" s="23"/>
      <c r="H5" s="22"/>
    </row>
    <row r="6" spans="1:9" ht="16.5" customHeight="1" x14ac:dyDescent="0.25">
      <c r="A6" s="191" t="s">
        <v>3</v>
      </c>
      <c r="B6" s="191"/>
      <c r="C6" s="40">
        <v>2020</v>
      </c>
      <c r="D6" s="41"/>
      <c r="E6" s="41"/>
      <c r="F6" s="22"/>
      <c r="G6" s="23"/>
      <c r="H6" s="22"/>
    </row>
    <row r="7" spans="1:9" ht="16.5" customHeight="1" x14ac:dyDescent="0.25">
      <c r="A7" s="191" t="s">
        <v>4</v>
      </c>
      <c r="B7" s="191"/>
      <c r="C7" s="40">
        <v>3</v>
      </c>
      <c r="D7" s="41"/>
      <c r="E7" s="41"/>
      <c r="F7" s="22"/>
      <c r="G7" s="23"/>
      <c r="H7" s="22"/>
    </row>
    <row r="8" spans="1:9" ht="13.5" thickBot="1" x14ac:dyDescent="0.25">
      <c r="B8" s="22"/>
      <c r="C8" s="23"/>
      <c r="D8" s="22"/>
      <c r="E8" s="22"/>
      <c r="F8" s="22"/>
      <c r="G8" s="23"/>
      <c r="H8" s="22"/>
    </row>
    <row r="9" spans="1:9" ht="39" thickBot="1" x14ac:dyDescent="0.25">
      <c r="A9" s="43" t="s">
        <v>5</v>
      </c>
      <c r="B9" s="52" t="s">
        <v>6</v>
      </c>
      <c r="C9" s="43" t="s">
        <v>7</v>
      </c>
      <c r="D9" s="43" t="s">
        <v>8</v>
      </c>
      <c r="E9" s="52" t="s">
        <v>9</v>
      </c>
      <c r="F9" s="44" t="s">
        <v>10</v>
      </c>
      <c r="G9" s="45" t="s">
        <v>11</v>
      </c>
      <c r="H9" s="45" t="s">
        <v>12</v>
      </c>
      <c r="I9" s="46" t="s">
        <v>13</v>
      </c>
    </row>
    <row r="10" spans="1:9" x14ac:dyDescent="0.2">
      <c r="A10" s="24">
        <v>1</v>
      </c>
      <c r="B10" s="49" t="s">
        <v>123</v>
      </c>
      <c r="C10" s="63" t="s">
        <v>111</v>
      </c>
      <c r="D10" s="66" t="s">
        <v>112</v>
      </c>
      <c r="E10" s="49" t="s">
        <v>126</v>
      </c>
      <c r="F10" s="59" t="s">
        <v>119</v>
      </c>
      <c r="G10" s="60">
        <v>240</v>
      </c>
      <c r="H10" s="112">
        <v>175</v>
      </c>
      <c r="I10" s="81">
        <f>+H10*G10</f>
        <v>42000</v>
      </c>
    </row>
    <row r="11" spans="1:9" x14ac:dyDescent="0.2">
      <c r="A11" s="25">
        <v>2</v>
      </c>
      <c r="B11" s="42" t="s">
        <v>124</v>
      </c>
      <c r="C11" s="64" t="s">
        <v>111</v>
      </c>
      <c r="D11" s="67" t="s">
        <v>112</v>
      </c>
      <c r="E11" s="42" t="s">
        <v>127</v>
      </c>
      <c r="F11" s="50" t="s">
        <v>119</v>
      </c>
      <c r="G11" s="51">
        <v>240</v>
      </c>
      <c r="H11" s="87">
        <v>225</v>
      </c>
      <c r="I11" s="88">
        <f t="shared" ref="I11:I12" si="0">+H11*G11</f>
        <v>54000</v>
      </c>
    </row>
    <row r="12" spans="1:9" ht="13.5" thickBot="1" x14ac:dyDescent="0.25">
      <c r="A12" s="26">
        <v>3</v>
      </c>
      <c r="B12" s="47" t="s">
        <v>125</v>
      </c>
      <c r="C12" s="65" t="s">
        <v>111</v>
      </c>
      <c r="D12" s="68" t="s">
        <v>112</v>
      </c>
      <c r="E12" s="47" t="s">
        <v>128</v>
      </c>
      <c r="F12" s="61" t="s">
        <v>119</v>
      </c>
      <c r="G12" s="62">
        <v>240</v>
      </c>
      <c r="H12" s="106">
        <v>320</v>
      </c>
      <c r="I12" s="107">
        <f t="shared" si="0"/>
        <v>76800</v>
      </c>
    </row>
    <row r="15" spans="1:9" x14ac:dyDescent="0.2">
      <c r="B15" s="27" t="s">
        <v>15</v>
      </c>
      <c r="C15" s="28"/>
      <c r="D15" s="28"/>
      <c r="E15" s="29"/>
    </row>
    <row r="16" spans="1:9" ht="5.25" customHeight="1" x14ac:dyDescent="0.2">
      <c r="B16" s="30"/>
      <c r="C16" s="31"/>
      <c r="D16" s="31"/>
      <c r="E16" s="32"/>
    </row>
    <row r="17" spans="2:5" x14ac:dyDescent="0.2">
      <c r="B17" s="33" t="s">
        <v>16</v>
      </c>
      <c r="C17" s="31"/>
      <c r="D17" s="31"/>
      <c r="E17" s="32"/>
    </row>
    <row r="18" spans="2:5" ht="25.5" customHeight="1" x14ac:dyDescent="0.2">
      <c r="B18" s="33"/>
      <c r="C18" s="189" t="s">
        <v>129</v>
      </c>
      <c r="D18" s="189"/>
      <c r="E18" s="190"/>
    </row>
    <row r="19" spans="2:5" ht="13.5" thickBot="1" x14ac:dyDescent="0.25">
      <c r="B19" s="33" t="s">
        <v>17</v>
      </c>
      <c r="C19" s="31"/>
      <c r="D19" s="31"/>
      <c r="E19" s="32"/>
    </row>
    <row r="20" spans="2:5" ht="13.5" thickBot="1" x14ac:dyDescent="0.25">
      <c r="B20" s="185" t="s">
        <v>138</v>
      </c>
      <c r="C20" s="186"/>
      <c r="D20" s="186"/>
      <c r="E20" s="187"/>
    </row>
    <row r="21" spans="2:5" ht="13.5" thickBot="1" x14ac:dyDescent="0.25">
      <c r="B21" s="185" t="s">
        <v>139</v>
      </c>
      <c r="C21" s="187"/>
      <c r="D21" s="69" t="s">
        <v>11</v>
      </c>
      <c r="E21" s="69" t="s">
        <v>140</v>
      </c>
    </row>
    <row r="22" spans="2:5" x14ac:dyDescent="0.2">
      <c r="B22" s="192" t="str">
        <f>'[1]COMEDORES EMERGENTES'!$B$3</f>
        <v>UNA SONRISA AV. LOS COBACHO</v>
      </c>
      <c r="C22" s="193"/>
      <c r="D22" s="108">
        <v>1</v>
      </c>
      <c r="E22" s="109" t="str">
        <f>'[1]COMEDORES EMERGENTES'!$G$3</f>
        <v>Bº SAN CARLOS OESTE AV. Bonifacio cobacho 670</v>
      </c>
    </row>
    <row r="23" spans="2:5" x14ac:dyDescent="0.2">
      <c r="B23" s="183" t="str">
        <f>'[1]COMEDORES EMERGENTES'!$B$4</f>
        <v>C.I.F Nº1 - RIVERA DEL VALLE Y FLORIDA</v>
      </c>
      <c r="C23" s="184"/>
      <c r="D23" s="108">
        <v>1</v>
      </c>
      <c r="E23" s="109" t="str">
        <f>'[1]COMEDORES EMERGENTES'!$G$4</f>
        <v>AV. RIVIERA DEL VALLE ENTRE FLORIDA Y SANTA FE</v>
      </c>
    </row>
    <row r="24" spans="2:5" x14ac:dyDescent="0.2">
      <c r="B24" s="183" t="str">
        <f>'[1]COMEDORES EMERGENTES'!$B$5</f>
        <v>C.I.F - RIVERA DEL VALLE - DILORENZO</v>
      </c>
      <c r="C24" s="184"/>
      <c r="D24" s="108">
        <v>1</v>
      </c>
      <c r="E24" s="109" t="str">
        <f>'[1]COMEDORES EMERGENTES'!$G$5</f>
        <v>Bº RIVERA DEL VALLE ENTRE VILLA EUMELIA Y MONTE CRISTO</v>
      </c>
    </row>
    <row r="25" spans="2:5" x14ac:dyDescent="0.2">
      <c r="B25" s="183" t="str">
        <f>'[1]COMEDORES EMERGENTES'!$B$6</f>
        <v>ESFUERZO PROPIO- Bº ALTOS DE CHOYA</v>
      </c>
      <c r="C25" s="184"/>
      <c r="D25" s="108">
        <v>1</v>
      </c>
      <c r="E25" s="109" t="str">
        <f>'[1]COMEDORES EMERGENTES'!$G$6</f>
        <v>Bº MUNICIPAL 35VV. NORTE C/14</v>
      </c>
    </row>
    <row r="26" spans="2:5" x14ac:dyDescent="0.2">
      <c r="B26" s="183" t="str">
        <f>'[1]COMEDORES EMERGENTES'!$B$7</f>
        <v>ANGELITOS - LOTEO SUSSEX</v>
      </c>
      <c r="C26" s="184"/>
      <c r="D26" s="108">
        <v>1</v>
      </c>
      <c r="E26" s="109" t="str">
        <f>'[1]COMEDORES EMERGENTES'!$G$7</f>
        <v>Bº LOTEO SUSEX MZA.Nº 4 LOTE Nº3</v>
      </c>
    </row>
    <row r="27" spans="2:5" x14ac:dyDescent="0.2">
      <c r="B27" s="183" t="str">
        <f>'[1]COMEDORES EMERGENTES'!$B$8</f>
        <v>CLUB DEPORTIVO CHACARITA</v>
      </c>
      <c r="C27" s="184"/>
      <c r="D27" s="108">
        <v>1</v>
      </c>
      <c r="E27" s="109" t="str">
        <f>'[1]COMEDORES EMERGENTES'!$G$8</f>
        <v>CALLE DR.DERMIDIO GALINDEZ C/2660</v>
      </c>
    </row>
    <row r="28" spans="2:5" x14ac:dyDescent="0.2">
      <c r="B28" s="183" t="str">
        <f>'[1]COMEDORES EMERGENTES'!$B$9</f>
        <v>LA MORO</v>
      </c>
      <c r="C28" s="184"/>
      <c r="D28" s="108">
        <v>1</v>
      </c>
      <c r="E28" s="109" t="str">
        <f>'[1]COMEDORES EMERGENTES'!$G$9</f>
        <v>MAIPU NORTE 1º ETAPA MZA "H" Bº MI JARDIN</v>
      </c>
    </row>
    <row r="29" spans="2:5" x14ac:dyDescent="0.2">
      <c r="B29" s="183" t="str">
        <f>'[1]COMEDORES EMERGENTES'!$B$10</f>
        <v>PAPA FRANCISCO</v>
      </c>
      <c r="C29" s="184"/>
      <c r="D29" s="108">
        <v>1</v>
      </c>
      <c r="E29" s="109" t="str">
        <f>'[1]COMEDORES EMERGENTES'!$G$10</f>
        <v>ENTRE AV.TEREBINTO Y AV.SAN JUAN LOTE "2" MZA. "B"</v>
      </c>
    </row>
    <row r="30" spans="2:5" x14ac:dyDescent="0.2">
      <c r="B30" s="183" t="str">
        <f>'[1]COMEDORES EMERGENTES'!$B$11</f>
        <v>E.P.C - 100 V.V NORTE</v>
      </c>
      <c r="C30" s="184"/>
      <c r="D30" s="108">
        <v>1</v>
      </c>
      <c r="E30" s="109" t="str">
        <f>'[1]COMEDORES EMERGENTES'!$G$11</f>
        <v>Bº VV NORTE C/48 ENTRE ESPAÑA Y FRANCIA</v>
      </c>
    </row>
    <row r="31" spans="2:5" x14ac:dyDescent="0.2">
      <c r="B31" s="183" t="str">
        <f>'[1]COMEDORES EMERGENTES'!$B$12</f>
        <v>HOGAR DE CRISTO - PADRE RAUL CONTRERAS</v>
      </c>
      <c r="C31" s="184"/>
      <c r="D31" s="108">
        <v>1</v>
      </c>
      <c r="E31" s="109" t="str">
        <f>'[1]COMEDORES EMERGENTES'!$G$12</f>
        <v>Bº SANTA MARTA MZA. "S" LOTE "M" C/39</v>
      </c>
    </row>
    <row r="32" spans="2:5" x14ac:dyDescent="0.2">
      <c r="B32" s="183" t="str">
        <f>'[1]COMEDORES EMERGENTES'!$B$13</f>
        <v>LA LUCIERNAGA</v>
      </c>
      <c r="C32" s="184"/>
      <c r="D32" s="108">
        <v>1</v>
      </c>
      <c r="E32" s="109" t="str">
        <f>'[1]COMEDORES EMERGENTES'!$G$13</f>
        <v>Bº 20 V.V NORTE C/3</v>
      </c>
    </row>
    <row r="33" spans="2:5" x14ac:dyDescent="0.2">
      <c r="B33" s="183" t="str">
        <f>'[1]COMEDORES EMERGENTES'!$B$14</f>
        <v>VALLE VIEJO - SUMALAO</v>
      </c>
      <c r="C33" s="184"/>
      <c r="D33" s="108">
        <v>1</v>
      </c>
      <c r="E33" s="109" t="str">
        <f>'[1]COMEDORES EMERGENTES'!$G$14</f>
        <v>PADRE SEGURA S/N</v>
      </c>
    </row>
    <row r="34" spans="2:5" x14ac:dyDescent="0.2">
      <c r="B34" s="183" t="str">
        <f>'[1]COMEDORES EMERGENTES'!$B$15</f>
        <v>NUESTRO FUTURO - LAS VIAS</v>
      </c>
      <c r="C34" s="184"/>
      <c r="D34" s="108">
        <v>1</v>
      </c>
      <c r="E34" s="109" t="str">
        <f>'[1]COMEDORES EMERGENTES'!$G$15</f>
        <v>Bº LAS VIAS OESTE LOTE 42</v>
      </c>
    </row>
    <row r="35" spans="2:5" x14ac:dyDescent="0.2">
      <c r="B35" s="183" t="str">
        <f>'[1]COMEDORES EMERGENTES'!$B$16</f>
        <v>SAN JOSE OBRERO</v>
      </c>
      <c r="C35" s="184"/>
      <c r="D35" s="108">
        <v>1</v>
      </c>
      <c r="E35" s="109" t="str">
        <f>'[1]COMEDORES EMERGENTES'!$G$16</f>
        <v>Bº SAN JOSE OBRERO. PJE. SANDOVAL S/Nº</v>
      </c>
    </row>
    <row r="36" spans="2:5" x14ac:dyDescent="0.2">
      <c r="B36" s="183" t="str">
        <f>'[1]COMEDORES EMERGENTES'!$B$17</f>
        <v>VIRGEN DE LUJAN</v>
      </c>
      <c r="C36" s="184"/>
      <c r="D36" s="108">
        <v>1</v>
      </c>
      <c r="E36" s="109" t="str">
        <f>'[1]COMEDORES EMERGENTES'!$G$17</f>
        <v>Bº OJO DE AGUA C/DR.TEODULFO BARRIONUEVO S/Nº</v>
      </c>
    </row>
    <row r="37" spans="2:5" x14ac:dyDescent="0.2">
      <c r="B37" s="183" t="str">
        <f>'[1]COMEDORES EMERGENTES'!$B$18</f>
        <v>RENACER</v>
      </c>
      <c r="C37" s="184"/>
      <c r="D37" s="108">
        <v>1</v>
      </c>
      <c r="E37" s="109" t="str">
        <f>'[1]COMEDORES EMERGENTES'!$G$18</f>
        <v>Bº VIRGEN MORENITA</v>
      </c>
    </row>
    <row r="38" spans="2:5" x14ac:dyDescent="0.2">
      <c r="B38" s="183" t="str">
        <f>'[1]COMEDORES EMERGENTES'!$B$19</f>
        <v>CENTRO VECINAL MI JARDIN</v>
      </c>
      <c r="C38" s="184"/>
      <c r="D38" s="108">
        <v>1</v>
      </c>
      <c r="E38" s="109" t="str">
        <f>'[1]COMEDORES EMERGENTES'!$G$19</f>
        <v>C/ LOS TULIPANES ENTRE FLOR DE CEREZO Y HOLANDA MZA.27 Bº MI JARDIN</v>
      </c>
    </row>
    <row r="39" spans="2:5" x14ac:dyDescent="0.2">
      <c r="B39" s="183" t="str">
        <f>'[1]COMEDORES EMERGENTES'!$B$20</f>
        <v>LA VIEJA ESQUINA</v>
      </c>
      <c r="C39" s="184"/>
      <c r="D39" s="108">
        <v>1</v>
      </c>
      <c r="E39" s="109" t="str">
        <f>'[1]COMEDORES EMERGENTES'!$G$20</f>
        <v>B° CRISTO REY PJE CAPATAZ VILLAFAÑEZ Y ARMANDO CORREA</v>
      </c>
    </row>
    <row r="40" spans="2:5" x14ac:dyDescent="0.2">
      <c r="B40" s="183" t="str">
        <f>'[1]COMEDORES EMERGENTES'!$B$21</f>
        <v>GAUCHITO GIL</v>
      </c>
      <c r="C40" s="184"/>
      <c r="D40" s="108">
        <v>1</v>
      </c>
      <c r="E40" s="109" t="str">
        <f>'[1]COMEDORES EMERGENTES'!$G$21</f>
        <v>B° 26 VIVIENDAS CASA N° 3</v>
      </c>
    </row>
    <row r="41" spans="2:5" x14ac:dyDescent="0.2">
      <c r="B41" s="183" t="str">
        <f>'[1]COMEDORES EMERGENTES'!$B$22</f>
        <v>LOS TOLDOS</v>
      </c>
      <c r="C41" s="184"/>
      <c r="D41" s="108">
        <v>1</v>
      </c>
      <c r="E41" s="109" t="str">
        <f>'[1]COMEDORES EMERGENTES'!$G$22</f>
        <v>LOTEO PARQUE SUR CALLE S/NOMBRE S/N°</v>
      </c>
    </row>
    <row r="42" spans="2:5" x14ac:dyDescent="0.2">
      <c r="B42" s="33" t="s">
        <v>18</v>
      </c>
      <c r="C42" s="31"/>
      <c r="D42" s="31"/>
      <c r="E42" s="32"/>
    </row>
    <row r="43" spans="2:5" x14ac:dyDescent="0.2">
      <c r="B43" s="34"/>
      <c r="C43" s="199" t="s">
        <v>64</v>
      </c>
      <c r="D43" s="199"/>
      <c r="E43" s="199"/>
    </row>
    <row r="44" spans="2:5" x14ac:dyDescent="0.2">
      <c r="B44" s="33" t="s">
        <v>19</v>
      </c>
      <c r="C44" s="35"/>
      <c r="D44" s="35"/>
      <c r="E44" s="36"/>
    </row>
    <row r="45" spans="2:5" x14ac:dyDescent="0.2">
      <c r="B45" s="34"/>
      <c r="C45" s="199" t="s">
        <v>141</v>
      </c>
      <c r="D45" s="199"/>
      <c r="E45" s="199"/>
    </row>
    <row r="46" spans="2:5" x14ac:dyDescent="0.2">
      <c r="B46" s="33" t="s">
        <v>20</v>
      </c>
      <c r="C46" s="31"/>
      <c r="D46" s="31"/>
      <c r="E46" s="32"/>
    </row>
    <row r="47" spans="2:5" x14ac:dyDescent="0.2">
      <c r="B47" s="33"/>
      <c r="C47" s="198" t="s">
        <v>65</v>
      </c>
      <c r="D47" s="198"/>
      <c r="E47" s="198"/>
    </row>
    <row r="48" spans="2:5" ht="13.5" thickBot="1" x14ac:dyDescent="0.25">
      <c r="B48" s="37"/>
      <c r="C48" s="38"/>
      <c r="D48" s="38"/>
      <c r="E48" s="39"/>
    </row>
    <row r="50" spans="2:5" x14ac:dyDescent="0.2">
      <c r="B50" s="27" t="s">
        <v>21</v>
      </c>
      <c r="C50" s="28"/>
      <c r="D50" s="28"/>
      <c r="E50" s="29"/>
    </row>
    <row r="51" spans="2:5" x14ac:dyDescent="0.2">
      <c r="B51" s="30"/>
      <c r="C51" s="31"/>
      <c r="D51" s="31"/>
      <c r="E51" s="32"/>
    </row>
    <row r="52" spans="2:5" x14ac:dyDescent="0.2">
      <c r="B52" s="33" t="s">
        <v>16</v>
      </c>
      <c r="C52" s="31"/>
      <c r="D52" s="31"/>
      <c r="E52" s="32"/>
    </row>
    <row r="53" spans="2:5" ht="25.5" customHeight="1" x14ac:dyDescent="0.2">
      <c r="B53" s="33"/>
      <c r="C53" s="189" t="s">
        <v>129</v>
      </c>
      <c r="D53" s="189"/>
      <c r="E53" s="190"/>
    </row>
    <row r="54" spans="2:5" ht="13.5" thickBot="1" x14ac:dyDescent="0.25">
      <c r="B54" s="33" t="s">
        <v>17</v>
      </c>
      <c r="C54" s="31"/>
      <c r="D54" s="31"/>
      <c r="E54" s="32"/>
    </row>
    <row r="55" spans="2:5" ht="13.5" thickBot="1" x14ac:dyDescent="0.25">
      <c r="B55" s="185" t="s">
        <v>138</v>
      </c>
      <c r="C55" s="186"/>
      <c r="D55" s="186"/>
      <c r="E55" s="187"/>
    </row>
    <row r="56" spans="2:5" ht="13.5" thickBot="1" x14ac:dyDescent="0.25">
      <c r="B56" s="185" t="s">
        <v>139</v>
      </c>
      <c r="C56" s="187"/>
      <c r="D56" s="69" t="s">
        <v>11</v>
      </c>
      <c r="E56" s="69" t="s">
        <v>140</v>
      </c>
    </row>
    <row r="57" spans="2:5" x14ac:dyDescent="0.2">
      <c r="B57" s="192" t="str">
        <f>'[1]COMEDORES EMERGENTES'!$B$3</f>
        <v>UNA SONRISA AV. LOS COBACHO</v>
      </c>
      <c r="C57" s="193"/>
      <c r="D57" s="108">
        <v>1</v>
      </c>
      <c r="E57" s="109" t="str">
        <f>'[1]COMEDORES EMERGENTES'!$G$3</f>
        <v>Bº SAN CARLOS OESTE AV. Bonifacio cobacho 670</v>
      </c>
    </row>
    <row r="58" spans="2:5" x14ac:dyDescent="0.2">
      <c r="B58" s="183" t="str">
        <f>'[1]COMEDORES EMERGENTES'!$B$4</f>
        <v>C.I.F Nº1 - RIVERA DEL VALLE Y FLORIDA</v>
      </c>
      <c r="C58" s="184"/>
      <c r="D58" s="108">
        <v>1</v>
      </c>
      <c r="E58" s="109" t="str">
        <f>'[1]COMEDORES EMERGENTES'!$G$4</f>
        <v>AV. RIVIERA DEL VALLE ENTRE FLORIDA Y SANTA FE</v>
      </c>
    </row>
    <row r="59" spans="2:5" x14ac:dyDescent="0.2">
      <c r="B59" s="183" t="str">
        <f>'[1]COMEDORES EMERGENTES'!$B$5</f>
        <v>C.I.F - RIVERA DEL VALLE - DILORENZO</v>
      </c>
      <c r="C59" s="184"/>
      <c r="D59" s="108">
        <v>1</v>
      </c>
      <c r="E59" s="109" t="str">
        <f>'[1]COMEDORES EMERGENTES'!$G$5</f>
        <v>Bº RIVERA DEL VALLE ENTRE VILLA EUMELIA Y MONTE CRISTO</v>
      </c>
    </row>
    <row r="60" spans="2:5" x14ac:dyDescent="0.2">
      <c r="B60" s="183" t="str">
        <f>'[1]COMEDORES EMERGENTES'!$B$6</f>
        <v>ESFUERZO PROPIO- Bº ALTOS DE CHOYA</v>
      </c>
      <c r="C60" s="184"/>
      <c r="D60" s="108">
        <v>1</v>
      </c>
      <c r="E60" s="109" t="str">
        <f>'[1]COMEDORES EMERGENTES'!$G$6</f>
        <v>Bº MUNICIPAL 35VV. NORTE C/14</v>
      </c>
    </row>
    <row r="61" spans="2:5" x14ac:dyDescent="0.2">
      <c r="B61" s="183" t="str">
        <f>'[1]COMEDORES EMERGENTES'!$B$7</f>
        <v>ANGELITOS - LOTEO SUSSEX</v>
      </c>
      <c r="C61" s="184"/>
      <c r="D61" s="108">
        <v>1</v>
      </c>
      <c r="E61" s="109" t="str">
        <f>'[1]COMEDORES EMERGENTES'!$G$7</f>
        <v>Bº LOTEO SUSEX MZA.Nº 4 LOTE Nº3</v>
      </c>
    </row>
    <row r="62" spans="2:5" x14ac:dyDescent="0.2">
      <c r="B62" s="183" t="str">
        <f>'[1]COMEDORES EMERGENTES'!$B$8</f>
        <v>CLUB DEPORTIVO CHACARITA</v>
      </c>
      <c r="C62" s="184"/>
      <c r="D62" s="108">
        <v>1</v>
      </c>
      <c r="E62" s="109" t="str">
        <f>'[1]COMEDORES EMERGENTES'!$G$8</f>
        <v>CALLE DR.DERMIDIO GALINDEZ C/2660</v>
      </c>
    </row>
    <row r="63" spans="2:5" x14ac:dyDescent="0.2">
      <c r="B63" s="183" t="str">
        <f>'[1]COMEDORES EMERGENTES'!$B$9</f>
        <v>LA MORO</v>
      </c>
      <c r="C63" s="184"/>
      <c r="D63" s="108">
        <v>1</v>
      </c>
      <c r="E63" s="109" t="str">
        <f>'[1]COMEDORES EMERGENTES'!$G$9</f>
        <v>MAIPU NORTE 1º ETAPA MZA "H" Bº MI JARDIN</v>
      </c>
    </row>
    <row r="64" spans="2:5" x14ac:dyDescent="0.2">
      <c r="B64" s="183" t="str">
        <f>'[1]COMEDORES EMERGENTES'!$B$10</f>
        <v>PAPA FRANCISCO</v>
      </c>
      <c r="C64" s="184"/>
      <c r="D64" s="108">
        <v>1</v>
      </c>
      <c r="E64" s="109" t="str">
        <f>'[1]COMEDORES EMERGENTES'!$G$10</f>
        <v>ENTRE AV.TEREBINTO Y AV.SAN JUAN LOTE "2" MZA. "B"</v>
      </c>
    </row>
    <row r="65" spans="2:5" x14ac:dyDescent="0.2">
      <c r="B65" s="183" t="str">
        <f>'[1]COMEDORES EMERGENTES'!$B$11</f>
        <v>E.P.C - 100 V.V NORTE</v>
      </c>
      <c r="C65" s="184"/>
      <c r="D65" s="108">
        <v>1</v>
      </c>
      <c r="E65" s="109" t="str">
        <f>'[1]COMEDORES EMERGENTES'!$G$11</f>
        <v>Bº VV NORTE C/48 ENTRE ESPAÑA Y FRANCIA</v>
      </c>
    </row>
    <row r="66" spans="2:5" x14ac:dyDescent="0.2">
      <c r="B66" s="183" t="str">
        <f>'[1]COMEDORES EMERGENTES'!$B$12</f>
        <v>HOGAR DE CRISTO - PADRE RAUL CONTRERAS</v>
      </c>
      <c r="C66" s="184"/>
      <c r="D66" s="108">
        <v>1</v>
      </c>
      <c r="E66" s="109" t="str">
        <f>'[1]COMEDORES EMERGENTES'!$G$12</f>
        <v>Bº SANTA MARTA MZA. "S" LOTE "M" C/39</v>
      </c>
    </row>
    <row r="67" spans="2:5" x14ac:dyDescent="0.2">
      <c r="B67" s="183" t="str">
        <f>'[1]COMEDORES EMERGENTES'!$B$13</f>
        <v>LA LUCIERNAGA</v>
      </c>
      <c r="C67" s="184"/>
      <c r="D67" s="108">
        <v>1</v>
      </c>
      <c r="E67" s="109" t="str">
        <f>'[1]COMEDORES EMERGENTES'!$G$13</f>
        <v>Bº 20 V.V NORTE C/3</v>
      </c>
    </row>
    <row r="68" spans="2:5" x14ac:dyDescent="0.2">
      <c r="B68" s="183" t="str">
        <f>'[1]COMEDORES EMERGENTES'!$B$14</f>
        <v>VALLE VIEJO - SUMALAO</v>
      </c>
      <c r="C68" s="184"/>
      <c r="D68" s="108">
        <v>1</v>
      </c>
      <c r="E68" s="109" t="str">
        <f>'[1]COMEDORES EMERGENTES'!$G$14</f>
        <v>PADRE SEGURA S/N</v>
      </c>
    </row>
    <row r="69" spans="2:5" x14ac:dyDescent="0.2">
      <c r="B69" s="183" t="str">
        <f>'[1]COMEDORES EMERGENTES'!$B$15</f>
        <v>NUESTRO FUTURO - LAS VIAS</v>
      </c>
      <c r="C69" s="184"/>
      <c r="D69" s="108">
        <v>1</v>
      </c>
      <c r="E69" s="109" t="str">
        <f>'[1]COMEDORES EMERGENTES'!$G$15</f>
        <v>Bº LAS VIAS OESTE LOTE 42</v>
      </c>
    </row>
    <row r="70" spans="2:5" x14ac:dyDescent="0.2">
      <c r="B70" s="183" t="str">
        <f>'[1]COMEDORES EMERGENTES'!$B$16</f>
        <v>SAN JOSE OBRERO</v>
      </c>
      <c r="C70" s="184"/>
      <c r="D70" s="108">
        <v>1</v>
      </c>
      <c r="E70" s="109" t="str">
        <f>'[1]COMEDORES EMERGENTES'!$G$16</f>
        <v>Bº SAN JOSE OBRERO. PJE. SANDOVAL S/Nº</v>
      </c>
    </row>
    <row r="71" spans="2:5" x14ac:dyDescent="0.2">
      <c r="B71" s="183" t="str">
        <f>'[1]COMEDORES EMERGENTES'!$B$17</f>
        <v>VIRGEN DE LUJAN</v>
      </c>
      <c r="C71" s="184"/>
      <c r="D71" s="108">
        <v>1</v>
      </c>
      <c r="E71" s="109" t="str">
        <f>'[1]COMEDORES EMERGENTES'!$G$17</f>
        <v>Bº OJO DE AGUA C/DR.TEODULFO BARRIONUEVO S/Nº</v>
      </c>
    </row>
    <row r="72" spans="2:5" x14ac:dyDescent="0.2">
      <c r="B72" s="183" t="str">
        <f>'[1]COMEDORES EMERGENTES'!$B$18</f>
        <v>RENACER</v>
      </c>
      <c r="C72" s="184"/>
      <c r="D72" s="108">
        <v>1</v>
      </c>
      <c r="E72" s="109" t="str">
        <f>'[1]COMEDORES EMERGENTES'!$G$18</f>
        <v>Bº VIRGEN MORENITA</v>
      </c>
    </row>
    <row r="73" spans="2:5" x14ac:dyDescent="0.2">
      <c r="B73" s="183" t="str">
        <f>'[1]COMEDORES EMERGENTES'!$B$19</f>
        <v>CENTRO VECINAL MI JARDIN</v>
      </c>
      <c r="C73" s="184"/>
      <c r="D73" s="108">
        <v>1</v>
      </c>
      <c r="E73" s="109" t="str">
        <f>'[1]COMEDORES EMERGENTES'!$G$19</f>
        <v>C/ LOS TULIPANES ENTRE FLOR DE CEREZO Y HOLANDA MZA.27 Bº MI JARDIN</v>
      </c>
    </row>
    <row r="74" spans="2:5" x14ac:dyDescent="0.2">
      <c r="B74" s="183" t="str">
        <f>'[1]COMEDORES EMERGENTES'!$B$20</f>
        <v>LA VIEJA ESQUINA</v>
      </c>
      <c r="C74" s="184"/>
      <c r="D74" s="108">
        <v>1</v>
      </c>
      <c r="E74" s="109" t="str">
        <f>'[1]COMEDORES EMERGENTES'!$G$20</f>
        <v>B° CRISTO REY PJE CAPATAZ VILLAFAÑEZ Y ARMANDO CORREA</v>
      </c>
    </row>
    <row r="75" spans="2:5" x14ac:dyDescent="0.2">
      <c r="B75" s="183" t="str">
        <f>'[1]COMEDORES EMERGENTES'!$B$21</f>
        <v>GAUCHITO GIL</v>
      </c>
      <c r="C75" s="184"/>
      <c r="D75" s="108">
        <v>1</v>
      </c>
      <c r="E75" s="109" t="str">
        <f>'[1]COMEDORES EMERGENTES'!$G$21</f>
        <v>B° 26 VIVIENDAS CASA N° 3</v>
      </c>
    </row>
    <row r="76" spans="2:5" x14ac:dyDescent="0.2">
      <c r="B76" s="183" t="str">
        <f>'[1]COMEDORES EMERGENTES'!$B$22</f>
        <v>LOS TOLDOS</v>
      </c>
      <c r="C76" s="184"/>
      <c r="D76" s="108">
        <v>1</v>
      </c>
      <c r="E76" s="109" t="str">
        <f>'[1]COMEDORES EMERGENTES'!$G$22</f>
        <v>LOTEO PARQUE SUR CALLE S/NOMBRE S/N°</v>
      </c>
    </row>
    <row r="77" spans="2:5" x14ac:dyDescent="0.2">
      <c r="B77" s="33" t="s">
        <v>18</v>
      </c>
      <c r="C77" s="31"/>
      <c r="D77" s="31"/>
      <c r="E77" s="32"/>
    </row>
    <row r="78" spans="2:5" x14ac:dyDescent="0.2">
      <c r="B78" s="34"/>
      <c r="C78" s="199" t="s">
        <v>64</v>
      </c>
      <c r="D78" s="199"/>
      <c r="E78" s="199"/>
    </row>
    <row r="79" spans="2:5" x14ac:dyDescent="0.2">
      <c r="B79" s="33" t="s">
        <v>19</v>
      </c>
      <c r="C79" s="35"/>
      <c r="D79" s="35"/>
      <c r="E79" s="36"/>
    </row>
    <row r="80" spans="2:5" x14ac:dyDescent="0.2">
      <c r="B80" s="34"/>
      <c r="C80" s="199" t="s">
        <v>141</v>
      </c>
      <c r="D80" s="199"/>
      <c r="E80" s="199"/>
    </row>
    <row r="81" spans="2:5" x14ac:dyDescent="0.2">
      <c r="B81" s="33" t="s">
        <v>20</v>
      </c>
      <c r="C81" s="31"/>
      <c r="D81" s="31"/>
      <c r="E81" s="32"/>
    </row>
    <row r="82" spans="2:5" x14ac:dyDescent="0.2">
      <c r="B82" s="33"/>
      <c r="C82" s="198" t="s">
        <v>65</v>
      </c>
      <c r="D82" s="198"/>
      <c r="E82" s="198"/>
    </row>
    <row r="83" spans="2:5" ht="13.5" thickBot="1" x14ac:dyDescent="0.25">
      <c r="B83" s="37"/>
      <c r="C83" s="38"/>
      <c r="D83" s="38"/>
      <c r="E83" s="39"/>
    </row>
    <row r="84" spans="2:5" ht="13.5" thickBot="1" x14ac:dyDescent="0.25"/>
    <row r="85" spans="2:5" x14ac:dyDescent="0.2">
      <c r="B85" s="27" t="s">
        <v>66</v>
      </c>
      <c r="C85" s="28"/>
      <c r="D85" s="28"/>
      <c r="E85" s="29"/>
    </row>
    <row r="86" spans="2:5" x14ac:dyDescent="0.2">
      <c r="B86" s="30"/>
      <c r="C86" s="31"/>
      <c r="D86" s="31"/>
      <c r="E86" s="32"/>
    </row>
    <row r="87" spans="2:5" x14ac:dyDescent="0.2">
      <c r="B87" s="33" t="s">
        <v>16</v>
      </c>
      <c r="C87" s="31"/>
      <c r="D87" s="31"/>
      <c r="E87" s="32"/>
    </row>
    <row r="88" spans="2:5" ht="25.5" customHeight="1" x14ac:dyDescent="0.2">
      <c r="B88" s="33"/>
      <c r="C88" s="189" t="s">
        <v>129</v>
      </c>
      <c r="D88" s="189"/>
      <c r="E88" s="190"/>
    </row>
    <row r="89" spans="2:5" ht="13.5" thickBot="1" x14ac:dyDescent="0.25">
      <c r="B89" s="33" t="s">
        <v>17</v>
      </c>
      <c r="C89" s="31"/>
      <c r="D89" s="31"/>
      <c r="E89" s="32"/>
    </row>
    <row r="90" spans="2:5" ht="13.5" thickBot="1" x14ac:dyDescent="0.25">
      <c r="B90" s="185" t="s">
        <v>138</v>
      </c>
      <c r="C90" s="186"/>
      <c r="D90" s="186"/>
      <c r="E90" s="187"/>
    </row>
    <row r="91" spans="2:5" ht="13.5" thickBot="1" x14ac:dyDescent="0.25">
      <c r="B91" s="185" t="s">
        <v>139</v>
      </c>
      <c r="C91" s="187"/>
      <c r="D91" s="69" t="s">
        <v>11</v>
      </c>
      <c r="E91" s="69" t="s">
        <v>140</v>
      </c>
    </row>
    <row r="92" spans="2:5" x14ac:dyDescent="0.2">
      <c r="B92" s="192" t="str">
        <f>'[1]COMEDORES EMERGENTES'!$B$3</f>
        <v>UNA SONRISA AV. LOS COBACHO</v>
      </c>
      <c r="C92" s="193"/>
      <c r="D92" s="108">
        <v>1</v>
      </c>
      <c r="E92" s="109" t="str">
        <f>'[1]COMEDORES EMERGENTES'!$G$3</f>
        <v>Bº SAN CARLOS OESTE AV. Bonifacio cobacho 670</v>
      </c>
    </row>
    <row r="93" spans="2:5" x14ac:dyDescent="0.2">
      <c r="B93" s="183" t="str">
        <f>'[1]COMEDORES EMERGENTES'!$B$4</f>
        <v>C.I.F Nº1 - RIVERA DEL VALLE Y FLORIDA</v>
      </c>
      <c r="C93" s="184"/>
      <c r="D93" s="108">
        <v>1</v>
      </c>
      <c r="E93" s="109" t="str">
        <f>'[1]COMEDORES EMERGENTES'!$G$4</f>
        <v>AV. RIVIERA DEL VALLE ENTRE FLORIDA Y SANTA FE</v>
      </c>
    </row>
    <row r="94" spans="2:5" x14ac:dyDescent="0.2">
      <c r="B94" s="183" t="str">
        <f>'[1]COMEDORES EMERGENTES'!$B$5</f>
        <v>C.I.F - RIVERA DEL VALLE - DILORENZO</v>
      </c>
      <c r="C94" s="184"/>
      <c r="D94" s="108">
        <v>1</v>
      </c>
      <c r="E94" s="109" t="str">
        <f>'[1]COMEDORES EMERGENTES'!$G$5</f>
        <v>Bº RIVERA DEL VALLE ENTRE VILLA EUMELIA Y MONTE CRISTO</v>
      </c>
    </row>
    <row r="95" spans="2:5" x14ac:dyDescent="0.2">
      <c r="B95" s="183" t="str">
        <f>'[1]COMEDORES EMERGENTES'!$B$6</f>
        <v>ESFUERZO PROPIO- Bº ALTOS DE CHOYA</v>
      </c>
      <c r="C95" s="184"/>
      <c r="D95" s="108">
        <v>1</v>
      </c>
      <c r="E95" s="109" t="str">
        <f>'[1]COMEDORES EMERGENTES'!$G$6</f>
        <v>Bº MUNICIPAL 35VV. NORTE C/14</v>
      </c>
    </row>
    <row r="96" spans="2:5" x14ac:dyDescent="0.2">
      <c r="B96" s="183" t="str">
        <f>'[1]COMEDORES EMERGENTES'!$B$7</f>
        <v>ANGELITOS - LOTEO SUSSEX</v>
      </c>
      <c r="C96" s="184"/>
      <c r="D96" s="108">
        <v>1</v>
      </c>
      <c r="E96" s="109" t="str">
        <f>'[1]COMEDORES EMERGENTES'!$G$7</f>
        <v>Bº LOTEO SUSEX MZA.Nº 4 LOTE Nº3</v>
      </c>
    </row>
    <row r="97" spans="2:5" x14ac:dyDescent="0.2">
      <c r="B97" s="183" t="str">
        <f>'[1]COMEDORES EMERGENTES'!$B$8</f>
        <v>CLUB DEPORTIVO CHACARITA</v>
      </c>
      <c r="C97" s="184"/>
      <c r="D97" s="108">
        <v>1</v>
      </c>
      <c r="E97" s="109" t="str">
        <f>'[1]COMEDORES EMERGENTES'!$G$8</f>
        <v>CALLE DR.DERMIDIO GALINDEZ C/2660</v>
      </c>
    </row>
    <row r="98" spans="2:5" x14ac:dyDescent="0.2">
      <c r="B98" s="183" t="str">
        <f>'[1]COMEDORES EMERGENTES'!$B$9</f>
        <v>LA MORO</v>
      </c>
      <c r="C98" s="184"/>
      <c r="D98" s="108">
        <v>1</v>
      </c>
      <c r="E98" s="109" t="str">
        <f>'[1]COMEDORES EMERGENTES'!$G$9</f>
        <v>MAIPU NORTE 1º ETAPA MZA "H" Bº MI JARDIN</v>
      </c>
    </row>
    <row r="99" spans="2:5" x14ac:dyDescent="0.2">
      <c r="B99" s="183" t="str">
        <f>'[1]COMEDORES EMERGENTES'!$B$10</f>
        <v>PAPA FRANCISCO</v>
      </c>
      <c r="C99" s="184"/>
      <c r="D99" s="108">
        <v>1</v>
      </c>
      <c r="E99" s="109" t="str">
        <f>'[1]COMEDORES EMERGENTES'!$G$10</f>
        <v>ENTRE AV.TEREBINTO Y AV.SAN JUAN LOTE "2" MZA. "B"</v>
      </c>
    </row>
    <row r="100" spans="2:5" x14ac:dyDescent="0.2">
      <c r="B100" s="183" t="str">
        <f>'[1]COMEDORES EMERGENTES'!$B$11</f>
        <v>E.P.C - 100 V.V NORTE</v>
      </c>
      <c r="C100" s="184"/>
      <c r="D100" s="108">
        <v>1</v>
      </c>
      <c r="E100" s="109" t="str">
        <f>'[1]COMEDORES EMERGENTES'!$G$11</f>
        <v>Bº VV NORTE C/48 ENTRE ESPAÑA Y FRANCIA</v>
      </c>
    </row>
    <row r="101" spans="2:5" x14ac:dyDescent="0.2">
      <c r="B101" s="183" t="str">
        <f>'[1]COMEDORES EMERGENTES'!$B$12</f>
        <v>HOGAR DE CRISTO - PADRE RAUL CONTRERAS</v>
      </c>
      <c r="C101" s="184"/>
      <c r="D101" s="108">
        <v>1</v>
      </c>
      <c r="E101" s="109" t="str">
        <f>'[1]COMEDORES EMERGENTES'!$G$12</f>
        <v>Bº SANTA MARTA MZA. "S" LOTE "M" C/39</v>
      </c>
    </row>
    <row r="102" spans="2:5" x14ac:dyDescent="0.2">
      <c r="B102" s="183" t="str">
        <f>'[1]COMEDORES EMERGENTES'!$B$13</f>
        <v>LA LUCIERNAGA</v>
      </c>
      <c r="C102" s="184"/>
      <c r="D102" s="108">
        <v>1</v>
      </c>
      <c r="E102" s="109" t="str">
        <f>'[1]COMEDORES EMERGENTES'!$G$13</f>
        <v>Bº 20 V.V NORTE C/3</v>
      </c>
    </row>
    <row r="103" spans="2:5" x14ac:dyDescent="0.2">
      <c r="B103" s="183" t="str">
        <f>'[1]COMEDORES EMERGENTES'!$B$14</f>
        <v>VALLE VIEJO - SUMALAO</v>
      </c>
      <c r="C103" s="184"/>
      <c r="D103" s="108">
        <v>1</v>
      </c>
      <c r="E103" s="109" t="str">
        <f>'[1]COMEDORES EMERGENTES'!$G$14</f>
        <v>PADRE SEGURA S/N</v>
      </c>
    </row>
    <row r="104" spans="2:5" x14ac:dyDescent="0.2">
      <c r="B104" s="183" t="str">
        <f>'[1]COMEDORES EMERGENTES'!$B$15</f>
        <v>NUESTRO FUTURO - LAS VIAS</v>
      </c>
      <c r="C104" s="184"/>
      <c r="D104" s="108">
        <v>1</v>
      </c>
      <c r="E104" s="109" t="str">
        <f>'[1]COMEDORES EMERGENTES'!$G$15</f>
        <v>Bº LAS VIAS OESTE LOTE 42</v>
      </c>
    </row>
    <row r="105" spans="2:5" x14ac:dyDescent="0.2">
      <c r="B105" s="183" t="str">
        <f>'[1]COMEDORES EMERGENTES'!$B$16</f>
        <v>SAN JOSE OBRERO</v>
      </c>
      <c r="C105" s="184"/>
      <c r="D105" s="108">
        <v>1</v>
      </c>
      <c r="E105" s="109" t="str">
        <f>'[1]COMEDORES EMERGENTES'!$G$16</f>
        <v>Bº SAN JOSE OBRERO. PJE. SANDOVAL S/Nº</v>
      </c>
    </row>
    <row r="106" spans="2:5" x14ac:dyDescent="0.2">
      <c r="B106" s="183" t="str">
        <f>'[1]COMEDORES EMERGENTES'!$B$17</f>
        <v>VIRGEN DE LUJAN</v>
      </c>
      <c r="C106" s="184"/>
      <c r="D106" s="108">
        <v>1</v>
      </c>
      <c r="E106" s="109" t="str">
        <f>'[1]COMEDORES EMERGENTES'!$G$17</f>
        <v>Bº OJO DE AGUA C/DR.TEODULFO BARRIONUEVO S/Nº</v>
      </c>
    </row>
    <row r="107" spans="2:5" x14ac:dyDescent="0.2">
      <c r="B107" s="183" t="str">
        <f>'[1]COMEDORES EMERGENTES'!$B$18</f>
        <v>RENACER</v>
      </c>
      <c r="C107" s="184"/>
      <c r="D107" s="108">
        <v>1</v>
      </c>
      <c r="E107" s="109" t="str">
        <f>'[1]COMEDORES EMERGENTES'!$G$18</f>
        <v>Bº VIRGEN MORENITA</v>
      </c>
    </row>
    <row r="108" spans="2:5" x14ac:dyDescent="0.2">
      <c r="B108" s="183" t="str">
        <f>'[1]COMEDORES EMERGENTES'!$B$19</f>
        <v>CENTRO VECINAL MI JARDIN</v>
      </c>
      <c r="C108" s="184"/>
      <c r="D108" s="108">
        <v>1</v>
      </c>
      <c r="E108" s="109" t="str">
        <f>'[1]COMEDORES EMERGENTES'!$G$19</f>
        <v>C/ LOS TULIPANES ENTRE FLOR DE CEREZO Y HOLANDA MZA.27 Bº MI JARDIN</v>
      </c>
    </row>
    <row r="109" spans="2:5" x14ac:dyDescent="0.2">
      <c r="B109" s="183" t="str">
        <f>'[1]COMEDORES EMERGENTES'!$B$20</f>
        <v>LA VIEJA ESQUINA</v>
      </c>
      <c r="C109" s="184"/>
      <c r="D109" s="108">
        <v>1</v>
      </c>
      <c r="E109" s="109" t="str">
        <f>'[1]COMEDORES EMERGENTES'!$G$20</f>
        <v>B° CRISTO REY PJE CAPATAZ VILLAFAÑEZ Y ARMANDO CORREA</v>
      </c>
    </row>
    <row r="110" spans="2:5" x14ac:dyDescent="0.2">
      <c r="B110" s="183" t="str">
        <f>'[1]COMEDORES EMERGENTES'!$B$21</f>
        <v>GAUCHITO GIL</v>
      </c>
      <c r="C110" s="184"/>
      <c r="D110" s="108">
        <v>1</v>
      </c>
      <c r="E110" s="109" t="str">
        <f>'[1]COMEDORES EMERGENTES'!$G$21</f>
        <v>B° 26 VIVIENDAS CASA N° 3</v>
      </c>
    </row>
    <row r="111" spans="2:5" x14ac:dyDescent="0.2">
      <c r="B111" s="183" t="str">
        <f>'[1]COMEDORES EMERGENTES'!$B$22</f>
        <v>LOS TOLDOS</v>
      </c>
      <c r="C111" s="184"/>
      <c r="D111" s="108">
        <v>1</v>
      </c>
      <c r="E111" s="109" t="str">
        <f>'[1]COMEDORES EMERGENTES'!$G$22</f>
        <v>LOTEO PARQUE SUR CALLE S/NOMBRE S/N°</v>
      </c>
    </row>
    <row r="112" spans="2:5" x14ac:dyDescent="0.2">
      <c r="B112" s="33" t="s">
        <v>18</v>
      </c>
      <c r="C112" s="31"/>
      <c r="D112" s="31"/>
      <c r="E112" s="32"/>
    </row>
    <row r="113" spans="2:5" x14ac:dyDescent="0.2">
      <c r="B113" s="34"/>
      <c r="C113" s="199" t="s">
        <v>64</v>
      </c>
      <c r="D113" s="199"/>
      <c r="E113" s="199"/>
    </row>
    <row r="114" spans="2:5" x14ac:dyDescent="0.2">
      <c r="B114" s="33" t="s">
        <v>19</v>
      </c>
      <c r="C114" s="35"/>
      <c r="D114" s="35"/>
      <c r="E114" s="36"/>
    </row>
    <row r="115" spans="2:5" x14ac:dyDescent="0.2">
      <c r="B115" s="34"/>
      <c r="C115" s="199" t="s">
        <v>141</v>
      </c>
      <c r="D115" s="199"/>
      <c r="E115" s="199"/>
    </row>
    <row r="116" spans="2:5" x14ac:dyDescent="0.2">
      <c r="B116" s="33" t="s">
        <v>20</v>
      </c>
      <c r="C116" s="31"/>
      <c r="D116" s="31"/>
      <c r="E116" s="32"/>
    </row>
    <row r="117" spans="2:5" x14ac:dyDescent="0.2">
      <c r="B117" s="33"/>
      <c r="C117" s="198" t="s">
        <v>65</v>
      </c>
      <c r="D117" s="198"/>
      <c r="E117" s="198"/>
    </row>
    <row r="118" spans="2:5" ht="13.5" thickBot="1" x14ac:dyDescent="0.25">
      <c r="B118" s="37"/>
      <c r="C118" s="38"/>
      <c r="D118" s="38"/>
      <c r="E118" s="39"/>
    </row>
  </sheetData>
  <mergeCells count="85">
    <mergeCell ref="B107:C107"/>
    <mergeCell ref="B108:C108"/>
    <mergeCell ref="B109:C109"/>
    <mergeCell ref="B110:C110"/>
    <mergeCell ref="B102:C102"/>
    <mergeCell ref="B103:C103"/>
    <mergeCell ref="B104:C104"/>
    <mergeCell ref="B105:C105"/>
    <mergeCell ref="B106:C106"/>
    <mergeCell ref="B73:C73"/>
    <mergeCell ref="B74:C74"/>
    <mergeCell ref="B75:C75"/>
    <mergeCell ref="B90:E90"/>
    <mergeCell ref="B91:C91"/>
    <mergeCell ref="C80:E80"/>
    <mergeCell ref="C78:E78"/>
    <mergeCell ref="B76:C76"/>
    <mergeCell ref="B68:C68"/>
    <mergeCell ref="B69:C69"/>
    <mergeCell ref="B70:C70"/>
    <mergeCell ref="B71:C71"/>
    <mergeCell ref="B72:C72"/>
    <mergeCell ref="B63:C63"/>
    <mergeCell ref="B64:C64"/>
    <mergeCell ref="B65:C65"/>
    <mergeCell ref="B66:C66"/>
    <mergeCell ref="B67:C67"/>
    <mergeCell ref="B58:C58"/>
    <mergeCell ref="B59:C59"/>
    <mergeCell ref="B60:C60"/>
    <mergeCell ref="B61:C61"/>
    <mergeCell ref="B62:C62"/>
    <mergeCell ref="B40:C40"/>
    <mergeCell ref="B55:E55"/>
    <mergeCell ref="B56:C56"/>
    <mergeCell ref="B57:C57"/>
    <mergeCell ref="C53:E53"/>
    <mergeCell ref="B35:C35"/>
    <mergeCell ref="B36:C36"/>
    <mergeCell ref="B37:C37"/>
    <mergeCell ref="B38:C38"/>
    <mergeCell ref="B39:C39"/>
    <mergeCell ref="B30:C30"/>
    <mergeCell ref="B31:C31"/>
    <mergeCell ref="B32:C32"/>
    <mergeCell ref="B33:C33"/>
    <mergeCell ref="B34:C34"/>
    <mergeCell ref="C117:E117"/>
    <mergeCell ref="C82:E82"/>
    <mergeCell ref="C88:E88"/>
    <mergeCell ref="C113:E113"/>
    <mergeCell ref="C115:E115"/>
    <mergeCell ref="B92:C92"/>
    <mergeCell ref="B93:C93"/>
    <mergeCell ref="B94:C94"/>
    <mergeCell ref="B95:C95"/>
    <mergeCell ref="B96:C96"/>
    <mergeCell ref="B97:C97"/>
    <mergeCell ref="B98:C98"/>
    <mergeCell ref="B99:C99"/>
    <mergeCell ref="B100:C100"/>
    <mergeCell ref="B111:C111"/>
    <mergeCell ref="B101:C101"/>
    <mergeCell ref="A7:B7"/>
    <mergeCell ref="C18:E18"/>
    <mergeCell ref="C43:E43"/>
    <mergeCell ref="C45:E45"/>
    <mergeCell ref="C47:E47"/>
    <mergeCell ref="B20:E20"/>
    <mergeCell ref="B21:C21"/>
    <mergeCell ref="B22:C22"/>
    <mergeCell ref="B23:C23"/>
    <mergeCell ref="B41:C41"/>
    <mergeCell ref="B24:C24"/>
    <mergeCell ref="B25:C25"/>
    <mergeCell ref="B26:C26"/>
    <mergeCell ref="B27:C27"/>
    <mergeCell ref="B28:C28"/>
    <mergeCell ref="B29:C29"/>
    <mergeCell ref="A6:B6"/>
    <mergeCell ref="B2:H2"/>
    <mergeCell ref="A4:B4"/>
    <mergeCell ref="C4:E4"/>
    <mergeCell ref="A5:B5"/>
    <mergeCell ref="C5:E5"/>
  </mergeCells>
  <pageMargins left="0.23622047244094491" right="0.23622047244094491" top="0.23622047244094491" bottom="0.31496062992125984" header="0.19685039370078741" footer="0.31496062992125984"/>
  <pageSetup paperSize="5"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9"/>
  <sheetViews>
    <sheetView topLeftCell="D1" workbookViewId="0">
      <selection activeCell="E38" sqref="E38"/>
    </sheetView>
  </sheetViews>
  <sheetFormatPr baseColWidth="10" defaultColWidth="11" defaultRowHeight="12.75" x14ac:dyDescent="0.2"/>
  <cols>
    <col min="1" max="1" width="4.5703125" style="21" customWidth="1"/>
    <col min="2" max="2" width="15.5703125" style="21" customWidth="1"/>
    <col min="3" max="3" width="32.42578125" style="21" customWidth="1"/>
    <col min="4" max="4" width="10" style="74" customWidth="1"/>
    <col min="5" max="5" width="168.28515625" style="21" customWidth="1"/>
    <col min="6" max="6" width="11" style="21"/>
    <col min="7" max="7" width="12.7109375" style="21" customWidth="1"/>
    <col min="8" max="8" width="13.85546875" style="21" customWidth="1"/>
    <col min="9" max="9" width="18.5703125" style="21" customWidth="1"/>
    <col min="10" max="16384" width="11" style="21"/>
  </cols>
  <sheetData>
    <row r="1" spans="1:9" ht="27" x14ac:dyDescent="0.35">
      <c r="B1" s="194" t="s">
        <v>0</v>
      </c>
      <c r="C1" s="194"/>
      <c r="D1" s="194"/>
      <c r="E1" s="194"/>
      <c r="F1" s="194"/>
      <c r="G1" s="194"/>
      <c r="H1" s="194"/>
    </row>
    <row r="2" spans="1:9" ht="6" customHeight="1" x14ac:dyDescent="0.2"/>
    <row r="3" spans="1:9" ht="16.5" customHeight="1" x14ac:dyDescent="0.25">
      <c r="A3" s="191" t="s">
        <v>1</v>
      </c>
      <c r="B3" s="191"/>
      <c r="C3" s="195" t="s">
        <v>67</v>
      </c>
      <c r="D3" s="195"/>
      <c r="E3" s="195"/>
      <c r="F3" s="22"/>
      <c r="G3" s="23"/>
      <c r="H3" s="22"/>
    </row>
    <row r="4" spans="1:9" ht="17.25" customHeight="1" x14ac:dyDescent="0.25">
      <c r="A4" s="191" t="s">
        <v>2</v>
      </c>
      <c r="B4" s="191"/>
      <c r="C4" s="195" t="s">
        <v>62</v>
      </c>
      <c r="D4" s="195"/>
      <c r="E4" s="195"/>
      <c r="F4" s="22"/>
      <c r="G4" s="23"/>
      <c r="H4" s="22"/>
    </row>
    <row r="5" spans="1:9" ht="15" customHeight="1" x14ac:dyDescent="0.25">
      <c r="A5" s="191" t="s">
        <v>3</v>
      </c>
      <c r="B5" s="191"/>
      <c r="C5" s="40">
        <v>2020</v>
      </c>
      <c r="D5" s="70"/>
      <c r="E5" s="41"/>
      <c r="F5" s="22"/>
      <c r="G5" s="23"/>
      <c r="H5" s="22"/>
    </row>
    <row r="6" spans="1:9" ht="16.5" customHeight="1" x14ac:dyDescent="0.25">
      <c r="A6" s="191" t="s">
        <v>4</v>
      </c>
      <c r="B6" s="191"/>
      <c r="C6" s="40">
        <v>3</v>
      </c>
      <c r="D6" s="70"/>
      <c r="E6" s="41"/>
      <c r="F6" s="22"/>
      <c r="G6" s="23"/>
      <c r="H6" s="22"/>
    </row>
    <row r="7" spans="1:9" ht="7.5" customHeight="1" thickBot="1" x14ac:dyDescent="0.25">
      <c r="B7" s="22"/>
      <c r="C7" s="23"/>
      <c r="D7" s="23"/>
      <c r="E7" s="22"/>
      <c r="F7" s="22"/>
      <c r="G7" s="23"/>
      <c r="H7" s="22"/>
    </row>
    <row r="8" spans="1:9" ht="39" thickBot="1" x14ac:dyDescent="0.25">
      <c r="A8" s="43" t="s">
        <v>5</v>
      </c>
      <c r="B8" s="52" t="s">
        <v>6</v>
      </c>
      <c r="C8" s="52" t="s">
        <v>7</v>
      </c>
      <c r="D8" s="48" t="s">
        <v>8</v>
      </c>
      <c r="E8" s="52" t="s">
        <v>9</v>
      </c>
      <c r="F8" s="44" t="s">
        <v>10</v>
      </c>
      <c r="G8" s="45" t="s">
        <v>11</v>
      </c>
      <c r="H8" s="45" t="s">
        <v>12</v>
      </c>
      <c r="I8" s="46" t="s">
        <v>13</v>
      </c>
    </row>
    <row r="9" spans="1:9" ht="15.75" customHeight="1" x14ac:dyDescent="0.2">
      <c r="A9" s="75">
        <v>1</v>
      </c>
      <c r="B9" s="76" t="s">
        <v>68</v>
      </c>
      <c r="C9" s="76" t="s">
        <v>60</v>
      </c>
      <c r="D9" s="77" t="str">
        <f>LEFT(B9,5)</f>
        <v>2.1.1</v>
      </c>
      <c r="E9" s="76" t="s">
        <v>76</v>
      </c>
      <c r="F9" s="78" t="s">
        <v>117</v>
      </c>
      <c r="G9" s="79">
        <v>7164</v>
      </c>
      <c r="H9" s="80"/>
      <c r="I9" s="81"/>
    </row>
    <row r="10" spans="1:9" x14ac:dyDescent="0.2">
      <c r="A10" s="82">
        <v>2</v>
      </c>
      <c r="B10" s="83" t="s">
        <v>69</v>
      </c>
      <c r="C10" s="83" t="s">
        <v>60</v>
      </c>
      <c r="D10" s="84" t="s">
        <v>75</v>
      </c>
      <c r="E10" s="83" t="s">
        <v>77</v>
      </c>
      <c r="F10" s="85" t="s">
        <v>117</v>
      </c>
      <c r="G10" s="86">
        <v>5232</v>
      </c>
      <c r="H10" s="87"/>
      <c r="I10" s="88"/>
    </row>
    <row r="11" spans="1:9" x14ac:dyDescent="0.2">
      <c r="A11" s="82">
        <v>3</v>
      </c>
      <c r="B11" s="89" t="s">
        <v>279</v>
      </c>
      <c r="C11" s="89" t="s">
        <v>60</v>
      </c>
      <c r="D11" s="90" t="s">
        <v>75</v>
      </c>
      <c r="E11" s="89" t="s">
        <v>278</v>
      </c>
      <c r="F11" s="91" t="s">
        <v>117</v>
      </c>
      <c r="G11" s="86">
        <v>9504</v>
      </c>
      <c r="H11" s="87"/>
      <c r="I11" s="88"/>
    </row>
    <row r="12" spans="1:9" x14ac:dyDescent="0.2">
      <c r="A12" s="82">
        <v>4</v>
      </c>
      <c r="B12" s="89" t="s">
        <v>281</v>
      </c>
      <c r="C12" s="89" t="s">
        <v>60</v>
      </c>
      <c r="D12" s="92" t="str">
        <f t="shared" ref="D12" si="0">LEFT(B12,5)</f>
        <v>2.1.1</v>
      </c>
      <c r="E12" s="89" t="s">
        <v>280</v>
      </c>
      <c r="F12" s="91" t="s">
        <v>117</v>
      </c>
      <c r="G12" s="86">
        <v>9504</v>
      </c>
      <c r="H12" s="87"/>
      <c r="I12" s="88"/>
    </row>
    <row r="13" spans="1:9" x14ac:dyDescent="0.2">
      <c r="A13" s="82">
        <v>5</v>
      </c>
      <c r="B13" s="83" t="s">
        <v>70</v>
      </c>
      <c r="C13" s="83" t="s">
        <v>60</v>
      </c>
      <c r="D13" s="84" t="s">
        <v>75</v>
      </c>
      <c r="E13" s="83" t="s">
        <v>78</v>
      </c>
      <c r="F13" s="85" t="s">
        <v>117</v>
      </c>
      <c r="G13" s="86">
        <v>4284</v>
      </c>
      <c r="H13" s="87"/>
      <c r="I13" s="88"/>
    </row>
    <row r="14" spans="1:9" x14ac:dyDescent="0.2">
      <c r="A14" s="82">
        <v>6</v>
      </c>
      <c r="B14" s="83" t="s">
        <v>71</v>
      </c>
      <c r="C14" s="83" t="s">
        <v>60</v>
      </c>
      <c r="D14" s="84" t="s">
        <v>75</v>
      </c>
      <c r="E14" s="83" t="s">
        <v>79</v>
      </c>
      <c r="F14" s="85" t="s">
        <v>117</v>
      </c>
      <c r="G14" s="86">
        <v>12828</v>
      </c>
      <c r="H14" s="87"/>
      <c r="I14" s="88"/>
    </row>
    <row r="15" spans="1:9" x14ac:dyDescent="0.2">
      <c r="A15" s="82">
        <v>7</v>
      </c>
      <c r="B15" s="83" t="s">
        <v>72</v>
      </c>
      <c r="C15" s="83" t="s">
        <v>60</v>
      </c>
      <c r="D15" s="84" t="str">
        <f t="shared" ref="D15:D34" si="1">LEFT(B15,5)</f>
        <v>2.1.1</v>
      </c>
      <c r="E15" s="83" t="s">
        <v>80</v>
      </c>
      <c r="F15" s="85" t="s">
        <v>117</v>
      </c>
      <c r="G15" s="86">
        <v>8544</v>
      </c>
      <c r="H15" s="87"/>
      <c r="I15" s="88"/>
    </row>
    <row r="16" spans="1:9" x14ac:dyDescent="0.2">
      <c r="A16" s="82">
        <v>8</v>
      </c>
      <c r="B16" s="89" t="s">
        <v>276</v>
      </c>
      <c r="C16" s="83" t="s">
        <v>60</v>
      </c>
      <c r="D16" s="84" t="s">
        <v>75</v>
      </c>
      <c r="E16" s="83" t="s">
        <v>277</v>
      </c>
      <c r="F16" s="85" t="s">
        <v>117</v>
      </c>
      <c r="G16" s="86">
        <v>2412</v>
      </c>
      <c r="H16" s="87"/>
      <c r="I16" s="88"/>
    </row>
    <row r="17" spans="1:9" x14ac:dyDescent="0.2">
      <c r="A17" s="82">
        <v>9</v>
      </c>
      <c r="B17" s="83" t="s">
        <v>73</v>
      </c>
      <c r="C17" s="83" t="s">
        <v>60</v>
      </c>
      <c r="D17" s="84" t="str">
        <f t="shared" si="1"/>
        <v>2.1.1</v>
      </c>
      <c r="E17" s="83" t="s">
        <v>81</v>
      </c>
      <c r="F17" s="85" t="s">
        <v>118</v>
      </c>
      <c r="G17" s="86">
        <v>13296</v>
      </c>
      <c r="H17" s="87"/>
      <c r="I17" s="88"/>
    </row>
    <row r="18" spans="1:9" x14ac:dyDescent="0.2">
      <c r="A18" s="82">
        <v>10</v>
      </c>
      <c r="B18" s="83" t="s">
        <v>74</v>
      </c>
      <c r="C18" s="83" t="s">
        <v>60</v>
      </c>
      <c r="D18" s="84" t="str">
        <f t="shared" si="1"/>
        <v>2.1.1</v>
      </c>
      <c r="E18" s="83" t="s">
        <v>82</v>
      </c>
      <c r="F18" s="85" t="s">
        <v>118</v>
      </c>
      <c r="G18" s="86">
        <v>16668</v>
      </c>
      <c r="H18" s="87"/>
      <c r="I18" s="88"/>
    </row>
    <row r="19" spans="1:9" x14ac:dyDescent="0.2">
      <c r="A19" s="82">
        <v>11</v>
      </c>
      <c r="B19" s="83" t="s">
        <v>83</v>
      </c>
      <c r="C19" s="83" t="s">
        <v>60</v>
      </c>
      <c r="D19" s="84" t="str">
        <f t="shared" si="1"/>
        <v>2.1.1</v>
      </c>
      <c r="E19" s="83" t="s">
        <v>90</v>
      </c>
      <c r="F19" s="93" t="s">
        <v>118</v>
      </c>
      <c r="G19" s="94">
        <v>10464</v>
      </c>
      <c r="H19" s="87"/>
      <c r="I19" s="88"/>
    </row>
    <row r="20" spans="1:9" x14ac:dyDescent="0.2">
      <c r="A20" s="82">
        <v>12</v>
      </c>
      <c r="B20" s="83" t="s">
        <v>84</v>
      </c>
      <c r="C20" s="83" t="s">
        <v>60</v>
      </c>
      <c r="D20" s="84" t="s">
        <v>75</v>
      </c>
      <c r="E20" s="83" t="s">
        <v>91</v>
      </c>
      <c r="F20" s="85" t="s">
        <v>14</v>
      </c>
      <c r="G20" s="86">
        <v>14256</v>
      </c>
      <c r="H20" s="87"/>
      <c r="I20" s="88"/>
    </row>
    <row r="21" spans="1:9" x14ac:dyDescent="0.2">
      <c r="A21" s="82">
        <v>13</v>
      </c>
      <c r="B21" s="83" t="s">
        <v>85</v>
      </c>
      <c r="C21" s="83" t="s">
        <v>60</v>
      </c>
      <c r="D21" s="84" t="str">
        <f t="shared" ref="D21:D24" si="2">LEFT(B21,5)</f>
        <v>2.1.1</v>
      </c>
      <c r="E21" s="83" t="s">
        <v>92</v>
      </c>
      <c r="F21" s="85" t="s">
        <v>14</v>
      </c>
      <c r="G21" s="86">
        <v>1440</v>
      </c>
      <c r="H21" s="87"/>
      <c r="I21" s="88"/>
    </row>
    <row r="22" spans="1:9" x14ac:dyDescent="0.2">
      <c r="A22" s="82">
        <v>14</v>
      </c>
      <c r="B22" s="95" t="s">
        <v>113</v>
      </c>
      <c r="C22" s="95" t="s">
        <v>60</v>
      </c>
      <c r="D22" s="84" t="str">
        <f t="shared" si="1"/>
        <v>2.1.1</v>
      </c>
      <c r="E22" s="95" t="s">
        <v>114</v>
      </c>
      <c r="F22" s="85" t="s">
        <v>118</v>
      </c>
      <c r="G22" s="86">
        <v>4752</v>
      </c>
      <c r="H22" s="87"/>
      <c r="I22" s="88"/>
    </row>
    <row r="23" spans="1:9" x14ac:dyDescent="0.2">
      <c r="A23" s="82">
        <v>15</v>
      </c>
      <c r="B23" s="83" t="s">
        <v>86</v>
      </c>
      <c r="C23" s="83" t="s">
        <v>60</v>
      </c>
      <c r="D23" s="84" t="s">
        <v>75</v>
      </c>
      <c r="E23" s="83" t="s">
        <v>93</v>
      </c>
      <c r="F23" s="85" t="s">
        <v>14</v>
      </c>
      <c r="G23" s="86">
        <v>2856</v>
      </c>
      <c r="H23" s="87"/>
      <c r="I23" s="88"/>
    </row>
    <row r="24" spans="1:9" x14ac:dyDescent="0.2">
      <c r="A24" s="82">
        <v>16</v>
      </c>
      <c r="B24" s="83" t="s">
        <v>87</v>
      </c>
      <c r="C24" s="83" t="s">
        <v>60</v>
      </c>
      <c r="D24" s="84" t="str">
        <f t="shared" si="2"/>
        <v>2.1.1</v>
      </c>
      <c r="E24" s="83" t="s">
        <v>94</v>
      </c>
      <c r="F24" s="85" t="s">
        <v>118</v>
      </c>
      <c r="G24" s="86">
        <v>9504</v>
      </c>
      <c r="H24" s="87"/>
      <c r="I24" s="88"/>
    </row>
    <row r="25" spans="1:9" x14ac:dyDescent="0.2">
      <c r="A25" s="82">
        <v>17</v>
      </c>
      <c r="B25" s="83" t="s">
        <v>88</v>
      </c>
      <c r="C25" s="83" t="s">
        <v>60</v>
      </c>
      <c r="D25" s="84" t="str">
        <f t="shared" si="1"/>
        <v>2.1.1</v>
      </c>
      <c r="E25" s="83" t="s">
        <v>95</v>
      </c>
      <c r="F25" s="85" t="s">
        <v>118</v>
      </c>
      <c r="G25" s="86">
        <v>4752</v>
      </c>
      <c r="H25" s="87"/>
      <c r="I25" s="88"/>
    </row>
    <row r="26" spans="1:9" x14ac:dyDescent="0.2">
      <c r="A26" s="82">
        <v>18</v>
      </c>
      <c r="B26" s="83" t="s">
        <v>89</v>
      </c>
      <c r="C26" s="83" t="s">
        <v>60</v>
      </c>
      <c r="D26" s="84" t="str">
        <f t="shared" si="1"/>
        <v>2.1.1</v>
      </c>
      <c r="E26" s="83" t="s">
        <v>96</v>
      </c>
      <c r="F26" s="85" t="s">
        <v>118</v>
      </c>
      <c r="G26" s="86">
        <v>8544</v>
      </c>
      <c r="H26" s="87"/>
      <c r="I26" s="88"/>
    </row>
    <row r="27" spans="1:9" x14ac:dyDescent="0.2">
      <c r="A27" s="82">
        <v>19</v>
      </c>
      <c r="B27" s="83" t="s">
        <v>120</v>
      </c>
      <c r="C27" s="83" t="s">
        <v>60</v>
      </c>
      <c r="D27" s="84" t="str">
        <f t="shared" si="1"/>
        <v>2.1.1</v>
      </c>
      <c r="E27" s="83" t="s">
        <v>121</v>
      </c>
      <c r="F27" s="85" t="s">
        <v>118</v>
      </c>
      <c r="G27" s="86">
        <v>7164</v>
      </c>
      <c r="H27" s="87"/>
      <c r="I27" s="88"/>
    </row>
    <row r="28" spans="1:9" x14ac:dyDescent="0.2">
      <c r="A28" s="82">
        <v>20</v>
      </c>
      <c r="B28" s="83" t="s">
        <v>115</v>
      </c>
      <c r="C28" s="83" t="s">
        <v>60</v>
      </c>
      <c r="D28" s="84" t="s">
        <v>75</v>
      </c>
      <c r="E28" s="83" t="s">
        <v>116</v>
      </c>
      <c r="F28" s="85" t="s">
        <v>118</v>
      </c>
      <c r="G28" s="86">
        <v>19008</v>
      </c>
      <c r="H28" s="87"/>
      <c r="I28" s="88"/>
    </row>
    <row r="29" spans="1:9" x14ac:dyDescent="0.2">
      <c r="A29" s="82">
        <v>21</v>
      </c>
      <c r="B29" s="83" t="s">
        <v>97</v>
      </c>
      <c r="C29" s="83" t="s">
        <v>60</v>
      </c>
      <c r="D29" s="84" t="s">
        <v>75</v>
      </c>
      <c r="E29" s="83" t="s">
        <v>102</v>
      </c>
      <c r="F29" s="85" t="s">
        <v>118</v>
      </c>
      <c r="G29" s="96">
        <v>120</v>
      </c>
      <c r="H29" s="87"/>
      <c r="I29" s="88"/>
    </row>
    <row r="30" spans="1:9" x14ac:dyDescent="0.2">
      <c r="A30" s="82">
        <v>22</v>
      </c>
      <c r="B30" s="83" t="s">
        <v>98</v>
      </c>
      <c r="C30" s="83" t="s">
        <v>60</v>
      </c>
      <c r="D30" s="84" t="str">
        <f t="shared" si="1"/>
        <v>2.1.1</v>
      </c>
      <c r="E30" s="83" t="s">
        <v>103</v>
      </c>
      <c r="F30" s="85" t="s">
        <v>118</v>
      </c>
      <c r="G30" s="86">
        <v>120</v>
      </c>
      <c r="H30" s="87"/>
      <c r="I30" s="88"/>
    </row>
    <row r="31" spans="1:9" x14ac:dyDescent="0.2">
      <c r="A31" s="82">
        <v>23</v>
      </c>
      <c r="B31" s="83" t="s">
        <v>99</v>
      </c>
      <c r="C31" s="83" t="s">
        <v>60</v>
      </c>
      <c r="D31" s="84" t="s">
        <v>75</v>
      </c>
      <c r="E31" s="83" t="s">
        <v>104</v>
      </c>
      <c r="F31" s="85" t="s">
        <v>118</v>
      </c>
      <c r="G31" s="86">
        <v>120</v>
      </c>
      <c r="H31" s="87"/>
      <c r="I31" s="88"/>
    </row>
    <row r="32" spans="1:9" x14ac:dyDescent="0.2">
      <c r="A32" s="82">
        <v>24</v>
      </c>
      <c r="B32" s="83" t="s">
        <v>100</v>
      </c>
      <c r="C32" s="83" t="s">
        <v>60</v>
      </c>
      <c r="D32" s="84" t="s">
        <v>75</v>
      </c>
      <c r="E32" s="83" t="s">
        <v>105</v>
      </c>
      <c r="F32" s="85" t="s">
        <v>118</v>
      </c>
      <c r="G32" s="86">
        <v>120</v>
      </c>
      <c r="H32" s="87"/>
      <c r="I32" s="88"/>
    </row>
    <row r="33" spans="1:9" x14ac:dyDescent="0.2">
      <c r="A33" s="82">
        <v>25</v>
      </c>
      <c r="B33" s="89" t="s">
        <v>283</v>
      </c>
      <c r="C33" s="89" t="s">
        <v>60</v>
      </c>
      <c r="D33" s="92" t="str">
        <f t="shared" ref="D33" si="3">LEFT(B33,5)</f>
        <v>2.1.1</v>
      </c>
      <c r="E33" s="89" t="s">
        <v>282</v>
      </c>
      <c r="F33" s="91" t="s">
        <v>14</v>
      </c>
      <c r="G33" s="86">
        <v>492</v>
      </c>
      <c r="H33" s="87"/>
      <c r="I33" s="88"/>
    </row>
    <row r="34" spans="1:9" x14ac:dyDescent="0.2">
      <c r="A34" s="82">
        <v>26</v>
      </c>
      <c r="B34" s="83" t="s">
        <v>101</v>
      </c>
      <c r="C34" s="83" t="s">
        <v>60</v>
      </c>
      <c r="D34" s="84" t="str">
        <f t="shared" si="1"/>
        <v>2.1.1</v>
      </c>
      <c r="E34" s="83" t="s">
        <v>106</v>
      </c>
      <c r="F34" s="85" t="s">
        <v>118</v>
      </c>
      <c r="G34" s="86">
        <v>270</v>
      </c>
      <c r="H34" s="97"/>
      <c r="I34" s="98"/>
    </row>
    <row r="35" spans="1:9" x14ac:dyDescent="0.2">
      <c r="A35" s="82">
        <v>27</v>
      </c>
      <c r="B35" s="83" t="s">
        <v>130</v>
      </c>
      <c r="C35" s="83" t="s">
        <v>60</v>
      </c>
      <c r="D35" s="84" t="s">
        <v>75</v>
      </c>
      <c r="E35" s="83" t="s">
        <v>134</v>
      </c>
      <c r="F35" s="99" t="s">
        <v>14</v>
      </c>
      <c r="G35" s="100">
        <v>23760</v>
      </c>
      <c r="H35" s="87"/>
      <c r="I35" s="88"/>
    </row>
    <row r="36" spans="1:9" x14ac:dyDescent="0.2">
      <c r="A36" s="82">
        <v>28</v>
      </c>
      <c r="B36" s="83" t="s">
        <v>131</v>
      </c>
      <c r="C36" s="83" t="s">
        <v>60</v>
      </c>
      <c r="D36" s="84" t="s">
        <v>75</v>
      </c>
      <c r="E36" s="83" t="s">
        <v>135</v>
      </c>
      <c r="F36" s="99" t="s">
        <v>14</v>
      </c>
      <c r="G36" s="100">
        <v>23760</v>
      </c>
      <c r="H36" s="87"/>
      <c r="I36" s="88"/>
    </row>
    <row r="37" spans="1:9" x14ac:dyDescent="0.2">
      <c r="A37" s="82">
        <v>29</v>
      </c>
      <c r="B37" s="83" t="s">
        <v>132</v>
      </c>
      <c r="C37" s="83" t="s">
        <v>60</v>
      </c>
      <c r="D37" s="84" t="str">
        <f t="shared" ref="D37:D38" si="4">LEFT(B37,5)</f>
        <v>2.1.1</v>
      </c>
      <c r="E37" s="83" t="s">
        <v>136</v>
      </c>
      <c r="F37" s="99" t="s">
        <v>14</v>
      </c>
      <c r="G37" s="100">
        <v>23760</v>
      </c>
      <c r="H37" s="87"/>
      <c r="I37" s="88"/>
    </row>
    <row r="38" spans="1:9" ht="13.5" thickBot="1" x14ac:dyDescent="0.25">
      <c r="A38" s="101">
        <v>30</v>
      </c>
      <c r="B38" s="102" t="s">
        <v>133</v>
      </c>
      <c r="C38" s="102" t="s">
        <v>60</v>
      </c>
      <c r="D38" s="103" t="str">
        <f t="shared" si="4"/>
        <v>2.1.1</v>
      </c>
      <c r="E38" s="102" t="s">
        <v>137</v>
      </c>
      <c r="F38" s="104" t="s">
        <v>14</v>
      </c>
      <c r="G38" s="105">
        <v>23760</v>
      </c>
      <c r="H38" s="106"/>
      <c r="I38" s="107"/>
    </row>
    <row r="41" spans="1:9" x14ac:dyDescent="0.2">
      <c r="B41" s="27" t="s">
        <v>15</v>
      </c>
      <c r="C41" s="28"/>
      <c r="D41" s="71"/>
      <c r="E41" s="29"/>
    </row>
    <row r="42" spans="1:9" ht="5.25" customHeight="1" x14ac:dyDescent="0.2">
      <c r="B42" s="30"/>
      <c r="C42" s="31"/>
      <c r="D42" s="72"/>
      <c r="E42" s="32"/>
    </row>
    <row r="43" spans="1:9" x14ac:dyDescent="0.2">
      <c r="B43" s="33" t="s">
        <v>16</v>
      </c>
      <c r="C43" s="31"/>
      <c r="D43" s="72"/>
      <c r="E43" s="32"/>
    </row>
    <row r="44" spans="1:9" ht="25.5" customHeight="1" x14ac:dyDescent="0.2">
      <c r="B44" s="33"/>
      <c r="C44" s="199"/>
      <c r="D44" s="199"/>
      <c r="E44" s="199"/>
    </row>
    <row r="45" spans="1:9" ht="13.5" thickBot="1" x14ac:dyDescent="0.25">
      <c r="B45" s="33" t="s">
        <v>17</v>
      </c>
      <c r="C45" s="31"/>
      <c r="D45" s="72"/>
      <c r="E45" s="32"/>
    </row>
    <row r="46" spans="1:9" ht="13.5" thickBot="1" x14ac:dyDescent="0.25">
      <c r="B46" s="185" t="s">
        <v>138</v>
      </c>
      <c r="C46" s="186"/>
      <c r="D46" s="186"/>
      <c r="E46" s="187"/>
    </row>
    <row r="47" spans="1:9" ht="13.5" thickBot="1" x14ac:dyDescent="0.25">
      <c r="B47" s="185" t="s">
        <v>139</v>
      </c>
      <c r="C47" s="187"/>
      <c r="D47" s="69" t="s">
        <v>11</v>
      </c>
      <c r="E47" s="69" t="s">
        <v>140</v>
      </c>
    </row>
    <row r="48" spans="1:9" x14ac:dyDescent="0.2">
      <c r="B48" s="192" t="str">
        <f>'[1]COMEDORES EMERGENTES'!$B$3</f>
        <v>UNA SONRISA AV. LOS COBACHO</v>
      </c>
      <c r="C48" s="193"/>
      <c r="D48" s="113" t="s">
        <v>169</v>
      </c>
      <c r="E48" s="114" t="str">
        <f>'[1]COMEDORES EMERGENTES'!$G$3</f>
        <v>Bº SAN CARLOS OESTE AV. Bonifacio cobacho 670</v>
      </c>
    </row>
    <row r="49" spans="2:5" x14ac:dyDescent="0.2">
      <c r="B49" s="183" t="str">
        <f>'[1]COMEDORES EMERGENTES'!$B$4</f>
        <v>C.I.F Nº1 - RIVERA DEL VALLE Y FLORIDA</v>
      </c>
      <c r="C49" s="184"/>
      <c r="D49" s="108" t="s">
        <v>171</v>
      </c>
      <c r="E49" s="109" t="str">
        <f>'[1]COMEDORES EMERGENTES'!$G$4</f>
        <v>AV. RIVIERA DEL VALLE ENTRE FLORIDA Y SANTA FE</v>
      </c>
    </row>
    <row r="50" spans="2:5" x14ac:dyDescent="0.2">
      <c r="B50" s="183" t="str">
        <f>'[1]COMEDORES EMERGENTES'!$B$5</f>
        <v>C.I.F - RIVERA DEL VALLE - DILORENZO</v>
      </c>
      <c r="C50" s="184"/>
      <c r="D50" s="108" t="s">
        <v>172</v>
      </c>
      <c r="E50" s="109" t="str">
        <f>'[1]COMEDORES EMERGENTES'!$G$5</f>
        <v>Bº RIVERA DEL VALLE ENTRE VILLA EUMELIA Y MONTE CRISTO</v>
      </c>
    </row>
    <row r="51" spans="2:5" x14ac:dyDescent="0.2">
      <c r="B51" s="183" t="str">
        <f>'[1]COMEDORES EMERGENTES'!$B$6</f>
        <v>ESFUERZO PROPIO- Bº ALTOS DE CHOYA</v>
      </c>
      <c r="C51" s="184"/>
      <c r="D51" s="108" t="s">
        <v>173</v>
      </c>
      <c r="E51" s="109" t="str">
        <f>'[1]COMEDORES EMERGENTES'!$G$6</f>
        <v>Bº MUNICIPAL 35VV. NORTE C/14</v>
      </c>
    </row>
    <row r="52" spans="2:5" x14ac:dyDescent="0.2">
      <c r="B52" s="183" t="str">
        <f>'[1]COMEDORES EMERGENTES'!$B$7</f>
        <v>ANGELITOS - LOTEO SUSSEX</v>
      </c>
      <c r="C52" s="184"/>
      <c r="D52" s="108" t="s">
        <v>174</v>
      </c>
      <c r="E52" s="109" t="str">
        <f>'[1]COMEDORES EMERGENTES'!$G$7</f>
        <v>Bº LOTEO SUSEX MZA.Nº 4 LOTE Nº3</v>
      </c>
    </row>
    <row r="53" spans="2:5" x14ac:dyDescent="0.2">
      <c r="B53" s="183" t="str">
        <f>'[1]COMEDORES EMERGENTES'!$B$8</f>
        <v>CLUB DEPORTIVO CHACARITA</v>
      </c>
      <c r="C53" s="184"/>
      <c r="D53" s="108" t="s">
        <v>175</v>
      </c>
      <c r="E53" s="109" t="str">
        <f>'[1]COMEDORES EMERGENTES'!$G$8</f>
        <v>CALLE DR.DERMIDIO GALINDEZ C/2660</v>
      </c>
    </row>
    <row r="54" spans="2:5" x14ac:dyDescent="0.2">
      <c r="B54" s="183" t="str">
        <f>'[1]COMEDORES EMERGENTES'!$B$9</f>
        <v>LA MORO</v>
      </c>
      <c r="C54" s="184"/>
      <c r="D54" s="108" t="s">
        <v>170</v>
      </c>
      <c r="E54" s="109" t="str">
        <f>'[1]COMEDORES EMERGENTES'!$G$9</f>
        <v>MAIPU NORTE 1º ETAPA MZA "H" Bº MI JARDIN</v>
      </c>
    </row>
    <row r="55" spans="2:5" x14ac:dyDescent="0.2">
      <c r="B55" s="183" t="str">
        <f>'[1]COMEDORES EMERGENTES'!$B$10</f>
        <v>PAPA FRANCISCO</v>
      </c>
      <c r="C55" s="184"/>
      <c r="D55" s="108" t="s">
        <v>176</v>
      </c>
      <c r="E55" s="109" t="str">
        <f>'[1]COMEDORES EMERGENTES'!$G$10</f>
        <v>ENTRE AV.TEREBINTO Y AV.SAN JUAN LOTE "2" MZA. "B"</v>
      </c>
    </row>
    <row r="56" spans="2:5" x14ac:dyDescent="0.2">
      <c r="B56" s="183" t="str">
        <f>'[1]COMEDORES EMERGENTES'!$B$11</f>
        <v>E.P.C - 100 V.V NORTE</v>
      </c>
      <c r="C56" s="184"/>
      <c r="D56" s="108" t="s">
        <v>177</v>
      </c>
      <c r="E56" s="109" t="str">
        <f>'[1]COMEDORES EMERGENTES'!$G$11</f>
        <v>Bº VV NORTE C/48 ENTRE ESPAÑA Y FRANCIA</v>
      </c>
    </row>
    <row r="57" spans="2:5" x14ac:dyDescent="0.2">
      <c r="B57" s="183" t="str">
        <f>'[1]COMEDORES EMERGENTES'!$B$12</f>
        <v>HOGAR DE CRISTO - PADRE RAUL CONTRERAS</v>
      </c>
      <c r="C57" s="184"/>
      <c r="D57" s="108" t="s">
        <v>177</v>
      </c>
      <c r="E57" s="109" t="str">
        <f>'[1]COMEDORES EMERGENTES'!$G$12</f>
        <v>Bº SANTA MARTA MZA. "S" LOTE "M" C/39</v>
      </c>
    </row>
    <row r="58" spans="2:5" x14ac:dyDescent="0.2">
      <c r="B58" s="183" t="str">
        <f>'[1]COMEDORES EMERGENTES'!$B$13</f>
        <v>LA LUCIERNAGA</v>
      </c>
      <c r="C58" s="184"/>
      <c r="D58" s="108" t="s">
        <v>176</v>
      </c>
      <c r="E58" s="109" t="str">
        <f>'[1]COMEDORES EMERGENTES'!$G$13</f>
        <v>Bº 20 V.V NORTE C/3</v>
      </c>
    </row>
    <row r="59" spans="2:5" x14ac:dyDescent="0.2">
      <c r="B59" s="183" t="str">
        <f>'[1]COMEDORES EMERGENTES'!$B$14</f>
        <v>VALLE VIEJO - SUMALAO</v>
      </c>
      <c r="C59" s="184"/>
      <c r="D59" s="108" t="s">
        <v>178</v>
      </c>
      <c r="E59" s="109" t="str">
        <f>'[1]COMEDORES EMERGENTES'!$G$14</f>
        <v>PADRE SEGURA S/N</v>
      </c>
    </row>
    <row r="60" spans="2:5" x14ac:dyDescent="0.2">
      <c r="B60" s="183" t="str">
        <f>'[1]COMEDORES EMERGENTES'!$B$15</f>
        <v>NUESTRO FUTURO - LAS VIAS</v>
      </c>
      <c r="C60" s="184"/>
      <c r="D60" s="108" t="s">
        <v>176</v>
      </c>
      <c r="E60" s="109" t="str">
        <f>'[1]COMEDORES EMERGENTES'!$G$15</f>
        <v>Bº LAS VIAS OESTE LOTE 42</v>
      </c>
    </row>
    <row r="61" spans="2:5" x14ac:dyDescent="0.2">
      <c r="B61" s="183" t="str">
        <f>'[1]COMEDORES EMERGENTES'!$B$16</f>
        <v>SAN JOSE OBRERO</v>
      </c>
      <c r="C61" s="184"/>
      <c r="D61" s="108" t="s">
        <v>175</v>
      </c>
      <c r="E61" s="109" t="str">
        <f>'[1]COMEDORES EMERGENTES'!$G$16</f>
        <v>Bº SAN JOSE OBRERO. PJE. SANDOVAL S/Nº</v>
      </c>
    </row>
    <row r="62" spans="2:5" x14ac:dyDescent="0.2">
      <c r="B62" s="183" t="str">
        <f>'[1]COMEDORES EMERGENTES'!$B$17</f>
        <v>VIRGEN DE LUJAN</v>
      </c>
      <c r="C62" s="184"/>
      <c r="D62" s="108" t="s">
        <v>176</v>
      </c>
      <c r="E62" s="109" t="str">
        <f>'[1]COMEDORES EMERGENTES'!$G$17</f>
        <v>Bº OJO DE AGUA C/DR.TEODULFO BARRIONUEVO S/Nº</v>
      </c>
    </row>
    <row r="63" spans="2:5" x14ac:dyDescent="0.2">
      <c r="B63" s="183" t="str">
        <f>'[1]COMEDORES EMERGENTES'!$B$18</f>
        <v>RENACER</v>
      </c>
      <c r="C63" s="184"/>
      <c r="D63" s="108" t="s">
        <v>179</v>
      </c>
      <c r="E63" s="109" t="str">
        <f>'[1]COMEDORES EMERGENTES'!$G$18</f>
        <v>Bº VIRGEN MORENITA</v>
      </c>
    </row>
    <row r="64" spans="2:5" x14ac:dyDescent="0.2">
      <c r="B64" s="183" t="str">
        <f>'[1]COMEDORES EMERGENTES'!$B$19</f>
        <v>CENTRO VECINAL MI JARDIN</v>
      </c>
      <c r="C64" s="184"/>
      <c r="D64" s="108" t="s">
        <v>180</v>
      </c>
      <c r="E64" s="109" t="str">
        <f>'[1]COMEDORES EMERGENTES'!$G$19</f>
        <v>C/ LOS TULIPANES ENTRE FLOR DE CEREZO Y HOLANDA MZA.27 Bº MI JARDIN</v>
      </c>
    </row>
    <row r="65" spans="2:5" x14ac:dyDescent="0.2">
      <c r="B65" s="183" t="str">
        <f>'[1]COMEDORES EMERGENTES'!$B$20</f>
        <v>LA VIEJA ESQUINA</v>
      </c>
      <c r="C65" s="184"/>
      <c r="D65" s="108" t="s">
        <v>181</v>
      </c>
      <c r="E65" s="109" t="str">
        <f>'[1]COMEDORES EMERGENTES'!$G$20</f>
        <v>B° CRISTO REY PJE CAPATAZ VILLAFAÑEZ Y ARMANDO CORREA</v>
      </c>
    </row>
    <row r="66" spans="2:5" x14ac:dyDescent="0.2">
      <c r="B66" s="183" t="str">
        <f>'[1]COMEDORES EMERGENTES'!$B$21</f>
        <v>GAUCHITO GIL</v>
      </c>
      <c r="C66" s="184"/>
      <c r="D66" s="108" t="s">
        <v>182</v>
      </c>
      <c r="E66" s="109" t="str">
        <f>'[1]COMEDORES EMERGENTES'!$G$21</f>
        <v>B° 26 VIVIENDAS CASA N° 3</v>
      </c>
    </row>
    <row r="67" spans="2:5" ht="13.5" thickBot="1" x14ac:dyDescent="0.25">
      <c r="B67" s="200" t="str">
        <f>'[1]COMEDORES EMERGENTES'!$B$22</f>
        <v>LOS TOLDOS</v>
      </c>
      <c r="C67" s="201"/>
      <c r="D67" s="115" t="s">
        <v>202</v>
      </c>
      <c r="E67" s="116" t="str">
        <f>'[1]COMEDORES EMERGENTES'!$G$22</f>
        <v>LOTEO PARQUE SUR CALLE S/NOMBRE S/N°</v>
      </c>
    </row>
    <row r="68" spans="2:5" x14ac:dyDescent="0.2">
      <c r="B68" s="33" t="s">
        <v>18</v>
      </c>
      <c r="C68" s="31"/>
      <c r="D68" s="72"/>
      <c r="E68" s="32"/>
    </row>
    <row r="69" spans="2:5" ht="12.75" customHeight="1" x14ac:dyDescent="0.2">
      <c r="B69" s="34"/>
      <c r="C69" s="199" t="s">
        <v>64</v>
      </c>
      <c r="D69" s="199"/>
      <c r="E69" s="199"/>
    </row>
    <row r="70" spans="2:5" x14ac:dyDescent="0.2">
      <c r="B70" s="33" t="s">
        <v>19</v>
      </c>
      <c r="C70" s="35"/>
      <c r="D70" s="35"/>
      <c r="E70" s="36"/>
    </row>
    <row r="71" spans="2:5" ht="14.25" customHeight="1" x14ac:dyDescent="0.2">
      <c r="B71" s="34"/>
      <c r="C71" s="199" t="s">
        <v>141</v>
      </c>
      <c r="D71" s="199"/>
      <c r="E71" s="199"/>
    </row>
    <row r="72" spans="2:5" x14ac:dyDescent="0.2">
      <c r="B72" s="33" t="s">
        <v>20</v>
      </c>
      <c r="C72" s="31"/>
      <c r="D72" s="72"/>
      <c r="E72" s="32"/>
    </row>
    <row r="73" spans="2:5" ht="11.25" customHeight="1" x14ac:dyDescent="0.2">
      <c r="B73" s="33"/>
      <c r="C73" s="198" t="s">
        <v>65</v>
      </c>
      <c r="D73" s="198"/>
      <c r="E73" s="198"/>
    </row>
    <row r="74" spans="2:5" x14ac:dyDescent="0.2">
      <c r="B74" s="37"/>
      <c r="C74" s="38"/>
      <c r="D74" s="73"/>
      <c r="E74" s="39"/>
    </row>
    <row r="75" spans="2:5" ht="13.5" thickBot="1" x14ac:dyDescent="0.25"/>
    <row r="76" spans="2:5" x14ac:dyDescent="0.2">
      <c r="B76" s="27" t="s">
        <v>21</v>
      </c>
      <c r="C76" s="28"/>
      <c r="D76" s="71"/>
      <c r="E76" s="29"/>
    </row>
    <row r="77" spans="2:5" ht="5.25" customHeight="1" x14ac:dyDescent="0.2">
      <c r="B77" s="30"/>
      <c r="C77" s="31"/>
      <c r="D77" s="72"/>
      <c r="E77" s="32"/>
    </row>
    <row r="78" spans="2:5" x14ac:dyDescent="0.2">
      <c r="B78" s="33" t="s">
        <v>16</v>
      </c>
      <c r="C78" s="31"/>
      <c r="D78" s="72"/>
      <c r="E78" s="32"/>
    </row>
    <row r="79" spans="2:5" ht="25.5" customHeight="1" x14ac:dyDescent="0.2">
      <c r="B79" s="33"/>
      <c r="C79" s="199"/>
      <c r="D79" s="199"/>
      <c r="E79" s="199"/>
    </row>
    <row r="80" spans="2:5" ht="13.5" thickBot="1" x14ac:dyDescent="0.25">
      <c r="B80" s="33" t="s">
        <v>17</v>
      </c>
      <c r="C80" s="31"/>
      <c r="D80" s="72"/>
      <c r="E80" s="32"/>
    </row>
    <row r="81" spans="2:5" ht="13.5" thickBot="1" x14ac:dyDescent="0.25">
      <c r="B81" s="185" t="s">
        <v>138</v>
      </c>
      <c r="C81" s="186"/>
      <c r="D81" s="186"/>
      <c r="E81" s="187"/>
    </row>
    <row r="82" spans="2:5" ht="13.5" thickBot="1" x14ac:dyDescent="0.25">
      <c r="B82" s="185" t="s">
        <v>139</v>
      </c>
      <c r="C82" s="187"/>
      <c r="D82" s="69" t="s">
        <v>11</v>
      </c>
      <c r="E82" s="69" t="s">
        <v>140</v>
      </c>
    </row>
    <row r="83" spans="2:5" x14ac:dyDescent="0.2">
      <c r="B83" s="192" t="str">
        <f>'[1]COMEDORES EMERGENTES'!$B$3</f>
        <v>UNA SONRISA AV. LOS COBACHO</v>
      </c>
      <c r="C83" s="193"/>
      <c r="D83" s="113" t="s">
        <v>170</v>
      </c>
      <c r="E83" s="114" t="str">
        <f>'[1]COMEDORES EMERGENTES'!$G$3</f>
        <v>Bº SAN CARLOS OESTE AV. Bonifacio cobacho 670</v>
      </c>
    </row>
    <row r="84" spans="2:5" x14ac:dyDescent="0.2">
      <c r="B84" s="183" t="str">
        <f>'[1]COMEDORES EMERGENTES'!$B$4</f>
        <v>C.I.F Nº1 - RIVERA DEL VALLE Y FLORIDA</v>
      </c>
      <c r="C84" s="184"/>
      <c r="D84" s="108" t="s">
        <v>182</v>
      </c>
      <c r="E84" s="109" t="str">
        <f>'[1]COMEDORES EMERGENTES'!$G$4</f>
        <v>AV. RIVIERA DEL VALLE ENTRE FLORIDA Y SANTA FE</v>
      </c>
    </row>
    <row r="85" spans="2:5" x14ac:dyDescent="0.2">
      <c r="B85" s="183" t="str">
        <f>'[1]COMEDORES EMERGENTES'!$B$5</f>
        <v>C.I.F - RIVERA DEL VALLE - DILORENZO</v>
      </c>
      <c r="C85" s="184"/>
      <c r="D85" s="108" t="s">
        <v>176</v>
      </c>
      <c r="E85" s="109" t="str">
        <f>'[1]COMEDORES EMERGENTES'!$G$5</f>
        <v>Bº RIVERA DEL VALLE ENTRE VILLA EUMELIA Y MONTE CRISTO</v>
      </c>
    </row>
    <row r="86" spans="2:5" x14ac:dyDescent="0.2">
      <c r="B86" s="183" t="str">
        <f>'[1]COMEDORES EMERGENTES'!$B$6</f>
        <v>ESFUERZO PROPIO- Bº ALTOS DE CHOYA</v>
      </c>
      <c r="C86" s="184"/>
      <c r="D86" s="108" t="s">
        <v>169</v>
      </c>
      <c r="E86" s="109" t="str">
        <f>'[1]COMEDORES EMERGENTES'!$G$6</f>
        <v>Bº MUNICIPAL 35VV. NORTE C/14</v>
      </c>
    </row>
    <row r="87" spans="2:5" x14ac:dyDescent="0.2">
      <c r="B87" s="183" t="str">
        <f>'[1]COMEDORES EMERGENTES'!$B$7</f>
        <v>ANGELITOS - LOTEO SUSSEX</v>
      </c>
      <c r="C87" s="184"/>
      <c r="D87" s="108" t="s">
        <v>183</v>
      </c>
      <c r="E87" s="109" t="str">
        <f>'[1]COMEDORES EMERGENTES'!$G$7</f>
        <v>Bº LOTEO SUSEX MZA.Nº 4 LOTE Nº3</v>
      </c>
    </row>
    <row r="88" spans="2:5" x14ac:dyDescent="0.2">
      <c r="B88" s="183" t="str">
        <f>'[1]COMEDORES EMERGENTES'!$B$8</f>
        <v>CLUB DEPORTIVO CHACARITA</v>
      </c>
      <c r="C88" s="184"/>
      <c r="D88" s="108" t="s">
        <v>184</v>
      </c>
      <c r="E88" s="109" t="str">
        <f>'[1]COMEDORES EMERGENTES'!$G$8</f>
        <v>CALLE DR.DERMIDIO GALINDEZ C/2660</v>
      </c>
    </row>
    <row r="89" spans="2:5" x14ac:dyDescent="0.2">
      <c r="B89" s="183" t="str">
        <f>'[1]COMEDORES EMERGENTES'!$B$9</f>
        <v>LA MORO</v>
      </c>
      <c r="C89" s="184"/>
      <c r="D89" s="108" t="s">
        <v>185</v>
      </c>
      <c r="E89" s="109" t="str">
        <f>'[1]COMEDORES EMERGENTES'!$G$9</f>
        <v>MAIPU NORTE 1º ETAPA MZA "H" Bº MI JARDIN</v>
      </c>
    </row>
    <row r="90" spans="2:5" x14ac:dyDescent="0.2">
      <c r="B90" s="183" t="str">
        <f>'[1]COMEDORES EMERGENTES'!$B$10</f>
        <v>PAPA FRANCISCO</v>
      </c>
      <c r="C90" s="184"/>
      <c r="D90" s="108" t="s">
        <v>186</v>
      </c>
      <c r="E90" s="109" t="str">
        <f>'[1]COMEDORES EMERGENTES'!$G$10</f>
        <v>ENTRE AV.TEREBINTO Y AV.SAN JUAN LOTE "2" MZA. "B"</v>
      </c>
    </row>
    <row r="91" spans="2:5" x14ac:dyDescent="0.2">
      <c r="B91" s="183" t="str">
        <f>'[1]COMEDORES EMERGENTES'!$B$11</f>
        <v>E.P.C - 100 V.V NORTE</v>
      </c>
      <c r="C91" s="184"/>
      <c r="D91" s="108" t="s">
        <v>173</v>
      </c>
      <c r="E91" s="109" t="str">
        <f>'[1]COMEDORES EMERGENTES'!$G$11</f>
        <v>Bº VV NORTE C/48 ENTRE ESPAÑA Y FRANCIA</v>
      </c>
    </row>
    <row r="92" spans="2:5" x14ac:dyDescent="0.2">
      <c r="B92" s="183" t="str">
        <f>'[1]COMEDORES EMERGENTES'!$B$12</f>
        <v>HOGAR DE CRISTO - PADRE RAUL CONTRERAS</v>
      </c>
      <c r="C92" s="184"/>
      <c r="D92" s="108" t="s">
        <v>173</v>
      </c>
      <c r="E92" s="109" t="str">
        <f>'[1]COMEDORES EMERGENTES'!$G$12</f>
        <v>Bº SANTA MARTA MZA. "S" LOTE "M" C/39</v>
      </c>
    </row>
    <row r="93" spans="2:5" x14ac:dyDescent="0.2">
      <c r="B93" s="183" t="str">
        <f>'[1]COMEDORES EMERGENTES'!$B$13</f>
        <v>LA LUCIERNAGA</v>
      </c>
      <c r="C93" s="184"/>
      <c r="D93" s="108" t="s">
        <v>186</v>
      </c>
      <c r="E93" s="109" t="str">
        <f>'[1]COMEDORES EMERGENTES'!$G$13</f>
        <v>Bº 20 V.V NORTE C/3</v>
      </c>
    </row>
    <row r="94" spans="2:5" x14ac:dyDescent="0.2">
      <c r="B94" s="183" t="str">
        <f>'[1]COMEDORES EMERGENTES'!$B$14</f>
        <v>VALLE VIEJO - SUMALAO</v>
      </c>
      <c r="C94" s="184"/>
      <c r="D94" s="108" t="s">
        <v>187</v>
      </c>
      <c r="E94" s="109" t="str">
        <f>'[1]COMEDORES EMERGENTES'!$G$14</f>
        <v>PADRE SEGURA S/N</v>
      </c>
    </row>
    <row r="95" spans="2:5" x14ac:dyDescent="0.2">
      <c r="B95" s="183" t="str">
        <f>'[1]COMEDORES EMERGENTES'!$B$15</f>
        <v>NUESTRO FUTURO - LAS VIAS</v>
      </c>
      <c r="C95" s="184"/>
      <c r="D95" s="108" t="s">
        <v>186</v>
      </c>
      <c r="E95" s="109" t="str">
        <f>'[1]COMEDORES EMERGENTES'!$G$15</f>
        <v>Bº LAS VIAS OESTE LOTE 42</v>
      </c>
    </row>
    <row r="96" spans="2:5" x14ac:dyDescent="0.2">
      <c r="B96" s="183" t="str">
        <f>'[1]COMEDORES EMERGENTES'!$B$16</f>
        <v>SAN JOSE OBRERO</v>
      </c>
      <c r="C96" s="184"/>
      <c r="D96" s="108" t="s">
        <v>184</v>
      </c>
      <c r="E96" s="109" t="str">
        <f>'[1]COMEDORES EMERGENTES'!$G$16</f>
        <v>Bº SAN JOSE OBRERO. PJE. SANDOVAL S/Nº</v>
      </c>
    </row>
    <row r="97" spans="2:5" x14ac:dyDescent="0.2">
      <c r="B97" s="183" t="str">
        <f>'[1]COMEDORES EMERGENTES'!$B$17</f>
        <v>VIRGEN DE LUJAN</v>
      </c>
      <c r="C97" s="184"/>
      <c r="D97" s="108" t="s">
        <v>186</v>
      </c>
      <c r="E97" s="109" t="str">
        <f>'[1]COMEDORES EMERGENTES'!$G$17</f>
        <v>Bº OJO DE AGUA C/DR.TEODULFO BARRIONUEVO S/Nº</v>
      </c>
    </row>
    <row r="98" spans="2:5" x14ac:dyDescent="0.2">
      <c r="B98" s="183" t="str">
        <f>'[1]COMEDORES EMERGENTES'!$B$18</f>
        <v>RENACER</v>
      </c>
      <c r="C98" s="184"/>
      <c r="D98" s="108" t="s">
        <v>188</v>
      </c>
      <c r="E98" s="109" t="str">
        <f>'[1]COMEDORES EMERGENTES'!$G$18</f>
        <v>Bº VIRGEN MORENITA</v>
      </c>
    </row>
    <row r="99" spans="2:5" x14ac:dyDescent="0.2">
      <c r="B99" s="183" t="str">
        <f>'[1]COMEDORES EMERGENTES'!$B$19</f>
        <v>CENTRO VECINAL MI JARDIN</v>
      </c>
      <c r="C99" s="184"/>
      <c r="D99" s="108" t="s">
        <v>175</v>
      </c>
      <c r="E99" s="109" t="str">
        <f>'[1]COMEDORES EMERGENTES'!$G$19</f>
        <v>C/ LOS TULIPANES ENTRE FLOR DE CEREZO Y HOLANDA MZA.27 Bº MI JARDIN</v>
      </c>
    </row>
    <row r="100" spans="2:5" x14ac:dyDescent="0.2">
      <c r="B100" s="183" t="str">
        <f>'[1]COMEDORES EMERGENTES'!$B$20</f>
        <v>LA VIEJA ESQUINA</v>
      </c>
      <c r="C100" s="184"/>
      <c r="D100" s="108" t="s">
        <v>189</v>
      </c>
      <c r="E100" s="109" t="str">
        <f>'[1]COMEDORES EMERGENTES'!$G$20</f>
        <v>B° CRISTO REY PJE CAPATAZ VILLAFAÑEZ Y ARMANDO CORREA</v>
      </c>
    </row>
    <row r="101" spans="2:5" x14ac:dyDescent="0.2">
      <c r="B101" s="183" t="str">
        <f>'[1]COMEDORES EMERGENTES'!$B$21</f>
        <v>GAUCHITO GIL</v>
      </c>
      <c r="C101" s="184"/>
      <c r="D101" s="108" t="s">
        <v>170</v>
      </c>
      <c r="E101" s="109" t="str">
        <f>'[1]COMEDORES EMERGENTES'!$G$21</f>
        <v>B° 26 VIVIENDAS CASA N° 3</v>
      </c>
    </row>
    <row r="102" spans="2:5" ht="13.5" thickBot="1" x14ac:dyDescent="0.25">
      <c r="B102" s="200" t="str">
        <f>'[1]COMEDORES EMERGENTES'!$B$22</f>
        <v>LOS TOLDOS</v>
      </c>
      <c r="C102" s="201"/>
      <c r="D102" s="115" t="s">
        <v>201</v>
      </c>
      <c r="E102" s="116" t="str">
        <f>'[1]COMEDORES EMERGENTES'!$G$22</f>
        <v>LOTEO PARQUE SUR CALLE S/NOMBRE S/N°</v>
      </c>
    </row>
    <row r="103" spans="2:5" x14ac:dyDescent="0.2">
      <c r="B103" s="33" t="s">
        <v>18</v>
      </c>
      <c r="C103" s="31"/>
      <c r="D103" s="72"/>
      <c r="E103" s="32"/>
    </row>
    <row r="104" spans="2:5" ht="12.75" customHeight="1" x14ac:dyDescent="0.2">
      <c r="B104" s="34"/>
      <c r="C104" s="199" t="s">
        <v>64</v>
      </c>
      <c r="D104" s="199"/>
      <c r="E104" s="199"/>
    </row>
    <row r="105" spans="2:5" x14ac:dyDescent="0.2">
      <c r="B105" s="33" t="s">
        <v>19</v>
      </c>
      <c r="C105" s="35"/>
      <c r="D105" s="35"/>
      <c r="E105" s="36"/>
    </row>
    <row r="106" spans="2:5" ht="14.25" customHeight="1" x14ac:dyDescent="0.2">
      <c r="B106" s="34"/>
      <c r="C106" s="199" t="s">
        <v>141</v>
      </c>
      <c r="D106" s="199"/>
      <c r="E106" s="199"/>
    </row>
    <row r="107" spans="2:5" x14ac:dyDescent="0.2">
      <c r="B107" s="33" t="s">
        <v>20</v>
      </c>
      <c r="C107" s="31"/>
      <c r="D107" s="72"/>
      <c r="E107" s="32"/>
    </row>
    <row r="108" spans="2:5" ht="11.25" customHeight="1" x14ac:dyDescent="0.2">
      <c r="B108" s="33"/>
      <c r="C108" s="198" t="s">
        <v>65</v>
      </c>
      <c r="D108" s="198"/>
      <c r="E108" s="198"/>
    </row>
    <row r="109" spans="2:5" ht="13.5" thickBot="1" x14ac:dyDescent="0.25">
      <c r="B109" s="37"/>
      <c r="C109" s="38"/>
      <c r="D109" s="73"/>
      <c r="E109" s="39"/>
    </row>
    <row r="110" spans="2:5" ht="13.5" thickBot="1" x14ac:dyDescent="0.25"/>
    <row r="111" spans="2:5" x14ac:dyDescent="0.2">
      <c r="B111" s="27" t="s">
        <v>66</v>
      </c>
      <c r="C111" s="28"/>
      <c r="D111" s="71"/>
      <c r="E111" s="29"/>
    </row>
    <row r="112" spans="2:5" ht="5.25" customHeight="1" x14ac:dyDescent="0.2">
      <c r="B112" s="30"/>
      <c r="C112" s="31"/>
      <c r="D112" s="72"/>
      <c r="E112" s="32"/>
    </row>
    <row r="113" spans="2:5" x14ac:dyDescent="0.2">
      <c r="B113" s="33" t="s">
        <v>16</v>
      </c>
      <c r="C113" s="31"/>
      <c r="D113" s="72"/>
      <c r="E113" s="32"/>
    </row>
    <row r="114" spans="2:5" ht="25.5" customHeight="1" x14ac:dyDescent="0.2">
      <c r="B114" s="33"/>
      <c r="C114" s="189"/>
      <c r="D114" s="189"/>
      <c r="E114" s="190"/>
    </row>
    <row r="115" spans="2:5" ht="13.5" thickBot="1" x14ac:dyDescent="0.25">
      <c r="B115" s="33" t="s">
        <v>17</v>
      </c>
      <c r="C115" s="31"/>
      <c r="D115" s="72"/>
      <c r="E115" s="32"/>
    </row>
    <row r="116" spans="2:5" ht="13.5" thickBot="1" x14ac:dyDescent="0.25">
      <c r="B116" s="185" t="s">
        <v>138</v>
      </c>
      <c r="C116" s="186"/>
      <c r="D116" s="186"/>
      <c r="E116" s="187"/>
    </row>
    <row r="117" spans="2:5" ht="13.5" thickBot="1" x14ac:dyDescent="0.25">
      <c r="B117" s="185" t="s">
        <v>139</v>
      </c>
      <c r="C117" s="187"/>
      <c r="D117" s="69" t="s">
        <v>11</v>
      </c>
      <c r="E117" s="69" t="s">
        <v>140</v>
      </c>
    </row>
    <row r="118" spans="2:5" x14ac:dyDescent="0.2">
      <c r="B118" s="192" t="str">
        <f>'[1]COMEDORES EMERGENTES'!$B$3</f>
        <v>UNA SONRISA AV. LOS COBACHO</v>
      </c>
      <c r="C118" s="193"/>
      <c r="D118" s="113" t="s">
        <v>190</v>
      </c>
      <c r="E118" s="114" t="str">
        <f>'[1]COMEDORES EMERGENTES'!$G$3</f>
        <v>Bº SAN CARLOS OESTE AV. Bonifacio cobacho 670</v>
      </c>
    </row>
    <row r="119" spans="2:5" x14ac:dyDescent="0.2">
      <c r="B119" s="183" t="str">
        <f>'[1]COMEDORES EMERGENTES'!$B$4</f>
        <v>C.I.F Nº1 - RIVERA DEL VALLE Y FLORIDA</v>
      </c>
      <c r="C119" s="184"/>
      <c r="D119" s="108" t="s">
        <v>191</v>
      </c>
      <c r="E119" s="109" t="str">
        <f>'[1]COMEDORES EMERGENTES'!$G$4</f>
        <v>AV. RIVIERA DEL VALLE ENTRE FLORIDA Y SANTA FE</v>
      </c>
    </row>
    <row r="120" spans="2:5" x14ac:dyDescent="0.2">
      <c r="B120" s="183" t="str">
        <f>'[1]COMEDORES EMERGENTES'!$B$5</f>
        <v>C.I.F - RIVERA DEL VALLE - DILORENZO</v>
      </c>
      <c r="C120" s="184"/>
      <c r="D120" s="108" t="s">
        <v>192</v>
      </c>
      <c r="E120" s="109" t="str">
        <f>'[1]COMEDORES EMERGENTES'!$G$5</f>
        <v>Bº RIVERA DEL VALLE ENTRE VILLA EUMELIA Y MONTE CRISTO</v>
      </c>
    </row>
    <row r="121" spans="2:5" x14ac:dyDescent="0.2">
      <c r="B121" s="183" t="str">
        <f>'[1]COMEDORES EMERGENTES'!$B$6</f>
        <v>ESFUERZO PROPIO- Bº ALTOS DE CHOYA</v>
      </c>
      <c r="C121" s="184"/>
      <c r="D121" s="108" t="s">
        <v>193</v>
      </c>
      <c r="E121" s="109" t="str">
        <f>'[1]COMEDORES EMERGENTES'!$G$6</f>
        <v>Bº MUNICIPAL 35VV. NORTE C/14</v>
      </c>
    </row>
    <row r="122" spans="2:5" x14ac:dyDescent="0.2">
      <c r="B122" s="183" t="str">
        <f>'[1]COMEDORES EMERGENTES'!$B$7</f>
        <v>ANGELITOS - LOTEO SUSSEX</v>
      </c>
      <c r="C122" s="184"/>
      <c r="D122" s="108" t="s">
        <v>175</v>
      </c>
      <c r="E122" s="109" t="str">
        <f>'[1]COMEDORES EMERGENTES'!$G$7</f>
        <v>Bº LOTEO SUSEX MZA.Nº 4 LOTE Nº3</v>
      </c>
    </row>
    <row r="123" spans="2:5" x14ac:dyDescent="0.2">
      <c r="B123" s="183" t="str">
        <f>'[1]COMEDORES EMERGENTES'!$B$8</f>
        <v>CLUB DEPORTIVO CHACARITA</v>
      </c>
      <c r="C123" s="184"/>
      <c r="D123" s="108" t="s">
        <v>181</v>
      </c>
      <c r="E123" s="109" t="str">
        <f>'[1]COMEDORES EMERGENTES'!$G$8</f>
        <v>CALLE DR.DERMIDIO GALINDEZ C/2660</v>
      </c>
    </row>
    <row r="124" spans="2:5" x14ac:dyDescent="0.2">
      <c r="B124" s="183" t="str">
        <f>'[1]COMEDORES EMERGENTES'!$B$9</f>
        <v>LA MORO</v>
      </c>
      <c r="C124" s="184"/>
      <c r="D124" s="108" t="s">
        <v>169</v>
      </c>
      <c r="E124" s="109" t="str">
        <f>'[1]COMEDORES EMERGENTES'!$G$9</f>
        <v>MAIPU NORTE 1º ETAPA MZA "H" Bº MI JARDIN</v>
      </c>
    </row>
    <row r="125" spans="2:5" x14ac:dyDescent="0.2">
      <c r="B125" s="183" t="str">
        <f>'[1]COMEDORES EMERGENTES'!$B$10</f>
        <v>PAPA FRANCISCO</v>
      </c>
      <c r="C125" s="184"/>
      <c r="D125" s="108" t="s">
        <v>194</v>
      </c>
      <c r="E125" s="109" t="str">
        <f>'[1]COMEDORES EMERGENTES'!$G$10</f>
        <v>ENTRE AV.TEREBINTO Y AV.SAN JUAN LOTE "2" MZA. "B"</v>
      </c>
    </row>
    <row r="126" spans="2:5" x14ac:dyDescent="0.2">
      <c r="B126" s="183" t="str">
        <f>'[1]COMEDORES EMERGENTES'!$B$11</f>
        <v>E.P.C - 100 V.V NORTE</v>
      </c>
      <c r="C126" s="184"/>
      <c r="D126" s="108" t="s">
        <v>195</v>
      </c>
      <c r="E126" s="109" t="str">
        <f>'[1]COMEDORES EMERGENTES'!$G$11</f>
        <v>Bº VV NORTE C/48 ENTRE ESPAÑA Y FRANCIA</v>
      </c>
    </row>
    <row r="127" spans="2:5" x14ac:dyDescent="0.2">
      <c r="B127" s="183" t="str">
        <f>'[1]COMEDORES EMERGENTES'!$B$12</f>
        <v>HOGAR DE CRISTO - PADRE RAUL CONTRERAS</v>
      </c>
      <c r="C127" s="184"/>
      <c r="D127" s="108" t="s">
        <v>195</v>
      </c>
      <c r="E127" s="109" t="str">
        <f>'[1]COMEDORES EMERGENTES'!$G$12</f>
        <v>Bº SANTA MARTA MZA. "S" LOTE "M" C/39</v>
      </c>
    </row>
    <row r="128" spans="2:5" x14ac:dyDescent="0.2">
      <c r="B128" s="183" t="str">
        <f>'[1]COMEDORES EMERGENTES'!$B$13</f>
        <v>LA LUCIERNAGA</v>
      </c>
      <c r="C128" s="184"/>
      <c r="D128" s="108" t="s">
        <v>194</v>
      </c>
      <c r="E128" s="109" t="str">
        <f>'[1]COMEDORES EMERGENTES'!$G$13</f>
        <v>Bº 20 V.V NORTE C/3</v>
      </c>
    </row>
    <row r="129" spans="2:5" x14ac:dyDescent="0.2">
      <c r="B129" s="183" t="str">
        <f>'[1]COMEDORES EMERGENTES'!$B$14</f>
        <v>VALLE VIEJO - SUMALAO</v>
      </c>
      <c r="C129" s="184"/>
      <c r="D129" s="108" t="s">
        <v>196</v>
      </c>
      <c r="E129" s="109" t="str">
        <f>'[1]COMEDORES EMERGENTES'!$G$14</f>
        <v>PADRE SEGURA S/N</v>
      </c>
    </row>
    <row r="130" spans="2:5" x14ac:dyDescent="0.2">
      <c r="B130" s="183" t="str">
        <f>'[1]COMEDORES EMERGENTES'!$B$15</f>
        <v>NUESTRO FUTURO - LAS VIAS</v>
      </c>
      <c r="C130" s="184"/>
      <c r="D130" s="108" t="s">
        <v>194</v>
      </c>
      <c r="E130" s="109" t="str">
        <f>'[1]COMEDORES EMERGENTES'!$G$15</f>
        <v>Bº LAS VIAS OESTE LOTE 42</v>
      </c>
    </row>
    <row r="131" spans="2:5" x14ac:dyDescent="0.2">
      <c r="B131" s="183" t="str">
        <f>'[1]COMEDORES EMERGENTES'!$B$16</f>
        <v>SAN JOSE OBRERO</v>
      </c>
      <c r="C131" s="184"/>
      <c r="D131" s="108" t="s">
        <v>181</v>
      </c>
      <c r="E131" s="109" t="str">
        <f>'[1]COMEDORES EMERGENTES'!$G$16</f>
        <v>Bº SAN JOSE OBRERO. PJE. SANDOVAL S/Nº</v>
      </c>
    </row>
    <row r="132" spans="2:5" x14ac:dyDescent="0.2">
      <c r="B132" s="183" t="str">
        <f>'[1]COMEDORES EMERGENTES'!$B$17</f>
        <v>VIRGEN DE LUJAN</v>
      </c>
      <c r="C132" s="184"/>
      <c r="D132" s="108" t="s">
        <v>194</v>
      </c>
      <c r="E132" s="109" t="str">
        <f>'[1]COMEDORES EMERGENTES'!$G$17</f>
        <v>Bº OJO DE AGUA C/DR.TEODULFO BARRIONUEVO S/Nº</v>
      </c>
    </row>
    <row r="133" spans="2:5" x14ac:dyDescent="0.2">
      <c r="B133" s="183" t="str">
        <f>'[1]COMEDORES EMERGENTES'!$B$18</f>
        <v>RENACER</v>
      </c>
      <c r="C133" s="184"/>
      <c r="D133" s="108" t="s">
        <v>197</v>
      </c>
      <c r="E133" s="109" t="str">
        <f>'[1]COMEDORES EMERGENTES'!$G$18</f>
        <v>Bº VIRGEN MORENITA</v>
      </c>
    </row>
    <row r="134" spans="2:5" x14ac:dyDescent="0.2">
      <c r="B134" s="183" t="str">
        <f>'[1]COMEDORES EMERGENTES'!$B$19</f>
        <v>CENTRO VECINAL MI JARDIN</v>
      </c>
      <c r="C134" s="184"/>
      <c r="D134" s="108" t="s">
        <v>198</v>
      </c>
      <c r="E134" s="109" t="str">
        <f>'[1]COMEDORES EMERGENTES'!$G$19</f>
        <v>C/ LOS TULIPANES ENTRE FLOR DE CEREZO Y HOLANDA MZA.27 Bº MI JARDIN</v>
      </c>
    </row>
    <row r="135" spans="2:5" x14ac:dyDescent="0.2">
      <c r="B135" s="183" t="str">
        <f>'[1]COMEDORES EMERGENTES'!$B$20</f>
        <v>LA VIEJA ESQUINA</v>
      </c>
      <c r="C135" s="184"/>
      <c r="D135" s="108" t="s">
        <v>199</v>
      </c>
      <c r="E135" s="109" t="str">
        <f>'[1]COMEDORES EMERGENTES'!$G$20</f>
        <v>B° CRISTO REY PJE CAPATAZ VILLAFAÑEZ Y ARMANDO CORREA</v>
      </c>
    </row>
    <row r="136" spans="2:5" x14ac:dyDescent="0.2">
      <c r="B136" s="183" t="str">
        <f>'[1]COMEDORES EMERGENTES'!$B$21</f>
        <v>GAUCHITO GIL</v>
      </c>
      <c r="C136" s="184"/>
      <c r="D136" s="108" t="s">
        <v>199</v>
      </c>
      <c r="E136" s="109" t="str">
        <f>'[1]COMEDORES EMERGENTES'!$G$21</f>
        <v>B° 26 VIVIENDAS CASA N° 3</v>
      </c>
    </row>
    <row r="137" spans="2:5" ht="13.5" thickBot="1" x14ac:dyDescent="0.25">
      <c r="B137" s="200" t="str">
        <f>'[1]COMEDORES EMERGENTES'!$B$22</f>
        <v>LOS TOLDOS</v>
      </c>
      <c r="C137" s="201"/>
      <c r="D137" s="115" t="s">
        <v>204</v>
      </c>
      <c r="E137" s="116" t="str">
        <f>'[1]COMEDORES EMERGENTES'!$G$22</f>
        <v>LOTEO PARQUE SUR CALLE S/NOMBRE S/N°</v>
      </c>
    </row>
    <row r="138" spans="2:5" x14ac:dyDescent="0.2">
      <c r="B138" s="33" t="s">
        <v>18</v>
      </c>
      <c r="C138" s="31"/>
      <c r="D138" s="72"/>
      <c r="E138" s="32"/>
    </row>
    <row r="139" spans="2:5" ht="12.75" customHeight="1" x14ac:dyDescent="0.2">
      <c r="B139" s="34"/>
      <c r="C139" s="199" t="s">
        <v>64</v>
      </c>
      <c r="D139" s="199"/>
      <c r="E139" s="199"/>
    </row>
    <row r="140" spans="2:5" x14ac:dyDescent="0.2">
      <c r="B140" s="33" t="s">
        <v>19</v>
      </c>
      <c r="C140" s="35"/>
      <c r="D140" s="35"/>
      <c r="E140" s="36"/>
    </row>
    <row r="141" spans="2:5" ht="14.25" customHeight="1" x14ac:dyDescent="0.2">
      <c r="B141" s="34"/>
      <c r="C141" s="199" t="s">
        <v>141</v>
      </c>
      <c r="D141" s="199"/>
      <c r="E141" s="199"/>
    </row>
    <row r="142" spans="2:5" x14ac:dyDescent="0.2">
      <c r="B142" s="33" t="s">
        <v>20</v>
      </c>
      <c r="C142" s="31"/>
      <c r="D142" s="72"/>
      <c r="E142" s="32"/>
    </row>
    <row r="143" spans="2:5" ht="11.25" customHeight="1" x14ac:dyDescent="0.2">
      <c r="B143" s="33"/>
      <c r="C143" s="198" t="s">
        <v>65</v>
      </c>
      <c r="D143" s="198"/>
      <c r="E143" s="198"/>
    </row>
    <row r="144" spans="2:5" ht="13.5" thickBot="1" x14ac:dyDescent="0.25">
      <c r="B144" s="37"/>
      <c r="C144" s="38"/>
      <c r="D144" s="73"/>
      <c r="E144" s="39"/>
    </row>
    <row r="145" spans="2:5" ht="13.5" thickBot="1" x14ac:dyDescent="0.25"/>
    <row r="146" spans="2:5" x14ac:dyDescent="0.2">
      <c r="B146" s="27" t="s">
        <v>142</v>
      </c>
      <c r="C146" s="28"/>
      <c r="D146" s="71"/>
      <c r="E146" s="29"/>
    </row>
    <row r="147" spans="2:5" ht="5.25" customHeight="1" x14ac:dyDescent="0.2">
      <c r="B147" s="30"/>
      <c r="C147" s="31"/>
      <c r="D147" s="72"/>
      <c r="E147" s="32"/>
    </row>
    <row r="148" spans="2:5" x14ac:dyDescent="0.2">
      <c r="B148" s="33" t="s">
        <v>16</v>
      </c>
      <c r="C148" s="31"/>
      <c r="D148" s="72"/>
      <c r="E148" s="32"/>
    </row>
    <row r="149" spans="2:5" ht="25.5" customHeight="1" x14ac:dyDescent="0.2">
      <c r="B149" s="33"/>
      <c r="C149" s="189"/>
      <c r="D149" s="189"/>
      <c r="E149" s="190"/>
    </row>
    <row r="150" spans="2:5" ht="13.5" thickBot="1" x14ac:dyDescent="0.25">
      <c r="B150" s="33" t="s">
        <v>17</v>
      </c>
      <c r="C150" s="31"/>
      <c r="D150" s="72"/>
      <c r="E150" s="32"/>
    </row>
    <row r="151" spans="2:5" ht="13.5" thickBot="1" x14ac:dyDescent="0.25">
      <c r="B151" s="185" t="s">
        <v>138</v>
      </c>
      <c r="C151" s="186"/>
      <c r="D151" s="186"/>
      <c r="E151" s="187"/>
    </row>
    <row r="152" spans="2:5" ht="13.5" thickBot="1" x14ac:dyDescent="0.25">
      <c r="B152" s="185" t="s">
        <v>139</v>
      </c>
      <c r="C152" s="187"/>
      <c r="D152" s="69" t="s">
        <v>11</v>
      </c>
      <c r="E152" s="69" t="s">
        <v>140</v>
      </c>
    </row>
    <row r="153" spans="2:5" x14ac:dyDescent="0.2">
      <c r="B153" s="192" t="str">
        <f>'[1]COMEDORES EMERGENTES'!$B$3</f>
        <v>UNA SONRISA AV. LOS COBACHO</v>
      </c>
      <c r="C153" s="193"/>
      <c r="D153" s="113" t="s">
        <v>190</v>
      </c>
      <c r="E153" s="114" t="str">
        <f>'[1]COMEDORES EMERGENTES'!$G$3</f>
        <v>Bº SAN CARLOS OESTE AV. Bonifacio cobacho 670</v>
      </c>
    </row>
    <row r="154" spans="2:5" x14ac:dyDescent="0.2">
      <c r="B154" s="183" t="str">
        <f>'[1]COMEDORES EMERGENTES'!$B$4</f>
        <v>C.I.F Nº1 - RIVERA DEL VALLE Y FLORIDA</v>
      </c>
      <c r="C154" s="184"/>
      <c r="D154" s="108" t="s">
        <v>191</v>
      </c>
      <c r="E154" s="109" t="str">
        <f>'[1]COMEDORES EMERGENTES'!$G$4</f>
        <v>AV. RIVIERA DEL VALLE ENTRE FLORIDA Y SANTA FE</v>
      </c>
    </row>
    <row r="155" spans="2:5" x14ac:dyDescent="0.2">
      <c r="B155" s="183" t="str">
        <f>'[1]COMEDORES EMERGENTES'!$B$5</f>
        <v>C.I.F - RIVERA DEL VALLE - DILORENZO</v>
      </c>
      <c r="C155" s="184"/>
      <c r="D155" s="108" t="s">
        <v>192</v>
      </c>
      <c r="E155" s="109" t="str">
        <f>'[1]COMEDORES EMERGENTES'!$G$5</f>
        <v>Bº RIVERA DEL VALLE ENTRE VILLA EUMELIA Y MONTE CRISTO</v>
      </c>
    </row>
    <row r="156" spans="2:5" x14ac:dyDescent="0.2">
      <c r="B156" s="183" t="str">
        <f>'[1]COMEDORES EMERGENTES'!$B$6</f>
        <v>ESFUERZO PROPIO- Bº ALTOS DE CHOYA</v>
      </c>
      <c r="C156" s="184"/>
      <c r="D156" s="108" t="s">
        <v>193</v>
      </c>
      <c r="E156" s="109" t="str">
        <f>'[1]COMEDORES EMERGENTES'!$G$6</f>
        <v>Bº MUNICIPAL 35VV. NORTE C/14</v>
      </c>
    </row>
    <row r="157" spans="2:5" x14ac:dyDescent="0.2">
      <c r="B157" s="183" t="str">
        <f>'[1]COMEDORES EMERGENTES'!$B$7</f>
        <v>ANGELITOS - LOTEO SUSSEX</v>
      </c>
      <c r="C157" s="184"/>
      <c r="D157" s="108" t="s">
        <v>175</v>
      </c>
      <c r="E157" s="109" t="str">
        <f>'[1]COMEDORES EMERGENTES'!$G$7</f>
        <v>Bº LOTEO SUSEX MZA.Nº 4 LOTE Nº3</v>
      </c>
    </row>
    <row r="158" spans="2:5" x14ac:dyDescent="0.2">
      <c r="B158" s="183" t="str">
        <f>'[1]COMEDORES EMERGENTES'!$B$8</f>
        <v>CLUB DEPORTIVO CHACARITA</v>
      </c>
      <c r="C158" s="184"/>
      <c r="D158" s="108" t="s">
        <v>181</v>
      </c>
      <c r="E158" s="109" t="str">
        <f>'[1]COMEDORES EMERGENTES'!$G$8</f>
        <v>CALLE DR.DERMIDIO GALINDEZ C/2660</v>
      </c>
    </row>
    <row r="159" spans="2:5" x14ac:dyDescent="0.2">
      <c r="B159" s="183" t="str">
        <f>'[1]COMEDORES EMERGENTES'!$B$9</f>
        <v>LA MORO</v>
      </c>
      <c r="C159" s="184"/>
      <c r="D159" s="108" t="s">
        <v>169</v>
      </c>
      <c r="E159" s="109" t="str">
        <f>'[1]COMEDORES EMERGENTES'!$G$9</f>
        <v>MAIPU NORTE 1º ETAPA MZA "H" Bº MI JARDIN</v>
      </c>
    </row>
    <row r="160" spans="2:5" x14ac:dyDescent="0.2">
      <c r="B160" s="183" t="str">
        <f>'[1]COMEDORES EMERGENTES'!$B$10</f>
        <v>PAPA FRANCISCO</v>
      </c>
      <c r="C160" s="184"/>
      <c r="D160" s="108" t="s">
        <v>194</v>
      </c>
      <c r="E160" s="109" t="str">
        <f>'[1]COMEDORES EMERGENTES'!$G$10</f>
        <v>ENTRE AV.TEREBINTO Y AV.SAN JUAN LOTE "2" MZA. "B"</v>
      </c>
    </row>
    <row r="161" spans="2:5" x14ac:dyDescent="0.2">
      <c r="B161" s="183" t="str">
        <f>'[1]COMEDORES EMERGENTES'!$B$11</f>
        <v>E.P.C - 100 V.V NORTE</v>
      </c>
      <c r="C161" s="184"/>
      <c r="D161" s="108" t="s">
        <v>195</v>
      </c>
      <c r="E161" s="109" t="str">
        <f>'[1]COMEDORES EMERGENTES'!$G$11</f>
        <v>Bº VV NORTE C/48 ENTRE ESPAÑA Y FRANCIA</v>
      </c>
    </row>
    <row r="162" spans="2:5" x14ac:dyDescent="0.2">
      <c r="B162" s="183" t="str">
        <f>'[1]COMEDORES EMERGENTES'!$B$12</f>
        <v>HOGAR DE CRISTO - PADRE RAUL CONTRERAS</v>
      </c>
      <c r="C162" s="184"/>
      <c r="D162" s="108" t="s">
        <v>195</v>
      </c>
      <c r="E162" s="109" t="str">
        <f>'[1]COMEDORES EMERGENTES'!$G$12</f>
        <v>Bº SANTA MARTA MZA. "S" LOTE "M" C/39</v>
      </c>
    </row>
    <row r="163" spans="2:5" x14ac:dyDescent="0.2">
      <c r="B163" s="183" t="str">
        <f>'[1]COMEDORES EMERGENTES'!$B$13</f>
        <v>LA LUCIERNAGA</v>
      </c>
      <c r="C163" s="184"/>
      <c r="D163" s="108" t="s">
        <v>194</v>
      </c>
      <c r="E163" s="109" t="str">
        <f>'[1]COMEDORES EMERGENTES'!$G$13</f>
        <v>Bº 20 V.V NORTE C/3</v>
      </c>
    </row>
    <row r="164" spans="2:5" x14ac:dyDescent="0.2">
      <c r="B164" s="183" t="str">
        <f>'[1]COMEDORES EMERGENTES'!$B$14</f>
        <v>VALLE VIEJO - SUMALAO</v>
      </c>
      <c r="C164" s="184"/>
      <c r="D164" s="108" t="s">
        <v>196</v>
      </c>
      <c r="E164" s="109" t="str">
        <f>'[1]COMEDORES EMERGENTES'!$G$14</f>
        <v>PADRE SEGURA S/N</v>
      </c>
    </row>
    <row r="165" spans="2:5" x14ac:dyDescent="0.2">
      <c r="B165" s="183" t="str">
        <f>'[1]COMEDORES EMERGENTES'!$B$15</f>
        <v>NUESTRO FUTURO - LAS VIAS</v>
      </c>
      <c r="C165" s="184"/>
      <c r="D165" s="108" t="s">
        <v>194</v>
      </c>
      <c r="E165" s="109" t="str">
        <f>'[1]COMEDORES EMERGENTES'!$G$15</f>
        <v>Bº LAS VIAS OESTE LOTE 42</v>
      </c>
    </row>
    <row r="166" spans="2:5" x14ac:dyDescent="0.2">
      <c r="B166" s="183" t="str">
        <f>'[1]COMEDORES EMERGENTES'!$B$16</f>
        <v>SAN JOSE OBRERO</v>
      </c>
      <c r="C166" s="184"/>
      <c r="D166" s="108" t="s">
        <v>181</v>
      </c>
      <c r="E166" s="109" t="str">
        <f>'[1]COMEDORES EMERGENTES'!$G$16</f>
        <v>Bº SAN JOSE OBRERO. PJE. SANDOVAL S/Nº</v>
      </c>
    </row>
    <row r="167" spans="2:5" x14ac:dyDescent="0.2">
      <c r="B167" s="183" t="str">
        <f>'[1]COMEDORES EMERGENTES'!$B$17</f>
        <v>VIRGEN DE LUJAN</v>
      </c>
      <c r="C167" s="184"/>
      <c r="D167" s="108" t="s">
        <v>194</v>
      </c>
      <c r="E167" s="109" t="str">
        <f>'[1]COMEDORES EMERGENTES'!$G$17</f>
        <v>Bº OJO DE AGUA C/DR.TEODULFO BARRIONUEVO S/Nº</v>
      </c>
    </row>
    <row r="168" spans="2:5" x14ac:dyDescent="0.2">
      <c r="B168" s="183" t="str">
        <f>'[1]COMEDORES EMERGENTES'!$B$18</f>
        <v>RENACER</v>
      </c>
      <c r="C168" s="184"/>
      <c r="D168" s="108" t="s">
        <v>197</v>
      </c>
      <c r="E168" s="109" t="str">
        <f>'[1]COMEDORES EMERGENTES'!$G$18</f>
        <v>Bº VIRGEN MORENITA</v>
      </c>
    </row>
    <row r="169" spans="2:5" x14ac:dyDescent="0.2">
      <c r="B169" s="183" t="str">
        <f>'[1]COMEDORES EMERGENTES'!$B$19</f>
        <v>CENTRO VECINAL MI JARDIN</v>
      </c>
      <c r="C169" s="184"/>
      <c r="D169" s="108" t="s">
        <v>198</v>
      </c>
      <c r="E169" s="109" t="str">
        <f>'[1]COMEDORES EMERGENTES'!$G$19</f>
        <v>C/ LOS TULIPANES ENTRE FLOR DE CEREZO Y HOLANDA MZA.27 Bº MI JARDIN</v>
      </c>
    </row>
    <row r="170" spans="2:5" x14ac:dyDescent="0.2">
      <c r="B170" s="183" t="str">
        <f>'[1]COMEDORES EMERGENTES'!$B$20</f>
        <v>LA VIEJA ESQUINA</v>
      </c>
      <c r="C170" s="184"/>
      <c r="D170" s="108" t="s">
        <v>199</v>
      </c>
      <c r="E170" s="109" t="str">
        <f>'[1]COMEDORES EMERGENTES'!$G$20</f>
        <v>B° CRISTO REY PJE CAPATAZ VILLAFAÑEZ Y ARMANDO CORREA</v>
      </c>
    </row>
    <row r="171" spans="2:5" x14ac:dyDescent="0.2">
      <c r="B171" s="183" t="str">
        <f>'[1]COMEDORES EMERGENTES'!$B$21</f>
        <v>GAUCHITO GIL</v>
      </c>
      <c r="C171" s="184"/>
      <c r="D171" s="108" t="s">
        <v>199</v>
      </c>
      <c r="E171" s="109" t="str">
        <f>'[1]COMEDORES EMERGENTES'!$G$21</f>
        <v>B° 26 VIVIENDAS CASA N° 3</v>
      </c>
    </row>
    <row r="172" spans="2:5" ht="13.5" thickBot="1" x14ac:dyDescent="0.25">
      <c r="B172" s="200" t="str">
        <f>'[1]COMEDORES EMERGENTES'!$B$22</f>
        <v>LOS TOLDOS</v>
      </c>
      <c r="C172" s="201"/>
      <c r="D172" s="115" t="s">
        <v>204</v>
      </c>
      <c r="E172" s="116" t="str">
        <f>'[1]COMEDORES EMERGENTES'!$G$22</f>
        <v>LOTEO PARQUE SUR CALLE S/NOMBRE S/N°</v>
      </c>
    </row>
    <row r="173" spans="2:5" x14ac:dyDescent="0.2">
      <c r="B173" s="33" t="s">
        <v>18</v>
      </c>
      <c r="C173" s="31"/>
      <c r="D173" s="72"/>
      <c r="E173" s="32"/>
    </row>
    <row r="174" spans="2:5" ht="12.75" customHeight="1" x14ac:dyDescent="0.2">
      <c r="B174" s="34"/>
      <c r="C174" s="199" t="s">
        <v>64</v>
      </c>
      <c r="D174" s="199"/>
      <c r="E174" s="199"/>
    </row>
    <row r="175" spans="2:5" x14ac:dyDescent="0.2">
      <c r="B175" s="33" t="s">
        <v>19</v>
      </c>
      <c r="C175" s="35"/>
      <c r="D175" s="35"/>
      <c r="E175" s="36"/>
    </row>
    <row r="176" spans="2:5" ht="14.25" customHeight="1" x14ac:dyDescent="0.2">
      <c r="B176" s="34"/>
      <c r="C176" s="199" t="s">
        <v>141</v>
      </c>
      <c r="D176" s="199"/>
      <c r="E176" s="199"/>
    </row>
    <row r="177" spans="2:5" x14ac:dyDescent="0.2">
      <c r="B177" s="33" t="s">
        <v>20</v>
      </c>
      <c r="C177" s="31"/>
      <c r="D177" s="72"/>
      <c r="E177" s="32"/>
    </row>
    <row r="178" spans="2:5" ht="11.25" customHeight="1" x14ac:dyDescent="0.2">
      <c r="B178" s="33"/>
      <c r="C178" s="198" t="s">
        <v>65</v>
      </c>
      <c r="D178" s="198"/>
      <c r="E178" s="198"/>
    </row>
    <row r="179" spans="2:5" ht="13.5" thickBot="1" x14ac:dyDescent="0.25">
      <c r="B179" s="37"/>
      <c r="C179" s="38"/>
      <c r="D179" s="73"/>
      <c r="E179" s="39"/>
    </row>
    <row r="180" spans="2:5" ht="13.5" thickBot="1" x14ac:dyDescent="0.25"/>
    <row r="181" spans="2:5" x14ac:dyDescent="0.2">
      <c r="B181" s="27" t="s">
        <v>143</v>
      </c>
      <c r="C181" s="28"/>
      <c r="D181" s="71"/>
      <c r="E181" s="29"/>
    </row>
    <row r="182" spans="2:5" ht="5.25" customHeight="1" x14ac:dyDescent="0.2">
      <c r="B182" s="30"/>
      <c r="C182" s="31"/>
      <c r="D182" s="72"/>
      <c r="E182" s="32"/>
    </row>
    <row r="183" spans="2:5" x14ac:dyDescent="0.2">
      <c r="B183" s="33" t="s">
        <v>16</v>
      </c>
      <c r="C183" s="31"/>
      <c r="D183" s="72"/>
      <c r="E183" s="32"/>
    </row>
    <row r="184" spans="2:5" ht="25.5" customHeight="1" x14ac:dyDescent="0.2">
      <c r="B184" s="33"/>
      <c r="C184" s="199"/>
      <c r="D184" s="199"/>
      <c r="E184" s="199"/>
    </row>
    <row r="185" spans="2:5" ht="13.5" thickBot="1" x14ac:dyDescent="0.25">
      <c r="B185" s="33" t="s">
        <v>17</v>
      </c>
      <c r="C185" s="31"/>
      <c r="D185" s="72"/>
      <c r="E185" s="32"/>
    </row>
    <row r="186" spans="2:5" ht="13.5" thickBot="1" x14ac:dyDescent="0.25">
      <c r="B186" s="185" t="s">
        <v>138</v>
      </c>
      <c r="C186" s="186"/>
      <c r="D186" s="186"/>
      <c r="E186" s="187"/>
    </row>
    <row r="187" spans="2:5" ht="13.5" thickBot="1" x14ac:dyDescent="0.25">
      <c r="B187" s="185" t="s">
        <v>139</v>
      </c>
      <c r="C187" s="187"/>
      <c r="D187" s="69" t="s">
        <v>11</v>
      </c>
      <c r="E187" s="69" t="s">
        <v>140</v>
      </c>
    </row>
    <row r="188" spans="2:5" x14ac:dyDescent="0.2">
      <c r="B188" s="192" t="str">
        <f>'[1]COMEDORES EMERGENTES'!$B$3</f>
        <v>UNA SONRISA AV. LOS COBACHO</v>
      </c>
      <c r="C188" s="193"/>
      <c r="D188" s="113" t="s">
        <v>184</v>
      </c>
      <c r="E188" s="114" t="str">
        <f>'[1]COMEDORES EMERGENTES'!$G$3</f>
        <v>Bº SAN CARLOS OESTE AV. Bonifacio cobacho 670</v>
      </c>
    </row>
    <row r="189" spans="2:5" x14ac:dyDescent="0.2">
      <c r="B189" s="183" t="str">
        <f>'[1]COMEDORES EMERGENTES'!$B$4</f>
        <v>C.I.F Nº1 - RIVERA DEL VALLE Y FLORIDA</v>
      </c>
      <c r="C189" s="184"/>
      <c r="D189" s="108" t="s">
        <v>200</v>
      </c>
      <c r="E189" s="109" t="str">
        <f>'[1]COMEDORES EMERGENTES'!$G$4</f>
        <v>AV. RIVIERA DEL VALLE ENTRE FLORIDA Y SANTA FE</v>
      </c>
    </row>
    <row r="190" spans="2:5" x14ac:dyDescent="0.2">
      <c r="B190" s="183" t="str">
        <f>'[1]COMEDORES EMERGENTES'!$B$5</f>
        <v>C.I.F - RIVERA DEL VALLE - DILORENZO</v>
      </c>
      <c r="C190" s="184"/>
      <c r="D190" s="108" t="s">
        <v>169</v>
      </c>
      <c r="E190" s="109" t="str">
        <f>'[1]COMEDORES EMERGENTES'!$G$5</f>
        <v>Bº RIVERA DEL VALLE ENTRE VILLA EUMELIA Y MONTE CRISTO</v>
      </c>
    </row>
    <row r="191" spans="2:5" x14ac:dyDescent="0.2">
      <c r="B191" s="183" t="str">
        <f>'[1]COMEDORES EMERGENTES'!$B$6</f>
        <v>ESFUERZO PROPIO- Bº ALTOS DE CHOYA</v>
      </c>
      <c r="C191" s="184"/>
      <c r="D191" s="108" t="s">
        <v>175</v>
      </c>
      <c r="E191" s="109" t="str">
        <f>'[1]COMEDORES EMERGENTES'!$G$6</f>
        <v>Bº MUNICIPAL 35VV. NORTE C/14</v>
      </c>
    </row>
    <row r="192" spans="2:5" x14ac:dyDescent="0.2">
      <c r="B192" s="183" t="str">
        <f>'[1]COMEDORES EMERGENTES'!$B$7</f>
        <v>ANGELITOS - LOTEO SUSSEX</v>
      </c>
      <c r="C192" s="184"/>
      <c r="D192" s="108" t="s">
        <v>201</v>
      </c>
      <c r="E192" s="109" t="str">
        <f>'[1]COMEDORES EMERGENTES'!$G$7</f>
        <v>Bº LOTEO SUSEX MZA.Nº 4 LOTE Nº3</v>
      </c>
    </row>
    <row r="193" spans="2:5" x14ac:dyDescent="0.2">
      <c r="B193" s="183" t="str">
        <f>'[1]COMEDORES EMERGENTES'!$B$8</f>
        <v>CLUB DEPORTIVO CHACARITA</v>
      </c>
      <c r="C193" s="184"/>
      <c r="D193" s="108" t="s">
        <v>202</v>
      </c>
      <c r="E193" s="109" t="str">
        <f>'[1]COMEDORES EMERGENTES'!$G$8</f>
        <v>CALLE DR.DERMIDIO GALINDEZ C/2660</v>
      </c>
    </row>
    <row r="194" spans="2:5" x14ac:dyDescent="0.2">
      <c r="B194" s="183" t="str">
        <f>'[1]COMEDORES EMERGENTES'!$B$9</f>
        <v>LA MORO</v>
      </c>
      <c r="C194" s="184"/>
      <c r="D194" s="108" t="s">
        <v>183</v>
      </c>
      <c r="E194" s="109" t="str">
        <f>'[1]COMEDORES EMERGENTES'!$G$9</f>
        <v>MAIPU NORTE 1º ETAPA MZA "H" Bº MI JARDIN</v>
      </c>
    </row>
    <row r="195" spans="2:5" x14ac:dyDescent="0.2">
      <c r="B195" s="183" t="str">
        <f>'[1]COMEDORES EMERGENTES'!$B$10</f>
        <v>PAPA FRANCISCO</v>
      </c>
      <c r="C195" s="184"/>
      <c r="D195" s="108" t="s">
        <v>170</v>
      </c>
      <c r="E195" s="109" t="str">
        <f>'[1]COMEDORES EMERGENTES'!$G$10</f>
        <v>ENTRE AV.TEREBINTO Y AV.SAN JUAN LOTE "2" MZA. "B"</v>
      </c>
    </row>
    <row r="196" spans="2:5" x14ac:dyDescent="0.2">
      <c r="B196" s="183" t="str">
        <f>'[1]COMEDORES EMERGENTES'!$B$11</f>
        <v>E.P.C - 100 V.V NORTE</v>
      </c>
      <c r="C196" s="184"/>
      <c r="D196" s="108" t="s">
        <v>180</v>
      </c>
      <c r="E196" s="109" t="str">
        <f>'[1]COMEDORES EMERGENTES'!$G$11</f>
        <v>Bº VV NORTE C/48 ENTRE ESPAÑA Y FRANCIA</v>
      </c>
    </row>
    <row r="197" spans="2:5" x14ac:dyDescent="0.2">
      <c r="B197" s="183" t="str">
        <f>'[1]COMEDORES EMERGENTES'!$B$12</f>
        <v>HOGAR DE CRISTO - PADRE RAUL CONTRERAS</v>
      </c>
      <c r="C197" s="184"/>
      <c r="D197" s="108" t="s">
        <v>180</v>
      </c>
      <c r="E197" s="109" t="str">
        <f>'[1]COMEDORES EMERGENTES'!$G$12</f>
        <v>Bº SANTA MARTA MZA. "S" LOTE "M" C/39</v>
      </c>
    </row>
    <row r="198" spans="2:5" x14ac:dyDescent="0.2">
      <c r="B198" s="183" t="str">
        <f>'[1]COMEDORES EMERGENTES'!$B$13</f>
        <v>LA LUCIERNAGA</v>
      </c>
      <c r="C198" s="184"/>
      <c r="D198" s="108" t="s">
        <v>170</v>
      </c>
      <c r="E198" s="109" t="str">
        <f>'[1]COMEDORES EMERGENTES'!$G$13</f>
        <v>Bº 20 V.V NORTE C/3</v>
      </c>
    </row>
    <row r="199" spans="2:5" x14ac:dyDescent="0.2">
      <c r="B199" s="183" t="str">
        <f>'[1]COMEDORES EMERGENTES'!$B$14</f>
        <v>VALLE VIEJO - SUMALAO</v>
      </c>
      <c r="C199" s="184"/>
      <c r="D199" s="108" t="s">
        <v>190</v>
      </c>
      <c r="E199" s="109" t="str">
        <f>'[1]COMEDORES EMERGENTES'!$G$14</f>
        <v>PADRE SEGURA S/N</v>
      </c>
    </row>
    <row r="200" spans="2:5" x14ac:dyDescent="0.2">
      <c r="B200" s="183" t="str">
        <f>'[1]COMEDORES EMERGENTES'!$B$15</f>
        <v>NUESTRO FUTURO - LAS VIAS</v>
      </c>
      <c r="C200" s="184"/>
      <c r="D200" s="108" t="s">
        <v>170</v>
      </c>
      <c r="E200" s="109" t="str">
        <f>'[1]COMEDORES EMERGENTES'!$G$15</f>
        <v>Bº LAS VIAS OESTE LOTE 42</v>
      </c>
    </row>
    <row r="201" spans="2:5" x14ac:dyDescent="0.2">
      <c r="B201" s="183" t="str">
        <f>'[1]COMEDORES EMERGENTES'!$B$16</f>
        <v>SAN JOSE OBRERO</v>
      </c>
      <c r="C201" s="184"/>
      <c r="D201" s="108" t="s">
        <v>202</v>
      </c>
      <c r="E201" s="109" t="str">
        <f>'[1]COMEDORES EMERGENTES'!$G$16</f>
        <v>Bº SAN JOSE OBRERO. PJE. SANDOVAL S/Nº</v>
      </c>
    </row>
    <row r="202" spans="2:5" x14ac:dyDescent="0.2">
      <c r="B202" s="183" t="str">
        <f>'[1]COMEDORES EMERGENTES'!$B$17</f>
        <v>VIRGEN DE LUJAN</v>
      </c>
      <c r="C202" s="184"/>
      <c r="D202" s="108" t="s">
        <v>170</v>
      </c>
      <c r="E202" s="109" t="str">
        <f>'[1]COMEDORES EMERGENTES'!$G$17</f>
        <v>Bº OJO DE AGUA C/DR.TEODULFO BARRIONUEVO S/Nº</v>
      </c>
    </row>
    <row r="203" spans="2:5" x14ac:dyDescent="0.2">
      <c r="B203" s="183" t="str">
        <f>'[1]COMEDORES EMERGENTES'!$B$18</f>
        <v>RENACER</v>
      </c>
      <c r="C203" s="184"/>
      <c r="D203" s="108" t="s">
        <v>203</v>
      </c>
      <c r="E203" s="109" t="str">
        <f>'[1]COMEDORES EMERGENTES'!$G$18</f>
        <v>Bº VIRGEN MORENITA</v>
      </c>
    </row>
    <row r="204" spans="2:5" x14ac:dyDescent="0.2">
      <c r="B204" s="183" t="str">
        <f>'[1]COMEDORES EMERGENTES'!$B$19</f>
        <v>CENTRO VECINAL MI JARDIN</v>
      </c>
      <c r="C204" s="184"/>
      <c r="D204" s="108" t="s">
        <v>204</v>
      </c>
      <c r="E204" s="109" t="str">
        <f>'[1]COMEDORES EMERGENTES'!$G$19</f>
        <v>C/ LOS TULIPANES ENTRE FLOR DE CEREZO Y HOLANDA MZA.27 Bº MI JARDIN</v>
      </c>
    </row>
    <row r="205" spans="2:5" x14ac:dyDescent="0.2">
      <c r="B205" s="183" t="str">
        <f>'[1]COMEDORES EMERGENTES'!$B$20</f>
        <v>LA VIEJA ESQUINA</v>
      </c>
      <c r="C205" s="184"/>
      <c r="D205" s="108" t="s">
        <v>174</v>
      </c>
      <c r="E205" s="109" t="str">
        <f>'[1]COMEDORES EMERGENTES'!$G$20</f>
        <v>B° CRISTO REY PJE CAPATAZ VILLAFAÑEZ Y ARMANDO CORREA</v>
      </c>
    </row>
    <row r="206" spans="2:5" x14ac:dyDescent="0.2">
      <c r="B206" s="183" t="str">
        <f>'[1]COMEDORES EMERGENTES'!$B$21</f>
        <v>GAUCHITO GIL</v>
      </c>
      <c r="C206" s="184"/>
      <c r="D206" s="108" t="s">
        <v>174</v>
      </c>
      <c r="E206" s="109" t="str">
        <f>'[1]COMEDORES EMERGENTES'!$G$21</f>
        <v>B° 26 VIVIENDAS CASA N° 3</v>
      </c>
    </row>
    <row r="207" spans="2:5" ht="13.5" thickBot="1" x14ac:dyDescent="0.25">
      <c r="B207" s="200" t="str">
        <f>'[1]COMEDORES EMERGENTES'!$B$22</f>
        <v>LOS TOLDOS</v>
      </c>
      <c r="C207" s="201"/>
      <c r="D207" s="115" t="s">
        <v>284</v>
      </c>
      <c r="E207" s="116" t="str">
        <f>'[1]COMEDORES EMERGENTES'!$G$22</f>
        <v>LOTEO PARQUE SUR CALLE S/NOMBRE S/N°</v>
      </c>
    </row>
    <row r="208" spans="2:5" x14ac:dyDescent="0.2">
      <c r="B208" s="33" t="s">
        <v>18</v>
      </c>
      <c r="C208" s="31"/>
      <c r="D208" s="72"/>
      <c r="E208" s="32"/>
    </row>
    <row r="209" spans="2:5" ht="12.75" customHeight="1" x14ac:dyDescent="0.2">
      <c r="B209" s="34"/>
      <c r="C209" s="199" t="s">
        <v>64</v>
      </c>
      <c r="D209" s="199"/>
      <c r="E209" s="199"/>
    </row>
    <row r="210" spans="2:5" x14ac:dyDescent="0.2">
      <c r="B210" s="33" t="s">
        <v>19</v>
      </c>
      <c r="C210" s="35"/>
      <c r="D210" s="35"/>
      <c r="E210" s="36"/>
    </row>
    <row r="211" spans="2:5" ht="14.25" customHeight="1" x14ac:dyDescent="0.2">
      <c r="B211" s="34"/>
      <c r="C211" s="199" t="s">
        <v>141</v>
      </c>
      <c r="D211" s="199"/>
      <c r="E211" s="199"/>
    </row>
    <row r="212" spans="2:5" x14ac:dyDescent="0.2">
      <c r="B212" s="33" t="s">
        <v>20</v>
      </c>
      <c r="C212" s="31"/>
      <c r="D212" s="72"/>
      <c r="E212" s="32"/>
    </row>
    <row r="213" spans="2:5" ht="11.25" customHeight="1" x14ac:dyDescent="0.2">
      <c r="B213" s="33"/>
      <c r="C213" s="198" t="s">
        <v>65</v>
      </c>
      <c r="D213" s="198"/>
      <c r="E213" s="198"/>
    </row>
    <row r="214" spans="2:5" ht="13.5" thickBot="1" x14ac:dyDescent="0.25">
      <c r="B214" s="37"/>
      <c r="C214" s="38"/>
      <c r="D214" s="73"/>
      <c r="E214" s="39"/>
    </row>
    <row r="215" spans="2:5" ht="13.5" thickBot="1" x14ac:dyDescent="0.25"/>
    <row r="216" spans="2:5" x14ac:dyDescent="0.2">
      <c r="B216" s="27" t="s">
        <v>144</v>
      </c>
      <c r="C216" s="28"/>
      <c r="D216" s="71"/>
      <c r="E216" s="29"/>
    </row>
    <row r="217" spans="2:5" ht="5.25" customHeight="1" x14ac:dyDescent="0.2">
      <c r="B217" s="30"/>
      <c r="C217" s="31"/>
      <c r="D217" s="72"/>
      <c r="E217" s="32"/>
    </row>
    <row r="218" spans="2:5" x14ac:dyDescent="0.2">
      <c r="B218" s="33" t="s">
        <v>16</v>
      </c>
      <c r="C218" s="31"/>
      <c r="D218" s="72"/>
      <c r="E218" s="32"/>
    </row>
    <row r="219" spans="2:5" ht="25.5" customHeight="1" x14ac:dyDescent="0.2">
      <c r="B219" s="33"/>
      <c r="C219" s="199"/>
      <c r="D219" s="199"/>
      <c r="E219" s="199"/>
    </row>
    <row r="220" spans="2:5" ht="13.5" thickBot="1" x14ac:dyDescent="0.25">
      <c r="B220" s="33" t="s">
        <v>17</v>
      </c>
      <c r="C220" s="31"/>
      <c r="D220" s="72"/>
      <c r="E220" s="32"/>
    </row>
    <row r="221" spans="2:5" ht="13.5" thickBot="1" x14ac:dyDescent="0.25">
      <c r="B221" s="185" t="s">
        <v>138</v>
      </c>
      <c r="C221" s="186"/>
      <c r="D221" s="186"/>
      <c r="E221" s="187"/>
    </row>
    <row r="222" spans="2:5" ht="13.5" thickBot="1" x14ac:dyDescent="0.25">
      <c r="B222" s="185" t="s">
        <v>139</v>
      </c>
      <c r="C222" s="187"/>
      <c r="D222" s="69" t="s">
        <v>11</v>
      </c>
      <c r="E222" s="69" t="s">
        <v>140</v>
      </c>
    </row>
    <row r="223" spans="2:5" x14ac:dyDescent="0.2">
      <c r="B223" s="192" t="str">
        <f>'[1]COMEDORES EMERGENTES'!$B$3</f>
        <v>UNA SONRISA AV. LOS COBACHO</v>
      </c>
      <c r="C223" s="193"/>
      <c r="D223" s="113">
        <v>43</v>
      </c>
      <c r="E223" s="114" t="str">
        <f>'[1]COMEDORES EMERGENTES'!$G$3</f>
        <v>Bº SAN CARLOS OESTE AV. Bonifacio cobacho 670</v>
      </c>
    </row>
    <row r="224" spans="2:5" x14ac:dyDescent="0.2">
      <c r="B224" s="183" t="str">
        <f>'[1]COMEDORES EMERGENTES'!$B$4</f>
        <v>C.I.F Nº1 - RIVERA DEL VALLE Y FLORIDA</v>
      </c>
      <c r="C224" s="184"/>
      <c r="D224" s="108">
        <v>62</v>
      </c>
      <c r="E224" s="109" t="str">
        <f>'[1]COMEDORES EMERGENTES'!$G$4</f>
        <v>AV. RIVIERA DEL VALLE ENTRE FLORIDA Y SANTA FE</v>
      </c>
    </row>
    <row r="225" spans="2:5" x14ac:dyDescent="0.2">
      <c r="B225" s="183" t="str">
        <f>'[1]COMEDORES EMERGENTES'!$B$5</f>
        <v>C.I.F - RIVERA DEL VALLE - DILORENZO</v>
      </c>
      <c r="C225" s="184"/>
      <c r="D225" s="108">
        <v>73</v>
      </c>
      <c r="E225" s="109" t="str">
        <f>'[1]COMEDORES EMERGENTES'!$G$5</f>
        <v>Bº RIVERA DEL VALLE ENTRE VILLA EUMELIA Y MONTE CRISTO</v>
      </c>
    </row>
    <row r="226" spans="2:5" x14ac:dyDescent="0.2">
      <c r="B226" s="183" t="str">
        <f>'[1]COMEDORES EMERGENTES'!$B$6</f>
        <v>ESFUERZO PROPIO- Bº ALTOS DE CHOYA</v>
      </c>
      <c r="C226" s="184"/>
      <c r="D226" s="108">
        <v>59</v>
      </c>
      <c r="E226" s="109" t="str">
        <f>'[1]COMEDORES EMERGENTES'!$G$6</f>
        <v>Bº MUNICIPAL 35VV. NORTE C/14</v>
      </c>
    </row>
    <row r="227" spans="2:5" x14ac:dyDescent="0.2">
      <c r="B227" s="183" t="str">
        <f>'[1]COMEDORES EMERGENTES'!$B$7</f>
        <v>ANGELITOS - LOTEO SUSSEX</v>
      </c>
      <c r="C227" s="184"/>
      <c r="D227" s="108">
        <v>27</v>
      </c>
      <c r="E227" s="109" t="str">
        <f>'[1]COMEDORES EMERGENTES'!$G$7</f>
        <v>Bº LOTEO SUSEX MZA.Nº 4 LOTE Nº3</v>
      </c>
    </row>
    <row r="228" spans="2:5" x14ac:dyDescent="0.2">
      <c r="B228" s="183" t="str">
        <f>'[1]COMEDORES EMERGENTES'!$B$8</f>
        <v>CLUB DEPORTIVO CHACARITA</v>
      </c>
      <c r="C228" s="184"/>
      <c r="D228" s="108">
        <v>35</v>
      </c>
      <c r="E228" s="109" t="str">
        <f>'[1]COMEDORES EMERGENTES'!$G$8</f>
        <v>CALLE DR.DERMIDIO GALINDEZ C/2660</v>
      </c>
    </row>
    <row r="229" spans="2:5" x14ac:dyDescent="0.2">
      <c r="B229" s="183" t="str">
        <f>'[1]COMEDORES EMERGENTES'!$B$9</f>
        <v>LA MORO</v>
      </c>
      <c r="C229" s="184"/>
      <c r="D229" s="108">
        <v>32</v>
      </c>
      <c r="E229" s="109" t="str">
        <f>'[1]COMEDORES EMERGENTES'!$G$9</f>
        <v>MAIPU NORTE 1º ETAPA MZA "H" Bº MI JARDIN</v>
      </c>
    </row>
    <row r="230" spans="2:5" x14ac:dyDescent="0.2">
      <c r="B230" s="183" t="str">
        <f>'[1]COMEDORES EMERGENTES'!$B$10</f>
        <v>PAPA FRANCISCO</v>
      </c>
      <c r="C230" s="184"/>
      <c r="D230" s="108">
        <v>54</v>
      </c>
      <c r="E230" s="109" t="str">
        <f>'[1]COMEDORES EMERGENTES'!$G$10</f>
        <v>ENTRE AV.TEREBINTO Y AV.SAN JUAN LOTE "2" MZA. "B"</v>
      </c>
    </row>
    <row r="231" spans="2:5" x14ac:dyDescent="0.2">
      <c r="B231" s="183" t="str">
        <f>'[1]COMEDORES EMERGENTES'!$B$11</f>
        <v>E.P.C - 100 V.V NORTE</v>
      </c>
      <c r="C231" s="184"/>
      <c r="D231" s="108">
        <v>81</v>
      </c>
      <c r="E231" s="109" t="str">
        <f>'[1]COMEDORES EMERGENTES'!$G$11</f>
        <v>Bº VV NORTE C/48 ENTRE ESPAÑA Y FRANCIA</v>
      </c>
    </row>
    <row r="232" spans="2:5" x14ac:dyDescent="0.2">
      <c r="B232" s="183" t="str">
        <f>'[1]COMEDORES EMERGENTES'!$B$12</f>
        <v>HOGAR DE CRISTO - PADRE RAUL CONTRERAS</v>
      </c>
      <c r="C232" s="184"/>
      <c r="D232" s="108">
        <v>81</v>
      </c>
      <c r="E232" s="109" t="str">
        <f>'[1]COMEDORES EMERGENTES'!$G$12</f>
        <v>Bº SANTA MARTA MZA. "S" LOTE "M" C/39</v>
      </c>
    </row>
    <row r="233" spans="2:5" x14ac:dyDescent="0.2">
      <c r="B233" s="183" t="str">
        <f>'[1]COMEDORES EMERGENTES'!$B$13</f>
        <v>LA LUCIERNAGA</v>
      </c>
      <c r="C233" s="184"/>
      <c r="D233" s="108">
        <v>54</v>
      </c>
      <c r="E233" s="109" t="str">
        <f>'[1]COMEDORES EMERGENTES'!$G$13</f>
        <v>Bº 20 V.V NORTE C/3</v>
      </c>
    </row>
    <row r="234" spans="2:5" x14ac:dyDescent="0.2">
      <c r="B234" s="183" t="str">
        <f>'[1]COMEDORES EMERGENTES'!$B$14</f>
        <v>VALLE VIEJO - SUMALAO</v>
      </c>
      <c r="C234" s="184"/>
      <c r="D234" s="108">
        <v>95</v>
      </c>
      <c r="E234" s="109" t="str">
        <f>'[1]COMEDORES EMERGENTES'!$G$14</f>
        <v>PADRE SEGURA S/N</v>
      </c>
    </row>
    <row r="235" spans="2:5" x14ac:dyDescent="0.2">
      <c r="B235" s="183" t="str">
        <f>'[1]COMEDORES EMERGENTES'!$B$15</f>
        <v>NUESTRO FUTURO - LAS VIAS</v>
      </c>
      <c r="C235" s="184"/>
      <c r="D235" s="108">
        <v>54</v>
      </c>
      <c r="E235" s="109" t="str">
        <f>'[1]COMEDORES EMERGENTES'!$G$15</f>
        <v>Bº LAS VIAS OESTE LOTE 42</v>
      </c>
    </row>
    <row r="236" spans="2:5" x14ac:dyDescent="0.2">
      <c r="B236" s="183" t="str">
        <f>'[1]COMEDORES EMERGENTES'!$B$16</f>
        <v>SAN JOSE OBRERO</v>
      </c>
      <c r="C236" s="184"/>
      <c r="D236" s="108">
        <v>35</v>
      </c>
      <c r="E236" s="109" t="str">
        <f>'[1]COMEDORES EMERGENTES'!$G$16</f>
        <v>Bº SAN JOSE OBRERO. PJE. SANDOVAL S/Nº</v>
      </c>
    </row>
    <row r="237" spans="2:5" x14ac:dyDescent="0.2">
      <c r="B237" s="183" t="str">
        <f>'[1]COMEDORES EMERGENTES'!$B$17</f>
        <v>VIRGEN DE LUJAN</v>
      </c>
      <c r="C237" s="184"/>
      <c r="D237" s="108">
        <v>54</v>
      </c>
      <c r="E237" s="109" t="str">
        <f>'[1]COMEDORES EMERGENTES'!$G$17</f>
        <v>Bº OJO DE AGUA C/DR.TEODULFO BARRIONUEVO S/Nº</v>
      </c>
    </row>
    <row r="238" spans="2:5" x14ac:dyDescent="0.2">
      <c r="B238" s="183" t="str">
        <f>'[1]COMEDORES EMERGENTES'!$B$18</f>
        <v>RENACER</v>
      </c>
      <c r="C238" s="184"/>
      <c r="D238" s="108">
        <v>68</v>
      </c>
      <c r="E238" s="109" t="str">
        <f>'[1]COMEDORES EMERGENTES'!$G$18</f>
        <v>Bº VIRGEN MORENITA</v>
      </c>
    </row>
    <row r="239" spans="2:5" x14ac:dyDescent="0.2">
      <c r="B239" s="183" t="str">
        <f>'[1]COMEDORES EMERGENTES'!$B$19</f>
        <v>CENTRO VECINAL MI JARDIN</v>
      </c>
      <c r="C239" s="184"/>
      <c r="D239" s="108">
        <v>49</v>
      </c>
      <c r="E239" s="109" t="str">
        <f>'[1]COMEDORES EMERGENTES'!$G$19</f>
        <v>C/ LOS TULIPANES ENTRE FLOR DE CEREZO Y HOLANDA MZA.27 Bº MI JARDIN</v>
      </c>
    </row>
    <row r="240" spans="2:5" x14ac:dyDescent="0.2">
      <c r="B240" s="183" t="str">
        <f>'[1]COMEDORES EMERGENTES'!$B$20</f>
        <v>LA VIEJA ESQUINA</v>
      </c>
      <c r="C240" s="184"/>
      <c r="D240" s="108">
        <v>46</v>
      </c>
      <c r="E240" s="109" t="str">
        <f>'[1]COMEDORES EMERGENTES'!$G$20</f>
        <v>B° CRISTO REY PJE CAPATAZ VILLAFAÑEZ Y ARMANDO CORREA</v>
      </c>
    </row>
    <row r="241" spans="2:5" x14ac:dyDescent="0.2">
      <c r="B241" s="183" t="str">
        <f>'[1]COMEDORES EMERGENTES'!$B$21</f>
        <v>GAUCHITO GIL</v>
      </c>
      <c r="C241" s="184"/>
      <c r="D241" s="108">
        <v>45</v>
      </c>
      <c r="E241" s="109" t="str">
        <f>'[1]COMEDORES EMERGENTES'!$G$21</f>
        <v>B° 26 VIVIENDAS CASA N° 3</v>
      </c>
    </row>
    <row r="242" spans="2:5" ht="13.5" thickBot="1" x14ac:dyDescent="0.25">
      <c r="B242" s="200" t="str">
        <f>'[1]COMEDORES EMERGENTES'!$B$22</f>
        <v>LOS TOLDOS</v>
      </c>
      <c r="C242" s="201"/>
      <c r="D242" s="115">
        <v>22</v>
      </c>
      <c r="E242" s="116" t="str">
        <f>'[1]COMEDORES EMERGENTES'!$G$22</f>
        <v>LOTEO PARQUE SUR CALLE S/NOMBRE S/N°</v>
      </c>
    </row>
    <row r="243" spans="2:5" x14ac:dyDescent="0.2">
      <c r="B243" s="33" t="s">
        <v>18</v>
      </c>
      <c r="C243" s="31"/>
      <c r="D243" s="72"/>
      <c r="E243" s="32"/>
    </row>
    <row r="244" spans="2:5" ht="12.75" customHeight="1" x14ac:dyDescent="0.2">
      <c r="B244" s="34"/>
      <c r="C244" s="199" t="s">
        <v>64</v>
      </c>
      <c r="D244" s="199"/>
      <c r="E244" s="199"/>
    </row>
    <row r="245" spans="2:5" x14ac:dyDescent="0.2">
      <c r="B245" s="33" t="s">
        <v>19</v>
      </c>
      <c r="C245" s="35"/>
      <c r="D245" s="35"/>
      <c r="E245" s="36"/>
    </row>
    <row r="246" spans="2:5" ht="14.25" customHeight="1" x14ac:dyDescent="0.2">
      <c r="B246" s="34"/>
      <c r="C246" s="199" t="s">
        <v>141</v>
      </c>
      <c r="D246" s="199"/>
      <c r="E246" s="199"/>
    </row>
    <row r="247" spans="2:5" x14ac:dyDescent="0.2">
      <c r="B247" s="33" t="s">
        <v>20</v>
      </c>
      <c r="C247" s="31"/>
      <c r="D247" s="72"/>
      <c r="E247" s="32"/>
    </row>
    <row r="248" spans="2:5" ht="11.25" customHeight="1" x14ac:dyDescent="0.2">
      <c r="B248" s="33"/>
      <c r="C248" s="198" t="s">
        <v>65</v>
      </c>
      <c r="D248" s="198"/>
      <c r="E248" s="198"/>
    </row>
    <row r="249" spans="2:5" ht="13.5" thickBot="1" x14ac:dyDescent="0.25">
      <c r="B249" s="37"/>
      <c r="C249" s="38"/>
      <c r="D249" s="73"/>
      <c r="E249" s="39"/>
    </row>
    <row r="250" spans="2:5" ht="13.5" thickBot="1" x14ac:dyDescent="0.25"/>
    <row r="251" spans="2:5" x14ac:dyDescent="0.2">
      <c r="B251" s="27" t="s">
        <v>145</v>
      </c>
      <c r="C251" s="28"/>
      <c r="D251" s="71"/>
      <c r="E251" s="29"/>
    </row>
    <row r="252" spans="2:5" ht="5.25" customHeight="1" x14ac:dyDescent="0.2">
      <c r="B252" s="30"/>
      <c r="C252" s="31"/>
      <c r="D252" s="72"/>
      <c r="E252" s="32"/>
    </row>
    <row r="253" spans="2:5" x14ac:dyDescent="0.2">
      <c r="B253" s="33" t="s">
        <v>16</v>
      </c>
      <c r="C253" s="31"/>
      <c r="D253" s="72"/>
      <c r="E253" s="32"/>
    </row>
    <row r="254" spans="2:5" ht="25.5" customHeight="1" x14ac:dyDescent="0.2">
      <c r="B254" s="33"/>
      <c r="C254" s="199"/>
      <c r="D254" s="199"/>
      <c r="E254" s="199"/>
    </row>
    <row r="255" spans="2:5" ht="13.5" thickBot="1" x14ac:dyDescent="0.25">
      <c r="B255" s="33" t="s">
        <v>17</v>
      </c>
      <c r="C255" s="31"/>
      <c r="D255" s="72"/>
      <c r="E255" s="32"/>
    </row>
    <row r="256" spans="2:5" ht="13.5" thickBot="1" x14ac:dyDescent="0.25">
      <c r="B256" s="185" t="s">
        <v>138</v>
      </c>
      <c r="C256" s="186"/>
      <c r="D256" s="186"/>
      <c r="E256" s="187"/>
    </row>
    <row r="257" spans="2:5" ht="13.5" thickBot="1" x14ac:dyDescent="0.25">
      <c r="B257" s="185" t="s">
        <v>139</v>
      </c>
      <c r="C257" s="187"/>
      <c r="D257" s="69" t="s">
        <v>11</v>
      </c>
      <c r="E257" s="69" t="s">
        <v>140</v>
      </c>
    </row>
    <row r="258" spans="2:5" x14ac:dyDescent="0.2">
      <c r="B258" s="192" t="str">
        <f>'[1]COMEDORES EMERGENTES'!$B$3</f>
        <v>UNA SONRISA AV. LOS COBACHO</v>
      </c>
      <c r="C258" s="193"/>
      <c r="D258" s="113">
        <v>29</v>
      </c>
      <c r="E258" s="114" t="str">
        <f>'[1]COMEDORES EMERGENTES'!$G$3</f>
        <v>Bº SAN CARLOS OESTE AV. Bonifacio cobacho 670</v>
      </c>
    </row>
    <row r="259" spans="2:5" x14ac:dyDescent="0.2">
      <c r="B259" s="183" t="str">
        <f>'[1]COMEDORES EMERGENTES'!$B$4</f>
        <v>C.I.F Nº1 - RIVERA DEL VALLE Y FLORIDA</v>
      </c>
      <c r="C259" s="184"/>
      <c r="D259" s="108">
        <v>41</v>
      </c>
      <c r="E259" s="109" t="str">
        <f>'[1]COMEDORES EMERGENTES'!$G$4</f>
        <v>AV. RIVIERA DEL VALLE ENTRE FLORIDA Y SANTA FE</v>
      </c>
    </row>
    <row r="260" spans="2:5" x14ac:dyDescent="0.2">
      <c r="B260" s="183" t="str">
        <f>'[1]COMEDORES EMERGENTES'!$B$5</f>
        <v>C.I.F - RIVERA DEL VALLE - DILORENZO</v>
      </c>
      <c r="C260" s="184"/>
      <c r="D260" s="108">
        <v>49</v>
      </c>
      <c r="E260" s="109" t="str">
        <f>'[1]COMEDORES EMERGENTES'!$G$5</f>
        <v>Bº RIVERA DEL VALLE ENTRE VILLA EUMELIA Y MONTE CRISTO</v>
      </c>
    </row>
    <row r="261" spans="2:5" x14ac:dyDescent="0.2">
      <c r="B261" s="183" t="str">
        <f>'[1]COMEDORES EMERGENTES'!$B$6</f>
        <v>ESFUERZO PROPIO- Bº ALTOS DE CHOYA</v>
      </c>
      <c r="C261" s="184"/>
      <c r="D261" s="108">
        <v>40</v>
      </c>
      <c r="E261" s="109" t="str">
        <f>'[1]COMEDORES EMERGENTES'!$G$6</f>
        <v>Bº MUNICIPAL 35VV. NORTE C/14</v>
      </c>
    </row>
    <row r="262" spans="2:5" x14ac:dyDescent="0.2">
      <c r="B262" s="183" t="str">
        <f>'[1]COMEDORES EMERGENTES'!$B$7</f>
        <v>ANGELITOS - LOTEO SUSSEX</v>
      </c>
      <c r="C262" s="184"/>
      <c r="D262" s="108">
        <v>18</v>
      </c>
      <c r="E262" s="109" t="str">
        <f>'[1]COMEDORES EMERGENTES'!$G$7</f>
        <v>Bº LOTEO SUSEX MZA.Nº 4 LOTE Nº3</v>
      </c>
    </row>
    <row r="263" spans="2:5" x14ac:dyDescent="0.2">
      <c r="B263" s="183" t="str">
        <f>'[1]COMEDORES EMERGENTES'!$B$8</f>
        <v>CLUB DEPORTIVO CHACARITA</v>
      </c>
      <c r="C263" s="184"/>
      <c r="D263" s="108">
        <v>23</v>
      </c>
      <c r="E263" s="109" t="str">
        <f>'[1]COMEDORES EMERGENTES'!$G$8</f>
        <v>CALLE DR.DERMIDIO GALINDEZ C/2660</v>
      </c>
    </row>
    <row r="264" spans="2:5" x14ac:dyDescent="0.2">
      <c r="B264" s="183" t="str">
        <f>'[1]COMEDORES EMERGENTES'!$B$9</f>
        <v>LA MORO</v>
      </c>
      <c r="C264" s="184"/>
      <c r="D264" s="108">
        <v>22</v>
      </c>
      <c r="E264" s="109" t="str">
        <f>'[1]COMEDORES EMERGENTES'!$G$9</f>
        <v>MAIPU NORTE 1º ETAPA MZA "H" Bº MI JARDIN</v>
      </c>
    </row>
    <row r="265" spans="2:5" x14ac:dyDescent="0.2">
      <c r="B265" s="183" t="str">
        <f>'[1]COMEDORES EMERGENTES'!$B$10</f>
        <v>PAPA FRANCISCO</v>
      </c>
      <c r="C265" s="184"/>
      <c r="D265" s="108">
        <v>36</v>
      </c>
      <c r="E265" s="109" t="str">
        <f>'[1]COMEDORES EMERGENTES'!$G$10</f>
        <v>ENTRE AV.TEREBINTO Y AV.SAN JUAN LOTE "2" MZA. "B"</v>
      </c>
    </row>
    <row r="266" spans="2:5" x14ac:dyDescent="0.2">
      <c r="B266" s="183" t="str">
        <f>'[1]COMEDORES EMERGENTES'!$B$11</f>
        <v>E.P.C - 100 V.V NORTE</v>
      </c>
      <c r="C266" s="184"/>
      <c r="D266" s="108">
        <v>54</v>
      </c>
      <c r="E266" s="109" t="str">
        <f>'[1]COMEDORES EMERGENTES'!$G$11</f>
        <v>Bº VV NORTE C/48 ENTRE ESPAÑA Y FRANCIA</v>
      </c>
    </row>
    <row r="267" spans="2:5" x14ac:dyDescent="0.2">
      <c r="B267" s="183" t="str">
        <f>'[1]COMEDORES EMERGENTES'!$B$12</f>
        <v>HOGAR DE CRISTO - PADRE RAUL CONTRERAS</v>
      </c>
      <c r="C267" s="184"/>
      <c r="D267" s="108">
        <v>54</v>
      </c>
      <c r="E267" s="109" t="str">
        <f>'[1]COMEDORES EMERGENTES'!$G$12</f>
        <v>Bº SANTA MARTA MZA. "S" LOTE "M" C/39</v>
      </c>
    </row>
    <row r="268" spans="2:5" x14ac:dyDescent="0.2">
      <c r="B268" s="183" t="str">
        <f>'[1]COMEDORES EMERGENTES'!$B$13</f>
        <v>LA LUCIERNAGA</v>
      </c>
      <c r="C268" s="184"/>
      <c r="D268" s="108">
        <v>36</v>
      </c>
      <c r="E268" s="109" t="str">
        <f>'[1]COMEDORES EMERGENTES'!$G$13</f>
        <v>Bº 20 V.V NORTE C/3</v>
      </c>
    </row>
    <row r="269" spans="2:5" x14ac:dyDescent="0.2">
      <c r="B269" s="183" t="str">
        <f>'[1]COMEDORES EMERGENTES'!$B$14</f>
        <v>VALLE VIEJO - SUMALAO</v>
      </c>
      <c r="C269" s="184"/>
      <c r="D269" s="108">
        <v>63</v>
      </c>
      <c r="E269" s="109" t="str">
        <f>'[1]COMEDORES EMERGENTES'!$G$14</f>
        <v>PADRE SEGURA S/N</v>
      </c>
    </row>
    <row r="270" spans="2:5" x14ac:dyDescent="0.2">
      <c r="B270" s="183" t="str">
        <f>'[1]COMEDORES EMERGENTES'!$B$15</f>
        <v>NUESTRO FUTURO - LAS VIAS</v>
      </c>
      <c r="C270" s="184"/>
      <c r="D270" s="108">
        <v>36</v>
      </c>
      <c r="E270" s="109" t="str">
        <f>'[1]COMEDORES EMERGENTES'!$G$15</f>
        <v>Bº LAS VIAS OESTE LOTE 42</v>
      </c>
    </row>
    <row r="271" spans="2:5" x14ac:dyDescent="0.2">
      <c r="B271" s="183" t="str">
        <f>'[1]COMEDORES EMERGENTES'!$B$16</f>
        <v>SAN JOSE OBRERO</v>
      </c>
      <c r="C271" s="184"/>
      <c r="D271" s="108">
        <v>23</v>
      </c>
      <c r="E271" s="109" t="str">
        <f>'[1]COMEDORES EMERGENTES'!$G$16</f>
        <v>Bº SAN JOSE OBRERO. PJE. SANDOVAL S/Nº</v>
      </c>
    </row>
    <row r="272" spans="2:5" x14ac:dyDescent="0.2">
      <c r="B272" s="183" t="str">
        <f>'[1]COMEDORES EMERGENTES'!$B$17</f>
        <v>VIRGEN DE LUJAN</v>
      </c>
      <c r="C272" s="184"/>
      <c r="D272" s="108">
        <v>36</v>
      </c>
      <c r="E272" s="109" t="str">
        <f>'[1]COMEDORES EMERGENTES'!$G$17</f>
        <v>Bº OJO DE AGUA C/DR.TEODULFO BARRIONUEVO S/Nº</v>
      </c>
    </row>
    <row r="273" spans="2:5" x14ac:dyDescent="0.2">
      <c r="B273" s="183" t="str">
        <f>'[1]COMEDORES EMERGENTES'!$B$18</f>
        <v>RENACER</v>
      </c>
      <c r="C273" s="184"/>
      <c r="D273" s="108">
        <v>45</v>
      </c>
      <c r="E273" s="109" t="str">
        <f>'[1]COMEDORES EMERGENTES'!$G$18</f>
        <v>Bº VIRGEN MORENITA</v>
      </c>
    </row>
    <row r="274" spans="2:5" x14ac:dyDescent="0.2">
      <c r="B274" s="183" t="str">
        <f>'[1]COMEDORES EMERGENTES'!$B$19</f>
        <v>CENTRO VECINAL MI JARDIN</v>
      </c>
      <c r="C274" s="184"/>
      <c r="D274" s="108">
        <v>32</v>
      </c>
      <c r="E274" s="109" t="str">
        <f>'[1]COMEDORES EMERGENTES'!$G$19</f>
        <v>C/ LOS TULIPANES ENTRE FLOR DE CEREZO Y HOLANDA MZA.27 Bº MI JARDIN</v>
      </c>
    </row>
    <row r="275" spans="2:5" x14ac:dyDescent="0.2">
      <c r="B275" s="183" t="str">
        <f>'[1]COMEDORES EMERGENTES'!$B$20</f>
        <v>LA VIEJA ESQUINA</v>
      </c>
      <c r="C275" s="184"/>
      <c r="D275" s="108">
        <v>31</v>
      </c>
      <c r="E275" s="109" t="str">
        <f>'[1]COMEDORES EMERGENTES'!$G$20</f>
        <v>B° CRISTO REY PJE CAPATAZ VILLAFAÑEZ Y ARMANDO CORREA</v>
      </c>
    </row>
    <row r="276" spans="2:5" x14ac:dyDescent="0.2">
      <c r="B276" s="183" t="str">
        <f>'[1]COMEDORES EMERGENTES'!$B$21</f>
        <v>GAUCHITO GIL</v>
      </c>
      <c r="C276" s="184"/>
      <c r="D276" s="108">
        <v>30</v>
      </c>
      <c r="E276" s="109" t="str">
        <f>'[1]COMEDORES EMERGENTES'!$G$21</f>
        <v>B° 26 VIVIENDAS CASA N° 3</v>
      </c>
    </row>
    <row r="277" spans="2:5" ht="13.5" thickBot="1" x14ac:dyDescent="0.25">
      <c r="B277" s="200" t="str">
        <f>'[1]COMEDORES EMERGENTES'!$B$22</f>
        <v>LOS TOLDOS</v>
      </c>
      <c r="C277" s="201"/>
      <c r="D277" s="115">
        <v>14</v>
      </c>
      <c r="E277" s="116" t="str">
        <f>'[1]COMEDORES EMERGENTES'!$G$22</f>
        <v>LOTEO PARQUE SUR CALLE S/NOMBRE S/N°</v>
      </c>
    </row>
    <row r="278" spans="2:5" x14ac:dyDescent="0.2">
      <c r="B278" s="33" t="s">
        <v>18</v>
      </c>
      <c r="C278" s="31"/>
      <c r="D278" s="72"/>
      <c r="E278" s="32"/>
    </row>
    <row r="279" spans="2:5" ht="12.75" customHeight="1" x14ac:dyDescent="0.2">
      <c r="B279" s="34"/>
      <c r="C279" s="199" t="s">
        <v>64</v>
      </c>
      <c r="D279" s="199"/>
      <c r="E279" s="199"/>
    </row>
    <row r="280" spans="2:5" x14ac:dyDescent="0.2">
      <c r="B280" s="33" t="s">
        <v>19</v>
      </c>
      <c r="C280" s="35"/>
      <c r="D280" s="35"/>
      <c r="E280" s="36"/>
    </row>
    <row r="281" spans="2:5" ht="14.25" customHeight="1" x14ac:dyDescent="0.2">
      <c r="B281" s="34"/>
      <c r="C281" s="199" t="s">
        <v>141</v>
      </c>
      <c r="D281" s="199"/>
      <c r="E281" s="199"/>
    </row>
    <row r="282" spans="2:5" x14ac:dyDescent="0.2">
      <c r="B282" s="33" t="s">
        <v>20</v>
      </c>
      <c r="C282" s="31"/>
      <c r="D282" s="72"/>
      <c r="E282" s="32"/>
    </row>
    <row r="283" spans="2:5" ht="11.25" customHeight="1" x14ac:dyDescent="0.2">
      <c r="B283" s="33"/>
      <c r="C283" s="198" t="s">
        <v>65</v>
      </c>
      <c r="D283" s="198"/>
      <c r="E283" s="198"/>
    </row>
    <row r="284" spans="2:5" ht="13.5" thickBot="1" x14ac:dyDescent="0.25">
      <c r="B284" s="37"/>
      <c r="C284" s="38"/>
      <c r="D284" s="73"/>
      <c r="E284" s="39"/>
    </row>
    <row r="285" spans="2:5" ht="13.5" thickBot="1" x14ac:dyDescent="0.25"/>
    <row r="286" spans="2:5" x14ac:dyDescent="0.2">
      <c r="B286" s="27" t="s">
        <v>146</v>
      </c>
      <c r="C286" s="28"/>
      <c r="D286" s="71"/>
      <c r="E286" s="29"/>
    </row>
    <row r="287" spans="2:5" ht="5.25" customHeight="1" x14ac:dyDescent="0.2">
      <c r="B287" s="30"/>
      <c r="C287" s="31"/>
      <c r="D287" s="72"/>
      <c r="E287" s="32"/>
    </row>
    <row r="288" spans="2:5" x14ac:dyDescent="0.2">
      <c r="B288" s="33" t="s">
        <v>16</v>
      </c>
      <c r="C288" s="31"/>
      <c r="D288" s="72"/>
      <c r="E288" s="32"/>
    </row>
    <row r="289" spans="2:5" ht="25.5" customHeight="1" x14ac:dyDescent="0.2">
      <c r="B289" s="33"/>
      <c r="C289" s="189"/>
      <c r="D289" s="189"/>
      <c r="E289" s="190"/>
    </row>
    <row r="290" spans="2:5" ht="13.5" thickBot="1" x14ac:dyDescent="0.25">
      <c r="B290" s="33" t="s">
        <v>17</v>
      </c>
      <c r="C290" s="31"/>
      <c r="D290" s="72"/>
      <c r="E290" s="32"/>
    </row>
    <row r="291" spans="2:5" ht="13.5" thickBot="1" x14ac:dyDescent="0.25">
      <c r="B291" s="185" t="s">
        <v>138</v>
      </c>
      <c r="C291" s="186"/>
      <c r="D291" s="186"/>
      <c r="E291" s="187"/>
    </row>
    <row r="292" spans="2:5" ht="13.5" thickBot="1" x14ac:dyDescent="0.25">
      <c r="B292" s="185" t="s">
        <v>139</v>
      </c>
      <c r="C292" s="187"/>
      <c r="D292" s="69" t="s">
        <v>11</v>
      </c>
      <c r="E292" s="69" t="s">
        <v>140</v>
      </c>
    </row>
    <row r="293" spans="2:5" x14ac:dyDescent="0.2">
      <c r="B293" s="192" t="str">
        <f>'[1]COMEDORES EMERGENTES'!$B$3</f>
        <v>UNA SONRISA AV. LOS COBACHO</v>
      </c>
      <c r="C293" s="193"/>
      <c r="D293" s="113">
        <v>8</v>
      </c>
      <c r="E293" s="114" t="str">
        <f>'[1]COMEDORES EMERGENTES'!$G$3</f>
        <v>Bº SAN CARLOS OESTE AV. Bonifacio cobacho 670</v>
      </c>
    </row>
    <row r="294" spans="2:5" x14ac:dyDescent="0.2">
      <c r="B294" s="183" t="str">
        <f>'[1]COMEDORES EMERGENTES'!$B$4</f>
        <v>C.I.F Nº1 - RIVERA DEL VALLE Y FLORIDA</v>
      </c>
      <c r="C294" s="184"/>
      <c r="D294" s="108">
        <v>12</v>
      </c>
      <c r="E294" s="109" t="str">
        <f>'[1]COMEDORES EMERGENTES'!$G$4</f>
        <v>AV. RIVIERA DEL VALLE ENTRE FLORIDA Y SANTA FE</v>
      </c>
    </row>
    <row r="295" spans="2:5" x14ac:dyDescent="0.2">
      <c r="B295" s="183" t="str">
        <f>'[1]COMEDORES EMERGENTES'!$B$5</f>
        <v>C.I.F - RIVERA DEL VALLE - DILORENZO</v>
      </c>
      <c r="C295" s="184"/>
      <c r="D295" s="108">
        <v>14</v>
      </c>
      <c r="E295" s="109" t="str">
        <f>'[1]COMEDORES EMERGENTES'!$G$5</f>
        <v>Bº RIVERA DEL VALLE ENTRE VILLA EUMELIA Y MONTE CRISTO</v>
      </c>
    </row>
    <row r="296" spans="2:5" x14ac:dyDescent="0.2">
      <c r="B296" s="183" t="str">
        <f>'[1]COMEDORES EMERGENTES'!$B$6</f>
        <v>ESFUERZO PROPIO- Bº ALTOS DE CHOYA</v>
      </c>
      <c r="C296" s="184"/>
      <c r="D296" s="108">
        <v>11</v>
      </c>
      <c r="E296" s="109" t="str">
        <f>'[1]COMEDORES EMERGENTES'!$G$6</f>
        <v>Bº MUNICIPAL 35VV. NORTE C/14</v>
      </c>
    </row>
    <row r="297" spans="2:5" x14ac:dyDescent="0.2">
      <c r="B297" s="183" t="str">
        <f>'[1]COMEDORES EMERGENTES'!$B$7</f>
        <v>ANGELITOS - LOTEO SUSSEX</v>
      </c>
      <c r="C297" s="184"/>
      <c r="D297" s="108">
        <v>5</v>
      </c>
      <c r="E297" s="109" t="str">
        <f>'[1]COMEDORES EMERGENTES'!$G$7</f>
        <v>Bº LOTEO SUSEX MZA.Nº 4 LOTE Nº3</v>
      </c>
    </row>
    <row r="298" spans="2:5" x14ac:dyDescent="0.2">
      <c r="B298" s="183" t="str">
        <f>'[1]COMEDORES EMERGENTES'!$B$8</f>
        <v>CLUB DEPORTIVO CHACARITA</v>
      </c>
      <c r="C298" s="184"/>
      <c r="D298" s="108">
        <v>7</v>
      </c>
      <c r="E298" s="109" t="str">
        <f>'[1]COMEDORES EMERGENTES'!$G$8</f>
        <v>CALLE DR.DERMIDIO GALINDEZ C/2660</v>
      </c>
    </row>
    <row r="299" spans="2:5" x14ac:dyDescent="0.2">
      <c r="B299" s="183" t="str">
        <f>'[1]COMEDORES EMERGENTES'!$B$9</f>
        <v>LA MORO</v>
      </c>
      <c r="C299" s="184"/>
      <c r="D299" s="108">
        <v>6</v>
      </c>
      <c r="E299" s="109" t="str">
        <f>'[1]COMEDORES EMERGENTES'!$G$9</f>
        <v>MAIPU NORTE 1º ETAPA MZA "H" Bº MI JARDIN</v>
      </c>
    </row>
    <row r="300" spans="2:5" x14ac:dyDescent="0.2">
      <c r="B300" s="183" t="str">
        <f>'[1]COMEDORES EMERGENTES'!$B$10</f>
        <v>PAPA FRANCISCO</v>
      </c>
      <c r="C300" s="184"/>
      <c r="D300" s="108">
        <v>10</v>
      </c>
      <c r="E300" s="109" t="str">
        <f>'[1]COMEDORES EMERGENTES'!$G$10</f>
        <v>ENTRE AV.TEREBINTO Y AV.SAN JUAN LOTE "2" MZA. "B"</v>
      </c>
    </row>
    <row r="301" spans="2:5" x14ac:dyDescent="0.2">
      <c r="B301" s="183" t="str">
        <f>'[1]COMEDORES EMERGENTES'!$B$11</f>
        <v>E.P.C - 100 V.V NORTE</v>
      </c>
      <c r="C301" s="184"/>
      <c r="D301" s="108">
        <v>15</v>
      </c>
      <c r="E301" s="109" t="str">
        <f>'[1]COMEDORES EMERGENTES'!$G$11</f>
        <v>Bº VV NORTE C/48 ENTRE ESPAÑA Y FRANCIA</v>
      </c>
    </row>
    <row r="302" spans="2:5" x14ac:dyDescent="0.2">
      <c r="B302" s="183" t="str">
        <f>'[1]COMEDORES EMERGENTES'!$B$12</f>
        <v>HOGAR DE CRISTO - PADRE RAUL CONTRERAS</v>
      </c>
      <c r="C302" s="184"/>
      <c r="D302" s="108">
        <v>15</v>
      </c>
      <c r="E302" s="109" t="str">
        <f>'[1]COMEDORES EMERGENTES'!$G$12</f>
        <v>Bº SANTA MARTA MZA. "S" LOTE "M" C/39</v>
      </c>
    </row>
    <row r="303" spans="2:5" x14ac:dyDescent="0.2">
      <c r="B303" s="183" t="str">
        <f>'[1]COMEDORES EMERGENTES'!$B$13</f>
        <v>LA LUCIERNAGA</v>
      </c>
      <c r="C303" s="184"/>
      <c r="D303" s="108">
        <v>10</v>
      </c>
      <c r="E303" s="109" t="str">
        <f>'[1]COMEDORES EMERGENTES'!$G$13</f>
        <v>Bº 20 V.V NORTE C/3</v>
      </c>
    </row>
    <row r="304" spans="2:5" x14ac:dyDescent="0.2">
      <c r="B304" s="183" t="str">
        <f>'[1]COMEDORES EMERGENTES'!$B$14</f>
        <v>VALLE VIEJO - SUMALAO</v>
      </c>
      <c r="C304" s="184"/>
      <c r="D304" s="108">
        <v>18</v>
      </c>
      <c r="E304" s="109" t="str">
        <f>'[1]COMEDORES EMERGENTES'!$G$14</f>
        <v>PADRE SEGURA S/N</v>
      </c>
    </row>
    <row r="305" spans="2:5" x14ac:dyDescent="0.2">
      <c r="B305" s="183" t="str">
        <f>'[1]COMEDORES EMERGENTES'!$B$15</f>
        <v>NUESTRO FUTURO - LAS VIAS</v>
      </c>
      <c r="C305" s="184"/>
      <c r="D305" s="108">
        <v>10</v>
      </c>
      <c r="E305" s="109" t="str">
        <f>'[1]COMEDORES EMERGENTES'!$G$15</f>
        <v>Bº LAS VIAS OESTE LOTE 42</v>
      </c>
    </row>
    <row r="306" spans="2:5" x14ac:dyDescent="0.2">
      <c r="B306" s="183" t="str">
        <f>'[1]COMEDORES EMERGENTES'!$B$16</f>
        <v>SAN JOSE OBRERO</v>
      </c>
      <c r="C306" s="184"/>
      <c r="D306" s="108">
        <v>7</v>
      </c>
      <c r="E306" s="109" t="str">
        <f>'[1]COMEDORES EMERGENTES'!$G$16</f>
        <v>Bº SAN JOSE OBRERO. PJE. SANDOVAL S/Nº</v>
      </c>
    </row>
    <row r="307" spans="2:5" x14ac:dyDescent="0.2">
      <c r="B307" s="183" t="str">
        <f>'[1]COMEDORES EMERGENTES'!$B$17</f>
        <v>VIRGEN DE LUJAN</v>
      </c>
      <c r="C307" s="184"/>
      <c r="D307" s="108">
        <v>10</v>
      </c>
      <c r="E307" s="109" t="str">
        <f>'[1]COMEDORES EMERGENTES'!$G$17</f>
        <v>Bº OJO DE AGUA C/DR.TEODULFO BARRIONUEVO S/Nº</v>
      </c>
    </row>
    <row r="308" spans="2:5" x14ac:dyDescent="0.2">
      <c r="B308" s="183" t="str">
        <f>'[1]COMEDORES EMERGENTES'!$B$18</f>
        <v>RENACER</v>
      </c>
      <c r="C308" s="184"/>
      <c r="D308" s="108">
        <v>13</v>
      </c>
      <c r="E308" s="109" t="str">
        <f>'[1]COMEDORES EMERGENTES'!$G$18</f>
        <v>Bº VIRGEN MORENITA</v>
      </c>
    </row>
    <row r="309" spans="2:5" x14ac:dyDescent="0.2">
      <c r="B309" s="183" t="str">
        <f>'[1]COMEDORES EMERGENTES'!$B$19</f>
        <v>CENTRO VECINAL MI JARDIN</v>
      </c>
      <c r="C309" s="184"/>
      <c r="D309" s="108">
        <v>9</v>
      </c>
      <c r="E309" s="109" t="str">
        <f>'[1]COMEDORES EMERGENTES'!$G$19</f>
        <v>C/ LOS TULIPANES ENTRE FLOR DE CEREZO Y HOLANDA MZA.27 Bº MI JARDIN</v>
      </c>
    </row>
    <row r="310" spans="2:5" x14ac:dyDescent="0.2">
      <c r="B310" s="183" t="str">
        <f>'[1]COMEDORES EMERGENTES'!$B$20</f>
        <v>LA VIEJA ESQUINA</v>
      </c>
      <c r="C310" s="184"/>
      <c r="D310" s="108">
        <v>9</v>
      </c>
      <c r="E310" s="109" t="str">
        <f>'[1]COMEDORES EMERGENTES'!$G$20</f>
        <v>B° CRISTO REY PJE CAPATAZ VILLAFAÑEZ Y ARMANDO CORREA</v>
      </c>
    </row>
    <row r="311" spans="2:5" x14ac:dyDescent="0.2">
      <c r="B311" s="183" t="str">
        <f>'[1]COMEDORES EMERGENTES'!$B$21</f>
        <v>GAUCHITO GIL</v>
      </c>
      <c r="C311" s="184"/>
      <c r="D311" s="108">
        <v>8</v>
      </c>
      <c r="E311" s="109" t="str">
        <f>'[1]COMEDORES EMERGENTES'!$G$21</f>
        <v>B° 26 VIVIENDAS CASA N° 3</v>
      </c>
    </row>
    <row r="312" spans="2:5" ht="13.5" thickBot="1" x14ac:dyDescent="0.25">
      <c r="B312" s="200" t="str">
        <f>'[1]COMEDORES EMERGENTES'!$B$22</f>
        <v>LOS TOLDOS</v>
      </c>
      <c r="C312" s="201"/>
      <c r="D312" s="115">
        <v>4</v>
      </c>
      <c r="E312" s="116" t="str">
        <f>'[1]COMEDORES EMERGENTES'!$G$22</f>
        <v>LOTEO PARQUE SUR CALLE S/NOMBRE S/N°</v>
      </c>
    </row>
    <row r="313" spans="2:5" x14ac:dyDescent="0.2">
      <c r="B313" s="33" t="s">
        <v>18</v>
      </c>
      <c r="C313" s="31"/>
      <c r="D313" s="72"/>
      <c r="E313" s="32"/>
    </row>
    <row r="314" spans="2:5" ht="12.75" customHeight="1" x14ac:dyDescent="0.2">
      <c r="B314" s="34"/>
      <c r="C314" s="199" t="s">
        <v>64</v>
      </c>
      <c r="D314" s="199"/>
      <c r="E314" s="199"/>
    </row>
    <row r="315" spans="2:5" x14ac:dyDescent="0.2">
      <c r="B315" s="33" t="s">
        <v>19</v>
      </c>
      <c r="C315" s="35"/>
      <c r="D315" s="35"/>
      <c r="E315" s="36"/>
    </row>
    <row r="316" spans="2:5" ht="14.25" customHeight="1" x14ac:dyDescent="0.2">
      <c r="B316" s="34"/>
      <c r="C316" s="199" t="s">
        <v>141</v>
      </c>
      <c r="D316" s="199"/>
      <c r="E316" s="199"/>
    </row>
    <row r="317" spans="2:5" x14ac:dyDescent="0.2">
      <c r="B317" s="33" t="s">
        <v>20</v>
      </c>
      <c r="C317" s="31"/>
      <c r="D317" s="72"/>
      <c r="E317" s="32"/>
    </row>
    <row r="318" spans="2:5" ht="11.25" customHeight="1" x14ac:dyDescent="0.2">
      <c r="B318" s="33"/>
      <c r="C318" s="198" t="s">
        <v>65</v>
      </c>
      <c r="D318" s="198"/>
      <c r="E318" s="198"/>
    </row>
    <row r="319" spans="2:5" ht="13.5" thickBot="1" x14ac:dyDescent="0.25">
      <c r="B319" s="37"/>
      <c r="C319" s="38"/>
      <c r="D319" s="73"/>
      <c r="E319" s="39"/>
    </row>
    <row r="320" spans="2:5" ht="13.5" thickBot="1" x14ac:dyDescent="0.25"/>
    <row r="321" spans="2:5" x14ac:dyDescent="0.2">
      <c r="B321" s="27" t="s">
        <v>147</v>
      </c>
      <c r="C321" s="28"/>
      <c r="D321" s="71"/>
      <c r="E321" s="29"/>
    </row>
    <row r="322" spans="2:5" ht="5.25" customHeight="1" x14ac:dyDescent="0.2">
      <c r="B322" s="30"/>
      <c r="C322" s="31"/>
      <c r="D322" s="72"/>
      <c r="E322" s="32"/>
    </row>
    <row r="323" spans="2:5" x14ac:dyDescent="0.2">
      <c r="B323" s="33" t="s">
        <v>16</v>
      </c>
      <c r="C323" s="31"/>
      <c r="D323" s="72"/>
      <c r="E323" s="32"/>
    </row>
    <row r="324" spans="2:5" ht="25.5" customHeight="1" x14ac:dyDescent="0.2">
      <c r="B324" s="33"/>
      <c r="C324" s="199"/>
      <c r="D324" s="199"/>
      <c r="E324" s="199"/>
    </row>
    <row r="325" spans="2:5" ht="13.5" thickBot="1" x14ac:dyDescent="0.25">
      <c r="B325" s="33" t="s">
        <v>17</v>
      </c>
      <c r="C325" s="31"/>
      <c r="D325" s="72"/>
      <c r="E325" s="32"/>
    </row>
    <row r="326" spans="2:5" ht="13.5" thickBot="1" x14ac:dyDescent="0.25">
      <c r="B326" s="185" t="s">
        <v>138</v>
      </c>
      <c r="C326" s="186"/>
      <c r="D326" s="186"/>
      <c r="E326" s="187"/>
    </row>
    <row r="327" spans="2:5" ht="13.5" thickBot="1" x14ac:dyDescent="0.25">
      <c r="B327" s="185" t="s">
        <v>139</v>
      </c>
      <c r="C327" s="187"/>
      <c r="D327" s="69" t="s">
        <v>11</v>
      </c>
      <c r="E327" s="69" t="s">
        <v>140</v>
      </c>
    </row>
    <row r="328" spans="2:5" x14ac:dyDescent="0.2">
      <c r="B328" s="192" t="str">
        <f>'[1]COMEDORES EMERGENTES'!$B$3</f>
        <v>UNA SONRISA AV. LOS COBACHO</v>
      </c>
      <c r="C328" s="193"/>
      <c r="D328" s="113" t="s">
        <v>177</v>
      </c>
      <c r="E328" s="114" t="str">
        <f>'[1]COMEDORES EMERGENTES'!$G$3</f>
        <v>Bº SAN CARLOS OESTE AV. Bonifacio cobacho 670</v>
      </c>
    </row>
    <row r="329" spans="2:5" x14ac:dyDescent="0.2">
      <c r="B329" s="183" t="str">
        <f>'[1]COMEDORES EMERGENTES'!$B$4</f>
        <v>C.I.F Nº1 - RIVERA DEL VALLE Y FLORIDA</v>
      </c>
      <c r="C329" s="184"/>
      <c r="D329" s="108" t="s">
        <v>205</v>
      </c>
      <c r="E329" s="109" t="str">
        <f>'[1]COMEDORES EMERGENTES'!$G$4</f>
        <v>AV. RIVIERA DEL VALLE ENTRE FLORIDA Y SANTA FE</v>
      </c>
    </row>
    <row r="330" spans="2:5" x14ac:dyDescent="0.2">
      <c r="B330" s="183" t="str">
        <f>'[1]COMEDORES EMERGENTES'!$B$5</f>
        <v>C.I.F - RIVERA DEL VALLE - DILORENZO</v>
      </c>
      <c r="C330" s="184"/>
      <c r="D330" s="108" t="s">
        <v>206</v>
      </c>
      <c r="E330" s="109" t="str">
        <f>'[1]COMEDORES EMERGENTES'!$G$5</f>
        <v>Bº RIVERA DEL VALLE ENTRE VILLA EUMELIA Y MONTE CRISTO</v>
      </c>
    </row>
    <row r="331" spans="2:5" x14ac:dyDescent="0.2">
      <c r="B331" s="183" t="str">
        <f>'[1]COMEDORES EMERGENTES'!$B$6</f>
        <v>ESFUERZO PROPIO- Bº ALTOS DE CHOYA</v>
      </c>
      <c r="C331" s="184"/>
      <c r="D331" s="108" t="s">
        <v>207</v>
      </c>
      <c r="E331" s="109" t="str">
        <f>'[1]COMEDORES EMERGENTES'!$G$6</f>
        <v>Bº MUNICIPAL 35VV. NORTE C/14</v>
      </c>
    </row>
    <row r="332" spans="2:5" x14ac:dyDescent="0.2">
      <c r="B332" s="183" t="str">
        <f>'[1]COMEDORES EMERGENTES'!$B$7</f>
        <v>ANGELITOS - LOTEO SUSSEX</v>
      </c>
      <c r="C332" s="184"/>
      <c r="D332" s="108" t="s">
        <v>188</v>
      </c>
      <c r="E332" s="109" t="str">
        <f>'[1]COMEDORES EMERGENTES'!$G$7</f>
        <v>Bº LOTEO SUSEX MZA.Nº 4 LOTE Nº3</v>
      </c>
    </row>
    <row r="333" spans="2:5" x14ac:dyDescent="0.2">
      <c r="B333" s="183" t="str">
        <f>'[1]COMEDORES EMERGENTES'!$B$8</f>
        <v>CLUB DEPORTIVO CHACARITA</v>
      </c>
      <c r="C333" s="184"/>
      <c r="D333" s="108" t="s">
        <v>198</v>
      </c>
      <c r="E333" s="109" t="str">
        <f>'[1]COMEDORES EMERGENTES'!$G$8</f>
        <v>CALLE DR.DERMIDIO GALINDEZ C/2660</v>
      </c>
    </row>
    <row r="334" spans="2:5" x14ac:dyDescent="0.2">
      <c r="B334" s="183" t="str">
        <f>'[1]COMEDORES EMERGENTES'!$B$9</f>
        <v>LA MORO</v>
      </c>
      <c r="C334" s="184"/>
      <c r="D334" s="108" t="s">
        <v>199</v>
      </c>
      <c r="E334" s="109" t="str">
        <f>'[1]COMEDORES EMERGENTES'!$G$9</f>
        <v>MAIPU NORTE 1º ETAPA MZA "H" Bº MI JARDIN</v>
      </c>
    </row>
    <row r="335" spans="2:5" x14ac:dyDescent="0.2">
      <c r="B335" s="183" t="str">
        <f>'[1]COMEDORES EMERGENTES'!$B$10</f>
        <v>PAPA FRANCISCO</v>
      </c>
      <c r="C335" s="184"/>
      <c r="D335" s="108" t="s">
        <v>208</v>
      </c>
      <c r="E335" s="109" t="str">
        <f>'[1]COMEDORES EMERGENTES'!$G$10</f>
        <v>ENTRE AV.TEREBINTO Y AV.SAN JUAN LOTE "2" MZA. "B"</v>
      </c>
    </row>
    <row r="336" spans="2:5" x14ac:dyDescent="0.2">
      <c r="B336" s="183" t="str">
        <f>'[1]COMEDORES EMERGENTES'!$B$11</f>
        <v>E.P.C - 100 V.V NORTE</v>
      </c>
      <c r="C336" s="184"/>
      <c r="D336" s="108" t="s">
        <v>209</v>
      </c>
      <c r="E336" s="109" t="str">
        <f>'[1]COMEDORES EMERGENTES'!$G$11</f>
        <v>Bº VV NORTE C/48 ENTRE ESPAÑA Y FRANCIA</v>
      </c>
    </row>
    <row r="337" spans="2:5" x14ac:dyDescent="0.2">
      <c r="B337" s="183" t="str">
        <f>'[1]COMEDORES EMERGENTES'!$B$12</f>
        <v>HOGAR DE CRISTO - PADRE RAUL CONTRERAS</v>
      </c>
      <c r="C337" s="184"/>
      <c r="D337" s="108" t="s">
        <v>209</v>
      </c>
      <c r="E337" s="109" t="str">
        <f>'[1]COMEDORES EMERGENTES'!$G$12</f>
        <v>Bº SANTA MARTA MZA. "S" LOTE "M" C/39</v>
      </c>
    </row>
    <row r="338" spans="2:5" x14ac:dyDescent="0.2">
      <c r="B338" s="183" t="str">
        <f>'[1]COMEDORES EMERGENTES'!$B$13</f>
        <v>LA LUCIERNAGA</v>
      </c>
      <c r="C338" s="184"/>
      <c r="D338" s="108" t="s">
        <v>208</v>
      </c>
      <c r="E338" s="109" t="str">
        <f>'[1]COMEDORES EMERGENTES'!$G$13</f>
        <v>Bº 20 V.V NORTE C/3</v>
      </c>
    </row>
    <row r="339" spans="2:5" x14ac:dyDescent="0.2">
      <c r="B339" s="183" t="str">
        <f>'[1]COMEDORES EMERGENTES'!$B$14</f>
        <v>VALLE VIEJO - SUMALAO</v>
      </c>
      <c r="C339" s="184"/>
      <c r="D339" s="108" t="s">
        <v>210</v>
      </c>
      <c r="E339" s="109" t="str">
        <f>'[1]COMEDORES EMERGENTES'!$G$14</f>
        <v>PADRE SEGURA S/N</v>
      </c>
    </row>
    <row r="340" spans="2:5" x14ac:dyDescent="0.2">
      <c r="B340" s="183" t="str">
        <f>'[1]COMEDORES EMERGENTES'!$B$15</f>
        <v>NUESTRO FUTURO - LAS VIAS</v>
      </c>
      <c r="C340" s="184"/>
      <c r="D340" s="108" t="s">
        <v>208</v>
      </c>
      <c r="E340" s="109" t="str">
        <f>'[1]COMEDORES EMERGENTES'!$G$15</f>
        <v>Bº LAS VIAS OESTE LOTE 42</v>
      </c>
    </row>
    <row r="341" spans="2:5" x14ac:dyDescent="0.2">
      <c r="B341" s="183" t="str">
        <f>'[1]COMEDORES EMERGENTES'!$B$16</f>
        <v>SAN JOSE OBRERO</v>
      </c>
      <c r="C341" s="184"/>
      <c r="D341" s="108" t="s">
        <v>198</v>
      </c>
      <c r="E341" s="109" t="str">
        <f>'[1]COMEDORES EMERGENTES'!$G$16</f>
        <v>Bº SAN JOSE OBRERO. PJE. SANDOVAL S/Nº</v>
      </c>
    </row>
    <row r="342" spans="2:5" x14ac:dyDescent="0.2">
      <c r="B342" s="183" t="str">
        <f>'[1]COMEDORES EMERGENTES'!$B$17</f>
        <v>VIRGEN DE LUJAN</v>
      </c>
      <c r="C342" s="184"/>
      <c r="D342" s="108" t="s">
        <v>208</v>
      </c>
      <c r="E342" s="109" t="str">
        <f>'[1]COMEDORES EMERGENTES'!$G$17</f>
        <v>Bº OJO DE AGUA C/DR.TEODULFO BARRIONUEVO S/Nº</v>
      </c>
    </row>
    <row r="343" spans="2:5" x14ac:dyDescent="0.2">
      <c r="B343" s="183" t="str">
        <f>'[1]COMEDORES EMERGENTES'!$B$18</f>
        <v>RENACER</v>
      </c>
      <c r="C343" s="184"/>
      <c r="D343" s="108" t="s">
        <v>196</v>
      </c>
      <c r="E343" s="109" t="str">
        <f>'[1]COMEDORES EMERGENTES'!$G$18</f>
        <v>Bº VIRGEN MORENITA</v>
      </c>
    </row>
    <row r="344" spans="2:5" x14ac:dyDescent="0.2">
      <c r="B344" s="183" t="str">
        <f>'[1]COMEDORES EMERGENTES'!$B$19</f>
        <v>CENTRO VECINAL MI JARDIN</v>
      </c>
      <c r="C344" s="184"/>
      <c r="D344" s="108" t="s">
        <v>197</v>
      </c>
      <c r="E344" s="109" t="str">
        <f>'[1]COMEDORES EMERGENTES'!$G$19</f>
        <v>C/ LOS TULIPANES ENTRE FLOR DE CEREZO Y HOLANDA MZA.27 Bº MI JARDIN</v>
      </c>
    </row>
    <row r="345" spans="2:5" x14ac:dyDescent="0.2">
      <c r="B345" s="183" t="str">
        <f>'[1]COMEDORES EMERGENTES'!$B$20</f>
        <v>LA VIEJA ESQUINA</v>
      </c>
      <c r="C345" s="184"/>
      <c r="D345" s="108" t="s">
        <v>211</v>
      </c>
      <c r="E345" s="109" t="str">
        <f>'[1]COMEDORES EMERGENTES'!$G$20</f>
        <v>B° CRISTO REY PJE CAPATAZ VILLAFAÑEZ Y ARMANDO CORREA</v>
      </c>
    </row>
    <row r="346" spans="2:5" x14ac:dyDescent="0.2">
      <c r="B346" s="183" t="str">
        <f>'[1]COMEDORES EMERGENTES'!$B$21</f>
        <v>GAUCHITO GIL</v>
      </c>
      <c r="C346" s="184"/>
      <c r="D346" s="108" t="s">
        <v>212</v>
      </c>
      <c r="E346" s="109" t="str">
        <f>'[1]COMEDORES EMERGENTES'!$G$21</f>
        <v>B° 26 VIVIENDAS CASA N° 3</v>
      </c>
    </row>
    <row r="347" spans="2:5" ht="13.5" thickBot="1" x14ac:dyDescent="0.25">
      <c r="B347" s="200" t="str">
        <f>'[1]COMEDORES EMERGENTES'!$B$22</f>
        <v>LOS TOLDOS</v>
      </c>
      <c r="C347" s="201"/>
      <c r="D347" s="115" t="s">
        <v>186</v>
      </c>
      <c r="E347" s="116" t="str">
        <f>'[1]COMEDORES EMERGENTES'!$G$22</f>
        <v>LOTEO PARQUE SUR CALLE S/NOMBRE S/N°</v>
      </c>
    </row>
    <row r="348" spans="2:5" x14ac:dyDescent="0.2">
      <c r="B348" s="33" t="s">
        <v>18</v>
      </c>
      <c r="C348" s="31"/>
      <c r="D348" s="72"/>
      <c r="E348" s="32"/>
    </row>
    <row r="349" spans="2:5" ht="12.75" customHeight="1" x14ac:dyDescent="0.2">
      <c r="B349" s="34"/>
      <c r="C349" s="199" t="s">
        <v>64</v>
      </c>
      <c r="D349" s="199"/>
      <c r="E349" s="199"/>
    </row>
    <row r="350" spans="2:5" x14ac:dyDescent="0.2">
      <c r="B350" s="33" t="s">
        <v>19</v>
      </c>
      <c r="C350" s="35"/>
      <c r="D350" s="35"/>
      <c r="E350" s="36"/>
    </row>
    <row r="351" spans="2:5" ht="14.25" customHeight="1" x14ac:dyDescent="0.2">
      <c r="B351" s="34"/>
      <c r="C351" s="199" t="s">
        <v>141</v>
      </c>
      <c r="D351" s="199"/>
      <c r="E351" s="199"/>
    </row>
    <row r="352" spans="2:5" x14ac:dyDescent="0.2">
      <c r="B352" s="33" t="s">
        <v>20</v>
      </c>
      <c r="C352" s="31"/>
      <c r="D352" s="72"/>
      <c r="E352" s="32"/>
    </row>
    <row r="353" spans="2:5" ht="11.25" customHeight="1" x14ac:dyDescent="0.2">
      <c r="B353" s="33"/>
      <c r="C353" s="198" t="s">
        <v>65</v>
      </c>
      <c r="D353" s="198"/>
      <c r="E353" s="198"/>
    </row>
    <row r="354" spans="2:5" ht="13.5" thickBot="1" x14ac:dyDescent="0.25">
      <c r="B354" s="37"/>
      <c r="C354" s="38"/>
      <c r="D354" s="73"/>
      <c r="E354" s="39"/>
    </row>
    <row r="355" spans="2:5" ht="13.5" thickBot="1" x14ac:dyDescent="0.25"/>
    <row r="356" spans="2:5" x14ac:dyDescent="0.2">
      <c r="B356" s="27" t="s">
        <v>148</v>
      </c>
      <c r="C356" s="28"/>
      <c r="D356" s="71"/>
      <c r="E356" s="29"/>
    </row>
    <row r="357" spans="2:5" ht="5.25" customHeight="1" x14ac:dyDescent="0.2">
      <c r="B357" s="30"/>
      <c r="C357" s="31"/>
      <c r="D357" s="72"/>
      <c r="E357" s="32"/>
    </row>
    <row r="358" spans="2:5" x14ac:dyDescent="0.2">
      <c r="B358" s="33" t="s">
        <v>16</v>
      </c>
      <c r="C358" s="31"/>
      <c r="D358" s="72"/>
      <c r="E358" s="32"/>
    </row>
    <row r="359" spans="2:5" ht="25.5" customHeight="1" x14ac:dyDescent="0.2">
      <c r="B359" s="33"/>
      <c r="C359" s="199"/>
      <c r="D359" s="199"/>
      <c r="E359" s="199"/>
    </row>
    <row r="360" spans="2:5" ht="13.5" thickBot="1" x14ac:dyDescent="0.25">
      <c r="B360" s="33" t="s">
        <v>17</v>
      </c>
      <c r="C360" s="31"/>
      <c r="D360" s="72"/>
      <c r="E360" s="32"/>
    </row>
    <row r="361" spans="2:5" ht="13.5" thickBot="1" x14ac:dyDescent="0.25">
      <c r="B361" s="185" t="s">
        <v>138</v>
      </c>
      <c r="C361" s="186"/>
      <c r="D361" s="186"/>
      <c r="E361" s="187"/>
    </row>
    <row r="362" spans="2:5" ht="13.5" thickBot="1" x14ac:dyDescent="0.25">
      <c r="B362" s="185" t="s">
        <v>139</v>
      </c>
      <c r="C362" s="187"/>
      <c r="D362" s="69" t="s">
        <v>11</v>
      </c>
      <c r="E362" s="69" t="s">
        <v>140</v>
      </c>
    </row>
    <row r="363" spans="2:5" x14ac:dyDescent="0.2">
      <c r="B363" s="192" t="str">
        <f>'[1]COMEDORES EMERGENTES'!$B$3</f>
        <v>UNA SONRISA AV. LOS COBACHO</v>
      </c>
      <c r="C363" s="193"/>
      <c r="D363" s="113" t="s">
        <v>208</v>
      </c>
      <c r="E363" s="114" t="str">
        <f>'[1]COMEDORES EMERGENTES'!$G$3</f>
        <v>Bº SAN CARLOS OESTE AV. Bonifacio cobacho 670</v>
      </c>
    </row>
    <row r="364" spans="2:5" x14ac:dyDescent="0.2">
      <c r="B364" s="183" t="str">
        <f>'[1]COMEDORES EMERGENTES'!$B$4</f>
        <v>C.I.F Nº1 - RIVERA DEL VALLE Y FLORIDA</v>
      </c>
      <c r="C364" s="184"/>
      <c r="D364" s="108" t="s">
        <v>213</v>
      </c>
      <c r="E364" s="109" t="str">
        <f>'[1]COMEDORES EMERGENTES'!$G$4</f>
        <v>AV. RIVIERA DEL VALLE ENTRE FLORIDA Y SANTA FE</v>
      </c>
    </row>
    <row r="365" spans="2:5" x14ac:dyDescent="0.2">
      <c r="B365" s="183" t="str">
        <f>'[1]COMEDORES EMERGENTES'!$B$5</f>
        <v>C.I.F - RIVERA DEL VALLE - DILORENZO</v>
      </c>
      <c r="C365" s="184"/>
      <c r="D365" s="108" t="s">
        <v>214</v>
      </c>
      <c r="E365" s="109" t="str">
        <f>'[1]COMEDORES EMERGENTES'!$G$5</f>
        <v>Bº RIVERA DEL VALLE ENTRE VILLA EUMELIA Y MONTE CRISTO</v>
      </c>
    </row>
    <row r="366" spans="2:5" x14ac:dyDescent="0.2">
      <c r="B366" s="183" t="str">
        <f>'[1]COMEDORES EMERGENTES'!$B$6</f>
        <v>ESFUERZO PROPIO- Bº ALTOS DE CHOYA</v>
      </c>
      <c r="C366" s="184"/>
      <c r="D366" s="108" t="s">
        <v>215</v>
      </c>
      <c r="E366" s="109" t="str">
        <f>'[1]COMEDORES EMERGENTES'!$G$6</f>
        <v>Bº MUNICIPAL 35VV. NORTE C/14</v>
      </c>
    </row>
    <row r="367" spans="2:5" x14ac:dyDescent="0.2">
      <c r="B367" s="183" t="str">
        <f>'[1]COMEDORES EMERGENTES'!$B$7</f>
        <v>ANGELITOS - LOTEO SUSSEX</v>
      </c>
      <c r="C367" s="184"/>
      <c r="D367" s="108" t="s">
        <v>171</v>
      </c>
      <c r="E367" s="109" t="str">
        <f>'[1]COMEDORES EMERGENTES'!$G$7</f>
        <v>Bº LOTEO SUSEX MZA.Nº 4 LOTE Nº3</v>
      </c>
    </row>
    <row r="368" spans="2:5" x14ac:dyDescent="0.2">
      <c r="B368" s="183" t="str">
        <f>'[1]COMEDORES EMERGENTES'!$B$8</f>
        <v>CLUB DEPORTIVO CHACARITA</v>
      </c>
      <c r="C368" s="184"/>
      <c r="D368" s="108" t="s">
        <v>191</v>
      </c>
      <c r="E368" s="109" t="str">
        <f>'[1]COMEDORES EMERGENTES'!$G$8</f>
        <v>CALLE DR.DERMIDIO GALINDEZ C/2660</v>
      </c>
    </row>
    <row r="369" spans="2:5" x14ac:dyDescent="0.2">
      <c r="B369" s="183" t="str">
        <f>'[1]COMEDORES EMERGENTES'!$B$9</f>
        <v>LA MORO</v>
      </c>
      <c r="C369" s="184"/>
      <c r="D369" s="108" t="s">
        <v>216</v>
      </c>
      <c r="E369" s="109" t="str">
        <f>'[1]COMEDORES EMERGENTES'!$G$9</f>
        <v>MAIPU NORTE 1º ETAPA MZA "H" Bº MI JARDIN</v>
      </c>
    </row>
    <row r="370" spans="2:5" x14ac:dyDescent="0.2">
      <c r="B370" s="183" t="str">
        <f>'[1]COMEDORES EMERGENTES'!$B$10</f>
        <v>PAPA FRANCISCO</v>
      </c>
      <c r="C370" s="184"/>
      <c r="D370" s="108" t="s">
        <v>196</v>
      </c>
      <c r="E370" s="109" t="str">
        <f>'[1]COMEDORES EMERGENTES'!$G$10</f>
        <v>ENTRE AV.TEREBINTO Y AV.SAN JUAN LOTE "2" MZA. "B"</v>
      </c>
    </row>
    <row r="371" spans="2:5" x14ac:dyDescent="0.2">
      <c r="B371" s="183" t="str">
        <f>'[1]COMEDORES EMERGENTES'!$B$11</f>
        <v>E.P.C - 100 V.V NORTE</v>
      </c>
      <c r="C371" s="184"/>
      <c r="D371" s="108" t="s">
        <v>217</v>
      </c>
      <c r="E371" s="109" t="str">
        <f>'[1]COMEDORES EMERGENTES'!$G$11</f>
        <v>Bº VV NORTE C/48 ENTRE ESPAÑA Y FRANCIA</v>
      </c>
    </row>
    <row r="372" spans="2:5" x14ac:dyDescent="0.2">
      <c r="B372" s="183" t="str">
        <f>'[1]COMEDORES EMERGENTES'!$B$12</f>
        <v>HOGAR DE CRISTO - PADRE RAUL CONTRERAS</v>
      </c>
      <c r="C372" s="184"/>
      <c r="D372" s="108" t="s">
        <v>217</v>
      </c>
      <c r="E372" s="109" t="str">
        <f>'[1]COMEDORES EMERGENTES'!$G$12</f>
        <v>Bº SANTA MARTA MZA. "S" LOTE "M" C/39</v>
      </c>
    </row>
    <row r="373" spans="2:5" x14ac:dyDescent="0.2">
      <c r="B373" s="183" t="str">
        <f>'[1]COMEDORES EMERGENTES'!$B$13</f>
        <v>LA LUCIERNAGA</v>
      </c>
      <c r="C373" s="184"/>
      <c r="D373" s="108" t="s">
        <v>196</v>
      </c>
      <c r="E373" s="109" t="str">
        <f>'[1]COMEDORES EMERGENTES'!$G$13</f>
        <v>Bº 20 V.V NORTE C/3</v>
      </c>
    </row>
    <row r="374" spans="2:5" x14ac:dyDescent="0.2">
      <c r="B374" s="183" t="str">
        <f>'[1]COMEDORES EMERGENTES'!$B$14</f>
        <v>VALLE VIEJO - SUMALAO</v>
      </c>
      <c r="C374" s="184"/>
      <c r="D374" s="108" t="s">
        <v>218</v>
      </c>
      <c r="E374" s="109" t="str">
        <f>'[1]COMEDORES EMERGENTES'!$G$14</f>
        <v>PADRE SEGURA S/N</v>
      </c>
    </row>
    <row r="375" spans="2:5" x14ac:dyDescent="0.2">
      <c r="B375" s="183" t="str">
        <f>'[1]COMEDORES EMERGENTES'!$B$15</f>
        <v>NUESTRO FUTURO - LAS VIAS</v>
      </c>
      <c r="C375" s="184"/>
      <c r="D375" s="108" t="s">
        <v>196</v>
      </c>
      <c r="E375" s="109" t="str">
        <f>'[1]COMEDORES EMERGENTES'!$G$15</f>
        <v>Bº LAS VIAS OESTE LOTE 42</v>
      </c>
    </row>
    <row r="376" spans="2:5" x14ac:dyDescent="0.2">
      <c r="B376" s="183" t="str">
        <f>'[1]COMEDORES EMERGENTES'!$B$16</f>
        <v>SAN JOSE OBRERO</v>
      </c>
      <c r="C376" s="184"/>
      <c r="D376" s="108" t="s">
        <v>191</v>
      </c>
      <c r="E376" s="109" t="str">
        <f>'[1]COMEDORES EMERGENTES'!$G$16</f>
        <v>Bº SAN JOSE OBRERO. PJE. SANDOVAL S/Nº</v>
      </c>
    </row>
    <row r="377" spans="2:5" x14ac:dyDescent="0.2">
      <c r="B377" s="183" t="str">
        <f>'[1]COMEDORES EMERGENTES'!$B$17</f>
        <v>VIRGEN DE LUJAN</v>
      </c>
      <c r="C377" s="184"/>
      <c r="D377" s="108" t="s">
        <v>196</v>
      </c>
      <c r="E377" s="109" t="str">
        <f>'[1]COMEDORES EMERGENTES'!$G$17</f>
        <v>Bº OJO DE AGUA C/DR.TEODULFO BARRIONUEVO S/Nº</v>
      </c>
    </row>
    <row r="378" spans="2:5" x14ac:dyDescent="0.2">
      <c r="B378" s="183" t="str">
        <f>'[1]COMEDORES EMERGENTES'!$B$18</f>
        <v>RENACER</v>
      </c>
      <c r="C378" s="184"/>
      <c r="D378" s="108" t="s">
        <v>219</v>
      </c>
      <c r="E378" s="109" t="str">
        <f>'[1]COMEDORES EMERGENTES'!$G$18</f>
        <v>Bº VIRGEN MORENITA</v>
      </c>
    </row>
    <row r="379" spans="2:5" x14ac:dyDescent="0.2">
      <c r="B379" s="183" t="str">
        <f>'[1]COMEDORES EMERGENTES'!$B$19</f>
        <v>CENTRO VECINAL MI JARDIN</v>
      </c>
      <c r="C379" s="184"/>
      <c r="D379" s="108" t="s">
        <v>220</v>
      </c>
      <c r="E379" s="109" t="str">
        <f>'[1]COMEDORES EMERGENTES'!$G$19</f>
        <v>C/ LOS TULIPANES ENTRE FLOR DE CEREZO Y HOLANDA MZA.27 Bº MI JARDIN</v>
      </c>
    </row>
    <row r="380" spans="2:5" x14ac:dyDescent="0.2">
      <c r="B380" s="183" t="str">
        <f>'[1]COMEDORES EMERGENTES'!$B$20</f>
        <v>LA VIEJA ESQUINA</v>
      </c>
      <c r="C380" s="184"/>
      <c r="D380" s="108" t="s">
        <v>195</v>
      </c>
      <c r="E380" s="109" t="str">
        <f>'[1]COMEDORES EMERGENTES'!$G$20</f>
        <v>B° CRISTO REY PJE CAPATAZ VILLAFAÑEZ Y ARMANDO CORREA</v>
      </c>
    </row>
    <row r="381" spans="2:5" x14ac:dyDescent="0.2">
      <c r="B381" s="183" t="str">
        <f>'[1]COMEDORES EMERGENTES'!$B$21</f>
        <v>GAUCHITO GIL</v>
      </c>
      <c r="C381" s="184"/>
      <c r="D381" s="108" t="s">
        <v>221</v>
      </c>
      <c r="E381" s="109" t="str">
        <f>'[1]COMEDORES EMERGENTES'!$G$21</f>
        <v>B° 26 VIVIENDAS CASA N° 3</v>
      </c>
    </row>
    <row r="382" spans="2:5" ht="13.5" thickBot="1" x14ac:dyDescent="0.25">
      <c r="B382" s="200" t="str">
        <f>'[1]COMEDORES EMERGENTES'!$B$22</f>
        <v>LOS TOLDOS</v>
      </c>
      <c r="C382" s="201"/>
      <c r="D382" s="115" t="s">
        <v>188</v>
      </c>
      <c r="E382" s="116" t="str">
        <f>'[1]COMEDORES EMERGENTES'!$G$22</f>
        <v>LOTEO PARQUE SUR CALLE S/NOMBRE S/N°</v>
      </c>
    </row>
    <row r="383" spans="2:5" x14ac:dyDescent="0.2">
      <c r="B383" s="33" t="s">
        <v>18</v>
      </c>
      <c r="C383" s="31"/>
      <c r="D383" s="72"/>
      <c r="E383" s="32"/>
    </row>
    <row r="384" spans="2:5" ht="12.75" customHeight="1" x14ac:dyDescent="0.2">
      <c r="B384" s="34"/>
      <c r="C384" s="199" t="s">
        <v>64</v>
      </c>
      <c r="D384" s="199"/>
      <c r="E384" s="199"/>
    </row>
    <row r="385" spans="2:5" x14ac:dyDescent="0.2">
      <c r="B385" s="33" t="s">
        <v>19</v>
      </c>
      <c r="C385" s="35"/>
      <c r="D385" s="35"/>
      <c r="E385" s="36"/>
    </row>
    <row r="386" spans="2:5" ht="14.25" customHeight="1" x14ac:dyDescent="0.2">
      <c r="B386" s="34"/>
      <c r="C386" s="199" t="s">
        <v>141</v>
      </c>
      <c r="D386" s="199"/>
      <c r="E386" s="199"/>
    </row>
    <row r="387" spans="2:5" x14ac:dyDescent="0.2">
      <c r="B387" s="33" t="s">
        <v>20</v>
      </c>
      <c r="C387" s="31"/>
      <c r="D387" s="72"/>
      <c r="E387" s="32"/>
    </row>
    <row r="388" spans="2:5" ht="11.25" customHeight="1" x14ac:dyDescent="0.2">
      <c r="B388" s="33"/>
      <c r="C388" s="198" t="s">
        <v>65</v>
      </c>
      <c r="D388" s="198"/>
      <c r="E388" s="198"/>
    </row>
    <row r="389" spans="2:5" ht="13.5" thickBot="1" x14ac:dyDescent="0.25">
      <c r="B389" s="37"/>
      <c r="C389" s="38"/>
      <c r="D389" s="73"/>
      <c r="E389" s="39"/>
    </row>
    <row r="390" spans="2:5" ht="13.5" thickBot="1" x14ac:dyDescent="0.25"/>
    <row r="391" spans="2:5" x14ac:dyDescent="0.2">
      <c r="B391" s="27" t="s">
        <v>149</v>
      </c>
      <c r="C391" s="28"/>
      <c r="D391" s="71"/>
      <c r="E391" s="29"/>
    </row>
    <row r="392" spans="2:5" ht="5.25" customHeight="1" x14ac:dyDescent="0.2">
      <c r="B392" s="30"/>
      <c r="C392" s="31"/>
      <c r="D392" s="72"/>
      <c r="E392" s="32"/>
    </row>
    <row r="393" spans="2:5" x14ac:dyDescent="0.2">
      <c r="B393" s="33" t="s">
        <v>16</v>
      </c>
      <c r="C393" s="31"/>
      <c r="D393" s="72"/>
      <c r="E393" s="32"/>
    </row>
    <row r="394" spans="2:5" ht="25.5" customHeight="1" x14ac:dyDescent="0.2">
      <c r="B394" s="33"/>
      <c r="C394" s="199"/>
      <c r="D394" s="199"/>
      <c r="E394" s="199"/>
    </row>
    <row r="395" spans="2:5" ht="13.5" thickBot="1" x14ac:dyDescent="0.25">
      <c r="B395" s="33" t="s">
        <v>17</v>
      </c>
      <c r="C395" s="31"/>
      <c r="D395" s="72"/>
      <c r="E395" s="32"/>
    </row>
    <row r="396" spans="2:5" ht="13.5" thickBot="1" x14ac:dyDescent="0.25">
      <c r="B396" s="185" t="s">
        <v>138</v>
      </c>
      <c r="C396" s="186"/>
      <c r="D396" s="186"/>
      <c r="E396" s="187"/>
    </row>
    <row r="397" spans="2:5" ht="13.5" thickBot="1" x14ac:dyDescent="0.25">
      <c r="B397" s="185" t="s">
        <v>139</v>
      </c>
      <c r="C397" s="187"/>
      <c r="D397" s="69" t="s">
        <v>11</v>
      </c>
      <c r="E397" s="69" t="s">
        <v>140</v>
      </c>
    </row>
    <row r="398" spans="2:5" x14ac:dyDescent="0.2">
      <c r="B398" s="192" t="str">
        <f>'[1]COMEDORES EMERGENTES'!$B$3</f>
        <v>UNA SONRISA AV. LOS COBACHO</v>
      </c>
      <c r="C398" s="193"/>
      <c r="D398" s="113" t="s">
        <v>171</v>
      </c>
      <c r="E398" s="114" t="str">
        <f>'[1]COMEDORES EMERGENTES'!$G$3</f>
        <v>Bº SAN CARLOS OESTE AV. Bonifacio cobacho 670</v>
      </c>
    </row>
    <row r="399" spans="2:5" x14ac:dyDescent="0.2">
      <c r="B399" s="183" t="str">
        <f>'[1]COMEDORES EMERGENTES'!$B$4</f>
        <v>C.I.F Nº1 - RIVERA DEL VALLE Y FLORIDA</v>
      </c>
      <c r="C399" s="184"/>
      <c r="D399" s="108" t="s">
        <v>222</v>
      </c>
      <c r="E399" s="109" t="str">
        <f>'[1]COMEDORES EMERGENTES'!$G$4</f>
        <v>AV. RIVIERA DEL VALLE ENTRE FLORIDA Y SANTA FE</v>
      </c>
    </row>
    <row r="400" spans="2:5" x14ac:dyDescent="0.2">
      <c r="B400" s="183" t="str">
        <f>'[1]COMEDORES EMERGENTES'!$B$5</f>
        <v>C.I.F - RIVERA DEL VALLE - DILORENZO</v>
      </c>
      <c r="C400" s="184"/>
      <c r="D400" s="108" t="s">
        <v>221</v>
      </c>
      <c r="E400" s="109" t="str">
        <f>'[1]COMEDORES EMERGENTES'!$G$5</f>
        <v>Bº RIVERA DEL VALLE ENTRE VILLA EUMELIA Y MONTE CRISTO</v>
      </c>
    </row>
    <row r="401" spans="2:5" x14ac:dyDescent="0.2">
      <c r="B401" s="183" t="str">
        <f>'[1]COMEDORES EMERGENTES'!$B$6</f>
        <v>ESFUERZO PROPIO- Bº ALTOS DE CHOYA</v>
      </c>
      <c r="C401" s="184"/>
      <c r="D401" s="108" t="s">
        <v>211</v>
      </c>
      <c r="E401" s="109" t="str">
        <f>'[1]COMEDORES EMERGENTES'!$G$6</f>
        <v>Bº MUNICIPAL 35VV. NORTE C/14</v>
      </c>
    </row>
    <row r="402" spans="2:5" x14ac:dyDescent="0.2">
      <c r="B402" s="183" t="str">
        <f>'[1]COMEDORES EMERGENTES'!$B$7</f>
        <v>ANGELITOS - LOTEO SUSSEX</v>
      </c>
      <c r="C402" s="184"/>
      <c r="D402" s="108" t="s">
        <v>186</v>
      </c>
      <c r="E402" s="109" t="str">
        <f>'[1]COMEDORES EMERGENTES'!$G$7</f>
        <v>Bº LOTEO SUSEX MZA.Nº 4 LOTE Nº3</v>
      </c>
    </row>
    <row r="403" spans="2:5" x14ac:dyDescent="0.2">
      <c r="B403" s="183" t="str">
        <f>'[1]COMEDORES EMERGENTES'!$B$8</f>
        <v>CLUB DEPORTIVO CHACARITA</v>
      </c>
      <c r="C403" s="184"/>
      <c r="D403" s="108" t="s">
        <v>223</v>
      </c>
      <c r="E403" s="109" t="str">
        <f>'[1]COMEDORES EMERGENTES'!$G$8</f>
        <v>CALLE DR.DERMIDIO GALINDEZ C/2660</v>
      </c>
    </row>
    <row r="404" spans="2:5" x14ac:dyDescent="0.2">
      <c r="B404" s="183" t="str">
        <f>'[1]COMEDORES EMERGENTES'!$B$9</f>
        <v>LA MORO</v>
      </c>
      <c r="C404" s="184"/>
      <c r="D404" s="108" t="s">
        <v>181</v>
      </c>
      <c r="E404" s="109" t="str">
        <f>'[1]COMEDORES EMERGENTES'!$G$9</f>
        <v>MAIPU NORTE 1º ETAPA MZA "H" Bº MI JARDIN</v>
      </c>
    </row>
    <row r="405" spans="2:5" x14ac:dyDescent="0.2">
      <c r="B405" s="183" t="str">
        <f>'[1]COMEDORES EMERGENTES'!$B$10</f>
        <v>PAPA FRANCISCO</v>
      </c>
      <c r="C405" s="184"/>
      <c r="D405" s="108" t="s">
        <v>193</v>
      </c>
      <c r="E405" s="109" t="str">
        <f>'[1]COMEDORES EMERGENTES'!$G$10</f>
        <v>ENTRE AV.TEREBINTO Y AV.SAN JUAN LOTE "2" MZA. "B"</v>
      </c>
    </row>
    <row r="406" spans="2:5" x14ac:dyDescent="0.2">
      <c r="B406" s="183" t="str">
        <f>'[1]COMEDORES EMERGENTES'!$B$11</f>
        <v>E.P.C - 100 V.V NORTE</v>
      </c>
      <c r="C406" s="184"/>
      <c r="D406" s="108" t="s">
        <v>224</v>
      </c>
      <c r="E406" s="109" t="str">
        <f>'[1]COMEDORES EMERGENTES'!$G$11</f>
        <v>Bº VV NORTE C/48 ENTRE ESPAÑA Y FRANCIA</v>
      </c>
    </row>
    <row r="407" spans="2:5" x14ac:dyDescent="0.2">
      <c r="B407" s="183" t="str">
        <f>'[1]COMEDORES EMERGENTES'!$B$12</f>
        <v>HOGAR DE CRISTO - PADRE RAUL CONTRERAS</v>
      </c>
      <c r="C407" s="184"/>
      <c r="D407" s="108" t="s">
        <v>224</v>
      </c>
      <c r="E407" s="109" t="str">
        <f>'[1]COMEDORES EMERGENTES'!$G$12</f>
        <v>Bº SANTA MARTA MZA. "S" LOTE "M" C/39</v>
      </c>
    </row>
    <row r="408" spans="2:5" x14ac:dyDescent="0.2">
      <c r="B408" s="183" t="str">
        <f>'[1]COMEDORES EMERGENTES'!$B$13</f>
        <v>LA LUCIERNAGA</v>
      </c>
      <c r="C408" s="184"/>
      <c r="D408" s="108" t="s">
        <v>193</v>
      </c>
      <c r="E408" s="109" t="str">
        <f>'[1]COMEDORES EMERGENTES'!$G$13</f>
        <v>Bº 20 V.V NORTE C/3</v>
      </c>
    </row>
    <row r="409" spans="2:5" x14ac:dyDescent="0.2">
      <c r="B409" s="183" t="str">
        <f>'[1]COMEDORES EMERGENTES'!$B$14</f>
        <v>VALLE VIEJO - SUMALAO</v>
      </c>
      <c r="C409" s="184"/>
      <c r="D409" s="108" t="s">
        <v>215</v>
      </c>
      <c r="E409" s="109" t="str">
        <f>'[1]COMEDORES EMERGENTES'!$G$14</f>
        <v>PADRE SEGURA S/N</v>
      </c>
    </row>
    <row r="410" spans="2:5" x14ac:dyDescent="0.2">
      <c r="B410" s="183" t="str">
        <f>'[1]COMEDORES EMERGENTES'!$B$15</f>
        <v>NUESTRO FUTURO - LAS VIAS</v>
      </c>
      <c r="C410" s="184"/>
      <c r="D410" s="108" t="s">
        <v>193</v>
      </c>
      <c r="E410" s="109" t="str">
        <f>'[1]COMEDORES EMERGENTES'!$G$15</f>
        <v>Bº LAS VIAS OESTE LOTE 42</v>
      </c>
    </row>
    <row r="411" spans="2:5" x14ac:dyDescent="0.2">
      <c r="B411" s="183" t="str">
        <f>'[1]COMEDORES EMERGENTES'!$B$16</f>
        <v>SAN JOSE OBRERO</v>
      </c>
      <c r="C411" s="184"/>
      <c r="D411" s="108" t="s">
        <v>223</v>
      </c>
      <c r="E411" s="109" t="str">
        <f>'[1]COMEDORES EMERGENTES'!$G$16</f>
        <v>Bº SAN JOSE OBRERO. PJE. SANDOVAL S/Nº</v>
      </c>
    </row>
    <row r="412" spans="2:5" x14ac:dyDescent="0.2">
      <c r="B412" s="183" t="str">
        <f>'[1]COMEDORES EMERGENTES'!$B$17</f>
        <v>VIRGEN DE LUJAN</v>
      </c>
      <c r="C412" s="184"/>
      <c r="D412" s="108" t="s">
        <v>193</v>
      </c>
      <c r="E412" s="109" t="str">
        <f>'[1]COMEDORES EMERGENTES'!$G$17</f>
        <v>Bº OJO DE AGUA C/DR.TEODULFO BARRIONUEVO S/Nº</v>
      </c>
    </row>
    <row r="413" spans="2:5" x14ac:dyDescent="0.2">
      <c r="B413" s="183" t="str">
        <f>'[1]COMEDORES EMERGENTES'!$B$18</f>
        <v>RENACER</v>
      </c>
      <c r="C413" s="184"/>
      <c r="D413" s="108" t="s">
        <v>225</v>
      </c>
      <c r="E413" s="109" t="str">
        <f>'[1]COMEDORES EMERGENTES'!$G$18</f>
        <v>Bº VIRGEN MORENITA</v>
      </c>
    </row>
    <row r="414" spans="2:5" x14ac:dyDescent="0.2">
      <c r="B414" s="183" t="str">
        <f>'[1]COMEDORES EMERGENTES'!$B$19</f>
        <v>CENTRO VECINAL MI JARDIN</v>
      </c>
      <c r="C414" s="184"/>
      <c r="D414" s="108" t="s">
        <v>194</v>
      </c>
      <c r="E414" s="109" t="str">
        <f>'[1]COMEDORES EMERGENTES'!$G$19</f>
        <v>C/ LOS TULIPANES ENTRE FLOR DE CEREZO Y HOLANDA MZA.27 Bº MI JARDIN</v>
      </c>
    </row>
    <row r="415" spans="2:5" x14ac:dyDescent="0.2">
      <c r="B415" s="183" t="str">
        <f>'[1]COMEDORES EMERGENTES'!$B$20</f>
        <v>LA VIEJA ESQUINA</v>
      </c>
      <c r="C415" s="184"/>
      <c r="D415" s="108" t="s">
        <v>179</v>
      </c>
      <c r="E415" s="109" t="str">
        <f>'[1]COMEDORES EMERGENTES'!$G$20</f>
        <v>B° CRISTO REY PJE CAPATAZ VILLAFAÑEZ Y ARMANDO CORREA</v>
      </c>
    </row>
    <row r="416" spans="2:5" x14ac:dyDescent="0.2">
      <c r="B416" s="183" t="str">
        <f>'[1]COMEDORES EMERGENTES'!$B$21</f>
        <v>GAUCHITO GIL</v>
      </c>
      <c r="C416" s="184"/>
      <c r="D416" s="108" t="s">
        <v>226</v>
      </c>
      <c r="E416" s="109" t="str">
        <f>'[1]COMEDORES EMERGENTES'!$G$21</f>
        <v>B° 26 VIVIENDAS CASA N° 3</v>
      </c>
    </row>
    <row r="417" spans="2:5" ht="13.5" thickBot="1" x14ac:dyDescent="0.25">
      <c r="B417" s="200" t="str">
        <f>'[1]COMEDORES EMERGENTES'!$B$22</f>
        <v>LOS TOLDOS</v>
      </c>
      <c r="C417" s="201"/>
      <c r="D417" s="115" t="s">
        <v>170</v>
      </c>
      <c r="E417" s="116" t="str">
        <f>'[1]COMEDORES EMERGENTES'!$G$22</f>
        <v>LOTEO PARQUE SUR CALLE S/NOMBRE S/N°</v>
      </c>
    </row>
    <row r="418" spans="2:5" x14ac:dyDescent="0.2">
      <c r="B418" s="33" t="s">
        <v>18</v>
      </c>
      <c r="C418" s="31"/>
      <c r="D418" s="72"/>
      <c r="E418" s="32"/>
    </row>
    <row r="419" spans="2:5" ht="12.75" customHeight="1" x14ac:dyDescent="0.2">
      <c r="B419" s="34"/>
      <c r="C419" s="199" t="s">
        <v>64</v>
      </c>
      <c r="D419" s="199"/>
      <c r="E419" s="199"/>
    </row>
    <row r="420" spans="2:5" x14ac:dyDescent="0.2">
      <c r="B420" s="33" t="s">
        <v>19</v>
      </c>
      <c r="C420" s="35"/>
      <c r="D420" s="35"/>
      <c r="E420" s="36"/>
    </row>
    <row r="421" spans="2:5" ht="14.25" customHeight="1" x14ac:dyDescent="0.2">
      <c r="B421" s="34"/>
      <c r="C421" s="199" t="s">
        <v>141</v>
      </c>
      <c r="D421" s="199"/>
      <c r="E421" s="199"/>
    </row>
    <row r="422" spans="2:5" x14ac:dyDescent="0.2">
      <c r="B422" s="33" t="s">
        <v>20</v>
      </c>
      <c r="C422" s="31"/>
      <c r="D422" s="72"/>
      <c r="E422" s="32"/>
    </row>
    <row r="423" spans="2:5" ht="11.25" customHeight="1" x14ac:dyDescent="0.2">
      <c r="B423" s="33"/>
      <c r="C423" s="198" t="s">
        <v>65</v>
      </c>
      <c r="D423" s="198"/>
      <c r="E423" s="198"/>
    </row>
    <row r="424" spans="2:5" ht="13.5" thickBot="1" x14ac:dyDescent="0.25">
      <c r="B424" s="37"/>
      <c r="C424" s="38"/>
      <c r="D424" s="73"/>
      <c r="E424" s="39"/>
    </row>
    <row r="425" spans="2:5" ht="13.5" thickBot="1" x14ac:dyDescent="0.25"/>
    <row r="426" spans="2:5" x14ac:dyDescent="0.2">
      <c r="B426" s="27" t="s">
        <v>150</v>
      </c>
      <c r="C426" s="28"/>
      <c r="D426" s="71"/>
      <c r="E426" s="29"/>
    </row>
    <row r="427" spans="2:5" x14ac:dyDescent="0.2">
      <c r="B427" s="30"/>
      <c r="C427" s="31"/>
      <c r="D427" s="72"/>
      <c r="E427" s="32"/>
    </row>
    <row r="428" spans="2:5" x14ac:dyDescent="0.2">
      <c r="B428" s="33" t="s">
        <v>16</v>
      </c>
      <c r="C428" s="31"/>
      <c r="D428" s="72"/>
      <c r="E428" s="32"/>
    </row>
    <row r="429" spans="2:5" ht="25.5" customHeight="1" x14ac:dyDescent="0.2">
      <c r="B429" s="33"/>
      <c r="C429" s="199"/>
      <c r="D429" s="199"/>
      <c r="E429" s="199"/>
    </row>
    <row r="430" spans="2:5" ht="13.5" thickBot="1" x14ac:dyDescent="0.25">
      <c r="B430" s="33" t="s">
        <v>17</v>
      </c>
      <c r="C430" s="31"/>
      <c r="D430" s="72"/>
      <c r="E430" s="32"/>
    </row>
    <row r="431" spans="2:5" ht="13.5" thickBot="1" x14ac:dyDescent="0.25">
      <c r="B431" s="185" t="s">
        <v>138</v>
      </c>
      <c r="C431" s="186"/>
      <c r="D431" s="186"/>
      <c r="E431" s="187"/>
    </row>
    <row r="432" spans="2:5" ht="13.5" thickBot="1" x14ac:dyDescent="0.25">
      <c r="B432" s="185" t="s">
        <v>139</v>
      </c>
      <c r="C432" s="187"/>
      <c r="D432" s="69" t="s">
        <v>11</v>
      </c>
      <c r="E432" s="69" t="s">
        <v>140</v>
      </c>
    </row>
    <row r="433" spans="2:5" x14ac:dyDescent="0.2">
      <c r="B433" s="192" t="str">
        <f>'[1]COMEDORES EMERGENTES'!$B$3</f>
        <v>UNA SONRISA AV. LOS COBACHO</v>
      </c>
      <c r="C433" s="193"/>
      <c r="D433" s="113">
        <v>48</v>
      </c>
      <c r="E433" s="114" t="str">
        <f>'[1]COMEDORES EMERGENTES'!$G$3</f>
        <v>Bº SAN CARLOS OESTE AV. Bonifacio cobacho 670</v>
      </c>
    </row>
    <row r="434" spans="2:5" x14ac:dyDescent="0.2">
      <c r="B434" s="183" t="str">
        <f>'[1]COMEDORES EMERGENTES'!$B$4</f>
        <v>C.I.F Nº1 - RIVERA DEL VALLE Y FLORIDA</v>
      </c>
      <c r="C434" s="184"/>
      <c r="D434" s="108">
        <v>69</v>
      </c>
      <c r="E434" s="109" t="str">
        <f>'[1]COMEDORES EMERGENTES'!$G$4</f>
        <v>AV. RIVIERA DEL VALLE ENTRE FLORIDA Y SANTA FE</v>
      </c>
    </row>
    <row r="435" spans="2:5" x14ac:dyDescent="0.2">
      <c r="B435" s="183" t="str">
        <f>'[1]COMEDORES EMERGENTES'!$B$5</f>
        <v>C.I.F - RIVERA DEL VALLE - DILORENZO</v>
      </c>
      <c r="C435" s="184"/>
      <c r="D435" s="108">
        <v>81</v>
      </c>
      <c r="E435" s="109" t="str">
        <f>'[1]COMEDORES EMERGENTES'!$G$5</f>
        <v>Bº RIVERA DEL VALLE ENTRE VILLA EUMELIA Y MONTE CRISTO</v>
      </c>
    </row>
    <row r="436" spans="2:5" x14ac:dyDescent="0.2">
      <c r="B436" s="183" t="str">
        <f>'[1]COMEDORES EMERGENTES'!$B$6</f>
        <v>ESFUERZO PROPIO- Bº ALTOS DE CHOYA</v>
      </c>
      <c r="C436" s="184"/>
      <c r="D436" s="108">
        <v>66</v>
      </c>
      <c r="E436" s="109" t="str">
        <f>'[1]COMEDORES EMERGENTES'!$G$6</f>
        <v>Bº MUNICIPAL 35VV. NORTE C/14</v>
      </c>
    </row>
    <row r="437" spans="2:5" x14ac:dyDescent="0.2">
      <c r="B437" s="183" t="str">
        <f>'[1]COMEDORES EMERGENTES'!$B$7</f>
        <v>ANGELITOS - LOTEO SUSSEX</v>
      </c>
      <c r="C437" s="184"/>
      <c r="D437" s="108">
        <v>30</v>
      </c>
      <c r="E437" s="109" t="str">
        <f>'[1]COMEDORES EMERGENTES'!$G$7</f>
        <v>Bº LOTEO SUSEX MZA.Nº 4 LOTE Nº3</v>
      </c>
    </row>
    <row r="438" spans="2:5" x14ac:dyDescent="0.2">
      <c r="B438" s="183" t="str">
        <f>'[1]COMEDORES EMERGENTES'!$B$8</f>
        <v>CLUB DEPORTIVO CHACARITA</v>
      </c>
      <c r="C438" s="184"/>
      <c r="D438" s="108">
        <v>39</v>
      </c>
      <c r="E438" s="109" t="str">
        <f>'[1]COMEDORES EMERGENTES'!$G$8</f>
        <v>CALLE DR.DERMIDIO GALINDEZ C/2660</v>
      </c>
    </row>
    <row r="439" spans="2:5" x14ac:dyDescent="0.2">
      <c r="B439" s="183" t="str">
        <f>'[1]COMEDORES EMERGENTES'!$B$9</f>
        <v>LA MORO</v>
      </c>
      <c r="C439" s="184"/>
      <c r="D439" s="108">
        <v>36</v>
      </c>
      <c r="E439" s="109" t="str">
        <f>'[1]COMEDORES EMERGENTES'!$G$9</f>
        <v>MAIPU NORTE 1º ETAPA MZA "H" Bº MI JARDIN</v>
      </c>
    </row>
    <row r="440" spans="2:5" x14ac:dyDescent="0.2">
      <c r="B440" s="183" t="str">
        <f>'[1]COMEDORES EMERGENTES'!$B$10</f>
        <v>PAPA FRANCISCO</v>
      </c>
      <c r="C440" s="184"/>
      <c r="D440" s="108">
        <v>60</v>
      </c>
      <c r="E440" s="109" t="str">
        <f>'[1]COMEDORES EMERGENTES'!$G$10</f>
        <v>ENTRE AV.TEREBINTO Y AV.SAN JUAN LOTE "2" MZA. "B"</v>
      </c>
    </row>
    <row r="441" spans="2:5" x14ac:dyDescent="0.2">
      <c r="B441" s="183" t="str">
        <f>'[1]COMEDORES EMERGENTES'!$B$11</f>
        <v>E.P.C - 100 V.V NORTE</v>
      </c>
      <c r="C441" s="184"/>
      <c r="D441" s="108">
        <v>90</v>
      </c>
      <c r="E441" s="109" t="str">
        <f>'[1]COMEDORES EMERGENTES'!$G$11</f>
        <v>Bº VV NORTE C/48 ENTRE ESPAÑA Y FRANCIA</v>
      </c>
    </row>
    <row r="442" spans="2:5" x14ac:dyDescent="0.2">
      <c r="B442" s="183" t="str">
        <f>'[1]COMEDORES EMERGENTES'!$B$12</f>
        <v>HOGAR DE CRISTO - PADRE RAUL CONTRERAS</v>
      </c>
      <c r="C442" s="184"/>
      <c r="D442" s="108">
        <v>90</v>
      </c>
      <c r="E442" s="109" t="str">
        <f>'[1]COMEDORES EMERGENTES'!$G$12</f>
        <v>Bº SANTA MARTA MZA. "S" LOTE "M" C/39</v>
      </c>
    </row>
    <row r="443" spans="2:5" x14ac:dyDescent="0.2">
      <c r="B443" s="183" t="str">
        <f>'[1]COMEDORES EMERGENTES'!$B$13</f>
        <v>LA LUCIERNAGA</v>
      </c>
      <c r="C443" s="184"/>
      <c r="D443" s="108">
        <v>60</v>
      </c>
      <c r="E443" s="109" t="str">
        <f>'[1]COMEDORES EMERGENTES'!$G$13</f>
        <v>Bº 20 V.V NORTE C/3</v>
      </c>
    </row>
    <row r="444" spans="2:5" x14ac:dyDescent="0.2">
      <c r="B444" s="183" t="str">
        <f>'[1]COMEDORES EMERGENTES'!$B$14</f>
        <v>VALLE VIEJO - SUMALAO</v>
      </c>
      <c r="C444" s="184"/>
      <c r="D444" s="108">
        <v>105</v>
      </c>
      <c r="E444" s="109" t="str">
        <f>'[1]COMEDORES EMERGENTES'!$G$14</f>
        <v>PADRE SEGURA S/N</v>
      </c>
    </row>
    <row r="445" spans="2:5" x14ac:dyDescent="0.2">
      <c r="B445" s="183" t="str">
        <f>'[1]COMEDORES EMERGENTES'!$B$15</f>
        <v>NUESTRO FUTURO - LAS VIAS</v>
      </c>
      <c r="C445" s="184"/>
      <c r="D445" s="108">
        <v>60</v>
      </c>
      <c r="E445" s="109" t="str">
        <f>'[1]COMEDORES EMERGENTES'!$G$15</f>
        <v>Bº LAS VIAS OESTE LOTE 42</v>
      </c>
    </row>
    <row r="446" spans="2:5" x14ac:dyDescent="0.2">
      <c r="B446" s="183" t="str">
        <f>'[1]COMEDORES EMERGENTES'!$B$16</f>
        <v>SAN JOSE OBRERO</v>
      </c>
      <c r="C446" s="184"/>
      <c r="D446" s="108">
        <v>39</v>
      </c>
      <c r="E446" s="109" t="str">
        <f>'[1]COMEDORES EMERGENTES'!$G$16</f>
        <v>Bº SAN JOSE OBRERO. PJE. SANDOVAL S/Nº</v>
      </c>
    </row>
    <row r="447" spans="2:5" x14ac:dyDescent="0.2">
      <c r="B447" s="183" t="str">
        <f>'[1]COMEDORES EMERGENTES'!$B$17</f>
        <v>VIRGEN DE LUJAN</v>
      </c>
      <c r="C447" s="184"/>
      <c r="D447" s="108">
        <v>60</v>
      </c>
      <c r="E447" s="109" t="str">
        <f>'[1]COMEDORES EMERGENTES'!$G$17</f>
        <v>Bº OJO DE AGUA C/DR.TEODULFO BARRIONUEVO S/Nº</v>
      </c>
    </row>
    <row r="448" spans="2:5" x14ac:dyDescent="0.2">
      <c r="B448" s="183" t="str">
        <f>'[1]COMEDORES EMERGENTES'!$B$18</f>
        <v>RENACER</v>
      </c>
      <c r="C448" s="184"/>
      <c r="D448" s="108">
        <v>75</v>
      </c>
      <c r="E448" s="109" t="str">
        <f>'[1]COMEDORES EMERGENTES'!$G$18</f>
        <v>Bº VIRGEN MORENITA</v>
      </c>
    </row>
    <row r="449" spans="2:5" x14ac:dyDescent="0.2">
      <c r="B449" s="183" t="str">
        <f>'[1]COMEDORES EMERGENTES'!$B$19</f>
        <v>CENTRO VECINAL MI JARDIN</v>
      </c>
      <c r="C449" s="184"/>
      <c r="D449" s="108">
        <v>54</v>
      </c>
      <c r="E449" s="109" t="str">
        <f>'[1]COMEDORES EMERGENTES'!$G$19</f>
        <v>C/ LOS TULIPANES ENTRE FLOR DE CEREZO Y HOLANDA MZA.27 Bº MI JARDIN</v>
      </c>
    </row>
    <row r="450" spans="2:5" x14ac:dyDescent="0.2">
      <c r="B450" s="183" t="str">
        <f>'[1]COMEDORES EMERGENTES'!$B$20</f>
        <v>LA VIEJA ESQUINA</v>
      </c>
      <c r="C450" s="184"/>
      <c r="D450" s="108">
        <v>52</v>
      </c>
      <c r="E450" s="109" t="str">
        <f>'[1]COMEDORES EMERGENTES'!$G$20</f>
        <v>B° CRISTO REY PJE CAPATAZ VILLAFAÑEZ Y ARMANDO CORREA</v>
      </c>
    </row>
    <row r="451" spans="2:5" x14ac:dyDescent="0.2">
      <c r="B451" s="183" t="str">
        <f>'[1]COMEDORES EMERGENTES'!$B$21</f>
        <v>GAUCHITO GIL</v>
      </c>
      <c r="C451" s="184"/>
      <c r="D451" s="108">
        <v>50</v>
      </c>
      <c r="E451" s="109" t="str">
        <f>'[1]COMEDORES EMERGENTES'!$G$21</f>
        <v>B° 26 VIVIENDAS CASA N° 3</v>
      </c>
    </row>
    <row r="452" spans="2:5" ht="13.5" thickBot="1" x14ac:dyDescent="0.25">
      <c r="B452" s="200" t="str">
        <f>'[1]COMEDORES EMERGENTES'!$B$22</f>
        <v>LOS TOLDOS</v>
      </c>
      <c r="C452" s="201"/>
      <c r="D452" s="115">
        <v>24</v>
      </c>
      <c r="E452" s="116" t="str">
        <f>'[1]COMEDORES EMERGENTES'!$G$22</f>
        <v>LOTEO PARQUE SUR CALLE S/NOMBRE S/N°</v>
      </c>
    </row>
    <row r="453" spans="2:5" x14ac:dyDescent="0.2">
      <c r="B453" s="33" t="s">
        <v>18</v>
      </c>
      <c r="C453" s="31"/>
      <c r="D453" s="72"/>
      <c r="E453" s="32"/>
    </row>
    <row r="454" spans="2:5" x14ac:dyDescent="0.2">
      <c r="B454" s="34"/>
      <c r="C454" s="199" t="s">
        <v>64</v>
      </c>
      <c r="D454" s="199"/>
      <c r="E454" s="199"/>
    </row>
    <row r="455" spans="2:5" x14ac:dyDescent="0.2">
      <c r="B455" s="33" t="s">
        <v>19</v>
      </c>
      <c r="C455" s="35"/>
      <c r="D455" s="35"/>
      <c r="E455" s="36"/>
    </row>
    <row r="456" spans="2:5" x14ac:dyDescent="0.2">
      <c r="B456" s="34"/>
      <c r="C456" s="199" t="s">
        <v>141</v>
      </c>
      <c r="D456" s="199"/>
      <c r="E456" s="199"/>
    </row>
    <row r="457" spans="2:5" x14ac:dyDescent="0.2">
      <c r="B457" s="33" t="s">
        <v>20</v>
      </c>
      <c r="C457" s="31"/>
      <c r="D457" s="72"/>
      <c r="E457" s="32"/>
    </row>
    <row r="458" spans="2:5" x14ac:dyDescent="0.2">
      <c r="B458" s="33"/>
      <c r="C458" s="198" t="s">
        <v>65</v>
      </c>
      <c r="D458" s="198"/>
      <c r="E458" s="198"/>
    </row>
    <row r="459" spans="2:5" ht="13.5" thickBot="1" x14ac:dyDescent="0.25">
      <c r="B459" s="37"/>
      <c r="C459" s="38"/>
      <c r="D459" s="73"/>
      <c r="E459" s="39"/>
    </row>
    <row r="460" spans="2:5" ht="13.5" thickBot="1" x14ac:dyDescent="0.25"/>
    <row r="461" spans="2:5" x14ac:dyDescent="0.2">
      <c r="B461" s="27" t="s">
        <v>151</v>
      </c>
      <c r="C461" s="28"/>
      <c r="D461" s="71"/>
      <c r="E461" s="29"/>
    </row>
    <row r="462" spans="2:5" x14ac:dyDescent="0.2">
      <c r="B462" s="30"/>
      <c r="C462" s="31"/>
      <c r="D462" s="72"/>
      <c r="E462" s="32"/>
    </row>
    <row r="463" spans="2:5" x14ac:dyDescent="0.2">
      <c r="B463" s="33" t="s">
        <v>16</v>
      </c>
      <c r="C463" s="31"/>
      <c r="D463" s="72"/>
      <c r="E463" s="32"/>
    </row>
    <row r="464" spans="2:5" ht="25.5" customHeight="1" x14ac:dyDescent="0.2">
      <c r="B464" s="33"/>
      <c r="C464" s="199"/>
      <c r="D464" s="199"/>
      <c r="E464" s="199"/>
    </row>
    <row r="465" spans="2:5" ht="13.5" thickBot="1" x14ac:dyDescent="0.25">
      <c r="B465" s="33" t="s">
        <v>17</v>
      </c>
      <c r="C465" s="31"/>
      <c r="D465" s="72"/>
      <c r="E465" s="32"/>
    </row>
    <row r="466" spans="2:5" ht="13.5" thickBot="1" x14ac:dyDescent="0.25">
      <c r="B466" s="185" t="s">
        <v>138</v>
      </c>
      <c r="C466" s="186"/>
      <c r="D466" s="186"/>
      <c r="E466" s="187"/>
    </row>
    <row r="467" spans="2:5" ht="13.5" thickBot="1" x14ac:dyDescent="0.25">
      <c r="B467" s="185" t="s">
        <v>139</v>
      </c>
      <c r="C467" s="187"/>
      <c r="D467" s="69" t="s">
        <v>11</v>
      </c>
      <c r="E467" s="69" t="s">
        <v>140</v>
      </c>
    </row>
    <row r="468" spans="2:5" x14ac:dyDescent="0.2">
      <c r="B468" s="192" t="str">
        <f>'[1]COMEDORES EMERGENTES'!$B$3</f>
        <v>UNA SONRISA AV. LOS COBACHO</v>
      </c>
      <c r="C468" s="193"/>
      <c r="D468" s="113">
        <v>5</v>
      </c>
      <c r="E468" s="114" t="str">
        <f>'[1]COMEDORES EMERGENTES'!$G$3</f>
        <v>Bº SAN CARLOS OESTE AV. Bonifacio cobacho 670</v>
      </c>
    </row>
    <row r="469" spans="2:5" x14ac:dyDescent="0.2">
      <c r="B469" s="183" t="str">
        <f>'[1]COMEDORES EMERGENTES'!$B$4</f>
        <v>C.I.F Nº1 - RIVERA DEL VALLE Y FLORIDA</v>
      </c>
      <c r="C469" s="184"/>
      <c r="D469" s="108">
        <v>7</v>
      </c>
      <c r="E469" s="109" t="str">
        <f>'[1]COMEDORES EMERGENTES'!$G$4</f>
        <v>AV. RIVIERA DEL VALLE ENTRE FLORIDA Y SANTA FE</v>
      </c>
    </row>
    <row r="470" spans="2:5" x14ac:dyDescent="0.2">
      <c r="B470" s="183" t="str">
        <f>'[1]COMEDORES EMERGENTES'!$B$5</f>
        <v>C.I.F - RIVERA DEL VALLE - DILORENZO</v>
      </c>
      <c r="C470" s="184"/>
      <c r="D470" s="108">
        <v>8</v>
      </c>
      <c r="E470" s="109" t="str">
        <f>'[1]COMEDORES EMERGENTES'!$G$5</f>
        <v>Bº RIVERA DEL VALLE ENTRE VILLA EUMELIA Y MONTE CRISTO</v>
      </c>
    </row>
    <row r="471" spans="2:5" x14ac:dyDescent="0.2">
      <c r="B471" s="183" t="str">
        <f>'[1]COMEDORES EMERGENTES'!$B$6</f>
        <v>ESFUERZO PROPIO- Bº ALTOS DE CHOYA</v>
      </c>
      <c r="C471" s="184"/>
      <c r="D471" s="108">
        <v>7</v>
      </c>
      <c r="E471" s="109" t="str">
        <f>'[1]COMEDORES EMERGENTES'!$G$6</f>
        <v>Bº MUNICIPAL 35VV. NORTE C/14</v>
      </c>
    </row>
    <row r="472" spans="2:5" x14ac:dyDescent="0.2">
      <c r="B472" s="183" t="str">
        <f>'[1]COMEDORES EMERGENTES'!$B$7</f>
        <v>ANGELITOS - LOTEO SUSSEX</v>
      </c>
      <c r="C472" s="184"/>
      <c r="D472" s="108">
        <v>3</v>
      </c>
      <c r="E472" s="109" t="str">
        <f>'[1]COMEDORES EMERGENTES'!$G$7</f>
        <v>Bº LOTEO SUSEX MZA.Nº 4 LOTE Nº3</v>
      </c>
    </row>
    <row r="473" spans="2:5" x14ac:dyDescent="0.2">
      <c r="B473" s="183" t="str">
        <f>'[1]COMEDORES EMERGENTES'!$B$8</f>
        <v>CLUB DEPORTIVO CHACARITA</v>
      </c>
      <c r="C473" s="184"/>
      <c r="D473" s="108">
        <v>4</v>
      </c>
      <c r="E473" s="109" t="str">
        <f>'[1]COMEDORES EMERGENTES'!$G$8</f>
        <v>CALLE DR.DERMIDIO GALINDEZ C/2660</v>
      </c>
    </row>
    <row r="474" spans="2:5" x14ac:dyDescent="0.2">
      <c r="B474" s="183" t="str">
        <f>'[1]COMEDORES EMERGENTES'!$B$9</f>
        <v>LA MORO</v>
      </c>
      <c r="C474" s="184"/>
      <c r="D474" s="108">
        <v>4</v>
      </c>
      <c r="E474" s="109" t="str">
        <f>'[1]COMEDORES EMERGENTES'!$G$9</f>
        <v>MAIPU NORTE 1º ETAPA MZA "H" Bº MI JARDIN</v>
      </c>
    </row>
    <row r="475" spans="2:5" x14ac:dyDescent="0.2">
      <c r="B475" s="183" t="str">
        <f>'[1]COMEDORES EMERGENTES'!$B$10</f>
        <v>PAPA FRANCISCO</v>
      </c>
      <c r="C475" s="184"/>
      <c r="D475" s="108">
        <v>6</v>
      </c>
      <c r="E475" s="109" t="str">
        <f>'[1]COMEDORES EMERGENTES'!$G$10</f>
        <v>ENTRE AV.TEREBINTO Y AV.SAN JUAN LOTE "2" MZA. "B"</v>
      </c>
    </row>
    <row r="476" spans="2:5" x14ac:dyDescent="0.2">
      <c r="B476" s="183" t="str">
        <f>'[1]COMEDORES EMERGENTES'!$B$11</f>
        <v>E.P.C - 100 V.V NORTE</v>
      </c>
      <c r="C476" s="184"/>
      <c r="D476" s="108">
        <v>9</v>
      </c>
      <c r="E476" s="109" t="str">
        <f>'[1]COMEDORES EMERGENTES'!$G$11</f>
        <v>Bº VV NORTE C/48 ENTRE ESPAÑA Y FRANCIA</v>
      </c>
    </row>
    <row r="477" spans="2:5" x14ac:dyDescent="0.2">
      <c r="B477" s="183" t="str">
        <f>'[1]COMEDORES EMERGENTES'!$B$12</f>
        <v>HOGAR DE CRISTO - PADRE RAUL CONTRERAS</v>
      </c>
      <c r="C477" s="184"/>
      <c r="D477" s="108">
        <v>9</v>
      </c>
      <c r="E477" s="109" t="str">
        <f>'[1]COMEDORES EMERGENTES'!$G$12</f>
        <v>Bº SANTA MARTA MZA. "S" LOTE "M" C/39</v>
      </c>
    </row>
    <row r="478" spans="2:5" x14ac:dyDescent="0.2">
      <c r="B478" s="183" t="str">
        <f>'[1]COMEDORES EMERGENTES'!$B$13</f>
        <v>LA LUCIERNAGA</v>
      </c>
      <c r="C478" s="184"/>
      <c r="D478" s="108">
        <v>6</v>
      </c>
      <c r="E478" s="109" t="str">
        <f>'[1]COMEDORES EMERGENTES'!$G$13</f>
        <v>Bº 20 V.V NORTE C/3</v>
      </c>
    </row>
    <row r="479" spans="2:5" x14ac:dyDescent="0.2">
      <c r="B479" s="183" t="str">
        <f>'[1]COMEDORES EMERGENTES'!$B$14</f>
        <v>VALLE VIEJO - SUMALAO</v>
      </c>
      <c r="C479" s="184"/>
      <c r="D479" s="108">
        <v>11</v>
      </c>
      <c r="E479" s="109" t="str">
        <f>'[1]COMEDORES EMERGENTES'!$G$14</f>
        <v>PADRE SEGURA S/N</v>
      </c>
    </row>
    <row r="480" spans="2:5" x14ac:dyDescent="0.2">
      <c r="B480" s="183" t="str">
        <f>'[1]COMEDORES EMERGENTES'!$B$15</f>
        <v>NUESTRO FUTURO - LAS VIAS</v>
      </c>
      <c r="C480" s="184"/>
      <c r="D480" s="108">
        <v>6</v>
      </c>
      <c r="E480" s="109" t="str">
        <f>'[1]COMEDORES EMERGENTES'!$G$15</f>
        <v>Bº LAS VIAS OESTE LOTE 42</v>
      </c>
    </row>
    <row r="481" spans="2:5" x14ac:dyDescent="0.2">
      <c r="B481" s="183" t="str">
        <f>'[1]COMEDORES EMERGENTES'!$B$16</f>
        <v>SAN JOSE OBRERO</v>
      </c>
      <c r="C481" s="184"/>
      <c r="D481" s="108">
        <v>4</v>
      </c>
      <c r="E481" s="109" t="str">
        <f>'[1]COMEDORES EMERGENTES'!$G$16</f>
        <v>Bº SAN JOSE OBRERO. PJE. SANDOVAL S/Nº</v>
      </c>
    </row>
    <row r="482" spans="2:5" x14ac:dyDescent="0.2">
      <c r="B482" s="183" t="str">
        <f>'[1]COMEDORES EMERGENTES'!$B$17</f>
        <v>VIRGEN DE LUJAN</v>
      </c>
      <c r="C482" s="184"/>
      <c r="D482" s="108">
        <v>6</v>
      </c>
      <c r="E482" s="109" t="str">
        <f>'[1]COMEDORES EMERGENTES'!$G$17</f>
        <v>Bº OJO DE AGUA C/DR.TEODULFO BARRIONUEVO S/Nº</v>
      </c>
    </row>
    <row r="483" spans="2:5" x14ac:dyDescent="0.2">
      <c r="B483" s="183" t="str">
        <f>'[1]COMEDORES EMERGENTES'!$B$18</f>
        <v>RENACER</v>
      </c>
      <c r="C483" s="184"/>
      <c r="D483" s="108">
        <v>8</v>
      </c>
      <c r="E483" s="109" t="str">
        <f>'[1]COMEDORES EMERGENTES'!$G$18</f>
        <v>Bº VIRGEN MORENITA</v>
      </c>
    </row>
    <row r="484" spans="2:5" x14ac:dyDescent="0.2">
      <c r="B484" s="183" t="str">
        <f>'[1]COMEDORES EMERGENTES'!$B$19</f>
        <v>CENTRO VECINAL MI JARDIN</v>
      </c>
      <c r="C484" s="184"/>
      <c r="D484" s="108">
        <v>5</v>
      </c>
      <c r="E484" s="109" t="str">
        <f>'[1]COMEDORES EMERGENTES'!$G$19</f>
        <v>C/ LOS TULIPANES ENTRE FLOR DE CEREZO Y HOLANDA MZA.27 Bº MI JARDIN</v>
      </c>
    </row>
    <row r="485" spans="2:5" x14ac:dyDescent="0.2">
      <c r="B485" s="183" t="str">
        <f>'[1]COMEDORES EMERGENTES'!$B$20</f>
        <v>LA VIEJA ESQUINA</v>
      </c>
      <c r="C485" s="184"/>
      <c r="D485" s="108">
        <v>5</v>
      </c>
      <c r="E485" s="109" t="str">
        <f>'[1]COMEDORES EMERGENTES'!$G$20</f>
        <v>B° CRISTO REY PJE CAPATAZ VILLAFAÑEZ Y ARMANDO CORREA</v>
      </c>
    </row>
    <row r="486" spans="2:5" x14ac:dyDescent="0.2">
      <c r="B486" s="183" t="str">
        <f>'[1]COMEDORES EMERGENTES'!$B$21</f>
        <v>GAUCHITO GIL</v>
      </c>
      <c r="C486" s="184"/>
      <c r="D486" s="108">
        <v>5</v>
      </c>
      <c r="E486" s="109" t="str">
        <f>'[1]COMEDORES EMERGENTES'!$G$21</f>
        <v>B° 26 VIVIENDAS CASA N° 3</v>
      </c>
    </row>
    <row r="487" spans="2:5" ht="13.5" thickBot="1" x14ac:dyDescent="0.25">
      <c r="B487" s="200" t="str">
        <f>'[1]COMEDORES EMERGENTES'!$B$22</f>
        <v>LOS TOLDOS</v>
      </c>
      <c r="C487" s="201"/>
      <c r="D487" s="115">
        <v>2</v>
      </c>
      <c r="E487" s="116" t="str">
        <f>'[1]COMEDORES EMERGENTES'!$G$22</f>
        <v>LOTEO PARQUE SUR CALLE S/NOMBRE S/N°</v>
      </c>
    </row>
    <row r="488" spans="2:5" x14ac:dyDescent="0.2">
      <c r="B488" s="33" t="s">
        <v>18</v>
      </c>
      <c r="C488" s="31"/>
      <c r="D488" s="72"/>
      <c r="E488" s="32"/>
    </row>
    <row r="489" spans="2:5" x14ac:dyDescent="0.2">
      <c r="B489" s="34"/>
      <c r="C489" s="199" t="s">
        <v>64</v>
      </c>
      <c r="D489" s="199"/>
      <c r="E489" s="199"/>
    </row>
    <row r="490" spans="2:5" x14ac:dyDescent="0.2">
      <c r="B490" s="33" t="s">
        <v>19</v>
      </c>
      <c r="C490" s="35"/>
      <c r="D490" s="35"/>
      <c r="E490" s="36"/>
    </row>
    <row r="491" spans="2:5" x14ac:dyDescent="0.2">
      <c r="B491" s="34"/>
      <c r="C491" s="199" t="s">
        <v>141</v>
      </c>
      <c r="D491" s="199"/>
      <c r="E491" s="199"/>
    </row>
    <row r="492" spans="2:5" x14ac:dyDescent="0.2">
      <c r="B492" s="33" t="s">
        <v>20</v>
      </c>
      <c r="C492" s="31"/>
      <c r="D492" s="72"/>
      <c r="E492" s="32"/>
    </row>
    <row r="493" spans="2:5" x14ac:dyDescent="0.2">
      <c r="B493" s="33"/>
      <c r="C493" s="198" t="s">
        <v>65</v>
      </c>
      <c r="D493" s="198"/>
      <c r="E493" s="198"/>
    </row>
    <row r="494" spans="2:5" ht="13.5" thickBot="1" x14ac:dyDescent="0.25">
      <c r="B494" s="37"/>
      <c r="C494" s="38"/>
      <c r="D494" s="73"/>
      <c r="E494" s="39"/>
    </row>
    <row r="495" spans="2:5" ht="13.5" thickBot="1" x14ac:dyDescent="0.25"/>
    <row r="496" spans="2:5" x14ac:dyDescent="0.2">
      <c r="B496" s="27" t="s">
        <v>152</v>
      </c>
      <c r="C496" s="28"/>
      <c r="D496" s="71"/>
      <c r="E496" s="29"/>
    </row>
    <row r="497" spans="2:5" x14ac:dyDescent="0.2">
      <c r="B497" s="30"/>
      <c r="C497" s="31"/>
      <c r="D497" s="72"/>
      <c r="E497" s="32"/>
    </row>
    <row r="498" spans="2:5" x14ac:dyDescent="0.2">
      <c r="B498" s="33" t="s">
        <v>16</v>
      </c>
      <c r="C498" s="31"/>
      <c r="D498" s="72"/>
      <c r="E498" s="32"/>
    </row>
    <row r="499" spans="2:5" ht="25.5" customHeight="1" x14ac:dyDescent="0.2">
      <c r="B499" s="33"/>
      <c r="C499" s="199"/>
      <c r="D499" s="199"/>
      <c r="E499" s="199"/>
    </row>
    <row r="500" spans="2:5" ht="13.5" thickBot="1" x14ac:dyDescent="0.25">
      <c r="B500" s="33" t="s">
        <v>17</v>
      </c>
      <c r="C500" s="31"/>
      <c r="D500" s="72"/>
      <c r="E500" s="32"/>
    </row>
    <row r="501" spans="2:5" ht="13.5" thickBot="1" x14ac:dyDescent="0.25">
      <c r="B501" s="185" t="s">
        <v>138</v>
      </c>
      <c r="C501" s="186"/>
      <c r="D501" s="186"/>
      <c r="E501" s="187"/>
    </row>
    <row r="502" spans="2:5" ht="13.5" thickBot="1" x14ac:dyDescent="0.25">
      <c r="B502" s="185" t="s">
        <v>139</v>
      </c>
      <c r="C502" s="187"/>
      <c r="D502" s="69" t="s">
        <v>11</v>
      </c>
      <c r="E502" s="69" t="s">
        <v>140</v>
      </c>
    </row>
    <row r="503" spans="2:5" x14ac:dyDescent="0.2">
      <c r="B503" s="192" t="str">
        <f>'[1]COMEDORES EMERGENTES'!$B$3</f>
        <v>UNA SONRISA AV. LOS COBACHO</v>
      </c>
      <c r="C503" s="193"/>
      <c r="D503" s="113" t="s">
        <v>204</v>
      </c>
      <c r="E503" s="114" t="str">
        <f>'[1]COMEDORES EMERGENTES'!$G$3</f>
        <v>Bº SAN CARLOS OESTE AV. Bonifacio cobacho 670</v>
      </c>
    </row>
    <row r="504" spans="2:5" x14ac:dyDescent="0.2">
      <c r="B504" s="183" t="str">
        <f>'[1]COMEDORES EMERGENTES'!$B$4</f>
        <v>C.I.F Nº1 - RIVERA DEL VALLE Y FLORIDA</v>
      </c>
      <c r="C504" s="184"/>
      <c r="D504" s="108" t="s">
        <v>203</v>
      </c>
      <c r="E504" s="109" t="str">
        <f>'[1]COMEDORES EMERGENTES'!$G$4</f>
        <v>AV. RIVIERA DEL VALLE ENTRE FLORIDA Y SANTA FE</v>
      </c>
    </row>
    <row r="505" spans="2:5" x14ac:dyDescent="0.2">
      <c r="B505" s="183" t="str">
        <f>'[1]COMEDORES EMERGENTES'!$B$5</f>
        <v>C.I.F - RIVERA DEL VALLE - DILORENZO</v>
      </c>
      <c r="C505" s="184"/>
      <c r="D505" s="108" t="s">
        <v>180</v>
      </c>
      <c r="E505" s="109" t="str">
        <f>'[1]COMEDORES EMERGENTES'!$G$5</f>
        <v>Bº RIVERA DEL VALLE ENTRE VILLA EUMELIA Y MONTE CRISTO</v>
      </c>
    </row>
    <row r="506" spans="2:5" x14ac:dyDescent="0.2">
      <c r="B506" s="183" t="str">
        <f>'[1]COMEDORES EMERGENTES'!$B$6</f>
        <v>ESFUERZO PROPIO- Bº ALTOS DE CHOYA</v>
      </c>
      <c r="C506" s="184"/>
      <c r="D506" s="108" t="s">
        <v>186</v>
      </c>
      <c r="E506" s="109" t="str">
        <f>'[1]COMEDORES EMERGENTES'!$G$6</f>
        <v>Bº MUNICIPAL 35VV. NORTE C/14</v>
      </c>
    </row>
    <row r="507" spans="2:5" x14ac:dyDescent="0.2">
      <c r="B507" s="183" t="str">
        <f>'[1]COMEDORES EMERGENTES'!$B$7</f>
        <v>ANGELITOS - LOTEO SUSSEX</v>
      </c>
      <c r="C507" s="184"/>
      <c r="D507" s="108" t="s">
        <v>227</v>
      </c>
      <c r="E507" s="109" t="str">
        <f>'[1]COMEDORES EMERGENTES'!$G$7</f>
        <v>Bº LOTEO SUSEX MZA.Nº 4 LOTE Nº3</v>
      </c>
    </row>
    <row r="508" spans="2:5" x14ac:dyDescent="0.2">
      <c r="B508" s="183" t="str">
        <f>'[1]COMEDORES EMERGENTES'!$B$8</f>
        <v>CLUB DEPORTIVO CHACARITA</v>
      </c>
      <c r="C508" s="184"/>
      <c r="D508" s="108" t="s">
        <v>185</v>
      </c>
      <c r="E508" s="109" t="str">
        <f>'[1]COMEDORES EMERGENTES'!$G$8</f>
        <v>CALLE DR.DERMIDIO GALINDEZ C/2660</v>
      </c>
    </row>
    <row r="509" spans="2:5" x14ac:dyDescent="0.2">
      <c r="B509" s="183" t="str">
        <f>'[1]COMEDORES EMERGENTES'!$B$9</f>
        <v>LA MORO</v>
      </c>
      <c r="C509" s="184"/>
      <c r="D509" s="108" t="s">
        <v>202</v>
      </c>
      <c r="E509" s="109" t="str">
        <f>'[1]COMEDORES EMERGENTES'!$G$9</f>
        <v>MAIPU NORTE 1º ETAPA MZA "H" Bº MI JARDIN</v>
      </c>
    </row>
    <row r="510" spans="2:5" x14ac:dyDescent="0.2">
      <c r="B510" s="183" t="str">
        <f>'[1]COMEDORES EMERGENTES'!$B$10</f>
        <v>PAPA FRANCISCO</v>
      </c>
      <c r="C510" s="184"/>
      <c r="D510" s="108" t="s">
        <v>175</v>
      </c>
      <c r="E510" s="109" t="str">
        <f>'[1]COMEDORES EMERGENTES'!$G$10</f>
        <v>ENTRE AV.TEREBINTO Y AV.SAN JUAN LOTE "2" MZA. "B"</v>
      </c>
    </row>
    <row r="511" spans="2:5" x14ac:dyDescent="0.2">
      <c r="B511" s="183" t="str">
        <f>'[1]COMEDORES EMERGENTES'!$B$11</f>
        <v>E.P.C - 100 V.V NORTE</v>
      </c>
      <c r="C511" s="184"/>
      <c r="D511" s="108" t="s">
        <v>176</v>
      </c>
      <c r="E511" s="109" t="str">
        <f>'[1]COMEDORES EMERGENTES'!$G$11</f>
        <v>Bº VV NORTE C/48 ENTRE ESPAÑA Y FRANCIA</v>
      </c>
    </row>
    <row r="512" spans="2:5" x14ac:dyDescent="0.2">
      <c r="B512" s="183" t="str">
        <f>'[1]COMEDORES EMERGENTES'!$B$12</f>
        <v>HOGAR DE CRISTO - PADRE RAUL CONTRERAS</v>
      </c>
      <c r="C512" s="184"/>
      <c r="D512" s="108" t="s">
        <v>176</v>
      </c>
      <c r="E512" s="109" t="str">
        <f>'[1]COMEDORES EMERGENTES'!$G$12</f>
        <v>Bº SANTA MARTA MZA. "S" LOTE "M" C/39</v>
      </c>
    </row>
    <row r="513" spans="2:5" x14ac:dyDescent="0.2">
      <c r="B513" s="183" t="str">
        <f>'[1]COMEDORES EMERGENTES'!$B$13</f>
        <v>LA LUCIERNAGA</v>
      </c>
      <c r="C513" s="184"/>
      <c r="D513" s="108" t="s">
        <v>175</v>
      </c>
      <c r="E513" s="109" t="str">
        <f>'[1]COMEDORES EMERGENTES'!$G$13</f>
        <v>Bº 20 V.V NORTE C/3</v>
      </c>
    </row>
    <row r="514" spans="2:5" x14ac:dyDescent="0.2">
      <c r="B514" s="183" t="str">
        <f>'[1]COMEDORES EMERGENTES'!$B$14</f>
        <v>VALLE VIEJO - SUMALAO</v>
      </c>
      <c r="C514" s="184"/>
      <c r="D514" s="108" t="s">
        <v>171</v>
      </c>
      <c r="E514" s="109" t="str">
        <f>'[1]COMEDORES EMERGENTES'!$G$14</f>
        <v>PADRE SEGURA S/N</v>
      </c>
    </row>
    <row r="515" spans="2:5" x14ac:dyDescent="0.2">
      <c r="B515" s="183" t="str">
        <f>'[1]COMEDORES EMERGENTES'!$B$15</f>
        <v>NUESTRO FUTURO - LAS VIAS</v>
      </c>
      <c r="C515" s="184"/>
      <c r="D515" s="108" t="s">
        <v>175</v>
      </c>
      <c r="E515" s="109" t="str">
        <f>'[1]COMEDORES EMERGENTES'!$G$15</f>
        <v>Bº LAS VIAS OESTE LOTE 42</v>
      </c>
    </row>
    <row r="516" spans="2:5" x14ac:dyDescent="0.2">
      <c r="B516" s="183" t="str">
        <f>'[1]COMEDORES EMERGENTES'!$B$16</f>
        <v>SAN JOSE OBRERO</v>
      </c>
      <c r="C516" s="184"/>
      <c r="D516" s="108" t="s">
        <v>185</v>
      </c>
      <c r="E516" s="109" t="str">
        <f>'[1]COMEDORES EMERGENTES'!$G$16</f>
        <v>Bº SAN JOSE OBRERO. PJE. SANDOVAL S/Nº</v>
      </c>
    </row>
    <row r="517" spans="2:5" x14ac:dyDescent="0.2">
      <c r="B517" s="183" t="str">
        <f>'[1]COMEDORES EMERGENTES'!$B$17</f>
        <v>VIRGEN DE LUJAN</v>
      </c>
      <c r="C517" s="184"/>
      <c r="D517" s="108" t="s">
        <v>175</v>
      </c>
      <c r="E517" s="109" t="str">
        <f>'[1]COMEDORES EMERGENTES'!$G$17</f>
        <v>Bº OJO DE AGUA C/DR.TEODULFO BARRIONUEVO S/Nº</v>
      </c>
    </row>
    <row r="518" spans="2:5" x14ac:dyDescent="0.2">
      <c r="B518" s="183" t="str">
        <f>'[1]COMEDORES EMERGENTES'!$B$18</f>
        <v>RENACER</v>
      </c>
      <c r="C518" s="184"/>
      <c r="D518" s="108" t="s">
        <v>182</v>
      </c>
      <c r="E518" s="109" t="str">
        <f>'[1]COMEDORES EMERGENTES'!$G$18</f>
        <v>Bº VIRGEN MORENITA</v>
      </c>
    </row>
    <row r="519" spans="2:5" x14ac:dyDescent="0.2">
      <c r="B519" s="183" t="str">
        <f>'[1]COMEDORES EMERGENTES'!$B$19</f>
        <v>CENTRO VECINAL MI JARDIN</v>
      </c>
      <c r="C519" s="184"/>
      <c r="D519" s="108" t="s">
        <v>170</v>
      </c>
      <c r="E519" s="109" t="str">
        <f>'[1]COMEDORES EMERGENTES'!$G$19</f>
        <v>C/ LOS TULIPANES ENTRE FLOR DE CEREZO Y HOLANDA MZA.27 Bº MI JARDIN</v>
      </c>
    </row>
    <row r="520" spans="2:5" x14ac:dyDescent="0.2">
      <c r="B520" s="183" t="str">
        <f>'[1]COMEDORES EMERGENTES'!$B$20</f>
        <v>LA VIEJA ESQUINA</v>
      </c>
      <c r="C520" s="184"/>
      <c r="D520" s="108" t="s">
        <v>228</v>
      </c>
      <c r="E520" s="109" t="str">
        <f>'[1]COMEDORES EMERGENTES'!$G$20</f>
        <v>B° CRISTO REY PJE CAPATAZ VILLAFAÑEZ Y ARMANDO CORREA</v>
      </c>
    </row>
    <row r="521" spans="2:5" x14ac:dyDescent="0.2">
      <c r="B521" s="183" t="str">
        <f>'[1]COMEDORES EMERGENTES'!$B$21</f>
        <v>GAUCHITO GIL</v>
      </c>
      <c r="C521" s="184"/>
      <c r="D521" s="108" t="s">
        <v>228</v>
      </c>
      <c r="E521" s="109" t="str">
        <f>'[1]COMEDORES EMERGENTES'!$G$21</f>
        <v>B° 26 VIVIENDAS CASA N° 3</v>
      </c>
    </row>
    <row r="522" spans="2:5" ht="13.5" thickBot="1" x14ac:dyDescent="0.25">
      <c r="B522" s="200" t="str">
        <f>'[1]COMEDORES EMERGENTES'!$B$22</f>
        <v>LOS TOLDOS</v>
      </c>
      <c r="C522" s="201"/>
      <c r="D522" s="115" t="s">
        <v>285</v>
      </c>
      <c r="E522" s="116" t="str">
        <f>'[1]COMEDORES EMERGENTES'!$G$22</f>
        <v>LOTEO PARQUE SUR CALLE S/NOMBRE S/N°</v>
      </c>
    </row>
    <row r="523" spans="2:5" x14ac:dyDescent="0.2">
      <c r="B523" s="33" t="s">
        <v>18</v>
      </c>
      <c r="C523" s="31"/>
      <c r="D523" s="72"/>
      <c r="E523" s="32"/>
    </row>
    <row r="524" spans="2:5" x14ac:dyDescent="0.2">
      <c r="B524" s="34"/>
      <c r="C524" s="199" t="s">
        <v>64</v>
      </c>
      <c r="D524" s="199"/>
      <c r="E524" s="199"/>
    </row>
    <row r="525" spans="2:5" x14ac:dyDescent="0.2">
      <c r="B525" s="33" t="s">
        <v>19</v>
      </c>
      <c r="C525" s="35"/>
      <c r="D525" s="35"/>
      <c r="E525" s="36"/>
    </row>
    <row r="526" spans="2:5" x14ac:dyDescent="0.2">
      <c r="B526" s="34"/>
      <c r="C526" s="199" t="s">
        <v>141</v>
      </c>
      <c r="D526" s="199"/>
      <c r="E526" s="199"/>
    </row>
    <row r="527" spans="2:5" x14ac:dyDescent="0.2">
      <c r="B527" s="33" t="s">
        <v>20</v>
      </c>
      <c r="C527" s="31"/>
      <c r="D527" s="72"/>
      <c r="E527" s="32"/>
    </row>
    <row r="528" spans="2:5" x14ac:dyDescent="0.2">
      <c r="B528" s="33"/>
      <c r="C528" s="198" t="s">
        <v>65</v>
      </c>
      <c r="D528" s="198"/>
      <c r="E528" s="198"/>
    </row>
    <row r="529" spans="2:5" ht="13.5" thickBot="1" x14ac:dyDescent="0.25">
      <c r="B529" s="37"/>
      <c r="C529" s="38"/>
      <c r="D529" s="73"/>
      <c r="E529" s="39"/>
    </row>
    <row r="530" spans="2:5" ht="13.5" thickBot="1" x14ac:dyDescent="0.25"/>
    <row r="531" spans="2:5" x14ac:dyDescent="0.2">
      <c r="B531" s="27" t="s">
        <v>153</v>
      </c>
      <c r="C531" s="28"/>
      <c r="D531" s="71"/>
      <c r="E531" s="29"/>
    </row>
    <row r="532" spans="2:5" x14ac:dyDescent="0.2">
      <c r="B532" s="30"/>
      <c r="C532" s="31"/>
      <c r="D532" s="72"/>
      <c r="E532" s="32"/>
    </row>
    <row r="533" spans="2:5" x14ac:dyDescent="0.2">
      <c r="B533" s="33" t="s">
        <v>16</v>
      </c>
      <c r="C533" s="31"/>
      <c r="D533" s="72"/>
      <c r="E533" s="32"/>
    </row>
    <row r="534" spans="2:5" ht="25.5" customHeight="1" x14ac:dyDescent="0.2">
      <c r="B534" s="33"/>
      <c r="C534" s="199"/>
      <c r="D534" s="199"/>
      <c r="E534" s="199"/>
    </row>
    <row r="535" spans="2:5" ht="13.5" thickBot="1" x14ac:dyDescent="0.25">
      <c r="B535" s="33" t="s">
        <v>17</v>
      </c>
      <c r="C535" s="31"/>
      <c r="D535" s="72"/>
      <c r="E535" s="32"/>
    </row>
    <row r="536" spans="2:5" ht="13.5" thickBot="1" x14ac:dyDescent="0.25">
      <c r="B536" s="185" t="s">
        <v>138</v>
      </c>
      <c r="C536" s="186"/>
      <c r="D536" s="186"/>
      <c r="E536" s="187"/>
    </row>
    <row r="537" spans="2:5" ht="13.5" thickBot="1" x14ac:dyDescent="0.25">
      <c r="B537" s="185" t="s">
        <v>139</v>
      </c>
      <c r="C537" s="187"/>
      <c r="D537" s="69" t="s">
        <v>11</v>
      </c>
      <c r="E537" s="69" t="s">
        <v>140</v>
      </c>
    </row>
    <row r="538" spans="2:5" x14ac:dyDescent="0.2">
      <c r="B538" s="192" t="str">
        <f>'[1]COMEDORES EMERGENTES'!$B$3</f>
        <v>UNA SONRISA AV. LOS COBACHO</v>
      </c>
      <c r="C538" s="193"/>
      <c r="D538" s="113">
        <v>10</v>
      </c>
      <c r="E538" s="114" t="str">
        <f>'[1]COMEDORES EMERGENTES'!$G$3</f>
        <v>Bº SAN CARLOS OESTE AV. Bonifacio cobacho 670</v>
      </c>
    </row>
    <row r="539" spans="2:5" x14ac:dyDescent="0.2">
      <c r="B539" s="183" t="str">
        <f>'[1]COMEDORES EMERGENTES'!$B$4</f>
        <v>C.I.F Nº1 - RIVERA DEL VALLE Y FLORIDA</v>
      </c>
      <c r="C539" s="184"/>
      <c r="D539" s="108">
        <v>14</v>
      </c>
      <c r="E539" s="109" t="str">
        <f>'[1]COMEDORES EMERGENTES'!$G$4</f>
        <v>AV. RIVIERA DEL VALLE ENTRE FLORIDA Y SANTA FE</v>
      </c>
    </row>
    <row r="540" spans="2:5" x14ac:dyDescent="0.2">
      <c r="B540" s="183" t="str">
        <f>'[1]COMEDORES EMERGENTES'!$B$5</f>
        <v>C.I.F - RIVERA DEL VALLE - DILORENZO</v>
      </c>
      <c r="C540" s="184"/>
      <c r="D540" s="108">
        <v>16</v>
      </c>
      <c r="E540" s="109" t="str">
        <f>'[1]COMEDORES EMERGENTES'!$G$5</f>
        <v>Bº RIVERA DEL VALLE ENTRE VILLA EUMELIA Y MONTE CRISTO</v>
      </c>
    </row>
    <row r="541" spans="2:5" x14ac:dyDescent="0.2">
      <c r="B541" s="183" t="str">
        <f>'[1]COMEDORES EMERGENTES'!$B$6</f>
        <v>ESFUERZO PROPIO- Bº ALTOS DE CHOYA</v>
      </c>
      <c r="C541" s="184"/>
      <c r="D541" s="108">
        <v>13</v>
      </c>
      <c r="E541" s="109" t="str">
        <f>'[1]COMEDORES EMERGENTES'!$G$6</f>
        <v>Bº MUNICIPAL 35VV. NORTE C/14</v>
      </c>
    </row>
    <row r="542" spans="2:5" x14ac:dyDescent="0.2">
      <c r="B542" s="183" t="str">
        <f>'[1]COMEDORES EMERGENTES'!$B$7</f>
        <v>ANGELITOS - LOTEO SUSSEX</v>
      </c>
      <c r="C542" s="184"/>
      <c r="D542" s="108">
        <v>6</v>
      </c>
      <c r="E542" s="109" t="str">
        <f>'[1]COMEDORES EMERGENTES'!$G$7</f>
        <v>Bº LOTEO SUSEX MZA.Nº 4 LOTE Nº3</v>
      </c>
    </row>
    <row r="543" spans="2:5" x14ac:dyDescent="0.2">
      <c r="B543" s="183" t="str">
        <f>'[1]COMEDORES EMERGENTES'!$B$8</f>
        <v>CLUB DEPORTIVO CHACARITA</v>
      </c>
      <c r="C543" s="184"/>
      <c r="D543" s="108">
        <v>8</v>
      </c>
      <c r="E543" s="109" t="str">
        <f>'[1]COMEDORES EMERGENTES'!$G$8</f>
        <v>CALLE DR.DERMIDIO GALINDEZ C/2660</v>
      </c>
    </row>
    <row r="544" spans="2:5" x14ac:dyDescent="0.2">
      <c r="B544" s="183" t="str">
        <f>'[1]COMEDORES EMERGENTES'!$B$9</f>
        <v>LA MORO</v>
      </c>
      <c r="C544" s="184"/>
      <c r="D544" s="108">
        <v>7</v>
      </c>
      <c r="E544" s="109" t="str">
        <f>'[1]COMEDORES EMERGENTES'!$G$9</f>
        <v>MAIPU NORTE 1º ETAPA MZA "H" Bº MI JARDIN</v>
      </c>
    </row>
    <row r="545" spans="2:5" x14ac:dyDescent="0.2">
      <c r="B545" s="183" t="str">
        <f>'[1]COMEDORES EMERGENTES'!$B$10</f>
        <v>PAPA FRANCISCO</v>
      </c>
      <c r="C545" s="184"/>
      <c r="D545" s="108">
        <v>12</v>
      </c>
      <c r="E545" s="109" t="str">
        <f>'[1]COMEDORES EMERGENTES'!$G$10</f>
        <v>ENTRE AV.TEREBINTO Y AV.SAN JUAN LOTE "2" MZA. "B"</v>
      </c>
    </row>
    <row r="546" spans="2:5" x14ac:dyDescent="0.2">
      <c r="B546" s="183" t="str">
        <f>'[1]COMEDORES EMERGENTES'!$B$11</f>
        <v>E.P.C - 100 V.V NORTE</v>
      </c>
      <c r="C546" s="184"/>
      <c r="D546" s="108">
        <v>18</v>
      </c>
      <c r="E546" s="109" t="str">
        <f>'[1]COMEDORES EMERGENTES'!$G$11</f>
        <v>Bº VV NORTE C/48 ENTRE ESPAÑA Y FRANCIA</v>
      </c>
    </row>
    <row r="547" spans="2:5" x14ac:dyDescent="0.2">
      <c r="B547" s="183" t="str">
        <f>'[1]COMEDORES EMERGENTES'!$B$12</f>
        <v>HOGAR DE CRISTO - PADRE RAUL CONTRERAS</v>
      </c>
      <c r="C547" s="184"/>
      <c r="D547" s="108">
        <v>18</v>
      </c>
      <c r="E547" s="109" t="str">
        <f>'[1]COMEDORES EMERGENTES'!$G$12</f>
        <v>Bº SANTA MARTA MZA. "S" LOTE "M" C/39</v>
      </c>
    </row>
    <row r="548" spans="2:5" x14ac:dyDescent="0.2">
      <c r="B548" s="183" t="str">
        <f>'[1]COMEDORES EMERGENTES'!$B$13</f>
        <v>LA LUCIERNAGA</v>
      </c>
      <c r="C548" s="184"/>
      <c r="D548" s="108">
        <v>12</v>
      </c>
      <c r="E548" s="109" t="str">
        <f>'[1]COMEDORES EMERGENTES'!$G$13</f>
        <v>Bº 20 V.V NORTE C/3</v>
      </c>
    </row>
    <row r="549" spans="2:5" x14ac:dyDescent="0.2">
      <c r="B549" s="183" t="str">
        <f>'[1]COMEDORES EMERGENTES'!$B$14</f>
        <v>VALLE VIEJO - SUMALAO</v>
      </c>
      <c r="C549" s="184"/>
      <c r="D549" s="108">
        <v>21</v>
      </c>
      <c r="E549" s="109" t="str">
        <f>'[1]COMEDORES EMERGENTES'!$G$14</f>
        <v>PADRE SEGURA S/N</v>
      </c>
    </row>
    <row r="550" spans="2:5" x14ac:dyDescent="0.2">
      <c r="B550" s="183" t="str">
        <f>'[1]COMEDORES EMERGENTES'!$B$15</f>
        <v>NUESTRO FUTURO - LAS VIAS</v>
      </c>
      <c r="C550" s="184"/>
      <c r="D550" s="108">
        <v>12</v>
      </c>
      <c r="E550" s="109" t="str">
        <f>'[1]COMEDORES EMERGENTES'!$G$15</f>
        <v>Bº LAS VIAS OESTE LOTE 42</v>
      </c>
    </row>
    <row r="551" spans="2:5" x14ac:dyDescent="0.2">
      <c r="B551" s="183" t="str">
        <f>'[1]COMEDORES EMERGENTES'!$B$16</f>
        <v>SAN JOSE OBRERO</v>
      </c>
      <c r="C551" s="184"/>
      <c r="D551" s="108">
        <v>8</v>
      </c>
      <c r="E551" s="109" t="str">
        <f>'[1]COMEDORES EMERGENTES'!$G$16</f>
        <v>Bº SAN JOSE OBRERO. PJE. SANDOVAL S/Nº</v>
      </c>
    </row>
    <row r="552" spans="2:5" x14ac:dyDescent="0.2">
      <c r="B552" s="183" t="str">
        <f>'[1]COMEDORES EMERGENTES'!$B$17</f>
        <v>VIRGEN DE LUJAN</v>
      </c>
      <c r="C552" s="184"/>
      <c r="D552" s="108">
        <v>12</v>
      </c>
      <c r="E552" s="109" t="str">
        <f>'[1]COMEDORES EMERGENTES'!$G$17</f>
        <v>Bº OJO DE AGUA C/DR.TEODULFO BARRIONUEVO S/Nº</v>
      </c>
    </row>
    <row r="553" spans="2:5" x14ac:dyDescent="0.2">
      <c r="B553" s="183" t="str">
        <f>'[1]COMEDORES EMERGENTES'!$B$18</f>
        <v>RENACER</v>
      </c>
      <c r="C553" s="184"/>
      <c r="D553" s="108">
        <v>15</v>
      </c>
      <c r="E553" s="109" t="str">
        <f>'[1]COMEDORES EMERGENTES'!$G$18</f>
        <v>Bº VIRGEN MORENITA</v>
      </c>
    </row>
    <row r="554" spans="2:5" x14ac:dyDescent="0.2">
      <c r="B554" s="183" t="str">
        <f>'[1]COMEDORES EMERGENTES'!$B$19</f>
        <v>CENTRO VECINAL MI JARDIN</v>
      </c>
      <c r="C554" s="184"/>
      <c r="D554" s="108">
        <v>11</v>
      </c>
      <c r="E554" s="109" t="str">
        <f>'[1]COMEDORES EMERGENTES'!$G$19</f>
        <v>C/ LOS TULIPANES ENTRE FLOR DE CEREZO Y HOLANDA MZA.27 Bº MI JARDIN</v>
      </c>
    </row>
    <row r="555" spans="2:5" x14ac:dyDescent="0.2">
      <c r="B555" s="183" t="str">
        <f>'[1]COMEDORES EMERGENTES'!$B$20</f>
        <v>LA VIEJA ESQUINA</v>
      </c>
      <c r="C555" s="184"/>
      <c r="D555" s="108">
        <v>10</v>
      </c>
      <c r="E555" s="109" t="str">
        <f>'[1]COMEDORES EMERGENTES'!$G$20</f>
        <v>B° CRISTO REY PJE CAPATAZ VILLAFAÑEZ Y ARMANDO CORREA</v>
      </c>
    </row>
    <row r="556" spans="2:5" x14ac:dyDescent="0.2">
      <c r="B556" s="183" t="str">
        <f>'[1]COMEDORES EMERGENTES'!$B$21</f>
        <v>GAUCHITO GIL</v>
      </c>
      <c r="C556" s="184"/>
      <c r="D556" s="108">
        <v>10</v>
      </c>
      <c r="E556" s="109" t="str">
        <f>'[1]COMEDORES EMERGENTES'!$G$21</f>
        <v>B° 26 VIVIENDAS CASA N° 3</v>
      </c>
    </row>
    <row r="557" spans="2:5" ht="13.5" thickBot="1" x14ac:dyDescent="0.25">
      <c r="B557" s="200" t="str">
        <f>'[1]COMEDORES EMERGENTES'!$B$22</f>
        <v>LOS TOLDOS</v>
      </c>
      <c r="C557" s="201"/>
      <c r="D557" s="115">
        <v>5</v>
      </c>
      <c r="E557" s="116" t="str">
        <f>'[1]COMEDORES EMERGENTES'!$G$22</f>
        <v>LOTEO PARQUE SUR CALLE S/NOMBRE S/N°</v>
      </c>
    </row>
    <row r="558" spans="2:5" x14ac:dyDescent="0.2">
      <c r="B558" s="33" t="s">
        <v>18</v>
      </c>
      <c r="C558" s="31"/>
      <c r="D558" s="72"/>
      <c r="E558" s="32"/>
    </row>
    <row r="559" spans="2:5" x14ac:dyDescent="0.2">
      <c r="B559" s="34"/>
      <c r="C559" s="199" t="s">
        <v>64</v>
      </c>
      <c r="D559" s="199"/>
      <c r="E559" s="199"/>
    </row>
    <row r="560" spans="2:5" x14ac:dyDescent="0.2">
      <c r="B560" s="33" t="s">
        <v>19</v>
      </c>
      <c r="C560" s="35"/>
      <c r="D560" s="35"/>
      <c r="E560" s="36"/>
    </row>
    <row r="561" spans="2:5" x14ac:dyDescent="0.2">
      <c r="B561" s="34"/>
      <c r="C561" s="199" t="s">
        <v>141</v>
      </c>
      <c r="D561" s="199"/>
      <c r="E561" s="199"/>
    </row>
    <row r="562" spans="2:5" x14ac:dyDescent="0.2">
      <c r="B562" s="33" t="s">
        <v>20</v>
      </c>
      <c r="C562" s="31"/>
      <c r="D562" s="72"/>
      <c r="E562" s="32"/>
    </row>
    <row r="563" spans="2:5" x14ac:dyDescent="0.2">
      <c r="B563" s="33"/>
      <c r="C563" s="198" t="s">
        <v>65</v>
      </c>
      <c r="D563" s="198"/>
      <c r="E563" s="198"/>
    </row>
    <row r="564" spans="2:5" ht="13.5" thickBot="1" x14ac:dyDescent="0.25">
      <c r="B564" s="37"/>
      <c r="C564" s="38"/>
      <c r="D564" s="73"/>
      <c r="E564" s="39"/>
    </row>
    <row r="565" spans="2:5" ht="13.5" thickBot="1" x14ac:dyDescent="0.25"/>
    <row r="566" spans="2:5" x14ac:dyDescent="0.2">
      <c r="B566" s="27" t="s">
        <v>154</v>
      </c>
      <c r="C566" s="28"/>
      <c r="D566" s="71"/>
      <c r="E566" s="29"/>
    </row>
    <row r="567" spans="2:5" x14ac:dyDescent="0.2">
      <c r="B567" s="30"/>
      <c r="C567" s="31"/>
      <c r="D567" s="72"/>
      <c r="E567" s="32"/>
    </row>
    <row r="568" spans="2:5" x14ac:dyDescent="0.2">
      <c r="B568" s="33" t="s">
        <v>16</v>
      </c>
      <c r="C568" s="31"/>
      <c r="D568" s="72"/>
      <c r="E568" s="32"/>
    </row>
    <row r="569" spans="2:5" ht="25.5" customHeight="1" x14ac:dyDescent="0.2">
      <c r="B569" s="33"/>
      <c r="C569" s="199"/>
      <c r="D569" s="199"/>
      <c r="E569" s="199"/>
    </row>
    <row r="570" spans="2:5" ht="13.5" thickBot="1" x14ac:dyDescent="0.25">
      <c r="B570" s="33" t="s">
        <v>17</v>
      </c>
      <c r="C570" s="31"/>
      <c r="D570" s="72"/>
      <c r="E570" s="32"/>
    </row>
    <row r="571" spans="2:5" ht="13.5" thickBot="1" x14ac:dyDescent="0.25">
      <c r="B571" s="185" t="s">
        <v>138</v>
      </c>
      <c r="C571" s="186"/>
      <c r="D571" s="186"/>
      <c r="E571" s="187"/>
    </row>
    <row r="572" spans="2:5" ht="13.5" thickBot="1" x14ac:dyDescent="0.25">
      <c r="B572" s="185" t="s">
        <v>139</v>
      </c>
      <c r="C572" s="187"/>
      <c r="D572" s="69" t="s">
        <v>11</v>
      </c>
      <c r="E572" s="69" t="s">
        <v>140</v>
      </c>
    </row>
    <row r="573" spans="2:5" x14ac:dyDescent="0.2">
      <c r="B573" s="192" t="str">
        <f>'[1]COMEDORES EMERGENTES'!$B$3</f>
        <v>UNA SONRISA AV. LOS COBACHO</v>
      </c>
      <c r="C573" s="193"/>
      <c r="D573" s="113" t="s">
        <v>190</v>
      </c>
      <c r="E573" s="114" t="str">
        <f>'[1]COMEDORES EMERGENTES'!$G$3</f>
        <v>Bº SAN CARLOS OESTE AV. Bonifacio cobacho 670</v>
      </c>
    </row>
    <row r="574" spans="2:5" x14ac:dyDescent="0.2">
      <c r="B574" s="183" t="str">
        <f>'[1]COMEDORES EMERGENTES'!$B$4</f>
        <v>C.I.F Nº1 - RIVERA DEL VALLE Y FLORIDA</v>
      </c>
      <c r="C574" s="184"/>
      <c r="D574" s="108" t="s">
        <v>191</v>
      </c>
      <c r="E574" s="109" t="str">
        <f>'[1]COMEDORES EMERGENTES'!$G$4</f>
        <v>AV. RIVIERA DEL VALLE ENTRE FLORIDA Y SANTA FE</v>
      </c>
    </row>
    <row r="575" spans="2:5" x14ac:dyDescent="0.2">
      <c r="B575" s="183" t="str">
        <f>'[1]COMEDORES EMERGENTES'!$B$5</f>
        <v>C.I.F - RIVERA DEL VALLE - DILORENZO</v>
      </c>
      <c r="C575" s="184"/>
      <c r="D575" s="108" t="s">
        <v>192</v>
      </c>
      <c r="E575" s="109" t="str">
        <f>'[1]COMEDORES EMERGENTES'!$G$5</f>
        <v>Bº RIVERA DEL VALLE ENTRE VILLA EUMELIA Y MONTE CRISTO</v>
      </c>
    </row>
    <row r="576" spans="2:5" x14ac:dyDescent="0.2">
      <c r="B576" s="183" t="str">
        <f>'[1]COMEDORES EMERGENTES'!$B$6</f>
        <v>ESFUERZO PROPIO- Bº ALTOS DE CHOYA</v>
      </c>
      <c r="C576" s="184"/>
      <c r="D576" s="108" t="s">
        <v>193</v>
      </c>
      <c r="E576" s="109" t="str">
        <f>'[1]COMEDORES EMERGENTES'!$G$6</f>
        <v>Bº MUNICIPAL 35VV. NORTE C/14</v>
      </c>
    </row>
    <row r="577" spans="2:5" x14ac:dyDescent="0.2">
      <c r="B577" s="183" t="str">
        <f>'[1]COMEDORES EMERGENTES'!$B$7</f>
        <v>ANGELITOS - LOTEO SUSSEX</v>
      </c>
      <c r="C577" s="184"/>
      <c r="D577" s="108" t="s">
        <v>175</v>
      </c>
      <c r="E577" s="109" t="str">
        <f>'[1]COMEDORES EMERGENTES'!$G$7</f>
        <v>Bº LOTEO SUSEX MZA.Nº 4 LOTE Nº3</v>
      </c>
    </row>
    <row r="578" spans="2:5" x14ac:dyDescent="0.2">
      <c r="B578" s="183" t="str">
        <f>'[1]COMEDORES EMERGENTES'!$B$8</f>
        <v>CLUB DEPORTIVO CHACARITA</v>
      </c>
      <c r="C578" s="184"/>
      <c r="D578" s="108" t="s">
        <v>181</v>
      </c>
      <c r="E578" s="109" t="str">
        <f>'[1]COMEDORES EMERGENTES'!$G$8</f>
        <v>CALLE DR.DERMIDIO GALINDEZ C/2660</v>
      </c>
    </row>
    <row r="579" spans="2:5" x14ac:dyDescent="0.2">
      <c r="B579" s="183" t="str">
        <f>'[1]COMEDORES EMERGENTES'!$B$9</f>
        <v>LA MORO</v>
      </c>
      <c r="C579" s="184"/>
      <c r="D579" s="108" t="s">
        <v>169</v>
      </c>
      <c r="E579" s="109" t="str">
        <f>'[1]COMEDORES EMERGENTES'!$G$9</f>
        <v>MAIPU NORTE 1º ETAPA MZA "H" Bº MI JARDIN</v>
      </c>
    </row>
    <row r="580" spans="2:5" x14ac:dyDescent="0.2">
      <c r="B580" s="183" t="str">
        <f>'[1]COMEDORES EMERGENTES'!$B$10</f>
        <v>PAPA FRANCISCO</v>
      </c>
      <c r="C580" s="184"/>
      <c r="D580" s="108" t="s">
        <v>194</v>
      </c>
      <c r="E580" s="109" t="str">
        <f>'[1]COMEDORES EMERGENTES'!$G$10</f>
        <v>ENTRE AV.TEREBINTO Y AV.SAN JUAN LOTE "2" MZA. "B"</v>
      </c>
    </row>
    <row r="581" spans="2:5" x14ac:dyDescent="0.2">
      <c r="B581" s="183" t="str">
        <f>'[1]COMEDORES EMERGENTES'!$B$11</f>
        <v>E.P.C - 100 V.V NORTE</v>
      </c>
      <c r="C581" s="184"/>
      <c r="D581" s="108" t="s">
        <v>195</v>
      </c>
      <c r="E581" s="109" t="str">
        <f>'[1]COMEDORES EMERGENTES'!$G$11</f>
        <v>Bº VV NORTE C/48 ENTRE ESPAÑA Y FRANCIA</v>
      </c>
    </row>
    <row r="582" spans="2:5" x14ac:dyDescent="0.2">
      <c r="B582" s="183" t="str">
        <f>'[1]COMEDORES EMERGENTES'!$B$12</f>
        <v>HOGAR DE CRISTO - PADRE RAUL CONTRERAS</v>
      </c>
      <c r="C582" s="184"/>
      <c r="D582" s="108" t="s">
        <v>195</v>
      </c>
      <c r="E582" s="109" t="str">
        <f>'[1]COMEDORES EMERGENTES'!$G$12</f>
        <v>Bº SANTA MARTA MZA. "S" LOTE "M" C/39</v>
      </c>
    </row>
    <row r="583" spans="2:5" x14ac:dyDescent="0.2">
      <c r="B583" s="183" t="str">
        <f>'[1]COMEDORES EMERGENTES'!$B$13</f>
        <v>LA LUCIERNAGA</v>
      </c>
      <c r="C583" s="184"/>
      <c r="D583" s="108" t="s">
        <v>194</v>
      </c>
      <c r="E583" s="109" t="str">
        <f>'[1]COMEDORES EMERGENTES'!$G$13</f>
        <v>Bº 20 V.V NORTE C/3</v>
      </c>
    </row>
    <row r="584" spans="2:5" x14ac:dyDescent="0.2">
      <c r="B584" s="183" t="str">
        <f>'[1]COMEDORES EMERGENTES'!$B$14</f>
        <v>VALLE VIEJO - SUMALAO</v>
      </c>
      <c r="C584" s="184"/>
      <c r="D584" s="108" t="s">
        <v>196</v>
      </c>
      <c r="E584" s="109" t="str">
        <f>'[1]COMEDORES EMERGENTES'!$G$14</f>
        <v>PADRE SEGURA S/N</v>
      </c>
    </row>
    <row r="585" spans="2:5" x14ac:dyDescent="0.2">
      <c r="B585" s="183" t="str">
        <f>'[1]COMEDORES EMERGENTES'!$B$15</f>
        <v>NUESTRO FUTURO - LAS VIAS</v>
      </c>
      <c r="C585" s="184"/>
      <c r="D585" s="108" t="s">
        <v>194</v>
      </c>
      <c r="E585" s="109" t="str">
        <f>'[1]COMEDORES EMERGENTES'!$G$15</f>
        <v>Bº LAS VIAS OESTE LOTE 42</v>
      </c>
    </row>
    <row r="586" spans="2:5" x14ac:dyDescent="0.2">
      <c r="B586" s="183" t="str">
        <f>'[1]COMEDORES EMERGENTES'!$B$16</f>
        <v>SAN JOSE OBRERO</v>
      </c>
      <c r="C586" s="184"/>
      <c r="D586" s="108" t="s">
        <v>181</v>
      </c>
      <c r="E586" s="109" t="str">
        <f>'[1]COMEDORES EMERGENTES'!$G$16</f>
        <v>Bº SAN JOSE OBRERO. PJE. SANDOVAL S/Nº</v>
      </c>
    </row>
    <row r="587" spans="2:5" x14ac:dyDescent="0.2">
      <c r="B587" s="183" t="str">
        <f>'[1]COMEDORES EMERGENTES'!$B$17</f>
        <v>VIRGEN DE LUJAN</v>
      </c>
      <c r="C587" s="184"/>
      <c r="D587" s="108" t="s">
        <v>194</v>
      </c>
      <c r="E587" s="109" t="str">
        <f>'[1]COMEDORES EMERGENTES'!$G$17</f>
        <v>Bº OJO DE AGUA C/DR.TEODULFO BARRIONUEVO S/Nº</v>
      </c>
    </row>
    <row r="588" spans="2:5" x14ac:dyDescent="0.2">
      <c r="B588" s="183" t="str">
        <f>'[1]COMEDORES EMERGENTES'!$B$18</f>
        <v>RENACER</v>
      </c>
      <c r="C588" s="184"/>
      <c r="D588" s="108" t="s">
        <v>197</v>
      </c>
      <c r="E588" s="109" t="str">
        <f>'[1]COMEDORES EMERGENTES'!$G$18</f>
        <v>Bº VIRGEN MORENITA</v>
      </c>
    </row>
    <row r="589" spans="2:5" x14ac:dyDescent="0.2">
      <c r="B589" s="183" t="str">
        <f>'[1]COMEDORES EMERGENTES'!$B$19</f>
        <v>CENTRO VECINAL MI JARDIN</v>
      </c>
      <c r="C589" s="184"/>
      <c r="D589" s="108" t="s">
        <v>198</v>
      </c>
      <c r="E589" s="109" t="str">
        <f>'[1]COMEDORES EMERGENTES'!$G$19</f>
        <v>C/ LOS TULIPANES ENTRE FLOR DE CEREZO Y HOLANDA MZA.27 Bº MI JARDIN</v>
      </c>
    </row>
    <row r="590" spans="2:5" x14ac:dyDescent="0.2">
      <c r="B590" s="183" t="str">
        <f>'[1]COMEDORES EMERGENTES'!$B$20</f>
        <v>LA VIEJA ESQUINA</v>
      </c>
      <c r="C590" s="184"/>
      <c r="D590" s="108" t="s">
        <v>199</v>
      </c>
      <c r="E590" s="109" t="str">
        <f>'[1]COMEDORES EMERGENTES'!$G$20</f>
        <v>B° CRISTO REY PJE CAPATAZ VILLAFAÑEZ Y ARMANDO CORREA</v>
      </c>
    </row>
    <row r="591" spans="2:5" x14ac:dyDescent="0.2">
      <c r="B591" s="183" t="str">
        <f>'[1]COMEDORES EMERGENTES'!$B$21</f>
        <v>GAUCHITO GIL</v>
      </c>
      <c r="C591" s="184"/>
      <c r="D591" s="108" t="s">
        <v>199</v>
      </c>
      <c r="E591" s="109" t="str">
        <f>'[1]COMEDORES EMERGENTES'!$G$21</f>
        <v>B° 26 VIVIENDAS CASA N° 3</v>
      </c>
    </row>
    <row r="592" spans="2:5" ht="13.5" thickBot="1" x14ac:dyDescent="0.25">
      <c r="B592" s="200" t="str">
        <f>'[1]COMEDORES EMERGENTES'!$B$22</f>
        <v>LOS TOLDOS</v>
      </c>
      <c r="C592" s="201"/>
      <c r="D592" s="115" t="s">
        <v>204</v>
      </c>
      <c r="E592" s="116" t="str">
        <f>'[1]COMEDORES EMERGENTES'!$G$22</f>
        <v>LOTEO PARQUE SUR CALLE S/NOMBRE S/N°</v>
      </c>
    </row>
    <row r="593" spans="2:5" x14ac:dyDescent="0.2">
      <c r="B593" s="33" t="s">
        <v>18</v>
      </c>
      <c r="C593" s="31"/>
      <c r="D593" s="72"/>
      <c r="E593" s="32"/>
    </row>
    <row r="594" spans="2:5" x14ac:dyDescent="0.2">
      <c r="B594" s="34"/>
      <c r="C594" s="199" t="s">
        <v>64</v>
      </c>
      <c r="D594" s="199"/>
      <c r="E594" s="199"/>
    </row>
    <row r="595" spans="2:5" x14ac:dyDescent="0.2">
      <c r="B595" s="33" t="s">
        <v>19</v>
      </c>
      <c r="C595" s="35"/>
      <c r="D595" s="35"/>
      <c r="E595" s="36"/>
    </row>
    <row r="596" spans="2:5" x14ac:dyDescent="0.2">
      <c r="B596" s="34"/>
      <c r="C596" s="199" t="s">
        <v>141</v>
      </c>
      <c r="D596" s="199"/>
      <c r="E596" s="199"/>
    </row>
    <row r="597" spans="2:5" x14ac:dyDescent="0.2">
      <c r="B597" s="33" t="s">
        <v>20</v>
      </c>
      <c r="C597" s="31"/>
      <c r="D597" s="72"/>
      <c r="E597" s="32"/>
    </row>
    <row r="598" spans="2:5" x14ac:dyDescent="0.2">
      <c r="B598" s="33"/>
      <c r="C598" s="198" t="s">
        <v>65</v>
      </c>
      <c r="D598" s="198"/>
      <c r="E598" s="198"/>
    </row>
    <row r="599" spans="2:5" ht="13.5" thickBot="1" x14ac:dyDescent="0.25">
      <c r="B599" s="37"/>
      <c r="C599" s="38"/>
      <c r="D599" s="73"/>
      <c r="E599" s="39"/>
    </row>
    <row r="600" spans="2:5" ht="13.5" thickBot="1" x14ac:dyDescent="0.25"/>
    <row r="601" spans="2:5" x14ac:dyDescent="0.2">
      <c r="B601" s="27" t="s">
        <v>155</v>
      </c>
      <c r="C601" s="28"/>
      <c r="D601" s="71"/>
      <c r="E601" s="29"/>
    </row>
    <row r="602" spans="2:5" x14ac:dyDescent="0.2">
      <c r="B602" s="30"/>
      <c r="C602" s="31"/>
      <c r="D602" s="72"/>
      <c r="E602" s="32"/>
    </row>
    <row r="603" spans="2:5" x14ac:dyDescent="0.2">
      <c r="B603" s="33" t="s">
        <v>16</v>
      </c>
      <c r="C603" s="31"/>
      <c r="D603" s="72"/>
      <c r="E603" s="32"/>
    </row>
    <row r="604" spans="2:5" ht="25.5" customHeight="1" x14ac:dyDescent="0.2">
      <c r="B604" s="33"/>
      <c r="C604" s="199"/>
      <c r="D604" s="199"/>
      <c r="E604" s="199"/>
    </row>
    <row r="605" spans="2:5" ht="13.5" thickBot="1" x14ac:dyDescent="0.25">
      <c r="B605" s="33" t="s">
        <v>17</v>
      </c>
      <c r="C605" s="31"/>
      <c r="D605" s="72"/>
      <c r="E605" s="32"/>
    </row>
    <row r="606" spans="2:5" ht="13.5" thickBot="1" x14ac:dyDescent="0.25">
      <c r="B606" s="185" t="s">
        <v>138</v>
      </c>
      <c r="C606" s="186"/>
      <c r="D606" s="186"/>
      <c r="E606" s="187"/>
    </row>
    <row r="607" spans="2:5" ht="13.5" thickBot="1" x14ac:dyDescent="0.25">
      <c r="B607" s="185" t="s">
        <v>139</v>
      </c>
      <c r="C607" s="187"/>
      <c r="D607" s="69" t="s">
        <v>11</v>
      </c>
      <c r="E607" s="69" t="s">
        <v>140</v>
      </c>
    </row>
    <row r="608" spans="2:5" x14ac:dyDescent="0.2">
      <c r="B608" s="192" t="str">
        <f>'[1]COMEDORES EMERGENTES'!$B$3</f>
        <v>UNA SONRISA AV. LOS COBACHO</v>
      </c>
      <c r="C608" s="193"/>
      <c r="D608" s="113" t="s">
        <v>204</v>
      </c>
      <c r="E608" s="114" t="str">
        <f>'[1]COMEDORES EMERGENTES'!$G$3</f>
        <v>Bº SAN CARLOS OESTE AV. Bonifacio cobacho 670</v>
      </c>
    </row>
    <row r="609" spans="2:5" x14ac:dyDescent="0.2">
      <c r="B609" s="183" t="str">
        <f>'[1]COMEDORES EMERGENTES'!$B$4</f>
        <v>C.I.F Nº1 - RIVERA DEL VALLE Y FLORIDA</v>
      </c>
      <c r="C609" s="184"/>
      <c r="D609" s="108" t="s">
        <v>203</v>
      </c>
      <c r="E609" s="109" t="str">
        <f>'[1]COMEDORES EMERGENTES'!$G$4</f>
        <v>AV. RIVIERA DEL VALLE ENTRE FLORIDA Y SANTA FE</v>
      </c>
    </row>
    <row r="610" spans="2:5" x14ac:dyDescent="0.2">
      <c r="B610" s="183" t="str">
        <f>'[1]COMEDORES EMERGENTES'!$B$5</f>
        <v>C.I.F - RIVERA DEL VALLE - DILORENZO</v>
      </c>
      <c r="C610" s="184"/>
      <c r="D610" s="108" t="s">
        <v>180</v>
      </c>
      <c r="E610" s="109" t="str">
        <f>'[1]COMEDORES EMERGENTES'!$G$5</f>
        <v>Bº RIVERA DEL VALLE ENTRE VILLA EUMELIA Y MONTE CRISTO</v>
      </c>
    </row>
    <row r="611" spans="2:5" x14ac:dyDescent="0.2">
      <c r="B611" s="183" t="str">
        <f>'[1]COMEDORES EMERGENTES'!$B$6</f>
        <v>ESFUERZO PROPIO- Bº ALTOS DE CHOYA</v>
      </c>
      <c r="C611" s="184"/>
      <c r="D611" s="108" t="s">
        <v>186</v>
      </c>
      <c r="E611" s="109" t="str">
        <f>'[1]COMEDORES EMERGENTES'!$G$6</f>
        <v>Bº MUNICIPAL 35VV. NORTE C/14</v>
      </c>
    </row>
    <row r="612" spans="2:5" x14ac:dyDescent="0.2">
      <c r="B612" s="183" t="str">
        <f>'[1]COMEDORES EMERGENTES'!$B$7</f>
        <v>ANGELITOS - LOTEO SUSSEX</v>
      </c>
      <c r="C612" s="184"/>
      <c r="D612" s="108" t="s">
        <v>227</v>
      </c>
      <c r="E612" s="109" t="str">
        <f>'[1]COMEDORES EMERGENTES'!$G$7</f>
        <v>Bº LOTEO SUSEX MZA.Nº 4 LOTE Nº3</v>
      </c>
    </row>
    <row r="613" spans="2:5" x14ac:dyDescent="0.2">
      <c r="B613" s="183" t="str">
        <f>'[1]COMEDORES EMERGENTES'!$B$8</f>
        <v>CLUB DEPORTIVO CHACARITA</v>
      </c>
      <c r="C613" s="184"/>
      <c r="D613" s="108" t="s">
        <v>185</v>
      </c>
      <c r="E613" s="109" t="str">
        <f>'[1]COMEDORES EMERGENTES'!$G$8</f>
        <v>CALLE DR.DERMIDIO GALINDEZ C/2660</v>
      </c>
    </row>
    <row r="614" spans="2:5" x14ac:dyDescent="0.2">
      <c r="B614" s="183" t="str">
        <f>'[1]COMEDORES EMERGENTES'!$B$9</f>
        <v>LA MORO</v>
      </c>
      <c r="C614" s="184"/>
      <c r="D614" s="108" t="s">
        <v>202</v>
      </c>
      <c r="E614" s="109" t="str">
        <f>'[1]COMEDORES EMERGENTES'!$G$9</f>
        <v>MAIPU NORTE 1º ETAPA MZA "H" Bº MI JARDIN</v>
      </c>
    </row>
    <row r="615" spans="2:5" x14ac:dyDescent="0.2">
      <c r="B615" s="183" t="str">
        <f>'[1]COMEDORES EMERGENTES'!$B$10</f>
        <v>PAPA FRANCISCO</v>
      </c>
      <c r="C615" s="184"/>
      <c r="D615" s="108" t="s">
        <v>175</v>
      </c>
      <c r="E615" s="109" t="str">
        <f>'[1]COMEDORES EMERGENTES'!$G$10</f>
        <v>ENTRE AV.TEREBINTO Y AV.SAN JUAN LOTE "2" MZA. "B"</v>
      </c>
    </row>
    <row r="616" spans="2:5" x14ac:dyDescent="0.2">
      <c r="B616" s="183" t="str">
        <f>'[1]COMEDORES EMERGENTES'!$B$11</f>
        <v>E.P.C - 100 V.V NORTE</v>
      </c>
      <c r="C616" s="184"/>
      <c r="D616" s="108" t="s">
        <v>176</v>
      </c>
      <c r="E616" s="109" t="str">
        <f>'[1]COMEDORES EMERGENTES'!$G$11</f>
        <v>Bº VV NORTE C/48 ENTRE ESPAÑA Y FRANCIA</v>
      </c>
    </row>
    <row r="617" spans="2:5" x14ac:dyDescent="0.2">
      <c r="B617" s="183" t="str">
        <f>'[1]COMEDORES EMERGENTES'!$B$12</f>
        <v>HOGAR DE CRISTO - PADRE RAUL CONTRERAS</v>
      </c>
      <c r="C617" s="184"/>
      <c r="D617" s="108" t="s">
        <v>176</v>
      </c>
      <c r="E617" s="109" t="str">
        <f>'[1]COMEDORES EMERGENTES'!$G$12</f>
        <v>Bº SANTA MARTA MZA. "S" LOTE "M" C/39</v>
      </c>
    </row>
    <row r="618" spans="2:5" x14ac:dyDescent="0.2">
      <c r="B618" s="183" t="str">
        <f>'[1]COMEDORES EMERGENTES'!$B$13</f>
        <v>LA LUCIERNAGA</v>
      </c>
      <c r="C618" s="184"/>
      <c r="D618" s="108" t="s">
        <v>175</v>
      </c>
      <c r="E618" s="109" t="str">
        <f>'[1]COMEDORES EMERGENTES'!$G$13</f>
        <v>Bº 20 V.V NORTE C/3</v>
      </c>
    </row>
    <row r="619" spans="2:5" x14ac:dyDescent="0.2">
      <c r="B619" s="183" t="str">
        <f>'[1]COMEDORES EMERGENTES'!$B$14</f>
        <v>VALLE VIEJO - SUMALAO</v>
      </c>
      <c r="C619" s="184"/>
      <c r="D619" s="108" t="s">
        <v>171</v>
      </c>
      <c r="E619" s="109" t="str">
        <f>'[1]COMEDORES EMERGENTES'!$G$14</f>
        <v>PADRE SEGURA S/N</v>
      </c>
    </row>
    <row r="620" spans="2:5" x14ac:dyDescent="0.2">
      <c r="B620" s="183" t="str">
        <f>'[1]COMEDORES EMERGENTES'!$B$15</f>
        <v>NUESTRO FUTURO - LAS VIAS</v>
      </c>
      <c r="C620" s="184"/>
      <c r="D620" s="108" t="s">
        <v>175</v>
      </c>
      <c r="E620" s="109" t="str">
        <f>'[1]COMEDORES EMERGENTES'!$G$15</f>
        <v>Bº LAS VIAS OESTE LOTE 42</v>
      </c>
    </row>
    <row r="621" spans="2:5" x14ac:dyDescent="0.2">
      <c r="B621" s="183" t="str">
        <f>'[1]COMEDORES EMERGENTES'!$B$16</f>
        <v>SAN JOSE OBRERO</v>
      </c>
      <c r="C621" s="184"/>
      <c r="D621" s="108" t="s">
        <v>185</v>
      </c>
      <c r="E621" s="109" t="str">
        <f>'[1]COMEDORES EMERGENTES'!$G$16</f>
        <v>Bº SAN JOSE OBRERO. PJE. SANDOVAL S/Nº</v>
      </c>
    </row>
    <row r="622" spans="2:5" x14ac:dyDescent="0.2">
      <c r="B622" s="183" t="str">
        <f>'[1]COMEDORES EMERGENTES'!$B$17</f>
        <v>VIRGEN DE LUJAN</v>
      </c>
      <c r="C622" s="184"/>
      <c r="D622" s="108" t="s">
        <v>175</v>
      </c>
      <c r="E622" s="109" t="str">
        <f>'[1]COMEDORES EMERGENTES'!$G$17</f>
        <v>Bº OJO DE AGUA C/DR.TEODULFO BARRIONUEVO S/Nº</v>
      </c>
    </row>
    <row r="623" spans="2:5" x14ac:dyDescent="0.2">
      <c r="B623" s="183" t="str">
        <f>'[1]COMEDORES EMERGENTES'!$B$18</f>
        <v>RENACER</v>
      </c>
      <c r="C623" s="184"/>
      <c r="D623" s="108" t="s">
        <v>182</v>
      </c>
      <c r="E623" s="109" t="str">
        <f>'[1]COMEDORES EMERGENTES'!$G$18</f>
        <v>Bº VIRGEN MORENITA</v>
      </c>
    </row>
    <row r="624" spans="2:5" x14ac:dyDescent="0.2">
      <c r="B624" s="183" t="str">
        <f>'[1]COMEDORES EMERGENTES'!$B$19</f>
        <v>CENTRO VECINAL MI JARDIN</v>
      </c>
      <c r="C624" s="184"/>
      <c r="D624" s="108" t="s">
        <v>170</v>
      </c>
      <c r="E624" s="109" t="str">
        <f>'[1]COMEDORES EMERGENTES'!$G$19</f>
        <v>C/ LOS TULIPANES ENTRE FLOR DE CEREZO Y HOLANDA MZA.27 Bº MI JARDIN</v>
      </c>
    </row>
    <row r="625" spans="2:5" x14ac:dyDescent="0.2">
      <c r="B625" s="183" t="str">
        <f>'[1]COMEDORES EMERGENTES'!$B$20</f>
        <v>LA VIEJA ESQUINA</v>
      </c>
      <c r="C625" s="184"/>
      <c r="D625" s="108" t="s">
        <v>228</v>
      </c>
      <c r="E625" s="109" t="str">
        <f>'[1]COMEDORES EMERGENTES'!$G$20</f>
        <v>B° CRISTO REY PJE CAPATAZ VILLAFAÑEZ Y ARMANDO CORREA</v>
      </c>
    </row>
    <row r="626" spans="2:5" x14ac:dyDescent="0.2">
      <c r="B626" s="183" t="str">
        <f>'[1]COMEDORES EMERGENTES'!$B$21</f>
        <v>GAUCHITO GIL</v>
      </c>
      <c r="C626" s="184"/>
      <c r="D626" s="108" t="s">
        <v>228</v>
      </c>
      <c r="E626" s="109" t="str">
        <f>'[1]COMEDORES EMERGENTES'!$G$21</f>
        <v>B° 26 VIVIENDAS CASA N° 3</v>
      </c>
    </row>
    <row r="627" spans="2:5" ht="13.5" thickBot="1" x14ac:dyDescent="0.25">
      <c r="B627" s="200" t="str">
        <f>'[1]COMEDORES EMERGENTES'!$B$22</f>
        <v>LOS TOLDOS</v>
      </c>
      <c r="C627" s="201"/>
      <c r="D627" s="115" t="s">
        <v>285</v>
      </c>
      <c r="E627" s="116" t="str">
        <f>'[1]COMEDORES EMERGENTES'!$G$22</f>
        <v>LOTEO PARQUE SUR CALLE S/NOMBRE S/N°</v>
      </c>
    </row>
    <row r="628" spans="2:5" x14ac:dyDescent="0.2">
      <c r="B628" s="33" t="s">
        <v>18</v>
      </c>
      <c r="C628" s="31"/>
      <c r="D628" s="72"/>
      <c r="E628" s="32"/>
    </row>
    <row r="629" spans="2:5" x14ac:dyDescent="0.2">
      <c r="B629" s="34"/>
      <c r="C629" s="199" t="s">
        <v>64</v>
      </c>
      <c r="D629" s="199"/>
      <c r="E629" s="199"/>
    </row>
    <row r="630" spans="2:5" x14ac:dyDescent="0.2">
      <c r="B630" s="33" t="s">
        <v>19</v>
      </c>
      <c r="C630" s="35"/>
      <c r="D630" s="35"/>
      <c r="E630" s="36"/>
    </row>
    <row r="631" spans="2:5" x14ac:dyDescent="0.2">
      <c r="B631" s="34"/>
      <c r="C631" s="199" t="s">
        <v>141</v>
      </c>
      <c r="D631" s="199"/>
      <c r="E631" s="199"/>
    </row>
    <row r="632" spans="2:5" x14ac:dyDescent="0.2">
      <c r="B632" s="33" t="s">
        <v>20</v>
      </c>
      <c r="C632" s="31"/>
      <c r="D632" s="72"/>
      <c r="E632" s="32"/>
    </row>
    <row r="633" spans="2:5" x14ac:dyDescent="0.2">
      <c r="B633" s="33"/>
      <c r="C633" s="198" t="s">
        <v>65</v>
      </c>
      <c r="D633" s="198"/>
      <c r="E633" s="198"/>
    </row>
    <row r="634" spans="2:5" ht="13.5" thickBot="1" x14ac:dyDescent="0.25">
      <c r="B634" s="37"/>
      <c r="C634" s="38"/>
      <c r="D634" s="73"/>
      <c r="E634" s="39"/>
    </row>
    <row r="635" spans="2:5" ht="13.5" thickBot="1" x14ac:dyDescent="0.25"/>
    <row r="636" spans="2:5" x14ac:dyDescent="0.2">
      <c r="B636" s="27" t="s">
        <v>156</v>
      </c>
      <c r="C636" s="28"/>
      <c r="D636" s="71"/>
      <c r="E636" s="29"/>
    </row>
    <row r="637" spans="2:5" x14ac:dyDescent="0.2">
      <c r="B637" s="30"/>
      <c r="C637" s="31"/>
      <c r="D637" s="72"/>
      <c r="E637" s="32"/>
    </row>
    <row r="638" spans="2:5" x14ac:dyDescent="0.2">
      <c r="B638" s="33" t="s">
        <v>16</v>
      </c>
      <c r="C638" s="31"/>
      <c r="D638" s="72"/>
      <c r="E638" s="32"/>
    </row>
    <row r="639" spans="2:5" ht="25.5" customHeight="1" x14ac:dyDescent="0.2">
      <c r="B639" s="33"/>
      <c r="C639" s="199"/>
      <c r="D639" s="199"/>
      <c r="E639" s="199"/>
    </row>
    <row r="640" spans="2:5" ht="13.5" thickBot="1" x14ac:dyDescent="0.25">
      <c r="B640" s="33" t="s">
        <v>17</v>
      </c>
      <c r="C640" s="31"/>
      <c r="D640" s="72"/>
      <c r="E640" s="32"/>
    </row>
    <row r="641" spans="2:5" ht="13.5" thickBot="1" x14ac:dyDescent="0.25">
      <c r="B641" s="185" t="s">
        <v>138</v>
      </c>
      <c r="C641" s="186"/>
      <c r="D641" s="186"/>
      <c r="E641" s="187"/>
    </row>
    <row r="642" spans="2:5" ht="13.5" thickBot="1" x14ac:dyDescent="0.25">
      <c r="B642" s="185" t="s">
        <v>139</v>
      </c>
      <c r="C642" s="187"/>
      <c r="D642" s="69" t="s">
        <v>11</v>
      </c>
      <c r="E642" s="69" t="s">
        <v>140</v>
      </c>
    </row>
    <row r="643" spans="2:5" x14ac:dyDescent="0.2">
      <c r="B643" s="192" t="str">
        <f>'[1]COMEDORES EMERGENTES'!$B$3</f>
        <v>UNA SONRISA AV. LOS COBACHO</v>
      </c>
      <c r="C643" s="193"/>
      <c r="D643" s="113" t="s">
        <v>223</v>
      </c>
      <c r="E643" s="114" t="str">
        <f>'[1]COMEDORES EMERGENTES'!$G$3</f>
        <v>Bº SAN CARLOS OESTE AV. Bonifacio cobacho 670</v>
      </c>
    </row>
    <row r="644" spans="2:5" x14ac:dyDescent="0.2">
      <c r="B644" s="183" t="str">
        <f>'[1]COMEDORES EMERGENTES'!$B$4</f>
        <v>C.I.F Nº1 - RIVERA DEL VALLE Y FLORIDA</v>
      </c>
      <c r="C644" s="184"/>
      <c r="D644" s="108" t="s">
        <v>172</v>
      </c>
      <c r="E644" s="109" t="str">
        <f>'[1]COMEDORES EMERGENTES'!$G$4</f>
        <v>AV. RIVIERA DEL VALLE ENTRE FLORIDA Y SANTA FE</v>
      </c>
    </row>
    <row r="645" spans="2:5" x14ac:dyDescent="0.2">
      <c r="B645" s="183" t="str">
        <f>'[1]COMEDORES EMERGENTES'!$B$5</f>
        <v>C.I.F - RIVERA DEL VALLE - DILORENZO</v>
      </c>
      <c r="C645" s="184"/>
      <c r="D645" s="108" t="s">
        <v>229</v>
      </c>
      <c r="E645" s="109" t="str">
        <f>'[1]COMEDORES EMERGENTES'!$G$5</f>
        <v>Bº RIVERA DEL VALLE ENTRE VILLA EUMELIA Y MONTE CRISTO</v>
      </c>
    </row>
    <row r="646" spans="2:5" x14ac:dyDescent="0.2">
      <c r="B646" s="183" t="str">
        <f>'[1]COMEDORES EMERGENTES'!$B$6</f>
        <v>ESFUERZO PROPIO- Bº ALTOS DE CHOYA</v>
      </c>
      <c r="C646" s="184"/>
      <c r="D646" s="108" t="s">
        <v>194</v>
      </c>
      <c r="E646" s="109" t="str">
        <f>'[1]COMEDORES EMERGENTES'!$G$6</f>
        <v>Bº MUNICIPAL 35VV. NORTE C/14</v>
      </c>
    </row>
    <row r="647" spans="2:5" x14ac:dyDescent="0.2">
      <c r="B647" s="183" t="str">
        <f>'[1]COMEDORES EMERGENTES'!$B$7</f>
        <v>ANGELITOS - LOTEO SUSSEX</v>
      </c>
      <c r="C647" s="184"/>
      <c r="D647" s="108" t="s">
        <v>170</v>
      </c>
      <c r="E647" s="109" t="str">
        <f>'[1]COMEDORES EMERGENTES'!$G$7</f>
        <v>Bº LOTEO SUSEX MZA.Nº 4 LOTE Nº3</v>
      </c>
    </row>
    <row r="648" spans="2:5" x14ac:dyDescent="0.2">
      <c r="B648" s="183" t="str">
        <f>'[1]COMEDORES EMERGENTES'!$B$8</f>
        <v>CLUB DEPORTIVO CHACARITA</v>
      </c>
      <c r="C648" s="184"/>
      <c r="D648" s="108" t="s">
        <v>203</v>
      </c>
      <c r="E648" s="109" t="str">
        <f>'[1]COMEDORES EMERGENTES'!$G$8</f>
        <v>CALLE DR.DERMIDIO GALINDEZ C/2660</v>
      </c>
    </row>
    <row r="649" spans="2:5" x14ac:dyDescent="0.2">
      <c r="B649" s="183" t="str">
        <f>'[1]COMEDORES EMERGENTES'!$B$9</f>
        <v>LA MORO</v>
      </c>
      <c r="C649" s="184"/>
      <c r="D649" s="108" t="s">
        <v>186</v>
      </c>
      <c r="E649" s="109" t="str">
        <f>'[1]COMEDORES EMERGENTES'!$G$9</f>
        <v>MAIPU NORTE 1º ETAPA MZA "H" Bº MI JARDIN</v>
      </c>
    </row>
    <row r="650" spans="2:5" x14ac:dyDescent="0.2">
      <c r="B650" s="183" t="str">
        <f>'[1]COMEDORES EMERGENTES'!$B$10</f>
        <v>PAPA FRANCISCO</v>
      </c>
      <c r="C650" s="184"/>
      <c r="D650" s="108" t="s">
        <v>198</v>
      </c>
      <c r="E650" s="109" t="str">
        <f>'[1]COMEDORES EMERGENTES'!$G$10</f>
        <v>ENTRE AV.TEREBINTO Y AV.SAN JUAN LOTE "2" MZA. "B"</v>
      </c>
    </row>
    <row r="651" spans="2:5" x14ac:dyDescent="0.2">
      <c r="B651" s="183" t="str">
        <f>'[1]COMEDORES EMERGENTES'!$B$11</f>
        <v>E.P.C - 100 V.V NORTE</v>
      </c>
      <c r="C651" s="184"/>
      <c r="D651" s="108" t="s">
        <v>192</v>
      </c>
      <c r="E651" s="109" t="str">
        <f>'[1]COMEDORES EMERGENTES'!$G$11</f>
        <v>Bº VV NORTE C/48 ENTRE ESPAÑA Y FRANCIA</v>
      </c>
    </row>
    <row r="652" spans="2:5" x14ac:dyDescent="0.2">
      <c r="B652" s="183" t="str">
        <f>'[1]COMEDORES EMERGENTES'!$B$12</f>
        <v>HOGAR DE CRISTO - PADRE RAUL CONTRERAS</v>
      </c>
      <c r="C652" s="184"/>
      <c r="D652" s="108" t="s">
        <v>192</v>
      </c>
      <c r="E652" s="109" t="str">
        <f>'[1]COMEDORES EMERGENTES'!$G$12</f>
        <v>Bº SANTA MARTA MZA. "S" LOTE "M" C/39</v>
      </c>
    </row>
    <row r="653" spans="2:5" x14ac:dyDescent="0.2">
      <c r="B653" s="183" t="str">
        <f>'[1]COMEDORES EMERGENTES'!$B$13</f>
        <v>LA LUCIERNAGA</v>
      </c>
      <c r="C653" s="184"/>
      <c r="D653" s="108" t="s">
        <v>198</v>
      </c>
      <c r="E653" s="109" t="str">
        <f>'[1]COMEDORES EMERGENTES'!$G$13</f>
        <v>Bº 20 V.V NORTE C/3</v>
      </c>
    </row>
    <row r="654" spans="2:5" x14ac:dyDescent="0.2">
      <c r="B654" s="183" t="str">
        <f>'[1]COMEDORES EMERGENTES'!$B$14</f>
        <v>VALLE VIEJO - SUMALAO</v>
      </c>
      <c r="C654" s="184"/>
      <c r="D654" s="108" t="s">
        <v>220</v>
      </c>
      <c r="E654" s="109" t="str">
        <f>'[1]COMEDORES EMERGENTES'!$G$14</f>
        <v>PADRE SEGURA S/N</v>
      </c>
    </row>
    <row r="655" spans="2:5" x14ac:dyDescent="0.2">
      <c r="B655" s="183" t="str">
        <f>'[1]COMEDORES EMERGENTES'!$B$15</f>
        <v>NUESTRO FUTURO - LAS VIAS</v>
      </c>
      <c r="C655" s="184"/>
      <c r="D655" s="108" t="s">
        <v>198</v>
      </c>
      <c r="E655" s="109" t="str">
        <f>'[1]COMEDORES EMERGENTES'!$G$15</f>
        <v>Bº LAS VIAS OESTE LOTE 42</v>
      </c>
    </row>
    <row r="656" spans="2:5" x14ac:dyDescent="0.2">
      <c r="B656" s="183" t="str">
        <f>'[1]COMEDORES EMERGENTES'!$B$16</f>
        <v>SAN JOSE OBRERO</v>
      </c>
      <c r="C656" s="184"/>
      <c r="D656" s="108" t="s">
        <v>203</v>
      </c>
      <c r="E656" s="109" t="str">
        <f>'[1]COMEDORES EMERGENTES'!$G$16</f>
        <v>Bº SAN JOSE OBRERO. PJE. SANDOVAL S/Nº</v>
      </c>
    </row>
    <row r="657" spans="2:5" x14ac:dyDescent="0.2">
      <c r="B657" s="183" t="str">
        <f>'[1]COMEDORES EMERGENTES'!$B$17</f>
        <v>VIRGEN DE LUJAN</v>
      </c>
      <c r="C657" s="184"/>
      <c r="D657" s="108" t="s">
        <v>198</v>
      </c>
      <c r="E657" s="109" t="str">
        <f>'[1]COMEDORES EMERGENTES'!$G$17</f>
        <v>Bº OJO DE AGUA C/DR.TEODULFO BARRIONUEVO S/Nº</v>
      </c>
    </row>
    <row r="658" spans="2:5" x14ac:dyDescent="0.2">
      <c r="B658" s="183" t="str">
        <f>'[1]COMEDORES EMERGENTES'!$B$18</f>
        <v>RENACER</v>
      </c>
      <c r="C658" s="184"/>
      <c r="D658" s="108" t="s">
        <v>177</v>
      </c>
      <c r="E658" s="109" t="str">
        <f>'[1]COMEDORES EMERGENTES'!$G$18</f>
        <v>Bº VIRGEN MORENITA</v>
      </c>
    </row>
    <row r="659" spans="2:5" x14ac:dyDescent="0.2">
      <c r="B659" s="183" t="str">
        <f>'[1]COMEDORES EMERGENTES'!$B$19</f>
        <v>CENTRO VECINAL MI JARDIN</v>
      </c>
      <c r="C659" s="184"/>
      <c r="D659" s="108" t="s">
        <v>190</v>
      </c>
      <c r="E659" s="109" t="str">
        <f>'[1]COMEDORES EMERGENTES'!$G$19</f>
        <v>C/ LOS TULIPANES ENTRE FLOR DE CEREZO Y HOLANDA MZA.27 Bº MI JARDIN</v>
      </c>
    </row>
    <row r="660" spans="2:5" x14ac:dyDescent="0.2">
      <c r="B660" s="183" t="str">
        <f>'[1]COMEDORES EMERGENTES'!$B$20</f>
        <v>LA VIEJA ESQUINA</v>
      </c>
      <c r="C660" s="184"/>
      <c r="D660" s="108" t="s">
        <v>230</v>
      </c>
      <c r="E660" s="109" t="str">
        <f>'[1]COMEDORES EMERGENTES'!$G$20</f>
        <v>B° CRISTO REY PJE CAPATAZ VILLAFAÑEZ Y ARMANDO CORREA</v>
      </c>
    </row>
    <row r="661" spans="2:5" x14ac:dyDescent="0.2">
      <c r="B661" s="183" t="str">
        <f>'[1]COMEDORES EMERGENTES'!$B$21</f>
        <v>GAUCHITO GIL</v>
      </c>
      <c r="C661" s="184"/>
      <c r="D661" s="108" t="s">
        <v>176</v>
      </c>
      <c r="E661" s="109" t="str">
        <f>'[1]COMEDORES EMERGENTES'!$G$21</f>
        <v>B° 26 VIVIENDAS CASA N° 3</v>
      </c>
    </row>
    <row r="662" spans="2:5" ht="13.5" thickBot="1" x14ac:dyDescent="0.25">
      <c r="B662" s="200" t="str">
        <f>'[1]COMEDORES EMERGENTES'!$B$22</f>
        <v>LOS TOLDOS</v>
      </c>
      <c r="C662" s="201"/>
      <c r="D662" s="115" t="s">
        <v>184</v>
      </c>
      <c r="E662" s="116" t="str">
        <f>'[1]COMEDORES EMERGENTES'!$G$22</f>
        <v>LOTEO PARQUE SUR CALLE S/NOMBRE S/N°</v>
      </c>
    </row>
    <row r="663" spans="2:5" x14ac:dyDescent="0.2">
      <c r="B663" s="33" t="s">
        <v>18</v>
      </c>
      <c r="C663" s="31"/>
      <c r="D663" s="72"/>
      <c r="E663" s="32"/>
    </row>
    <row r="664" spans="2:5" x14ac:dyDescent="0.2">
      <c r="B664" s="34"/>
      <c r="C664" s="199" t="s">
        <v>64</v>
      </c>
      <c r="D664" s="199"/>
      <c r="E664" s="199"/>
    </row>
    <row r="665" spans="2:5" x14ac:dyDescent="0.2">
      <c r="B665" s="33" t="s">
        <v>19</v>
      </c>
      <c r="C665" s="35"/>
      <c r="D665" s="35"/>
      <c r="E665" s="36"/>
    </row>
    <row r="666" spans="2:5" x14ac:dyDescent="0.2">
      <c r="B666" s="34"/>
      <c r="C666" s="199" t="s">
        <v>141</v>
      </c>
      <c r="D666" s="199"/>
      <c r="E666" s="199"/>
    </row>
    <row r="667" spans="2:5" x14ac:dyDescent="0.2">
      <c r="B667" s="33" t="s">
        <v>20</v>
      </c>
      <c r="C667" s="31"/>
      <c r="D667" s="72"/>
      <c r="E667" s="32"/>
    </row>
    <row r="668" spans="2:5" x14ac:dyDescent="0.2">
      <c r="B668" s="33"/>
      <c r="C668" s="198" t="s">
        <v>65</v>
      </c>
      <c r="D668" s="198"/>
      <c r="E668" s="198"/>
    </row>
    <row r="669" spans="2:5" ht="13.5" thickBot="1" x14ac:dyDescent="0.25">
      <c r="B669" s="37"/>
      <c r="C669" s="38"/>
      <c r="D669" s="73"/>
      <c r="E669" s="39"/>
    </row>
    <row r="670" spans="2:5" ht="13.5" thickBot="1" x14ac:dyDescent="0.25"/>
    <row r="671" spans="2:5" x14ac:dyDescent="0.2">
      <c r="B671" s="27" t="s">
        <v>157</v>
      </c>
      <c r="C671" s="28"/>
      <c r="D671" s="71"/>
      <c r="E671" s="29"/>
    </row>
    <row r="672" spans="2:5" x14ac:dyDescent="0.2">
      <c r="B672" s="30"/>
      <c r="C672" s="31"/>
      <c r="D672" s="72"/>
      <c r="E672" s="32"/>
    </row>
    <row r="673" spans="2:5" x14ac:dyDescent="0.2">
      <c r="B673" s="33" t="s">
        <v>16</v>
      </c>
      <c r="C673" s="31"/>
      <c r="D673" s="72"/>
      <c r="E673" s="32"/>
    </row>
    <row r="674" spans="2:5" ht="25.5" customHeight="1" x14ac:dyDescent="0.2">
      <c r="B674" s="33"/>
      <c r="C674" s="199"/>
      <c r="D674" s="199"/>
      <c r="E674" s="199"/>
    </row>
    <row r="675" spans="2:5" ht="13.5" thickBot="1" x14ac:dyDescent="0.25">
      <c r="B675" s="33" t="s">
        <v>17</v>
      </c>
      <c r="C675" s="31"/>
      <c r="D675" s="72"/>
      <c r="E675" s="32"/>
    </row>
    <row r="676" spans="2:5" ht="13.5" thickBot="1" x14ac:dyDescent="0.25">
      <c r="B676" s="185" t="s">
        <v>138</v>
      </c>
      <c r="C676" s="186"/>
      <c r="D676" s="186"/>
      <c r="E676" s="187"/>
    </row>
    <row r="677" spans="2:5" ht="13.5" thickBot="1" x14ac:dyDescent="0.25">
      <c r="B677" s="185" t="s">
        <v>139</v>
      </c>
      <c r="C677" s="187"/>
      <c r="D677" s="69" t="s">
        <v>11</v>
      </c>
      <c r="E677" s="69" t="s">
        <v>140</v>
      </c>
    </row>
    <row r="678" spans="2:5" x14ac:dyDescent="0.2">
      <c r="B678" s="192" t="str">
        <f>'[1]COMEDORES EMERGENTES'!$B$3</f>
        <v>UNA SONRISA AV. LOS COBACHO</v>
      </c>
      <c r="C678" s="193"/>
      <c r="D678" s="113" t="s">
        <v>169</v>
      </c>
      <c r="E678" s="114" t="str">
        <f>'[1]COMEDORES EMERGENTES'!$G$3</f>
        <v>Bº SAN CARLOS OESTE AV. Bonifacio cobacho 670</v>
      </c>
    </row>
    <row r="679" spans="2:5" x14ac:dyDescent="0.2">
      <c r="B679" s="183" t="str">
        <f>'[1]COMEDORES EMERGENTES'!$B$4</f>
        <v>C.I.F Nº1 - RIVERA DEL VALLE Y FLORIDA</v>
      </c>
      <c r="C679" s="184"/>
      <c r="D679" s="108" t="s">
        <v>171</v>
      </c>
      <c r="E679" s="109" t="str">
        <f>'[1]COMEDORES EMERGENTES'!$G$4</f>
        <v>AV. RIVIERA DEL VALLE ENTRE FLORIDA Y SANTA FE</v>
      </c>
    </row>
    <row r="680" spans="2:5" x14ac:dyDescent="0.2">
      <c r="B680" s="183" t="str">
        <f>'[1]COMEDORES EMERGENTES'!$B$5</f>
        <v>C.I.F - RIVERA DEL VALLE - DILORENZO</v>
      </c>
      <c r="C680" s="184"/>
      <c r="D680" s="108" t="s">
        <v>172</v>
      </c>
      <c r="E680" s="109" t="str">
        <f>'[1]COMEDORES EMERGENTES'!$G$5</f>
        <v>Bº RIVERA DEL VALLE ENTRE VILLA EUMELIA Y MONTE CRISTO</v>
      </c>
    </row>
    <row r="681" spans="2:5" x14ac:dyDescent="0.2">
      <c r="B681" s="183" t="str">
        <f>'[1]COMEDORES EMERGENTES'!$B$6</f>
        <v>ESFUERZO PROPIO- Bº ALTOS DE CHOYA</v>
      </c>
      <c r="C681" s="184"/>
      <c r="D681" s="108" t="s">
        <v>173</v>
      </c>
      <c r="E681" s="109" t="str">
        <f>'[1]COMEDORES EMERGENTES'!$G$6</f>
        <v>Bº MUNICIPAL 35VV. NORTE C/14</v>
      </c>
    </row>
    <row r="682" spans="2:5" x14ac:dyDescent="0.2">
      <c r="B682" s="183" t="str">
        <f>'[1]COMEDORES EMERGENTES'!$B$7</f>
        <v>ANGELITOS - LOTEO SUSSEX</v>
      </c>
      <c r="C682" s="184"/>
      <c r="D682" s="108" t="s">
        <v>174</v>
      </c>
      <c r="E682" s="109" t="str">
        <f>'[1]COMEDORES EMERGENTES'!$G$7</f>
        <v>Bº LOTEO SUSEX MZA.Nº 4 LOTE Nº3</v>
      </c>
    </row>
    <row r="683" spans="2:5" x14ac:dyDescent="0.2">
      <c r="B683" s="183" t="str">
        <f>'[1]COMEDORES EMERGENTES'!$B$8</f>
        <v>CLUB DEPORTIVO CHACARITA</v>
      </c>
      <c r="C683" s="184"/>
      <c r="D683" s="108" t="s">
        <v>175</v>
      </c>
      <c r="E683" s="109" t="str">
        <f>'[1]COMEDORES EMERGENTES'!$G$8</f>
        <v>CALLE DR.DERMIDIO GALINDEZ C/2660</v>
      </c>
    </row>
    <row r="684" spans="2:5" x14ac:dyDescent="0.2">
      <c r="B684" s="183" t="str">
        <f>'[1]COMEDORES EMERGENTES'!$B$9</f>
        <v>LA MORO</v>
      </c>
      <c r="C684" s="184"/>
      <c r="D684" s="108" t="s">
        <v>170</v>
      </c>
      <c r="E684" s="109" t="str">
        <f>'[1]COMEDORES EMERGENTES'!$G$9</f>
        <v>MAIPU NORTE 1º ETAPA MZA "H" Bº MI JARDIN</v>
      </c>
    </row>
    <row r="685" spans="2:5" x14ac:dyDescent="0.2">
      <c r="B685" s="183" t="str">
        <f>'[1]COMEDORES EMERGENTES'!$B$10</f>
        <v>PAPA FRANCISCO</v>
      </c>
      <c r="C685" s="184"/>
      <c r="D685" s="108" t="s">
        <v>176</v>
      </c>
      <c r="E685" s="109" t="str">
        <f>'[1]COMEDORES EMERGENTES'!$G$10</f>
        <v>ENTRE AV.TEREBINTO Y AV.SAN JUAN LOTE "2" MZA. "B"</v>
      </c>
    </row>
    <row r="686" spans="2:5" x14ac:dyDescent="0.2">
      <c r="B686" s="183" t="str">
        <f>'[1]COMEDORES EMERGENTES'!$B$11</f>
        <v>E.P.C - 100 V.V NORTE</v>
      </c>
      <c r="C686" s="184"/>
      <c r="D686" s="108" t="s">
        <v>177</v>
      </c>
      <c r="E686" s="109" t="str">
        <f>'[1]COMEDORES EMERGENTES'!$G$11</f>
        <v>Bº VV NORTE C/48 ENTRE ESPAÑA Y FRANCIA</v>
      </c>
    </row>
    <row r="687" spans="2:5" x14ac:dyDescent="0.2">
      <c r="B687" s="183" t="str">
        <f>'[1]COMEDORES EMERGENTES'!$B$12</f>
        <v>HOGAR DE CRISTO - PADRE RAUL CONTRERAS</v>
      </c>
      <c r="C687" s="184"/>
      <c r="D687" s="108" t="s">
        <v>177</v>
      </c>
      <c r="E687" s="109" t="str">
        <f>'[1]COMEDORES EMERGENTES'!$G$12</f>
        <v>Bº SANTA MARTA MZA. "S" LOTE "M" C/39</v>
      </c>
    </row>
    <row r="688" spans="2:5" x14ac:dyDescent="0.2">
      <c r="B688" s="183" t="str">
        <f>'[1]COMEDORES EMERGENTES'!$B$13</f>
        <v>LA LUCIERNAGA</v>
      </c>
      <c r="C688" s="184"/>
      <c r="D688" s="108" t="s">
        <v>176</v>
      </c>
      <c r="E688" s="109" t="str">
        <f>'[1]COMEDORES EMERGENTES'!$G$13</f>
        <v>Bº 20 V.V NORTE C/3</v>
      </c>
    </row>
    <row r="689" spans="2:5" x14ac:dyDescent="0.2">
      <c r="B689" s="183" t="str">
        <f>'[1]COMEDORES EMERGENTES'!$B$14</f>
        <v>VALLE VIEJO - SUMALAO</v>
      </c>
      <c r="C689" s="184"/>
      <c r="D689" s="108" t="s">
        <v>178</v>
      </c>
      <c r="E689" s="109" t="str">
        <f>'[1]COMEDORES EMERGENTES'!$G$14</f>
        <v>PADRE SEGURA S/N</v>
      </c>
    </row>
    <row r="690" spans="2:5" x14ac:dyDescent="0.2">
      <c r="B690" s="183" t="str">
        <f>'[1]COMEDORES EMERGENTES'!$B$15</f>
        <v>NUESTRO FUTURO - LAS VIAS</v>
      </c>
      <c r="C690" s="184"/>
      <c r="D690" s="108" t="s">
        <v>176</v>
      </c>
      <c r="E690" s="109" t="str">
        <f>'[1]COMEDORES EMERGENTES'!$G$15</f>
        <v>Bº LAS VIAS OESTE LOTE 42</v>
      </c>
    </row>
    <row r="691" spans="2:5" x14ac:dyDescent="0.2">
      <c r="B691" s="183" t="str">
        <f>'[1]COMEDORES EMERGENTES'!$B$16</f>
        <v>SAN JOSE OBRERO</v>
      </c>
      <c r="C691" s="184"/>
      <c r="D691" s="108" t="s">
        <v>175</v>
      </c>
      <c r="E691" s="109" t="str">
        <f>'[1]COMEDORES EMERGENTES'!$G$16</f>
        <v>Bº SAN JOSE OBRERO. PJE. SANDOVAL S/Nº</v>
      </c>
    </row>
    <row r="692" spans="2:5" x14ac:dyDescent="0.2">
      <c r="B692" s="183" t="str">
        <f>'[1]COMEDORES EMERGENTES'!$B$17</f>
        <v>VIRGEN DE LUJAN</v>
      </c>
      <c r="C692" s="184"/>
      <c r="D692" s="108" t="s">
        <v>176</v>
      </c>
      <c r="E692" s="109" t="str">
        <f>'[1]COMEDORES EMERGENTES'!$G$17</f>
        <v>Bº OJO DE AGUA C/DR.TEODULFO BARRIONUEVO S/Nº</v>
      </c>
    </row>
    <row r="693" spans="2:5" x14ac:dyDescent="0.2">
      <c r="B693" s="183" t="str">
        <f>'[1]COMEDORES EMERGENTES'!$B$18</f>
        <v>RENACER</v>
      </c>
      <c r="C693" s="184"/>
      <c r="D693" s="108" t="s">
        <v>179</v>
      </c>
      <c r="E693" s="109" t="str">
        <f>'[1]COMEDORES EMERGENTES'!$G$18</f>
        <v>Bº VIRGEN MORENITA</v>
      </c>
    </row>
    <row r="694" spans="2:5" x14ac:dyDescent="0.2">
      <c r="B694" s="183" t="str">
        <f>'[1]COMEDORES EMERGENTES'!$B$19</f>
        <v>CENTRO VECINAL MI JARDIN</v>
      </c>
      <c r="C694" s="184"/>
      <c r="D694" s="108" t="s">
        <v>180</v>
      </c>
      <c r="E694" s="109" t="str">
        <f>'[1]COMEDORES EMERGENTES'!$G$19</f>
        <v>C/ LOS TULIPANES ENTRE FLOR DE CEREZO Y HOLANDA MZA.27 Bº MI JARDIN</v>
      </c>
    </row>
    <row r="695" spans="2:5" x14ac:dyDescent="0.2">
      <c r="B695" s="183" t="str">
        <f>'[1]COMEDORES EMERGENTES'!$B$20</f>
        <v>LA VIEJA ESQUINA</v>
      </c>
      <c r="C695" s="184"/>
      <c r="D695" s="108" t="s">
        <v>181</v>
      </c>
      <c r="E695" s="109" t="str">
        <f>'[1]COMEDORES EMERGENTES'!$G$20</f>
        <v>B° CRISTO REY PJE CAPATAZ VILLAFAÑEZ Y ARMANDO CORREA</v>
      </c>
    </row>
    <row r="696" spans="2:5" x14ac:dyDescent="0.2">
      <c r="B696" s="183" t="str">
        <f>'[1]COMEDORES EMERGENTES'!$B$21</f>
        <v>GAUCHITO GIL</v>
      </c>
      <c r="C696" s="184"/>
      <c r="D696" s="108" t="s">
        <v>182</v>
      </c>
      <c r="E696" s="109" t="str">
        <f>'[1]COMEDORES EMERGENTES'!$G$21</f>
        <v>B° 26 VIVIENDAS CASA N° 3</v>
      </c>
    </row>
    <row r="697" spans="2:5" ht="13.5" thickBot="1" x14ac:dyDescent="0.25">
      <c r="B697" s="200" t="str">
        <f>'[1]COMEDORES EMERGENTES'!$B$22</f>
        <v>LOS TOLDOS</v>
      </c>
      <c r="C697" s="201"/>
      <c r="D697" s="115" t="s">
        <v>202</v>
      </c>
      <c r="E697" s="116" t="str">
        <f>'[1]COMEDORES EMERGENTES'!$G$22</f>
        <v>LOTEO PARQUE SUR CALLE S/NOMBRE S/N°</v>
      </c>
    </row>
    <row r="698" spans="2:5" x14ac:dyDescent="0.2">
      <c r="B698" s="33" t="s">
        <v>18</v>
      </c>
      <c r="C698" s="31"/>
      <c r="D698" s="72"/>
      <c r="E698" s="32"/>
    </row>
    <row r="699" spans="2:5" x14ac:dyDescent="0.2">
      <c r="B699" s="34"/>
      <c r="C699" s="199" t="s">
        <v>64</v>
      </c>
      <c r="D699" s="199"/>
      <c r="E699" s="199"/>
    </row>
    <row r="700" spans="2:5" x14ac:dyDescent="0.2">
      <c r="B700" s="33" t="s">
        <v>19</v>
      </c>
      <c r="C700" s="35"/>
      <c r="D700" s="35"/>
      <c r="E700" s="36"/>
    </row>
    <row r="701" spans="2:5" x14ac:dyDescent="0.2">
      <c r="B701" s="34"/>
      <c r="C701" s="199" t="s">
        <v>141</v>
      </c>
      <c r="D701" s="199"/>
      <c r="E701" s="199"/>
    </row>
    <row r="702" spans="2:5" x14ac:dyDescent="0.2">
      <c r="B702" s="33" t="s">
        <v>20</v>
      </c>
      <c r="C702" s="31"/>
      <c r="D702" s="72"/>
      <c r="E702" s="32"/>
    </row>
    <row r="703" spans="2:5" x14ac:dyDescent="0.2">
      <c r="B703" s="33"/>
      <c r="C703" s="198" t="s">
        <v>65</v>
      </c>
      <c r="D703" s="198"/>
      <c r="E703" s="198"/>
    </row>
    <row r="704" spans="2:5" ht="13.5" thickBot="1" x14ac:dyDescent="0.25">
      <c r="B704" s="37"/>
      <c r="C704" s="38"/>
      <c r="D704" s="73"/>
      <c r="E704" s="39"/>
    </row>
    <row r="705" spans="2:5" ht="13.5" thickBot="1" x14ac:dyDescent="0.25"/>
    <row r="706" spans="2:5" x14ac:dyDescent="0.2">
      <c r="B706" s="27" t="s">
        <v>158</v>
      </c>
      <c r="C706" s="28"/>
      <c r="D706" s="71"/>
      <c r="E706" s="29"/>
    </row>
    <row r="707" spans="2:5" x14ac:dyDescent="0.2">
      <c r="B707" s="30"/>
      <c r="C707" s="31"/>
      <c r="D707" s="72"/>
      <c r="E707" s="32"/>
    </row>
    <row r="708" spans="2:5" x14ac:dyDescent="0.2">
      <c r="B708" s="33" t="s">
        <v>16</v>
      </c>
      <c r="C708" s="31"/>
      <c r="D708" s="72"/>
      <c r="E708" s="32"/>
    </row>
    <row r="709" spans="2:5" ht="25.5" customHeight="1" x14ac:dyDescent="0.2">
      <c r="B709" s="33"/>
      <c r="C709" s="199"/>
      <c r="D709" s="199"/>
      <c r="E709" s="199"/>
    </row>
    <row r="710" spans="2:5" ht="13.5" thickBot="1" x14ac:dyDescent="0.25">
      <c r="B710" s="33" t="s">
        <v>17</v>
      </c>
      <c r="C710" s="31"/>
      <c r="D710" s="72"/>
      <c r="E710" s="32"/>
    </row>
    <row r="711" spans="2:5" ht="13.5" thickBot="1" x14ac:dyDescent="0.25">
      <c r="B711" s="185" t="s">
        <v>138</v>
      </c>
      <c r="C711" s="186"/>
      <c r="D711" s="186"/>
      <c r="E711" s="187"/>
    </row>
    <row r="712" spans="2:5" ht="13.5" thickBot="1" x14ac:dyDescent="0.25">
      <c r="B712" s="185" t="s">
        <v>139</v>
      </c>
      <c r="C712" s="187"/>
      <c r="D712" s="69" t="s">
        <v>11</v>
      </c>
      <c r="E712" s="69" t="s">
        <v>140</v>
      </c>
    </row>
    <row r="713" spans="2:5" x14ac:dyDescent="0.2">
      <c r="B713" s="192" t="str">
        <f>'[1]COMEDORES EMERGENTES'!$B$3</f>
        <v>UNA SONRISA AV. LOS COBACHO</v>
      </c>
      <c r="C713" s="193"/>
      <c r="D713" s="113" t="s">
        <v>205</v>
      </c>
      <c r="E713" s="114" t="str">
        <f>'[1]COMEDORES EMERGENTES'!$G$3</f>
        <v>Bº SAN CARLOS OESTE AV. Bonifacio cobacho 670</v>
      </c>
    </row>
    <row r="714" spans="2:5" x14ac:dyDescent="0.2">
      <c r="B714" s="183" t="str">
        <f>'[1]COMEDORES EMERGENTES'!$B$4</f>
        <v>C.I.F Nº1 - RIVERA DEL VALLE Y FLORIDA</v>
      </c>
      <c r="C714" s="184"/>
      <c r="D714" s="108" t="s">
        <v>231</v>
      </c>
      <c r="E714" s="109" t="str">
        <f>'[1]COMEDORES EMERGENTES'!$G$4</f>
        <v>AV. RIVIERA DEL VALLE ENTRE FLORIDA Y SANTA FE</v>
      </c>
    </row>
    <row r="715" spans="2:5" x14ac:dyDescent="0.2">
      <c r="B715" s="183" t="str">
        <f>'[1]COMEDORES EMERGENTES'!$B$5</f>
        <v>C.I.F - RIVERA DEL VALLE - DILORENZO</v>
      </c>
      <c r="C715" s="184"/>
      <c r="D715" s="108" t="s">
        <v>232</v>
      </c>
      <c r="E715" s="109" t="str">
        <f>'[1]COMEDORES EMERGENTES'!$G$5</f>
        <v>Bº RIVERA DEL VALLE ENTRE VILLA EUMELIA Y MONTE CRISTO</v>
      </c>
    </row>
    <row r="716" spans="2:5" x14ac:dyDescent="0.2">
      <c r="B716" s="183" t="str">
        <f>'[1]COMEDORES EMERGENTES'!$B$6</f>
        <v>ESFUERZO PROPIO- Bº ALTOS DE CHOYA</v>
      </c>
      <c r="C716" s="184"/>
      <c r="D716" s="108" t="s">
        <v>219</v>
      </c>
      <c r="E716" s="109" t="str">
        <f>'[1]COMEDORES EMERGENTES'!$G$6</f>
        <v>Bº MUNICIPAL 35VV. NORTE C/14</v>
      </c>
    </row>
    <row r="717" spans="2:5" x14ac:dyDescent="0.2">
      <c r="B717" s="183" t="str">
        <f>'[1]COMEDORES EMERGENTES'!$B$7</f>
        <v>ANGELITOS - LOTEO SUSSEX</v>
      </c>
      <c r="C717" s="184"/>
      <c r="D717" s="108" t="s">
        <v>194</v>
      </c>
      <c r="E717" s="109" t="str">
        <f>'[1]COMEDORES EMERGENTES'!$G$7</f>
        <v>Bº LOTEO SUSEX MZA.Nº 4 LOTE Nº3</v>
      </c>
    </row>
    <row r="718" spans="2:5" x14ac:dyDescent="0.2">
      <c r="B718" s="183" t="str">
        <f>'[1]COMEDORES EMERGENTES'!$B$8</f>
        <v>CLUB DEPORTIVO CHACARITA</v>
      </c>
      <c r="C718" s="184"/>
      <c r="D718" s="108" t="s">
        <v>233</v>
      </c>
      <c r="E718" s="109" t="str">
        <f>'[1]COMEDORES EMERGENTES'!$G$8</f>
        <v>CALLE DR.DERMIDIO GALINDEZ C/2660</v>
      </c>
    </row>
    <row r="719" spans="2:5" x14ac:dyDescent="0.2">
      <c r="B719" s="183" t="str">
        <f>'[1]COMEDORES EMERGENTES'!$B$9</f>
        <v>LA MORO</v>
      </c>
      <c r="C719" s="184"/>
      <c r="D719" s="108" t="s">
        <v>211</v>
      </c>
      <c r="E719" s="109" t="str">
        <f>'[1]COMEDORES EMERGENTES'!$G$9</f>
        <v>MAIPU NORTE 1º ETAPA MZA "H" Bº MI JARDIN</v>
      </c>
    </row>
    <row r="720" spans="2:5" x14ac:dyDescent="0.2">
      <c r="B720" s="183" t="str">
        <f>'[1]COMEDORES EMERGENTES'!$B$10</f>
        <v>PAPA FRANCISCO</v>
      </c>
      <c r="C720" s="184"/>
      <c r="D720" s="108" t="s">
        <v>234</v>
      </c>
      <c r="E720" s="109" t="str">
        <f>'[1]COMEDORES EMERGENTES'!$G$10</f>
        <v>ENTRE AV.TEREBINTO Y AV.SAN JUAN LOTE "2" MZA. "B"</v>
      </c>
    </row>
    <row r="721" spans="2:5" x14ac:dyDescent="0.2">
      <c r="B721" s="183" t="str">
        <f>'[1]COMEDORES EMERGENTES'!$B$11</f>
        <v>E.P.C - 100 V.V NORTE</v>
      </c>
      <c r="C721" s="184"/>
      <c r="D721" s="108" t="s">
        <v>235</v>
      </c>
      <c r="E721" s="109" t="str">
        <f>'[1]COMEDORES EMERGENTES'!$G$11</f>
        <v>Bº VV NORTE C/48 ENTRE ESPAÑA Y FRANCIA</v>
      </c>
    </row>
    <row r="722" spans="2:5" x14ac:dyDescent="0.2">
      <c r="B722" s="183" t="str">
        <f>'[1]COMEDORES EMERGENTES'!$B$12</f>
        <v>HOGAR DE CRISTO - PADRE RAUL CONTRERAS</v>
      </c>
      <c r="C722" s="184"/>
      <c r="D722" s="108" t="s">
        <v>235</v>
      </c>
      <c r="E722" s="109" t="str">
        <f>'[1]COMEDORES EMERGENTES'!$G$12</f>
        <v>Bº SANTA MARTA MZA. "S" LOTE "M" C/39</v>
      </c>
    </row>
    <row r="723" spans="2:5" x14ac:dyDescent="0.2">
      <c r="B723" s="183" t="str">
        <f>'[1]COMEDORES EMERGENTES'!$B$13</f>
        <v>LA LUCIERNAGA</v>
      </c>
      <c r="C723" s="184"/>
      <c r="D723" s="108" t="s">
        <v>234</v>
      </c>
      <c r="E723" s="109" t="str">
        <f>'[1]COMEDORES EMERGENTES'!$G$13</f>
        <v>Bº 20 V.V NORTE C/3</v>
      </c>
    </row>
    <row r="724" spans="2:5" x14ac:dyDescent="0.2">
      <c r="B724" s="183" t="str">
        <f>'[1]COMEDORES EMERGENTES'!$B$14</f>
        <v>VALLE VIEJO - SUMALAO</v>
      </c>
      <c r="C724" s="184"/>
      <c r="D724" s="108" t="s">
        <v>236</v>
      </c>
      <c r="E724" s="109" t="str">
        <f>'[1]COMEDORES EMERGENTES'!$G$14</f>
        <v>PADRE SEGURA S/N</v>
      </c>
    </row>
    <row r="725" spans="2:5" x14ac:dyDescent="0.2">
      <c r="B725" s="183" t="str">
        <f>'[1]COMEDORES EMERGENTES'!$B$15</f>
        <v>NUESTRO FUTURO - LAS VIAS</v>
      </c>
      <c r="C725" s="184"/>
      <c r="D725" s="108" t="s">
        <v>234</v>
      </c>
      <c r="E725" s="109" t="str">
        <f>'[1]COMEDORES EMERGENTES'!$G$15</f>
        <v>Bº LAS VIAS OESTE LOTE 42</v>
      </c>
    </row>
    <row r="726" spans="2:5" x14ac:dyDescent="0.2">
      <c r="B726" s="183" t="str">
        <f>'[1]COMEDORES EMERGENTES'!$B$16</f>
        <v>SAN JOSE OBRERO</v>
      </c>
      <c r="C726" s="184"/>
      <c r="D726" s="108" t="s">
        <v>233</v>
      </c>
      <c r="E726" s="109" t="str">
        <f>'[1]COMEDORES EMERGENTES'!$G$16</f>
        <v>Bº SAN JOSE OBRERO. PJE. SANDOVAL S/Nº</v>
      </c>
    </row>
    <row r="727" spans="2:5" x14ac:dyDescent="0.2">
      <c r="B727" s="183" t="str">
        <f>'[1]COMEDORES EMERGENTES'!$B$17</f>
        <v>VIRGEN DE LUJAN</v>
      </c>
      <c r="C727" s="184"/>
      <c r="D727" s="108" t="s">
        <v>234</v>
      </c>
      <c r="E727" s="109" t="str">
        <f>'[1]COMEDORES EMERGENTES'!$G$17</f>
        <v>Bº OJO DE AGUA C/DR.TEODULFO BARRIONUEVO S/Nº</v>
      </c>
    </row>
    <row r="728" spans="2:5" x14ac:dyDescent="0.2">
      <c r="B728" s="183" t="str">
        <f>'[1]COMEDORES EMERGENTES'!$B$18</f>
        <v>RENACER</v>
      </c>
      <c r="C728" s="184"/>
      <c r="D728" s="108" t="s">
        <v>237</v>
      </c>
      <c r="E728" s="109" t="str">
        <f>'[1]COMEDORES EMERGENTES'!$G$18</f>
        <v>Bº VIRGEN MORENITA</v>
      </c>
    </row>
    <row r="729" spans="2:5" x14ac:dyDescent="0.2">
      <c r="B729" s="183" t="str">
        <f>'[1]COMEDORES EMERGENTES'!$B$19</f>
        <v>CENTRO VECINAL MI JARDIN</v>
      </c>
      <c r="C729" s="184"/>
      <c r="D729" s="108" t="s">
        <v>238</v>
      </c>
      <c r="E729" s="109" t="str">
        <f>'[1]COMEDORES EMERGENTES'!$G$19</f>
        <v>C/ LOS TULIPANES ENTRE FLOR DE CEREZO Y HOLANDA MZA.27 Bº MI JARDIN</v>
      </c>
    </row>
    <row r="730" spans="2:5" x14ac:dyDescent="0.2">
      <c r="B730" s="183" t="str">
        <f>'[1]COMEDORES EMERGENTES'!$B$20</f>
        <v>LA VIEJA ESQUINA</v>
      </c>
      <c r="C730" s="184"/>
      <c r="D730" s="108" t="s">
        <v>239</v>
      </c>
      <c r="E730" s="109" t="str">
        <f>'[1]COMEDORES EMERGENTES'!$G$20</f>
        <v>B° CRISTO REY PJE CAPATAZ VILLAFAÑEZ Y ARMANDO CORREA</v>
      </c>
    </row>
    <row r="731" spans="2:5" x14ac:dyDescent="0.2">
      <c r="B731" s="183" t="str">
        <f>'[1]COMEDORES EMERGENTES'!$B$21</f>
        <v>GAUCHITO GIL</v>
      </c>
      <c r="C731" s="184"/>
      <c r="D731" s="108" t="s">
        <v>240</v>
      </c>
      <c r="E731" s="109" t="str">
        <f>'[1]COMEDORES EMERGENTES'!$G$21</f>
        <v>B° 26 VIVIENDAS CASA N° 3</v>
      </c>
    </row>
    <row r="732" spans="2:5" ht="13.5" thickBot="1" x14ac:dyDescent="0.25">
      <c r="B732" s="200" t="str">
        <f>'[1]COMEDORES EMERGENTES'!$B$22</f>
        <v>LOS TOLDOS</v>
      </c>
      <c r="C732" s="201"/>
      <c r="D732" s="115" t="s">
        <v>190</v>
      </c>
      <c r="E732" s="116" t="str">
        <f>'[1]COMEDORES EMERGENTES'!$G$22</f>
        <v>LOTEO PARQUE SUR CALLE S/NOMBRE S/N°</v>
      </c>
    </row>
    <row r="733" spans="2:5" x14ac:dyDescent="0.2">
      <c r="B733" s="33" t="s">
        <v>18</v>
      </c>
      <c r="C733" s="31"/>
      <c r="D733" s="72"/>
      <c r="E733" s="32"/>
    </row>
    <row r="734" spans="2:5" x14ac:dyDescent="0.2">
      <c r="B734" s="34"/>
      <c r="C734" s="199" t="s">
        <v>64</v>
      </c>
      <c r="D734" s="199"/>
      <c r="E734" s="199"/>
    </row>
    <row r="735" spans="2:5" x14ac:dyDescent="0.2">
      <c r="B735" s="33" t="s">
        <v>19</v>
      </c>
      <c r="C735" s="35"/>
      <c r="D735" s="35"/>
      <c r="E735" s="36"/>
    </row>
    <row r="736" spans="2:5" x14ac:dyDescent="0.2">
      <c r="B736" s="34"/>
      <c r="C736" s="199" t="s">
        <v>141</v>
      </c>
      <c r="D736" s="199"/>
      <c r="E736" s="199"/>
    </row>
    <row r="737" spans="2:5" x14ac:dyDescent="0.2">
      <c r="B737" s="33" t="s">
        <v>20</v>
      </c>
      <c r="C737" s="31"/>
      <c r="D737" s="72"/>
      <c r="E737" s="32"/>
    </row>
    <row r="738" spans="2:5" x14ac:dyDescent="0.2">
      <c r="B738" s="33"/>
      <c r="C738" s="198" t="s">
        <v>65</v>
      </c>
      <c r="D738" s="198"/>
      <c r="E738" s="198"/>
    </row>
    <row r="739" spans="2:5" ht="13.5" thickBot="1" x14ac:dyDescent="0.25">
      <c r="B739" s="37"/>
      <c r="C739" s="38"/>
      <c r="D739" s="73"/>
      <c r="E739" s="39"/>
    </row>
    <row r="740" spans="2:5" ht="13.5" thickBot="1" x14ac:dyDescent="0.25"/>
    <row r="741" spans="2:5" x14ac:dyDescent="0.2">
      <c r="B741" s="27" t="s">
        <v>159</v>
      </c>
      <c r="C741" s="28"/>
      <c r="D741" s="71"/>
      <c r="E741" s="29"/>
    </row>
    <row r="742" spans="2:5" x14ac:dyDescent="0.2">
      <c r="B742" s="30"/>
      <c r="C742" s="31"/>
      <c r="D742" s="72"/>
      <c r="E742" s="32"/>
    </row>
    <row r="743" spans="2:5" x14ac:dyDescent="0.2">
      <c r="B743" s="33" t="s">
        <v>16</v>
      </c>
      <c r="C743" s="31"/>
      <c r="D743" s="72"/>
      <c r="E743" s="32"/>
    </row>
    <row r="744" spans="2:5" ht="25.5" customHeight="1" x14ac:dyDescent="0.2">
      <c r="B744" s="33"/>
      <c r="C744" s="199"/>
      <c r="D744" s="199"/>
      <c r="E744" s="199"/>
    </row>
    <row r="745" spans="2:5" ht="13.5" thickBot="1" x14ac:dyDescent="0.25">
      <c r="B745" s="33" t="s">
        <v>17</v>
      </c>
      <c r="C745" s="31"/>
      <c r="D745" s="72"/>
      <c r="E745" s="32"/>
    </row>
    <row r="746" spans="2:5" ht="13.5" thickBot="1" x14ac:dyDescent="0.25">
      <c r="B746" s="185" t="s">
        <v>241</v>
      </c>
      <c r="C746" s="186"/>
      <c r="D746" s="186"/>
      <c r="E746" s="187"/>
    </row>
    <row r="747" spans="2:5" ht="13.5" thickBot="1" x14ac:dyDescent="0.25">
      <c r="B747" s="185" t="s">
        <v>139</v>
      </c>
      <c r="C747" s="187"/>
      <c r="D747" s="69" t="s">
        <v>11</v>
      </c>
      <c r="E747" s="69" t="s">
        <v>140</v>
      </c>
    </row>
    <row r="748" spans="2:5" x14ac:dyDescent="0.2">
      <c r="B748" s="192" t="str">
        <f>'[1]COMEDORES EMERGENTES'!$B$3</f>
        <v>UNA SONRISA AV. LOS COBACHO</v>
      </c>
      <c r="C748" s="193"/>
      <c r="D748" s="113" t="s">
        <v>242</v>
      </c>
      <c r="E748" s="114" t="str">
        <f>'[1]COMEDORES EMERGENTES'!$G$3</f>
        <v>Bº SAN CARLOS OESTE AV. Bonifacio cobacho 670</v>
      </c>
    </row>
    <row r="749" spans="2:5" x14ac:dyDescent="0.2">
      <c r="B749" s="183" t="str">
        <f>'[1]COMEDORES EMERGENTES'!$B$4</f>
        <v>C.I.F Nº1 - RIVERA DEL VALLE Y FLORIDA</v>
      </c>
      <c r="C749" s="184"/>
      <c r="D749" s="108" t="s">
        <v>242</v>
      </c>
      <c r="E749" s="109" t="str">
        <f>'[1]COMEDORES EMERGENTES'!$G$4</f>
        <v>AV. RIVIERA DEL VALLE ENTRE FLORIDA Y SANTA FE</v>
      </c>
    </row>
    <row r="750" spans="2:5" x14ac:dyDescent="0.2">
      <c r="B750" s="183" t="str">
        <f>'[1]COMEDORES EMERGENTES'!$B$5</f>
        <v>C.I.F - RIVERA DEL VALLE - DILORENZO</v>
      </c>
      <c r="C750" s="184"/>
      <c r="D750" s="108" t="s">
        <v>242</v>
      </c>
      <c r="E750" s="109" t="str">
        <f>'[1]COMEDORES EMERGENTES'!$G$5</f>
        <v>Bº RIVERA DEL VALLE ENTRE VILLA EUMELIA Y MONTE CRISTO</v>
      </c>
    </row>
    <row r="751" spans="2:5" x14ac:dyDescent="0.2">
      <c r="B751" s="183" t="str">
        <f>'[1]COMEDORES EMERGENTES'!$B$6</f>
        <v>ESFUERZO PROPIO- Bº ALTOS DE CHOYA</v>
      </c>
      <c r="C751" s="184"/>
      <c r="D751" s="108" t="s">
        <v>242</v>
      </c>
      <c r="E751" s="109" t="str">
        <f>'[1]COMEDORES EMERGENTES'!$G$6</f>
        <v>Bº MUNICIPAL 35VV. NORTE C/14</v>
      </c>
    </row>
    <row r="752" spans="2:5" x14ac:dyDescent="0.2">
      <c r="B752" s="183" t="str">
        <f>'[1]COMEDORES EMERGENTES'!$B$7</f>
        <v>ANGELITOS - LOTEO SUSSEX</v>
      </c>
      <c r="C752" s="184"/>
      <c r="D752" s="108" t="s">
        <v>242</v>
      </c>
      <c r="E752" s="109" t="str">
        <f>'[1]COMEDORES EMERGENTES'!$G$7</f>
        <v>Bº LOTEO SUSEX MZA.Nº 4 LOTE Nº3</v>
      </c>
    </row>
    <row r="753" spans="2:5" x14ac:dyDescent="0.2">
      <c r="B753" s="183" t="str">
        <f>'[1]COMEDORES EMERGENTES'!$B$8</f>
        <v>CLUB DEPORTIVO CHACARITA</v>
      </c>
      <c r="C753" s="184"/>
      <c r="D753" s="108" t="s">
        <v>242</v>
      </c>
      <c r="E753" s="109" t="str">
        <f>'[1]COMEDORES EMERGENTES'!$G$8</f>
        <v>CALLE DR.DERMIDIO GALINDEZ C/2660</v>
      </c>
    </row>
    <row r="754" spans="2:5" x14ac:dyDescent="0.2">
      <c r="B754" s="183" t="str">
        <f>'[1]COMEDORES EMERGENTES'!$B$9</f>
        <v>LA MORO</v>
      </c>
      <c r="C754" s="184"/>
      <c r="D754" s="108" t="s">
        <v>242</v>
      </c>
      <c r="E754" s="109" t="str">
        <f>'[1]COMEDORES EMERGENTES'!$G$9</f>
        <v>MAIPU NORTE 1º ETAPA MZA "H" Bº MI JARDIN</v>
      </c>
    </row>
    <row r="755" spans="2:5" x14ac:dyDescent="0.2">
      <c r="B755" s="183" t="str">
        <f>'[1]COMEDORES EMERGENTES'!$B$10</f>
        <v>PAPA FRANCISCO</v>
      </c>
      <c r="C755" s="184"/>
      <c r="D755" s="108" t="s">
        <v>242</v>
      </c>
      <c r="E755" s="109" t="str">
        <f>'[1]COMEDORES EMERGENTES'!$G$10</f>
        <v>ENTRE AV.TEREBINTO Y AV.SAN JUAN LOTE "2" MZA. "B"</v>
      </c>
    </row>
    <row r="756" spans="2:5" x14ac:dyDescent="0.2">
      <c r="B756" s="183" t="str">
        <f>'[1]COMEDORES EMERGENTES'!$B$11</f>
        <v>E.P.C - 100 V.V NORTE</v>
      </c>
      <c r="C756" s="184"/>
      <c r="D756" s="108" t="s">
        <v>242</v>
      </c>
      <c r="E756" s="109" t="str">
        <f>'[1]COMEDORES EMERGENTES'!$G$11</f>
        <v>Bº VV NORTE C/48 ENTRE ESPAÑA Y FRANCIA</v>
      </c>
    </row>
    <row r="757" spans="2:5" x14ac:dyDescent="0.2">
      <c r="B757" s="183" t="str">
        <f>'[1]COMEDORES EMERGENTES'!$B$12</f>
        <v>HOGAR DE CRISTO - PADRE RAUL CONTRERAS</v>
      </c>
      <c r="C757" s="184"/>
      <c r="D757" s="108" t="s">
        <v>242</v>
      </c>
      <c r="E757" s="109" t="str">
        <f>'[1]COMEDORES EMERGENTES'!$G$12</f>
        <v>Bº SANTA MARTA MZA. "S" LOTE "M" C/39</v>
      </c>
    </row>
    <row r="758" spans="2:5" x14ac:dyDescent="0.2">
      <c r="B758" s="183" t="str">
        <f>'[1]COMEDORES EMERGENTES'!$B$13</f>
        <v>LA LUCIERNAGA</v>
      </c>
      <c r="C758" s="184"/>
      <c r="D758" s="108" t="s">
        <v>242</v>
      </c>
      <c r="E758" s="109" t="str">
        <f>'[1]COMEDORES EMERGENTES'!$G$13</f>
        <v>Bº 20 V.V NORTE C/3</v>
      </c>
    </row>
    <row r="759" spans="2:5" x14ac:dyDescent="0.2">
      <c r="B759" s="183" t="str">
        <f>'[1]COMEDORES EMERGENTES'!$B$14</f>
        <v>VALLE VIEJO - SUMALAO</v>
      </c>
      <c r="C759" s="184"/>
      <c r="D759" s="108" t="s">
        <v>242</v>
      </c>
      <c r="E759" s="109" t="str">
        <f>'[1]COMEDORES EMERGENTES'!$G$14</f>
        <v>PADRE SEGURA S/N</v>
      </c>
    </row>
    <row r="760" spans="2:5" x14ac:dyDescent="0.2">
      <c r="B760" s="183" t="str">
        <f>'[1]COMEDORES EMERGENTES'!$B$15</f>
        <v>NUESTRO FUTURO - LAS VIAS</v>
      </c>
      <c r="C760" s="184"/>
      <c r="D760" s="108" t="s">
        <v>242</v>
      </c>
      <c r="E760" s="109" t="str">
        <f>'[1]COMEDORES EMERGENTES'!$G$15</f>
        <v>Bº LAS VIAS OESTE LOTE 42</v>
      </c>
    </row>
    <row r="761" spans="2:5" x14ac:dyDescent="0.2">
      <c r="B761" s="183" t="str">
        <f>'[1]COMEDORES EMERGENTES'!$B$16</f>
        <v>SAN JOSE OBRERO</v>
      </c>
      <c r="C761" s="184"/>
      <c r="D761" s="108" t="s">
        <v>242</v>
      </c>
      <c r="E761" s="109" t="str">
        <f>'[1]COMEDORES EMERGENTES'!$G$16</f>
        <v>Bº SAN JOSE OBRERO. PJE. SANDOVAL S/Nº</v>
      </c>
    </row>
    <row r="762" spans="2:5" x14ac:dyDescent="0.2">
      <c r="B762" s="183" t="str">
        <f>'[1]COMEDORES EMERGENTES'!$B$17</f>
        <v>VIRGEN DE LUJAN</v>
      </c>
      <c r="C762" s="184"/>
      <c r="D762" s="108" t="s">
        <v>242</v>
      </c>
      <c r="E762" s="109" t="str">
        <f>'[1]COMEDORES EMERGENTES'!$G$17</f>
        <v>Bº OJO DE AGUA C/DR.TEODULFO BARRIONUEVO S/Nº</v>
      </c>
    </row>
    <row r="763" spans="2:5" x14ac:dyDescent="0.2">
      <c r="B763" s="183" t="str">
        <f>'[1]COMEDORES EMERGENTES'!$B$18</f>
        <v>RENACER</v>
      </c>
      <c r="C763" s="184"/>
      <c r="D763" s="108" t="s">
        <v>242</v>
      </c>
      <c r="E763" s="109" t="str">
        <f>'[1]COMEDORES EMERGENTES'!$G$18</f>
        <v>Bº VIRGEN MORENITA</v>
      </c>
    </row>
    <row r="764" spans="2:5" x14ac:dyDescent="0.2">
      <c r="B764" s="183" t="str">
        <f>'[1]COMEDORES EMERGENTES'!$B$19</f>
        <v>CENTRO VECINAL MI JARDIN</v>
      </c>
      <c r="C764" s="184"/>
      <c r="D764" s="108" t="s">
        <v>242</v>
      </c>
      <c r="E764" s="109" t="str">
        <f>'[1]COMEDORES EMERGENTES'!$G$19</f>
        <v>C/ LOS TULIPANES ENTRE FLOR DE CEREZO Y HOLANDA MZA.27 Bº MI JARDIN</v>
      </c>
    </row>
    <row r="765" spans="2:5" x14ac:dyDescent="0.2">
      <c r="B765" s="183" t="str">
        <f>'[1]COMEDORES EMERGENTES'!$B$20</f>
        <v>LA VIEJA ESQUINA</v>
      </c>
      <c r="C765" s="184"/>
      <c r="D765" s="108" t="s">
        <v>242</v>
      </c>
      <c r="E765" s="109" t="str">
        <f>'[1]COMEDORES EMERGENTES'!$G$20</f>
        <v>B° CRISTO REY PJE CAPATAZ VILLAFAÑEZ Y ARMANDO CORREA</v>
      </c>
    </row>
    <row r="766" spans="2:5" x14ac:dyDescent="0.2">
      <c r="B766" s="183" t="str">
        <f>'[1]COMEDORES EMERGENTES'!$B$21</f>
        <v>GAUCHITO GIL</v>
      </c>
      <c r="C766" s="184"/>
      <c r="D766" s="108" t="s">
        <v>242</v>
      </c>
      <c r="E766" s="109" t="str">
        <f>'[1]COMEDORES EMERGENTES'!$G$21</f>
        <v>B° 26 VIVIENDAS CASA N° 3</v>
      </c>
    </row>
    <row r="767" spans="2:5" ht="13.5" thickBot="1" x14ac:dyDescent="0.25">
      <c r="B767" s="200" t="str">
        <f>'[1]COMEDORES EMERGENTES'!$B$22</f>
        <v>LOS TOLDOS</v>
      </c>
      <c r="C767" s="201"/>
      <c r="D767" s="115" t="s">
        <v>242</v>
      </c>
      <c r="E767" s="116" t="str">
        <f>'[1]COMEDORES EMERGENTES'!$G$22</f>
        <v>LOTEO PARQUE SUR CALLE S/NOMBRE S/N°</v>
      </c>
    </row>
    <row r="768" spans="2:5" x14ac:dyDescent="0.2">
      <c r="B768" s="33" t="s">
        <v>18</v>
      </c>
      <c r="C768" s="31"/>
      <c r="D768" s="72"/>
      <c r="E768" s="32"/>
    </row>
    <row r="769" spans="2:5" x14ac:dyDescent="0.2">
      <c r="B769" s="34"/>
      <c r="C769" s="199" t="s">
        <v>64</v>
      </c>
      <c r="D769" s="199"/>
      <c r="E769" s="199"/>
    </row>
    <row r="770" spans="2:5" x14ac:dyDescent="0.2">
      <c r="B770" s="33" t="s">
        <v>19</v>
      </c>
      <c r="C770" s="35"/>
      <c r="D770" s="35"/>
      <c r="E770" s="36"/>
    </row>
    <row r="771" spans="2:5" x14ac:dyDescent="0.2">
      <c r="B771" s="34"/>
      <c r="C771" s="199" t="s">
        <v>141</v>
      </c>
      <c r="D771" s="199"/>
      <c r="E771" s="199"/>
    </row>
    <row r="772" spans="2:5" x14ac:dyDescent="0.2">
      <c r="B772" s="33" t="s">
        <v>20</v>
      </c>
      <c r="C772" s="31"/>
      <c r="D772" s="72"/>
      <c r="E772" s="32"/>
    </row>
    <row r="773" spans="2:5" x14ac:dyDescent="0.2">
      <c r="B773" s="33"/>
      <c r="C773" s="198" t="s">
        <v>65</v>
      </c>
      <c r="D773" s="198"/>
      <c r="E773" s="198"/>
    </row>
    <row r="774" spans="2:5" ht="13.5" thickBot="1" x14ac:dyDescent="0.25">
      <c r="B774" s="37"/>
      <c r="C774" s="38"/>
      <c r="D774" s="73"/>
      <c r="E774" s="39"/>
    </row>
    <row r="775" spans="2:5" ht="13.5" thickBot="1" x14ac:dyDescent="0.25"/>
    <row r="776" spans="2:5" x14ac:dyDescent="0.2">
      <c r="B776" s="27" t="s">
        <v>160</v>
      </c>
      <c r="C776" s="28"/>
      <c r="D776" s="71"/>
      <c r="E776" s="29"/>
    </row>
    <row r="777" spans="2:5" x14ac:dyDescent="0.2">
      <c r="B777" s="30"/>
      <c r="C777" s="31"/>
      <c r="D777" s="72"/>
      <c r="E777" s="32"/>
    </row>
    <row r="778" spans="2:5" x14ac:dyDescent="0.2">
      <c r="B778" s="33" t="s">
        <v>16</v>
      </c>
      <c r="C778" s="31"/>
      <c r="D778" s="72"/>
      <c r="E778" s="32"/>
    </row>
    <row r="779" spans="2:5" ht="25.5" customHeight="1" x14ac:dyDescent="0.2">
      <c r="B779" s="33"/>
      <c r="C779" s="199"/>
      <c r="D779" s="199"/>
      <c r="E779" s="199"/>
    </row>
    <row r="780" spans="2:5" ht="13.5" thickBot="1" x14ac:dyDescent="0.25">
      <c r="B780" s="33" t="s">
        <v>17</v>
      </c>
      <c r="C780" s="31"/>
      <c r="D780" s="72"/>
      <c r="E780" s="32"/>
    </row>
    <row r="781" spans="2:5" ht="13.5" thickBot="1" x14ac:dyDescent="0.25">
      <c r="B781" s="185" t="s">
        <v>241</v>
      </c>
      <c r="C781" s="186"/>
      <c r="D781" s="186"/>
      <c r="E781" s="187"/>
    </row>
    <row r="782" spans="2:5" ht="13.5" thickBot="1" x14ac:dyDescent="0.25">
      <c r="B782" s="185" t="s">
        <v>139</v>
      </c>
      <c r="C782" s="187"/>
      <c r="D782" s="69" t="s">
        <v>11</v>
      </c>
      <c r="E782" s="69" t="s">
        <v>140</v>
      </c>
    </row>
    <row r="783" spans="2:5" x14ac:dyDescent="0.2">
      <c r="B783" s="192" t="str">
        <f>'[1]COMEDORES EMERGENTES'!$B$3</f>
        <v>UNA SONRISA AV. LOS COBACHO</v>
      </c>
      <c r="C783" s="193"/>
      <c r="D783" s="113" t="s">
        <v>242</v>
      </c>
      <c r="E783" s="114" t="str">
        <f>'[1]COMEDORES EMERGENTES'!$G$3</f>
        <v>Bº SAN CARLOS OESTE AV. Bonifacio cobacho 670</v>
      </c>
    </row>
    <row r="784" spans="2:5" x14ac:dyDescent="0.2">
      <c r="B784" s="183" t="str">
        <f>'[1]COMEDORES EMERGENTES'!$B$4</f>
        <v>C.I.F Nº1 - RIVERA DEL VALLE Y FLORIDA</v>
      </c>
      <c r="C784" s="184"/>
      <c r="D784" s="108" t="s">
        <v>242</v>
      </c>
      <c r="E784" s="109" t="str">
        <f>'[1]COMEDORES EMERGENTES'!$G$4</f>
        <v>AV. RIVIERA DEL VALLE ENTRE FLORIDA Y SANTA FE</v>
      </c>
    </row>
    <row r="785" spans="2:5" x14ac:dyDescent="0.2">
      <c r="B785" s="183" t="str">
        <f>'[1]COMEDORES EMERGENTES'!$B$5</f>
        <v>C.I.F - RIVERA DEL VALLE - DILORENZO</v>
      </c>
      <c r="C785" s="184"/>
      <c r="D785" s="108" t="s">
        <v>242</v>
      </c>
      <c r="E785" s="109" t="str">
        <f>'[1]COMEDORES EMERGENTES'!$G$5</f>
        <v>Bº RIVERA DEL VALLE ENTRE VILLA EUMELIA Y MONTE CRISTO</v>
      </c>
    </row>
    <row r="786" spans="2:5" x14ac:dyDescent="0.2">
      <c r="B786" s="183" t="str">
        <f>'[1]COMEDORES EMERGENTES'!$B$6</f>
        <v>ESFUERZO PROPIO- Bº ALTOS DE CHOYA</v>
      </c>
      <c r="C786" s="184"/>
      <c r="D786" s="108" t="s">
        <v>242</v>
      </c>
      <c r="E786" s="109" t="str">
        <f>'[1]COMEDORES EMERGENTES'!$G$6</f>
        <v>Bº MUNICIPAL 35VV. NORTE C/14</v>
      </c>
    </row>
    <row r="787" spans="2:5" x14ac:dyDescent="0.2">
      <c r="B787" s="183" t="str">
        <f>'[1]COMEDORES EMERGENTES'!$B$7</f>
        <v>ANGELITOS - LOTEO SUSSEX</v>
      </c>
      <c r="C787" s="184"/>
      <c r="D787" s="108" t="s">
        <v>242</v>
      </c>
      <c r="E787" s="109" t="str">
        <f>'[1]COMEDORES EMERGENTES'!$G$7</f>
        <v>Bº LOTEO SUSEX MZA.Nº 4 LOTE Nº3</v>
      </c>
    </row>
    <row r="788" spans="2:5" x14ac:dyDescent="0.2">
      <c r="B788" s="183" t="str">
        <f>'[1]COMEDORES EMERGENTES'!$B$8</f>
        <v>CLUB DEPORTIVO CHACARITA</v>
      </c>
      <c r="C788" s="184"/>
      <c r="D788" s="108" t="s">
        <v>242</v>
      </c>
      <c r="E788" s="109" t="str">
        <f>'[1]COMEDORES EMERGENTES'!$G$8</f>
        <v>CALLE DR.DERMIDIO GALINDEZ C/2660</v>
      </c>
    </row>
    <row r="789" spans="2:5" x14ac:dyDescent="0.2">
      <c r="B789" s="183" t="str">
        <f>'[1]COMEDORES EMERGENTES'!$B$9</f>
        <v>LA MORO</v>
      </c>
      <c r="C789" s="184"/>
      <c r="D789" s="108" t="s">
        <v>242</v>
      </c>
      <c r="E789" s="109" t="str">
        <f>'[1]COMEDORES EMERGENTES'!$G$9</f>
        <v>MAIPU NORTE 1º ETAPA MZA "H" Bº MI JARDIN</v>
      </c>
    </row>
    <row r="790" spans="2:5" x14ac:dyDescent="0.2">
      <c r="B790" s="183" t="str">
        <f>'[1]COMEDORES EMERGENTES'!$B$10</f>
        <v>PAPA FRANCISCO</v>
      </c>
      <c r="C790" s="184"/>
      <c r="D790" s="108" t="s">
        <v>242</v>
      </c>
      <c r="E790" s="109" t="str">
        <f>'[1]COMEDORES EMERGENTES'!$G$10</f>
        <v>ENTRE AV.TEREBINTO Y AV.SAN JUAN LOTE "2" MZA. "B"</v>
      </c>
    </row>
    <row r="791" spans="2:5" x14ac:dyDescent="0.2">
      <c r="B791" s="183" t="str">
        <f>'[1]COMEDORES EMERGENTES'!$B$11</f>
        <v>E.P.C - 100 V.V NORTE</v>
      </c>
      <c r="C791" s="184"/>
      <c r="D791" s="108" t="s">
        <v>242</v>
      </c>
      <c r="E791" s="109" t="str">
        <f>'[1]COMEDORES EMERGENTES'!$G$11</f>
        <v>Bº VV NORTE C/48 ENTRE ESPAÑA Y FRANCIA</v>
      </c>
    </row>
    <row r="792" spans="2:5" x14ac:dyDescent="0.2">
      <c r="B792" s="183" t="str">
        <f>'[1]COMEDORES EMERGENTES'!$B$12</f>
        <v>HOGAR DE CRISTO - PADRE RAUL CONTRERAS</v>
      </c>
      <c r="C792" s="184"/>
      <c r="D792" s="108" t="s">
        <v>242</v>
      </c>
      <c r="E792" s="109" t="str">
        <f>'[1]COMEDORES EMERGENTES'!$G$12</f>
        <v>Bº SANTA MARTA MZA. "S" LOTE "M" C/39</v>
      </c>
    </row>
    <row r="793" spans="2:5" x14ac:dyDescent="0.2">
      <c r="B793" s="183" t="str">
        <f>'[1]COMEDORES EMERGENTES'!$B$13</f>
        <v>LA LUCIERNAGA</v>
      </c>
      <c r="C793" s="184"/>
      <c r="D793" s="108" t="s">
        <v>242</v>
      </c>
      <c r="E793" s="109" t="str">
        <f>'[1]COMEDORES EMERGENTES'!$G$13</f>
        <v>Bº 20 V.V NORTE C/3</v>
      </c>
    </row>
    <row r="794" spans="2:5" x14ac:dyDescent="0.2">
      <c r="B794" s="183" t="str">
        <f>'[1]COMEDORES EMERGENTES'!$B$14</f>
        <v>VALLE VIEJO - SUMALAO</v>
      </c>
      <c r="C794" s="184"/>
      <c r="D794" s="108" t="s">
        <v>242</v>
      </c>
      <c r="E794" s="109" t="str">
        <f>'[1]COMEDORES EMERGENTES'!$G$14</f>
        <v>PADRE SEGURA S/N</v>
      </c>
    </row>
    <row r="795" spans="2:5" x14ac:dyDescent="0.2">
      <c r="B795" s="183" t="str">
        <f>'[1]COMEDORES EMERGENTES'!$B$15</f>
        <v>NUESTRO FUTURO - LAS VIAS</v>
      </c>
      <c r="C795" s="184"/>
      <c r="D795" s="108" t="s">
        <v>242</v>
      </c>
      <c r="E795" s="109" t="str">
        <f>'[1]COMEDORES EMERGENTES'!$G$15</f>
        <v>Bº LAS VIAS OESTE LOTE 42</v>
      </c>
    </row>
    <row r="796" spans="2:5" x14ac:dyDescent="0.2">
      <c r="B796" s="183" t="str">
        <f>'[1]COMEDORES EMERGENTES'!$B$16</f>
        <v>SAN JOSE OBRERO</v>
      </c>
      <c r="C796" s="184"/>
      <c r="D796" s="108" t="s">
        <v>242</v>
      </c>
      <c r="E796" s="109" t="str">
        <f>'[1]COMEDORES EMERGENTES'!$G$16</f>
        <v>Bº SAN JOSE OBRERO. PJE. SANDOVAL S/Nº</v>
      </c>
    </row>
    <row r="797" spans="2:5" x14ac:dyDescent="0.2">
      <c r="B797" s="183" t="str">
        <f>'[1]COMEDORES EMERGENTES'!$B$17</f>
        <v>VIRGEN DE LUJAN</v>
      </c>
      <c r="C797" s="184"/>
      <c r="D797" s="108" t="s">
        <v>242</v>
      </c>
      <c r="E797" s="109" t="str">
        <f>'[1]COMEDORES EMERGENTES'!$G$17</f>
        <v>Bº OJO DE AGUA C/DR.TEODULFO BARRIONUEVO S/Nº</v>
      </c>
    </row>
    <row r="798" spans="2:5" x14ac:dyDescent="0.2">
      <c r="B798" s="183" t="str">
        <f>'[1]COMEDORES EMERGENTES'!$B$18</f>
        <v>RENACER</v>
      </c>
      <c r="C798" s="184"/>
      <c r="D798" s="108" t="s">
        <v>242</v>
      </c>
      <c r="E798" s="109" t="str">
        <f>'[1]COMEDORES EMERGENTES'!$G$18</f>
        <v>Bº VIRGEN MORENITA</v>
      </c>
    </row>
    <row r="799" spans="2:5" x14ac:dyDescent="0.2">
      <c r="B799" s="183" t="str">
        <f>'[1]COMEDORES EMERGENTES'!$B$19</f>
        <v>CENTRO VECINAL MI JARDIN</v>
      </c>
      <c r="C799" s="184"/>
      <c r="D799" s="108" t="s">
        <v>242</v>
      </c>
      <c r="E799" s="109" t="str">
        <f>'[1]COMEDORES EMERGENTES'!$G$19</f>
        <v>C/ LOS TULIPANES ENTRE FLOR DE CEREZO Y HOLANDA MZA.27 Bº MI JARDIN</v>
      </c>
    </row>
    <row r="800" spans="2:5" x14ac:dyDescent="0.2">
      <c r="B800" s="183" t="str">
        <f>'[1]COMEDORES EMERGENTES'!$B$20</f>
        <v>LA VIEJA ESQUINA</v>
      </c>
      <c r="C800" s="184"/>
      <c r="D800" s="108" t="s">
        <v>242</v>
      </c>
      <c r="E800" s="109" t="str">
        <f>'[1]COMEDORES EMERGENTES'!$G$20</f>
        <v>B° CRISTO REY PJE CAPATAZ VILLAFAÑEZ Y ARMANDO CORREA</v>
      </c>
    </row>
    <row r="801" spans="2:5" x14ac:dyDescent="0.2">
      <c r="B801" s="183" t="str">
        <f>'[1]COMEDORES EMERGENTES'!$B$21</f>
        <v>GAUCHITO GIL</v>
      </c>
      <c r="C801" s="184"/>
      <c r="D801" s="108" t="s">
        <v>242</v>
      </c>
      <c r="E801" s="109" t="str">
        <f>'[1]COMEDORES EMERGENTES'!$G$21</f>
        <v>B° 26 VIVIENDAS CASA N° 3</v>
      </c>
    </row>
    <row r="802" spans="2:5" ht="13.5" thickBot="1" x14ac:dyDescent="0.25">
      <c r="B802" s="200" t="str">
        <f>'[1]COMEDORES EMERGENTES'!$B$22</f>
        <v>LOS TOLDOS</v>
      </c>
      <c r="C802" s="201"/>
      <c r="D802" s="115" t="s">
        <v>242</v>
      </c>
      <c r="E802" s="116" t="str">
        <f>'[1]COMEDORES EMERGENTES'!$G$22</f>
        <v>LOTEO PARQUE SUR CALLE S/NOMBRE S/N°</v>
      </c>
    </row>
    <row r="803" spans="2:5" x14ac:dyDescent="0.2">
      <c r="B803" s="33" t="s">
        <v>18</v>
      </c>
      <c r="C803" s="31"/>
      <c r="D803" s="72"/>
      <c r="E803" s="32"/>
    </row>
    <row r="804" spans="2:5" x14ac:dyDescent="0.2">
      <c r="B804" s="34"/>
      <c r="C804" s="199" t="s">
        <v>64</v>
      </c>
      <c r="D804" s="199"/>
      <c r="E804" s="199"/>
    </row>
    <row r="805" spans="2:5" x14ac:dyDescent="0.2">
      <c r="B805" s="33" t="s">
        <v>19</v>
      </c>
      <c r="C805" s="35"/>
      <c r="D805" s="35"/>
      <c r="E805" s="36"/>
    </row>
    <row r="806" spans="2:5" x14ac:dyDescent="0.2">
      <c r="B806" s="34"/>
      <c r="C806" s="199" t="s">
        <v>141</v>
      </c>
      <c r="D806" s="199"/>
      <c r="E806" s="199"/>
    </row>
    <row r="807" spans="2:5" x14ac:dyDescent="0.2">
      <c r="B807" s="33" t="s">
        <v>20</v>
      </c>
      <c r="C807" s="31"/>
      <c r="D807" s="72"/>
      <c r="E807" s="32"/>
    </row>
    <row r="808" spans="2:5" x14ac:dyDescent="0.2">
      <c r="B808" s="33"/>
      <c r="C808" s="198" t="s">
        <v>65</v>
      </c>
      <c r="D808" s="198"/>
      <c r="E808" s="198"/>
    </row>
    <row r="809" spans="2:5" ht="13.5" thickBot="1" x14ac:dyDescent="0.25">
      <c r="B809" s="37"/>
      <c r="C809" s="38"/>
      <c r="D809" s="73"/>
      <c r="E809" s="39"/>
    </row>
    <row r="810" spans="2:5" ht="13.5" thickBot="1" x14ac:dyDescent="0.25"/>
    <row r="811" spans="2:5" x14ac:dyDescent="0.2">
      <c r="B811" s="27" t="s">
        <v>161</v>
      </c>
      <c r="C811" s="28"/>
      <c r="D811" s="71"/>
      <c r="E811" s="29"/>
    </row>
    <row r="812" spans="2:5" x14ac:dyDescent="0.2">
      <c r="B812" s="30"/>
      <c r="C812" s="31"/>
      <c r="D812" s="72"/>
      <c r="E812" s="32"/>
    </row>
    <row r="813" spans="2:5" x14ac:dyDescent="0.2">
      <c r="B813" s="33" t="s">
        <v>16</v>
      </c>
      <c r="C813" s="31"/>
      <c r="D813" s="72"/>
      <c r="E813" s="32"/>
    </row>
    <row r="814" spans="2:5" ht="25.5" customHeight="1" x14ac:dyDescent="0.2">
      <c r="B814" s="33"/>
      <c r="C814" s="199"/>
      <c r="D814" s="199"/>
      <c r="E814" s="199"/>
    </row>
    <row r="815" spans="2:5" ht="13.5" thickBot="1" x14ac:dyDescent="0.25">
      <c r="B815" s="33" t="s">
        <v>17</v>
      </c>
      <c r="C815" s="31"/>
      <c r="D815" s="72"/>
      <c r="E815" s="32"/>
    </row>
    <row r="816" spans="2:5" ht="13.5" thickBot="1" x14ac:dyDescent="0.25">
      <c r="B816" s="185" t="s">
        <v>241</v>
      </c>
      <c r="C816" s="186"/>
      <c r="D816" s="186"/>
      <c r="E816" s="187"/>
    </row>
    <row r="817" spans="2:5" ht="13.5" thickBot="1" x14ac:dyDescent="0.25">
      <c r="B817" s="185" t="s">
        <v>139</v>
      </c>
      <c r="C817" s="187"/>
      <c r="D817" s="69" t="s">
        <v>11</v>
      </c>
      <c r="E817" s="69" t="s">
        <v>140</v>
      </c>
    </row>
    <row r="818" spans="2:5" x14ac:dyDescent="0.2">
      <c r="B818" s="192" t="str">
        <f>'[1]COMEDORES EMERGENTES'!$B$3</f>
        <v>UNA SONRISA AV. LOS COBACHO</v>
      </c>
      <c r="C818" s="193"/>
      <c r="D818" s="113" t="s">
        <v>242</v>
      </c>
      <c r="E818" s="114" t="str">
        <f>'[1]COMEDORES EMERGENTES'!$G$3</f>
        <v>Bº SAN CARLOS OESTE AV. Bonifacio cobacho 670</v>
      </c>
    </row>
    <row r="819" spans="2:5" x14ac:dyDescent="0.2">
      <c r="B819" s="183" t="str">
        <f>'[1]COMEDORES EMERGENTES'!$B$4</f>
        <v>C.I.F Nº1 - RIVERA DEL VALLE Y FLORIDA</v>
      </c>
      <c r="C819" s="184"/>
      <c r="D819" s="108" t="s">
        <v>242</v>
      </c>
      <c r="E819" s="109" t="str">
        <f>'[1]COMEDORES EMERGENTES'!$G$4</f>
        <v>AV. RIVIERA DEL VALLE ENTRE FLORIDA Y SANTA FE</v>
      </c>
    </row>
    <row r="820" spans="2:5" x14ac:dyDescent="0.2">
      <c r="B820" s="183" t="str">
        <f>'[1]COMEDORES EMERGENTES'!$B$5</f>
        <v>C.I.F - RIVERA DEL VALLE - DILORENZO</v>
      </c>
      <c r="C820" s="184"/>
      <c r="D820" s="108" t="s">
        <v>242</v>
      </c>
      <c r="E820" s="109" t="str">
        <f>'[1]COMEDORES EMERGENTES'!$G$5</f>
        <v>Bº RIVERA DEL VALLE ENTRE VILLA EUMELIA Y MONTE CRISTO</v>
      </c>
    </row>
    <row r="821" spans="2:5" x14ac:dyDescent="0.2">
      <c r="B821" s="183" t="str">
        <f>'[1]COMEDORES EMERGENTES'!$B$6</f>
        <v>ESFUERZO PROPIO- Bº ALTOS DE CHOYA</v>
      </c>
      <c r="C821" s="184"/>
      <c r="D821" s="108" t="s">
        <v>242</v>
      </c>
      <c r="E821" s="109" t="str">
        <f>'[1]COMEDORES EMERGENTES'!$G$6</f>
        <v>Bº MUNICIPAL 35VV. NORTE C/14</v>
      </c>
    </row>
    <row r="822" spans="2:5" x14ac:dyDescent="0.2">
      <c r="B822" s="183" t="str">
        <f>'[1]COMEDORES EMERGENTES'!$B$7</f>
        <v>ANGELITOS - LOTEO SUSSEX</v>
      </c>
      <c r="C822" s="184"/>
      <c r="D822" s="108" t="s">
        <v>242</v>
      </c>
      <c r="E822" s="109" t="str">
        <f>'[1]COMEDORES EMERGENTES'!$G$7</f>
        <v>Bº LOTEO SUSEX MZA.Nº 4 LOTE Nº3</v>
      </c>
    </row>
    <row r="823" spans="2:5" x14ac:dyDescent="0.2">
      <c r="B823" s="183" t="str">
        <f>'[1]COMEDORES EMERGENTES'!$B$8</f>
        <v>CLUB DEPORTIVO CHACARITA</v>
      </c>
      <c r="C823" s="184"/>
      <c r="D823" s="108" t="s">
        <v>242</v>
      </c>
      <c r="E823" s="109" t="str">
        <f>'[1]COMEDORES EMERGENTES'!$G$8</f>
        <v>CALLE DR.DERMIDIO GALINDEZ C/2660</v>
      </c>
    </row>
    <row r="824" spans="2:5" x14ac:dyDescent="0.2">
      <c r="B824" s="183" t="str">
        <f>'[1]COMEDORES EMERGENTES'!$B$9</f>
        <v>LA MORO</v>
      </c>
      <c r="C824" s="184"/>
      <c r="D824" s="108" t="s">
        <v>242</v>
      </c>
      <c r="E824" s="109" t="str">
        <f>'[1]COMEDORES EMERGENTES'!$G$9</f>
        <v>MAIPU NORTE 1º ETAPA MZA "H" Bº MI JARDIN</v>
      </c>
    </row>
    <row r="825" spans="2:5" x14ac:dyDescent="0.2">
      <c r="B825" s="183" t="str">
        <f>'[1]COMEDORES EMERGENTES'!$B$10</f>
        <v>PAPA FRANCISCO</v>
      </c>
      <c r="C825" s="184"/>
      <c r="D825" s="108" t="s">
        <v>242</v>
      </c>
      <c r="E825" s="109" t="str">
        <f>'[1]COMEDORES EMERGENTES'!$G$10</f>
        <v>ENTRE AV.TEREBINTO Y AV.SAN JUAN LOTE "2" MZA. "B"</v>
      </c>
    </row>
    <row r="826" spans="2:5" x14ac:dyDescent="0.2">
      <c r="B826" s="183" t="str">
        <f>'[1]COMEDORES EMERGENTES'!$B$11</f>
        <v>E.P.C - 100 V.V NORTE</v>
      </c>
      <c r="C826" s="184"/>
      <c r="D826" s="108" t="s">
        <v>242</v>
      </c>
      <c r="E826" s="109" t="str">
        <f>'[1]COMEDORES EMERGENTES'!$G$11</f>
        <v>Bº VV NORTE C/48 ENTRE ESPAÑA Y FRANCIA</v>
      </c>
    </row>
    <row r="827" spans="2:5" x14ac:dyDescent="0.2">
      <c r="B827" s="183" t="str">
        <f>'[1]COMEDORES EMERGENTES'!$B$12</f>
        <v>HOGAR DE CRISTO - PADRE RAUL CONTRERAS</v>
      </c>
      <c r="C827" s="184"/>
      <c r="D827" s="108" t="s">
        <v>242</v>
      </c>
      <c r="E827" s="109" t="str">
        <f>'[1]COMEDORES EMERGENTES'!$G$12</f>
        <v>Bº SANTA MARTA MZA. "S" LOTE "M" C/39</v>
      </c>
    </row>
    <row r="828" spans="2:5" x14ac:dyDescent="0.2">
      <c r="B828" s="183" t="str">
        <f>'[1]COMEDORES EMERGENTES'!$B$13</f>
        <v>LA LUCIERNAGA</v>
      </c>
      <c r="C828" s="184"/>
      <c r="D828" s="108" t="s">
        <v>242</v>
      </c>
      <c r="E828" s="109" t="str">
        <f>'[1]COMEDORES EMERGENTES'!$G$13</f>
        <v>Bº 20 V.V NORTE C/3</v>
      </c>
    </row>
    <row r="829" spans="2:5" x14ac:dyDescent="0.2">
      <c r="B829" s="183" t="str">
        <f>'[1]COMEDORES EMERGENTES'!$B$14</f>
        <v>VALLE VIEJO - SUMALAO</v>
      </c>
      <c r="C829" s="184"/>
      <c r="D829" s="108" t="s">
        <v>242</v>
      </c>
      <c r="E829" s="109" t="str">
        <f>'[1]COMEDORES EMERGENTES'!$G$14</f>
        <v>PADRE SEGURA S/N</v>
      </c>
    </row>
    <row r="830" spans="2:5" x14ac:dyDescent="0.2">
      <c r="B830" s="183" t="str">
        <f>'[1]COMEDORES EMERGENTES'!$B$15</f>
        <v>NUESTRO FUTURO - LAS VIAS</v>
      </c>
      <c r="C830" s="184"/>
      <c r="D830" s="108" t="s">
        <v>242</v>
      </c>
      <c r="E830" s="109" t="str">
        <f>'[1]COMEDORES EMERGENTES'!$G$15</f>
        <v>Bº LAS VIAS OESTE LOTE 42</v>
      </c>
    </row>
    <row r="831" spans="2:5" x14ac:dyDescent="0.2">
      <c r="B831" s="183" t="str">
        <f>'[1]COMEDORES EMERGENTES'!$B$16</f>
        <v>SAN JOSE OBRERO</v>
      </c>
      <c r="C831" s="184"/>
      <c r="D831" s="108" t="s">
        <v>242</v>
      </c>
      <c r="E831" s="109" t="str">
        <f>'[1]COMEDORES EMERGENTES'!$G$16</f>
        <v>Bº SAN JOSE OBRERO. PJE. SANDOVAL S/Nº</v>
      </c>
    </row>
    <row r="832" spans="2:5" x14ac:dyDescent="0.2">
      <c r="B832" s="183" t="str">
        <f>'[1]COMEDORES EMERGENTES'!$B$17</f>
        <v>VIRGEN DE LUJAN</v>
      </c>
      <c r="C832" s="184"/>
      <c r="D832" s="108" t="s">
        <v>242</v>
      </c>
      <c r="E832" s="109" t="str">
        <f>'[1]COMEDORES EMERGENTES'!$G$17</f>
        <v>Bº OJO DE AGUA C/DR.TEODULFO BARRIONUEVO S/Nº</v>
      </c>
    </row>
    <row r="833" spans="2:5" x14ac:dyDescent="0.2">
      <c r="B833" s="183" t="str">
        <f>'[1]COMEDORES EMERGENTES'!$B$18</f>
        <v>RENACER</v>
      </c>
      <c r="C833" s="184"/>
      <c r="D833" s="108" t="s">
        <v>242</v>
      </c>
      <c r="E833" s="109" t="str">
        <f>'[1]COMEDORES EMERGENTES'!$G$18</f>
        <v>Bº VIRGEN MORENITA</v>
      </c>
    </row>
    <row r="834" spans="2:5" x14ac:dyDescent="0.2">
      <c r="B834" s="183" t="str">
        <f>'[1]COMEDORES EMERGENTES'!$B$19</f>
        <v>CENTRO VECINAL MI JARDIN</v>
      </c>
      <c r="C834" s="184"/>
      <c r="D834" s="108" t="s">
        <v>242</v>
      </c>
      <c r="E834" s="109" t="str">
        <f>'[1]COMEDORES EMERGENTES'!$G$19</f>
        <v>C/ LOS TULIPANES ENTRE FLOR DE CEREZO Y HOLANDA MZA.27 Bº MI JARDIN</v>
      </c>
    </row>
    <row r="835" spans="2:5" x14ac:dyDescent="0.2">
      <c r="B835" s="183" t="str">
        <f>'[1]COMEDORES EMERGENTES'!$B$20</f>
        <v>LA VIEJA ESQUINA</v>
      </c>
      <c r="C835" s="184"/>
      <c r="D835" s="108" t="s">
        <v>242</v>
      </c>
      <c r="E835" s="109" t="str">
        <f>'[1]COMEDORES EMERGENTES'!$G$20</f>
        <v>B° CRISTO REY PJE CAPATAZ VILLAFAÑEZ Y ARMANDO CORREA</v>
      </c>
    </row>
    <row r="836" spans="2:5" x14ac:dyDescent="0.2">
      <c r="B836" s="183" t="str">
        <f>'[1]COMEDORES EMERGENTES'!$B$21</f>
        <v>GAUCHITO GIL</v>
      </c>
      <c r="C836" s="184"/>
      <c r="D836" s="108" t="s">
        <v>242</v>
      </c>
      <c r="E836" s="109" t="str">
        <f>'[1]COMEDORES EMERGENTES'!$G$21</f>
        <v>B° 26 VIVIENDAS CASA N° 3</v>
      </c>
    </row>
    <row r="837" spans="2:5" ht="13.5" thickBot="1" x14ac:dyDescent="0.25">
      <c r="B837" s="200" t="str">
        <f>'[1]COMEDORES EMERGENTES'!$B$22</f>
        <v>LOS TOLDOS</v>
      </c>
      <c r="C837" s="201"/>
      <c r="D837" s="115" t="s">
        <v>242</v>
      </c>
      <c r="E837" s="116" t="str">
        <f>'[1]COMEDORES EMERGENTES'!$G$22</f>
        <v>LOTEO PARQUE SUR CALLE S/NOMBRE S/N°</v>
      </c>
    </row>
    <row r="838" spans="2:5" x14ac:dyDescent="0.2">
      <c r="B838" s="33" t="s">
        <v>18</v>
      </c>
      <c r="C838" s="31"/>
      <c r="D838" s="72"/>
      <c r="E838" s="32"/>
    </row>
    <row r="839" spans="2:5" x14ac:dyDescent="0.2">
      <c r="B839" s="34"/>
      <c r="C839" s="199" t="s">
        <v>64</v>
      </c>
      <c r="D839" s="199"/>
      <c r="E839" s="199"/>
    </row>
    <row r="840" spans="2:5" x14ac:dyDescent="0.2">
      <c r="B840" s="33" t="s">
        <v>19</v>
      </c>
      <c r="C840" s="35"/>
      <c r="D840" s="35"/>
      <c r="E840" s="36"/>
    </row>
    <row r="841" spans="2:5" x14ac:dyDescent="0.2">
      <c r="B841" s="34"/>
      <c r="C841" s="199" t="s">
        <v>141</v>
      </c>
      <c r="D841" s="199"/>
      <c r="E841" s="199"/>
    </row>
    <row r="842" spans="2:5" x14ac:dyDescent="0.2">
      <c r="B842" s="33" t="s">
        <v>20</v>
      </c>
      <c r="C842" s="31"/>
      <c r="D842" s="72"/>
      <c r="E842" s="32"/>
    </row>
    <row r="843" spans="2:5" x14ac:dyDescent="0.2">
      <c r="B843" s="33"/>
      <c r="C843" s="198" t="s">
        <v>65</v>
      </c>
      <c r="D843" s="198"/>
      <c r="E843" s="198"/>
    </row>
    <row r="844" spans="2:5" ht="13.5" thickBot="1" x14ac:dyDescent="0.25">
      <c r="B844" s="37"/>
      <c r="C844" s="38"/>
      <c r="D844" s="73"/>
      <c r="E844" s="39"/>
    </row>
    <row r="845" spans="2:5" ht="13.5" thickBot="1" x14ac:dyDescent="0.25"/>
    <row r="846" spans="2:5" x14ac:dyDescent="0.2">
      <c r="B846" s="27" t="s">
        <v>162</v>
      </c>
      <c r="C846" s="28"/>
      <c r="D846" s="71"/>
      <c r="E846" s="29"/>
    </row>
    <row r="847" spans="2:5" x14ac:dyDescent="0.2">
      <c r="B847" s="30"/>
      <c r="C847" s="31"/>
      <c r="D847" s="72"/>
      <c r="E847" s="32"/>
    </row>
    <row r="848" spans="2:5" x14ac:dyDescent="0.2">
      <c r="B848" s="33" t="s">
        <v>16</v>
      </c>
      <c r="C848" s="31"/>
      <c r="D848" s="72"/>
      <c r="E848" s="32"/>
    </row>
    <row r="849" spans="2:5" ht="25.5" customHeight="1" x14ac:dyDescent="0.2">
      <c r="B849" s="33"/>
      <c r="C849" s="199"/>
      <c r="D849" s="199"/>
      <c r="E849" s="199"/>
    </row>
    <row r="850" spans="2:5" ht="13.5" thickBot="1" x14ac:dyDescent="0.25">
      <c r="B850" s="33" t="s">
        <v>17</v>
      </c>
      <c r="C850" s="31"/>
      <c r="D850" s="72"/>
      <c r="E850" s="32"/>
    </row>
    <row r="851" spans="2:5" ht="13.5" thickBot="1" x14ac:dyDescent="0.25">
      <c r="B851" s="185" t="s">
        <v>241</v>
      </c>
      <c r="C851" s="186"/>
      <c r="D851" s="186"/>
      <c r="E851" s="187"/>
    </row>
    <row r="852" spans="2:5" ht="13.5" thickBot="1" x14ac:dyDescent="0.25">
      <c r="B852" s="185" t="s">
        <v>139</v>
      </c>
      <c r="C852" s="187"/>
      <c r="D852" s="69" t="s">
        <v>11</v>
      </c>
      <c r="E852" s="69" t="s">
        <v>140</v>
      </c>
    </row>
    <row r="853" spans="2:5" x14ac:dyDescent="0.2">
      <c r="B853" s="192" t="str">
        <f>'[1]COMEDORES EMERGENTES'!$B$3</f>
        <v>UNA SONRISA AV. LOS COBACHO</v>
      </c>
      <c r="C853" s="193"/>
      <c r="D853" s="113" t="s">
        <v>242</v>
      </c>
      <c r="E853" s="114" t="str">
        <f>'[1]COMEDORES EMERGENTES'!$G$3</f>
        <v>Bº SAN CARLOS OESTE AV. Bonifacio cobacho 670</v>
      </c>
    </row>
    <row r="854" spans="2:5" x14ac:dyDescent="0.2">
      <c r="B854" s="183" t="str">
        <f>'[1]COMEDORES EMERGENTES'!$B$4</f>
        <v>C.I.F Nº1 - RIVERA DEL VALLE Y FLORIDA</v>
      </c>
      <c r="C854" s="184"/>
      <c r="D854" s="108" t="s">
        <v>242</v>
      </c>
      <c r="E854" s="109" t="str">
        <f>'[1]COMEDORES EMERGENTES'!$G$4</f>
        <v>AV. RIVIERA DEL VALLE ENTRE FLORIDA Y SANTA FE</v>
      </c>
    </row>
    <row r="855" spans="2:5" x14ac:dyDescent="0.2">
      <c r="B855" s="183" t="str">
        <f>'[1]COMEDORES EMERGENTES'!$B$5</f>
        <v>C.I.F - RIVERA DEL VALLE - DILORENZO</v>
      </c>
      <c r="C855" s="184"/>
      <c r="D855" s="108" t="s">
        <v>242</v>
      </c>
      <c r="E855" s="109" t="str">
        <f>'[1]COMEDORES EMERGENTES'!$G$5</f>
        <v>Bº RIVERA DEL VALLE ENTRE VILLA EUMELIA Y MONTE CRISTO</v>
      </c>
    </row>
    <row r="856" spans="2:5" x14ac:dyDescent="0.2">
      <c r="B856" s="183" t="str">
        <f>'[1]COMEDORES EMERGENTES'!$B$6</f>
        <v>ESFUERZO PROPIO- Bº ALTOS DE CHOYA</v>
      </c>
      <c r="C856" s="184"/>
      <c r="D856" s="108" t="s">
        <v>242</v>
      </c>
      <c r="E856" s="109" t="str">
        <f>'[1]COMEDORES EMERGENTES'!$G$6</f>
        <v>Bº MUNICIPAL 35VV. NORTE C/14</v>
      </c>
    </row>
    <row r="857" spans="2:5" x14ac:dyDescent="0.2">
      <c r="B857" s="183" t="str">
        <f>'[1]COMEDORES EMERGENTES'!$B$7</f>
        <v>ANGELITOS - LOTEO SUSSEX</v>
      </c>
      <c r="C857" s="184"/>
      <c r="D857" s="108" t="s">
        <v>242</v>
      </c>
      <c r="E857" s="109" t="str">
        <f>'[1]COMEDORES EMERGENTES'!$G$7</f>
        <v>Bº LOTEO SUSEX MZA.Nº 4 LOTE Nº3</v>
      </c>
    </row>
    <row r="858" spans="2:5" x14ac:dyDescent="0.2">
      <c r="B858" s="183" t="str">
        <f>'[1]COMEDORES EMERGENTES'!$B$8</f>
        <v>CLUB DEPORTIVO CHACARITA</v>
      </c>
      <c r="C858" s="184"/>
      <c r="D858" s="108" t="s">
        <v>242</v>
      </c>
      <c r="E858" s="109" t="str">
        <f>'[1]COMEDORES EMERGENTES'!$G$8</f>
        <v>CALLE DR.DERMIDIO GALINDEZ C/2660</v>
      </c>
    </row>
    <row r="859" spans="2:5" x14ac:dyDescent="0.2">
      <c r="B859" s="183" t="str">
        <f>'[1]COMEDORES EMERGENTES'!$B$9</f>
        <v>LA MORO</v>
      </c>
      <c r="C859" s="184"/>
      <c r="D859" s="108" t="s">
        <v>242</v>
      </c>
      <c r="E859" s="109" t="str">
        <f>'[1]COMEDORES EMERGENTES'!$G$9</f>
        <v>MAIPU NORTE 1º ETAPA MZA "H" Bº MI JARDIN</v>
      </c>
    </row>
    <row r="860" spans="2:5" x14ac:dyDescent="0.2">
      <c r="B860" s="183" t="str">
        <f>'[1]COMEDORES EMERGENTES'!$B$10</f>
        <v>PAPA FRANCISCO</v>
      </c>
      <c r="C860" s="184"/>
      <c r="D860" s="108" t="s">
        <v>242</v>
      </c>
      <c r="E860" s="109" t="str">
        <f>'[1]COMEDORES EMERGENTES'!$G$10</f>
        <v>ENTRE AV.TEREBINTO Y AV.SAN JUAN LOTE "2" MZA. "B"</v>
      </c>
    </row>
    <row r="861" spans="2:5" x14ac:dyDescent="0.2">
      <c r="B861" s="183" t="str">
        <f>'[1]COMEDORES EMERGENTES'!$B$11</f>
        <v>E.P.C - 100 V.V NORTE</v>
      </c>
      <c r="C861" s="184"/>
      <c r="D861" s="108" t="s">
        <v>242</v>
      </c>
      <c r="E861" s="109" t="str">
        <f>'[1]COMEDORES EMERGENTES'!$G$11</f>
        <v>Bº VV NORTE C/48 ENTRE ESPAÑA Y FRANCIA</v>
      </c>
    </row>
    <row r="862" spans="2:5" x14ac:dyDescent="0.2">
      <c r="B862" s="183" t="str">
        <f>'[1]COMEDORES EMERGENTES'!$B$12</f>
        <v>HOGAR DE CRISTO - PADRE RAUL CONTRERAS</v>
      </c>
      <c r="C862" s="184"/>
      <c r="D862" s="108" t="s">
        <v>242</v>
      </c>
      <c r="E862" s="109" t="str">
        <f>'[1]COMEDORES EMERGENTES'!$G$12</f>
        <v>Bº SANTA MARTA MZA. "S" LOTE "M" C/39</v>
      </c>
    </row>
    <row r="863" spans="2:5" x14ac:dyDescent="0.2">
      <c r="B863" s="183" t="str">
        <f>'[1]COMEDORES EMERGENTES'!$B$13</f>
        <v>LA LUCIERNAGA</v>
      </c>
      <c r="C863" s="184"/>
      <c r="D863" s="108" t="s">
        <v>242</v>
      </c>
      <c r="E863" s="109" t="str">
        <f>'[1]COMEDORES EMERGENTES'!$G$13</f>
        <v>Bº 20 V.V NORTE C/3</v>
      </c>
    </row>
    <row r="864" spans="2:5" x14ac:dyDescent="0.2">
      <c r="B864" s="183" t="str">
        <f>'[1]COMEDORES EMERGENTES'!$B$14</f>
        <v>VALLE VIEJO - SUMALAO</v>
      </c>
      <c r="C864" s="184"/>
      <c r="D864" s="108" t="s">
        <v>242</v>
      </c>
      <c r="E864" s="109" t="str">
        <f>'[1]COMEDORES EMERGENTES'!$G$14</f>
        <v>PADRE SEGURA S/N</v>
      </c>
    </row>
    <row r="865" spans="2:5" x14ac:dyDescent="0.2">
      <c r="B865" s="183" t="str">
        <f>'[1]COMEDORES EMERGENTES'!$B$15</f>
        <v>NUESTRO FUTURO - LAS VIAS</v>
      </c>
      <c r="C865" s="184"/>
      <c r="D865" s="108" t="s">
        <v>242</v>
      </c>
      <c r="E865" s="109" t="str">
        <f>'[1]COMEDORES EMERGENTES'!$G$15</f>
        <v>Bº LAS VIAS OESTE LOTE 42</v>
      </c>
    </row>
    <row r="866" spans="2:5" x14ac:dyDescent="0.2">
      <c r="B866" s="183" t="str">
        <f>'[1]COMEDORES EMERGENTES'!$B$16</f>
        <v>SAN JOSE OBRERO</v>
      </c>
      <c r="C866" s="184"/>
      <c r="D866" s="108" t="s">
        <v>242</v>
      </c>
      <c r="E866" s="109" t="str">
        <f>'[1]COMEDORES EMERGENTES'!$G$16</f>
        <v>Bº SAN JOSE OBRERO. PJE. SANDOVAL S/Nº</v>
      </c>
    </row>
    <row r="867" spans="2:5" x14ac:dyDescent="0.2">
      <c r="B867" s="183" t="str">
        <f>'[1]COMEDORES EMERGENTES'!$B$17</f>
        <v>VIRGEN DE LUJAN</v>
      </c>
      <c r="C867" s="184"/>
      <c r="D867" s="108" t="s">
        <v>242</v>
      </c>
      <c r="E867" s="109" t="str">
        <f>'[1]COMEDORES EMERGENTES'!$G$17</f>
        <v>Bº OJO DE AGUA C/DR.TEODULFO BARRIONUEVO S/Nº</v>
      </c>
    </row>
    <row r="868" spans="2:5" x14ac:dyDescent="0.2">
      <c r="B868" s="183" t="str">
        <f>'[1]COMEDORES EMERGENTES'!$B$18</f>
        <v>RENACER</v>
      </c>
      <c r="C868" s="184"/>
      <c r="D868" s="108" t="s">
        <v>242</v>
      </c>
      <c r="E868" s="109" t="str">
        <f>'[1]COMEDORES EMERGENTES'!$G$18</f>
        <v>Bº VIRGEN MORENITA</v>
      </c>
    </row>
    <row r="869" spans="2:5" x14ac:dyDescent="0.2">
      <c r="B869" s="183" t="str">
        <f>'[1]COMEDORES EMERGENTES'!$B$19</f>
        <v>CENTRO VECINAL MI JARDIN</v>
      </c>
      <c r="C869" s="184"/>
      <c r="D869" s="108" t="s">
        <v>242</v>
      </c>
      <c r="E869" s="109" t="str">
        <f>'[1]COMEDORES EMERGENTES'!$G$19</f>
        <v>C/ LOS TULIPANES ENTRE FLOR DE CEREZO Y HOLANDA MZA.27 Bº MI JARDIN</v>
      </c>
    </row>
    <row r="870" spans="2:5" x14ac:dyDescent="0.2">
      <c r="B870" s="183" t="str">
        <f>'[1]COMEDORES EMERGENTES'!$B$20</f>
        <v>LA VIEJA ESQUINA</v>
      </c>
      <c r="C870" s="184"/>
      <c r="D870" s="108" t="s">
        <v>242</v>
      </c>
      <c r="E870" s="109" t="str">
        <f>'[1]COMEDORES EMERGENTES'!$G$20</f>
        <v>B° CRISTO REY PJE CAPATAZ VILLAFAÑEZ Y ARMANDO CORREA</v>
      </c>
    </row>
    <row r="871" spans="2:5" x14ac:dyDescent="0.2">
      <c r="B871" s="183" t="str">
        <f>'[1]COMEDORES EMERGENTES'!$B$21</f>
        <v>GAUCHITO GIL</v>
      </c>
      <c r="C871" s="184"/>
      <c r="D871" s="108" t="s">
        <v>242</v>
      </c>
      <c r="E871" s="109" t="str">
        <f>'[1]COMEDORES EMERGENTES'!$G$21</f>
        <v>B° 26 VIVIENDAS CASA N° 3</v>
      </c>
    </row>
    <row r="872" spans="2:5" ht="13.5" thickBot="1" x14ac:dyDescent="0.25">
      <c r="B872" s="200" t="str">
        <f>'[1]COMEDORES EMERGENTES'!$B$22</f>
        <v>LOS TOLDOS</v>
      </c>
      <c r="C872" s="201"/>
      <c r="D872" s="115" t="s">
        <v>242</v>
      </c>
      <c r="E872" s="116" t="str">
        <f>'[1]COMEDORES EMERGENTES'!$G$22</f>
        <v>LOTEO PARQUE SUR CALLE S/NOMBRE S/N°</v>
      </c>
    </row>
    <row r="873" spans="2:5" x14ac:dyDescent="0.2">
      <c r="B873" s="33" t="s">
        <v>18</v>
      </c>
      <c r="C873" s="31"/>
      <c r="D873" s="72"/>
      <c r="E873" s="32"/>
    </row>
    <row r="874" spans="2:5" x14ac:dyDescent="0.2">
      <c r="B874" s="34"/>
      <c r="C874" s="199" t="s">
        <v>64</v>
      </c>
      <c r="D874" s="199"/>
      <c r="E874" s="199"/>
    </row>
    <row r="875" spans="2:5" x14ac:dyDescent="0.2">
      <c r="B875" s="33" t="s">
        <v>19</v>
      </c>
      <c r="C875" s="35"/>
      <c r="D875" s="35"/>
      <c r="E875" s="36"/>
    </row>
    <row r="876" spans="2:5" x14ac:dyDescent="0.2">
      <c r="B876" s="34"/>
      <c r="C876" s="199" t="s">
        <v>141</v>
      </c>
      <c r="D876" s="199"/>
      <c r="E876" s="199"/>
    </row>
    <row r="877" spans="2:5" x14ac:dyDescent="0.2">
      <c r="B877" s="33" t="s">
        <v>20</v>
      </c>
      <c r="C877" s="31"/>
      <c r="D877" s="72"/>
      <c r="E877" s="32"/>
    </row>
    <row r="878" spans="2:5" x14ac:dyDescent="0.2">
      <c r="B878" s="33"/>
      <c r="C878" s="198" t="s">
        <v>65</v>
      </c>
      <c r="D878" s="198"/>
      <c r="E878" s="198"/>
    </row>
    <row r="879" spans="2:5" ht="13.5" thickBot="1" x14ac:dyDescent="0.25">
      <c r="B879" s="37"/>
      <c r="C879" s="38"/>
      <c r="D879" s="73"/>
      <c r="E879" s="39"/>
    </row>
    <row r="880" spans="2:5" ht="13.5" thickBot="1" x14ac:dyDescent="0.25"/>
    <row r="881" spans="2:5" x14ac:dyDescent="0.2">
      <c r="B881" s="27" t="s">
        <v>163</v>
      </c>
      <c r="C881" s="28"/>
      <c r="D881" s="71"/>
      <c r="E881" s="29"/>
    </row>
    <row r="882" spans="2:5" x14ac:dyDescent="0.2">
      <c r="B882" s="30"/>
      <c r="C882" s="31"/>
      <c r="D882" s="72"/>
      <c r="E882" s="32"/>
    </row>
    <row r="883" spans="2:5" x14ac:dyDescent="0.2">
      <c r="B883" s="33" t="s">
        <v>16</v>
      </c>
      <c r="C883" s="31"/>
      <c r="D883" s="72"/>
      <c r="E883" s="32"/>
    </row>
    <row r="884" spans="2:5" ht="25.5" customHeight="1" x14ac:dyDescent="0.2">
      <c r="B884" s="33"/>
      <c r="C884" s="189"/>
      <c r="D884" s="189"/>
      <c r="E884" s="190"/>
    </row>
    <row r="885" spans="2:5" ht="13.5" thickBot="1" x14ac:dyDescent="0.25">
      <c r="B885" s="33" t="s">
        <v>17</v>
      </c>
      <c r="C885" s="31"/>
      <c r="D885" s="72"/>
      <c r="E885" s="32"/>
    </row>
    <row r="886" spans="2:5" ht="13.5" thickBot="1" x14ac:dyDescent="0.25">
      <c r="B886" s="185" t="s">
        <v>138</v>
      </c>
      <c r="C886" s="186"/>
      <c r="D886" s="186"/>
      <c r="E886" s="187"/>
    </row>
    <row r="887" spans="2:5" ht="13.5" thickBot="1" x14ac:dyDescent="0.25">
      <c r="B887" s="185" t="s">
        <v>139</v>
      </c>
      <c r="C887" s="187"/>
      <c r="D887" s="69" t="s">
        <v>11</v>
      </c>
      <c r="E887" s="69" t="s">
        <v>140</v>
      </c>
    </row>
    <row r="888" spans="2:5" x14ac:dyDescent="0.2">
      <c r="B888" s="192" t="str">
        <f>'[1]COMEDORES EMERGENTES'!$B$3</f>
        <v>UNA SONRISA AV. LOS COBACHO</v>
      </c>
      <c r="C888" s="193"/>
      <c r="D888" s="113">
        <v>2</v>
      </c>
      <c r="E888" s="114" t="str">
        <f>'[1]COMEDORES EMERGENTES'!$G$3</f>
        <v>Bº SAN CARLOS OESTE AV. Bonifacio cobacho 670</v>
      </c>
    </row>
    <row r="889" spans="2:5" x14ac:dyDescent="0.2">
      <c r="B889" s="183" t="str">
        <f>'[1]COMEDORES EMERGENTES'!$B$4</f>
        <v>C.I.F Nº1 - RIVERA DEL VALLE Y FLORIDA</v>
      </c>
      <c r="C889" s="184"/>
      <c r="D889" s="108">
        <v>2</v>
      </c>
      <c r="E889" s="109" t="str">
        <f>'[1]COMEDORES EMERGENTES'!$G$4</f>
        <v>AV. RIVIERA DEL VALLE ENTRE FLORIDA Y SANTA FE</v>
      </c>
    </row>
    <row r="890" spans="2:5" x14ac:dyDescent="0.2">
      <c r="B890" s="183" t="str">
        <f>'[1]COMEDORES EMERGENTES'!$B$5</f>
        <v>C.I.F - RIVERA DEL VALLE - DILORENZO</v>
      </c>
      <c r="C890" s="184"/>
      <c r="D890" s="108">
        <v>3</v>
      </c>
      <c r="E890" s="109" t="str">
        <f>'[1]COMEDORES EMERGENTES'!$G$5</f>
        <v>Bº RIVERA DEL VALLE ENTRE VILLA EUMELIA Y MONTE CRISTO</v>
      </c>
    </row>
    <row r="891" spans="2:5" x14ac:dyDescent="0.2">
      <c r="B891" s="183" t="str">
        <f>'[1]COMEDORES EMERGENTES'!$B$6</f>
        <v>ESFUERZO PROPIO- Bº ALTOS DE CHOYA</v>
      </c>
      <c r="C891" s="184"/>
      <c r="D891" s="108">
        <v>2</v>
      </c>
      <c r="E891" s="109" t="str">
        <f>'[1]COMEDORES EMERGENTES'!$G$6</f>
        <v>Bº MUNICIPAL 35VV. NORTE C/14</v>
      </c>
    </row>
    <row r="892" spans="2:5" x14ac:dyDescent="0.2">
      <c r="B892" s="183" t="str">
        <f>'[1]COMEDORES EMERGENTES'!$B$7</f>
        <v>ANGELITOS - LOTEO SUSSEX</v>
      </c>
      <c r="C892" s="184"/>
      <c r="D892" s="108">
        <v>1</v>
      </c>
      <c r="E892" s="109" t="str">
        <f>'[1]COMEDORES EMERGENTES'!$G$7</f>
        <v>Bº LOTEO SUSEX MZA.Nº 4 LOTE Nº3</v>
      </c>
    </row>
    <row r="893" spans="2:5" x14ac:dyDescent="0.2">
      <c r="B893" s="183" t="str">
        <f>'[1]COMEDORES EMERGENTES'!$B$8</f>
        <v>CLUB DEPORTIVO CHACARITA</v>
      </c>
      <c r="C893" s="184"/>
      <c r="D893" s="108">
        <v>1</v>
      </c>
      <c r="E893" s="109" t="str">
        <f>'[1]COMEDORES EMERGENTES'!$G$8</f>
        <v>CALLE DR.DERMIDIO GALINDEZ C/2660</v>
      </c>
    </row>
    <row r="894" spans="2:5" x14ac:dyDescent="0.2">
      <c r="B894" s="183" t="str">
        <f>'[1]COMEDORES EMERGENTES'!$B$9</f>
        <v>LA MORO</v>
      </c>
      <c r="C894" s="184"/>
      <c r="D894" s="108">
        <v>1</v>
      </c>
      <c r="E894" s="109" t="str">
        <f>'[1]COMEDORES EMERGENTES'!$G$9</f>
        <v>MAIPU NORTE 1º ETAPA MZA "H" Bº MI JARDIN</v>
      </c>
    </row>
    <row r="895" spans="2:5" x14ac:dyDescent="0.2">
      <c r="B895" s="183" t="str">
        <f>'[1]COMEDORES EMERGENTES'!$B$10</f>
        <v>PAPA FRANCISCO</v>
      </c>
      <c r="C895" s="184"/>
      <c r="D895" s="108">
        <v>2</v>
      </c>
      <c r="E895" s="109" t="str">
        <f>'[1]COMEDORES EMERGENTES'!$G$10</f>
        <v>ENTRE AV.TEREBINTO Y AV.SAN JUAN LOTE "2" MZA. "B"</v>
      </c>
    </row>
    <row r="896" spans="2:5" x14ac:dyDescent="0.2">
      <c r="B896" s="183" t="str">
        <f>'[1]COMEDORES EMERGENTES'!$B$11</f>
        <v>E.P.C - 100 V.V NORTE</v>
      </c>
      <c r="C896" s="184"/>
      <c r="D896" s="108">
        <v>3</v>
      </c>
      <c r="E896" s="109" t="str">
        <f>'[1]COMEDORES EMERGENTES'!$G$11</f>
        <v>Bº VV NORTE C/48 ENTRE ESPAÑA Y FRANCIA</v>
      </c>
    </row>
    <row r="897" spans="2:5" x14ac:dyDescent="0.2">
      <c r="B897" s="183" t="str">
        <f>'[1]COMEDORES EMERGENTES'!$B$12</f>
        <v>HOGAR DE CRISTO - PADRE RAUL CONTRERAS</v>
      </c>
      <c r="C897" s="184"/>
      <c r="D897" s="108">
        <v>3</v>
      </c>
      <c r="E897" s="109" t="str">
        <f>'[1]COMEDORES EMERGENTES'!$G$12</f>
        <v>Bº SANTA MARTA MZA. "S" LOTE "M" C/39</v>
      </c>
    </row>
    <row r="898" spans="2:5" x14ac:dyDescent="0.2">
      <c r="B898" s="183" t="str">
        <f>'[1]COMEDORES EMERGENTES'!$B$13</f>
        <v>LA LUCIERNAGA</v>
      </c>
      <c r="C898" s="184"/>
      <c r="D898" s="108">
        <v>2</v>
      </c>
      <c r="E898" s="109" t="str">
        <f>'[1]COMEDORES EMERGENTES'!$G$13</f>
        <v>Bº 20 V.V NORTE C/3</v>
      </c>
    </row>
    <row r="899" spans="2:5" x14ac:dyDescent="0.2">
      <c r="B899" s="183" t="str">
        <f>'[1]COMEDORES EMERGENTES'!$B$14</f>
        <v>VALLE VIEJO - SUMALAO</v>
      </c>
      <c r="C899" s="184"/>
      <c r="D899" s="108">
        <v>4</v>
      </c>
      <c r="E899" s="109" t="str">
        <f>'[1]COMEDORES EMERGENTES'!$G$14</f>
        <v>PADRE SEGURA S/N</v>
      </c>
    </row>
    <row r="900" spans="2:5" x14ac:dyDescent="0.2">
      <c r="B900" s="183" t="str">
        <f>'[1]COMEDORES EMERGENTES'!$B$15</f>
        <v>NUESTRO FUTURO - LAS VIAS</v>
      </c>
      <c r="C900" s="184"/>
      <c r="D900" s="108">
        <v>2</v>
      </c>
      <c r="E900" s="109" t="str">
        <f>'[1]COMEDORES EMERGENTES'!$G$15</f>
        <v>Bº LAS VIAS OESTE LOTE 42</v>
      </c>
    </row>
    <row r="901" spans="2:5" x14ac:dyDescent="0.2">
      <c r="B901" s="183" t="str">
        <f>'[1]COMEDORES EMERGENTES'!$B$16</f>
        <v>SAN JOSE OBRERO</v>
      </c>
      <c r="C901" s="184"/>
      <c r="D901" s="108">
        <v>1</v>
      </c>
      <c r="E901" s="109" t="str">
        <f>'[1]COMEDORES EMERGENTES'!$G$16</f>
        <v>Bº SAN JOSE OBRERO. PJE. SANDOVAL S/Nº</v>
      </c>
    </row>
    <row r="902" spans="2:5" x14ac:dyDescent="0.2">
      <c r="B902" s="183" t="str">
        <f>'[1]COMEDORES EMERGENTES'!$B$17</f>
        <v>VIRGEN DE LUJAN</v>
      </c>
      <c r="C902" s="184"/>
      <c r="D902" s="108">
        <v>2</v>
      </c>
      <c r="E902" s="109" t="str">
        <f>'[1]COMEDORES EMERGENTES'!$G$17</f>
        <v>Bº OJO DE AGUA C/DR.TEODULFO BARRIONUEVO S/Nº</v>
      </c>
    </row>
    <row r="903" spans="2:5" x14ac:dyDescent="0.2">
      <c r="B903" s="183" t="str">
        <f>'[1]COMEDORES EMERGENTES'!$B$18</f>
        <v>RENACER</v>
      </c>
      <c r="C903" s="184"/>
      <c r="D903" s="108">
        <v>3</v>
      </c>
      <c r="E903" s="109" t="str">
        <f>'[1]COMEDORES EMERGENTES'!$G$18</f>
        <v>Bº VIRGEN MORENITA</v>
      </c>
    </row>
    <row r="904" spans="2:5" x14ac:dyDescent="0.2">
      <c r="B904" s="183" t="str">
        <f>'[1]COMEDORES EMERGENTES'!$B$19</f>
        <v>CENTRO VECINAL MI JARDIN</v>
      </c>
      <c r="C904" s="184"/>
      <c r="D904" s="108">
        <v>2</v>
      </c>
      <c r="E904" s="109" t="str">
        <f>'[1]COMEDORES EMERGENTES'!$G$19</f>
        <v>C/ LOS TULIPANES ENTRE FLOR DE CEREZO Y HOLANDA MZA.27 Bº MI JARDIN</v>
      </c>
    </row>
    <row r="905" spans="2:5" x14ac:dyDescent="0.2">
      <c r="B905" s="183" t="str">
        <f>'[1]COMEDORES EMERGENTES'!$B$20</f>
        <v>LA VIEJA ESQUINA</v>
      </c>
      <c r="C905" s="184"/>
      <c r="D905" s="108">
        <v>2</v>
      </c>
      <c r="E905" s="109" t="str">
        <f>'[1]COMEDORES EMERGENTES'!$G$20</f>
        <v>B° CRISTO REY PJE CAPATAZ VILLAFAÑEZ Y ARMANDO CORREA</v>
      </c>
    </row>
    <row r="906" spans="2:5" x14ac:dyDescent="0.2">
      <c r="B906" s="183" t="str">
        <f>'[1]COMEDORES EMERGENTES'!$B$21</f>
        <v>GAUCHITO GIL</v>
      </c>
      <c r="C906" s="184"/>
      <c r="D906" s="108">
        <v>2</v>
      </c>
      <c r="E906" s="109" t="str">
        <f>'[1]COMEDORES EMERGENTES'!$G$21</f>
        <v>B° 26 VIVIENDAS CASA N° 3</v>
      </c>
    </row>
    <row r="907" spans="2:5" ht="13.5" thickBot="1" x14ac:dyDescent="0.25">
      <c r="B907" s="200" t="str">
        <f>'[1]COMEDORES EMERGENTES'!$B$22</f>
        <v>LOS TOLDOS</v>
      </c>
      <c r="C907" s="201"/>
      <c r="D907" s="115">
        <v>1</v>
      </c>
      <c r="E907" s="116" t="str">
        <f>'[1]COMEDORES EMERGENTES'!$G$22</f>
        <v>LOTEO PARQUE SUR CALLE S/NOMBRE S/N°</v>
      </c>
    </row>
    <row r="908" spans="2:5" x14ac:dyDescent="0.2">
      <c r="B908" s="33" t="s">
        <v>18</v>
      </c>
      <c r="C908" s="31"/>
      <c r="D908" s="72"/>
      <c r="E908" s="32"/>
    </row>
    <row r="909" spans="2:5" x14ac:dyDescent="0.2">
      <c r="B909" s="34"/>
      <c r="C909" s="199" t="s">
        <v>64</v>
      </c>
      <c r="D909" s="199"/>
      <c r="E909" s="199"/>
    </row>
    <row r="910" spans="2:5" x14ac:dyDescent="0.2">
      <c r="B910" s="33" t="s">
        <v>19</v>
      </c>
      <c r="C910" s="35"/>
      <c r="D910" s="35"/>
      <c r="E910" s="36"/>
    </row>
    <row r="911" spans="2:5" x14ac:dyDescent="0.2">
      <c r="B911" s="34"/>
      <c r="C911" s="199" t="s">
        <v>141</v>
      </c>
      <c r="D911" s="199"/>
      <c r="E911" s="199"/>
    </row>
    <row r="912" spans="2:5" x14ac:dyDescent="0.2">
      <c r="B912" s="33" t="s">
        <v>20</v>
      </c>
      <c r="C912" s="31"/>
      <c r="D912" s="72"/>
      <c r="E912" s="32"/>
    </row>
    <row r="913" spans="2:5" x14ac:dyDescent="0.2">
      <c r="B913" s="33"/>
      <c r="C913" s="198" t="s">
        <v>65</v>
      </c>
      <c r="D913" s="198"/>
      <c r="E913" s="198"/>
    </row>
    <row r="914" spans="2:5" ht="13.5" thickBot="1" x14ac:dyDescent="0.25">
      <c r="B914" s="37"/>
      <c r="C914" s="38"/>
      <c r="D914" s="73"/>
      <c r="E914" s="39"/>
    </row>
    <row r="915" spans="2:5" ht="13.5" thickBot="1" x14ac:dyDescent="0.25"/>
    <row r="916" spans="2:5" x14ac:dyDescent="0.2">
      <c r="B916" s="27" t="s">
        <v>164</v>
      </c>
      <c r="C916" s="28"/>
      <c r="D916" s="71"/>
      <c r="E916" s="29"/>
    </row>
    <row r="917" spans="2:5" x14ac:dyDescent="0.2">
      <c r="B917" s="30"/>
      <c r="C917" s="31"/>
      <c r="D917" s="72"/>
      <c r="E917" s="32"/>
    </row>
    <row r="918" spans="2:5" x14ac:dyDescent="0.2">
      <c r="B918" s="33" t="s">
        <v>16</v>
      </c>
      <c r="C918" s="31"/>
      <c r="D918" s="72"/>
      <c r="E918" s="32"/>
    </row>
    <row r="919" spans="2:5" ht="25.5" customHeight="1" x14ac:dyDescent="0.2">
      <c r="B919" s="33"/>
      <c r="C919" s="199"/>
      <c r="D919" s="199"/>
      <c r="E919" s="199"/>
    </row>
    <row r="920" spans="2:5" ht="13.5" thickBot="1" x14ac:dyDescent="0.25">
      <c r="B920" s="33" t="s">
        <v>17</v>
      </c>
      <c r="C920" s="31"/>
      <c r="D920" s="72"/>
      <c r="E920" s="32"/>
    </row>
    <row r="921" spans="2:5" ht="13.5" thickBot="1" x14ac:dyDescent="0.25">
      <c r="B921" s="185" t="s">
        <v>138</v>
      </c>
      <c r="C921" s="186"/>
      <c r="D921" s="186"/>
      <c r="E921" s="187"/>
    </row>
    <row r="922" spans="2:5" ht="13.5" thickBot="1" x14ac:dyDescent="0.25">
      <c r="B922" s="185" t="s">
        <v>139</v>
      </c>
      <c r="C922" s="187"/>
      <c r="D922" s="69" t="s">
        <v>11</v>
      </c>
      <c r="E922" s="69" t="s">
        <v>140</v>
      </c>
    </row>
    <row r="923" spans="2:5" x14ac:dyDescent="0.2">
      <c r="B923" s="192" t="str">
        <f>'[1]COMEDORES EMERGENTES'!$B$3</f>
        <v>UNA SONRISA AV. LOS COBACHO</v>
      </c>
      <c r="C923" s="193"/>
      <c r="D923" s="113">
        <v>1</v>
      </c>
      <c r="E923" s="114" t="str">
        <f>'[1]COMEDORES EMERGENTES'!$G$3</f>
        <v>Bº SAN CARLOS OESTE AV. Bonifacio cobacho 670</v>
      </c>
    </row>
    <row r="924" spans="2:5" x14ac:dyDescent="0.2">
      <c r="B924" s="183" t="str">
        <f>'[1]COMEDORES EMERGENTES'!$B$4</f>
        <v>C.I.F Nº1 - RIVERA DEL VALLE Y FLORIDA</v>
      </c>
      <c r="C924" s="184"/>
      <c r="D924" s="108">
        <v>1</v>
      </c>
      <c r="E924" s="109" t="str">
        <f>'[1]COMEDORES EMERGENTES'!$G$4</f>
        <v>AV. RIVIERA DEL VALLE ENTRE FLORIDA Y SANTA FE</v>
      </c>
    </row>
    <row r="925" spans="2:5" x14ac:dyDescent="0.2">
      <c r="B925" s="183" t="str">
        <f>'[1]COMEDORES EMERGENTES'!$B$5</f>
        <v>C.I.F - RIVERA DEL VALLE - DILORENZO</v>
      </c>
      <c r="C925" s="184"/>
      <c r="D925" s="108">
        <v>1</v>
      </c>
      <c r="E925" s="109" t="str">
        <f>'[1]COMEDORES EMERGENTES'!$G$5</f>
        <v>Bº RIVERA DEL VALLE ENTRE VILLA EUMELIA Y MONTE CRISTO</v>
      </c>
    </row>
    <row r="926" spans="2:5" x14ac:dyDescent="0.2">
      <c r="B926" s="183" t="str">
        <f>'[1]COMEDORES EMERGENTES'!$B$6</f>
        <v>ESFUERZO PROPIO- Bº ALTOS DE CHOYA</v>
      </c>
      <c r="C926" s="184"/>
      <c r="D926" s="108">
        <v>1</v>
      </c>
      <c r="E926" s="109" t="str">
        <f>'[1]COMEDORES EMERGENTES'!$G$6</f>
        <v>Bº MUNICIPAL 35VV. NORTE C/14</v>
      </c>
    </row>
    <row r="927" spans="2:5" x14ac:dyDescent="0.2">
      <c r="B927" s="183" t="str">
        <f>'[1]COMEDORES EMERGENTES'!$B$7</f>
        <v>ANGELITOS - LOTEO SUSSEX</v>
      </c>
      <c r="C927" s="184"/>
      <c r="D927" s="108">
        <v>1</v>
      </c>
      <c r="E927" s="109" t="str">
        <f>'[1]COMEDORES EMERGENTES'!$G$7</f>
        <v>Bº LOTEO SUSEX MZA.Nº 4 LOTE Nº3</v>
      </c>
    </row>
    <row r="928" spans="2:5" x14ac:dyDescent="0.2">
      <c r="B928" s="183" t="str">
        <f>'[1]COMEDORES EMERGENTES'!$B$8</f>
        <v>CLUB DEPORTIVO CHACARITA</v>
      </c>
      <c r="C928" s="184"/>
      <c r="D928" s="108">
        <v>1</v>
      </c>
      <c r="E928" s="109" t="str">
        <f>'[1]COMEDORES EMERGENTES'!$G$8</f>
        <v>CALLE DR.DERMIDIO GALINDEZ C/2660</v>
      </c>
    </row>
    <row r="929" spans="2:5" x14ac:dyDescent="0.2">
      <c r="B929" s="183" t="str">
        <f>'[1]COMEDORES EMERGENTES'!$B$9</f>
        <v>LA MORO</v>
      </c>
      <c r="C929" s="184"/>
      <c r="D929" s="108">
        <v>1</v>
      </c>
      <c r="E929" s="109" t="str">
        <f>'[1]COMEDORES EMERGENTES'!$G$9</f>
        <v>MAIPU NORTE 1º ETAPA MZA "H" Bº MI JARDIN</v>
      </c>
    </row>
    <row r="930" spans="2:5" x14ac:dyDescent="0.2">
      <c r="B930" s="183" t="str">
        <f>'[1]COMEDORES EMERGENTES'!$B$10</f>
        <v>PAPA FRANCISCO</v>
      </c>
      <c r="C930" s="184"/>
      <c r="D930" s="108">
        <v>1</v>
      </c>
      <c r="E930" s="109" t="str">
        <f>'[1]COMEDORES EMERGENTES'!$G$10</f>
        <v>ENTRE AV.TEREBINTO Y AV.SAN JUAN LOTE "2" MZA. "B"</v>
      </c>
    </row>
    <row r="931" spans="2:5" x14ac:dyDescent="0.2">
      <c r="B931" s="183" t="str">
        <f>'[1]COMEDORES EMERGENTES'!$B$11</f>
        <v>E.P.C - 100 V.V NORTE</v>
      </c>
      <c r="C931" s="184"/>
      <c r="D931" s="108">
        <v>2</v>
      </c>
      <c r="E931" s="109" t="str">
        <f>'[1]COMEDORES EMERGENTES'!$G$11</f>
        <v>Bº VV NORTE C/48 ENTRE ESPAÑA Y FRANCIA</v>
      </c>
    </row>
    <row r="932" spans="2:5" x14ac:dyDescent="0.2">
      <c r="B932" s="183" t="str">
        <f>'[1]COMEDORES EMERGENTES'!$B$12</f>
        <v>HOGAR DE CRISTO - PADRE RAUL CONTRERAS</v>
      </c>
      <c r="C932" s="184"/>
      <c r="D932" s="108">
        <v>2</v>
      </c>
      <c r="E932" s="109" t="str">
        <f>'[1]COMEDORES EMERGENTES'!$G$12</f>
        <v>Bº SANTA MARTA MZA. "S" LOTE "M" C/39</v>
      </c>
    </row>
    <row r="933" spans="2:5" x14ac:dyDescent="0.2">
      <c r="B933" s="183" t="str">
        <f>'[1]COMEDORES EMERGENTES'!$B$13</f>
        <v>LA LUCIERNAGA</v>
      </c>
      <c r="C933" s="184"/>
      <c r="D933" s="108">
        <v>1</v>
      </c>
      <c r="E933" s="109" t="str">
        <f>'[1]COMEDORES EMERGENTES'!$G$13</f>
        <v>Bº 20 V.V NORTE C/3</v>
      </c>
    </row>
    <row r="934" spans="2:5" x14ac:dyDescent="0.2">
      <c r="B934" s="183" t="str">
        <f>'[1]COMEDORES EMERGENTES'!$B$14</f>
        <v>VALLE VIEJO - SUMALAO</v>
      </c>
      <c r="C934" s="184"/>
      <c r="D934" s="108">
        <v>2</v>
      </c>
      <c r="E934" s="109" t="str">
        <f>'[1]COMEDORES EMERGENTES'!$G$14</f>
        <v>PADRE SEGURA S/N</v>
      </c>
    </row>
    <row r="935" spans="2:5" x14ac:dyDescent="0.2">
      <c r="B935" s="183" t="str">
        <f>'[1]COMEDORES EMERGENTES'!$B$15</f>
        <v>NUESTRO FUTURO - LAS VIAS</v>
      </c>
      <c r="C935" s="184"/>
      <c r="D935" s="108">
        <v>1</v>
      </c>
      <c r="E935" s="109" t="str">
        <f>'[1]COMEDORES EMERGENTES'!$G$15</f>
        <v>Bº LAS VIAS OESTE LOTE 42</v>
      </c>
    </row>
    <row r="936" spans="2:5" x14ac:dyDescent="0.2">
      <c r="B936" s="183" t="str">
        <f>'[1]COMEDORES EMERGENTES'!$B$16</f>
        <v>SAN JOSE OBRERO</v>
      </c>
      <c r="C936" s="184"/>
      <c r="D936" s="108">
        <v>1</v>
      </c>
      <c r="E936" s="109" t="str">
        <f>'[1]COMEDORES EMERGENTES'!$G$16</f>
        <v>Bº SAN JOSE OBRERO. PJE. SANDOVAL S/Nº</v>
      </c>
    </row>
    <row r="937" spans="2:5" x14ac:dyDescent="0.2">
      <c r="B937" s="183" t="str">
        <f>'[1]COMEDORES EMERGENTES'!$B$17</f>
        <v>VIRGEN DE LUJAN</v>
      </c>
      <c r="C937" s="184"/>
      <c r="D937" s="108">
        <v>1</v>
      </c>
      <c r="E937" s="109" t="str">
        <f>'[1]COMEDORES EMERGENTES'!$G$17</f>
        <v>Bº OJO DE AGUA C/DR.TEODULFO BARRIONUEVO S/Nº</v>
      </c>
    </row>
    <row r="938" spans="2:5" x14ac:dyDescent="0.2">
      <c r="B938" s="183" t="str">
        <f>'[1]COMEDORES EMERGENTES'!$B$18</f>
        <v>RENACER</v>
      </c>
      <c r="C938" s="184"/>
      <c r="D938" s="108">
        <v>1</v>
      </c>
      <c r="E938" s="109" t="str">
        <f>'[1]COMEDORES EMERGENTES'!$G$18</f>
        <v>Bº VIRGEN MORENITA</v>
      </c>
    </row>
    <row r="939" spans="2:5" x14ac:dyDescent="0.2">
      <c r="B939" s="183" t="str">
        <f>'[1]COMEDORES EMERGENTES'!$B$19</f>
        <v>CENTRO VECINAL MI JARDIN</v>
      </c>
      <c r="C939" s="184"/>
      <c r="D939" s="108">
        <v>1</v>
      </c>
      <c r="E939" s="109" t="str">
        <f>'[1]COMEDORES EMERGENTES'!$G$19</f>
        <v>C/ LOS TULIPANES ENTRE FLOR DE CEREZO Y HOLANDA MZA.27 Bº MI JARDIN</v>
      </c>
    </row>
    <row r="940" spans="2:5" x14ac:dyDescent="0.2">
      <c r="B940" s="183" t="str">
        <f>'[1]COMEDORES EMERGENTES'!$B$20</f>
        <v>LA VIEJA ESQUINA</v>
      </c>
      <c r="C940" s="184"/>
      <c r="D940" s="108">
        <v>1</v>
      </c>
      <c r="E940" s="109" t="str">
        <f>'[1]COMEDORES EMERGENTES'!$G$20</f>
        <v>B° CRISTO REY PJE CAPATAZ VILLAFAÑEZ Y ARMANDO CORREA</v>
      </c>
    </row>
    <row r="941" spans="2:5" x14ac:dyDescent="0.2">
      <c r="B941" s="183" t="str">
        <f>'[1]COMEDORES EMERGENTES'!$B$21</f>
        <v>GAUCHITO GIL</v>
      </c>
      <c r="C941" s="184"/>
      <c r="D941" s="108">
        <v>1</v>
      </c>
      <c r="E941" s="109" t="str">
        <f>'[1]COMEDORES EMERGENTES'!$G$21</f>
        <v>B° 26 VIVIENDAS CASA N° 3</v>
      </c>
    </row>
    <row r="942" spans="2:5" ht="13.5" thickBot="1" x14ac:dyDescent="0.25">
      <c r="B942" s="200" t="str">
        <f>'[1]COMEDORES EMERGENTES'!$B$22</f>
        <v>LOS TOLDOS</v>
      </c>
      <c r="C942" s="201"/>
      <c r="D942" s="115">
        <v>1</v>
      </c>
      <c r="E942" s="116" t="str">
        <f>'[1]COMEDORES EMERGENTES'!$G$22</f>
        <v>LOTEO PARQUE SUR CALLE S/NOMBRE S/N°</v>
      </c>
    </row>
    <row r="943" spans="2:5" x14ac:dyDescent="0.2">
      <c r="B943" s="33" t="s">
        <v>18</v>
      </c>
      <c r="C943" s="31"/>
      <c r="D943" s="72"/>
      <c r="E943" s="32"/>
    </row>
    <row r="944" spans="2:5" x14ac:dyDescent="0.2">
      <c r="B944" s="34"/>
      <c r="C944" s="199" t="s">
        <v>64</v>
      </c>
      <c r="D944" s="199"/>
      <c r="E944" s="199"/>
    </row>
    <row r="945" spans="2:5" x14ac:dyDescent="0.2">
      <c r="B945" s="33" t="s">
        <v>19</v>
      </c>
      <c r="C945" s="35"/>
      <c r="D945" s="35"/>
      <c r="E945" s="36"/>
    </row>
    <row r="946" spans="2:5" x14ac:dyDescent="0.2">
      <c r="B946" s="34"/>
      <c r="C946" s="199" t="s">
        <v>141</v>
      </c>
      <c r="D946" s="199"/>
      <c r="E946" s="199"/>
    </row>
    <row r="947" spans="2:5" x14ac:dyDescent="0.2">
      <c r="B947" s="33" t="s">
        <v>20</v>
      </c>
      <c r="C947" s="31"/>
      <c r="D947" s="72"/>
      <c r="E947" s="32"/>
    </row>
    <row r="948" spans="2:5" x14ac:dyDescent="0.2">
      <c r="B948" s="33"/>
      <c r="C948" s="198" t="s">
        <v>65</v>
      </c>
      <c r="D948" s="198"/>
      <c r="E948" s="198"/>
    </row>
    <row r="949" spans="2:5" ht="13.5" thickBot="1" x14ac:dyDescent="0.25">
      <c r="B949" s="37"/>
      <c r="C949" s="38"/>
      <c r="D949" s="73"/>
      <c r="E949" s="39"/>
    </row>
    <row r="950" spans="2:5" ht="13.5" thickBot="1" x14ac:dyDescent="0.25"/>
    <row r="951" spans="2:5" x14ac:dyDescent="0.2">
      <c r="B951" s="27" t="s">
        <v>165</v>
      </c>
      <c r="C951" s="28"/>
      <c r="D951" s="71"/>
      <c r="E951" s="29"/>
    </row>
    <row r="952" spans="2:5" x14ac:dyDescent="0.2">
      <c r="B952" s="30"/>
      <c r="C952" s="31"/>
      <c r="D952" s="72"/>
      <c r="E952" s="32"/>
    </row>
    <row r="953" spans="2:5" x14ac:dyDescent="0.2">
      <c r="B953" s="33" t="s">
        <v>16</v>
      </c>
      <c r="C953" s="31"/>
      <c r="D953" s="72"/>
      <c r="E953" s="32"/>
    </row>
    <row r="954" spans="2:5" ht="25.5" customHeight="1" x14ac:dyDescent="0.2">
      <c r="B954" s="33"/>
      <c r="C954" s="199"/>
      <c r="D954" s="199"/>
      <c r="E954" s="199"/>
    </row>
    <row r="955" spans="2:5" ht="13.5" thickBot="1" x14ac:dyDescent="0.25">
      <c r="B955" s="33" t="s">
        <v>17</v>
      </c>
      <c r="C955" s="31"/>
      <c r="D955" s="72"/>
      <c r="E955" s="32"/>
    </row>
    <row r="956" spans="2:5" ht="13.5" thickBot="1" x14ac:dyDescent="0.25">
      <c r="B956" s="185" t="s">
        <v>243</v>
      </c>
      <c r="C956" s="186"/>
      <c r="D956" s="186"/>
      <c r="E956" s="187"/>
    </row>
    <row r="957" spans="2:5" ht="13.5" thickBot="1" x14ac:dyDescent="0.25">
      <c r="B957" s="185" t="s">
        <v>139</v>
      </c>
      <c r="C957" s="187"/>
      <c r="D957" s="69" t="s">
        <v>11</v>
      </c>
      <c r="E957" s="69" t="s">
        <v>140</v>
      </c>
    </row>
    <row r="958" spans="2:5" x14ac:dyDescent="0.2">
      <c r="B958" s="192" t="str">
        <f>'[1]COMEDORES EMERGENTES'!$B$3</f>
        <v>UNA SONRISA AV. LOS COBACHO</v>
      </c>
      <c r="C958" s="193"/>
      <c r="D958" s="113">
        <v>160</v>
      </c>
      <c r="E958" s="114" t="str">
        <f>'[1]COMEDORES EMERGENTES'!$G$3</f>
        <v>Bº SAN CARLOS OESTE AV. Bonifacio cobacho 670</v>
      </c>
    </row>
    <row r="959" spans="2:5" x14ac:dyDescent="0.2">
      <c r="B959" s="183" t="str">
        <f>'[1]COMEDORES EMERGENTES'!$B$4</f>
        <v>C.I.F Nº1 - RIVERA DEL VALLE Y FLORIDA</v>
      </c>
      <c r="C959" s="184"/>
      <c r="D959" s="108">
        <v>230</v>
      </c>
      <c r="E959" s="109" t="str">
        <f>'[1]COMEDORES EMERGENTES'!$G$4</f>
        <v>AV. RIVIERA DEL VALLE ENTRE FLORIDA Y SANTA FE</v>
      </c>
    </row>
    <row r="960" spans="2:5" x14ac:dyDescent="0.2">
      <c r="B960" s="183" t="str">
        <f>'[1]COMEDORES EMERGENTES'!$B$5</f>
        <v>C.I.F - RIVERA DEL VALLE - DILORENZO</v>
      </c>
      <c r="C960" s="184"/>
      <c r="D960" s="108">
        <v>270</v>
      </c>
      <c r="E960" s="109" t="str">
        <f>'[1]COMEDORES EMERGENTES'!$G$5</f>
        <v>Bº RIVERA DEL VALLE ENTRE VILLA EUMELIA Y MONTE CRISTO</v>
      </c>
    </row>
    <row r="961" spans="2:5" x14ac:dyDescent="0.2">
      <c r="B961" s="183" t="str">
        <f>'[1]COMEDORES EMERGENTES'!$B$6</f>
        <v>ESFUERZO PROPIO- Bº ALTOS DE CHOYA</v>
      </c>
      <c r="C961" s="184"/>
      <c r="D961" s="108">
        <v>220</v>
      </c>
      <c r="E961" s="109" t="str">
        <f>'[1]COMEDORES EMERGENTES'!$G$6</f>
        <v>Bº MUNICIPAL 35VV. NORTE C/14</v>
      </c>
    </row>
    <row r="962" spans="2:5" x14ac:dyDescent="0.2">
      <c r="B962" s="183" t="str">
        <f>'[1]COMEDORES EMERGENTES'!$B$7</f>
        <v>ANGELITOS - LOTEO SUSSEX</v>
      </c>
      <c r="C962" s="184"/>
      <c r="D962" s="108">
        <v>100</v>
      </c>
      <c r="E962" s="109" t="str">
        <f>'[1]COMEDORES EMERGENTES'!$G$7</f>
        <v>Bº LOTEO SUSEX MZA.Nº 4 LOTE Nº3</v>
      </c>
    </row>
    <row r="963" spans="2:5" x14ac:dyDescent="0.2">
      <c r="B963" s="183" t="str">
        <f>'[1]COMEDORES EMERGENTES'!$B$8</f>
        <v>CLUB DEPORTIVO CHACARITA</v>
      </c>
      <c r="C963" s="184"/>
      <c r="D963" s="108">
        <v>130</v>
      </c>
      <c r="E963" s="109" t="str">
        <f>'[1]COMEDORES EMERGENTES'!$G$8</f>
        <v>CALLE DR.DERMIDIO GALINDEZ C/2660</v>
      </c>
    </row>
    <row r="964" spans="2:5" x14ac:dyDescent="0.2">
      <c r="B964" s="183" t="str">
        <f>'[1]COMEDORES EMERGENTES'!$B$9</f>
        <v>LA MORO</v>
      </c>
      <c r="C964" s="184"/>
      <c r="D964" s="108">
        <v>120</v>
      </c>
      <c r="E964" s="109" t="str">
        <f>'[1]COMEDORES EMERGENTES'!$G$9</f>
        <v>MAIPU NORTE 1º ETAPA MZA "H" Bº MI JARDIN</v>
      </c>
    </row>
    <row r="965" spans="2:5" x14ac:dyDescent="0.2">
      <c r="B965" s="183" t="str">
        <f>'[1]COMEDORES EMERGENTES'!$B$10</f>
        <v>PAPA FRANCISCO</v>
      </c>
      <c r="C965" s="184"/>
      <c r="D965" s="108">
        <v>200</v>
      </c>
      <c r="E965" s="109" t="str">
        <f>'[1]COMEDORES EMERGENTES'!$G$10</f>
        <v>ENTRE AV.TEREBINTO Y AV.SAN JUAN LOTE "2" MZA. "B"</v>
      </c>
    </row>
    <row r="966" spans="2:5" x14ac:dyDescent="0.2">
      <c r="B966" s="183" t="str">
        <f>'[1]COMEDORES EMERGENTES'!$B$11</f>
        <v>E.P.C - 100 V.V NORTE</v>
      </c>
      <c r="C966" s="184"/>
      <c r="D966" s="108">
        <v>300</v>
      </c>
      <c r="E966" s="109" t="str">
        <f>'[1]COMEDORES EMERGENTES'!$G$11</f>
        <v>Bº VV NORTE C/48 ENTRE ESPAÑA Y FRANCIA</v>
      </c>
    </row>
    <row r="967" spans="2:5" x14ac:dyDescent="0.2">
      <c r="B967" s="183" t="str">
        <f>'[1]COMEDORES EMERGENTES'!$B$12</f>
        <v>HOGAR DE CRISTO - PADRE RAUL CONTRERAS</v>
      </c>
      <c r="C967" s="184"/>
      <c r="D967" s="108">
        <v>300</v>
      </c>
      <c r="E967" s="109" t="str">
        <f>'[1]COMEDORES EMERGENTES'!$G$12</f>
        <v>Bº SANTA MARTA MZA. "S" LOTE "M" C/39</v>
      </c>
    </row>
    <row r="968" spans="2:5" x14ac:dyDescent="0.2">
      <c r="B968" s="183" t="str">
        <f>'[1]COMEDORES EMERGENTES'!$B$13</f>
        <v>LA LUCIERNAGA</v>
      </c>
      <c r="C968" s="184"/>
      <c r="D968" s="108">
        <v>200</v>
      </c>
      <c r="E968" s="109" t="str">
        <f>'[1]COMEDORES EMERGENTES'!$G$13</f>
        <v>Bº 20 V.V NORTE C/3</v>
      </c>
    </row>
    <row r="969" spans="2:5" x14ac:dyDescent="0.2">
      <c r="B969" s="183" t="str">
        <f>'[1]COMEDORES EMERGENTES'!$B$14</f>
        <v>VALLE VIEJO - SUMALAO</v>
      </c>
      <c r="C969" s="184"/>
      <c r="D969" s="108">
        <v>350</v>
      </c>
      <c r="E969" s="109" t="str">
        <f>'[1]COMEDORES EMERGENTES'!$G$14</f>
        <v>PADRE SEGURA S/N</v>
      </c>
    </row>
    <row r="970" spans="2:5" x14ac:dyDescent="0.2">
      <c r="B970" s="183" t="str">
        <f>'[1]COMEDORES EMERGENTES'!$B$15</f>
        <v>NUESTRO FUTURO - LAS VIAS</v>
      </c>
      <c r="C970" s="184"/>
      <c r="D970" s="108">
        <v>200</v>
      </c>
      <c r="E970" s="109" t="str">
        <f>'[1]COMEDORES EMERGENTES'!$G$15</f>
        <v>Bº LAS VIAS OESTE LOTE 42</v>
      </c>
    </row>
    <row r="971" spans="2:5" x14ac:dyDescent="0.2">
      <c r="B971" s="183" t="str">
        <f>'[1]COMEDORES EMERGENTES'!$B$16</f>
        <v>SAN JOSE OBRERO</v>
      </c>
      <c r="C971" s="184"/>
      <c r="D971" s="108">
        <v>130</v>
      </c>
      <c r="E971" s="109" t="str">
        <f>'[1]COMEDORES EMERGENTES'!$G$16</f>
        <v>Bº SAN JOSE OBRERO. PJE. SANDOVAL S/Nº</v>
      </c>
    </row>
    <row r="972" spans="2:5" x14ac:dyDescent="0.2">
      <c r="B972" s="183" t="str">
        <f>'[1]COMEDORES EMERGENTES'!$B$17</f>
        <v>VIRGEN DE LUJAN</v>
      </c>
      <c r="C972" s="184"/>
      <c r="D972" s="108">
        <v>200</v>
      </c>
      <c r="E972" s="109" t="str">
        <f>'[1]COMEDORES EMERGENTES'!$G$17</f>
        <v>Bº OJO DE AGUA C/DR.TEODULFO BARRIONUEVO S/Nº</v>
      </c>
    </row>
    <row r="973" spans="2:5" x14ac:dyDescent="0.2">
      <c r="B973" s="183" t="str">
        <f>'[1]COMEDORES EMERGENTES'!$B$18</f>
        <v>RENACER</v>
      </c>
      <c r="C973" s="184"/>
      <c r="D973" s="108">
        <v>250</v>
      </c>
      <c r="E973" s="109" t="str">
        <f>'[1]COMEDORES EMERGENTES'!$G$18</f>
        <v>Bº VIRGEN MORENITA</v>
      </c>
    </row>
    <row r="974" spans="2:5" x14ac:dyDescent="0.2">
      <c r="B974" s="183" t="str">
        <f>'[1]COMEDORES EMERGENTES'!$B$19</f>
        <v>CENTRO VECINAL MI JARDIN</v>
      </c>
      <c r="C974" s="184"/>
      <c r="D974" s="108">
        <v>180</v>
      </c>
      <c r="E974" s="109" t="str">
        <f>'[1]COMEDORES EMERGENTES'!$G$19</f>
        <v>C/ LOS TULIPANES ENTRE FLOR DE CEREZO Y HOLANDA MZA.27 Bº MI JARDIN</v>
      </c>
    </row>
    <row r="975" spans="2:5" x14ac:dyDescent="0.2">
      <c r="B975" s="183" t="str">
        <f>'[1]COMEDORES EMERGENTES'!$B$20</f>
        <v>LA VIEJA ESQUINA</v>
      </c>
      <c r="C975" s="184"/>
      <c r="D975" s="108">
        <v>172</v>
      </c>
      <c r="E975" s="109" t="str">
        <f>'[1]COMEDORES EMERGENTES'!$G$20</f>
        <v>B° CRISTO REY PJE CAPATAZ VILLAFAÑEZ Y ARMANDO CORREA</v>
      </c>
    </row>
    <row r="976" spans="2:5" x14ac:dyDescent="0.2">
      <c r="B976" s="183" t="str">
        <f>'[1]COMEDORES EMERGENTES'!$B$21</f>
        <v>GAUCHITO GIL</v>
      </c>
      <c r="C976" s="184"/>
      <c r="D976" s="108">
        <v>168</v>
      </c>
      <c r="E976" s="109" t="str">
        <f>'[1]COMEDORES EMERGENTES'!$G$21</f>
        <v>B° 26 VIVIENDAS CASA N° 3</v>
      </c>
    </row>
    <row r="977" spans="2:5" ht="13.5" thickBot="1" x14ac:dyDescent="0.25">
      <c r="B977" s="200" t="str">
        <f>'[1]COMEDORES EMERGENTES'!$B$22</f>
        <v>LOS TOLDOS</v>
      </c>
      <c r="C977" s="201"/>
      <c r="D977" s="115">
        <v>80</v>
      </c>
      <c r="E977" s="116" t="str">
        <f>'[1]COMEDORES EMERGENTES'!$G$22</f>
        <v>LOTEO PARQUE SUR CALLE S/NOMBRE S/N°</v>
      </c>
    </row>
    <row r="978" spans="2:5" x14ac:dyDescent="0.2">
      <c r="B978" s="33" t="s">
        <v>18</v>
      </c>
      <c r="C978" s="31"/>
      <c r="D978" s="72"/>
      <c r="E978" s="32"/>
    </row>
    <row r="979" spans="2:5" x14ac:dyDescent="0.2">
      <c r="B979" s="34"/>
      <c r="C979" s="199" t="s">
        <v>64</v>
      </c>
      <c r="D979" s="199"/>
      <c r="E979" s="199"/>
    </row>
    <row r="980" spans="2:5" x14ac:dyDescent="0.2">
      <c r="B980" s="33" t="s">
        <v>19</v>
      </c>
      <c r="C980" s="35"/>
      <c r="D980" s="35"/>
      <c r="E980" s="36"/>
    </row>
    <row r="981" spans="2:5" x14ac:dyDescent="0.2">
      <c r="B981" s="34"/>
      <c r="C981" s="199" t="s">
        <v>141</v>
      </c>
      <c r="D981" s="199"/>
      <c r="E981" s="199"/>
    </row>
    <row r="982" spans="2:5" x14ac:dyDescent="0.2">
      <c r="B982" s="33" t="s">
        <v>20</v>
      </c>
      <c r="C982" s="31"/>
      <c r="D982" s="72"/>
      <c r="E982" s="32"/>
    </row>
    <row r="983" spans="2:5" x14ac:dyDescent="0.2">
      <c r="B983" s="33"/>
      <c r="C983" s="198" t="s">
        <v>65</v>
      </c>
      <c r="D983" s="198"/>
      <c r="E983" s="198"/>
    </row>
    <row r="984" spans="2:5" ht="13.5" thickBot="1" x14ac:dyDescent="0.25">
      <c r="B984" s="37"/>
      <c r="C984" s="38"/>
      <c r="D984" s="73"/>
      <c r="E984" s="39"/>
    </row>
    <row r="985" spans="2:5" ht="13.5" thickBot="1" x14ac:dyDescent="0.25"/>
    <row r="986" spans="2:5" x14ac:dyDescent="0.2">
      <c r="B986" s="27" t="s">
        <v>166</v>
      </c>
      <c r="C986" s="28"/>
      <c r="D986" s="71"/>
      <c r="E986" s="29"/>
    </row>
    <row r="987" spans="2:5" x14ac:dyDescent="0.2">
      <c r="B987" s="30"/>
      <c r="C987" s="31"/>
      <c r="D987" s="72"/>
      <c r="E987" s="32"/>
    </row>
    <row r="988" spans="2:5" x14ac:dyDescent="0.2">
      <c r="B988" s="33" t="s">
        <v>16</v>
      </c>
      <c r="C988" s="31"/>
      <c r="D988" s="72"/>
      <c r="E988" s="32"/>
    </row>
    <row r="989" spans="2:5" ht="30" customHeight="1" x14ac:dyDescent="0.2">
      <c r="B989" s="33"/>
      <c r="C989" s="199"/>
      <c r="D989" s="199"/>
      <c r="E989" s="199"/>
    </row>
    <row r="990" spans="2:5" ht="13.5" thickBot="1" x14ac:dyDescent="0.25">
      <c r="B990" s="33" t="s">
        <v>17</v>
      </c>
      <c r="C990" s="31"/>
      <c r="D990" s="72"/>
      <c r="E990" s="32"/>
    </row>
    <row r="991" spans="2:5" ht="13.5" thickBot="1" x14ac:dyDescent="0.25">
      <c r="B991" s="185" t="s">
        <v>244</v>
      </c>
      <c r="C991" s="186"/>
      <c r="D991" s="186"/>
      <c r="E991" s="187"/>
    </row>
    <row r="992" spans="2:5" ht="13.5" thickBot="1" x14ac:dyDescent="0.25">
      <c r="B992" s="185" t="s">
        <v>139</v>
      </c>
      <c r="C992" s="187"/>
      <c r="D992" s="69" t="s">
        <v>11</v>
      </c>
      <c r="E992" s="69" t="s">
        <v>140</v>
      </c>
    </row>
    <row r="993" spans="2:5" x14ac:dyDescent="0.2">
      <c r="B993" s="192" t="str">
        <f>'[1]COMEDORES EMERGENTES'!$B$3</f>
        <v>UNA SONRISA AV. LOS COBACHO</v>
      </c>
      <c r="C993" s="193"/>
      <c r="D993" s="113">
        <v>160</v>
      </c>
      <c r="E993" s="114" t="str">
        <f>'[1]COMEDORES EMERGENTES'!$G$3</f>
        <v>Bº SAN CARLOS OESTE AV. Bonifacio cobacho 670</v>
      </c>
    </row>
    <row r="994" spans="2:5" x14ac:dyDescent="0.2">
      <c r="B994" s="183" t="str">
        <f>'[1]COMEDORES EMERGENTES'!$B$4</f>
        <v>C.I.F Nº1 - RIVERA DEL VALLE Y FLORIDA</v>
      </c>
      <c r="C994" s="184"/>
      <c r="D994" s="108">
        <v>230</v>
      </c>
      <c r="E994" s="109" t="str">
        <f>'[1]COMEDORES EMERGENTES'!$G$4</f>
        <v>AV. RIVIERA DEL VALLE ENTRE FLORIDA Y SANTA FE</v>
      </c>
    </row>
    <row r="995" spans="2:5" x14ac:dyDescent="0.2">
      <c r="B995" s="183" t="str">
        <f>'[1]COMEDORES EMERGENTES'!$B$5</f>
        <v>C.I.F - RIVERA DEL VALLE - DILORENZO</v>
      </c>
      <c r="C995" s="184"/>
      <c r="D995" s="108">
        <v>270</v>
      </c>
      <c r="E995" s="109" t="str">
        <f>'[1]COMEDORES EMERGENTES'!$G$5</f>
        <v>Bº RIVERA DEL VALLE ENTRE VILLA EUMELIA Y MONTE CRISTO</v>
      </c>
    </row>
    <row r="996" spans="2:5" x14ac:dyDescent="0.2">
      <c r="B996" s="183" t="str">
        <f>'[1]COMEDORES EMERGENTES'!$B$6</f>
        <v>ESFUERZO PROPIO- Bº ALTOS DE CHOYA</v>
      </c>
      <c r="C996" s="184"/>
      <c r="D996" s="108">
        <v>220</v>
      </c>
      <c r="E996" s="109" t="str">
        <f>'[1]COMEDORES EMERGENTES'!$G$6</f>
        <v>Bº MUNICIPAL 35VV. NORTE C/14</v>
      </c>
    </row>
    <row r="997" spans="2:5" x14ac:dyDescent="0.2">
      <c r="B997" s="183" t="str">
        <f>'[1]COMEDORES EMERGENTES'!$B$7</f>
        <v>ANGELITOS - LOTEO SUSSEX</v>
      </c>
      <c r="C997" s="184"/>
      <c r="D997" s="108">
        <v>100</v>
      </c>
      <c r="E997" s="109" t="str">
        <f>'[1]COMEDORES EMERGENTES'!$G$7</f>
        <v>Bº LOTEO SUSEX MZA.Nº 4 LOTE Nº3</v>
      </c>
    </row>
    <row r="998" spans="2:5" x14ac:dyDescent="0.2">
      <c r="B998" s="183" t="str">
        <f>'[1]COMEDORES EMERGENTES'!$B$8</f>
        <v>CLUB DEPORTIVO CHACARITA</v>
      </c>
      <c r="C998" s="184"/>
      <c r="D998" s="108">
        <v>130</v>
      </c>
      <c r="E998" s="109" t="str">
        <f>'[1]COMEDORES EMERGENTES'!$G$8</f>
        <v>CALLE DR.DERMIDIO GALINDEZ C/2660</v>
      </c>
    </row>
    <row r="999" spans="2:5" x14ac:dyDescent="0.2">
      <c r="B999" s="183" t="str">
        <f>'[1]COMEDORES EMERGENTES'!$B$9</f>
        <v>LA MORO</v>
      </c>
      <c r="C999" s="184"/>
      <c r="D999" s="108">
        <v>120</v>
      </c>
      <c r="E999" s="109" t="str">
        <f>'[1]COMEDORES EMERGENTES'!$G$9</f>
        <v>MAIPU NORTE 1º ETAPA MZA "H" Bº MI JARDIN</v>
      </c>
    </row>
    <row r="1000" spans="2:5" x14ac:dyDescent="0.2">
      <c r="B1000" s="183" t="str">
        <f>'[1]COMEDORES EMERGENTES'!$B$10</f>
        <v>PAPA FRANCISCO</v>
      </c>
      <c r="C1000" s="184"/>
      <c r="D1000" s="108">
        <v>200</v>
      </c>
      <c r="E1000" s="109" t="str">
        <f>'[1]COMEDORES EMERGENTES'!$G$10</f>
        <v>ENTRE AV.TEREBINTO Y AV.SAN JUAN LOTE "2" MZA. "B"</v>
      </c>
    </row>
    <row r="1001" spans="2:5" x14ac:dyDescent="0.2">
      <c r="B1001" s="183" t="str">
        <f>'[1]COMEDORES EMERGENTES'!$B$11</f>
        <v>E.P.C - 100 V.V NORTE</v>
      </c>
      <c r="C1001" s="184"/>
      <c r="D1001" s="108">
        <v>300</v>
      </c>
      <c r="E1001" s="109" t="str">
        <f>'[1]COMEDORES EMERGENTES'!$G$11</f>
        <v>Bº VV NORTE C/48 ENTRE ESPAÑA Y FRANCIA</v>
      </c>
    </row>
    <row r="1002" spans="2:5" x14ac:dyDescent="0.2">
      <c r="B1002" s="183" t="str">
        <f>'[1]COMEDORES EMERGENTES'!$B$12</f>
        <v>HOGAR DE CRISTO - PADRE RAUL CONTRERAS</v>
      </c>
      <c r="C1002" s="184"/>
      <c r="D1002" s="108">
        <v>300</v>
      </c>
      <c r="E1002" s="109" t="str">
        <f>'[1]COMEDORES EMERGENTES'!$G$12</f>
        <v>Bº SANTA MARTA MZA. "S" LOTE "M" C/39</v>
      </c>
    </row>
    <row r="1003" spans="2:5" x14ac:dyDescent="0.2">
      <c r="B1003" s="183" t="str">
        <f>'[1]COMEDORES EMERGENTES'!$B$13</f>
        <v>LA LUCIERNAGA</v>
      </c>
      <c r="C1003" s="184"/>
      <c r="D1003" s="108">
        <v>200</v>
      </c>
      <c r="E1003" s="109" t="str">
        <f>'[1]COMEDORES EMERGENTES'!$G$13</f>
        <v>Bº 20 V.V NORTE C/3</v>
      </c>
    </row>
    <row r="1004" spans="2:5" x14ac:dyDescent="0.2">
      <c r="B1004" s="183" t="str">
        <f>'[1]COMEDORES EMERGENTES'!$B$14</f>
        <v>VALLE VIEJO - SUMALAO</v>
      </c>
      <c r="C1004" s="184"/>
      <c r="D1004" s="108">
        <v>350</v>
      </c>
      <c r="E1004" s="109" t="str">
        <f>'[1]COMEDORES EMERGENTES'!$G$14</f>
        <v>PADRE SEGURA S/N</v>
      </c>
    </row>
    <row r="1005" spans="2:5" x14ac:dyDescent="0.2">
      <c r="B1005" s="183" t="str">
        <f>'[1]COMEDORES EMERGENTES'!$B$15</f>
        <v>NUESTRO FUTURO - LAS VIAS</v>
      </c>
      <c r="C1005" s="184"/>
      <c r="D1005" s="108">
        <v>200</v>
      </c>
      <c r="E1005" s="109" t="str">
        <f>'[1]COMEDORES EMERGENTES'!$G$15</f>
        <v>Bº LAS VIAS OESTE LOTE 42</v>
      </c>
    </row>
    <row r="1006" spans="2:5" x14ac:dyDescent="0.2">
      <c r="B1006" s="183" t="str">
        <f>'[1]COMEDORES EMERGENTES'!$B$16</f>
        <v>SAN JOSE OBRERO</v>
      </c>
      <c r="C1006" s="184"/>
      <c r="D1006" s="108">
        <v>130</v>
      </c>
      <c r="E1006" s="109" t="str">
        <f>'[1]COMEDORES EMERGENTES'!$G$16</f>
        <v>Bº SAN JOSE OBRERO. PJE. SANDOVAL S/Nº</v>
      </c>
    </row>
    <row r="1007" spans="2:5" x14ac:dyDescent="0.2">
      <c r="B1007" s="183" t="str">
        <f>'[1]COMEDORES EMERGENTES'!$B$17</f>
        <v>VIRGEN DE LUJAN</v>
      </c>
      <c r="C1007" s="184"/>
      <c r="D1007" s="108">
        <v>200</v>
      </c>
      <c r="E1007" s="109" t="str">
        <f>'[1]COMEDORES EMERGENTES'!$G$17</f>
        <v>Bº OJO DE AGUA C/DR.TEODULFO BARRIONUEVO S/Nº</v>
      </c>
    </row>
    <row r="1008" spans="2:5" x14ac:dyDescent="0.2">
      <c r="B1008" s="183" t="str">
        <f>'[1]COMEDORES EMERGENTES'!$B$18</f>
        <v>RENACER</v>
      </c>
      <c r="C1008" s="184"/>
      <c r="D1008" s="108">
        <v>250</v>
      </c>
      <c r="E1008" s="109" t="str">
        <f>'[1]COMEDORES EMERGENTES'!$G$18</f>
        <v>Bº VIRGEN MORENITA</v>
      </c>
    </row>
    <row r="1009" spans="2:5" x14ac:dyDescent="0.2">
      <c r="B1009" s="183" t="str">
        <f>'[1]COMEDORES EMERGENTES'!$B$19</f>
        <v>CENTRO VECINAL MI JARDIN</v>
      </c>
      <c r="C1009" s="184"/>
      <c r="D1009" s="108">
        <v>180</v>
      </c>
      <c r="E1009" s="109" t="str">
        <f>'[1]COMEDORES EMERGENTES'!$G$19</f>
        <v>C/ LOS TULIPANES ENTRE FLOR DE CEREZO Y HOLANDA MZA.27 Bº MI JARDIN</v>
      </c>
    </row>
    <row r="1010" spans="2:5" x14ac:dyDescent="0.2">
      <c r="B1010" s="183" t="str">
        <f>'[1]COMEDORES EMERGENTES'!$B$20</f>
        <v>LA VIEJA ESQUINA</v>
      </c>
      <c r="C1010" s="184"/>
      <c r="D1010" s="108">
        <v>172</v>
      </c>
      <c r="E1010" s="109" t="str">
        <f>'[1]COMEDORES EMERGENTES'!$G$20</f>
        <v>B° CRISTO REY PJE CAPATAZ VILLAFAÑEZ Y ARMANDO CORREA</v>
      </c>
    </row>
    <row r="1011" spans="2:5" x14ac:dyDescent="0.2">
      <c r="B1011" s="183" t="str">
        <f>'[1]COMEDORES EMERGENTES'!$B$21</f>
        <v>GAUCHITO GIL</v>
      </c>
      <c r="C1011" s="184"/>
      <c r="D1011" s="108">
        <v>168</v>
      </c>
      <c r="E1011" s="109" t="str">
        <f>'[1]COMEDORES EMERGENTES'!$G$21</f>
        <v>B° 26 VIVIENDAS CASA N° 3</v>
      </c>
    </row>
    <row r="1012" spans="2:5" ht="13.5" thickBot="1" x14ac:dyDescent="0.25">
      <c r="B1012" s="200" t="str">
        <f>'[1]COMEDORES EMERGENTES'!$B$22</f>
        <v>LOS TOLDOS</v>
      </c>
      <c r="C1012" s="201"/>
      <c r="D1012" s="115">
        <v>80</v>
      </c>
      <c r="E1012" s="116" t="str">
        <f>'[1]COMEDORES EMERGENTES'!$G$22</f>
        <v>LOTEO PARQUE SUR CALLE S/NOMBRE S/N°</v>
      </c>
    </row>
    <row r="1013" spans="2:5" x14ac:dyDescent="0.2">
      <c r="B1013" s="33" t="s">
        <v>18</v>
      </c>
      <c r="C1013" s="31"/>
      <c r="D1013" s="72"/>
      <c r="E1013" s="32"/>
    </row>
    <row r="1014" spans="2:5" x14ac:dyDescent="0.2">
      <c r="B1014" s="34"/>
      <c r="C1014" s="199" t="s">
        <v>64</v>
      </c>
      <c r="D1014" s="199"/>
      <c r="E1014" s="199"/>
    </row>
    <row r="1015" spans="2:5" x14ac:dyDescent="0.2">
      <c r="B1015" s="33" t="s">
        <v>19</v>
      </c>
      <c r="C1015" s="35"/>
      <c r="D1015" s="35"/>
      <c r="E1015" s="36"/>
    </row>
    <row r="1016" spans="2:5" x14ac:dyDescent="0.2">
      <c r="B1016" s="34"/>
      <c r="C1016" s="199" t="s">
        <v>141</v>
      </c>
      <c r="D1016" s="199"/>
      <c r="E1016" s="199"/>
    </row>
    <row r="1017" spans="2:5" x14ac:dyDescent="0.2">
      <c r="B1017" s="33" t="s">
        <v>20</v>
      </c>
      <c r="C1017" s="31"/>
      <c r="D1017" s="72"/>
      <c r="E1017" s="32"/>
    </row>
    <row r="1018" spans="2:5" x14ac:dyDescent="0.2">
      <c r="B1018" s="33"/>
      <c r="C1018" s="198" t="s">
        <v>65</v>
      </c>
      <c r="D1018" s="198"/>
      <c r="E1018" s="198"/>
    </row>
    <row r="1019" spans="2:5" ht="13.5" thickBot="1" x14ac:dyDescent="0.25">
      <c r="B1019" s="37"/>
      <c r="C1019" s="38"/>
      <c r="D1019" s="73"/>
      <c r="E1019" s="39"/>
    </row>
    <row r="1020" spans="2:5" ht="13.5" thickBot="1" x14ac:dyDescent="0.25"/>
    <row r="1021" spans="2:5" x14ac:dyDescent="0.2">
      <c r="B1021" s="27" t="s">
        <v>167</v>
      </c>
      <c r="C1021" s="28"/>
      <c r="D1021" s="71"/>
      <c r="E1021" s="29"/>
    </row>
    <row r="1022" spans="2:5" x14ac:dyDescent="0.2">
      <c r="B1022" s="30"/>
      <c r="C1022" s="31"/>
      <c r="D1022" s="72"/>
      <c r="E1022" s="32"/>
    </row>
    <row r="1023" spans="2:5" x14ac:dyDescent="0.2">
      <c r="B1023" s="33" t="s">
        <v>16</v>
      </c>
      <c r="C1023" s="31"/>
      <c r="D1023" s="72"/>
      <c r="E1023" s="32"/>
    </row>
    <row r="1024" spans="2:5" ht="25.5" customHeight="1" x14ac:dyDescent="0.2">
      <c r="B1024" s="33"/>
      <c r="C1024" s="199"/>
      <c r="D1024" s="199"/>
      <c r="E1024" s="199"/>
    </row>
    <row r="1025" spans="2:5" ht="13.5" thickBot="1" x14ac:dyDescent="0.25">
      <c r="B1025" s="33" t="s">
        <v>17</v>
      </c>
      <c r="C1025" s="31"/>
      <c r="D1025" s="72"/>
      <c r="E1025" s="32"/>
    </row>
    <row r="1026" spans="2:5" ht="13.5" thickBot="1" x14ac:dyDescent="0.25">
      <c r="B1026" s="185" t="s">
        <v>246</v>
      </c>
      <c r="C1026" s="186"/>
      <c r="D1026" s="186"/>
      <c r="E1026" s="187"/>
    </row>
    <row r="1027" spans="2:5" ht="13.5" thickBot="1" x14ac:dyDescent="0.25">
      <c r="B1027" s="185" t="s">
        <v>139</v>
      </c>
      <c r="C1027" s="187"/>
      <c r="D1027" s="69" t="s">
        <v>11</v>
      </c>
      <c r="E1027" s="69" t="s">
        <v>140</v>
      </c>
    </row>
    <row r="1028" spans="2:5" x14ac:dyDescent="0.2">
      <c r="B1028" s="192" t="str">
        <f>'[1]COMEDORES EMERGENTES'!$B$3</f>
        <v>UNA SONRISA AV. LOS COBACHO</v>
      </c>
      <c r="C1028" s="193"/>
      <c r="D1028" s="113">
        <v>160</v>
      </c>
      <c r="E1028" s="114" t="str">
        <f>'[1]COMEDORES EMERGENTES'!$G$3</f>
        <v>Bº SAN CARLOS OESTE AV. Bonifacio cobacho 670</v>
      </c>
    </row>
    <row r="1029" spans="2:5" x14ac:dyDescent="0.2">
      <c r="B1029" s="183" t="str">
        <f>'[1]COMEDORES EMERGENTES'!$B$4</f>
        <v>C.I.F Nº1 - RIVERA DEL VALLE Y FLORIDA</v>
      </c>
      <c r="C1029" s="184"/>
      <c r="D1029" s="108">
        <v>230</v>
      </c>
      <c r="E1029" s="109" t="str">
        <f>'[1]COMEDORES EMERGENTES'!$G$4</f>
        <v>AV. RIVIERA DEL VALLE ENTRE FLORIDA Y SANTA FE</v>
      </c>
    </row>
    <row r="1030" spans="2:5" x14ac:dyDescent="0.2">
      <c r="B1030" s="183" t="str">
        <f>'[1]COMEDORES EMERGENTES'!$B$5</f>
        <v>C.I.F - RIVERA DEL VALLE - DILORENZO</v>
      </c>
      <c r="C1030" s="184"/>
      <c r="D1030" s="108">
        <v>270</v>
      </c>
      <c r="E1030" s="109" t="str">
        <f>'[1]COMEDORES EMERGENTES'!$G$5</f>
        <v>Bº RIVERA DEL VALLE ENTRE VILLA EUMELIA Y MONTE CRISTO</v>
      </c>
    </row>
    <row r="1031" spans="2:5" x14ac:dyDescent="0.2">
      <c r="B1031" s="183" t="str">
        <f>'[1]COMEDORES EMERGENTES'!$B$6</f>
        <v>ESFUERZO PROPIO- Bº ALTOS DE CHOYA</v>
      </c>
      <c r="C1031" s="184"/>
      <c r="D1031" s="108">
        <v>220</v>
      </c>
      <c r="E1031" s="109" t="str">
        <f>'[1]COMEDORES EMERGENTES'!$G$6</f>
        <v>Bº MUNICIPAL 35VV. NORTE C/14</v>
      </c>
    </row>
    <row r="1032" spans="2:5" x14ac:dyDescent="0.2">
      <c r="B1032" s="183" t="str">
        <f>'[1]COMEDORES EMERGENTES'!$B$7</f>
        <v>ANGELITOS - LOTEO SUSSEX</v>
      </c>
      <c r="C1032" s="184"/>
      <c r="D1032" s="108">
        <v>100</v>
      </c>
      <c r="E1032" s="109" t="str">
        <f>'[1]COMEDORES EMERGENTES'!$G$7</f>
        <v>Bº LOTEO SUSEX MZA.Nº 4 LOTE Nº3</v>
      </c>
    </row>
    <row r="1033" spans="2:5" x14ac:dyDescent="0.2">
      <c r="B1033" s="183" t="str">
        <f>'[1]COMEDORES EMERGENTES'!$B$8</f>
        <v>CLUB DEPORTIVO CHACARITA</v>
      </c>
      <c r="C1033" s="184"/>
      <c r="D1033" s="108">
        <v>130</v>
      </c>
      <c r="E1033" s="109" t="str">
        <f>'[1]COMEDORES EMERGENTES'!$G$8</f>
        <v>CALLE DR.DERMIDIO GALINDEZ C/2660</v>
      </c>
    </row>
    <row r="1034" spans="2:5" x14ac:dyDescent="0.2">
      <c r="B1034" s="183" t="str">
        <f>'[1]COMEDORES EMERGENTES'!$B$9</f>
        <v>LA MORO</v>
      </c>
      <c r="C1034" s="184"/>
      <c r="D1034" s="108">
        <v>120</v>
      </c>
      <c r="E1034" s="109" t="str">
        <f>'[1]COMEDORES EMERGENTES'!$G$9</f>
        <v>MAIPU NORTE 1º ETAPA MZA "H" Bº MI JARDIN</v>
      </c>
    </row>
    <row r="1035" spans="2:5" x14ac:dyDescent="0.2">
      <c r="B1035" s="183" t="str">
        <f>'[1]COMEDORES EMERGENTES'!$B$10</f>
        <v>PAPA FRANCISCO</v>
      </c>
      <c r="C1035" s="184"/>
      <c r="D1035" s="108">
        <v>200</v>
      </c>
      <c r="E1035" s="109" t="str">
        <f>'[1]COMEDORES EMERGENTES'!$G$10</f>
        <v>ENTRE AV.TEREBINTO Y AV.SAN JUAN LOTE "2" MZA. "B"</v>
      </c>
    </row>
    <row r="1036" spans="2:5" x14ac:dyDescent="0.2">
      <c r="B1036" s="183" t="str">
        <f>'[1]COMEDORES EMERGENTES'!$B$11</f>
        <v>E.P.C - 100 V.V NORTE</v>
      </c>
      <c r="C1036" s="184"/>
      <c r="D1036" s="108">
        <v>300</v>
      </c>
      <c r="E1036" s="109" t="str">
        <f>'[1]COMEDORES EMERGENTES'!$G$11</f>
        <v>Bº VV NORTE C/48 ENTRE ESPAÑA Y FRANCIA</v>
      </c>
    </row>
    <row r="1037" spans="2:5" x14ac:dyDescent="0.2">
      <c r="B1037" s="183" t="str">
        <f>'[1]COMEDORES EMERGENTES'!$B$12</f>
        <v>HOGAR DE CRISTO - PADRE RAUL CONTRERAS</v>
      </c>
      <c r="C1037" s="184"/>
      <c r="D1037" s="108">
        <v>300</v>
      </c>
      <c r="E1037" s="109" t="str">
        <f>'[1]COMEDORES EMERGENTES'!$G$12</f>
        <v>Bº SANTA MARTA MZA. "S" LOTE "M" C/39</v>
      </c>
    </row>
    <row r="1038" spans="2:5" x14ac:dyDescent="0.2">
      <c r="B1038" s="183" t="str">
        <f>'[1]COMEDORES EMERGENTES'!$B$13</f>
        <v>LA LUCIERNAGA</v>
      </c>
      <c r="C1038" s="184"/>
      <c r="D1038" s="108">
        <v>200</v>
      </c>
      <c r="E1038" s="109" t="str">
        <f>'[1]COMEDORES EMERGENTES'!$G$13</f>
        <v>Bº 20 V.V NORTE C/3</v>
      </c>
    </row>
    <row r="1039" spans="2:5" x14ac:dyDescent="0.2">
      <c r="B1039" s="183" t="str">
        <f>'[1]COMEDORES EMERGENTES'!$B$14</f>
        <v>VALLE VIEJO - SUMALAO</v>
      </c>
      <c r="C1039" s="184"/>
      <c r="D1039" s="108">
        <v>350</v>
      </c>
      <c r="E1039" s="109" t="str">
        <f>'[1]COMEDORES EMERGENTES'!$G$14</f>
        <v>PADRE SEGURA S/N</v>
      </c>
    </row>
    <row r="1040" spans="2:5" x14ac:dyDescent="0.2">
      <c r="B1040" s="183" t="str">
        <f>'[1]COMEDORES EMERGENTES'!$B$15</f>
        <v>NUESTRO FUTURO - LAS VIAS</v>
      </c>
      <c r="C1040" s="184"/>
      <c r="D1040" s="108">
        <v>200</v>
      </c>
      <c r="E1040" s="109" t="str">
        <f>'[1]COMEDORES EMERGENTES'!$G$15</f>
        <v>Bº LAS VIAS OESTE LOTE 42</v>
      </c>
    </row>
    <row r="1041" spans="2:5" x14ac:dyDescent="0.2">
      <c r="B1041" s="183" t="str">
        <f>'[1]COMEDORES EMERGENTES'!$B$16</f>
        <v>SAN JOSE OBRERO</v>
      </c>
      <c r="C1041" s="184"/>
      <c r="D1041" s="108">
        <v>130</v>
      </c>
      <c r="E1041" s="109" t="str">
        <f>'[1]COMEDORES EMERGENTES'!$G$16</f>
        <v>Bº SAN JOSE OBRERO. PJE. SANDOVAL S/Nº</v>
      </c>
    </row>
    <row r="1042" spans="2:5" x14ac:dyDescent="0.2">
      <c r="B1042" s="183" t="str">
        <f>'[1]COMEDORES EMERGENTES'!$B$17</f>
        <v>VIRGEN DE LUJAN</v>
      </c>
      <c r="C1042" s="184"/>
      <c r="D1042" s="108">
        <v>200</v>
      </c>
      <c r="E1042" s="109" t="str">
        <f>'[1]COMEDORES EMERGENTES'!$G$17</f>
        <v>Bº OJO DE AGUA C/DR.TEODULFO BARRIONUEVO S/Nº</v>
      </c>
    </row>
    <row r="1043" spans="2:5" x14ac:dyDescent="0.2">
      <c r="B1043" s="183" t="str">
        <f>'[1]COMEDORES EMERGENTES'!$B$18</f>
        <v>RENACER</v>
      </c>
      <c r="C1043" s="184"/>
      <c r="D1043" s="108">
        <v>250</v>
      </c>
      <c r="E1043" s="109" t="str">
        <f>'[1]COMEDORES EMERGENTES'!$G$18</f>
        <v>Bº VIRGEN MORENITA</v>
      </c>
    </row>
    <row r="1044" spans="2:5" x14ac:dyDescent="0.2">
      <c r="B1044" s="183" t="str">
        <f>'[1]COMEDORES EMERGENTES'!$B$19</f>
        <v>CENTRO VECINAL MI JARDIN</v>
      </c>
      <c r="C1044" s="184"/>
      <c r="D1044" s="108">
        <v>180</v>
      </c>
      <c r="E1044" s="109" t="str">
        <f>'[1]COMEDORES EMERGENTES'!$G$19</f>
        <v>C/ LOS TULIPANES ENTRE FLOR DE CEREZO Y HOLANDA MZA.27 Bº MI JARDIN</v>
      </c>
    </row>
    <row r="1045" spans="2:5" x14ac:dyDescent="0.2">
      <c r="B1045" s="183" t="str">
        <f>'[1]COMEDORES EMERGENTES'!$B$20</f>
        <v>LA VIEJA ESQUINA</v>
      </c>
      <c r="C1045" s="184"/>
      <c r="D1045" s="108">
        <v>172</v>
      </c>
      <c r="E1045" s="109" t="str">
        <f>'[1]COMEDORES EMERGENTES'!$G$20</f>
        <v>B° CRISTO REY PJE CAPATAZ VILLAFAÑEZ Y ARMANDO CORREA</v>
      </c>
    </row>
    <row r="1046" spans="2:5" x14ac:dyDescent="0.2">
      <c r="B1046" s="183" t="str">
        <f>'[1]COMEDORES EMERGENTES'!$B$21</f>
        <v>GAUCHITO GIL</v>
      </c>
      <c r="C1046" s="184"/>
      <c r="D1046" s="108">
        <v>168</v>
      </c>
      <c r="E1046" s="109" t="str">
        <f>'[1]COMEDORES EMERGENTES'!$G$21</f>
        <v>B° 26 VIVIENDAS CASA N° 3</v>
      </c>
    </row>
    <row r="1047" spans="2:5" ht="13.5" thickBot="1" x14ac:dyDescent="0.25">
      <c r="B1047" s="200" t="str">
        <f>'[1]COMEDORES EMERGENTES'!$B$22</f>
        <v>LOS TOLDOS</v>
      </c>
      <c r="C1047" s="201"/>
      <c r="D1047" s="115">
        <v>80</v>
      </c>
      <c r="E1047" s="116" t="str">
        <f>'[1]COMEDORES EMERGENTES'!$G$22</f>
        <v>LOTEO PARQUE SUR CALLE S/NOMBRE S/N°</v>
      </c>
    </row>
    <row r="1048" spans="2:5" x14ac:dyDescent="0.2">
      <c r="B1048" s="33" t="s">
        <v>18</v>
      </c>
      <c r="C1048" s="31"/>
      <c r="D1048" s="72"/>
      <c r="E1048" s="32"/>
    </row>
    <row r="1049" spans="2:5" x14ac:dyDescent="0.2">
      <c r="B1049" s="34"/>
      <c r="C1049" s="199" t="s">
        <v>64</v>
      </c>
      <c r="D1049" s="199"/>
      <c r="E1049" s="199"/>
    </row>
    <row r="1050" spans="2:5" x14ac:dyDescent="0.2">
      <c r="B1050" s="33" t="s">
        <v>19</v>
      </c>
      <c r="C1050" s="35"/>
      <c r="D1050" s="35"/>
      <c r="E1050" s="36"/>
    </row>
    <row r="1051" spans="2:5" x14ac:dyDescent="0.2">
      <c r="B1051" s="34"/>
      <c r="C1051" s="199" t="s">
        <v>141</v>
      </c>
      <c r="D1051" s="199"/>
      <c r="E1051" s="199"/>
    </row>
    <row r="1052" spans="2:5" x14ac:dyDescent="0.2">
      <c r="B1052" s="33" t="s">
        <v>20</v>
      </c>
      <c r="C1052" s="31"/>
      <c r="D1052" s="72"/>
      <c r="E1052" s="32"/>
    </row>
    <row r="1053" spans="2:5" x14ac:dyDescent="0.2">
      <c r="B1053" s="33"/>
      <c r="C1053" s="198" t="s">
        <v>65</v>
      </c>
      <c r="D1053" s="198"/>
      <c r="E1053" s="198"/>
    </row>
    <row r="1054" spans="2:5" ht="13.5" thickBot="1" x14ac:dyDescent="0.25">
      <c r="B1054" s="37"/>
      <c r="C1054" s="38"/>
      <c r="D1054" s="73"/>
      <c r="E1054" s="39"/>
    </row>
    <row r="1055" spans="2:5" ht="13.5" thickBot="1" x14ac:dyDescent="0.25"/>
    <row r="1056" spans="2:5" x14ac:dyDescent="0.2">
      <c r="B1056" s="27" t="s">
        <v>168</v>
      </c>
      <c r="C1056" s="28"/>
      <c r="D1056" s="71"/>
      <c r="E1056" s="29"/>
    </row>
    <row r="1057" spans="2:5" x14ac:dyDescent="0.2">
      <c r="B1057" s="30"/>
      <c r="C1057" s="31"/>
      <c r="D1057" s="72"/>
      <c r="E1057" s="32"/>
    </row>
    <row r="1058" spans="2:5" x14ac:dyDescent="0.2">
      <c r="B1058" s="33" t="s">
        <v>16</v>
      </c>
      <c r="C1058" s="31"/>
      <c r="D1058" s="72"/>
      <c r="E1058" s="32"/>
    </row>
    <row r="1059" spans="2:5" ht="25.5" customHeight="1" x14ac:dyDescent="0.2">
      <c r="B1059" s="33"/>
      <c r="C1059" s="199"/>
      <c r="D1059" s="199"/>
      <c r="E1059" s="199"/>
    </row>
    <row r="1060" spans="2:5" ht="13.5" thickBot="1" x14ac:dyDescent="0.25">
      <c r="B1060" s="33" t="s">
        <v>17</v>
      </c>
      <c r="C1060" s="31"/>
      <c r="D1060" s="72"/>
      <c r="E1060" s="32"/>
    </row>
    <row r="1061" spans="2:5" ht="13.5" thickBot="1" x14ac:dyDescent="0.25">
      <c r="B1061" s="185" t="s">
        <v>245</v>
      </c>
      <c r="C1061" s="186"/>
      <c r="D1061" s="186"/>
      <c r="E1061" s="187"/>
    </row>
    <row r="1062" spans="2:5" ht="13.5" thickBot="1" x14ac:dyDescent="0.25">
      <c r="B1062" s="185" t="s">
        <v>139</v>
      </c>
      <c r="C1062" s="187"/>
      <c r="D1062" s="69" t="s">
        <v>11</v>
      </c>
      <c r="E1062" s="69" t="s">
        <v>140</v>
      </c>
    </row>
    <row r="1063" spans="2:5" x14ac:dyDescent="0.2">
      <c r="B1063" s="192" t="str">
        <f>'[1]COMEDORES EMERGENTES'!$B$3</f>
        <v>UNA SONRISA AV. LOS COBACHO</v>
      </c>
      <c r="C1063" s="193"/>
      <c r="D1063" s="113">
        <v>160</v>
      </c>
      <c r="E1063" s="114" t="str">
        <f>'[1]COMEDORES EMERGENTES'!$G$3</f>
        <v>Bº SAN CARLOS OESTE AV. Bonifacio cobacho 670</v>
      </c>
    </row>
    <row r="1064" spans="2:5" x14ac:dyDescent="0.2">
      <c r="B1064" s="183" t="str">
        <f>'[1]COMEDORES EMERGENTES'!$B$4</f>
        <v>C.I.F Nº1 - RIVERA DEL VALLE Y FLORIDA</v>
      </c>
      <c r="C1064" s="184"/>
      <c r="D1064" s="108">
        <v>230</v>
      </c>
      <c r="E1064" s="109" t="str">
        <f>'[1]COMEDORES EMERGENTES'!$G$4</f>
        <v>AV. RIVIERA DEL VALLE ENTRE FLORIDA Y SANTA FE</v>
      </c>
    </row>
    <row r="1065" spans="2:5" x14ac:dyDescent="0.2">
      <c r="B1065" s="183" t="str">
        <f>'[1]COMEDORES EMERGENTES'!$B$5</f>
        <v>C.I.F - RIVERA DEL VALLE - DILORENZO</v>
      </c>
      <c r="C1065" s="184"/>
      <c r="D1065" s="108">
        <v>270</v>
      </c>
      <c r="E1065" s="109" t="str">
        <f>'[1]COMEDORES EMERGENTES'!$G$5</f>
        <v>Bº RIVERA DEL VALLE ENTRE VILLA EUMELIA Y MONTE CRISTO</v>
      </c>
    </row>
    <row r="1066" spans="2:5" x14ac:dyDescent="0.2">
      <c r="B1066" s="183" t="str">
        <f>'[1]COMEDORES EMERGENTES'!$B$6</f>
        <v>ESFUERZO PROPIO- Bº ALTOS DE CHOYA</v>
      </c>
      <c r="C1066" s="184"/>
      <c r="D1066" s="108">
        <v>220</v>
      </c>
      <c r="E1066" s="109" t="str">
        <f>'[1]COMEDORES EMERGENTES'!$G$6</f>
        <v>Bº MUNICIPAL 35VV. NORTE C/14</v>
      </c>
    </row>
    <row r="1067" spans="2:5" x14ac:dyDescent="0.2">
      <c r="B1067" s="183" t="str">
        <f>'[1]COMEDORES EMERGENTES'!$B$7</f>
        <v>ANGELITOS - LOTEO SUSSEX</v>
      </c>
      <c r="C1067" s="184"/>
      <c r="D1067" s="108">
        <v>100</v>
      </c>
      <c r="E1067" s="109" t="str">
        <f>'[1]COMEDORES EMERGENTES'!$G$7</f>
        <v>Bº LOTEO SUSEX MZA.Nº 4 LOTE Nº3</v>
      </c>
    </row>
    <row r="1068" spans="2:5" x14ac:dyDescent="0.2">
      <c r="B1068" s="183" t="str">
        <f>'[1]COMEDORES EMERGENTES'!$B$8</f>
        <v>CLUB DEPORTIVO CHACARITA</v>
      </c>
      <c r="C1068" s="184"/>
      <c r="D1068" s="108">
        <v>130</v>
      </c>
      <c r="E1068" s="109" t="str">
        <f>'[1]COMEDORES EMERGENTES'!$G$8</f>
        <v>CALLE DR.DERMIDIO GALINDEZ C/2660</v>
      </c>
    </row>
    <row r="1069" spans="2:5" x14ac:dyDescent="0.2">
      <c r="B1069" s="183" t="str">
        <f>'[1]COMEDORES EMERGENTES'!$B$9</f>
        <v>LA MORO</v>
      </c>
      <c r="C1069" s="184"/>
      <c r="D1069" s="108">
        <v>120</v>
      </c>
      <c r="E1069" s="109" t="str">
        <f>'[1]COMEDORES EMERGENTES'!$G$9</f>
        <v>MAIPU NORTE 1º ETAPA MZA "H" Bº MI JARDIN</v>
      </c>
    </row>
    <row r="1070" spans="2:5" x14ac:dyDescent="0.2">
      <c r="B1070" s="183" t="str">
        <f>'[1]COMEDORES EMERGENTES'!$B$10</f>
        <v>PAPA FRANCISCO</v>
      </c>
      <c r="C1070" s="184"/>
      <c r="D1070" s="108">
        <v>200</v>
      </c>
      <c r="E1070" s="109" t="str">
        <f>'[1]COMEDORES EMERGENTES'!$G$10</f>
        <v>ENTRE AV.TEREBINTO Y AV.SAN JUAN LOTE "2" MZA. "B"</v>
      </c>
    </row>
    <row r="1071" spans="2:5" x14ac:dyDescent="0.2">
      <c r="B1071" s="183" t="str">
        <f>'[1]COMEDORES EMERGENTES'!$B$11</f>
        <v>E.P.C - 100 V.V NORTE</v>
      </c>
      <c r="C1071" s="184"/>
      <c r="D1071" s="108">
        <v>300</v>
      </c>
      <c r="E1071" s="109" t="str">
        <f>'[1]COMEDORES EMERGENTES'!$G$11</f>
        <v>Bº VV NORTE C/48 ENTRE ESPAÑA Y FRANCIA</v>
      </c>
    </row>
    <row r="1072" spans="2:5" x14ac:dyDescent="0.2">
      <c r="B1072" s="183" t="str">
        <f>'[1]COMEDORES EMERGENTES'!$B$12</f>
        <v>HOGAR DE CRISTO - PADRE RAUL CONTRERAS</v>
      </c>
      <c r="C1072" s="184"/>
      <c r="D1072" s="108">
        <v>300</v>
      </c>
      <c r="E1072" s="109" t="str">
        <f>'[1]COMEDORES EMERGENTES'!$G$12</f>
        <v>Bº SANTA MARTA MZA. "S" LOTE "M" C/39</v>
      </c>
    </row>
    <row r="1073" spans="2:5" x14ac:dyDescent="0.2">
      <c r="B1073" s="183" t="str">
        <f>'[1]COMEDORES EMERGENTES'!$B$13</f>
        <v>LA LUCIERNAGA</v>
      </c>
      <c r="C1073" s="184"/>
      <c r="D1073" s="108">
        <v>200</v>
      </c>
      <c r="E1073" s="109" t="str">
        <f>'[1]COMEDORES EMERGENTES'!$G$13</f>
        <v>Bº 20 V.V NORTE C/3</v>
      </c>
    </row>
    <row r="1074" spans="2:5" x14ac:dyDescent="0.2">
      <c r="B1074" s="183" t="str">
        <f>'[1]COMEDORES EMERGENTES'!$B$14</f>
        <v>VALLE VIEJO - SUMALAO</v>
      </c>
      <c r="C1074" s="184"/>
      <c r="D1074" s="108">
        <v>350</v>
      </c>
      <c r="E1074" s="109" t="str">
        <f>'[1]COMEDORES EMERGENTES'!$G$14</f>
        <v>PADRE SEGURA S/N</v>
      </c>
    </row>
    <row r="1075" spans="2:5" x14ac:dyDescent="0.2">
      <c r="B1075" s="183" t="str">
        <f>'[1]COMEDORES EMERGENTES'!$B$15</f>
        <v>NUESTRO FUTURO - LAS VIAS</v>
      </c>
      <c r="C1075" s="184"/>
      <c r="D1075" s="108">
        <v>200</v>
      </c>
      <c r="E1075" s="109" t="str">
        <f>'[1]COMEDORES EMERGENTES'!$G$15</f>
        <v>Bº LAS VIAS OESTE LOTE 42</v>
      </c>
    </row>
    <row r="1076" spans="2:5" x14ac:dyDescent="0.2">
      <c r="B1076" s="183" t="str">
        <f>'[1]COMEDORES EMERGENTES'!$B$16</f>
        <v>SAN JOSE OBRERO</v>
      </c>
      <c r="C1076" s="184"/>
      <c r="D1076" s="108">
        <v>130</v>
      </c>
      <c r="E1076" s="109" t="str">
        <f>'[1]COMEDORES EMERGENTES'!$G$16</f>
        <v>Bº SAN JOSE OBRERO. PJE. SANDOVAL S/Nº</v>
      </c>
    </row>
    <row r="1077" spans="2:5" x14ac:dyDescent="0.2">
      <c r="B1077" s="183" t="str">
        <f>'[1]COMEDORES EMERGENTES'!$B$17</f>
        <v>VIRGEN DE LUJAN</v>
      </c>
      <c r="C1077" s="184"/>
      <c r="D1077" s="108">
        <v>200</v>
      </c>
      <c r="E1077" s="109" t="str">
        <f>'[1]COMEDORES EMERGENTES'!$G$17</f>
        <v>Bº OJO DE AGUA C/DR.TEODULFO BARRIONUEVO S/Nº</v>
      </c>
    </row>
    <row r="1078" spans="2:5" x14ac:dyDescent="0.2">
      <c r="B1078" s="183" t="str">
        <f>'[1]COMEDORES EMERGENTES'!$B$18</f>
        <v>RENACER</v>
      </c>
      <c r="C1078" s="184"/>
      <c r="D1078" s="108">
        <v>250</v>
      </c>
      <c r="E1078" s="109" t="str">
        <f>'[1]COMEDORES EMERGENTES'!$G$18</f>
        <v>Bº VIRGEN MORENITA</v>
      </c>
    </row>
    <row r="1079" spans="2:5" x14ac:dyDescent="0.2">
      <c r="B1079" s="183" t="str">
        <f>'[1]COMEDORES EMERGENTES'!$B$19</f>
        <v>CENTRO VECINAL MI JARDIN</v>
      </c>
      <c r="C1079" s="184"/>
      <c r="D1079" s="108">
        <v>180</v>
      </c>
      <c r="E1079" s="109" t="str">
        <f>'[1]COMEDORES EMERGENTES'!$G$19</f>
        <v>C/ LOS TULIPANES ENTRE FLOR DE CEREZO Y HOLANDA MZA.27 Bº MI JARDIN</v>
      </c>
    </row>
    <row r="1080" spans="2:5" x14ac:dyDescent="0.2">
      <c r="B1080" s="183" t="str">
        <f>'[1]COMEDORES EMERGENTES'!$B$20</f>
        <v>LA VIEJA ESQUINA</v>
      </c>
      <c r="C1080" s="184"/>
      <c r="D1080" s="108">
        <v>172</v>
      </c>
      <c r="E1080" s="109" t="str">
        <f>'[1]COMEDORES EMERGENTES'!$G$20</f>
        <v>B° CRISTO REY PJE CAPATAZ VILLAFAÑEZ Y ARMANDO CORREA</v>
      </c>
    </row>
    <row r="1081" spans="2:5" x14ac:dyDescent="0.2">
      <c r="B1081" s="183" t="str">
        <f>'[1]COMEDORES EMERGENTES'!$B$21</f>
        <v>GAUCHITO GIL</v>
      </c>
      <c r="C1081" s="184"/>
      <c r="D1081" s="108">
        <v>168</v>
      </c>
      <c r="E1081" s="109" t="str">
        <f>'[1]COMEDORES EMERGENTES'!$G$21</f>
        <v>B° 26 VIVIENDAS CASA N° 3</v>
      </c>
    </row>
    <row r="1082" spans="2:5" ht="13.5" thickBot="1" x14ac:dyDescent="0.25">
      <c r="B1082" s="200" t="str">
        <f>'[1]COMEDORES EMERGENTES'!$B$22</f>
        <v>LOS TOLDOS</v>
      </c>
      <c r="C1082" s="201"/>
      <c r="D1082" s="115">
        <v>80</v>
      </c>
      <c r="E1082" s="116" t="str">
        <f>'[1]COMEDORES EMERGENTES'!$G$22</f>
        <v>LOTEO PARQUE SUR CALLE S/NOMBRE S/N°</v>
      </c>
    </row>
    <row r="1083" spans="2:5" x14ac:dyDescent="0.2">
      <c r="B1083" s="33" t="s">
        <v>18</v>
      </c>
      <c r="C1083" s="31"/>
      <c r="D1083" s="72"/>
      <c r="E1083" s="32"/>
    </row>
    <row r="1084" spans="2:5" x14ac:dyDescent="0.2">
      <c r="B1084" s="34"/>
      <c r="C1084" s="199" t="s">
        <v>64</v>
      </c>
      <c r="D1084" s="199"/>
      <c r="E1084" s="199"/>
    </row>
    <row r="1085" spans="2:5" x14ac:dyDescent="0.2">
      <c r="B1085" s="33" t="s">
        <v>19</v>
      </c>
      <c r="C1085" s="35"/>
      <c r="D1085" s="35"/>
      <c r="E1085" s="36"/>
    </row>
    <row r="1086" spans="2:5" x14ac:dyDescent="0.2">
      <c r="B1086" s="34"/>
      <c r="C1086" s="199" t="s">
        <v>141</v>
      </c>
      <c r="D1086" s="199"/>
      <c r="E1086" s="199"/>
    </row>
    <row r="1087" spans="2:5" x14ac:dyDescent="0.2">
      <c r="B1087" s="33" t="s">
        <v>20</v>
      </c>
      <c r="C1087" s="31"/>
      <c r="D1087" s="72"/>
      <c r="E1087" s="32"/>
    </row>
    <row r="1088" spans="2:5" x14ac:dyDescent="0.2">
      <c r="B1088" s="33"/>
      <c r="C1088" s="198" t="s">
        <v>65</v>
      </c>
      <c r="D1088" s="198"/>
      <c r="E1088" s="198"/>
    </row>
    <row r="1089" spans="2:5" ht="13.5" thickBot="1" x14ac:dyDescent="0.25">
      <c r="B1089" s="37"/>
      <c r="C1089" s="38"/>
      <c r="D1089" s="73"/>
      <c r="E1089" s="39"/>
    </row>
  </sheetData>
  <mergeCells count="787">
    <mergeCell ref="B122:C122"/>
    <mergeCell ref="B102:C102"/>
    <mergeCell ref="B1082:C1082"/>
    <mergeCell ref="C139:E139"/>
    <mergeCell ref="C141:E141"/>
    <mergeCell ref="B133:C133"/>
    <mergeCell ref="B134:C134"/>
    <mergeCell ref="B135:C135"/>
    <mergeCell ref="B136:C136"/>
    <mergeCell ref="C143:E143"/>
    <mergeCell ref="B977:C977"/>
    <mergeCell ref="B137:C137"/>
    <mergeCell ref="B172:C172"/>
    <mergeCell ref="B207:C207"/>
    <mergeCell ref="B242:C242"/>
    <mergeCell ref="B277:C277"/>
    <mergeCell ref="B312:C312"/>
    <mergeCell ref="B347:C347"/>
    <mergeCell ref="B382:C382"/>
    <mergeCell ref="B417:C417"/>
    <mergeCell ref="B452:C452"/>
    <mergeCell ref="B487:C487"/>
    <mergeCell ref="B522:C522"/>
    <mergeCell ref="B557:C557"/>
    <mergeCell ref="B99:C99"/>
    <mergeCell ref="B100:C100"/>
    <mergeCell ref="B101:C101"/>
    <mergeCell ref="C114:E114"/>
    <mergeCell ref="B117:C117"/>
    <mergeCell ref="B118:C118"/>
    <mergeCell ref="B119:C119"/>
    <mergeCell ref="B120:C120"/>
    <mergeCell ref="B121:C121"/>
    <mergeCell ref="B1:H1"/>
    <mergeCell ref="A3:B3"/>
    <mergeCell ref="C3:E3"/>
    <mergeCell ref="A4:B4"/>
    <mergeCell ref="C4:E4"/>
    <mergeCell ref="A5:B5"/>
    <mergeCell ref="A6:B6"/>
    <mergeCell ref="C44:E44"/>
    <mergeCell ref="B47:C47"/>
    <mergeCell ref="B48:C48"/>
    <mergeCell ref="B49:C49"/>
    <mergeCell ref="B50:C50"/>
    <mergeCell ref="B51:C51"/>
    <mergeCell ref="B52:C52"/>
    <mergeCell ref="B53:C53"/>
    <mergeCell ref="B54:C54"/>
    <mergeCell ref="B55:C55"/>
    <mergeCell ref="B56:C56"/>
    <mergeCell ref="B57:C57"/>
    <mergeCell ref="B67:C67"/>
    <mergeCell ref="B89:C89"/>
    <mergeCell ref="B90:C90"/>
    <mergeCell ref="B91:C91"/>
    <mergeCell ref="B92:C92"/>
    <mergeCell ref="B93:C93"/>
    <mergeCell ref="B46:E46"/>
    <mergeCell ref="B81:E81"/>
    <mergeCell ref="B82:C82"/>
    <mergeCell ref="B83:C83"/>
    <mergeCell ref="B84:C84"/>
    <mergeCell ref="B63:C63"/>
    <mergeCell ref="B64:C64"/>
    <mergeCell ref="B65:C65"/>
    <mergeCell ref="B66:C66"/>
    <mergeCell ref="B58:C58"/>
    <mergeCell ref="B59:C59"/>
    <mergeCell ref="B60:C60"/>
    <mergeCell ref="B61:C61"/>
    <mergeCell ref="B62:C62"/>
    <mergeCell ref="C69:E69"/>
    <mergeCell ref="C71:E71"/>
    <mergeCell ref="C73:E73"/>
    <mergeCell ref="C79:E79"/>
    <mergeCell ref="B85:C85"/>
    <mergeCell ref="B128:C128"/>
    <mergeCell ref="B129:C129"/>
    <mergeCell ref="B130:C130"/>
    <mergeCell ref="B131:C131"/>
    <mergeCell ref="B132:C132"/>
    <mergeCell ref="C104:E104"/>
    <mergeCell ref="C106:E106"/>
    <mergeCell ref="C108:E108"/>
    <mergeCell ref="B116:E116"/>
    <mergeCell ref="B123:C123"/>
    <mergeCell ref="B124:C124"/>
    <mergeCell ref="B125:C125"/>
    <mergeCell ref="B126:C126"/>
    <mergeCell ref="B127:C127"/>
    <mergeCell ref="B86:C86"/>
    <mergeCell ref="B87:C87"/>
    <mergeCell ref="B88:C88"/>
    <mergeCell ref="B94:C94"/>
    <mergeCell ref="B95:C95"/>
    <mergeCell ref="B96:C96"/>
    <mergeCell ref="B97:C97"/>
    <mergeCell ref="B98:C98"/>
    <mergeCell ref="B156:C156"/>
    <mergeCell ref="B157:C157"/>
    <mergeCell ref="B158:C158"/>
    <mergeCell ref="B159:C159"/>
    <mergeCell ref="C149:E149"/>
    <mergeCell ref="B151:E151"/>
    <mergeCell ref="B152:C152"/>
    <mergeCell ref="B153:C153"/>
    <mergeCell ref="B154:C154"/>
    <mergeCell ref="B155:C155"/>
    <mergeCell ref="B165:C165"/>
    <mergeCell ref="B166:C166"/>
    <mergeCell ref="B167:C167"/>
    <mergeCell ref="B168:C168"/>
    <mergeCell ref="B169:C169"/>
    <mergeCell ref="B160:C160"/>
    <mergeCell ref="B161:C161"/>
    <mergeCell ref="B162:C162"/>
    <mergeCell ref="B163:C163"/>
    <mergeCell ref="B164:C164"/>
    <mergeCell ref="C178:E178"/>
    <mergeCell ref="C184:E184"/>
    <mergeCell ref="B186:E186"/>
    <mergeCell ref="B187:C187"/>
    <mergeCell ref="B188:C188"/>
    <mergeCell ref="B170:C170"/>
    <mergeCell ref="B171:C171"/>
    <mergeCell ref="C174:E174"/>
    <mergeCell ref="C176:E176"/>
    <mergeCell ref="B194:C194"/>
    <mergeCell ref="B195:C195"/>
    <mergeCell ref="B196:C196"/>
    <mergeCell ref="B197:C197"/>
    <mergeCell ref="B198:C198"/>
    <mergeCell ref="B189:C189"/>
    <mergeCell ref="B190:C190"/>
    <mergeCell ref="B191:C191"/>
    <mergeCell ref="B192:C192"/>
    <mergeCell ref="B193:C193"/>
    <mergeCell ref="B204:C204"/>
    <mergeCell ref="B205:C205"/>
    <mergeCell ref="B206:C206"/>
    <mergeCell ref="C209:E209"/>
    <mergeCell ref="B199:C199"/>
    <mergeCell ref="B200:C200"/>
    <mergeCell ref="B201:C201"/>
    <mergeCell ref="B202:C202"/>
    <mergeCell ref="B203:C203"/>
    <mergeCell ref="B223:C223"/>
    <mergeCell ref="B224:C224"/>
    <mergeCell ref="B225:C225"/>
    <mergeCell ref="B226:C226"/>
    <mergeCell ref="B227:C227"/>
    <mergeCell ref="C211:E211"/>
    <mergeCell ref="C213:E213"/>
    <mergeCell ref="C219:E219"/>
    <mergeCell ref="B221:E221"/>
    <mergeCell ref="B222:C222"/>
    <mergeCell ref="B233:C233"/>
    <mergeCell ref="B234:C234"/>
    <mergeCell ref="B235:C235"/>
    <mergeCell ref="B236:C236"/>
    <mergeCell ref="B237:C237"/>
    <mergeCell ref="B228:C228"/>
    <mergeCell ref="B229:C229"/>
    <mergeCell ref="B230:C230"/>
    <mergeCell ref="B231:C231"/>
    <mergeCell ref="B232:C232"/>
    <mergeCell ref="C244:E244"/>
    <mergeCell ref="C246:E246"/>
    <mergeCell ref="C248:E248"/>
    <mergeCell ref="C254:E254"/>
    <mergeCell ref="B256:E256"/>
    <mergeCell ref="B238:C238"/>
    <mergeCell ref="B239:C239"/>
    <mergeCell ref="B240:C240"/>
    <mergeCell ref="B241:C241"/>
    <mergeCell ref="B262:C262"/>
    <mergeCell ref="B263:C263"/>
    <mergeCell ref="B264:C264"/>
    <mergeCell ref="B265:C265"/>
    <mergeCell ref="B266:C266"/>
    <mergeCell ref="B257:C257"/>
    <mergeCell ref="B258:C258"/>
    <mergeCell ref="B259:C259"/>
    <mergeCell ref="B260:C260"/>
    <mergeCell ref="B261:C261"/>
    <mergeCell ref="B272:C272"/>
    <mergeCell ref="B273:C273"/>
    <mergeCell ref="B274:C274"/>
    <mergeCell ref="B275:C275"/>
    <mergeCell ref="B276:C276"/>
    <mergeCell ref="B267:C267"/>
    <mergeCell ref="B268:C268"/>
    <mergeCell ref="B269:C269"/>
    <mergeCell ref="B270:C270"/>
    <mergeCell ref="B271:C271"/>
    <mergeCell ref="B291:E291"/>
    <mergeCell ref="B292:C292"/>
    <mergeCell ref="B293:C293"/>
    <mergeCell ref="B294:C294"/>
    <mergeCell ref="B295:C295"/>
    <mergeCell ref="C279:E279"/>
    <mergeCell ref="C281:E281"/>
    <mergeCell ref="C283:E283"/>
    <mergeCell ref="B301:C301"/>
    <mergeCell ref="B302:C302"/>
    <mergeCell ref="B303:C303"/>
    <mergeCell ref="B304:C304"/>
    <mergeCell ref="B305:C305"/>
    <mergeCell ref="B296:C296"/>
    <mergeCell ref="B297:C297"/>
    <mergeCell ref="B298:C298"/>
    <mergeCell ref="B299:C299"/>
    <mergeCell ref="B300:C300"/>
    <mergeCell ref="B311:C311"/>
    <mergeCell ref="C314:E314"/>
    <mergeCell ref="C316:E316"/>
    <mergeCell ref="C318:E318"/>
    <mergeCell ref="B306:C306"/>
    <mergeCell ref="B307:C307"/>
    <mergeCell ref="B308:C308"/>
    <mergeCell ref="B309:C309"/>
    <mergeCell ref="B310:C310"/>
    <mergeCell ref="B330:C330"/>
    <mergeCell ref="B331:C331"/>
    <mergeCell ref="B332:C332"/>
    <mergeCell ref="B333:C333"/>
    <mergeCell ref="B334:C334"/>
    <mergeCell ref="C324:E324"/>
    <mergeCell ref="B326:E326"/>
    <mergeCell ref="B327:C327"/>
    <mergeCell ref="B328:C328"/>
    <mergeCell ref="B329:C329"/>
    <mergeCell ref="B340:C340"/>
    <mergeCell ref="B341:C341"/>
    <mergeCell ref="B342:C342"/>
    <mergeCell ref="B343:C343"/>
    <mergeCell ref="B344:C344"/>
    <mergeCell ref="B335:C335"/>
    <mergeCell ref="B336:C336"/>
    <mergeCell ref="B337:C337"/>
    <mergeCell ref="B338:C338"/>
    <mergeCell ref="B339:C339"/>
    <mergeCell ref="C353:E353"/>
    <mergeCell ref="C359:E359"/>
    <mergeCell ref="B361:E361"/>
    <mergeCell ref="B362:C362"/>
    <mergeCell ref="B363:C363"/>
    <mergeCell ref="B345:C345"/>
    <mergeCell ref="B346:C346"/>
    <mergeCell ref="C349:E349"/>
    <mergeCell ref="C351:E351"/>
    <mergeCell ref="B369:C369"/>
    <mergeCell ref="B370:C370"/>
    <mergeCell ref="B371:C371"/>
    <mergeCell ref="B372:C372"/>
    <mergeCell ref="B373:C373"/>
    <mergeCell ref="B364:C364"/>
    <mergeCell ref="B365:C365"/>
    <mergeCell ref="B366:C366"/>
    <mergeCell ref="B367:C367"/>
    <mergeCell ref="B368:C368"/>
    <mergeCell ref="B379:C379"/>
    <mergeCell ref="B380:C380"/>
    <mergeCell ref="B381:C381"/>
    <mergeCell ref="C384:E384"/>
    <mergeCell ref="B374:C374"/>
    <mergeCell ref="B375:C375"/>
    <mergeCell ref="B376:C376"/>
    <mergeCell ref="B377:C377"/>
    <mergeCell ref="B378:C378"/>
    <mergeCell ref="B398:C398"/>
    <mergeCell ref="B399:C399"/>
    <mergeCell ref="B400:C400"/>
    <mergeCell ref="B401:C401"/>
    <mergeCell ref="B402:C402"/>
    <mergeCell ref="C386:E386"/>
    <mergeCell ref="C388:E388"/>
    <mergeCell ref="C394:E394"/>
    <mergeCell ref="B396:E396"/>
    <mergeCell ref="B397:C397"/>
    <mergeCell ref="B408:C408"/>
    <mergeCell ref="B409:C409"/>
    <mergeCell ref="B410:C410"/>
    <mergeCell ref="B411:C411"/>
    <mergeCell ref="B412:C412"/>
    <mergeCell ref="B403:C403"/>
    <mergeCell ref="B404:C404"/>
    <mergeCell ref="B405:C405"/>
    <mergeCell ref="B406:C406"/>
    <mergeCell ref="B407:C407"/>
    <mergeCell ref="C419:E419"/>
    <mergeCell ref="C421:E421"/>
    <mergeCell ref="C423:E423"/>
    <mergeCell ref="C429:E429"/>
    <mergeCell ref="B431:E431"/>
    <mergeCell ref="B413:C413"/>
    <mergeCell ref="B414:C414"/>
    <mergeCell ref="B415:C415"/>
    <mergeCell ref="B416:C416"/>
    <mergeCell ref="B437:C437"/>
    <mergeCell ref="B438:C438"/>
    <mergeCell ref="B439:C439"/>
    <mergeCell ref="B440:C440"/>
    <mergeCell ref="B441:C441"/>
    <mergeCell ref="B432:C432"/>
    <mergeCell ref="B433:C433"/>
    <mergeCell ref="B434:C434"/>
    <mergeCell ref="B435:C435"/>
    <mergeCell ref="B436:C436"/>
    <mergeCell ref="B447:C447"/>
    <mergeCell ref="B448:C448"/>
    <mergeCell ref="B449:C449"/>
    <mergeCell ref="B450:C450"/>
    <mergeCell ref="B451:C451"/>
    <mergeCell ref="B442:C442"/>
    <mergeCell ref="B443:C443"/>
    <mergeCell ref="B444:C444"/>
    <mergeCell ref="B445:C445"/>
    <mergeCell ref="B446:C446"/>
    <mergeCell ref="B466:E466"/>
    <mergeCell ref="B467:C467"/>
    <mergeCell ref="B468:C468"/>
    <mergeCell ref="B469:C469"/>
    <mergeCell ref="B470:C470"/>
    <mergeCell ref="C454:E454"/>
    <mergeCell ref="C456:E456"/>
    <mergeCell ref="C458:E458"/>
    <mergeCell ref="C464:E464"/>
    <mergeCell ref="B476:C476"/>
    <mergeCell ref="B477:C477"/>
    <mergeCell ref="B478:C478"/>
    <mergeCell ref="B479:C479"/>
    <mergeCell ref="B480:C480"/>
    <mergeCell ref="B471:C471"/>
    <mergeCell ref="B472:C472"/>
    <mergeCell ref="B473:C473"/>
    <mergeCell ref="B474:C474"/>
    <mergeCell ref="B475:C475"/>
    <mergeCell ref="B486:C486"/>
    <mergeCell ref="C489:E489"/>
    <mergeCell ref="C491:E491"/>
    <mergeCell ref="C493:E493"/>
    <mergeCell ref="B481:C481"/>
    <mergeCell ref="B482:C482"/>
    <mergeCell ref="B483:C483"/>
    <mergeCell ref="B484:C484"/>
    <mergeCell ref="B485:C485"/>
    <mergeCell ref="B505:C505"/>
    <mergeCell ref="B506:C506"/>
    <mergeCell ref="B507:C507"/>
    <mergeCell ref="B508:C508"/>
    <mergeCell ref="B509:C509"/>
    <mergeCell ref="C499:E499"/>
    <mergeCell ref="B501:E501"/>
    <mergeCell ref="B502:C502"/>
    <mergeCell ref="B503:C503"/>
    <mergeCell ref="B504:C504"/>
    <mergeCell ref="B515:C515"/>
    <mergeCell ref="B516:C516"/>
    <mergeCell ref="B517:C517"/>
    <mergeCell ref="B518:C518"/>
    <mergeCell ref="B519:C519"/>
    <mergeCell ref="B510:C510"/>
    <mergeCell ref="B511:C511"/>
    <mergeCell ref="B512:C512"/>
    <mergeCell ref="B513:C513"/>
    <mergeCell ref="B514:C514"/>
    <mergeCell ref="C528:E528"/>
    <mergeCell ref="C534:E534"/>
    <mergeCell ref="B536:E536"/>
    <mergeCell ref="B537:C537"/>
    <mergeCell ref="B538:C538"/>
    <mergeCell ref="B520:C520"/>
    <mergeCell ref="B521:C521"/>
    <mergeCell ref="C524:E524"/>
    <mergeCell ref="C526:E526"/>
    <mergeCell ref="B544:C544"/>
    <mergeCell ref="B545:C545"/>
    <mergeCell ref="B546:C546"/>
    <mergeCell ref="B547:C547"/>
    <mergeCell ref="B548:C548"/>
    <mergeCell ref="B539:C539"/>
    <mergeCell ref="B540:C540"/>
    <mergeCell ref="B541:C541"/>
    <mergeCell ref="B542:C542"/>
    <mergeCell ref="B543:C543"/>
    <mergeCell ref="B554:C554"/>
    <mergeCell ref="B555:C555"/>
    <mergeCell ref="B556:C556"/>
    <mergeCell ref="C559:E559"/>
    <mergeCell ref="B549:C549"/>
    <mergeCell ref="B550:C550"/>
    <mergeCell ref="B551:C551"/>
    <mergeCell ref="B552:C552"/>
    <mergeCell ref="B553:C553"/>
    <mergeCell ref="B573:C573"/>
    <mergeCell ref="B574:C574"/>
    <mergeCell ref="B575:C575"/>
    <mergeCell ref="B576:C576"/>
    <mergeCell ref="B577:C577"/>
    <mergeCell ref="C561:E561"/>
    <mergeCell ref="C563:E563"/>
    <mergeCell ref="C569:E569"/>
    <mergeCell ref="B571:E571"/>
    <mergeCell ref="B572:C572"/>
    <mergeCell ref="B583:C583"/>
    <mergeCell ref="B584:C584"/>
    <mergeCell ref="B585:C585"/>
    <mergeCell ref="B586:C586"/>
    <mergeCell ref="B587:C587"/>
    <mergeCell ref="B578:C578"/>
    <mergeCell ref="B579:C579"/>
    <mergeCell ref="B580:C580"/>
    <mergeCell ref="B581:C581"/>
    <mergeCell ref="B582:C582"/>
    <mergeCell ref="C594:E594"/>
    <mergeCell ref="C596:E596"/>
    <mergeCell ref="C598:E598"/>
    <mergeCell ref="C604:E604"/>
    <mergeCell ref="B606:E606"/>
    <mergeCell ref="B588:C588"/>
    <mergeCell ref="B589:C589"/>
    <mergeCell ref="B590:C590"/>
    <mergeCell ref="B591:C591"/>
    <mergeCell ref="B592:C592"/>
    <mergeCell ref="B612:C612"/>
    <mergeCell ref="B613:C613"/>
    <mergeCell ref="B614:C614"/>
    <mergeCell ref="B615:C615"/>
    <mergeCell ref="B616:C616"/>
    <mergeCell ref="B607:C607"/>
    <mergeCell ref="B608:C608"/>
    <mergeCell ref="B609:C609"/>
    <mergeCell ref="B610:C610"/>
    <mergeCell ref="B611:C611"/>
    <mergeCell ref="B622:C622"/>
    <mergeCell ref="B623:C623"/>
    <mergeCell ref="B624:C624"/>
    <mergeCell ref="B625:C625"/>
    <mergeCell ref="B626:C626"/>
    <mergeCell ref="B617:C617"/>
    <mergeCell ref="B618:C618"/>
    <mergeCell ref="B619:C619"/>
    <mergeCell ref="B620:C620"/>
    <mergeCell ref="B621:C621"/>
    <mergeCell ref="B627:C627"/>
    <mergeCell ref="B651:C651"/>
    <mergeCell ref="B652:C652"/>
    <mergeCell ref="B653:C653"/>
    <mergeCell ref="B654:C654"/>
    <mergeCell ref="B655:C655"/>
    <mergeCell ref="B646:C646"/>
    <mergeCell ref="B647:C647"/>
    <mergeCell ref="B648:C648"/>
    <mergeCell ref="B649:C649"/>
    <mergeCell ref="B650:C650"/>
    <mergeCell ref="B641:E641"/>
    <mergeCell ref="B642:C642"/>
    <mergeCell ref="B643:C643"/>
    <mergeCell ref="B644:C644"/>
    <mergeCell ref="B645:C645"/>
    <mergeCell ref="C629:E629"/>
    <mergeCell ref="C631:E631"/>
    <mergeCell ref="C633:E633"/>
    <mergeCell ref="C639:E639"/>
    <mergeCell ref="B661:C661"/>
    <mergeCell ref="C664:E664"/>
    <mergeCell ref="C666:E666"/>
    <mergeCell ref="C668:E668"/>
    <mergeCell ref="B656:C656"/>
    <mergeCell ref="B657:C657"/>
    <mergeCell ref="B658:C658"/>
    <mergeCell ref="B659:C659"/>
    <mergeCell ref="B660:C660"/>
    <mergeCell ref="B662:C662"/>
    <mergeCell ref="B680:C680"/>
    <mergeCell ref="B681:C681"/>
    <mergeCell ref="B682:C682"/>
    <mergeCell ref="B683:C683"/>
    <mergeCell ref="B684:C684"/>
    <mergeCell ref="C674:E674"/>
    <mergeCell ref="B676:E676"/>
    <mergeCell ref="B677:C677"/>
    <mergeCell ref="B678:C678"/>
    <mergeCell ref="B679:C679"/>
    <mergeCell ref="B690:C690"/>
    <mergeCell ref="B691:C691"/>
    <mergeCell ref="B692:C692"/>
    <mergeCell ref="B693:C693"/>
    <mergeCell ref="B694:C694"/>
    <mergeCell ref="B685:C685"/>
    <mergeCell ref="B686:C686"/>
    <mergeCell ref="B687:C687"/>
    <mergeCell ref="B688:C688"/>
    <mergeCell ref="B689:C689"/>
    <mergeCell ref="C703:E703"/>
    <mergeCell ref="C709:E709"/>
    <mergeCell ref="B711:E711"/>
    <mergeCell ref="B712:C712"/>
    <mergeCell ref="B713:C713"/>
    <mergeCell ref="B695:C695"/>
    <mergeCell ref="B696:C696"/>
    <mergeCell ref="C699:E699"/>
    <mergeCell ref="C701:E701"/>
    <mergeCell ref="B697:C697"/>
    <mergeCell ref="B719:C719"/>
    <mergeCell ref="B720:C720"/>
    <mergeCell ref="B721:C721"/>
    <mergeCell ref="B722:C722"/>
    <mergeCell ref="B723:C723"/>
    <mergeCell ref="B714:C714"/>
    <mergeCell ref="B715:C715"/>
    <mergeCell ref="B716:C716"/>
    <mergeCell ref="B717:C717"/>
    <mergeCell ref="B718:C718"/>
    <mergeCell ref="B729:C729"/>
    <mergeCell ref="B730:C730"/>
    <mergeCell ref="B731:C731"/>
    <mergeCell ref="C734:E734"/>
    <mergeCell ref="B724:C724"/>
    <mergeCell ref="B725:C725"/>
    <mergeCell ref="B726:C726"/>
    <mergeCell ref="B727:C727"/>
    <mergeCell ref="B728:C728"/>
    <mergeCell ref="B732:C732"/>
    <mergeCell ref="B748:C748"/>
    <mergeCell ref="B749:C749"/>
    <mergeCell ref="B750:C750"/>
    <mergeCell ref="B751:C751"/>
    <mergeCell ref="B752:C752"/>
    <mergeCell ref="C736:E736"/>
    <mergeCell ref="C738:E738"/>
    <mergeCell ref="C744:E744"/>
    <mergeCell ref="B746:E746"/>
    <mergeCell ref="B747:C747"/>
    <mergeCell ref="B758:C758"/>
    <mergeCell ref="B759:C759"/>
    <mergeCell ref="B760:C760"/>
    <mergeCell ref="B761:C761"/>
    <mergeCell ref="B762:C762"/>
    <mergeCell ref="B753:C753"/>
    <mergeCell ref="B754:C754"/>
    <mergeCell ref="B755:C755"/>
    <mergeCell ref="B756:C756"/>
    <mergeCell ref="B757:C757"/>
    <mergeCell ref="C769:E769"/>
    <mergeCell ref="C771:E771"/>
    <mergeCell ref="C773:E773"/>
    <mergeCell ref="C779:E779"/>
    <mergeCell ref="B781:E781"/>
    <mergeCell ref="B763:C763"/>
    <mergeCell ref="B764:C764"/>
    <mergeCell ref="B765:C765"/>
    <mergeCell ref="B766:C766"/>
    <mergeCell ref="B767:C767"/>
    <mergeCell ref="B787:C787"/>
    <mergeCell ref="B788:C788"/>
    <mergeCell ref="B789:C789"/>
    <mergeCell ref="B790:C790"/>
    <mergeCell ref="B791:C791"/>
    <mergeCell ref="B782:C782"/>
    <mergeCell ref="B783:C783"/>
    <mergeCell ref="B784:C784"/>
    <mergeCell ref="B785:C785"/>
    <mergeCell ref="B786:C786"/>
    <mergeCell ref="C808:E808"/>
    <mergeCell ref="C814:E814"/>
    <mergeCell ref="B797:C797"/>
    <mergeCell ref="B798:C798"/>
    <mergeCell ref="B799:C799"/>
    <mergeCell ref="B800:C800"/>
    <mergeCell ref="B801:C801"/>
    <mergeCell ref="B792:C792"/>
    <mergeCell ref="B793:C793"/>
    <mergeCell ref="B794:C794"/>
    <mergeCell ref="B795:C795"/>
    <mergeCell ref="B796:C796"/>
    <mergeCell ref="B831:C831"/>
    <mergeCell ref="B832:C832"/>
    <mergeCell ref="B833:C833"/>
    <mergeCell ref="B834:C834"/>
    <mergeCell ref="B835:C835"/>
    <mergeCell ref="B837:C837"/>
    <mergeCell ref="B802:C802"/>
    <mergeCell ref="B826:C826"/>
    <mergeCell ref="B827:C827"/>
    <mergeCell ref="B828:C828"/>
    <mergeCell ref="B829:C829"/>
    <mergeCell ref="B830:C830"/>
    <mergeCell ref="B821:C821"/>
    <mergeCell ref="B822:C822"/>
    <mergeCell ref="B823:C823"/>
    <mergeCell ref="B824:C824"/>
    <mergeCell ref="B825:C825"/>
    <mergeCell ref="B816:E816"/>
    <mergeCell ref="B817:C817"/>
    <mergeCell ref="B818:C818"/>
    <mergeCell ref="B819:C819"/>
    <mergeCell ref="B820:C820"/>
    <mergeCell ref="C804:E804"/>
    <mergeCell ref="C806:E806"/>
    <mergeCell ref="C849:E849"/>
    <mergeCell ref="B851:E851"/>
    <mergeCell ref="B852:C852"/>
    <mergeCell ref="B853:C853"/>
    <mergeCell ref="B854:C854"/>
    <mergeCell ref="B836:C836"/>
    <mergeCell ref="C839:E839"/>
    <mergeCell ref="C841:E841"/>
    <mergeCell ref="C843:E843"/>
    <mergeCell ref="B860:C860"/>
    <mergeCell ref="B861:C861"/>
    <mergeCell ref="B862:C862"/>
    <mergeCell ref="B863:C863"/>
    <mergeCell ref="B864:C864"/>
    <mergeCell ref="B855:C855"/>
    <mergeCell ref="B856:C856"/>
    <mergeCell ref="B857:C857"/>
    <mergeCell ref="B858:C858"/>
    <mergeCell ref="B859:C859"/>
    <mergeCell ref="B870:C870"/>
    <mergeCell ref="B871:C871"/>
    <mergeCell ref="C874:E874"/>
    <mergeCell ref="C876:E876"/>
    <mergeCell ref="B872:C872"/>
    <mergeCell ref="B865:C865"/>
    <mergeCell ref="B866:C866"/>
    <mergeCell ref="B867:C867"/>
    <mergeCell ref="B868:C868"/>
    <mergeCell ref="B869:C869"/>
    <mergeCell ref="B889:C889"/>
    <mergeCell ref="B890:C890"/>
    <mergeCell ref="B891:C891"/>
    <mergeCell ref="B892:C892"/>
    <mergeCell ref="B893:C893"/>
    <mergeCell ref="C878:E878"/>
    <mergeCell ref="C884:E884"/>
    <mergeCell ref="B886:E886"/>
    <mergeCell ref="B887:C887"/>
    <mergeCell ref="B888:C888"/>
    <mergeCell ref="B899:C899"/>
    <mergeCell ref="B900:C900"/>
    <mergeCell ref="B901:C901"/>
    <mergeCell ref="B902:C902"/>
    <mergeCell ref="B903:C903"/>
    <mergeCell ref="B907:C907"/>
    <mergeCell ref="B894:C894"/>
    <mergeCell ref="B895:C895"/>
    <mergeCell ref="B896:C896"/>
    <mergeCell ref="B897:C897"/>
    <mergeCell ref="B898:C898"/>
    <mergeCell ref="C911:E911"/>
    <mergeCell ref="C913:E913"/>
    <mergeCell ref="C919:E919"/>
    <mergeCell ref="B921:E921"/>
    <mergeCell ref="B922:C922"/>
    <mergeCell ref="B904:C904"/>
    <mergeCell ref="B905:C905"/>
    <mergeCell ref="B906:C906"/>
    <mergeCell ref="C909:E909"/>
    <mergeCell ref="B928:C928"/>
    <mergeCell ref="B929:C929"/>
    <mergeCell ref="B930:C930"/>
    <mergeCell ref="B931:C931"/>
    <mergeCell ref="B932:C932"/>
    <mergeCell ref="B923:C923"/>
    <mergeCell ref="B924:C924"/>
    <mergeCell ref="B925:C925"/>
    <mergeCell ref="B926:C926"/>
    <mergeCell ref="B927:C927"/>
    <mergeCell ref="B938:C938"/>
    <mergeCell ref="B939:C939"/>
    <mergeCell ref="B940:C940"/>
    <mergeCell ref="B941:C941"/>
    <mergeCell ref="B942:C942"/>
    <mergeCell ref="B933:C933"/>
    <mergeCell ref="B934:C934"/>
    <mergeCell ref="B935:C935"/>
    <mergeCell ref="B936:C936"/>
    <mergeCell ref="B937:C937"/>
    <mergeCell ref="B957:C957"/>
    <mergeCell ref="B958:C958"/>
    <mergeCell ref="B959:C959"/>
    <mergeCell ref="B960:C960"/>
    <mergeCell ref="B961:C961"/>
    <mergeCell ref="C944:E944"/>
    <mergeCell ref="C946:E946"/>
    <mergeCell ref="C948:E948"/>
    <mergeCell ref="C954:E954"/>
    <mergeCell ref="B956:E956"/>
    <mergeCell ref="B967:C967"/>
    <mergeCell ref="B968:C968"/>
    <mergeCell ref="B969:C969"/>
    <mergeCell ref="B970:C970"/>
    <mergeCell ref="B971:C971"/>
    <mergeCell ref="B962:C962"/>
    <mergeCell ref="B963:C963"/>
    <mergeCell ref="B964:C964"/>
    <mergeCell ref="B965:C965"/>
    <mergeCell ref="B966:C966"/>
    <mergeCell ref="C979:E979"/>
    <mergeCell ref="C981:E981"/>
    <mergeCell ref="C983:E983"/>
    <mergeCell ref="C989:E989"/>
    <mergeCell ref="B972:C972"/>
    <mergeCell ref="B973:C973"/>
    <mergeCell ref="B974:C974"/>
    <mergeCell ref="B975:C975"/>
    <mergeCell ref="B976:C976"/>
    <mergeCell ref="B996:C996"/>
    <mergeCell ref="B997:C997"/>
    <mergeCell ref="B998:C998"/>
    <mergeCell ref="B999:C999"/>
    <mergeCell ref="B1000:C1000"/>
    <mergeCell ref="B991:E991"/>
    <mergeCell ref="B992:C992"/>
    <mergeCell ref="B993:C993"/>
    <mergeCell ref="B994:C994"/>
    <mergeCell ref="B995:C995"/>
    <mergeCell ref="B1006:C1006"/>
    <mergeCell ref="B1007:C1007"/>
    <mergeCell ref="B1008:C1008"/>
    <mergeCell ref="B1009:C1009"/>
    <mergeCell ref="B1010:C1010"/>
    <mergeCell ref="B1012:C1012"/>
    <mergeCell ref="B1001:C1001"/>
    <mergeCell ref="B1002:C1002"/>
    <mergeCell ref="B1003:C1003"/>
    <mergeCell ref="B1004:C1004"/>
    <mergeCell ref="B1005:C1005"/>
    <mergeCell ref="C1024:E1024"/>
    <mergeCell ref="B1026:E1026"/>
    <mergeCell ref="B1027:C1027"/>
    <mergeCell ref="B1028:C1028"/>
    <mergeCell ref="B1029:C1029"/>
    <mergeCell ref="B1011:C1011"/>
    <mergeCell ref="C1014:E1014"/>
    <mergeCell ref="C1016:E1016"/>
    <mergeCell ref="C1018:E1018"/>
    <mergeCell ref="B1035:C1035"/>
    <mergeCell ref="B1036:C1036"/>
    <mergeCell ref="B1037:C1037"/>
    <mergeCell ref="B1038:C1038"/>
    <mergeCell ref="B1039:C1039"/>
    <mergeCell ref="B1030:C1030"/>
    <mergeCell ref="B1031:C1031"/>
    <mergeCell ref="B1032:C1032"/>
    <mergeCell ref="B1033:C1033"/>
    <mergeCell ref="B1034:C1034"/>
    <mergeCell ref="B1061:E1061"/>
    <mergeCell ref="B1062:C1062"/>
    <mergeCell ref="B1063:C1063"/>
    <mergeCell ref="B1045:C1045"/>
    <mergeCell ref="B1046:C1046"/>
    <mergeCell ref="C1049:E1049"/>
    <mergeCell ref="C1051:E1051"/>
    <mergeCell ref="B1047:C1047"/>
    <mergeCell ref="B1040:C1040"/>
    <mergeCell ref="B1041:C1041"/>
    <mergeCell ref="B1042:C1042"/>
    <mergeCell ref="B1043:C1043"/>
    <mergeCell ref="B1044:C1044"/>
    <mergeCell ref="C1086:E1086"/>
    <mergeCell ref="C1088:E1088"/>
    <mergeCell ref="C289:E289"/>
    <mergeCell ref="B1079:C1079"/>
    <mergeCell ref="B1080:C1080"/>
    <mergeCell ref="B1081:C1081"/>
    <mergeCell ref="C1084:E1084"/>
    <mergeCell ref="B1074:C1074"/>
    <mergeCell ref="B1075:C1075"/>
    <mergeCell ref="B1076:C1076"/>
    <mergeCell ref="B1077:C1077"/>
    <mergeCell ref="B1078:C1078"/>
    <mergeCell ref="B1069:C1069"/>
    <mergeCell ref="B1070:C1070"/>
    <mergeCell ref="B1071:C1071"/>
    <mergeCell ref="B1072:C1072"/>
    <mergeCell ref="B1073:C1073"/>
    <mergeCell ref="B1064:C1064"/>
    <mergeCell ref="B1065:C1065"/>
    <mergeCell ref="B1066:C1066"/>
    <mergeCell ref="B1067:C1067"/>
    <mergeCell ref="B1068:C1068"/>
    <mergeCell ref="C1053:E1053"/>
    <mergeCell ref="C1059:E1059"/>
  </mergeCells>
  <pageMargins left="0" right="0" top="0.21" bottom="0" header="0.18" footer="0.21"/>
  <pageSetup paperSize="5" scale="60" firstPageNumber="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43"/>
  <sheetViews>
    <sheetView tabSelected="1" zoomScale="110" zoomScaleNormal="110" workbookViewId="0">
      <selection activeCell="P6" sqref="P6"/>
    </sheetView>
  </sheetViews>
  <sheetFormatPr baseColWidth="10" defaultColWidth="9.140625" defaultRowHeight="12.75" x14ac:dyDescent="0.2"/>
  <cols>
    <col min="1" max="1" width="5" style="2" customWidth="1"/>
    <col min="2" max="2" width="14.7109375" style="2" customWidth="1"/>
    <col min="3" max="3" width="14.140625" style="2" customWidth="1"/>
    <col min="4" max="4" width="26" style="2" customWidth="1"/>
    <col min="5" max="5" width="8" style="2" customWidth="1"/>
    <col min="6" max="6" width="7.85546875" style="2" customWidth="1"/>
    <col min="7" max="7" width="45" style="2" customWidth="1"/>
    <col min="8" max="8" width="9.28515625" style="2" customWidth="1"/>
    <col min="9" max="9" width="14.5703125" style="2" customWidth="1"/>
    <col min="10" max="10" width="14" style="2" customWidth="1"/>
    <col min="11" max="11" width="12.42578125" style="2" customWidth="1"/>
    <col min="12" max="12" width="14.140625" style="2" customWidth="1"/>
    <col min="13" max="14" width="5.85546875" style="2" customWidth="1"/>
    <col min="15" max="15" width="12.5703125" style="2" customWidth="1"/>
    <col min="16" max="1024" width="9.140625" style="2"/>
  </cols>
  <sheetData>
    <row r="1" spans="1:12" ht="18" customHeight="1" thickBot="1" x14ac:dyDescent="0.25">
      <c r="A1" s="208" t="s">
        <v>22</v>
      </c>
      <c r="B1" s="208"/>
      <c r="C1" s="208"/>
      <c r="D1" s="208"/>
      <c r="E1" s="208"/>
      <c r="F1" s="208"/>
      <c r="G1" s="208"/>
      <c r="H1" s="208"/>
      <c r="I1" s="208"/>
      <c r="J1" s="179" t="s">
        <v>23</v>
      </c>
      <c r="K1" s="180" t="s">
        <v>358</v>
      </c>
    </row>
    <row r="2" spans="1:12" ht="18.75" customHeight="1" thickBot="1" x14ac:dyDescent="0.25">
      <c r="A2" s="181"/>
      <c r="B2" s="181"/>
      <c r="C2" s="181"/>
      <c r="D2" s="182"/>
      <c r="E2" s="182"/>
      <c r="F2" s="182"/>
      <c r="G2" s="182"/>
      <c r="H2" s="182"/>
      <c r="I2" s="182"/>
      <c r="J2" s="182"/>
      <c r="K2" s="182"/>
    </row>
    <row r="3" spans="1:12" ht="18.75" customHeight="1" thickBot="1" x14ac:dyDescent="0.25">
      <c r="A3" s="209" t="s">
        <v>57</v>
      </c>
      <c r="B3" s="209"/>
      <c r="C3" s="209"/>
      <c r="D3" s="207" t="str">
        <f>alimento!C3</f>
        <v>45- Ministerio de Desarrollo Social y Deporte.-</v>
      </c>
      <c r="E3" s="207"/>
      <c r="F3" s="207"/>
      <c r="G3" s="207"/>
      <c r="H3" s="207"/>
      <c r="I3" s="207"/>
      <c r="J3" s="207"/>
      <c r="K3" s="207"/>
    </row>
    <row r="4" spans="1:12" ht="18.75" customHeight="1" thickBot="1" x14ac:dyDescent="0.25">
      <c r="A4" s="210" t="s">
        <v>58</v>
      </c>
      <c r="B4" s="210"/>
      <c r="C4" s="210"/>
      <c r="D4" s="207" t="str">
        <f>alimento!C4</f>
        <v>25- Direccion Provincial de Gestion Administracion y RRHH</v>
      </c>
      <c r="E4" s="207"/>
      <c r="F4" s="207"/>
      <c r="G4" s="207"/>
      <c r="H4" s="207"/>
      <c r="I4" s="207"/>
      <c r="J4" s="207"/>
      <c r="K4" s="207"/>
    </row>
    <row r="5" spans="1:12" ht="18.75" customHeight="1" thickBot="1" x14ac:dyDescent="0.25">
      <c r="A5" s="210" t="s">
        <v>36</v>
      </c>
      <c r="B5" s="210"/>
      <c r="C5" s="210"/>
      <c r="D5" s="207" t="s">
        <v>363</v>
      </c>
      <c r="E5" s="207"/>
      <c r="F5" s="207"/>
      <c r="G5" s="207"/>
      <c r="H5" s="207"/>
      <c r="I5" s="207"/>
      <c r="J5" s="207"/>
      <c r="K5" s="207"/>
    </row>
    <row r="6" spans="1:12" ht="16.5" customHeight="1" thickBot="1" x14ac:dyDescent="0.25">
      <c r="A6" s="209" t="s">
        <v>59</v>
      </c>
      <c r="B6" s="209"/>
      <c r="C6" s="209"/>
      <c r="D6" s="207" t="s">
        <v>63</v>
      </c>
      <c r="E6" s="207"/>
      <c r="F6" s="207"/>
      <c r="G6" s="207"/>
      <c r="H6" s="207"/>
      <c r="I6" s="207"/>
      <c r="J6" s="207"/>
      <c r="K6" s="207"/>
    </row>
    <row r="7" spans="1:12" ht="16.5" customHeight="1" x14ac:dyDescent="0.2">
      <c r="A7" s="210" t="s">
        <v>24</v>
      </c>
      <c r="B7" s="210"/>
      <c r="C7" s="210"/>
      <c r="D7" s="207" t="s">
        <v>359</v>
      </c>
      <c r="E7" s="207"/>
      <c r="F7" s="207"/>
      <c r="G7" s="207"/>
      <c r="H7" s="207"/>
      <c r="I7" s="207"/>
      <c r="J7" s="207"/>
      <c r="K7" s="207"/>
    </row>
    <row r="8" spans="1:12" ht="16.5" customHeight="1" thickBot="1" x14ac:dyDescent="0.25">
      <c r="A8" s="211" t="s">
        <v>25</v>
      </c>
      <c r="B8" s="211"/>
      <c r="C8" s="211"/>
      <c r="D8" s="214" t="s">
        <v>362</v>
      </c>
      <c r="E8" s="214"/>
      <c r="F8" s="214"/>
      <c r="G8" s="214"/>
      <c r="H8" s="214"/>
      <c r="I8" s="214"/>
      <c r="J8" s="214"/>
      <c r="K8" s="214"/>
    </row>
    <row r="9" spans="1:12" ht="16.5" thickBot="1" x14ac:dyDescent="0.25">
      <c r="A9" s="3"/>
      <c r="B9" s="3"/>
      <c r="C9" s="3"/>
      <c r="D9" s="4"/>
      <c r="E9" s="4"/>
      <c r="F9" s="4"/>
      <c r="G9" s="4"/>
      <c r="H9" s="4"/>
      <c r="I9" s="4"/>
      <c r="J9" s="4"/>
      <c r="K9" s="4"/>
    </row>
    <row r="10" spans="1:12" ht="18.75" customHeight="1" thickBot="1" x14ac:dyDescent="0.25">
      <c r="A10" s="212" t="s">
        <v>26</v>
      </c>
      <c r="B10" s="213" t="s">
        <v>27</v>
      </c>
      <c r="C10" s="213" t="s">
        <v>28</v>
      </c>
      <c r="D10" s="213"/>
      <c r="E10" s="213"/>
      <c r="F10" s="213"/>
      <c r="G10" s="213"/>
      <c r="H10" s="213" t="s">
        <v>29</v>
      </c>
      <c r="I10" s="213" t="s">
        <v>30</v>
      </c>
      <c r="J10" s="213" t="s">
        <v>31</v>
      </c>
      <c r="K10" s="203" t="s">
        <v>32</v>
      </c>
      <c r="L10" s="203" t="s">
        <v>293</v>
      </c>
    </row>
    <row r="11" spans="1:12" ht="24" customHeight="1" thickBot="1" x14ac:dyDescent="0.25">
      <c r="A11" s="212"/>
      <c r="B11" s="213"/>
      <c r="C11" s="213"/>
      <c r="D11" s="213"/>
      <c r="E11" s="213"/>
      <c r="F11" s="213"/>
      <c r="G11" s="213"/>
      <c r="H11" s="213"/>
      <c r="I11" s="213"/>
      <c r="J11" s="213"/>
      <c r="K11" s="203"/>
      <c r="L11" s="203"/>
    </row>
    <row r="12" spans="1:12" ht="39.950000000000003" customHeight="1" thickBot="1" x14ac:dyDescent="0.25">
      <c r="A12" s="5">
        <v>1</v>
      </c>
      <c r="B12" s="117" t="str">
        <f>'ALIM-IMP'!B9</f>
        <v>2.1.1-2868.55</v>
      </c>
      <c r="C12" s="202" t="str">
        <f>'ALIM-IMP'!E9</f>
        <v>FIDEOS SECOS; VARIEDAD: TALLARIN, RELLENO: SIN, PRESENTACION: ENVASE X 500 GR, MATERIAL ENVASE: PLASTICO 1 (PET), ELEM. TRANSPORTE: SIN, MATERIAL ELEM. TRANSPORTE: SIN, CERTIFICADO FORESTAL (GFS): SIN, LIBRE DE GLUTEN: NO</v>
      </c>
      <c r="D12" s="202"/>
      <c r="E12" s="202"/>
      <c r="F12" s="202"/>
      <c r="G12" s="202"/>
      <c r="H12" s="118" t="s">
        <v>33</v>
      </c>
      <c r="I12" s="119" t="str">
        <f>'ALIM-IMP'!F9</f>
        <v xml:space="preserve">UNIDAD </v>
      </c>
      <c r="J12" s="120">
        <f>'ALIM-IMP'!H9</f>
        <v>72.3</v>
      </c>
      <c r="K12" s="121">
        <f>'ALIM-IMP'!G9</f>
        <v>15828</v>
      </c>
      <c r="L12" s="126">
        <f>J12*K12</f>
        <v>1144364.3999999999</v>
      </c>
    </row>
    <row r="13" spans="1:12" ht="39.950000000000003" customHeight="1" thickBot="1" x14ac:dyDescent="0.25">
      <c r="A13" s="6">
        <v>2</v>
      </c>
      <c r="B13" s="117" t="str">
        <f>'ALIM-IMP'!B10</f>
        <v>2.1.1-435.60</v>
      </c>
      <c r="C13" s="202" t="str">
        <f>'ALIM-IMP'!E10</f>
        <v>ARROZ; TIPO GRANO: LARGO-FINO, TIPO: BLANCO, PROCESO: SIN CASCARA, PRESENTACION: BOLSA X 1 Kg, MATERIAL ENVASE: PLASTICO, CERTIFICADO FORESTAL (GFS): SIN, ELEM. TRANSPORTE: SIN, MATERIAL ELEM. TRANSPORTE: SIN, LIBRE DE GLUTEN: SI</v>
      </c>
      <c r="D13" s="202"/>
      <c r="E13" s="202"/>
      <c r="F13" s="202"/>
      <c r="G13" s="202"/>
      <c r="H13" s="118" t="s">
        <v>33</v>
      </c>
      <c r="I13" s="119" t="str">
        <f>'ALIM-IMP'!F10</f>
        <v xml:space="preserve">UNIDAD </v>
      </c>
      <c r="J13" s="120">
        <f>'ALIM-IMP'!H10</f>
        <v>120</v>
      </c>
      <c r="K13" s="121">
        <f>'ALIM-IMP'!G10</f>
        <v>7920</v>
      </c>
      <c r="L13" s="126">
        <f t="shared" ref="L13:L41" si="0">J13*K13</f>
        <v>950400</v>
      </c>
    </row>
    <row r="14" spans="1:12" ht="39.950000000000003" customHeight="1" thickBot="1" x14ac:dyDescent="0.25">
      <c r="A14" s="6">
        <v>3</v>
      </c>
      <c r="B14" s="117" t="str">
        <f>'ALIM-IMP'!B11</f>
        <v>2.1.1-6546.2</v>
      </c>
      <c r="C14" s="202" t="str">
        <f>'ALIM-IMP'!E11</f>
        <v>VERDURAS Y HORTALIZAS; VARIEDAD: TOMATE REDONDO, ESTADO: NATURAL, PRESENTACION: GRANEL, PESO: SIN VALOR</v>
      </c>
      <c r="D14" s="202"/>
      <c r="E14" s="202"/>
      <c r="F14" s="202"/>
      <c r="G14" s="202"/>
      <c r="H14" s="118" t="s">
        <v>33</v>
      </c>
      <c r="I14" s="119" t="str">
        <f>'ALIM-IMP'!F11</f>
        <v>KG</v>
      </c>
      <c r="J14" s="120">
        <f>'ALIM-IMP'!H11</f>
        <v>80</v>
      </c>
      <c r="K14" s="121">
        <f>'ALIM-IMP'!G11</f>
        <v>6600</v>
      </c>
      <c r="L14" s="126">
        <f t="shared" si="0"/>
        <v>528000</v>
      </c>
    </row>
    <row r="15" spans="1:12" ht="39.950000000000003" customHeight="1" thickBot="1" x14ac:dyDescent="0.25">
      <c r="A15" s="6">
        <v>4</v>
      </c>
      <c r="B15" s="117" t="str">
        <f>'ALIM-IMP'!B12</f>
        <v>2.1.1-483.33</v>
      </c>
      <c r="C15" s="202" t="str">
        <f>'ALIM-IMP'!E12</f>
        <v>HUEVO DE GALLINA; TAMAÑO: MEDIANOS, COLOR: BLANCOS, PRESENTACION: 30</v>
      </c>
      <c r="D15" s="202"/>
      <c r="E15" s="202"/>
      <c r="F15" s="202"/>
      <c r="G15" s="202"/>
      <c r="H15" s="118" t="s">
        <v>33</v>
      </c>
      <c r="I15" s="119" t="str">
        <f>'ALIM-IMP'!F12</f>
        <v xml:space="preserve">UNIDAD </v>
      </c>
      <c r="J15" s="120">
        <f>'ALIM-IMP'!H12</f>
        <v>320</v>
      </c>
      <c r="K15" s="121">
        <f>'ALIM-IMP'!G12</f>
        <v>3360</v>
      </c>
      <c r="L15" s="126">
        <f t="shared" si="0"/>
        <v>1075200</v>
      </c>
    </row>
    <row r="16" spans="1:12" ht="39.950000000000003" customHeight="1" thickBot="1" x14ac:dyDescent="0.25">
      <c r="A16" s="6">
        <v>5</v>
      </c>
      <c r="B16" s="117" t="str">
        <f>'ALIM-IMP'!B13</f>
        <v>2.1.1-6546.158</v>
      </c>
      <c r="C16" s="202" t="str">
        <f>'ALIM-IMP'!E13</f>
        <v>VERDURAS Y HORTALIZAS; ESTADO: NATURAL, VARIEDAD: ZAPALLO ANCO, PRESENTACION: GRANEL, PESO: SIN VALOR</v>
      </c>
      <c r="D16" s="202"/>
      <c r="E16" s="202"/>
      <c r="F16" s="202"/>
      <c r="G16" s="202"/>
      <c r="H16" s="118" t="s">
        <v>33</v>
      </c>
      <c r="I16" s="119" t="str">
        <f>'ALIM-IMP'!F13</f>
        <v>KG</v>
      </c>
      <c r="J16" s="120">
        <f>'ALIM-IMP'!H13</f>
        <v>64</v>
      </c>
      <c r="K16" s="121">
        <f>'ALIM-IMP'!G13</f>
        <v>6600</v>
      </c>
      <c r="L16" s="126">
        <f t="shared" si="0"/>
        <v>422400</v>
      </c>
    </row>
    <row r="17" spans="1:12" ht="39.950000000000003" customHeight="1" thickBot="1" x14ac:dyDescent="0.25">
      <c r="A17" s="6">
        <v>6</v>
      </c>
      <c r="B17" s="117" t="str">
        <f>'ALIM-IMP'!B14</f>
        <v>2.1.1-6546.4</v>
      </c>
      <c r="C17" s="202" t="str">
        <f>'ALIM-IMP'!E14</f>
        <v>VERDURAS Y HORTALIZAS; VARIEDAD: TOMATE PERITA, ESTADO: TRITURADO, PRESENTACION: BOTELLA, PESO: 950 GR</v>
      </c>
      <c r="D17" s="202"/>
      <c r="E17" s="202"/>
      <c r="F17" s="202"/>
      <c r="G17" s="202"/>
      <c r="H17" s="118" t="s">
        <v>33</v>
      </c>
      <c r="I17" s="119" t="str">
        <f>'ALIM-IMP'!F14</f>
        <v xml:space="preserve">UNIDAD </v>
      </c>
      <c r="J17" s="120">
        <f>'ALIM-IMP'!H14</f>
        <v>159</v>
      </c>
      <c r="K17" s="121">
        <f>'ALIM-IMP'!G14</f>
        <v>7320</v>
      </c>
      <c r="L17" s="126">
        <f t="shared" si="0"/>
        <v>1163880</v>
      </c>
    </row>
    <row r="18" spans="1:12" ht="39.950000000000003" customHeight="1" thickBot="1" x14ac:dyDescent="0.25">
      <c r="A18" s="6">
        <v>7</v>
      </c>
      <c r="B18" s="117" t="str">
        <f>'ALIM-IMP'!B15</f>
        <v>2.1.1-6547.17</v>
      </c>
      <c r="C18" s="202" t="str">
        <f>'ALIM-IMP'!E15</f>
        <v>LEGUMBRES; VARIEDAD: ARVEJA, ESTADO: REMOJADO EN CONSERVA, PRESENTACION: LATA, PESO: 350 GR</v>
      </c>
      <c r="D18" s="202"/>
      <c r="E18" s="202"/>
      <c r="F18" s="202"/>
      <c r="G18" s="202"/>
      <c r="H18" s="118" t="s">
        <v>33</v>
      </c>
      <c r="I18" s="119" t="str">
        <f>'ALIM-IMP'!F15</f>
        <v xml:space="preserve">UNIDAD </v>
      </c>
      <c r="J18" s="120">
        <f>'ALIM-IMP'!H15</f>
        <v>52.5</v>
      </c>
      <c r="K18" s="121">
        <f>'ALIM-IMP'!G15</f>
        <v>13200</v>
      </c>
      <c r="L18" s="126">
        <f t="shared" si="0"/>
        <v>693000</v>
      </c>
    </row>
    <row r="19" spans="1:12" ht="39.950000000000003" customHeight="1" thickBot="1" x14ac:dyDescent="0.25">
      <c r="A19" s="6">
        <v>8</v>
      </c>
      <c r="B19" s="117" t="str">
        <f>'ALIM-IMP'!B16</f>
        <v>2.1.1-439.67</v>
      </c>
      <c r="C19" s="202" t="str">
        <f>'ALIM-IMP'!E16</f>
        <v>ACEITES COMESTIBLES; TIPO: GIRASOL, PRESENTACION: ENVASE X 900 CM3, MATERIAL ENVASE: PLASTICO 1 (PET), ELEM. TRANSPORTE: SIN, MATERIAL ELEM. TRANSPORTE : SIN, LIBRE DE GLUTEN: NO</v>
      </c>
      <c r="D19" s="202"/>
      <c r="E19" s="202"/>
      <c r="F19" s="202"/>
      <c r="G19" s="202"/>
      <c r="H19" s="118" t="s">
        <v>33</v>
      </c>
      <c r="I19" s="119" t="str">
        <f>'ALIM-IMP'!F16</f>
        <v xml:space="preserve">UNIDAD </v>
      </c>
      <c r="J19" s="120">
        <f>'ALIM-IMP'!H16</f>
        <v>210</v>
      </c>
      <c r="K19" s="121">
        <f>'ALIM-IMP'!G16</f>
        <v>5988</v>
      </c>
      <c r="L19" s="126">
        <f t="shared" si="0"/>
        <v>1257480</v>
      </c>
    </row>
    <row r="20" spans="1:12" ht="39.950000000000003" customHeight="1" thickBot="1" x14ac:dyDescent="0.25">
      <c r="A20" s="6">
        <v>9</v>
      </c>
      <c r="B20" s="117" t="str">
        <f>'ALIM-IMP'!B17</f>
        <v>2.1.1-6546.46</v>
      </c>
      <c r="C20" s="202" t="str">
        <f>'ALIM-IMP'!E17</f>
        <v>VERDURAS Y HORTALIZAS; VARIEDAD: CEBOLLA, ESTADO: NATURAL, PRESENTACION: GRANEL, PESO: SIN VALOR</v>
      </c>
      <c r="D20" s="202"/>
      <c r="E20" s="202"/>
      <c r="F20" s="202"/>
      <c r="G20" s="202"/>
      <c r="H20" s="118" t="s">
        <v>33</v>
      </c>
      <c r="I20" s="119" t="str">
        <f>'ALIM-IMP'!F17</f>
        <v>KG</v>
      </c>
      <c r="J20" s="120">
        <f>'ALIM-IMP'!H17</f>
        <v>65</v>
      </c>
      <c r="K20" s="121">
        <f>'ALIM-IMP'!G17</f>
        <v>6600</v>
      </c>
      <c r="L20" s="126">
        <f t="shared" si="0"/>
        <v>429000</v>
      </c>
    </row>
    <row r="21" spans="1:12" ht="39.950000000000003" customHeight="1" thickBot="1" x14ac:dyDescent="0.25">
      <c r="A21" s="6">
        <v>10</v>
      </c>
      <c r="B21" s="117" t="str">
        <f>'ALIM-IMP'!B18</f>
        <v>2.1.1-6546.100</v>
      </c>
      <c r="C21" s="202" t="str">
        <f>'ALIM-IMP'!E18</f>
        <v>VERDURAS Y HORTALIZAS; ESTADO: NATURAL, PRESENTACION: GRANEL, VARIEDAD: PAPA BLANCA, PESO: SIN VALOR</v>
      </c>
      <c r="D21" s="202"/>
      <c r="E21" s="202"/>
      <c r="F21" s="202"/>
      <c r="G21" s="202"/>
      <c r="H21" s="118" t="s">
        <v>33</v>
      </c>
      <c r="I21" s="119" t="str">
        <f>'ALIM-IMP'!F18</f>
        <v>KG</v>
      </c>
      <c r="J21" s="120">
        <f>'ALIM-IMP'!H18</f>
        <v>65</v>
      </c>
      <c r="K21" s="121">
        <f>'ALIM-IMP'!G18</f>
        <v>26040</v>
      </c>
      <c r="L21" s="126">
        <f t="shared" si="0"/>
        <v>1692600</v>
      </c>
    </row>
    <row r="22" spans="1:12" ht="39.950000000000003" customHeight="1" thickBot="1" x14ac:dyDescent="0.25">
      <c r="A22" s="6">
        <v>11</v>
      </c>
      <c r="B22" s="117" t="str">
        <f>'ALIM-IMP'!B19</f>
        <v>2.1.1-6546.403</v>
      </c>
      <c r="C22" s="202" t="str">
        <f>'ALIM-IMP'!E19</f>
        <v>VERDURAS Y HORTALIZAS; VARIEDAD: ZANAHORIA, ESTADO: NATURAL, PRESENTACION: BOLSA, PESO: NO CORRESPONDE, ELEM. TRANSPORTE: SIN, MATERIAL ELEM. TRANSPORTE: SIN, LIBRE DE GLUTEN: SI, ORGANICO: NO</v>
      </c>
      <c r="D22" s="202"/>
      <c r="E22" s="202"/>
      <c r="F22" s="202"/>
      <c r="G22" s="202"/>
      <c r="H22" s="118" t="s">
        <v>33</v>
      </c>
      <c r="I22" s="119" t="str">
        <f>'ALIM-IMP'!F19</f>
        <v>KG</v>
      </c>
      <c r="J22" s="120">
        <f>'ALIM-IMP'!H19</f>
        <v>48</v>
      </c>
      <c r="K22" s="121">
        <f>'ALIM-IMP'!G19</f>
        <v>17880</v>
      </c>
      <c r="L22" s="126">
        <f t="shared" si="0"/>
        <v>858240</v>
      </c>
    </row>
    <row r="23" spans="1:12" ht="39.950000000000003" customHeight="1" thickBot="1" x14ac:dyDescent="0.25">
      <c r="A23" s="6">
        <v>12</v>
      </c>
      <c r="B23" s="117" t="str">
        <f>'ALIM-IMP'!B20</f>
        <v>2.1.1-6546.95</v>
      </c>
      <c r="C23" s="202" t="str">
        <f>'ALIM-IMP'!E20</f>
        <v>VERDURAS Y HORTALIZAS; VARIEDAD: MORRON VERDE, ESTADO: NATURAL, PRESENTACION: GRANEL, PESO: SIN VALOR</v>
      </c>
      <c r="D23" s="202"/>
      <c r="E23" s="202"/>
      <c r="F23" s="202"/>
      <c r="G23" s="202"/>
      <c r="H23" s="118" t="s">
        <v>33</v>
      </c>
      <c r="I23" s="119" t="str">
        <f>'ALIM-IMP'!F20</f>
        <v>UNIDAD</v>
      </c>
      <c r="J23" s="120">
        <f>'ALIM-IMP'!H20</f>
        <v>30</v>
      </c>
      <c r="K23" s="121">
        <f>'ALIM-IMP'!G20</f>
        <v>13200</v>
      </c>
      <c r="L23" s="126">
        <f t="shared" si="0"/>
        <v>396000</v>
      </c>
    </row>
    <row r="24" spans="1:12" ht="39.950000000000003" customHeight="1" thickBot="1" x14ac:dyDescent="0.25">
      <c r="A24" s="6">
        <v>13</v>
      </c>
      <c r="B24" s="117" t="str">
        <f>'ALIM-IMP'!B21</f>
        <v>2.1.1-6546.401</v>
      </c>
      <c r="C24" s="202" t="str">
        <f>'ALIM-IMP'!E21</f>
        <v>VERDURAS Y HORTALIZAS; VARIEDAD: AJO, ESTADO: NATURAL, PRESENTACION: UNIDAD, PESO: NO CORRESPONDE, ELEM. TRANSPORTE: SIN, MATERIAL ELEM. TRANSPORTE: SIN, LIBRE DE GLUTEN: SI, ORGANICO: NO</v>
      </c>
      <c r="D24" s="202"/>
      <c r="E24" s="202"/>
      <c r="F24" s="202"/>
      <c r="G24" s="202"/>
      <c r="H24" s="118" t="s">
        <v>33</v>
      </c>
      <c r="I24" s="119" t="str">
        <f>'ALIM-IMP'!F21</f>
        <v>UNIDAD</v>
      </c>
      <c r="J24" s="120">
        <f>'ALIM-IMP'!H21</f>
        <v>47</v>
      </c>
      <c r="K24" s="121">
        <f>'ALIM-IMP'!G21</f>
        <v>2628</v>
      </c>
      <c r="L24" s="126">
        <f t="shared" si="0"/>
        <v>123516</v>
      </c>
    </row>
    <row r="25" spans="1:12" ht="39.950000000000003" customHeight="1" thickBot="1" x14ac:dyDescent="0.25">
      <c r="A25" s="6">
        <v>14</v>
      </c>
      <c r="B25" s="117" t="str">
        <f>'ALIM-IMP'!B22</f>
        <v>2.1.1-6546.374</v>
      </c>
      <c r="C25" s="202" t="str">
        <f>'ALIM-IMP'!E22</f>
        <v>VERDURAS Y HORTALIZAS; VARIEDAD: LECHUGA ARREPOLLADA, ESTADO: NATURAL, PRESENTACION: A GRANEL, PESO: 300 GR CADA PLANTA, ELEM. TRANSPORTE: SIN, MATERIAL ELEM. TRANSPORTE: SIN, LIBRE DE GLUTEN: SI</v>
      </c>
      <c r="D25" s="202"/>
      <c r="E25" s="202"/>
      <c r="F25" s="202"/>
      <c r="G25" s="202"/>
      <c r="H25" s="118" t="s">
        <v>33</v>
      </c>
      <c r="I25" s="119" t="str">
        <f>'ALIM-IMP'!F22</f>
        <v>KG</v>
      </c>
      <c r="J25" s="120">
        <f>'ALIM-IMP'!H22</f>
        <v>75</v>
      </c>
      <c r="K25" s="121">
        <f>'ALIM-IMP'!G22</f>
        <v>6600</v>
      </c>
      <c r="L25" s="126">
        <f t="shared" si="0"/>
        <v>495000</v>
      </c>
    </row>
    <row r="26" spans="1:12" ht="39.950000000000003" customHeight="1" thickBot="1" x14ac:dyDescent="0.25">
      <c r="A26" s="6">
        <v>15</v>
      </c>
      <c r="B26" s="117" t="str">
        <f>'ALIM-IMP'!B23</f>
        <v>2.1.1-708.19</v>
      </c>
      <c r="C26" s="202" t="str">
        <f>'ALIM-IMP'!E23</f>
        <v>CONSERVAS PESCADO Y FRUTOS MAR; ESPECIE: CABALLA, ESTADO: EN ACEITE, PESO: 380 GR, ENVASE: LATA, TIPO: CABALLA</v>
      </c>
      <c r="D26" s="202"/>
      <c r="E26" s="202"/>
      <c r="F26" s="202"/>
      <c r="G26" s="202"/>
      <c r="H26" s="118" t="s">
        <v>33</v>
      </c>
      <c r="I26" s="119" t="str">
        <f>'ALIM-IMP'!F23</f>
        <v>UNIDAD</v>
      </c>
      <c r="J26" s="120">
        <f>'ALIM-IMP'!H23</f>
        <v>230</v>
      </c>
      <c r="K26" s="121">
        <f>'ALIM-IMP'!G23</f>
        <v>11880</v>
      </c>
      <c r="L26" s="126">
        <f t="shared" si="0"/>
        <v>2732400</v>
      </c>
    </row>
    <row r="27" spans="1:12" ht="39.950000000000003" customHeight="1" thickBot="1" x14ac:dyDescent="0.25">
      <c r="A27" s="6">
        <v>16</v>
      </c>
      <c r="B27" s="117" t="str">
        <f>'ALIM-IMP'!B24</f>
        <v>2.1.1-5917.8</v>
      </c>
      <c r="C27" s="202" t="str">
        <f>'ALIM-IMP'!E24</f>
        <v>CEREALES; TIPO: TRIGO BURGOL, PRESENTACION: ENVASE X 1 Kg</v>
      </c>
      <c r="D27" s="202"/>
      <c r="E27" s="202"/>
      <c r="F27" s="202"/>
      <c r="G27" s="202"/>
      <c r="H27" s="118" t="s">
        <v>33</v>
      </c>
      <c r="I27" s="119" t="str">
        <f>'ALIM-IMP'!F24</f>
        <v>KG</v>
      </c>
      <c r="J27" s="120">
        <f>'ALIM-IMP'!H24</f>
        <v>210</v>
      </c>
      <c r="K27" s="121">
        <f>'ALIM-IMP'!G24</f>
        <v>2028</v>
      </c>
      <c r="L27" s="126">
        <f t="shared" si="0"/>
        <v>425880</v>
      </c>
    </row>
    <row r="28" spans="1:12" ht="39.950000000000003" customHeight="1" thickBot="1" x14ac:dyDescent="0.25">
      <c r="A28" s="6">
        <v>17</v>
      </c>
      <c r="B28" s="117" t="str">
        <f>'ALIM-IMP'!B25</f>
        <v>2.1.1-541.7</v>
      </c>
      <c r="C28" s="202" t="str">
        <f>'ALIM-IMP'!E25</f>
        <v>CARNES; ESPECIE: VACUNA, CORTE: PICADA ESPECIAL, TIPO: VACUNA</v>
      </c>
      <c r="D28" s="202"/>
      <c r="E28" s="202"/>
      <c r="F28" s="202"/>
      <c r="G28" s="202"/>
      <c r="H28" s="118" t="s">
        <v>33</v>
      </c>
      <c r="I28" s="119" t="str">
        <f>'ALIM-IMP'!F25</f>
        <v>KG</v>
      </c>
      <c r="J28" s="120">
        <f>'ALIM-IMP'!H25</f>
        <v>760</v>
      </c>
      <c r="K28" s="121">
        <f>'ALIM-IMP'!G25</f>
        <v>13200</v>
      </c>
      <c r="L28" s="126">
        <f t="shared" si="0"/>
        <v>10032000</v>
      </c>
    </row>
    <row r="29" spans="1:12" ht="39.950000000000003" customHeight="1" thickBot="1" x14ac:dyDescent="0.25">
      <c r="A29" s="6">
        <v>18</v>
      </c>
      <c r="B29" s="117" t="str">
        <f>'ALIM-IMP'!B26</f>
        <v>2.1.1-541.49</v>
      </c>
      <c r="C29" s="202" t="str">
        <f>'ALIM-IMP'!E26</f>
        <v>CARNES; ESPECIE: VACUNA, CORTE: NALGA, TIPO: VACUNA</v>
      </c>
      <c r="D29" s="202"/>
      <c r="E29" s="202"/>
      <c r="F29" s="202"/>
      <c r="G29" s="202"/>
      <c r="H29" s="118" t="s">
        <v>33</v>
      </c>
      <c r="I29" s="119" t="str">
        <f>'ALIM-IMP'!F26</f>
        <v>KG</v>
      </c>
      <c r="J29" s="120">
        <f>'ALIM-IMP'!H26</f>
        <v>912.5</v>
      </c>
      <c r="K29" s="121">
        <f>'ALIM-IMP'!G26</f>
        <v>6600</v>
      </c>
      <c r="L29" s="126">
        <f t="shared" si="0"/>
        <v>6022500</v>
      </c>
    </row>
    <row r="30" spans="1:12" ht="39.950000000000003" customHeight="1" thickBot="1" x14ac:dyDescent="0.25">
      <c r="A30" s="6">
        <v>19</v>
      </c>
      <c r="B30" s="117" t="str">
        <f>'ALIM-IMP'!B27</f>
        <v>2.1.1-621.3</v>
      </c>
      <c r="C30" s="202" t="str">
        <f>'ALIM-IMP'!E27</f>
        <v>AVES; PRESENTACION: TROZADO SIN PIEL, ESPECIE: POLLO, EVISCERADO: SIN VALOR, TIPO: POLLO</v>
      </c>
      <c r="D30" s="202"/>
      <c r="E30" s="202"/>
      <c r="F30" s="202"/>
      <c r="G30" s="202"/>
      <c r="H30" s="118" t="s">
        <v>33</v>
      </c>
      <c r="I30" s="119" t="str">
        <f>'ALIM-IMP'!F27</f>
        <v>KG</v>
      </c>
      <c r="J30" s="120">
        <f>'ALIM-IMP'!H27</f>
        <v>182.5</v>
      </c>
      <c r="K30" s="121">
        <f>'ALIM-IMP'!G27</f>
        <v>16560</v>
      </c>
      <c r="L30" s="126">
        <f t="shared" si="0"/>
        <v>3022200</v>
      </c>
    </row>
    <row r="31" spans="1:12" ht="39.950000000000003" customHeight="1" thickBot="1" x14ac:dyDescent="0.25">
      <c r="A31" s="6">
        <v>20</v>
      </c>
      <c r="B31" s="117" t="str">
        <f>'ALIM-IMP'!B28</f>
        <v>2.1.1-669.35</v>
      </c>
      <c r="C31" s="202" t="str">
        <f>'ALIM-IMP'!E28</f>
        <v>PANES; TIPO: FRANCES, PRESENTACION: GRANEL</v>
      </c>
      <c r="D31" s="202"/>
      <c r="E31" s="202"/>
      <c r="F31" s="202"/>
      <c r="G31" s="202"/>
      <c r="H31" s="118" t="s">
        <v>33</v>
      </c>
      <c r="I31" s="119" t="str">
        <f>'ALIM-IMP'!F28</f>
        <v>KG</v>
      </c>
      <c r="J31" s="120">
        <f>'ALIM-IMP'!H28</f>
        <v>145</v>
      </c>
      <c r="K31" s="121">
        <f>'ALIM-IMP'!G28</f>
        <v>26400</v>
      </c>
      <c r="L31" s="126">
        <f t="shared" si="0"/>
        <v>3828000</v>
      </c>
    </row>
    <row r="32" spans="1:12" ht="39.950000000000003" customHeight="1" thickBot="1" x14ac:dyDescent="0.25">
      <c r="A32" s="6">
        <v>21</v>
      </c>
      <c r="B32" s="117" t="str">
        <f>'ALIM-IMP'!B29</f>
        <v>2.1.1-489.132</v>
      </c>
      <c r="C32" s="202" t="str">
        <f>'ALIM-IMP'!E29</f>
        <v>ESPECIAS; TIPO: PIMIENTA BLANCA, PRESENTACION: ENVASE X 1 Kg</v>
      </c>
      <c r="D32" s="202"/>
      <c r="E32" s="202"/>
      <c r="F32" s="202"/>
      <c r="G32" s="202"/>
      <c r="H32" s="118" t="s">
        <v>33</v>
      </c>
      <c r="I32" s="119" t="str">
        <f>'ALIM-IMP'!F29</f>
        <v>KG</v>
      </c>
      <c r="J32" s="120">
        <f>'ALIM-IMP'!H29</f>
        <v>920</v>
      </c>
      <c r="K32" s="121">
        <f>'ALIM-IMP'!G29</f>
        <v>120</v>
      </c>
      <c r="L32" s="126">
        <f t="shared" si="0"/>
        <v>110400</v>
      </c>
    </row>
    <row r="33" spans="1:12" ht="39.950000000000003" customHeight="1" thickBot="1" x14ac:dyDescent="0.25">
      <c r="A33" s="6">
        <v>22</v>
      </c>
      <c r="B33" s="117" t="str">
        <f>'ALIM-IMP'!B30</f>
        <v>2.1.1-489.66</v>
      </c>
      <c r="C33" s="202" t="str">
        <f>'ALIM-IMP'!E30</f>
        <v>ESPECIAS; TIPO: OREGANO, PRESENTACION: BOLSA DE 1 Kg</v>
      </c>
      <c r="D33" s="202"/>
      <c r="E33" s="202"/>
      <c r="F33" s="202"/>
      <c r="G33" s="202"/>
      <c r="H33" s="118" t="s">
        <v>33</v>
      </c>
      <c r="I33" s="119" t="str">
        <f>'ALIM-IMP'!F30</f>
        <v>KG</v>
      </c>
      <c r="J33" s="120">
        <f>'ALIM-IMP'!H30</f>
        <v>1480</v>
      </c>
      <c r="K33" s="121">
        <f>'ALIM-IMP'!G30</f>
        <v>120</v>
      </c>
      <c r="L33" s="126">
        <f t="shared" si="0"/>
        <v>177600</v>
      </c>
    </row>
    <row r="34" spans="1:12" ht="39.950000000000003" customHeight="1" thickBot="1" x14ac:dyDescent="0.25">
      <c r="A34" s="6">
        <v>23</v>
      </c>
      <c r="B34" s="117" t="str">
        <f>'ALIM-IMP'!B31</f>
        <v>2.1.1-489.67</v>
      </c>
      <c r="C34" s="202" t="str">
        <f>'ALIM-IMP'!E31</f>
        <v>ESPECIAS; TIPO: PIMENTON, PRESENTACION: BOLSA DE 1 Kg</v>
      </c>
      <c r="D34" s="202"/>
      <c r="E34" s="202"/>
      <c r="F34" s="202"/>
      <c r="G34" s="202"/>
      <c r="H34" s="118" t="s">
        <v>33</v>
      </c>
      <c r="I34" s="119" t="str">
        <f>'ALIM-IMP'!F31</f>
        <v>KG</v>
      </c>
      <c r="J34" s="120">
        <f>'ALIM-IMP'!H31</f>
        <v>280</v>
      </c>
      <c r="K34" s="121">
        <f>'ALIM-IMP'!G31</f>
        <v>120</v>
      </c>
      <c r="L34" s="126">
        <f t="shared" si="0"/>
        <v>33600</v>
      </c>
    </row>
    <row r="35" spans="1:12" ht="39.950000000000003" customHeight="1" thickBot="1" x14ac:dyDescent="0.25">
      <c r="A35" s="6">
        <v>24</v>
      </c>
      <c r="B35" s="117" t="str">
        <f>'ALIM-IMP'!B32</f>
        <v>2.1.1-489.109</v>
      </c>
      <c r="C35" s="202" t="str">
        <f>'ALIM-IMP'!E32</f>
        <v>ESPECIAS; TIPO: PROVENZAL, PRESENTACION: PAQUETE X 1 Kg</v>
      </c>
      <c r="D35" s="202"/>
      <c r="E35" s="202"/>
      <c r="F35" s="202"/>
      <c r="G35" s="202"/>
      <c r="H35" s="118" t="s">
        <v>33</v>
      </c>
      <c r="I35" s="119" t="str">
        <f>'ALIM-IMP'!F32</f>
        <v>KG</v>
      </c>
      <c r="J35" s="120">
        <f>'ALIM-IMP'!H32</f>
        <v>780</v>
      </c>
      <c r="K35" s="121">
        <f>'ALIM-IMP'!G32</f>
        <v>120</v>
      </c>
      <c r="L35" s="126">
        <f t="shared" si="0"/>
        <v>93600</v>
      </c>
    </row>
    <row r="36" spans="1:12" ht="39.950000000000003" customHeight="1" thickBot="1" x14ac:dyDescent="0.25">
      <c r="A36" s="6">
        <v>25</v>
      </c>
      <c r="B36" s="117" t="str">
        <f>'ALIM-IMP'!B33</f>
        <v>2.1.1-514.2</v>
      </c>
      <c r="C36" s="202" t="str">
        <f>'ALIM-IMP'!E33</f>
        <v>SAL DE MESA; CONSISTENCIA: FINA, PESO: 500 GR, TIPO: SIN VALOR, ENVASE: PAQUETE</v>
      </c>
      <c r="D36" s="202"/>
      <c r="E36" s="202"/>
      <c r="F36" s="202"/>
      <c r="G36" s="202"/>
      <c r="H36" s="118" t="s">
        <v>33</v>
      </c>
      <c r="I36" s="119" t="str">
        <f>'ALIM-IMP'!F33</f>
        <v>UNIDAD</v>
      </c>
      <c r="J36" s="120">
        <f>'ALIM-IMP'!H33</f>
        <v>54</v>
      </c>
      <c r="K36" s="121">
        <f>'ALIM-IMP'!G33</f>
        <v>720</v>
      </c>
      <c r="L36" s="126">
        <f t="shared" si="0"/>
        <v>38880</v>
      </c>
    </row>
    <row r="37" spans="1:12" ht="39.950000000000003" customHeight="1" thickBot="1" x14ac:dyDescent="0.25">
      <c r="A37" s="6">
        <v>26</v>
      </c>
      <c r="B37" s="117" t="str">
        <f>'ALIM-IMP'!B34</f>
        <v>2.1.1-514.15</v>
      </c>
      <c r="C37" s="202" t="str">
        <f>'ALIM-IMP'!E34</f>
        <v>SAL DE MESA; CONSISTENCIA: GRUESA, ENVASE: BOLSA, PESO: 1 Kg, TIPO: SIN VALOR</v>
      </c>
      <c r="D37" s="202"/>
      <c r="E37" s="202"/>
      <c r="F37" s="202"/>
      <c r="G37" s="202"/>
      <c r="H37" s="118" t="s">
        <v>33</v>
      </c>
      <c r="I37" s="119" t="str">
        <f>'ALIM-IMP'!F34</f>
        <v>UNIDAD</v>
      </c>
      <c r="J37" s="120">
        <f>'ALIM-IMP'!H34</f>
        <v>64</v>
      </c>
      <c r="K37" s="121">
        <f>'ALIM-IMP'!G34</f>
        <v>348</v>
      </c>
      <c r="L37" s="126">
        <f t="shared" si="0"/>
        <v>22272</v>
      </c>
    </row>
    <row r="38" spans="1:12" ht="39.950000000000003" customHeight="1" thickBot="1" x14ac:dyDescent="0.25">
      <c r="A38" s="6">
        <v>27</v>
      </c>
      <c r="B38" s="117" t="str">
        <f>'ALIM-IMP'!B35</f>
        <v>2.1.1-6539.8</v>
      </c>
      <c r="C38" s="202" t="str">
        <f>'ALIM-IMP'!E35</f>
        <v>FRUTAS; VARIEDAD: NARANJA ESPECIAL, ESTADO: NATURAL, PRESENTACION: CAJON, PESO: SIN VALOR</v>
      </c>
      <c r="D38" s="202"/>
      <c r="E38" s="202"/>
      <c r="F38" s="202"/>
      <c r="G38" s="202"/>
      <c r="H38" s="118" t="s">
        <v>33</v>
      </c>
      <c r="I38" s="119" t="str">
        <f>'ALIM-IMP'!F35</f>
        <v>UNIDAD</v>
      </c>
      <c r="J38" s="120">
        <f>'ALIM-IMP'!H35</f>
        <v>2990</v>
      </c>
      <c r="K38" s="121">
        <f>'ALIM-IMP'!G35</f>
        <v>402</v>
      </c>
      <c r="L38" s="126">
        <f t="shared" si="0"/>
        <v>1201980</v>
      </c>
    </row>
    <row r="39" spans="1:12" ht="39.950000000000003" customHeight="1" thickBot="1" x14ac:dyDescent="0.25">
      <c r="A39" s="6">
        <v>28</v>
      </c>
      <c r="B39" s="117" t="str">
        <f>'ALIM-IMP'!B36</f>
        <v>2.1.1-6539.19</v>
      </c>
      <c r="C39" s="202" t="str">
        <f>'ALIM-IMP'!E36</f>
        <v>FRUTAS; ESTADO: NATURAL, VARIEDAD: MANZANA RED ELEGIDA, PRESENTACION: CAJON, PESO: SIN VALOR</v>
      </c>
      <c r="D39" s="202"/>
      <c r="E39" s="202"/>
      <c r="F39" s="202"/>
      <c r="G39" s="202"/>
      <c r="H39" s="118" t="s">
        <v>33</v>
      </c>
      <c r="I39" s="119" t="str">
        <f>'ALIM-IMP'!F36</f>
        <v>UNIDAD</v>
      </c>
      <c r="J39" s="120">
        <f>'ALIM-IMP'!H36</f>
        <v>3550</v>
      </c>
      <c r="K39" s="121">
        <f>'ALIM-IMP'!G36</f>
        <v>336</v>
      </c>
      <c r="L39" s="126">
        <f t="shared" si="0"/>
        <v>1192800</v>
      </c>
    </row>
    <row r="40" spans="1:12" ht="39.950000000000003" customHeight="1" thickBot="1" x14ac:dyDescent="0.25">
      <c r="A40" s="6">
        <v>29</v>
      </c>
      <c r="B40" s="117" t="str">
        <f>'ALIM-IMP'!B37</f>
        <v>2.1.1-6539.30</v>
      </c>
      <c r="C40" s="202" t="str">
        <f>'ALIM-IMP'!E37</f>
        <v>FRUTAS; VARIEDAD: BANANA, PRESENTACION: CAJON, ESTADO: NATURAL, PESO: SIN VALOR</v>
      </c>
      <c r="D40" s="202"/>
      <c r="E40" s="202"/>
      <c r="F40" s="202"/>
      <c r="G40" s="202"/>
      <c r="H40" s="118" t="s">
        <v>33</v>
      </c>
      <c r="I40" s="119" t="str">
        <f>'ALIM-IMP'!F37</f>
        <v>UNIDAD</v>
      </c>
      <c r="J40" s="120">
        <f>'ALIM-IMP'!H37</f>
        <v>3600</v>
      </c>
      <c r="K40" s="121">
        <f>'ALIM-IMP'!G37</f>
        <v>270</v>
      </c>
      <c r="L40" s="126">
        <f t="shared" si="0"/>
        <v>972000</v>
      </c>
    </row>
    <row r="41" spans="1:12" ht="39.950000000000003" customHeight="1" thickBot="1" x14ac:dyDescent="0.25">
      <c r="A41" s="6">
        <v>30</v>
      </c>
      <c r="B41" s="117" t="str">
        <f>'ALIM-IMP'!B38</f>
        <v>2.1.1-6539.32</v>
      </c>
      <c r="C41" s="202" t="str">
        <f>'ALIM-IMP'!E38</f>
        <v>FRUTAS; VARIEDAD: PERA AMARILLA, ESTADO: NATURAL, PRESENTACION: CAJON, PESO: SIN VALOR</v>
      </c>
      <c r="D41" s="202"/>
      <c r="E41" s="202"/>
      <c r="F41" s="202"/>
      <c r="G41" s="202"/>
      <c r="H41" s="118" t="s">
        <v>33</v>
      </c>
      <c r="I41" s="119" t="str">
        <f>'ALIM-IMP'!F38</f>
        <v>UNIDAD</v>
      </c>
      <c r="J41" s="127">
        <f>'ALIM-IMP'!H38</f>
        <v>2500</v>
      </c>
      <c r="K41" s="128">
        <f>'ALIM-IMP'!G38</f>
        <v>336</v>
      </c>
      <c r="L41" s="129">
        <f t="shared" si="0"/>
        <v>840000</v>
      </c>
    </row>
    <row r="42" spans="1:12" ht="39.950000000000003" customHeight="1" thickBot="1" x14ac:dyDescent="0.25">
      <c r="A42" s="6">
        <v>31</v>
      </c>
      <c r="B42" s="117" t="str">
        <f>'ALIM-IMP'!B39</f>
        <v>2.1.1-669.25</v>
      </c>
      <c r="C42" s="202" t="str">
        <f>'ALIM-IMP'!E39</f>
        <v>PANES; TIPO: RALLADO, PRESENTACION: BOLSA DE 1000 GR</v>
      </c>
      <c r="D42" s="202"/>
      <c r="E42" s="202"/>
      <c r="F42" s="202"/>
      <c r="G42" s="202"/>
      <c r="H42" s="118" t="s">
        <v>33</v>
      </c>
      <c r="I42" s="119" t="str">
        <f>'ALIM-IMP'!F39</f>
        <v>UNIDAD</v>
      </c>
      <c r="J42" s="127">
        <f>'ALIM-IMP'!H39</f>
        <v>145</v>
      </c>
      <c r="K42" s="128">
        <f>'ALIM-IMP'!G39</f>
        <v>1320</v>
      </c>
      <c r="L42" s="129">
        <f t="shared" ref="L42" si="1">J42*K42</f>
        <v>191400</v>
      </c>
    </row>
    <row r="43" spans="1:12" ht="26.25" customHeight="1" thickBot="1" x14ac:dyDescent="0.25">
      <c r="A43" s="207" t="s">
        <v>360</v>
      </c>
      <c r="B43" s="207"/>
      <c r="C43" s="207"/>
      <c r="D43" s="207"/>
      <c r="E43" s="207"/>
      <c r="F43" s="207"/>
      <c r="G43" s="207"/>
      <c r="H43" s="207"/>
      <c r="I43" s="207"/>
      <c r="J43" s="204">
        <f>SUM(L12:L42)</f>
        <v>42166592.399999999</v>
      </c>
      <c r="K43" s="205"/>
      <c r="L43" s="206"/>
    </row>
  </sheetData>
  <mergeCells count="54">
    <mergeCell ref="C20:G20"/>
    <mergeCell ref="C23:G23"/>
    <mergeCell ref="C29:G29"/>
    <mergeCell ref="A8:C8"/>
    <mergeCell ref="C18:G18"/>
    <mergeCell ref="A10:A11"/>
    <mergeCell ref="B10:B11"/>
    <mergeCell ref="C10:G11"/>
    <mergeCell ref="D8:K8"/>
    <mergeCell ref="J10:J11"/>
    <mergeCell ref="K10:K11"/>
    <mergeCell ref="H10:H11"/>
    <mergeCell ref="I10:I11"/>
    <mergeCell ref="C12:G12"/>
    <mergeCell ref="C13:G13"/>
    <mergeCell ref="C14:G14"/>
    <mergeCell ref="C15:G15"/>
    <mergeCell ref="C16:G16"/>
    <mergeCell ref="C17:G17"/>
    <mergeCell ref="A1:I1"/>
    <mergeCell ref="A6:C6"/>
    <mergeCell ref="D6:K6"/>
    <mergeCell ref="A7:C7"/>
    <mergeCell ref="D7:K7"/>
    <mergeCell ref="A3:C3"/>
    <mergeCell ref="D3:K3"/>
    <mergeCell ref="A4:C4"/>
    <mergeCell ref="D4:K4"/>
    <mergeCell ref="A5:C5"/>
    <mergeCell ref="D5:K5"/>
    <mergeCell ref="J43:L43"/>
    <mergeCell ref="C36:G36"/>
    <mergeCell ref="C37:G37"/>
    <mergeCell ref="C38:G38"/>
    <mergeCell ref="C40:G40"/>
    <mergeCell ref="C41:G41"/>
    <mergeCell ref="C39:G39"/>
    <mergeCell ref="A43:I43"/>
    <mergeCell ref="C22:G22"/>
    <mergeCell ref="C19:G19"/>
    <mergeCell ref="C21:G21"/>
    <mergeCell ref="C42:G42"/>
    <mergeCell ref="L10:L11"/>
    <mergeCell ref="C30:G30"/>
    <mergeCell ref="C31:G31"/>
    <mergeCell ref="C32:G32"/>
    <mergeCell ref="C33:G33"/>
    <mergeCell ref="C34:G34"/>
    <mergeCell ref="C24:G24"/>
    <mergeCell ref="C25:G25"/>
    <mergeCell ref="C26:G26"/>
    <mergeCell ref="C27:G27"/>
    <mergeCell ref="C28:G28"/>
    <mergeCell ref="C35:G35"/>
  </mergeCells>
  <printOptions horizontalCentered="1"/>
  <pageMargins left="0.19685039370078741" right="0.19685039370078741" top="0" bottom="0" header="0.19685039370078741" footer="0.15748031496062992"/>
  <pageSetup paperSize="5" scale="65" firstPageNumber="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7"/>
  <sheetViews>
    <sheetView zoomScale="130" zoomScaleNormal="130" workbookViewId="0">
      <selection activeCell="A10" sqref="A10:Q10"/>
    </sheetView>
  </sheetViews>
  <sheetFormatPr baseColWidth="10" defaultColWidth="11" defaultRowHeight="12.75" x14ac:dyDescent="0.2"/>
  <cols>
    <col min="1" max="5" width="4.42578125" customWidth="1"/>
    <col min="6" max="6" width="5" bestFit="1" customWidth="1"/>
    <col min="7" max="7" width="4.42578125" style="7" customWidth="1"/>
    <col min="8" max="14" width="4.42578125" customWidth="1"/>
    <col min="15" max="16" width="14.85546875" customWidth="1"/>
    <col min="17" max="17" width="14.28515625" bestFit="1" customWidth="1"/>
  </cols>
  <sheetData>
    <row r="1" spans="1:17" ht="15.75" customHeight="1" x14ac:dyDescent="0.25">
      <c r="A1" s="215" t="s">
        <v>3</v>
      </c>
      <c r="B1" s="215"/>
      <c r="C1" s="215"/>
      <c r="D1" s="216">
        <v>2021</v>
      </c>
      <c r="E1" s="216"/>
      <c r="F1" s="8"/>
      <c r="G1" s="8"/>
      <c r="H1" s="9"/>
      <c r="I1" s="9"/>
      <c r="J1" s="9"/>
      <c r="K1" s="9"/>
      <c r="L1" s="9"/>
      <c r="M1" s="9"/>
      <c r="N1" s="9"/>
      <c r="P1" s="217" t="s">
        <v>34</v>
      </c>
      <c r="Q1" s="217"/>
    </row>
    <row r="2" spans="1:17" ht="15.75" customHeight="1" x14ac:dyDescent="0.2">
      <c r="H2" s="9"/>
      <c r="I2" s="9"/>
      <c r="J2" s="9"/>
      <c r="K2" s="9"/>
      <c r="L2" s="9"/>
      <c r="M2" s="9"/>
      <c r="N2" s="9"/>
      <c r="P2" s="217"/>
      <c r="Q2" s="217"/>
    </row>
    <row r="4" spans="1:17" s="10" customFormat="1" ht="18" customHeight="1" thickBot="1" x14ac:dyDescent="0.25">
      <c r="A4" s="218" t="s">
        <v>35</v>
      </c>
      <c r="B4" s="218"/>
      <c r="C4" s="218"/>
      <c r="D4" s="218"/>
      <c r="E4" s="218"/>
      <c r="F4" s="218"/>
      <c r="G4" s="219" t="str">
        <f>' NotaPedido'!D3</f>
        <v>45- Ministerio de Desarrollo Social y Deporte.-</v>
      </c>
      <c r="H4" s="219"/>
      <c r="I4" s="219"/>
      <c r="J4" s="219"/>
      <c r="K4" s="219"/>
      <c r="L4" s="219"/>
      <c r="M4" s="219"/>
      <c r="N4" s="219"/>
      <c r="O4" s="219"/>
      <c r="P4" s="219"/>
      <c r="Q4" s="219"/>
    </row>
    <row r="5" spans="1:17" s="10" customFormat="1" ht="18" customHeight="1" thickBot="1" x14ac:dyDescent="0.25">
      <c r="A5" s="220" t="s">
        <v>58</v>
      </c>
      <c r="B5" s="221"/>
      <c r="C5" s="221"/>
      <c r="D5" s="221"/>
      <c r="E5" s="221"/>
      <c r="F5" s="222"/>
      <c r="G5" s="219" t="str">
        <f>' NotaPedido'!D4</f>
        <v>25- Direccion Provincial de Gestion Administracion y RRHH</v>
      </c>
      <c r="H5" s="219"/>
      <c r="I5" s="219"/>
      <c r="J5" s="219"/>
      <c r="K5" s="219"/>
      <c r="L5" s="219"/>
      <c r="M5" s="219"/>
      <c r="N5" s="219"/>
      <c r="O5" s="219"/>
      <c r="P5" s="219"/>
      <c r="Q5" s="219"/>
    </row>
    <row r="6" spans="1:17" s="10" customFormat="1" ht="18" customHeight="1" thickBot="1" x14ac:dyDescent="0.25">
      <c r="A6" s="220" t="s">
        <v>36</v>
      </c>
      <c r="B6" s="221"/>
      <c r="C6" s="221"/>
      <c r="D6" s="221"/>
      <c r="E6" s="221"/>
      <c r="F6" s="222"/>
      <c r="G6" s="219" t="s">
        <v>364</v>
      </c>
      <c r="H6" s="219"/>
      <c r="I6" s="219"/>
      <c r="J6" s="219"/>
      <c r="K6" s="219"/>
      <c r="L6" s="219"/>
      <c r="M6" s="219"/>
      <c r="N6" s="219"/>
      <c r="O6" s="219"/>
      <c r="P6" s="219"/>
      <c r="Q6" s="219"/>
    </row>
    <row r="7" spans="1:17" s="10" customFormat="1" ht="18" customHeight="1" thickBot="1" x14ac:dyDescent="0.25">
      <c r="A7" s="220" t="s">
        <v>59</v>
      </c>
      <c r="B7" s="221"/>
      <c r="C7" s="221"/>
      <c r="D7" s="221"/>
      <c r="E7" s="221"/>
      <c r="F7" s="222"/>
      <c r="G7" s="219" t="s">
        <v>365</v>
      </c>
      <c r="H7" s="219"/>
      <c r="I7" s="219"/>
      <c r="J7" s="219"/>
      <c r="K7" s="219"/>
      <c r="L7" s="219"/>
      <c r="M7" s="219"/>
      <c r="N7" s="219"/>
      <c r="O7" s="219"/>
      <c r="P7" s="219"/>
      <c r="Q7" s="219"/>
    </row>
    <row r="8" spans="1:17" ht="18" customHeight="1" thickBot="1" x14ac:dyDescent="0.25">
      <c r="A8" s="223" t="s">
        <v>37</v>
      </c>
      <c r="B8" s="223"/>
      <c r="C8" s="223"/>
      <c r="D8" s="223"/>
      <c r="E8" s="223"/>
      <c r="F8" s="223"/>
      <c r="G8" s="223"/>
      <c r="H8" s="223"/>
      <c r="I8" s="223"/>
      <c r="J8" s="223"/>
      <c r="K8" s="223"/>
      <c r="L8" s="223"/>
      <c r="M8" s="223"/>
      <c r="N8" s="223"/>
      <c r="O8" s="223"/>
      <c r="P8" s="223"/>
      <c r="Q8" s="223"/>
    </row>
    <row r="9" spans="1:17" ht="18" customHeight="1" x14ac:dyDescent="0.2">
      <c r="A9" s="224" t="s">
        <v>38</v>
      </c>
      <c r="B9" s="224"/>
      <c r="C9" s="224"/>
      <c r="D9" s="224"/>
      <c r="E9" s="224"/>
      <c r="F9" s="224"/>
      <c r="G9" s="224"/>
      <c r="H9" s="224"/>
      <c r="I9" s="224"/>
      <c r="J9" s="224"/>
      <c r="K9" s="224"/>
      <c r="L9" s="224"/>
      <c r="M9" s="224"/>
      <c r="N9" s="224"/>
      <c r="O9" s="1"/>
      <c r="P9" s="1"/>
      <c r="Q9" s="11"/>
    </row>
    <row r="10" spans="1:17" ht="54.75" customHeight="1" x14ac:dyDescent="0.2">
      <c r="A10" s="225"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127/2021,  afectando la erogación resultante a los créditos presupuestarios aprobados a favor de esta Unidad Ejecutora, conforme al siguiente detalle:</v>
      </c>
      <c r="B10" s="225"/>
      <c r="C10" s="225"/>
      <c r="D10" s="225"/>
      <c r="E10" s="225"/>
      <c r="F10" s="225"/>
      <c r="G10" s="225"/>
      <c r="H10" s="225"/>
      <c r="I10" s="225"/>
      <c r="J10" s="225"/>
      <c r="K10" s="225"/>
      <c r="L10" s="225"/>
      <c r="M10" s="225"/>
      <c r="N10" s="225"/>
      <c r="O10" s="225"/>
      <c r="P10" s="225"/>
      <c r="Q10" s="225"/>
    </row>
    <row r="11" spans="1:17" ht="9" customHeight="1" x14ac:dyDescent="0.2">
      <c r="A11" s="12"/>
      <c r="B11" s="13"/>
      <c r="C11" s="13"/>
      <c r="D11" s="13"/>
      <c r="E11" s="13"/>
      <c r="F11" s="13"/>
      <c r="G11" s="14"/>
      <c r="H11" s="13"/>
      <c r="I11" s="13"/>
      <c r="J11" s="13"/>
      <c r="K11" s="13"/>
      <c r="L11" s="13"/>
      <c r="M11" s="13"/>
      <c r="N11" s="13"/>
      <c r="O11" s="13"/>
      <c r="P11" s="13"/>
      <c r="Q11" s="15"/>
    </row>
    <row r="12" spans="1:17" ht="15.75" customHeight="1" x14ac:dyDescent="0.2">
      <c r="A12" s="226" t="s">
        <v>39</v>
      </c>
      <c r="B12" s="226"/>
      <c r="C12" s="226"/>
      <c r="D12" s="226"/>
      <c r="E12" s="226"/>
      <c r="F12" s="226"/>
      <c r="G12" s="226"/>
      <c r="H12" s="226"/>
      <c r="I12" s="226"/>
      <c r="J12" s="226"/>
      <c r="K12" s="226"/>
      <c r="L12" s="226"/>
      <c r="M12" s="226"/>
      <c r="N12" s="226"/>
      <c r="O12" s="226"/>
      <c r="P12" s="226"/>
      <c r="Q12" s="226"/>
    </row>
    <row r="13" spans="1:17" ht="15.75" customHeight="1" x14ac:dyDescent="0.2">
      <c r="A13" s="227" t="s">
        <v>40</v>
      </c>
      <c r="B13" s="227"/>
      <c r="C13" s="227"/>
      <c r="D13" s="227"/>
      <c r="E13" s="227"/>
      <c r="F13" s="227"/>
      <c r="G13" s="227"/>
      <c r="H13" s="227"/>
      <c r="I13" s="227"/>
      <c r="J13" s="227"/>
      <c r="K13" s="227"/>
      <c r="L13" s="227"/>
      <c r="M13" s="227"/>
      <c r="N13" s="227"/>
      <c r="O13" s="228" t="s">
        <v>41</v>
      </c>
      <c r="P13" s="228"/>
      <c r="Q13" s="229" t="s">
        <v>42</v>
      </c>
    </row>
    <row r="14" spans="1:17" ht="15.75" customHeight="1" x14ac:dyDescent="0.2">
      <c r="A14" s="16" t="s">
        <v>43</v>
      </c>
      <c r="B14" s="17" t="s">
        <v>44</v>
      </c>
      <c r="C14" s="17" t="s">
        <v>45</v>
      </c>
      <c r="D14" s="17" t="s">
        <v>46</v>
      </c>
      <c r="E14" s="17" t="s">
        <v>47</v>
      </c>
      <c r="F14" s="17" t="s">
        <v>48</v>
      </c>
      <c r="G14" s="18" t="s">
        <v>49</v>
      </c>
      <c r="H14" s="17" t="s">
        <v>50</v>
      </c>
      <c r="I14" s="17" t="s">
        <v>51</v>
      </c>
      <c r="J14" s="17" t="s">
        <v>52</v>
      </c>
      <c r="K14" s="17" t="s">
        <v>52</v>
      </c>
      <c r="L14" s="17" t="s">
        <v>53</v>
      </c>
      <c r="M14" s="19" t="s">
        <v>54</v>
      </c>
      <c r="N14" s="20" t="s">
        <v>55</v>
      </c>
      <c r="O14" s="228"/>
      <c r="P14" s="228"/>
      <c r="Q14" s="229"/>
    </row>
    <row r="15" spans="1:17" ht="17.25" customHeight="1" x14ac:dyDescent="0.2">
      <c r="A15" s="159">
        <v>20</v>
      </c>
      <c r="B15" s="160"/>
      <c r="C15" s="160"/>
      <c r="D15" s="160">
        <v>1</v>
      </c>
      <c r="E15" s="160"/>
      <c r="F15" s="160">
        <v>4901</v>
      </c>
      <c r="G15" s="160">
        <v>1</v>
      </c>
      <c r="H15" s="160">
        <v>4</v>
      </c>
      <c r="I15" s="160" t="str">
        <f>LEFT('[2]Necesidades Trimestrales'!D10,1)</f>
        <v>2</v>
      </c>
      <c r="J15" s="160">
        <v>1</v>
      </c>
      <c r="K15" s="160">
        <v>1</v>
      </c>
      <c r="L15" s="160"/>
      <c r="M15" s="161">
        <v>1</v>
      </c>
      <c r="N15" s="160">
        <v>1.1000000000000001</v>
      </c>
      <c r="O15" s="230" t="s">
        <v>61</v>
      </c>
      <c r="P15" s="231"/>
      <c r="Q15" s="162">
        <v>42166592.399999999</v>
      </c>
    </row>
    <row r="16" spans="1:17" ht="17.25" customHeight="1" x14ac:dyDescent="0.2">
      <c r="A16" s="163"/>
      <c r="B16" s="164"/>
      <c r="C16" s="164"/>
      <c r="D16" s="164"/>
      <c r="E16" s="164"/>
      <c r="F16" s="164"/>
      <c r="G16" s="164"/>
      <c r="H16" s="164"/>
      <c r="I16" s="164"/>
      <c r="J16" s="164"/>
      <c r="K16" s="164"/>
      <c r="L16" s="164"/>
      <c r="M16" s="165"/>
      <c r="N16" s="164"/>
      <c r="O16" s="232"/>
      <c r="P16" s="232"/>
      <c r="Q16" s="166"/>
    </row>
    <row r="17" spans="1:18" ht="17.25" customHeight="1" x14ac:dyDescent="0.2">
      <c r="A17" s="163"/>
      <c r="B17" s="164"/>
      <c r="C17" s="164"/>
      <c r="D17" s="164"/>
      <c r="E17" s="164"/>
      <c r="F17" s="167"/>
      <c r="G17" s="164"/>
      <c r="H17" s="164"/>
      <c r="I17" s="164"/>
      <c r="J17" s="164"/>
      <c r="K17" s="164"/>
      <c r="L17" s="164"/>
      <c r="M17" s="165"/>
      <c r="N17" s="167"/>
      <c r="O17" s="233"/>
      <c r="P17" s="233"/>
      <c r="Q17" s="168"/>
    </row>
    <row r="18" spans="1:18" ht="17.25" customHeight="1" x14ac:dyDescent="0.2">
      <c r="A18" s="163"/>
      <c r="B18" s="164"/>
      <c r="C18" s="164"/>
      <c r="D18" s="164"/>
      <c r="E18" s="164"/>
      <c r="F18" s="164"/>
      <c r="G18" s="164"/>
      <c r="H18" s="164"/>
      <c r="I18" s="164"/>
      <c r="J18" s="164"/>
      <c r="K18" s="164"/>
      <c r="L18" s="164"/>
      <c r="M18" s="165"/>
      <c r="N18" s="167"/>
      <c r="O18" s="233"/>
      <c r="P18" s="233"/>
      <c r="Q18" s="168"/>
    </row>
    <row r="19" spans="1:18" ht="17.25" customHeight="1" x14ac:dyDescent="0.2">
      <c r="A19" s="163"/>
      <c r="B19" s="164"/>
      <c r="C19" s="164"/>
      <c r="D19" s="164"/>
      <c r="E19" s="164"/>
      <c r="F19" s="167"/>
      <c r="G19" s="164"/>
      <c r="H19" s="164"/>
      <c r="I19" s="164"/>
      <c r="J19" s="164"/>
      <c r="K19" s="164"/>
      <c r="L19" s="164"/>
      <c r="M19" s="165"/>
      <c r="N19" s="167"/>
      <c r="O19" s="233"/>
      <c r="P19" s="233"/>
      <c r="Q19" s="168"/>
    </row>
    <row r="20" spans="1:18" ht="17.25" customHeight="1" x14ac:dyDescent="0.2">
      <c r="A20" s="163"/>
      <c r="B20" s="164"/>
      <c r="C20" s="164"/>
      <c r="D20" s="164"/>
      <c r="E20" s="164"/>
      <c r="F20" s="167"/>
      <c r="G20" s="164"/>
      <c r="H20" s="164"/>
      <c r="I20" s="164"/>
      <c r="J20" s="164"/>
      <c r="K20" s="164"/>
      <c r="L20" s="164"/>
      <c r="M20" s="165"/>
      <c r="N20" s="167"/>
      <c r="O20" s="233"/>
      <c r="P20" s="233"/>
      <c r="Q20" s="168"/>
    </row>
    <row r="21" spans="1:18" ht="17.25" customHeight="1" x14ac:dyDescent="0.2">
      <c r="A21" s="169"/>
      <c r="B21" s="170"/>
      <c r="C21" s="170"/>
      <c r="D21" s="170"/>
      <c r="E21" s="170"/>
      <c r="F21" s="171"/>
      <c r="G21" s="170"/>
      <c r="H21" s="170"/>
      <c r="I21" s="170"/>
      <c r="J21" s="170"/>
      <c r="K21" s="170"/>
      <c r="L21" s="170"/>
      <c r="M21" s="172"/>
      <c r="N21" s="173"/>
      <c r="O21" s="239"/>
      <c r="P21" s="239"/>
      <c r="Q21" s="168"/>
      <c r="R21" s="1"/>
    </row>
    <row r="22" spans="1:18" ht="17.25" customHeight="1" x14ac:dyDescent="0.2">
      <c r="A22" s="174"/>
      <c r="B22" s="175"/>
      <c r="C22" s="175"/>
      <c r="D22" s="175"/>
      <c r="E22" s="175"/>
      <c r="F22" s="175"/>
      <c r="G22" s="175"/>
      <c r="H22" s="175"/>
      <c r="I22" s="175"/>
      <c r="J22" s="175"/>
      <c r="K22" s="175"/>
      <c r="L22" s="175"/>
      <c r="M22" s="176"/>
      <c r="N22" s="175"/>
      <c r="O22" s="240"/>
      <c r="P22" s="240"/>
      <c r="Q22" s="177"/>
    </row>
    <row r="23" spans="1:18" ht="27" customHeight="1" x14ac:dyDescent="0.2">
      <c r="A23" s="241" t="s">
        <v>361</v>
      </c>
      <c r="B23" s="241"/>
      <c r="C23" s="241"/>
      <c r="D23" s="241"/>
      <c r="E23" s="241"/>
      <c r="F23" s="241"/>
      <c r="G23" s="241"/>
      <c r="H23" s="241"/>
      <c r="I23" s="241"/>
      <c r="J23" s="241"/>
      <c r="K23" s="241"/>
      <c r="L23" s="241"/>
      <c r="M23" s="241"/>
      <c r="N23" s="241"/>
      <c r="O23" s="241"/>
      <c r="P23" s="241"/>
      <c r="Q23" s="178">
        <f>SUM(Q15:Q22)</f>
        <v>42166592.399999999</v>
      </c>
    </row>
    <row r="24" spans="1:18" ht="18" customHeight="1" thickBot="1" x14ac:dyDescent="0.25">
      <c r="A24" s="242"/>
      <c r="B24" s="242"/>
      <c r="C24" s="242"/>
      <c r="D24" s="242"/>
      <c r="E24" s="242"/>
      <c r="F24" s="242"/>
      <c r="G24" s="242"/>
      <c r="H24" s="242"/>
      <c r="I24" s="242"/>
      <c r="J24" s="242"/>
      <c r="K24" s="242"/>
      <c r="L24" s="242"/>
      <c r="M24" s="242"/>
      <c r="N24" s="242"/>
      <c r="O24" s="242"/>
      <c r="P24" s="242"/>
      <c r="Q24" s="242"/>
    </row>
    <row r="25" spans="1:18" ht="17.25" customHeight="1" thickBot="1" x14ac:dyDescent="0.25">
      <c r="A25" s="234" t="s">
        <v>56</v>
      </c>
      <c r="B25" s="235"/>
      <c r="C25" s="235"/>
      <c r="D25" s="235"/>
      <c r="E25" s="235"/>
      <c r="F25" s="236"/>
      <c r="G25" s="237"/>
      <c r="H25" s="237"/>
      <c r="I25" s="237"/>
      <c r="J25" s="237"/>
      <c r="K25" s="237"/>
      <c r="L25" s="237"/>
      <c r="M25" s="237"/>
      <c r="N25" s="237"/>
      <c r="O25" s="237"/>
      <c r="P25" s="237"/>
      <c r="Q25" s="237"/>
    </row>
    <row r="26" spans="1:18" ht="18" customHeight="1" thickBot="1" x14ac:dyDescent="0.25">
      <c r="A26" s="238" t="s">
        <v>362</v>
      </c>
      <c r="B26" s="238"/>
      <c r="C26" s="238"/>
      <c r="D26" s="238"/>
      <c r="E26" s="238"/>
      <c r="F26" s="238"/>
      <c r="G26" s="238"/>
      <c r="H26" s="238"/>
      <c r="I26" s="238"/>
      <c r="J26" s="238"/>
      <c r="K26" s="238"/>
      <c r="L26" s="238"/>
      <c r="M26" s="238"/>
      <c r="N26" s="238"/>
      <c r="O26" s="238"/>
      <c r="P26" s="238"/>
      <c r="Q26" s="238"/>
    </row>
    <row r="27" spans="1:18" ht="15" customHeight="1" x14ac:dyDescent="0.2">
      <c r="A27" s="238"/>
      <c r="B27" s="238"/>
      <c r="C27" s="238"/>
      <c r="D27" s="238"/>
      <c r="E27" s="238"/>
      <c r="F27" s="238"/>
      <c r="G27" s="238"/>
      <c r="H27" s="238"/>
      <c r="I27" s="238"/>
      <c r="J27" s="238"/>
      <c r="K27" s="238"/>
      <c r="L27" s="238"/>
      <c r="M27" s="238"/>
      <c r="N27" s="238"/>
      <c r="O27" s="238"/>
      <c r="P27" s="238"/>
      <c r="Q27" s="238"/>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56"/>
  <sheetViews>
    <sheetView zoomScaleNormal="100" workbookViewId="0">
      <selection activeCell="E30" sqref="E30"/>
    </sheetView>
  </sheetViews>
  <sheetFormatPr baseColWidth="10" defaultColWidth="11" defaultRowHeight="12.75" x14ac:dyDescent="0.2"/>
  <cols>
    <col min="1" max="1" width="4.5703125" style="21" customWidth="1"/>
    <col min="2" max="2" width="15.5703125" style="21" customWidth="1"/>
    <col min="3" max="3" width="32.42578125" style="21" customWidth="1"/>
    <col min="4" max="4" width="10" style="74" customWidth="1"/>
    <col min="5" max="5" width="168.28515625" style="21" customWidth="1"/>
    <col min="6" max="6" width="11" style="21"/>
    <col min="7" max="7" width="12.7109375" style="21" customWidth="1"/>
    <col min="8" max="8" width="13.85546875" style="21" customWidth="1"/>
    <col min="9" max="9" width="18.5703125" style="21" customWidth="1"/>
    <col min="10" max="16384" width="11" style="21"/>
  </cols>
  <sheetData>
    <row r="1" spans="1:9" ht="27" x14ac:dyDescent="0.35">
      <c r="B1" s="194" t="s">
        <v>0</v>
      </c>
      <c r="C1" s="194"/>
      <c r="D1" s="194"/>
      <c r="E1" s="194"/>
      <c r="F1" s="194"/>
      <c r="G1" s="194"/>
      <c r="H1" s="194"/>
    </row>
    <row r="2" spans="1:9" ht="6" customHeight="1" x14ac:dyDescent="0.2"/>
    <row r="3" spans="1:9" ht="16.5" customHeight="1" x14ac:dyDescent="0.25">
      <c r="A3" s="191" t="s">
        <v>1</v>
      </c>
      <c r="B3" s="191"/>
      <c r="C3" s="195" t="s">
        <v>67</v>
      </c>
      <c r="D3" s="195"/>
      <c r="E3" s="195"/>
      <c r="F3" s="22"/>
      <c r="G3" s="23"/>
      <c r="H3" s="22"/>
    </row>
    <row r="4" spans="1:9" ht="17.25" customHeight="1" x14ac:dyDescent="0.25">
      <c r="A4" s="191" t="s">
        <v>2</v>
      </c>
      <c r="B4" s="191"/>
      <c r="C4" s="195" t="s">
        <v>62</v>
      </c>
      <c r="D4" s="195"/>
      <c r="E4" s="195"/>
      <c r="F4" s="22"/>
      <c r="G4" s="23"/>
      <c r="H4" s="22"/>
    </row>
    <row r="5" spans="1:9" ht="15" customHeight="1" x14ac:dyDescent="0.25">
      <c r="A5" s="191" t="s">
        <v>3</v>
      </c>
      <c r="B5" s="191"/>
      <c r="C5" s="40">
        <v>2021</v>
      </c>
      <c r="D5" s="70"/>
      <c r="E5" s="41"/>
      <c r="F5" s="22"/>
      <c r="G5" s="23"/>
      <c r="H5" s="22"/>
    </row>
    <row r="6" spans="1:9" ht="16.5" customHeight="1" x14ac:dyDescent="0.25">
      <c r="A6" s="191" t="s">
        <v>4</v>
      </c>
      <c r="B6" s="191"/>
      <c r="C6" s="40">
        <v>1</v>
      </c>
      <c r="D6" s="70"/>
      <c r="E6" s="41"/>
      <c r="F6" s="22"/>
      <c r="G6" s="23"/>
      <c r="H6" s="22"/>
    </row>
    <row r="7" spans="1:9" ht="7.5" customHeight="1" thickBot="1" x14ac:dyDescent="0.25">
      <c r="B7" s="22"/>
      <c r="C7" s="23"/>
      <c r="D7" s="23"/>
      <c r="E7" s="22"/>
      <c r="F7" s="22"/>
      <c r="G7" s="23"/>
      <c r="H7" s="22"/>
    </row>
    <row r="8" spans="1:9" ht="39" thickBot="1" x14ac:dyDescent="0.25">
      <c r="A8" s="43" t="s">
        <v>5</v>
      </c>
      <c r="B8" s="52" t="s">
        <v>6</v>
      </c>
      <c r="C8" s="52" t="s">
        <v>7</v>
      </c>
      <c r="D8" s="48" t="s">
        <v>8</v>
      </c>
      <c r="E8" s="52" t="s">
        <v>9</v>
      </c>
      <c r="F8" s="44" t="s">
        <v>10</v>
      </c>
      <c r="G8" s="45" t="s">
        <v>11</v>
      </c>
      <c r="H8" s="45" t="s">
        <v>12</v>
      </c>
      <c r="I8" s="46" t="s">
        <v>13</v>
      </c>
    </row>
    <row r="9" spans="1:9" s="130" customFormat="1" ht="15.75" customHeight="1" x14ac:dyDescent="0.2">
      <c r="A9" s="75">
        <v>1</v>
      </c>
      <c r="B9" s="76" t="s">
        <v>294</v>
      </c>
      <c r="C9" s="76" t="s">
        <v>60</v>
      </c>
      <c r="D9" s="77" t="s">
        <v>75</v>
      </c>
      <c r="E9" s="76" t="s">
        <v>295</v>
      </c>
      <c r="F9" s="78" t="s">
        <v>117</v>
      </c>
      <c r="G9" s="147">
        <v>15828</v>
      </c>
      <c r="H9" s="148">
        <v>72.3</v>
      </c>
      <c r="I9" s="149">
        <f>G9*H9</f>
        <v>1144364.3999999999</v>
      </c>
    </row>
    <row r="10" spans="1:9" s="124" customFormat="1" ht="12.75" customHeight="1" x14ac:dyDescent="0.2">
      <c r="A10" s="82">
        <v>2</v>
      </c>
      <c r="B10" s="83" t="s">
        <v>69</v>
      </c>
      <c r="C10" s="83" t="s">
        <v>60</v>
      </c>
      <c r="D10" s="84" t="s">
        <v>75</v>
      </c>
      <c r="E10" s="83" t="s">
        <v>77</v>
      </c>
      <c r="F10" s="85" t="s">
        <v>117</v>
      </c>
      <c r="G10" s="150">
        <v>7920</v>
      </c>
      <c r="H10" s="151">
        <v>120</v>
      </c>
      <c r="I10" s="152">
        <f>G10*H10</f>
        <v>950400</v>
      </c>
    </row>
    <row r="11" spans="1:9" s="124" customFormat="1" ht="12.75" customHeight="1" x14ac:dyDescent="0.2">
      <c r="A11" s="82">
        <v>3</v>
      </c>
      <c r="B11" s="83" t="s">
        <v>299</v>
      </c>
      <c r="C11" s="131" t="s">
        <v>60</v>
      </c>
      <c r="D11" s="90" t="s">
        <v>75</v>
      </c>
      <c r="E11" s="89" t="s">
        <v>300</v>
      </c>
      <c r="F11" s="91" t="s">
        <v>118</v>
      </c>
      <c r="G11" s="150">
        <v>6600</v>
      </c>
      <c r="H11" s="151">
        <v>80</v>
      </c>
      <c r="I11" s="152">
        <f t="shared" ref="I11:I38" si="0">G11*H11</f>
        <v>528000</v>
      </c>
    </row>
    <row r="12" spans="1:9" s="124" customFormat="1" ht="12.75" customHeight="1" x14ac:dyDescent="0.2">
      <c r="A12" s="82">
        <v>4</v>
      </c>
      <c r="B12" s="89" t="s">
        <v>301</v>
      </c>
      <c r="C12" s="89" t="s">
        <v>60</v>
      </c>
      <c r="D12" s="92" t="s">
        <v>75</v>
      </c>
      <c r="E12" s="89" t="s">
        <v>302</v>
      </c>
      <c r="F12" s="91" t="s">
        <v>117</v>
      </c>
      <c r="G12" s="150">
        <v>3360</v>
      </c>
      <c r="H12" s="151">
        <v>320</v>
      </c>
      <c r="I12" s="152">
        <f t="shared" si="0"/>
        <v>1075200</v>
      </c>
    </row>
    <row r="13" spans="1:9" s="124" customFormat="1" ht="12.75" customHeight="1" x14ac:dyDescent="0.2">
      <c r="A13" s="82">
        <v>5</v>
      </c>
      <c r="B13" s="83" t="s">
        <v>303</v>
      </c>
      <c r="C13" s="131" t="s">
        <v>60</v>
      </c>
      <c r="D13" s="84" t="s">
        <v>75</v>
      </c>
      <c r="E13" s="83" t="s">
        <v>304</v>
      </c>
      <c r="F13" s="91" t="s">
        <v>118</v>
      </c>
      <c r="G13" s="150">
        <v>6600</v>
      </c>
      <c r="H13" s="151">
        <v>64</v>
      </c>
      <c r="I13" s="152">
        <f t="shared" si="0"/>
        <v>422400</v>
      </c>
    </row>
    <row r="14" spans="1:9" s="124" customFormat="1" ht="12.75" customHeight="1" x14ac:dyDescent="0.2">
      <c r="A14" s="82">
        <v>6</v>
      </c>
      <c r="B14" s="83" t="s">
        <v>71</v>
      </c>
      <c r="C14" s="83" t="s">
        <v>60</v>
      </c>
      <c r="D14" s="84" t="s">
        <v>75</v>
      </c>
      <c r="E14" s="83" t="s">
        <v>79</v>
      </c>
      <c r="F14" s="85" t="s">
        <v>117</v>
      </c>
      <c r="G14" s="150">
        <v>7320</v>
      </c>
      <c r="H14" s="151">
        <v>159</v>
      </c>
      <c r="I14" s="152">
        <f t="shared" si="0"/>
        <v>1163880</v>
      </c>
    </row>
    <row r="15" spans="1:9" s="124" customFormat="1" ht="12.75" customHeight="1" x14ac:dyDescent="0.2">
      <c r="A15" s="82">
        <v>7</v>
      </c>
      <c r="B15" s="83" t="s">
        <v>72</v>
      </c>
      <c r="C15" s="83" t="s">
        <v>60</v>
      </c>
      <c r="D15" s="84" t="s">
        <v>75</v>
      </c>
      <c r="E15" s="83" t="s">
        <v>80</v>
      </c>
      <c r="F15" s="85" t="s">
        <v>117</v>
      </c>
      <c r="G15" s="150">
        <v>13200</v>
      </c>
      <c r="H15" s="151">
        <v>52.5</v>
      </c>
      <c r="I15" s="152">
        <f t="shared" si="0"/>
        <v>693000</v>
      </c>
    </row>
    <row r="16" spans="1:9" s="124" customFormat="1" ht="12.75" customHeight="1" x14ac:dyDescent="0.2">
      <c r="A16" s="82">
        <v>8</v>
      </c>
      <c r="B16" s="89" t="s">
        <v>276</v>
      </c>
      <c r="C16" s="83" t="s">
        <v>60</v>
      </c>
      <c r="D16" s="84" t="s">
        <v>75</v>
      </c>
      <c r="E16" s="83" t="s">
        <v>277</v>
      </c>
      <c r="F16" s="85" t="s">
        <v>117</v>
      </c>
      <c r="G16" s="150">
        <v>5988</v>
      </c>
      <c r="H16" s="151">
        <v>210</v>
      </c>
      <c r="I16" s="152">
        <f t="shared" si="0"/>
        <v>1257480</v>
      </c>
    </row>
    <row r="17" spans="1:9" s="124" customFormat="1" ht="12.75" customHeight="1" x14ac:dyDescent="0.2">
      <c r="A17" s="82">
        <v>9</v>
      </c>
      <c r="B17" s="83" t="s">
        <v>73</v>
      </c>
      <c r="C17" s="83" t="s">
        <v>60</v>
      </c>
      <c r="D17" s="84" t="s">
        <v>75</v>
      </c>
      <c r="E17" s="83" t="s">
        <v>81</v>
      </c>
      <c r="F17" s="85" t="s">
        <v>118</v>
      </c>
      <c r="G17" s="150">
        <v>6600</v>
      </c>
      <c r="H17" s="151">
        <v>65</v>
      </c>
      <c r="I17" s="152">
        <f t="shared" si="0"/>
        <v>429000</v>
      </c>
    </row>
    <row r="18" spans="1:9" s="124" customFormat="1" ht="12.75" customHeight="1" x14ac:dyDescent="0.2">
      <c r="A18" s="82">
        <v>10</v>
      </c>
      <c r="B18" s="83" t="s">
        <v>74</v>
      </c>
      <c r="C18" s="83" t="s">
        <v>60</v>
      </c>
      <c r="D18" s="84" t="s">
        <v>75</v>
      </c>
      <c r="E18" s="83" t="s">
        <v>82</v>
      </c>
      <c r="F18" s="85" t="s">
        <v>118</v>
      </c>
      <c r="G18" s="150">
        <v>26040</v>
      </c>
      <c r="H18" s="151">
        <v>65</v>
      </c>
      <c r="I18" s="152">
        <f t="shared" si="0"/>
        <v>1692600</v>
      </c>
    </row>
    <row r="19" spans="1:9" s="124" customFormat="1" ht="12.75" customHeight="1" x14ac:dyDescent="0.2">
      <c r="A19" s="82">
        <v>11</v>
      </c>
      <c r="B19" s="83" t="s">
        <v>83</v>
      </c>
      <c r="C19" s="83" t="s">
        <v>60</v>
      </c>
      <c r="D19" s="84" t="s">
        <v>75</v>
      </c>
      <c r="E19" s="83" t="s">
        <v>90</v>
      </c>
      <c r="F19" s="93" t="s">
        <v>118</v>
      </c>
      <c r="G19" s="153">
        <v>17880</v>
      </c>
      <c r="H19" s="151">
        <v>48</v>
      </c>
      <c r="I19" s="152">
        <f t="shared" si="0"/>
        <v>858240</v>
      </c>
    </row>
    <row r="20" spans="1:9" s="124" customFormat="1" ht="12.75" customHeight="1" x14ac:dyDescent="0.2">
      <c r="A20" s="82">
        <v>12</v>
      </c>
      <c r="B20" s="83" t="s">
        <v>84</v>
      </c>
      <c r="C20" s="83" t="s">
        <v>60</v>
      </c>
      <c r="D20" s="84" t="s">
        <v>75</v>
      </c>
      <c r="E20" s="83" t="s">
        <v>91</v>
      </c>
      <c r="F20" s="85" t="s">
        <v>14</v>
      </c>
      <c r="G20" s="150">
        <v>13200</v>
      </c>
      <c r="H20" s="151">
        <v>30</v>
      </c>
      <c r="I20" s="152">
        <f t="shared" si="0"/>
        <v>396000</v>
      </c>
    </row>
    <row r="21" spans="1:9" s="124" customFormat="1" ht="12.75" customHeight="1" x14ac:dyDescent="0.2">
      <c r="A21" s="82">
        <v>13</v>
      </c>
      <c r="B21" s="83" t="s">
        <v>85</v>
      </c>
      <c r="C21" s="83" t="s">
        <v>60</v>
      </c>
      <c r="D21" s="84" t="s">
        <v>75</v>
      </c>
      <c r="E21" s="83" t="s">
        <v>92</v>
      </c>
      <c r="F21" s="85" t="s">
        <v>14</v>
      </c>
      <c r="G21" s="150">
        <v>2628</v>
      </c>
      <c r="H21" s="151">
        <v>47</v>
      </c>
      <c r="I21" s="152">
        <f t="shared" si="0"/>
        <v>123516</v>
      </c>
    </row>
    <row r="22" spans="1:9" s="124" customFormat="1" ht="12.75" customHeight="1" x14ac:dyDescent="0.2">
      <c r="A22" s="82">
        <v>14</v>
      </c>
      <c r="B22" s="83" t="s">
        <v>305</v>
      </c>
      <c r="C22" s="83" t="s">
        <v>60</v>
      </c>
      <c r="D22" s="84" t="s">
        <v>75</v>
      </c>
      <c r="E22" s="95" t="s">
        <v>306</v>
      </c>
      <c r="F22" s="85" t="s">
        <v>118</v>
      </c>
      <c r="G22" s="150">
        <v>6600</v>
      </c>
      <c r="H22" s="151">
        <v>75</v>
      </c>
      <c r="I22" s="152">
        <f t="shared" si="0"/>
        <v>495000</v>
      </c>
    </row>
    <row r="23" spans="1:9" s="124" customFormat="1" ht="12.75" customHeight="1" x14ac:dyDescent="0.2">
      <c r="A23" s="82">
        <v>15</v>
      </c>
      <c r="B23" s="83" t="s">
        <v>308</v>
      </c>
      <c r="C23" s="83" t="s">
        <v>60</v>
      </c>
      <c r="D23" s="84" t="s">
        <v>75</v>
      </c>
      <c r="E23" s="83" t="s">
        <v>307</v>
      </c>
      <c r="F23" s="85" t="s">
        <v>14</v>
      </c>
      <c r="G23" s="150">
        <v>11880</v>
      </c>
      <c r="H23" s="151">
        <v>230</v>
      </c>
      <c r="I23" s="152">
        <f t="shared" si="0"/>
        <v>2732400</v>
      </c>
    </row>
    <row r="24" spans="1:9" s="124" customFormat="1" ht="12.75" customHeight="1" x14ac:dyDescent="0.2">
      <c r="A24" s="82">
        <v>16</v>
      </c>
      <c r="B24" s="83" t="s">
        <v>309</v>
      </c>
      <c r="C24" s="83" t="s">
        <v>60</v>
      </c>
      <c r="D24" s="84" t="s">
        <v>75</v>
      </c>
      <c r="E24" s="83" t="s">
        <v>310</v>
      </c>
      <c r="F24" s="85" t="s">
        <v>118</v>
      </c>
      <c r="G24" s="150">
        <v>2028</v>
      </c>
      <c r="H24" s="151">
        <v>210</v>
      </c>
      <c r="I24" s="152">
        <f t="shared" si="0"/>
        <v>425880</v>
      </c>
    </row>
    <row r="25" spans="1:9" s="124" customFormat="1" ht="12.75" customHeight="1" x14ac:dyDescent="0.2">
      <c r="A25" s="82">
        <v>17</v>
      </c>
      <c r="B25" s="83" t="s">
        <v>88</v>
      </c>
      <c r="C25" s="83" t="s">
        <v>60</v>
      </c>
      <c r="D25" s="84" t="s">
        <v>75</v>
      </c>
      <c r="E25" s="83" t="s">
        <v>95</v>
      </c>
      <c r="F25" s="85" t="s">
        <v>118</v>
      </c>
      <c r="G25" s="150">
        <v>13200</v>
      </c>
      <c r="H25" s="151">
        <v>760</v>
      </c>
      <c r="I25" s="152">
        <f t="shared" si="0"/>
        <v>10032000</v>
      </c>
    </row>
    <row r="26" spans="1:9" s="124" customFormat="1" ht="12.75" customHeight="1" x14ac:dyDescent="0.2">
      <c r="A26" s="82">
        <v>18</v>
      </c>
      <c r="B26" s="83" t="s">
        <v>89</v>
      </c>
      <c r="C26" s="83" t="s">
        <v>60</v>
      </c>
      <c r="D26" s="84" t="s">
        <v>75</v>
      </c>
      <c r="E26" s="83" t="s">
        <v>96</v>
      </c>
      <c r="F26" s="85" t="s">
        <v>118</v>
      </c>
      <c r="G26" s="150">
        <v>6600</v>
      </c>
      <c r="H26" s="151">
        <v>912.5</v>
      </c>
      <c r="I26" s="152">
        <f t="shared" si="0"/>
        <v>6022500</v>
      </c>
    </row>
    <row r="27" spans="1:9" s="124" customFormat="1" ht="12.75" customHeight="1" x14ac:dyDescent="0.2">
      <c r="A27" s="82">
        <v>19</v>
      </c>
      <c r="B27" s="83" t="s">
        <v>120</v>
      </c>
      <c r="C27" s="83" t="s">
        <v>60</v>
      </c>
      <c r="D27" s="84" t="s">
        <v>75</v>
      </c>
      <c r="E27" s="83" t="s">
        <v>121</v>
      </c>
      <c r="F27" s="85" t="s">
        <v>118</v>
      </c>
      <c r="G27" s="150">
        <v>16560</v>
      </c>
      <c r="H27" s="151">
        <v>182.5</v>
      </c>
      <c r="I27" s="152">
        <f t="shared" si="0"/>
        <v>3022200</v>
      </c>
    </row>
    <row r="28" spans="1:9" s="124" customFormat="1" ht="12.75" customHeight="1" x14ac:dyDescent="0.2">
      <c r="A28" s="82">
        <v>20</v>
      </c>
      <c r="B28" s="83" t="s">
        <v>355</v>
      </c>
      <c r="C28" s="83" t="s">
        <v>60</v>
      </c>
      <c r="D28" s="84" t="s">
        <v>75</v>
      </c>
      <c r="E28" s="83" t="s">
        <v>356</v>
      </c>
      <c r="F28" s="85" t="s">
        <v>118</v>
      </c>
      <c r="G28" s="150">
        <v>26400</v>
      </c>
      <c r="H28" s="151">
        <v>145</v>
      </c>
      <c r="I28" s="152">
        <f t="shared" si="0"/>
        <v>3828000</v>
      </c>
    </row>
    <row r="29" spans="1:9" s="124" customFormat="1" ht="12.75" customHeight="1" x14ac:dyDescent="0.2">
      <c r="A29" s="82">
        <v>21</v>
      </c>
      <c r="B29" s="83" t="s">
        <v>97</v>
      </c>
      <c r="C29" s="83" t="s">
        <v>60</v>
      </c>
      <c r="D29" s="84" t="s">
        <v>75</v>
      </c>
      <c r="E29" s="83" t="s">
        <v>102</v>
      </c>
      <c r="F29" s="85" t="s">
        <v>118</v>
      </c>
      <c r="G29" s="154">
        <v>120</v>
      </c>
      <c r="H29" s="151">
        <v>920</v>
      </c>
      <c r="I29" s="152">
        <f t="shared" si="0"/>
        <v>110400</v>
      </c>
    </row>
    <row r="30" spans="1:9" s="124" customFormat="1" ht="12.75" customHeight="1" x14ac:dyDescent="0.2">
      <c r="A30" s="82">
        <v>22</v>
      </c>
      <c r="B30" s="83" t="s">
        <v>98</v>
      </c>
      <c r="C30" s="83" t="s">
        <v>60</v>
      </c>
      <c r="D30" s="84" t="s">
        <v>75</v>
      </c>
      <c r="E30" s="83" t="s">
        <v>103</v>
      </c>
      <c r="F30" s="85" t="s">
        <v>118</v>
      </c>
      <c r="G30" s="150">
        <v>120</v>
      </c>
      <c r="H30" s="151">
        <v>1480</v>
      </c>
      <c r="I30" s="152">
        <f t="shared" si="0"/>
        <v>177600</v>
      </c>
    </row>
    <row r="31" spans="1:9" s="124" customFormat="1" ht="12.75" customHeight="1" x14ac:dyDescent="0.2">
      <c r="A31" s="82">
        <v>23</v>
      </c>
      <c r="B31" s="83" t="s">
        <v>99</v>
      </c>
      <c r="C31" s="83" t="s">
        <v>60</v>
      </c>
      <c r="D31" s="84" t="s">
        <v>75</v>
      </c>
      <c r="E31" s="83" t="s">
        <v>104</v>
      </c>
      <c r="F31" s="85" t="s">
        <v>118</v>
      </c>
      <c r="G31" s="150">
        <v>120</v>
      </c>
      <c r="H31" s="151">
        <v>280</v>
      </c>
      <c r="I31" s="152">
        <f t="shared" si="0"/>
        <v>33600</v>
      </c>
    </row>
    <row r="32" spans="1:9" s="124" customFormat="1" ht="12.75" customHeight="1" x14ac:dyDescent="0.2">
      <c r="A32" s="82">
        <v>24</v>
      </c>
      <c r="B32" s="83" t="s">
        <v>100</v>
      </c>
      <c r="C32" s="83" t="s">
        <v>60</v>
      </c>
      <c r="D32" s="84" t="s">
        <v>75</v>
      </c>
      <c r="E32" s="83" t="s">
        <v>105</v>
      </c>
      <c r="F32" s="85" t="s">
        <v>118</v>
      </c>
      <c r="G32" s="150">
        <v>120</v>
      </c>
      <c r="H32" s="151">
        <v>780</v>
      </c>
      <c r="I32" s="152">
        <f t="shared" si="0"/>
        <v>93600</v>
      </c>
    </row>
    <row r="33" spans="1:9" s="124" customFormat="1" ht="12.75" customHeight="1" x14ac:dyDescent="0.2">
      <c r="A33" s="82">
        <v>25</v>
      </c>
      <c r="B33" s="89" t="s">
        <v>283</v>
      </c>
      <c r="C33" s="89" t="s">
        <v>60</v>
      </c>
      <c r="D33" s="92" t="s">
        <v>75</v>
      </c>
      <c r="E33" s="89" t="s">
        <v>282</v>
      </c>
      <c r="F33" s="91" t="s">
        <v>14</v>
      </c>
      <c r="G33" s="150">
        <v>720</v>
      </c>
      <c r="H33" s="151">
        <v>54</v>
      </c>
      <c r="I33" s="152">
        <f t="shared" si="0"/>
        <v>38880</v>
      </c>
    </row>
    <row r="34" spans="1:9" s="124" customFormat="1" ht="12.75" customHeight="1" x14ac:dyDescent="0.2">
      <c r="A34" s="82">
        <v>26</v>
      </c>
      <c r="B34" s="83" t="s">
        <v>101</v>
      </c>
      <c r="C34" s="83" t="s">
        <v>60</v>
      </c>
      <c r="D34" s="84" t="s">
        <v>75</v>
      </c>
      <c r="E34" s="83" t="s">
        <v>106</v>
      </c>
      <c r="F34" s="132" t="s">
        <v>14</v>
      </c>
      <c r="G34" s="150">
        <v>348</v>
      </c>
      <c r="H34" s="155">
        <v>64</v>
      </c>
      <c r="I34" s="152">
        <f t="shared" si="0"/>
        <v>22272</v>
      </c>
    </row>
    <row r="35" spans="1:9" ht="12.75" customHeight="1" x14ac:dyDescent="0.2">
      <c r="A35" s="82">
        <v>27</v>
      </c>
      <c r="B35" s="83" t="s">
        <v>130</v>
      </c>
      <c r="C35" s="83" t="s">
        <v>60</v>
      </c>
      <c r="D35" s="84" t="s">
        <v>75</v>
      </c>
      <c r="E35" s="83" t="s">
        <v>134</v>
      </c>
      <c r="F35" s="99" t="s">
        <v>14</v>
      </c>
      <c r="G35" s="156">
        <v>402</v>
      </c>
      <c r="H35" s="151">
        <v>2990</v>
      </c>
      <c r="I35" s="152">
        <f t="shared" si="0"/>
        <v>1201980</v>
      </c>
    </row>
    <row r="36" spans="1:9" ht="12.75" customHeight="1" x14ac:dyDescent="0.2">
      <c r="A36" s="82">
        <v>28</v>
      </c>
      <c r="B36" s="83" t="s">
        <v>131</v>
      </c>
      <c r="C36" s="83" t="s">
        <v>60</v>
      </c>
      <c r="D36" s="84" t="s">
        <v>75</v>
      </c>
      <c r="E36" s="83" t="s">
        <v>135</v>
      </c>
      <c r="F36" s="99" t="s">
        <v>14</v>
      </c>
      <c r="G36" s="156">
        <v>336</v>
      </c>
      <c r="H36" s="151">
        <v>3550</v>
      </c>
      <c r="I36" s="152">
        <f t="shared" si="0"/>
        <v>1192800</v>
      </c>
    </row>
    <row r="37" spans="1:9" ht="12.75" customHeight="1" x14ac:dyDescent="0.2">
      <c r="A37" s="82">
        <v>29</v>
      </c>
      <c r="B37" s="83" t="s">
        <v>132</v>
      </c>
      <c r="C37" s="83" t="s">
        <v>60</v>
      </c>
      <c r="D37" s="84" t="s">
        <v>75</v>
      </c>
      <c r="E37" s="83" t="s">
        <v>136</v>
      </c>
      <c r="F37" s="99" t="s">
        <v>14</v>
      </c>
      <c r="G37" s="156">
        <v>270</v>
      </c>
      <c r="H37" s="151">
        <v>3600</v>
      </c>
      <c r="I37" s="152">
        <f t="shared" si="0"/>
        <v>972000</v>
      </c>
    </row>
    <row r="38" spans="1:9" ht="12.75" customHeight="1" x14ac:dyDescent="0.2">
      <c r="A38" s="133">
        <v>30</v>
      </c>
      <c r="B38" s="83" t="s">
        <v>133</v>
      </c>
      <c r="C38" s="83" t="s">
        <v>60</v>
      </c>
      <c r="D38" s="84" t="s">
        <v>75</v>
      </c>
      <c r="E38" s="83" t="s">
        <v>137</v>
      </c>
      <c r="F38" s="91" t="s">
        <v>14</v>
      </c>
      <c r="G38" s="156">
        <v>336</v>
      </c>
      <c r="H38" s="151">
        <v>2500</v>
      </c>
      <c r="I38" s="151">
        <f t="shared" si="0"/>
        <v>840000</v>
      </c>
    </row>
    <row r="39" spans="1:9" ht="13.5" customHeight="1" thickBot="1" x14ac:dyDescent="0.25">
      <c r="A39" s="101">
        <v>31</v>
      </c>
      <c r="B39" s="134" t="s">
        <v>311</v>
      </c>
      <c r="C39" s="134" t="s">
        <v>60</v>
      </c>
      <c r="D39" s="135" t="s">
        <v>75</v>
      </c>
      <c r="E39" s="134" t="s">
        <v>312</v>
      </c>
      <c r="F39" s="136" t="s">
        <v>14</v>
      </c>
      <c r="G39" s="157">
        <v>1320</v>
      </c>
      <c r="H39" s="158">
        <v>145</v>
      </c>
      <c r="I39" s="158">
        <f t="shared" ref="I39" si="1">G39*H39</f>
        <v>191400</v>
      </c>
    </row>
    <row r="40" spans="1:9" x14ac:dyDescent="0.2">
      <c r="I40" s="146">
        <f>SUM(I9:I39)</f>
        <v>42166592.399999999</v>
      </c>
    </row>
    <row r="42" spans="1:9" x14ac:dyDescent="0.2">
      <c r="B42" s="27" t="s">
        <v>15</v>
      </c>
      <c r="C42" s="28"/>
      <c r="D42" s="71"/>
      <c r="E42" s="29"/>
    </row>
    <row r="43" spans="1:9" ht="5.25" customHeight="1" x14ac:dyDescent="0.2">
      <c r="B43" s="30"/>
      <c r="C43" s="31"/>
      <c r="D43" s="72"/>
      <c r="E43" s="32"/>
    </row>
    <row r="44" spans="1:9" x14ac:dyDescent="0.2">
      <c r="B44" s="33" t="s">
        <v>16</v>
      </c>
      <c r="C44" s="31"/>
      <c r="D44" s="72"/>
      <c r="E44" s="32"/>
    </row>
    <row r="45" spans="1:9" ht="25.5" customHeight="1" x14ac:dyDescent="0.2">
      <c r="B45" s="33"/>
      <c r="C45" s="199"/>
      <c r="D45" s="199"/>
      <c r="E45" s="199"/>
    </row>
    <row r="46" spans="1:9" ht="13.5" thickBot="1" x14ac:dyDescent="0.25">
      <c r="B46" s="33" t="s">
        <v>17</v>
      </c>
      <c r="C46" s="31"/>
      <c r="D46" s="72"/>
      <c r="E46" s="32"/>
    </row>
    <row r="47" spans="1:9" ht="13.5" thickBot="1" x14ac:dyDescent="0.25">
      <c r="B47" s="185" t="s">
        <v>138</v>
      </c>
      <c r="C47" s="186"/>
      <c r="D47" s="186"/>
      <c r="E47" s="187"/>
    </row>
    <row r="48" spans="1:9" ht="13.5" thickBot="1" x14ac:dyDescent="0.25">
      <c r="B48" s="185" t="s">
        <v>139</v>
      </c>
      <c r="C48" s="187"/>
      <c r="D48" s="69" t="s">
        <v>11</v>
      </c>
      <c r="E48" s="69" t="s">
        <v>140</v>
      </c>
      <c r="F48" s="125"/>
      <c r="G48" s="125">
        <v>4</v>
      </c>
      <c r="H48" s="125">
        <v>3</v>
      </c>
      <c r="I48" s="125"/>
    </row>
    <row r="49" spans="2:9" s="130" customFormat="1" x14ac:dyDescent="0.2">
      <c r="B49" s="247" t="s">
        <v>317</v>
      </c>
      <c r="C49" s="247"/>
      <c r="D49" s="137">
        <v>38</v>
      </c>
      <c r="E49" s="138" t="s">
        <v>316</v>
      </c>
      <c r="F49" s="139">
        <f>SUM(D49:D68)</f>
        <v>1319</v>
      </c>
      <c r="G49" s="139">
        <f>F49*$G$48</f>
        <v>5276</v>
      </c>
      <c r="H49" s="139">
        <f>G49*$H$48</f>
        <v>15828</v>
      </c>
      <c r="I49" s="139"/>
    </row>
    <row r="50" spans="2:9" s="130" customFormat="1" x14ac:dyDescent="0.2">
      <c r="B50" s="246" t="s">
        <v>318</v>
      </c>
      <c r="C50" s="246"/>
      <c r="D50" s="140">
        <v>84</v>
      </c>
      <c r="E50" s="141" t="s">
        <v>247</v>
      </c>
      <c r="F50" s="139"/>
      <c r="G50" s="139"/>
      <c r="H50" s="139"/>
      <c r="I50" s="139"/>
    </row>
    <row r="51" spans="2:9" s="130" customFormat="1" x14ac:dyDescent="0.2">
      <c r="B51" s="246" t="s">
        <v>320</v>
      </c>
      <c r="C51" s="246"/>
      <c r="D51" s="140">
        <v>96</v>
      </c>
      <c r="E51" s="141" t="s">
        <v>248</v>
      </c>
      <c r="F51" s="139"/>
      <c r="G51" s="139"/>
      <c r="H51" s="139"/>
      <c r="I51" s="139"/>
    </row>
    <row r="52" spans="2:9" s="130" customFormat="1" x14ac:dyDescent="0.2">
      <c r="B52" s="246" t="s">
        <v>319</v>
      </c>
      <c r="C52" s="246"/>
      <c r="D52" s="140">
        <v>84</v>
      </c>
      <c r="E52" s="141" t="s">
        <v>249</v>
      </c>
      <c r="F52" s="139"/>
      <c r="G52" s="139"/>
      <c r="H52" s="139"/>
      <c r="I52" s="139"/>
    </row>
    <row r="53" spans="2:9" s="130" customFormat="1" x14ac:dyDescent="0.2">
      <c r="B53" s="246" t="s">
        <v>314</v>
      </c>
      <c r="C53" s="246"/>
      <c r="D53" s="140">
        <v>91</v>
      </c>
      <c r="E53" s="141" t="s">
        <v>315</v>
      </c>
      <c r="F53" s="139"/>
      <c r="G53" s="139"/>
      <c r="H53" s="139"/>
      <c r="I53" s="139"/>
    </row>
    <row r="54" spans="2:9" s="130" customFormat="1" x14ac:dyDescent="0.2">
      <c r="B54" s="246" t="s">
        <v>250</v>
      </c>
      <c r="C54" s="246"/>
      <c r="D54" s="140">
        <v>26</v>
      </c>
      <c r="E54" s="141" t="s">
        <v>251</v>
      </c>
      <c r="F54" s="139"/>
      <c r="G54" s="139"/>
      <c r="H54" s="139"/>
      <c r="I54" s="139"/>
    </row>
    <row r="55" spans="2:9" s="130" customFormat="1" x14ac:dyDescent="0.2">
      <c r="B55" s="246" t="s">
        <v>252</v>
      </c>
      <c r="C55" s="246"/>
      <c r="D55" s="140">
        <v>48</v>
      </c>
      <c r="E55" s="141" t="s">
        <v>253</v>
      </c>
      <c r="F55" s="139"/>
      <c r="G55" s="139"/>
      <c r="H55" s="139"/>
      <c r="I55" s="139"/>
    </row>
    <row r="56" spans="2:9" s="130" customFormat="1" x14ac:dyDescent="0.2">
      <c r="B56" s="246" t="s">
        <v>254</v>
      </c>
      <c r="C56" s="246"/>
      <c r="D56" s="140">
        <v>48</v>
      </c>
      <c r="E56" s="141" t="s">
        <v>255</v>
      </c>
      <c r="F56" s="139"/>
      <c r="G56" s="139"/>
      <c r="H56" s="139"/>
      <c r="I56" s="139"/>
    </row>
    <row r="57" spans="2:9" s="130" customFormat="1" x14ac:dyDescent="0.2">
      <c r="B57" s="246" t="s">
        <v>256</v>
      </c>
      <c r="C57" s="246"/>
      <c r="D57" s="140">
        <v>84</v>
      </c>
      <c r="E57" s="141" t="s">
        <v>257</v>
      </c>
      <c r="F57" s="139"/>
      <c r="G57" s="139"/>
      <c r="H57" s="139"/>
      <c r="I57" s="139"/>
    </row>
    <row r="58" spans="2:9" s="130" customFormat="1" x14ac:dyDescent="0.2">
      <c r="B58" s="246" t="s">
        <v>321</v>
      </c>
      <c r="C58" s="246"/>
      <c r="D58" s="140">
        <v>72</v>
      </c>
      <c r="E58" s="141" t="s">
        <v>258</v>
      </c>
      <c r="F58" s="139"/>
      <c r="G58" s="139"/>
      <c r="H58" s="139"/>
      <c r="I58" s="139"/>
    </row>
    <row r="59" spans="2:9" s="130" customFormat="1" x14ac:dyDescent="0.2">
      <c r="B59" s="246" t="s">
        <v>259</v>
      </c>
      <c r="C59" s="246"/>
      <c r="D59" s="140">
        <v>36</v>
      </c>
      <c r="E59" s="141" t="s">
        <v>260</v>
      </c>
      <c r="F59" s="139"/>
      <c r="G59" s="139"/>
      <c r="H59" s="139"/>
      <c r="I59" s="139"/>
    </row>
    <row r="60" spans="2:9" s="130" customFormat="1" x14ac:dyDescent="0.2">
      <c r="B60" s="246" t="s">
        <v>261</v>
      </c>
      <c r="C60" s="246"/>
      <c r="D60" s="140">
        <v>96</v>
      </c>
      <c r="E60" s="141" t="s">
        <v>262</v>
      </c>
      <c r="F60" s="139"/>
      <c r="G60" s="139"/>
      <c r="H60" s="139"/>
      <c r="I60" s="139"/>
    </row>
    <row r="61" spans="2:9" s="130" customFormat="1" x14ac:dyDescent="0.2">
      <c r="B61" s="246" t="s">
        <v>322</v>
      </c>
      <c r="C61" s="246"/>
      <c r="D61" s="140">
        <v>96</v>
      </c>
      <c r="E61" s="141" t="s">
        <v>263</v>
      </c>
      <c r="F61" s="139"/>
      <c r="G61" s="139"/>
      <c r="H61" s="139"/>
      <c r="I61" s="139"/>
    </row>
    <row r="62" spans="2:9" s="130" customFormat="1" x14ac:dyDescent="0.2">
      <c r="B62" s="246" t="s">
        <v>264</v>
      </c>
      <c r="C62" s="246"/>
      <c r="D62" s="140">
        <v>36</v>
      </c>
      <c r="E62" s="141" t="s">
        <v>265</v>
      </c>
      <c r="F62" s="139"/>
      <c r="G62" s="139"/>
      <c r="H62" s="139"/>
      <c r="I62" s="139"/>
    </row>
    <row r="63" spans="2:9" s="130" customFormat="1" x14ac:dyDescent="0.2">
      <c r="B63" s="246" t="s">
        <v>266</v>
      </c>
      <c r="C63" s="246"/>
      <c r="D63" s="140">
        <v>60</v>
      </c>
      <c r="E63" s="141" t="s">
        <v>267</v>
      </c>
      <c r="F63" s="139"/>
      <c r="G63" s="139"/>
      <c r="H63" s="139"/>
      <c r="I63" s="139"/>
    </row>
    <row r="64" spans="2:9" s="130" customFormat="1" x14ac:dyDescent="0.2">
      <c r="B64" s="246" t="s">
        <v>268</v>
      </c>
      <c r="C64" s="246"/>
      <c r="D64" s="140">
        <v>60</v>
      </c>
      <c r="E64" s="141" t="s">
        <v>269</v>
      </c>
      <c r="F64" s="139"/>
      <c r="G64" s="139"/>
      <c r="H64" s="139"/>
      <c r="I64" s="139"/>
    </row>
    <row r="65" spans="2:9" s="130" customFormat="1" x14ac:dyDescent="0.2">
      <c r="B65" s="246" t="s">
        <v>270</v>
      </c>
      <c r="C65" s="246"/>
      <c r="D65" s="140">
        <v>48</v>
      </c>
      <c r="E65" s="141" t="s">
        <v>271</v>
      </c>
      <c r="F65" s="139"/>
      <c r="G65" s="139"/>
      <c r="H65" s="139"/>
      <c r="I65" s="139"/>
    </row>
    <row r="66" spans="2:9" s="130" customFormat="1" x14ac:dyDescent="0.2">
      <c r="B66" s="246" t="s">
        <v>272</v>
      </c>
      <c r="C66" s="246"/>
      <c r="D66" s="140">
        <v>60</v>
      </c>
      <c r="E66" s="141" t="s">
        <v>273</v>
      </c>
      <c r="F66" s="139"/>
      <c r="G66" s="139"/>
      <c r="H66" s="139"/>
      <c r="I66" s="139"/>
    </row>
    <row r="67" spans="2:9" s="130" customFormat="1" x14ac:dyDescent="0.2">
      <c r="B67" s="246" t="s">
        <v>274</v>
      </c>
      <c r="C67" s="246"/>
      <c r="D67" s="140">
        <v>60</v>
      </c>
      <c r="E67" s="141" t="s">
        <v>275</v>
      </c>
      <c r="F67" s="139"/>
      <c r="G67" s="139"/>
      <c r="H67" s="139"/>
      <c r="I67" s="139"/>
    </row>
    <row r="68" spans="2:9" s="130" customFormat="1" ht="13.5" thickBot="1" x14ac:dyDescent="0.25">
      <c r="B68" s="252" t="s">
        <v>323</v>
      </c>
      <c r="C68" s="252"/>
      <c r="D68" s="142">
        <v>96</v>
      </c>
      <c r="E68" s="143" t="s">
        <v>324</v>
      </c>
      <c r="F68" s="139"/>
      <c r="G68" s="139"/>
      <c r="H68" s="139"/>
      <c r="I68" s="139"/>
    </row>
    <row r="69" spans="2:9" ht="25.5" customHeight="1" thickBot="1" x14ac:dyDescent="0.25">
      <c r="B69" s="243" t="s">
        <v>325</v>
      </c>
      <c r="C69" s="244"/>
      <c r="D69" s="244"/>
      <c r="E69" s="245"/>
      <c r="F69" s="125"/>
      <c r="G69" s="125"/>
      <c r="H69" s="125"/>
      <c r="I69" s="125"/>
    </row>
    <row r="70" spans="2:9" x14ac:dyDescent="0.2">
      <c r="B70" s="33" t="s">
        <v>18</v>
      </c>
      <c r="C70" s="31"/>
      <c r="D70" s="72"/>
      <c r="E70" s="32"/>
      <c r="F70" s="125"/>
      <c r="G70" s="125"/>
      <c r="H70" s="125"/>
      <c r="I70" s="125"/>
    </row>
    <row r="71" spans="2:9" x14ac:dyDescent="0.2">
      <c r="B71" s="34"/>
      <c r="C71" s="199" t="s">
        <v>64</v>
      </c>
      <c r="D71" s="199"/>
      <c r="E71" s="199"/>
      <c r="F71" s="125"/>
      <c r="G71" s="125"/>
      <c r="H71" s="125"/>
      <c r="I71" s="125"/>
    </row>
    <row r="72" spans="2:9" x14ac:dyDescent="0.2">
      <c r="B72" s="33" t="s">
        <v>19</v>
      </c>
      <c r="C72" s="35"/>
      <c r="D72" s="35"/>
      <c r="E72" s="36"/>
      <c r="F72" s="125"/>
      <c r="G72" s="125"/>
      <c r="H72" s="125"/>
      <c r="I72" s="125"/>
    </row>
    <row r="73" spans="2:9" x14ac:dyDescent="0.2">
      <c r="B73" s="34"/>
      <c r="C73" s="199" t="s">
        <v>141</v>
      </c>
      <c r="D73" s="199"/>
      <c r="E73" s="199"/>
      <c r="F73" s="125"/>
      <c r="G73" s="125"/>
      <c r="H73" s="125"/>
      <c r="I73" s="125"/>
    </row>
    <row r="74" spans="2:9" x14ac:dyDescent="0.2">
      <c r="B74" s="33" t="s">
        <v>20</v>
      </c>
      <c r="C74" s="31"/>
      <c r="D74" s="72"/>
      <c r="E74" s="32"/>
      <c r="F74" s="125"/>
      <c r="G74" s="125"/>
      <c r="H74" s="125"/>
      <c r="I74" s="125"/>
    </row>
    <row r="75" spans="2:9" x14ac:dyDescent="0.2">
      <c r="B75" s="33"/>
      <c r="C75" s="198" t="s">
        <v>65</v>
      </c>
      <c r="D75" s="198"/>
      <c r="E75" s="198"/>
      <c r="F75" s="125"/>
      <c r="G75" s="125"/>
      <c r="H75" s="125"/>
      <c r="I75" s="125"/>
    </row>
    <row r="76" spans="2:9" ht="13.5" thickBot="1" x14ac:dyDescent="0.25">
      <c r="B76" s="37"/>
      <c r="C76" s="38"/>
      <c r="D76" s="73"/>
      <c r="E76" s="39"/>
      <c r="F76" s="125"/>
      <c r="G76" s="125"/>
      <c r="H76" s="125"/>
      <c r="I76" s="125"/>
    </row>
    <row r="77" spans="2:9" ht="13.5" thickBot="1" x14ac:dyDescent="0.25">
      <c r="F77" s="125"/>
      <c r="G77" s="125"/>
      <c r="H77" s="125"/>
      <c r="I77" s="125"/>
    </row>
    <row r="78" spans="2:9" x14ac:dyDescent="0.2">
      <c r="B78" s="27" t="s">
        <v>21</v>
      </c>
      <c r="C78" s="28"/>
      <c r="D78" s="71"/>
      <c r="E78" s="29"/>
      <c r="F78" s="125"/>
      <c r="G78" s="125"/>
      <c r="H78" s="125"/>
      <c r="I78" s="125"/>
    </row>
    <row r="79" spans="2:9" x14ac:dyDescent="0.2">
      <c r="B79" s="30"/>
      <c r="C79" s="31"/>
      <c r="D79" s="72"/>
      <c r="E79" s="32"/>
      <c r="F79" s="125"/>
      <c r="G79" s="125"/>
      <c r="H79" s="125"/>
      <c r="I79" s="125"/>
    </row>
    <row r="80" spans="2:9" x14ac:dyDescent="0.2">
      <c r="B80" s="33" t="s">
        <v>16</v>
      </c>
      <c r="C80" s="31"/>
      <c r="D80" s="72"/>
      <c r="E80" s="32"/>
      <c r="F80" s="125"/>
      <c r="G80" s="125"/>
      <c r="H80" s="125"/>
      <c r="I80" s="125"/>
    </row>
    <row r="81" spans="2:9" x14ac:dyDescent="0.2">
      <c r="B81" s="33"/>
      <c r="C81" s="199"/>
      <c r="D81" s="199"/>
      <c r="E81" s="199"/>
      <c r="F81" s="125"/>
      <c r="G81" s="125"/>
      <c r="H81" s="125"/>
      <c r="I81" s="125"/>
    </row>
    <row r="82" spans="2:9" ht="13.5" thickBot="1" x14ac:dyDescent="0.25">
      <c r="B82" s="33" t="s">
        <v>17</v>
      </c>
      <c r="C82" s="31"/>
      <c r="D82" s="72"/>
      <c r="E82" s="32"/>
      <c r="F82" s="125"/>
      <c r="G82" s="125"/>
      <c r="H82" s="125"/>
      <c r="I82" s="125"/>
    </row>
    <row r="83" spans="2:9" ht="13.5" thickBot="1" x14ac:dyDescent="0.25">
      <c r="B83" s="185" t="s">
        <v>138</v>
      </c>
      <c r="C83" s="186"/>
      <c r="D83" s="186"/>
      <c r="E83" s="187"/>
      <c r="F83" s="125"/>
      <c r="G83" s="125"/>
      <c r="H83" s="125"/>
      <c r="I83" s="125"/>
    </row>
    <row r="84" spans="2:9" ht="13.5" thickBot="1" x14ac:dyDescent="0.25">
      <c r="B84" s="185" t="s">
        <v>139</v>
      </c>
      <c r="C84" s="187"/>
      <c r="D84" s="69" t="s">
        <v>11</v>
      </c>
      <c r="E84" s="69" t="s">
        <v>140</v>
      </c>
      <c r="F84" s="125"/>
      <c r="G84" s="125"/>
      <c r="H84" s="125"/>
      <c r="I84" s="125"/>
    </row>
    <row r="85" spans="2:9" s="130" customFormat="1" x14ac:dyDescent="0.2">
      <c r="B85" s="247" t="s">
        <v>317</v>
      </c>
      <c r="C85" s="247"/>
      <c r="D85" s="137">
        <v>19</v>
      </c>
      <c r="E85" s="138" t="s">
        <v>316</v>
      </c>
      <c r="F85" s="139">
        <f>SUM(D85:D104)</f>
        <v>660</v>
      </c>
      <c r="G85" s="139">
        <f>F85*$G$48</f>
        <v>2640</v>
      </c>
      <c r="H85" s="139">
        <f>G85*$H$48</f>
        <v>7920</v>
      </c>
      <c r="I85" s="139"/>
    </row>
    <row r="86" spans="2:9" s="130" customFormat="1" x14ac:dyDescent="0.2">
      <c r="B86" s="246" t="s">
        <v>318</v>
      </c>
      <c r="C86" s="246"/>
      <c r="D86" s="140">
        <v>42</v>
      </c>
      <c r="E86" s="141" t="s">
        <v>247</v>
      </c>
      <c r="F86" s="139"/>
      <c r="G86" s="139"/>
      <c r="H86" s="139"/>
      <c r="I86" s="139"/>
    </row>
    <row r="87" spans="2:9" s="130" customFormat="1" x14ac:dyDescent="0.2">
      <c r="B87" s="246" t="s">
        <v>320</v>
      </c>
      <c r="C87" s="246"/>
      <c r="D87" s="140">
        <v>48</v>
      </c>
      <c r="E87" s="141" t="s">
        <v>248</v>
      </c>
      <c r="F87" s="139"/>
      <c r="G87" s="139"/>
      <c r="H87" s="139"/>
      <c r="I87" s="139"/>
    </row>
    <row r="88" spans="2:9" s="130" customFormat="1" x14ac:dyDescent="0.2">
      <c r="B88" s="246" t="s">
        <v>319</v>
      </c>
      <c r="C88" s="246"/>
      <c r="D88" s="140">
        <v>42</v>
      </c>
      <c r="E88" s="141" t="s">
        <v>249</v>
      </c>
      <c r="F88" s="139"/>
      <c r="G88" s="139"/>
      <c r="H88" s="139"/>
      <c r="I88" s="139"/>
    </row>
    <row r="89" spans="2:9" s="130" customFormat="1" x14ac:dyDescent="0.2">
      <c r="B89" s="246" t="s">
        <v>314</v>
      </c>
      <c r="C89" s="246"/>
      <c r="D89" s="140">
        <v>46</v>
      </c>
      <c r="E89" s="141" t="s">
        <v>315</v>
      </c>
      <c r="F89" s="139"/>
      <c r="G89" s="139"/>
      <c r="H89" s="139"/>
      <c r="I89" s="139"/>
    </row>
    <row r="90" spans="2:9" s="130" customFormat="1" x14ac:dyDescent="0.2">
      <c r="B90" s="246" t="s">
        <v>250</v>
      </c>
      <c r="C90" s="246"/>
      <c r="D90" s="140">
        <v>13</v>
      </c>
      <c r="E90" s="141" t="s">
        <v>251</v>
      </c>
      <c r="F90" s="139"/>
      <c r="G90" s="139"/>
      <c r="H90" s="139"/>
      <c r="I90" s="139"/>
    </row>
    <row r="91" spans="2:9" s="130" customFormat="1" x14ac:dyDescent="0.2">
      <c r="B91" s="246" t="s">
        <v>252</v>
      </c>
      <c r="C91" s="246"/>
      <c r="D91" s="140">
        <v>24</v>
      </c>
      <c r="E91" s="141" t="s">
        <v>253</v>
      </c>
      <c r="F91" s="139"/>
      <c r="G91" s="139"/>
      <c r="H91" s="139"/>
      <c r="I91" s="139"/>
    </row>
    <row r="92" spans="2:9" s="130" customFormat="1" x14ac:dyDescent="0.2">
      <c r="B92" s="246" t="s">
        <v>254</v>
      </c>
      <c r="C92" s="246"/>
      <c r="D92" s="140">
        <v>24</v>
      </c>
      <c r="E92" s="141" t="s">
        <v>255</v>
      </c>
      <c r="F92" s="139"/>
      <c r="G92" s="139"/>
      <c r="H92" s="139"/>
      <c r="I92" s="139"/>
    </row>
    <row r="93" spans="2:9" s="130" customFormat="1" x14ac:dyDescent="0.2">
      <c r="B93" s="246" t="s">
        <v>256</v>
      </c>
      <c r="C93" s="246"/>
      <c r="D93" s="140">
        <v>42</v>
      </c>
      <c r="E93" s="141" t="s">
        <v>257</v>
      </c>
      <c r="F93" s="139"/>
      <c r="G93" s="139"/>
      <c r="H93" s="139"/>
      <c r="I93" s="139"/>
    </row>
    <row r="94" spans="2:9" s="130" customFormat="1" x14ac:dyDescent="0.2">
      <c r="B94" s="246" t="s">
        <v>321</v>
      </c>
      <c r="C94" s="246"/>
      <c r="D94" s="140">
        <v>36</v>
      </c>
      <c r="E94" s="141" t="s">
        <v>258</v>
      </c>
      <c r="F94" s="139"/>
      <c r="G94" s="139"/>
      <c r="H94" s="139"/>
      <c r="I94" s="139"/>
    </row>
    <row r="95" spans="2:9" s="130" customFormat="1" x14ac:dyDescent="0.2">
      <c r="B95" s="246" t="s">
        <v>259</v>
      </c>
      <c r="C95" s="246"/>
      <c r="D95" s="140">
        <v>18</v>
      </c>
      <c r="E95" s="141" t="s">
        <v>260</v>
      </c>
      <c r="F95" s="139"/>
      <c r="G95" s="139"/>
      <c r="H95" s="139"/>
      <c r="I95" s="139"/>
    </row>
    <row r="96" spans="2:9" s="130" customFormat="1" x14ac:dyDescent="0.2">
      <c r="B96" s="246" t="s">
        <v>261</v>
      </c>
      <c r="C96" s="246"/>
      <c r="D96" s="140">
        <v>48</v>
      </c>
      <c r="E96" s="141" t="s">
        <v>262</v>
      </c>
      <c r="F96" s="139"/>
      <c r="G96" s="139"/>
      <c r="H96" s="139"/>
      <c r="I96" s="139"/>
    </row>
    <row r="97" spans="2:9" s="130" customFormat="1" x14ac:dyDescent="0.2">
      <c r="B97" s="246" t="s">
        <v>322</v>
      </c>
      <c r="C97" s="246"/>
      <c r="D97" s="140">
        <v>48</v>
      </c>
      <c r="E97" s="141" t="s">
        <v>263</v>
      </c>
      <c r="F97" s="139"/>
      <c r="G97" s="139"/>
      <c r="H97" s="139"/>
      <c r="I97" s="139"/>
    </row>
    <row r="98" spans="2:9" s="130" customFormat="1" x14ac:dyDescent="0.2">
      <c r="B98" s="246" t="s">
        <v>264</v>
      </c>
      <c r="C98" s="246"/>
      <c r="D98" s="140">
        <v>18</v>
      </c>
      <c r="E98" s="141" t="s">
        <v>265</v>
      </c>
      <c r="F98" s="139"/>
      <c r="G98" s="139"/>
      <c r="H98" s="139"/>
      <c r="I98" s="139"/>
    </row>
    <row r="99" spans="2:9" s="130" customFormat="1" x14ac:dyDescent="0.2">
      <c r="B99" s="246" t="s">
        <v>266</v>
      </c>
      <c r="C99" s="246"/>
      <c r="D99" s="140">
        <v>30</v>
      </c>
      <c r="E99" s="141" t="s">
        <v>267</v>
      </c>
      <c r="F99" s="139"/>
      <c r="G99" s="139"/>
      <c r="H99" s="139"/>
      <c r="I99" s="139"/>
    </row>
    <row r="100" spans="2:9" s="130" customFormat="1" x14ac:dyDescent="0.2">
      <c r="B100" s="246" t="s">
        <v>268</v>
      </c>
      <c r="C100" s="246"/>
      <c r="D100" s="140">
        <v>30</v>
      </c>
      <c r="E100" s="141" t="s">
        <v>269</v>
      </c>
      <c r="F100" s="139"/>
      <c r="G100" s="139"/>
      <c r="H100" s="139"/>
      <c r="I100" s="139"/>
    </row>
    <row r="101" spans="2:9" s="130" customFormat="1" x14ac:dyDescent="0.2">
      <c r="B101" s="246" t="s">
        <v>270</v>
      </c>
      <c r="C101" s="246"/>
      <c r="D101" s="140">
        <v>24</v>
      </c>
      <c r="E101" s="141" t="s">
        <v>271</v>
      </c>
      <c r="F101" s="139"/>
      <c r="G101" s="139"/>
      <c r="H101" s="139"/>
      <c r="I101" s="139"/>
    </row>
    <row r="102" spans="2:9" s="130" customFormat="1" x14ac:dyDescent="0.2">
      <c r="B102" s="246" t="s">
        <v>272</v>
      </c>
      <c r="C102" s="246"/>
      <c r="D102" s="140">
        <v>30</v>
      </c>
      <c r="E102" s="141" t="s">
        <v>273</v>
      </c>
      <c r="F102" s="139"/>
      <c r="G102" s="139"/>
      <c r="H102" s="139"/>
      <c r="I102" s="139"/>
    </row>
    <row r="103" spans="2:9" s="130" customFormat="1" x14ac:dyDescent="0.2">
      <c r="B103" s="246" t="s">
        <v>274</v>
      </c>
      <c r="C103" s="246"/>
      <c r="D103" s="140">
        <v>30</v>
      </c>
      <c r="E103" s="141" t="s">
        <v>275</v>
      </c>
      <c r="F103" s="139"/>
      <c r="G103" s="139"/>
      <c r="H103" s="139"/>
      <c r="I103" s="139"/>
    </row>
    <row r="104" spans="2:9" s="130" customFormat="1" ht="13.5" thickBot="1" x14ac:dyDescent="0.25">
      <c r="B104" s="252" t="s">
        <v>323</v>
      </c>
      <c r="C104" s="252"/>
      <c r="D104" s="142">
        <v>48</v>
      </c>
      <c r="E104" s="143" t="s">
        <v>324</v>
      </c>
      <c r="F104" s="139"/>
      <c r="G104" s="139"/>
      <c r="H104" s="139"/>
      <c r="I104" s="139"/>
    </row>
    <row r="105" spans="2:9" ht="25.5" customHeight="1" thickBot="1" x14ac:dyDescent="0.25">
      <c r="B105" s="243" t="s">
        <v>326</v>
      </c>
      <c r="C105" s="244"/>
      <c r="D105" s="244"/>
      <c r="E105" s="245"/>
      <c r="F105" s="125"/>
      <c r="G105" s="125"/>
      <c r="H105" s="125"/>
      <c r="I105" s="125"/>
    </row>
    <row r="106" spans="2:9" x14ac:dyDescent="0.2">
      <c r="B106" s="33" t="s">
        <v>18</v>
      </c>
      <c r="C106" s="31"/>
      <c r="D106" s="72"/>
      <c r="E106" s="32"/>
      <c r="F106" s="125"/>
      <c r="G106" s="125"/>
      <c r="H106" s="125"/>
      <c r="I106" s="125"/>
    </row>
    <row r="107" spans="2:9" x14ac:dyDescent="0.2">
      <c r="B107" s="34"/>
      <c r="C107" s="199" t="s">
        <v>64</v>
      </c>
      <c r="D107" s="199"/>
      <c r="E107" s="199"/>
      <c r="F107" s="125"/>
      <c r="G107" s="125"/>
      <c r="H107" s="125"/>
      <c r="I107" s="125"/>
    </row>
    <row r="108" spans="2:9" x14ac:dyDescent="0.2">
      <c r="B108" s="33" t="s">
        <v>19</v>
      </c>
      <c r="C108" s="35"/>
      <c r="D108" s="35"/>
      <c r="E108" s="36"/>
      <c r="F108" s="125"/>
      <c r="G108" s="125"/>
      <c r="H108" s="125"/>
      <c r="I108" s="125"/>
    </row>
    <row r="109" spans="2:9" x14ac:dyDescent="0.2">
      <c r="B109" s="34"/>
      <c r="C109" s="199" t="s">
        <v>141</v>
      </c>
      <c r="D109" s="199"/>
      <c r="E109" s="199"/>
      <c r="F109" s="125"/>
      <c r="G109" s="125"/>
      <c r="H109" s="125"/>
      <c r="I109" s="125"/>
    </row>
    <row r="110" spans="2:9" x14ac:dyDescent="0.2">
      <c r="B110" s="33" t="s">
        <v>20</v>
      </c>
      <c r="C110" s="31"/>
      <c r="D110" s="72"/>
      <c r="E110" s="32"/>
      <c r="F110" s="125"/>
      <c r="G110" s="125"/>
      <c r="H110" s="125"/>
      <c r="I110" s="125"/>
    </row>
    <row r="111" spans="2:9" x14ac:dyDescent="0.2">
      <c r="B111" s="33"/>
      <c r="C111" s="198" t="s">
        <v>65</v>
      </c>
      <c r="D111" s="198"/>
      <c r="E111" s="198"/>
      <c r="F111" s="125"/>
      <c r="G111" s="125"/>
      <c r="H111" s="125"/>
      <c r="I111" s="125"/>
    </row>
    <row r="112" spans="2:9" ht="13.5" thickBot="1" x14ac:dyDescent="0.25">
      <c r="B112" s="37"/>
      <c r="C112" s="38"/>
      <c r="D112" s="73"/>
      <c r="E112" s="39"/>
      <c r="F112" s="125"/>
      <c r="G112" s="125"/>
      <c r="H112" s="125"/>
      <c r="I112" s="125"/>
    </row>
    <row r="113" spans="2:9" ht="13.5" thickBot="1" x14ac:dyDescent="0.25">
      <c r="F113" s="125"/>
      <c r="G113" s="125"/>
      <c r="H113" s="125"/>
      <c r="I113" s="125"/>
    </row>
    <row r="114" spans="2:9" x14ac:dyDescent="0.2">
      <c r="B114" s="27" t="s">
        <v>66</v>
      </c>
      <c r="C114" s="28"/>
      <c r="D114" s="71"/>
      <c r="E114" s="29"/>
      <c r="F114" s="125"/>
      <c r="G114" s="125"/>
      <c r="H114" s="125"/>
      <c r="I114" s="125"/>
    </row>
    <row r="115" spans="2:9" x14ac:dyDescent="0.2">
      <c r="B115" s="30"/>
      <c r="C115" s="31"/>
      <c r="D115" s="72"/>
      <c r="E115" s="32"/>
      <c r="F115" s="125"/>
      <c r="G115" s="125"/>
      <c r="H115" s="125"/>
      <c r="I115" s="125"/>
    </row>
    <row r="116" spans="2:9" x14ac:dyDescent="0.2">
      <c r="B116" s="33" t="s">
        <v>16</v>
      </c>
      <c r="C116" s="31"/>
      <c r="D116" s="72"/>
      <c r="E116" s="32"/>
      <c r="F116" s="125"/>
      <c r="G116" s="125"/>
      <c r="H116" s="125"/>
      <c r="I116" s="125"/>
    </row>
    <row r="117" spans="2:9" x14ac:dyDescent="0.2">
      <c r="B117" s="33"/>
      <c r="C117" s="189"/>
      <c r="D117" s="189"/>
      <c r="E117" s="190"/>
      <c r="F117" s="125"/>
      <c r="G117" s="125"/>
      <c r="H117" s="125"/>
      <c r="I117" s="125"/>
    </row>
    <row r="118" spans="2:9" ht="13.5" thickBot="1" x14ac:dyDescent="0.25">
      <c r="B118" s="33" t="s">
        <v>17</v>
      </c>
      <c r="C118" s="31"/>
      <c r="D118" s="72"/>
      <c r="E118" s="32"/>
      <c r="F118" s="125"/>
      <c r="G118" s="125"/>
      <c r="H118" s="125"/>
      <c r="I118" s="125"/>
    </row>
    <row r="119" spans="2:9" ht="13.5" thickBot="1" x14ac:dyDescent="0.25">
      <c r="B119" s="185" t="s">
        <v>138</v>
      </c>
      <c r="C119" s="186"/>
      <c r="D119" s="186"/>
      <c r="E119" s="187"/>
      <c r="F119" s="125"/>
      <c r="G119" s="125"/>
      <c r="H119" s="125"/>
      <c r="I119" s="125"/>
    </row>
    <row r="120" spans="2:9" ht="13.5" thickBot="1" x14ac:dyDescent="0.25">
      <c r="B120" s="185" t="s">
        <v>139</v>
      </c>
      <c r="C120" s="187"/>
      <c r="D120" s="69" t="s">
        <v>11</v>
      </c>
      <c r="E120" s="69" t="s">
        <v>140</v>
      </c>
      <c r="F120" s="125"/>
      <c r="G120" s="125"/>
      <c r="H120" s="125"/>
      <c r="I120" s="125"/>
    </row>
    <row r="121" spans="2:9" s="130" customFormat="1" x14ac:dyDescent="0.2">
      <c r="B121" s="247" t="s">
        <v>317</v>
      </c>
      <c r="C121" s="247"/>
      <c r="D121" s="137" t="s">
        <v>204</v>
      </c>
      <c r="E121" s="138" t="s">
        <v>316</v>
      </c>
      <c r="F121" s="139">
        <f>SUM(D121:D140)</f>
        <v>0</v>
      </c>
      <c r="G121" s="139">
        <f>F121*$G$48</f>
        <v>0</v>
      </c>
      <c r="H121" s="139">
        <f>G121*$H$48</f>
        <v>0</v>
      </c>
      <c r="I121" s="139"/>
    </row>
    <row r="122" spans="2:9" s="130" customFormat="1" x14ac:dyDescent="0.2">
      <c r="B122" s="246" t="s">
        <v>318</v>
      </c>
      <c r="C122" s="246"/>
      <c r="D122" s="140" t="s">
        <v>171</v>
      </c>
      <c r="E122" s="141" t="s">
        <v>247</v>
      </c>
      <c r="F122" s="139"/>
      <c r="G122" s="139"/>
      <c r="H122" s="139"/>
      <c r="I122" s="139"/>
    </row>
    <row r="123" spans="2:9" s="130" customFormat="1" x14ac:dyDescent="0.2">
      <c r="B123" s="246" t="s">
        <v>320</v>
      </c>
      <c r="C123" s="246"/>
      <c r="D123" s="140" t="s">
        <v>194</v>
      </c>
      <c r="E123" s="141" t="s">
        <v>248</v>
      </c>
      <c r="F123" s="139"/>
      <c r="G123" s="139"/>
      <c r="H123" s="139"/>
      <c r="I123" s="139"/>
    </row>
    <row r="124" spans="2:9" s="130" customFormat="1" x14ac:dyDescent="0.2">
      <c r="B124" s="246" t="s">
        <v>319</v>
      </c>
      <c r="C124" s="246"/>
      <c r="D124" s="140" t="s">
        <v>171</v>
      </c>
      <c r="E124" s="141" t="s">
        <v>249</v>
      </c>
      <c r="F124" s="139"/>
      <c r="G124" s="139"/>
      <c r="H124" s="139"/>
      <c r="I124" s="139"/>
    </row>
    <row r="125" spans="2:9" s="130" customFormat="1" x14ac:dyDescent="0.2">
      <c r="B125" s="246" t="s">
        <v>314</v>
      </c>
      <c r="C125" s="246"/>
      <c r="D125" s="140" t="s">
        <v>179</v>
      </c>
      <c r="E125" s="141" t="s">
        <v>315</v>
      </c>
      <c r="F125" s="139"/>
      <c r="G125" s="139"/>
      <c r="H125" s="139"/>
      <c r="I125" s="139"/>
    </row>
    <row r="126" spans="2:9" s="130" customFormat="1" x14ac:dyDescent="0.2">
      <c r="B126" s="246" t="s">
        <v>250</v>
      </c>
      <c r="C126" s="246"/>
      <c r="D126" s="140" t="s">
        <v>183</v>
      </c>
      <c r="E126" s="141" t="s">
        <v>251</v>
      </c>
      <c r="F126" s="139"/>
      <c r="G126" s="139"/>
      <c r="H126" s="139"/>
      <c r="I126" s="139"/>
    </row>
    <row r="127" spans="2:9" s="130" customFormat="1" x14ac:dyDescent="0.2">
      <c r="B127" s="246" t="s">
        <v>252</v>
      </c>
      <c r="C127" s="246"/>
      <c r="D127" s="140" t="s">
        <v>175</v>
      </c>
      <c r="E127" s="141" t="s">
        <v>253</v>
      </c>
      <c r="F127" s="139"/>
      <c r="G127" s="139"/>
      <c r="H127" s="139"/>
      <c r="I127" s="139"/>
    </row>
    <row r="128" spans="2:9" s="130" customFormat="1" x14ac:dyDescent="0.2">
      <c r="B128" s="246" t="s">
        <v>254</v>
      </c>
      <c r="C128" s="246"/>
      <c r="D128" s="140" t="s">
        <v>175</v>
      </c>
      <c r="E128" s="141" t="s">
        <v>255</v>
      </c>
      <c r="F128" s="139"/>
      <c r="G128" s="139"/>
      <c r="H128" s="139"/>
      <c r="I128" s="139"/>
    </row>
    <row r="129" spans="2:9" s="130" customFormat="1" x14ac:dyDescent="0.2">
      <c r="B129" s="246" t="s">
        <v>256</v>
      </c>
      <c r="C129" s="246"/>
      <c r="D129" s="140" t="s">
        <v>171</v>
      </c>
      <c r="E129" s="141" t="s">
        <v>257</v>
      </c>
      <c r="F129" s="139"/>
      <c r="G129" s="139"/>
      <c r="H129" s="139"/>
      <c r="I129" s="139"/>
    </row>
    <row r="130" spans="2:9" s="130" customFormat="1" x14ac:dyDescent="0.2">
      <c r="B130" s="246" t="s">
        <v>321</v>
      </c>
      <c r="C130" s="246"/>
      <c r="D130" s="140" t="s">
        <v>176</v>
      </c>
      <c r="E130" s="141" t="s">
        <v>258</v>
      </c>
      <c r="F130" s="139"/>
      <c r="G130" s="139"/>
      <c r="H130" s="139"/>
      <c r="I130" s="139"/>
    </row>
    <row r="131" spans="2:9" s="130" customFormat="1" x14ac:dyDescent="0.2">
      <c r="B131" s="246" t="s">
        <v>259</v>
      </c>
      <c r="C131" s="246"/>
      <c r="D131" s="140" t="s">
        <v>174</v>
      </c>
      <c r="E131" s="141" t="s">
        <v>260</v>
      </c>
      <c r="F131" s="139"/>
      <c r="G131" s="139"/>
      <c r="H131" s="139"/>
      <c r="I131" s="139"/>
    </row>
    <row r="132" spans="2:9" s="130" customFormat="1" x14ac:dyDescent="0.2">
      <c r="B132" s="246" t="s">
        <v>261</v>
      </c>
      <c r="C132" s="246"/>
      <c r="D132" s="140" t="s">
        <v>194</v>
      </c>
      <c r="E132" s="141" t="s">
        <v>262</v>
      </c>
      <c r="F132" s="139"/>
      <c r="G132" s="139"/>
      <c r="H132" s="139"/>
      <c r="I132" s="139"/>
    </row>
    <row r="133" spans="2:9" s="130" customFormat="1" x14ac:dyDescent="0.2">
      <c r="B133" s="246" t="s">
        <v>322</v>
      </c>
      <c r="C133" s="246"/>
      <c r="D133" s="140" t="s">
        <v>194</v>
      </c>
      <c r="E133" s="141" t="s">
        <v>263</v>
      </c>
      <c r="F133" s="139"/>
      <c r="G133" s="139"/>
      <c r="H133" s="139"/>
      <c r="I133" s="139"/>
    </row>
    <row r="134" spans="2:9" s="130" customFormat="1" x14ac:dyDescent="0.2">
      <c r="B134" s="246" t="s">
        <v>264</v>
      </c>
      <c r="C134" s="246"/>
      <c r="D134" s="140" t="s">
        <v>174</v>
      </c>
      <c r="E134" s="141" t="s">
        <v>265</v>
      </c>
      <c r="F134" s="139"/>
      <c r="G134" s="139"/>
      <c r="H134" s="139"/>
      <c r="I134" s="139"/>
    </row>
    <row r="135" spans="2:9" s="130" customFormat="1" x14ac:dyDescent="0.2">
      <c r="B135" s="246" t="s">
        <v>266</v>
      </c>
      <c r="C135" s="246"/>
      <c r="D135" s="140" t="s">
        <v>182</v>
      </c>
      <c r="E135" s="141" t="s">
        <v>267</v>
      </c>
      <c r="F135" s="139"/>
      <c r="G135" s="139"/>
      <c r="H135" s="139"/>
      <c r="I135" s="139"/>
    </row>
    <row r="136" spans="2:9" s="130" customFormat="1" x14ac:dyDescent="0.2">
      <c r="B136" s="246" t="s">
        <v>268</v>
      </c>
      <c r="C136" s="246"/>
      <c r="D136" s="140" t="s">
        <v>182</v>
      </c>
      <c r="E136" s="141" t="s">
        <v>269</v>
      </c>
      <c r="F136" s="139"/>
      <c r="G136" s="139"/>
      <c r="H136" s="139"/>
      <c r="I136" s="139"/>
    </row>
    <row r="137" spans="2:9" s="130" customFormat="1" x14ac:dyDescent="0.2">
      <c r="B137" s="246" t="s">
        <v>270</v>
      </c>
      <c r="C137" s="246"/>
      <c r="D137" s="140" t="s">
        <v>175</v>
      </c>
      <c r="E137" s="141" t="s">
        <v>271</v>
      </c>
      <c r="F137" s="139"/>
      <c r="G137" s="139"/>
      <c r="H137" s="139"/>
      <c r="I137" s="139"/>
    </row>
    <row r="138" spans="2:9" s="130" customFormat="1" x14ac:dyDescent="0.2">
      <c r="B138" s="246" t="s">
        <v>272</v>
      </c>
      <c r="C138" s="246"/>
      <c r="D138" s="140" t="s">
        <v>182</v>
      </c>
      <c r="E138" s="141" t="s">
        <v>273</v>
      </c>
      <c r="F138" s="139"/>
      <c r="G138" s="139"/>
      <c r="H138" s="139"/>
      <c r="I138" s="139"/>
    </row>
    <row r="139" spans="2:9" s="130" customFormat="1" x14ac:dyDescent="0.2">
      <c r="B139" s="246" t="s">
        <v>274</v>
      </c>
      <c r="C139" s="246"/>
      <c r="D139" s="140" t="s">
        <v>182</v>
      </c>
      <c r="E139" s="141" t="s">
        <v>275</v>
      </c>
      <c r="F139" s="139"/>
      <c r="G139" s="139"/>
      <c r="H139" s="139"/>
      <c r="I139" s="139"/>
    </row>
    <row r="140" spans="2:9" s="130" customFormat="1" ht="13.5" thickBot="1" x14ac:dyDescent="0.25">
      <c r="B140" s="246" t="s">
        <v>323</v>
      </c>
      <c r="C140" s="246"/>
      <c r="D140" s="140" t="s">
        <v>194</v>
      </c>
      <c r="E140" s="141" t="s">
        <v>324</v>
      </c>
      <c r="F140" s="139"/>
      <c r="G140" s="139"/>
      <c r="H140" s="139"/>
      <c r="I140" s="139"/>
    </row>
    <row r="141" spans="2:9" ht="26.25" customHeight="1" thickBot="1" x14ac:dyDescent="0.25">
      <c r="B141" s="243" t="s">
        <v>327</v>
      </c>
      <c r="C141" s="244"/>
      <c r="D141" s="244"/>
      <c r="E141" s="245"/>
      <c r="F141" s="125"/>
      <c r="G141" s="125"/>
      <c r="H141" s="125"/>
      <c r="I141" s="125"/>
    </row>
    <row r="142" spans="2:9" x14ac:dyDescent="0.2">
      <c r="B142" s="33" t="s">
        <v>18</v>
      </c>
      <c r="C142" s="31"/>
      <c r="D142" s="72"/>
      <c r="E142" s="32"/>
      <c r="F142" s="125"/>
      <c r="G142" s="125"/>
      <c r="H142" s="125"/>
      <c r="I142" s="125"/>
    </row>
    <row r="143" spans="2:9" x14ac:dyDescent="0.2">
      <c r="B143" s="34"/>
      <c r="C143" s="199" t="s">
        <v>64</v>
      </c>
      <c r="D143" s="199"/>
      <c r="E143" s="199"/>
      <c r="F143" s="125"/>
      <c r="G143" s="125"/>
      <c r="H143" s="125"/>
      <c r="I143" s="125"/>
    </row>
    <row r="144" spans="2:9" x14ac:dyDescent="0.2">
      <c r="B144" s="33" t="s">
        <v>19</v>
      </c>
      <c r="C144" s="35"/>
      <c r="D144" s="35"/>
      <c r="E144" s="36"/>
      <c r="F144" s="125"/>
      <c r="G144" s="125"/>
      <c r="H144" s="125"/>
      <c r="I144" s="125"/>
    </row>
    <row r="145" spans="2:9" x14ac:dyDescent="0.2">
      <c r="B145" s="34"/>
      <c r="C145" s="199" t="s">
        <v>141</v>
      </c>
      <c r="D145" s="199"/>
      <c r="E145" s="199"/>
      <c r="F145" s="125"/>
      <c r="G145" s="125"/>
      <c r="H145" s="125"/>
      <c r="I145" s="125"/>
    </row>
    <row r="146" spans="2:9" x14ac:dyDescent="0.2">
      <c r="B146" s="33" t="s">
        <v>20</v>
      </c>
      <c r="C146" s="31"/>
      <c r="D146" s="72"/>
      <c r="E146" s="32"/>
      <c r="F146" s="125"/>
      <c r="G146" s="125"/>
      <c r="H146" s="125"/>
      <c r="I146" s="125"/>
    </row>
    <row r="147" spans="2:9" x14ac:dyDescent="0.2">
      <c r="B147" s="33"/>
      <c r="C147" s="198" t="s">
        <v>65</v>
      </c>
      <c r="D147" s="198"/>
      <c r="E147" s="198"/>
      <c r="F147" s="125"/>
      <c r="G147" s="125"/>
      <c r="H147" s="125"/>
      <c r="I147" s="125"/>
    </row>
    <row r="148" spans="2:9" ht="13.5" thickBot="1" x14ac:dyDescent="0.25">
      <c r="B148" s="37"/>
      <c r="C148" s="38"/>
      <c r="D148" s="73"/>
      <c r="E148" s="39"/>
      <c r="F148" s="125"/>
      <c r="G148" s="125"/>
      <c r="H148" s="125"/>
      <c r="I148" s="125"/>
    </row>
    <row r="149" spans="2:9" ht="13.5" thickBot="1" x14ac:dyDescent="0.25">
      <c r="F149" s="125"/>
      <c r="G149" s="125"/>
      <c r="H149" s="125"/>
      <c r="I149" s="125"/>
    </row>
    <row r="150" spans="2:9" x14ac:dyDescent="0.2">
      <c r="B150" s="27" t="s">
        <v>142</v>
      </c>
      <c r="C150" s="28"/>
      <c r="D150" s="71"/>
      <c r="E150" s="29"/>
      <c r="F150" s="125"/>
      <c r="G150" s="125"/>
      <c r="H150" s="125"/>
      <c r="I150" s="125"/>
    </row>
    <row r="151" spans="2:9" x14ac:dyDescent="0.2">
      <c r="B151" s="30"/>
      <c r="C151" s="31"/>
      <c r="D151" s="72"/>
      <c r="E151" s="32"/>
      <c r="F151" s="125"/>
      <c r="G151" s="125"/>
      <c r="H151" s="125"/>
      <c r="I151" s="125"/>
    </row>
    <row r="152" spans="2:9" x14ac:dyDescent="0.2">
      <c r="B152" s="33" t="s">
        <v>16</v>
      </c>
      <c r="C152" s="31"/>
      <c r="D152" s="72"/>
      <c r="E152" s="32"/>
      <c r="F152" s="125"/>
      <c r="G152" s="125"/>
      <c r="H152" s="125"/>
      <c r="I152" s="125"/>
    </row>
    <row r="153" spans="2:9" x14ac:dyDescent="0.2">
      <c r="B153" s="33"/>
      <c r="C153" s="189"/>
      <c r="D153" s="189"/>
      <c r="E153" s="190"/>
      <c r="F153" s="125"/>
      <c r="G153" s="125"/>
      <c r="H153" s="125"/>
      <c r="I153" s="125"/>
    </row>
    <row r="154" spans="2:9" ht="13.5" thickBot="1" x14ac:dyDescent="0.25">
      <c r="B154" s="33" t="s">
        <v>17</v>
      </c>
      <c r="C154" s="31"/>
      <c r="D154" s="72"/>
      <c r="E154" s="32"/>
      <c r="F154" s="125"/>
      <c r="G154" s="125"/>
      <c r="H154" s="125"/>
      <c r="I154" s="125"/>
    </row>
    <row r="155" spans="2:9" ht="13.5" thickBot="1" x14ac:dyDescent="0.25">
      <c r="B155" s="248" t="s">
        <v>138</v>
      </c>
      <c r="C155" s="253"/>
      <c r="D155" s="253"/>
      <c r="E155" s="249"/>
      <c r="F155" s="125"/>
      <c r="G155" s="125"/>
      <c r="H155" s="125"/>
      <c r="I155" s="125"/>
    </row>
    <row r="156" spans="2:9" ht="13.5" thickBot="1" x14ac:dyDescent="0.25">
      <c r="B156" s="254" t="s">
        <v>139</v>
      </c>
      <c r="C156" s="255"/>
      <c r="D156" s="69" t="s">
        <v>11</v>
      </c>
      <c r="E156" s="122" t="s">
        <v>140</v>
      </c>
      <c r="F156" s="125"/>
      <c r="G156" s="125"/>
      <c r="H156" s="125"/>
      <c r="I156" s="125"/>
    </row>
    <row r="157" spans="2:9" s="130" customFormat="1" x14ac:dyDescent="0.2">
      <c r="B157" s="247" t="s">
        <v>317</v>
      </c>
      <c r="C157" s="247"/>
      <c r="D157" s="137">
        <v>8</v>
      </c>
      <c r="E157" s="138" t="s">
        <v>316</v>
      </c>
      <c r="F157" s="139">
        <f>SUM(D157:D176)</f>
        <v>280</v>
      </c>
      <c r="G157" s="139">
        <f>F157*$G$48</f>
        <v>1120</v>
      </c>
      <c r="H157" s="139">
        <f>G157*$H$48</f>
        <v>3360</v>
      </c>
      <c r="I157" s="139"/>
    </row>
    <row r="158" spans="2:9" s="130" customFormat="1" x14ac:dyDescent="0.2">
      <c r="B158" s="246" t="s">
        <v>318</v>
      </c>
      <c r="C158" s="246"/>
      <c r="D158" s="140">
        <v>18</v>
      </c>
      <c r="E158" s="141" t="s">
        <v>247</v>
      </c>
      <c r="F158" s="139"/>
      <c r="G158" s="139"/>
      <c r="H158" s="139"/>
      <c r="I158" s="139"/>
    </row>
    <row r="159" spans="2:9" s="130" customFormat="1" x14ac:dyDescent="0.2">
      <c r="B159" s="246" t="s">
        <v>320</v>
      </c>
      <c r="C159" s="246"/>
      <c r="D159" s="140">
        <v>20</v>
      </c>
      <c r="E159" s="141" t="s">
        <v>248</v>
      </c>
      <c r="F159" s="139"/>
      <c r="G159" s="139"/>
      <c r="H159" s="139"/>
      <c r="I159" s="139"/>
    </row>
    <row r="160" spans="2:9" s="130" customFormat="1" x14ac:dyDescent="0.2">
      <c r="B160" s="246" t="s">
        <v>319</v>
      </c>
      <c r="C160" s="246"/>
      <c r="D160" s="140">
        <v>18</v>
      </c>
      <c r="E160" s="141" t="s">
        <v>249</v>
      </c>
      <c r="F160" s="139"/>
      <c r="G160" s="139"/>
      <c r="H160" s="139"/>
      <c r="I160" s="139"/>
    </row>
    <row r="161" spans="2:9" s="130" customFormat="1" x14ac:dyDescent="0.2">
      <c r="B161" s="246" t="s">
        <v>314</v>
      </c>
      <c r="C161" s="246"/>
      <c r="D161" s="140">
        <v>19</v>
      </c>
      <c r="E161" s="141" t="s">
        <v>315</v>
      </c>
      <c r="F161" s="139"/>
      <c r="G161" s="139"/>
      <c r="H161" s="139"/>
      <c r="I161" s="139"/>
    </row>
    <row r="162" spans="2:9" s="130" customFormat="1" x14ac:dyDescent="0.2">
      <c r="B162" s="246" t="s">
        <v>250</v>
      </c>
      <c r="C162" s="246"/>
      <c r="D162" s="140">
        <v>6</v>
      </c>
      <c r="E162" s="141" t="s">
        <v>251</v>
      </c>
      <c r="F162" s="139"/>
      <c r="G162" s="139"/>
      <c r="H162" s="139"/>
      <c r="I162" s="139"/>
    </row>
    <row r="163" spans="2:9" s="130" customFormat="1" x14ac:dyDescent="0.2">
      <c r="B163" s="246" t="s">
        <v>252</v>
      </c>
      <c r="C163" s="246"/>
      <c r="D163" s="140">
        <v>10</v>
      </c>
      <c r="E163" s="141" t="s">
        <v>253</v>
      </c>
      <c r="F163" s="139"/>
      <c r="G163" s="139"/>
      <c r="H163" s="139"/>
      <c r="I163" s="139"/>
    </row>
    <row r="164" spans="2:9" s="130" customFormat="1" x14ac:dyDescent="0.2">
      <c r="B164" s="246" t="s">
        <v>254</v>
      </c>
      <c r="C164" s="246"/>
      <c r="D164" s="140">
        <v>10</v>
      </c>
      <c r="E164" s="141" t="s">
        <v>255</v>
      </c>
      <c r="F164" s="139"/>
      <c r="G164" s="139"/>
      <c r="H164" s="139"/>
      <c r="I164" s="139"/>
    </row>
    <row r="165" spans="2:9" s="130" customFormat="1" x14ac:dyDescent="0.2">
      <c r="B165" s="246" t="s">
        <v>256</v>
      </c>
      <c r="C165" s="246"/>
      <c r="D165" s="140">
        <v>18</v>
      </c>
      <c r="E165" s="141" t="s">
        <v>257</v>
      </c>
      <c r="F165" s="139"/>
      <c r="G165" s="139"/>
      <c r="H165" s="139"/>
      <c r="I165" s="139"/>
    </row>
    <row r="166" spans="2:9" s="130" customFormat="1" x14ac:dyDescent="0.2">
      <c r="B166" s="246" t="s">
        <v>321</v>
      </c>
      <c r="C166" s="246"/>
      <c r="D166" s="140">
        <v>15</v>
      </c>
      <c r="E166" s="141" t="s">
        <v>258</v>
      </c>
      <c r="F166" s="139"/>
      <c r="G166" s="139"/>
      <c r="H166" s="139"/>
      <c r="I166" s="139"/>
    </row>
    <row r="167" spans="2:9" s="130" customFormat="1" x14ac:dyDescent="0.2">
      <c r="B167" s="246" t="s">
        <v>259</v>
      </c>
      <c r="C167" s="246"/>
      <c r="D167" s="140">
        <v>8</v>
      </c>
      <c r="E167" s="141" t="s">
        <v>260</v>
      </c>
      <c r="F167" s="139"/>
      <c r="G167" s="139"/>
      <c r="H167" s="139"/>
      <c r="I167" s="139"/>
    </row>
    <row r="168" spans="2:9" s="130" customFormat="1" x14ac:dyDescent="0.2">
      <c r="B168" s="246" t="s">
        <v>261</v>
      </c>
      <c r="C168" s="246"/>
      <c r="D168" s="140">
        <v>20</v>
      </c>
      <c r="E168" s="141" t="s">
        <v>262</v>
      </c>
      <c r="F168" s="139"/>
      <c r="G168" s="139"/>
      <c r="H168" s="139"/>
      <c r="I168" s="139"/>
    </row>
    <row r="169" spans="2:9" s="130" customFormat="1" x14ac:dyDescent="0.2">
      <c r="B169" s="246" t="s">
        <v>322</v>
      </c>
      <c r="C169" s="246"/>
      <c r="D169" s="140">
        <v>20</v>
      </c>
      <c r="E169" s="141" t="s">
        <v>263</v>
      </c>
      <c r="F169" s="139"/>
      <c r="G169" s="139"/>
      <c r="H169" s="139"/>
      <c r="I169" s="139"/>
    </row>
    <row r="170" spans="2:9" s="130" customFormat="1" x14ac:dyDescent="0.2">
      <c r="B170" s="246" t="s">
        <v>264</v>
      </c>
      <c r="C170" s="246"/>
      <c r="D170" s="140">
        <v>8</v>
      </c>
      <c r="E170" s="141" t="s">
        <v>265</v>
      </c>
      <c r="F170" s="139"/>
      <c r="G170" s="139"/>
      <c r="H170" s="139"/>
      <c r="I170" s="139"/>
    </row>
    <row r="171" spans="2:9" s="130" customFormat="1" x14ac:dyDescent="0.2">
      <c r="B171" s="246" t="s">
        <v>266</v>
      </c>
      <c r="C171" s="246"/>
      <c r="D171" s="140">
        <v>13</v>
      </c>
      <c r="E171" s="141" t="s">
        <v>267</v>
      </c>
      <c r="F171" s="139"/>
      <c r="G171" s="139"/>
      <c r="H171" s="139"/>
      <c r="I171" s="139"/>
    </row>
    <row r="172" spans="2:9" s="130" customFormat="1" x14ac:dyDescent="0.2">
      <c r="B172" s="246" t="s">
        <v>268</v>
      </c>
      <c r="C172" s="246"/>
      <c r="D172" s="140">
        <v>13</v>
      </c>
      <c r="E172" s="141" t="s">
        <v>269</v>
      </c>
      <c r="F172" s="139"/>
      <c r="G172" s="139"/>
      <c r="H172" s="139"/>
      <c r="I172" s="139"/>
    </row>
    <row r="173" spans="2:9" s="130" customFormat="1" x14ac:dyDescent="0.2">
      <c r="B173" s="246" t="s">
        <v>270</v>
      </c>
      <c r="C173" s="246"/>
      <c r="D173" s="140">
        <v>10</v>
      </c>
      <c r="E173" s="141" t="s">
        <v>271</v>
      </c>
      <c r="F173" s="139"/>
      <c r="G173" s="139"/>
      <c r="H173" s="139"/>
      <c r="I173" s="139"/>
    </row>
    <row r="174" spans="2:9" s="130" customFormat="1" x14ac:dyDescent="0.2">
      <c r="B174" s="246" t="s">
        <v>272</v>
      </c>
      <c r="C174" s="246"/>
      <c r="D174" s="140">
        <v>13</v>
      </c>
      <c r="E174" s="141" t="s">
        <v>273</v>
      </c>
      <c r="F174" s="139"/>
      <c r="G174" s="139"/>
      <c r="H174" s="139"/>
      <c r="I174" s="139"/>
    </row>
    <row r="175" spans="2:9" s="130" customFormat="1" x14ac:dyDescent="0.2">
      <c r="B175" s="246" t="s">
        <v>274</v>
      </c>
      <c r="C175" s="246"/>
      <c r="D175" s="140">
        <v>13</v>
      </c>
      <c r="E175" s="141" t="s">
        <v>275</v>
      </c>
      <c r="F175" s="139"/>
      <c r="G175" s="139"/>
      <c r="H175" s="139"/>
      <c r="I175" s="139"/>
    </row>
    <row r="176" spans="2:9" s="130" customFormat="1" ht="13.5" thickBot="1" x14ac:dyDescent="0.25">
      <c r="B176" s="246" t="s">
        <v>323</v>
      </c>
      <c r="C176" s="246"/>
      <c r="D176" s="140">
        <v>20</v>
      </c>
      <c r="E176" s="141" t="s">
        <v>324</v>
      </c>
      <c r="F176" s="139"/>
      <c r="G176" s="139"/>
      <c r="H176" s="139"/>
      <c r="I176" s="139"/>
    </row>
    <row r="177" spans="2:9" ht="26.25" customHeight="1" thickBot="1" x14ac:dyDescent="0.25">
      <c r="B177" s="243" t="s">
        <v>328</v>
      </c>
      <c r="C177" s="244"/>
      <c r="D177" s="244"/>
      <c r="E177" s="245"/>
      <c r="F177" s="125"/>
      <c r="G177" s="125"/>
      <c r="H177" s="125"/>
      <c r="I177" s="125"/>
    </row>
    <row r="178" spans="2:9" x14ac:dyDescent="0.2">
      <c r="B178" s="33" t="s">
        <v>18</v>
      </c>
      <c r="C178" s="31"/>
      <c r="D178" s="72"/>
      <c r="E178" s="32"/>
      <c r="F178" s="125"/>
      <c r="G178" s="125"/>
      <c r="H178" s="125"/>
      <c r="I178" s="125"/>
    </row>
    <row r="179" spans="2:9" x14ac:dyDescent="0.2">
      <c r="B179" s="34"/>
      <c r="C179" s="199" t="s">
        <v>64</v>
      </c>
      <c r="D179" s="199"/>
      <c r="E179" s="199"/>
      <c r="F179" s="125"/>
      <c r="G179" s="125"/>
      <c r="H179" s="125"/>
      <c r="I179" s="125"/>
    </row>
    <row r="180" spans="2:9" x14ac:dyDescent="0.2">
      <c r="B180" s="33" t="s">
        <v>19</v>
      </c>
      <c r="C180" s="35"/>
      <c r="D180" s="35"/>
      <c r="E180" s="36"/>
      <c r="F180" s="125"/>
      <c r="G180" s="125"/>
      <c r="H180" s="125"/>
      <c r="I180" s="125"/>
    </row>
    <row r="181" spans="2:9" x14ac:dyDescent="0.2">
      <c r="B181" s="34"/>
      <c r="C181" s="199" t="s">
        <v>141</v>
      </c>
      <c r="D181" s="199"/>
      <c r="E181" s="199"/>
      <c r="F181" s="125"/>
      <c r="G181" s="125"/>
      <c r="H181" s="125"/>
      <c r="I181" s="125"/>
    </row>
    <row r="182" spans="2:9" x14ac:dyDescent="0.2">
      <c r="B182" s="33" t="s">
        <v>20</v>
      </c>
      <c r="C182" s="31"/>
      <c r="D182" s="72"/>
      <c r="E182" s="32"/>
      <c r="F182" s="125"/>
      <c r="G182" s="125"/>
      <c r="H182" s="125"/>
      <c r="I182" s="125"/>
    </row>
    <row r="183" spans="2:9" x14ac:dyDescent="0.2">
      <c r="B183" s="33"/>
      <c r="C183" s="198" t="s">
        <v>65</v>
      </c>
      <c r="D183" s="198"/>
      <c r="E183" s="198"/>
      <c r="F183" s="125"/>
      <c r="G183" s="125"/>
      <c r="H183" s="125"/>
      <c r="I183" s="125"/>
    </row>
    <row r="184" spans="2:9" ht="13.5" thickBot="1" x14ac:dyDescent="0.25">
      <c r="B184" s="37"/>
      <c r="C184" s="38"/>
      <c r="D184" s="73"/>
      <c r="E184" s="39"/>
      <c r="F184" s="125"/>
      <c r="G184" s="125"/>
      <c r="H184" s="125"/>
      <c r="I184" s="125"/>
    </row>
    <row r="185" spans="2:9" ht="13.5" thickBot="1" x14ac:dyDescent="0.25">
      <c r="F185" s="125"/>
      <c r="G185" s="125"/>
      <c r="H185" s="125"/>
      <c r="I185" s="125"/>
    </row>
    <row r="186" spans="2:9" x14ac:dyDescent="0.2">
      <c r="B186" s="27" t="s">
        <v>143</v>
      </c>
      <c r="C186" s="28"/>
      <c r="D186" s="71"/>
      <c r="E186" s="29"/>
      <c r="F186" s="125"/>
      <c r="G186" s="125"/>
      <c r="H186" s="125"/>
      <c r="I186" s="125"/>
    </row>
    <row r="187" spans="2:9" x14ac:dyDescent="0.2">
      <c r="B187" s="30"/>
      <c r="C187" s="31"/>
      <c r="D187" s="72"/>
      <c r="E187" s="32"/>
      <c r="F187" s="125"/>
      <c r="G187" s="125"/>
      <c r="H187" s="125"/>
      <c r="I187" s="125"/>
    </row>
    <row r="188" spans="2:9" x14ac:dyDescent="0.2">
      <c r="B188" s="33" t="s">
        <v>16</v>
      </c>
      <c r="C188" s="31"/>
      <c r="D188" s="72"/>
      <c r="E188" s="32"/>
      <c r="F188" s="125"/>
      <c r="G188" s="125"/>
      <c r="H188" s="125"/>
      <c r="I188" s="125"/>
    </row>
    <row r="189" spans="2:9" x14ac:dyDescent="0.2">
      <c r="B189" s="33"/>
      <c r="C189" s="199"/>
      <c r="D189" s="199"/>
      <c r="E189" s="199"/>
      <c r="F189" s="125"/>
      <c r="G189" s="125"/>
      <c r="H189" s="125"/>
      <c r="I189" s="125"/>
    </row>
    <row r="190" spans="2:9" ht="13.5" thickBot="1" x14ac:dyDescent="0.25">
      <c r="B190" s="33" t="s">
        <v>17</v>
      </c>
      <c r="C190" s="31"/>
      <c r="D190" s="72"/>
      <c r="E190" s="32"/>
      <c r="F190" s="125"/>
      <c r="G190" s="125"/>
      <c r="H190" s="125"/>
      <c r="I190" s="125"/>
    </row>
    <row r="191" spans="2:9" ht="13.5" thickBot="1" x14ac:dyDescent="0.25">
      <c r="B191" s="185" t="s">
        <v>138</v>
      </c>
      <c r="C191" s="186"/>
      <c r="D191" s="186"/>
      <c r="E191" s="187"/>
      <c r="F191" s="125"/>
      <c r="G191" s="125"/>
      <c r="H191" s="125"/>
      <c r="I191" s="125"/>
    </row>
    <row r="192" spans="2:9" ht="13.5" thickBot="1" x14ac:dyDescent="0.25">
      <c r="B192" s="185" t="s">
        <v>139</v>
      </c>
      <c r="C192" s="187"/>
      <c r="D192" s="69" t="s">
        <v>11</v>
      </c>
      <c r="E192" s="69" t="s">
        <v>140</v>
      </c>
      <c r="F192" s="125"/>
      <c r="G192" s="125"/>
      <c r="H192" s="125"/>
      <c r="I192" s="125"/>
    </row>
    <row r="193" spans="2:9" s="130" customFormat="1" x14ac:dyDescent="0.2">
      <c r="B193" s="247" t="s">
        <v>317</v>
      </c>
      <c r="C193" s="247"/>
      <c r="D193" s="137" t="s">
        <v>204</v>
      </c>
      <c r="E193" s="138" t="s">
        <v>316</v>
      </c>
      <c r="F193" s="139">
        <f>SUM(D193:D212)</f>
        <v>0</v>
      </c>
      <c r="G193" s="139">
        <f>F193*$G$48</f>
        <v>0</v>
      </c>
      <c r="H193" s="139">
        <f>G193*$H$48</f>
        <v>0</v>
      </c>
      <c r="I193" s="139"/>
    </row>
    <row r="194" spans="2:9" s="130" customFormat="1" x14ac:dyDescent="0.2">
      <c r="B194" s="246" t="s">
        <v>318</v>
      </c>
      <c r="C194" s="246"/>
      <c r="D194" s="140" t="s">
        <v>171</v>
      </c>
      <c r="E194" s="141" t="s">
        <v>247</v>
      </c>
      <c r="F194" s="139"/>
      <c r="G194" s="139"/>
      <c r="H194" s="139"/>
      <c r="I194" s="139"/>
    </row>
    <row r="195" spans="2:9" s="130" customFormat="1" x14ac:dyDescent="0.2">
      <c r="B195" s="246" t="s">
        <v>320</v>
      </c>
      <c r="C195" s="246"/>
      <c r="D195" s="140" t="s">
        <v>194</v>
      </c>
      <c r="E195" s="141" t="s">
        <v>248</v>
      </c>
      <c r="F195" s="139"/>
      <c r="G195" s="139"/>
      <c r="H195" s="139"/>
      <c r="I195" s="139"/>
    </row>
    <row r="196" spans="2:9" s="130" customFormat="1" x14ac:dyDescent="0.2">
      <c r="B196" s="246" t="s">
        <v>319</v>
      </c>
      <c r="C196" s="246"/>
      <c r="D196" s="140" t="s">
        <v>171</v>
      </c>
      <c r="E196" s="141" t="s">
        <v>249</v>
      </c>
      <c r="F196" s="139"/>
      <c r="G196" s="139"/>
      <c r="H196" s="139"/>
      <c r="I196" s="139"/>
    </row>
    <row r="197" spans="2:9" s="130" customFormat="1" x14ac:dyDescent="0.2">
      <c r="B197" s="246" t="s">
        <v>314</v>
      </c>
      <c r="C197" s="246"/>
      <c r="D197" s="140" t="s">
        <v>179</v>
      </c>
      <c r="E197" s="141" t="s">
        <v>315</v>
      </c>
      <c r="F197" s="139"/>
      <c r="G197" s="139"/>
      <c r="H197" s="139"/>
      <c r="I197" s="139"/>
    </row>
    <row r="198" spans="2:9" s="130" customFormat="1" x14ac:dyDescent="0.2">
      <c r="B198" s="246" t="s">
        <v>250</v>
      </c>
      <c r="C198" s="246"/>
      <c r="D198" s="140" t="s">
        <v>183</v>
      </c>
      <c r="E198" s="141" t="s">
        <v>251</v>
      </c>
      <c r="F198" s="139"/>
      <c r="G198" s="139"/>
      <c r="H198" s="139"/>
      <c r="I198" s="139"/>
    </row>
    <row r="199" spans="2:9" s="130" customFormat="1" x14ac:dyDescent="0.2">
      <c r="B199" s="246" t="s">
        <v>252</v>
      </c>
      <c r="C199" s="246"/>
      <c r="D199" s="140" t="s">
        <v>175</v>
      </c>
      <c r="E199" s="141" t="s">
        <v>253</v>
      </c>
      <c r="F199" s="139"/>
      <c r="G199" s="139"/>
      <c r="H199" s="139"/>
      <c r="I199" s="139"/>
    </row>
    <row r="200" spans="2:9" s="130" customFormat="1" x14ac:dyDescent="0.2">
      <c r="B200" s="246" t="s">
        <v>254</v>
      </c>
      <c r="C200" s="246"/>
      <c r="D200" s="140" t="s">
        <v>175</v>
      </c>
      <c r="E200" s="141" t="s">
        <v>255</v>
      </c>
      <c r="F200" s="139"/>
      <c r="G200" s="139"/>
      <c r="H200" s="139"/>
      <c r="I200" s="139"/>
    </row>
    <row r="201" spans="2:9" s="130" customFormat="1" x14ac:dyDescent="0.2">
      <c r="B201" s="246" t="s">
        <v>256</v>
      </c>
      <c r="C201" s="246"/>
      <c r="D201" s="140" t="s">
        <v>171</v>
      </c>
      <c r="E201" s="141" t="s">
        <v>257</v>
      </c>
      <c r="F201" s="139"/>
      <c r="G201" s="139"/>
      <c r="H201" s="139"/>
      <c r="I201" s="139"/>
    </row>
    <row r="202" spans="2:9" s="130" customFormat="1" x14ac:dyDescent="0.2">
      <c r="B202" s="246" t="s">
        <v>321</v>
      </c>
      <c r="C202" s="246"/>
      <c r="D202" s="140" t="s">
        <v>176</v>
      </c>
      <c r="E202" s="141" t="s">
        <v>258</v>
      </c>
      <c r="F202" s="139"/>
      <c r="G202" s="139"/>
      <c r="H202" s="139"/>
      <c r="I202" s="139"/>
    </row>
    <row r="203" spans="2:9" s="130" customFormat="1" x14ac:dyDescent="0.2">
      <c r="B203" s="246" t="s">
        <v>259</v>
      </c>
      <c r="C203" s="246"/>
      <c r="D203" s="140" t="s">
        <v>174</v>
      </c>
      <c r="E203" s="141" t="s">
        <v>260</v>
      </c>
      <c r="F203" s="139"/>
      <c r="G203" s="139"/>
      <c r="H203" s="139"/>
      <c r="I203" s="139"/>
    </row>
    <row r="204" spans="2:9" s="130" customFormat="1" x14ac:dyDescent="0.2">
      <c r="B204" s="246" t="s">
        <v>261</v>
      </c>
      <c r="C204" s="246"/>
      <c r="D204" s="140" t="s">
        <v>194</v>
      </c>
      <c r="E204" s="141" t="s">
        <v>262</v>
      </c>
      <c r="F204" s="139"/>
      <c r="G204" s="139"/>
      <c r="H204" s="139"/>
      <c r="I204" s="139"/>
    </row>
    <row r="205" spans="2:9" s="130" customFormat="1" x14ac:dyDescent="0.2">
      <c r="B205" s="246" t="s">
        <v>322</v>
      </c>
      <c r="C205" s="246"/>
      <c r="D205" s="140" t="s">
        <v>194</v>
      </c>
      <c r="E205" s="141" t="s">
        <v>263</v>
      </c>
      <c r="F205" s="139"/>
      <c r="G205" s="139"/>
      <c r="H205" s="139"/>
      <c r="I205" s="139"/>
    </row>
    <row r="206" spans="2:9" s="130" customFormat="1" x14ac:dyDescent="0.2">
      <c r="B206" s="246" t="s">
        <v>264</v>
      </c>
      <c r="C206" s="246"/>
      <c r="D206" s="140" t="s">
        <v>174</v>
      </c>
      <c r="E206" s="141" t="s">
        <v>265</v>
      </c>
      <c r="F206" s="139"/>
      <c r="G206" s="139"/>
      <c r="H206" s="139"/>
      <c r="I206" s="139"/>
    </row>
    <row r="207" spans="2:9" s="130" customFormat="1" x14ac:dyDescent="0.2">
      <c r="B207" s="246" t="s">
        <v>266</v>
      </c>
      <c r="C207" s="246"/>
      <c r="D207" s="140" t="s">
        <v>182</v>
      </c>
      <c r="E207" s="141" t="s">
        <v>267</v>
      </c>
      <c r="F207" s="139"/>
      <c r="G207" s="139"/>
      <c r="H207" s="139"/>
      <c r="I207" s="139"/>
    </row>
    <row r="208" spans="2:9" s="130" customFormat="1" x14ac:dyDescent="0.2">
      <c r="B208" s="246" t="s">
        <v>268</v>
      </c>
      <c r="C208" s="246"/>
      <c r="D208" s="140" t="s">
        <v>182</v>
      </c>
      <c r="E208" s="141" t="s">
        <v>269</v>
      </c>
      <c r="F208" s="139"/>
      <c r="G208" s="139"/>
      <c r="H208" s="139"/>
      <c r="I208" s="139"/>
    </row>
    <row r="209" spans="2:9" s="130" customFormat="1" x14ac:dyDescent="0.2">
      <c r="B209" s="246" t="s">
        <v>270</v>
      </c>
      <c r="C209" s="246"/>
      <c r="D209" s="140" t="s">
        <v>175</v>
      </c>
      <c r="E209" s="141" t="s">
        <v>271</v>
      </c>
      <c r="F209" s="139"/>
      <c r="G209" s="139"/>
      <c r="H209" s="139"/>
      <c r="I209" s="139"/>
    </row>
    <row r="210" spans="2:9" s="130" customFormat="1" x14ac:dyDescent="0.2">
      <c r="B210" s="246" t="s">
        <v>272</v>
      </c>
      <c r="C210" s="246"/>
      <c r="D210" s="140" t="s">
        <v>182</v>
      </c>
      <c r="E210" s="141" t="s">
        <v>273</v>
      </c>
      <c r="F210" s="139"/>
      <c r="G210" s="139"/>
      <c r="H210" s="139"/>
      <c r="I210" s="139"/>
    </row>
    <row r="211" spans="2:9" s="130" customFormat="1" x14ac:dyDescent="0.2">
      <c r="B211" s="246" t="s">
        <v>274</v>
      </c>
      <c r="C211" s="246"/>
      <c r="D211" s="140" t="s">
        <v>182</v>
      </c>
      <c r="E211" s="141" t="s">
        <v>275</v>
      </c>
      <c r="F211" s="139"/>
      <c r="G211" s="139"/>
      <c r="H211" s="139"/>
      <c r="I211" s="139"/>
    </row>
    <row r="212" spans="2:9" s="130" customFormat="1" ht="13.5" thickBot="1" x14ac:dyDescent="0.25">
      <c r="B212" s="252" t="s">
        <v>323</v>
      </c>
      <c r="C212" s="252"/>
      <c r="D212" s="142" t="s">
        <v>194</v>
      </c>
      <c r="E212" s="143" t="s">
        <v>324</v>
      </c>
      <c r="F212" s="139"/>
      <c r="G212" s="139"/>
      <c r="H212" s="139"/>
      <c r="I212" s="139"/>
    </row>
    <row r="213" spans="2:9" ht="26.25" customHeight="1" thickBot="1" x14ac:dyDescent="0.25">
      <c r="B213" s="243" t="s">
        <v>327</v>
      </c>
      <c r="C213" s="244"/>
      <c r="D213" s="244"/>
      <c r="E213" s="245"/>
      <c r="F213" s="125"/>
      <c r="G213" s="125"/>
      <c r="H213" s="125"/>
      <c r="I213" s="125"/>
    </row>
    <row r="214" spans="2:9" x14ac:dyDescent="0.2">
      <c r="B214" s="33" t="s">
        <v>18</v>
      </c>
      <c r="C214" s="31"/>
      <c r="D214" s="72"/>
      <c r="E214" s="32"/>
      <c r="F214" s="125"/>
      <c r="G214" s="125"/>
      <c r="H214" s="125"/>
      <c r="I214" s="125"/>
    </row>
    <row r="215" spans="2:9" x14ac:dyDescent="0.2">
      <c r="B215" s="34"/>
      <c r="C215" s="199" t="s">
        <v>64</v>
      </c>
      <c r="D215" s="199"/>
      <c r="E215" s="199"/>
      <c r="F215" s="125"/>
      <c r="G215" s="125"/>
      <c r="H215" s="125"/>
      <c r="I215" s="125"/>
    </row>
    <row r="216" spans="2:9" x14ac:dyDescent="0.2">
      <c r="B216" s="33" t="s">
        <v>19</v>
      </c>
      <c r="C216" s="35"/>
      <c r="D216" s="35"/>
      <c r="E216" s="36"/>
      <c r="F216" s="125"/>
      <c r="G216" s="125"/>
      <c r="H216" s="125"/>
      <c r="I216" s="125"/>
    </row>
    <row r="217" spans="2:9" x14ac:dyDescent="0.2">
      <c r="B217" s="34"/>
      <c r="C217" s="199" t="s">
        <v>141</v>
      </c>
      <c r="D217" s="199"/>
      <c r="E217" s="199"/>
      <c r="F217" s="125"/>
      <c r="G217" s="125"/>
      <c r="H217" s="125"/>
      <c r="I217" s="125"/>
    </row>
    <row r="218" spans="2:9" x14ac:dyDescent="0.2">
      <c r="B218" s="33" t="s">
        <v>20</v>
      </c>
      <c r="C218" s="31"/>
      <c r="D218" s="72"/>
      <c r="E218" s="32"/>
      <c r="F218" s="125"/>
      <c r="G218" s="125"/>
      <c r="H218" s="125"/>
      <c r="I218" s="125"/>
    </row>
    <row r="219" spans="2:9" x14ac:dyDescent="0.2">
      <c r="B219" s="33"/>
      <c r="C219" s="198" t="s">
        <v>65</v>
      </c>
      <c r="D219" s="198"/>
      <c r="E219" s="198"/>
      <c r="F219" s="125"/>
      <c r="G219" s="125"/>
      <c r="H219" s="125"/>
      <c r="I219" s="125"/>
    </row>
    <row r="220" spans="2:9" ht="13.5" thickBot="1" x14ac:dyDescent="0.25">
      <c r="B220" s="37"/>
      <c r="C220" s="38"/>
      <c r="D220" s="73"/>
      <c r="E220" s="39"/>
      <c r="F220" s="125"/>
      <c r="G220" s="125"/>
      <c r="H220" s="125"/>
      <c r="I220" s="125"/>
    </row>
    <row r="221" spans="2:9" ht="13.5" thickBot="1" x14ac:dyDescent="0.25">
      <c r="F221" s="125"/>
      <c r="G221" s="125"/>
      <c r="H221" s="125"/>
      <c r="I221" s="125"/>
    </row>
    <row r="222" spans="2:9" x14ac:dyDescent="0.2">
      <c r="B222" s="27" t="s">
        <v>144</v>
      </c>
      <c r="C222" s="28"/>
      <c r="D222" s="71"/>
      <c r="E222" s="29"/>
      <c r="F222" s="125"/>
      <c r="G222" s="125"/>
      <c r="H222" s="125"/>
      <c r="I222" s="125"/>
    </row>
    <row r="223" spans="2:9" x14ac:dyDescent="0.2">
      <c r="B223" s="30"/>
      <c r="C223" s="31"/>
      <c r="D223" s="72"/>
      <c r="E223" s="32"/>
      <c r="F223" s="125"/>
      <c r="G223" s="125"/>
      <c r="H223" s="125"/>
      <c r="I223" s="125"/>
    </row>
    <row r="224" spans="2:9" x14ac:dyDescent="0.2">
      <c r="B224" s="33" t="s">
        <v>16</v>
      </c>
      <c r="C224" s="31"/>
      <c r="D224" s="72"/>
      <c r="E224" s="32"/>
      <c r="F224" s="125"/>
      <c r="G224" s="125"/>
      <c r="H224" s="125"/>
      <c r="I224" s="125"/>
    </row>
    <row r="225" spans="2:9" x14ac:dyDescent="0.2">
      <c r="B225" s="33"/>
      <c r="C225" s="199"/>
      <c r="D225" s="199"/>
      <c r="E225" s="199"/>
      <c r="F225" s="125"/>
      <c r="G225" s="125"/>
      <c r="H225" s="125"/>
      <c r="I225" s="125"/>
    </row>
    <row r="226" spans="2:9" ht="13.5" thickBot="1" x14ac:dyDescent="0.25">
      <c r="B226" s="33" t="s">
        <v>17</v>
      </c>
      <c r="C226" s="31"/>
      <c r="D226" s="72"/>
      <c r="E226" s="32"/>
      <c r="F226" s="125"/>
      <c r="G226" s="125"/>
      <c r="H226" s="125"/>
      <c r="I226" s="125"/>
    </row>
    <row r="227" spans="2:9" ht="13.5" thickBot="1" x14ac:dyDescent="0.25">
      <c r="B227" s="185" t="s">
        <v>138</v>
      </c>
      <c r="C227" s="186"/>
      <c r="D227" s="186"/>
      <c r="E227" s="187"/>
      <c r="F227" s="125"/>
      <c r="G227" s="125"/>
      <c r="H227" s="125"/>
      <c r="I227" s="125"/>
    </row>
    <row r="228" spans="2:9" ht="13.5" thickBot="1" x14ac:dyDescent="0.25">
      <c r="B228" s="185" t="s">
        <v>139</v>
      </c>
      <c r="C228" s="187"/>
      <c r="D228" s="69" t="s">
        <v>11</v>
      </c>
      <c r="E228" s="69" t="s">
        <v>140</v>
      </c>
      <c r="F228" s="125"/>
      <c r="G228" s="125"/>
      <c r="H228" s="125"/>
      <c r="I228" s="125"/>
    </row>
    <row r="229" spans="2:9" s="130" customFormat="1" x14ac:dyDescent="0.2">
      <c r="B229" s="247" t="s">
        <v>317</v>
      </c>
      <c r="C229" s="247"/>
      <c r="D229" s="137">
        <v>18</v>
      </c>
      <c r="E229" s="138" t="s">
        <v>316</v>
      </c>
      <c r="F229" s="139">
        <f>SUM(D229:D248)</f>
        <v>610</v>
      </c>
      <c r="G229" s="139">
        <f>F229*$G$48</f>
        <v>2440</v>
      </c>
      <c r="H229" s="139">
        <f>G229*$H$48</f>
        <v>7320</v>
      </c>
      <c r="I229" s="139"/>
    </row>
    <row r="230" spans="2:9" s="130" customFormat="1" x14ac:dyDescent="0.2">
      <c r="B230" s="246" t="s">
        <v>318</v>
      </c>
      <c r="C230" s="246"/>
      <c r="D230" s="140">
        <v>39</v>
      </c>
      <c r="E230" s="141" t="s">
        <v>247</v>
      </c>
      <c r="F230" s="139"/>
      <c r="G230" s="139"/>
      <c r="H230" s="139"/>
      <c r="I230" s="139"/>
    </row>
    <row r="231" spans="2:9" s="130" customFormat="1" x14ac:dyDescent="0.2">
      <c r="B231" s="246" t="s">
        <v>320</v>
      </c>
      <c r="C231" s="246"/>
      <c r="D231" s="140">
        <v>44</v>
      </c>
      <c r="E231" s="141" t="s">
        <v>248</v>
      </c>
      <c r="F231" s="139"/>
      <c r="G231" s="139"/>
      <c r="H231" s="139"/>
      <c r="I231" s="139"/>
    </row>
    <row r="232" spans="2:9" s="130" customFormat="1" x14ac:dyDescent="0.2">
      <c r="B232" s="246" t="s">
        <v>319</v>
      </c>
      <c r="C232" s="246"/>
      <c r="D232" s="140">
        <v>39</v>
      </c>
      <c r="E232" s="141" t="s">
        <v>249</v>
      </c>
      <c r="F232" s="139"/>
      <c r="G232" s="139"/>
      <c r="H232" s="139"/>
      <c r="I232" s="139"/>
    </row>
    <row r="233" spans="2:9" s="130" customFormat="1" x14ac:dyDescent="0.2">
      <c r="B233" s="246" t="s">
        <v>314</v>
      </c>
      <c r="C233" s="246"/>
      <c r="D233" s="140">
        <v>42</v>
      </c>
      <c r="E233" s="141" t="s">
        <v>315</v>
      </c>
      <c r="F233" s="139"/>
      <c r="G233" s="139"/>
      <c r="H233" s="139"/>
      <c r="I233" s="139"/>
    </row>
    <row r="234" spans="2:9" s="130" customFormat="1" x14ac:dyDescent="0.2">
      <c r="B234" s="246" t="s">
        <v>250</v>
      </c>
      <c r="C234" s="246"/>
      <c r="D234" s="140">
        <v>12</v>
      </c>
      <c r="E234" s="141" t="s">
        <v>251</v>
      </c>
      <c r="F234" s="139"/>
      <c r="G234" s="139"/>
      <c r="H234" s="139"/>
      <c r="I234" s="139"/>
    </row>
    <row r="235" spans="2:9" s="130" customFormat="1" x14ac:dyDescent="0.2">
      <c r="B235" s="246" t="s">
        <v>252</v>
      </c>
      <c r="C235" s="246"/>
      <c r="D235" s="140">
        <v>22</v>
      </c>
      <c r="E235" s="141" t="s">
        <v>253</v>
      </c>
      <c r="F235" s="139"/>
      <c r="G235" s="139"/>
      <c r="H235" s="139"/>
      <c r="I235" s="139"/>
    </row>
    <row r="236" spans="2:9" s="130" customFormat="1" x14ac:dyDescent="0.2">
      <c r="B236" s="246" t="s">
        <v>254</v>
      </c>
      <c r="C236" s="246"/>
      <c r="D236" s="140">
        <v>22</v>
      </c>
      <c r="E236" s="141" t="s">
        <v>255</v>
      </c>
      <c r="F236" s="139"/>
      <c r="G236" s="139"/>
      <c r="H236" s="139"/>
      <c r="I236" s="139"/>
    </row>
    <row r="237" spans="2:9" s="130" customFormat="1" x14ac:dyDescent="0.2">
      <c r="B237" s="246" t="s">
        <v>256</v>
      </c>
      <c r="C237" s="246"/>
      <c r="D237" s="140">
        <v>39</v>
      </c>
      <c r="E237" s="141" t="s">
        <v>257</v>
      </c>
      <c r="F237" s="139"/>
      <c r="G237" s="139"/>
      <c r="H237" s="139"/>
      <c r="I237" s="139"/>
    </row>
    <row r="238" spans="2:9" s="130" customFormat="1" x14ac:dyDescent="0.2">
      <c r="B238" s="246" t="s">
        <v>321</v>
      </c>
      <c r="C238" s="246"/>
      <c r="D238" s="140">
        <v>33</v>
      </c>
      <c r="E238" s="141" t="s">
        <v>258</v>
      </c>
      <c r="F238" s="139"/>
      <c r="G238" s="139"/>
      <c r="H238" s="139"/>
      <c r="I238" s="139"/>
    </row>
    <row r="239" spans="2:9" s="130" customFormat="1" x14ac:dyDescent="0.2">
      <c r="B239" s="246" t="s">
        <v>259</v>
      </c>
      <c r="C239" s="246"/>
      <c r="D239" s="140">
        <v>17</v>
      </c>
      <c r="E239" s="141" t="s">
        <v>260</v>
      </c>
      <c r="F239" s="139"/>
      <c r="G239" s="139"/>
      <c r="H239" s="139"/>
      <c r="I239" s="139"/>
    </row>
    <row r="240" spans="2:9" s="130" customFormat="1" x14ac:dyDescent="0.2">
      <c r="B240" s="246" t="s">
        <v>261</v>
      </c>
      <c r="C240" s="246"/>
      <c r="D240" s="140">
        <v>44</v>
      </c>
      <c r="E240" s="141" t="s">
        <v>262</v>
      </c>
      <c r="F240" s="139"/>
      <c r="G240" s="139"/>
      <c r="H240" s="139"/>
      <c r="I240" s="139"/>
    </row>
    <row r="241" spans="2:9" s="130" customFormat="1" x14ac:dyDescent="0.2">
      <c r="B241" s="246" t="s">
        <v>322</v>
      </c>
      <c r="C241" s="246"/>
      <c r="D241" s="140">
        <v>44</v>
      </c>
      <c r="E241" s="141" t="s">
        <v>263</v>
      </c>
      <c r="F241" s="139"/>
      <c r="G241" s="139"/>
      <c r="H241" s="139"/>
      <c r="I241" s="139"/>
    </row>
    <row r="242" spans="2:9" s="130" customFormat="1" x14ac:dyDescent="0.2">
      <c r="B242" s="246" t="s">
        <v>264</v>
      </c>
      <c r="C242" s="246"/>
      <c r="D242" s="140">
        <v>17</v>
      </c>
      <c r="E242" s="141" t="s">
        <v>265</v>
      </c>
      <c r="F242" s="139"/>
      <c r="G242" s="139"/>
      <c r="H242" s="139"/>
      <c r="I242" s="139"/>
    </row>
    <row r="243" spans="2:9" s="130" customFormat="1" x14ac:dyDescent="0.2">
      <c r="B243" s="246" t="s">
        <v>266</v>
      </c>
      <c r="C243" s="246"/>
      <c r="D243" s="140">
        <v>28</v>
      </c>
      <c r="E243" s="141" t="s">
        <v>267</v>
      </c>
      <c r="F243" s="139"/>
      <c r="G243" s="139"/>
      <c r="H243" s="139"/>
      <c r="I243" s="139"/>
    </row>
    <row r="244" spans="2:9" s="130" customFormat="1" x14ac:dyDescent="0.2">
      <c r="B244" s="246" t="s">
        <v>268</v>
      </c>
      <c r="C244" s="246"/>
      <c r="D244" s="140">
        <v>28</v>
      </c>
      <c r="E244" s="141" t="s">
        <v>269</v>
      </c>
      <c r="F244" s="139"/>
      <c r="G244" s="139"/>
      <c r="H244" s="139"/>
      <c r="I244" s="139"/>
    </row>
    <row r="245" spans="2:9" s="130" customFormat="1" x14ac:dyDescent="0.2">
      <c r="B245" s="246" t="s">
        <v>270</v>
      </c>
      <c r="C245" s="246"/>
      <c r="D245" s="140">
        <v>22</v>
      </c>
      <c r="E245" s="141" t="s">
        <v>271</v>
      </c>
      <c r="F245" s="139"/>
      <c r="G245" s="139"/>
      <c r="H245" s="139"/>
      <c r="I245" s="139"/>
    </row>
    <row r="246" spans="2:9" s="130" customFormat="1" x14ac:dyDescent="0.2">
      <c r="B246" s="246" t="s">
        <v>272</v>
      </c>
      <c r="C246" s="246"/>
      <c r="D246" s="140">
        <v>28</v>
      </c>
      <c r="E246" s="141" t="s">
        <v>273</v>
      </c>
      <c r="F246" s="139"/>
      <c r="G246" s="139"/>
      <c r="H246" s="139"/>
      <c r="I246" s="139"/>
    </row>
    <row r="247" spans="2:9" s="130" customFormat="1" x14ac:dyDescent="0.2">
      <c r="B247" s="246" t="s">
        <v>274</v>
      </c>
      <c r="C247" s="246"/>
      <c r="D247" s="140">
        <v>28</v>
      </c>
      <c r="E247" s="141" t="s">
        <v>275</v>
      </c>
      <c r="F247" s="139"/>
      <c r="G247" s="139"/>
      <c r="H247" s="139"/>
      <c r="I247" s="139"/>
    </row>
    <row r="248" spans="2:9" s="130" customFormat="1" ht="13.5" thickBot="1" x14ac:dyDescent="0.25">
      <c r="B248" s="252" t="s">
        <v>323</v>
      </c>
      <c r="C248" s="252"/>
      <c r="D248" s="142">
        <v>44</v>
      </c>
      <c r="E248" s="143" t="s">
        <v>324</v>
      </c>
      <c r="F248" s="139"/>
      <c r="G248" s="139"/>
      <c r="H248" s="139"/>
      <c r="I248" s="139"/>
    </row>
    <row r="249" spans="2:9" ht="26.25" customHeight="1" thickBot="1" x14ac:dyDescent="0.25">
      <c r="B249" s="243" t="s">
        <v>329</v>
      </c>
      <c r="C249" s="244"/>
      <c r="D249" s="244"/>
      <c r="E249" s="245"/>
      <c r="F249" s="125"/>
      <c r="G249" s="125"/>
      <c r="H249" s="125"/>
      <c r="I249" s="125"/>
    </row>
    <row r="250" spans="2:9" x14ac:dyDescent="0.2">
      <c r="B250" s="33" t="s">
        <v>18</v>
      </c>
      <c r="C250" s="31"/>
      <c r="D250" s="72"/>
      <c r="E250" s="32"/>
      <c r="F250" s="125"/>
      <c r="G250" s="125"/>
      <c r="H250" s="125"/>
      <c r="I250" s="125"/>
    </row>
    <row r="251" spans="2:9" x14ac:dyDescent="0.2">
      <c r="B251" s="34"/>
      <c r="C251" s="199" t="s">
        <v>64</v>
      </c>
      <c r="D251" s="199"/>
      <c r="E251" s="199"/>
      <c r="F251" s="125"/>
      <c r="G251" s="125"/>
      <c r="H251" s="125"/>
      <c r="I251" s="125"/>
    </row>
    <row r="252" spans="2:9" x14ac:dyDescent="0.2">
      <c r="B252" s="33" t="s">
        <v>19</v>
      </c>
      <c r="C252" s="35"/>
      <c r="D252" s="35"/>
      <c r="E252" s="36"/>
      <c r="F252" s="125"/>
      <c r="G252" s="125"/>
      <c r="H252" s="125"/>
      <c r="I252" s="125"/>
    </row>
    <row r="253" spans="2:9" x14ac:dyDescent="0.2">
      <c r="B253" s="34"/>
      <c r="C253" s="199" t="s">
        <v>141</v>
      </c>
      <c r="D253" s="199"/>
      <c r="E253" s="199"/>
      <c r="F253" s="125"/>
      <c r="G253" s="125"/>
      <c r="H253" s="125"/>
      <c r="I253" s="125"/>
    </row>
    <row r="254" spans="2:9" x14ac:dyDescent="0.2">
      <c r="B254" s="33" t="s">
        <v>20</v>
      </c>
      <c r="C254" s="31"/>
      <c r="D254" s="72"/>
      <c r="E254" s="32"/>
      <c r="F254" s="125"/>
      <c r="G254" s="125"/>
      <c r="H254" s="125"/>
      <c r="I254" s="125"/>
    </row>
    <row r="255" spans="2:9" x14ac:dyDescent="0.2">
      <c r="B255" s="33"/>
      <c r="C255" s="198" t="s">
        <v>65</v>
      </c>
      <c r="D255" s="198"/>
      <c r="E255" s="198"/>
      <c r="F255" s="125"/>
      <c r="G255" s="125"/>
      <c r="H255" s="125"/>
      <c r="I255" s="125"/>
    </row>
    <row r="256" spans="2:9" ht="13.5" thickBot="1" x14ac:dyDescent="0.25">
      <c r="B256" s="37"/>
      <c r="C256" s="38"/>
      <c r="D256" s="73"/>
      <c r="E256" s="39"/>
      <c r="F256" s="125"/>
      <c r="G256" s="125"/>
      <c r="H256" s="125"/>
      <c r="I256" s="125"/>
    </row>
    <row r="257" spans="2:9" ht="13.5" thickBot="1" x14ac:dyDescent="0.25">
      <c r="F257" s="125"/>
      <c r="G257" s="125"/>
      <c r="H257" s="125"/>
      <c r="I257" s="125"/>
    </row>
    <row r="258" spans="2:9" x14ac:dyDescent="0.2">
      <c r="B258" s="27" t="s">
        <v>145</v>
      </c>
      <c r="C258" s="28"/>
      <c r="D258" s="71"/>
      <c r="E258" s="29"/>
      <c r="F258" s="125"/>
      <c r="G258" s="125"/>
      <c r="H258" s="125"/>
      <c r="I258" s="125"/>
    </row>
    <row r="259" spans="2:9" x14ac:dyDescent="0.2">
      <c r="B259" s="30"/>
      <c r="C259" s="31"/>
      <c r="D259" s="72"/>
      <c r="E259" s="32"/>
      <c r="F259" s="125"/>
      <c r="G259" s="125"/>
      <c r="H259" s="125"/>
      <c r="I259" s="125"/>
    </row>
    <row r="260" spans="2:9" x14ac:dyDescent="0.2">
      <c r="B260" s="33" t="s">
        <v>16</v>
      </c>
      <c r="C260" s="31"/>
      <c r="D260" s="72"/>
      <c r="E260" s="32"/>
      <c r="F260" s="125"/>
      <c r="G260" s="125"/>
      <c r="H260" s="125"/>
      <c r="I260" s="125"/>
    </row>
    <row r="261" spans="2:9" x14ac:dyDescent="0.2">
      <c r="B261" s="33"/>
      <c r="C261" s="199"/>
      <c r="D261" s="199"/>
      <c r="E261" s="199"/>
      <c r="F261" s="125"/>
      <c r="G261" s="125"/>
      <c r="H261" s="125"/>
      <c r="I261" s="125"/>
    </row>
    <row r="262" spans="2:9" ht="13.5" thickBot="1" x14ac:dyDescent="0.25">
      <c r="B262" s="33" t="s">
        <v>17</v>
      </c>
      <c r="C262" s="31"/>
      <c r="D262" s="72"/>
      <c r="E262" s="32"/>
      <c r="F262" s="125"/>
      <c r="G262" s="125"/>
      <c r="H262" s="125"/>
      <c r="I262" s="125"/>
    </row>
    <row r="263" spans="2:9" ht="13.5" thickBot="1" x14ac:dyDescent="0.25">
      <c r="B263" s="185" t="s">
        <v>138</v>
      </c>
      <c r="C263" s="186"/>
      <c r="D263" s="186"/>
      <c r="E263" s="187"/>
      <c r="F263" s="125"/>
      <c r="G263" s="125"/>
      <c r="H263" s="125"/>
      <c r="I263" s="125"/>
    </row>
    <row r="264" spans="2:9" x14ac:dyDescent="0.2">
      <c r="B264" s="248" t="s">
        <v>139</v>
      </c>
      <c r="C264" s="249"/>
      <c r="D264" s="123" t="s">
        <v>11</v>
      </c>
      <c r="E264" s="123" t="s">
        <v>140</v>
      </c>
      <c r="F264" s="125"/>
      <c r="G264" s="125"/>
      <c r="H264" s="125"/>
      <c r="I264" s="125"/>
    </row>
    <row r="265" spans="2:9" s="130" customFormat="1" x14ac:dyDescent="0.2">
      <c r="B265" s="246" t="s">
        <v>317</v>
      </c>
      <c r="C265" s="246"/>
      <c r="D265" s="140">
        <v>32</v>
      </c>
      <c r="E265" s="141" t="s">
        <v>316</v>
      </c>
      <c r="F265" s="139">
        <f>SUM(D265:D284)</f>
        <v>1100</v>
      </c>
      <c r="G265" s="139">
        <f>F265*$G$48</f>
        <v>4400</v>
      </c>
      <c r="H265" s="139">
        <f>G265*$H$48</f>
        <v>13200</v>
      </c>
      <c r="I265" s="139"/>
    </row>
    <row r="266" spans="2:9" s="130" customFormat="1" x14ac:dyDescent="0.2">
      <c r="B266" s="246" t="s">
        <v>318</v>
      </c>
      <c r="C266" s="246"/>
      <c r="D266" s="140">
        <v>70</v>
      </c>
      <c r="E266" s="141" t="s">
        <v>247</v>
      </c>
      <c r="F266" s="139"/>
      <c r="G266" s="139"/>
      <c r="H266" s="139"/>
      <c r="I266" s="139"/>
    </row>
    <row r="267" spans="2:9" s="130" customFormat="1" x14ac:dyDescent="0.2">
      <c r="B267" s="246" t="s">
        <v>320</v>
      </c>
      <c r="C267" s="246"/>
      <c r="D267" s="140">
        <v>80</v>
      </c>
      <c r="E267" s="141" t="s">
        <v>248</v>
      </c>
      <c r="F267" s="139"/>
      <c r="G267" s="139"/>
      <c r="H267" s="139"/>
      <c r="I267" s="139"/>
    </row>
    <row r="268" spans="2:9" s="130" customFormat="1" x14ac:dyDescent="0.2">
      <c r="B268" s="246" t="s">
        <v>319</v>
      </c>
      <c r="C268" s="246"/>
      <c r="D268" s="140">
        <v>70</v>
      </c>
      <c r="E268" s="141" t="s">
        <v>249</v>
      </c>
      <c r="F268" s="139"/>
      <c r="G268" s="139"/>
      <c r="H268" s="139"/>
      <c r="I268" s="139"/>
    </row>
    <row r="269" spans="2:9" s="130" customFormat="1" x14ac:dyDescent="0.2">
      <c r="B269" s="246" t="s">
        <v>314</v>
      </c>
      <c r="C269" s="246"/>
      <c r="D269" s="140">
        <v>76</v>
      </c>
      <c r="E269" s="141" t="s">
        <v>315</v>
      </c>
      <c r="F269" s="139"/>
      <c r="G269" s="139"/>
      <c r="H269" s="139"/>
      <c r="I269" s="139"/>
    </row>
    <row r="270" spans="2:9" s="130" customFormat="1" x14ac:dyDescent="0.2">
      <c r="B270" s="246" t="s">
        <v>250</v>
      </c>
      <c r="C270" s="246"/>
      <c r="D270" s="140">
        <v>22</v>
      </c>
      <c r="E270" s="141" t="s">
        <v>251</v>
      </c>
      <c r="F270" s="139"/>
      <c r="G270" s="139"/>
      <c r="H270" s="139"/>
      <c r="I270" s="139"/>
    </row>
    <row r="271" spans="2:9" s="130" customFormat="1" x14ac:dyDescent="0.2">
      <c r="B271" s="246" t="s">
        <v>252</v>
      </c>
      <c r="C271" s="246"/>
      <c r="D271" s="140">
        <v>40</v>
      </c>
      <c r="E271" s="141" t="s">
        <v>253</v>
      </c>
      <c r="F271" s="139"/>
      <c r="G271" s="139"/>
      <c r="H271" s="139"/>
      <c r="I271" s="139"/>
    </row>
    <row r="272" spans="2:9" s="130" customFormat="1" x14ac:dyDescent="0.2">
      <c r="B272" s="246" t="s">
        <v>254</v>
      </c>
      <c r="C272" s="246"/>
      <c r="D272" s="140">
        <v>40</v>
      </c>
      <c r="E272" s="141" t="s">
        <v>255</v>
      </c>
      <c r="F272" s="139"/>
      <c r="G272" s="139"/>
      <c r="H272" s="139"/>
      <c r="I272" s="139"/>
    </row>
    <row r="273" spans="2:9" s="130" customFormat="1" x14ac:dyDescent="0.2">
      <c r="B273" s="246" t="s">
        <v>256</v>
      </c>
      <c r="C273" s="246"/>
      <c r="D273" s="140">
        <v>70</v>
      </c>
      <c r="E273" s="141" t="s">
        <v>257</v>
      </c>
      <c r="F273" s="139"/>
      <c r="G273" s="139"/>
      <c r="H273" s="139"/>
      <c r="I273" s="139"/>
    </row>
    <row r="274" spans="2:9" s="130" customFormat="1" x14ac:dyDescent="0.2">
      <c r="B274" s="246" t="s">
        <v>321</v>
      </c>
      <c r="C274" s="246"/>
      <c r="D274" s="140">
        <v>60</v>
      </c>
      <c r="E274" s="141" t="s">
        <v>258</v>
      </c>
      <c r="F274" s="139"/>
      <c r="G274" s="139"/>
      <c r="H274" s="139"/>
      <c r="I274" s="139"/>
    </row>
    <row r="275" spans="2:9" s="130" customFormat="1" x14ac:dyDescent="0.2">
      <c r="B275" s="246" t="s">
        <v>259</v>
      </c>
      <c r="C275" s="246"/>
      <c r="D275" s="140">
        <v>30</v>
      </c>
      <c r="E275" s="141" t="s">
        <v>260</v>
      </c>
      <c r="F275" s="139"/>
      <c r="G275" s="139"/>
      <c r="H275" s="139"/>
      <c r="I275" s="139"/>
    </row>
    <row r="276" spans="2:9" s="130" customFormat="1" x14ac:dyDescent="0.2">
      <c r="B276" s="246" t="s">
        <v>261</v>
      </c>
      <c r="C276" s="246"/>
      <c r="D276" s="140">
        <v>80</v>
      </c>
      <c r="E276" s="141" t="s">
        <v>262</v>
      </c>
      <c r="F276" s="139"/>
      <c r="G276" s="139"/>
      <c r="H276" s="139"/>
      <c r="I276" s="139"/>
    </row>
    <row r="277" spans="2:9" s="130" customFormat="1" x14ac:dyDescent="0.2">
      <c r="B277" s="246" t="s">
        <v>322</v>
      </c>
      <c r="C277" s="246"/>
      <c r="D277" s="140">
        <v>80</v>
      </c>
      <c r="E277" s="141" t="s">
        <v>263</v>
      </c>
      <c r="F277" s="139"/>
      <c r="G277" s="139"/>
      <c r="H277" s="139"/>
      <c r="I277" s="139"/>
    </row>
    <row r="278" spans="2:9" s="130" customFormat="1" x14ac:dyDescent="0.2">
      <c r="B278" s="246" t="s">
        <v>264</v>
      </c>
      <c r="C278" s="246"/>
      <c r="D278" s="140">
        <v>30</v>
      </c>
      <c r="E278" s="141" t="s">
        <v>265</v>
      </c>
      <c r="F278" s="139"/>
      <c r="G278" s="139"/>
      <c r="H278" s="139"/>
      <c r="I278" s="139"/>
    </row>
    <row r="279" spans="2:9" s="130" customFormat="1" x14ac:dyDescent="0.2">
      <c r="B279" s="246" t="s">
        <v>266</v>
      </c>
      <c r="C279" s="246"/>
      <c r="D279" s="140">
        <v>50</v>
      </c>
      <c r="E279" s="141" t="s">
        <v>267</v>
      </c>
      <c r="F279" s="139"/>
      <c r="G279" s="139"/>
      <c r="H279" s="139"/>
      <c r="I279" s="139"/>
    </row>
    <row r="280" spans="2:9" s="130" customFormat="1" x14ac:dyDescent="0.2">
      <c r="B280" s="246" t="s">
        <v>268</v>
      </c>
      <c r="C280" s="246"/>
      <c r="D280" s="140">
        <v>50</v>
      </c>
      <c r="E280" s="141" t="s">
        <v>269</v>
      </c>
      <c r="F280" s="139"/>
      <c r="G280" s="139"/>
      <c r="H280" s="139"/>
      <c r="I280" s="139"/>
    </row>
    <row r="281" spans="2:9" s="130" customFormat="1" x14ac:dyDescent="0.2">
      <c r="B281" s="246" t="s">
        <v>270</v>
      </c>
      <c r="C281" s="246"/>
      <c r="D281" s="140">
        <v>40</v>
      </c>
      <c r="E281" s="141" t="s">
        <v>271</v>
      </c>
      <c r="F281" s="139"/>
      <c r="G281" s="139"/>
      <c r="H281" s="139"/>
      <c r="I281" s="139"/>
    </row>
    <row r="282" spans="2:9" s="130" customFormat="1" x14ac:dyDescent="0.2">
      <c r="B282" s="246" t="s">
        <v>272</v>
      </c>
      <c r="C282" s="246"/>
      <c r="D282" s="140">
        <v>50</v>
      </c>
      <c r="E282" s="141" t="s">
        <v>273</v>
      </c>
      <c r="F282" s="139"/>
      <c r="G282" s="139"/>
      <c r="H282" s="139"/>
      <c r="I282" s="139"/>
    </row>
    <row r="283" spans="2:9" s="130" customFormat="1" x14ac:dyDescent="0.2">
      <c r="B283" s="246" t="s">
        <v>274</v>
      </c>
      <c r="C283" s="246"/>
      <c r="D283" s="140">
        <v>50</v>
      </c>
      <c r="E283" s="141" t="s">
        <v>275</v>
      </c>
      <c r="F283" s="139"/>
      <c r="G283" s="139"/>
      <c r="H283" s="139"/>
      <c r="I283" s="139"/>
    </row>
    <row r="284" spans="2:9" s="130" customFormat="1" ht="13.5" thickBot="1" x14ac:dyDescent="0.25">
      <c r="B284" s="246" t="s">
        <v>323</v>
      </c>
      <c r="C284" s="246"/>
      <c r="D284" s="140">
        <v>80</v>
      </c>
      <c r="E284" s="141" t="s">
        <v>324</v>
      </c>
      <c r="F284" s="139"/>
      <c r="G284" s="139"/>
      <c r="H284" s="139"/>
      <c r="I284" s="139"/>
    </row>
    <row r="285" spans="2:9" ht="26.25" customHeight="1" thickBot="1" x14ac:dyDescent="0.25">
      <c r="B285" s="243" t="s">
        <v>330</v>
      </c>
      <c r="C285" s="244"/>
      <c r="D285" s="244"/>
      <c r="E285" s="245"/>
      <c r="F285" s="125"/>
      <c r="G285" s="125"/>
      <c r="H285" s="125"/>
      <c r="I285" s="125"/>
    </row>
    <row r="286" spans="2:9" x14ac:dyDescent="0.2">
      <c r="B286" s="33" t="s">
        <v>18</v>
      </c>
      <c r="C286" s="31"/>
      <c r="D286" s="72"/>
      <c r="E286" s="32"/>
      <c r="F286" s="125"/>
      <c r="G286" s="125"/>
      <c r="H286" s="125"/>
      <c r="I286" s="125"/>
    </row>
    <row r="287" spans="2:9" x14ac:dyDescent="0.2">
      <c r="B287" s="34"/>
      <c r="C287" s="199" t="s">
        <v>64</v>
      </c>
      <c r="D287" s="199"/>
      <c r="E287" s="199"/>
      <c r="F287" s="125"/>
      <c r="G287" s="125"/>
      <c r="H287" s="125"/>
      <c r="I287" s="125"/>
    </row>
    <row r="288" spans="2:9" x14ac:dyDescent="0.2">
      <c r="B288" s="33" t="s">
        <v>19</v>
      </c>
      <c r="C288" s="35"/>
      <c r="D288" s="35"/>
      <c r="E288" s="36"/>
      <c r="F288" s="125"/>
      <c r="G288" s="125"/>
      <c r="H288" s="125"/>
      <c r="I288" s="125"/>
    </row>
    <row r="289" spans="2:9" x14ac:dyDescent="0.2">
      <c r="B289" s="34"/>
      <c r="C289" s="199" t="s">
        <v>141</v>
      </c>
      <c r="D289" s="199"/>
      <c r="E289" s="199"/>
      <c r="F289" s="125"/>
      <c r="G289" s="125"/>
      <c r="H289" s="125"/>
      <c r="I289" s="125"/>
    </row>
    <row r="290" spans="2:9" x14ac:dyDescent="0.2">
      <c r="B290" s="33" t="s">
        <v>20</v>
      </c>
      <c r="C290" s="31"/>
      <c r="D290" s="72"/>
      <c r="E290" s="32"/>
      <c r="F290" s="125"/>
      <c r="G290" s="125"/>
      <c r="H290" s="125"/>
      <c r="I290" s="125"/>
    </row>
    <row r="291" spans="2:9" x14ac:dyDescent="0.2">
      <c r="B291" s="33"/>
      <c r="C291" s="198" t="s">
        <v>65</v>
      </c>
      <c r="D291" s="198"/>
      <c r="E291" s="198"/>
      <c r="F291" s="125"/>
      <c r="G291" s="125"/>
      <c r="H291" s="125"/>
      <c r="I291" s="125"/>
    </row>
    <row r="292" spans="2:9" ht="13.5" thickBot="1" x14ac:dyDescent="0.25">
      <c r="B292" s="37"/>
      <c r="C292" s="38"/>
      <c r="D292" s="73"/>
      <c r="E292" s="39"/>
      <c r="F292" s="125"/>
      <c r="G292" s="125"/>
      <c r="H292" s="125"/>
      <c r="I292" s="125"/>
    </row>
    <row r="293" spans="2:9" ht="13.5" thickBot="1" x14ac:dyDescent="0.25">
      <c r="F293" s="125"/>
      <c r="G293" s="125"/>
      <c r="H293" s="125"/>
      <c r="I293" s="125"/>
    </row>
    <row r="294" spans="2:9" x14ac:dyDescent="0.2">
      <c r="B294" s="27" t="s">
        <v>146</v>
      </c>
      <c r="C294" s="28"/>
      <c r="D294" s="71"/>
      <c r="E294" s="29"/>
      <c r="F294" s="125"/>
      <c r="G294" s="125"/>
      <c r="H294" s="125"/>
      <c r="I294" s="125"/>
    </row>
    <row r="295" spans="2:9" x14ac:dyDescent="0.2">
      <c r="B295" s="30"/>
      <c r="C295" s="31"/>
      <c r="D295" s="72"/>
      <c r="E295" s="32"/>
      <c r="F295" s="125"/>
      <c r="G295" s="125"/>
      <c r="H295" s="125"/>
      <c r="I295" s="125"/>
    </row>
    <row r="296" spans="2:9" x14ac:dyDescent="0.2">
      <c r="B296" s="33" t="s">
        <v>16</v>
      </c>
      <c r="C296" s="31"/>
      <c r="D296" s="72"/>
      <c r="E296" s="32"/>
      <c r="F296" s="125"/>
      <c r="G296" s="125"/>
      <c r="H296" s="125"/>
      <c r="I296" s="125"/>
    </row>
    <row r="297" spans="2:9" x14ac:dyDescent="0.2">
      <c r="B297" s="33"/>
      <c r="C297" s="189"/>
      <c r="D297" s="189"/>
      <c r="E297" s="190"/>
      <c r="F297" s="125"/>
      <c r="G297" s="125"/>
      <c r="H297" s="125"/>
      <c r="I297" s="125"/>
    </row>
    <row r="298" spans="2:9" ht="13.5" thickBot="1" x14ac:dyDescent="0.25">
      <c r="B298" s="33" t="s">
        <v>17</v>
      </c>
      <c r="C298" s="31"/>
      <c r="D298" s="72"/>
      <c r="E298" s="32"/>
      <c r="F298" s="125"/>
      <c r="G298" s="125"/>
      <c r="H298" s="125"/>
      <c r="I298" s="125"/>
    </row>
    <row r="299" spans="2:9" ht="13.5" thickBot="1" x14ac:dyDescent="0.25">
      <c r="B299" s="185" t="s">
        <v>138</v>
      </c>
      <c r="C299" s="186"/>
      <c r="D299" s="186"/>
      <c r="E299" s="187"/>
      <c r="F299" s="125"/>
      <c r="G299" s="125"/>
      <c r="H299" s="125"/>
      <c r="I299" s="125"/>
    </row>
    <row r="300" spans="2:9" ht="13.5" thickBot="1" x14ac:dyDescent="0.25">
      <c r="B300" s="185" t="s">
        <v>139</v>
      </c>
      <c r="C300" s="187"/>
      <c r="D300" s="69" t="s">
        <v>11</v>
      </c>
      <c r="E300" s="69" t="s">
        <v>140</v>
      </c>
      <c r="F300" s="125"/>
      <c r="G300" s="125"/>
      <c r="H300" s="125"/>
      <c r="I300" s="125"/>
    </row>
    <row r="301" spans="2:9" s="130" customFormat="1" x14ac:dyDescent="0.2">
      <c r="B301" s="247" t="s">
        <v>317</v>
      </c>
      <c r="C301" s="247"/>
      <c r="D301" s="137">
        <v>14</v>
      </c>
      <c r="E301" s="138" t="s">
        <v>316</v>
      </c>
      <c r="F301" s="139">
        <f>SUM(D301:D320)</f>
        <v>499</v>
      </c>
      <c r="G301" s="139">
        <f>F301*$G$48</f>
        <v>1996</v>
      </c>
      <c r="H301" s="139">
        <f>G301*$H$48</f>
        <v>5988</v>
      </c>
      <c r="I301" s="139"/>
    </row>
    <row r="302" spans="2:9" s="130" customFormat="1" x14ac:dyDescent="0.2">
      <c r="B302" s="246" t="s">
        <v>318</v>
      </c>
      <c r="C302" s="246"/>
      <c r="D302" s="140">
        <v>32</v>
      </c>
      <c r="E302" s="141" t="s">
        <v>247</v>
      </c>
      <c r="F302" s="139"/>
      <c r="G302" s="139"/>
      <c r="H302" s="139"/>
      <c r="I302" s="139"/>
    </row>
    <row r="303" spans="2:9" s="130" customFormat="1" x14ac:dyDescent="0.2">
      <c r="B303" s="246" t="s">
        <v>320</v>
      </c>
      <c r="C303" s="246"/>
      <c r="D303" s="140">
        <v>36</v>
      </c>
      <c r="E303" s="141" t="s">
        <v>248</v>
      </c>
      <c r="F303" s="139"/>
      <c r="G303" s="139"/>
      <c r="H303" s="139"/>
      <c r="I303" s="139"/>
    </row>
    <row r="304" spans="2:9" s="130" customFormat="1" x14ac:dyDescent="0.2">
      <c r="B304" s="246" t="s">
        <v>319</v>
      </c>
      <c r="C304" s="246"/>
      <c r="D304" s="140">
        <v>32</v>
      </c>
      <c r="E304" s="141" t="s">
        <v>249</v>
      </c>
      <c r="F304" s="139"/>
      <c r="G304" s="139"/>
      <c r="H304" s="139"/>
      <c r="I304" s="139"/>
    </row>
    <row r="305" spans="2:9" s="130" customFormat="1" x14ac:dyDescent="0.2">
      <c r="B305" s="246" t="s">
        <v>314</v>
      </c>
      <c r="C305" s="246"/>
      <c r="D305" s="140">
        <v>34</v>
      </c>
      <c r="E305" s="141" t="s">
        <v>315</v>
      </c>
      <c r="F305" s="139"/>
      <c r="G305" s="139"/>
      <c r="H305" s="139"/>
      <c r="I305" s="139"/>
    </row>
    <row r="306" spans="2:9" s="130" customFormat="1" x14ac:dyDescent="0.2">
      <c r="B306" s="246" t="s">
        <v>250</v>
      </c>
      <c r="C306" s="246"/>
      <c r="D306" s="140">
        <v>10</v>
      </c>
      <c r="E306" s="141" t="s">
        <v>251</v>
      </c>
      <c r="F306" s="139"/>
      <c r="G306" s="139"/>
      <c r="H306" s="139"/>
      <c r="I306" s="139"/>
    </row>
    <row r="307" spans="2:9" s="130" customFormat="1" x14ac:dyDescent="0.2">
      <c r="B307" s="246" t="s">
        <v>252</v>
      </c>
      <c r="C307" s="246"/>
      <c r="D307" s="140">
        <v>18</v>
      </c>
      <c r="E307" s="141" t="s">
        <v>253</v>
      </c>
      <c r="F307" s="139"/>
      <c r="G307" s="139"/>
      <c r="H307" s="139"/>
      <c r="I307" s="139"/>
    </row>
    <row r="308" spans="2:9" s="130" customFormat="1" x14ac:dyDescent="0.2">
      <c r="B308" s="246" t="s">
        <v>254</v>
      </c>
      <c r="C308" s="246"/>
      <c r="D308" s="140">
        <v>18</v>
      </c>
      <c r="E308" s="141" t="s">
        <v>255</v>
      </c>
      <c r="F308" s="139"/>
      <c r="G308" s="139"/>
      <c r="H308" s="139"/>
      <c r="I308" s="139"/>
    </row>
    <row r="309" spans="2:9" s="130" customFormat="1" x14ac:dyDescent="0.2">
      <c r="B309" s="246" t="s">
        <v>256</v>
      </c>
      <c r="C309" s="246"/>
      <c r="D309" s="140">
        <v>32</v>
      </c>
      <c r="E309" s="141" t="s">
        <v>257</v>
      </c>
      <c r="F309" s="139"/>
      <c r="G309" s="139"/>
      <c r="H309" s="139"/>
      <c r="I309" s="139"/>
    </row>
    <row r="310" spans="2:9" s="130" customFormat="1" x14ac:dyDescent="0.2">
      <c r="B310" s="246" t="s">
        <v>321</v>
      </c>
      <c r="C310" s="246"/>
      <c r="D310" s="140">
        <v>27</v>
      </c>
      <c r="E310" s="141" t="s">
        <v>258</v>
      </c>
      <c r="F310" s="139"/>
      <c r="G310" s="139"/>
      <c r="H310" s="139"/>
      <c r="I310" s="139"/>
    </row>
    <row r="311" spans="2:9" s="130" customFormat="1" x14ac:dyDescent="0.2">
      <c r="B311" s="246" t="s">
        <v>259</v>
      </c>
      <c r="C311" s="246"/>
      <c r="D311" s="140">
        <v>14</v>
      </c>
      <c r="E311" s="141" t="s">
        <v>260</v>
      </c>
      <c r="F311" s="139"/>
      <c r="G311" s="139"/>
      <c r="H311" s="139"/>
      <c r="I311" s="139"/>
    </row>
    <row r="312" spans="2:9" s="130" customFormat="1" x14ac:dyDescent="0.2">
      <c r="B312" s="246" t="s">
        <v>261</v>
      </c>
      <c r="C312" s="246"/>
      <c r="D312" s="140">
        <v>36</v>
      </c>
      <c r="E312" s="141" t="s">
        <v>262</v>
      </c>
      <c r="F312" s="139"/>
      <c r="G312" s="139"/>
      <c r="H312" s="139"/>
      <c r="I312" s="139"/>
    </row>
    <row r="313" spans="2:9" s="130" customFormat="1" x14ac:dyDescent="0.2">
      <c r="B313" s="246" t="s">
        <v>322</v>
      </c>
      <c r="C313" s="246"/>
      <c r="D313" s="140">
        <v>36</v>
      </c>
      <c r="E313" s="141" t="s">
        <v>263</v>
      </c>
      <c r="F313" s="139"/>
      <c r="G313" s="139"/>
      <c r="H313" s="139"/>
      <c r="I313" s="139"/>
    </row>
    <row r="314" spans="2:9" s="130" customFormat="1" x14ac:dyDescent="0.2">
      <c r="B314" s="246" t="s">
        <v>264</v>
      </c>
      <c r="C314" s="246"/>
      <c r="D314" s="140">
        <v>14</v>
      </c>
      <c r="E314" s="141" t="s">
        <v>265</v>
      </c>
      <c r="F314" s="139"/>
      <c r="G314" s="139"/>
      <c r="H314" s="139"/>
      <c r="I314" s="139"/>
    </row>
    <row r="315" spans="2:9" s="130" customFormat="1" x14ac:dyDescent="0.2">
      <c r="B315" s="246" t="s">
        <v>266</v>
      </c>
      <c r="C315" s="246"/>
      <c r="D315" s="140">
        <v>23</v>
      </c>
      <c r="E315" s="141" t="s">
        <v>267</v>
      </c>
      <c r="F315" s="139"/>
      <c r="G315" s="139"/>
      <c r="H315" s="139"/>
      <c r="I315" s="139"/>
    </row>
    <row r="316" spans="2:9" s="130" customFormat="1" x14ac:dyDescent="0.2">
      <c r="B316" s="246" t="s">
        <v>268</v>
      </c>
      <c r="C316" s="246"/>
      <c r="D316" s="140">
        <v>23</v>
      </c>
      <c r="E316" s="141" t="s">
        <v>269</v>
      </c>
      <c r="F316" s="139"/>
      <c r="G316" s="139"/>
      <c r="H316" s="139"/>
      <c r="I316" s="139"/>
    </row>
    <row r="317" spans="2:9" s="130" customFormat="1" x14ac:dyDescent="0.2">
      <c r="B317" s="246" t="s">
        <v>270</v>
      </c>
      <c r="C317" s="246"/>
      <c r="D317" s="140">
        <v>18</v>
      </c>
      <c r="E317" s="141" t="s">
        <v>271</v>
      </c>
      <c r="F317" s="139"/>
      <c r="G317" s="139"/>
      <c r="H317" s="139"/>
      <c r="I317" s="139"/>
    </row>
    <row r="318" spans="2:9" s="130" customFormat="1" x14ac:dyDescent="0.2">
      <c r="B318" s="246" t="s">
        <v>272</v>
      </c>
      <c r="C318" s="246"/>
      <c r="D318" s="140">
        <v>23</v>
      </c>
      <c r="E318" s="141" t="s">
        <v>273</v>
      </c>
      <c r="F318" s="139"/>
      <c r="G318" s="139"/>
      <c r="H318" s="139"/>
      <c r="I318" s="139"/>
    </row>
    <row r="319" spans="2:9" s="130" customFormat="1" x14ac:dyDescent="0.2">
      <c r="B319" s="246" t="s">
        <v>274</v>
      </c>
      <c r="C319" s="246"/>
      <c r="D319" s="140">
        <v>23</v>
      </c>
      <c r="E319" s="141" t="s">
        <v>275</v>
      </c>
      <c r="F319" s="139"/>
      <c r="G319" s="139"/>
      <c r="H319" s="139"/>
      <c r="I319" s="139"/>
    </row>
    <row r="320" spans="2:9" s="130" customFormat="1" ht="13.5" thickBot="1" x14ac:dyDescent="0.25">
      <c r="B320" s="246" t="s">
        <v>323</v>
      </c>
      <c r="C320" s="246"/>
      <c r="D320" s="140">
        <v>36</v>
      </c>
      <c r="E320" s="141" t="s">
        <v>324</v>
      </c>
      <c r="F320" s="139"/>
      <c r="G320" s="139"/>
      <c r="H320" s="139"/>
      <c r="I320" s="139"/>
    </row>
    <row r="321" spans="2:9" ht="26.25" customHeight="1" thickBot="1" x14ac:dyDescent="0.25">
      <c r="B321" s="243" t="s">
        <v>331</v>
      </c>
      <c r="C321" s="244"/>
      <c r="D321" s="244"/>
      <c r="E321" s="245"/>
      <c r="F321" s="125"/>
      <c r="G321" s="125"/>
      <c r="H321" s="125"/>
      <c r="I321" s="125"/>
    </row>
    <row r="322" spans="2:9" x14ac:dyDescent="0.2">
      <c r="B322" s="33" t="s">
        <v>18</v>
      </c>
      <c r="C322" s="31"/>
      <c r="D322" s="72"/>
      <c r="E322" s="32"/>
      <c r="F322" s="125"/>
      <c r="G322" s="125"/>
      <c r="H322" s="125"/>
      <c r="I322" s="125"/>
    </row>
    <row r="323" spans="2:9" x14ac:dyDescent="0.2">
      <c r="B323" s="34"/>
      <c r="C323" s="199" t="s">
        <v>64</v>
      </c>
      <c r="D323" s="199"/>
      <c r="E323" s="199"/>
      <c r="F323" s="125"/>
      <c r="G323" s="125"/>
      <c r="H323" s="125"/>
      <c r="I323" s="125"/>
    </row>
    <row r="324" spans="2:9" x14ac:dyDescent="0.2">
      <c r="B324" s="33" t="s">
        <v>19</v>
      </c>
      <c r="C324" s="35"/>
      <c r="D324" s="35"/>
      <c r="E324" s="36"/>
      <c r="F324" s="125"/>
      <c r="G324" s="125"/>
      <c r="H324" s="125"/>
      <c r="I324" s="125"/>
    </row>
    <row r="325" spans="2:9" x14ac:dyDescent="0.2">
      <c r="B325" s="34"/>
      <c r="C325" s="199" t="s">
        <v>141</v>
      </c>
      <c r="D325" s="199"/>
      <c r="E325" s="199"/>
      <c r="F325" s="125"/>
      <c r="G325" s="125"/>
      <c r="H325" s="125"/>
      <c r="I325" s="125"/>
    </row>
    <row r="326" spans="2:9" x14ac:dyDescent="0.2">
      <c r="B326" s="33" t="s">
        <v>20</v>
      </c>
      <c r="C326" s="31"/>
      <c r="D326" s="72"/>
      <c r="E326" s="32"/>
      <c r="F326" s="125"/>
      <c r="G326" s="125"/>
      <c r="H326" s="125"/>
      <c r="I326" s="125"/>
    </row>
    <row r="327" spans="2:9" x14ac:dyDescent="0.2">
      <c r="B327" s="33"/>
      <c r="C327" s="198" t="s">
        <v>65</v>
      </c>
      <c r="D327" s="198"/>
      <c r="E327" s="198"/>
      <c r="F327" s="125"/>
      <c r="G327" s="125"/>
      <c r="H327" s="125"/>
      <c r="I327" s="125"/>
    </row>
    <row r="328" spans="2:9" ht="13.5" thickBot="1" x14ac:dyDescent="0.25">
      <c r="B328" s="37"/>
      <c r="C328" s="38"/>
      <c r="D328" s="73"/>
      <c r="E328" s="39"/>
      <c r="F328" s="125"/>
      <c r="G328" s="125"/>
      <c r="H328" s="125"/>
      <c r="I328" s="125"/>
    </row>
    <row r="329" spans="2:9" ht="13.5" thickBot="1" x14ac:dyDescent="0.25">
      <c r="F329" s="125"/>
      <c r="G329" s="125"/>
      <c r="H329" s="125"/>
      <c r="I329" s="125"/>
    </row>
    <row r="330" spans="2:9" x14ac:dyDescent="0.2">
      <c r="B330" s="27" t="s">
        <v>147</v>
      </c>
      <c r="C330" s="28"/>
      <c r="D330" s="71"/>
      <c r="E330" s="29"/>
      <c r="F330" s="125"/>
      <c r="G330" s="125"/>
      <c r="H330" s="125"/>
      <c r="I330" s="125"/>
    </row>
    <row r="331" spans="2:9" x14ac:dyDescent="0.2">
      <c r="B331" s="30"/>
      <c r="C331" s="31"/>
      <c r="D331" s="72"/>
      <c r="E331" s="32"/>
      <c r="F331" s="125"/>
      <c r="G331" s="125"/>
      <c r="H331" s="125"/>
      <c r="I331" s="125"/>
    </row>
    <row r="332" spans="2:9" x14ac:dyDescent="0.2">
      <c r="B332" s="33" t="s">
        <v>16</v>
      </c>
      <c r="C332" s="31"/>
      <c r="D332" s="72"/>
      <c r="E332" s="32"/>
      <c r="F332" s="125"/>
      <c r="G332" s="125"/>
      <c r="H332" s="125"/>
      <c r="I332" s="125"/>
    </row>
    <row r="333" spans="2:9" x14ac:dyDescent="0.2">
      <c r="B333" s="33"/>
      <c r="C333" s="199"/>
      <c r="D333" s="199"/>
      <c r="E333" s="199"/>
      <c r="F333" s="125"/>
      <c r="G333" s="125"/>
      <c r="H333" s="125"/>
      <c r="I333" s="125"/>
    </row>
    <row r="334" spans="2:9" ht="13.5" thickBot="1" x14ac:dyDescent="0.25">
      <c r="B334" s="33" t="s">
        <v>17</v>
      </c>
      <c r="C334" s="31"/>
      <c r="D334" s="72"/>
      <c r="E334" s="32"/>
      <c r="F334" s="125"/>
      <c r="G334" s="125"/>
      <c r="H334" s="125"/>
      <c r="I334" s="125"/>
    </row>
    <row r="335" spans="2:9" ht="13.5" thickBot="1" x14ac:dyDescent="0.25">
      <c r="B335" s="185" t="s">
        <v>138</v>
      </c>
      <c r="C335" s="186"/>
      <c r="D335" s="186"/>
      <c r="E335" s="187"/>
      <c r="F335" s="125"/>
      <c r="G335" s="125"/>
      <c r="H335" s="125"/>
      <c r="I335" s="125"/>
    </row>
    <row r="336" spans="2:9" x14ac:dyDescent="0.2">
      <c r="B336" s="248" t="s">
        <v>139</v>
      </c>
      <c r="C336" s="249"/>
      <c r="D336" s="123" t="s">
        <v>11</v>
      </c>
      <c r="E336" s="123" t="s">
        <v>140</v>
      </c>
      <c r="F336" s="125"/>
      <c r="G336" s="125"/>
      <c r="H336" s="125"/>
      <c r="I336" s="125"/>
    </row>
    <row r="337" spans="2:9" s="130" customFormat="1" x14ac:dyDescent="0.2">
      <c r="B337" s="246" t="s">
        <v>317</v>
      </c>
      <c r="C337" s="246"/>
      <c r="D337" s="140" t="s">
        <v>204</v>
      </c>
      <c r="E337" s="141" t="s">
        <v>316</v>
      </c>
      <c r="F337" s="139">
        <v>1108</v>
      </c>
      <c r="G337" s="139">
        <f>F337*$G$48</f>
        <v>4432</v>
      </c>
      <c r="H337" s="139">
        <f>G337*$H$48</f>
        <v>13296</v>
      </c>
      <c r="I337" s="139"/>
    </row>
    <row r="338" spans="2:9" s="130" customFormat="1" x14ac:dyDescent="0.2">
      <c r="B338" s="246" t="s">
        <v>318</v>
      </c>
      <c r="C338" s="246"/>
      <c r="D338" s="140" t="s">
        <v>171</v>
      </c>
      <c r="E338" s="141" t="s">
        <v>247</v>
      </c>
      <c r="F338" s="139"/>
      <c r="G338" s="139"/>
      <c r="H338" s="139"/>
      <c r="I338" s="139"/>
    </row>
    <row r="339" spans="2:9" s="130" customFormat="1" x14ac:dyDescent="0.2">
      <c r="B339" s="246" t="s">
        <v>320</v>
      </c>
      <c r="C339" s="246"/>
      <c r="D339" s="140" t="s">
        <v>194</v>
      </c>
      <c r="E339" s="141" t="s">
        <v>248</v>
      </c>
      <c r="F339" s="139"/>
      <c r="G339" s="139"/>
      <c r="H339" s="139"/>
      <c r="I339" s="139"/>
    </row>
    <row r="340" spans="2:9" s="130" customFormat="1" x14ac:dyDescent="0.2">
      <c r="B340" s="246" t="s">
        <v>319</v>
      </c>
      <c r="C340" s="246"/>
      <c r="D340" s="140" t="s">
        <v>171</v>
      </c>
      <c r="E340" s="141" t="s">
        <v>249</v>
      </c>
      <c r="F340" s="139"/>
      <c r="G340" s="139"/>
      <c r="H340" s="139"/>
      <c r="I340" s="139"/>
    </row>
    <row r="341" spans="2:9" s="130" customFormat="1" x14ac:dyDescent="0.2">
      <c r="B341" s="246" t="s">
        <v>314</v>
      </c>
      <c r="C341" s="246"/>
      <c r="D341" s="140" t="s">
        <v>179</v>
      </c>
      <c r="E341" s="141" t="s">
        <v>315</v>
      </c>
      <c r="F341" s="139"/>
      <c r="G341" s="139"/>
      <c r="H341" s="139"/>
      <c r="I341" s="139"/>
    </row>
    <row r="342" spans="2:9" s="130" customFormat="1" x14ac:dyDescent="0.2">
      <c r="B342" s="246" t="s">
        <v>250</v>
      </c>
      <c r="C342" s="246"/>
      <c r="D342" s="140" t="s">
        <v>183</v>
      </c>
      <c r="E342" s="141" t="s">
        <v>251</v>
      </c>
      <c r="F342" s="139"/>
      <c r="G342" s="139"/>
      <c r="H342" s="139"/>
      <c r="I342" s="139"/>
    </row>
    <row r="343" spans="2:9" s="130" customFormat="1" x14ac:dyDescent="0.2">
      <c r="B343" s="246" t="s">
        <v>252</v>
      </c>
      <c r="C343" s="246"/>
      <c r="D343" s="140" t="s">
        <v>175</v>
      </c>
      <c r="E343" s="141" t="s">
        <v>253</v>
      </c>
      <c r="F343" s="139"/>
      <c r="G343" s="139"/>
      <c r="H343" s="139"/>
      <c r="I343" s="139"/>
    </row>
    <row r="344" spans="2:9" s="130" customFormat="1" x14ac:dyDescent="0.2">
      <c r="B344" s="246" t="s">
        <v>254</v>
      </c>
      <c r="C344" s="246"/>
      <c r="D344" s="140" t="s">
        <v>175</v>
      </c>
      <c r="E344" s="141" t="s">
        <v>255</v>
      </c>
      <c r="F344" s="139"/>
      <c r="G344" s="139"/>
      <c r="H344" s="139"/>
      <c r="I344" s="139"/>
    </row>
    <row r="345" spans="2:9" s="130" customFormat="1" x14ac:dyDescent="0.2">
      <c r="B345" s="246" t="s">
        <v>256</v>
      </c>
      <c r="C345" s="246"/>
      <c r="D345" s="140" t="s">
        <v>171</v>
      </c>
      <c r="E345" s="141" t="s">
        <v>257</v>
      </c>
      <c r="F345" s="139"/>
      <c r="G345" s="139"/>
      <c r="H345" s="139"/>
      <c r="I345" s="139"/>
    </row>
    <row r="346" spans="2:9" s="130" customFormat="1" x14ac:dyDescent="0.2">
      <c r="B346" s="246" t="s">
        <v>321</v>
      </c>
      <c r="C346" s="246"/>
      <c r="D346" s="140" t="s">
        <v>176</v>
      </c>
      <c r="E346" s="141" t="s">
        <v>258</v>
      </c>
      <c r="F346" s="139"/>
      <c r="G346" s="139"/>
      <c r="H346" s="139"/>
      <c r="I346" s="139"/>
    </row>
    <row r="347" spans="2:9" s="130" customFormat="1" x14ac:dyDescent="0.2">
      <c r="B347" s="246" t="s">
        <v>259</v>
      </c>
      <c r="C347" s="246"/>
      <c r="D347" s="140" t="s">
        <v>174</v>
      </c>
      <c r="E347" s="141" t="s">
        <v>260</v>
      </c>
      <c r="F347" s="139"/>
      <c r="G347" s="139"/>
      <c r="H347" s="139"/>
      <c r="I347" s="139"/>
    </row>
    <row r="348" spans="2:9" s="130" customFormat="1" x14ac:dyDescent="0.2">
      <c r="B348" s="246" t="s">
        <v>261</v>
      </c>
      <c r="C348" s="246"/>
      <c r="D348" s="140" t="s">
        <v>194</v>
      </c>
      <c r="E348" s="141" t="s">
        <v>262</v>
      </c>
      <c r="F348" s="139"/>
      <c r="G348" s="139"/>
      <c r="H348" s="139"/>
      <c r="I348" s="139"/>
    </row>
    <row r="349" spans="2:9" s="130" customFormat="1" x14ac:dyDescent="0.2">
      <c r="B349" s="246" t="s">
        <v>322</v>
      </c>
      <c r="C349" s="246"/>
      <c r="D349" s="140" t="s">
        <v>194</v>
      </c>
      <c r="E349" s="141" t="s">
        <v>263</v>
      </c>
      <c r="F349" s="139"/>
      <c r="G349" s="139"/>
      <c r="H349" s="139"/>
      <c r="I349" s="139"/>
    </row>
    <row r="350" spans="2:9" s="130" customFormat="1" x14ac:dyDescent="0.2">
      <c r="B350" s="246" t="s">
        <v>264</v>
      </c>
      <c r="C350" s="246"/>
      <c r="D350" s="140" t="s">
        <v>174</v>
      </c>
      <c r="E350" s="141" t="s">
        <v>265</v>
      </c>
      <c r="F350" s="139"/>
      <c r="G350" s="139"/>
      <c r="H350" s="139"/>
      <c r="I350" s="139"/>
    </row>
    <row r="351" spans="2:9" s="130" customFormat="1" x14ac:dyDescent="0.2">
      <c r="B351" s="246" t="s">
        <v>266</v>
      </c>
      <c r="C351" s="246"/>
      <c r="D351" s="140" t="s">
        <v>182</v>
      </c>
      <c r="E351" s="141" t="s">
        <v>267</v>
      </c>
      <c r="F351" s="139"/>
      <c r="G351" s="139"/>
      <c r="H351" s="139"/>
      <c r="I351" s="139"/>
    </row>
    <row r="352" spans="2:9" s="130" customFormat="1" x14ac:dyDescent="0.2">
      <c r="B352" s="246" t="s">
        <v>268</v>
      </c>
      <c r="C352" s="246"/>
      <c r="D352" s="140" t="s">
        <v>182</v>
      </c>
      <c r="E352" s="141" t="s">
        <v>269</v>
      </c>
      <c r="F352" s="139"/>
      <c r="G352" s="139"/>
      <c r="H352" s="139"/>
      <c r="I352" s="139"/>
    </row>
    <row r="353" spans="2:9" s="130" customFormat="1" x14ac:dyDescent="0.2">
      <c r="B353" s="246" t="s">
        <v>270</v>
      </c>
      <c r="C353" s="246"/>
      <c r="D353" s="140" t="s">
        <v>175</v>
      </c>
      <c r="E353" s="141" t="s">
        <v>271</v>
      </c>
      <c r="F353" s="139"/>
      <c r="G353" s="139"/>
      <c r="H353" s="139"/>
      <c r="I353" s="139"/>
    </row>
    <row r="354" spans="2:9" s="130" customFormat="1" x14ac:dyDescent="0.2">
      <c r="B354" s="246" t="s">
        <v>272</v>
      </c>
      <c r="C354" s="246"/>
      <c r="D354" s="140" t="s">
        <v>182</v>
      </c>
      <c r="E354" s="141" t="s">
        <v>273</v>
      </c>
      <c r="F354" s="139"/>
      <c r="G354" s="139"/>
      <c r="H354" s="139"/>
      <c r="I354" s="139"/>
    </row>
    <row r="355" spans="2:9" s="130" customFormat="1" x14ac:dyDescent="0.2">
      <c r="B355" s="246" t="s">
        <v>274</v>
      </c>
      <c r="C355" s="246"/>
      <c r="D355" s="140" t="s">
        <v>182</v>
      </c>
      <c r="E355" s="141" t="s">
        <v>275</v>
      </c>
      <c r="F355" s="139"/>
      <c r="G355" s="139"/>
      <c r="H355" s="139"/>
      <c r="I355" s="139"/>
    </row>
    <row r="356" spans="2:9" s="130" customFormat="1" ht="13.5" thickBot="1" x14ac:dyDescent="0.25">
      <c r="B356" s="246" t="s">
        <v>323</v>
      </c>
      <c r="C356" s="246"/>
      <c r="D356" s="140" t="s">
        <v>194</v>
      </c>
      <c r="E356" s="141" t="s">
        <v>324</v>
      </c>
      <c r="F356" s="139"/>
      <c r="G356" s="139"/>
      <c r="H356" s="139"/>
      <c r="I356" s="139"/>
    </row>
    <row r="357" spans="2:9" ht="26.25" customHeight="1" thickBot="1" x14ac:dyDescent="0.25">
      <c r="B357" s="243" t="s">
        <v>327</v>
      </c>
      <c r="C357" s="244"/>
      <c r="D357" s="244"/>
      <c r="E357" s="245"/>
      <c r="F357" s="125"/>
      <c r="G357" s="125"/>
      <c r="H357" s="125"/>
      <c r="I357" s="125"/>
    </row>
    <row r="358" spans="2:9" x14ac:dyDescent="0.2">
      <c r="B358" s="33" t="s">
        <v>18</v>
      </c>
      <c r="C358" s="31"/>
      <c r="D358" s="72"/>
      <c r="E358" s="32"/>
      <c r="F358" s="125"/>
      <c r="G358" s="125"/>
      <c r="H358" s="125"/>
      <c r="I358" s="125"/>
    </row>
    <row r="359" spans="2:9" x14ac:dyDescent="0.2">
      <c r="B359" s="34"/>
      <c r="C359" s="199" t="s">
        <v>64</v>
      </c>
      <c r="D359" s="199"/>
      <c r="E359" s="199"/>
      <c r="F359" s="125"/>
      <c r="G359" s="125"/>
      <c r="H359" s="125"/>
      <c r="I359" s="125"/>
    </row>
    <row r="360" spans="2:9" x14ac:dyDescent="0.2">
      <c r="B360" s="33" t="s">
        <v>19</v>
      </c>
      <c r="C360" s="35"/>
      <c r="D360" s="35"/>
      <c r="E360" s="36"/>
      <c r="F360" s="125"/>
      <c r="G360" s="125"/>
      <c r="H360" s="125"/>
      <c r="I360" s="125"/>
    </row>
    <row r="361" spans="2:9" x14ac:dyDescent="0.2">
      <c r="B361" s="34"/>
      <c r="C361" s="199" t="s">
        <v>141</v>
      </c>
      <c r="D361" s="199"/>
      <c r="E361" s="199"/>
      <c r="F361" s="125"/>
      <c r="G361" s="125"/>
      <c r="H361" s="125"/>
      <c r="I361" s="125"/>
    </row>
    <row r="362" spans="2:9" x14ac:dyDescent="0.2">
      <c r="B362" s="33" t="s">
        <v>20</v>
      </c>
      <c r="C362" s="31"/>
      <c r="D362" s="72"/>
      <c r="E362" s="32"/>
      <c r="F362" s="125"/>
      <c r="G362" s="125"/>
      <c r="H362" s="125"/>
      <c r="I362" s="125"/>
    </row>
    <row r="363" spans="2:9" x14ac:dyDescent="0.2">
      <c r="B363" s="33"/>
      <c r="C363" s="198" t="s">
        <v>65</v>
      </c>
      <c r="D363" s="198"/>
      <c r="E363" s="198"/>
      <c r="F363" s="125"/>
      <c r="G363" s="125"/>
      <c r="H363" s="125"/>
      <c r="I363" s="125"/>
    </row>
    <row r="364" spans="2:9" ht="13.5" thickBot="1" x14ac:dyDescent="0.25">
      <c r="B364" s="37"/>
      <c r="C364" s="38"/>
      <c r="D364" s="73"/>
      <c r="E364" s="39"/>
      <c r="F364" s="125"/>
      <c r="G364" s="125"/>
      <c r="H364" s="125"/>
      <c r="I364" s="125"/>
    </row>
    <row r="365" spans="2:9" ht="13.5" thickBot="1" x14ac:dyDescent="0.25">
      <c r="F365" s="125"/>
      <c r="G365" s="125"/>
      <c r="H365" s="125"/>
      <c r="I365" s="125"/>
    </row>
    <row r="366" spans="2:9" x14ac:dyDescent="0.2">
      <c r="B366" s="27" t="s">
        <v>148</v>
      </c>
      <c r="C366" s="28"/>
      <c r="D366" s="71"/>
      <c r="E366" s="29"/>
      <c r="F366" s="125"/>
      <c r="G366" s="125"/>
      <c r="H366" s="125"/>
      <c r="I366" s="125"/>
    </row>
    <row r="367" spans="2:9" x14ac:dyDescent="0.2">
      <c r="B367" s="30"/>
      <c r="C367" s="31"/>
      <c r="D367" s="72"/>
      <c r="E367" s="32"/>
      <c r="F367" s="125"/>
      <c r="G367" s="125"/>
      <c r="H367" s="125"/>
      <c r="I367" s="125"/>
    </row>
    <row r="368" spans="2:9" x14ac:dyDescent="0.2">
      <c r="B368" s="33" t="s">
        <v>16</v>
      </c>
      <c r="C368" s="31"/>
      <c r="D368" s="72"/>
      <c r="E368" s="32"/>
      <c r="F368" s="125"/>
      <c r="G368" s="125"/>
      <c r="H368" s="125"/>
      <c r="I368" s="125"/>
    </row>
    <row r="369" spans="2:9" x14ac:dyDescent="0.2">
      <c r="B369" s="33"/>
      <c r="C369" s="199"/>
      <c r="D369" s="199"/>
      <c r="E369" s="199"/>
      <c r="F369" s="125"/>
      <c r="G369" s="125"/>
      <c r="H369" s="125"/>
      <c r="I369" s="125"/>
    </row>
    <row r="370" spans="2:9" ht="13.5" thickBot="1" x14ac:dyDescent="0.25">
      <c r="B370" s="33" t="s">
        <v>17</v>
      </c>
      <c r="C370" s="31"/>
      <c r="D370" s="72"/>
      <c r="E370" s="32"/>
      <c r="F370" s="125"/>
      <c r="G370" s="125"/>
      <c r="H370" s="125"/>
      <c r="I370" s="125"/>
    </row>
    <row r="371" spans="2:9" ht="13.5" thickBot="1" x14ac:dyDescent="0.25">
      <c r="B371" s="185" t="s">
        <v>138</v>
      </c>
      <c r="C371" s="186"/>
      <c r="D371" s="186"/>
      <c r="E371" s="187"/>
      <c r="F371" s="125"/>
      <c r="G371" s="125"/>
      <c r="H371" s="125"/>
      <c r="I371" s="125"/>
    </row>
    <row r="372" spans="2:9" ht="13.5" thickBot="1" x14ac:dyDescent="0.25">
      <c r="B372" s="185" t="s">
        <v>139</v>
      </c>
      <c r="C372" s="187"/>
      <c r="D372" s="69" t="s">
        <v>11</v>
      </c>
      <c r="E372" s="69" t="s">
        <v>140</v>
      </c>
      <c r="F372" s="125"/>
      <c r="G372" s="125"/>
      <c r="H372" s="125"/>
      <c r="I372" s="125"/>
    </row>
    <row r="373" spans="2:9" s="130" customFormat="1" x14ac:dyDescent="0.2">
      <c r="B373" s="247" t="s">
        <v>317</v>
      </c>
      <c r="C373" s="247"/>
      <c r="D373" s="137" t="s">
        <v>199</v>
      </c>
      <c r="E373" s="138" t="s">
        <v>316</v>
      </c>
      <c r="F373" s="139">
        <v>1389</v>
      </c>
      <c r="G373" s="139">
        <f>F373*$G$48</f>
        <v>5556</v>
      </c>
      <c r="H373" s="139">
        <f>G373*$H$48</f>
        <v>16668</v>
      </c>
      <c r="I373" s="139"/>
    </row>
    <row r="374" spans="2:9" s="130" customFormat="1" x14ac:dyDescent="0.2">
      <c r="B374" s="246" t="s">
        <v>318</v>
      </c>
      <c r="C374" s="246"/>
      <c r="D374" s="140" t="s">
        <v>236</v>
      </c>
      <c r="E374" s="141" t="s">
        <v>247</v>
      </c>
      <c r="F374" s="139"/>
      <c r="G374" s="139"/>
      <c r="H374" s="139"/>
      <c r="I374" s="139"/>
    </row>
    <row r="375" spans="2:9" s="130" customFormat="1" x14ac:dyDescent="0.2">
      <c r="B375" s="246" t="s">
        <v>320</v>
      </c>
      <c r="C375" s="246"/>
      <c r="D375" s="140" t="s">
        <v>332</v>
      </c>
      <c r="E375" s="141" t="s">
        <v>248</v>
      </c>
      <c r="F375" s="139"/>
      <c r="G375" s="139"/>
      <c r="H375" s="139"/>
      <c r="I375" s="139"/>
    </row>
    <row r="376" spans="2:9" s="130" customFormat="1" x14ac:dyDescent="0.2">
      <c r="B376" s="246" t="s">
        <v>319</v>
      </c>
      <c r="C376" s="246"/>
      <c r="D376" s="140" t="s">
        <v>236</v>
      </c>
      <c r="E376" s="141" t="s">
        <v>249</v>
      </c>
      <c r="F376" s="139"/>
      <c r="G376" s="139"/>
      <c r="H376" s="139"/>
      <c r="I376" s="139"/>
    </row>
    <row r="377" spans="2:9" s="130" customFormat="1" x14ac:dyDescent="0.2">
      <c r="B377" s="246" t="s">
        <v>314</v>
      </c>
      <c r="C377" s="246"/>
      <c r="D377" s="140" t="s">
        <v>333</v>
      </c>
      <c r="E377" s="141" t="s">
        <v>315</v>
      </c>
      <c r="F377" s="139"/>
      <c r="G377" s="139"/>
      <c r="H377" s="139"/>
      <c r="I377" s="139"/>
    </row>
    <row r="378" spans="2:9" s="130" customFormat="1" x14ac:dyDescent="0.2">
      <c r="B378" s="246" t="s">
        <v>250</v>
      </c>
      <c r="C378" s="246"/>
      <c r="D378" s="140" t="s">
        <v>193</v>
      </c>
      <c r="E378" s="141" t="s">
        <v>251</v>
      </c>
      <c r="F378" s="139"/>
      <c r="G378" s="139"/>
      <c r="H378" s="139"/>
      <c r="I378" s="139"/>
    </row>
    <row r="379" spans="2:9" s="130" customFormat="1" x14ac:dyDescent="0.2">
      <c r="B379" s="246" t="s">
        <v>252</v>
      </c>
      <c r="C379" s="246"/>
      <c r="D379" s="140" t="s">
        <v>234</v>
      </c>
      <c r="E379" s="141" t="s">
        <v>253</v>
      </c>
      <c r="F379" s="139"/>
      <c r="G379" s="139"/>
      <c r="H379" s="139"/>
      <c r="I379" s="139"/>
    </row>
    <row r="380" spans="2:9" s="130" customFormat="1" x14ac:dyDescent="0.2">
      <c r="B380" s="246" t="s">
        <v>254</v>
      </c>
      <c r="C380" s="246"/>
      <c r="D380" s="140" t="s">
        <v>234</v>
      </c>
      <c r="E380" s="141" t="s">
        <v>255</v>
      </c>
      <c r="F380" s="139"/>
      <c r="G380" s="139"/>
      <c r="H380" s="139"/>
      <c r="I380" s="139"/>
    </row>
    <row r="381" spans="2:9" s="130" customFormat="1" x14ac:dyDescent="0.2">
      <c r="B381" s="246" t="s">
        <v>256</v>
      </c>
      <c r="C381" s="246"/>
      <c r="D381" s="140" t="s">
        <v>236</v>
      </c>
      <c r="E381" s="141" t="s">
        <v>257</v>
      </c>
      <c r="F381" s="139"/>
      <c r="G381" s="139"/>
      <c r="H381" s="139"/>
      <c r="I381" s="139"/>
    </row>
    <row r="382" spans="2:9" s="130" customFormat="1" x14ac:dyDescent="0.2">
      <c r="B382" s="246" t="s">
        <v>321</v>
      </c>
      <c r="C382" s="246"/>
      <c r="D382" s="140" t="s">
        <v>235</v>
      </c>
      <c r="E382" s="141" t="s">
        <v>258</v>
      </c>
      <c r="F382" s="139"/>
      <c r="G382" s="139"/>
      <c r="H382" s="139"/>
      <c r="I382" s="139"/>
    </row>
    <row r="383" spans="2:9" s="130" customFormat="1" x14ac:dyDescent="0.2">
      <c r="B383" s="246" t="s">
        <v>259</v>
      </c>
      <c r="C383" s="246"/>
      <c r="D383" s="140" t="s">
        <v>195</v>
      </c>
      <c r="E383" s="141" t="s">
        <v>260</v>
      </c>
      <c r="F383" s="139"/>
      <c r="G383" s="139"/>
      <c r="H383" s="139"/>
      <c r="I383" s="139"/>
    </row>
    <row r="384" spans="2:9" s="130" customFormat="1" x14ac:dyDescent="0.2">
      <c r="B384" s="246" t="s">
        <v>261</v>
      </c>
      <c r="C384" s="246"/>
      <c r="D384" s="140" t="s">
        <v>332</v>
      </c>
      <c r="E384" s="141" t="s">
        <v>262</v>
      </c>
      <c r="F384" s="139"/>
      <c r="G384" s="139"/>
      <c r="H384" s="139"/>
      <c r="I384" s="139"/>
    </row>
    <row r="385" spans="2:9" s="130" customFormat="1" x14ac:dyDescent="0.2">
      <c r="B385" s="246" t="s">
        <v>322</v>
      </c>
      <c r="C385" s="246"/>
      <c r="D385" s="140" t="s">
        <v>332</v>
      </c>
      <c r="E385" s="141" t="s">
        <v>263</v>
      </c>
      <c r="F385" s="139"/>
      <c r="G385" s="139"/>
      <c r="H385" s="139"/>
      <c r="I385" s="139"/>
    </row>
    <row r="386" spans="2:9" s="130" customFormat="1" x14ac:dyDescent="0.2">
      <c r="B386" s="246" t="s">
        <v>264</v>
      </c>
      <c r="C386" s="246"/>
      <c r="D386" s="140" t="s">
        <v>195</v>
      </c>
      <c r="E386" s="141" t="s">
        <v>265</v>
      </c>
      <c r="F386" s="139"/>
      <c r="G386" s="139"/>
      <c r="H386" s="139"/>
      <c r="I386" s="139"/>
    </row>
    <row r="387" spans="2:9" s="130" customFormat="1" x14ac:dyDescent="0.2">
      <c r="B387" s="246" t="s">
        <v>266</v>
      </c>
      <c r="C387" s="246"/>
      <c r="D387" s="140" t="s">
        <v>237</v>
      </c>
      <c r="E387" s="141" t="s">
        <v>267</v>
      </c>
      <c r="F387" s="139"/>
      <c r="G387" s="139"/>
      <c r="H387" s="139"/>
      <c r="I387" s="139"/>
    </row>
    <row r="388" spans="2:9" s="130" customFormat="1" x14ac:dyDescent="0.2">
      <c r="B388" s="246" t="s">
        <v>268</v>
      </c>
      <c r="C388" s="246"/>
      <c r="D388" s="140" t="s">
        <v>237</v>
      </c>
      <c r="E388" s="141" t="s">
        <v>269</v>
      </c>
      <c r="F388" s="139"/>
      <c r="G388" s="139"/>
      <c r="H388" s="139"/>
      <c r="I388" s="139"/>
    </row>
    <row r="389" spans="2:9" s="130" customFormat="1" x14ac:dyDescent="0.2">
      <c r="B389" s="246" t="s">
        <v>270</v>
      </c>
      <c r="C389" s="246"/>
      <c r="D389" s="140" t="s">
        <v>234</v>
      </c>
      <c r="E389" s="141" t="s">
        <v>271</v>
      </c>
      <c r="F389" s="139"/>
      <c r="G389" s="139"/>
      <c r="H389" s="139"/>
      <c r="I389" s="139"/>
    </row>
    <row r="390" spans="2:9" s="130" customFormat="1" x14ac:dyDescent="0.2">
      <c r="B390" s="246" t="s">
        <v>272</v>
      </c>
      <c r="C390" s="246"/>
      <c r="D390" s="140" t="s">
        <v>237</v>
      </c>
      <c r="E390" s="141" t="s">
        <v>273</v>
      </c>
      <c r="F390" s="139"/>
      <c r="G390" s="139"/>
      <c r="H390" s="139"/>
      <c r="I390" s="139"/>
    </row>
    <row r="391" spans="2:9" s="130" customFormat="1" x14ac:dyDescent="0.2">
      <c r="B391" s="246" t="s">
        <v>274</v>
      </c>
      <c r="C391" s="246"/>
      <c r="D391" s="140" t="s">
        <v>237</v>
      </c>
      <c r="E391" s="141" t="s">
        <v>275</v>
      </c>
      <c r="F391" s="139"/>
      <c r="G391" s="139"/>
      <c r="H391" s="139"/>
      <c r="I391" s="139"/>
    </row>
    <row r="392" spans="2:9" s="130" customFormat="1" ht="13.5" thickBot="1" x14ac:dyDescent="0.25">
      <c r="B392" s="246" t="s">
        <v>323</v>
      </c>
      <c r="C392" s="246"/>
      <c r="D392" s="140" t="s">
        <v>332</v>
      </c>
      <c r="E392" s="141" t="s">
        <v>324</v>
      </c>
      <c r="F392" s="139"/>
      <c r="G392" s="139"/>
      <c r="H392" s="139"/>
      <c r="I392" s="139"/>
    </row>
    <row r="393" spans="2:9" ht="26.25" customHeight="1" thickBot="1" x14ac:dyDescent="0.25">
      <c r="B393" s="243" t="s">
        <v>334</v>
      </c>
      <c r="C393" s="244"/>
      <c r="D393" s="244"/>
      <c r="E393" s="245"/>
      <c r="F393" s="125"/>
      <c r="G393" s="125"/>
      <c r="H393" s="125"/>
      <c r="I393" s="125"/>
    </row>
    <row r="394" spans="2:9" x14ac:dyDescent="0.2">
      <c r="B394" s="33" t="s">
        <v>18</v>
      </c>
      <c r="C394" s="31"/>
      <c r="D394" s="72"/>
      <c r="E394" s="32"/>
      <c r="F394" s="125"/>
      <c r="G394" s="125"/>
      <c r="H394" s="125"/>
      <c r="I394" s="125"/>
    </row>
    <row r="395" spans="2:9" x14ac:dyDescent="0.2">
      <c r="B395" s="34"/>
      <c r="C395" s="199" t="s">
        <v>64</v>
      </c>
      <c r="D395" s="199"/>
      <c r="E395" s="199"/>
      <c r="F395" s="125"/>
      <c r="G395" s="125"/>
      <c r="H395" s="125"/>
      <c r="I395" s="125"/>
    </row>
    <row r="396" spans="2:9" x14ac:dyDescent="0.2">
      <c r="B396" s="33" t="s">
        <v>19</v>
      </c>
      <c r="C396" s="35"/>
      <c r="D396" s="35"/>
      <c r="E396" s="36"/>
      <c r="F396" s="125"/>
      <c r="G396" s="125"/>
      <c r="H396" s="125"/>
      <c r="I396" s="125"/>
    </row>
    <row r="397" spans="2:9" x14ac:dyDescent="0.2">
      <c r="B397" s="34"/>
      <c r="C397" s="199" t="s">
        <v>141</v>
      </c>
      <c r="D397" s="199"/>
      <c r="E397" s="199"/>
      <c r="F397" s="125"/>
      <c r="G397" s="125"/>
      <c r="H397" s="125"/>
      <c r="I397" s="125"/>
    </row>
    <row r="398" spans="2:9" x14ac:dyDescent="0.2">
      <c r="B398" s="33" t="s">
        <v>20</v>
      </c>
      <c r="C398" s="31"/>
      <c r="D398" s="72"/>
      <c r="E398" s="32"/>
      <c r="F398" s="125"/>
      <c r="G398" s="125"/>
      <c r="H398" s="125"/>
      <c r="I398" s="125"/>
    </row>
    <row r="399" spans="2:9" x14ac:dyDescent="0.2">
      <c r="B399" s="33"/>
      <c r="C399" s="198" t="s">
        <v>65</v>
      </c>
      <c r="D399" s="198"/>
      <c r="E399" s="198"/>
      <c r="F399" s="125"/>
      <c r="G399" s="125"/>
      <c r="H399" s="125"/>
      <c r="I399" s="125"/>
    </row>
    <row r="400" spans="2:9" ht="13.5" thickBot="1" x14ac:dyDescent="0.25">
      <c r="B400" s="37"/>
      <c r="C400" s="38"/>
      <c r="D400" s="73"/>
      <c r="E400" s="39"/>
      <c r="F400" s="125"/>
      <c r="G400" s="125"/>
      <c r="H400" s="125"/>
      <c r="I400" s="125"/>
    </row>
    <row r="401" spans="2:9" ht="13.5" thickBot="1" x14ac:dyDescent="0.25">
      <c r="F401" s="125"/>
      <c r="G401" s="125"/>
      <c r="H401" s="125"/>
      <c r="I401" s="125"/>
    </row>
    <row r="402" spans="2:9" x14ac:dyDescent="0.2">
      <c r="B402" s="27" t="s">
        <v>149</v>
      </c>
      <c r="C402" s="28"/>
      <c r="D402" s="71"/>
      <c r="E402" s="29"/>
      <c r="F402" s="125"/>
      <c r="G402" s="125"/>
      <c r="H402" s="125"/>
      <c r="I402" s="125"/>
    </row>
    <row r="403" spans="2:9" x14ac:dyDescent="0.2">
      <c r="B403" s="30"/>
      <c r="C403" s="31"/>
      <c r="D403" s="72"/>
      <c r="E403" s="32"/>
      <c r="F403" s="125"/>
      <c r="G403" s="125"/>
      <c r="H403" s="125"/>
      <c r="I403" s="125"/>
    </row>
    <row r="404" spans="2:9" x14ac:dyDescent="0.2">
      <c r="B404" s="33" t="s">
        <v>16</v>
      </c>
      <c r="C404" s="31"/>
      <c r="D404" s="72"/>
      <c r="E404" s="32"/>
      <c r="F404" s="125"/>
      <c r="G404" s="125"/>
      <c r="H404" s="125"/>
      <c r="I404" s="125"/>
    </row>
    <row r="405" spans="2:9" x14ac:dyDescent="0.2">
      <c r="B405" s="33"/>
      <c r="C405" s="199"/>
      <c r="D405" s="199"/>
      <c r="E405" s="199"/>
      <c r="F405" s="125"/>
      <c r="G405" s="125"/>
      <c r="H405" s="125"/>
      <c r="I405" s="125"/>
    </row>
    <row r="406" spans="2:9" ht="13.5" thickBot="1" x14ac:dyDescent="0.25">
      <c r="B406" s="33" t="s">
        <v>17</v>
      </c>
      <c r="C406" s="31"/>
      <c r="D406" s="72"/>
      <c r="E406" s="32"/>
      <c r="F406" s="125"/>
      <c r="G406" s="125"/>
      <c r="H406" s="125"/>
      <c r="I406" s="125"/>
    </row>
    <row r="407" spans="2:9" ht="13.5" thickBot="1" x14ac:dyDescent="0.25">
      <c r="B407" s="185" t="s">
        <v>138</v>
      </c>
      <c r="C407" s="186"/>
      <c r="D407" s="186"/>
      <c r="E407" s="187"/>
      <c r="F407" s="125"/>
      <c r="G407" s="125"/>
      <c r="H407" s="125"/>
      <c r="I407" s="125"/>
    </row>
    <row r="408" spans="2:9" ht="13.5" thickBot="1" x14ac:dyDescent="0.25">
      <c r="B408" s="185" t="s">
        <v>139</v>
      </c>
      <c r="C408" s="187"/>
      <c r="D408" s="69" t="s">
        <v>11</v>
      </c>
      <c r="E408" s="69" t="s">
        <v>140</v>
      </c>
      <c r="F408" s="125"/>
      <c r="G408" s="125"/>
      <c r="H408" s="125"/>
      <c r="I408" s="125"/>
    </row>
    <row r="409" spans="2:9" s="130" customFormat="1" x14ac:dyDescent="0.2">
      <c r="B409" s="247" t="s">
        <v>317</v>
      </c>
      <c r="C409" s="247"/>
      <c r="D409" s="137" t="s">
        <v>296</v>
      </c>
      <c r="E409" s="138" t="s">
        <v>316</v>
      </c>
      <c r="F409" s="139">
        <v>872</v>
      </c>
      <c r="G409" s="139">
        <f>F409*$G$48</f>
        <v>3488</v>
      </c>
      <c r="H409" s="139">
        <f>G409*$H$48</f>
        <v>10464</v>
      </c>
      <c r="I409" s="139"/>
    </row>
    <row r="410" spans="2:9" s="130" customFormat="1" x14ac:dyDescent="0.2">
      <c r="B410" s="246" t="s">
        <v>318</v>
      </c>
      <c r="C410" s="246"/>
      <c r="D410" s="140" t="s">
        <v>214</v>
      </c>
      <c r="E410" s="141" t="s">
        <v>247</v>
      </c>
      <c r="F410" s="139"/>
      <c r="G410" s="139"/>
      <c r="H410" s="139"/>
      <c r="I410" s="139"/>
    </row>
    <row r="411" spans="2:9" s="130" customFormat="1" x14ac:dyDescent="0.2">
      <c r="B411" s="246" t="s">
        <v>320</v>
      </c>
      <c r="C411" s="246"/>
      <c r="D411" s="140" t="s">
        <v>232</v>
      </c>
      <c r="E411" s="141" t="s">
        <v>248</v>
      </c>
      <c r="F411" s="139"/>
      <c r="G411" s="139"/>
      <c r="H411" s="139"/>
      <c r="I411" s="139"/>
    </row>
    <row r="412" spans="2:9" s="130" customFormat="1" x14ac:dyDescent="0.2">
      <c r="B412" s="246" t="s">
        <v>319</v>
      </c>
      <c r="C412" s="246"/>
      <c r="D412" s="140" t="s">
        <v>214</v>
      </c>
      <c r="E412" s="141" t="s">
        <v>249</v>
      </c>
      <c r="F412" s="139"/>
      <c r="G412" s="139"/>
      <c r="H412" s="139"/>
      <c r="I412" s="139"/>
    </row>
    <row r="413" spans="2:9" s="130" customFormat="1" x14ac:dyDescent="0.2">
      <c r="B413" s="246" t="s">
        <v>314</v>
      </c>
      <c r="C413" s="246"/>
      <c r="D413" s="140" t="s">
        <v>335</v>
      </c>
      <c r="E413" s="141" t="s">
        <v>315</v>
      </c>
      <c r="F413" s="139"/>
      <c r="G413" s="139"/>
      <c r="H413" s="139"/>
      <c r="I413" s="139"/>
    </row>
    <row r="414" spans="2:9" s="130" customFormat="1" x14ac:dyDescent="0.2">
      <c r="B414" s="246" t="s">
        <v>250</v>
      </c>
      <c r="C414" s="246"/>
      <c r="D414" s="140" t="s">
        <v>176</v>
      </c>
      <c r="E414" s="141" t="s">
        <v>251</v>
      </c>
      <c r="F414" s="139"/>
      <c r="G414" s="139"/>
      <c r="H414" s="139"/>
      <c r="I414" s="139"/>
    </row>
    <row r="415" spans="2:9" s="130" customFormat="1" x14ac:dyDescent="0.2">
      <c r="B415" s="246" t="s">
        <v>252</v>
      </c>
      <c r="C415" s="246"/>
      <c r="D415" s="140" t="s">
        <v>192</v>
      </c>
      <c r="E415" s="141" t="s">
        <v>253</v>
      </c>
      <c r="F415" s="139"/>
      <c r="G415" s="139"/>
      <c r="H415" s="139"/>
      <c r="I415" s="139"/>
    </row>
    <row r="416" spans="2:9" s="130" customFormat="1" x14ac:dyDescent="0.2">
      <c r="B416" s="246" t="s">
        <v>254</v>
      </c>
      <c r="C416" s="246"/>
      <c r="D416" s="140" t="s">
        <v>192</v>
      </c>
      <c r="E416" s="141" t="s">
        <v>255</v>
      </c>
      <c r="F416" s="139"/>
      <c r="G416" s="139"/>
      <c r="H416" s="139"/>
      <c r="I416" s="139"/>
    </row>
    <row r="417" spans="2:9" s="130" customFormat="1" x14ac:dyDescent="0.2">
      <c r="B417" s="246" t="s">
        <v>256</v>
      </c>
      <c r="C417" s="246"/>
      <c r="D417" s="140" t="s">
        <v>214</v>
      </c>
      <c r="E417" s="141" t="s">
        <v>257</v>
      </c>
      <c r="F417" s="139"/>
      <c r="G417" s="139"/>
      <c r="H417" s="139"/>
      <c r="I417" s="139"/>
    </row>
    <row r="418" spans="2:9" s="130" customFormat="1" x14ac:dyDescent="0.2">
      <c r="B418" s="246" t="s">
        <v>321</v>
      </c>
      <c r="C418" s="246"/>
      <c r="D418" s="140" t="s">
        <v>213</v>
      </c>
      <c r="E418" s="141" t="s">
        <v>258</v>
      </c>
      <c r="F418" s="139"/>
      <c r="G418" s="139"/>
      <c r="H418" s="139"/>
      <c r="I418" s="139"/>
    </row>
    <row r="419" spans="2:9" s="130" customFormat="1" x14ac:dyDescent="0.2">
      <c r="B419" s="246" t="s">
        <v>259</v>
      </c>
      <c r="C419" s="246"/>
      <c r="D419" s="140" t="s">
        <v>172</v>
      </c>
      <c r="E419" s="141" t="s">
        <v>260</v>
      </c>
      <c r="F419" s="139"/>
      <c r="G419" s="139"/>
      <c r="H419" s="139"/>
      <c r="I419" s="139"/>
    </row>
    <row r="420" spans="2:9" s="130" customFormat="1" x14ac:dyDescent="0.2">
      <c r="B420" s="246" t="s">
        <v>261</v>
      </c>
      <c r="C420" s="246"/>
      <c r="D420" s="140" t="s">
        <v>232</v>
      </c>
      <c r="E420" s="141" t="s">
        <v>262</v>
      </c>
      <c r="F420" s="139"/>
      <c r="G420" s="139"/>
      <c r="H420" s="139"/>
      <c r="I420" s="139"/>
    </row>
    <row r="421" spans="2:9" s="130" customFormat="1" x14ac:dyDescent="0.2">
      <c r="B421" s="246" t="s">
        <v>322</v>
      </c>
      <c r="C421" s="246"/>
      <c r="D421" s="140" t="s">
        <v>232</v>
      </c>
      <c r="E421" s="141" t="s">
        <v>263</v>
      </c>
      <c r="F421" s="139"/>
      <c r="G421" s="139"/>
      <c r="H421" s="139"/>
      <c r="I421" s="139"/>
    </row>
    <row r="422" spans="2:9" s="130" customFormat="1" x14ac:dyDescent="0.2">
      <c r="B422" s="246" t="s">
        <v>264</v>
      </c>
      <c r="C422" s="246"/>
      <c r="D422" s="140" t="s">
        <v>172</v>
      </c>
      <c r="E422" s="141" t="s">
        <v>265</v>
      </c>
      <c r="F422" s="139"/>
      <c r="G422" s="139"/>
      <c r="H422" s="139"/>
      <c r="I422" s="139"/>
    </row>
    <row r="423" spans="2:9" s="130" customFormat="1" x14ac:dyDescent="0.2">
      <c r="B423" s="246" t="s">
        <v>266</v>
      </c>
      <c r="C423" s="246"/>
      <c r="D423" s="140" t="s">
        <v>297</v>
      </c>
      <c r="E423" s="141" t="s">
        <v>267</v>
      </c>
      <c r="F423" s="139"/>
      <c r="G423" s="139"/>
      <c r="H423" s="139"/>
      <c r="I423" s="139"/>
    </row>
    <row r="424" spans="2:9" s="130" customFormat="1" x14ac:dyDescent="0.2">
      <c r="B424" s="246" t="s">
        <v>268</v>
      </c>
      <c r="C424" s="246"/>
      <c r="D424" s="140" t="s">
        <v>297</v>
      </c>
      <c r="E424" s="141" t="s">
        <v>269</v>
      </c>
      <c r="F424" s="139"/>
      <c r="G424" s="139"/>
      <c r="H424" s="139"/>
      <c r="I424" s="139"/>
    </row>
    <row r="425" spans="2:9" s="130" customFormat="1" x14ac:dyDescent="0.2">
      <c r="B425" s="246" t="s">
        <v>270</v>
      </c>
      <c r="C425" s="246"/>
      <c r="D425" s="140" t="s">
        <v>192</v>
      </c>
      <c r="E425" s="141" t="s">
        <v>271</v>
      </c>
      <c r="F425" s="139"/>
      <c r="G425" s="139"/>
      <c r="H425" s="139"/>
      <c r="I425" s="139"/>
    </row>
    <row r="426" spans="2:9" s="130" customFormat="1" x14ac:dyDescent="0.2">
      <c r="B426" s="246" t="s">
        <v>272</v>
      </c>
      <c r="C426" s="246"/>
      <c r="D426" s="140" t="s">
        <v>297</v>
      </c>
      <c r="E426" s="141" t="s">
        <v>273</v>
      </c>
      <c r="F426" s="139"/>
      <c r="G426" s="139"/>
      <c r="H426" s="139"/>
      <c r="I426" s="139"/>
    </row>
    <row r="427" spans="2:9" s="130" customFormat="1" x14ac:dyDescent="0.2">
      <c r="B427" s="246" t="s">
        <v>274</v>
      </c>
      <c r="C427" s="246"/>
      <c r="D427" s="140" t="s">
        <v>297</v>
      </c>
      <c r="E427" s="141" t="s">
        <v>275</v>
      </c>
      <c r="F427" s="139"/>
      <c r="G427" s="139"/>
      <c r="H427" s="139"/>
      <c r="I427" s="139"/>
    </row>
    <row r="428" spans="2:9" s="130" customFormat="1" ht="13.5" thickBot="1" x14ac:dyDescent="0.25">
      <c r="B428" s="246" t="s">
        <v>323</v>
      </c>
      <c r="C428" s="246"/>
      <c r="D428" s="140" t="s">
        <v>232</v>
      </c>
      <c r="E428" s="141" t="s">
        <v>324</v>
      </c>
      <c r="F428" s="139"/>
      <c r="G428" s="139"/>
      <c r="H428" s="139"/>
      <c r="I428" s="139"/>
    </row>
    <row r="429" spans="2:9" ht="26.25" customHeight="1" thickBot="1" x14ac:dyDescent="0.25">
      <c r="B429" s="243" t="s">
        <v>336</v>
      </c>
      <c r="C429" s="244"/>
      <c r="D429" s="244"/>
      <c r="E429" s="245"/>
      <c r="F429" s="125"/>
      <c r="G429" s="125"/>
      <c r="H429" s="125"/>
      <c r="I429" s="125"/>
    </row>
    <row r="430" spans="2:9" x14ac:dyDescent="0.2">
      <c r="B430" s="33" t="s">
        <v>18</v>
      </c>
      <c r="C430" s="31"/>
      <c r="D430" s="72"/>
      <c r="E430" s="32"/>
      <c r="F430" s="125"/>
      <c r="G430" s="125"/>
      <c r="H430" s="125"/>
      <c r="I430" s="125"/>
    </row>
    <row r="431" spans="2:9" x14ac:dyDescent="0.2">
      <c r="B431" s="34"/>
      <c r="C431" s="199" t="s">
        <v>64</v>
      </c>
      <c r="D431" s="199"/>
      <c r="E431" s="199"/>
      <c r="F431" s="125"/>
      <c r="G431" s="125"/>
      <c r="H431" s="125"/>
      <c r="I431" s="125"/>
    </row>
    <row r="432" spans="2:9" x14ac:dyDescent="0.2">
      <c r="B432" s="33" t="s">
        <v>19</v>
      </c>
      <c r="C432" s="35"/>
      <c r="D432" s="35"/>
      <c r="E432" s="36"/>
      <c r="F432" s="125"/>
      <c r="G432" s="125"/>
      <c r="H432" s="125"/>
      <c r="I432" s="125"/>
    </row>
    <row r="433" spans="2:9" x14ac:dyDescent="0.2">
      <c r="B433" s="34"/>
      <c r="C433" s="199" t="s">
        <v>141</v>
      </c>
      <c r="D433" s="199"/>
      <c r="E433" s="199"/>
      <c r="F433" s="125"/>
      <c r="G433" s="125"/>
      <c r="H433" s="125"/>
      <c r="I433" s="125"/>
    </row>
    <row r="434" spans="2:9" x14ac:dyDescent="0.2">
      <c r="B434" s="33" t="s">
        <v>20</v>
      </c>
      <c r="C434" s="31"/>
      <c r="D434" s="72"/>
      <c r="E434" s="32"/>
      <c r="F434" s="125"/>
      <c r="G434" s="125"/>
      <c r="H434" s="125"/>
      <c r="I434" s="125"/>
    </row>
    <row r="435" spans="2:9" x14ac:dyDescent="0.2">
      <c r="B435" s="33"/>
      <c r="C435" s="198" t="s">
        <v>65</v>
      </c>
      <c r="D435" s="198"/>
      <c r="E435" s="198"/>
      <c r="F435" s="125"/>
      <c r="G435" s="125"/>
      <c r="H435" s="125"/>
      <c r="I435" s="125"/>
    </row>
    <row r="436" spans="2:9" ht="13.5" thickBot="1" x14ac:dyDescent="0.25">
      <c r="B436" s="37"/>
      <c r="C436" s="38"/>
      <c r="D436" s="73"/>
      <c r="E436" s="39"/>
      <c r="F436" s="125"/>
      <c r="G436" s="125"/>
      <c r="H436" s="125"/>
      <c r="I436" s="125"/>
    </row>
    <row r="437" spans="2:9" ht="13.5" thickBot="1" x14ac:dyDescent="0.25">
      <c r="F437" s="125"/>
      <c r="G437" s="125"/>
      <c r="H437" s="125"/>
      <c r="I437" s="125"/>
    </row>
    <row r="438" spans="2:9" x14ac:dyDescent="0.2">
      <c r="B438" s="27" t="s">
        <v>150</v>
      </c>
      <c r="C438" s="28"/>
      <c r="D438" s="71"/>
      <c r="E438" s="29"/>
      <c r="F438" s="125"/>
      <c r="G438" s="125"/>
      <c r="H438" s="125"/>
      <c r="I438" s="125"/>
    </row>
    <row r="439" spans="2:9" x14ac:dyDescent="0.2">
      <c r="B439" s="30"/>
      <c r="C439" s="250" t="s">
        <v>354</v>
      </c>
      <c r="D439" s="250"/>
      <c r="E439" s="251"/>
      <c r="F439" s="125"/>
      <c r="G439" s="125"/>
      <c r="H439" s="125"/>
      <c r="I439" s="125"/>
    </row>
    <row r="440" spans="2:9" x14ac:dyDescent="0.2">
      <c r="B440" s="33" t="s">
        <v>16</v>
      </c>
      <c r="C440" s="31"/>
      <c r="D440" s="72"/>
      <c r="E440" s="32"/>
      <c r="F440" s="125"/>
      <c r="G440" s="125"/>
      <c r="H440" s="125"/>
      <c r="I440" s="125"/>
    </row>
    <row r="441" spans="2:9" x14ac:dyDescent="0.2">
      <c r="B441" s="33"/>
      <c r="C441" s="199"/>
      <c r="D441" s="199"/>
      <c r="E441" s="199"/>
      <c r="F441" s="125"/>
      <c r="G441" s="125"/>
      <c r="H441" s="125"/>
      <c r="I441" s="125"/>
    </row>
    <row r="442" spans="2:9" ht="13.5" thickBot="1" x14ac:dyDescent="0.25">
      <c r="B442" s="33" t="s">
        <v>17</v>
      </c>
      <c r="C442" s="31"/>
      <c r="D442" s="72"/>
      <c r="E442" s="32"/>
      <c r="F442" s="125"/>
      <c r="G442" s="125"/>
      <c r="H442" s="125"/>
      <c r="I442" s="125"/>
    </row>
    <row r="443" spans="2:9" ht="13.5" thickBot="1" x14ac:dyDescent="0.25">
      <c r="B443" s="185" t="s">
        <v>138</v>
      </c>
      <c r="C443" s="186"/>
      <c r="D443" s="186"/>
      <c r="E443" s="187"/>
      <c r="F443" s="125"/>
      <c r="G443" s="125"/>
      <c r="H443" s="125"/>
      <c r="I443" s="125"/>
    </row>
    <row r="444" spans="2:9" ht="13.5" thickBot="1" x14ac:dyDescent="0.25">
      <c r="B444" s="185" t="s">
        <v>139</v>
      </c>
      <c r="C444" s="187"/>
      <c r="D444" s="69" t="s">
        <v>11</v>
      </c>
      <c r="E444" s="69" t="s">
        <v>140</v>
      </c>
      <c r="F444" s="125"/>
      <c r="G444" s="125"/>
      <c r="H444" s="125"/>
      <c r="I444" s="125"/>
    </row>
    <row r="445" spans="2:9" s="130" customFormat="1" x14ac:dyDescent="0.2">
      <c r="B445" s="247" t="s">
        <v>317</v>
      </c>
      <c r="C445" s="247"/>
      <c r="D445" s="137">
        <v>32</v>
      </c>
      <c r="E445" s="138" t="s">
        <v>316</v>
      </c>
      <c r="F445" s="139">
        <f>SUM(D445:D464)</f>
        <v>1100</v>
      </c>
      <c r="G445" s="139">
        <f>F445*$G$48</f>
        <v>4400</v>
      </c>
      <c r="H445" s="139">
        <f>G445*$H$48</f>
        <v>13200</v>
      </c>
      <c r="I445" s="139"/>
    </row>
    <row r="446" spans="2:9" s="130" customFormat="1" x14ac:dyDescent="0.2">
      <c r="B446" s="246" t="s">
        <v>318</v>
      </c>
      <c r="C446" s="246"/>
      <c r="D446" s="140">
        <v>70</v>
      </c>
      <c r="E446" s="141" t="s">
        <v>247</v>
      </c>
      <c r="F446" s="139"/>
      <c r="G446" s="139"/>
      <c r="H446" s="139"/>
      <c r="I446" s="139"/>
    </row>
    <row r="447" spans="2:9" s="130" customFormat="1" x14ac:dyDescent="0.2">
      <c r="B447" s="246" t="s">
        <v>320</v>
      </c>
      <c r="C447" s="246"/>
      <c r="D447" s="140">
        <v>80</v>
      </c>
      <c r="E447" s="141" t="s">
        <v>248</v>
      </c>
      <c r="F447" s="139"/>
      <c r="G447" s="139"/>
      <c r="H447" s="139"/>
      <c r="I447" s="139"/>
    </row>
    <row r="448" spans="2:9" s="130" customFormat="1" x14ac:dyDescent="0.2">
      <c r="B448" s="246" t="s">
        <v>319</v>
      </c>
      <c r="C448" s="246"/>
      <c r="D448" s="140">
        <v>70</v>
      </c>
      <c r="E448" s="141" t="s">
        <v>249</v>
      </c>
      <c r="F448" s="139"/>
      <c r="G448" s="139"/>
      <c r="H448" s="139"/>
      <c r="I448" s="139"/>
    </row>
    <row r="449" spans="2:9" s="130" customFormat="1" x14ac:dyDescent="0.2">
      <c r="B449" s="246" t="s">
        <v>314</v>
      </c>
      <c r="C449" s="246"/>
      <c r="D449" s="140">
        <v>76</v>
      </c>
      <c r="E449" s="141" t="s">
        <v>315</v>
      </c>
      <c r="F449" s="139"/>
      <c r="G449" s="139"/>
      <c r="H449" s="139"/>
      <c r="I449" s="139"/>
    </row>
    <row r="450" spans="2:9" s="130" customFormat="1" x14ac:dyDescent="0.2">
      <c r="B450" s="246" t="s">
        <v>250</v>
      </c>
      <c r="C450" s="246"/>
      <c r="D450" s="140">
        <v>22</v>
      </c>
      <c r="E450" s="141" t="s">
        <v>251</v>
      </c>
      <c r="F450" s="139"/>
      <c r="G450" s="139"/>
      <c r="H450" s="139"/>
      <c r="I450" s="139"/>
    </row>
    <row r="451" spans="2:9" s="130" customFormat="1" x14ac:dyDescent="0.2">
      <c r="B451" s="246" t="s">
        <v>252</v>
      </c>
      <c r="C451" s="246"/>
      <c r="D451" s="140">
        <v>40</v>
      </c>
      <c r="E451" s="141" t="s">
        <v>253</v>
      </c>
      <c r="F451" s="139"/>
      <c r="G451" s="139"/>
      <c r="H451" s="139"/>
      <c r="I451" s="139"/>
    </row>
    <row r="452" spans="2:9" s="130" customFormat="1" x14ac:dyDescent="0.2">
      <c r="B452" s="246" t="s">
        <v>254</v>
      </c>
      <c r="C452" s="246"/>
      <c r="D452" s="140">
        <v>40</v>
      </c>
      <c r="E452" s="141" t="s">
        <v>255</v>
      </c>
      <c r="F452" s="139"/>
      <c r="G452" s="139"/>
      <c r="H452" s="139"/>
      <c r="I452" s="139"/>
    </row>
    <row r="453" spans="2:9" s="130" customFormat="1" x14ac:dyDescent="0.2">
      <c r="B453" s="246" t="s">
        <v>256</v>
      </c>
      <c r="C453" s="246"/>
      <c r="D453" s="140">
        <v>70</v>
      </c>
      <c r="E453" s="141" t="s">
        <v>257</v>
      </c>
      <c r="F453" s="139"/>
      <c r="G453" s="139"/>
      <c r="H453" s="139"/>
      <c r="I453" s="139"/>
    </row>
    <row r="454" spans="2:9" s="130" customFormat="1" x14ac:dyDescent="0.2">
      <c r="B454" s="246" t="s">
        <v>321</v>
      </c>
      <c r="C454" s="246"/>
      <c r="D454" s="140">
        <v>60</v>
      </c>
      <c r="E454" s="141" t="s">
        <v>258</v>
      </c>
      <c r="F454" s="139"/>
      <c r="G454" s="139"/>
      <c r="H454" s="139"/>
      <c r="I454" s="139"/>
    </row>
    <row r="455" spans="2:9" s="130" customFormat="1" x14ac:dyDescent="0.2">
      <c r="B455" s="246" t="s">
        <v>259</v>
      </c>
      <c r="C455" s="246"/>
      <c r="D455" s="140">
        <v>30</v>
      </c>
      <c r="E455" s="141" t="s">
        <v>260</v>
      </c>
      <c r="F455" s="139"/>
      <c r="G455" s="139"/>
      <c r="H455" s="139"/>
      <c r="I455" s="139"/>
    </row>
    <row r="456" spans="2:9" s="130" customFormat="1" x14ac:dyDescent="0.2">
      <c r="B456" s="246" t="s">
        <v>261</v>
      </c>
      <c r="C456" s="246"/>
      <c r="D456" s="140">
        <v>80</v>
      </c>
      <c r="E456" s="141" t="s">
        <v>262</v>
      </c>
      <c r="F456" s="139"/>
      <c r="G456" s="139"/>
      <c r="H456" s="139"/>
      <c r="I456" s="139"/>
    </row>
    <row r="457" spans="2:9" s="130" customFormat="1" x14ac:dyDescent="0.2">
      <c r="B457" s="246" t="s">
        <v>322</v>
      </c>
      <c r="C457" s="246"/>
      <c r="D457" s="140">
        <v>80</v>
      </c>
      <c r="E457" s="141" t="s">
        <v>263</v>
      </c>
      <c r="F457" s="139"/>
      <c r="G457" s="139"/>
      <c r="H457" s="139"/>
      <c r="I457" s="139"/>
    </row>
    <row r="458" spans="2:9" s="130" customFormat="1" x14ac:dyDescent="0.2">
      <c r="B458" s="246" t="s">
        <v>264</v>
      </c>
      <c r="C458" s="246"/>
      <c r="D458" s="140">
        <v>30</v>
      </c>
      <c r="E458" s="141" t="s">
        <v>265</v>
      </c>
      <c r="F458" s="139"/>
      <c r="G458" s="139"/>
      <c r="H458" s="139"/>
      <c r="I458" s="139"/>
    </row>
    <row r="459" spans="2:9" s="130" customFormat="1" x14ac:dyDescent="0.2">
      <c r="B459" s="246" t="s">
        <v>266</v>
      </c>
      <c r="C459" s="246"/>
      <c r="D459" s="140">
        <v>50</v>
      </c>
      <c r="E459" s="141" t="s">
        <v>267</v>
      </c>
      <c r="F459" s="139"/>
      <c r="G459" s="139"/>
      <c r="H459" s="139"/>
      <c r="I459" s="139"/>
    </row>
    <row r="460" spans="2:9" s="130" customFormat="1" x14ac:dyDescent="0.2">
      <c r="B460" s="246" t="s">
        <v>268</v>
      </c>
      <c r="C460" s="246"/>
      <c r="D460" s="140">
        <v>50</v>
      </c>
      <c r="E460" s="141" t="s">
        <v>269</v>
      </c>
      <c r="F460" s="139"/>
      <c r="G460" s="139"/>
      <c r="H460" s="139"/>
      <c r="I460" s="139"/>
    </row>
    <row r="461" spans="2:9" s="130" customFormat="1" x14ac:dyDescent="0.2">
      <c r="B461" s="246" t="s">
        <v>270</v>
      </c>
      <c r="C461" s="246"/>
      <c r="D461" s="140">
        <v>40</v>
      </c>
      <c r="E461" s="141" t="s">
        <v>271</v>
      </c>
      <c r="F461" s="139"/>
      <c r="G461" s="139"/>
      <c r="H461" s="139"/>
      <c r="I461" s="139"/>
    </row>
    <row r="462" spans="2:9" s="130" customFormat="1" x14ac:dyDescent="0.2">
      <c r="B462" s="246" t="s">
        <v>272</v>
      </c>
      <c r="C462" s="246"/>
      <c r="D462" s="140">
        <v>50</v>
      </c>
      <c r="E462" s="141" t="s">
        <v>273</v>
      </c>
      <c r="F462" s="139"/>
      <c r="G462" s="139"/>
      <c r="H462" s="139"/>
      <c r="I462" s="139"/>
    </row>
    <row r="463" spans="2:9" s="130" customFormat="1" x14ac:dyDescent="0.2">
      <c r="B463" s="246" t="s">
        <v>274</v>
      </c>
      <c r="C463" s="246"/>
      <c r="D463" s="140">
        <v>50</v>
      </c>
      <c r="E463" s="141" t="s">
        <v>275</v>
      </c>
      <c r="F463" s="139"/>
      <c r="G463" s="139"/>
      <c r="H463" s="139"/>
      <c r="I463" s="139"/>
    </row>
    <row r="464" spans="2:9" s="130" customFormat="1" ht="13.5" thickBot="1" x14ac:dyDescent="0.25">
      <c r="B464" s="246" t="s">
        <v>323</v>
      </c>
      <c r="C464" s="246"/>
      <c r="D464" s="140">
        <v>80</v>
      </c>
      <c r="E464" s="141" t="s">
        <v>324</v>
      </c>
      <c r="F464" s="139"/>
      <c r="G464" s="139"/>
      <c r="H464" s="139"/>
      <c r="I464" s="139"/>
    </row>
    <row r="465" spans="2:9" ht="26.25" customHeight="1" thickBot="1" x14ac:dyDescent="0.25">
      <c r="B465" s="243" t="s">
        <v>330</v>
      </c>
      <c r="C465" s="244"/>
      <c r="D465" s="244"/>
      <c r="E465" s="245"/>
      <c r="F465" s="125"/>
      <c r="G465" s="125"/>
      <c r="H465" s="125"/>
      <c r="I465" s="125"/>
    </row>
    <row r="466" spans="2:9" x14ac:dyDescent="0.2">
      <c r="B466" s="33" t="s">
        <v>18</v>
      </c>
      <c r="C466" s="31"/>
      <c r="D466" s="72"/>
      <c r="E466" s="32"/>
      <c r="F466" s="125"/>
      <c r="G466" s="125"/>
      <c r="H466" s="125"/>
      <c r="I466" s="125"/>
    </row>
    <row r="467" spans="2:9" x14ac:dyDescent="0.2">
      <c r="B467" s="34"/>
      <c r="C467" s="199" t="s">
        <v>64</v>
      </c>
      <c r="D467" s="199"/>
      <c r="E467" s="199"/>
      <c r="F467" s="125"/>
      <c r="G467" s="125"/>
      <c r="H467" s="125"/>
      <c r="I467" s="125"/>
    </row>
    <row r="468" spans="2:9" x14ac:dyDescent="0.2">
      <c r="B468" s="33" t="s">
        <v>19</v>
      </c>
      <c r="C468" s="35"/>
      <c r="D468" s="35"/>
      <c r="E468" s="36"/>
      <c r="F468" s="125"/>
      <c r="G468" s="125"/>
      <c r="H468" s="125"/>
      <c r="I468" s="125"/>
    </row>
    <row r="469" spans="2:9" x14ac:dyDescent="0.2">
      <c r="B469" s="34"/>
      <c r="C469" s="199" t="s">
        <v>141</v>
      </c>
      <c r="D469" s="199"/>
      <c r="E469" s="199"/>
      <c r="F469" s="125"/>
      <c r="G469" s="125"/>
      <c r="H469" s="125"/>
      <c r="I469" s="125"/>
    </row>
    <row r="470" spans="2:9" x14ac:dyDescent="0.2">
      <c r="B470" s="33" t="s">
        <v>20</v>
      </c>
      <c r="C470" s="31"/>
      <c r="D470" s="72"/>
      <c r="E470" s="32"/>
      <c r="F470" s="125"/>
      <c r="G470" s="125"/>
      <c r="H470" s="125"/>
      <c r="I470" s="125"/>
    </row>
    <row r="471" spans="2:9" x14ac:dyDescent="0.2">
      <c r="B471" s="33"/>
      <c r="C471" s="198" t="s">
        <v>65</v>
      </c>
      <c r="D471" s="198"/>
      <c r="E471" s="198"/>
      <c r="F471" s="125"/>
      <c r="G471" s="125"/>
      <c r="H471" s="125"/>
      <c r="I471" s="125"/>
    </row>
    <row r="472" spans="2:9" ht="13.5" thickBot="1" x14ac:dyDescent="0.25">
      <c r="B472" s="37"/>
      <c r="C472" s="38"/>
      <c r="D472" s="73"/>
      <c r="E472" s="39"/>
      <c r="F472" s="125"/>
      <c r="G472" s="125"/>
      <c r="H472" s="125"/>
      <c r="I472" s="125"/>
    </row>
    <row r="473" spans="2:9" ht="13.5" thickBot="1" x14ac:dyDescent="0.25">
      <c r="F473" s="125"/>
      <c r="G473" s="125"/>
      <c r="H473" s="125"/>
      <c r="I473" s="125"/>
    </row>
    <row r="474" spans="2:9" x14ac:dyDescent="0.2">
      <c r="B474" s="27" t="s">
        <v>151</v>
      </c>
      <c r="C474" s="28"/>
      <c r="D474" s="71"/>
      <c r="E474" s="29"/>
      <c r="F474" s="125"/>
      <c r="G474" s="125"/>
      <c r="H474" s="125"/>
      <c r="I474" s="125"/>
    </row>
    <row r="475" spans="2:9" x14ac:dyDescent="0.2">
      <c r="B475" s="30"/>
      <c r="C475" s="31"/>
      <c r="D475" s="72"/>
      <c r="E475" s="32"/>
      <c r="F475" s="125"/>
      <c r="G475" s="125"/>
      <c r="H475" s="125"/>
      <c r="I475" s="125"/>
    </row>
    <row r="476" spans="2:9" x14ac:dyDescent="0.2">
      <c r="B476" s="33" t="s">
        <v>16</v>
      </c>
      <c r="C476" s="31"/>
      <c r="D476" s="72"/>
      <c r="E476" s="32"/>
      <c r="F476" s="125"/>
      <c r="G476" s="125"/>
      <c r="H476" s="125"/>
      <c r="I476" s="125"/>
    </row>
    <row r="477" spans="2:9" x14ac:dyDescent="0.2">
      <c r="B477" s="33"/>
      <c r="C477" s="199"/>
      <c r="D477" s="199"/>
      <c r="E477" s="199"/>
      <c r="F477" s="125"/>
      <c r="G477" s="125"/>
      <c r="H477" s="125"/>
      <c r="I477" s="125"/>
    </row>
    <row r="478" spans="2:9" ht="13.5" thickBot="1" x14ac:dyDescent="0.25">
      <c r="B478" s="33" t="s">
        <v>17</v>
      </c>
      <c r="C478" s="31"/>
      <c r="D478" s="72"/>
      <c r="E478" s="32"/>
      <c r="F478" s="125"/>
      <c r="G478" s="125"/>
      <c r="H478" s="125"/>
      <c r="I478" s="125"/>
    </row>
    <row r="479" spans="2:9" ht="13.5" thickBot="1" x14ac:dyDescent="0.25">
      <c r="B479" s="185" t="s">
        <v>138</v>
      </c>
      <c r="C479" s="186"/>
      <c r="D479" s="186"/>
      <c r="E479" s="187"/>
      <c r="F479" s="125"/>
      <c r="G479" s="125"/>
      <c r="H479" s="125"/>
      <c r="I479" s="125"/>
    </row>
    <row r="480" spans="2:9" ht="13.5" thickBot="1" x14ac:dyDescent="0.25">
      <c r="B480" s="185" t="s">
        <v>139</v>
      </c>
      <c r="C480" s="187"/>
      <c r="D480" s="69" t="s">
        <v>11</v>
      </c>
      <c r="E480" s="69" t="s">
        <v>140</v>
      </c>
      <c r="F480" s="125"/>
      <c r="G480" s="125"/>
      <c r="H480" s="125"/>
      <c r="I480" s="125"/>
    </row>
    <row r="481" spans="2:9" s="130" customFormat="1" x14ac:dyDescent="0.2">
      <c r="B481" s="247" t="s">
        <v>317</v>
      </c>
      <c r="C481" s="247"/>
      <c r="D481" s="137">
        <v>6</v>
      </c>
      <c r="E481" s="138" t="s">
        <v>316</v>
      </c>
      <c r="F481" s="139">
        <f>SUM(D481:D500)</f>
        <v>219</v>
      </c>
      <c r="G481" s="139">
        <f>F481*$G$48</f>
        <v>876</v>
      </c>
      <c r="H481" s="139">
        <f>G481*$H$48</f>
        <v>2628</v>
      </c>
      <c r="I481" s="139"/>
    </row>
    <row r="482" spans="2:9" s="130" customFormat="1" x14ac:dyDescent="0.2">
      <c r="B482" s="246" t="s">
        <v>318</v>
      </c>
      <c r="C482" s="246"/>
      <c r="D482" s="140">
        <v>14</v>
      </c>
      <c r="E482" s="141" t="s">
        <v>247</v>
      </c>
      <c r="F482" s="139"/>
      <c r="G482" s="139"/>
      <c r="H482" s="139"/>
      <c r="I482" s="139"/>
    </row>
    <row r="483" spans="2:9" s="130" customFormat="1" x14ac:dyDescent="0.2">
      <c r="B483" s="246" t="s">
        <v>320</v>
      </c>
      <c r="C483" s="246"/>
      <c r="D483" s="140">
        <v>16</v>
      </c>
      <c r="E483" s="141" t="s">
        <v>248</v>
      </c>
      <c r="F483" s="139"/>
      <c r="G483" s="139"/>
      <c r="H483" s="139"/>
      <c r="I483" s="139"/>
    </row>
    <row r="484" spans="2:9" s="130" customFormat="1" x14ac:dyDescent="0.2">
      <c r="B484" s="246" t="s">
        <v>319</v>
      </c>
      <c r="C484" s="246"/>
      <c r="D484" s="140">
        <v>14</v>
      </c>
      <c r="E484" s="141" t="s">
        <v>249</v>
      </c>
      <c r="F484" s="139"/>
      <c r="G484" s="139"/>
      <c r="H484" s="139"/>
      <c r="I484" s="139"/>
    </row>
    <row r="485" spans="2:9" s="130" customFormat="1" x14ac:dyDescent="0.2">
      <c r="B485" s="246" t="s">
        <v>314</v>
      </c>
      <c r="C485" s="246"/>
      <c r="D485" s="140">
        <v>15</v>
      </c>
      <c r="E485" s="141" t="s">
        <v>315</v>
      </c>
      <c r="F485" s="139"/>
      <c r="G485" s="139"/>
      <c r="H485" s="139"/>
      <c r="I485" s="139"/>
    </row>
    <row r="486" spans="2:9" s="130" customFormat="1" x14ac:dyDescent="0.2">
      <c r="B486" s="246" t="s">
        <v>250</v>
      </c>
      <c r="C486" s="246"/>
      <c r="D486" s="140">
        <v>4</v>
      </c>
      <c r="E486" s="141" t="s">
        <v>251</v>
      </c>
      <c r="F486" s="139"/>
      <c r="G486" s="139"/>
      <c r="H486" s="139"/>
      <c r="I486" s="139"/>
    </row>
    <row r="487" spans="2:9" s="130" customFormat="1" x14ac:dyDescent="0.2">
      <c r="B487" s="246" t="s">
        <v>252</v>
      </c>
      <c r="C487" s="246"/>
      <c r="D487" s="140">
        <v>8</v>
      </c>
      <c r="E487" s="141" t="s">
        <v>253</v>
      </c>
      <c r="F487" s="139"/>
      <c r="G487" s="139"/>
      <c r="H487" s="139"/>
      <c r="I487" s="139"/>
    </row>
    <row r="488" spans="2:9" s="130" customFormat="1" x14ac:dyDescent="0.2">
      <c r="B488" s="246" t="s">
        <v>254</v>
      </c>
      <c r="C488" s="246"/>
      <c r="D488" s="140">
        <v>8</v>
      </c>
      <c r="E488" s="141" t="s">
        <v>255</v>
      </c>
      <c r="F488" s="139"/>
      <c r="G488" s="139"/>
      <c r="H488" s="139"/>
      <c r="I488" s="139"/>
    </row>
    <row r="489" spans="2:9" s="130" customFormat="1" x14ac:dyDescent="0.2">
      <c r="B489" s="246" t="s">
        <v>256</v>
      </c>
      <c r="C489" s="246"/>
      <c r="D489" s="140">
        <v>14</v>
      </c>
      <c r="E489" s="141" t="s">
        <v>257</v>
      </c>
      <c r="F489" s="139"/>
      <c r="G489" s="139"/>
      <c r="H489" s="139"/>
      <c r="I489" s="139"/>
    </row>
    <row r="490" spans="2:9" s="130" customFormat="1" x14ac:dyDescent="0.2">
      <c r="B490" s="246" t="s">
        <v>321</v>
      </c>
      <c r="C490" s="246"/>
      <c r="D490" s="140">
        <v>12</v>
      </c>
      <c r="E490" s="141" t="s">
        <v>258</v>
      </c>
      <c r="F490" s="139"/>
      <c r="G490" s="139"/>
      <c r="H490" s="139"/>
      <c r="I490" s="139"/>
    </row>
    <row r="491" spans="2:9" s="130" customFormat="1" x14ac:dyDescent="0.2">
      <c r="B491" s="246" t="s">
        <v>259</v>
      </c>
      <c r="C491" s="246"/>
      <c r="D491" s="140">
        <v>6</v>
      </c>
      <c r="E491" s="141" t="s">
        <v>260</v>
      </c>
      <c r="F491" s="139"/>
      <c r="G491" s="139"/>
      <c r="H491" s="139"/>
      <c r="I491" s="139"/>
    </row>
    <row r="492" spans="2:9" s="130" customFormat="1" x14ac:dyDescent="0.2">
      <c r="B492" s="246" t="s">
        <v>261</v>
      </c>
      <c r="C492" s="246"/>
      <c r="D492" s="140">
        <v>16</v>
      </c>
      <c r="E492" s="141" t="s">
        <v>262</v>
      </c>
      <c r="F492" s="139"/>
      <c r="G492" s="139"/>
      <c r="H492" s="139"/>
      <c r="I492" s="139"/>
    </row>
    <row r="493" spans="2:9" s="130" customFormat="1" x14ac:dyDescent="0.2">
      <c r="B493" s="246" t="s">
        <v>322</v>
      </c>
      <c r="C493" s="246"/>
      <c r="D493" s="140">
        <v>16</v>
      </c>
      <c r="E493" s="141" t="s">
        <v>263</v>
      </c>
      <c r="F493" s="139"/>
      <c r="G493" s="139"/>
      <c r="H493" s="139"/>
      <c r="I493" s="139"/>
    </row>
    <row r="494" spans="2:9" s="130" customFormat="1" x14ac:dyDescent="0.2">
      <c r="B494" s="246" t="s">
        <v>264</v>
      </c>
      <c r="C494" s="246"/>
      <c r="D494" s="140">
        <v>6</v>
      </c>
      <c r="E494" s="141" t="s">
        <v>265</v>
      </c>
      <c r="F494" s="139"/>
      <c r="G494" s="139"/>
      <c r="H494" s="139"/>
      <c r="I494" s="139"/>
    </row>
    <row r="495" spans="2:9" s="130" customFormat="1" x14ac:dyDescent="0.2">
      <c r="B495" s="246" t="s">
        <v>266</v>
      </c>
      <c r="C495" s="246"/>
      <c r="D495" s="140">
        <v>10</v>
      </c>
      <c r="E495" s="141" t="s">
        <v>267</v>
      </c>
      <c r="F495" s="139"/>
      <c r="G495" s="139"/>
      <c r="H495" s="139"/>
      <c r="I495" s="139"/>
    </row>
    <row r="496" spans="2:9" s="130" customFormat="1" x14ac:dyDescent="0.2">
      <c r="B496" s="246" t="s">
        <v>268</v>
      </c>
      <c r="C496" s="246"/>
      <c r="D496" s="140">
        <v>10</v>
      </c>
      <c r="E496" s="141" t="s">
        <v>269</v>
      </c>
      <c r="F496" s="139"/>
      <c r="G496" s="139"/>
      <c r="H496" s="139"/>
      <c r="I496" s="139"/>
    </row>
    <row r="497" spans="2:9" s="130" customFormat="1" x14ac:dyDescent="0.2">
      <c r="B497" s="246" t="s">
        <v>270</v>
      </c>
      <c r="C497" s="246"/>
      <c r="D497" s="140">
        <v>8</v>
      </c>
      <c r="E497" s="141" t="s">
        <v>271</v>
      </c>
      <c r="F497" s="139"/>
      <c r="G497" s="139"/>
      <c r="H497" s="139"/>
      <c r="I497" s="139"/>
    </row>
    <row r="498" spans="2:9" s="130" customFormat="1" x14ac:dyDescent="0.2">
      <c r="B498" s="246" t="s">
        <v>272</v>
      </c>
      <c r="C498" s="246"/>
      <c r="D498" s="140">
        <v>10</v>
      </c>
      <c r="E498" s="141" t="s">
        <v>273</v>
      </c>
      <c r="F498" s="139"/>
      <c r="G498" s="139"/>
      <c r="H498" s="139"/>
      <c r="I498" s="139"/>
    </row>
    <row r="499" spans="2:9" s="130" customFormat="1" x14ac:dyDescent="0.2">
      <c r="B499" s="246" t="s">
        <v>274</v>
      </c>
      <c r="C499" s="246"/>
      <c r="D499" s="140">
        <v>10</v>
      </c>
      <c r="E499" s="141" t="s">
        <v>275</v>
      </c>
      <c r="F499" s="139"/>
      <c r="G499" s="139"/>
      <c r="H499" s="139"/>
      <c r="I499" s="139"/>
    </row>
    <row r="500" spans="2:9" s="130" customFormat="1" ht="13.5" thickBot="1" x14ac:dyDescent="0.25">
      <c r="B500" s="246" t="s">
        <v>323</v>
      </c>
      <c r="C500" s="246"/>
      <c r="D500" s="140">
        <v>16</v>
      </c>
      <c r="E500" s="141" t="s">
        <v>324</v>
      </c>
      <c r="F500" s="139"/>
      <c r="G500" s="139"/>
      <c r="H500" s="139"/>
      <c r="I500" s="139"/>
    </row>
    <row r="501" spans="2:9" ht="26.25" customHeight="1" thickBot="1" x14ac:dyDescent="0.25">
      <c r="B501" s="243" t="s">
        <v>337</v>
      </c>
      <c r="C501" s="244"/>
      <c r="D501" s="244"/>
      <c r="E501" s="245"/>
      <c r="F501" s="125"/>
      <c r="G501" s="125"/>
      <c r="H501" s="125"/>
      <c r="I501" s="125"/>
    </row>
    <row r="502" spans="2:9" x14ac:dyDescent="0.2">
      <c r="B502" s="33" t="s">
        <v>18</v>
      </c>
      <c r="C502" s="31"/>
      <c r="D502" s="72"/>
      <c r="E502" s="32"/>
      <c r="F502" s="125"/>
      <c r="G502" s="125"/>
      <c r="H502" s="125"/>
      <c r="I502" s="125"/>
    </row>
    <row r="503" spans="2:9" x14ac:dyDescent="0.2">
      <c r="B503" s="34"/>
      <c r="C503" s="199" t="s">
        <v>64</v>
      </c>
      <c r="D503" s="199"/>
      <c r="E503" s="199"/>
      <c r="F503" s="125"/>
      <c r="G503" s="125"/>
      <c r="H503" s="125"/>
      <c r="I503" s="125"/>
    </row>
    <row r="504" spans="2:9" x14ac:dyDescent="0.2">
      <c r="B504" s="33" t="s">
        <v>19</v>
      </c>
      <c r="C504" s="35"/>
      <c r="D504" s="35"/>
      <c r="E504" s="36"/>
      <c r="F504" s="125"/>
      <c r="G504" s="125"/>
      <c r="H504" s="125"/>
      <c r="I504" s="125"/>
    </row>
    <row r="505" spans="2:9" x14ac:dyDescent="0.2">
      <c r="B505" s="34"/>
      <c r="C505" s="199" t="s">
        <v>141</v>
      </c>
      <c r="D505" s="199"/>
      <c r="E505" s="199"/>
      <c r="F505" s="125"/>
      <c r="G505" s="125"/>
      <c r="H505" s="125"/>
      <c r="I505" s="125"/>
    </row>
    <row r="506" spans="2:9" x14ac:dyDescent="0.2">
      <c r="B506" s="33" t="s">
        <v>20</v>
      </c>
      <c r="C506" s="31"/>
      <c r="D506" s="72"/>
      <c r="E506" s="32"/>
      <c r="F506" s="125"/>
      <c r="G506" s="125"/>
      <c r="H506" s="125"/>
      <c r="I506" s="125"/>
    </row>
    <row r="507" spans="2:9" x14ac:dyDescent="0.2">
      <c r="B507" s="33"/>
      <c r="C507" s="198" t="s">
        <v>65</v>
      </c>
      <c r="D507" s="198"/>
      <c r="E507" s="198"/>
      <c r="F507" s="125"/>
      <c r="G507" s="125"/>
      <c r="H507" s="125"/>
      <c r="I507" s="125"/>
    </row>
    <row r="508" spans="2:9" ht="13.5" thickBot="1" x14ac:dyDescent="0.25">
      <c r="B508" s="37"/>
      <c r="C508" s="38"/>
      <c r="D508" s="73"/>
      <c r="E508" s="39"/>
      <c r="F508" s="125"/>
      <c r="G508" s="125"/>
      <c r="H508" s="125"/>
      <c r="I508" s="125"/>
    </row>
    <row r="509" spans="2:9" ht="13.5" thickBot="1" x14ac:dyDescent="0.25">
      <c r="F509" s="125"/>
      <c r="G509" s="125"/>
      <c r="H509" s="125"/>
      <c r="I509" s="125"/>
    </row>
    <row r="510" spans="2:9" x14ac:dyDescent="0.2">
      <c r="B510" s="27" t="s">
        <v>152</v>
      </c>
      <c r="C510" s="28"/>
      <c r="D510" s="71"/>
      <c r="E510" s="29"/>
      <c r="F510" s="125"/>
      <c r="G510" s="125"/>
      <c r="H510" s="125"/>
      <c r="I510" s="125"/>
    </row>
    <row r="511" spans="2:9" x14ac:dyDescent="0.2">
      <c r="B511" s="30"/>
      <c r="C511" s="31"/>
      <c r="D511" s="72"/>
      <c r="E511" s="32"/>
      <c r="F511" s="125"/>
      <c r="G511" s="125"/>
      <c r="H511" s="125"/>
      <c r="I511" s="125"/>
    </row>
    <row r="512" spans="2:9" x14ac:dyDescent="0.2">
      <c r="B512" s="33" t="s">
        <v>16</v>
      </c>
      <c r="C512" s="31"/>
      <c r="D512" s="72"/>
      <c r="E512" s="32"/>
      <c r="F512" s="125"/>
      <c r="G512" s="125"/>
      <c r="H512" s="125"/>
      <c r="I512" s="125"/>
    </row>
    <row r="513" spans="2:9" x14ac:dyDescent="0.2">
      <c r="B513" s="33"/>
      <c r="C513" s="199"/>
      <c r="D513" s="199"/>
      <c r="E513" s="199"/>
      <c r="F513" s="125"/>
      <c r="G513" s="125"/>
      <c r="H513" s="125"/>
      <c r="I513" s="125"/>
    </row>
    <row r="514" spans="2:9" ht="13.5" thickBot="1" x14ac:dyDescent="0.25">
      <c r="B514" s="33" t="s">
        <v>17</v>
      </c>
      <c r="C514" s="31"/>
      <c r="D514" s="72"/>
      <c r="E514" s="32"/>
      <c r="F514" s="125"/>
      <c r="G514" s="125"/>
      <c r="H514" s="125"/>
      <c r="I514" s="125"/>
    </row>
    <row r="515" spans="2:9" ht="13.5" thickBot="1" x14ac:dyDescent="0.25">
      <c r="B515" s="185" t="s">
        <v>138</v>
      </c>
      <c r="C515" s="186"/>
      <c r="D515" s="186"/>
      <c r="E515" s="187"/>
      <c r="F515" s="125"/>
      <c r="G515" s="125"/>
      <c r="H515" s="125"/>
      <c r="I515" s="125"/>
    </row>
    <row r="516" spans="2:9" ht="13.5" thickBot="1" x14ac:dyDescent="0.25">
      <c r="B516" s="185" t="s">
        <v>139</v>
      </c>
      <c r="C516" s="187"/>
      <c r="D516" s="69" t="s">
        <v>11</v>
      </c>
      <c r="E516" s="69" t="s">
        <v>140</v>
      </c>
      <c r="F516" s="125"/>
      <c r="G516" s="125"/>
      <c r="H516" s="125"/>
      <c r="I516" s="125"/>
    </row>
    <row r="517" spans="2:9" s="130" customFormat="1" x14ac:dyDescent="0.2">
      <c r="B517" s="247" t="s">
        <v>317</v>
      </c>
      <c r="C517" s="247"/>
      <c r="D517" s="137" t="s">
        <v>204</v>
      </c>
      <c r="E517" s="138" t="s">
        <v>316</v>
      </c>
      <c r="F517" s="139">
        <v>396</v>
      </c>
      <c r="G517" s="139">
        <f>F517*$G$48</f>
        <v>1584</v>
      </c>
      <c r="H517" s="139">
        <f>G517*$H$48</f>
        <v>4752</v>
      </c>
      <c r="I517" s="139"/>
    </row>
    <row r="518" spans="2:9" s="130" customFormat="1" x14ac:dyDescent="0.2">
      <c r="B518" s="246" t="s">
        <v>318</v>
      </c>
      <c r="C518" s="246"/>
      <c r="D518" s="140" t="s">
        <v>171</v>
      </c>
      <c r="E518" s="141" t="s">
        <v>247</v>
      </c>
      <c r="F518" s="139"/>
      <c r="G518" s="139"/>
      <c r="H518" s="139"/>
      <c r="I518" s="139"/>
    </row>
    <row r="519" spans="2:9" s="130" customFormat="1" x14ac:dyDescent="0.2">
      <c r="B519" s="246" t="s">
        <v>320</v>
      </c>
      <c r="C519" s="246"/>
      <c r="D519" s="140" t="s">
        <v>194</v>
      </c>
      <c r="E519" s="141" t="s">
        <v>248</v>
      </c>
      <c r="F519" s="139"/>
      <c r="G519" s="139"/>
      <c r="H519" s="139"/>
      <c r="I519" s="139"/>
    </row>
    <row r="520" spans="2:9" s="130" customFormat="1" x14ac:dyDescent="0.2">
      <c r="B520" s="246" t="s">
        <v>319</v>
      </c>
      <c r="C520" s="246"/>
      <c r="D520" s="140" t="s">
        <v>171</v>
      </c>
      <c r="E520" s="141" t="s">
        <v>249</v>
      </c>
      <c r="F520" s="139"/>
      <c r="G520" s="139"/>
      <c r="H520" s="139"/>
      <c r="I520" s="139"/>
    </row>
    <row r="521" spans="2:9" s="130" customFormat="1" x14ac:dyDescent="0.2">
      <c r="B521" s="246" t="s">
        <v>314</v>
      </c>
      <c r="C521" s="246"/>
      <c r="D521" s="140" t="s">
        <v>179</v>
      </c>
      <c r="E521" s="141" t="s">
        <v>315</v>
      </c>
      <c r="F521" s="139"/>
      <c r="G521" s="139"/>
      <c r="H521" s="139"/>
      <c r="I521" s="139"/>
    </row>
    <row r="522" spans="2:9" s="130" customFormat="1" x14ac:dyDescent="0.2">
      <c r="B522" s="246" t="s">
        <v>250</v>
      </c>
      <c r="C522" s="246"/>
      <c r="D522" s="140" t="s">
        <v>183</v>
      </c>
      <c r="E522" s="141" t="s">
        <v>251</v>
      </c>
      <c r="F522" s="139"/>
      <c r="G522" s="139"/>
      <c r="H522" s="139"/>
      <c r="I522" s="139"/>
    </row>
    <row r="523" spans="2:9" s="130" customFormat="1" x14ac:dyDescent="0.2">
      <c r="B523" s="246" t="s">
        <v>252</v>
      </c>
      <c r="C523" s="246"/>
      <c r="D523" s="140" t="s">
        <v>175</v>
      </c>
      <c r="E523" s="141" t="s">
        <v>253</v>
      </c>
      <c r="F523" s="139"/>
      <c r="G523" s="139"/>
      <c r="H523" s="139"/>
      <c r="I523" s="139"/>
    </row>
    <row r="524" spans="2:9" s="130" customFormat="1" x14ac:dyDescent="0.2">
      <c r="B524" s="246" t="s">
        <v>254</v>
      </c>
      <c r="C524" s="246"/>
      <c r="D524" s="140" t="s">
        <v>175</v>
      </c>
      <c r="E524" s="141" t="s">
        <v>255</v>
      </c>
      <c r="F524" s="139"/>
      <c r="G524" s="139"/>
      <c r="H524" s="139"/>
      <c r="I524" s="139"/>
    </row>
    <row r="525" spans="2:9" s="130" customFormat="1" x14ac:dyDescent="0.2">
      <c r="B525" s="246" t="s">
        <v>256</v>
      </c>
      <c r="C525" s="246"/>
      <c r="D525" s="140" t="s">
        <v>171</v>
      </c>
      <c r="E525" s="141" t="s">
        <v>257</v>
      </c>
      <c r="F525" s="139"/>
      <c r="G525" s="139"/>
      <c r="H525" s="139"/>
      <c r="I525" s="139"/>
    </row>
    <row r="526" spans="2:9" s="130" customFormat="1" x14ac:dyDescent="0.2">
      <c r="B526" s="246" t="s">
        <v>321</v>
      </c>
      <c r="C526" s="246"/>
      <c r="D526" s="140" t="s">
        <v>176</v>
      </c>
      <c r="E526" s="141" t="s">
        <v>258</v>
      </c>
      <c r="F526" s="139"/>
      <c r="G526" s="139"/>
      <c r="H526" s="139"/>
      <c r="I526" s="139"/>
    </row>
    <row r="527" spans="2:9" s="130" customFormat="1" x14ac:dyDescent="0.2">
      <c r="B527" s="246" t="s">
        <v>259</v>
      </c>
      <c r="C527" s="246"/>
      <c r="D527" s="140" t="s">
        <v>174</v>
      </c>
      <c r="E527" s="141" t="s">
        <v>260</v>
      </c>
      <c r="F527" s="139"/>
      <c r="G527" s="139"/>
      <c r="H527" s="139"/>
      <c r="I527" s="139"/>
    </row>
    <row r="528" spans="2:9" s="130" customFormat="1" x14ac:dyDescent="0.2">
      <c r="B528" s="246" t="s">
        <v>261</v>
      </c>
      <c r="C528" s="246"/>
      <c r="D528" s="140" t="s">
        <v>194</v>
      </c>
      <c r="E528" s="141" t="s">
        <v>262</v>
      </c>
      <c r="F528" s="139"/>
      <c r="G528" s="139"/>
      <c r="H528" s="139"/>
      <c r="I528" s="139"/>
    </row>
    <row r="529" spans="2:9" s="130" customFormat="1" x14ac:dyDescent="0.2">
      <c r="B529" s="246" t="s">
        <v>322</v>
      </c>
      <c r="C529" s="246"/>
      <c r="D529" s="140" t="s">
        <v>194</v>
      </c>
      <c r="E529" s="141" t="s">
        <v>263</v>
      </c>
      <c r="F529" s="139"/>
      <c r="G529" s="139"/>
      <c r="H529" s="139"/>
      <c r="I529" s="139"/>
    </row>
    <row r="530" spans="2:9" s="130" customFormat="1" x14ac:dyDescent="0.2">
      <c r="B530" s="246" t="s">
        <v>264</v>
      </c>
      <c r="C530" s="246"/>
      <c r="D530" s="140" t="s">
        <v>174</v>
      </c>
      <c r="E530" s="141" t="s">
        <v>265</v>
      </c>
      <c r="F530" s="139"/>
      <c r="G530" s="139"/>
      <c r="H530" s="139"/>
      <c r="I530" s="139"/>
    </row>
    <row r="531" spans="2:9" s="130" customFormat="1" x14ac:dyDescent="0.2">
      <c r="B531" s="246" t="s">
        <v>266</v>
      </c>
      <c r="C531" s="246"/>
      <c r="D531" s="140" t="s">
        <v>182</v>
      </c>
      <c r="E531" s="141" t="s">
        <v>267</v>
      </c>
      <c r="F531" s="139"/>
      <c r="G531" s="139"/>
      <c r="H531" s="139"/>
      <c r="I531" s="139"/>
    </row>
    <row r="532" spans="2:9" s="130" customFormat="1" x14ac:dyDescent="0.2">
      <c r="B532" s="246" t="s">
        <v>268</v>
      </c>
      <c r="C532" s="246"/>
      <c r="D532" s="140" t="s">
        <v>182</v>
      </c>
      <c r="E532" s="141" t="s">
        <v>269</v>
      </c>
      <c r="F532" s="139"/>
      <c r="G532" s="139"/>
      <c r="H532" s="139"/>
      <c r="I532" s="139"/>
    </row>
    <row r="533" spans="2:9" s="130" customFormat="1" x14ac:dyDescent="0.2">
      <c r="B533" s="246" t="s">
        <v>270</v>
      </c>
      <c r="C533" s="246"/>
      <c r="D533" s="140" t="s">
        <v>175</v>
      </c>
      <c r="E533" s="141" t="s">
        <v>271</v>
      </c>
      <c r="F533" s="139"/>
      <c r="G533" s="139"/>
      <c r="H533" s="139"/>
      <c r="I533" s="139"/>
    </row>
    <row r="534" spans="2:9" s="130" customFormat="1" x14ac:dyDescent="0.2">
      <c r="B534" s="246" t="s">
        <v>272</v>
      </c>
      <c r="C534" s="246"/>
      <c r="D534" s="140" t="s">
        <v>182</v>
      </c>
      <c r="E534" s="141" t="s">
        <v>273</v>
      </c>
      <c r="F534" s="139"/>
      <c r="G534" s="139"/>
      <c r="H534" s="139"/>
      <c r="I534" s="139"/>
    </row>
    <row r="535" spans="2:9" s="130" customFormat="1" x14ac:dyDescent="0.2">
      <c r="B535" s="246" t="s">
        <v>274</v>
      </c>
      <c r="C535" s="246"/>
      <c r="D535" s="140" t="s">
        <v>182</v>
      </c>
      <c r="E535" s="141" t="s">
        <v>275</v>
      </c>
      <c r="F535" s="139"/>
      <c r="G535" s="139"/>
      <c r="H535" s="139"/>
      <c r="I535" s="139"/>
    </row>
    <row r="536" spans="2:9" s="130" customFormat="1" ht="13.5" thickBot="1" x14ac:dyDescent="0.25">
      <c r="B536" s="246" t="s">
        <v>323</v>
      </c>
      <c r="C536" s="246"/>
      <c r="D536" s="140" t="s">
        <v>194</v>
      </c>
      <c r="E536" s="141" t="s">
        <v>324</v>
      </c>
      <c r="F536" s="139"/>
      <c r="G536" s="139"/>
      <c r="H536" s="139"/>
      <c r="I536" s="139"/>
    </row>
    <row r="537" spans="2:9" ht="25.5" customHeight="1" thickBot="1" x14ac:dyDescent="0.25">
      <c r="B537" s="243" t="s">
        <v>327</v>
      </c>
      <c r="C537" s="244"/>
      <c r="D537" s="244"/>
      <c r="E537" s="245"/>
      <c r="F537" s="125"/>
      <c r="G537" s="125"/>
      <c r="H537" s="125"/>
      <c r="I537" s="125"/>
    </row>
    <row r="538" spans="2:9" x14ac:dyDescent="0.2">
      <c r="B538" s="33" t="s">
        <v>18</v>
      </c>
      <c r="C538" s="31"/>
      <c r="D538" s="72"/>
      <c r="E538" s="32"/>
      <c r="F538" s="125"/>
      <c r="G538" s="125"/>
      <c r="H538" s="125"/>
      <c r="I538" s="125"/>
    </row>
    <row r="539" spans="2:9" x14ac:dyDescent="0.2">
      <c r="B539" s="34"/>
      <c r="C539" s="199" t="s">
        <v>64</v>
      </c>
      <c r="D539" s="199"/>
      <c r="E539" s="199"/>
      <c r="F539" s="125"/>
      <c r="G539" s="125"/>
      <c r="H539" s="125"/>
      <c r="I539" s="125"/>
    </row>
    <row r="540" spans="2:9" x14ac:dyDescent="0.2">
      <c r="B540" s="33" t="s">
        <v>19</v>
      </c>
      <c r="C540" s="35"/>
      <c r="D540" s="35"/>
      <c r="E540" s="36"/>
      <c r="F540" s="125"/>
      <c r="G540" s="125"/>
      <c r="H540" s="125"/>
      <c r="I540" s="125"/>
    </row>
    <row r="541" spans="2:9" x14ac:dyDescent="0.2">
      <c r="B541" s="34"/>
      <c r="C541" s="199" t="s">
        <v>141</v>
      </c>
      <c r="D541" s="199"/>
      <c r="E541" s="199"/>
      <c r="F541" s="125"/>
      <c r="G541" s="125"/>
      <c r="H541" s="125"/>
      <c r="I541" s="125"/>
    </row>
    <row r="542" spans="2:9" x14ac:dyDescent="0.2">
      <c r="B542" s="33" t="s">
        <v>20</v>
      </c>
      <c r="C542" s="31"/>
      <c r="D542" s="72"/>
      <c r="E542" s="32"/>
      <c r="F542" s="125"/>
      <c r="G542" s="125"/>
      <c r="H542" s="125"/>
      <c r="I542" s="125"/>
    </row>
    <row r="543" spans="2:9" x14ac:dyDescent="0.2">
      <c r="B543" s="33"/>
      <c r="C543" s="198" t="s">
        <v>65</v>
      </c>
      <c r="D543" s="198"/>
      <c r="E543" s="198"/>
      <c r="F543" s="125"/>
      <c r="G543" s="125"/>
      <c r="H543" s="125"/>
      <c r="I543" s="125"/>
    </row>
    <row r="544" spans="2:9" ht="13.5" thickBot="1" x14ac:dyDescent="0.25">
      <c r="B544" s="37"/>
      <c r="C544" s="38"/>
      <c r="D544" s="73"/>
      <c r="E544" s="39"/>
      <c r="F544" s="125"/>
      <c r="G544" s="125"/>
      <c r="H544" s="125"/>
      <c r="I544" s="125"/>
    </row>
    <row r="545" spans="2:9" ht="13.5" thickBot="1" x14ac:dyDescent="0.25">
      <c r="F545" s="125"/>
      <c r="G545" s="125"/>
      <c r="H545" s="125"/>
      <c r="I545" s="125"/>
    </row>
    <row r="546" spans="2:9" x14ac:dyDescent="0.2">
      <c r="B546" s="27" t="s">
        <v>153</v>
      </c>
      <c r="C546" s="28"/>
      <c r="D546" s="71"/>
      <c r="E546" s="29"/>
      <c r="F546" s="125"/>
      <c r="G546" s="125"/>
      <c r="H546" s="125"/>
      <c r="I546" s="125"/>
    </row>
    <row r="547" spans="2:9" x14ac:dyDescent="0.2">
      <c r="B547" s="30"/>
      <c r="C547" s="31"/>
      <c r="D547" s="72"/>
      <c r="E547" s="32"/>
      <c r="F547" s="125"/>
      <c r="G547" s="125"/>
      <c r="H547" s="125"/>
      <c r="I547" s="125"/>
    </row>
    <row r="548" spans="2:9" x14ac:dyDescent="0.2">
      <c r="B548" s="33" t="s">
        <v>16</v>
      </c>
      <c r="C548" s="31"/>
      <c r="D548" s="72"/>
      <c r="E548" s="32"/>
      <c r="F548" s="125"/>
      <c r="G548" s="125"/>
      <c r="H548" s="125"/>
      <c r="I548" s="125"/>
    </row>
    <row r="549" spans="2:9" x14ac:dyDescent="0.2">
      <c r="B549" s="33"/>
      <c r="C549" s="199"/>
      <c r="D549" s="199"/>
      <c r="E549" s="199"/>
      <c r="F549" s="125"/>
      <c r="G549" s="125"/>
      <c r="H549" s="125"/>
      <c r="I549" s="125"/>
    </row>
    <row r="550" spans="2:9" ht="13.5" thickBot="1" x14ac:dyDescent="0.25">
      <c r="B550" s="33" t="s">
        <v>17</v>
      </c>
      <c r="C550" s="31"/>
      <c r="D550" s="72"/>
      <c r="E550" s="32"/>
      <c r="F550" s="125"/>
      <c r="G550" s="125"/>
      <c r="H550" s="125"/>
      <c r="I550" s="125"/>
    </row>
    <row r="551" spans="2:9" ht="13.5" thickBot="1" x14ac:dyDescent="0.25">
      <c r="B551" s="185" t="s">
        <v>138</v>
      </c>
      <c r="C551" s="186"/>
      <c r="D551" s="186"/>
      <c r="E551" s="187"/>
      <c r="F551" s="125"/>
      <c r="G551" s="125"/>
      <c r="H551" s="125"/>
      <c r="I551" s="125"/>
    </row>
    <row r="552" spans="2:9" ht="12.75" customHeight="1" thickBot="1" x14ac:dyDescent="0.25">
      <c r="B552" s="185" t="s">
        <v>139</v>
      </c>
      <c r="C552" s="187"/>
      <c r="D552" s="69" t="s">
        <v>11</v>
      </c>
      <c r="E552" s="69" t="s">
        <v>140</v>
      </c>
      <c r="F552" s="125"/>
      <c r="G552" s="125"/>
      <c r="H552" s="125"/>
      <c r="I552" s="125"/>
    </row>
    <row r="553" spans="2:9" s="130" customFormat="1" x14ac:dyDescent="0.2">
      <c r="B553" s="247" t="s">
        <v>317</v>
      </c>
      <c r="C553" s="247"/>
      <c r="D553" s="137">
        <v>29</v>
      </c>
      <c r="E553" s="138" t="s">
        <v>316</v>
      </c>
      <c r="F553" s="139">
        <f>SUM(D553:D572)</f>
        <v>990</v>
      </c>
      <c r="G553" s="139">
        <f>F553*$G$48</f>
        <v>3960</v>
      </c>
      <c r="H553" s="139">
        <f>G553*$H$48</f>
        <v>11880</v>
      </c>
      <c r="I553" s="139"/>
    </row>
    <row r="554" spans="2:9" s="130" customFormat="1" x14ac:dyDescent="0.2">
      <c r="B554" s="246" t="s">
        <v>318</v>
      </c>
      <c r="C554" s="246"/>
      <c r="D554" s="140">
        <v>63</v>
      </c>
      <c r="E554" s="141" t="s">
        <v>247</v>
      </c>
      <c r="F554" s="139"/>
      <c r="G554" s="139"/>
      <c r="H554" s="139"/>
      <c r="I554" s="139"/>
    </row>
    <row r="555" spans="2:9" s="130" customFormat="1" x14ac:dyDescent="0.2">
      <c r="B555" s="246" t="s">
        <v>320</v>
      </c>
      <c r="C555" s="246"/>
      <c r="D555" s="140">
        <v>72</v>
      </c>
      <c r="E555" s="141" t="s">
        <v>248</v>
      </c>
      <c r="F555" s="139"/>
      <c r="G555" s="139"/>
      <c r="H555" s="139"/>
      <c r="I555" s="139"/>
    </row>
    <row r="556" spans="2:9" s="130" customFormat="1" x14ac:dyDescent="0.2">
      <c r="B556" s="246" t="s">
        <v>319</v>
      </c>
      <c r="C556" s="246"/>
      <c r="D556" s="140">
        <v>63</v>
      </c>
      <c r="E556" s="141" t="s">
        <v>249</v>
      </c>
      <c r="F556" s="139"/>
      <c r="G556" s="139"/>
      <c r="H556" s="139"/>
      <c r="I556" s="139"/>
    </row>
    <row r="557" spans="2:9" s="130" customFormat="1" x14ac:dyDescent="0.2">
      <c r="B557" s="246" t="s">
        <v>314</v>
      </c>
      <c r="C557" s="246"/>
      <c r="D557" s="140">
        <v>68</v>
      </c>
      <c r="E557" s="141" t="s">
        <v>315</v>
      </c>
      <c r="F557" s="139"/>
      <c r="G557" s="139"/>
      <c r="H557" s="139"/>
      <c r="I557" s="139"/>
    </row>
    <row r="558" spans="2:9" s="130" customFormat="1" x14ac:dyDescent="0.2">
      <c r="B558" s="246" t="s">
        <v>250</v>
      </c>
      <c r="C558" s="246"/>
      <c r="D558" s="140">
        <v>20</v>
      </c>
      <c r="E558" s="141" t="s">
        <v>251</v>
      </c>
      <c r="F558" s="139"/>
      <c r="G558" s="139"/>
      <c r="H558" s="139"/>
      <c r="I558" s="139"/>
    </row>
    <row r="559" spans="2:9" s="130" customFormat="1" x14ac:dyDescent="0.2">
      <c r="B559" s="246" t="s">
        <v>252</v>
      </c>
      <c r="C559" s="246"/>
      <c r="D559" s="140">
        <v>36</v>
      </c>
      <c r="E559" s="141" t="s">
        <v>253</v>
      </c>
      <c r="F559" s="139"/>
      <c r="G559" s="139"/>
      <c r="H559" s="139"/>
      <c r="I559" s="139"/>
    </row>
    <row r="560" spans="2:9" s="130" customFormat="1" x14ac:dyDescent="0.2">
      <c r="B560" s="246" t="s">
        <v>254</v>
      </c>
      <c r="C560" s="246"/>
      <c r="D560" s="140">
        <v>36</v>
      </c>
      <c r="E560" s="141" t="s">
        <v>255</v>
      </c>
      <c r="F560" s="139"/>
      <c r="G560" s="139"/>
      <c r="H560" s="139"/>
      <c r="I560" s="139"/>
    </row>
    <row r="561" spans="2:9" s="130" customFormat="1" x14ac:dyDescent="0.2">
      <c r="B561" s="246" t="s">
        <v>256</v>
      </c>
      <c r="C561" s="246"/>
      <c r="D561" s="140">
        <v>63</v>
      </c>
      <c r="E561" s="141" t="s">
        <v>257</v>
      </c>
      <c r="F561" s="139"/>
      <c r="G561" s="139"/>
      <c r="H561" s="139"/>
      <c r="I561" s="139"/>
    </row>
    <row r="562" spans="2:9" s="130" customFormat="1" x14ac:dyDescent="0.2">
      <c r="B562" s="246" t="s">
        <v>321</v>
      </c>
      <c r="C562" s="246"/>
      <c r="D562" s="140">
        <v>54</v>
      </c>
      <c r="E562" s="141" t="s">
        <v>258</v>
      </c>
      <c r="F562" s="139"/>
      <c r="G562" s="139"/>
      <c r="H562" s="139"/>
      <c r="I562" s="139"/>
    </row>
    <row r="563" spans="2:9" s="130" customFormat="1" x14ac:dyDescent="0.2">
      <c r="B563" s="246" t="s">
        <v>259</v>
      </c>
      <c r="C563" s="246"/>
      <c r="D563" s="140">
        <v>27</v>
      </c>
      <c r="E563" s="141" t="s">
        <v>260</v>
      </c>
      <c r="F563" s="139"/>
      <c r="G563" s="139"/>
      <c r="H563" s="139"/>
      <c r="I563" s="139"/>
    </row>
    <row r="564" spans="2:9" s="130" customFormat="1" x14ac:dyDescent="0.2">
      <c r="B564" s="246" t="s">
        <v>261</v>
      </c>
      <c r="C564" s="246"/>
      <c r="D564" s="140">
        <v>72</v>
      </c>
      <c r="E564" s="141" t="s">
        <v>262</v>
      </c>
      <c r="F564" s="139"/>
      <c r="G564" s="139"/>
      <c r="H564" s="139"/>
      <c r="I564" s="139"/>
    </row>
    <row r="565" spans="2:9" s="130" customFormat="1" x14ac:dyDescent="0.2">
      <c r="B565" s="246" t="s">
        <v>322</v>
      </c>
      <c r="C565" s="246"/>
      <c r="D565" s="140">
        <v>72</v>
      </c>
      <c r="E565" s="141" t="s">
        <v>263</v>
      </c>
      <c r="F565" s="139"/>
      <c r="G565" s="139"/>
      <c r="H565" s="139"/>
      <c r="I565" s="139"/>
    </row>
    <row r="566" spans="2:9" s="130" customFormat="1" x14ac:dyDescent="0.2">
      <c r="B566" s="246" t="s">
        <v>264</v>
      </c>
      <c r="C566" s="246"/>
      <c r="D566" s="140">
        <v>27</v>
      </c>
      <c r="E566" s="141" t="s">
        <v>265</v>
      </c>
      <c r="F566" s="139"/>
      <c r="G566" s="139"/>
      <c r="H566" s="139"/>
      <c r="I566" s="139"/>
    </row>
    <row r="567" spans="2:9" s="130" customFormat="1" x14ac:dyDescent="0.2">
      <c r="B567" s="246" t="s">
        <v>266</v>
      </c>
      <c r="C567" s="246"/>
      <c r="D567" s="140">
        <v>45</v>
      </c>
      <c r="E567" s="141" t="s">
        <v>267</v>
      </c>
      <c r="F567" s="139"/>
      <c r="G567" s="139"/>
      <c r="H567" s="139"/>
      <c r="I567" s="139"/>
    </row>
    <row r="568" spans="2:9" s="130" customFormat="1" x14ac:dyDescent="0.2">
      <c r="B568" s="246" t="s">
        <v>268</v>
      </c>
      <c r="C568" s="246"/>
      <c r="D568" s="140">
        <v>45</v>
      </c>
      <c r="E568" s="141" t="s">
        <v>269</v>
      </c>
      <c r="F568" s="139"/>
      <c r="G568" s="139"/>
      <c r="H568" s="139"/>
      <c r="I568" s="139"/>
    </row>
    <row r="569" spans="2:9" s="130" customFormat="1" x14ac:dyDescent="0.2">
      <c r="B569" s="246" t="s">
        <v>270</v>
      </c>
      <c r="C569" s="246"/>
      <c r="D569" s="140">
        <v>36</v>
      </c>
      <c r="E569" s="141" t="s">
        <v>271</v>
      </c>
      <c r="F569" s="139"/>
      <c r="G569" s="139"/>
      <c r="H569" s="139"/>
      <c r="I569" s="139"/>
    </row>
    <row r="570" spans="2:9" s="130" customFormat="1" x14ac:dyDescent="0.2">
      <c r="B570" s="246" t="s">
        <v>272</v>
      </c>
      <c r="C570" s="246"/>
      <c r="D570" s="140">
        <v>45</v>
      </c>
      <c r="E570" s="141" t="s">
        <v>273</v>
      </c>
      <c r="F570" s="139"/>
      <c r="G570" s="139"/>
      <c r="H570" s="139"/>
      <c r="I570" s="139"/>
    </row>
    <row r="571" spans="2:9" s="130" customFormat="1" x14ac:dyDescent="0.2">
      <c r="B571" s="246" t="s">
        <v>274</v>
      </c>
      <c r="C571" s="246"/>
      <c r="D571" s="140">
        <v>45</v>
      </c>
      <c r="E571" s="141" t="s">
        <v>275</v>
      </c>
      <c r="F571" s="139"/>
      <c r="G571" s="139"/>
      <c r="H571" s="139"/>
      <c r="I571" s="139"/>
    </row>
    <row r="572" spans="2:9" s="130" customFormat="1" ht="13.5" thickBot="1" x14ac:dyDescent="0.25">
      <c r="B572" s="246" t="s">
        <v>323</v>
      </c>
      <c r="C572" s="246"/>
      <c r="D572" s="140">
        <v>72</v>
      </c>
      <c r="E572" s="141" t="s">
        <v>324</v>
      </c>
      <c r="F572" s="139"/>
      <c r="G572" s="139"/>
      <c r="H572" s="139"/>
      <c r="I572" s="139"/>
    </row>
    <row r="573" spans="2:9" ht="26.25" customHeight="1" thickBot="1" x14ac:dyDescent="0.25">
      <c r="B573" s="243" t="s">
        <v>338</v>
      </c>
      <c r="C573" s="244"/>
      <c r="D573" s="244"/>
      <c r="E573" s="245"/>
      <c r="F573" s="125"/>
      <c r="G573" s="125"/>
      <c r="H573" s="125"/>
      <c r="I573" s="125"/>
    </row>
    <row r="574" spans="2:9" x14ac:dyDescent="0.2">
      <c r="B574" s="33" t="s">
        <v>18</v>
      </c>
      <c r="C574" s="31"/>
      <c r="D574" s="72"/>
      <c r="E574" s="32"/>
      <c r="F574" s="125"/>
      <c r="G574" s="125"/>
      <c r="H574" s="125"/>
      <c r="I574" s="125"/>
    </row>
    <row r="575" spans="2:9" x14ac:dyDescent="0.2">
      <c r="B575" s="34"/>
      <c r="C575" s="199" t="s">
        <v>64</v>
      </c>
      <c r="D575" s="199"/>
      <c r="E575" s="199"/>
      <c r="F575" s="125"/>
      <c r="G575" s="125"/>
      <c r="H575" s="125"/>
      <c r="I575" s="125"/>
    </row>
    <row r="576" spans="2:9" x14ac:dyDescent="0.2">
      <c r="B576" s="33" t="s">
        <v>19</v>
      </c>
      <c r="C576" s="35"/>
      <c r="D576" s="35"/>
      <c r="E576" s="36"/>
      <c r="F576" s="125"/>
      <c r="G576" s="125"/>
      <c r="H576" s="125"/>
      <c r="I576" s="125"/>
    </row>
    <row r="577" spans="2:9" x14ac:dyDescent="0.2">
      <c r="B577" s="34"/>
      <c r="C577" s="199" t="s">
        <v>141</v>
      </c>
      <c r="D577" s="199"/>
      <c r="E577" s="199"/>
      <c r="F577" s="125"/>
      <c r="G577" s="125"/>
      <c r="H577" s="125"/>
      <c r="I577" s="125"/>
    </row>
    <row r="578" spans="2:9" x14ac:dyDescent="0.2">
      <c r="B578" s="33" t="s">
        <v>20</v>
      </c>
      <c r="C578" s="31"/>
      <c r="D578" s="72"/>
      <c r="E578" s="32"/>
      <c r="F578" s="125"/>
      <c r="G578" s="125"/>
      <c r="H578" s="125"/>
      <c r="I578" s="125"/>
    </row>
    <row r="579" spans="2:9" x14ac:dyDescent="0.2">
      <c r="B579" s="33"/>
      <c r="C579" s="198" t="s">
        <v>65</v>
      </c>
      <c r="D579" s="198"/>
      <c r="E579" s="198"/>
      <c r="F579" s="125"/>
      <c r="G579" s="125"/>
      <c r="H579" s="125"/>
      <c r="I579" s="125"/>
    </row>
    <row r="580" spans="2:9" ht="13.5" thickBot="1" x14ac:dyDescent="0.25">
      <c r="B580" s="37"/>
      <c r="C580" s="38"/>
      <c r="D580" s="73"/>
      <c r="E580" s="39"/>
      <c r="F580" s="125"/>
      <c r="G580" s="125"/>
      <c r="H580" s="125"/>
      <c r="I580" s="125"/>
    </row>
    <row r="581" spans="2:9" ht="13.5" thickBot="1" x14ac:dyDescent="0.25">
      <c r="F581" s="125"/>
      <c r="G581" s="125"/>
      <c r="H581" s="125"/>
      <c r="I581" s="125"/>
    </row>
    <row r="582" spans="2:9" x14ac:dyDescent="0.2">
      <c r="B582" s="27" t="s">
        <v>154</v>
      </c>
      <c r="C582" s="28"/>
      <c r="D582" s="71"/>
      <c r="E582" s="29"/>
      <c r="F582" s="125"/>
      <c r="G582" s="125"/>
      <c r="H582" s="125"/>
      <c r="I582" s="125"/>
    </row>
    <row r="583" spans="2:9" x14ac:dyDescent="0.2">
      <c r="B583" s="30"/>
      <c r="C583" s="31"/>
      <c r="D583" s="72"/>
      <c r="E583" s="32"/>
      <c r="F583" s="125"/>
      <c r="G583" s="125"/>
      <c r="H583" s="125"/>
      <c r="I583" s="125"/>
    </row>
    <row r="584" spans="2:9" x14ac:dyDescent="0.2">
      <c r="B584" s="33" t="s">
        <v>16</v>
      </c>
      <c r="C584" s="31"/>
      <c r="D584" s="72"/>
      <c r="E584" s="32"/>
      <c r="F584" s="125"/>
      <c r="G584" s="125"/>
      <c r="H584" s="125"/>
      <c r="I584" s="125"/>
    </row>
    <row r="585" spans="2:9" x14ac:dyDescent="0.2">
      <c r="B585" s="33"/>
      <c r="C585" s="199"/>
      <c r="D585" s="199"/>
      <c r="E585" s="199"/>
      <c r="F585" s="125"/>
      <c r="G585" s="125"/>
      <c r="H585" s="125"/>
      <c r="I585" s="125"/>
    </row>
    <row r="586" spans="2:9" ht="13.5" thickBot="1" x14ac:dyDescent="0.25">
      <c r="B586" s="33" t="s">
        <v>17</v>
      </c>
      <c r="C586" s="31"/>
      <c r="D586" s="72"/>
      <c r="E586" s="32"/>
      <c r="F586" s="125"/>
      <c r="G586" s="125"/>
      <c r="H586" s="125"/>
      <c r="I586" s="125"/>
    </row>
    <row r="587" spans="2:9" ht="13.5" thickBot="1" x14ac:dyDescent="0.25">
      <c r="B587" s="185" t="s">
        <v>138</v>
      </c>
      <c r="C587" s="186"/>
      <c r="D587" s="186"/>
      <c r="E587" s="187"/>
      <c r="F587" s="125"/>
      <c r="G587" s="125"/>
      <c r="H587" s="125"/>
      <c r="I587" s="125"/>
    </row>
    <row r="588" spans="2:9" ht="13.5" thickBot="1" x14ac:dyDescent="0.25">
      <c r="B588" s="185" t="s">
        <v>139</v>
      </c>
      <c r="C588" s="187"/>
      <c r="D588" s="69" t="s">
        <v>11</v>
      </c>
      <c r="E588" s="69" t="s">
        <v>140</v>
      </c>
      <c r="F588" s="125"/>
      <c r="G588" s="125"/>
      <c r="H588" s="125"/>
      <c r="I588" s="125"/>
    </row>
    <row r="589" spans="2:9" s="130" customFormat="1" x14ac:dyDescent="0.2">
      <c r="B589" s="247" t="s">
        <v>317</v>
      </c>
      <c r="C589" s="247"/>
      <c r="D589" s="137">
        <v>5</v>
      </c>
      <c r="E589" s="138" t="s">
        <v>316</v>
      </c>
      <c r="F589" s="139">
        <v>792</v>
      </c>
      <c r="G589" s="139">
        <f>F589*$G$48</f>
        <v>3168</v>
      </c>
      <c r="H589" s="139">
        <f>G589*$H$48</f>
        <v>9504</v>
      </c>
      <c r="I589" s="139"/>
    </row>
    <row r="590" spans="2:9" s="130" customFormat="1" x14ac:dyDescent="0.2">
      <c r="B590" s="246" t="s">
        <v>318</v>
      </c>
      <c r="C590" s="246"/>
      <c r="D590" s="140">
        <v>11</v>
      </c>
      <c r="E590" s="141" t="s">
        <v>247</v>
      </c>
      <c r="F590" s="139"/>
      <c r="G590" s="139"/>
      <c r="H590" s="139"/>
      <c r="I590" s="139"/>
    </row>
    <row r="591" spans="2:9" s="130" customFormat="1" x14ac:dyDescent="0.2">
      <c r="B591" s="246" t="s">
        <v>320</v>
      </c>
      <c r="C591" s="246"/>
      <c r="D591" s="140">
        <v>12</v>
      </c>
      <c r="E591" s="141" t="s">
        <v>248</v>
      </c>
      <c r="F591" s="139"/>
      <c r="G591" s="139"/>
      <c r="H591" s="139"/>
      <c r="I591" s="139"/>
    </row>
    <row r="592" spans="2:9" s="130" customFormat="1" x14ac:dyDescent="0.2">
      <c r="B592" s="246" t="s">
        <v>319</v>
      </c>
      <c r="C592" s="246"/>
      <c r="D592" s="140">
        <v>11</v>
      </c>
      <c r="E592" s="141" t="s">
        <v>249</v>
      </c>
      <c r="F592" s="139"/>
      <c r="G592" s="139"/>
      <c r="H592" s="139"/>
      <c r="I592" s="139"/>
    </row>
    <row r="593" spans="2:9" s="130" customFormat="1" x14ac:dyDescent="0.2">
      <c r="B593" s="246" t="s">
        <v>314</v>
      </c>
      <c r="C593" s="246"/>
      <c r="D593" s="140">
        <v>11</v>
      </c>
      <c r="E593" s="141" t="s">
        <v>315</v>
      </c>
      <c r="F593" s="139"/>
      <c r="G593" s="139"/>
      <c r="H593" s="139"/>
      <c r="I593" s="139"/>
    </row>
    <row r="594" spans="2:9" s="130" customFormat="1" x14ac:dyDescent="0.2">
      <c r="B594" s="246" t="s">
        <v>250</v>
      </c>
      <c r="C594" s="246"/>
      <c r="D594" s="140">
        <v>3</v>
      </c>
      <c r="E594" s="141" t="s">
        <v>251</v>
      </c>
      <c r="F594" s="139"/>
      <c r="G594" s="139"/>
      <c r="H594" s="139"/>
      <c r="I594" s="139"/>
    </row>
    <row r="595" spans="2:9" s="130" customFormat="1" x14ac:dyDescent="0.2">
      <c r="B595" s="246" t="s">
        <v>252</v>
      </c>
      <c r="C595" s="246"/>
      <c r="D595" s="140">
        <v>6</v>
      </c>
      <c r="E595" s="141" t="s">
        <v>253</v>
      </c>
      <c r="F595" s="139"/>
      <c r="G595" s="139"/>
      <c r="H595" s="139"/>
      <c r="I595" s="139"/>
    </row>
    <row r="596" spans="2:9" s="130" customFormat="1" x14ac:dyDescent="0.2">
      <c r="B596" s="246" t="s">
        <v>254</v>
      </c>
      <c r="C596" s="246"/>
      <c r="D596" s="140">
        <v>6</v>
      </c>
      <c r="E596" s="141" t="s">
        <v>255</v>
      </c>
      <c r="F596" s="139"/>
      <c r="G596" s="139"/>
      <c r="H596" s="139"/>
      <c r="I596" s="139"/>
    </row>
    <row r="597" spans="2:9" s="130" customFormat="1" x14ac:dyDescent="0.2">
      <c r="B597" s="246" t="s">
        <v>256</v>
      </c>
      <c r="C597" s="246"/>
      <c r="D597" s="140">
        <v>11</v>
      </c>
      <c r="E597" s="141" t="s">
        <v>257</v>
      </c>
      <c r="F597" s="139"/>
      <c r="G597" s="139"/>
      <c r="H597" s="139"/>
      <c r="I597" s="139"/>
    </row>
    <row r="598" spans="2:9" s="130" customFormat="1" x14ac:dyDescent="0.2">
      <c r="B598" s="246" t="s">
        <v>321</v>
      </c>
      <c r="C598" s="246"/>
      <c r="D598" s="140">
        <v>9</v>
      </c>
      <c r="E598" s="141" t="s">
        <v>258</v>
      </c>
      <c r="F598" s="139"/>
      <c r="G598" s="139"/>
      <c r="H598" s="139"/>
      <c r="I598" s="139"/>
    </row>
    <row r="599" spans="2:9" s="130" customFormat="1" x14ac:dyDescent="0.2">
      <c r="B599" s="246" t="s">
        <v>259</v>
      </c>
      <c r="C599" s="246"/>
      <c r="D599" s="140">
        <v>5</v>
      </c>
      <c r="E599" s="141" t="s">
        <v>260</v>
      </c>
      <c r="F599" s="139"/>
      <c r="G599" s="139"/>
      <c r="H599" s="139"/>
      <c r="I599" s="139"/>
    </row>
    <row r="600" spans="2:9" s="130" customFormat="1" x14ac:dyDescent="0.2">
      <c r="B600" s="246" t="s">
        <v>261</v>
      </c>
      <c r="C600" s="246"/>
      <c r="D600" s="140">
        <v>12</v>
      </c>
      <c r="E600" s="141" t="s">
        <v>262</v>
      </c>
      <c r="F600" s="139"/>
      <c r="G600" s="139"/>
      <c r="H600" s="139"/>
      <c r="I600" s="139"/>
    </row>
    <row r="601" spans="2:9" s="130" customFormat="1" x14ac:dyDescent="0.2">
      <c r="B601" s="246" t="s">
        <v>322</v>
      </c>
      <c r="C601" s="246"/>
      <c r="D601" s="140">
        <v>12</v>
      </c>
      <c r="E601" s="141" t="s">
        <v>263</v>
      </c>
      <c r="F601" s="139"/>
      <c r="G601" s="139"/>
      <c r="H601" s="139"/>
      <c r="I601" s="139"/>
    </row>
    <row r="602" spans="2:9" s="130" customFormat="1" x14ac:dyDescent="0.2">
      <c r="B602" s="246" t="s">
        <v>264</v>
      </c>
      <c r="C602" s="246"/>
      <c r="D602" s="140">
        <v>5</v>
      </c>
      <c r="E602" s="141" t="s">
        <v>265</v>
      </c>
      <c r="F602" s="139"/>
      <c r="G602" s="139"/>
      <c r="H602" s="139"/>
      <c r="I602" s="139"/>
    </row>
    <row r="603" spans="2:9" s="130" customFormat="1" x14ac:dyDescent="0.2">
      <c r="B603" s="246" t="s">
        <v>266</v>
      </c>
      <c r="C603" s="246"/>
      <c r="D603" s="140">
        <v>8</v>
      </c>
      <c r="E603" s="141" t="s">
        <v>267</v>
      </c>
      <c r="F603" s="139"/>
      <c r="G603" s="139"/>
      <c r="H603" s="139"/>
      <c r="I603" s="139"/>
    </row>
    <row r="604" spans="2:9" s="130" customFormat="1" x14ac:dyDescent="0.2">
      <c r="B604" s="246" t="s">
        <v>268</v>
      </c>
      <c r="C604" s="246"/>
      <c r="D604" s="140">
        <v>8</v>
      </c>
      <c r="E604" s="141" t="s">
        <v>269</v>
      </c>
      <c r="F604" s="139"/>
      <c r="G604" s="139"/>
      <c r="H604" s="139"/>
      <c r="I604" s="139"/>
    </row>
    <row r="605" spans="2:9" s="130" customFormat="1" x14ac:dyDescent="0.2">
      <c r="B605" s="246" t="s">
        <v>270</v>
      </c>
      <c r="C605" s="246"/>
      <c r="D605" s="140">
        <v>6</v>
      </c>
      <c r="E605" s="141" t="s">
        <v>271</v>
      </c>
      <c r="F605" s="139"/>
      <c r="G605" s="139"/>
      <c r="H605" s="139"/>
      <c r="I605" s="139"/>
    </row>
    <row r="606" spans="2:9" s="130" customFormat="1" x14ac:dyDescent="0.2">
      <c r="B606" s="246" t="s">
        <v>272</v>
      </c>
      <c r="C606" s="246"/>
      <c r="D606" s="140">
        <v>8</v>
      </c>
      <c r="E606" s="141" t="s">
        <v>273</v>
      </c>
      <c r="F606" s="139"/>
      <c r="G606" s="139"/>
      <c r="H606" s="139"/>
      <c r="I606" s="139"/>
    </row>
    <row r="607" spans="2:9" s="130" customFormat="1" x14ac:dyDescent="0.2">
      <c r="B607" s="246" t="s">
        <v>274</v>
      </c>
      <c r="C607" s="246"/>
      <c r="D607" s="140">
        <v>8</v>
      </c>
      <c r="E607" s="141" t="s">
        <v>275</v>
      </c>
      <c r="F607" s="139"/>
      <c r="G607" s="139"/>
      <c r="H607" s="139"/>
      <c r="I607" s="139"/>
    </row>
    <row r="608" spans="2:9" s="130" customFormat="1" ht="13.5" thickBot="1" x14ac:dyDescent="0.25">
      <c r="B608" s="246" t="s">
        <v>323</v>
      </c>
      <c r="C608" s="246"/>
      <c r="D608" s="140">
        <v>12</v>
      </c>
      <c r="E608" s="141" t="s">
        <v>324</v>
      </c>
      <c r="F608" s="139"/>
      <c r="G608" s="139"/>
      <c r="H608" s="139"/>
      <c r="I608" s="139"/>
    </row>
    <row r="609" spans="2:9" ht="26.25" customHeight="1" thickBot="1" x14ac:dyDescent="0.25">
      <c r="B609" s="243" t="s">
        <v>339</v>
      </c>
      <c r="C609" s="244"/>
      <c r="D609" s="244"/>
      <c r="E609" s="245"/>
      <c r="F609" s="125"/>
      <c r="G609" s="125"/>
      <c r="H609" s="125"/>
      <c r="I609" s="125"/>
    </row>
    <row r="610" spans="2:9" x14ac:dyDescent="0.2">
      <c r="B610" s="33" t="s">
        <v>18</v>
      </c>
      <c r="C610" s="31"/>
      <c r="D610" s="72"/>
      <c r="E610" s="32"/>
      <c r="F610" s="125"/>
      <c r="G610" s="125"/>
      <c r="H610" s="125"/>
      <c r="I610" s="125"/>
    </row>
    <row r="611" spans="2:9" x14ac:dyDescent="0.2">
      <c r="B611" s="34"/>
      <c r="C611" s="199" t="s">
        <v>64</v>
      </c>
      <c r="D611" s="199"/>
      <c r="E611" s="199"/>
      <c r="F611" s="125"/>
      <c r="G611" s="125"/>
      <c r="H611" s="125"/>
      <c r="I611" s="125"/>
    </row>
    <row r="612" spans="2:9" x14ac:dyDescent="0.2">
      <c r="B612" s="33" t="s">
        <v>19</v>
      </c>
      <c r="C612" s="35"/>
      <c r="D612" s="35"/>
      <c r="E612" s="36"/>
      <c r="F612" s="125"/>
      <c r="G612" s="125"/>
      <c r="H612" s="125"/>
      <c r="I612" s="125"/>
    </row>
    <row r="613" spans="2:9" x14ac:dyDescent="0.2">
      <c r="B613" s="34"/>
      <c r="C613" s="199" t="s">
        <v>141</v>
      </c>
      <c r="D613" s="199"/>
      <c r="E613" s="199"/>
      <c r="F613" s="125"/>
      <c r="G613" s="125"/>
      <c r="H613" s="125"/>
      <c r="I613" s="125"/>
    </row>
    <row r="614" spans="2:9" x14ac:dyDescent="0.2">
      <c r="B614" s="33" t="s">
        <v>20</v>
      </c>
      <c r="C614" s="31"/>
      <c r="D614" s="72"/>
      <c r="E614" s="32"/>
      <c r="F614" s="125"/>
      <c r="G614" s="125"/>
      <c r="H614" s="125"/>
      <c r="I614" s="125"/>
    </row>
    <row r="615" spans="2:9" x14ac:dyDescent="0.2">
      <c r="B615" s="33"/>
      <c r="C615" s="198" t="s">
        <v>65</v>
      </c>
      <c r="D615" s="198"/>
      <c r="E615" s="198"/>
      <c r="F615" s="125"/>
      <c r="G615" s="125"/>
      <c r="H615" s="125"/>
      <c r="I615" s="125"/>
    </row>
    <row r="616" spans="2:9" ht="13.5" thickBot="1" x14ac:dyDescent="0.25">
      <c r="B616" s="37"/>
      <c r="C616" s="38"/>
      <c r="D616" s="73"/>
      <c r="E616" s="39"/>
      <c r="F616" s="125"/>
      <c r="G616" s="125"/>
      <c r="H616" s="125"/>
      <c r="I616" s="125"/>
    </row>
    <row r="617" spans="2:9" ht="13.5" thickBot="1" x14ac:dyDescent="0.25">
      <c r="F617" s="125"/>
      <c r="G617" s="125"/>
      <c r="H617" s="125"/>
      <c r="I617" s="125"/>
    </row>
    <row r="618" spans="2:9" x14ac:dyDescent="0.2">
      <c r="B618" s="27" t="s">
        <v>155</v>
      </c>
      <c r="C618" s="28"/>
      <c r="D618" s="71"/>
      <c r="E618" s="29"/>
      <c r="F618" s="125"/>
      <c r="G618" s="125"/>
      <c r="H618" s="125"/>
      <c r="I618" s="125"/>
    </row>
    <row r="619" spans="2:9" x14ac:dyDescent="0.2">
      <c r="B619" s="30"/>
      <c r="C619" s="31"/>
      <c r="D619" s="72"/>
      <c r="E619" s="32"/>
      <c r="F619" s="125"/>
      <c r="G619" s="125"/>
      <c r="H619" s="125"/>
      <c r="I619" s="125"/>
    </row>
    <row r="620" spans="2:9" x14ac:dyDescent="0.2">
      <c r="B620" s="33" t="s">
        <v>16</v>
      </c>
      <c r="C620" s="31"/>
      <c r="D620" s="72"/>
      <c r="E620" s="32"/>
      <c r="F620" s="125"/>
      <c r="G620" s="125"/>
      <c r="H620" s="125"/>
      <c r="I620" s="125"/>
    </row>
    <row r="621" spans="2:9" x14ac:dyDescent="0.2">
      <c r="B621" s="33"/>
      <c r="C621" s="199"/>
      <c r="D621" s="199"/>
      <c r="E621" s="199"/>
      <c r="F621" s="125"/>
      <c r="G621" s="125"/>
      <c r="H621" s="125"/>
      <c r="I621" s="125"/>
    </row>
    <row r="622" spans="2:9" ht="13.5" thickBot="1" x14ac:dyDescent="0.25">
      <c r="B622" s="33" t="s">
        <v>17</v>
      </c>
      <c r="C622" s="31"/>
      <c r="D622" s="72"/>
      <c r="E622" s="32"/>
      <c r="F622" s="125"/>
      <c r="G622" s="125"/>
      <c r="H622" s="125"/>
      <c r="I622" s="125"/>
    </row>
    <row r="623" spans="2:9" ht="13.5" thickBot="1" x14ac:dyDescent="0.25">
      <c r="B623" s="185" t="s">
        <v>138</v>
      </c>
      <c r="C623" s="186"/>
      <c r="D623" s="186"/>
      <c r="E623" s="187"/>
      <c r="F623" s="125"/>
      <c r="G623" s="125"/>
      <c r="H623" s="125"/>
      <c r="I623" s="125"/>
    </row>
    <row r="624" spans="2:9" ht="13.5" thickBot="1" x14ac:dyDescent="0.25">
      <c r="B624" s="185" t="s">
        <v>139</v>
      </c>
      <c r="C624" s="187"/>
      <c r="D624" s="69" t="s">
        <v>11</v>
      </c>
      <c r="E624" s="69" t="s">
        <v>140</v>
      </c>
      <c r="F624" s="125"/>
      <c r="G624" s="125"/>
      <c r="H624" s="125"/>
      <c r="I624" s="125"/>
    </row>
    <row r="625" spans="2:9" s="130" customFormat="1" x14ac:dyDescent="0.2">
      <c r="B625" s="247" t="s">
        <v>317</v>
      </c>
      <c r="C625" s="247"/>
      <c r="D625" s="137" t="s">
        <v>190</v>
      </c>
      <c r="E625" s="138" t="s">
        <v>316</v>
      </c>
      <c r="F625" s="139">
        <v>396</v>
      </c>
      <c r="G625" s="139">
        <f>F625*$G$48</f>
        <v>1584</v>
      </c>
      <c r="H625" s="139">
        <f>G625*$H$48</f>
        <v>4752</v>
      </c>
      <c r="I625" s="139"/>
    </row>
    <row r="626" spans="2:9" s="130" customFormat="1" x14ac:dyDescent="0.2">
      <c r="B626" s="246" t="s">
        <v>318</v>
      </c>
      <c r="C626" s="246"/>
      <c r="D626" s="140" t="s">
        <v>196</v>
      </c>
      <c r="E626" s="141" t="s">
        <v>247</v>
      </c>
      <c r="F626" s="139"/>
      <c r="G626" s="139"/>
      <c r="H626" s="139"/>
      <c r="I626" s="139"/>
    </row>
    <row r="627" spans="2:9" s="130" customFormat="1" x14ac:dyDescent="0.2">
      <c r="B627" s="246" t="s">
        <v>320</v>
      </c>
      <c r="C627" s="246"/>
      <c r="D627" s="140" t="s">
        <v>234</v>
      </c>
      <c r="E627" s="141" t="s">
        <v>248</v>
      </c>
      <c r="F627" s="139"/>
      <c r="G627" s="139"/>
      <c r="H627" s="139"/>
      <c r="I627" s="139"/>
    </row>
    <row r="628" spans="2:9" s="130" customFormat="1" x14ac:dyDescent="0.2">
      <c r="B628" s="246" t="s">
        <v>319</v>
      </c>
      <c r="C628" s="246"/>
      <c r="D628" s="140" t="s">
        <v>196</v>
      </c>
      <c r="E628" s="141" t="s">
        <v>249</v>
      </c>
      <c r="F628" s="139"/>
      <c r="G628" s="139"/>
      <c r="H628" s="139"/>
      <c r="I628" s="139"/>
    </row>
    <row r="629" spans="2:9" s="130" customFormat="1" x14ac:dyDescent="0.2">
      <c r="B629" s="246" t="s">
        <v>314</v>
      </c>
      <c r="C629" s="246"/>
      <c r="D629" s="140" t="s">
        <v>206</v>
      </c>
      <c r="E629" s="141" t="s">
        <v>315</v>
      </c>
      <c r="F629" s="139"/>
      <c r="G629" s="139"/>
      <c r="H629" s="139"/>
      <c r="I629" s="139"/>
    </row>
    <row r="630" spans="2:9" s="130" customFormat="1" x14ac:dyDescent="0.2">
      <c r="B630" s="246" t="s">
        <v>250</v>
      </c>
      <c r="C630" s="246"/>
      <c r="D630" s="140" t="s">
        <v>186</v>
      </c>
      <c r="E630" s="141" t="s">
        <v>251</v>
      </c>
      <c r="F630" s="139"/>
      <c r="G630" s="139"/>
      <c r="H630" s="139"/>
      <c r="I630" s="139"/>
    </row>
    <row r="631" spans="2:9" s="130" customFormat="1" x14ac:dyDescent="0.2">
      <c r="B631" s="246" t="s">
        <v>252</v>
      </c>
      <c r="C631" s="246"/>
      <c r="D631" s="140" t="s">
        <v>194</v>
      </c>
      <c r="E631" s="141" t="s">
        <v>253</v>
      </c>
      <c r="F631" s="139"/>
      <c r="G631" s="139"/>
      <c r="H631" s="139"/>
      <c r="I631" s="139"/>
    </row>
    <row r="632" spans="2:9" s="130" customFormat="1" x14ac:dyDescent="0.2">
      <c r="B632" s="246" t="s">
        <v>254</v>
      </c>
      <c r="C632" s="246"/>
      <c r="D632" s="140" t="s">
        <v>194</v>
      </c>
      <c r="E632" s="141" t="s">
        <v>255</v>
      </c>
      <c r="F632" s="139"/>
      <c r="G632" s="139"/>
      <c r="H632" s="139"/>
      <c r="I632" s="139"/>
    </row>
    <row r="633" spans="2:9" s="130" customFormat="1" x14ac:dyDescent="0.2">
      <c r="B633" s="246" t="s">
        <v>256</v>
      </c>
      <c r="C633" s="246"/>
      <c r="D633" s="140" t="s">
        <v>196</v>
      </c>
      <c r="E633" s="141" t="s">
        <v>257</v>
      </c>
      <c r="F633" s="139"/>
      <c r="G633" s="139"/>
      <c r="H633" s="139"/>
      <c r="I633" s="139"/>
    </row>
    <row r="634" spans="2:9" s="130" customFormat="1" x14ac:dyDescent="0.2">
      <c r="B634" s="246" t="s">
        <v>321</v>
      </c>
      <c r="C634" s="246"/>
      <c r="D634" s="140" t="s">
        <v>195</v>
      </c>
      <c r="E634" s="141" t="s">
        <v>258</v>
      </c>
      <c r="F634" s="139"/>
      <c r="G634" s="139"/>
      <c r="H634" s="139"/>
      <c r="I634" s="139"/>
    </row>
    <row r="635" spans="2:9" s="130" customFormat="1" x14ac:dyDescent="0.2">
      <c r="B635" s="246" t="s">
        <v>259</v>
      </c>
      <c r="C635" s="246"/>
      <c r="D635" s="140" t="s">
        <v>176</v>
      </c>
      <c r="E635" s="141" t="s">
        <v>260</v>
      </c>
      <c r="F635" s="139"/>
      <c r="G635" s="139"/>
      <c r="H635" s="139"/>
      <c r="I635" s="139"/>
    </row>
    <row r="636" spans="2:9" s="130" customFormat="1" x14ac:dyDescent="0.2">
      <c r="B636" s="246" t="s">
        <v>261</v>
      </c>
      <c r="C636" s="246"/>
      <c r="D636" s="140" t="s">
        <v>234</v>
      </c>
      <c r="E636" s="141" t="s">
        <v>262</v>
      </c>
      <c r="F636" s="139"/>
      <c r="G636" s="139"/>
      <c r="H636" s="139"/>
      <c r="I636" s="139"/>
    </row>
    <row r="637" spans="2:9" s="130" customFormat="1" x14ac:dyDescent="0.2">
      <c r="B637" s="246" t="s">
        <v>322</v>
      </c>
      <c r="C637" s="246"/>
      <c r="D637" s="140" t="s">
        <v>234</v>
      </c>
      <c r="E637" s="141" t="s">
        <v>263</v>
      </c>
      <c r="F637" s="139"/>
      <c r="G637" s="139"/>
      <c r="H637" s="139"/>
      <c r="I637" s="139"/>
    </row>
    <row r="638" spans="2:9" s="130" customFormat="1" x14ac:dyDescent="0.2">
      <c r="B638" s="246" t="s">
        <v>264</v>
      </c>
      <c r="C638" s="246"/>
      <c r="D638" s="140" t="s">
        <v>176</v>
      </c>
      <c r="E638" s="141" t="s">
        <v>265</v>
      </c>
      <c r="F638" s="139"/>
      <c r="G638" s="139"/>
      <c r="H638" s="139"/>
      <c r="I638" s="139"/>
    </row>
    <row r="639" spans="2:9" s="130" customFormat="1" x14ac:dyDescent="0.2">
      <c r="B639" s="246" t="s">
        <v>266</v>
      </c>
      <c r="C639" s="246"/>
      <c r="D639" s="140" t="s">
        <v>197</v>
      </c>
      <c r="E639" s="141" t="s">
        <v>267</v>
      </c>
      <c r="F639" s="139"/>
      <c r="G639" s="139"/>
      <c r="H639" s="139"/>
      <c r="I639" s="139"/>
    </row>
    <row r="640" spans="2:9" s="130" customFormat="1" x14ac:dyDescent="0.2">
      <c r="B640" s="246" t="s">
        <v>268</v>
      </c>
      <c r="C640" s="246"/>
      <c r="D640" s="140" t="s">
        <v>197</v>
      </c>
      <c r="E640" s="141" t="s">
        <v>269</v>
      </c>
      <c r="F640" s="139"/>
      <c r="G640" s="139"/>
      <c r="H640" s="139"/>
      <c r="I640" s="139"/>
    </row>
    <row r="641" spans="2:9" s="130" customFormat="1" x14ac:dyDescent="0.2">
      <c r="B641" s="246" t="s">
        <v>270</v>
      </c>
      <c r="C641" s="246"/>
      <c r="D641" s="140" t="s">
        <v>194</v>
      </c>
      <c r="E641" s="141" t="s">
        <v>271</v>
      </c>
      <c r="F641" s="139"/>
      <c r="G641" s="139"/>
      <c r="H641" s="139"/>
      <c r="I641" s="139"/>
    </row>
    <row r="642" spans="2:9" s="130" customFormat="1" x14ac:dyDescent="0.2">
      <c r="B642" s="246" t="s">
        <v>272</v>
      </c>
      <c r="C642" s="246"/>
      <c r="D642" s="140" t="s">
        <v>197</v>
      </c>
      <c r="E642" s="141" t="s">
        <v>273</v>
      </c>
      <c r="F642" s="139"/>
      <c r="G642" s="139"/>
      <c r="H642" s="139"/>
      <c r="I642" s="139"/>
    </row>
    <row r="643" spans="2:9" s="130" customFormat="1" x14ac:dyDescent="0.2">
      <c r="B643" s="246" t="s">
        <v>274</v>
      </c>
      <c r="C643" s="246"/>
      <c r="D643" s="140" t="s">
        <v>197</v>
      </c>
      <c r="E643" s="141" t="s">
        <v>275</v>
      </c>
      <c r="F643" s="139"/>
      <c r="G643" s="139"/>
      <c r="H643" s="139"/>
      <c r="I643" s="139"/>
    </row>
    <row r="644" spans="2:9" s="130" customFormat="1" ht="13.5" thickBot="1" x14ac:dyDescent="0.25">
      <c r="B644" s="246" t="s">
        <v>323</v>
      </c>
      <c r="C644" s="246"/>
      <c r="D644" s="140" t="s">
        <v>234</v>
      </c>
      <c r="E644" s="141" t="s">
        <v>324</v>
      </c>
      <c r="F644" s="139"/>
      <c r="G644" s="139"/>
      <c r="H644" s="139"/>
      <c r="I644" s="139"/>
    </row>
    <row r="645" spans="2:9" ht="26.25" customHeight="1" thickBot="1" x14ac:dyDescent="0.25">
      <c r="B645" s="243" t="s">
        <v>340</v>
      </c>
      <c r="C645" s="244"/>
      <c r="D645" s="244"/>
      <c r="E645" s="245"/>
      <c r="F645" s="125"/>
      <c r="G645" s="125"/>
      <c r="H645" s="125"/>
      <c r="I645" s="125"/>
    </row>
    <row r="646" spans="2:9" x14ac:dyDescent="0.2">
      <c r="B646" s="33" t="s">
        <v>18</v>
      </c>
      <c r="C646" s="31"/>
      <c r="D646" s="72"/>
      <c r="E646" s="32"/>
      <c r="F646" s="125"/>
      <c r="G646" s="125"/>
      <c r="H646" s="125"/>
      <c r="I646" s="125"/>
    </row>
    <row r="647" spans="2:9" x14ac:dyDescent="0.2">
      <c r="B647" s="34"/>
      <c r="C647" s="199" t="s">
        <v>64</v>
      </c>
      <c r="D647" s="199"/>
      <c r="E647" s="199"/>
      <c r="F647" s="125"/>
      <c r="G647" s="125"/>
      <c r="H647" s="125"/>
      <c r="I647" s="125"/>
    </row>
    <row r="648" spans="2:9" x14ac:dyDescent="0.2">
      <c r="B648" s="33" t="s">
        <v>19</v>
      </c>
      <c r="C648" s="35"/>
      <c r="D648" s="35"/>
      <c r="E648" s="36"/>
      <c r="F648" s="125"/>
      <c r="G648" s="125"/>
      <c r="H648" s="125"/>
      <c r="I648" s="125"/>
    </row>
    <row r="649" spans="2:9" x14ac:dyDescent="0.2">
      <c r="B649" s="34"/>
      <c r="C649" s="199" t="s">
        <v>141</v>
      </c>
      <c r="D649" s="199"/>
      <c r="E649" s="199"/>
      <c r="F649" s="125"/>
      <c r="G649" s="125"/>
      <c r="H649" s="125"/>
      <c r="I649" s="125"/>
    </row>
    <row r="650" spans="2:9" x14ac:dyDescent="0.2">
      <c r="B650" s="33" t="s">
        <v>20</v>
      </c>
      <c r="C650" s="31"/>
      <c r="D650" s="72"/>
      <c r="E650" s="32"/>
      <c r="F650" s="125"/>
      <c r="G650" s="125"/>
      <c r="H650" s="125"/>
      <c r="I650" s="125"/>
    </row>
    <row r="651" spans="2:9" x14ac:dyDescent="0.2">
      <c r="B651" s="33"/>
      <c r="C651" s="198" t="s">
        <v>65</v>
      </c>
      <c r="D651" s="198"/>
      <c r="E651" s="198"/>
      <c r="F651" s="125"/>
      <c r="G651" s="125"/>
      <c r="H651" s="125"/>
      <c r="I651" s="125"/>
    </row>
    <row r="652" spans="2:9" ht="13.5" thickBot="1" x14ac:dyDescent="0.25">
      <c r="B652" s="37"/>
      <c r="C652" s="38"/>
      <c r="D652" s="73"/>
      <c r="E652" s="39"/>
      <c r="F652" s="125"/>
      <c r="G652" s="125"/>
      <c r="H652" s="125"/>
      <c r="I652" s="125"/>
    </row>
    <row r="653" spans="2:9" ht="13.5" thickBot="1" x14ac:dyDescent="0.25">
      <c r="F653" s="125"/>
      <c r="G653" s="125"/>
      <c r="H653" s="125"/>
      <c r="I653" s="125"/>
    </row>
    <row r="654" spans="2:9" x14ac:dyDescent="0.2">
      <c r="B654" s="27" t="s">
        <v>156</v>
      </c>
      <c r="C654" s="28"/>
      <c r="D654" s="71"/>
      <c r="E654" s="29"/>
      <c r="F654" s="125"/>
      <c r="G654" s="125"/>
      <c r="H654" s="125"/>
      <c r="I654" s="125"/>
    </row>
    <row r="655" spans="2:9" x14ac:dyDescent="0.2">
      <c r="B655" s="30"/>
      <c r="C655" s="31"/>
      <c r="D655" s="72"/>
      <c r="E655" s="32"/>
      <c r="F655" s="125"/>
      <c r="G655" s="125"/>
      <c r="H655" s="125"/>
      <c r="I655" s="125"/>
    </row>
    <row r="656" spans="2:9" x14ac:dyDescent="0.2">
      <c r="B656" s="33" t="s">
        <v>16</v>
      </c>
      <c r="C656" s="31"/>
      <c r="D656" s="72"/>
      <c r="E656" s="32"/>
      <c r="F656" s="125"/>
      <c r="G656" s="125"/>
      <c r="H656" s="125"/>
      <c r="I656" s="125"/>
    </row>
    <row r="657" spans="2:9" x14ac:dyDescent="0.2">
      <c r="B657" s="33"/>
      <c r="C657" s="199"/>
      <c r="D657" s="199"/>
      <c r="E657" s="199"/>
      <c r="F657" s="125"/>
      <c r="G657" s="125"/>
      <c r="H657" s="125"/>
      <c r="I657" s="125"/>
    </row>
    <row r="658" spans="2:9" ht="13.5" thickBot="1" x14ac:dyDescent="0.25">
      <c r="B658" s="33" t="s">
        <v>17</v>
      </c>
      <c r="C658" s="31"/>
      <c r="D658" s="72"/>
      <c r="E658" s="32"/>
      <c r="F658" s="125"/>
      <c r="G658" s="125"/>
      <c r="H658" s="125"/>
      <c r="I658" s="125"/>
    </row>
    <row r="659" spans="2:9" ht="13.5" thickBot="1" x14ac:dyDescent="0.25">
      <c r="B659" s="185" t="s">
        <v>138</v>
      </c>
      <c r="C659" s="186"/>
      <c r="D659" s="186"/>
      <c r="E659" s="187"/>
      <c r="F659" s="125"/>
      <c r="G659" s="125"/>
      <c r="H659" s="125"/>
      <c r="I659" s="125"/>
    </row>
    <row r="660" spans="2:9" ht="13.5" thickBot="1" x14ac:dyDescent="0.25">
      <c r="B660" s="185" t="s">
        <v>139</v>
      </c>
      <c r="C660" s="187"/>
      <c r="D660" s="69" t="s">
        <v>11</v>
      </c>
      <c r="E660" s="69" t="s">
        <v>140</v>
      </c>
      <c r="F660" s="125"/>
      <c r="G660" s="125"/>
      <c r="H660" s="125"/>
      <c r="I660" s="125"/>
    </row>
    <row r="661" spans="2:9" s="130" customFormat="1" x14ac:dyDescent="0.2">
      <c r="B661" s="247" t="s">
        <v>317</v>
      </c>
      <c r="C661" s="247"/>
      <c r="D661" s="137" t="s">
        <v>204</v>
      </c>
      <c r="E661" s="138" t="s">
        <v>316</v>
      </c>
      <c r="F661" s="139">
        <v>712</v>
      </c>
      <c r="G661" s="139">
        <f>F661*$G$48</f>
        <v>2848</v>
      </c>
      <c r="H661" s="139">
        <f>G661*$H$48</f>
        <v>8544</v>
      </c>
      <c r="I661" s="139"/>
    </row>
    <row r="662" spans="2:9" s="130" customFormat="1" x14ac:dyDescent="0.2">
      <c r="B662" s="246" t="s">
        <v>318</v>
      </c>
      <c r="C662" s="246"/>
      <c r="D662" s="140" t="s">
        <v>171</v>
      </c>
      <c r="E662" s="141" t="s">
        <v>247</v>
      </c>
      <c r="F662" s="139"/>
      <c r="G662" s="139"/>
      <c r="H662" s="139"/>
      <c r="I662" s="139"/>
    </row>
    <row r="663" spans="2:9" s="130" customFormat="1" x14ac:dyDescent="0.2">
      <c r="B663" s="246" t="s">
        <v>320</v>
      </c>
      <c r="C663" s="246"/>
      <c r="D663" s="140" t="s">
        <v>194</v>
      </c>
      <c r="E663" s="141" t="s">
        <v>248</v>
      </c>
      <c r="F663" s="139"/>
      <c r="G663" s="139"/>
      <c r="H663" s="139"/>
      <c r="I663" s="139"/>
    </row>
    <row r="664" spans="2:9" s="130" customFormat="1" x14ac:dyDescent="0.2">
      <c r="B664" s="246" t="s">
        <v>319</v>
      </c>
      <c r="C664" s="246"/>
      <c r="D664" s="140" t="s">
        <v>171</v>
      </c>
      <c r="E664" s="141" t="s">
        <v>249</v>
      </c>
      <c r="F664" s="139"/>
      <c r="G664" s="139"/>
      <c r="H664" s="139"/>
      <c r="I664" s="139"/>
    </row>
    <row r="665" spans="2:9" s="130" customFormat="1" x14ac:dyDescent="0.2">
      <c r="B665" s="246" t="s">
        <v>314</v>
      </c>
      <c r="C665" s="246"/>
      <c r="D665" s="140" t="s">
        <v>179</v>
      </c>
      <c r="E665" s="141" t="s">
        <v>315</v>
      </c>
      <c r="F665" s="139"/>
      <c r="G665" s="139"/>
      <c r="H665" s="139"/>
      <c r="I665" s="139"/>
    </row>
    <row r="666" spans="2:9" s="130" customFormat="1" x14ac:dyDescent="0.2">
      <c r="B666" s="246" t="s">
        <v>250</v>
      </c>
      <c r="C666" s="246"/>
      <c r="D666" s="140" t="s">
        <v>183</v>
      </c>
      <c r="E666" s="141" t="s">
        <v>251</v>
      </c>
      <c r="F666" s="139"/>
      <c r="G666" s="139"/>
      <c r="H666" s="139"/>
      <c r="I666" s="139"/>
    </row>
    <row r="667" spans="2:9" s="130" customFormat="1" x14ac:dyDescent="0.2">
      <c r="B667" s="246" t="s">
        <v>252</v>
      </c>
      <c r="C667" s="246"/>
      <c r="D667" s="140" t="s">
        <v>175</v>
      </c>
      <c r="E667" s="141" t="s">
        <v>253</v>
      </c>
      <c r="F667" s="139"/>
      <c r="G667" s="139"/>
      <c r="H667" s="139"/>
      <c r="I667" s="139"/>
    </row>
    <row r="668" spans="2:9" s="130" customFormat="1" x14ac:dyDescent="0.2">
      <c r="B668" s="246" t="s">
        <v>254</v>
      </c>
      <c r="C668" s="246"/>
      <c r="D668" s="140" t="s">
        <v>175</v>
      </c>
      <c r="E668" s="141" t="s">
        <v>255</v>
      </c>
      <c r="F668" s="139"/>
      <c r="G668" s="139"/>
      <c r="H668" s="139"/>
      <c r="I668" s="139"/>
    </row>
    <row r="669" spans="2:9" s="130" customFormat="1" x14ac:dyDescent="0.2">
      <c r="B669" s="246" t="s">
        <v>256</v>
      </c>
      <c r="C669" s="246"/>
      <c r="D669" s="140" t="s">
        <v>171</v>
      </c>
      <c r="E669" s="141" t="s">
        <v>257</v>
      </c>
      <c r="F669" s="139"/>
      <c r="G669" s="139"/>
      <c r="H669" s="139"/>
      <c r="I669" s="139"/>
    </row>
    <row r="670" spans="2:9" s="130" customFormat="1" x14ac:dyDescent="0.2">
      <c r="B670" s="246" t="s">
        <v>321</v>
      </c>
      <c r="C670" s="246"/>
      <c r="D670" s="140" t="s">
        <v>176</v>
      </c>
      <c r="E670" s="141" t="s">
        <v>258</v>
      </c>
      <c r="F670" s="139"/>
      <c r="G670" s="139"/>
      <c r="H670" s="139"/>
      <c r="I670" s="139"/>
    </row>
    <row r="671" spans="2:9" s="130" customFormat="1" x14ac:dyDescent="0.2">
      <c r="B671" s="246" t="s">
        <v>259</v>
      </c>
      <c r="C671" s="246"/>
      <c r="D671" s="140" t="s">
        <v>174</v>
      </c>
      <c r="E671" s="141" t="s">
        <v>260</v>
      </c>
      <c r="F671" s="139"/>
      <c r="G671" s="139"/>
      <c r="H671" s="139"/>
      <c r="I671" s="139"/>
    </row>
    <row r="672" spans="2:9" s="130" customFormat="1" x14ac:dyDescent="0.2">
      <c r="B672" s="246" t="s">
        <v>261</v>
      </c>
      <c r="C672" s="246"/>
      <c r="D672" s="140" t="s">
        <v>194</v>
      </c>
      <c r="E672" s="141" t="s">
        <v>262</v>
      </c>
      <c r="F672" s="139"/>
      <c r="G672" s="139"/>
      <c r="H672" s="139"/>
      <c r="I672" s="139"/>
    </row>
    <row r="673" spans="2:9" s="130" customFormat="1" x14ac:dyDescent="0.2">
      <c r="B673" s="246" t="s">
        <v>322</v>
      </c>
      <c r="C673" s="246"/>
      <c r="D673" s="140" t="s">
        <v>194</v>
      </c>
      <c r="E673" s="141" t="s">
        <v>263</v>
      </c>
      <c r="F673" s="139"/>
      <c r="G673" s="139"/>
      <c r="H673" s="139"/>
      <c r="I673" s="139"/>
    </row>
    <row r="674" spans="2:9" s="130" customFormat="1" x14ac:dyDescent="0.2">
      <c r="B674" s="246" t="s">
        <v>264</v>
      </c>
      <c r="C674" s="246"/>
      <c r="D674" s="140" t="s">
        <v>174</v>
      </c>
      <c r="E674" s="141" t="s">
        <v>265</v>
      </c>
      <c r="F674" s="139"/>
      <c r="G674" s="139"/>
      <c r="H674" s="139"/>
      <c r="I674" s="139"/>
    </row>
    <row r="675" spans="2:9" s="130" customFormat="1" x14ac:dyDescent="0.2">
      <c r="B675" s="246" t="s">
        <v>266</v>
      </c>
      <c r="C675" s="246"/>
      <c r="D675" s="140" t="s">
        <v>182</v>
      </c>
      <c r="E675" s="141" t="s">
        <v>267</v>
      </c>
      <c r="F675" s="139"/>
      <c r="G675" s="139"/>
      <c r="H675" s="139"/>
      <c r="I675" s="139"/>
    </row>
    <row r="676" spans="2:9" s="130" customFormat="1" x14ac:dyDescent="0.2">
      <c r="B676" s="246" t="s">
        <v>268</v>
      </c>
      <c r="C676" s="246"/>
      <c r="D676" s="140" t="s">
        <v>182</v>
      </c>
      <c r="E676" s="141" t="s">
        <v>269</v>
      </c>
      <c r="F676" s="139"/>
      <c r="G676" s="139"/>
      <c r="H676" s="139"/>
      <c r="I676" s="139"/>
    </row>
    <row r="677" spans="2:9" s="130" customFormat="1" x14ac:dyDescent="0.2">
      <c r="B677" s="246" t="s">
        <v>270</v>
      </c>
      <c r="C677" s="246"/>
      <c r="D677" s="140" t="s">
        <v>175</v>
      </c>
      <c r="E677" s="141" t="s">
        <v>271</v>
      </c>
      <c r="F677" s="139"/>
      <c r="G677" s="139"/>
      <c r="H677" s="139"/>
      <c r="I677" s="139"/>
    </row>
    <row r="678" spans="2:9" s="130" customFormat="1" x14ac:dyDescent="0.2">
      <c r="B678" s="246" t="s">
        <v>272</v>
      </c>
      <c r="C678" s="246"/>
      <c r="D678" s="140" t="s">
        <v>182</v>
      </c>
      <c r="E678" s="141" t="s">
        <v>273</v>
      </c>
      <c r="F678" s="139"/>
      <c r="G678" s="139"/>
      <c r="H678" s="139"/>
      <c r="I678" s="139"/>
    </row>
    <row r="679" spans="2:9" s="130" customFormat="1" x14ac:dyDescent="0.2">
      <c r="B679" s="246" t="s">
        <v>274</v>
      </c>
      <c r="C679" s="246"/>
      <c r="D679" s="140" t="s">
        <v>182</v>
      </c>
      <c r="E679" s="141" t="s">
        <v>275</v>
      </c>
      <c r="F679" s="139"/>
      <c r="G679" s="139"/>
      <c r="H679" s="139"/>
      <c r="I679" s="139"/>
    </row>
    <row r="680" spans="2:9" s="130" customFormat="1" ht="13.5" thickBot="1" x14ac:dyDescent="0.25">
      <c r="B680" s="246" t="s">
        <v>323</v>
      </c>
      <c r="C680" s="246"/>
      <c r="D680" s="140" t="s">
        <v>194</v>
      </c>
      <c r="E680" s="141" t="s">
        <v>324</v>
      </c>
      <c r="F680" s="139"/>
      <c r="G680" s="139"/>
      <c r="H680" s="139"/>
      <c r="I680" s="139"/>
    </row>
    <row r="681" spans="2:9" ht="26.25" customHeight="1" thickBot="1" x14ac:dyDescent="0.25">
      <c r="B681" s="243" t="s">
        <v>327</v>
      </c>
      <c r="C681" s="244"/>
      <c r="D681" s="244"/>
      <c r="E681" s="245"/>
      <c r="F681" s="125"/>
      <c r="G681" s="125"/>
      <c r="H681" s="125"/>
      <c r="I681" s="125"/>
    </row>
    <row r="682" spans="2:9" x14ac:dyDescent="0.2">
      <c r="B682" s="33" t="s">
        <v>18</v>
      </c>
      <c r="C682" s="31"/>
      <c r="D682" s="72"/>
      <c r="E682" s="32"/>
      <c r="F682" s="125"/>
      <c r="G682" s="125"/>
      <c r="H682" s="125"/>
      <c r="I682" s="125"/>
    </row>
    <row r="683" spans="2:9" x14ac:dyDescent="0.2">
      <c r="B683" s="34"/>
      <c r="C683" s="199" t="s">
        <v>64</v>
      </c>
      <c r="D683" s="199"/>
      <c r="E683" s="199"/>
      <c r="F683" s="125"/>
      <c r="G683" s="125"/>
      <c r="H683" s="125"/>
      <c r="I683" s="125"/>
    </row>
    <row r="684" spans="2:9" x14ac:dyDescent="0.2">
      <c r="B684" s="33" t="s">
        <v>19</v>
      </c>
      <c r="C684" s="35"/>
      <c r="D684" s="35"/>
      <c r="E684" s="36"/>
      <c r="F684" s="125"/>
      <c r="G684" s="125"/>
      <c r="H684" s="125"/>
      <c r="I684" s="125"/>
    </row>
    <row r="685" spans="2:9" x14ac:dyDescent="0.2">
      <c r="B685" s="34"/>
      <c r="C685" s="199" t="s">
        <v>141</v>
      </c>
      <c r="D685" s="199"/>
      <c r="E685" s="199"/>
      <c r="F685" s="125"/>
      <c r="G685" s="125"/>
      <c r="H685" s="125"/>
      <c r="I685" s="125"/>
    </row>
    <row r="686" spans="2:9" x14ac:dyDescent="0.2">
      <c r="B686" s="33" t="s">
        <v>20</v>
      </c>
      <c r="C686" s="31"/>
      <c r="D686" s="72"/>
      <c r="E686" s="32"/>
      <c r="F686" s="125"/>
      <c r="G686" s="125"/>
      <c r="H686" s="125"/>
      <c r="I686" s="125"/>
    </row>
    <row r="687" spans="2:9" x14ac:dyDescent="0.2">
      <c r="B687" s="33"/>
      <c r="C687" s="198" t="s">
        <v>65</v>
      </c>
      <c r="D687" s="198"/>
      <c r="E687" s="198"/>
      <c r="F687" s="125"/>
      <c r="G687" s="125"/>
      <c r="H687" s="125"/>
      <c r="I687" s="125"/>
    </row>
    <row r="688" spans="2:9" ht="13.5" thickBot="1" x14ac:dyDescent="0.25">
      <c r="B688" s="37"/>
      <c r="C688" s="38"/>
      <c r="D688" s="73"/>
      <c r="E688" s="39"/>
      <c r="F688" s="125"/>
      <c r="G688" s="125"/>
      <c r="H688" s="125"/>
      <c r="I688" s="125"/>
    </row>
    <row r="689" spans="2:9" ht="13.5" thickBot="1" x14ac:dyDescent="0.25">
      <c r="F689" s="125"/>
      <c r="G689" s="125"/>
      <c r="H689" s="125"/>
      <c r="I689" s="125"/>
    </row>
    <row r="690" spans="2:9" x14ac:dyDescent="0.2">
      <c r="B690" s="27" t="s">
        <v>157</v>
      </c>
      <c r="C690" s="28"/>
      <c r="D690" s="71"/>
      <c r="E690" s="29"/>
      <c r="F690" s="125"/>
      <c r="G690" s="125"/>
      <c r="H690" s="125"/>
      <c r="I690" s="125"/>
    </row>
    <row r="691" spans="2:9" x14ac:dyDescent="0.2">
      <c r="B691" s="30"/>
      <c r="C691" s="31"/>
      <c r="D691" s="72"/>
      <c r="E691" s="32"/>
      <c r="F691" s="125"/>
      <c r="G691" s="125"/>
      <c r="H691" s="125"/>
      <c r="I691" s="125"/>
    </row>
    <row r="692" spans="2:9" x14ac:dyDescent="0.2">
      <c r="B692" s="33" t="s">
        <v>16</v>
      </c>
      <c r="C692" s="31"/>
      <c r="D692" s="72"/>
      <c r="E692" s="32"/>
      <c r="F692" s="125"/>
      <c r="G692" s="125"/>
      <c r="H692" s="125"/>
      <c r="I692" s="125"/>
    </row>
    <row r="693" spans="2:9" x14ac:dyDescent="0.2">
      <c r="B693" s="33"/>
      <c r="C693" s="199"/>
      <c r="D693" s="199"/>
      <c r="E693" s="199"/>
      <c r="F693" s="125"/>
      <c r="G693" s="125"/>
      <c r="H693" s="125"/>
      <c r="I693" s="125"/>
    </row>
    <row r="694" spans="2:9" ht="13.5" thickBot="1" x14ac:dyDescent="0.25">
      <c r="B694" s="33" t="s">
        <v>17</v>
      </c>
      <c r="C694" s="31"/>
      <c r="D694" s="72"/>
      <c r="E694" s="32"/>
      <c r="F694" s="125"/>
      <c r="G694" s="125"/>
      <c r="H694" s="125"/>
      <c r="I694" s="125"/>
    </row>
    <row r="695" spans="2:9" ht="13.5" thickBot="1" x14ac:dyDescent="0.25">
      <c r="B695" s="185" t="s">
        <v>138</v>
      </c>
      <c r="C695" s="186"/>
      <c r="D695" s="186"/>
      <c r="E695" s="187"/>
      <c r="F695" s="125"/>
      <c r="G695" s="125"/>
      <c r="H695" s="125"/>
      <c r="I695" s="125"/>
    </row>
    <row r="696" spans="2:9" ht="13.5" thickBot="1" x14ac:dyDescent="0.25">
      <c r="B696" s="185" t="s">
        <v>139</v>
      </c>
      <c r="C696" s="187"/>
      <c r="D696" s="69" t="s">
        <v>11</v>
      </c>
      <c r="E696" s="69" t="s">
        <v>140</v>
      </c>
      <c r="F696" s="125"/>
      <c r="G696" s="125"/>
      <c r="H696" s="125"/>
      <c r="I696" s="125"/>
    </row>
    <row r="697" spans="2:9" s="130" customFormat="1" x14ac:dyDescent="0.2">
      <c r="B697" s="247" t="s">
        <v>317</v>
      </c>
      <c r="C697" s="247"/>
      <c r="D697" s="137" t="s">
        <v>194</v>
      </c>
      <c r="E697" s="138" t="s">
        <v>316</v>
      </c>
      <c r="F697" s="139">
        <v>597</v>
      </c>
      <c r="G697" s="139">
        <f>F697*$G$48</f>
        <v>2388</v>
      </c>
      <c r="H697" s="139">
        <f>G697*$H$48</f>
        <v>7164</v>
      </c>
      <c r="I697" s="139"/>
    </row>
    <row r="698" spans="2:9" s="130" customFormat="1" x14ac:dyDescent="0.2">
      <c r="B698" s="246" t="s">
        <v>318</v>
      </c>
      <c r="C698" s="246"/>
      <c r="D698" s="140" t="s">
        <v>219</v>
      </c>
      <c r="E698" s="141" t="s">
        <v>247</v>
      </c>
      <c r="F698" s="139"/>
      <c r="G698" s="139"/>
      <c r="H698" s="139"/>
      <c r="I698" s="139"/>
    </row>
    <row r="699" spans="2:9" s="130" customFormat="1" x14ac:dyDescent="0.2">
      <c r="B699" s="246" t="s">
        <v>320</v>
      </c>
      <c r="C699" s="246"/>
      <c r="D699" s="140" t="s">
        <v>237</v>
      </c>
      <c r="E699" s="141" t="s">
        <v>248</v>
      </c>
      <c r="F699" s="139"/>
      <c r="G699" s="139"/>
      <c r="H699" s="139"/>
      <c r="I699" s="139"/>
    </row>
    <row r="700" spans="2:9" s="130" customFormat="1" x14ac:dyDescent="0.2">
      <c r="B700" s="246" t="s">
        <v>319</v>
      </c>
      <c r="C700" s="246"/>
      <c r="D700" s="140" t="s">
        <v>219</v>
      </c>
      <c r="E700" s="141" t="s">
        <v>249</v>
      </c>
      <c r="F700" s="139"/>
      <c r="G700" s="139"/>
      <c r="H700" s="139"/>
      <c r="I700" s="139"/>
    </row>
    <row r="701" spans="2:9" s="130" customFormat="1" x14ac:dyDescent="0.2">
      <c r="B701" s="246" t="s">
        <v>314</v>
      </c>
      <c r="C701" s="246"/>
      <c r="D701" s="140" t="s">
        <v>214</v>
      </c>
      <c r="E701" s="141" t="s">
        <v>315</v>
      </c>
      <c r="F701" s="139"/>
      <c r="G701" s="139"/>
      <c r="H701" s="139"/>
      <c r="I701" s="139"/>
    </row>
    <row r="702" spans="2:9" s="130" customFormat="1" x14ac:dyDescent="0.2">
      <c r="B702" s="246" t="s">
        <v>250</v>
      </c>
      <c r="C702" s="246"/>
      <c r="D702" s="140" t="s">
        <v>188</v>
      </c>
      <c r="E702" s="141" t="s">
        <v>251</v>
      </c>
      <c r="F702" s="139"/>
      <c r="G702" s="139"/>
      <c r="H702" s="139"/>
      <c r="I702" s="139"/>
    </row>
    <row r="703" spans="2:9" s="130" customFormat="1" x14ac:dyDescent="0.2">
      <c r="B703" s="246" t="s">
        <v>252</v>
      </c>
      <c r="C703" s="246"/>
      <c r="D703" s="140" t="s">
        <v>197</v>
      </c>
      <c r="E703" s="141" t="s">
        <v>253</v>
      </c>
      <c r="F703" s="139"/>
      <c r="G703" s="139"/>
      <c r="H703" s="139"/>
      <c r="I703" s="139"/>
    </row>
    <row r="704" spans="2:9" s="130" customFormat="1" x14ac:dyDescent="0.2">
      <c r="B704" s="246" t="s">
        <v>254</v>
      </c>
      <c r="C704" s="246"/>
      <c r="D704" s="140" t="s">
        <v>197</v>
      </c>
      <c r="E704" s="141" t="s">
        <v>255</v>
      </c>
      <c r="F704" s="139"/>
      <c r="G704" s="139"/>
      <c r="H704" s="139"/>
      <c r="I704" s="139"/>
    </row>
    <row r="705" spans="2:9" s="130" customFormat="1" x14ac:dyDescent="0.2">
      <c r="B705" s="246" t="s">
        <v>256</v>
      </c>
      <c r="C705" s="246"/>
      <c r="D705" s="140" t="s">
        <v>219</v>
      </c>
      <c r="E705" s="141" t="s">
        <v>257</v>
      </c>
      <c r="F705" s="139"/>
      <c r="G705" s="139"/>
      <c r="H705" s="139"/>
      <c r="I705" s="139"/>
    </row>
    <row r="706" spans="2:9" s="130" customFormat="1" x14ac:dyDescent="0.2">
      <c r="B706" s="246" t="s">
        <v>321</v>
      </c>
      <c r="C706" s="246"/>
      <c r="D706" s="140" t="s">
        <v>298</v>
      </c>
      <c r="E706" s="141" t="s">
        <v>258</v>
      </c>
      <c r="F706" s="139"/>
      <c r="G706" s="139"/>
      <c r="H706" s="139"/>
      <c r="I706" s="139"/>
    </row>
    <row r="707" spans="2:9" s="130" customFormat="1" x14ac:dyDescent="0.2">
      <c r="B707" s="246" t="s">
        <v>259</v>
      </c>
      <c r="C707" s="246"/>
      <c r="D707" s="140" t="s">
        <v>179</v>
      </c>
      <c r="E707" s="141" t="s">
        <v>260</v>
      </c>
      <c r="F707" s="139"/>
      <c r="G707" s="139"/>
      <c r="H707" s="139"/>
      <c r="I707" s="139"/>
    </row>
    <row r="708" spans="2:9" s="130" customFormat="1" x14ac:dyDescent="0.2">
      <c r="B708" s="246" t="s">
        <v>261</v>
      </c>
      <c r="C708" s="246"/>
      <c r="D708" s="140" t="s">
        <v>237</v>
      </c>
      <c r="E708" s="141" t="s">
        <v>262</v>
      </c>
      <c r="F708" s="139"/>
      <c r="G708" s="139"/>
      <c r="H708" s="139"/>
      <c r="I708" s="139"/>
    </row>
    <row r="709" spans="2:9" s="130" customFormat="1" x14ac:dyDescent="0.2">
      <c r="B709" s="246" t="s">
        <v>322</v>
      </c>
      <c r="C709" s="246"/>
      <c r="D709" s="140" t="s">
        <v>237</v>
      </c>
      <c r="E709" s="141" t="s">
        <v>263</v>
      </c>
      <c r="F709" s="139"/>
      <c r="G709" s="139"/>
      <c r="H709" s="139"/>
      <c r="I709" s="139"/>
    </row>
    <row r="710" spans="2:9" s="130" customFormat="1" x14ac:dyDescent="0.2">
      <c r="B710" s="246" t="s">
        <v>264</v>
      </c>
      <c r="C710" s="246"/>
      <c r="D710" s="140" t="s">
        <v>179</v>
      </c>
      <c r="E710" s="141" t="s">
        <v>265</v>
      </c>
      <c r="F710" s="139"/>
      <c r="G710" s="139"/>
      <c r="H710" s="139"/>
      <c r="I710" s="139"/>
    </row>
    <row r="711" spans="2:9" s="130" customFormat="1" x14ac:dyDescent="0.2">
      <c r="B711" s="246" t="s">
        <v>266</v>
      </c>
      <c r="C711" s="246"/>
      <c r="D711" s="140" t="s">
        <v>220</v>
      </c>
      <c r="E711" s="141" t="s">
        <v>267</v>
      </c>
      <c r="F711" s="139"/>
      <c r="G711" s="139"/>
      <c r="H711" s="139"/>
      <c r="I711" s="139"/>
    </row>
    <row r="712" spans="2:9" s="130" customFormat="1" x14ac:dyDescent="0.2">
      <c r="B712" s="246" t="s">
        <v>268</v>
      </c>
      <c r="C712" s="246"/>
      <c r="D712" s="140" t="s">
        <v>220</v>
      </c>
      <c r="E712" s="141" t="s">
        <v>269</v>
      </c>
      <c r="F712" s="139"/>
      <c r="G712" s="139"/>
      <c r="H712" s="139"/>
      <c r="I712" s="139"/>
    </row>
    <row r="713" spans="2:9" s="130" customFormat="1" x14ac:dyDescent="0.2">
      <c r="B713" s="246" t="s">
        <v>270</v>
      </c>
      <c r="C713" s="246"/>
      <c r="D713" s="140" t="s">
        <v>197</v>
      </c>
      <c r="E713" s="141" t="s">
        <v>271</v>
      </c>
      <c r="F713" s="139"/>
      <c r="G713" s="139"/>
      <c r="H713" s="139"/>
      <c r="I713" s="139"/>
    </row>
    <row r="714" spans="2:9" s="130" customFormat="1" x14ac:dyDescent="0.2">
      <c r="B714" s="246" t="s">
        <v>272</v>
      </c>
      <c r="C714" s="246"/>
      <c r="D714" s="140" t="s">
        <v>220</v>
      </c>
      <c r="E714" s="141" t="s">
        <v>273</v>
      </c>
      <c r="F714" s="139"/>
      <c r="G714" s="139"/>
      <c r="H714" s="139"/>
      <c r="I714" s="139"/>
    </row>
    <row r="715" spans="2:9" s="130" customFormat="1" x14ac:dyDescent="0.2">
      <c r="B715" s="246" t="s">
        <v>274</v>
      </c>
      <c r="C715" s="246"/>
      <c r="D715" s="140" t="s">
        <v>220</v>
      </c>
      <c r="E715" s="141" t="s">
        <v>275</v>
      </c>
      <c r="F715" s="139"/>
      <c r="G715" s="139"/>
      <c r="H715" s="139"/>
      <c r="I715" s="139"/>
    </row>
    <row r="716" spans="2:9" s="130" customFormat="1" ht="13.5" thickBot="1" x14ac:dyDescent="0.25">
      <c r="B716" s="246" t="s">
        <v>323</v>
      </c>
      <c r="C716" s="246"/>
      <c r="D716" s="140" t="s">
        <v>237</v>
      </c>
      <c r="E716" s="141" t="s">
        <v>324</v>
      </c>
      <c r="F716" s="139"/>
      <c r="G716" s="139"/>
      <c r="H716" s="139"/>
      <c r="I716" s="139"/>
    </row>
    <row r="717" spans="2:9" ht="25.5" customHeight="1" thickBot="1" x14ac:dyDescent="0.25">
      <c r="B717" s="243" t="s">
        <v>341</v>
      </c>
      <c r="C717" s="244"/>
      <c r="D717" s="244"/>
      <c r="E717" s="245"/>
      <c r="F717" s="125"/>
      <c r="G717" s="125"/>
      <c r="H717" s="125"/>
      <c r="I717" s="125"/>
    </row>
    <row r="718" spans="2:9" x14ac:dyDescent="0.2">
      <c r="B718" s="33" t="s">
        <v>18</v>
      </c>
      <c r="C718" s="31"/>
      <c r="D718" s="72"/>
      <c r="E718" s="32"/>
      <c r="F718" s="125"/>
      <c r="G718" s="125"/>
      <c r="H718" s="125"/>
      <c r="I718" s="125"/>
    </row>
    <row r="719" spans="2:9" x14ac:dyDescent="0.2">
      <c r="B719" s="34"/>
      <c r="C719" s="199" t="s">
        <v>64</v>
      </c>
      <c r="D719" s="199"/>
      <c r="E719" s="199"/>
      <c r="F719" s="125"/>
      <c r="G719" s="125"/>
      <c r="H719" s="125"/>
      <c r="I719" s="125"/>
    </row>
    <row r="720" spans="2:9" x14ac:dyDescent="0.2">
      <c r="B720" s="33" t="s">
        <v>19</v>
      </c>
      <c r="C720" s="35"/>
      <c r="D720" s="35"/>
      <c r="E720" s="36"/>
      <c r="F720" s="125"/>
      <c r="G720" s="125"/>
      <c r="H720" s="125"/>
      <c r="I720" s="125"/>
    </row>
    <row r="721" spans="2:9" x14ac:dyDescent="0.2">
      <c r="B721" s="34"/>
      <c r="C721" s="199" t="s">
        <v>141</v>
      </c>
      <c r="D721" s="199"/>
      <c r="E721" s="199"/>
      <c r="F721" s="125"/>
      <c r="G721" s="125"/>
      <c r="H721" s="125"/>
      <c r="I721" s="125"/>
    </row>
    <row r="722" spans="2:9" x14ac:dyDescent="0.2">
      <c r="B722" s="33" t="s">
        <v>20</v>
      </c>
      <c r="C722" s="31"/>
      <c r="D722" s="72"/>
      <c r="E722" s="32"/>
      <c r="F722" s="125"/>
      <c r="G722" s="125"/>
      <c r="H722" s="125"/>
      <c r="I722" s="125"/>
    </row>
    <row r="723" spans="2:9" x14ac:dyDescent="0.2">
      <c r="B723" s="33"/>
      <c r="C723" s="198" t="s">
        <v>65</v>
      </c>
      <c r="D723" s="198"/>
      <c r="E723" s="198"/>
      <c r="F723" s="125"/>
      <c r="G723" s="125"/>
      <c r="H723" s="125"/>
      <c r="I723" s="125"/>
    </row>
    <row r="724" spans="2:9" ht="13.5" thickBot="1" x14ac:dyDescent="0.25">
      <c r="B724" s="37"/>
      <c r="C724" s="38"/>
      <c r="D724" s="73"/>
      <c r="E724" s="39"/>
      <c r="F724" s="125"/>
      <c r="G724" s="125"/>
      <c r="H724" s="125"/>
      <c r="I724" s="125"/>
    </row>
    <row r="725" spans="2:9" ht="13.5" thickBot="1" x14ac:dyDescent="0.25">
      <c r="F725" s="125"/>
      <c r="G725" s="125"/>
      <c r="H725" s="125"/>
      <c r="I725" s="125"/>
    </row>
    <row r="726" spans="2:9" x14ac:dyDescent="0.2">
      <c r="B726" s="27" t="s">
        <v>158</v>
      </c>
      <c r="C726" s="28"/>
      <c r="D726" s="71"/>
      <c r="E726" s="29"/>
      <c r="F726" s="125"/>
      <c r="G726" s="125"/>
      <c r="H726" s="125"/>
      <c r="I726" s="125"/>
    </row>
    <row r="727" spans="2:9" x14ac:dyDescent="0.2">
      <c r="B727" s="30"/>
      <c r="C727" s="250" t="s">
        <v>357</v>
      </c>
      <c r="D727" s="250"/>
      <c r="E727" s="251"/>
      <c r="F727" s="125"/>
      <c r="G727" s="125"/>
      <c r="H727" s="125"/>
      <c r="I727" s="125"/>
    </row>
    <row r="728" spans="2:9" x14ac:dyDescent="0.2">
      <c r="B728" s="33" t="s">
        <v>16</v>
      </c>
      <c r="C728" s="31"/>
      <c r="D728" s="72"/>
      <c r="E728" s="32"/>
      <c r="F728" s="125"/>
      <c r="G728" s="125"/>
      <c r="H728" s="125"/>
      <c r="I728" s="125"/>
    </row>
    <row r="729" spans="2:9" x14ac:dyDescent="0.2">
      <c r="B729" s="33"/>
      <c r="C729" s="199"/>
      <c r="D729" s="199"/>
      <c r="E729" s="199"/>
      <c r="F729" s="125"/>
      <c r="G729" s="125"/>
      <c r="H729" s="125"/>
      <c r="I729" s="125"/>
    </row>
    <row r="730" spans="2:9" ht="13.5" thickBot="1" x14ac:dyDescent="0.25">
      <c r="B730" s="33" t="s">
        <v>17</v>
      </c>
      <c r="C730" s="31"/>
      <c r="D730" s="72"/>
      <c r="E730" s="32"/>
      <c r="F730" s="125"/>
      <c r="G730" s="125"/>
      <c r="H730" s="125"/>
      <c r="I730" s="125"/>
    </row>
    <row r="731" spans="2:9" ht="13.5" thickBot="1" x14ac:dyDescent="0.25">
      <c r="B731" s="185" t="s">
        <v>289</v>
      </c>
      <c r="C731" s="186"/>
      <c r="D731" s="186"/>
      <c r="E731" s="187"/>
      <c r="F731" s="125"/>
      <c r="G731" s="125"/>
      <c r="H731" s="125"/>
      <c r="I731" s="125"/>
    </row>
    <row r="732" spans="2:9" ht="13.5" thickBot="1" x14ac:dyDescent="0.25">
      <c r="B732" s="185" t="s">
        <v>139</v>
      </c>
      <c r="C732" s="187"/>
      <c r="D732" s="69" t="s">
        <v>11</v>
      </c>
      <c r="E732" s="69" t="s">
        <v>140</v>
      </c>
      <c r="F732" s="125"/>
      <c r="G732" s="125"/>
      <c r="H732" s="125"/>
      <c r="I732" s="125"/>
    </row>
    <row r="733" spans="2:9" s="130" customFormat="1" x14ac:dyDescent="0.2">
      <c r="B733" s="247" t="s">
        <v>317</v>
      </c>
      <c r="C733" s="247"/>
      <c r="D733" s="144" t="s">
        <v>290</v>
      </c>
      <c r="E733" s="138" t="s">
        <v>316</v>
      </c>
      <c r="F733" s="139">
        <v>1584</v>
      </c>
      <c r="G733" s="139">
        <f>F733*$G$48</f>
        <v>6336</v>
      </c>
      <c r="H733" s="139">
        <f>G733*$H$48</f>
        <v>19008</v>
      </c>
      <c r="I733" s="139"/>
    </row>
    <row r="734" spans="2:9" s="130" customFormat="1" x14ac:dyDescent="0.2">
      <c r="B734" s="246" t="s">
        <v>318</v>
      </c>
      <c r="C734" s="246"/>
      <c r="D734" s="145" t="s">
        <v>188</v>
      </c>
      <c r="E734" s="141" t="s">
        <v>247</v>
      </c>
      <c r="F734" s="139"/>
      <c r="G734" s="139"/>
      <c r="H734" s="139"/>
      <c r="I734" s="139"/>
    </row>
    <row r="735" spans="2:9" s="130" customFormat="1" x14ac:dyDescent="0.2">
      <c r="B735" s="246" t="s">
        <v>320</v>
      </c>
      <c r="C735" s="246"/>
      <c r="D735" s="145" t="s">
        <v>190</v>
      </c>
      <c r="E735" s="141" t="s">
        <v>248</v>
      </c>
    </row>
    <row r="736" spans="2:9" s="130" customFormat="1" x14ac:dyDescent="0.2">
      <c r="B736" s="246" t="s">
        <v>319</v>
      </c>
      <c r="C736" s="246"/>
      <c r="D736" s="145" t="s">
        <v>188</v>
      </c>
      <c r="E736" s="141" t="s">
        <v>249</v>
      </c>
    </row>
    <row r="737" spans="2:5" s="130" customFormat="1" x14ac:dyDescent="0.2">
      <c r="B737" s="246" t="s">
        <v>314</v>
      </c>
      <c r="C737" s="246"/>
      <c r="D737" s="145" t="s">
        <v>342</v>
      </c>
      <c r="E737" s="141" t="s">
        <v>315</v>
      </c>
    </row>
    <row r="738" spans="2:5" s="130" customFormat="1" x14ac:dyDescent="0.2">
      <c r="B738" s="246" t="s">
        <v>250</v>
      </c>
      <c r="C738" s="246"/>
      <c r="D738" s="145" t="s">
        <v>343</v>
      </c>
      <c r="E738" s="141" t="s">
        <v>251</v>
      </c>
    </row>
    <row r="739" spans="2:5" s="130" customFormat="1" x14ac:dyDescent="0.2">
      <c r="B739" s="246" t="s">
        <v>252</v>
      </c>
      <c r="C739" s="246"/>
      <c r="D739" s="145" t="s">
        <v>204</v>
      </c>
      <c r="E739" s="141" t="s">
        <v>253</v>
      </c>
    </row>
    <row r="740" spans="2:5" s="130" customFormat="1" x14ac:dyDescent="0.2">
      <c r="B740" s="246" t="s">
        <v>254</v>
      </c>
      <c r="C740" s="246"/>
      <c r="D740" s="145" t="s">
        <v>204</v>
      </c>
      <c r="E740" s="141" t="s">
        <v>255</v>
      </c>
    </row>
    <row r="741" spans="2:5" s="130" customFormat="1" x14ac:dyDescent="0.2">
      <c r="B741" s="246" t="s">
        <v>256</v>
      </c>
      <c r="C741" s="246"/>
      <c r="D741" s="145" t="s">
        <v>188</v>
      </c>
      <c r="E741" s="141" t="s">
        <v>257</v>
      </c>
    </row>
    <row r="742" spans="2:5" s="130" customFormat="1" x14ac:dyDescent="0.2">
      <c r="B742" s="246" t="s">
        <v>321</v>
      </c>
      <c r="C742" s="246"/>
      <c r="D742" s="145" t="s">
        <v>169</v>
      </c>
      <c r="E742" s="141" t="s">
        <v>258</v>
      </c>
    </row>
    <row r="743" spans="2:5" s="130" customFormat="1" x14ac:dyDescent="0.2">
      <c r="B743" s="246" t="s">
        <v>259</v>
      </c>
      <c r="C743" s="246"/>
      <c r="D743" s="145" t="s">
        <v>202</v>
      </c>
      <c r="E743" s="141" t="s">
        <v>260</v>
      </c>
    </row>
    <row r="744" spans="2:5" s="130" customFormat="1" x14ac:dyDescent="0.2">
      <c r="B744" s="246" t="s">
        <v>261</v>
      </c>
      <c r="C744" s="246"/>
      <c r="D744" s="145" t="s">
        <v>190</v>
      </c>
      <c r="E744" s="141" t="s">
        <v>262</v>
      </c>
    </row>
    <row r="745" spans="2:5" s="130" customFormat="1" x14ac:dyDescent="0.2">
      <c r="B745" s="246" t="s">
        <v>322</v>
      </c>
      <c r="C745" s="246"/>
      <c r="D745" s="145" t="s">
        <v>190</v>
      </c>
      <c r="E745" s="141" t="s">
        <v>263</v>
      </c>
    </row>
    <row r="746" spans="2:5" s="130" customFormat="1" x14ac:dyDescent="0.2">
      <c r="B746" s="246" t="s">
        <v>264</v>
      </c>
      <c r="C746" s="246"/>
      <c r="D746" s="145" t="s">
        <v>202</v>
      </c>
      <c r="E746" s="141" t="s">
        <v>265</v>
      </c>
    </row>
    <row r="747" spans="2:5" s="130" customFormat="1" x14ac:dyDescent="0.2">
      <c r="B747" s="246" t="s">
        <v>266</v>
      </c>
      <c r="C747" s="246"/>
      <c r="D747" s="145" t="s">
        <v>175</v>
      </c>
      <c r="E747" s="141" t="s">
        <v>267</v>
      </c>
    </row>
    <row r="748" spans="2:5" s="130" customFormat="1" x14ac:dyDescent="0.2">
      <c r="B748" s="246" t="s">
        <v>268</v>
      </c>
      <c r="C748" s="246"/>
      <c r="D748" s="145" t="s">
        <v>175</v>
      </c>
      <c r="E748" s="141" t="s">
        <v>269</v>
      </c>
    </row>
    <row r="749" spans="2:5" s="130" customFormat="1" x14ac:dyDescent="0.2">
      <c r="B749" s="246" t="s">
        <v>270</v>
      </c>
      <c r="C749" s="246"/>
      <c r="D749" s="145" t="s">
        <v>204</v>
      </c>
      <c r="E749" s="141" t="s">
        <v>271</v>
      </c>
    </row>
    <row r="750" spans="2:5" s="130" customFormat="1" x14ac:dyDescent="0.2">
      <c r="B750" s="246" t="s">
        <v>272</v>
      </c>
      <c r="C750" s="246"/>
      <c r="D750" s="145" t="s">
        <v>175</v>
      </c>
      <c r="E750" s="141" t="s">
        <v>273</v>
      </c>
    </row>
    <row r="751" spans="2:5" s="130" customFormat="1" x14ac:dyDescent="0.2">
      <c r="B751" s="246" t="s">
        <v>274</v>
      </c>
      <c r="C751" s="246"/>
      <c r="D751" s="145" t="s">
        <v>175</v>
      </c>
      <c r="E751" s="141" t="s">
        <v>275</v>
      </c>
    </row>
    <row r="752" spans="2:5" s="130" customFormat="1" ht="13.5" thickBot="1" x14ac:dyDescent="0.25">
      <c r="B752" s="246" t="s">
        <v>323</v>
      </c>
      <c r="C752" s="246"/>
      <c r="D752" s="145" t="s">
        <v>190</v>
      </c>
      <c r="E752" s="141" t="s">
        <v>324</v>
      </c>
    </row>
    <row r="753" spans="2:9" ht="24" customHeight="1" thickBot="1" x14ac:dyDescent="0.25">
      <c r="B753" s="243" t="s">
        <v>344</v>
      </c>
      <c r="C753" s="244"/>
      <c r="D753" s="244"/>
      <c r="E753" s="245"/>
      <c r="F753" s="125"/>
      <c r="G753" s="125"/>
      <c r="H753" s="125"/>
      <c r="I753" s="125"/>
    </row>
    <row r="754" spans="2:9" x14ac:dyDescent="0.2">
      <c r="B754" s="33" t="s">
        <v>18</v>
      </c>
      <c r="C754" s="31"/>
      <c r="D754" s="72"/>
      <c r="E754" s="32"/>
      <c r="F754" s="125"/>
      <c r="G754" s="125"/>
      <c r="H754" s="125"/>
      <c r="I754" s="125"/>
    </row>
    <row r="755" spans="2:9" x14ac:dyDescent="0.2">
      <c r="B755" s="34"/>
      <c r="C755" s="199" t="s">
        <v>64</v>
      </c>
      <c r="D755" s="199"/>
      <c r="E755" s="199"/>
      <c r="F755" s="125"/>
      <c r="G755" s="125"/>
      <c r="H755" s="125"/>
      <c r="I755" s="125"/>
    </row>
    <row r="756" spans="2:9" x14ac:dyDescent="0.2">
      <c r="B756" s="33" t="s">
        <v>19</v>
      </c>
      <c r="C756" s="35"/>
      <c r="D756" s="35"/>
      <c r="E756" s="36"/>
      <c r="F756" s="125"/>
      <c r="G756" s="125"/>
      <c r="H756" s="125"/>
      <c r="I756" s="125"/>
    </row>
    <row r="757" spans="2:9" x14ac:dyDescent="0.2">
      <c r="B757" s="34"/>
      <c r="C757" s="199" t="s">
        <v>141</v>
      </c>
      <c r="D757" s="199"/>
      <c r="E757" s="199"/>
      <c r="F757" s="125"/>
      <c r="G757" s="125"/>
      <c r="H757" s="125"/>
      <c r="I757" s="125"/>
    </row>
    <row r="758" spans="2:9" x14ac:dyDescent="0.2">
      <c r="B758" s="33" t="s">
        <v>20</v>
      </c>
      <c r="C758" s="31"/>
      <c r="D758" s="72"/>
      <c r="E758" s="32"/>
      <c r="F758" s="125"/>
      <c r="G758" s="125"/>
      <c r="H758" s="125"/>
      <c r="I758" s="125"/>
    </row>
    <row r="759" spans="2:9" x14ac:dyDescent="0.2">
      <c r="B759" s="33"/>
      <c r="C759" s="198" t="s">
        <v>65</v>
      </c>
      <c r="D759" s="198"/>
      <c r="E759" s="198"/>
      <c r="F759" s="125"/>
      <c r="G759" s="125"/>
      <c r="H759" s="125"/>
      <c r="I759" s="125"/>
    </row>
    <row r="760" spans="2:9" ht="13.5" thickBot="1" x14ac:dyDescent="0.25">
      <c r="B760" s="37"/>
      <c r="C760" s="38"/>
      <c r="D760" s="73"/>
      <c r="E760" s="39"/>
      <c r="F760" s="125"/>
      <c r="G760" s="125"/>
      <c r="H760" s="125"/>
      <c r="I760" s="125"/>
    </row>
    <row r="761" spans="2:9" ht="13.5" thickBot="1" x14ac:dyDescent="0.25">
      <c r="F761" s="125"/>
      <c r="G761" s="125"/>
      <c r="H761" s="125"/>
      <c r="I761" s="125"/>
    </row>
    <row r="762" spans="2:9" x14ac:dyDescent="0.2">
      <c r="B762" s="27" t="s">
        <v>159</v>
      </c>
      <c r="C762" s="28"/>
      <c r="D762" s="71"/>
      <c r="E762" s="29"/>
      <c r="F762" s="125"/>
      <c r="G762" s="125"/>
      <c r="H762" s="125"/>
      <c r="I762" s="125"/>
    </row>
    <row r="763" spans="2:9" x14ac:dyDescent="0.2">
      <c r="B763" s="30"/>
      <c r="C763" s="31"/>
      <c r="D763" s="72"/>
      <c r="E763" s="32"/>
      <c r="F763" s="125"/>
      <c r="G763" s="125"/>
      <c r="H763" s="125"/>
      <c r="I763" s="125"/>
    </row>
    <row r="764" spans="2:9" x14ac:dyDescent="0.2">
      <c r="B764" s="33" t="s">
        <v>16</v>
      </c>
      <c r="C764" s="31"/>
      <c r="D764" s="72"/>
      <c r="E764" s="32"/>
      <c r="F764" s="125"/>
      <c r="G764" s="125"/>
      <c r="H764" s="125"/>
      <c r="I764" s="125"/>
    </row>
    <row r="765" spans="2:9" x14ac:dyDescent="0.2">
      <c r="B765" s="33"/>
      <c r="C765" s="199"/>
      <c r="D765" s="199"/>
      <c r="E765" s="199"/>
      <c r="F765" s="125"/>
      <c r="G765" s="125"/>
      <c r="H765" s="125"/>
      <c r="I765" s="125"/>
    </row>
    <row r="766" spans="2:9" ht="13.5" thickBot="1" x14ac:dyDescent="0.25">
      <c r="B766" s="33" t="s">
        <v>17</v>
      </c>
      <c r="C766" s="31"/>
      <c r="D766" s="72"/>
      <c r="E766" s="32"/>
      <c r="F766" s="125"/>
      <c r="G766" s="125"/>
      <c r="H766" s="125"/>
      <c r="I766" s="125"/>
    </row>
    <row r="767" spans="2:9" ht="13.5" thickBot="1" x14ac:dyDescent="0.25">
      <c r="B767" s="185" t="s">
        <v>241</v>
      </c>
      <c r="C767" s="186"/>
      <c r="D767" s="186"/>
      <c r="E767" s="187"/>
      <c r="F767" s="125"/>
      <c r="G767" s="125"/>
      <c r="H767" s="125"/>
      <c r="I767" s="125"/>
    </row>
    <row r="768" spans="2:9" ht="13.5" thickBot="1" x14ac:dyDescent="0.25">
      <c r="B768" s="185" t="s">
        <v>139</v>
      </c>
      <c r="C768" s="187"/>
      <c r="D768" s="69" t="s">
        <v>11</v>
      </c>
      <c r="E768" s="69" t="s">
        <v>140</v>
      </c>
      <c r="F768" s="125"/>
      <c r="G768" s="125"/>
      <c r="H768" s="125"/>
      <c r="I768" s="125"/>
    </row>
    <row r="769" spans="2:9" s="130" customFormat="1" x14ac:dyDescent="0.2">
      <c r="B769" s="247" t="s">
        <v>317</v>
      </c>
      <c r="C769" s="247"/>
      <c r="D769" s="137" t="s">
        <v>286</v>
      </c>
      <c r="E769" s="138" t="s">
        <v>316</v>
      </c>
      <c r="F769" s="139">
        <v>20</v>
      </c>
      <c r="G769" s="139">
        <f>F769*2</f>
        <v>40</v>
      </c>
      <c r="H769" s="139">
        <f>G769*$H$48</f>
        <v>120</v>
      </c>
      <c r="I769" s="139"/>
    </row>
    <row r="770" spans="2:9" s="130" customFormat="1" x14ac:dyDescent="0.2">
      <c r="B770" s="246" t="s">
        <v>318</v>
      </c>
      <c r="C770" s="246"/>
      <c r="D770" s="140" t="s">
        <v>286</v>
      </c>
      <c r="E770" s="141" t="s">
        <v>247</v>
      </c>
      <c r="F770" s="139"/>
      <c r="G770" s="139"/>
      <c r="H770" s="139"/>
      <c r="I770" s="139"/>
    </row>
    <row r="771" spans="2:9" s="130" customFormat="1" x14ac:dyDescent="0.2">
      <c r="B771" s="246" t="s">
        <v>320</v>
      </c>
      <c r="C771" s="246"/>
      <c r="D771" s="140" t="s">
        <v>286</v>
      </c>
      <c r="E771" s="141" t="s">
        <v>248</v>
      </c>
      <c r="F771" s="139"/>
      <c r="G771" s="139"/>
      <c r="H771" s="139"/>
      <c r="I771" s="139"/>
    </row>
    <row r="772" spans="2:9" s="130" customFormat="1" x14ac:dyDescent="0.2">
      <c r="B772" s="246" t="s">
        <v>319</v>
      </c>
      <c r="C772" s="246"/>
      <c r="D772" s="140" t="s">
        <v>286</v>
      </c>
      <c r="E772" s="141" t="s">
        <v>249</v>
      </c>
      <c r="F772" s="139"/>
      <c r="G772" s="139"/>
      <c r="H772" s="139"/>
      <c r="I772" s="139"/>
    </row>
    <row r="773" spans="2:9" s="130" customFormat="1" x14ac:dyDescent="0.2">
      <c r="B773" s="246" t="s">
        <v>314</v>
      </c>
      <c r="C773" s="246"/>
      <c r="D773" s="140" t="s">
        <v>286</v>
      </c>
      <c r="E773" s="141" t="s">
        <v>315</v>
      </c>
      <c r="F773" s="139"/>
      <c r="G773" s="139"/>
      <c r="H773" s="139"/>
      <c r="I773" s="139"/>
    </row>
    <row r="774" spans="2:9" s="130" customFormat="1" x14ac:dyDescent="0.2">
      <c r="B774" s="246" t="s">
        <v>250</v>
      </c>
      <c r="C774" s="246"/>
      <c r="D774" s="140" t="s">
        <v>286</v>
      </c>
      <c r="E774" s="141" t="s">
        <v>251</v>
      </c>
      <c r="F774" s="139"/>
      <c r="G774" s="139"/>
      <c r="H774" s="139"/>
      <c r="I774" s="139"/>
    </row>
    <row r="775" spans="2:9" s="130" customFormat="1" x14ac:dyDescent="0.2">
      <c r="B775" s="246" t="s">
        <v>252</v>
      </c>
      <c r="C775" s="246"/>
      <c r="D775" s="140" t="s">
        <v>286</v>
      </c>
      <c r="E775" s="141" t="s">
        <v>253</v>
      </c>
      <c r="F775" s="139"/>
      <c r="G775" s="139"/>
      <c r="H775" s="139"/>
      <c r="I775" s="139"/>
    </row>
    <row r="776" spans="2:9" s="130" customFormat="1" x14ac:dyDescent="0.2">
      <c r="B776" s="246" t="s">
        <v>254</v>
      </c>
      <c r="C776" s="246"/>
      <c r="D776" s="140" t="s">
        <v>286</v>
      </c>
      <c r="E776" s="141" t="s">
        <v>255</v>
      </c>
      <c r="F776" s="139"/>
      <c r="G776" s="139"/>
      <c r="H776" s="139"/>
      <c r="I776" s="139"/>
    </row>
    <row r="777" spans="2:9" s="130" customFormat="1" x14ac:dyDescent="0.2">
      <c r="B777" s="246" t="s">
        <v>256</v>
      </c>
      <c r="C777" s="246"/>
      <c r="D777" s="140" t="s">
        <v>286</v>
      </c>
      <c r="E777" s="141" t="s">
        <v>257</v>
      </c>
      <c r="F777" s="139"/>
      <c r="G777" s="139"/>
      <c r="H777" s="139"/>
      <c r="I777" s="139"/>
    </row>
    <row r="778" spans="2:9" s="130" customFormat="1" x14ac:dyDescent="0.2">
      <c r="B778" s="246" t="s">
        <v>321</v>
      </c>
      <c r="C778" s="246"/>
      <c r="D778" s="140" t="s">
        <v>286</v>
      </c>
      <c r="E778" s="141" t="s">
        <v>258</v>
      </c>
      <c r="F778" s="139"/>
      <c r="G778" s="139"/>
      <c r="H778" s="139"/>
      <c r="I778" s="139"/>
    </row>
    <row r="779" spans="2:9" s="130" customFormat="1" x14ac:dyDescent="0.2">
      <c r="B779" s="246" t="s">
        <v>259</v>
      </c>
      <c r="C779" s="246"/>
      <c r="D779" s="140" t="s">
        <v>286</v>
      </c>
      <c r="E779" s="141" t="s">
        <v>260</v>
      </c>
      <c r="F779" s="139"/>
      <c r="G779" s="139"/>
      <c r="H779" s="139"/>
      <c r="I779" s="139"/>
    </row>
    <row r="780" spans="2:9" s="130" customFormat="1" x14ac:dyDescent="0.2">
      <c r="B780" s="246" t="s">
        <v>261</v>
      </c>
      <c r="C780" s="246"/>
      <c r="D780" s="140" t="s">
        <v>286</v>
      </c>
      <c r="E780" s="141" t="s">
        <v>262</v>
      </c>
      <c r="F780" s="139"/>
      <c r="G780" s="139"/>
      <c r="H780" s="139"/>
      <c r="I780" s="139"/>
    </row>
    <row r="781" spans="2:9" s="130" customFormat="1" x14ac:dyDescent="0.2">
      <c r="B781" s="246" t="s">
        <v>322</v>
      </c>
      <c r="C781" s="246"/>
      <c r="D781" s="140" t="s">
        <v>286</v>
      </c>
      <c r="E781" s="141" t="s">
        <v>263</v>
      </c>
      <c r="F781" s="139"/>
      <c r="G781" s="139"/>
      <c r="H781" s="139"/>
      <c r="I781" s="139"/>
    </row>
    <row r="782" spans="2:9" s="130" customFormat="1" x14ac:dyDescent="0.2">
      <c r="B782" s="246" t="s">
        <v>264</v>
      </c>
      <c r="C782" s="246"/>
      <c r="D782" s="140" t="s">
        <v>286</v>
      </c>
      <c r="E782" s="141" t="s">
        <v>265</v>
      </c>
      <c r="F782" s="139"/>
      <c r="G782" s="139"/>
      <c r="H782" s="139"/>
      <c r="I782" s="139"/>
    </row>
    <row r="783" spans="2:9" s="130" customFormat="1" x14ac:dyDescent="0.2">
      <c r="B783" s="246" t="s">
        <v>266</v>
      </c>
      <c r="C783" s="246"/>
      <c r="D783" s="140" t="s">
        <v>286</v>
      </c>
      <c r="E783" s="141" t="s">
        <v>267</v>
      </c>
      <c r="F783" s="139"/>
      <c r="G783" s="139"/>
      <c r="H783" s="139"/>
      <c r="I783" s="139"/>
    </row>
    <row r="784" spans="2:9" s="130" customFormat="1" x14ac:dyDescent="0.2">
      <c r="B784" s="246" t="s">
        <v>268</v>
      </c>
      <c r="C784" s="246"/>
      <c r="D784" s="140" t="s">
        <v>286</v>
      </c>
      <c r="E784" s="141" t="s">
        <v>269</v>
      </c>
      <c r="F784" s="139"/>
      <c r="G784" s="139"/>
      <c r="H784" s="139"/>
      <c r="I784" s="139"/>
    </row>
    <row r="785" spans="2:9" s="130" customFormat="1" x14ac:dyDescent="0.2">
      <c r="B785" s="246" t="s">
        <v>270</v>
      </c>
      <c r="C785" s="246"/>
      <c r="D785" s="140" t="s">
        <v>286</v>
      </c>
      <c r="E785" s="141" t="s">
        <v>271</v>
      </c>
      <c r="F785" s="139"/>
      <c r="G785" s="139"/>
      <c r="H785" s="139"/>
      <c r="I785" s="139"/>
    </row>
    <row r="786" spans="2:9" s="130" customFormat="1" x14ac:dyDescent="0.2">
      <c r="B786" s="246" t="s">
        <v>272</v>
      </c>
      <c r="C786" s="246"/>
      <c r="D786" s="140" t="s">
        <v>286</v>
      </c>
      <c r="E786" s="141" t="s">
        <v>273</v>
      </c>
      <c r="F786" s="139"/>
      <c r="G786" s="139"/>
      <c r="H786" s="139"/>
      <c r="I786" s="139"/>
    </row>
    <row r="787" spans="2:9" s="130" customFormat="1" x14ac:dyDescent="0.2">
      <c r="B787" s="246" t="s">
        <v>274</v>
      </c>
      <c r="C787" s="246"/>
      <c r="D787" s="140" t="s">
        <v>286</v>
      </c>
      <c r="E787" s="141" t="s">
        <v>275</v>
      </c>
      <c r="F787" s="139"/>
      <c r="G787" s="139"/>
      <c r="H787" s="139"/>
      <c r="I787" s="139"/>
    </row>
    <row r="788" spans="2:9" s="130" customFormat="1" ht="13.5" thickBot="1" x14ac:dyDescent="0.25">
      <c r="B788" s="246" t="s">
        <v>323</v>
      </c>
      <c r="C788" s="246"/>
      <c r="D788" s="140" t="s">
        <v>286</v>
      </c>
      <c r="E788" s="141" t="s">
        <v>324</v>
      </c>
      <c r="F788" s="139"/>
      <c r="G788" s="139"/>
      <c r="H788" s="139"/>
      <c r="I788" s="139"/>
    </row>
    <row r="789" spans="2:9" ht="24.75" customHeight="1" thickBot="1" x14ac:dyDescent="0.25">
      <c r="B789" s="243" t="s">
        <v>291</v>
      </c>
      <c r="C789" s="244"/>
      <c r="D789" s="244"/>
      <c r="E789" s="245"/>
      <c r="F789" s="125"/>
      <c r="G789" s="125"/>
      <c r="H789" s="125"/>
      <c r="I789" s="125"/>
    </row>
    <row r="790" spans="2:9" x14ac:dyDescent="0.2">
      <c r="B790" s="33" t="s">
        <v>18</v>
      </c>
      <c r="C790" s="31"/>
      <c r="D790" s="72"/>
      <c r="E790" s="32"/>
      <c r="F790" s="125"/>
      <c r="G790" s="125"/>
      <c r="H790" s="125"/>
      <c r="I790" s="125"/>
    </row>
    <row r="791" spans="2:9" x14ac:dyDescent="0.2">
      <c r="B791" s="34"/>
      <c r="C791" s="199" t="s">
        <v>64</v>
      </c>
      <c r="D791" s="199"/>
      <c r="E791" s="199"/>
      <c r="F791" s="125"/>
      <c r="G791" s="125"/>
      <c r="H791" s="125"/>
      <c r="I791" s="125"/>
    </row>
    <row r="792" spans="2:9" x14ac:dyDescent="0.2">
      <c r="B792" s="33" t="s">
        <v>19</v>
      </c>
      <c r="C792" s="35"/>
      <c r="D792" s="35"/>
      <c r="E792" s="36"/>
      <c r="F792" s="125"/>
      <c r="G792" s="125"/>
      <c r="H792" s="125"/>
      <c r="I792" s="125"/>
    </row>
    <row r="793" spans="2:9" x14ac:dyDescent="0.2">
      <c r="B793" s="34"/>
      <c r="C793" s="199" t="s">
        <v>141</v>
      </c>
      <c r="D793" s="199"/>
      <c r="E793" s="199"/>
      <c r="F793" s="125"/>
      <c r="G793" s="125"/>
      <c r="H793" s="125"/>
      <c r="I793" s="125"/>
    </row>
    <row r="794" spans="2:9" x14ac:dyDescent="0.2">
      <c r="B794" s="33" t="s">
        <v>20</v>
      </c>
      <c r="C794" s="31"/>
      <c r="D794" s="72"/>
      <c r="E794" s="32"/>
      <c r="F794" s="125"/>
      <c r="G794" s="125"/>
      <c r="H794" s="125"/>
      <c r="I794" s="125"/>
    </row>
    <row r="795" spans="2:9" x14ac:dyDescent="0.2">
      <c r="B795" s="33"/>
      <c r="C795" s="198" t="s">
        <v>65</v>
      </c>
      <c r="D795" s="198"/>
      <c r="E795" s="198"/>
      <c r="F795" s="125"/>
      <c r="G795" s="125"/>
      <c r="H795" s="125"/>
      <c r="I795" s="125"/>
    </row>
    <row r="796" spans="2:9" ht="13.5" thickBot="1" x14ac:dyDescent="0.25">
      <c r="B796" s="37"/>
      <c r="C796" s="38"/>
      <c r="D796" s="73"/>
      <c r="E796" s="39"/>
      <c r="F796" s="125"/>
      <c r="G796" s="125"/>
      <c r="H796" s="125"/>
      <c r="I796" s="125"/>
    </row>
    <row r="797" spans="2:9" ht="13.5" thickBot="1" x14ac:dyDescent="0.25">
      <c r="F797" s="125"/>
      <c r="G797" s="125"/>
      <c r="H797" s="125"/>
      <c r="I797" s="125"/>
    </row>
    <row r="798" spans="2:9" x14ac:dyDescent="0.2">
      <c r="B798" s="27" t="s">
        <v>160</v>
      </c>
      <c r="C798" s="28"/>
      <c r="D798" s="71"/>
      <c r="E798" s="29"/>
      <c r="F798" s="125"/>
      <c r="G798" s="125"/>
      <c r="H798" s="125"/>
      <c r="I798" s="125"/>
    </row>
    <row r="799" spans="2:9" x14ac:dyDescent="0.2">
      <c r="B799" s="30"/>
      <c r="C799" s="31"/>
      <c r="D799" s="72"/>
      <c r="E799" s="32"/>
      <c r="F799" s="125"/>
      <c r="G799" s="125"/>
      <c r="H799" s="125"/>
      <c r="I799" s="125"/>
    </row>
    <row r="800" spans="2:9" x14ac:dyDescent="0.2">
      <c r="B800" s="33" t="s">
        <v>16</v>
      </c>
      <c r="C800" s="31"/>
      <c r="D800" s="72"/>
      <c r="E800" s="32"/>
      <c r="F800" s="125"/>
      <c r="G800" s="125"/>
      <c r="H800" s="125"/>
      <c r="I800" s="125"/>
    </row>
    <row r="801" spans="2:9" x14ac:dyDescent="0.2">
      <c r="B801" s="33"/>
      <c r="C801" s="199"/>
      <c r="D801" s="199"/>
      <c r="E801" s="199"/>
      <c r="F801" s="125"/>
      <c r="G801" s="125"/>
      <c r="H801" s="125"/>
      <c r="I801" s="125"/>
    </row>
    <row r="802" spans="2:9" ht="13.5" thickBot="1" x14ac:dyDescent="0.25">
      <c r="B802" s="33" t="s">
        <v>17</v>
      </c>
      <c r="C802" s="31"/>
      <c r="D802" s="72"/>
      <c r="E802" s="32"/>
      <c r="F802" s="125"/>
      <c r="G802" s="125"/>
      <c r="H802" s="125"/>
      <c r="I802" s="125"/>
    </row>
    <row r="803" spans="2:9" ht="13.5" thickBot="1" x14ac:dyDescent="0.25">
      <c r="B803" s="185" t="s">
        <v>241</v>
      </c>
      <c r="C803" s="186"/>
      <c r="D803" s="186"/>
      <c r="E803" s="187"/>
      <c r="F803" s="125"/>
      <c r="G803" s="125"/>
      <c r="H803" s="125"/>
      <c r="I803" s="125"/>
    </row>
    <row r="804" spans="2:9" ht="13.5" thickBot="1" x14ac:dyDescent="0.25">
      <c r="B804" s="185" t="s">
        <v>139</v>
      </c>
      <c r="C804" s="187"/>
      <c r="D804" s="69" t="s">
        <v>11</v>
      </c>
      <c r="E804" s="69" t="s">
        <v>140</v>
      </c>
      <c r="F804" s="125"/>
      <c r="G804" s="125"/>
      <c r="H804" s="125"/>
      <c r="I804" s="125"/>
    </row>
    <row r="805" spans="2:9" s="130" customFormat="1" x14ac:dyDescent="0.2">
      <c r="B805" s="247" t="s">
        <v>317</v>
      </c>
      <c r="C805" s="247"/>
      <c r="D805" s="137" t="s">
        <v>286</v>
      </c>
      <c r="E805" s="138" t="s">
        <v>316</v>
      </c>
      <c r="F805" s="139">
        <v>20</v>
      </c>
      <c r="G805" s="139">
        <f>F805*2</f>
        <v>40</v>
      </c>
      <c r="H805" s="139">
        <f>G805*$H$48</f>
        <v>120</v>
      </c>
      <c r="I805" s="139"/>
    </row>
    <row r="806" spans="2:9" s="130" customFormat="1" x14ac:dyDescent="0.2">
      <c r="B806" s="246" t="s">
        <v>318</v>
      </c>
      <c r="C806" s="246"/>
      <c r="D806" s="140" t="s">
        <v>286</v>
      </c>
      <c r="E806" s="141" t="s">
        <v>247</v>
      </c>
      <c r="F806" s="139"/>
      <c r="G806" s="139"/>
      <c r="H806" s="139"/>
      <c r="I806" s="139"/>
    </row>
    <row r="807" spans="2:9" s="130" customFormat="1" x14ac:dyDescent="0.2">
      <c r="B807" s="246" t="s">
        <v>320</v>
      </c>
      <c r="C807" s="246"/>
      <c r="D807" s="140" t="s">
        <v>286</v>
      </c>
      <c r="E807" s="141" t="s">
        <v>248</v>
      </c>
      <c r="F807" s="139"/>
      <c r="G807" s="139"/>
      <c r="H807" s="139"/>
      <c r="I807" s="139"/>
    </row>
    <row r="808" spans="2:9" s="130" customFormat="1" x14ac:dyDescent="0.2">
      <c r="B808" s="246" t="s">
        <v>319</v>
      </c>
      <c r="C808" s="246"/>
      <c r="D808" s="140" t="s">
        <v>286</v>
      </c>
      <c r="E808" s="141" t="s">
        <v>249</v>
      </c>
      <c r="F808" s="139"/>
      <c r="G808" s="139"/>
      <c r="H808" s="139"/>
      <c r="I808" s="139"/>
    </row>
    <row r="809" spans="2:9" s="130" customFormat="1" x14ac:dyDescent="0.2">
      <c r="B809" s="246" t="s">
        <v>314</v>
      </c>
      <c r="C809" s="246"/>
      <c r="D809" s="140" t="s">
        <v>286</v>
      </c>
      <c r="E809" s="141" t="s">
        <v>315</v>
      </c>
      <c r="F809" s="139"/>
      <c r="G809" s="139"/>
      <c r="H809" s="139"/>
      <c r="I809" s="139"/>
    </row>
    <row r="810" spans="2:9" s="130" customFormat="1" x14ac:dyDescent="0.2">
      <c r="B810" s="246" t="s">
        <v>250</v>
      </c>
      <c r="C810" s="246"/>
      <c r="D810" s="140" t="s">
        <v>286</v>
      </c>
      <c r="E810" s="141" t="s">
        <v>251</v>
      </c>
      <c r="F810" s="139"/>
      <c r="G810" s="139"/>
      <c r="H810" s="139"/>
      <c r="I810" s="139"/>
    </row>
    <row r="811" spans="2:9" s="130" customFormat="1" x14ac:dyDescent="0.2">
      <c r="B811" s="246" t="s">
        <v>252</v>
      </c>
      <c r="C811" s="246"/>
      <c r="D811" s="140" t="s">
        <v>286</v>
      </c>
      <c r="E811" s="141" t="s">
        <v>253</v>
      </c>
      <c r="F811" s="139"/>
      <c r="G811" s="139"/>
      <c r="H811" s="139"/>
      <c r="I811" s="139"/>
    </row>
    <row r="812" spans="2:9" s="130" customFormat="1" x14ac:dyDescent="0.2">
      <c r="B812" s="246" t="s">
        <v>254</v>
      </c>
      <c r="C812" s="246"/>
      <c r="D812" s="140" t="s">
        <v>286</v>
      </c>
      <c r="E812" s="141" t="s">
        <v>255</v>
      </c>
      <c r="F812" s="139"/>
      <c r="G812" s="139"/>
      <c r="H812" s="139"/>
      <c r="I812" s="139"/>
    </row>
    <row r="813" spans="2:9" s="130" customFormat="1" x14ac:dyDescent="0.2">
      <c r="B813" s="246" t="s">
        <v>256</v>
      </c>
      <c r="C813" s="246"/>
      <c r="D813" s="140" t="s">
        <v>286</v>
      </c>
      <c r="E813" s="141" t="s">
        <v>257</v>
      </c>
      <c r="F813" s="139"/>
      <c r="G813" s="139"/>
      <c r="H813" s="139"/>
      <c r="I813" s="139"/>
    </row>
    <row r="814" spans="2:9" s="130" customFormat="1" x14ac:dyDescent="0.2">
      <c r="B814" s="246" t="s">
        <v>321</v>
      </c>
      <c r="C814" s="246"/>
      <c r="D814" s="140" t="s">
        <v>286</v>
      </c>
      <c r="E814" s="141" t="s">
        <v>258</v>
      </c>
      <c r="F814" s="139"/>
      <c r="G814" s="139"/>
      <c r="H814" s="139"/>
      <c r="I814" s="139"/>
    </row>
    <row r="815" spans="2:9" s="130" customFormat="1" x14ac:dyDescent="0.2">
      <c r="B815" s="246" t="s">
        <v>259</v>
      </c>
      <c r="C815" s="246"/>
      <c r="D815" s="140" t="s">
        <v>286</v>
      </c>
      <c r="E815" s="141" t="s">
        <v>260</v>
      </c>
      <c r="F815" s="139"/>
      <c r="G815" s="139"/>
      <c r="H815" s="139"/>
      <c r="I815" s="139"/>
    </row>
    <row r="816" spans="2:9" s="130" customFormat="1" x14ac:dyDescent="0.2">
      <c r="B816" s="246" t="s">
        <v>261</v>
      </c>
      <c r="C816" s="246"/>
      <c r="D816" s="140" t="s">
        <v>286</v>
      </c>
      <c r="E816" s="141" t="s">
        <v>262</v>
      </c>
      <c r="F816" s="139"/>
      <c r="G816" s="139"/>
      <c r="H816" s="139"/>
      <c r="I816" s="139"/>
    </row>
    <row r="817" spans="2:9" s="130" customFormat="1" x14ac:dyDescent="0.2">
      <c r="B817" s="246" t="s">
        <v>322</v>
      </c>
      <c r="C817" s="246"/>
      <c r="D817" s="140" t="s">
        <v>286</v>
      </c>
      <c r="E817" s="141" t="s">
        <v>263</v>
      </c>
      <c r="F817" s="139"/>
      <c r="G817" s="139"/>
      <c r="H817" s="139"/>
      <c r="I817" s="139"/>
    </row>
    <row r="818" spans="2:9" s="130" customFormat="1" x14ac:dyDescent="0.2">
      <c r="B818" s="246" t="s">
        <v>264</v>
      </c>
      <c r="C818" s="246"/>
      <c r="D818" s="140" t="s">
        <v>286</v>
      </c>
      <c r="E818" s="141" t="s">
        <v>265</v>
      </c>
      <c r="F818" s="139"/>
      <c r="G818" s="139"/>
      <c r="H818" s="139"/>
      <c r="I818" s="139"/>
    </row>
    <row r="819" spans="2:9" s="130" customFormat="1" x14ac:dyDescent="0.2">
      <c r="B819" s="246" t="s">
        <v>266</v>
      </c>
      <c r="C819" s="246"/>
      <c r="D819" s="140" t="s">
        <v>286</v>
      </c>
      <c r="E819" s="141" t="s">
        <v>267</v>
      </c>
      <c r="F819" s="139"/>
      <c r="G819" s="139"/>
      <c r="H819" s="139"/>
      <c r="I819" s="139"/>
    </row>
    <row r="820" spans="2:9" s="130" customFormat="1" x14ac:dyDescent="0.2">
      <c r="B820" s="246" t="s">
        <v>268</v>
      </c>
      <c r="C820" s="246"/>
      <c r="D820" s="140" t="s">
        <v>286</v>
      </c>
      <c r="E820" s="141" t="s">
        <v>269</v>
      </c>
      <c r="F820" s="139"/>
      <c r="G820" s="139"/>
      <c r="H820" s="139"/>
      <c r="I820" s="139"/>
    </row>
    <row r="821" spans="2:9" s="130" customFormat="1" x14ac:dyDescent="0.2">
      <c r="B821" s="246" t="s">
        <v>270</v>
      </c>
      <c r="C821" s="246"/>
      <c r="D821" s="140" t="s">
        <v>286</v>
      </c>
      <c r="E821" s="141" t="s">
        <v>271</v>
      </c>
      <c r="F821" s="139"/>
      <c r="G821" s="139"/>
      <c r="H821" s="139"/>
      <c r="I821" s="139"/>
    </row>
    <row r="822" spans="2:9" s="130" customFormat="1" x14ac:dyDescent="0.2">
      <c r="B822" s="246" t="s">
        <v>272</v>
      </c>
      <c r="C822" s="246"/>
      <c r="D822" s="140" t="s">
        <v>286</v>
      </c>
      <c r="E822" s="141" t="s">
        <v>273</v>
      </c>
      <c r="F822" s="139"/>
      <c r="G822" s="139"/>
      <c r="H822" s="139"/>
      <c r="I822" s="139"/>
    </row>
    <row r="823" spans="2:9" s="130" customFormat="1" x14ac:dyDescent="0.2">
      <c r="B823" s="246" t="s">
        <v>274</v>
      </c>
      <c r="C823" s="246"/>
      <c r="D823" s="140" t="s">
        <v>286</v>
      </c>
      <c r="E823" s="141" t="s">
        <v>275</v>
      </c>
      <c r="F823" s="139"/>
      <c r="G823" s="139"/>
      <c r="H823" s="139"/>
      <c r="I823" s="139"/>
    </row>
    <row r="824" spans="2:9" s="130" customFormat="1" ht="13.5" thickBot="1" x14ac:dyDescent="0.25">
      <c r="B824" s="246" t="s">
        <v>323</v>
      </c>
      <c r="C824" s="246"/>
      <c r="D824" s="140" t="s">
        <v>286</v>
      </c>
      <c r="E824" s="141" t="s">
        <v>324</v>
      </c>
      <c r="F824" s="139"/>
      <c r="G824" s="139"/>
      <c r="H824" s="139"/>
      <c r="I824" s="139"/>
    </row>
    <row r="825" spans="2:9" ht="25.5" customHeight="1" thickBot="1" x14ac:dyDescent="0.25">
      <c r="B825" s="243" t="s">
        <v>291</v>
      </c>
      <c r="C825" s="244"/>
      <c r="D825" s="244"/>
      <c r="E825" s="245"/>
      <c r="F825" s="125"/>
      <c r="G825" s="125"/>
      <c r="H825" s="125"/>
      <c r="I825" s="125"/>
    </row>
    <row r="826" spans="2:9" x14ac:dyDescent="0.2">
      <c r="B826" s="33" t="s">
        <v>18</v>
      </c>
      <c r="C826" s="31"/>
      <c r="D826" s="72"/>
      <c r="E826" s="32"/>
      <c r="F826" s="125"/>
      <c r="G826" s="125"/>
      <c r="H826" s="125"/>
      <c r="I826" s="125"/>
    </row>
    <row r="827" spans="2:9" x14ac:dyDescent="0.2">
      <c r="B827" s="34"/>
      <c r="C827" s="199" t="s">
        <v>64</v>
      </c>
      <c r="D827" s="199"/>
      <c r="E827" s="199"/>
      <c r="F827" s="125"/>
      <c r="G827" s="125"/>
      <c r="H827" s="125"/>
      <c r="I827" s="125"/>
    </row>
    <row r="828" spans="2:9" x14ac:dyDescent="0.2">
      <c r="B828" s="33" t="s">
        <v>19</v>
      </c>
      <c r="C828" s="35"/>
      <c r="D828" s="35"/>
      <c r="E828" s="36"/>
      <c r="F828" s="125"/>
      <c r="G828" s="125"/>
      <c r="H828" s="125"/>
      <c r="I828" s="125"/>
    </row>
    <row r="829" spans="2:9" x14ac:dyDescent="0.2">
      <c r="B829" s="34"/>
      <c r="C829" s="199" t="s">
        <v>141</v>
      </c>
      <c r="D829" s="199"/>
      <c r="E829" s="199"/>
      <c r="F829" s="125"/>
      <c r="G829" s="125"/>
      <c r="H829" s="125"/>
      <c r="I829" s="125"/>
    </row>
    <row r="830" spans="2:9" x14ac:dyDescent="0.2">
      <c r="B830" s="33" t="s">
        <v>20</v>
      </c>
      <c r="C830" s="31"/>
      <c r="D830" s="72"/>
      <c r="E830" s="32"/>
      <c r="F830" s="125"/>
      <c r="G830" s="125"/>
      <c r="H830" s="125"/>
      <c r="I830" s="125"/>
    </row>
    <row r="831" spans="2:9" x14ac:dyDescent="0.2">
      <c r="B831" s="33"/>
      <c r="C831" s="198" t="s">
        <v>65</v>
      </c>
      <c r="D831" s="198"/>
      <c r="E831" s="198"/>
      <c r="F831" s="125"/>
      <c r="G831" s="125"/>
      <c r="H831" s="125"/>
      <c r="I831" s="125"/>
    </row>
    <row r="832" spans="2:9" ht="13.5" thickBot="1" x14ac:dyDescent="0.25">
      <c r="B832" s="37"/>
      <c r="C832" s="38"/>
      <c r="D832" s="73"/>
      <c r="E832" s="39"/>
      <c r="F832" s="125"/>
      <c r="G832" s="125"/>
      <c r="H832" s="125"/>
      <c r="I832" s="125"/>
    </row>
    <row r="833" spans="2:9" ht="13.5" thickBot="1" x14ac:dyDescent="0.25">
      <c r="F833" s="125"/>
      <c r="G833" s="125"/>
      <c r="H833" s="125"/>
      <c r="I833" s="125"/>
    </row>
    <row r="834" spans="2:9" x14ac:dyDescent="0.2">
      <c r="B834" s="27" t="s">
        <v>161</v>
      </c>
      <c r="C834" s="28"/>
      <c r="D834" s="71"/>
      <c r="E834" s="29"/>
      <c r="F834" s="125"/>
      <c r="G834" s="125"/>
      <c r="H834" s="125"/>
      <c r="I834" s="125"/>
    </row>
    <row r="835" spans="2:9" x14ac:dyDescent="0.2">
      <c r="B835" s="30"/>
      <c r="C835" s="31"/>
      <c r="D835" s="72"/>
      <c r="E835" s="32"/>
      <c r="F835" s="125"/>
      <c r="G835" s="125"/>
      <c r="H835" s="125"/>
      <c r="I835" s="125"/>
    </row>
    <row r="836" spans="2:9" x14ac:dyDescent="0.2">
      <c r="B836" s="33" t="s">
        <v>16</v>
      </c>
      <c r="C836" s="31"/>
      <c r="D836" s="72"/>
      <c r="E836" s="32"/>
      <c r="F836" s="125"/>
      <c r="G836" s="125"/>
      <c r="H836" s="125"/>
      <c r="I836" s="125"/>
    </row>
    <row r="837" spans="2:9" x14ac:dyDescent="0.2">
      <c r="B837" s="33"/>
      <c r="C837" s="199"/>
      <c r="D837" s="199"/>
      <c r="E837" s="199"/>
      <c r="F837" s="125"/>
      <c r="G837" s="125"/>
      <c r="H837" s="125"/>
      <c r="I837" s="125"/>
    </row>
    <row r="838" spans="2:9" ht="13.5" thickBot="1" x14ac:dyDescent="0.25">
      <c r="B838" s="33" t="s">
        <v>17</v>
      </c>
      <c r="C838" s="31"/>
      <c r="D838" s="72"/>
      <c r="E838" s="32"/>
      <c r="F838" s="125"/>
      <c r="G838" s="125"/>
      <c r="H838" s="125"/>
      <c r="I838" s="125"/>
    </row>
    <row r="839" spans="2:9" ht="13.5" thickBot="1" x14ac:dyDescent="0.25">
      <c r="B839" s="185" t="s">
        <v>241</v>
      </c>
      <c r="C839" s="186"/>
      <c r="D839" s="186"/>
      <c r="E839" s="187"/>
      <c r="F839" s="125"/>
      <c r="G839" s="125"/>
      <c r="H839" s="125"/>
      <c r="I839" s="125"/>
    </row>
    <row r="840" spans="2:9" ht="13.5" thickBot="1" x14ac:dyDescent="0.25">
      <c r="B840" s="185" t="s">
        <v>139</v>
      </c>
      <c r="C840" s="187"/>
      <c r="D840" s="69" t="s">
        <v>11</v>
      </c>
      <c r="E840" s="69" t="s">
        <v>140</v>
      </c>
      <c r="F840" s="125"/>
      <c r="G840" s="125"/>
      <c r="H840" s="125"/>
      <c r="I840" s="125"/>
    </row>
    <row r="841" spans="2:9" s="130" customFormat="1" x14ac:dyDescent="0.2">
      <c r="B841" s="247" t="s">
        <v>317</v>
      </c>
      <c r="C841" s="247"/>
      <c r="D841" s="137" t="s">
        <v>286</v>
      </c>
      <c r="E841" s="138" t="s">
        <v>316</v>
      </c>
      <c r="F841" s="139">
        <v>20</v>
      </c>
      <c r="G841" s="139">
        <f>F841*2</f>
        <v>40</v>
      </c>
      <c r="H841" s="139">
        <f>G841*$H$48</f>
        <v>120</v>
      </c>
      <c r="I841" s="139"/>
    </row>
    <row r="842" spans="2:9" s="130" customFormat="1" x14ac:dyDescent="0.2">
      <c r="B842" s="246" t="s">
        <v>318</v>
      </c>
      <c r="C842" s="246"/>
      <c r="D842" s="140" t="s">
        <v>286</v>
      </c>
      <c r="E842" s="141" t="s">
        <v>247</v>
      </c>
      <c r="F842" s="139"/>
      <c r="G842" s="139"/>
      <c r="H842" s="139"/>
      <c r="I842" s="139"/>
    </row>
    <row r="843" spans="2:9" s="130" customFormat="1" x14ac:dyDescent="0.2">
      <c r="B843" s="246" t="s">
        <v>320</v>
      </c>
      <c r="C843" s="246"/>
      <c r="D843" s="140" t="s">
        <v>286</v>
      </c>
      <c r="E843" s="141" t="s">
        <v>248</v>
      </c>
      <c r="F843" s="139"/>
      <c r="G843" s="139"/>
      <c r="H843" s="139"/>
      <c r="I843" s="139"/>
    </row>
    <row r="844" spans="2:9" s="130" customFormat="1" x14ac:dyDescent="0.2">
      <c r="B844" s="246" t="s">
        <v>319</v>
      </c>
      <c r="C844" s="246"/>
      <c r="D844" s="140" t="s">
        <v>286</v>
      </c>
      <c r="E844" s="141" t="s">
        <v>249</v>
      </c>
      <c r="F844" s="139"/>
      <c r="G844" s="139"/>
      <c r="H844" s="139"/>
      <c r="I844" s="139"/>
    </row>
    <row r="845" spans="2:9" s="130" customFormat="1" x14ac:dyDescent="0.2">
      <c r="B845" s="246" t="s">
        <v>314</v>
      </c>
      <c r="C845" s="246"/>
      <c r="D845" s="140" t="s">
        <v>286</v>
      </c>
      <c r="E845" s="141" t="s">
        <v>315</v>
      </c>
      <c r="F845" s="139"/>
      <c r="G845" s="139"/>
      <c r="H845" s="139"/>
      <c r="I845" s="139"/>
    </row>
    <row r="846" spans="2:9" s="130" customFormat="1" x14ac:dyDescent="0.2">
      <c r="B846" s="246" t="s">
        <v>250</v>
      </c>
      <c r="C846" s="246"/>
      <c r="D846" s="140" t="s">
        <v>286</v>
      </c>
      <c r="E846" s="141" t="s">
        <v>251</v>
      </c>
      <c r="F846" s="139"/>
      <c r="G846" s="139"/>
      <c r="H846" s="139"/>
      <c r="I846" s="139"/>
    </row>
    <row r="847" spans="2:9" s="130" customFormat="1" x14ac:dyDescent="0.2">
      <c r="B847" s="246" t="s">
        <v>252</v>
      </c>
      <c r="C847" s="246"/>
      <c r="D847" s="140" t="s">
        <v>286</v>
      </c>
      <c r="E847" s="141" t="s">
        <v>253</v>
      </c>
      <c r="F847" s="139"/>
      <c r="G847" s="139"/>
      <c r="H847" s="139"/>
      <c r="I847" s="139"/>
    </row>
    <row r="848" spans="2:9" s="130" customFormat="1" x14ac:dyDescent="0.2">
      <c r="B848" s="246" t="s">
        <v>254</v>
      </c>
      <c r="C848" s="246"/>
      <c r="D848" s="140" t="s">
        <v>286</v>
      </c>
      <c r="E848" s="141" t="s">
        <v>255</v>
      </c>
      <c r="F848" s="139"/>
      <c r="G848" s="139"/>
      <c r="H848" s="139"/>
      <c r="I848" s="139"/>
    </row>
    <row r="849" spans="2:9" s="130" customFormat="1" x14ac:dyDescent="0.2">
      <c r="B849" s="246" t="s">
        <v>256</v>
      </c>
      <c r="C849" s="246"/>
      <c r="D849" s="140" t="s">
        <v>286</v>
      </c>
      <c r="E849" s="141" t="s">
        <v>257</v>
      </c>
      <c r="F849" s="139"/>
      <c r="G849" s="139"/>
      <c r="H849" s="139"/>
      <c r="I849" s="139"/>
    </row>
    <row r="850" spans="2:9" s="130" customFormat="1" x14ac:dyDescent="0.2">
      <c r="B850" s="246" t="s">
        <v>321</v>
      </c>
      <c r="C850" s="246"/>
      <c r="D850" s="140" t="s">
        <v>286</v>
      </c>
      <c r="E850" s="141" t="s">
        <v>258</v>
      </c>
      <c r="F850" s="139"/>
      <c r="G850" s="139"/>
      <c r="H850" s="139"/>
      <c r="I850" s="139"/>
    </row>
    <row r="851" spans="2:9" s="130" customFormat="1" x14ac:dyDescent="0.2">
      <c r="B851" s="246" t="s">
        <v>259</v>
      </c>
      <c r="C851" s="246"/>
      <c r="D851" s="140" t="s">
        <v>286</v>
      </c>
      <c r="E851" s="141" t="s">
        <v>260</v>
      </c>
      <c r="F851" s="139"/>
      <c r="G851" s="139"/>
      <c r="H851" s="139"/>
      <c r="I851" s="139"/>
    </row>
    <row r="852" spans="2:9" s="130" customFormat="1" x14ac:dyDescent="0.2">
      <c r="B852" s="246" t="s">
        <v>261</v>
      </c>
      <c r="C852" s="246"/>
      <c r="D852" s="140" t="s">
        <v>286</v>
      </c>
      <c r="E852" s="141" t="s">
        <v>262</v>
      </c>
      <c r="F852" s="139"/>
      <c r="G852" s="139"/>
      <c r="H852" s="139"/>
      <c r="I852" s="139"/>
    </row>
    <row r="853" spans="2:9" s="130" customFormat="1" x14ac:dyDescent="0.2">
      <c r="B853" s="246" t="s">
        <v>322</v>
      </c>
      <c r="C853" s="246"/>
      <c r="D853" s="140" t="s">
        <v>286</v>
      </c>
      <c r="E853" s="141" t="s">
        <v>263</v>
      </c>
      <c r="F853" s="139"/>
      <c r="G853" s="139"/>
      <c r="H853" s="139"/>
      <c r="I853" s="139"/>
    </row>
    <row r="854" spans="2:9" s="130" customFormat="1" x14ac:dyDescent="0.2">
      <c r="B854" s="246" t="s">
        <v>264</v>
      </c>
      <c r="C854" s="246"/>
      <c r="D854" s="140" t="s">
        <v>286</v>
      </c>
      <c r="E854" s="141" t="s">
        <v>265</v>
      </c>
      <c r="F854" s="139"/>
      <c r="G854" s="139"/>
      <c r="H854" s="139"/>
      <c r="I854" s="139"/>
    </row>
    <row r="855" spans="2:9" s="130" customFormat="1" x14ac:dyDescent="0.2">
      <c r="B855" s="246" t="s">
        <v>266</v>
      </c>
      <c r="C855" s="246"/>
      <c r="D855" s="140" t="s">
        <v>286</v>
      </c>
      <c r="E855" s="141" t="s">
        <v>267</v>
      </c>
      <c r="F855" s="139"/>
      <c r="G855" s="139"/>
      <c r="H855" s="139"/>
      <c r="I855" s="139"/>
    </row>
    <row r="856" spans="2:9" s="130" customFormat="1" x14ac:dyDescent="0.2">
      <c r="B856" s="246" t="s">
        <v>268</v>
      </c>
      <c r="C856" s="246"/>
      <c r="D856" s="140" t="s">
        <v>286</v>
      </c>
      <c r="E856" s="141" t="s">
        <v>269</v>
      </c>
      <c r="F856" s="139"/>
      <c r="G856" s="139"/>
      <c r="H856" s="139"/>
      <c r="I856" s="139"/>
    </row>
    <row r="857" spans="2:9" s="130" customFormat="1" x14ac:dyDescent="0.2">
      <c r="B857" s="246" t="s">
        <v>270</v>
      </c>
      <c r="C857" s="246"/>
      <c r="D857" s="140" t="s">
        <v>286</v>
      </c>
      <c r="E857" s="141" t="s">
        <v>271</v>
      </c>
      <c r="F857" s="139"/>
      <c r="G857" s="139"/>
      <c r="H857" s="139"/>
      <c r="I857" s="139"/>
    </row>
    <row r="858" spans="2:9" s="130" customFormat="1" x14ac:dyDescent="0.2">
      <c r="B858" s="246" t="s">
        <v>272</v>
      </c>
      <c r="C858" s="246"/>
      <c r="D858" s="140" t="s">
        <v>286</v>
      </c>
      <c r="E858" s="141" t="s">
        <v>273</v>
      </c>
      <c r="F858" s="139"/>
      <c r="G858" s="139"/>
      <c r="H858" s="139"/>
      <c r="I858" s="139"/>
    </row>
    <row r="859" spans="2:9" s="130" customFormat="1" x14ac:dyDescent="0.2">
      <c r="B859" s="246" t="s">
        <v>274</v>
      </c>
      <c r="C859" s="246"/>
      <c r="D859" s="140" t="s">
        <v>286</v>
      </c>
      <c r="E859" s="141" t="s">
        <v>275</v>
      </c>
      <c r="F859" s="139"/>
      <c r="G859" s="139"/>
      <c r="H859" s="139"/>
      <c r="I859" s="139"/>
    </row>
    <row r="860" spans="2:9" s="130" customFormat="1" ht="13.5" thickBot="1" x14ac:dyDescent="0.25">
      <c r="B860" s="246" t="s">
        <v>323</v>
      </c>
      <c r="C860" s="246"/>
      <c r="D860" s="140" t="s">
        <v>286</v>
      </c>
      <c r="E860" s="141" t="s">
        <v>324</v>
      </c>
      <c r="F860" s="139"/>
      <c r="G860" s="139"/>
      <c r="H860" s="139"/>
      <c r="I860" s="139"/>
    </row>
    <row r="861" spans="2:9" ht="25.5" customHeight="1" thickBot="1" x14ac:dyDescent="0.25">
      <c r="B861" s="243" t="s">
        <v>292</v>
      </c>
      <c r="C861" s="244"/>
      <c r="D861" s="244"/>
      <c r="E861" s="245"/>
      <c r="F861" s="125"/>
      <c r="G861" s="125"/>
      <c r="H861" s="125"/>
      <c r="I861" s="125"/>
    </row>
    <row r="862" spans="2:9" x14ac:dyDescent="0.2">
      <c r="B862" s="33" t="s">
        <v>18</v>
      </c>
      <c r="C862" s="31"/>
      <c r="D862" s="72"/>
      <c r="E862" s="32"/>
      <c r="F862" s="125"/>
      <c r="G862" s="125"/>
      <c r="H862" s="125"/>
      <c r="I862" s="125"/>
    </row>
    <row r="863" spans="2:9" x14ac:dyDescent="0.2">
      <c r="B863" s="34"/>
      <c r="C863" s="199" t="s">
        <v>64</v>
      </c>
      <c r="D863" s="199"/>
      <c r="E863" s="199"/>
      <c r="F863" s="125"/>
      <c r="G863" s="125"/>
      <c r="H863" s="125"/>
      <c r="I863" s="125"/>
    </row>
    <row r="864" spans="2:9" x14ac:dyDescent="0.2">
      <c r="B864" s="33" t="s">
        <v>19</v>
      </c>
      <c r="C864" s="35"/>
      <c r="D864" s="35"/>
      <c r="E864" s="36"/>
      <c r="F864" s="125"/>
      <c r="G864" s="125"/>
      <c r="H864" s="125"/>
      <c r="I864" s="125"/>
    </row>
    <row r="865" spans="2:9" x14ac:dyDescent="0.2">
      <c r="B865" s="34"/>
      <c r="C865" s="199" t="s">
        <v>141</v>
      </c>
      <c r="D865" s="199"/>
      <c r="E865" s="199"/>
      <c r="F865" s="125"/>
      <c r="G865" s="125"/>
      <c r="H865" s="125"/>
      <c r="I865" s="125"/>
    </row>
    <row r="866" spans="2:9" x14ac:dyDescent="0.2">
      <c r="B866" s="33" t="s">
        <v>20</v>
      </c>
      <c r="C866" s="31"/>
      <c r="D866" s="72"/>
      <c r="E866" s="32"/>
      <c r="F866" s="125"/>
      <c r="G866" s="125"/>
      <c r="H866" s="125"/>
      <c r="I866" s="125"/>
    </row>
    <row r="867" spans="2:9" x14ac:dyDescent="0.2">
      <c r="B867" s="33"/>
      <c r="C867" s="198" t="s">
        <v>65</v>
      </c>
      <c r="D867" s="198"/>
      <c r="E867" s="198"/>
      <c r="F867" s="125"/>
      <c r="G867" s="125"/>
      <c r="H867" s="125"/>
      <c r="I867" s="125"/>
    </row>
    <row r="868" spans="2:9" ht="13.5" thickBot="1" x14ac:dyDescent="0.25">
      <c r="B868" s="37"/>
      <c r="C868" s="38"/>
      <c r="D868" s="73"/>
      <c r="E868" s="39"/>
      <c r="F868" s="125"/>
      <c r="G868" s="125"/>
      <c r="H868" s="125"/>
      <c r="I868" s="125"/>
    </row>
    <row r="869" spans="2:9" ht="13.5" thickBot="1" x14ac:dyDescent="0.25">
      <c r="F869" s="125"/>
      <c r="G869" s="125"/>
      <c r="H869" s="125"/>
      <c r="I869" s="125"/>
    </row>
    <row r="870" spans="2:9" x14ac:dyDescent="0.2">
      <c r="B870" s="27" t="s">
        <v>162</v>
      </c>
      <c r="C870" s="28"/>
      <c r="D870" s="71"/>
      <c r="E870" s="29"/>
      <c r="F870" s="125"/>
      <c r="G870" s="125"/>
      <c r="H870" s="125"/>
      <c r="I870" s="125"/>
    </row>
    <row r="871" spans="2:9" x14ac:dyDescent="0.2">
      <c r="B871" s="30"/>
      <c r="C871" s="31"/>
      <c r="D871" s="72"/>
      <c r="E871" s="32"/>
      <c r="F871" s="125"/>
      <c r="G871" s="125"/>
      <c r="H871" s="125"/>
      <c r="I871" s="125"/>
    </row>
    <row r="872" spans="2:9" x14ac:dyDescent="0.2">
      <c r="B872" s="33" t="s">
        <v>16</v>
      </c>
      <c r="C872" s="31"/>
      <c r="D872" s="72"/>
      <c r="E872" s="32"/>
      <c r="F872" s="125"/>
      <c r="G872" s="125"/>
      <c r="H872" s="125"/>
      <c r="I872" s="125"/>
    </row>
    <row r="873" spans="2:9" x14ac:dyDescent="0.2">
      <c r="B873" s="33"/>
      <c r="C873" s="199"/>
      <c r="D873" s="199"/>
      <c r="E873" s="199"/>
      <c r="F873" s="125"/>
      <c r="G873" s="125"/>
      <c r="H873" s="125"/>
      <c r="I873" s="125"/>
    </row>
    <row r="874" spans="2:9" ht="13.5" thickBot="1" x14ac:dyDescent="0.25">
      <c r="B874" s="33" t="s">
        <v>17</v>
      </c>
      <c r="C874" s="31"/>
      <c r="D874" s="72"/>
      <c r="E874" s="32"/>
      <c r="F874" s="125"/>
      <c r="G874" s="125"/>
      <c r="H874" s="125"/>
      <c r="I874" s="125"/>
    </row>
    <row r="875" spans="2:9" ht="13.5" thickBot="1" x14ac:dyDescent="0.25">
      <c r="B875" s="185" t="s">
        <v>241</v>
      </c>
      <c r="C875" s="186"/>
      <c r="D875" s="186"/>
      <c r="E875" s="187"/>
      <c r="F875" s="125"/>
      <c r="G875" s="125"/>
      <c r="H875" s="125"/>
      <c r="I875" s="125"/>
    </row>
    <row r="876" spans="2:9" ht="13.5" thickBot="1" x14ac:dyDescent="0.25">
      <c r="B876" s="185" t="s">
        <v>139</v>
      </c>
      <c r="C876" s="187"/>
      <c r="D876" s="69" t="s">
        <v>11</v>
      </c>
      <c r="E876" s="69" t="s">
        <v>140</v>
      </c>
      <c r="F876" s="125"/>
      <c r="G876" s="125"/>
      <c r="H876" s="125"/>
      <c r="I876" s="125"/>
    </row>
    <row r="877" spans="2:9" s="130" customFormat="1" x14ac:dyDescent="0.2">
      <c r="B877" s="247" t="s">
        <v>317</v>
      </c>
      <c r="C877" s="247"/>
      <c r="D877" s="137" t="s">
        <v>286</v>
      </c>
      <c r="E877" s="138" t="s">
        <v>316</v>
      </c>
      <c r="F877" s="139">
        <v>20</v>
      </c>
      <c r="G877" s="139">
        <f>F877*2</f>
        <v>40</v>
      </c>
      <c r="H877" s="139">
        <f>G877*$H$48</f>
        <v>120</v>
      </c>
      <c r="I877" s="139"/>
    </row>
    <row r="878" spans="2:9" s="130" customFormat="1" x14ac:dyDescent="0.2">
      <c r="B878" s="246" t="s">
        <v>318</v>
      </c>
      <c r="C878" s="246"/>
      <c r="D878" s="140" t="s">
        <v>286</v>
      </c>
      <c r="E878" s="141" t="s">
        <v>247</v>
      </c>
      <c r="F878" s="139"/>
      <c r="G878" s="139"/>
      <c r="H878" s="139"/>
      <c r="I878" s="139"/>
    </row>
    <row r="879" spans="2:9" s="130" customFormat="1" x14ac:dyDescent="0.2">
      <c r="B879" s="246" t="s">
        <v>320</v>
      </c>
      <c r="C879" s="246"/>
      <c r="D879" s="140" t="s">
        <v>286</v>
      </c>
      <c r="E879" s="141" t="s">
        <v>248</v>
      </c>
      <c r="F879" s="139"/>
      <c r="G879" s="139"/>
      <c r="H879" s="139"/>
      <c r="I879" s="139"/>
    </row>
    <row r="880" spans="2:9" s="130" customFormat="1" x14ac:dyDescent="0.2">
      <c r="B880" s="246" t="s">
        <v>319</v>
      </c>
      <c r="C880" s="246"/>
      <c r="D880" s="140" t="s">
        <v>286</v>
      </c>
      <c r="E880" s="141" t="s">
        <v>249</v>
      </c>
      <c r="F880" s="139"/>
      <c r="G880" s="139"/>
      <c r="H880" s="139"/>
      <c r="I880" s="139"/>
    </row>
    <row r="881" spans="2:9" s="130" customFormat="1" x14ac:dyDescent="0.2">
      <c r="B881" s="246" t="s">
        <v>314</v>
      </c>
      <c r="C881" s="246"/>
      <c r="D881" s="140" t="s">
        <v>286</v>
      </c>
      <c r="E881" s="141" t="s">
        <v>315</v>
      </c>
      <c r="F881" s="139"/>
      <c r="G881" s="139"/>
      <c r="H881" s="139"/>
      <c r="I881" s="139"/>
    </row>
    <row r="882" spans="2:9" s="130" customFormat="1" x14ac:dyDescent="0.2">
      <c r="B882" s="246" t="s">
        <v>250</v>
      </c>
      <c r="C882" s="246"/>
      <c r="D882" s="140" t="s">
        <v>286</v>
      </c>
      <c r="E882" s="141" t="s">
        <v>251</v>
      </c>
      <c r="F882" s="139"/>
      <c r="G882" s="139"/>
      <c r="H882" s="139"/>
      <c r="I882" s="139"/>
    </row>
    <row r="883" spans="2:9" s="130" customFormat="1" x14ac:dyDescent="0.2">
      <c r="B883" s="246" t="s">
        <v>252</v>
      </c>
      <c r="C883" s="246"/>
      <c r="D883" s="140" t="s">
        <v>286</v>
      </c>
      <c r="E883" s="141" t="s">
        <v>253</v>
      </c>
      <c r="F883" s="139"/>
      <c r="G883" s="139"/>
      <c r="H883" s="139"/>
      <c r="I883" s="139"/>
    </row>
    <row r="884" spans="2:9" s="130" customFormat="1" x14ac:dyDescent="0.2">
      <c r="B884" s="246" t="s">
        <v>254</v>
      </c>
      <c r="C884" s="246"/>
      <c r="D884" s="140" t="s">
        <v>286</v>
      </c>
      <c r="E884" s="141" t="s">
        <v>255</v>
      </c>
      <c r="F884" s="139"/>
      <c r="G884" s="139"/>
      <c r="H884" s="139"/>
      <c r="I884" s="139"/>
    </row>
    <row r="885" spans="2:9" s="130" customFormat="1" x14ac:dyDescent="0.2">
      <c r="B885" s="246" t="s">
        <v>256</v>
      </c>
      <c r="C885" s="246"/>
      <c r="D885" s="140" t="s">
        <v>286</v>
      </c>
      <c r="E885" s="141" t="s">
        <v>257</v>
      </c>
      <c r="F885" s="139"/>
      <c r="G885" s="139"/>
      <c r="H885" s="139"/>
      <c r="I885" s="139"/>
    </row>
    <row r="886" spans="2:9" s="130" customFormat="1" x14ac:dyDescent="0.2">
      <c r="B886" s="246" t="s">
        <v>321</v>
      </c>
      <c r="C886" s="246"/>
      <c r="D886" s="140" t="s">
        <v>286</v>
      </c>
      <c r="E886" s="141" t="s">
        <v>258</v>
      </c>
      <c r="F886" s="139"/>
      <c r="G886" s="139"/>
      <c r="H886" s="139"/>
      <c r="I886" s="139"/>
    </row>
    <row r="887" spans="2:9" s="130" customFormat="1" x14ac:dyDescent="0.2">
      <c r="B887" s="246" t="s">
        <v>259</v>
      </c>
      <c r="C887" s="246"/>
      <c r="D887" s="140" t="s">
        <v>286</v>
      </c>
      <c r="E887" s="141" t="s">
        <v>260</v>
      </c>
      <c r="F887" s="139"/>
      <c r="G887" s="139"/>
      <c r="H887" s="139"/>
      <c r="I887" s="139"/>
    </row>
    <row r="888" spans="2:9" s="130" customFormat="1" x14ac:dyDescent="0.2">
      <c r="B888" s="246" t="s">
        <v>261</v>
      </c>
      <c r="C888" s="246"/>
      <c r="D888" s="140" t="s">
        <v>286</v>
      </c>
      <c r="E888" s="141" t="s">
        <v>262</v>
      </c>
      <c r="F888" s="139"/>
      <c r="G888" s="139"/>
      <c r="H888" s="139"/>
      <c r="I888" s="139"/>
    </row>
    <row r="889" spans="2:9" s="130" customFormat="1" x14ac:dyDescent="0.2">
      <c r="B889" s="246" t="s">
        <v>322</v>
      </c>
      <c r="C889" s="246"/>
      <c r="D889" s="140" t="s">
        <v>286</v>
      </c>
      <c r="E889" s="141" t="s">
        <v>263</v>
      </c>
      <c r="F889" s="139"/>
      <c r="G889" s="139"/>
      <c r="H889" s="139"/>
      <c r="I889" s="139"/>
    </row>
    <row r="890" spans="2:9" s="130" customFormat="1" x14ac:dyDescent="0.2">
      <c r="B890" s="246" t="s">
        <v>264</v>
      </c>
      <c r="C890" s="246"/>
      <c r="D890" s="140" t="s">
        <v>286</v>
      </c>
      <c r="E890" s="141" t="s">
        <v>265</v>
      </c>
      <c r="F890" s="139"/>
      <c r="G890" s="139"/>
      <c r="H890" s="139"/>
      <c r="I890" s="139"/>
    </row>
    <row r="891" spans="2:9" s="130" customFormat="1" x14ac:dyDescent="0.2">
      <c r="B891" s="246" t="s">
        <v>266</v>
      </c>
      <c r="C891" s="246"/>
      <c r="D891" s="140" t="s">
        <v>286</v>
      </c>
      <c r="E891" s="141" t="s">
        <v>267</v>
      </c>
      <c r="F891" s="139"/>
      <c r="G891" s="139"/>
      <c r="H891" s="139"/>
      <c r="I891" s="139"/>
    </row>
    <row r="892" spans="2:9" s="130" customFormat="1" x14ac:dyDescent="0.2">
      <c r="B892" s="246" t="s">
        <v>268</v>
      </c>
      <c r="C892" s="246"/>
      <c r="D892" s="140" t="s">
        <v>286</v>
      </c>
      <c r="E892" s="141" t="s">
        <v>269</v>
      </c>
      <c r="F892" s="139"/>
      <c r="G892" s="139"/>
      <c r="H892" s="139"/>
      <c r="I892" s="139"/>
    </row>
    <row r="893" spans="2:9" s="130" customFormat="1" x14ac:dyDescent="0.2">
      <c r="B893" s="246" t="s">
        <v>270</v>
      </c>
      <c r="C893" s="246"/>
      <c r="D893" s="140" t="s">
        <v>286</v>
      </c>
      <c r="E893" s="141" t="s">
        <v>271</v>
      </c>
      <c r="F893" s="139"/>
      <c r="G893" s="139"/>
      <c r="H893" s="139"/>
      <c r="I893" s="139"/>
    </row>
    <row r="894" spans="2:9" s="130" customFormat="1" x14ac:dyDescent="0.2">
      <c r="B894" s="246" t="s">
        <v>272</v>
      </c>
      <c r="C894" s="246"/>
      <c r="D894" s="140" t="s">
        <v>286</v>
      </c>
      <c r="E894" s="141" t="s">
        <v>273</v>
      </c>
      <c r="F894" s="139"/>
      <c r="G894" s="139"/>
      <c r="H894" s="139"/>
      <c r="I894" s="139"/>
    </row>
    <row r="895" spans="2:9" s="130" customFormat="1" x14ac:dyDescent="0.2">
      <c r="B895" s="246" t="s">
        <v>274</v>
      </c>
      <c r="C895" s="246"/>
      <c r="D895" s="140" t="s">
        <v>286</v>
      </c>
      <c r="E895" s="141" t="s">
        <v>275</v>
      </c>
      <c r="F895" s="139"/>
      <c r="G895" s="139"/>
      <c r="H895" s="139"/>
      <c r="I895" s="139"/>
    </row>
    <row r="896" spans="2:9" s="130" customFormat="1" ht="13.5" thickBot="1" x14ac:dyDescent="0.25">
      <c r="B896" s="246" t="s">
        <v>323</v>
      </c>
      <c r="C896" s="246"/>
      <c r="D896" s="140" t="s">
        <v>286</v>
      </c>
      <c r="E896" s="141" t="s">
        <v>324</v>
      </c>
      <c r="F896" s="139"/>
      <c r="G896" s="139"/>
      <c r="H896" s="139"/>
      <c r="I896" s="139"/>
    </row>
    <row r="897" spans="2:9" ht="25.5" customHeight="1" thickBot="1" x14ac:dyDescent="0.25">
      <c r="B897" s="243" t="s">
        <v>291</v>
      </c>
      <c r="C897" s="244"/>
      <c r="D897" s="244"/>
      <c r="E897" s="245"/>
      <c r="F897" s="125"/>
      <c r="G897" s="125"/>
      <c r="H897" s="125"/>
      <c r="I897" s="125"/>
    </row>
    <row r="898" spans="2:9" x14ac:dyDescent="0.2">
      <c r="B898" s="33" t="s">
        <v>18</v>
      </c>
      <c r="C898" s="31"/>
      <c r="D898" s="72"/>
      <c r="E898" s="32"/>
      <c r="F898" s="125"/>
      <c r="G898" s="125"/>
      <c r="H898" s="125"/>
      <c r="I898" s="125"/>
    </row>
    <row r="899" spans="2:9" x14ac:dyDescent="0.2">
      <c r="B899" s="34"/>
      <c r="C899" s="199" t="s">
        <v>64</v>
      </c>
      <c r="D899" s="199"/>
      <c r="E899" s="199"/>
      <c r="F899" s="125"/>
      <c r="G899" s="125"/>
      <c r="H899" s="125"/>
      <c r="I899" s="125"/>
    </row>
    <row r="900" spans="2:9" x14ac:dyDescent="0.2">
      <c r="B900" s="33" t="s">
        <v>19</v>
      </c>
      <c r="C900" s="35"/>
      <c r="D900" s="35"/>
      <c r="E900" s="36"/>
      <c r="F900" s="125"/>
      <c r="G900" s="125"/>
      <c r="H900" s="125"/>
      <c r="I900" s="125"/>
    </row>
    <row r="901" spans="2:9" x14ac:dyDescent="0.2">
      <c r="B901" s="34"/>
      <c r="C901" s="199" t="s">
        <v>141</v>
      </c>
      <c r="D901" s="199"/>
      <c r="E901" s="199"/>
      <c r="F901" s="125"/>
      <c r="G901" s="125"/>
      <c r="H901" s="125"/>
      <c r="I901" s="125"/>
    </row>
    <row r="902" spans="2:9" x14ac:dyDescent="0.2">
      <c r="B902" s="33" t="s">
        <v>20</v>
      </c>
      <c r="C902" s="31"/>
      <c r="D902" s="72"/>
      <c r="E902" s="32"/>
      <c r="F902" s="125"/>
      <c r="G902" s="125"/>
      <c r="H902" s="125"/>
      <c r="I902" s="125"/>
    </row>
    <row r="903" spans="2:9" x14ac:dyDescent="0.2">
      <c r="B903" s="33"/>
      <c r="C903" s="198" t="s">
        <v>65</v>
      </c>
      <c r="D903" s="198"/>
      <c r="E903" s="198"/>
      <c r="F903" s="125"/>
      <c r="G903" s="125"/>
      <c r="H903" s="125"/>
      <c r="I903" s="125"/>
    </row>
    <row r="904" spans="2:9" ht="13.5" thickBot="1" x14ac:dyDescent="0.25">
      <c r="B904" s="37"/>
      <c r="C904" s="38"/>
      <c r="D904" s="73"/>
      <c r="E904" s="39"/>
      <c r="F904" s="125"/>
      <c r="G904" s="125"/>
      <c r="H904" s="125"/>
      <c r="I904" s="125"/>
    </row>
    <row r="905" spans="2:9" ht="13.5" thickBot="1" x14ac:dyDescent="0.25">
      <c r="F905" s="125"/>
      <c r="G905" s="125"/>
      <c r="H905" s="125"/>
      <c r="I905" s="125"/>
    </row>
    <row r="906" spans="2:9" x14ac:dyDescent="0.2">
      <c r="B906" s="27" t="s">
        <v>163</v>
      </c>
      <c r="C906" s="28"/>
      <c r="D906" s="71"/>
      <c r="E906" s="29"/>
      <c r="F906" s="125"/>
      <c r="G906" s="125"/>
      <c r="H906" s="125"/>
      <c r="I906" s="125"/>
    </row>
    <row r="907" spans="2:9" x14ac:dyDescent="0.2">
      <c r="B907" s="30"/>
      <c r="C907" s="31"/>
      <c r="D907" s="72"/>
      <c r="E907" s="32"/>
      <c r="F907" s="125"/>
      <c r="G907" s="125"/>
      <c r="H907" s="125"/>
      <c r="I907" s="125"/>
    </row>
    <row r="908" spans="2:9" x14ac:dyDescent="0.2">
      <c r="B908" s="33" t="s">
        <v>16</v>
      </c>
      <c r="C908" s="31"/>
      <c r="D908" s="72"/>
      <c r="E908" s="32"/>
      <c r="F908" s="125"/>
      <c r="G908" s="125"/>
      <c r="H908" s="125"/>
      <c r="I908" s="125"/>
    </row>
    <row r="909" spans="2:9" x14ac:dyDescent="0.2">
      <c r="B909" s="33"/>
      <c r="C909" s="189"/>
      <c r="D909" s="189"/>
      <c r="E909" s="190"/>
      <c r="F909" s="125"/>
      <c r="G909" s="125"/>
      <c r="H909" s="125"/>
      <c r="I909" s="125"/>
    </row>
    <row r="910" spans="2:9" ht="13.5" thickBot="1" x14ac:dyDescent="0.25">
      <c r="B910" s="33" t="s">
        <v>17</v>
      </c>
      <c r="C910" s="31"/>
      <c r="D910" s="72"/>
      <c r="E910" s="32"/>
      <c r="F910" s="125"/>
      <c r="G910" s="125"/>
      <c r="H910" s="125"/>
      <c r="I910" s="125"/>
    </row>
    <row r="911" spans="2:9" ht="13.5" thickBot="1" x14ac:dyDescent="0.25">
      <c r="B911" s="185" t="s">
        <v>138</v>
      </c>
      <c r="C911" s="186"/>
      <c r="D911" s="186"/>
      <c r="E911" s="187"/>
      <c r="F911" s="125"/>
      <c r="G911" s="125"/>
      <c r="H911" s="125"/>
      <c r="I911" s="125"/>
    </row>
    <row r="912" spans="2:9" ht="13.5" thickBot="1" x14ac:dyDescent="0.25">
      <c r="B912" s="185" t="s">
        <v>139</v>
      </c>
      <c r="C912" s="187"/>
      <c r="D912" s="69" t="s">
        <v>11</v>
      </c>
      <c r="E912" s="69" t="s">
        <v>140</v>
      </c>
      <c r="F912" s="125"/>
      <c r="G912" s="125"/>
      <c r="H912" s="125"/>
      <c r="I912" s="125"/>
    </row>
    <row r="913" spans="2:9" s="130" customFormat="1" x14ac:dyDescent="0.2">
      <c r="B913" s="247" t="s">
        <v>317</v>
      </c>
      <c r="C913" s="247"/>
      <c r="D913" s="137">
        <v>2</v>
      </c>
      <c r="E913" s="138" t="s">
        <v>316</v>
      </c>
      <c r="F913" s="139">
        <f>SUM(D913:D932)</f>
        <v>60</v>
      </c>
      <c r="G913" s="139">
        <f>F913*$G$48</f>
        <v>240</v>
      </c>
      <c r="H913" s="139">
        <f>G913*$H$48</f>
        <v>720</v>
      </c>
      <c r="I913" s="139"/>
    </row>
    <row r="914" spans="2:9" s="130" customFormat="1" x14ac:dyDescent="0.2">
      <c r="B914" s="246" t="s">
        <v>318</v>
      </c>
      <c r="C914" s="246"/>
      <c r="D914" s="140">
        <v>4</v>
      </c>
      <c r="E914" s="141" t="s">
        <v>247</v>
      </c>
      <c r="F914" s="139"/>
      <c r="G914" s="139"/>
      <c r="H914" s="139"/>
      <c r="I914" s="139"/>
    </row>
    <row r="915" spans="2:9" s="130" customFormat="1" x14ac:dyDescent="0.2">
      <c r="B915" s="246" t="s">
        <v>320</v>
      </c>
      <c r="C915" s="246"/>
      <c r="D915" s="140">
        <v>4</v>
      </c>
      <c r="E915" s="141" t="s">
        <v>248</v>
      </c>
      <c r="F915" s="139"/>
      <c r="G915" s="139"/>
      <c r="H915" s="139"/>
      <c r="I915" s="139"/>
    </row>
    <row r="916" spans="2:9" s="130" customFormat="1" x14ac:dyDescent="0.2">
      <c r="B916" s="246" t="s">
        <v>319</v>
      </c>
      <c r="C916" s="246"/>
      <c r="D916" s="140">
        <v>4</v>
      </c>
      <c r="E916" s="141" t="s">
        <v>249</v>
      </c>
      <c r="F916" s="139"/>
      <c r="G916" s="139"/>
      <c r="H916" s="139"/>
      <c r="I916" s="139"/>
    </row>
    <row r="917" spans="2:9" s="130" customFormat="1" x14ac:dyDescent="0.2">
      <c r="B917" s="246" t="s">
        <v>314</v>
      </c>
      <c r="C917" s="246"/>
      <c r="D917" s="140">
        <v>4</v>
      </c>
      <c r="E917" s="141" t="s">
        <v>315</v>
      </c>
      <c r="F917" s="139"/>
      <c r="G917" s="139"/>
      <c r="H917" s="139"/>
      <c r="I917" s="139"/>
    </row>
    <row r="918" spans="2:9" s="130" customFormat="1" x14ac:dyDescent="0.2">
      <c r="B918" s="246" t="s">
        <v>250</v>
      </c>
      <c r="C918" s="246"/>
      <c r="D918" s="140">
        <v>1</v>
      </c>
      <c r="E918" s="141" t="s">
        <v>251</v>
      </c>
      <c r="F918" s="139"/>
      <c r="G918" s="139"/>
      <c r="H918" s="139"/>
      <c r="I918" s="139"/>
    </row>
    <row r="919" spans="2:9" s="130" customFormat="1" x14ac:dyDescent="0.2">
      <c r="B919" s="246" t="s">
        <v>252</v>
      </c>
      <c r="C919" s="246"/>
      <c r="D919" s="140">
        <v>2</v>
      </c>
      <c r="E919" s="141" t="s">
        <v>253</v>
      </c>
      <c r="F919" s="139"/>
      <c r="G919" s="139"/>
      <c r="H919" s="139"/>
      <c r="I919" s="139"/>
    </row>
    <row r="920" spans="2:9" s="130" customFormat="1" x14ac:dyDescent="0.2">
      <c r="B920" s="246" t="s">
        <v>254</v>
      </c>
      <c r="C920" s="246"/>
      <c r="D920" s="140">
        <v>2</v>
      </c>
      <c r="E920" s="141" t="s">
        <v>255</v>
      </c>
      <c r="F920" s="139"/>
      <c r="G920" s="139"/>
      <c r="H920" s="139"/>
      <c r="I920" s="139"/>
    </row>
    <row r="921" spans="2:9" s="130" customFormat="1" x14ac:dyDescent="0.2">
      <c r="B921" s="246" t="s">
        <v>256</v>
      </c>
      <c r="C921" s="246"/>
      <c r="D921" s="140">
        <v>4</v>
      </c>
      <c r="E921" s="141" t="s">
        <v>257</v>
      </c>
      <c r="F921" s="139"/>
      <c r="G921" s="139"/>
      <c r="H921" s="139"/>
      <c r="I921" s="139"/>
    </row>
    <row r="922" spans="2:9" s="130" customFormat="1" x14ac:dyDescent="0.2">
      <c r="B922" s="246" t="s">
        <v>321</v>
      </c>
      <c r="C922" s="246"/>
      <c r="D922" s="140">
        <v>3</v>
      </c>
      <c r="E922" s="141" t="s">
        <v>258</v>
      </c>
      <c r="F922" s="139"/>
      <c r="G922" s="139"/>
      <c r="H922" s="139"/>
      <c r="I922" s="139"/>
    </row>
    <row r="923" spans="2:9" s="130" customFormat="1" x14ac:dyDescent="0.2">
      <c r="B923" s="246" t="s">
        <v>259</v>
      </c>
      <c r="C923" s="246"/>
      <c r="D923" s="140">
        <v>2</v>
      </c>
      <c r="E923" s="141" t="s">
        <v>260</v>
      </c>
      <c r="F923" s="139"/>
      <c r="G923" s="139"/>
      <c r="H923" s="139"/>
      <c r="I923" s="139"/>
    </row>
    <row r="924" spans="2:9" s="130" customFormat="1" x14ac:dyDescent="0.2">
      <c r="B924" s="246" t="s">
        <v>261</v>
      </c>
      <c r="C924" s="246"/>
      <c r="D924" s="140">
        <v>4</v>
      </c>
      <c r="E924" s="141" t="s">
        <v>262</v>
      </c>
      <c r="F924" s="139"/>
      <c r="G924" s="139"/>
      <c r="H924" s="139"/>
      <c r="I924" s="139"/>
    </row>
    <row r="925" spans="2:9" s="130" customFormat="1" x14ac:dyDescent="0.2">
      <c r="B925" s="246" t="s">
        <v>322</v>
      </c>
      <c r="C925" s="246"/>
      <c r="D925" s="140">
        <v>4</v>
      </c>
      <c r="E925" s="141" t="s">
        <v>263</v>
      </c>
      <c r="F925" s="139"/>
      <c r="G925" s="139"/>
      <c r="H925" s="139"/>
      <c r="I925" s="139"/>
    </row>
    <row r="926" spans="2:9" s="130" customFormat="1" x14ac:dyDescent="0.2">
      <c r="B926" s="246" t="s">
        <v>264</v>
      </c>
      <c r="C926" s="246"/>
      <c r="D926" s="140">
        <v>2</v>
      </c>
      <c r="E926" s="141" t="s">
        <v>265</v>
      </c>
      <c r="F926" s="139"/>
      <c r="G926" s="139"/>
      <c r="H926" s="139"/>
      <c r="I926" s="139"/>
    </row>
    <row r="927" spans="2:9" s="130" customFormat="1" x14ac:dyDescent="0.2">
      <c r="B927" s="246" t="s">
        <v>266</v>
      </c>
      <c r="C927" s="246"/>
      <c r="D927" s="140">
        <v>3</v>
      </c>
      <c r="E927" s="141" t="s">
        <v>267</v>
      </c>
      <c r="F927" s="139"/>
      <c r="G927" s="139"/>
      <c r="H927" s="139"/>
      <c r="I927" s="139"/>
    </row>
    <row r="928" spans="2:9" s="130" customFormat="1" x14ac:dyDescent="0.2">
      <c r="B928" s="246" t="s">
        <v>268</v>
      </c>
      <c r="C928" s="246"/>
      <c r="D928" s="140">
        <v>3</v>
      </c>
      <c r="E928" s="141" t="s">
        <v>269</v>
      </c>
      <c r="F928" s="139"/>
      <c r="G928" s="139"/>
      <c r="H928" s="139"/>
      <c r="I928" s="139"/>
    </row>
    <row r="929" spans="2:9" s="130" customFormat="1" x14ac:dyDescent="0.2">
      <c r="B929" s="246" t="s">
        <v>270</v>
      </c>
      <c r="C929" s="246"/>
      <c r="D929" s="140">
        <v>2</v>
      </c>
      <c r="E929" s="141" t="s">
        <v>271</v>
      </c>
      <c r="F929" s="139"/>
      <c r="G929" s="139"/>
      <c r="H929" s="139"/>
      <c r="I929" s="139"/>
    </row>
    <row r="930" spans="2:9" s="130" customFormat="1" x14ac:dyDescent="0.2">
      <c r="B930" s="246" t="s">
        <v>272</v>
      </c>
      <c r="C930" s="246"/>
      <c r="D930" s="140">
        <v>3</v>
      </c>
      <c r="E930" s="141" t="s">
        <v>273</v>
      </c>
      <c r="F930" s="139"/>
      <c r="G930" s="139"/>
      <c r="H930" s="139"/>
      <c r="I930" s="139"/>
    </row>
    <row r="931" spans="2:9" s="130" customFormat="1" x14ac:dyDescent="0.2">
      <c r="B931" s="246" t="s">
        <v>274</v>
      </c>
      <c r="C931" s="246"/>
      <c r="D931" s="140">
        <v>3</v>
      </c>
      <c r="E931" s="141" t="s">
        <v>275</v>
      </c>
      <c r="F931" s="139"/>
      <c r="G931" s="139"/>
      <c r="H931" s="139"/>
      <c r="I931" s="139"/>
    </row>
    <row r="932" spans="2:9" s="130" customFormat="1" ht="13.5" thickBot="1" x14ac:dyDescent="0.25">
      <c r="B932" s="246" t="s">
        <v>323</v>
      </c>
      <c r="C932" s="246"/>
      <c r="D932" s="140">
        <v>4</v>
      </c>
      <c r="E932" s="141" t="s">
        <v>324</v>
      </c>
      <c r="F932" s="139"/>
      <c r="G932" s="139"/>
      <c r="H932" s="139"/>
      <c r="I932" s="139"/>
    </row>
    <row r="933" spans="2:9" ht="25.5" customHeight="1" thickBot="1" x14ac:dyDescent="0.25">
      <c r="B933" s="243" t="s">
        <v>345</v>
      </c>
      <c r="C933" s="244"/>
      <c r="D933" s="244"/>
      <c r="E933" s="245"/>
      <c r="F933" s="125"/>
      <c r="G933" s="125"/>
      <c r="H933" s="125"/>
      <c r="I933" s="125"/>
    </row>
    <row r="934" spans="2:9" x14ac:dyDescent="0.2">
      <c r="B934" s="33" t="s">
        <v>18</v>
      </c>
      <c r="C934" s="31"/>
      <c r="D934" s="72"/>
      <c r="E934" s="32"/>
      <c r="F934" s="125"/>
      <c r="G934" s="125"/>
      <c r="H934" s="125"/>
      <c r="I934" s="125"/>
    </row>
    <row r="935" spans="2:9" x14ac:dyDescent="0.2">
      <c r="B935" s="34"/>
      <c r="C935" s="199" t="s">
        <v>64</v>
      </c>
      <c r="D935" s="199"/>
      <c r="E935" s="199"/>
      <c r="F935" s="125"/>
      <c r="G935" s="125"/>
      <c r="H935" s="125"/>
      <c r="I935" s="125"/>
    </row>
    <row r="936" spans="2:9" x14ac:dyDescent="0.2">
      <c r="B936" s="33" t="s">
        <v>19</v>
      </c>
      <c r="C936" s="35"/>
      <c r="D936" s="35"/>
      <c r="E936" s="36"/>
      <c r="F936" s="125"/>
      <c r="G936" s="125"/>
      <c r="H936" s="125"/>
      <c r="I936" s="125"/>
    </row>
    <row r="937" spans="2:9" x14ac:dyDescent="0.2">
      <c r="B937" s="34"/>
      <c r="C937" s="199" t="s">
        <v>141</v>
      </c>
      <c r="D937" s="199"/>
      <c r="E937" s="199"/>
      <c r="F937" s="125"/>
      <c r="G937" s="125"/>
      <c r="H937" s="125"/>
      <c r="I937" s="125"/>
    </row>
    <row r="938" spans="2:9" x14ac:dyDescent="0.2">
      <c r="B938" s="33" t="s">
        <v>20</v>
      </c>
      <c r="C938" s="31"/>
      <c r="D938" s="72"/>
      <c r="E938" s="32"/>
      <c r="F938" s="125"/>
      <c r="G938" s="125"/>
      <c r="H938" s="125"/>
      <c r="I938" s="125"/>
    </row>
    <row r="939" spans="2:9" x14ac:dyDescent="0.2">
      <c r="B939" s="33"/>
      <c r="C939" s="198" t="s">
        <v>65</v>
      </c>
      <c r="D939" s="198"/>
      <c r="E939" s="198"/>
      <c r="F939" s="125"/>
      <c r="G939" s="125"/>
      <c r="H939" s="125"/>
      <c r="I939" s="125"/>
    </row>
    <row r="940" spans="2:9" ht="13.5" thickBot="1" x14ac:dyDescent="0.25">
      <c r="B940" s="37"/>
      <c r="C940" s="38"/>
      <c r="D940" s="73"/>
      <c r="E940" s="39"/>
      <c r="F940" s="125"/>
      <c r="G940" s="125"/>
      <c r="H940" s="125"/>
      <c r="I940" s="125"/>
    </row>
    <row r="941" spans="2:9" ht="13.5" thickBot="1" x14ac:dyDescent="0.25">
      <c r="F941" s="125"/>
      <c r="G941" s="125"/>
      <c r="H941" s="125"/>
      <c r="I941" s="125"/>
    </row>
    <row r="942" spans="2:9" x14ac:dyDescent="0.2">
      <c r="B942" s="27" t="s">
        <v>164</v>
      </c>
      <c r="C942" s="28"/>
      <c r="D942" s="71"/>
      <c r="E942" s="29"/>
      <c r="F942" s="125"/>
      <c r="G942" s="125"/>
      <c r="H942" s="125"/>
      <c r="I942" s="125"/>
    </row>
    <row r="943" spans="2:9" x14ac:dyDescent="0.2">
      <c r="B943" s="30"/>
      <c r="C943" s="31"/>
      <c r="D943" s="72"/>
      <c r="E943" s="32"/>
      <c r="F943" s="125"/>
      <c r="G943" s="125"/>
      <c r="H943" s="125"/>
      <c r="I943" s="125"/>
    </row>
    <row r="944" spans="2:9" x14ac:dyDescent="0.2">
      <c r="B944" s="33" t="s">
        <v>16</v>
      </c>
      <c r="C944" s="31"/>
      <c r="D944" s="72"/>
      <c r="E944" s="32"/>
      <c r="F944" s="125"/>
      <c r="G944" s="125"/>
      <c r="H944" s="125"/>
      <c r="I944" s="125"/>
    </row>
    <row r="945" spans="2:9" x14ac:dyDescent="0.2">
      <c r="B945" s="33"/>
      <c r="C945" s="199"/>
      <c r="D945" s="199"/>
      <c r="E945" s="199"/>
      <c r="F945" s="125"/>
      <c r="G945" s="125"/>
      <c r="H945" s="125"/>
      <c r="I945" s="125"/>
    </row>
    <row r="946" spans="2:9" ht="13.5" thickBot="1" x14ac:dyDescent="0.25">
      <c r="B946" s="33" t="s">
        <v>17</v>
      </c>
      <c r="C946" s="31"/>
      <c r="D946" s="72"/>
      <c r="E946" s="32"/>
      <c r="F946" s="125"/>
      <c r="G946" s="125"/>
      <c r="H946" s="125"/>
      <c r="I946" s="125"/>
    </row>
    <row r="947" spans="2:9" ht="13.5" thickBot="1" x14ac:dyDescent="0.25">
      <c r="B947" s="185" t="s">
        <v>138</v>
      </c>
      <c r="C947" s="186"/>
      <c r="D947" s="186"/>
      <c r="E947" s="187"/>
      <c r="F947" s="125"/>
      <c r="G947" s="125"/>
      <c r="H947" s="125"/>
      <c r="I947" s="125"/>
    </row>
    <row r="948" spans="2:9" ht="13.5" thickBot="1" x14ac:dyDescent="0.25">
      <c r="B948" s="185" t="s">
        <v>139</v>
      </c>
      <c r="C948" s="187"/>
      <c r="D948" s="69" t="s">
        <v>11</v>
      </c>
      <c r="E948" s="69" t="s">
        <v>140</v>
      </c>
      <c r="F948" s="125"/>
      <c r="G948" s="125"/>
      <c r="H948" s="125"/>
      <c r="I948" s="125"/>
    </row>
    <row r="949" spans="2:9" s="130" customFormat="1" x14ac:dyDescent="0.2">
      <c r="B949" s="247" t="s">
        <v>317</v>
      </c>
      <c r="C949" s="247"/>
      <c r="D949" s="137">
        <v>1</v>
      </c>
      <c r="E949" s="138" t="s">
        <v>316</v>
      </c>
      <c r="F949" s="139">
        <f>SUM(D949:D968)</f>
        <v>29</v>
      </c>
      <c r="G949" s="139">
        <f>F949*$G$48</f>
        <v>116</v>
      </c>
      <c r="H949" s="139">
        <f>G949*$H$48</f>
        <v>348</v>
      </c>
      <c r="I949" s="139"/>
    </row>
    <row r="950" spans="2:9" s="130" customFormat="1" x14ac:dyDescent="0.2">
      <c r="B950" s="246" t="s">
        <v>318</v>
      </c>
      <c r="C950" s="246"/>
      <c r="D950" s="140">
        <v>2</v>
      </c>
      <c r="E950" s="141" t="s">
        <v>247</v>
      </c>
      <c r="F950" s="139"/>
      <c r="G950" s="139"/>
      <c r="H950" s="139"/>
      <c r="I950" s="139"/>
    </row>
    <row r="951" spans="2:9" s="130" customFormat="1" x14ac:dyDescent="0.2">
      <c r="B951" s="246" t="s">
        <v>320</v>
      </c>
      <c r="C951" s="246"/>
      <c r="D951" s="140">
        <v>2</v>
      </c>
      <c r="E951" s="141" t="s">
        <v>248</v>
      </c>
      <c r="F951" s="139"/>
      <c r="G951" s="139"/>
      <c r="H951" s="139"/>
      <c r="I951" s="139"/>
    </row>
    <row r="952" spans="2:9" s="130" customFormat="1" x14ac:dyDescent="0.2">
      <c r="B952" s="246" t="s">
        <v>319</v>
      </c>
      <c r="C952" s="246"/>
      <c r="D952" s="140">
        <v>2</v>
      </c>
      <c r="E952" s="141" t="s">
        <v>249</v>
      </c>
      <c r="F952" s="139"/>
      <c r="G952" s="139"/>
      <c r="H952" s="139"/>
      <c r="I952" s="139"/>
    </row>
    <row r="953" spans="2:9" s="130" customFormat="1" x14ac:dyDescent="0.2">
      <c r="B953" s="246" t="s">
        <v>314</v>
      </c>
      <c r="C953" s="246"/>
      <c r="D953" s="140">
        <v>2</v>
      </c>
      <c r="E953" s="141" t="s">
        <v>315</v>
      </c>
      <c r="F953" s="139"/>
      <c r="G953" s="139"/>
      <c r="H953" s="139"/>
      <c r="I953" s="139"/>
    </row>
    <row r="954" spans="2:9" s="130" customFormat="1" x14ac:dyDescent="0.2">
      <c r="B954" s="246" t="s">
        <v>250</v>
      </c>
      <c r="C954" s="246"/>
      <c r="D954" s="140">
        <v>1</v>
      </c>
      <c r="E954" s="141" t="s">
        <v>251</v>
      </c>
      <c r="F954" s="139"/>
      <c r="G954" s="139"/>
      <c r="H954" s="139"/>
      <c r="I954" s="139"/>
    </row>
    <row r="955" spans="2:9" s="130" customFormat="1" x14ac:dyDescent="0.2">
      <c r="B955" s="246" t="s">
        <v>252</v>
      </c>
      <c r="C955" s="246"/>
      <c r="D955" s="140">
        <v>1</v>
      </c>
      <c r="E955" s="141" t="s">
        <v>253</v>
      </c>
      <c r="F955" s="139"/>
      <c r="G955" s="139"/>
      <c r="H955" s="139"/>
      <c r="I955" s="139"/>
    </row>
    <row r="956" spans="2:9" s="130" customFormat="1" x14ac:dyDescent="0.2">
      <c r="B956" s="246" t="s">
        <v>254</v>
      </c>
      <c r="C956" s="246"/>
      <c r="D956" s="140">
        <v>1</v>
      </c>
      <c r="E956" s="141" t="s">
        <v>255</v>
      </c>
      <c r="F956" s="139"/>
      <c r="G956" s="139"/>
      <c r="H956" s="139"/>
      <c r="I956" s="139"/>
    </row>
    <row r="957" spans="2:9" s="130" customFormat="1" x14ac:dyDescent="0.2">
      <c r="B957" s="246" t="s">
        <v>256</v>
      </c>
      <c r="C957" s="246"/>
      <c r="D957" s="140">
        <v>2</v>
      </c>
      <c r="E957" s="141" t="s">
        <v>257</v>
      </c>
      <c r="F957" s="139"/>
      <c r="G957" s="139"/>
      <c r="H957" s="139"/>
      <c r="I957" s="139"/>
    </row>
    <row r="958" spans="2:9" s="130" customFormat="1" x14ac:dyDescent="0.2">
      <c r="B958" s="246" t="s">
        <v>321</v>
      </c>
      <c r="C958" s="246"/>
      <c r="D958" s="140">
        <v>2</v>
      </c>
      <c r="E958" s="141" t="s">
        <v>258</v>
      </c>
      <c r="F958" s="139"/>
      <c r="G958" s="139"/>
      <c r="H958" s="139"/>
      <c r="I958" s="139"/>
    </row>
    <row r="959" spans="2:9" s="130" customFormat="1" x14ac:dyDescent="0.2">
      <c r="B959" s="246" t="s">
        <v>259</v>
      </c>
      <c r="C959" s="246"/>
      <c r="D959" s="140">
        <v>1</v>
      </c>
      <c r="E959" s="141" t="s">
        <v>260</v>
      </c>
      <c r="F959" s="139"/>
      <c r="G959" s="139"/>
      <c r="H959" s="139"/>
      <c r="I959" s="139"/>
    </row>
    <row r="960" spans="2:9" s="130" customFormat="1" x14ac:dyDescent="0.2">
      <c r="B960" s="246" t="s">
        <v>261</v>
      </c>
      <c r="C960" s="246"/>
      <c r="D960" s="140">
        <v>2</v>
      </c>
      <c r="E960" s="141" t="s">
        <v>262</v>
      </c>
      <c r="F960" s="139"/>
      <c r="G960" s="139"/>
      <c r="H960" s="139"/>
      <c r="I960" s="139"/>
    </row>
    <row r="961" spans="2:9" s="130" customFormat="1" x14ac:dyDescent="0.2">
      <c r="B961" s="246" t="s">
        <v>322</v>
      </c>
      <c r="C961" s="246"/>
      <c r="D961" s="140">
        <v>2</v>
      </c>
      <c r="E961" s="141" t="s">
        <v>263</v>
      </c>
      <c r="F961" s="139"/>
      <c r="G961" s="139"/>
      <c r="H961" s="139"/>
      <c r="I961" s="139"/>
    </row>
    <row r="962" spans="2:9" s="130" customFormat="1" x14ac:dyDescent="0.2">
      <c r="B962" s="246" t="s">
        <v>264</v>
      </c>
      <c r="C962" s="246"/>
      <c r="D962" s="140">
        <v>1</v>
      </c>
      <c r="E962" s="141" t="s">
        <v>265</v>
      </c>
      <c r="F962" s="139"/>
      <c r="G962" s="139"/>
      <c r="H962" s="139"/>
      <c r="I962" s="139"/>
    </row>
    <row r="963" spans="2:9" s="130" customFormat="1" x14ac:dyDescent="0.2">
      <c r="B963" s="246" t="s">
        <v>266</v>
      </c>
      <c r="C963" s="246"/>
      <c r="D963" s="140">
        <v>1</v>
      </c>
      <c r="E963" s="141" t="s">
        <v>267</v>
      </c>
      <c r="F963" s="139"/>
      <c r="G963" s="139"/>
      <c r="H963" s="139"/>
      <c r="I963" s="139"/>
    </row>
    <row r="964" spans="2:9" s="130" customFormat="1" x14ac:dyDescent="0.2">
      <c r="B964" s="246" t="s">
        <v>268</v>
      </c>
      <c r="C964" s="246"/>
      <c r="D964" s="140">
        <v>1</v>
      </c>
      <c r="E964" s="141" t="s">
        <v>269</v>
      </c>
      <c r="F964" s="139"/>
      <c r="G964" s="139"/>
      <c r="H964" s="139"/>
      <c r="I964" s="139"/>
    </row>
    <row r="965" spans="2:9" s="130" customFormat="1" x14ac:dyDescent="0.2">
      <c r="B965" s="246" t="s">
        <v>270</v>
      </c>
      <c r="C965" s="246"/>
      <c r="D965" s="140">
        <v>1</v>
      </c>
      <c r="E965" s="141" t="s">
        <v>271</v>
      </c>
      <c r="F965" s="139"/>
      <c r="G965" s="139"/>
      <c r="H965" s="139"/>
      <c r="I965" s="139"/>
    </row>
    <row r="966" spans="2:9" s="130" customFormat="1" x14ac:dyDescent="0.2">
      <c r="B966" s="246" t="s">
        <v>272</v>
      </c>
      <c r="C966" s="246"/>
      <c r="D966" s="140">
        <v>1</v>
      </c>
      <c r="E966" s="141" t="s">
        <v>273</v>
      </c>
      <c r="F966" s="139"/>
      <c r="G966" s="139"/>
      <c r="H966" s="139"/>
      <c r="I966" s="139"/>
    </row>
    <row r="967" spans="2:9" s="130" customFormat="1" x14ac:dyDescent="0.2">
      <c r="B967" s="246" t="s">
        <v>274</v>
      </c>
      <c r="C967" s="246"/>
      <c r="D967" s="140">
        <v>1</v>
      </c>
      <c r="E967" s="141" t="s">
        <v>275</v>
      </c>
      <c r="F967" s="139"/>
      <c r="G967" s="139"/>
      <c r="H967" s="139"/>
      <c r="I967" s="139"/>
    </row>
    <row r="968" spans="2:9" s="130" customFormat="1" ht="13.5" thickBot="1" x14ac:dyDescent="0.25">
      <c r="B968" s="246" t="s">
        <v>323</v>
      </c>
      <c r="C968" s="246"/>
      <c r="D968" s="140">
        <v>2</v>
      </c>
      <c r="E968" s="141" t="s">
        <v>324</v>
      </c>
      <c r="F968" s="139"/>
      <c r="G968" s="139"/>
      <c r="H968" s="139"/>
      <c r="I968" s="139"/>
    </row>
    <row r="969" spans="2:9" ht="25.5" customHeight="1" thickBot="1" x14ac:dyDescent="0.25">
      <c r="B969" s="243" t="s">
        <v>346</v>
      </c>
      <c r="C969" s="244"/>
      <c r="D969" s="244"/>
      <c r="E969" s="245"/>
      <c r="F969" s="125"/>
      <c r="G969" s="125"/>
      <c r="H969" s="125"/>
      <c r="I969" s="125"/>
    </row>
    <row r="970" spans="2:9" x14ac:dyDescent="0.2">
      <c r="B970" s="33" t="s">
        <v>18</v>
      </c>
      <c r="C970" s="31"/>
      <c r="D970" s="72"/>
      <c r="E970" s="32"/>
      <c r="F970" s="125"/>
      <c r="G970" s="125"/>
      <c r="H970" s="125"/>
      <c r="I970" s="125"/>
    </row>
    <row r="971" spans="2:9" x14ac:dyDescent="0.2">
      <c r="B971" s="34"/>
      <c r="C971" s="199" t="s">
        <v>64</v>
      </c>
      <c r="D971" s="199"/>
      <c r="E971" s="199"/>
      <c r="F971" s="125"/>
      <c r="G971" s="125"/>
      <c r="H971" s="125"/>
      <c r="I971" s="125"/>
    </row>
    <row r="972" spans="2:9" x14ac:dyDescent="0.2">
      <c r="B972" s="33" t="s">
        <v>19</v>
      </c>
      <c r="C972" s="35"/>
      <c r="D972" s="35"/>
      <c r="E972" s="36"/>
      <c r="F972" s="125"/>
      <c r="G972" s="125"/>
      <c r="H972" s="125"/>
      <c r="I972" s="125"/>
    </row>
    <row r="973" spans="2:9" x14ac:dyDescent="0.2">
      <c r="B973" s="34"/>
      <c r="C973" s="199" t="s">
        <v>141</v>
      </c>
      <c r="D973" s="199"/>
      <c r="E973" s="199"/>
      <c r="F973" s="125"/>
      <c r="G973" s="125"/>
      <c r="H973" s="125"/>
      <c r="I973" s="125"/>
    </row>
    <row r="974" spans="2:9" x14ac:dyDescent="0.2">
      <c r="B974" s="33" t="s">
        <v>20</v>
      </c>
      <c r="C974" s="31"/>
      <c r="D974" s="72"/>
      <c r="E974" s="32"/>
      <c r="F974" s="125"/>
      <c r="G974" s="125"/>
      <c r="H974" s="125"/>
      <c r="I974" s="125"/>
    </row>
    <row r="975" spans="2:9" x14ac:dyDescent="0.2">
      <c r="B975" s="33"/>
      <c r="C975" s="198" t="s">
        <v>65</v>
      </c>
      <c r="D975" s="198"/>
      <c r="E975" s="198"/>
      <c r="F975" s="125"/>
      <c r="G975" s="125"/>
      <c r="H975" s="125"/>
      <c r="I975" s="125"/>
    </row>
    <row r="976" spans="2:9" ht="13.5" thickBot="1" x14ac:dyDescent="0.25">
      <c r="B976" s="37"/>
      <c r="C976" s="38"/>
      <c r="D976" s="73"/>
      <c r="E976" s="39"/>
      <c r="F976" s="125"/>
      <c r="G976" s="125"/>
      <c r="H976" s="125"/>
      <c r="I976" s="125"/>
    </row>
    <row r="977" spans="2:9" ht="13.5" thickBot="1" x14ac:dyDescent="0.25">
      <c r="F977" s="125"/>
      <c r="G977" s="125"/>
      <c r="H977" s="125"/>
      <c r="I977" s="125"/>
    </row>
    <row r="978" spans="2:9" x14ac:dyDescent="0.2">
      <c r="B978" s="27" t="s">
        <v>165</v>
      </c>
      <c r="C978" s="28"/>
      <c r="D978" s="71"/>
      <c r="E978" s="29"/>
      <c r="F978" s="125"/>
      <c r="G978" s="125"/>
      <c r="H978" s="125"/>
      <c r="I978" s="125"/>
    </row>
    <row r="979" spans="2:9" x14ac:dyDescent="0.2">
      <c r="B979" s="30"/>
      <c r="C979" s="250" t="s">
        <v>353</v>
      </c>
      <c r="D979" s="250"/>
      <c r="E979" s="251"/>
      <c r="F979" s="125"/>
      <c r="G979" s="125"/>
      <c r="H979" s="125"/>
      <c r="I979" s="125"/>
    </row>
    <row r="980" spans="2:9" x14ac:dyDescent="0.2">
      <c r="B980" s="33" t="s">
        <v>16</v>
      </c>
      <c r="C980" s="31"/>
      <c r="D980" s="72"/>
      <c r="E980" s="32"/>
      <c r="F980" s="125"/>
      <c r="G980" s="125"/>
      <c r="H980" s="125"/>
      <c r="I980" s="125"/>
    </row>
    <row r="981" spans="2:9" x14ac:dyDescent="0.2">
      <c r="B981" s="33"/>
      <c r="C981" s="199"/>
      <c r="D981" s="199"/>
      <c r="E981" s="199"/>
      <c r="F981" s="125"/>
      <c r="G981" s="125"/>
      <c r="H981" s="125"/>
      <c r="I981" s="125"/>
    </row>
    <row r="982" spans="2:9" ht="13.5" thickBot="1" x14ac:dyDescent="0.25">
      <c r="B982" s="33" t="s">
        <v>17</v>
      </c>
      <c r="C982" s="31"/>
      <c r="D982" s="72"/>
      <c r="E982" s="32"/>
      <c r="F982" s="125"/>
      <c r="G982" s="125"/>
      <c r="H982" s="125"/>
      <c r="I982" s="125"/>
    </row>
    <row r="983" spans="2:9" ht="13.5" thickBot="1" x14ac:dyDescent="0.25">
      <c r="B983" s="185" t="s">
        <v>287</v>
      </c>
      <c r="C983" s="186"/>
      <c r="D983" s="186"/>
      <c r="E983" s="187"/>
      <c r="F983" s="125"/>
      <c r="G983" s="125"/>
      <c r="H983" s="125"/>
      <c r="I983" s="125"/>
    </row>
    <row r="984" spans="2:9" x14ac:dyDescent="0.2">
      <c r="B984" s="248" t="s">
        <v>139</v>
      </c>
      <c r="C984" s="249"/>
      <c r="D984" s="123" t="s">
        <v>11</v>
      </c>
      <c r="E984" s="123" t="s">
        <v>140</v>
      </c>
      <c r="F984" s="125"/>
      <c r="G984" s="125"/>
      <c r="H984" s="125"/>
      <c r="I984" s="125"/>
    </row>
    <row r="985" spans="2:9" s="130" customFormat="1" x14ac:dyDescent="0.2">
      <c r="B985" s="246" t="s">
        <v>317</v>
      </c>
      <c r="C985" s="246"/>
      <c r="D985" s="140">
        <v>2</v>
      </c>
      <c r="E985" s="141" t="s">
        <v>316</v>
      </c>
      <c r="F985" s="139">
        <f>SUM(D985:D1004)</f>
        <v>67</v>
      </c>
      <c r="G985" s="139">
        <f>F985*2</f>
        <v>134</v>
      </c>
      <c r="H985" s="139">
        <f>G985*$H$48</f>
        <v>402</v>
      </c>
      <c r="I985" s="139"/>
    </row>
    <row r="986" spans="2:9" s="130" customFormat="1" x14ac:dyDescent="0.2">
      <c r="B986" s="246" t="s">
        <v>318</v>
      </c>
      <c r="C986" s="246"/>
      <c r="D986" s="140">
        <v>4</v>
      </c>
      <c r="E986" s="141" t="s">
        <v>247</v>
      </c>
      <c r="F986" s="139"/>
      <c r="G986" s="139"/>
      <c r="H986" s="139"/>
      <c r="I986" s="139"/>
    </row>
    <row r="987" spans="2:9" s="130" customFormat="1" x14ac:dyDescent="0.2">
      <c r="B987" s="246" t="s">
        <v>320</v>
      </c>
      <c r="C987" s="246"/>
      <c r="D987" s="140">
        <v>5</v>
      </c>
      <c r="E987" s="141" t="s">
        <v>248</v>
      </c>
      <c r="F987" s="139"/>
      <c r="G987" s="139"/>
      <c r="H987" s="139"/>
      <c r="I987" s="139"/>
    </row>
    <row r="988" spans="2:9" s="130" customFormat="1" x14ac:dyDescent="0.2">
      <c r="B988" s="246" t="s">
        <v>319</v>
      </c>
      <c r="C988" s="246"/>
      <c r="D988" s="140">
        <v>4</v>
      </c>
      <c r="E988" s="141" t="s">
        <v>249</v>
      </c>
      <c r="F988" s="139"/>
      <c r="G988" s="139"/>
      <c r="H988" s="139"/>
      <c r="I988" s="139"/>
    </row>
    <row r="989" spans="2:9" s="130" customFormat="1" x14ac:dyDescent="0.2">
      <c r="B989" s="246" t="s">
        <v>314</v>
      </c>
      <c r="C989" s="246"/>
      <c r="D989" s="140">
        <v>4</v>
      </c>
      <c r="E989" s="141" t="s">
        <v>315</v>
      </c>
      <c r="F989" s="139"/>
      <c r="G989" s="139"/>
      <c r="H989" s="139"/>
      <c r="I989" s="139"/>
    </row>
    <row r="990" spans="2:9" s="130" customFormat="1" x14ac:dyDescent="0.2">
      <c r="B990" s="246" t="s">
        <v>250</v>
      </c>
      <c r="C990" s="246"/>
      <c r="D990" s="140">
        <v>1</v>
      </c>
      <c r="E990" s="141" t="s">
        <v>251</v>
      </c>
      <c r="F990" s="139"/>
      <c r="G990" s="139"/>
      <c r="H990" s="139"/>
      <c r="I990" s="139"/>
    </row>
    <row r="991" spans="2:9" s="130" customFormat="1" x14ac:dyDescent="0.2">
      <c r="B991" s="246" t="s">
        <v>252</v>
      </c>
      <c r="C991" s="246"/>
      <c r="D991" s="140">
        <v>3</v>
      </c>
      <c r="E991" s="141" t="s">
        <v>253</v>
      </c>
      <c r="F991" s="139"/>
      <c r="G991" s="139"/>
      <c r="H991" s="139"/>
      <c r="I991" s="139"/>
    </row>
    <row r="992" spans="2:9" s="130" customFormat="1" x14ac:dyDescent="0.2">
      <c r="B992" s="246" t="s">
        <v>254</v>
      </c>
      <c r="C992" s="246"/>
      <c r="D992" s="140">
        <v>3</v>
      </c>
      <c r="E992" s="141" t="s">
        <v>255</v>
      </c>
      <c r="F992" s="139"/>
      <c r="G992" s="139"/>
      <c r="H992" s="139"/>
      <c r="I992" s="139"/>
    </row>
    <row r="993" spans="2:9" s="130" customFormat="1" x14ac:dyDescent="0.2">
      <c r="B993" s="246" t="s">
        <v>256</v>
      </c>
      <c r="C993" s="246"/>
      <c r="D993" s="140">
        <v>4</v>
      </c>
      <c r="E993" s="141" t="s">
        <v>257</v>
      </c>
      <c r="F993" s="139"/>
      <c r="G993" s="139"/>
      <c r="H993" s="139"/>
      <c r="I993" s="139"/>
    </row>
    <row r="994" spans="2:9" s="130" customFormat="1" x14ac:dyDescent="0.2">
      <c r="B994" s="246" t="s">
        <v>321</v>
      </c>
      <c r="C994" s="246"/>
      <c r="D994" s="140">
        <v>3</v>
      </c>
      <c r="E994" s="141" t="s">
        <v>258</v>
      </c>
      <c r="F994" s="139"/>
      <c r="G994" s="139"/>
      <c r="H994" s="139"/>
      <c r="I994" s="139"/>
    </row>
    <row r="995" spans="2:9" s="130" customFormat="1" x14ac:dyDescent="0.2">
      <c r="B995" s="246" t="s">
        <v>259</v>
      </c>
      <c r="C995" s="246"/>
      <c r="D995" s="140">
        <v>2</v>
      </c>
      <c r="E995" s="141" t="s">
        <v>260</v>
      </c>
      <c r="F995" s="139"/>
      <c r="G995" s="139"/>
      <c r="H995" s="139"/>
      <c r="I995" s="139"/>
    </row>
    <row r="996" spans="2:9" s="130" customFormat="1" x14ac:dyDescent="0.2">
      <c r="B996" s="246" t="s">
        <v>261</v>
      </c>
      <c r="C996" s="246"/>
      <c r="D996" s="140">
        <v>5</v>
      </c>
      <c r="E996" s="141" t="s">
        <v>262</v>
      </c>
      <c r="F996" s="139"/>
      <c r="G996" s="139"/>
      <c r="H996" s="139"/>
      <c r="I996" s="139"/>
    </row>
    <row r="997" spans="2:9" s="130" customFormat="1" x14ac:dyDescent="0.2">
      <c r="B997" s="246" t="s">
        <v>322</v>
      </c>
      <c r="C997" s="246"/>
      <c r="D997" s="140">
        <v>5</v>
      </c>
      <c r="E997" s="141" t="s">
        <v>263</v>
      </c>
      <c r="F997" s="139"/>
      <c r="G997" s="139"/>
      <c r="H997" s="139"/>
      <c r="I997" s="139"/>
    </row>
    <row r="998" spans="2:9" s="130" customFormat="1" x14ac:dyDescent="0.2">
      <c r="B998" s="246" t="s">
        <v>264</v>
      </c>
      <c r="C998" s="246"/>
      <c r="D998" s="140">
        <v>2</v>
      </c>
      <c r="E998" s="141" t="s">
        <v>265</v>
      </c>
      <c r="F998" s="139"/>
      <c r="G998" s="139"/>
      <c r="H998" s="139"/>
      <c r="I998" s="139"/>
    </row>
    <row r="999" spans="2:9" s="130" customFormat="1" x14ac:dyDescent="0.2">
      <c r="B999" s="246" t="s">
        <v>266</v>
      </c>
      <c r="C999" s="246"/>
      <c r="D999" s="140">
        <v>3</v>
      </c>
      <c r="E999" s="141" t="s">
        <v>267</v>
      </c>
      <c r="F999" s="139"/>
      <c r="G999" s="139"/>
      <c r="H999" s="139"/>
      <c r="I999" s="139"/>
    </row>
    <row r="1000" spans="2:9" s="130" customFormat="1" x14ac:dyDescent="0.2">
      <c r="B1000" s="246" t="s">
        <v>268</v>
      </c>
      <c r="C1000" s="246"/>
      <c r="D1000" s="140">
        <v>3</v>
      </c>
      <c r="E1000" s="141" t="s">
        <v>269</v>
      </c>
      <c r="F1000" s="139"/>
      <c r="G1000" s="139"/>
      <c r="H1000" s="139"/>
      <c r="I1000" s="139"/>
    </row>
    <row r="1001" spans="2:9" s="130" customFormat="1" x14ac:dyDescent="0.2">
      <c r="B1001" s="246" t="s">
        <v>270</v>
      </c>
      <c r="C1001" s="246"/>
      <c r="D1001" s="140">
        <v>3</v>
      </c>
      <c r="E1001" s="141" t="s">
        <v>271</v>
      </c>
      <c r="F1001" s="139"/>
      <c r="G1001" s="139"/>
      <c r="H1001" s="139"/>
      <c r="I1001" s="139"/>
    </row>
    <row r="1002" spans="2:9" s="130" customFormat="1" x14ac:dyDescent="0.2">
      <c r="B1002" s="246" t="s">
        <v>272</v>
      </c>
      <c r="C1002" s="246"/>
      <c r="D1002" s="140">
        <v>3</v>
      </c>
      <c r="E1002" s="141" t="s">
        <v>273</v>
      </c>
      <c r="F1002" s="139"/>
      <c r="G1002" s="139"/>
      <c r="H1002" s="139"/>
      <c r="I1002" s="139"/>
    </row>
    <row r="1003" spans="2:9" s="130" customFormat="1" x14ac:dyDescent="0.2">
      <c r="B1003" s="246" t="s">
        <v>274</v>
      </c>
      <c r="C1003" s="246"/>
      <c r="D1003" s="140">
        <v>3</v>
      </c>
      <c r="E1003" s="141" t="s">
        <v>275</v>
      </c>
      <c r="F1003" s="139"/>
      <c r="G1003" s="139"/>
      <c r="H1003" s="139"/>
      <c r="I1003" s="139"/>
    </row>
    <row r="1004" spans="2:9" s="130" customFormat="1" ht="13.5" thickBot="1" x14ac:dyDescent="0.25">
      <c r="B1004" s="246" t="s">
        <v>323</v>
      </c>
      <c r="C1004" s="246"/>
      <c r="D1004" s="140">
        <v>5</v>
      </c>
      <c r="E1004" s="141" t="s">
        <v>324</v>
      </c>
      <c r="F1004" s="139"/>
      <c r="G1004" s="139"/>
      <c r="H1004" s="139"/>
      <c r="I1004" s="139"/>
    </row>
    <row r="1005" spans="2:9" ht="27" customHeight="1" thickBot="1" x14ac:dyDescent="0.25">
      <c r="B1005" s="243" t="s">
        <v>347</v>
      </c>
      <c r="C1005" s="244"/>
      <c r="D1005" s="244"/>
      <c r="E1005" s="245"/>
      <c r="F1005" s="125"/>
      <c r="G1005" s="125"/>
      <c r="H1005" s="125"/>
      <c r="I1005" s="125"/>
    </row>
    <row r="1006" spans="2:9" x14ac:dyDescent="0.2">
      <c r="B1006" s="33" t="s">
        <v>18</v>
      </c>
      <c r="C1006" s="31"/>
      <c r="D1006" s="72"/>
      <c r="E1006" s="32"/>
      <c r="F1006" s="125"/>
      <c r="G1006" s="125"/>
      <c r="H1006" s="125"/>
      <c r="I1006" s="125"/>
    </row>
    <row r="1007" spans="2:9" x14ac:dyDescent="0.2">
      <c r="B1007" s="34"/>
      <c r="C1007" s="199" t="s">
        <v>64</v>
      </c>
      <c r="D1007" s="199"/>
      <c r="E1007" s="199"/>
      <c r="F1007" s="125"/>
      <c r="G1007" s="125"/>
      <c r="H1007" s="125"/>
      <c r="I1007" s="125"/>
    </row>
    <row r="1008" spans="2:9" x14ac:dyDescent="0.2">
      <c r="B1008" s="33" t="s">
        <v>19</v>
      </c>
      <c r="C1008" s="35"/>
      <c r="D1008" s="35"/>
      <c r="E1008" s="36"/>
      <c r="F1008" s="125"/>
      <c r="G1008" s="125"/>
      <c r="H1008" s="125"/>
      <c r="I1008" s="125"/>
    </row>
    <row r="1009" spans="2:9" x14ac:dyDescent="0.2">
      <c r="B1009" s="34"/>
      <c r="C1009" s="199" t="s">
        <v>141</v>
      </c>
      <c r="D1009" s="199"/>
      <c r="E1009" s="199"/>
      <c r="F1009" s="125"/>
      <c r="G1009" s="125"/>
      <c r="H1009" s="125"/>
      <c r="I1009" s="125"/>
    </row>
    <row r="1010" spans="2:9" x14ac:dyDescent="0.2">
      <c r="B1010" s="33" t="s">
        <v>20</v>
      </c>
      <c r="C1010" s="31"/>
      <c r="D1010" s="72"/>
      <c r="E1010" s="32"/>
      <c r="F1010" s="125"/>
      <c r="G1010" s="125"/>
      <c r="H1010" s="125"/>
      <c r="I1010" s="125"/>
    </row>
    <row r="1011" spans="2:9" x14ac:dyDescent="0.2">
      <c r="B1011" s="33"/>
      <c r="C1011" s="198" t="s">
        <v>65</v>
      </c>
      <c r="D1011" s="198"/>
      <c r="E1011" s="198"/>
      <c r="F1011" s="125"/>
      <c r="G1011" s="125"/>
      <c r="H1011" s="125"/>
      <c r="I1011" s="125"/>
    </row>
    <row r="1012" spans="2:9" ht="13.5" thickBot="1" x14ac:dyDescent="0.25">
      <c r="B1012" s="37"/>
      <c r="C1012" s="38"/>
      <c r="D1012" s="73"/>
      <c r="E1012" s="39"/>
      <c r="F1012" s="125"/>
      <c r="G1012" s="125"/>
      <c r="H1012" s="125"/>
      <c r="I1012" s="125"/>
    </row>
    <row r="1013" spans="2:9" ht="13.5" thickBot="1" x14ac:dyDescent="0.25">
      <c r="F1013" s="125"/>
      <c r="G1013" s="125"/>
      <c r="H1013" s="125"/>
      <c r="I1013" s="125"/>
    </row>
    <row r="1014" spans="2:9" x14ac:dyDescent="0.2">
      <c r="B1014" s="27" t="s">
        <v>166</v>
      </c>
      <c r="C1014" s="28"/>
      <c r="D1014" s="71"/>
      <c r="E1014" s="29"/>
      <c r="F1014" s="125"/>
      <c r="G1014" s="125"/>
      <c r="H1014" s="125"/>
      <c r="I1014" s="125"/>
    </row>
    <row r="1015" spans="2:9" x14ac:dyDescent="0.2">
      <c r="B1015" s="30"/>
      <c r="C1015" s="250" t="s">
        <v>352</v>
      </c>
      <c r="D1015" s="250"/>
      <c r="E1015" s="251"/>
      <c r="F1015" s="125"/>
      <c r="G1015" s="125"/>
      <c r="H1015" s="125"/>
      <c r="I1015" s="125"/>
    </row>
    <row r="1016" spans="2:9" x14ac:dyDescent="0.2">
      <c r="B1016" s="33" t="s">
        <v>16</v>
      </c>
      <c r="C1016" s="31"/>
      <c r="D1016" s="72"/>
      <c r="E1016" s="32"/>
      <c r="F1016" s="125"/>
      <c r="G1016" s="125"/>
      <c r="H1016" s="125"/>
      <c r="I1016" s="125"/>
    </row>
    <row r="1017" spans="2:9" x14ac:dyDescent="0.2">
      <c r="B1017" s="33"/>
      <c r="C1017" s="199"/>
      <c r="D1017" s="199"/>
      <c r="E1017" s="199"/>
      <c r="F1017" s="125"/>
      <c r="G1017" s="125"/>
      <c r="H1017" s="125"/>
      <c r="I1017" s="125"/>
    </row>
    <row r="1018" spans="2:9" ht="13.5" thickBot="1" x14ac:dyDescent="0.25">
      <c r="B1018" s="33" t="s">
        <v>17</v>
      </c>
      <c r="C1018" s="31"/>
      <c r="D1018" s="72"/>
      <c r="E1018" s="32"/>
      <c r="F1018" s="125"/>
      <c r="G1018" s="125"/>
      <c r="H1018" s="125"/>
      <c r="I1018" s="125"/>
    </row>
    <row r="1019" spans="2:9" ht="13.5" thickBot="1" x14ac:dyDescent="0.25">
      <c r="B1019" s="185" t="s">
        <v>288</v>
      </c>
      <c r="C1019" s="186"/>
      <c r="D1019" s="186"/>
      <c r="E1019" s="187"/>
      <c r="F1019" s="125"/>
      <c r="G1019" s="125"/>
      <c r="H1019" s="125"/>
      <c r="I1019" s="125"/>
    </row>
    <row r="1020" spans="2:9" x14ac:dyDescent="0.2">
      <c r="B1020" s="248" t="s">
        <v>139</v>
      </c>
      <c r="C1020" s="249"/>
      <c r="D1020" s="123" t="s">
        <v>11</v>
      </c>
      <c r="E1020" s="123" t="s">
        <v>140</v>
      </c>
      <c r="F1020" s="125"/>
      <c r="G1020" s="125"/>
      <c r="H1020" s="125"/>
      <c r="I1020" s="125"/>
    </row>
    <row r="1021" spans="2:9" s="130" customFormat="1" x14ac:dyDescent="0.2">
      <c r="B1021" s="246" t="s">
        <v>317</v>
      </c>
      <c r="C1021" s="246"/>
      <c r="D1021" s="140">
        <v>2</v>
      </c>
      <c r="E1021" s="141" t="s">
        <v>316</v>
      </c>
      <c r="F1021" s="139">
        <f>SUM(D1021:D1040)</f>
        <v>56</v>
      </c>
      <c r="G1021" s="139">
        <f>F1021*2</f>
        <v>112</v>
      </c>
      <c r="H1021" s="139">
        <f>G1021*$H$48</f>
        <v>336</v>
      </c>
      <c r="I1021" s="139"/>
    </row>
    <row r="1022" spans="2:9" s="130" customFormat="1" x14ac:dyDescent="0.2">
      <c r="B1022" s="246" t="s">
        <v>318</v>
      </c>
      <c r="C1022" s="246"/>
      <c r="D1022" s="140">
        <v>4</v>
      </c>
      <c r="E1022" s="141" t="s">
        <v>247</v>
      </c>
      <c r="F1022" s="139"/>
      <c r="G1022" s="139"/>
      <c r="H1022" s="139"/>
      <c r="I1022" s="139"/>
    </row>
    <row r="1023" spans="2:9" s="130" customFormat="1" x14ac:dyDescent="0.2">
      <c r="B1023" s="246" t="s">
        <v>320</v>
      </c>
      <c r="C1023" s="246"/>
      <c r="D1023" s="140">
        <v>4</v>
      </c>
      <c r="E1023" s="141" t="s">
        <v>248</v>
      </c>
      <c r="F1023" s="139"/>
      <c r="G1023" s="139"/>
      <c r="H1023" s="139"/>
      <c r="I1023" s="139"/>
    </row>
    <row r="1024" spans="2:9" s="130" customFormat="1" x14ac:dyDescent="0.2">
      <c r="B1024" s="246" t="s">
        <v>319</v>
      </c>
      <c r="C1024" s="246"/>
      <c r="D1024" s="140">
        <v>4</v>
      </c>
      <c r="E1024" s="141" t="s">
        <v>249</v>
      </c>
      <c r="F1024" s="139"/>
      <c r="G1024" s="139"/>
      <c r="H1024" s="139"/>
      <c r="I1024" s="139"/>
    </row>
    <row r="1025" spans="2:9" s="130" customFormat="1" x14ac:dyDescent="0.2">
      <c r="B1025" s="246" t="s">
        <v>314</v>
      </c>
      <c r="C1025" s="246"/>
      <c r="D1025" s="140">
        <v>4</v>
      </c>
      <c r="E1025" s="141" t="s">
        <v>315</v>
      </c>
      <c r="F1025" s="139"/>
      <c r="G1025" s="139"/>
      <c r="H1025" s="139"/>
      <c r="I1025" s="139"/>
    </row>
    <row r="1026" spans="2:9" s="130" customFormat="1" x14ac:dyDescent="0.2">
      <c r="B1026" s="246" t="s">
        <v>250</v>
      </c>
      <c r="C1026" s="246"/>
      <c r="D1026" s="140">
        <v>1</v>
      </c>
      <c r="E1026" s="141" t="s">
        <v>251</v>
      </c>
      <c r="F1026" s="139"/>
      <c r="G1026" s="139"/>
      <c r="H1026" s="139"/>
      <c r="I1026" s="139"/>
    </row>
    <row r="1027" spans="2:9" s="130" customFormat="1" x14ac:dyDescent="0.2">
      <c r="B1027" s="246" t="s">
        <v>252</v>
      </c>
      <c r="C1027" s="246"/>
      <c r="D1027" s="140">
        <v>2</v>
      </c>
      <c r="E1027" s="141" t="s">
        <v>253</v>
      </c>
      <c r="F1027" s="139"/>
      <c r="G1027" s="139"/>
      <c r="H1027" s="139"/>
      <c r="I1027" s="139"/>
    </row>
    <row r="1028" spans="2:9" s="130" customFormat="1" x14ac:dyDescent="0.2">
      <c r="B1028" s="246" t="s">
        <v>254</v>
      </c>
      <c r="C1028" s="246"/>
      <c r="D1028" s="140">
        <v>2</v>
      </c>
      <c r="E1028" s="141" t="s">
        <v>255</v>
      </c>
      <c r="F1028" s="139"/>
      <c r="G1028" s="139"/>
      <c r="H1028" s="139"/>
      <c r="I1028" s="139"/>
    </row>
    <row r="1029" spans="2:9" s="130" customFormat="1" x14ac:dyDescent="0.2">
      <c r="B1029" s="246" t="s">
        <v>256</v>
      </c>
      <c r="C1029" s="246"/>
      <c r="D1029" s="140">
        <v>4</v>
      </c>
      <c r="E1029" s="141" t="s">
        <v>257</v>
      </c>
      <c r="F1029" s="139"/>
      <c r="G1029" s="139"/>
      <c r="H1029" s="139"/>
      <c r="I1029" s="139"/>
    </row>
    <row r="1030" spans="2:9" s="130" customFormat="1" x14ac:dyDescent="0.2">
      <c r="B1030" s="246" t="s">
        <v>321</v>
      </c>
      <c r="C1030" s="246"/>
      <c r="D1030" s="140">
        <v>3</v>
      </c>
      <c r="E1030" s="141" t="s">
        <v>258</v>
      </c>
      <c r="F1030" s="139"/>
      <c r="G1030" s="139"/>
      <c r="H1030" s="139"/>
      <c r="I1030" s="139"/>
    </row>
    <row r="1031" spans="2:9" s="130" customFormat="1" x14ac:dyDescent="0.2">
      <c r="B1031" s="246" t="s">
        <v>259</v>
      </c>
      <c r="C1031" s="246"/>
      <c r="D1031" s="140">
        <v>1</v>
      </c>
      <c r="E1031" s="141" t="s">
        <v>260</v>
      </c>
      <c r="F1031" s="139"/>
      <c r="G1031" s="139"/>
      <c r="H1031" s="139"/>
      <c r="I1031" s="139"/>
    </row>
    <row r="1032" spans="2:9" s="130" customFormat="1" x14ac:dyDescent="0.2">
      <c r="B1032" s="246" t="s">
        <v>261</v>
      </c>
      <c r="C1032" s="246"/>
      <c r="D1032" s="140">
        <v>4</v>
      </c>
      <c r="E1032" s="141" t="s">
        <v>262</v>
      </c>
      <c r="F1032" s="139"/>
      <c r="G1032" s="139"/>
      <c r="H1032" s="139"/>
      <c r="I1032" s="139"/>
    </row>
    <row r="1033" spans="2:9" s="130" customFormat="1" x14ac:dyDescent="0.2">
      <c r="B1033" s="246" t="s">
        <v>322</v>
      </c>
      <c r="C1033" s="246"/>
      <c r="D1033" s="140">
        <v>4</v>
      </c>
      <c r="E1033" s="141" t="s">
        <v>263</v>
      </c>
      <c r="F1033" s="139"/>
      <c r="G1033" s="139"/>
      <c r="H1033" s="139"/>
      <c r="I1033" s="139"/>
    </row>
    <row r="1034" spans="2:9" s="130" customFormat="1" x14ac:dyDescent="0.2">
      <c r="B1034" s="246" t="s">
        <v>264</v>
      </c>
      <c r="C1034" s="246"/>
      <c r="D1034" s="140">
        <v>1</v>
      </c>
      <c r="E1034" s="141" t="s">
        <v>265</v>
      </c>
      <c r="F1034" s="139"/>
      <c r="G1034" s="139"/>
      <c r="H1034" s="139"/>
      <c r="I1034" s="139"/>
    </row>
    <row r="1035" spans="2:9" s="130" customFormat="1" x14ac:dyDescent="0.2">
      <c r="B1035" s="246" t="s">
        <v>266</v>
      </c>
      <c r="C1035" s="246"/>
      <c r="D1035" s="140">
        <v>3</v>
      </c>
      <c r="E1035" s="141" t="s">
        <v>267</v>
      </c>
      <c r="F1035" s="139"/>
      <c r="G1035" s="139"/>
      <c r="H1035" s="139"/>
      <c r="I1035" s="139"/>
    </row>
    <row r="1036" spans="2:9" s="130" customFormat="1" x14ac:dyDescent="0.2">
      <c r="B1036" s="246" t="s">
        <v>268</v>
      </c>
      <c r="C1036" s="246"/>
      <c r="D1036" s="140">
        <v>3</v>
      </c>
      <c r="E1036" s="141" t="s">
        <v>269</v>
      </c>
      <c r="F1036" s="139"/>
      <c r="G1036" s="139"/>
      <c r="H1036" s="139"/>
      <c r="I1036" s="139"/>
    </row>
    <row r="1037" spans="2:9" s="130" customFormat="1" x14ac:dyDescent="0.2">
      <c r="B1037" s="246" t="s">
        <v>270</v>
      </c>
      <c r="C1037" s="246"/>
      <c r="D1037" s="140">
        <v>2</v>
      </c>
      <c r="E1037" s="141" t="s">
        <v>271</v>
      </c>
      <c r="F1037" s="139"/>
      <c r="G1037" s="139"/>
      <c r="H1037" s="139"/>
      <c r="I1037" s="139"/>
    </row>
    <row r="1038" spans="2:9" s="130" customFormat="1" x14ac:dyDescent="0.2">
      <c r="B1038" s="246" t="s">
        <v>272</v>
      </c>
      <c r="C1038" s="246"/>
      <c r="D1038" s="140">
        <v>2</v>
      </c>
      <c r="E1038" s="141" t="s">
        <v>273</v>
      </c>
      <c r="F1038" s="139"/>
      <c r="G1038" s="139"/>
      <c r="H1038" s="139"/>
      <c r="I1038" s="139"/>
    </row>
    <row r="1039" spans="2:9" s="130" customFormat="1" x14ac:dyDescent="0.2">
      <c r="B1039" s="246" t="s">
        <v>274</v>
      </c>
      <c r="C1039" s="246"/>
      <c r="D1039" s="140">
        <v>2</v>
      </c>
      <c r="E1039" s="141" t="s">
        <v>275</v>
      </c>
      <c r="F1039" s="139"/>
      <c r="G1039" s="139"/>
      <c r="H1039" s="139"/>
      <c r="I1039" s="139"/>
    </row>
    <row r="1040" spans="2:9" s="130" customFormat="1" ht="13.5" thickBot="1" x14ac:dyDescent="0.25">
      <c r="B1040" s="246" t="s">
        <v>323</v>
      </c>
      <c r="C1040" s="246"/>
      <c r="D1040" s="140">
        <v>4</v>
      </c>
      <c r="E1040" s="141" t="s">
        <v>324</v>
      </c>
      <c r="F1040" s="139"/>
      <c r="G1040" s="139"/>
      <c r="H1040" s="139"/>
      <c r="I1040" s="139"/>
    </row>
    <row r="1041" spans="2:9" ht="24.75" customHeight="1" thickBot="1" x14ac:dyDescent="0.25">
      <c r="B1041" s="243" t="s">
        <v>348</v>
      </c>
      <c r="C1041" s="244"/>
      <c r="D1041" s="244"/>
      <c r="E1041" s="245"/>
      <c r="F1041" s="125"/>
      <c r="G1041" s="125"/>
      <c r="H1041" s="125"/>
      <c r="I1041" s="125"/>
    </row>
    <row r="1042" spans="2:9" x14ac:dyDescent="0.2">
      <c r="B1042" s="33" t="s">
        <v>18</v>
      </c>
      <c r="C1042" s="31"/>
      <c r="D1042" s="72"/>
      <c r="E1042" s="32"/>
      <c r="F1042" s="125"/>
      <c r="G1042" s="125"/>
      <c r="H1042" s="125"/>
      <c r="I1042" s="125"/>
    </row>
    <row r="1043" spans="2:9" x14ac:dyDescent="0.2">
      <c r="B1043" s="34"/>
      <c r="C1043" s="199" t="s">
        <v>64</v>
      </c>
      <c r="D1043" s="199"/>
      <c r="E1043" s="199"/>
      <c r="F1043" s="125"/>
      <c r="G1043" s="125"/>
      <c r="H1043" s="125"/>
      <c r="I1043" s="125"/>
    </row>
    <row r="1044" spans="2:9" x14ac:dyDescent="0.2">
      <c r="B1044" s="33" t="s">
        <v>19</v>
      </c>
      <c r="C1044" s="35"/>
      <c r="D1044" s="35"/>
      <c r="E1044" s="36"/>
      <c r="F1044" s="125"/>
      <c r="G1044" s="125"/>
      <c r="H1044" s="125"/>
      <c r="I1044" s="125"/>
    </row>
    <row r="1045" spans="2:9" x14ac:dyDescent="0.2">
      <c r="B1045" s="34"/>
      <c r="C1045" s="199" t="s">
        <v>141</v>
      </c>
      <c r="D1045" s="199"/>
      <c r="E1045" s="199"/>
      <c r="F1045" s="125"/>
      <c r="G1045" s="125"/>
      <c r="H1045" s="125"/>
      <c r="I1045" s="125"/>
    </row>
    <row r="1046" spans="2:9" x14ac:dyDescent="0.2">
      <c r="B1046" s="33" t="s">
        <v>20</v>
      </c>
      <c r="C1046" s="31"/>
      <c r="D1046" s="72"/>
      <c r="E1046" s="32"/>
      <c r="F1046" s="125"/>
      <c r="G1046" s="125"/>
      <c r="H1046" s="125"/>
      <c r="I1046" s="125"/>
    </row>
    <row r="1047" spans="2:9" x14ac:dyDescent="0.2">
      <c r="B1047" s="33"/>
      <c r="C1047" s="198" t="s">
        <v>65</v>
      </c>
      <c r="D1047" s="198"/>
      <c r="E1047" s="198"/>
      <c r="F1047" s="125"/>
      <c r="G1047" s="125"/>
      <c r="H1047" s="125"/>
      <c r="I1047" s="125"/>
    </row>
    <row r="1048" spans="2:9" ht="13.5" thickBot="1" x14ac:dyDescent="0.25">
      <c r="B1048" s="37"/>
      <c r="C1048" s="38"/>
      <c r="D1048" s="73"/>
      <c r="E1048" s="39"/>
      <c r="F1048" s="125"/>
      <c r="G1048" s="125"/>
      <c r="H1048" s="125"/>
      <c r="I1048" s="125"/>
    </row>
    <row r="1049" spans="2:9" ht="13.5" thickBot="1" x14ac:dyDescent="0.25">
      <c r="F1049" s="125"/>
      <c r="G1049" s="125"/>
      <c r="H1049" s="125"/>
      <c r="I1049" s="125"/>
    </row>
    <row r="1050" spans="2:9" x14ac:dyDescent="0.2">
      <c r="B1050" s="27" t="s">
        <v>167</v>
      </c>
      <c r="C1050" s="28"/>
      <c r="D1050" s="71"/>
      <c r="E1050" s="29"/>
      <c r="F1050" s="125"/>
      <c r="G1050" s="125"/>
      <c r="H1050" s="125"/>
      <c r="I1050" s="125"/>
    </row>
    <row r="1051" spans="2:9" x14ac:dyDescent="0.2">
      <c r="B1051" s="30"/>
      <c r="C1051" s="250" t="s">
        <v>352</v>
      </c>
      <c r="D1051" s="250"/>
      <c r="E1051" s="251"/>
      <c r="F1051" s="125"/>
      <c r="G1051" s="125"/>
      <c r="H1051" s="125"/>
      <c r="I1051" s="125"/>
    </row>
    <row r="1052" spans="2:9" x14ac:dyDescent="0.2">
      <c r="B1052" s="33" t="s">
        <v>16</v>
      </c>
      <c r="C1052" s="31"/>
      <c r="D1052" s="72"/>
      <c r="E1052" s="32"/>
      <c r="F1052" s="125"/>
      <c r="G1052" s="125"/>
      <c r="H1052" s="125"/>
      <c r="I1052" s="125"/>
    </row>
    <row r="1053" spans="2:9" x14ac:dyDescent="0.2">
      <c r="B1053" s="33"/>
      <c r="C1053" s="199"/>
      <c r="D1053" s="199"/>
      <c r="E1053" s="199"/>
      <c r="F1053" s="125"/>
      <c r="G1053" s="125"/>
      <c r="H1053" s="125"/>
      <c r="I1053" s="125"/>
    </row>
    <row r="1054" spans="2:9" ht="13.5" thickBot="1" x14ac:dyDescent="0.25">
      <c r="B1054" s="33" t="s">
        <v>17</v>
      </c>
      <c r="C1054" s="31"/>
      <c r="D1054" s="72"/>
      <c r="E1054" s="32"/>
      <c r="F1054" s="125"/>
      <c r="G1054" s="125"/>
      <c r="H1054" s="125"/>
      <c r="I1054" s="125"/>
    </row>
    <row r="1055" spans="2:9" ht="13.5" thickBot="1" x14ac:dyDescent="0.25">
      <c r="B1055" s="185" t="s">
        <v>287</v>
      </c>
      <c r="C1055" s="186"/>
      <c r="D1055" s="186"/>
      <c r="E1055" s="187"/>
      <c r="F1055" s="125"/>
      <c r="G1055" s="125"/>
      <c r="H1055" s="125"/>
      <c r="I1055" s="125"/>
    </row>
    <row r="1056" spans="2:9" x14ac:dyDescent="0.2">
      <c r="B1056" s="248" t="s">
        <v>139</v>
      </c>
      <c r="C1056" s="249"/>
      <c r="D1056" s="123" t="s">
        <v>11</v>
      </c>
      <c r="E1056" s="123" t="s">
        <v>140</v>
      </c>
      <c r="F1056" s="125"/>
      <c r="G1056" s="125"/>
      <c r="H1056" s="125"/>
      <c r="I1056" s="125"/>
    </row>
    <row r="1057" spans="2:9" s="130" customFormat="1" x14ac:dyDescent="0.2">
      <c r="B1057" s="246" t="s">
        <v>317</v>
      </c>
      <c r="C1057" s="246"/>
      <c r="D1057" s="140">
        <v>1</v>
      </c>
      <c r="E1057" s="141" t="s">
        <v>316</v>
      </c>
      <c r="F1057" s="139">
        <f>SUM(D1057:D1076)</f>
        <v>45</v>
      </c>
      <c r="G1057" s="139">
        <f>F1057*2</f>
        <v>90</v>
      </c>
      <c r="H1057" s="139">
        <f>G1057*$H$48</f>
        <v>270</v>
      </c>
      <c r="I1057" s="139"/>
    </row>
    <row r="1058" spans="2:9" s="130" customFormat="1" x14ac:dyDescent="0.2">
      <c r="B1058" s="246" t="s">
        <v>318</v>
      </c>
      <c r="C1058" s="246"/>
      <c r="D1058" s="140">
        <v>3</v>
      </c>
      <c r="E1058" s="141" t="s">
        <v>247</v>
      </c>
      <c r="F1058" s="139"/>
      <c r="G1058" s="139"/>
      <c r="H1058" s="139"/>
      <c r="I1058" s="139"/>
    </row>
    <row r="1059" spans="2:9" s="130" customFormat="1" x14ac:dyDescent="0.2">
      <c r="B1059" s="246" t="s">
        <v>320</v>
      </c>
      <c r="C1059" s="246"/>
      <c r="D1059" s="140">
        <v>4</v>
      </c>
      <c r="E1059" s="141" t="s">
        <v>248</v>
      </c>
      <c r="F1059" s="139"/>
      <c r="G1059" s="139"/>
      <c r="H1059" s="139"/>
      <c r="I1059" s="139"/>
    </row>
    <row r="1060" spans="2:9" s="130" customFormat="1" x14ac:dyDescent="0.2">
      <c r="B1060" s="246" t="s">
        <v>319</v>
      </c>
      <c r="C1060" s="246"/>
      <c r="D1060" s="140">
        <v>3</v>
      </c>
      <c r="E1060" s="141" t="s">
        <v>249</v>
      </c>
      <c r="F1060" s="139"/>
      <c r="G1060" s="139"/>
      <c r="H1060" s="139"/>
      <c r="I1060" s="139"/>
    </row>
    <row r="1061" spans="2:9" s="130" customFormat="1" x14ac:dyDescent="0.2">
      <c r="B1061" s="246" t="s">
        <v>314</v>
      </c>
      <c r="C1061" s="246"/>
      <c r="D1061" s="140">
        <v>3</v>
      </c>
      <c r="E1061" s="141" t="s">
        <v>315</v>
      </c>
      <c r="F1061" s="139"/>
      <c r="G1061" s="139"/>
      <c r="H1061" s="139"/>
      <c r="I1061" s="139"/>
    </row>
    <row r="1062" spans="2:9" s="130" customFormat="1" x14ac:dyDescent="0.2">
      <c r="B1062" s="246" t="s">
        <v>250</v>
      </c>
      <c r="C1062" s="246"/>
      <c r="D1062" s="140">
        <v>1</v>
      </c>
      <c r="E1062" s="141" t="s">
        <v>251</v>
      </c>
      <c r="F1062" s="139"/>
      <c r="G1062" s="139"/>
      <c r="H1062" s="139"/>
      <c r="I1062" s="139"/>
    </row>
    <row r="1063" spans="2:9" s="130" customFormat="1" x14ac:dyDescent="0.2">
      <c r="B1063" s="246" t="s">
        <v>252</v>
      </c>
      <c r="C1063" s="246"/>
      <c r="D1063" s="140">
        <v>1</v>
      </c>
      <c r="E1063" s="141" t="s">
        <v>253</v>
      </c>
      <c r="F1063" s="139"/>
      <c r="G1063" s="139"/>
      <c r="H1063" s="139"/>
      <c r="I1063" s="139"/>
    </row>
    <row r="1064" spans="2:9" s="130" customFormat="1" x14ac:dyDescent="0.2">
      <c r="B1064" s="246" t="s">
        <v>254</v>
      </c>
      <c r="C1064" s="246"/>
      <c r="D1064" s="140">
        <v>1</v>
      </c>
      <c r="E1064" s="141" t="s">
        <v>255</v>
      </c>
      <c r="F1064" s="139"/>
      <c r="G1064" s="139"/>
      <c r="H1064" s="139"/>
      <c r="I1064" s="139"/>
    </row>
    <row r="1065" spans="2:9" s="130" customFormat="1" x14ac:dyDescent="0.2">
      <c r="B1065" s="246" t="s">
        <v>256</v>
      </c>
      <c r="C1065" s="246"/>
      <c r="D1065" s="140">
        <v>3</v>
      </c>
      <c r="E1065" s="141" t="s">
        <v>257</v>
      </c>
      <c r="F1065" s="139"/>
      <c r="G1065" s="139"/>
      <c r="H1065" s="139"/>
      <c r="I1065" s="139"/>
    </row>
    <row r="1066" spans="2:9" s="130" customFormat="1" x14ac:dyDescent="0.2">
      <c r="B1066" s="246" t="s">
        <v>321</v>
      </c>
      <c r="C1066" s="246"/>
      <c r="D1066" s="140">
        <v>2</v>
      </c>
      <c r="E1066" s="141" t="s">
        <v>258</v>
      </c>
      <c r="F1066" s="139"/>
      <c r="G1066" s="139"/>
      <c r="H1066" s="139"/>
      <c r="I1066" s="139"/>
    </row>
    <row r="1067" spans="2:9" s="130" customFormat="1" x14ac:dyDescent="0.2">
      <c r="B1067" s="246" t="s">
        <v>259</v>
      </c>
      <c r="C1067" s="246"/>
      <c r="D1067" s="140">
        <v>1</v>
      </c>
      <c r="E1067" s="141" t="s">
        <v>260</v>
      </c>
      <c r="F1067" s="139"/>
      <c r="G1067" s="139"/>
      <c r="H1067" s="139"/>
      <c r="I1067" s="139"/>
    </row>
    <row r="1068" spans="2:9" s="130" customFormat="1" x14ac:dyDescent="0.2">
      <c r="B1068" s="246" t="s">
        <v>261</v>
      </c>
      <c r="C1068" s="246"/>
      <c r="D1068" s="140">
        <v>4</v>
      </c>
      <c r="E1068" s="141" t="s">
        <v>262</v>
      </c>
      <c r="F1068" s="139"/>
      <c r="G1068" s="139"/>
      <c r="H1068" s="139"/>
      <c r="I1068" s="139"/>
    </row>
    <row r="1069" spans="2:9" s="130" customFormat="1" x14ac:dyDescent="0.2">
      <c r="B1069" s="246" t="s">
        <v>322</v>
      </c>
      <c r="C1069" s="246"/>
      <c r="D1069" s="140">
        <v>4</v>
      </c>
      <c r="E1069" s="141" t="s">
        <v>263</v>
      </c>
      <c r="F1069" s="139"/>
      <c r="G1069" s="139"/>
      <c r="H1069" s="139"/>
      <c r="I1069" s="139"/>
    </row>
    <row r="1070" spans="2:9" s="130" customFormat="1" x14ac:dyDescent="0.2">
      <c r="B1070" s="246" t="s">
        <v>264</v>
      </c>
      <c r="C1070" s="246"/>
      <c r="D1070" s="140">
        <v>1</v>
      </c>
      <c r="E1070" s="141" t="s">
        <v>265</v>
      </c>
      <c r="F1070" s="139"/>
      <c r="G1070" s="139"/>
      <c r="H1070" s="139"/>
      <c r="I1070" s="139"/>
    </row>
    <row r="1071" spans="2:9" s="130" customFormat="1" x14ac:dyDescent="0.2">
      <c r="B1071" s="246" t="s">
        <v>266</v>
      </c>
      <c r="C1071" s="246"/>
      <c r="D1071" s="140">
        <v>2</v>
      </c>
      <c r="E1071" s="141" t="s">
        <v>267</v>
      </c>
      <c r="F1071" s="139"/>
      <c r="G1071" s="139"/>
      <c r="H1071" s="139"/>
      <c r="I1071" s="139"/>
    </row>
    <row r="1072" spans="2:9" s="130" customFormat="1" x14ac:dyDescent="0.2">
      <c r="B1072" s="246" t="s">
        <v>268</v>
      </c>
      <c r="C1072" s="246"/>
      <c r="D1072" s="140">
        <v>2</v>
      </c>
      <c r="E1072" s="141" t="s">
        <v>269</v>
      </c>
      <c r="F1072" s="139"/>
      <c r="G1072" s="139"/>
      <c r="H1072" s="139"/>
      <c r="I1072" s="139"/>
    </row>
    <row r="1073" spans="2:9" s="130" customFormat="1" x14ac:dyDescent="0.2">
      <c r="B1073" s="246" t="s">
        <v>270</v>
      </c>
      <c r="C1073" s="246"/>
      <c r="D1073" s="140">
        <v>1</v>
      </c>
      <c r="E1073" s="141" t="s">
        <v>271</v>
      </c>
      <c r="F1073" s="139"/>
      <c r="G1073" s="139"/>
      <c r="H1073" s="139"/>
      <c r="I1073" s="139"/>
    </row>
    <row r="1074" spans="2:9" s="130" customFormat="1" x14ac:dyDescent="0.2">
      <c r="B1074" s="246" t="s">
        <v>272</v>
      </c>
      <c r="C1074" s="246"/>
      <c r="D1074" s="140">
        <v>2</v>
      </c>
      <c r="E1074" s="141" t="s">
        <v>273</v>
      </c>
      <c r="F1074" s="139"/>
      <c r="G1074" s="139"/>
      <c r="H1074" s="139"/>
      <c r="I1074" s="139"/>
    </row>
    <row r="1075" spans="2:9" s="130" customFormat="1" x14ac:dyDescent="0.2">
      <c r="B1075" s="246" t="s">
        <v>274</v>
      </c>
      <c r="C1075" s="246"/>
      <c r="D1075" s="140">
        <v>2</v>
      </c>
      <c r="E1075" s="141" t="s">
        <v>275</v>
      </c>
      <c r="F1075" s="139"/>
      <c r="G1075" s="139"/>
      <c r="H1075" s="139"/>
      <c r="I1075" s="139"/>
    </row>
    <row r="1076" spans="2:9" s="130" customFormat="1" ht="13.5" thickBot="1" x14ac:dyDescent="0.25">
      <c r="B1076" s="246" t="s">
        <v>323</v>
      </c>
      <c r="C1076" s="246"/>
      <c r="D1076" s="140">
        <v>4</v>
      </c>
      <c r="E1076" s="141" t="s">
        <v>324</v>
      </c>
      <c r="F1076" s="139"/>
      <c r="G1076" s="139"/>
      <c r="H1076" s="139"/>
      <c r="I1076" s="139"/>
    </row>
    <row r="1077" spans="2:9" ht="25.5" customHeight="1" thickBot="1" x14ac:dyDescent="0.25">
      <c r="B1077" s="243" t="s">
        <v>350</v>
      </c>
      <c r="C1077" s="244"/>
      <c r="D1077" s="244"/>
      <c r="E1077" s="245"/>
      <c r="F1077" s="125"/>
      <c r="G1077" s="125"/>
      <c r="H1077" s="125"/>
      <c r="I1077" s="125"/>
    </row>
    <row r="1078" spans="2:9" x14ac:dyDescent="0.2">
      <c r="B1078" s="33" t="s">
        <v>18</v>
      </c>
      <c r="C1078" s="31"/>
      <c r="D1078" s="72"/>
      <c r="E1078" s="32"/>
      <c r="F1078" s="125"/>
      <c r="G1078" s="125"/>
      <c r="H1078" s="125"/>
      <c r="I1078" s="125"/>
    </row>
    <row r="1079" spans="2:9" x14ac:dyDescent="0.2">
      <c r="B1079" s="34"/>
      <c r="C1079" s="199" t="s">
        <v>64</v>
      </c>
      <c r="D1079" s="199"/>
      <c r="E1079" s="199"/>
      <c r="F1079" s="125"/>
      <c r="G1079" s="125"/>
      <c r="H1079" s="125"/>
      <c r="I1079" s="125"/>
    </row>
    <row r="1080" spans="2:9" x14ac:dyDescent="0.2">
      <c r="B1080" s="33" t="s">
        <v>19</v>
      </c>
      <c r="C1080" s="35"/>
      <c r="D1080" s="35"/>
      <c r="E1080" s="36"/>
      <c r="F1080" s="125"/>
      <c r="G1080" s="125"/>
      <c r="H1080" s="125"/>
      <c r="I1080" s="125"/>
    </row>
    <row r="1081" spans="2:9" x14ac:dyDescent="0.2">
      <c r="B1081" s="34"/>
      <c r="C1081" s="199" t="s">
        <v>141</v>
      </c>
      <c r="D1081" s="199"/>
      <c r="E1081" s="199"/>
      <c r="F1081" s="125"/>
      <c r="G1081" s="125"/>
      <c r="H1081" s="125"/>
      <c r="I1081" s="125"/>
    </row>
    <row r="1082" spans="2:9" x14ac:dyDescent="0.2">
      <c r="B1082" s="33" t="s">
        <v>20</v>
      </c>
      <c r="C1082" s="31"/>
      <c r="D1082" s="72"/>
      <c r="E1082" s="32"/>
      <c r="F1082" s="125"/>
      <c r="G1082" s="125"/>
      <c r="H1082" s="125"/>
      <c r="I1082" s="125"/>
    </row>
    <row r="1083" spans="2:9" x14ac:dyDescent="0.2">
      <c r="B1083" s="33"/>
      <c r="C1083" s="198" t="s">
        <v>65</v>
      </c>
      <c r="D1083" s="198"/>
      <c r="E1083" s="198"/>
      <c r="F1083" s="125"/>
      <c r="G1083" s="125"/>
      <c r="H1083" s="125"/>
      <c r="I1083" s="125"/>
    </row>
    <row r="1084" spans="2:9" ht="13.5" thickBot="1" x14ac:dyDescent="0.25">
      <c r="B1084" s="37"/>
      <c r="C1084" s="38"/>
      <c r="D1084" s="73"/>
      <c r="E1084" s="39"/>
      <c r="F1084" s="125"/>
      <c r="G1084" s="125"/>
      <c r="H1084" s="125"/>
      <c r="I1084" s="125"/>
    </row>
    <row r="1085" spans="2:9" ht="13.5" thickBot="1" x14ac:dyDescent="0.25">
      <c r="F1085" s="125"/>
      <c r="G1085" s="125"/>
      <c r="H1085" s="125"/>
      <c r="I1085" s="125"/>
    </row>
    <row r="1086" spans="2:9" x14ac:dyDescent="0.2">
      <c r="B1086" s="27" t="s">
        <v>168</v>
      </c>
      <c r="C1086" s="28"/>
      <c r="D1086" s="71"/>
      <c r="E1086" s="29"/>
      <c r="F1086" s="125"/>
      <c r="G1086" s="125"/>
      <c r="H1086" s="125"/>
      <c r="I1086" s="125"/>
    </row>
    <row r="1087" spans="2:9" x14ac:dyDescent="0.2">
      <c r="B1087" s="30"/>
      <c r="C1087" s="250" t="s">
        <v>353</v>
      </c>
      <c r="D1087" s="250"/>
      <c r="E1087" s="251"/>
      <c r="F1087" s="125"/>
      <c r="G1087" s="125"/>
      <c r="H1087" s="125"/>
      <c r="I1087" s="125"/>
    </row>
    <row r="1088" spans="2:9" x14ac:dyDescent="0.2">
      <c r="B1088" s="33" t="s">
        <v>16</v>
      </c>
      <c r="C1088" s="31"/>
      <c r="D1088" s="72"/>
      <c r="E1088" s="32"/>
      <c r="F1088" s="125"/>
      <c r="G1088" s="125"/>
      <c r="H1088" s="125"/>
      <c r="I1088" s="125"/>
    </row>
    <row r="1089" spans="2:9" x14ac:dyDescent="0.2">
      <c r="B1089" s="33"/>
      <c r="C1089" s="199"/>
      <c r="D1089" s="199"/>
      <c r="E1089" s="199"/>
      <c r="F1089" s="125"/>
      <c r="G1089" s="125"/>
      <c r="H1089" s="125"/>
      <c r="I1089" s="125"/>
    </row>
    <row r="1090" spans="2:9" ht="13.5" thickBot="1" x14ac:dyDescent="0.25">
      <c r="B1090" s="33" t="s">
        <v>17</v>
      </c>
      <c r="C1090" s="31"/>
      <c r="D1090" s="72"/>
      <c r="E1090" s="32"/>
      <c r="F1090" s="125"/>
      <c r="G1090" s="125"/>
      <c r="H1090" s="125"/>
      <c r="I1090" s="125"/>
    </row>
    <row r="1091" spans="2:9" ht="13.5" thickBot="1" x14ac:dyDescent="0.25">
      <c r="B1091" s="185" t="s">
        <v>288</v>
      </c>
      <c r="C1091" s="186"/>
      <c r="D1091" s="186"/>
      <c r="E1091" s="187"/>
      <c r="F1091" s="125"/>
      <c r="G1091" s="125"/>
      <c r="H1091" s="125"/>
      <c r="I1091" s="125"/>
    </row>
    <row r="1092" spans="2:9" x14ac:dyDescent="0.2">
      <c r="B1092" s="248" t="s">
        <v>139</v>
      </c>
      <c r="C1092" s="249"/>
      <c r="D1092" s="123" t="s">
        <v>11</v>
      </c>
      <c r="E1092" s="123" t="s">
        <v>140</v>
      </c>
      <c r="F1092" s="125"/>
      <c r="G1092" s="125"/>
      <c r="H1092" s="125"/>
      <c r="I1092" s="125"/>
    </row>
    <row r="1093" spans="2:9" s="130" customFormat="1" x14ac:dyDescent="0.2">
      <c r="B1093" s="246" t="s">
        <v>317</v>
      </c>
      <c r="C1093" s="246"/>
      <c r="D1093" s="140">
        <v>2</v>
      </c>
      <c r="E1093" s="141" t="s">
        <v>316</v>
      </c>
      <c r="F1093" s="139">
        <f>SUM(D1093:D1112)</f>
        <v>56</v>
      </c>
      <c r="G1093" s="139">
        <f>F1093*2</f>
        <v>112</v>
      </c>
      <c r="H1093" s="139">
        <f>G1093*$H$48</f>
        <v>336</v>
      </c>
      <c r="I1093" s="139"/>
    </row>
    <row r="1094" spans="2:9" s="130" customFormat="1" x14ac:dyDescent="0.2">
      <c r="B1094" s="246" t="s">
        <v>318</v>
      </c>
      <c r="C1094" s="246"/>
      <c r="D1094" s="140">
        <v>4</v>
      </c>
      <c r="E1094" s="141" t="s">
        <v>247</v>
      </c>
      <c r="F1094" s="139"/>
      <c r="G1094" s="139"/>
      <c r="H1094" s="139"/>
      <c r="I1094" s="139"/>
    </row>
    <row r="1095" spans="2:9" s="130" customFormat="1" x14ac:dyDescent="0.2">
      <c r="B1095" s="246" t="s">
        <v>320</v>
      </c>
      <c r="C1095" s="246"/>
      <c r="D1095" s="140">
        <v>4</v>
      </c>
      <c r="E1095" s="141" t="s">
        <v>248</v>
      </c>
      <c r="F1095" s="139"/>
      <c r="G1095" s="139"/>
      <c r="H1095" s="139"/>
      <c r="I1095" s="139"/>
    </row>
    <row r="1096" spans="2:9" s="130" customFormat="1" x14ac:dyDescent="0.2">
      <c r="B1096" s="246" t="s">
        <v>319</v>
      </c>
      <c r="C1096" s="246"/>
      <c r="D1096" s="140">
        <v>4</v>
      </c>
      <c r="E1096" s="141" t="s">
        <v>249</v>
      </c>
      <c r="F1096" s="139"/>
      <c r="G1096" s="139"/>
      <c r="H1096" s="139"/>
      <c r="I1096" s="139"/>
    </row>
    <row r="1097" spans="2:9" s="130" customFormat="1" x14ac:dyDescent="0.2">
      <c r="B1097" s="246" t="s">
        <v>314</v>
      </c>
      <c r="C1097" s="246"/>
      <c r="D1097" s="140">
        <v>4</v>
      </c>
      <c r="E1097" s="141" t="s">
        <v>315</v>
      </c>
      <c r="F1097" s="139"/>
      <c r="G1097" s="139"/>
      <c r="H1097" s="139"/>
      <c r="I1097" s="139"/>
    </row>
    <row r="1098" spans="2:9" s="130" customFormat="1" x14ac:dyDescent="0.2">
      <c r="B1098" s="246" t="s">
        <v>250</v>
      </c>
      <c r="C1098" s="246"/>
      <c r="D1098" s="140">
        <v>1</v>
      </c>
      <c r="E1098" s="141" t="s">
        <v>251</v>
      </c>
      <c r="F1098" s="139"/>
      <c r="G1098" s="139"/>
      <c r="H1098" s="139"/>
      <c r="I1098" s="139"/>
    </row>
    <row r="1099" spans="2:9" s="130" customFormat="1" x14ac:dyDescent="0.2">
      <c r="B1099" s="246" t="s">
        <v>252</v>
      </c>
      <c r="C1099" s="246"/>
      <c r="D1099" s="140">
        <v>2</v>
      </c>
      <c r="E1099" s="141" t="s">
        <v>253</v>
      </c>
      <c r="F1099" s="139"/>
      <c r="G1099" s="139"/>
      <c r="H1099" s="139"/>
      <c r="I1099" s="139"/>
    </row>
    <row r="1100" spans="2:9" s="130" customFormat="1" x14ac:dyDescent="0.2">
      <c r="B1100" s="246" t="s">
        <v>254</v>
      </c>
      <c r="C1100" s="246"/>
      <c r="D1100" s="140">
        <v>2</v>
      </c>
      <c r="E1100" s="141" t="s">
        <v>255</v>
      </c>
      <c r="F1100" s="139"/>
      <c r="G1100" s="139"/>
      <c r="H1100" s="139"/>
      <c r="I1100" s="139"/>
    </row>
    <row r="1101" spans="2:9" s="130" customFormat="1" x14ac:dyDescent="0.2">
      <c r="B1101" s="246" t="s">
        <v>256</v>
      </c>
      <c r="C1101" s="246"/>
      <c r="D1101" s="140">
        <v>4</v>
      </c>
      <c r="E1101" s="141" t="s">
        <v>257</v>
      </c>
      <c r="F1101" s="139"/>
      <c r="G1101" s="139"/>
      <c r="H1101" s="139"/>
      <c r="I1101" s="139"/>
    </row>
    <row r="1102" spans="2:9" s="130" customFormat="1" x14ac:dyDescent="0.2">
      <c r="B1102" s="246" t="s">
        <v>321</v>
      </c>
      <c r="C1102" s="246"/>
      <c r="D1102" s="140">
        <v>3</v>
      </c>
      <c r="E1102" s="141" t="s">
        <v>258</v>
      </c>
      <c r="F1102" s="139"/>
      <c r="G1102" s="139"/>
      <c r="H1102" s="139"/>
      <c r="I1102" s="139"/>
    </row>
    <row r="1103" spans="2:9" s="130" customFormat="1" x14ac:dyDescent="0.2">
      <c r="B1103" s="246" t="s">
        <v>259</v>
      </c>
      <c r="C1103" s="246"/>
      <c r="D1103" s="140">
        <v>1</v>
      </c>
      <c r="E1103" s="141" t="s">
        <v>260</v>
      </c>
      <c r="F1103" s="139"/>
      <c r="G1103" s="139"/>
      <c r="H1103" s="139"/>
      <c r="I1103" s="139"/>
    </row>
    <row r="1104" spans="2:9" s="130" customFormat="1" x14ac:dyDescent="0.2">
      <c r="B1104" s="246" t="s">
        <v>261</v>
      </c>
      <c r="C1104" s="246"/>
      <c r="D1104" s="140">
        <v>4</v>
      </c>
      <c r="E1104" s="141" t="s">
        <v>262</v>
      </c>
      <c r="F1104" s="139"/>
      <c r="G1104" s="139"/>
      <c r="H1104" s="139"/>
      <c r="I1104" s="139"/>
    </row>
    <row r="1105" spans="2:9" s="130" customFormat="1" x14ac:dyDescent="0.2">
      <c r="B1105" s="246" t="s">
        <v>322</v>
      </c>
      <c r="C1105" s="246"/>
      <c r="D1105" s="140">
        <v>4</v>
      </c>
      <c r="E1105" s="141" t="s">
        <v>263</v>
      </c>
      <c r="F1105" s="139"/>
      <c r="G1105" s="139"/>
      <c r="H1105" s="139"/>
      <c r="I1105" s="139"/>
    </row>
    <row r="1106" spans="2:9" s="130" customFormat="1" x14ac:dyDescent="0.2">
      <c r="B1106" s="246" t="s">
        <v>264</v>
      </c>
      <c r="C1106" s="246"/>
      <c r="D1106" s="140">
        <v>1</v>
      </c>
      <c r="E1106" s="141" t="s">
        <v>265</v>
      </c>
      <c r="F1106" s="139"/>
      <c r="G1106" s="139"/>
      <c r="H1106" s="139"/>
      <c r="I1106" s="139"/>
    </row>
    <row r="1107" spans="2:9" s="130" customFormat="1" x14ac:dyDescent="0.2">
      <c r="B1107" s="246" t="s">
        <v>266</v>
      </c>
      <c r="C1107" s="246"/>
      <c r="D1107" s="140">
        <v>3</v>
      </c>
      <c r="E1107" s="141" t="s">
        <v>267</v>
      </c>
      <c r="F1107" s="139"/>
      <c r="G1107" s="139"/>
      <c r="H1107" s="139"/>
      <c r="I1107" s="139"/>
    </row>
    <row r="1108" spans="2:9" s="130" customFormat="1" x14ac:dyDescent="0.2">
      <c r="B1108" s="246" t="s">
        <v>268</v>
      </c>
      <c r="C1108" s="246"/>
      <c r="D1108" s="140">
        <v>3</v>
      </c>
      <c r="E1108" s="141" t="s">
        <v>269</v>
      </c>
      <c r="F1108" s="139"/>
      <c r="G1108" s="139"/>
      <c r="H1108" s="139"/>
      <c r="I1108" s="139"/>
    </row>
    <row r="1109" spans="2:9" s="130" customFormat="1" x14ac:dyDescent="0.2">
      <c r="B1109" s="246" t="s">
        <v>270</v>
      </c>
      <c r="C1109" s="246"/>
      <c r="D1109" s="140">
        <v>2</v>
      </c>
      <c r="E1109" s="141" t="s">
        <v>271</v>
      </c>
      <c r="F1109" s="139"/>
      <c r="G1109" s="139"/>
      <c r="H1109" s="139"/>
      <c r="I1109" s="139"/>
    </row>
    <row r="1110" spans="2:9" s="130" customFormat="1" x14ac:dyDescent="0.2">
      <c r="B1110" s="246" t="s">
        <v>272</v>
      </c>
      <c r="C1110" s="246"/>
      <c r="D1110" s="140">
        <v>2</v>
      </c>
      <c r="E1110" s="141" t="s">
        <v>273</v>
      </c>
      <c r="F1110" s="139"/>
      <c r="G1110" s="139"/>
      <c r="H1110" s="139"/>
      <c r="I1110" s="139"/>
    </row>
    <row r="1111" spans="2:9" s="130" customFormat="1" x14ac:dyDescent="0.2">
      <c r="B1111" s="246" t="s">
        <v>274</v>
      </c>
      <c r="C1111" s="246"/>
      <c r="D1111" s="140">
        <v>2</v>
      </c>
      <c r="E1111" s="141" t="s">
        <v>275</v>
      </c>
      <c r="F1111" s="139"/>
      <c r="G1111" s="139"/>
      <c r="H1111" s="139"/>
      <c r="I1111" s="139"/>
    </row>
    <row r="1112" spans="2:9" s="130" customFormat="1" ht="13.5" thickBot="1" x14ac:dyDescent="0.25">
      <c r="B1112" s="246" t="s">
        <v>323</v>
      </c>
      <c r="C1112" s="246"/>
      <c r="D1112" s="140">
        <v>4</v>
      </c>
      <c r="E1112" s="141" t="s">
        <v>324</v>
      </c>
      <c r="F1112" s="139"/>
      <c r="G1112" s="139"/>
      <c r="H1112" s="139"/>
      <c r="I1112" s="139"/>
    </row>
    <row r="1113" spans="2:9" ht="24.75" customHeight="1" thickBot="1" x14ac:dyDescent="0.25">
      <c r="B1113" s="243" t="s">
        <v>349</v>
      </c>
      <c r="C1113" s="244"/>
      <c r="D1113" s="244"/>
      <c r="E1113" s="245"/>
      <c r="F1113" s="125"/>
      <c r="G1113" s="125"/>
      <c r="H1113" s="125"/>
      <c r="I1113" s="125"/>
    </row>
    <row r="1114" spans="2:9" x14ac:dyDescent="0.2">
      <c r="B1114" s="33" t="s">
        <v>18</v>
      </c>
      <c r="C1114" s="31"/>
      <c r="D1114" s="72"/>
      <c r="E1114" s="32"/>
      <c r="F1114" s="125"/>
      <c r="G1114" s="125"/>
      <c r="H1114" s="125"/>
      <c r="I1114" s="125"/>
    </row>
    <row r="1115" spans="2:9" x14ac:dyDescent="0.2">
      <c r="B1115" s="34"/>
      <c r="C1115" s="199" t="s">
        <v>64</v>
      </c>
      <c r="D1115" s="199"/>
      <c r="E1115" s="199"/>
      <c r="F1115" s="125"/>
      <c r="G1115" s="125"/>
      <c r="H1115" s="125"/>
      <c r="I1115" s="125"/>
    </row>
    <row r="1116" spans="2:9" x14ac:dyDescent="0.2">
      <c r="B1116" s="33" t="s">
        <v>19</v>
      </c>
      <c r="C1116" s="35"/>
      <c r="D1116" s="35"/>
      <c r="E1116" s="36"/>
      <c r="F1116" s="125"/>
      <c r="G1116" s="125"/>
      <c r="H1116" s="125"/>
      <c r="I1116" s="125"/>
    </row>
    <row r="1117" spans="2:9" x14ac:dyDescent="0.2">
      <c r="B1117" s="34"/>
      <c r="C1117" s="199">
        <f>SUM(F49)</f>
        <v>1319</v>
      </c>
      <c r="D1117" s="199"/>
      <c r="E1117" s="199"/>
      <c r="F1117" s="125"/>
      <c r="G1117" s="125"/>
      <c r="H1117" s="125"/>
      <c r="I1117" s="125"/>
    </row>
    <row r="1118" spans="2:9" x14ac:dyDescent="0.2">
      <c r="B1118" s="33" t="s">
        <v>20</v>
      </c>
      <c r="C1118" s="31"/>
      <c r="D1118" s="72"/>
      <c r="E1118" s="32"/>
      <c r="F1118" s="125"/>
      <c r="G1118" s="125"/>
      <c r="H1118" s="125"/>
      <c r="I1118" s="125"/>
    </row>
    <row r="1119" spans="2:9" x14ac:dyDescent="0.2">
      <c r="B1119" s="33"/>
      <c r="C1119" s="198" t="s">
        <v>65</v>
      </c>
      <c r="D1119" s="198"/>
      <c r="E1119" s="198"/>
      <c r="F1119" s="125"/>
      <c r="G1119" s="125"/>
      <c r="H1119" s="125"/>
      <c r="I1119" s="125"/>
    </row>
    <row r="1120" spans="2:9" ht="13.5" thickBot="1" x14ac:dyDescent="0.25">
      <c r="B1120" s="37"/>
      <c r="C1120" s="38"/>
      <c r="D1120" s="73"/>
      <c r="E1120" s="39"/>
      <c r="F1120" s="125"/>
      <c r="G1120" s="125"/>
      <c r="H1120" s="125"/>
      <c r="I1120" s="125"/>
    </row>
    <row r="1121" spans="2:9" ht="13.5" thickBot="1" x14ac:dyDescent="0.25"/>
    <row r="1122" spans="2:9" x14ac:dyDescent="0.2">
      <c r="B1122" s="27" t="s">
        <v>313</v>
      </c>
      <c r="C1122" s="28"/>
      <c r="D1122" s="71"/>
      <c r="E1122" s="29"/>
    </row>
    <row r="1123" spans="2:9" ht="5.25" customHeight="1" x14ac:dyDescent="0.2">
      <c r="B1123" s="30"/>
      <c r="C1123" s="31"/>
      <c r="D1123" s="72"/>
      <c r="E1123" s="32"/>
    </row>
    <row r="1124" spans="2:9" x14ac:dyDescent="0.2">
      <c r="B1124" s="33" t="s">
        <v>16</v>
      </c>
      <c r="C1124" s="31"/>
      <c r="D1124" s="72"/>
      <c r="E1124" s="32"/>
    </row>
    <row r="1125" spans="2:9" ht="25.5" customHeight="1" x14ac:dyDescent="0.2">
      <c r="B1125" s="33"/>
      <c r="C1125" s="199"/>
      <c r="D1125" s="199"/>
      <c r="E1125" s="199"/>
    </row>
    <row r="1126" spans="2:9" ht="13.5" thickBot="1" x14ac:dyDescent="0.25">
      <c r="B1126" s="33" t="s">
        <v>17</v>
      </c>
      <c r="C1126" s="31"/>
      <c r="D1126" s="72"/>
      <c r="E1126" s="32"/>
    </row>
    <row r="1127" spans="2:9" ht="13.5" thickBot="1" x14ac:dyDescent="0.25">
      <c r="B1127" s="185" t="s">
        <v>138</v>
      </c>
      <c r="C1127" s="186"/>
      <c r="D1127" s="186"/>
      <c r="E1127" s="187"/>
    </row>
    <row r="1128" spans="2:9" ht="13.5" thickBot="1" x14ac:dyDescent="0.25">
      <c r="B1128" s="185" t="s">
        <v>139</v>
      </c>
      <c r="C1128" s="187"/>
      <c r="D1128" s="69" t="s">
        <v>11</v>
      </c>
      <c r="E1128" s="69" t="s">
        <v>140</v>
      </c>
      <c r="F1128" s="125"/>
      <c r="G1128" s="125">
        <v>4</v>
      </c>
      <c r="H1128" s="125">
        <v>3</v>
      </c>
      <c r="I1128" s="125"/>
    </row>
    <row r="1129" spans="2:9" s="130" customFormat="1" x14ac:dyDescent="0.2">
      <c r="B1129" s="247" t="s">
        <v>317</v>
      </c>
      <c r="C1129" s="247"/>
      <c r="D1129" s="137">
        <v>3</v>
      </c>
      <c r="E1129" s="138" t="s">
        <v>316</v>
      </c>
      <c r="F1129" s="139">
        <f>SUM(D1129:D1148)</f>
        <v>110</v>
      </c>
      <c r="G1129" s="139">
        <f>F1129*$G$48</f>
        <v>440</v>
      </c>
      <c r="H1129" s="139">
        <f>G1129*$H$48</f>
        <v>1320</v>
      </c>
      <c r="I1129" s="139"/>
    </row>
    <row r="1130" spans="2:9" s="130" customFormat="1" x14ac:dyDescent="0.2">
      <c r="B1130" s="246" t="s">
        <v>318</v>
      </c>
      <c r="C1130" s="246"/>
      <c r="D1130" s="140">
        <v>7</v>
      </c>
      <c r="E1130" s="141" t="s">
        <v>247</v>
      </c>
      <c r="F1130" s="139"/>
      <c r="G1130" s="139"/>
      <c r="H1130" s="139"/>
      <c r="I1130" s="139"/>
    </row>
    <row r="1131" spans="2:9" s="130" customFormat="1" x14ac:dyDescent="0.2">
      <c r="B1131" s="246" t="s">
        <v>320</v>
      </c>
      <c r="C1131" s="246"/>
      <c r="D1131" s="140">
        <v>8</v>
      </c>
      <c r="E1131" s="141" t="s">
        <v>248</v>
      </c>
      <c r="F1131" s="139"/>
      <c r="G1131" s="139"/>
      <c r="H1131" s="139"/>
      <c r="I1131" s="139"/>
    </row>
    <row r="1132" spans="2:9" s="130" customFormat="1" x14ac:dyDescent="0.2">
      <c r="B1132" s="246" t="s">
        <v>319</v>
      </c>
      <c r="C1132" s="246"/>
      <c r="D1132" s="140">
        <v>7</v>
      </c>
      <c r="E1132" s="141" t="s">
        <v>249</v>
      </c>
      <c r="F1132" s="139"/>
      <c r="G1132" s="139"/>
      <c r="H1132" s="139"/>
      <c r="I1132" s="139"/>
    </row>
    <row r="1133" spans="2:9" s="130" customFormat="1" x14ac:dyDescent="0.2">
      <c r="B1133" s="246" t="s">
        <v>314</v>
      </c>
      <c r="C1133" s="246"/>
      <c r="D1133" s="140">
        <v>8</v>
      </c>
      <c r="E1133" s="141" t="s">
        <v>315</v>
      </c>
      <c r="F1133" s="139"/>
      <c r="G1133" s="139"/>
      <c r="H1133" s="139"/>
      <c r="I1133" s="139"/>
    </row>
    <row r="1134" spans="2:9" s="130" customFormat="1" x14ac:dyDescent="0.2">
      <c r="B1134" s="246" t="s">
        <v>250</v>
      </c>
      <c r="C1134" s="246"/>
      <c r="D1134" s="140">
        <v>2</v>
      </c>
      <c r="E1134" s="141" t="s">
        <v>251</v>
      </c>
      <c r="F1134" s="139"/>
      <c r="G1134" s="139"/>
      <c r="H1134" s="139"/>
      <c r="I1134" s="139"/>
    </row>
    <row r="1135" spans="2:9" s="130" customFormat="1" x14ac:dyDescent="0.2">
      <c r="B1135" s="246" t="s">
        <v>252</v>
      </c>
      <c r="C1135" s="246"/>
      <c r="D1135" s="140">
        <v>4</v>
      </c>
      <c r="E1135" s="141" t="s">
        <v>253</v>
      </c>
      <c r="F1135" s="139"/>
      <c r="G1135" s="139"/>
      <c r="H1135" s="139"/>
      <c r="I1135" s="139"/>
    </row>
    <row r="1136" spans="2:9" s="130" customFormat="1" x14ac:dyDescent="0.2">
      <c r="B1136" s="246" t="s">
        <v>254</v>
      </c>
      <c r="C1136" s="246"/>
      <c r="D1136" s="140">
        <v>4</v>
      </c>
      <c r="E1136" s="141" t="s">
        <v>255</v>
      </c>
      <c r="F1136" s="139"/>
      <c r="G1136" s="139"/>
      <c r="H1136" s="139"/>
      <c r="I1136" s="139"/>
    </row>
    <row r="1137" spans="2:9" s="130" customFormat="1" x14ac:dyDescent="0.2">
      <c r="B1137" s="246" t="s">
        <v>256</v>
      </c>
      <c r="C1137" s="246"/>
      <c r="D1137" s="140">
        <v>7</v>
      </c>
      <c r="E1137" s="141" t="s">
        <v>257</v>
      </c>
      <c r="F1137" s="139"/>
      <c r="G1137" s="139"/>
      <c r="H1137" s="139"/>
      <c r="I1137" s="139"/>
    </row>
    <row r="1138" spans="2:9" s="130" customFormat="1" x14ac:dyDescent="0.2">
      <c r="B1138" s="246" t="s">
        <v>321</v>
      </c>
      <c r="C1138" s="246"/>
      <c r="D1138" s="140">
        <v>6</v>
      </c>
      <c r="E1138" s="141" t="s">
        <v>258</v>
      </c>
      <c r="F1138" s="139"/>
      <c r="G1138" s="139"/>
      <c r="H1138" s="139"/>
      <c r="I1138" s="139"/>
    </row>
    <row r="1139" spans="2:9" s="130" customFormat="1" x14ac:dyDescent="0.2">
      <c r="B1139" s="246" t="s">
        <v>259</v>
      </c>
      <c r="C1139" s="246"/>
      <c r="D1139" s="140">
        <v>3</v>
      </c>
      <c r="E1139" s="141" t="s">
        <v>260</v>
      </c>
      <c r="F1139" s="139"/>
      <c r="G1139" s="139"/>
      <c r="H1139" s="139"/>
      <c r="I1139" s="139"/>
    </row>
    <row r="1140" spans="2:9" s="130" customFormat="1" x14ac:dyDescent="0.2">
      <c r="B1140" s="246" t="s">
        <v>261</v>
      </c>
      <c r="C1140" s="246"/>
      <c r="D1140" s="140">
        <v>8</v>
      </c>
      <c r="E1140" s="141" t="s">
        <v>262</v>
      </c>
      <c r="F1140" s="139"/>
      <c r="G1140" s="139"/>
      <c r="H1140" s="139"/>
      <c r="I1140" s="139"/>
    </row>
    <row r="1141" spans="2:9" s="130" customFormat="1" x14ac:dyDescent="0.2">
      <c r="B1141" s="246" t="s">
        <v>322</v>
      </c>
      <c r="C1141" s="246"/>
      <c r="D1141" s="140">
        <v>8</v>
      </c>
      <c r="E1141" s="141" t="s">
        <v>263</v>
      </c>
      <c r="F1141" s="139"/>
      <c r="G1141" s="139"/>
      <c r="H1141" s="139"/>
      <c r="I1141" s="139"/>
    </row>
    <row r="1142" spans="2:9" s="130" customFormat="1" x14ac:dyDescent="0.2">
      <c r="B1142" s="246" t="s">
        <v>264</v>
      </c>
      <c r="C1142" s="246"/>
      <c r="D1142" s="140">
        <v>3</v>
      </c>
      <c r="E1142" s="141" t="s">
        <v>265</v>
      </c>
      <c r="F1142" s="139"/>
      <c r="G1142" s="139"/>
      <c r="H1142" s="139"/>
      <c r="I1142" s="139"/>
    </row>
    <row r="1143" spans="2:9" s="130" customFormat="1" x14ac:dyDescent="0.2">
      <c r="B1143" s="246" t="s">
        <v>266</v>
      </c>
      <c r="C1143" s="246"/>
      <c r="D1143" s="140">
        <v>5</v>
      </c>
      <c r="E1143" s="141" t="s">
        <v>267</v>
      </c>
      <c r="F1143" s="139"/>
      <c r="G1143" s="139"/>
      <c r="H1143" s="139"/>
      <c r="I1143" s="139"/>
    </row>
    <row r="1144" spans="2:9" s="130" customFormat="1" x14ac:dyDescent="0.2">
      <c r="B1144" s="246" t="s">
        <v>268</v>
      </c>
      <c r="C1144" s="246"/>
      <c r="D1144" s="140">
        <v>5</v>
      </c>
      <c r="E1144" s="141" t="s">
        <v>269</v>
      </c>
      <c r="F1144" s="139"/>
      <c r="G1144" s="139"/>
      <c r="H1144" s="139"/>
      <c r="I1144" s="139"/>
    </row>
    <row r="1145" spans="2:9" s="130" customFormat="1" x14ac:dyDescent="0.2">
      <c r="B1145" s="246" t="s">
        <v>270</v>
      </c>
      <c r="C1145" s="246"/>
      <c r="D1145" s="140">
        <v>4</v>
      </c>
      <c r="E1145" s="141" t="s">
        <v>271</v>
      </c>
      <c r="F1145" s="139"/>
      <c r="G1145" s="139"/>
      <c r="H1145" s="139"/>
      <c r="I1145" s="139"/>
    </row>
    <row r="1146" spans="2:9" s="130" customFormat="1" x14ac:dyDescent="0.2">
      <c r="B1146" s="246" t="s">
        <v>272</v>
      </c>
      <c r="C1146" s="246"/>
      <c r="D1146" s="140">
        <v>5</v>
      </c>
      <c r="E1146" s="141" t="s">
        <v>273</v>
      </c>
      <c r="F1146" s="139"/>
      <c r="G1146" s="139"/>
      <c r="H1146" s="139"/>
      <c r="I1146" s="139"/>
    </row>
    <row r="1147" spans="2:9" s="130" customFormat="1" x14ac:dyDescent="0.2">
      <c r="B1147" s="246" t="s">
        <v>274</v>
      </c>
      <c r="C1147" s="246"/>
      <c r="D1147" s="140">
        <v>5</v>
      </c>
      <c r="E1147" s="141" t="s">
        <v>275</v>
      </c>
      <c r="F1147" s="139"/>
      <c r="G1147" s="139"/>
      <c r="H1147" s="139"/>
      <c r="I1147" s="139"/>
    </row>
    <row r="1148" spans="2:9" s="130" customFormat="1" ht="13.5" thickBot="1" x14ac:dyDescent="0.25">
      <c r="B1148" s="252" t="s">
        <v>323</v>
      </c>
      <c r="C1148" s="252"/>
      <c r="D1148" s="142">
        <v>8</v>
      </c>
      <c r="E1148" s="143" t="s">
        <v>324</v>
      </c>
      <c r="F1148" s="139"/>
      <c r="G1148" s="139"/>
      <c r="H1148" s="139"/>
      <c r="I1148" s="139"/>
    </row>
    <row r="1149" spans="2:9" ht="25.5" customHeight="1" thickBot="1" x14ac:dyDescent="0.25">
      <c r="B1149" s="243" t="s">
        <v>351</v>
      </c>
      <c r="C1149" s="244"/>
      <c r="D1149" s="244"/>
      <c r="E1149" s="245"/>
      <c r="F1149" s="125"/>
      <c r="G1149" s="125"/>
      <c r="H1149" s="125"/>
      <c r="I1149" s="125"/>
    </row>
    <row r="1150" spans="2:9" x14ac:dyDescent="0.2">
      <c r="B1150" s="33" t="s">
        <v>18</v>
      </c>
      <c r="C1150" s="31"/>
      <c r="D1150" s="72"/>
      <c r="E1150" s="32"/>
      <c r="F1150" s="125"/>
      <c r="G1150" s="125"/>
      <c r="H1150" s="125"/>
      <c r="I1150" s="125"/>
    </row>
    <row r="1151" spans="2:9" x14ac:dyDescent="0.2">
      <c r="B1151" s="34"/>
      <c r="C1151" s="199" t="s">
        <v>64</v>
      </c>
      <c r="D1151" s="199"/>
      <c r="E1151" s="199"/>
      <c r="F1151" s="125"/>
      <c r="G1151" s="125"/>
      <c r="H1151" s="125"/>
      <c r="I1151" s="125"/>
    </row>
    <row r="1152" spans="2:9" x14ac:dyDescent="0.2">
      <c r="B1152" s="33" t="s">
        <v>19</v>
      </c>
      <c r="C1152" s="35"/>
      <c r="D1152" s="35"/>
      <c r="E1152" s="36"/>
      <c r="F1152" s="125"/>
      <c r="G1152" s="125"/>
      <c r="H1152" s="125"/>
      <c r="I1152" s="125"/>
    </row>
    <row r="1153" spans="2:9" x14ac:dyDescent="0.2">
      <c r="B1153" s="34"/>
      <c r="C1153" s="199" t="s">
        <v>141</v>
      </c>
      <c r="D1153" s="199"/>
      <c r="E1153" s="199"/>
      <c r="F1153" s="125"/>
      <c r="G1153" s="125"/>
      <c r="H1153" s="125"/>
      <c r="I1153" s="125"/>
    </row>
    <row r="1154" spans="2:9" x14ac:dyDescent="0.2">
      <c r="B1154" s="33" t="s">
        <v>20</v>
      </c>
      <c r="C1154" s="31"/>
      <c r="D1154" s="72"/>
      <c r="E1154" s="32"/>
      <c r="F1154" s="125"/>
      <c r="G1154" s="125"/>
      <c r="H1154" s="125"/>
      <c r="I1154" s="125"/>
    </row>
    <row r="1155" spans="2:9" x14ac:dyDescent="0.2">
      <c r="B1155" s="33"/>
      <c r="C1155" s="198" t="s">
        <v>65</v>
      </c>
      <c r="D1155" s="198"/>
      <c r="E1155" s="198"/>
      <c r="F1155" s="125"/>
      <c r="G1155" s="125"/>
      <c r="H1155" s="125"/>
      <c r="I1155" s="125"/>
    </row>
    <row r="1156" spans="2:9" ht="13.5" thickBot="1" x14ac:dyDescent="0.25">
      <c r="B1156" s="37"/>
      <c r="C1156" s="38"/>
      <c r="D1156" s="73"/>
      <c r="E1156" s="39"/>
      <c r="F1156" s="125"/>
      <c r="G1156" s="125"/>
      <c r="H1156" s="125"/>
      <c r="I1156" s="125"/>
    </row>
  </sheetData>
  <mergeCells count="850">
    <mergeCell ref="B1144:C1144"/>
    <mergeCell ref="B1145:C1145"/>
    <mergeCell ref="B1146:C1146"/>
    <mergeCell ref="B1147:C1147"/>
    <mergeCell ref="B1148:C1148"/>
    <mergeCell ref="B1149:E1149"/>
    <mergeCell ref="C1151:E1151"/>
    <mergeCell ref="C1153:E1153"/>
    <mergeCell ref="C1155:E1155"/>
    <mergeCell ref="B1135:C1135"/>
    <mergeCell ref="B1136:C1136"/>
    <mergeCell ref="B1137:C1137"/>
    <mergeCell ref="B1138:C1138"/>
    <mergeCell ref="B1139:C1139"/>
    <mergeCell ref="B1140:C1140"/>
    <mergeCell ref="B1141:C1141"/>
    <mergeCell ref="B1142:C1142"/>
    <mergeCell ref="B1143:C1143"/>
    <mergeCell ref="C1125:E1125"/>
    <mergeCell ref="B1127:E1127"/>
    <mergeCell ref="B1128:C1128"/>
    <mergeCell ref="B1129:C1129"/>
    <mergeCell ref="B1130:C1130"/>
    <mergeCell ref="B1131:C1131"/>
    <mergeCell ref="B1132:C1132"/>
    <mergeCell ref="B1133:C1133"/>
    <mergeCell ref="B1134:C1134"/>
    <mergeCell ref="B933:E933"/>
    <mergeCell ref="B969:E969"/>
    <mergeCell ref="B57:C57"/>
    <mergeCell ref="B58:C58"/>
    <mergeCell ref="B59:C59"/>
    <mergeCell ref="B60:C60"/>
    <mergeCell ref="B61:C61"/>
    <mergeCell ref="B62:C62"/>
    <mergeCell ref="B54:C54"/>
    <mergeCell ref="B55:C55"/>
    <mergeCell ref="B56:C56"/>
    <mergeCell ref="C71:E71"/>
    <mergeCell ref="C73:E73"/>
    <mergeCell ref="C75:E75"/>
    <mergeCell ref="C81:E81"/>
    <mergeCell ref="B83:E83"/>
    <mergeCell ref="B84:C84"/>
    <mergeCell ref="B91:C91"/>
    <mergeCell ref="B92:C92"/>
    <mergeCell ref="B93:C93"/>
    <mergeCell ref="B85:C85"/>
    <mergeCell ref="B86:C86"/>
    <mergeCell ref="B87:C87"/>
    <mergeCell ref="B88:C88"/>
    <mergeCell ref="B1:H1"/>
    <mergeCell ref="A3:B3"/>
    <mergeCell ref="C3:E3"/>
    <mergeCell ref="A4:B4"/>
    <mergeCell ref="C4:E4"/>
    <mergeCell ref="A5:B5"/>
    <mergeCell ref="B51:C51"/>
    <mergeCell ref="B52:C52"/>
    <mergeCell ref="B53:C53"/>
    <mergeCell ref="A6:B6"/>
    <mergeCell ref="C45:E45"/>
    <mergeCell ref="B47:E47"/>
    <mergeCell ref="B48:C48"/>
    <mergeCell ref="B49:C49"/>
    <mergeCell ref="B50:C50"/>
    <mergeCell ref="B89:C89"/>
    <mergeCell ref="B90:C90"/>
    <mergeCell ref="B63:C63"/>
    <mergeCell ref="B64:C64"/>
    <mergeCell ref="B65:C65"/>
    <mergeCell ref="B66:C66"/>
    <mergeCell ref="B67:C67"/>
    <mergeCell ref="B68:C68"/>
    <mergeCell ref="B97:C97"/>
    <mergeCell ref="B98:C98"/>
    <mergeCell ref="B99:C99"/>
    <mergeCell ref="B100:C100"/>
    <mergeCell ref="B101:C101"/>
    <mergeCell ref="B102:C102"/>
    <mergeCell ref="B94:C94"/>
    <mergeCell ref="B95:C95"/>
    <mergeCell ref="B96:C96"/>
    <mergeCell ref="B119:E119"/>
    <mergeCell ref="B120:C120"/>
    <mergeCell ref="B121:C121"/>
    <mergeCell ref="B122:C122"/>
    <mergeCell ref="B123:C123"/>
    <mergeCell ref="B124:C124"/>
    <mergeCell ref="B103:C103"/>
    <mergeCell ref="B104:C104"/>
    <mergeCell ref="C107:E107"/>
    <mergeCell ref="C109:E109"/>
    <mergeCell ref="C111:E111"/>
    <mergeCell ref="C117:E117"/>
    <mergeCell ref="B131:C131"/>
    <mergeCell ref="B132:C132"/>
    <mergeCell ref="B133:C133"/>
    <mergeCell ref="B134:C134"/>
    <mergeCell ref="B135:C135"/>
    <mergeCell ref="B136:C136"/>
    <mergeCell ref="B125:C125"/>
    <mergeCell ref="B126:C126"/>
    <mergeCell ref="B127:C127"/>
    <mergeCell ref="B128:C128"/>
    <mergeCell ref="B129:C129"/>
    <mergeCell ref="B130:C130"/>
    <mergeCell ref="C147:E147"/>
    <mergeCell ref="C153:E153"/>
    <mergeCell ref="B155:E155"/>
    <mergeCell ref="B156:C156"/>
    <mergeCell ref="B157:C157"/>
    <mergeCell ref="B158:C158"/>
    <mergeCell ref="B137:C137"/>
    <mergeCell ref="B138:C138"/>
    <mergeCell ref="B139:C139"/>
    <mergeCell ref="B140:C140"/>
    <mergeCell ref="C143:E143"/>
    <mergeCell ref="C145:E145"/>
    <mergeCell ref="B165:C165"/>
    <mergeCell ref="B166:C166"/>
    <mergeCell ref="B167:C167"/>
    <mergeCell ref="B168:C168"/>
    <mergeCell ref="B169:C169"/>
    <mergeCell ref="B170:C170"/>
    <mergeCell ref="B159:C159"/>
    <mergeCell ref="B160:C160"/>
    <mergeCell ref="B161:C161"/>
    <mergeCell ref="B162:C162"/>
    <mergeCell ref="B163:C163"/>
    <mergeCell ref="B164:C164"/>
    <mergeCell ref="C179:E179"/>
    <mergeCell ref="C181:E181"/>
    <mergeCell ref="C183:E183"/>
    <mergeCell ref="C189:E189"/>
    <mergeCell ref="B191:E191"/>
    <mergeCell ref="B192:C192"/>
    <mergeCell ref="B171:C171"/>
    <mergeCell ref="B172:C172"/>
    <mergeCell ref="B173:C173"/>
    <mergeCell ref="B174:C174"/>
    <mergeCell ref="B175:C175"/>
    <mergeCell ref="B176:C176"/>
    <mergeCell ref="B199:C199"/>
    <mergeCell ref="B200:C200"/>
    <mergeCell ref="B201:C201"/>
    <mergeCell ref="B202:C202"/>
    <mergeCell ref="B203:C203"/>
    <mergeCell ref="B204:C204"/>
    <mergeCell ref="B193:C193"/>
    <mergeCell ref="B194:C194"/>
    <mergeCell ref="B195:C195"/>
    <mergeCell ref="B196:C196"/>
    <mergeCell ref="B197:C197"/>
    <mergeCell ref="B198:C198"/>
    <mergeCell ref="B211:C211"/>
    <mergeCell ref="B212:C212"/>
    <mergeCell ref="C215:E215"/>
    <mergeCell ref="C217:E217"/>
    <mergeCell ref="C219:E219"/>
    <mergeCell ref="C225:E225"/>
    <mergeCell ref="B205:C205"/>
    <mergeCell ref="B206:C206"/>
    <mergeCell ref="B207:C207"/>
    <mergeCell ref="B208:C208"/>
    <mergeCell ref="B209:C209"/>
    <mergeCell ref="B210:C210"/>
    <mergeCell ref="B233:C233"/>
    <mergeCell ref="B234:C234"/>
    <mergeCell ref="B235:C235"/>
    <mergeCell ref="B236:C236"/>
    <mergeCell ref="B237:C237"/>
    <mergeCell ref="B238:C238"/>
    <mergeCell ref="B227:E227"/>
    <mergeCell ref="B228:C228"/>
    <mergeCell ref="B229:C229"/>
    <mergeCell ref="B230:C230"/>
    <mergeCell ref="B231:C231"/>
    <mergeCell ref="B232:C232"/>
    <mergeCell ref="B245:C245"/>
    <mergeCell ref="B246:C246"/>
    <mergeCell ref="B247:C247"/>
    <mergeCell ref="B248:C248"/>
    <mergeCell ref="C251:E251"/>
    <mergeCell ref="C253:E253"/>
    <mergeCell ref="B239:C239"/>
    <mergeCell ref="B240:C240"/>
    <mergeCell ref="B241:C241"/>
    <mergeCell ref="B242:C242"/>
    <mergeCell ref="B243:C243"/>
    <mergeCell ref="B244:C244"/>
    <mergeCell ref="B267:C267"/>
    <mergeCell ref="B268:C268"/>
    <mergeCell ref="B269:C269"/>
    <mergeCell ref="B270:C270"/>
    <mergeCell ref="B271:C271"/>
    <mergeCell ref="B272:C272"/>
    <mergeCell ref="C255:E255"/>
    <mergeCell ref="C261:E261"/>
    <mergeCell ref="B263:E263"/>
    <mergeCell ref="B264:C264"/>
    <mergeCell ref="B265:C265"/>
    <mergeCell ref="B266:C266"/>
    <mergeCell ref="B279:C279"/>
    <mergeCell ref="B280:C280"/>
    <mergeCell ref="B281:C281"/>
    <mergeCell ref="B282:C282"/>
    <mergeCell ref="B283:C283"/>
    <mergeCell ref="B284:C284"/>
    <mergeCell ref="B273:C273"/>
    <mergeCell ref="B274:C274"/>
    <mergeCell ref="B275:C275"/>
    <mergeCell ref="B276:C276"/>
    <mergeCell ref="B277:C277"/>
    <mergeCell ref="B278:C278"/>
    <mergeCell ref="B301:C301"/>
    <mergeCell ref="B302:C302"/>
    <mergeCell ref="B303:C303"/>
    <mergeCell ref="B304:C304"/>
    <mergeCell ref="B305:C305"/>
    <mergeCell ref="B306:C306"/>
    <mergeCell ref="C287:E287"/>
    <mergeCell ref="C289:E289"/>
    <mergeCell ref="C291:E291"/>
    <mergeCell ref="C297:E297"/>
    <mergeCell ref="B299:E299"/>
    <mergeCell ref="B300:C300"/>
    <mergeCell ref="B313:C313"/>
    <mergeCell ref="B314:C314"/>
    <mergeCell ref="B315:C315"/>
    <mergeCell ref="B316:C316"/>
    <mergeCell ref="B317:C317"/>
    <mergeCell ref="B318:C318"/>
    <mergeCell ref="B307:C307"/>
    <mergeCell ref="B308:C308"/>
    <mergeCell ref="B309:C309"/>
    <mergeCell ref="B310:C310"/>
    <mergeCell ref="B311:C311"/>
    <mergeCell ref="B312:C312"/>
    <mergeCell ref="B335:E335"/>
    <mergeCell ref="B336:C336"/>
    <mergeCell ref="B337:C337"/>
    <mergeCell ref="B338:C338"/>
    <mergeCell ref="B339:C339"/>
    <mergeCell ref="B340:C340"/>
    <mergeCell ref="B319:C319"/>
    <mergeCell ref="B320:C320"/>
    <mergeCell ref="C323:E323"/>
    <mergeCell ref="C325:E325"/>
    <mergeCell ref="C327:E327"/>
    <mergeCell ref="C333:E333"/>
    <mergeCell ref="B347:C347"/>
    <mergeCell ref="B348:C348"/>
    <mergeCell ref="B349:C349"/>
    <mergeCell ref="B350:C350"/>
    <mergeCell ref="B351:C351"/>
    <mergeCell ref="B352:C352"/>
    <mergeCell ref="B341:C341"/>
    <mergeCell ref="B342:C342"/>
    <mergeCell ref="B343:C343"/>
    <mergeCell ref="B344:C344"/>
    <mergeCell ref="B345:C345"/>
    <mergeCell ref="B346:C346"/>
    <mergeCell ref="C363:E363"/>
    <mergeCell ref="C369:E369"/>
    <mergeCell ref="B371:E371"/>
    <mergeCell ref="B372:C372"/>
    <mergeCell ref="B373:C373"/>
    <mergeCell ref="B374:C374"/>
    <mergeCell ref="B353:C353"/>
    <mergeCell ref="B354:C354"/>
    <mergeCell ref="B355:C355"/>
    <mergeCell ref="B356:C356"/>
    <mergeCell ref="C359:E359"/>
    <mergeCell ref="C361:E361"/>
    <mergeCell ref="B381:C381"/>
    <mergeCell ref="B382:C382"/>
    <mergeCell ref="B383:C383"/>
    <mergeCell ref="B384:C384"/>
    <mergeCell ref="B385:C385"/>
    <mergeCell ref="B386:C386"/>
    <mergeCell ref="B375:C375"/>
    <mergeCell ref="B376:C376"/>
    <mergeCell ref="B377:C377"/>
    <mergeCell ref="B378:C378"/>
    <mergeCell ref="B379:C379"/>
    <mergeCell ref="B380:C380"/>
    <mergeCell ref="C395:E395"/>
    <mergeCell ref="C397:E397"/>
    <mergeCell ref="C399:E399"/>
    <mergeCell ref="C405:E405"/>
    <mergeCell ref="B407:E407"/>
    <mergeCell ref="B408:C408"/>
    <mergeCell ref="B387:C387"/>
    <mergeCell ref="B388:C388"/>
    <mergeCell ref="B389:C389"/>
    <mergeCell ref="B390:C390"/>
    <mergeCell ref="B391:C391"/>
    <mergeCell ref="B392:C392"/>
    <mergeCell ref="B393:E393"/>
    <mergeCell ref="B415:C415"/>
    <mergeCell ref="B416:C416"/>
    <mergeCell ref="B417:C417"/>
    <mergeCell ref="B418:C418"/>
    <mergeCell ref="B419:C419"/>
    <mergeCell ref="B420:C420"/>
    <mergeCell ref="B409:C409"/>
    <mergeCell ref="B410:C410"/>
    <mergeCell ref="B411:C411"/>
    <mergeCell ref="B412:C412"/>
    <mergeCell ref="B413:C413"/>
    <mergeCell ref="B414:C414"/>
    <mergeCell ref="B427:C427"/>
    <mergeCell ref="B428:C428"/>
    <mergeCell ref="C431:E431"/>
    <mergeCell ref="C433:E433"/>
    <mergeCell ref="C435:E435"/>
    <mergeCell ref="C441:E441"/>
    <mergeCell ref="B421:C421"/>
    <mergeCell ref="B422:C422"/>
    <mergeCell ref="B423:C423"/>
    <mergeCell ref="B424:C424"/>
    <mergeCell ref="B425:C425"/>
    <mergeCell ref="B426:C426"/>
    <mergeCell ref="B429:E429"/>
    <mergeCell ref="C439:E439"/>
    <mergeCell ref="B449:C449"/>
    <mergeCell ref="B450:C450"/>
    <mergeCell ref="B451:C451"/>
    <mergeCell ref="B452:C452"/>
    <mergeCell ref="B453:C453"/>
    <mergeCell ref="B454:C454"/>
    <mergeCell ref="B443:E443"/>
    <mergeCell ref="B444:C444"/>
    <mergeCell ref="B445:C445"/>
    <mergeCell ref="B446:C446"/>
    <mergeCell ref="B447:C447"/>
    <mergeCell ref="B448:C448"/>
    <mergeCell ref="B461:C461"/>
    <mergeCell ref="B462:C462"/>
    <mergeCell ref="B463:C463"/>
    <mergeCell ref="B464:C464"/>
    <mergeCell ref="C467:E467"/>
    <mergeCell ref="C469:E469"/>
    <mergeCell ref="B455:C455"/>
    <mergeCell ref="B456:C456"/>
    <mergeCell ref="B457:C457"/>
    <mergeCell ref="B458:C458"/>
    <mergeCell ref="B459:C459"/>
    <mergeCell ref="B460:C460"/>
    <mergeCell ref="B465:E465"/>
    <mergeCell ref="B483:C483"/>
    <mergeCell ref="B484:C484"/>
    <mergeCell ref="B485:C485"/>
    <mergeCell ref="B486:C486"/>
    <mergeCell ref="B487:C487"/>
    <mergeCell ref="B488:C488"/>
    <mergeCell ref="C471:E471"/>
    <mergeCell ref="C477:E477"/>
    <mergeCell ref="B479:E479"/>
    <mergeCell ref="B480:C480"/>
    <mergeCell ref="B481:C481"/>
    <mergeCell ref="B482:C482"/>
    <mergeCell ref="B495:C495"/>
    <mergeCell ref="B496:C496"/>
    <mergeCell ref="B497:C497"/>
    <mergeCell ref="B498:C498"/>
    <mergeCell ref="B499:C499"/>
    <mergeCell ref="B500:C500"/>
    <mergeCell ref="B501:E501"/>
    <mergeCell ref="B489:C489"/>
    <mergeCell ref="B490:C490"/>
    <mergeCell ref="B491:C491"/>
    <mergeCell ref="B492:C492"/>
    <mergeCell ref="B493:C493"/>
    <mergeCell ref="B494:C494"/>
    <mergeCell ref="B517:C517"/>
    <mergeCell ref="B518:C518"/>
    <mergeCell ref="B519:C519"/>
    <mergeCell ref="B520:C520"/>
    <mergeCell ref="B521:C521"/>
    <mergeCell ref="B522:C522"/>
    <mergeCell ref="C503:E503"/>
    <mergeCell ref="C505:E505"/>
    <mergeCell ref="C507:E507"/>
    <mergeCell ref="C513:E513"/>
    <mergeCell ref="B515:E515"/>
    <mergeCell ref="B516:C516"/>
    <mergeCell ref="B529:C529"/>
    <mergeCell ref="B530:C530"/>
    <mergeCell ref="B531:C531"/>
    <mergeCell ref="B532:C532"/>
    <mergeCell ref="B533:C533"/>
    <mergeCell ref="B534:C534"/>
    <mergeCell ref="B537:E537"/>
    <mergeCell ref="B523:C523"/>
    <mergeCell ref="B524:C524"/>
    <mergeCell ref="B525:C525"/>
    <mergeCell ref="B526:C526"/>
    <mergeCell ref="B527:C527"/>
    <mergeCell ref="B528:C528"/>
    <mergeCell ref="B551:E551"/>
    <mergeCell ref="B552:C552"/>
    <mergeCell ref="B553:C553"/>
    <mergeCell ref="B554:C554"/>
    <mergeCell ref="B555:C555"/>
    <mergeCell ref="B556:C556"/>
    <mergeCell ref="B535:C535"/>
    <mergeCell ref="B536:C536"/>
    <mergeCell ref="C539:E539"/>
    <mergeCell ref="C541:E541"/>
    <mergeCell ref="C543:E543"/>
    <mergeCell ref="C549:E549"/>
    <mergeCell ref="B563:C563"/>
    <mergeCell ref="B564:C564"/>
    <mergeCell ref="B565:C565"/>
    <mergeCell ref="B566:C566"/>
    <mergeCell ref="B567:C567"/>
    <mergeCell ref="B568:C568"/>
    <mergeCell ref="B573:E573"/>
    <mergeCell ref="B557:C557"/>
    <mergeCell ref="B558:C558"/>
    <mergeCell ref="B559:C559"/>
    <mergeCell ref="B560:C560"/>
    <mergeCell ref="B561:C561"/>
    <mergeCell ref="B562:C562"/>
    <mergeCell ref="C579:E579"/>
    <mergeCell ref="C585:E585"/>
    <mergeCell ref="B587:E587"/>
    <mergeCell ref="B588:C588"/>
    <mergeCell ref="B589:C589"/>
    <mergeCell ref="B590:C590"/>
    <mergeCell ref="B569:C569"/>
    <mergeCell ref="B570:C570"/>
    <mergeCell ref="B571:C571"/>
    <mergeCell ref="B572:C572"/>
    <mergeCell ref="C575:E575"/>
    <mergeCell ref="C577:E577"/>
    <mergeCell ref="B597:C597"/>
    <mergeCell ref="B598:C598"/>
    <mergeCell ref="B599:C599"/>
    <mergeCell ref="B600:C600"/>
    <mergeCell ref="B601:C601"/>
    <mergeCell ref="B602:C602"/>
    <mergeCell ref="B591:C591"/>
    <mergeCell ref="B592:C592"/>
    <mergeCell ref="B593:C593"/>
    <mergeCell ref="B594:C594"/>
    <mergeCell ref="B595:C595"/>
    <mergeCell ref="B596:C596"/>
    <mergeCell ref="C611:E611"/>
    <mergeCell ref="C613:E613"/>
    <mergeCell ref="C615:E615"/>
    <mergeCell ref="C621:E621"/>
    <mergeCell ref="B623:E623"/>
    <mergeCell ref="B624:C624"/>
    <mergeCell ref="B603:C603"/>
    <mergeCell ref="B604:C604"/>
    <mergeCell ref="B605:C605"/>
    <mergeCell ref="B606:C606"/>
    <mergeCell ref="B607:C607"/>
    <mergeCell ref="B608:C608"/>
    <mergeCell ref="B609:E609"/>
    <mergeCell ref="B631:C631"/>
    <mergeCell ref="B632:C632"/>
    <mergeCell ref="B633:C633"/>
    <mergeCell ref="B634:C634"/>
    <mergeCell ref="B635:C635"/>
    <mergeCell ref="B636:C636"/>
    <mergeCell ref="B625:C625"/>
    <mergeCell ref="B626:C626"/>
    <mergeCell ref="B627:C627"/>
    <mergeCell ref="B628:C628"/>
    <mergeCell ref="B629:C629"/>
    <mergeCell ref="B630:C630"/>
    <mergeCell ref="B643:C643"/>
    <mergeCell ref="B644:C644"/>
    <mergeCell ref="C647:E647"/>
    <mergeCell ref="C649:E649"/>
    <mergeCell ref="C651:E651"/>
    <mergeCell ref="C657:E657"/>
    <mergeCell ref="B637:C637"/>
    <mergeCell ref="B638:C638"/>
    <mergeCell ref="B639:C639"/>
    <mergeCell ref="B640:C640"/>
    <mergeCell ref="B641:C641"/>
    <mergeCell ref="B642:C642"/>
    <mergeCell ref="B645:E645"/>
    <mergeCell ref="B665:C665"/>
    <mergeCell ref="B666:C666"/>
    <mergeCell ref="B667:C667"/>
    <mergeCell ref="B668:C668"/>
    <mergeCell ref="B669:C669"/>
    <mergeCell ref="B670:C670"/>
    <mergeCell ref="B659:E659"/>
    <mergeCell ref="B660:C660"/>
    <mergeCell ref="B661:C661"/>
    <mergeCell ref="B662:C662"/>
    <mergeCell ref="B663:C663"/>
    <mergeCell ref="B664:C664"/>
    <mergeCell ref="B677:C677"/>
    <mergeCell ref="B678:C678"/>
    <mergeCell ref="B679:C679"/>
    <mergeCell ref="B680:C680"/>
    <mergeCell ref="C683:E683"/>
    <mergeCell ref="C685:E685"/>
    <mergeCell ref="B671:C671"/>
    <mergeCell ref="B672:C672"/>
    <mergeCell ref="B673:C673"/>
    <mergeCell ref="B674:C674"/>
    <mergeCell ref="B675:C675"/>
    <mergeCell ref="B676:C676"/>
    <mergeCell ref="B681:E681"/>
    <mergeCell ref="B699:C699"/>
    <mergeCell ref="B700:C700"/>
    <mergeCell ref="B701:C701"/>
    <mergeCell ref="B702:C702"/>
    <mergeCell ref="B703:C703"/>
    <mergeCell ref="B704:C704"/>
    <mergeCell ref="C687:E687"/>
    <mergeCell ref="C693:E693"/>
    <mergeCell ref="B695:E695"/>
    <mergeCell ref="B696:C696"/>
    <mergeCell ref="B697:C697"/>
    <mergeCell ref="B698:C698"/>
    <mergeCell ref="B711:C711"/>
    <mergeCell ref="B712:C712"/>
    <mergeCell ref="B713:C713"/>
    <mergeCell ref="B714:C714"/>
    <mergeCell ref="B715:C715"/>
    <mergeCell ref="B716:C716"/>
    <mergeCell ref="B705:C705"/>
    <mergeCell ref="B706:C706"/>
    <mergeCell ref="B707:C707"/>
    <mergeCell ref="B708:C708"/>
    <mergeCell ref="B709:C709"/>
    <mergeCell ref="B710:C710"/>
    <mergeCell ref="B734:C734"/>
    <mergeCell ref="B735:C735"/>
    <mergeCell ref="B736:C736"/>
    <mergeCell ref="B737:C737"/>
    <mergeCell ref="B738:C738"/>
    <mergeCell ref="C719:E719"/>
    <mergeCell ref="C721:E721"/>
    <mergeCell ref="C723:E723"/>
    <mergeCell ref="C729:E729"/>
    <mergeCell ref="B731:E731"/>
    <mergeCell ref="B732:C732"/>
    <mergeCell ref="C727:E727"/>
    <mergeCell ref="B767:E767"/>
    <mergeCell ref="B768:C768"/>
    <mergeCell ref="B769:C769"/>
    <mergeCell ref="B770:C770"/>
    <mergeCell ref="B771:C771"/>
    <mergeCell ref="B772:C772"/>
    <mergeCell ref="B751:C751"/>
    <mergeCell ref="B752:C752"/>
    <mergeCell ref="C755:E755"/>
    <mergeCell ref="C757:E757"/>
    <mergeCell ref="C759:E759"/>
    <mergeCell ref="C765:E765"/>
    <mergeCell ref="B779:C779"/>
    <mergeCell ref="B780:C780"/>
    <mergeCell ref="B781:C781"/>
    <mergeCell ref="B782:C782"/>
    <mergeCell ref="B783:C783"/>
    <mergeCell ref="B784:C784"/>
    <mergeCell ref="B773:C773"/>
    <mergeCell ref="B774:C774"/>
    <mergeCell ref="B775:C775"/>
    <mergeCell ref="B776:C776"/>
    <mergeCell ref="B777:C777"/>
    <mergeCell ref="B778:C778"/>
    <mergeCell ref="C795:E795"/>
    <mergeCell ref="C801:E801"/>
    <mergeCell ref="B803:E803"/>
    <mergeCell ref="B804:C804"/>
    <mergeCell ref="B805:C805"/>
    <mergeCell ref="B806:C806"/>
    <mergeCell ref="B785:C785"/>
    <mergeCell ref="B786:C786"/>
    <mergeCell ref="B787:C787"/>
    <mergeCell ref="B788:C788"/>
    <mergeCell ref="C791:E791"/>
    <mergeCell ref="C793:E793"/>
    <mergeCell ref="B789:E789"/>
    <mergeCell ref="B813:C813"/>
    <mergeCell ref="B814:C814"/>
    <mergeCell ref="B815:C815"/>
    <mergeCell ref="B816:C816"/>
    <mergeCell ref="B817:C817"/>
    <mergeCell ref="B818:C818"/>
    <mergeCell ref="B807:C807"/>
    <mergeCell ref="B808:C808"/>
    <mergeCell ref="B809:C809"/>
    <mergeCell ref="B810:C810"/>
    <mergeCell ref="B811:C811"/>
    <mergeCell ref="B812:C812"/>
    <mergeCell ref="C827:E827"/>
    <mergeCell ref="C829:E829"/>
    <mergeCell ref="C831:E831"/>
    <mergeCell ref="C837:E837"/>
    <mergeCell ref="B839:E839"/>
    <mergeCell ref="B840:C840"/>
    <mergeCell ref="B819:C819"/>
    <mergeCell ref="B820:C820"/>
    <mergeCell ref="B821:C821"/>
    <mergeCell ref="B822:C822"/>
    <mergeCell ref="B823:C823"/>
    <mergeCell ref="B824:C824"/>
    <mergeCell ref="B825:E825"/>
    <mergeCell ref="B847:C847"/>
    <mergeCell ref="B848:C848"/>
    <mergeCell ref="B849:C849"/>
    <mergeCell ref="B850:C850"/>
    <mergeCell ref="B851:C851"/>
    <mergeCell ref="B852:C852"/>
    <mergeCell ref="B841:C841"/>
    <mergeCell ref="B842:C842"/>
    <mergeCell ref="B843:C843"/>
    <mergeCell ref="B844:C844"/>
    <mergeCell ref="B845:C845"/>
    <mergeCell ref="B846:C846"/>
    <mergeCell ref="B859:C859"/>
    <mergeCell ref="B860:C860"/>
    <mergeCell ref="C863:E863"/>
    <mergeCell ref="C865:E865"/>
    <mergeCell ref="C867:E867"/>
    <mergeCell ref="C873:E873"/>
    <mergeCell ref="B853:C853"/>
    <mergeCell ref="B854:C854"/>
    <mergeCell ref="B855:C855"/>
    <mergeCell ref="B856:C856"/>
    <mergeCell ref="B857:C857"/>
    <mergeCell ref="B858:C858"/>
    <mergeCell ref="B861:E861"/>
    <mergeCell ref="B881:C881"/>
    <mergeCell ref="B882:C882"/>
    <mergeCell ref="B883:C883"/>
    <mergeCell ref="B884:C884"/>
    <mergeCell ref="B885:C885"/>
    <mergeCell ref="B886:C886"/>
    <mergeCell ref="B875:E875"/>
    <mergeCell ref="B876:C876"/>
    <mergeCell ref="B877:C877"/>
    <mergeCell ref="B878:C878"/>
    <mergeCell ref="B879:C879"/>
    <mergeCell ref="B880:C880"/>
    <mergeCell ref="B893:C893"/>
    <mergeCell ref="B894:C894"/>
    <mergeCell ref="B895:C895"/>
    <mergeCell ref="B896:C896"/>
    <mergeCell ref="C899:E899"/>
    <mergeCell ref="C901:E901"/>
    <mergeCell ref="B887:C887"/>
    <mergeCell ref="B888:C888"/>
    <mergeCell ref="B889:C889"/>
    <mergeCell ref="B890:C890"/>
    <mergeCell ref="B891:C891"/>
    <mergeCell ref="B892:C892"/>
    <mergeCell ref="B897:E897"/>
    <mergeCell ref="B915:C915"/>
    <mergeCell ref="B916:C916"/>
    <mergeCell ref="B917:C917"/>
    <mergeCell ref="B918:C918"/>
    <mergeCell ref="B919:C919"/>
    <mergeCell ref="B920:C920"/>
    <mergeCell ref="C903:E903"/>
    <mergeCell ref="C909:E909"/>
    <mergeCell ref="B911:E911"/>
    <mergeCell ref="B912:C912"/>
    <mergeCell ref="B913:C913"/>
    <mergeCell ref="B914:C914"/>
    <mergeCell ref="B927:C927"/>
    <mergeCell ref="B928:C928"/>
    <mergeCell ref="B929:C929"/>
    <mergeCell ref="B930:C930"/>
    <mergeCell ref="B931:C931"/>
    <mergeCell ref="B932:C932"/>
    <mergeCell ref="B921:C921"/>
    <mergeCell ref="B922:C922"/>
    <mergeCell ref="B923:C923"/>
    <mergeCell ref="B924:C924"/>
    <mergeCell ref="B925:C925"/>
    <mergeCell ref="B926:C926"/>
    <mergeCell ref="B949:C949"/>
    <mergeCell ref="B950:C950"/>
    <mergeCell ref="B951:C951"/>
    <mergeCell ref="B952:C952"/>
    <mergeCell ref="B953:C953"/>
    <mergeCell ref="B954:C954"/>
    <mergeCell ref="C935:E935"/>
    <mergeCell ref="C937:E937"/>
    <mergeCell ref="C939:E939"/>
    <mergeCell ref="C945:E945"/>
    <mergeCell ref="B947:E947"/>
    <mergeCell ref="B948:C948"/>
    <mergeCell ref="B961:C961"/>
    <mergeCell ref="B962:C962"/>
    <mergeCell ref="B963:C963"/>
    <mergeCell ref="B964:C964"/>
    <mergeCell ref="B965:C965"/>
    <mergeCell ref="B966:C966"/>
    <mergeCell ref="B955:C955"/>
    <mergeCell ref="B956:C956"/>
    <mergeCell ref="B957:C957"/>
    <mergeCell ref="B958:C958"/>
    <mergeCell ref="B959:C959"/>
    <mergeCell ref="B960:C960"/>
    <mergeCell ref="B983:E983"/>
    <mergeCell ref="B984:C984"/>
    <mergeCell ref="B985:C985"/>
    <mergeCell ref="B986:C986"/>
    <mergeCell ref="B987:C987"/>
    <mergeCell ref="B988:C988"/>
    <mergeCell ref="B967:C967"/>
    <mergeCell ref="B968:C968"/>
    <mergeCell ref="C971:E971"/>
    <mergeCell ref="C973:E973"/>
    <mergeCell ref="C975:E975"/>
    <mergeCell ref="C981:E981"/>
    <mergeCell ref="C979:E979"/>
    <mergeCell ref="B995:C995"/>
    <mergeCell ref="B996:C996"/>
    <mergeCell ref="B997:C997"/>
    <mergeCell ref="B998:C998"/>
    <mergeCell ref="B999:C999"/>
    <mergeCell ref="B1000:C1000"/>
    <mergeCell ref="B989:C989"/>
    <mergeCell ref="B990:C990"/>
    <mergeCell ref="B991:C991"/>
    <mergeCell ref="B992:C992"/>
    <mergeCell ref="B993:C993"/>
    <mergeCell ref="B994:C994"/>
    <mergeCell ref="C1011:E1011"/>
    <mergeCell ref="C1017:E1017"/>
    <mergeCell ref="B1019:E1019"/>
    <mergeCell ref="B1020:C1020"/>
    <mergeCell ref="B1021:C1021"/>
    <mergeCell ref="B1022:C1022"/>
    <mergeCell ref="B1001:C1001"/>
    <mergeCell ref="B1002:C1002"/>
    <mergeCell ref="B1003:C1003"/>
    <mergeCell ref="B1004:C1004"/>
    <mergeCell ref="C1007:E1007"/>
    <mergeCell ref="C1009:E1009"/>
    <mergeCell ref="B1005:E1005"/>
    <mergeCell ref="C1015:E1015"/>
    <mergeCell ref="B1029:C1029"/>
    <mergeCell ref="B1030:C1030"/>
    <mergeCell ref="B1031:C1031"/>
    <mergeCell ref="B1032:C1032"/>
    <mergeCell ref="B1033:C1033"/>
    <mergeCell ref="B1034:C1034"/>
    <mergeCell ref="B1023:C1023"/>
    <mergeCell ref="B1024:C1024"/>
    <mergeCell ref="B1025:C1025"/>
    <mergeCell ref="B1026:C1026"/>
    <mergeCell ref="B1027:C1027"/>
    <mergeCell ref="B1028:C1028"/>
    <mergeCell ref="C1043:E1043"/>
    <mergeCell ref="C1045:E1045"/>
    <mergeCell ref="C1047:E1047"/>
    <mergeCell ref="C1053:E1053"/>
    <mergeCell ref="B1055:E1055"/>
    <mergeCell ref="B1056:C1056"/>
    <mergeCell ref="B1035:C1035"/>
    <mergeCell ref="B1036:C1036"/>
    <mergeCell ref="B1037:C1037"/>
    <mergeCell ref="B1038:C1038"/>
    <mergeCell ref="B1039:C1039"/>
    <mergeCell ref="B1040:C1040"/>
    <mergeCell ref="B1041:E1041"/>
    <mergeCell ref="C1051:E1051"/>
    <mergeCell ref="B1063:C1063"/>
    <mergeCell ref="B1064:C1064"/>
    <mergeCell ref="B1065:C1065"/>
    <mergeCell ref="B1066:C1066"/>
    <mergeCell ref="B1067:C1067"/>
    <mergeCell ref="B1068:C1068"/>
    <mergeCell ref="B1057:C1057"/>
    <mergeCell ref="B1058:C1058"/>
    <mergeCell ref="B1059:C1059"/>
    <mergeCell ref="B1060:C1060"/>
    <mergeCell ref="B1061:C1061"/>
    <mergeCell ref="B1062:C1062"/>
    <mergeCell ref="B1075:C1075"/>
    <mergeCell ref="B1076:C1076"/>
    <mergeCell ref="C1079:E1079"/>
    <mergeCell ref="C1081:E1081"/>
    <mergeCell ref="C1083:E1083"/>
    <mergeCell ref="C1089:E1089"/>
    <mergeCell ref="B1069:C1069"/>
    <mergeCell ref="B1070:C1070"/>
    <mergeCell ref="B1071:C1071"/>
    <mergeCell ref="B1072:C1072"/>
    <mergeCell ref="B1073:C1073"/>
    <mergeCell ref="B1074:C1074"/>
    <mergeCell ref="B1077:E1077"/>
    <mergeCell ref="C1087:E1087"/>
    <mergeCell ref="B1097:C1097"/>
    <mergeCell ref="B1098:C1098"/>
    <mergeCell ref="B1099:C1099"/>
    <mergeCell ref="B1100:C1100"/>
    <mergeCell ref="B1101:C1101"/>
    <mergeCell ref="B1102:C1102"/>
    <mergeCell ref="B1091:E1091"/>
    <mergeCell ref="B1092:C1092"/>
    <mergeCell ref="B1093:C1093"/>
    <mergeCell ref="B1094:C1094"/>
    <mergeCell ref="B1095:C1095"/>
    <mergeCell ref="B1096:C1096"/>
    <mergeCell ref="C1119:E1119"/>
    <mergeCell ref="B1109:C1109"/>
    <mergeCell ref="B1110:C1110"/>
    <mergeCell ref="B1111:C1111"/>
    <mergeCell ref="B1112:C1112"/>
    <mergeCell ref="C1115:E1115"/>
    <mergeCell ref="C1117:E1117"/>
    <mergeCell ref="B1103:C1103"/>
    <mergeCell ref="B1104:C1104"/>
    <mergeCell ref="B1105:C1105"/>
    <mergeCell ref="B1106:C1106"/>
    <mergeCell ref="B1107:C1107"/>
    <mergeCell ref="B1108:C1108"/>
    <mergeCell ref="B1113:E1113"/>
    <mergeCell ref="B717:E717"/>
    <mergeCell ref="B753:E753"/>
    <mergeCell ref="B69:E69"/>
    <mergeCell ref="B105:E105"/>
    <mergeCell ref="B141:E141"/>
    <mergeCell ref="B177:E177"/>
    <mergeCell ref="B213:E213"/>
    <mergeCell ref="B249:E249"/>
    <mergeCell ref="B285:E285"/>
    <mergeCell ref="B321:E321"/>
    <mergeCell ref="B357:E357"/>
    <mergeCell ref="B745:C745"/>
    <mergeCell ref="B746:C746"/>
    <mergeCell ref="B747:C747"/>
    <mergeCell ref="B748:C748"/>
    <mergeCell ref="B749:C749"/>
    <mergeCell ref="B750:C750"/>
    <mergeCell ref="B739:C739"/>
    <mergeCell ref="B740:C740"/>
    <mergeCell ref="B741:C741"/>
    <mergeCell ref="B742:C742"/>
    <mergeCell ref="B743:C743"/>
    <mergeCell ref="B744:C744"/>
    <mergeCell ref="B733:C733"/>
  </mergeCells>
  <pageMargins left="0.39370078740157483" right="0.33" top="0.31496062992125984" bottom="0.31496062992125984" header="0.31496062992125984" footer="0.31496062992125984"/>
  <pageSetup paperSize="5" scale="60" orientation="landscape"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5</vt:i4>
      </vt:variant>
    </vt:vector>
  </HeadingPairs>
  <TitlesOfParts>
    <vt:vector size="11" baseType="lpstr">
      <vt:lpstr>gas</vt:lpstr>
      <vt:lpstr>limpieza</vt:lpstr>
      <vt:lpstr>alimento</vt:lpstr>
      <vt:lpstr> NotaPedido</vt:lpstr>
      <vt:lpstr>Autor Gastar</vt:lpstr>
      <vt:lpstr>ALIM-IMP</vt:lpstr>
      <vt:lpstr>' NotaPedido'!Área_de_impresión</vt:lpstr>
      <vt:lpstr>'ALIM-IMP'!Área_de_impresión</vt:lpstr>
      <vt:lpstr>'Autor Gastar'!Área_de_impresión</vt:lpstr>
      <vt:lpstr>limpieza!Área_de_impresión</vt:lpstr>
      <vt:lpstr>' NotaPedido'!Títulos_a_imprimir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2021-01-29T15:11:36Z</cp:lastPrinted>
  <dcterms:created xsi:type="dcterms:W3CDTF">2020-07-17T23:44:49Z</dcterms:created>
  <dcterms:modified xsi:type="dcterms:W3CDTF">2021-08-17T13:00:06Z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