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5480" windowHeight="7020" tabRatio="500"/>
  </bookViews>
  <sheets>
    <sheet name="Necesidades Trimestrales " sheetId="3" r:id="rId1"/>
    <sheet name=" NotaPedido FARMACIA" sheetId="8" r:id="rId2"/>
    <sheet name="APG FARMACIA " sheetId="9" r:id="rId3"/>
  </sheets>
  <definedNames>
    <definedName name="_xlnm._FilterDatabase" localSheetId="0" hidden="1">'Necesidades Trimestrales '!$A$9:$AS$694</definedName>
    <definedName name="_xlnm.Print_Area" localSheetId="1">' NotaPedido FARMACIA'!$A$1:$K$31</definedName>
    <definedName name="_xlnm.Print_Area" localSheetId="2">'APG FARMACIA '!$A$1:$Q$27</definedName>
  </definedNames>
  <calcPr calcId="125725"/>
</workbook>
</file>

<file path=xl/calcChain.xml><?xml version="1.0" encoding="utf-8"?>
<calcChain xmlns="http://schemas.openxmlformats.org/spreadsheetml/2006/main">
  <c r="Q15" i="9"/>
  <c r="Q16"/>
  <c r="AS890" i="3"/>
  <c r="AS879"/>
  <c r="AS880"/>
  <c r="AS881"/>
  <c r="AS882"/>
  <c r="AS883"/>
  <c r="AS884"/>
  <c r="AS885"/>
  <c r="AS886"/>
  <c r="AS887"/>
  <c r="AS888"/>
  <c r="AS889"/>
  <c r="AS878"/>
  <c r="M13" i="8" l="1"/>
  <c r="M14"/>
  <c r="M15"/>
  <c r="M16"/>
  <c r="M17"/>
  <c r="M18"/>
  <c r="M19"/>
  <c r="M20"/>
  <c r="M21"/>
  <c r="M22"/>
  <c r="M23"/>
  <c r="M24"/>
  <c r="M12"/>
  <c r="J30" l="1"/>
  <c r="Q23" i="9"/>
  <c r="AQ833" i="3" l="1"/>
  <c r="AS833" s="1"/>
  <c r="AQ834"/>
  <c r="AS834" s="1"/>
  <c r="AQ835"/>
  <c r="AS835" s="1"/>
  <c r="AQ836"/>
  <c r="AS836" s="1"/>
  <c r="AQ837"/>
  <c r="AS837" s="1"/>
  <c r="AQ838"/>
  <c r="AS838" s="1"/>
  <c r="AQ839"/>
  <c r="AS839" s="1"/>
  <c r="AQ840"/>
  <c r="AS840" s="1"/>
  <c r="AQ841"/>
  <c r="AS841" s="1"/>
  <c r="AQ842"/>
  <c r="AS842" s="1"/>
  <c r="AQ843"/>
  <c r="AS843" s="1"/>
  <c r="AQ844"/>
  <c r="AS844" s="1"/>
  <c r="AQ845"/>
  <c r="AS845" s="1"/>
  <c r="AQ846"/>
  <c r="AS846" s="1"/>
  <c r="AQ847"/>
  <c r="AS847" s="1"/>
  <c r="AQ848"/>
  <c r="AS848" s="1"/>
  <c r="AQ849"/>
  <c r="AS849" s="1"/>
  <c r="AQ850"/>
  <c r="AS850" s="1"/>
  <c r="AQ851"/>
  <c r="AS851" s="1"/>
  <c r="AQ852"/>
  <c r="AS852" s="1"/>
  <c r="AQ853"/>
  <c r="AS853" s="1"/>
  <c r="AQ854"/>
  <c r="AS854" s="1"/>
  <c r="AQ855"/>
  <c r="AS855" s="1"/>
  <c r="AQ856"/>
  <c r="AS856" s="1"/>
  <c r="AQ857"/>
  <c r="AS857" s="1"/>
  <c r="AQ858"/>
  <c r="AS858" s="1"/>
  <c r="AQ859"/>
  <c r="AS859" s="1"/>
  <c r="AQ860"/>
  <c r="AS860" s="1"/>
  <c r="AQ861"/>
  <c r="AS861" s="1"/>
  <c r="AQ862"/>
  <c r="AS862" s="1"/>
  <c r="AQ863"/>
  <c r="AS863" s="1"/>
  <c r="AQ864"/>
  <c r="AS864" s="1"/>
  <c r="AQ865"/>
  <c r="AS865" s="1"/>
  <c r="AQ866"/>
  <c r="AS866" s="1"/>
  <c r="AQ867"/>
  <c r="AS867" s="1"/>
  <c r="AQ868"/>
  <c r="AS868" s="1"/>
  <c r="AQ869"/>
  <c r="AS869" s="1"/>
  <c r="AQ870"/>
  <c r="AS870" s="1"/>
  <c r="AQ871"/>
  <c r="AS871" s="1"/>
  <c r="AQ872"/>
  <c r="AS872" s="1"/>
  <c r="AQ873"/>
  <c r="AS873" s="1"/>
  <c r="AQ874"/>
  <c r="AS874" s="1"/>
  <c r="AQ875"/>
  <c r="AS875" s="1"/>
  <c r="AQ876"/>
  <c r="AS876" s="1"/>
  <c r="AQ832"/>
  <c r="AS832" s="1"/>
  <c r="AQ696"/>
  <c r="AS696" s="1"/>
  <c r="AQ697"/>
  <c r="AS697" s="1"/>
  <c r="AQ698"/>
  <c r="AS698" s="1"/>
  <c r="AQ699"/>
  <c r="AS699" s="1"/>
  <c r="AQ700"/>
  <c r="AS700" s="1"/>
  <c r="AQ701"/>
  <c r="AS701" s="1"/>
  <c r="AQ695"/>
  <c r="AS695" s="1"/>
  <c r="AS877" l="1"/>
  <c r="AS702"/>
  <c r="AQ305"/>
  <c r="AS305" s="1"/>
  <c r="AQ306"/>
  <c r="AS306" s="1"/>
  <c r="AQ307"/>
  <c r="AS307" s="1"/>
  <c r="AQ308"/>
  <c r="AS308" s="1"/>
  <c r="AQ309"/>
  <c r="AS309" s="1"/>
  <c r="AQ310"/>
  <c r="AS310" s="1"/>
  <c r="AQ311"/>
  <c r="AS311" s="1"/>
  <c r="AQ312"/>
  <c r="AS312" s="1"/>
  <c r="AQ313"/>
  <c r="AS313" s="1"/>
  <c r="AQ314"/>
  <c r="AS314" s="1"/>
  <c r="AQ315"/>
  <c r="AS315" s="1"/>
  <c r="AQ316"/>
  <c r="AS316" s="1"/>
  <c r="AQ317"/>
  <c r="AS317" s="1"/>
  <c r="AQ318"/>
  <c r="AS318" s="1"/>
  <c r="AQ319"/>
  <c r="AS319" s="1"/>
  <c r="AQ320"/>
  <c r="AS320" s="1"/>
  <c r="AQ321"/>
  <c r="AS321" s="1"/>
  <c r="AQ322"/>
  <c r="AS322" s="1"/>
  <c r="AQ323"/>
  <c r="AS323" s="1"/>
  <c r="AQ324"/>
  <c r="AS324" s="1"/>
  <c r="AQ325"/>
  <c r="AS325" s="1"/>
  <c r="AQ326"/>
  <c r="AS326" s="1"/>
  <c r="AQ327"/>
  <c r="AS327" s="1"/>
  <c r="AQ328"/>
  <c r="AS328" s="1"/>
  <c r="AQ329"/>
  <c r="AS329" s="1"/>
  <c r="AQ330"/>
  <c r="AS330" s="1"/>
  <c r="AQ331"/>
  <c r="AS331" s="1"/>
  <c r="AQ332"/>
  <c r="AS332" s="1"/>
  <c r="AQ333"/>
  <c r="AS333" s="1"/>
  <c r="AQ334"/>
  <c r="AS334" s="1"/>
  <c r="AQ335"/>
  <c r="AS335" s="1"/>
  <c r="AQ336"/>
  <c r="AS336" s="1"/>
  <c r="AQ337"/>
  <c r="AS337" s="1"/>
  <c r="AQ338"/>
  <c r="AS338" s="1"/>
  <c r="AQ339"/>
  <c r="AS339" s="1"/>
  <c r="AQ340"/>
  <c r="AS340" s="1"/>
  <c r="AQ341"/>
  <c r="AS341" s="1"/>
  <c r="AQ342"/>
  <c r="AS342" s="1"/>
  <c r="AQ343"/>
  <c r="AS343" s="1"/>
  <c r="AQ344"/>
  <c r="AS344" s="1"/>
  <c r="AQ345"/>
  <c r="AS345" s="1"/>
  <c r="AQ346"/>
  <c r="AS346" s="1"/>
  <c r="AQ347"/>
  <c r="AS347" s="1"/>
  <c r="AQ348"/>
  <c r="AS348" s="1"/>
  <c r="AQ349"/>
  <c r="AS349" s="1"/>
  <c r="AQ350"/>
  <c r="AS350" s="1"/>
  <c r="AQ351"/>
  <c r="AS351" s="1"/>
  <c r="AQ352"/>
  <c r="AS352" s="1"/>
  <c r="AQ353"/>
  <c r="AS353" s="1"/>
  <c r="AQ354"/>
  <c r="AS354" s="1"/>
  <c r="AQ355"/>
  <c r="AS355" s="1"/>
  <c r="AQ356"/>
  <c r="AS356" s="1"/>
  <c r="AQ357"/>
  <c r="AS357" s="1"/>
  <c r="AQ358"/>
  <c r="AS358" s="1"/>
  <c r="AQ359"/>
  <c r="AS359" s="1"/>
  <c r="AQ360"/>
  <c r="AS360" s="1"/>
  <c r="AQ361"/>
  <c r="AS361" s="1"/>
  <c r="AQ362"/>
  <c r="AS362" s="1"/>
  <c r="AQ363"/>
  <c r="AS363" s="1"/>
  <c r="AQ364"/>
  <c r="AS364" s="1"/>
  <c r="AQ365"/>
  <c r="AS365" s="1"/>
  <c r="AQ366"/>
  <c r="AS366" s="1"/>
  <c r="AQ367"/>
  <c r="AS367" s="1"/>
  <c r="AQ368"/>
  <c r="AS368" s="1"/>
  <c r="AQ369"/>
  <c r="AS369" s="1"/>
  <c r="AQ370"/>
  <c r="AS370" s="1"/>
  <c r="AQ371"/>
  <c r="AS371" s="1"/>
  <c r="AQ372"/>
  <c r="AS372" s="1"/>
  <c r="AQ373"/>
  <c r="AS373" s="1"/>
  <c r="AQ374"/>
  <c r="AS374" s="1"/>
  <c r="AQ375"/>
  <c r="AS375" s="1"/>
  <c r="AQ376"/>
  <c r="AS376" s="1"/>
  <c r="AQ377"/>
  <c r="AS377" s="1"/>
  <c r="AQ378"/>
  <c r="AS378" s="1"/>
  <c r="AQ379"/>
  <c r="AS379" s="1"/>
  <c r="AQ380"/>
  <c r="AS380" s="1"/>
  <c r="AQ381"/>
  <c r="AS381" s="1"/>
  <c r="AQ382"/>
  <c r="AS382" s="1"/>
  <c r="AQ383"/>
  <c r="AS383" s="1"/>
  <c r="AQ384"/>
  <c r="AS384" s="1"/>
  <c r="AQ385"/>
  <c r="AS385" s="1"/>
  <c r="AQ386"/>
  <c r="AS386" s="1"/>
  <c r="AQ387"/>
  <c r="AS387" s="1"/>
  <c r="AQ388"/>
  <c r="AS388" s="1"/>
  <c r="AQ389"/>
  <c r="AS389" s="1"/>
  <c r="AQ390"/>
  <c r="AS390" s="1"/>
  <c r="AQ391"/>
  <c r="AS391" s="1"/>
  <c r="AQ392"/>
  <c r="AS392" s="1"/>
  <c r="AQ393"/>
  <c r="AS393" s="1"/>
  <c r="AQ394"/>
  <c r="AS394" s="1"/>
  <c r="AQ395"/>
  <c r="AS395" s="1"/>
  <c r="AQ396"/>
  <c r="AS396" s="1"/>
  <c r="AQ397"/>
  <c r="AS397" s="1"/>
  <c r="AQ398"/>
  <c r="AS398" s="1"/>
  <c r="AQ399"/>
  <c r="AS399" s="1"/>
  <c r="AQ400"/>
  <c r="AS400" s="1"/>
  <c r="AQ401"/>
  <c r="AS401" s="1"/>
  <c r="AQ402"/>
  <c r="AS402" s="1"/>
  <c r="AQ403"/>
  <c r="AS403" s="1"/>
  <c r="AQ404"/>
  <c r="AS404" s="1"/>
  <c r="AQ405"/>
  <c r="AS405" s="1"/>
  <c r="AQ406"/>
  <c r="AS406" s="1"/>
  <c r="AQ407"/>
  <c r="AS407" s="1"/>
  <c r="AQ408"/>
  <c r="AS408" s="1"/>
  <c r="AQ409"/>
  <c r="AS409" s="1"/>
  <c r="AQ410"/>
  <c r="AS410" s="1"/>
  <c r="AQ411"/>
  <c r="AS411" s="1"/>
  <c r="AQ412"/>
  <c r="AS412" s="1"/>
  <c r="AQ413"/>
  <c r="AS413" s="1"/>
  <c r="AQ414"/>
  <c r="AS414" s="1"/>
  <c r="AQ415"/>
  <c r="AS415" s="1"/>
  <c r="AQ416"/>
  <c r="AS416" s="1"/>
  <c r="AQ417"/>
  <c r="AS417" s="1"/>
  <c r="AQ418"/>
  <c r="AS418" s="1"/>
  <c r="AQ419"/>
  <c r="AS419" s="1"/>
  <c r="AQ420"/>
  <c r="AS420" s="1"/>
  <c r="AQ421"/>
  <c r="AS421" s="1"/>
  <c r="AQ422"/>
  <c r="AS422" s="1"/>
  <c r="AQ423"/>
  <c r="AS423" s="1"/>
  <c r="AQ424"/>
  <c r="AS424" s="1"/>
  <c r="AQ425"/>
  <c r="AS425" s="1"/>
  <c r="AQ426"/>
  <c r="AS426" s="1"/>
  <c r="AQ427"/>
  <c r="AS427" s="1"/>
  <c r="AQ428"/>
  <c r="AS428" s="1"/>
  <c r="AQ429"/>
  <c r="AS429" s="1"/>
  <c r="AQ430"/>
  <c r="AS430" s="1"/>
  <c r="AQ431"/>
  <c r="AS431" s="1"/>
  <c r="AQ432"/>
  <c r="AS432" s="1"/>
  <c r="AQ433"/>
  <c r="AS433" s="1"/>
  <c r="AQ434"/>
  <c r="AS434" s="1"/>
  <c r="AQ435"/>
  <c r="AS435" s="1"/>
  <c r="AQ436"/>
  <c r="AS436" s="1"/>
  <c r="AQ437"/>
  <c r="AS437" s="1"/>
  <c r="AQ438"/>
  <c r="AS438" s="1"/>
  <c r="AQ439"/>
  <c r="AS439" s="1"/>
  <c r="AQ440"/>
  <c r="AS440" s="1"/>
  <c r="AQ441"/>
  <c r="AS441" s="1"/>
  <c r="AQ442"/>
  <c r="AS442" s="1"/>
  <c r="AQ443"/>
  <c r="AS443" s="1"/>
  <c r="AQ444"/>
  <c r="AS444" s="1"/>
  <c r="AQ445"/>
  <c r="AS445" s="1"/>
  <c r="AQ446"/>
  <c r="AS446" s="1"/>
  <c r="AQ447"/>
  <c r="AS447" s="1"/>
  <c r="AQ448"/>
  <c r="AS448" s="1"/>
  <c r="AQ449"/>
  <c r="AS449" s="1"/>
  <c r="AQ450"/>
  <c r="AS450" s="1"/>
  <c r="AQ451"/>
  <c r="AS451" s="1"/>
  <c r="AQ452"/>
  <c r="AS452" s="1"/>
  <c r="AQ453"/>
  <c r="AS453" s="1"/>
  <c r="AQ454"/>
  <c r="AS454" s="1"/>
  <c r="AQ455"/>
  <c r="AS455" s="1"/>
  <c r="AQ456"/>
  <c r="AS456" s="1"/>
  <c r="AQ457"/>
  <c r="AS457" s="1"/>
  <c r="AQ458"/>
  <c r="AS458" s="1"/>
  <c r="AQ459"/>
  <c r="AS459" s="1"/>
  <c r="AQ460"/>
  <c r="AS460" s="1"/>
  <c r="AQ461"/>
  <c r="AS461" s="1"/>
  <c r="AQ462"/>
  <c r="AS462" s="1"/>
  <c r="AQ463"/>
  <c r="AS463" s="1"/>
  <c r="AQ464"/>
  <c r="AS464" s="1"/>
  <c r="AQ465"/>
  <c r="AS465" s="1"/>
  <c r="AQ466"/>
  <c r="AS466" s="1"/>
  <c r="AQ467"/>
  <c r="AS467" s="1"/>
  <c r="AQ468"/>
  <c r="AS468" s="1"/>
  <c r="AQ469"/>
  <c r="AS469" s="1"/>
  <c r="AQ470"/>
  <c r="AS470" s="1"/>
  <c r="AQ471"/>
  <c r="AS471" s="1"/>
  <c r="AQ472"/>
  <c r="AS472" s="1"/>
  <c r="AQ473"/>
  <c r="AS473" s="1"/>
  <c r="AQ474"/>
  <c r="AS474" s="1"/>
  <c r="AQ475"/>
  <c r="AS475" s="1"/>
  <c r="AQ476"/>
  <c r="AS476" s="1"/>
  <c r="AQ477"/>
  <c r="AS477" s="1"/>
  <c r="AQ478"/>
  <c r="AS478" s="1"/>
  <c r="AQ479"/>
  <c r="AS479" s="1"/>
  <c r="AQ480"/>
  <c r="AS480" s="1"/>
  <c r="AQ481"/>
  <c r="AS481" s="1"/>
  <c r="AQ482"/>
  <c r="AS482" s="1"/>
  <c r="AQ483"/>
  <c r="AS483" s="1"/>
  <c r="AQ484"/>
  <c r="AS484" s="1"/>
  <c r="AQ485"/>
  <c r="AS485" s="1"/>
  <c r="AQ486"/>
  <c r="AS486" s="1"/>
  <c r="AQ487"/>
  <c r="AS487" s="1"/>
  <c r="AQ488"/>
  <c r="AS488" s="1"/>
  <c r="AQ489"/>
  <c r="AS489" s="1"/>
  <c r="AQ490"/>
  <c r="AS490" s="1"/>
  <c r="AQ491"/>
  <c r="AS491" s="1"/>
  <c r="AQ492"/>
  <c r="AS492" s="1"/>
  <c r="AQ493"/>
  <c r="AS493" s="1"/>
  <c r="AQ494"/>
  <c r="AS494" s="1"/>
  <c r="AQ495"/>
  <c r="AS495" s="1"/>
  <c r="AQ496"/>
  <c r="AS496" s="1"/>
  <c r="AQ497"/>
  <c r="AS497" s="1"/>
  <c r="AQ498"/>
  <c r="AS498" s="1"/>
  <c r="AQ499"/>
  <c r="AS499" s="1"/>
  <c r="AQ500"/>
  <c r="AS500" s="1"/>
  <c r="AQ501"/>
  <c r="AS501" s="1"/>
  <c r="AQ502"/>
  <c r="AS502" s="1"/>
  <c r="AQ503"/>
  <c r="AS503" s="1"/>
  <c r="AQ504"/>
  <c r="AS504" s="1"/>
  <c r="AQ505"/>
  <c r="AS505" s="1"/>
  <c r="AQ506"/>
  <c r="AS506" s="1"/>
  <c r="AQ507"/>
  <c r="AS507" s="1"/>
  <c r="AQ508"/>
  <c r="AS508" s="1"/>
  <c r="AQ509"/>
  <c r="AS509" s="1"/>
  <c r="AQ510"/>
  <c r="AS510" s="1"/>
  <c r="AQ511"/>
  <c r="AS511" s="1"/>
  <c r="AQ512"/>
  <c r="AS512" s="1"/>
  <c r="AQ513"/>
  <c r="AS513" s="1"/>
  <c r="AQ514"/>
  <c r="AS514" s="1"/>
  <c r="AQ515"/>
  <c r="AS515" s="1"/>
  <c r="AQ516"/>
  <c r="AS516" s="1"/>
  <c r="AQ517"/>
  <c r="AS517" s="1"/>
  <c r="AQ518"/>
  <c r="AS518" s="1"/>
  <c r="AQ519"/>
  <c r="AS519" s="1"/>
  <c r="AQ520"/>
  <c r="AS520" s="1"/>
  <c r="AQ521"/>
  <c r="AS521" s="1"/>
  <c r="AQ522"/>
  <c r="AS522" s="1"/>
  <c r="AQ523"/>
  <c r="AS523" s="1"/>
  <c r="AQ524"/>
  <c r="AS524" s="1"/>
  <c r="AQ525"/>
  <c r="AS525" s="1"/>
  <c r="AQ526"/>
  <c r="AS526" s="1"/>
  <c r="AQ527"/>
  <c r="AS527" s="1"/>
  <c r="AQ528"/>
  <c r="AS528" s="1"/>
  <c r="AQ529"/>
  <c r="AS529" s="1"/>
  <c r="AQ530"/>
  <c r="AS530" s="1"/>
  <c r="AQ531"/>
  <c r="AS531" s="1"/>
  <c r="AQ532"/>
  <c r="AS532" s="1"/>
  <c r="AQ533"/>
  <c r="AS533" s="1"/>
  <c r="AQ534"/>
  <c r="AS534" s="1"/>
  <c r="AQ535"/>
  <c r="AS535" s="1"/>
  <c r="AQ536"/>
  <c r="AS536" s="1"/>
  <c r="AQ537"/>
  <c r="AS537" s="1"/>
  <c r="AQ538"/>
  <c r="AS538" s="1"/>
  <c r="AQ539"/>
  <c r="AS539" s="1"/>
  <c r="AQ540"/>
  <c r="AS540" s="1"/>
  <c r="AQ541"/>
  <c r="AS541" s="1"/>
  <c r="AQ542"/>
  <c r="AS542" s="1"/>
  <c r="AQ543"/>
  <c r="AS543" s="1"/>
  <c r="AQ544"/>
  <c r="AS544" s="1"/>
  <c r="AQ545"/>
  <c r="AS545" s="1"/>
  <c r="AQ546"/>
  <c r="AS546" s="1"/>
  <c r="AQ547"/>
  <c r="AS547" s="1"/>
  <c r="AQ548"/>
  <c r="AS548" s="1"/>
  <c r="AQ549"/>
  <c r="AS549" s="1"/>
  <c r="AQ550"/>
  <c r="AS550" s="1"/>
  <c r="AQ551"/>
  <c r="AS551" s="1"/>
  <c r="AQ552"/>
  <c r="AS552" s="1"/>
  <c r="AQ553"/>
  <c r="AS553" s="1"/>
  <c r="AQ554"/>
  <c r="AS554" s="1"/>
  <c r="AQ555"/>
  <c r="AS555" s="1"/>
  <c r="AQ556"/>
  <c r="AS556" s="1"/>
  <c r="AQ557"/>
  <c r="AS557" s="1"/>
  <c r="AQ558"/>
  <c r="AS558" s="1"/>
  <c r="AQ559"/>
  <c r="AS559" s="1"/>
  <c r="AQ560"/>
  <c r="AS560" s="1"/>
  <c r="AQ561"/>
  <c r="AS561" s="1"/>
  <c r="AQ562"/>
  <c r="AS562" s="1"/>
  <c r="AQ563"/>
  <c r="AS563" s="1"/>
  <c r="AQ564"/>
  <c r="AS564" s="1"/>
  <c r="AQ565"/>
  <c r="AS565" s="1"/>
  <c r="AQ566"/>
  <c r="AS566" s="1"/>
  <c r="AQ567"/>
  <c r="AS567" s="1"/>
  <c r="AQ568"/>
  <c r="AS568" s="1"/>
  <c r="AQ569"/>
  <c r="AS569" s="1"/>
  <c r="AQ570"/>
  <c r="AS570" s="1"/>
  <c r="AQ571"/>
  <c r="AS571" s="1"/>
  <c r="AQ572"/>
  <c r="AS572" s="1"/>
  <c r="AQ573"/>
  <c r="AS573" s="1"/>
  <c r="AQ574"/>
  <c r="AS574" s="1"/>
  <c r="AQ575"/>
  <c r="AS575" s="1"/>
  <c r="AQ576"/>
  <c r="AS576" s="1"/>
  <c r="AQ577"/>
  <c r="AS577" s="1"/>
  <c r="AQ578"/>
  <c r="AS578" s="1"/>
  <c r="AQ579"/>
  <c r="AS579" s="1"/>
  <c r="AQ580"/>
  <c r="AS580" s="1"/>
  <c r="AQ581"/>
  <c r="AS581" s="1"/>
  <c r="AQ582"/>
  <c r="AS582" s="1"/>
  <c r="AQ583"/>
  <c r="AS583" s="1"/>
  <c r="AQ584"/>
  <c r="AS584" s="1"/>
  <c r="AQ585"/>
  <c r="AS585" s="1"/>
  <c r="AQ586"/>
  <c r="AS586" s="1"/>
  <c r="AQ587"/>
  <c r="AS587" s="1"/>
  <c r="AQ588"/>
  <c r="AS588" s="1"/>
  <c r="AQ589"/>
  <c r="AS589" s="1"/>
  <c r="AQ590"/>
  <c r="AS590" s="1"/>
  <c r="AQ591"/>
  <c r="AS591" s="1"/>
  <c r="AQ592"/>
  <c r="AS592" s="1"/>
  <c r="AQ593"/>
  <c r="AS593" s="1"/>
  <c r="AQ594"/>
  <c r="AS594" s="1"/>
  <c r="AQ595"/>
  <c r="AS595" s="1"/>
  <c r="AQ596"/>
  <c r="AS596" s="1"/>
  <c r="AQ597"/>
  <c r="AS597" s="1"/>
  <c r="AQ598"/>
  <c r="AS598" s="1"/>
  <c r="AQ599"/>
  <c r="AS599" s="1"/>
  <c r="AQ600"/>
  <c r="AS600" s="1"/>
  <c r="AQ601"/>
  <c r="AS601" s="1"/>
  <c r="AQ602"/>
  <c r="AS602" s="1"/>
  <c r="AQ603"/>
  <c r="AS603" s="1"/>
  <c r="AQ604"/>
  <c r="AS604" s="1"/>
  <c r="AQ605"/>
  <c r="AS605" s="1"/>
  <c r="AQ606"/>
  <c r="AS606" s="1"/>
  <c r="AQ607"/>
  <c r="AS607" s="1"/>
  <c r="AQ608"/>
  <c r="AS608" s="1"/>
  <c r="AQ609"/>
  <c r="AS609" s="1"/>
  <c r="AQ610"/>
  <c r="AS610" s="1"/>
  <c r="AQ611"/>
  <c r="AS611" s="1"/>
  <c r="AQ612"/>
  <c r="AS612" s="1"/>
  <c r="AQ613"/>
  <c r="AS613" s="1"/>
  <c r="AQ614"/>
  <c r="AS614" s="1"/>
  <c r="AQ615"/>
  <c r="AS615" s="1"/>
  <c r="AQ616"/>
  <c r="AS616" s="1"/>
  <c r="AQ617"/>
  <c r="AS617" s="1"/>
  <c r="AQ618"/>
  <c r="AS618" s="1"/>
  <c r="AQ619"/>
  <c r="AS619" s="1"/>
  <c r="AQ620"/>
  <c r="AS620" s="1"/>
  <c r="AQ621"/>
  <c r="AS621" s="1"/>
  <c r="AQ622"/>
  <c r="AS622" s="1"/>
  <c r="AQ623"/>
  <c r="AS623" s="1"/>
  <c r="AQ624"/>
  <c r="AS624" s="1"/>
  <c r="AQ625"/>
  <c r="AS625" s="1"/>
  <c r="AQ626"/>
  <c r="AS626" s="1"/>
  <c r="AQ627"/>
  <c r="AS627" s="1"/>
  <c r="AQ628"/>
  <c r="AS628" s="1"/>
  <c r="AQ629"/>
  <c r="AS629" s="1"/>
  <c r="AQ630"/>
  <c r="AS630" s="1"/>
  <c r="AQ631"/>
  <c r="AS631" s="1"/>
  <c r="AQ632"/>
  <c r="AS632" s="1"/>
  <c r="AQ633"/>
  <c r="AS633" s="1"/>
  <c r="AQ634"/>
  <c r="AS634" s="1"/>
  <c r="AQ635"/>
  <c r="AS635" s="1"/>
  <c r="AQ636"/>
  <c r="AS636" s="1"/>
  <c r="AQ637"/>
  <c r="AS637" s="1"/>
  <c r="AQ638"/>
  <c r="AS638" s="1"/>
  <c r="AQ639"/>
  <c r="AS639" s="1"/>
  <c r="AQ640"/>
  <c r="AS640" s="1"/>
  <c r="AQ641"/>
  <c r="AS641" s="1"/>
  <c r="AQ642"/>
  <c r="AS642" s="1"/>
  <c r="AQ643"/>
  <c r="AS643" s="1"/>
  <c r="AQ644"/>
  <c r="AS644" s="1"/>
  <c r="AQ645"/>
  <c r="AS645" s="1"/>
  <c r="AQ646"/>
  <c r="AS646" s="1"/>
  <c r="AQ647"/>
  <c r="AS647" s="1"/>
  <c r="AQ648"/>
  <c r="AS648" s="1"/>
  <c r="AQ649"/>
  <c r="AS649" s="1"/>
  <c r="AQ650"/>
  <c r="AS650" s="1"/>
  <c r="AQ651"/>
  <c r="AS651" s="1"/>
  <c r="AQ652"/>
  <c r="AS652" s="1"/>
  <c r="AQ653"/>
  <c r="AS653" s="1"/>
  <c r="AQ654"/>
  <c r="AS654" s="1"/>
  <c r="AQ655"/>
  <c r="AS655" s="1"/>
  <c r="AQ656"/>
  <c r="AS656" s="1"/>
  <c r="AQ657"/>
  <c r="AS657" s="1"/>
  <c r="AQ658"/>
  <c r="AS658" s="1"/>
  <c r="AQ659"/>
  <c r="AS659" s="1"/>
  <c r="AQ660"/>
  <c r="AS660" s="1"/>
  <c r="AQ661"/>
  <c r="AS661" s="1"/>
  <c r="AQ662"/>
  <c r="AS662" s="1"/>
  <c r="AQ663"/>
  <c r="AS663" s="1"/>
  <c r="AQ664"/>
  <c r="AS664" s="1"/>
  <c r="AQ665"/>
  <c r="AS665" s="1"/>
  <c r="AQ666"/>
  <c r="AS666" s="1"/>
  <c r="AQ667"/>
  <c r="AS667" s="1"/>
  <c r="AQ668"/>
  <c r="AS668" s="1"/>
  <c r="AQ669"/>
  <c r="AS669" s="1"/>
  <c r="AQ670"/>
  <c r="AS670" s="1"/>
  <c r="AQ671"/>
  <c r="AS671" s="1"/>
  <c r="AQ672"/>
  <c r="AS672" s="1"/>
  <c r="AQ673"/>
  <c r="AS673" s="1"/>
  <c r="AQ674"/>
  <c r="AS674" s="1"/>
  <c r="AQ675"/>
  <c r="AS675" s="1"/>
  <c r="AQ676"/>
  <c r="AS676" s="1"/>
  <c r="AQ677"/>
  <c r="AS677" s="1"/>
  <c r="AQ678"/>
  <c r="AS678" s="1"/>
  <c r="AQ679"/>
  <c r="AS679" s="1"/>
  <c r="AQ680"/>
  <c r="AS680" s="1"/>
  <c r="AQ681"/>
  <c r="AS681" s="1"/>
  <c r="AQ682"/>
  <c r="AS682" s="1"/>
  <c r="AQ683"/>
  <c r="AS683" s="1"/>
  <c r="AQ684"/>
  <c r="AS684" s="1"/>
  <c r="AQ685"/>
  <c r="AS685" s="1"/>
  <c r="AQ686"/>
  <c r="AS686" s="1"/>
  <c r="AQ687"/>
  <c r="AS687" s="1"/>
  <c r="AQ688"/>
  <c r="AS688" s="1"/>
  <c r="AQ689"/>
  <c r="AS689" s="1"/>
  <c r="AQ690"/>
  <c r="AS690" s="1"/>
  <c r="AQ691"/>
  <c r="AS691" s="1"/>
  <c r="AQ692"/>
  <c r="AS692" s="1"/>
  <c r="AQ693"/>
  <c r="AS693" s="1"/>
  <c r="AQ290"/>
  <c r="AS290" s="1"/>
  <c r="AQ291"/>
  <c r="AS291" s="1"/>
  <c r="AQ292"/>
  <c r="AS292" s="1"/>
  <c r="AQ293"/>
  <c r="AS293" s="1"/>
  <c r="AQ294"/>
  <c r="AS294" s="1"/>
  <c r="AQ295"/>
  <c r="AS295" s="1"/>
  <c r="AQ296"/>
  <c r="AS296" s="1"/>
  <c r="AQ297"/>
  <c r="AS297" s="1"/>
  <c r="AQ298"/>
  <c r="AS298" s="1"/>
  <c r="AQ299"/>
  <c r="AQ300"/>
  <c r="AS300" s="1"/>
  <c r="AQ301"/>
  <c r="AS301" s="1"/>
  <c r="AQ289"/>
  <c r="AS289" s="1"/>
  <c r="AQ286"/>
  <c r="AS286" s="1"/>
  <c r="AQ287"/>
  <c r="AS287" s="1"/>
  <c r="AQ285"/>
  <c r="AS285" s="1"/>
  <c r="AQ281"/>
  <c r="AS281" s="1"/>
  <c r="AQ282"/>
  <c r="AS282" s="1"/>
  <c r="AQ283"/>
  <c r="AS283" s="1"/>
  <c r="AQ280"/>
  <c r="AS280" s="1"/>
  <c r="AQ264"/>
  <c r="AS264" s="1"/>
  <c r="AQ265"/>
  <c r="AS265" s="1"/>
  <c r="AQ266"/>
  <c r="AS266" s="1"/>
  <c r="AQ267"/>
  <c r="AS267" s="1"/>
  <c r="AQ268"/>
  <c r="AS268" s="1"/>
  <c r="AQ269"/>
  <c r="AS269" s="1"/>
  <c r="AQ270"/>
  <c r="AS270" s="1"/>
  <c r="AQ271"/>
  <c r="AS271" s="1"/>
  <c r="AQ272"/>
  <c r="AS272" s="1"/>
  <c r="AQ273"/>
  <c r="AS273" s="1"/>
  <c r="AQ274"/>
  <c r="AS274" s="1"/>
  <c r="AQ275"/>
  <c r="AS275" s="1"/>
  <c r="AQ276"/>
  <c r="AS276" s="1"/>
  <c r="AQ277"/>
  <c r="AS277" s="1"/>
  <c r="AQ278"/>
  <c r="AS278" s="1"/>
  <c r="AQ263"/>
  <c r="AS263" s="1"/>
  <c r="AS288" l="1"/>
  <c r="AS284"/>
  <c r="AS279"/>
  <c r="AQ223"/>
  <c r="AS223" s="1"/>
  <c r="AQ224"/>
  <c r="AS224" s="1"/>
  <c r="AQ225"/>
  <c r="AS225" s="1"/>
  <c r="AQ226"/>
  <c r="AS226" s="1"/>
  <c r="AQ227"/>
  <c r="AS227" s="1"/>
  <c r="AQ228"/>
  <c r="AS228" s="1"/>
  <c r="AQ229"/>
  <c r="AS229" s="1"/>
  <c r="AQ230"/>
  <c r="AS230" s="1"/>
  <c r="AQ231"/>
  <c r="AS231" s="1"/>
  <c r="AQ232"/>
  <c r="AS232" s="1"/>
  <c r="AQ233"/>
  <c r="AS233" s="1"/>
  <c r="AQ234"/>
  <c r="AS234" s="1"/>
  <c r="AQ235"/>
  <c r="AS235" s="1"/>
  <c r="AQ236"/>
  <c r="AS236" s="1"/>
  <c r="AQ237"/>
  <c r="AS237" s="1"/>
  <c r="AQ238"/>
  <c r="AS238" s="1"/>
  <c r="AQ239"/>
  <c r="AS239" s="1"/>
  <c r="AQ240"/>
  <c r="AS240" s="1"/>
  <c r="AQ241"/>
  <c r="AS241" s="1"/>
  <c r="AQ242"/>
  <c r="AS242" s="1"/>
  <c r="AQ243"/>
  <c r="AS243" s="1"/>
  <c r="AQ244"/>
  <c r="AS244" s="1"/>
  <c r="AQ245"/>
  <c r="AS245" s="1"/>
  <c r="AQ246"/>
  <c r="AS246" s="1"/>
  <c r="AQ247"/>
  <c r="AS247" s="1"/>
  <c r="AQ248"/>
  <c r="AS248" s="1"/>
  <c r="AQ249"/>
  <c r="AS249" s="1"/>
  <c r="AQ250"/>
  <c r="AS250" s="1"/>
  <c r="AQ251"/>
  <c r="AS251" s="1"/>
  <c r="AQ252"/>
  <c r="AS252" s="1"/>
  <c r="AQ253"/>
  <c r="AS253" s="1"/>
  <c r="AQ254"/>
  <c r="AS254" s="1"/>
  <c r="AQ255"/>
  <c r="AS255" s="1"/>
  <c r="AQ256"/>
  <c r="AS256" s="1"/>
  <c r="AQ257"/>
  <c r="AS257" s="1"/>
  <c r="AQ258"/>
  <c r="AS258" s="1"/>
  <c r="AQ259"/>
  <c r="AS259" s="1"/>
  <c r="AQ260"/>
  <c r="AS260" s="1"/>
  <c r="AQ261"/>
  <c r="AS261" s="1"/>
  <c r="AQ222"/>
  <c r="AS222" s="1"/>
  <c r="AQ207"/>
  <c r="AS207" s="1"/>
  <c r="AQ208"/>
  <c r="AS208" s="1"/>
  <c r="AQ209"/>
  <c r="AS209" s="1"/>
  <c r="AQ210"/>
  <c r="AS210" s="1"/>
  <c r="AQ211"/>
  <c r="AS211" s="1"/>
  <c r="AQ212"/>
  <c r="AS212" s="1"/>
  <c r="AQ213"/>
  <c r="AS213" s="1"/>
  <c r="AQ214"/>
  <c r="AS214" s="1"/>
  <c r="AQ215"/>
  <c r="AS215" s="1"/>
  <c r="AQ216"/>
  <c r="AS216" s="1"/>
  <c r="AQ217"/>
  <c r="AS217" s="1"/>
  <c r="AQ218"/>
  <c r="AS218" s="1"/>
  <c r="AQ219"/>
  <c r="AS219" s="1"/>
  <c r="AQ220"/>
  <c r="AS220" s="1"/>
  <c r="AQ206"/>
  <c r="AS206" s="1"/>
  <c r="AQ178"/>
  <c r="AS178" s="1"/>
  <c r="AQ179"/>
  <c r="AS179" s="1"/>
  <c r="AQ180"/>
  <c r="AS180" s="1"/>
  <c r="AQ181"/>
  <c r="AS181" s="1"/>
  <c r="AQ182"/>
  <c r="AS182" s="1"/>
  <c r="AQ183"/>
  <c r="AS183" s="1"/>
  <c r="AQ184"/>
  <c r="AS184" s="1"/>
  <c r="AQ185"/>
  <c r="AS185" s="1"/>
  <c r="AQ186"/>
  <c r="AS186" s="1"/>
  <c r="AQ187"/>
  <c r="AS187" s="1"/>
  <c r="AQ188"/>
  <c r="AS188" s="1"/>
  <c r="AQ189"/>
  <c r="AS189" s="1"/>
  <c r="AQ190"/>
  <c r="AS190" s="1"/>
  <c r="AQ191"/>
  <c r="AS191" s="1"/>
  <c r="AQ192"/>
  <c r="AS192" s="1"/>
  <c r="AQ193"/>
  <c r="AS193" s="1"/>
  <c r="AQ194"/>
  <c r="AS194" s="1"/>
  <c r="AQ195"/>
  <c r="AS195" s="1"/>
  <c r="AQ196"/>
  <c r="AS196" s="1"/>
  <c r="AQ197"/>
  <c r="AS197" s="1"/>
  <c r="AQ198"/>
  <c r="AS198" s="1"/>
  <c r="AQ199"/>
  <c r="AS199" s="1"/>
  <c r="AQ200"/>
  <c r="AS200" s="1"/>
  <c r="AQ201"/>
  <c r="AS201" s="1"/>
  <c r="AQ202"/>
  <c r="AS202" s="1"/>
  <c r="AQ203"/>
  <c r="AS203" s="1"/>
  <c r="AQ204"/>
  <c r="AS204" s="1"/>
  <c r="AQ177"/>
  <c r="AS177" s="1"/>
  <c r="AQ175"/>
  <c r="AQ174"/>
  <c r="AR172"/>
  <c r="AR171"/>
  <c r="AR170"/>
  <c r="AQ159"/>
  <c r="AS159" s="1"/>
  <c r="AQ160"/>
  <c r="AS160" s="1"/>
  <c r="AQ162"/>
  <c r="AS162" s="1"/>
  <c r="AQ165"/>
  <c r="AS165" s="1"/>
  <c r="AQ168"/>
  <c r="AS168" s="1"/>
  <c r="AQ169"/>
  <c r="AS169" s="1"/>
  <c r="AQ170"/>
  <c r="AQ171"/>
  <c r="AQ172"/>
  <c r="AQ158"/>
  <c r="AS158" s="1"/>
  <c r="AQ156"/>
  <c r="AQ154"/>
  <c r="AS154" s="1"/>
  <c r="AQ704"/>
  <c r="AS704" s="1"/>
  <c r="AQ705"/>
  <c r="AS705" s="1"/>
  <c r="AQ706"/>
  <c r="AS706" s="1"/>
  <c r="AQ707"/>
  <c r="AS707" s="1"/>
  <c r="AQ708"/>
  <c r="AS708" s="1"/>
  <c r="AQ709"/>
  <c r="AS709" s="1"/>
  <c r="AQ710"/>
  <c r="AS710" s="1"/>
  <c r="AQ711"/>
  <c r="AS711" s="1"/>
  <c r="AQ712"/>
  <c r="AS712" s="1"/>
  <c r="AQ713"/>
  <c r="AS713" s="1"/>
  <c r="AQ714"/>
  <c r="AS714" s="1"/>
  <c r="AQ715"/>
  <c r="AS715" s="1"/>
  <c r="AQ716"/>
  <c r="AS716" s="1"/>
  <c r="AQ717"/>
  <c r="AS717" s="1"/>
  <c r="AQ718"/>
  <c r="AS718" s="1"/>
  <c r="AQ719"/>
  <c r="AS719" s="1"/>
  <c r="AQ720"/>
  <c r="AS720" s="1"/>
  <c r="AQ721"/>
  <c r="AS721" s="1"/>
  <c r="AQ722"/>
  <c r="AS722" s="1"/>
  <c r="AQ723"/>
  <c r="AS723" s="1"/>
  <c r="AQ724"/>
  <c r="AS724" s="1"/>
  <c r="AQ725"/>
  <c r="AS725" s="1"/>
  <c r="AQ726"/>
  <c r="AS726" s="1"/>
  <c r="AQ727"/>
  <c r="AS727" s="1"/>
  <c r="AQ728"/>
  <c r="AS728" s="1"/>
  <c r="AQ729"/>
  <c r="AS729" s="1"/>
  <c r="AQ730"/>
  <c r="AS730" s="1"/>
  <c r="AQ731"/>
  <c r="AS731" s="1"/>
  <c r="AQ732"/>
  <c r="AS732" s="1"/>
  <c r="AQ733"/>
  <c r="AS733" s="1"/>
  <c r="AQ734"/>
  <c r="AS734" s="1"/>
  <c r="AQ735"/>
  <c r="AS735" s="1"/>
  <c r="AQ736"/>
  <c r="AS736" s="1"/>
  <c r="AQ737"/>
  <c r="AS737" s="1"/>
  <c r="AQ738"/>
  <c r="AS738" s="1"/>
  <c r="AQ739"/>
  <c r="AS739" s="1"/>
  <c r="AQ740"/>
  <c r="AS740" s="1"/>
  <c r="AQ741"/>
  <c r="AS741" s="1"/>
  <c r="AQ742"/>
  <c r="AS742" s="1"/>
  <c r="AQ743"/>
  <c r="AS743" s="1"/>
  <c r="AQ744"/>
  <c r="AS744" s="1"/>
  <c r="AQ745"/>
  <c r="AS745" s="1"/>
  <c r="AQ746"/>
  <c r="AS746" s="1"/>
  <c r="AQ747"/>
  <c r="AS747" s="1"/>
  <c r="AQ748"/>
  <c r="AS748" s="1"/>
  <c r="AQ749"/>
  <c r="AS749" s="1"/>
  <c r="AQ750"/>
  <c r="AS750" s="1"/>
  <c r="AQ751"/>
  <c r="AS751" s="1"/>
  <c r="AQ752"/>
  <c r="AS752" s="1"/>
  <c r="AQ753"/>
  <c r="AS753" s="1"/>
  <c r="AQ754"/>
  <c r="AS754" s="1"/>
  <c r="AQ755"/>
  <c r="AS755" s="1"/>
  <c r="AQ756"/>
  <c r="AS756" s="1"/>
  <c r="AQ757"/>
  <c r="AS757" s="1"/>
  <c r="AQ758"/>
  <c r="AS758" s="1"/>
  <c r="AQ759"/>
  <c r="AS759" s="1"/>
  <c r="AQ760"/>
  <c r="AS760" s="1"/>
  <c r="AQ761"/>
  <c r="AS761" s="1"/>
  <c r="AQ762"/>
  <c r="AS762" s="1"/>
  <c r="AQ763"/>
  <c r="AS763" s="1"/>
  <c r="AQ764"/>
  <c r="AS764" s="1"/>
  <c r="AQ765"/>
  <c r="AS765" s="1"/>
  <c r="AQ766"/>
  <c r="AS766" s="1"/>
  <c r="AQ767"/>
  <c r="AS767" s="1"/>
  <c r="AQ768"/>
  <c r="AS768" s="1"/>
  <c r="AQ769"/>
  <c r="AS769" s="1"/>
  <c r="AQ770"/>
  <c r="AS770" s="1"/>
  <c r="AQ771"/>
  <c r="AS771" s="1"/>
  <c r="AQ772"/>
  <c r="AS772" s="1"/>
  <c r="AQ773"/>
  <c r="AS773" s="1"/>
  <c r="AQ774"/>
  <c r="AS774" s="1"/>
  <c r="AQ775"/>
  <c r="AS775" s="1"/>
  <c r="AQ776"/>
  <c r="AS776" s="1"/>
  <c r="AQ777"/>
  <c r="AS777" s="1"/>
  <c r="AQ778"/>
  <c r="AS778" s="1"/>
  <c r="AQ779"/>
  <c r="AS779" s="1"/>
  <c r="AQ780"/>
  <c r="AS780" s="1"/>
  <c r="AQ781"/>
  <c r="AS781" s="1"/>
  <c r="AQ782"/>
  <c r="AS782" s="1"/>
  <c r="AQ783"/>
  <c r="AS783" s="1"/>
  <c r="AQ784"/>
  <c r="AS784" s="1"/>
  <c r="AQ785"/>
  <c r="AS785" s="1"/>
  <c r="AQ786"/>
  <c r="AS786" s="1"/>
  <c r="AQ787"/>
  <c r="AS787" s="1"/>
  <c r="AQ788"/>
  <c r="AS788" s="1"/>
  <c r="AQ789"/>
  <c r="AS789" s="1"/>
  <c r="AQ790"/>
  <c r="AS790" s="1"/>
  <c r="AQ791"/>
  <c r="AS791" s="1"/>
  <c r="AQ792"/>
  <c r="AS792" s="1"/>
  <c r="AQ793"/>
  <c r="AS793" s="1"/>
  <c r="AQ794"/>
  <c r="AS794" s="1"/>
  <c r="AQ795"/>
  <c r="AS795" s="1"/>
  <c r="AQ796"/>
  <c r="AS796" s="1"/>
  <c r="AQ797"/>
  <c r="AS797" s="1"/>
  <c r="AQ798"/>
  <c r="AS798" s="1"/>
  <c r="AQ799"/>
  <c r="AS799" s="1"/>
  <c r="AQ800"/>
  <c r="AS800" s="1"/>
  <c r="AQ801"/>
  <c r="AS801" s="1"/>
  <c r="AQ802"/>
  <c r="AS802" s="1"/>
  <c r="AQ803"/>
  <c r="AS803" s="1"/>
  <c r="AQ804"/>
  <c r="AS804" s="1"/>
  <c r="AQ805"/>
  <c r="AS805" s="1"/>
  <c r="AQ806"/>
  <c r="AS806" s="1"/>
  <c r="AQ807"/>
  <c r="AS807" s="1"/>
  <c r="AQ808"/>
  <c r="AS808" s="1"/>
  <c r="AQ809"/>
  <c r="AS809" s="1"/>
  <c r="AQ810"/>
  <c r="AS810" s="1"/>
  <c r="AQ811"/>
  <c r="AS811" s="1"/>
  <c r="AQ812"/>
  <c r="AS812" s="1"/>
  <c r="AQ813"/>
  <c r="AS813" s="1"/>
  <c r="AQ814"/>
  <c r="AS814" s="1"/>
  <c r="AQ815"/>
  <c r="AS815" s="1"/>
  <c r="AQ816"/>
  <c r="AS816" s="1"/>
  <c r="AQ817"/>
  <c r="AS817" s="1"/>
  <c r="AQ818"/>
  <c r="AS818" s="1"/>
  <c r="AQ819"/>
  <c r="AS819" s="1"/>
  <c r="AQ820"/>
  <c r="AS820" s="1"/>
  <c r="AQ821"/>
  <c r="AS821" s="1"/>
  <c r="AQ822"/>
  <c r="AS822" s="1"/>
  <c r="AQ823"/>
  <c r="AS823" s="1"/>
  <c r="AQ824"/>
  <c r="AS824" s="1"/>
  <c r="AQ825"/>
  <c r="AS825" s="1"/>
  <c r="AQ826"/>
  <c r="AS826" s="1"/>
  <c r="AQ827"/>
  <c r="AS827" s="1"/>
  <c r="AQ828"/>
  <c r="AS828" s="1"/>
  <c r="AQ829"/>
  <c r="AS829" s="1"/>
  <c r="AQ830"/>
  <c r="AS830" s="1"/>
  <c r="AQ703"/>
  <c r="AS703" s="1"/>
  <c r="AQ117"/>
  <c r="AS117" s="1"/>
  <c r="AQ119"/>
  <c r="AS119" s="1"/>
  <c r="AQ120"/>
  <c r="AS120" s="1"/>
  <c r="AQ125"/>
  <c r="AS125" s="1"/>
  <c r="AQ126"/>
  <c r="AS126" s="1"/>
  <c r="AQ127"/>
  <c r="AS127" s="1"/>
  <c r="AQ128"/>
  <c r="AS128" s="1"/>
  <c r="AQ129"/>
  <c r="AS129" s="1"/>
  <c r="AQ130"/>
  <c r="AS130" s="1"/>
  <c r="AQ131"/>
  <c r="AS131" s="1"/>
  <c r="AQ133"/>
  <c r="AS133" s="1"/>
  <c r="AQ135"/>
  <c r="AS135" s="1"/>
  <c r="AQ136"/>
  <c r="AS136" s="1"/>
  <c r="AQ137"/>
  <c r="AS137" s="1"/>
  <c r="AQ139"/>
  <c r="AS139" s="1"/>
  <c r="AQ140"/>
  <c r="AS140" s="1"/>
  <c r="AQ141"/>
  <c r="AS141" s="1"/>
  <c r="AQ142"/>
  <c r="AS142" s="1"/>
  <c r="AQ143"/>
  <c r="AS143" s="1"/>
  <c r="AQ145"/>
  <c r="AS145" s="1"/>
  <c r="AQ146"/>
  <c r="AS146" s="1"/>
  <c r="AQ148"/>
  <c r="AS148" s="1"/>
  <c r="AQ149"/>
  <c r="AQ150"/>
  <c r="AQ47"/>
  <c r="AS47" s="1"/>
  <c r="AQ48"/>
  <c r="AS48" s="1"/>
  <c r="AQ49"/>
  <c r="AS49" s="1"/>
  <c r="AQ50"/>
  <c r="AS50" s="1"/>
  <c r="AQ51"/>
  <c r="AS51" s="1"/>
  <c r="AQ52"/>
  <c r="AS52" s="1"/>
  <c r="AQ53"/>
  <c r="AS53" s="1"/>
  <c r="AQ54"/>
  <c r="AS54" s="1"/>
  <c r="AQ55"/>
  <c r="AS55" s="1"/>
  <c r="AQ56"/>
  <c r="AS56" s="1"/>
  <c r="AQ57"/>
  <c r="AS57" s="1"/>
  <c r="AQ58"/>
  <c r="AS58" s="1"/>
  <c r="AQ59"/>
  <c r="AS59" s="1"/>
  <c r="AQ60"/>
  <c r="AS60" s="1"/>
  <c r="AQ61"/>
  <c r="AS61" s="1"/>
  <c r="AQ62"/>
  <c r="AS62" s="1"/>
  <c r="AQ63"/>
  <c r="AS63" s="1"/>
  <c r="AQ64"/>
  <c r="AS64" s="1"/>
  <c r="AQ66"/>
  <c r="AS66" s="1"/>
  <c r="AQ67"/>
  <c r="AS67" s="1"/>
  <c r="AQ68"/>
  <c r="AS68" s="1"/>
  <c r="AQ69"/>
  <c r="AS69" s="1"/>
  <c r="AQ70"/>
  <c r="AS70" s="1"/>
  <c r="AQ71"/>
  <c r="AS71" s="1"/>
  <c r="AQ72"/>
  <c r="AS72" s="1"/>
  <c r="AQ73"/>
  <c r="AS73" s="1"/>
  <c r="AQ74"/>
  <c r="AS74" s="1"/>
  <c r="AQ75"/>
  <c r="AS75" s="1"/>
  <c r="AQ76"/>
  <c r="AS76" s="1"/>
  <c r="AQ77"/>
  <c r="AS77" s="1"/>
  <c r="AQ78"/>
  <c r="AS78" s="1"/>
  <c r="AQ79"/>
  <c r="AS79" s="1"/>
  <c r="AQ80"/>
  <c r="AS80" s="1"/>
  <c r="AQ81"/>
  <c r="AS81" s="1"/>
  <c r="AQ82"/>
  <c r="AS82" s="1"/>
  <c r="AQ83"/>
  <c r="AS83" s="1"/>
  <c r="AQ84"/>
  <c r="AS84" s="1"/>
  <c r="AQ85"/>
  <c r="AS85" s="1"/>
  <c r="AQ86"/>
  <c r="AS86" s="1"/>
  <c r="AQ87"/>
  <c r="AS87" s="1"/>
  <c r="AQ88"/>
  <c r="AS88" s="1"/>
  <c r="AQ89"/>
  <c r="AS89" s="1"/>
  <c r="AQ90"/>
  <c r="AS90" s="1"/>
  <c r="AQ91"/>
  <c r="AS91" s="1"/>
  <c r="AQ92"/>
  <c r="AS92" s="1"/>
  <c r="AQ93"/>
  <c r="AS93" s="1"/>
  <c r="AQ94"/>
  <c r="AS94" s="1"/>
  <c r="AQ95"/>
  <c r="AS95" s="1"/>
  <c r="AQ96"/>
  <c r="AS96" s="1"/>
  <c r="AQ97"/>
  <c r="AS97" s="1"/>
  <c r="AQ98"/>
  <c r="AS98" s="1"/>
  <c r="AQ99"/>
  <c r="AS99" s="1"/>
  <c r="AQ100"/>
  <c r="AS100" s="1"/>
  <c r="AQ101"/>
  <c r="AS101" s="1"/>
  <c r="AQ102"/>
  <c r="AS102" s="1"/>
  <c r="AQ103"/>
  <c r="AQ104"/>
  <c r="AS104" s="1"/>
  <c r="AQ105"/>
  <c r="AS105" s="1"/>
  <c r="AQ106"/>
  <c r="AS106" s="1"/>
  <c r="AQ107"/>
  <c r="AS107" s="1"/>
  <c r="AQ108"/>
  <c r="AS108" s="1"/>
  <c r="AQ109"/>
  <c r="AS109" s="1"/>
  <c r="AQ110"/>
  <c r="AS110" s="1"/>
  <c r="AQ111"/>
  <c r="AS111" s="1"/>
  <c r="AQ112"/>
  <c r="AS112" s="1"/>
  <c r="AQ113"/>
  <c r="AS113" s="1"/>
  <c r="AQ114"/>
  <c r="AS114" s="1"/>
  <c r="AQ46"/>
  <c r="N57"/>
  <c r="AQ35"/>
  <c r="AQ36"/>
  <c r="AQ37"/>
  <c r="AQ38"/>
  <c r="AQ39"/>
  <c r="AQ40"/>
  <c r="AQ41"/>
  <c r="AQ42"/>
  <c r="AQ43"/>
  <c r="AQ44"/>
  <c r="AQ34"/>
  <c r="AQ32"/>
  <c r="AQ12"/>
  <c r="AQ13"/>
  <c r="AQ14"/>
  <c r="AQ15"/>
  <c r="AQ16"/>
  <c r="AQ17"/>
  <c r="AQ18"/>
  <c r="AQ19"/>
  <c r="AQ20"/>
  <c r="AQ21"/>
  <c r="AQ22"/>
  <c r="AQ23"/>
  <c r="AQ24"/>
  <c r="AQ25"/>
  <c r="AQ26"/>
  <c r="AQ27"/>
  <c r="AQ28"/>
  <c r="AQ29"/>
  <c r="AQ30"/>
  <c r="AS262" l="1"/>
  <c r="AS221"/>
  <c r="AS205"/>
  <c r="AS172"/>
  <c r="AS170"/>
  <c r="AS171"/>
  <c r="AS831"/>
  <c r="AO167"/>
  <c r="AQ167" s="1"/>
  <c r="AS167" s="1"/>
  <c r="AO166"/>
  <c r="AQ166" s="1"/>
  <c r="AS166" s="1"/>
  <c r="AO164"/>
  <c r="AO163"/>
  <c r="AQ163" s="1"/>
  <c r="AS163" s="1"/>
  <c r="AP162"/>
  <c r="AO161"/>
  <c r="AQ161" s="1"/>
  <c r="AS161" s="1"/>
  <c r="AS175"/>
  <c r="AN175"/>
  <c r="AO153"/>
  <c r="AO303"/>
  <c r="AP303" l="1"/>
  <c r="AQ303"/>
  <c r="AS303" s="1"/>
  <c r="AP164"/>
  <c r="AQ164"/>
  <c r="AS164" s="1"/>
  <c r="AS173" s="1"/>
  <c r="AP163"/>
  <c r="AP161"/>
  <c r="AN264"/>
  <c r="AN265"/>
  <c r="AN266"/>
  <c r="AN267"/>
  <c r="AN268"/>
  <c r="AN269"/>
  <c r="AN270"/>
  <c r="AN271"/>
  <c r="AN272"/>
  <c r="AN273"/>
  <c r="AN274"/>
  <c r="AN275"/>
  <c r="AN263"/>
  <c r="AN154"/>
  <c r="AN152"/>
  <c r="AM144"/>
  <c r="AN144" s="1"/>
  <c r="AM132"/>
  <c r="AM124"/>
  <c r="AM118"/>
  <c r="AN31"/>
  <c r="AN32"/>
  <c r="AN33"/>
  <c r="AN34"/>
  <c r="AN35"/>
  <c r="AN36"/>
  <c r="AN37"/>
  <c r="AN38"/>
  <c r="AN39"/>
  <c r="AN40"/>
  <c r="AN41"/>
  <c r="AN42"/>
  <c r="AN43"/>
  <c r="AN44"/>
  <c r="AN45"/>
  <c r="AN46"/>
  <c r="AN47"/>
  <c r="AN48"/>
  <c r="AN49"/>
  <c r="AN50"/>
  <c r="AN51"/>
  <c r="AN52"/>
  <c r="AN53"/>
  <c r="AN54"/>
  <c r="AN55"/>
  <c r="AN57"/>
  <c r="AN58"/>
  <c r="AN59"/>
  <c r="AN60"/>
  <c r="AN61"/>
  <c r="AN62"/>
  <c r="AN63"/>
  <c r="AN64"/>
  <c r="AN65"/>
  <c r="AN66"/>
  <c r="AN67"/>
  <c r="AN68"/>
  <c r="AN69"/>
  <c r="AN70"/>
  <c r="AN71"/>
  <c r="AN72"/>
  <c r="AN73"/>
  <c r="AN74"/>
  <c r="AN75"/>
  <c r="AN76"/>
  <c r="AN77"/>
  <c r="AN78"/>
  <c r="AN79"/>
  <c r="AN80"/>
  <c r="AN81"/>
  <c r="AN82"/>
  <c r="AN83"/>
  <c r="AN84"/>
  <c r="AN85"/>
  <c r="AN86"/>
  <c r="AN87"/>
  <c r="AN88"/>
  <c r="AN89"/>
  <c r="AN90"/>
  <c r="AN91"/>
  <c r="AN92"/>
  <c r="AN93"/>
  <c r="AN94"/>
  <c r="AN95"/>
  <c r="AN96"/>
  <c r="AN97"/>
  <c r="AN98"/>
  <c r="AN112"/>
  <c r="AN113"/>
  <c r="AN114"/>
  <c r="AN99"/>
  <c r="AN56"/>
  <c r="AN100"/>
  <c r="AN101"/>
  <c r="AN102"/>
  <c r="AN104"/>
  <c r="AN105"/>
  <c r="AN106"/>
  <c r="AN108"/>
  <c r="AN109"/>
  <c r="AN110"/>
  <c r="AN111"/>
  <c r="AN107"/>
  <c r="AN115"/>
  <c r="AN116"/>
  <c r="AN117"/>
  <c r="AN119"/>
  <c r="AN120"/>
  <c r="AN121"/>
  <c r="AN122"/>
  <c r="AN123"/>
  <c r="AN125"/>
  <c r="AN126"/>
  <c r="AN127"/>
  <c r="AN128"/>
  <c r="AN129"/>
  <c r="AN130"/>
  <c r="AN131"/>
  <c r="AN133"/>
  <c r="AN134"/>
  <c r="AN135"/>
  <c r="AN136"/>
  <c r="AN147"/>
  <c r="AN148"/>
  <c r="AN143"/>
  <c r="AN145"/>
  <c r="AN137"/>
  <c r="AN138"/>
  <c r="AN146"/>
  <c r="AN139"/>
  <c r="AN140"/>
  <c r="AN141"/>
  <c r="AN142"/>
  <c r="AN30"/>
  <c r="AS30"/>
  <c r="AJ30"/>
  <c r="AL30"/>
  <c r="AN118" l="1"/>
  <c r="AN132"/>
  <c r="AQ132"/>
  <c r="AS132" s="1"/>
  <c r="AN124"/>
  <c r="AQ124"/>
  <c r="AS124" s="1"/>
  <c r="AN11"/>
  <c r="AN12"/>
  <c r="AN13"/>
  <c r="AN14"/>
  <c r="AN15"/>
  <c r="AN16"/>
  <c r="AN17"/>
  <c r="AN18"/>
  <c r="AN19"/>
  <c r="AN20"/>
  <c r="AN21"/>
  <c r="AN22"/>
  <c r="AN23"/>
  <c r="AN24"/>
  <c r="AN25"/>
  <c r="AN26"/>
  <c r="AN27"/>
  <c r="AN28"/>
  <c r="AN29"/>
  <c r="AN10"/>
  <c r="AL223" l="1"/>
  <c r="AL224"/>
  <c r="AL225"/>
  <c r="AL226"/>
  <c r="AL227"/>
  <c r="AL228"/>
  <c r="AL229"/>
  <c r="AL230"/>
  <c r="AL231"/>
  <c r="AL232"/>
  <c r="AL233"/>
  <c r="AL234"/>
  <c r="AL235"/>
  <c r="AL236"/>
  <c r="AL237"/>
  <c r="AL238"/>
  <c r="AL239"/>
  <c r="AL240"/>
  <c r="AL241"/>
  <c r="AL242"/>
  <c r="AL243"/>
  <c r="AL244"/>
  <c r="AL245"/>
  <c r="AL246"/>
  <c r="AL247"/>
  <c r="AL248"/>
  <c r="AL249"/>
  <c r="AL250"/>
  <c r="AL251"/>
  <c r="AL252"/>
  <c r="AL253"/>
  <c r="AL254"/>
  <c r="AL255"/>
  <c r="AL256"/>
  <c r="AL257"/>
  <c r="AL258"/>
  <c r="AL259"/>
  <c r="AL260"/>
  <c r="AL261"/>
  <c r="AL222"/>
  <c r="AL207" l="1"/>
  <c r="AL208"/>
  <c r="AL209"/>
  <c r="AL210"/>
  <c r="AL211"/>
  <c r="AL212"/>
  <c r="AL213"/>
  <c r="AL214"/>
  <c r="AL215"/>
  <c r="AL216"/>
  <c r="AL217"/>
  <c r="AL218"/>
  <c r="AL219"/>
  <c r="AL220"/>
  <c r="AL206"/>
  <c r="AL182" l="1"/>
  <c r="AL183"/>
  <c r="AL184"/>
  <c r="AL185"/>
  <c r="AL186"/>
  <c r="AL187"/>
  <c r="AL188"/>
  <c r="AL189"/>
  <c r="AL190"/>
  <c r="AL191"/>
  <c r="AL192"/>
  <c r="AL177"/>
  <c r="AL178"/>
  <c r="AL179"/>
  <c r="AL180"/>
  <c r="AL200"/>
  <c r="AL201"/>
  <c r="AL202"/>
  <c r="AL203"/>
  <c r="AL204"/>
  <c r="AL193"/>
  <c r="AL194"/>
  <c r="AL195"/>
  <c r="AL196"/>
  <c r="AL197"/>
  <c r="AL198"/>
  <c r="AL181"/>
  <c r="AK152" l="1"/>
  <c r="AL117"/>
  <c r="AL118"/>
  <c r="AL119"/>
  <c r="AL120"/>
  <c r="AL121"/>
  <c r="AL122"/>
  <c r="AL123"/>
  <c r="AL124"/>
  <c r="AL125"/>
  <c r="AL126"/>
  <c r="AL127"/>
  <c r="AL128"/>
  <c r="AL129"/>
  <c r="AL130"/>
  <c r="AL131"/>
  <c r="AL132"/>
  <c r="AL133"/>
  <c r="AL134"/>
  <c r="AL135"/>
  <c r="AL136"/>
  <c r="AL147"/>
  <c r="AL148"/>
  <c r="AL143"/>
  <c r="AL144"/>
  <c r="AL145"/>
  <c r="AL137"/>
  <c r="AL138"/>
  <c r="AL146"/>
  <c r="AL139"/>
  <c r="AL140"/>
  <c r="AL141"/>
  <c r="AL142"/>
  <c r="AL116"/>
  <c r="AL47"/>
  <c r="AL48"/>
  <c r="AL49"/>
  <c r="AL50"/>
  <c r="AL51"/>
  <c r="AL52"/>
  <c r="AL53"/>
  <c r="AL54"/>
  <c r="AL55"/>
  <c r="AL57"/>
  <c r="AL58"/>
  <c r="AL59"/>
  <c r="AL60"/>
  <c r="AL61"/>
  <c r="AL62"/>
  <c r="AL63"/>
  <c r="AL64"/>
  <c r="AL65"/>
  <c r="AL66"/>
  <c r="AL67"/>
  <c r="AL68"/>
  <c r="AL69"/>
  <c r="AL70"/>
  <c r="AL71"/>
  <c r="AL72"/>
  <c r="AL73"/>
  <c r="AL74"/>
  <c r="AL75"/>
  <c r="AL76"/>
  <c r="AL77"/>
  <c r="AL78"/>
  <c r="AL79"/>
  <c r="AL80"/>
  <c r="AL81"/>
  <c r="AL82"/>
  <c r="AL83"/>
  <c r="AL84"/>
  <c r="AL85"/>
  <c r="AL86"/>
  <c r="AL87"/>
  <c r="AL88"/>
  <c r="AL89"/>
  <c r="AL90"/>
  <c r="AL91"/>
  <c r="AL92"/>
  <c r="AL93"/>
  <c r="AL94"/>
  <c r="AL95"/>
  <c r="AL96"/>
  <c r="AL97"/>
  <c r="AL98"/>
  <c r="AL112"/>
  <c r="AL113"/>
  <c r="AL114"/>
  <c r="AL99"/>
  <c r="AL56"/>
  <c r="AL100"/>
  <c r="AL101"/>
  <c r="AL102"/>
  <c r="AL104"/>
  <c r="AL105"/>
  <c r="AL106"/>
  <c r="AL108"/>
  <c r="AL109"/>
  <c r="AL110"/>
  <c r="AL111"/>
  <c r="AL107"/>
  <c r="AL46"/>
  <c r="AS14"/>
  <c r="AL14"/>
  <c r="AL11"/>
  <c r="AL12"/>
  <c r="AL13"/>
  <c r="AL15"/>
  <c r="AL16"/>
  <c r="AL17"/>
  <c r="AL18"/>
  <c r="AL19"/>
  <c r="AL20"/>
  <c r="AL21"/>
  <c r="AL22"/>
  <c r="AL23"/>
  <c r="AL24"/>
  <c r="AL25"/>
  <c r="AL26"/>
  <c r="AL27"/>
  <c r="AL28"/>
  <c r="AL29"/>
  <c r="AL10"/>
  <c r="AL152" l="1"/>
  <c r="AJ876" l="1"/>
  <c r="AJ875"/>
  <c r="AJ152" l="1"/>
  <c r="AJ814"/>
  <c r="AJ815"/>
  <c r="AJ816"/>
  <c r="AJ817"/>
  <c r="AJ818"/>
  <c r="AJ819"/>
  <c r="AJ820"/>
  <c r="AJ821"/>
  <c r="AJ822"/>
  <c r="AJ823"/>
  <c r="AJ824"/>
  <c r="AJ825"/>
  <c r="AJ826"/>
  <c r="AJ827"/>
  <c r="AJ828"/>
  <c r="AJ829"/>
  <c r="AJ830"/>
  <c r="AJ813"/>
  <c r="AJ87" l="1"/>
  <c r="R87"/>
  <c r="P87"/>
  <c r="N87"/>
  <c r="L87"/>
  <c r="AJ47" l="1"/>
  <c r="AJ48"/>
  <c r="AJ49"/>
  <c r="AJ50"/>
  <c r="AJ51"/>
  <c r="AJ52"/>
  <c r="AJ53"/>
  <c r="AJ54"/>
  <c r="AJ55"/>
  <c r="AJ57"/>
  <c r="AJ58"/>
  <c r="AJ59"/>
  <c r="AJ60"/>
  <c r="AJ61"/>
  <c r="AJ62"/>
  <c r="AJ63"/>
  <c r="AJ64"/>
  <c r="AJ65"/>
  <c r="AJ66"/>
  <c r="AJ67"/>
  <c r="AJ68"/>
  <c r="AJ69"/>
  <c r="AJ70"/>
  <c r="AJ71"/>
  <c r="AJ72"/>
  <c r="AJ73"/>
  <c r="AJ74"/>
  <c r="AJ75"/>
  <c r="AJ76"/>
  <c r="AJ77"/>
  <c r="AJ78"/>
  <c r="AJ79"/>
  <c r="AJ80"/>
  <c r="AJ81"/>
  <c r="AJ82"/>
  <c r="AJ83"/>
  <c r="AJ84"/>
  <c r="AJ85"/>
  <c r="AJ86"/>
  <c r="AJ88"/>
  <c r="AJ89"/>
  <c r="AJ90"/>
  <c r="AJ91"/>
  <c r="AJ92"/>
  <c r="AJ93"/>
  <c r="AJ94"/>
  <c r="AJ95"/>
  <c r="AJ96"/>
  <c r="AJ97"/>
  <c r="AJ98"/>
  <c r="AJ112"/>
  <c r="AJ113"/>
  <c r="AJ114"/>
  <c r="AJ99"/>
  <c r="AJ56"/>
  <c r="AJ100"/>
  <c r="AJ101"/>
  <c r="AJ102"/>
  <c r="AJ104"/>
  <c r="AJ105"/>
  <c r="AJ106"/>
  <c r="AJ108"/>
  <c r="AJ109"/>
  <c r="AJ110"/>
  <c r="AJ111"/>
  <c r="AJ107"/>
  <c r="AJ46"/>
  <c r="AJ11"/>
  <c r="AJ12"/>
  <c r="AJ13"/>
  <c r="AJ15"/>
  <c r="AJ16"/>
  <c r="AJ17"/>
  <c r="AJ18"/>
  <c r="AJ19"/>
  <c r="AJ20"/>
  <c r="AJ21"/>
  <c r="AJ22"/>
  <c r="AJ23"/>
  <c r="AJ24"/>
  <c r="AJ25"/>
  <c r="AJ26"/>
  <c r="AJ27"/>
  <c r="AJ28"/>
  <c r="AJ29"/>
  <c r="AJ10"/>
  <c r="AJ141"/>
  <c r="AJ142"/>
  <c r="AJ140"/>
  <c r="AJ119"/>
  <c r="AJ120"/>
  <c r="AJ121"/>
  <c r="AJ122"/>
  <c r="AJ123"/>
  <c r="AJ124"/>
  <c r="AJ125"/>
  <c r="AJ126"/>
  <c r="AJ127"/>
  <c r="AJ128"/>
  <c r="AJ129"/>
  <c r="AJ130"/>
  <c r="AJ131"/>
  <c r="AJ132"/>
  <c r="AJ133"/>
  <c r="AJ134"/>
  <c r="AJ135"/>
  <c r="AJ136"/>
  <c r="AJ147"/>
  <c r="AJ148"/>
  <c r="AJ143"/>
  <c r="AJ144"/>
  <c r="AJ145"/>
  <c r="AJ137"/>
  <c r="AJ138"/>
  <c r="AJ146"/>
  <c r="AJ139"/>
  <c r="AJ117"/>
  <c r="AJ118"/>
  <c r="AJ116"/>
  <c r="AH47" l="1"/>
  <c r="AH75"/>
  <c r="AH61"/>
  <c r="AH101"/>
  <c r="AH100"/>
  <c r="AH46"/>
  <c r="AF872"/>
  <c r="AF873"/>
  <c r="AF874"/>
  <c r="AF871"/>
  <c r="AF281"/>
  <c r="AF282"/>
  <c r="AF283"/>
  <c r="AF280"/>
  <c r="AF812"/>
  <c r="AF811"/>
  <c r="AF152"/>
  <c r="AF100"/>
  <c r="AF74"/>
  <c r="AF65"/>
  <c r="AF101"/>
  <c r="AF47"/>
  <c r="AF46"/>
  <c r="AF85"/>
  <c r="AF98"/>
  <c r="AF73"/>
  <c r="AF67"/>
  <c r="AF107"/>
  <c r="AR103"/>
  <c r="AF61"/>
  <c r="AF82"/>
  <c r="AR150"/>
  <c r="AR149"/>
  <c r="AS149" s="1"/>
  <c r="AF147"/>
  <c r="AF158"/>
  <c r="AN150" l="1"/>
  <c r="AS150"/>
  <c r="AN103"/>
  <c r="AS103"/>
  <c r="AL149"/>
  <c r="AN149"/>
  <c r="AL150"/>
  <c r="R150"/>
  <c r="AJ103"/>
  <c r="AL103"/>
  <c r="AF149"/>
  <c r="AJ149"/>
  <c r="AF150"/>
  <c r="AJ150"/>
  <c r="AF103"/>
  <c r="R149"/>
  <c r="AF43"/>
  <c r="AD43"/>
  <c r="AF42"/>
  <c r="AD42"/>
  <c r="AF38"/>
  <c r="AF41"/>
  <c r="AD41"/>
  <c r="AS43" l="1"/>
  <c r="AS42"/>
  <c r="AS41"/>
  <c r="AD72" l="1"/>
  <c r="AD95"/>
  <c r="AD101"/>
  <c r="AD100"/>
  <c r="AD69"/>
  <c r="AD175"/>
  <c r="AS174"/>
  <c r="AS176" s="1"/>
  <c r="AD174"/>
  <c r="AD182"/>
  <c r="AD181"/>
  <c r="AD199"/>
  <c r="AD152"/>
  <c r="AD286"/>
  <c r="AD287"/>
  <c r="AD285"/>
  <c r="AD160"/>
  <c r="AD158"/>
  <c r="AD47"/>
  <c r="AD46"/>
  <c r="AD44"/>
  <c r="AD40"/>
  <c r="AS38"/>
  <c r="AD38"/>
  <c r="V38"/>
  <c r="AD35"/>
  <c r="AD10"/>
  <c r="AS44" l="1"/>
  <c r="AS40"/>
  <c r="AB80"/>
  <c r="AB100"/>
  <c r="AB52"/>
  <c r="AB98"/>
  <c r="AB97"/>
  <c r="AB67"/>
  <c r="AB47"/>
  <c r="AB46"/>
  <c r="AB58"/>
  <c r="AB57"/>
  <c r="N55"/>
  <c r="P55"/>
  <c r="R55"/>
  <c r="AB23"/>
  <c r="AB22"/>
  <c r="AB12"/>
  <c r="AS13"/>
  <c r="AB13"/>
  <c r="AB18"/>
  <c r="AB10"/>
  <c r="AB145"/>
  <c r="AB144"/>
  <c r="AB121"/>
  <c r="H120"/>
  <c r="AB120"/>
  <c r="AB140"/>
  <c r="AB132"/>
  <c r="AB123"/>
  <c r="AB139"/>
  <c r="AB124"/>
  <c r="AB152"/>
  <c r="AB110"/>
  <c r="X301"/>
  <c r="V291" l="1"/>
  <c r="V292"/>
  <c r="V293"/>
  <c r="V294"/>
  <c r="V295"/>
  <c r="V296"/>
  <c r="V297"/>
  <c r="V298"/>
  <c r="AS156" l="1"/>
  <c r="AS157" s="1"/>
  <c r="X156"/>
  <c r="Z158" l="1"/>
  <c r="Z29"/>
  <c r="Z18"/>
  <c r="Z25"/>
  <c r="Z24"/>
  <c r="Z23"/>
  <c r="Z12"/>
  <c r="Z90" l="1"/>
  <c r="Z66"/>
  <c r="Z92"/>
  <c r="Z69"/>
  <c r="Z68"/>
  <c r="Z60"/>
  <c r="Z51"/>
  <c r="Z47"/>
  <c r="Z46"/>
  <c r="Z75"/>
  <c r="Z65"/>
  <c r="Z67"/>
  <c r="Z80"/>
  <c r="Z85"/>
  <c r="Z61"/>
  <c r="Z102"/>
  <c r="Z144"/>
  <c r="Z146"/>
  <c r="X146"/>
  <c r="R146"/>
  <c r="Z117" l="1"/>
  <c r="Z118"/>
  <c r="Z123"/>
  <c r="Z133"/>
  <c r="Z134"/>
  <c r="Z152"/>
  <c r="V152"/>
  <c r="AR153"/>
  <c r="W153"/>
  <c r="AQ153" s="1"/>
  <c r="X82"/>
  <c r="X80"/>
  <c r="X99"/>
  <c r="X75"/>
  <c r="X85"/>
  <c r="X71"/>
  <c r="X67"/>
  <c r="X65"/>
  <c r="X74"/>
  <c r="X63"/>
  <c r="X61"/>
  <c r="X47"/>
  <c r="X46"/>
  <c r="W138"/>
  <c r="AQ138" s="1"/>
  <c r="AS138" s="1"/>
  <c r="W144"/>
  <c r="AQ144" s="1"/>
  <c r="AS144" s="1"/>
  <c r="W147"/>
  <c r="AQ147" s="1"/>
  <c r="AS147" s="1"/>
  <c r="W134"/>
  <c r="AQ134" s="1"/>
  <c r="AS134" s="1"/>
  <c r="W123"/>
  <c r="AQ123" s="1"/>
  <c r="AS123" s="1"/>
  <c r="W122"/>
  <c r="AQ122" s="1"/>
  <c r="AS122" s="1"/>
  <c r="W121"/>
  <c r="AQ121" s="1"/>
  <c r="AS121" s="1"/>
  <c r="W118"/>
  <c r="AQ118" s="1"/>
  <c r="AS118" s="1"/>
  <c r="W116"/>
  <c r="AQ116" s="1"/>
  <c r="AS116" s="1"/>
  <c r="W11"/>
  <c r="AQ11" s="1"/>
  <c r="W10"/>
  <c r="AQ10" s="1"/>
  <c r="X134"/>
  <c r="V303"/>
  <c r="AS304"/>
  <c r="AS694" s="1"/>
  <c r="AS153" l="1"/>
  <c r="AS151"/>
  <c r="V153"/>
  <c r="AP153"/>
  <c r="X118"/>
  <c r="X153"/>
  <c r="X116"/>
  <c r="X138"/>
  <c r="X11"/>
  <c r="AS11"/>
  <c r="X123"/>
  <c r="X10"/>
  <c r="X121"/>
  <c r="X122"/>
  <c r="X144"/>
  <c r="X147"/>
  <c r="AR299"/>
  <c r="V299" l="1"/>
  <c r="AS299"/>
  <c r="AS302" s="1"/>
  <c r="V52"/>
  <c r="V51"/>
  <c r="V67"/>
  <c r="V62"/>
  <c r="V61"/>
  <c r="V47"/>
  <c r="V300" l="1"/>
  <c r="V290" l="1"/>
  <c r="AS37" l="1"/>
  <c r="AS39"/>
  <c r="AS36"/>
  <c r="V37"/>
  <c r="V39"/>
  <c r="V36"/>
  <c r="V159" l="1"/>
  <c r="V144" l="1"/>
  <c r="V116"/>
  <c r="V138"/>
  <c r="R138"/>
  <c r="V137"/>
  <c r="R137"/>
  <c r="V124"/>
  <c r="V118"/>
  <c r="AS28" l="1"/>
  <c r="AS27"/>
  <c r="V28"/>
  <c r="V27"/>
  <c r="R277" l="1"/>
  <c r="R278"/>
  <c r="R276"/>
  <c r="P158"/>
  <c r="P143"/>
  <c r="O152"/>
  <c r="AQ152" s="1"/>
  <c r="AS152" s="1"/>
  <c r="AS155" s="1"/>
  <c r="N152" l="1"/>
  <c r="L855" l="1"/>
  <c r="L856"/>
  <c r="L857"/>
  <c r="L858"/>
  <c r="L859"/>
  <c r="L860"/>
  <c r="L861"/>
  <c r="L862"/>
  <c r="L863"/>
  <c r="L864"/>
  <c r="L865"/>
  <c r="L866"/>
  <c r="L867"/>
  <c r="L868"/>
  <c r="L869"/>
  <c r="L870"/>
  <c r="L854"/>
  <c r="L152"/>
  <c r="L785"/>
  <c r="L786"/>
  <c r="L787"/>
  <c r="L788"/>
  <c r="L789"/>
  <c r="L790"/>
  <c r="L791"/>
  <c r="L792"/>
  <c r="L793"/>
  <c r="L794"/>
  <c r="L795"/>
  <c r="L796"/>
  <c r="L797"/>
  <c r="L798"/>
  <c r="L799"/>
  <c r="L800"/>
  <c r="L801"/>
  <c r="L802"/>
  <c r="L803"/>
  <c r="L804"/>
  <c r="L805"/>
  <c r="L806"/>
  <c r="L807"/>
  <c r="L808"/>
  <c r="L809"/>
  <c r="L810"/>
  <c r="L780"/>
  <c r="L774"/>
  <c r="L775"/>
  <c r="L776"/>
  <c r="L777"/>
  <c r="L778"/>
  <c r="L779"/>
  <c r="L781"/>
  <c r="L782"/>
  <c r="L783"/>
  <c r="L784"/>
  <c r="L773"/>
  <c r="L143"/>
  <c r="L148"/>
  <c r="L145"/>
  <c r="L144"/>
  <c r="H123"/>
  <c r="H124"/>
  <c r="H118"/>
  <c r="H117"/>
  <c r="H121"/>
  <c r="H145"/>
  <c r="H144"/>
  <c r="R145"/>
  <c r="J833" l="1"/>
  <c r="J834"/>
  <c r="J835"/>
  <c r="J836"/>
  <c r="J837"/>
  <c r="J838"/>
  <c r="J839"/>
  <c r="J840"/>
  <c r="J841"/>
  <c r="J842"/>
  <c r="J843"/>
  <c r="J844"/>
  <c r="J845"/>
  <c r="J846"/>
  <c r="J847"/>
  <c r="J848"/>
  <c r="J849"/>
  <c r="J850"/>
  <c r="J851"/>
  <c r="J852"/>
  <c r="J853"/>
  <c r="J832"/>
  <c r="J771" l="1"/>
  <c r="J772"/>
  <c r="J769"/>
  <c r="J770"/>
  <c r="J768"/>
  <c r="A1" l="1"/>
  <c r="T305"/>
  <c r="T306"/>
  <c r="T307"/>
  <c r="T308"/>
  <c r="T309"/>
  <c r="T310"/>
  <c r="T311"/>
  <c r="T312"/>
  <c r="T313"/>
  <c r="T314"/>
  <c r="T315"/>
  <c r="T316"/>
  <c r="T317"/>
  <c r="T318"/>
  <c r="T319"/>
  <c r="T320"/>
  <c r="T321"/>
  <c r="T322"/>
  <c r="T323"/>
  <c r="T324"/>
  <c r="T325"/>
  <c r="T326"/>
  <c r="T327"/>
  <c r="T328"/>
  <c r="T329"/>
  <c r="T330"/>
  <c r="T331"/>
  <c r="T332"/>
  <c r="T333"/>
  <c r="T334"/>
  <c r="T335"/>
  <c r="T336"/>
  <c r="T337"/>
  <c r="T338"/>
  <c r="T339"/>
  <c r="T340"/>
  <c r="T341"/>
  <c r="T342"/>
  <c r="T343"/>
  <c r="T344"/>
  <c r="T345"/>
  <c r="T346"/>
  <c r="T347"/>
  <c r="T348"/>
  <c r="T349"/>
  <c r="T350"/>
  <c r="T351"/>
  <c r="T352"/>
  <c r="T353"/>
  <c r="T354"/>
  <c r="T355"/>
  <c r="T356"/>
  <c r="T357"/>
  <c r="T358"/>
  <c r="T359"/>
  <c r="T360"/>
  <c r="T361"/>
  <c r="T362"/>
  <c r="T363"/>
  <c r="T364"/>
  <c r="T365"/>
  <c r="T366"/>
  <c r="T367"/>
  <c r="T368"/>
  <c r="T369"/>
  <c r="T370"/>
  <c r="T371"/>
  <c r="T372"/>
  <c r="T373"/>
  <c r="T374"/>
  <c r="T375"/>
  <c r="T376"/>
  <c r="T377"/>
  <c r="T378"/>
  <c r="T379"/>
  <c r="T380"/>
  <c r="T381"/>
  <c r="T382"/>
  <c r="T383"/>
  <c r="T384"/>
  <c r="T385"/>
  <c r="T386"/>
  <c r="T387"/>
  <c r="T388"/>
  <c r="T389"/>
  <c r="T390"/>
  <c r="T391"/>
  <c r="T392"/>
  <c r="T393"/>
  <c r="T394"/>
  <c r="T395"/>
  <c r="T396"/>
  <c r="T397"/>
  <c r="T398"/>
  <c r="T399"/>
  <c r="T400"/>
  <c r="T401"/>
  <c r="T402"/>
  <c r="T403"/>
  <c r="T404"/>
  <c r="T405"/>
  <c r="T406"/>
  <c r="T407"/>
  <c r="T408"/>
  <c r="T409"/>
  <c r="T410"/>
  <c r="T411"/>
  <c r="T412"/>
  <c r="T413"/>
  <c r="T414"/>
  <c r="T415"/>
  <c r="T416"/>
  <c r="T417"/>
  <c r="T418"/>
  <c r="T419"/>
  <c r="T420"/>
  <c r="T421"/>
  <c r="T422"/>
  <c r="T423"/>
  <c r="T424"/>
  <c r="T425"/>
  <c r="T426"/>
  <c r="T427"/>
  <c r="T428"/>
  <c r="T429"/>
  <c r="T430"/>
  <c r="T431"/>
  <c r="T432"/>
  <c r="T433"/>
  <c r="T434"/>
  <c r="T435"/>
  <c r="T436"/>
  <c r="T437"/>
  <c r="T438"/>
  <c r="T439"/>
  <c r="T440"/>
  <c r="T441"/>
  <c r="T442"/>
  <c r="T443"/>
  <c r="T444"/>
  <c r="T445"/>
  <c r="T446"/>
  <c r="T447"/>
  <c r="T448"/>
  <c r="T449"/>
  <c r="T450"/>
  <c r="T451"/>
  <c r="T452"/>
  <c r="T453"/>
  <c r="T454"/>
  <c r="T455"/>
  <c r="T456"/>
  <c r="T457"/>
  <c r="T458"/>
  <c r="T459"/>
  <c r="T460"/>
  <c r="T461"/>
  <c r="T462"/>
  <c r="T463"/>
  <c r="T464"/>
  <c r="T465"/>
  <c r="T466"/>
  <c r="T467"/>
  <c r="T468"/>
  <c r="T469"/>
  <c r="T470"/>
  <c r="T471"/>
  <c r="T472"/>
  <c r="T473"/>
  <c r="T474"/>
  <c r="T475"/>
  <c r="T476"/>
  <c r="T477"/>
  <c r="T478"/>
  <c r="T479"/>
  <c r="T480"/>
  <c r="T481"/>
  <c r="T482"/>
  <c r="T483"/>
  <c r="T484"/>
  <c r="T485"/>
  <c r="T486"/>
  <c r="T487"/>
  <c r="T488"/>
  <c r="T489"/>
  <c r="T490"/>
  <c r="T491"/>
  <c r="T492"/>
  <c r="T493"/>
  <c r="T494"/>
  <c r="T495"/>
  <c r="T496"/>
  <c r="T497"/>
  <c r="T498"/>
  <c r="T499"/>
  <c r="T500"/>
  <c r="T501"/>
  <c r="T502"/>
  <c r="T503"/>
  <c r="T504"/>
  <c r="T505"/>
  <c r="T506"/>
  <c r="T507"/>
  <c r="T508"/>
  <c r="T509"/>
  <c r="T510"/>
  <c r="T511"/>
  <c r="T512"/>
  <c r="T513"/>
  <c r="T514"/>
  <c r="T515"/>
  <c r="T516"/>
  <c r="T517"/>
  <c r="T518"/>
  <c r="T519"/>
  <c r="T520"/>
  <c r="T521"/>
  <c r="T522"/>
  <c r="T523"/>
  <c r="T524"/>
  <c r="T525"/>
  <c r="T526"/>
  <c r="T527"/>
  <c r="T528"/>
  <c r="T529"/>
  <c r="T530"/>
  <c r="T531"/>
  <c r="T532"/>
  <c r="T533"/>
  <c r="T534"/>
  <c r="T535"/>
  <c r="T536"/>
  <c r="T537"/>
  <c r="T538"/>
  <c r="T539"/>
  <c r="T540"/>
  <c r="T541"/>
  <c r="T542"/>
  <c r="T543"/>
  <c r="T544"/>
  <c r="T545"/>
  <c r="T546"/>
  <c r="T547"/>
  <c r="T548"/>
  <c r="T549"/>
  <c r="T550"/>
  <c r="T551"/>
  <c r="T552"/>
  <c r="T553"/>
  <c r="T554"/>
  <c r="T555"/>
  <c r="T556"/>
  <c r="T557"/>
  <c r="T558"/>
  <c r="T559"/>
  <c r="T560"/>
  <c r="T561"/>
  <c r="T562"/>
  <c r="T563"/>
  <c r="T564"/>
  <c r="T565"/>
  <c r="T566"/>
  <c r="T567"/>
  <c r="T568"/>
  <c r="T569"/>
  <c r="T570"/>
  <c r="T571"/>
  <c r="T572"/>
  <c r="T573"/>
  <c r="T574"/>
  <c r="T575"/>
  <c r="T576"/>
  <c r="T577"/>
  <c r="T578"/>
  <c r="T579"/>
  <c r="T580"/>
  <c r="T581"/>
  <c r="T582"/>
  <c r="T583"/>
  <c r="T584"/>
  <c r="T585"/>
  <c r="T586"/>
  <c r="T587"/>
  <c r="T588"/>
  <c r="T589"/>
  <c r="T590"/>
  <c r="T591"/>
  <c r="T592"/>
  <c r="T593"/>
  <c r="T594"/>
  <c r="T595"/>
  <c r="T596"/>
  <c r="T597"/>
  <c r="T598"/>
  <c r="T599"/>
  <c r="T600"/>
  <c r="T601"/>
  <c r="T602"/>
  <c r="T603"/>
  <c r="T604"/>
  <c r="T605"/>
  <c r="T606"/>
  <c r="T607"/>
  <c r="T608"/>
  <c r="T609"/>
  <c r="T610"/>
  <c r="T611"/>
  <c r="T612"/>
  <c r="T613"/>
  <c r="T614"/>
  <c r="T615"/>
  <c r="T616"/>
  <c r="T617"/>
  <c r="T618"/>
  <c r="T619"/>
  <c r="T620"/>
  <c r="T621"/>
  <c r="T622"/>
  <c r="T623"/>
  <c r="T624"/>
  <c r="T625"/>
  <c r="T626"/>
  <c r="T627"/>
  <c r="T628"/>
  <c r="T629"/>
  <c r="T630"/>
  <c r="T631"/>
  <c r="T632"/>
  <c r="T633"/>
  <c r="T634"/>
  <c r="T635"/>
  <c r="T636"/>
  <c r="T637"/>
  <c r="T638"/>
  <c r="T639"/>
  <c r="T640"/>
  <c r="T641"/>
  <c r="T642"/>
  <c r="T643"/>
  <c r="T644"/>
  <c r="T645"/>
  <c r="T646"/>
  <c r="T647"/>
  <c r="T648"/>
  <c r="T649"/>
  <c r="T650"/>
  <c r="T651"/>
  <c r="T652"/>
  <c r="T653"/>
  <c r="T654"/>
  <c r="T655"/>
  <c r="T656"/>
  <c r="T657"/>
  <c r="T658"/>
  <c r="T659"/>
  <c r="T660"/>
  <c r="T661"/>
  <c r="T662"/>
  <c r="T663"/>
  <c r="T664"/>
  <c r="T665"/>
  <c r="T666"/>
  <c r="T667"/>
  <c r="T668"/>
  <c r="T669"/>
  <c r="T670"/>
  <c r="T671"/>
  <c r="T672"/>
  <c r="T673"/>
  <c r="T674"/>
  <c r="T675"/>
  <c r="T676"/>
  <c r="T677"/>
  <c r="T678"/>
  <c r="T679"/>
  <c r="T680"/>
  <c r="T681"/>
  <c r="T682"/>
  <c r="T683"/>
  <c r="T684"/>
  <c r="T685"/>
  <c r="T686"/>
  <c r="T687"/>
  <c r="T688"/>
  <c r="T689"/>
  <c r="T690"/>
  <c r="T691"/>
  <c r="T692"/>
  <c r="T693"/>
  <c r="T35"/>
  <c r="T34"/>
  <c r="AS35"/>
  <c r="AS34"/>
  <c r="AS45" l="1"/>
  <c r="T148" l="1"/>
  <c r="T147"/>
  <c r="T116"/>
  <c r="T119"/>
  <c r="T118"/>
  <c r="T121"/>
  <c r="T123"/>
  <c r="T126"/>
  <c r="T109"/>
  <c r="T110"/>
  <c r="T111"/>
  <c r="T108"/>
  <c r="T107"/>
  <c r="T101"/>
  <c r="T97"/>
  <c r="T85"/>
  <c r="T68"/>
  <c r="R696" l="1"/>
  <c r="R697"/>
  <c r="R698"/>
  <c r="R699"/>
  <c r="R700"/>
  <c r="R701"/>
  <c r="R695"/>
  <c r="R702" l="1"/>
  <c r="L768" l="1"/>
  <c r="L767"/>
  <c r="J767"/>
  <c r="L766"/>
  <c r="J766" l="1"/>
  <c r="L765"/>
  <c r="L764"/>
  <c r="J764"/>
  <c r="L763"/>
  <c r="J763"/>
  <c r="L762"/>
  <c r="J762"/>
  <c r="L761"/>
  <c r="J761"/>
  <c r="L760"/>
  <c r="J760"/>
  <c r="L759"/>
  <c r="J759"/>
  <c r="L758"/>
  <c r="J758"/>
  <c r="L757"/>
  <c r="J757"/>
  <c r="L756"/>
  <c r="J756"/>
  <c r="L755"/>
  <c r="J755"/>
  <c r="L754"/>
  <c r="J754"/>
  <c r="L753"/>
  <c r="J753"/>
  <c r="L752"/>
  <c r="J752"/>
  <c r="L751"/>
  <c r="J751"/>
  <c r="L750"/>
  <c r="J750"/>
  <c r="L749"/>
  <c r="J749"/>
  <c r="L748"/>
  <c r="J748"/>
  <c r="L747"/>
  <c r="J747"/>
  <c r="L746"/>
  <c r="J746"/>
  <c r="L745"/>
  <c r="J745"/>
  <c r="L744"/>
  <c r="J744"/>
  <c r="L743"/>
  <c r="J743"/>
  <c r="L742"/>
  <c r="J742"/>
  <c r="L741"/>
  <c r="J741"/>
  <c r="L740"/>
  <c r="J740"/>
  <c r="L739"/>
  <c r="J739"/>
  <c r="L738"/>
  <c r="J738"/>
  <c r="L737"/>
  <c r="J737"/>
  <c r="L736"/>
  <c r="J736"/>
  <c r="L735"/>
  <c r="J735"/>
  <c r="L734"/>
  <c r="J734"/>
  <c r="L733"/>
  <c r="J733"/>
  <c r="L732"/>
  <c r="J732"/>
  <c r="L731"/>
  <c r="J731"/>
  <c r="L730"/>
  <c r="J730"/>
  <c r="L729"/>
  <c r="J729"/>
  <c r="L728"/>
  <c r="J728"/>
  <c r="L727"/>
  <c r="J727"/>
  <c r="L726"/>
  <c r="J726"/>
  <c r="L725"/>
  <c r="J725"/>
  <c r="L724"/>
  <c r="J724"/>
  <c r="L723"/>
  <c r="J723"/>
  <c r="L722"/>
  <c r="J722"/>
  <c r="L721"/>
  <c r="J721"/>
  <c r="L720"/>
  <c r="J720"/>
  <c r="L719"/>
  <c r="J719"/>
  <c r="L718"/>
  <c r="J718"/>
  <c r="L717"/>
  <c r="J717"/>
  <c r="L716"/>
  <c r="J716"/>
  <c r="L715"/>
  <c r="J715"/>
  <c r="L714"/>
  <c r="J714"/>
  <c r="L713"/>
  <c r="J713"/>
  <c r="L712"/>
  <c r="J712"/>
  <c r="L711"/>
  <c r="J711"/>
  <c r="L710"/>
  <c r="J710"/>
  <c r="L709"/>
  <c r="J709"/>
  <c r="L708"/>
  <c r="J708"/>
  <c r="L707"/>
  <c r="J707"/>
  <c r="L706"/>
  <c r="J706"/>
  <c r="L705"/>
  <c r="J705"/>
  <c r="L704"/>
  <c r="J704"/>
  <c r="L703"/>
  <c r="J703"/>
  <c r="L151"/>
  <c r="J151"/>
  <c r="L146"/>
  <c r="J146"/>
  <c r="L138"/>
  <c r="J138"/>
  <c r="J765" l="1"/>
  <c r="R144"/>
  <c r="R143"/>
  <c r="R148"/>
  <c r="R147"/>
  <c r="P147"/>
  <c r="N147"/>
  <c r="L147"/>
  <c r="R136"/>
  <c r="P136"/>
  <c r="N136"/>
  <c r="L136"/>
  <c r="R135" l="1"/>
  <c r="P135"/>
  <c r="N135"/>
  <c r="L135"/>
  <c r="R134"/>
  <c r="P134"/>
  <c r="N134"/>
  <c r="L134"/>
  <c r="R133"/>
  <c r="P133"/>
  <c r="N133"/>
  <c r="L133"/>
  <c r="R132"/>
  <c r="P132"/>
  <c r="N132"/>
  <c r="L132"/>
  <c r="R131"/>
  <c r="P131"/>
  <c r="N131"/>
  <c r="L131"/>
  <c r="R130" l="1"/>
  <c r="P130"/>
  <c r="N130"/>
  <c r="R129"/>
  <c r="P129"/>
  <c r="N129"/>
  <c r="L129"/>
  <c r="R128"/>
  <c r="P128"/>
  <c r="N128"/>
  <c r="L128"/>
  <c r="R127"/>
  <c r="P127"/>
  <c r="N127"/>
  <c r="L127"/>
  <c r="R126"/>
  <c r="P126"/>
  <c r="N126"/>
  <c r="L126"/>
  <c r="R125"/>
  <c r="P125"/>
  <c r="N125"/>
  <c r="L125"/>
  <c r="R124"/>
  <c r="P124"/>
  <c r="N124"/>
  <c r="L124"/>
  <c r="R123"/>
  <c r="P123"/>
  <c r="N123"/>
  <c r="L123"/>
  <c r="R122"/>
  <c r="P122"/>
  <c r="N122"/>
  <c r="L122"/>
  <c r="R121"/>
  <c r="P121"/>
  <c r="N121"/>
  <c r="L121"/>
  <c r="R120"/>
  <c r="P120"/>
  <c r="N120"/>
  <c r="L120"/>
  <c r="R119"/>
  <c r="P119"/>
  <c r="N119"/>
  <c r="L119"/>
  <c r="L130" l="1"/>
  <c r="H119"/>
  <c r="P118"/>
  <c r="N118"/>
  <c r="L118"/>
  <c r="R117"/>
  <c r="P117"/>
  <c r="N117"/>
  <c r="L117"/>
  <c r="R116"/>
  <c r="P116"/>
  <c r="N116"/>
  <c r="L116"/>
  <c r="H116"/>
  <c r="R107"/>
  <c r="P107"/>
  <c r="N107"/>
  <c r="L107"/>
  <c r="R118" l="1"/>
  <c r="H107"/>
  <c r="P106" l="1"/>
  <c r="P105"/>
  <c r="P104"/>
  <c r="R102"/>
  <c r="P102"/>
  <c r="R101"/>
  <c r="P101"/>
  <c r="N101"/>
  <c r="R100"/>
  <c r="P100"/>
  <c r="N100"/>
  <c r="R56"/>
  <c r="P56"/>
  <c r="N56"/>
  <c r="R99"/>
  <c r="P99"/>
  <c r="N99"/>
  <c r="R114"/>
  <c r="P114"/>
  <c r="N114"/>
  <c r="R113"/>
  <c r="P113"/>
  <c r="N113"/>
  <c r="R112"/>
  <c r="P112"/>
  <c r="N112"/>
  <c r="R98"/>
  <c r="P98"/>
  <c r="N98"/>
  <c r="R97"/>
  <c r="P97"/>
  <c r="N97"/>
  <c r="R96"/>
  <c r="P96"/>
  <c r="N96"/>
  <c r="R95"/>
  <c r="P95"/>
  <c r="N95"/>
  <c r="L95"/>
  <c r="R94"/>
  <c r="P94"/>
  <c r="N94"/>
  <c r="R93"/>
  <c r="P93"/>
  <c r="N93"/>
  <c r="L93"/>
  <c r="R92"/>
  <c r="P92"/>
  <c r="N92"/>
  <c r="R91"/>
  <c r="P91"/>
  <c r="N91"/>
  <c r="L91"/>
  <c r="R90"/>
  <c r="P90"/>
  <c r="N90"/>
  <c r="L90"/>
  <c r="R89"/>
  <c r="P89"/>
  <c r="N89"/>
  <c r="L89"/>
  <c r="R88"/>
  <c r="P88"/>
  <c r="N88"/>
  <c r="L88"/>
  <c r="R86"/>
  <c r="P86"/>
  <c r="N86"/>
  <c r="L86"/>
  <c r="R85"/>
  <c r="P85"/>
  <c r="N85"/>
  <c r="L85"/>
  <c r="R84"/>
  <c r="P84"/>
  <c r="N84"/>
  <c r="L84"/>
  <c r="R83"/>
  <c r="P83"/>
  <c r="N83"/>
  <c r="L83"/>
  <c r="R82"/>
  <c r="P82"/>
  <c r="N82"/>
  <c r="L82"/>
  <c r="R81"/>
  <c r="P81"/>
  <c r="N81"/>
  <c r="L81"/>
  <c r="R80"/>
  <c r="P80"/>
  <c r="N80"/>
  <c r="L80"/>
  <c r="R79"/>
  <c r="P79"/>
  <c r="N79"/>
  <c r="L79"/>
  <c r="R78"/>
  <c r="P78"/>
  <c r="N78"/>
  <c r="L78"/>
  <c r="R77"/>
  <c r="P77"/>
  <c r="N77"/>
  <c r="L77"/>
  <c r="R76"/>
  <c r="P76"/>
  <c r="N76"/>
  <c r="L76"/>
  <c r="R75"/>
  <c r="P75"/>
  <c r="R74"/>
  <c r="P74"/>
  <c r="N74"/>
  <c r="R73"/>
  <c r="P73"/>
  <c r="N73"/>
  <c r="L73"/>
  <c r="R72"/>
  <c r="P72"/>
  <c r="N72"/>
  <c r="R71"/>
  <c r="P71"/>
  <c r="N71"/>
  <c r="R70"/>
  <c r="P70"/>
  <c r="N70"/>
  <c r="L70"/>
  <c r="R69"/>
  <c r="P69"/>
  <c r="N69"/>
  <c r="L69"/>
  <c r="R68"/>
  <c r="P68"/>
  <c r="N68"/>
  <c r="L68"/>
  <c r="R67"/>
  <c r="P67"/>
  <c r="N67"/>
  <c r="L67"/>
  <c r="R66"/>
  <c r="P66"/>
  <c r="N66"/>
  <c r="L66"/>
  <c r="R65"/>
  <c r="P65"/>
  <c r="N65"/>
  <c r="K65"/>
  <c r="AQ65" s="1"/>
  <c r="AS65" s="1"/>
  <c r="R64"/>
  <c r="P64" l="1"/>
  <c r="L65"/>
  <c r="N64"/>
  <c r="R63"/>
  <c r="L64" l="1"/>
  <c r="N63"/>
  <c r="L63"/>
  <c r="P63"/>
  <c r="P62" l="1"/>
  <c r="T62"/>
  <c r="R62"/>
  <c r="N62"/>
  <c r="R60"/>
  <c r="P60"/>
  <c r="N60"/>
  <c r="L60"/>
  <c r="H60"/>
  <c r="R59"/>
  <c r="P59"/>
  <c r="N59"/>
  <c r="L59"/>
  <c r="H59"/>
  <c r="R58"/>
  <c r="P58"/>
  <c r="R57"/>
  <c r="P57"/>
  <c r="R54"/>
  <c r="P54"/>
  <c r="N54"/>
  <c r="R53"/>
  <c r="P53"/>
  <c r="N53"/>
  <c r="R52"/>
  <c r="P52"/>
  <c r="N52"/>
  <c r="L52"/>
  <c r="R51"/>
  <c r="P51"/>
  <c r="N51"/>
  <c r="L51"/>
  <c r="R50"/>
  <c r="P50"/>
  <c r="N50"/>
  <c r="R49"/>
  <c r="P49"/>
  <c r="N49"/>
  <c r="L49"/>
  <c r="R48"/>
  <c r="P48"/>
  <c r="N48"/>
  <c r="L48"/>
  <c r="H48"/>
  <c r="R47"/>
  <c r="P47"/>
  <c r="N47"/>
  <c r="L47"/>
  <c r="H47"/>
  <c r="AS46"/>
  <c r="AS115" s="1"/>
  <c r="R46"/>
  <c r="P46"/>
  <c r="N46"/>
  <c r="L46"/>
  <c r="P61" l="1"/>
  <c r="T61"/>
  <c r="L62"/>
  <c r="L61"/>
  <c r="R61"/>
  <c r="N61"/>
  <c r="H46"/>
  <c r="AS32"/>
  <c r="AS33" l="1"/>
  <c r="N32"/>
  <c r="N33" s="1"/>
  <c r="P29" l="1"/>
  <c r="N29"/>
  <c r="N26"/>
  <c r="P26"/>
  <c r="P25"/>
  <c r="P24"/>
  <c r="N23"/>
  <c r="P23"/>
  <c r="N22"/>
  <c r="P22"/>
  <c r="N21"/>
  <c r="P21"/>
  <c r="L21"/>
  <c r="N20"/>
  <c r="P20"/>
  <c r="L20"/>
  <c r="N19"/>
  <c r="P19"/>
  <c r="L19"/>
  <c r="N18"/>
  <c r="P18"/>
  <c r="L18"/>
  <c r="N17"/>
  <c r="P17"/>
  <c r="L17"/>
  <c r="N16"/>
  <c r="P16"/>
  <c r="L16"/>
  <c r="N15"/>
  <c r="P15"/>
  <c r="L15"/>
  <c r="AS12" l="1"/>
  <c r="AS18"/>
  <c r="AS24"/>
  <c r="AS26"/>
  <c r="AS17"/>
  <c r="AS21"/>
  <c r="AS22"/>
  <c r="AS15"/>
  <c r="AS19"/>
  <c r="AS16"/>
  <c r="AS20"/>
  <c r="AS25"/>
  <c r="AS23"/>
  <c r="P12"/>
  <c r="N12"/>
  <c r="L12"/>
  <c r="N10"/>
  <c r="P10"/>
  <c r="L10"/>
  <c r="AS10" l="1"/>
  <c r="P31"/>
  <c r="AS29" s="1"/>
  <c r="H10"/>
  <c r="AS31" l="1"/>
</calcChain>
</file>

<file path=xl/sharedStrings.xml><?xml version="1.0" encoding="utf-8"?>
<sst xmlns="http://schemas.openxmlformats.org/spreadsheetml/2006/main" count="3815" uniqueCount="1736">
  <si>
    <t>JURISDICCION:</t>
  </si>
  <si>
    <t xml:space="preserve">SAF N°: </t>
  </si>
  <si>
    <t>EJERCICIO:</t>
  </si>
  <si>
    <t>TRIMESTRE:</t>
  </si>
  <si>
    <t>ID</t>
  </si>
  <si>
    <t>CODIGO ITEM</t>
  </si>
  <si>
    <t>RUBRO DE COMPRA</t>
  </si>
  <si>
    <t xml:space="preserve">I.P.P. </t>
  </si>
  <si>
    <t>DESCRIPCION</t>
  </si>
  <si>
    <t>UNIDAD DE MEDIDA</t>
  </si>
  <si>
    <t>PRECIO UNITARIO ESTIMADO</t>
  </si>
  <si>
    <t xml:space="preserve">IMPORTE TOTAL ESTIMADO </t>
  </si>
  <si>
    <t>UNIDAD</t>
  </si>
  <si>
    <t>REPUESTOS</t>
  </si>
  <si>
    <t xml:space="preserve">UNIDAD </t>
  </si>
  <si>
    <t>ELEMENTOS DE LIMPIEZA</t>
  </si>
  <si>
    <t>PAQUETE</t>
  </si>
  <si>
    <t>CAJA</t>
  </si>
  <si>
    <t>ENVASE</t>
  </si>
  <si>
    <t>COMBUSTIBLES Y LUBRICANTES</t>
  </si>
  <si>
    <t>LIBRERIA,PAP. Y UTILES OFICINA</t>
  </si>
  <si>
    <t>PAQ</t>
  </si>
  <si>
    <t>2.9.2-9597.5</t>
  </si>
  <si>
    <t>MEMORIAS USB; CAPACIDAD: 32 Gb, TIPO: PEN DRIVE</t>
  </si>
  <si>
    <t>2.9.2-3949.3</t>
  </si>
  <si>
    <t>SELLOS FOLIADORES; MEDIDA: 35 mm, MATERIAL: MADERA, BASE: CIRCULAR</t>
  </si>
  <si>
    <t>2.9.2-859.16</t>
  </si>
  <si>
    <t>SELLO FECHADOR; DIMENSION: 2,5 X 4 Cm, DIGITOS MOVILES AÑO: 4, DIGITOS MOVILES MES: 3, DIGITOS MOVILES DIA: 2</t>
  </si>
  <si>
    <t>2.9.2-848.20</t>
  </si>
  <si>
    <t>LAPIZ; TIPO: 2HB, COLOR: NEGRO</t>
  </si>
  <si>
    <t>2.9.2-317.17</t>
  </si>
  <si>
    <t>BOLIGRAFOS; TRAZO: GRUESO, COLOR TINTA: NEGRO</t>
  </si>
  <si>
    <t>2.9.2-262.2</t>
  </si>
  <si>
    <t>ADHESIVOS P/PAPEL; TIPO: COLA VINILICA, PRESENTACION: 60 GR</t>
  </si>
  <si>
    <t>2.9.2-274.25</t>
  </si>
  <si>
    <t>BIBLIORATOS; COLOR: NEGRO AZUL, ANILLO: ANILLO Y PALANCA, TAMAÑO: A4, LOMO: CARTON, ANCHO: 80 mm, MATERIAL: CARTON, TAPAS: CARTON FORRADO PLASTICO</t>
  </si>
  <si>
    <t>2.9.2-274.27</t>
  </si>
  <si>
    <t>BIBLIORATOS; COLOR: AZUL, ANCHO: 70 mm, ANILLO: 2, TAMAÑO: OFICIO, TAPAS: CARTON, LOMO: CARTON, MATERIAL: CARTON</t>
  </si>
  <si>
    <t>2.9.2-1354.15</t>
  </si>
  <si>
    <t>RESALTADORES; PUNTA: 3 PLANA mm, ACCESORIO: SIN, COLOR: VERDE, TIPO PUNTA: 3 PLANA mm</t>
  </si>
  <si>
    <t>2.9.2-700.28</t>
  </si>
  <si>
    <t>BROCHES P/ABROCHADORA; NUMERO: 10/50, PRESENTACION: CAJA X 1000 UNIDADES</t>
  </si>
  <si>
    <t>2.9.2-1616.112</t>
  </si>
  <si>
    <t>MARCADORES; TIPO: AL AGUA, TRAZO: GRUESO, PUNTA: CHANFLEADA, RECARGABLE: NO, COLOR: FLUORESCENTE</t>
  </si>
  <si>
    <t>2.3.1-6587.79</t>
  </si>
  <si>
    <t>PAPELES ENCUADERNADOS; CANT. DE HOJAS: 100, TAMAÑO: 21,5 X 35,5 Cm, TIPO: LIBRO DE ACTAS</t>
  </si>
  <si>
    <t>40 - MINISTERIO DE SALUD</t>
  </si>
  <si>
    <t>2.9.1-6956.27</t>
  </si>
  <si>
    <t>ARTICULOS DE TOCADOR; TIPO: JABON DE TOCADOR LIQUIDO, PRESENTACION: ENVASE X 5 L</t>
  </si>
  <si>
    <t>ABROCHADORAS DE PAPEL; TIPO: PINZA, P/BROCHES: 10/50, MATERIAL: METALICA, MEDIDA: 10/50</t>
  </si>
  <si>
    <t>2.9.2-261.14</t>
  </si>
  <si>
    <t>PERFORADORAS; TAMAÑO: MEDIANA, N° PERFORACIONES: 2, DIST. ENTRE AGUJ.: FIJO, GUIA POSICION PAPEL: SIN VALOR, MATERIAL ESTRUCTURA: METAL ESMALTADO, MATERIAL: METAL ESMALTADO</t>
  </si>
  <si>
    <t>2.9.2-858.17</t>
  </si>
  <si>
    <t>ALIMENTOS</t>
  </si>
  <si>
    <t>LECHE; ESTADO: POLVO, TIPO: DESCREMADA, PROCESO: PASTEURIZADA, AGREGADO: SIN, PRESENTACION: ENVASE X 5 GR, MATERIAL ENVASE: TETRAFILM, ELEM. TRANSPORTE: SIN, MATERIAL ELEM. TRANSPORTE: SIN, CERTIFICADO FORESTAL (GFS): SIN, LIBRE DE GLUTEN: SI</t>
  </si>
  <si>
    <t>2.1.1-705.117</t>
  </si>
  <si>
    <t>EDULCORANTES; PRESENTACION: POLVO, ENVASE: SOBRE INDIVIDUAL, CONTENIDO: 500 SOBRES DE 1 GR</t>
  </si>
  <si>
    <t>2.1.1-595.14</t>
  </si>
  <si>
    <t>YERBAS; PALO: SIN, PESO: ENVASE X 100 UN, MATERIAL ENVASE : PAPEL, CERTIFICADO FORESTAL (GFS): SIN, ELEM. TRANSPORTE: SIN, MATERIAL ELEM. TRANSPORTE: SIN, LIBRE DE GLUTEN: NO</t>
  </si>
  <si>
    <t>2.1.1-454.30</t>
  </si>
  <si>
    <t>2.1.1-454.26</t>
  </si>
  <si>
    <t>YERBAS; PALO: CON, PESO: 500 GR, MATERIAL ENVASE : PAPEL, CERTIFICADO FORESTAL (GFS): CON, ELEM. TRANSPORTE: SIN, MATERIAL ELEM. TRANSPORTE: SIN, LIBRE DE GLUTEN: SI</t>
  </si>
  <si>
    <t>AGUA MINERAL; TIPO: SIN GASIFICAR, PRESENTACION: ENVASE X 20 L, MATERIAL ENVASE: PLASTICO 7, TIPO ENVASE: RETORNABLE, ELEM. TRANSPORTE: SIN, MATERIAL ELEM. TRANSPORTE: SIN</t>
  </si>
  <si>
    <t>SEGUNDO TRIMESTRE</t>
  </si>
  <si>
    <t>Pedido de Necesidades Trimestrales</t>
  </si>
  <si>
    <t>2.1.1-709.47</t>
  </si>
  <si>
    <t>CAFE; ENVASE: SAQUITO EN CAJA X 45, PRESENTACION: ENVASE X 40 GR, ESTADO: MOLIDO, PROCESO: TOSTADO, TIPO: FUERTE</t>
  </si>
  <si>
    <t>2.1.1-788.186</t>
  </si>
  <si>
    <t>GALLETITAS; VARIEDAD: SURTIDAS DULCES, RELLENO: SIN, PRESENTACION: ENVASE X 500 GR, ELEM. TRANSPORTE: SIN, MATERIAL ELEM. TRANSPORTE: SIN, LIBRE DE GLUTEN: NO</t>
  </si>
  <si>
    <t>2.1.1-788.192</t>
  </si>
  <si>
    <t>GALLETITAS; VARIEDAD: SALADA TOSTADA, RELLENO: SIN, PRESENTACION: ENVASE X 200 GR, ELEM. TRANSPORTE: CAJA, MATERIAL ELEM. TRANSPORTE:</t>
  </si>
  <si>
    <t>PACK</t>
  </si>
  <si>
    <t>2.1.1-706.6</t>
  </si>
  <si>
    <t>MATE COCIDO; ENVASE: CAJA CARTON, PRESENTACION: ENSOBRADO, SAQUITOS P/CAJA: 100 UN, PESO X SAQ.: 3 GR</t>
  </si>
  <si>
    <t>2.1.1-511.4</t>
  </si>
  <si>
    <t>TE; SAQUITOS 2G P/CAJA: 25, PRESENTACION: EN SAQUITOS ENSOBRADOS, PESO: SIN VALOR, TIPO: SIN VALOR</t>
  </si>
  <si>
    <t>2.1.1-705.127</t>
  </si>
  <si>
    <t xml:space="preserve">LECHE; ESTADO: POLVO, TIPO: ENTERA, PROCESO: PASTEURIZADA, AGREGADO: HIERRO, ZINC Y ACIDO ASCORBICO, PRESENTACION: ENVASE X 1 Kg, MATERIAL </t>
  </si>
  <si>
    <t>2.9.2-758.24</t>
  </si>
  <si>
    <t>TIJERAS P/CORTAR PAPELES; LONG.DE CUERPO: 24 Cm, MATERIAL: ACERO INOXIDABLE, CUCHILLA: PUNTIAGUDAS, MANGO: ERGONOMETRICO DE PLASTICO</t>
  </si>
  <si>
    <t>2.9.2-323.3</t>
  </si>
  <si>
    <t>CORRECTORES DE ESCRITURA; ENVASE: LAPIZ (PUNTA METAL), PRESENTACION: LAPIZ (PUNTA METAL) X 10 mL, CAPACIDAD: 10 Ml</t>
  </si>
  <si>
    <t>2.9.2-1354.28</t>
  </si>
  <si>
    <t>RESALTADORES; PUNTA: FINA, ACCESORIO: SIN, COLOR: AMARILLO, TIPO PUNTA: FINA</t>
  </si>
  <si>
    <t>2.9.2-1954.1</t>
  </si>
  <si>
    <t>BORRADORES; MATERIAL: PLASTICO - FIBRA, TIPO: PARA MARCADOR</t>
  </si>
  <si>
    <t>2.9.2-852.10</t>
  </si>
  <si>
    <t>BROCHES DORADOS; N° PATAS: 2, N°: 7, PRESENTACION: CAJA X 100 UNIDADES, CANTIDAD PATAS: 2, NUMERO: 7</t>
  </si>
  <si>
    <t>2.9.2-6873.6</t>
  </si>
  <si>
    <t>BROCHES PLASTICOS; TIPO: NEPACO, TAMAÑO: Nº 2L, PRESENTACION: CAJA X 50 UN</t>
  </si>
  <si>
    <t>2.9.2-1062.9</t>
  </si>
  <si>
    <t>PAPELES ANOTADOR AUTOADHESIVOS; PRESENTACION: 400 HOJAS, LARGO X ANCHO: 38 X 50 mm</t>
  </si>
  <si>
    <t>2.9.2-272.9</t>
  </si>
  <si>
    <t>BANDEJAS PORTAPAPELES; MATERIAL: PLASTICO, TIPO: TRIPLE, TAMAÑO: OFICIO</t>
  </si>
  <si>
    <t>2.9.2-700.20</t>
  </si>
  <si>
    <t>BROCHES P/ABROCHADORA; NUMERO: 21/6, PRESENTACION: CAJA X 5000 UNIDADES</t>
  </si>
  <si>
    <t>2.9.2-1153.19</t>
  </si>
  <si>
    <t>CINTAS ADHESIVAS; TIPO: DE ENMASCARAR, ANCHO: 24 mm, LARGO ROLLO: 50 M, ACCESORIO: SIN, MATERIAL: PAPEL, LARGO: 50 M</t>
  </si>
  <si>
    <t>2.9.2-6762.20</t>
  </si>
  <si>
    <t>TINTAS P/CARTUCHOS; CARTUCHO: BROTHER, CAPACIDAD: 41,8 mL, COLOR: NEGRO</t>
  </si>
  <si>
    <t>2.9.1-6951.5</t>
  </si>
  <si>
    <t>LIMPIADORES; TIPO: DETERGENTE, PRESENTACION: ENVASE X 500 CM3</t>
  </si>
  <si>
    <t>TRAPOS REJILLA; DIMENSION: 38 X 42 Cm, MATERIAL: PURO ALGODON, COLOR: BLANCO</t>
  </si>
  <si>
    <t xml:space="preserve">SECADOR PARA PISO CON CABO DE MADERA </t>
  </si>
  <si>
    <t>2.9.1-1156.5</t>
  </si>
  <si>
    <t>PLUMEROS; PLUMA: SINTETICA, CLASE: EXTRADURO, MATERIAL MANGO: MADERA, LARGO MANGO: 40 Cm, Nº VUELTAS PENACHO: 4, TIPO: EXTRADURO</t>
  </si>
  <si>
    <t>2.9.1-1081.1</t>
  </si>
  <si>
    <t>VIRUTAS; PRESENTACION: ROLLITO, CONTENIDO: 10 UNIDADES, MATERIAL: ACERO</t>
  </si>
  <si>
    <t>2.9.1-683.4</t>
  </si>
  <si>
    <t>SECADORES DE GOMA; LARGO: 80 Cm, COLOR: ROJO</t>
  </si>
  <si>
    <t>2.5.4-506.36</t>
  </si>
  <si>
    <t>INSECTICIDAS; CAPACIDAD: 440 CM3, ACCION: SIN VALOR, PRINCIPIO ACTIVO: SIN VALOR, PRESENTACION: AEROSOL X 440 CM3, CONTROL: MOSCAS Y MOSQUITOS, USO P/CONTROL: MOSCAS Y MOSQUITOS</t>
  </si>
  <si>
    <t>2.5.4-506.28</t>
  </si>
  <si>
    <t>INSECTICIDAS; PRESENTACION: AEROSOL X 440 CM3, CAPACIDAD: 440 CM3, USO P/CONTROL: CUCARACHA, ACCION: SIN VALOR, PRINCIPIO ACTIVO: SIN VALOR, CONTROL: CUCARACHA</t>
  </si>
  <si>
    <t>2.3.4-1119.105</t>
  </si>
  <si>
    <t>PAPELES EN BOBINA; TIPO DE PAPEL: GRADO MEDICO, GRAMAJE: 60 GR, ANCHO: 60 Cm, CERTIFICADO FORESTAL (GFS): SIN, PORC. FIBRAS RECICLADAS: 0 %, CERT. FIBRA ALTERNATIVA (FCA): SIN</t>
  </si>
  <si>
    <t xml:space="preserve">BOLSAS DE SANGRE TRIPLE KS </t>
  </si>
  <si>
    <t xml:space="preserve">KITS PARA PLAQUETOFERESIS CON FILTRO </t>
  </si>
  <si>
    <t>KIT PLASMAFERESIS</t>
  </si>
  <si>
    <t xml:space="preserve">TARJETA DE GEL ABO RH 2d </t>
  </si>
  <si>
    <t xml:space="preserve">TARJETA DE GEL COOMBS </t>
  </si>
  <si>
    <t>TARJETA DE GEL PHENO</t>
  </si>
  <si>
    <t xml:space="preserve">PANEL IDENTISERA DIANA </t>
  </si>
  <si>
    <t>PANEL SARASCAN DIANA 2</t>
  </si>
  <si>
    <t xml:space="preserve">PANEL SERO cyte 0,8% </t>
  </si>
  <si>
    <t>PANEL SERIGRUP A1/B</t>
  </si>
  <si>
    <t>solucion ACD ( ANTICOAGULANTE PARA EQUIPO DE AFERESIS)</t>
  </si>
  <si>
    <t xml:space="preserve">SOLUCION DG SOL X 100ML </t>
  </si>
  <si>
    <t>SOLUSION FISIOLOGICA x 100 ml</t>
  </si>
  <si>
    <t>TIPS AMARILLO SIN CORONA</t>
  </si>
  <si>
    <t>BOLSA</t>
  </si>
  <si>
    <t>TIPS AZUL AUTOCLAVABLE</t>
  </si>
  <si>
    <t>TIPS AMARILLO CON CORONA</t>
  </si>
  <si>
    <t>HIV ELISA AG/AC 4° GENERACION -96 DET-</t>
  </si>
  <si>
    <t xml:space="preserve">Unidad </t>
  </si>
  <si>
    <t>CHAGATEST ELISA RECOMBINANTE (V4,0)-96 DET.</t>
  </si>
  <si>
    <t>CHAGATEST ELISA LISADO-96DET.</t>
  </si>
  <si>
    <t>HTLV 1 Y 2 ELISA-96DET.</t>
  </si>
  <si>
    <t>HVC REACTIVO x 100 det</t>
  </si>
  <si>
    <t>SARS-COV-2 IgG Reactivo x 100 det</t>
  </si>
  <si>
    <t>SARS-COV-2 IgM Calibrador</t>
  </si>
  <si>
    <t>SARS- COV-2 Igm Control</t>
  </si>
  <si>
    <t>Trigger</t>
  </si>
  <si>
    <t>Pre-trigger</t>
  </si>
  <si>
    <t>Buffer</t>
  </si>
  <si>
    <t>Celdas de Reaccion</t>
  </si>
  <si>
    <t>HEPATITIS B ELISA  HBSAG-96DET.</t>
  </si>
  <si>
    <t>HEPATITIS C HCV ELISA 3º GEN. 96 DET.</t>
  </si>
  <si>
    <t>VDRL TEST-250DET.</t>
  </si>
  <si>
    <t>ANTIGENO FEBRIL BRUCELLA (HUDDLESON 1 X 5 ML.</t>
  </si>
  <si>
    <t>SUERO ANTI HUMANO COOMBS</t>
  </si>
  <si>
    <t>ALBUMINA BOVINA</t>
  </si>
  <si>
    <t>CMV CITOMEGALOVIRUS IGM  METODO ELISA 96 DET.</t>
  </si>
  <si>
    <t>TOXO HAI 96 DET.</t>
  </si>
  <si>
    <t>ANTI-A MONOCLONAL- FRASCO 10 ML</t>
  </si>
  <si>
    <t>ANTI-B MONOCLONAL-FRASCOS 10 ML</t>
  </si>
  <si>
    <t>ANTI-AB MONOCLONAL- FRASCO 10 ML</t>
  </si>
  <si>
    <t>ANTI-D (RHO) MONOCLONAL-FRASCOS 10 ML</t>
  </si>
  <si>
    <t xml:space="preserve">GUIA V20 C/RUEDITA *SANGRE* </t>
  </si>
  <si>
    <t>APOSITOS; TIPO: POST EXTRACCION SANGUINEA, TAMAÑO: 40 X 40 mm</t>
  </si>
  <si>
    <t>DESCARTADOR PARA AGUJA P/500 AGUJAS, MODELO E-500</t>
  </si>
  <si>
    <t>TUBOS DE ENSAYO; TIPO: VACUTAINER UN, MATERIAL: VIDRIO, DIMENSION: 10 mL, ACCESORIOS: SIN, ACCESORIO: SIN</t>
  </si>
  <si>
    <t>TUBOS DE ENSAYO; TIPO: EPPENDORF, MATERIAL: PLASTICO, DIMENSION: 1.5 mL, ACCESORIOS: SIN, ACCESORIO: SIN</t>
  </si>
  <si>
    <t>PLACA PARA VDRL CON POCILLO PROFUNDO 12HOYOS</t>
  </si>
  <si>
    <t>TIP; TIPO: AMARILLO, PRESENTACION: ENVASE X 1000 UN, CAPACIDAD: 5 A 200 µl</t>
  </si>
  <si>
    <t>TUBOS DE HEMOLISIS; MATERIAL: VIDRIO, PRESENTACION: CAJA, DIMENSION: 100 X 13 DIAM. EXT., MEDIDAS: 100 X 13 DIAM. EXT., FORMA DE PRESENTACION: SOLIDO, ESTADO: SOLIDO</t>
  </si>
  <si>
    <t>CEPILLO LIMPIA PIPETA DE CERDA NATURAL DE 10 MM</t>
  </si>
  <si>
    <t>MICROPIPETAS REGULABLES; CAPACIDAD: 10-100 µL, DIVISIONES: CADA 1 µL, MATERIAL: PLASTICO</t>
  </si>
  <si>
    <t>MICROPIPETAS REGULABLES; CAPACIDAD: 100 - 1000 µL, DIVISIONES: CADA 5 µL, MATERIAL: PLASTICO</t>
  </si>
  <si>
    <t>TUBOS VACUTAINER P/SUERO DE 4ML, TAPA ROJA C/ETIQUETA CODIGO 367812 (1000 TUBOS)</t>
  </si>
  <si>
    <t>FERRETERIA</t>
  </si>
  <si>
    <t>11 - DIRE PROV DE ADMINISTRACION - MINISTERIO DE SALUD</t>
  </si>
  <si>
    <t>DIR. ADM.</t>
  </si>
  <si>
    <t>CANTIDAD TOTAL</t>
  </si>
  <si>
    <t>TOTAL DIR DE ADM</t>
  </si>
  <si>
    <t>2.1.1-478.39</t>
  </si>
  <si>
    <t>2.1.1</t>
  </si>
  <si>
    <t>BIDON</t>
  </si>
  <si>
    <t>2.3.1</t>
  </si>
  <si>
    <t>RESMA</t>
  </si>
  <si>
    <t>2.3.1-9896.3</t>
  </si>
  <si>
    <t>PAPELES OBRA; GRAMAJE: 80 GR/M2, TAMAÑO: A4/CARTA, BLANCURA: EXTRA BLANCO (MAYOR A 92%), CERTIFICACION SUSTENTABLE: CON, NORMA: IRAM 3100/3123/3124-ISO 9706</t>
  </si>
  <si>
    <t>2.3.1-9896.6</t>
  </si>
  <si>
    <t>PAPELES OBRA; GRAMAJE: 80 GR/M2, TAMAÑO: OFICIO/LEGAL, BLANCURA: EXTRA BLANCO (MAYOR A 92%), CERTIFICACION SUSTENTABLE: CON, NORMA: IRAM 3100/3123/3124-ISO 9706</t>
  </si>
  <si>
    <t>2.3.1-928.8</t>
  </si>
  <si>
    <t>ARANDELAS DE CARTON; DIAMETRO: 1 pulg, PRESENTACION: CAJA X 500 UNIDADES</t>
  </si>
  <si>
    <t>2.9.2-674.22</t>
  </si>
  <si>
    <t>2.9.2</t>
  </si>
  <si>
    <t>REGLAS GRADUADAS; TIPO: PLANA, LONG.DE CUERPO: 30 Cm, MATERIAL: ACRILICO</t>
  </si>
  <si>
    <t>REGLAS GRADUADAS; TIPO: PLANA, MATERIAL: ACRILICO, LONG.DE CUERPO: 50 Cm</t>
  </si>
  <si>
    <t>2.9.2-674.24</t>
  </si>
  <si>
    <t>2.9.1-713.18</t>
  </si>
  <si>
    <t>2.9.1</t>
  </si>
  <si>
    <t>TRAPOS DE PISO; DIMENSION: 48 X 60 Cm</t>
  </si>
  <si>
    <t>2.9.1-6950.1</t>
  </si>
  <si>
    <t>LUSTRADORES; PRESENTACION: AEROSOL X 440 CM3, TIPO: LUSTRAMUEBLES</t>
  </si>
  <si>
    <t>2.9.1-6951.30</t>
  </si>
  <si>
    <t>LIMPIADORES; TIPO: LAVANDINA, PRESENTACION: ENVASE X 5 L</t>
  </si>
  <si>
    <t>ESPONJAS; USO: P/COCINA, ADITAMENTO: FIBRA POLIESTER SUAVE, FORMA: PRISMATICA, LARGO X ANCHO X ESP: 12 X 8 X 2 Cm, COLOR: AMARILLO, MATERIAL: POLIURETANO POLIESTER</t>
  </si>
  <si>
    <t>2.9.1-1164.6</t>
  </si>
  <si>
    <t>2.9.1-646.1</t>
  </si>
  <si>
    <t>BOLSAS DE RESIDUOS; PRESENTACION: BOLSA X 30, ESPESOR: SIN VALOR, DIMENSION: 45 X 60 Cm, COLOR: SIN VALOR</t>
  </si>
  <si>
    <t>PAPEL HIGIENICO; TIPO: ROLLO, ANCHO: 10 Cm, LARGO: 74 M, PRESENTACION: PAQUETE X 4 UN, MATERIAL HOJA: DOBLE, HOJA: DOBLE, TIPO DE HOJA: DOBLE</t>
  </si>
  <si>
    <t>2.3.4-786.29</t>
  </si>
  <si>
    <t>2.3.4</t>
  </si>
  <si>
    <t>SERVILLETAS DE PAPEL; TIPO: ROLLO, MOTIVO: SIN, DIMENSION: 25 X 10 Cm, PRESENTACION: ENVASE X 3 UN</t>
  </si>
  <si>
    <t>2.3.4-938.59</t>
  </si>
  <si>
    <t>2.9.1-1654.13</t>
  </si>
  <si>
    <t>TRAPOS; TIPO: MICROFIBRA MULTIUSO, PRESENTACION: UNIDAD</t>
  </si>
  <si>
    <t>TOTAL DEL RUBRO ALIMENTO</t>
  </si>
  <si>
    <t>TOTAL DEL RUBRO LIBRERÍA, PAP Y UTILES OFICINA</t>
  </si>
  <si>
    <t>TOTAL DEL RUBRO DE ELEMENTOS DE LIMPIEZA</t>
  </si>
  <si>
    <t>Wl 19 Control AA 3 Niveles 3x3 Ml (Bajo-Normal-Alto) Tipo WIENER</t>
  </si>
  <si>
    <t>VDRL Test 250 Det Tipo WIENER</t>
  </si>
  <si>
    <t>Uricostat Enzimatico AA LL 250 Ml Tipo WIENER</t>
  </si>
  <si>
    <t>Urea color 2R 500 Det Tipo WIENER</t>
  </si>
  <si>
    <t>Tg Color Gpo/Pap AA LL 400 Ml (4x100 Ml) Tipo WIENER</t>
  </si>
  <si>
    <t>Urine Strip 100 Tiras Tipo WIENER</t>
  </si>
  <si>
    <t>Soluplastin 10x2 Ml 100 Det Tipo WIENER</t>
  </si>
  <si>
    <t>Standartrol S-E 2 Nivel 3 Fr x 5 Ml N1+3 Fr Tipo WIENER</t>
  </si>
  <si>
    <t>Proti U/Lcr Control 2 Niveles 2x3 Ml Tipo WIENER</t>
  </si>
  <si>
    <t>Proti U/Lcr 100 Ml (100 Det) Tipo WIENER</t>
  </si>
  <si>
    <t>Proti 2 140 Det (Biuret 500 M+Alb 500+Sp) Tipo WIENER</t>
  </si>
  <si>
    <t>Proteinas totales AA 120 Ml Tipo WIENER</t>
  </si>
  <si>
    <t>Wl 19 Probe Cleanser AA 20 Ml Tipo WIENER</t>
  </si>
  <si>
    <t>Pcr Latex Directo 50 Det Tipo WIENER</t>
  </si>
  <si>
    <t>Sangre Agar (Columbia) 10 Placas Tipo BRITANIA</t>
  </si>
  <si>
    <t>Mg Color AA 100 Ml (2x50 Ml) Tipo WIENER</t>
  </si>
  <si>
    <t>Wl19 Lyse AA 500 Ml Tipo WIENER</t>
  </si>
  <si>
    <t>LDL Colesterol monofase AA 200 Det (60 Ml+20 Ml) Tipo WIENER</t>
  </si>
  <si>
    <t>LDH P UV AA LL 100 Ml Tipo WIENER</t>
  </si>
  <si>
    <t>Pack para equipo Diestro 103 Automatico Tipo DIESTRO</t>
  </si>
  <si>
    <t>Indol Reactivo 100 Ml Tipo BRITANIA</t>
  </si>
  <si>
    <t>HDL Colesterol Monofase AA Plus c/calibrador 60 Ml+20 Ml (200D x 0,4 M) Tipo WIENER</t>
  </si>
  <si>
    <t>HDL Colesterol Ft 100 Ml 200 Det Tipo WIENER</t>
  </si>
  <si>
    <t>HBA1C Enzymatic Lysis Buffer Turbidim 50 Ml Tipo WIENER</t>
  </si>
  <si>
    <t>HBA1C Enzymatic Control Turbidim 2x0,5 Ml Tipo WIENER</t>
  </si>
  <si>
    <t>HBA1C Enzymatic Calibrador Turbidimetrico 2x0,5 Ml Tipo WIENER</t>
  </si>
  <si>
    <t>HBA1C Enzymatic Turbidimetrico 1x18 Ml - 1x8 Ml - 1x12 Ml Tipo WIENER</t>
  </si>
  <si>
    <t>Gpt (ALT) UV AA 200 Ml Tipo WIENER</t>
  </si>
  <si>
    <t>Got UV AA LL 200 Ml Tipo WIENER</t>
  </si>
  <si>
    <t>Gpt (ALT) UV AA 200 Ml (10x20 Ml) Tipo WIENER</t>
  </si>
  <si>
    <t>Got (AST) UV AA 200 Ml (10x20 Ml) Tipo WIENER</t>
  </si>
  <si>
    <t>Glicemia Enzimatica AA 1000 Ml (4x250 Ml) Tipo WIENER</t>
  </si>
  <si>
    <t>Gama GTEST Cinetica AA LL 100 Ml Tipo WIENER</t>
  </si>
  <si>
    <t>Fosfatasa Alcalina Optimizada 200 Det Tipo WIENER</t>
  </si>
  <si>
    <t>Formol PA (36%) 1 Litro Tipo CICARELLI</t>
  </si>
  <si>
    <t>Fer Color Aa LL 120 Ml Tipo WIENER</t>
  </si>
  <si>
    <t>Fecuntest Strips 25 Det Tipo WIENER</t>
  </si>
  <si>
    <t>Wl19 E-Z Cleanser AA 100 Ml Tipo WIENER</t>
  </si>
  <si>
    <t>Wl19 Diluent AA 20 Litros Tipo WIENER</t>
  </si>
  <si>
    <t>Creatinina Cinetica AA LL 250 Ml Tipo WIENER</t>
  </si>
  <si>
    <t>Giemsa+Estabilizador 1 Litro Tipo BIOPUR</t>
  </si>
  <si>
    <t>Colestat Enzimatico AA LL 1000 Ml (2x500 Ml) Tipo WIENER</t>
  </si>
  <si>
    <t>Colestat Enzimatico AA LL 400 Ml (4x100 Ml) Tipo WIENER</t>
  </si>
  <si>
    <t>CK NAC UV Unitest 50 Ml (20x2,5 Ml) Tipo WIENER</t>
  </si>
  <si>
    <t>CK NAC UV AA LL 120 Ml Tipo WIENER</t>
  </si>
  <si>
    <t>CK MB Nac UV Unitest 19 Det x 2,5-ICONTROl Tipo WIENER</t>
  </si>
  <si>
    <t>CK MB Control 3 Niveles 3x3 Ml Tipo WIENER</t>
  </si>
  <si>
    <t>Bilirrubina 200 Det Tipo WIENER</t>
  </si>
  <si>
    <t>ASO latex 50 Det Tipo WIENER</t>
  </si>
  <si>
    <t>Artritest Directo 50 Det Tipo WIENER</t>
  </si>
  <si>
    <t>Amilokit 25-40 Det Tipo WIENER</t>
  </si>
  <si>
    <t>Amilasa 405 liquida  30 Ml (3x10 ml) tipo WIENER</t>
  </si>
  <si>
    <t>ALP 405 AA LL 100 Ml Tipo WIENER</t>
  </si>
  <si>
    <t>Alcohol Etilico ABS 99.5% PA 1 Litro Tipo CICARELLI</t>
  </si>
  <si>
    <t>Acondicionador para electrodo de Sodio (Sol.) Tipo DIESTRO</t>
  </si>
  <si>
    <t>Control Plasma Normal 10x1 Ml Tipo HEMO MEDICA (USA)</t>
  </si>
  <si>
    <t>Control Plasma Anormal 10x1 Ml Tipo HEMO MEDICA (USA)</t>
  </si>
  <si>
    <t>REACTIVOS DE LAB</t>
  </si>
  <si>
    <t>unidad</t>
  </si>
  <si>
    <t>caja</t>
  </si>
  <si>
    <t>botella</t>
  </si>
  <si>
    <t>DIR. LAB. CENTRAL</t>
  </si>
  <si>
    <t>TOTAL DE LAB CENTRAL</t>
  </si>
  <si>
    <t>Platelia DENGUE Antigeno NS1 96 Test Tipo BIORAD</t>
  </si>
  <si>
    <t>Botella de FA Plus Aerobico para Bact Alert</t>
  </si>
  <si>
    <t>Strepto B x 20 Placas Tipo BIOMERIEUX</t>
  </si>
  <si>
    <t>Limpiador concentrado x 1 L CD80 Tipo MINDRAY</t>
  </si>
  <si>
    <t>Ez Cleanser x 100 Ml Tipo MINDRAY</t>
  </si>
  <si>
    <t>M-30 CFL x 500 Ml Tipo MINDRAY</t>
  </si>
  <si>
    <t>M-30 Diluent x 20 Lts Tipo MINDRAY</t>
  </si>
  <si>
    <t>BC-3D Control Hematologico 3x3 Ml (1B, 1N, 1A)</t>
  </si>
  <si>
    <t>QUIAprep&amp;anp Viral RNA UM kit (600)+SARS-CoV-2 N1 N2 Assay Kit (600) -QUIAGEN GMBH</t>
  </si>
  <si>
    <t>Set de sondas y primers para deteccion de nCoV 19 protocolo enero 2020 del Inst. de Virologia Charité-Alemania - Escala de sintesis 50 nmol -OPERON-USA</t>
  </si>
  <si>
    <t>Kit para transcripcion reversa QUANTINOVA PROB RT-PCR 500 reacciones QUIAGENGMBH</t>
  </si>
  <si>
    <t>ALCOHOL ETILICO ABSOLUTO 99,5% 1LITRO  CALIDAD BIOLOGIA MOLECULAR TIPO CICARELLI</t>
  </si>
  <si>
    <t>Kit de Extraccion de ARN QIAamp Viral x 250 Columnas (Incl.carrier de ARN, tubos colectores y buffers libres de ARNasa) Tipo QIAGEN GMBH</t>
  </si>
  <si>
    <t>KIT</t>
  </si>
  <si>
    <t>Kit</t>
  </si>
  <si>
    <t xml:space="preserve">BOTELLA </t>
  </si>
  <si>
    <t>TOTAL DEL RUBRO DE REACTIVOS PARA LABORATORIO</t>
  </si>
  <si>
    <t>DESCARTABLE DE LABORATORIO</t>
  </si>
  <si>
    <t>Cubetas Serie X 500 Un. Tipo TECO GMBH (Alemania)</t>
  </si>
  <si>
    <t>Tubo conico PP esteril individual con tapa 15 Ml Tipo DELTALAB</t>
  </si>
  <si>
    <t>Termometro quimico alcohol 10+60ºC Tipo KINDER</t>
  </si>
  <si>
    <t>Portaobjetos borde sin pulir 50 U Tipo BREMEN</t>
  </si>
  <si>
    <t>Gradilla alambre / plastico 48 Tubos 30 MM Tipo ARGA</t>
  </si>
  <si>
    <t>Gradilla alambre / plastico 24 Tubos 30 MM Tipo ARGA</t>
  </si>
  <si>
    <t>Gradilla PP resistente 80ºC 80 Tubos Eppendorf Tipo DELTALAB</t>
  </si>
  <si>
    <t>Microtubo Eppendorf Autoclavable 1,5 Ml Tipo DELTALAB</t>
  </si>
  <si>
    <t>Cubreobjetos HDA 20x20 MM x 200 U Tipo KINDER</t>
  </si>
  <si>
    <t>Rollo de papel para Counter Liso para Desfribilador 50 MM Tipo CARDIO CHARTS</t>
  </si>
  <si>
    <t>Cepillo para Tubo de Khan y Hemolisis Tipo ARGA</t>
  </si>
  <si>
    <t>Cepillo para Pipeta Serologica Tipo ARGA</t>
  </si>
  <si>
    <t>Aguja descartable 25x8 (21Gx1) Tipo TERUMO</t>
  </si>
  <si>
    <t>Recolector PP Graduado Esteril 125 Ml Tipo DELTALAB</t>
  </si>
  <si>
    <t>bolsa x1000</t>
  </si>
  <si>
    <t>rollo</t>
  </si>
  <si>
    <t>caja x 100</t>
  </si>
  <si>
    <t>Frasco de Bioseguridad Triple envase Tipo SISTEG M6</t>
  </si>
  <si>
    <t>Placa de PCR Expell de 96 pocillos x 0,1 ml sin pollera- calidad Biol. Molecular libre de ADNasa y ARNasa Capp x25 unidades</t>
  </si>
  <si>
    <t>MICROTUBO EPPENDORF AUTOCLAVE 1,5 ML Tipo DELTALAB</t>
  </si>
  <si>
    <t>HISOPO FLOCKED SWAB NASOFARINGEO ESTERIL -ENVASE INDIVIDUAL- Tipo BRITANIA</t>
  </si>
  <si>
    <t xml:space="preserve">Tips 1000 ul Rack esteril con filtro calidad Biol. Molecular libre de ADNasa y ARNasa </t>
  </si>
  <si>
    <t>Tips 20 ul Rack esteril con filtro calidad Biol. Molecular libre de ADNasa y ARNasa</t>
  </si>
  <si>
    <t>Tips 200 ul Rack esteril con filtro calidad Biol. Molecular libre de ADNasa y ARNasa</t>
  </si>
  <si>
    <t>RACK</t>
  </si>
  <si>
    <t>Sellador para placas de PCR GREINER Bio-one x 2000</t>
  </si>
  <si>
    <t>pack</t>
  </si>
  <si>
    <t>TOTAL RUBRO DESCARTABLE PARA LABORATORIO</t>
  </si>
  <si>
    <t xml:space="preserve">BCO DE SANGRE </t>
  </si>
  <si>
    <t xml:space="preserve">TOTAL BANCO DE SANGRE </t>
  </si>
  <si>
    <t>BOLIGRAFOS; TRAZO: 0,8 mm</t>
  </si>
  <si>
    <t>2.9.2-317.32</t>
  </si>
  <si>
    <t>MARCADORES; TIPO: INDELEBLE, TRAZO: 0,5 mm, PUNTA: FINA, COLOR: AZUL, RECARGABLE: NO</t>
  </si>
  <si>
    <t>MARCADORES; TIPO: AL AGUA, TRAZO: FINO, PUNTA: FINA, COLOR: NEGRO, RECARGABLE: SI</t>
  </si>
  <si>
    <t>CINTAS ADHESIVAS; TIPO: EMBALAR, ANCHO: 48 mm, LARGO: 100 M, MATERIAL: POLIPROPILENO, ACCESORIO: SIN</t>
  </si>
  <si>
    <t>CARPETAS P/ENCUADERNACION; TAMAÑO: OFICIO, ESPESOR: 9 mm, MATERIAL LOMO: PLASTICO TRANPARENTE, PEGAMENTO: SIN, TAPA: TRANSPARENTE</t>
  </si>
  <si>
    <t>CARPETAS P/ENCUADERNACION; TAMAÑO: A4, ESPESOR: 48 mm, MATERIAL LOMO: METAL, PEGAMENTO: CON, TAPA: TRANSPARENTE</t>
  </si>
  <si>
    <t>PAPELES ENCUADERNADOS; CANT. DE HOJAS: 80, TAMAÑO: A4, TIPO: RAYADO ESPIRALADO, CERTIFICADO FORESTAL (GFS): SIN, PORC. FIBRAS RECICLADAS: 0 %</t>
  </si>
  <si>
    <t>GOMAS DE BORRAR; CANT. X CAJA: 30, USO: LAPIZ, DIMENSION: 4 X 1 X 1 Cm, MATERIAL: PLASTICO, PRESENTACION: CAJA X 30</t>
  </si>
  <si>
    <t>TINTAS P/SELLOS; ENVASE: 30 CM3, COLOR: NEGRO, TIPO DE SELLO: DE GOMA, PRESENTACION: ENVASE X 30 CM3</t>
  </si>
  <si>
    <t>SOBRES DE PAPEL; TIPO: BOLSA DE PAPEL MANILA, TAMAÑO: 24 X 30 Cm, GRAMAJE: 80 GR/M2, PRESENTACION: ENVASE X 100 UN, CERTIFICADO FORESTAL (GFS): SIN, PORC. FIBRAS RECICLADAS: 0 %, CERT. FIBRA ALTERNATIVA (FCA): SIN</t>
  </si>
  <si>
    <t>2.9.2-1616.119</t>
  </si>
  <si>
    <t>2.9.2-1616.115</t>
  </si>
  <si>
    <t>2.9.2-1153.130</t>
  </si>
  <si>
    <t>2.9.2-2766.11</t>
  </si>
  <si>
    <t>2.9.2-2766.12</t>
  </si>
  <si>
    <t>2.3.1-6587.277</t>
  </si>
  <si>
    <t>2.9.2-661.2</t>
  </si>
  <si>
    <t>2.9.2-1450.2</t>
  </si>
  <si>
    <t>2.3.1-6590.541</t>
  </si>
  <si>
    <t>2.9.1-2661.13</t>
  </si>
  <si>
    <t>2.9.1-2661.34</t>
  </si>
  <si>
    <t>2.9.1-544.82</t>
  </si>
  <si>
    <t>2.9.1-6951.84</t>
  </si>
  <si>
    <t>2.9.1-2437.1</t>
  </si>
  <si>
    <t>2.9.1-6952.3</t>
  </si>
  <si>
    <t>2.9.1-683.18</t>
  </si>
  <si>
    <t>2.9.1-678.1</t>
  </si>
  <si>
    <t>2.5.4</t>
  </si>
  <si>
    <t xml:space="preserve">INSECTICIDA MATA CUCARACHAS X 360 CC. </t>
  </si>
  <si>
    <t>TACHOS DE RESIDUOS; MATERIAL: PLASTICO, SECCION: CIRCULAR, DIMENSION: 46 X 67  Cm, TAPA: CON</t>
  </si>
  <si>
    <t>TACHOS DE RESIDUOS; MATERIAL: PLASTICO, SECCION: RECTANGULAR, DIMENSION: 20 L, TAPA: A PEDAL</t>
  </si>
  <si>
    <t>DESODORANTES DE AMBIENTE; FORMATO: AEROSOL, FRAGANCIA: ORIGINAL, PRESENTACION: ENVASE X 360 CM3, LIBRE DE CFC: SI</t>
  </si>
  <si>
    <t>LIMPIADORES; TIPO: MULTIUSO, PRESENTACION: ENVASE X 5 L</t>
  </si>
  <si>
    <t>PLALA PLASTICA CON CABO DE MADERA</t>
  </si>
  <si>
    <t>PALAS DE RESIDUOS; MATERIAL: PLASTICO, MANGO: CORTO</t>
  </si>
  <si>
    <t>ESCOBA PLASTICA 20 CM CON CABO MADERA</t>
  </si>
  <si>
    <t>CEPILLOS; TIPO: DE MANO, MATERIAL: PVC</t>
  </si>
  <si>
    <t xml:space="preserve">LAMPAZO GRANDE N° 7 </t>
  </si>
  <si>
    <t>SECADORES DE GOMA; LARGO: 45 Cm</t>
  </si>
  <si>
    <t>REJILLA REFORZADA</t>
  </si>
  <si>
    <t xml:space="preserve">BIDON </t>
  </si>
  <si>
    <t>BOLSAS DE SANGRE TRIPLE KS X 598 UNID.</t>
  </si>
  <si>
    <t>KITS PARA PLAQUETOFERESIS CON FILTRO X 16 UNID.</t>
  </si>
  <si>
    <t>TARJETA DE GEL ABO RH 2d X 500 UNID.</t>
  </si>
  <si>
    <t>TARJETA DE GEL COOMBS X 300 UNID.</t>
  </si>
  <si>
    <t>PANEL SERO cyte 0,8% X 3 UNID.</t>
  </si>
  <si>
    <t>PANEL SERIGRUP A1/B X 3 UNID.</t>
  </si>
  <si>
    <t>SOLUCION DG SOL X 100ML X 14 UNID.</t>
  </si>
  <si>
    <t>Equipos por metodo de Elisa para la deteccion simultanea anticuerpos y antigenos de virus de Hepatitis C por Elisa en microplaca recubierta con anticuerpos monoclonales de virus de la Hepatitis C por Elisa en microplaca recubierta con anticuerpos anti caspide de HCV con antigenos reconvinantes de la region NS3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t>
  </si>
  <si>
    <t xml:space="preserve">Equipo para la deteccion de Anti Hb Core, por metodo de Elisa  en microplacas en equipos de 96 det. Monolisa HBc Plus </t>
  </si>
  <si>
    <t>TUBOS DE ENSAYO; TIPO: CONICO P/CENTRIFUGA, MATERIAL: POLIPROPILENO, DIMENSION: 0,5 A 15 mL, ACCESORIO: SIN VALOR, ACCESORIOS: SIN VALOR A ROSCA 15ML NO ETERIL, BOLSA X 100 UNID TIPO BIOLIX</t>
  </si>
  <si>
    <t>GAS OIL; PRESENTACION: GRANEL, USO: VEHICULOS</t>
  </si>
  <si>
    <t>2.5.6-793.19</t>
  </si>
  <si>
    <t>LITROS</t>
  </si>
  <si>
    <t xml:space="preserve">TOTAL DEL RUBRO COMBUSTIBLE </t>
  </si>
  <si>
    <t>AZUCARES; TIPO: BLANCA, ESTADO: MOLIDA, PESO: 6,25 GR, MATERIAL ENVASE: ENVASE X 400 UN, CERTIFICADO FORESTAL (GFS): CON, ELEM. TRANSPORTE: SIN, MATERIAL ELEM. TRANSPORTE: SIN</t>
  </si>
  <si>
    <t>2.1.1-481.35</t>
  </si>
  <si>
    <t>ATENCION PRIMARIA</t>
  </si>
  <si>
    <t>TOTAL ATENCION PRI</t>
  </si>
  <si>
    <t>INDUMENT TEXTIL Y CONFECCIONES</t>
  </si>
  <si>
    <t>2.2.3-1307.1</t>
  </si>
  <si>
    <t>MOCHILAS; MATERIAL: TELA DE AVION, CAPACIDAD: GRANDE, USO: ESCOLAR</t>
  </si>
  <si>
    <t>TOTAL DEL RUBRO INDUM. Y CONFEC</t>
  </si>
  <si>
    <t>MARCADORES; TIPO: INDELEBLE, TRAZO: FINO, PUNTA: REDONDA, COLOR: NEGRO, RECARGABLE: SI</t>
  </si>
  <si>
    <t>2.9.2-1616.104</t>
  </si>
  <si>
    <t>MARCADORES; TRAZO: GRUESO, PUNTA: REDONDA, RECARGABLE: SI, TIPO: INDELEBLE, COLOR: ROJO</t>
  </si>
  <si>
    <t>2.9.2-1616.84</t>
  </si>
  <si>
    <t>2.9.2-1616.156</t>
  </si>
  <si>
    <t>MARCADORES; TIPO PARA PIZARRA - TRAZO GRUESO - PUNTA REDONDA - RECARGABLE SI</t>
  </si>
  <si>
    <t>SELLOS NUMERADORES; DIMENSION: 13 X 33 mm, CANTIDAD DE DIGITOS: 4, RANGO: 0 AL 9, TIPO: COMUN</t>
  </si>
  <si>
    <t>2.9.2-1415.6</t>
  </si>
  <si>
    <t>2.3.1-6563.109</t>
  </si>
  <si>
    <t>PAPELES EN HOJA; TIPO PAPEL: PAPEL CARBONICO, DIMENSION: OFICIO, GRAMAJE: SIN VALOR, PRESENTACION: CAJA X 100 HOJAS, TIPO DE PAPEL: PAPEL CARBONICO</t>
  </si>
  <si>
    <t>PAPELES EN HOJA; TIPO DE PAPEL: AFICHE, DIMENSION: 50 X 80 Cm, GRAMAJE: 125 GR/M2, PRESENTACION: ENVASE X 100 UN, CERTIFICADO FORESTAL (GFS): SIN, PORC. FIBRAS RECICLADAS: 0 %, CERT. FIBRA ALTERNATIVA (FCA): SIN</t>
  </si>
  <si>
    <t>2.3.1-6563.932</t>
  </si>
  <si>
    <t>PAPELES EN HOJA; TIPO DE PAPEL: P/FORRAR, DIMENSION: 56 X 74 Cm, GRAMAJE: 90/110 GR/M2, PRESENTACION: UNIDAD, CERTIFICADO FORESTAL (GFS): SIN, PORC. FIBRAS RECICLADAS: 0 %, CERT. FIBRA ALTERNATIVA (FCA): SIN</t>
  </si>
  <si>
    <t>2.3.1-6563.1019</t>
  </si>
  <si>
    <t>SOBRES DE PAPEL; TIPO: BOLSA DE PAPEL MADERA, TAMAÑO: 37 X 45 Cm, GRAMAJE: 100 GR/M2, PRESENTACION: ENVASE X 100 UN, CERTIFICADO FORESTAL (GFS): SIN, PORC. FIBRAS RECICLADAS: 100 %, CERT. FIBRA ALTERNATIVA (FCA): SIN</t>
  </si>
  <si>
    <t>2.3.1-6590.543</t>
  </si>
  <si>
    <t>ALMOHADILLAS P/SELLOS; MEDIDA: 8 X 14,5 Cm, MATERIAL: METAL</t>
  </si>
  <si>
    <t>2.9.2-291.10</t>
  </si>
  <si>
    <t>2.9.2-850.181</t>
  </si>
  <si>
    <t>CAJAS DE ARCHIVO; MATERIAL: PLASTICO, DIMENSION: OFICIO</t>
  </si>
  <si>
    <t>CARTUCHOS DE TONER; CODIGO: TN-3479, USO: BROTHER</t>
  </si>
  <si>
    <t>CARTUCHOS DE TONER; CODIGO: HP 53A, USO: HP</t>
  </si>
  <si>
    <t>CARTUCHOS DE TONER; CODIGO: HP 49A, USO: HEWLETT PACKARD</t>
  </si>
  <si>
    <t>BIBLIORATOS; ANCHO: 40 mm, ANILLO: 2, TAMAÑO: OFICIO, MATERIAL: CARTON FORRADO EN PVC</t>
  </si>
  <si>
    <t>2.9.2-274.62</t>
  </si>
  <si>
    <t>2.9.6-401.1482</t>
  </si>
  <si>
    <t>2.9.6-401.1486</t>
  </si>
  <si>
    <t>2.9.6-401.2294</t>
  </si>
  <si>
    <t>2.9.2-1062.1</t>
  </si>
  <si>
    <t>CLIPS P/PAPEL; CANT. X CAJA: 50, NUMERO: 6, MATERIAL: METAL, PRESENTACION: CAJA X 50</t>
  </si>
  <si>
    <t>LIBROS P/REGISTRO; PAPEL: OBRA, GRAMAJE: 80 GR/M2, PAGINAS: 200, NUMERACION: SI, ENCUADERNACION: CARTULINA, FORMATO: 38 X 23 Cm, TIPO DE PAPEL: OBRA, CANTIDAD DE HOJAS: 200</t>
  </si>
  <si>
    <t>2.9.2-660.10</t>
  </si>
  <si>
    <t>2.3.3-6227.2</t>
  </si>
  <si>
    <t>2.9.2-1611.10</t>
  </si>
  <si>
    <t>FOLIOS TRANSPARENTES; TAMAÑO: A-4, PERFORACIONES: 5, MATERIAL: POLIPROPILENO</t>
  </si>
  <si>
    <t>2.9.2-1611.11</t>
  </si>
  <si>
    <t>FOLIOS TRANSPARENTES; TAMAÑO: OFICIO, PERFORACIONES: 5, MATERIAL: POLIPROPILENO</t>
  </si>
  <si>
    <t>2.1.1-481.38</t>
  </si>
  <si>
    <t>AZUCARES; TIPO: "A" COMUN, ESTADO: MOLIDA, PESO: 1 Kg, MATERIAL ENVASE: PLASTICO, CERTIFICADO FORESTAL (GFS): SIN, ELEM. TRANSPORTE: SIN, MATERIAL ELEM. TRANSPORTE: SIN</t>
  </si>
  <si>
    <t>2.1.1-595.2</t>
  </si>
  <si>
    <t>EDULCORANTES; PRESENTACION: LIQUIDO, ENVASE: BOTELLA PLASTICA, CONTENIDO: 500 CM3</t>
  </si>
  <si>
    <t xml:space="preserve">DIR DE CANCER </t>
  </si>
  <si>
    <t>TOTAL DE DIR DE CANCER</t>
  </si>
  <si>
    <t>2.9.5</t>
  </si>
  <si>
    <t>BOLSAS DE RESIDUOS; ESPESOR: 30 Mn, PRESENTACION: BOLSA X 10, DIMENSION: 60 X 90 Cm, COLOR: OSCURO</t>
  </si>
  <si>
    <t>2.9.1-646.23</t>
  </si>
  <si>
    <t>FARMACIA</t>
  </si>
  <si>
    <t>TOTAL FARMACIA</t>
  </si>
  <si>
    <t>BOLSAS DE RESIDUOS; DIMENSION: 80 X 110 Cm, PRESENTACION: BOLSA X 30 UN, ESPESOR: 100 Mn</t>
  </si>
  <si>
    <t>2.9.1-646.83</t>
  </si>
  <si>
    <t>BOLSAS DE POLIETILENO; TAMAÑO: 15 X 20 Cm, ESPESOR: ALTA DENSIDAD, PRESENTACION: ENVASE X 500 UN</t>
  </si>
  <si>
    <t>2.5.8-3977.153</t>
  </si>
  <si>
    <t>BOLSAS DE POLIETILENO; TAMAÑO: 20 X 30 Cm, ESPESOR: ALTA DENSIDAD, PRESENTACION: UNIDAD</t>
  </si>
  <si>
    <t>2.5.8-3977.163</t>
  </si>
  <si>
    <t>BOLSAS DE POLIETILENO; TAMAÑO: 27 X 40 Cm, ESPESOR: ALTA DENSIDAD, PRESENTACION: UNIDAD</t>
  </si>
  <si>
    <t>2.5.8-3977.113</t>
  </si>
  <si>
    <t>PLACAS RADIOGRAFICAS 35 X 43 SENSIBLE AL VERDE X 100 UNIDADES</t>
  </si>
  <si>
    <t>PLACAS RADIOGRAFICAS 24 X 30 SENSIBLE AL VERDE X 100 UNIDADES</t>
  </si>
  <si>
    <t>PLACAS RADIOGRAFICAS 18 X 24 SENSIBLE AL VERDE X 100 UNIDADES</t>
  </si>
  <si>
    <t>LIQUIDO REVELADOR PARA PROCESO AUTOMATICO TIPO RPX -OMAT</t>
  </si>
  <si>
    <t>LIQUIDO FIJADOR PARA PROCESO AUTOMATICO TIPO RPX-OMAT</t>
  </si>
  <si>
    <t>LIQUIDO REVELADOR PARA PROCESO MANUAL TIPO RPX-OMAT LO</t>
  </si>
  <si>
    <t>LIQUIDO FIJADOR PARA PROCESO MANUAL TIPO  RPX-OMAT LO.</t>
  </si>
  <si>
    <t>PINZAS DE CIRUGIA; TIPO: DISECCION SIN DIENTE, MEDIDA: 13 Cm</t>
  </si>
  <si>
    <t>2.9.5-472.4</t>
  </si>
  <si>
    <t>PINZAS DE CIRUGIA; TIPO: DIENTE RATON, MEDIDA: 16 Cm</t>
  </si>
  <si>
    <t>2.9.5-472.1</t>
  </si>
  <si>
    <t>TIJERAS P/MEDICINA; TIPO: SPENCER, MEDIDA: 11 Cm, USO: SUTURA</t>
  </si>
  <si>
    <t>2.9.5-459.149</t>
  </si>
  <si>
    <t>INSTRUMENTAL ODONTOLOGICO; TIPO: ELEVADOR EXODONCIA, DESCARTABLE: NO, PRESENTACION: UNIDAD</t>
  </si>
  <si>
    <t>2.9.5-5144.661</t>
  </si>
  <si>
    <t>INSTRUMENTAL ODONTOLOGICO; TIPO: TIJERA P/ENCIAS CURVAS, DESCARTABLE: NO, PRESENTACION: UNIDAD</t>
  </si>
  <si>
    <t>2.9.5-5144.654</t>
  </si>
  <si>
    <t>INSTRUMENTAL ODONTOLOGICO; TIPO: TIJERA P/ENCIAS RECTAS, DESCARTABLE: NO, PRESENTACION: UNIDAD</t>
  </si>
  <si>
    <t>2.9.5-5144.655</t>
  </si>
  <si>
    <t>CUBETAS ODONTOLOGICAS; MATERIAL: GOMA, FLUOR: CON, USO: TOPICACION</t>
  </si>
  <si>
    <t>2.9.5-2469.1</t>
  </si>
  <si>
    <t>PROTESIS ODONTOLOGICA; TIPO: 14 DIENTES DEFINITIVOS, MATERIAL: ACRILICO, USO: SUPERIOR-INFERIOR</t>
  </si>
  <si>
    <t>2.9.5-6190.20</t>
  </si>
  <si>
    <t>INSTRUMENTAL ODONTOLOGICO; TIPO: FORCEPS P/RAICES, DESCARTABLE: NO, PRESENTACION: UNIDAD</t>
  </si>
  <si>
    <t>2.9.5-5144.640</t>
  </si>
  <si>
    <t>INSTRUMENTAL ODONTOLOGICO; TIPO: TIJERA PORTA AGUJA, DESCARTABLE: NO, PRESENTACION: UNIDAD</t>
  </si>
  <si>
    <t>2.9.5-5144.633</t>
  </si>
  <si>
    <t>INSTRUMENTAL ODONTOLOGICO; TIPO: TIJERA P/AG.MOSQUITO, DESCARTABLE: NO, PRESENTACION: UNIDAD</t>
  </si>
  <si>
    <t>2.9.5-5144.632</t>
  </si>
  <si>
    <t>INSTRUMENTAL ODONTOLOGICO; TIPO: FRESA 12 FILOS PIMPOLLO, DESCARTABLE: NO, PRESENTACION: UNIDAD</t>
  </si>
  <si>
    <t>2.9.5-5144.617</t>
  </si>
  <si>
    <t>INSTRUMENTAL ODONTOLOGICO; TIPO: SEPARADOR DE ACRILICO, DESCARTABLE: SI, PRESENTACION: UNIDAD</t>
  </si>
  <si>
    <t>2.9.5-5144.609</t>
  </si>
  <si>
    <t>INSTRUMENTAL ODONTOLOGICO; TIPO: ESPATULA DE YESO, DESCARTABLE: NO, PRESENTACION: UNIDAD</t>
  </si>
  <si>
    <t>2.9.5-5144.608</t>
  </si>
  <si>
    <t>INSTRUMENTAL ODONTOLOGICO; TIPO: GOMA P/PULIDO DE ACRILICOS, DESCARTABLE: SI, PRESENTACION: ENVASE X 5 UN</t>
  </si>
  <si>
    <t>2.9.5-5144.581</t>
  </si>
  <si>
    <t>INSTRUMENTAL ODONTOLOGICO; TIPO: CUBETA P/DESDENTADOS, DESCARTABLE: NO, PRESENTACION: ENVASE X 6 UN</t>
  </si>
  <si>
    <t>2.9.5-5144.574</t>
  </si>
  <si>
    <t>INSTRUMENTAL ODONTOLOGICO; TIPO: COMPRESA P/PLATINA AZUL, DESCARTABLE: SI, PRESENTACION: CAJA X 500 UN</t>
  </si>
  <si>
    <t>2.9.5-5144.563</t>
  </si>
  <si>
    <t>INSTRUMENTAL ODONTOLOGICO; TIPO: VASOS, DESCARTABLE: SI, PRESENTACION: CAJA X 3500 UN</t>
  </si>
  <si>
    <t>2.9.5-5144.540</t>
  </si>
  <si>
    <t>INSTRUMENTAL ODONTOLOGICO; TIPO: SOBRES P/ESTERILIZAR, DESCARTABLE: SI, PRESENTACION: CAJA X 1000 UN</t>
  </si>
  <si>
    <t>2.9.5-5144.539</t>
  </si>
  <si>
    <t>INSTRUMENTAL ODONTOLOGICO; TIPO: REGLA MILIMETRADA, DESCARTABLE: NO, PRESENTACION: UNIDAD</t>
  </si>
  <si>
    <t>2.9.5-5144.533</t>
  </si>
  <si>
    <t>INSTRUMENTAL ODONTOLOGICO; TIPO: ALICATERO, DESCARTABLE: NO, PRESENTACION: UNIDAD</t>
  </si>
  <si>
    <t>2.9.5-5144.519</t>
  </si>
  <si>
    <t>INSTRUMENTAL ODONTOLOGICO; TIPO: SEPARADORES DE CIRUGIA, DESCARTABLE: NO, PRESENTACION: UNIDAD</t>
  </si>
  <si>
    <t>2.9.5-5144.501</t>
  </si>
  <si>
    <t>INSTRUMENTAL ODONTOLOGICO; TIPO: FRESERO P/ODONTOLOGIA, DESCARTABLE: NO, PRESENTACION: UNIDAD</t>
  </si>
  <si>
    <t>2.9.5-5144.494</t>
  </si>
  <si>
    <t>INSTRUMENTAL ODONTOLOGICO; TIPO: WINTER, DESCARTABLE: NO, PRESENTACION: ENVASE X 2 UN</t>
  </si>
  <si>
    <t>2.9.5-5144.492</t>
  </si>
  <si>
    <t>INSTRUMENTAL ODONTOLOGICO; TIPO: GUTTA CONDENSADOR, DESCARTABLE: SI, PRESENTACION: ENVASE X 4 UN</t>
  </si>
  <si>
    <t>2.9.5-5144.486</t>
  </si>
  <si>
    <t>INSTRUMENTAL ODONTOLOGICO; TIPO: CLIP P/RADIOGRAFIA, DESCARTABLE: NO, PRESENTACION: UNIDAD</t>
  </si>
  <si>
    <t>2.9.5-5144.481</t>
  </si>
  <si>
    <t>INSTRUMENTAL ODONTOLOGICO; TIPO: FORCEPS DE METAL, DESCARTABLE: NO, PRESENTACION: ENVASE X 8</t>
  </si>
  <si>
    <t>2.9.5-5144.480</t>
  </si>
  <si>
    <t>INSTRUMENTAL ODONTOLOGICO; TIPO: MECHERO DE METAL, DESCARTABLE: NO, PRESENTACION: UNIDAD</t>
  </si>
  <si>
    <t>2.9.5-5144.479</t>
  </si>
  <si>
    <t>INSTRUMENTAL ODONTOLOGICO; TIPO: LENTULO METALICO 30 mm, DESCARTABLE: NO, PRESENTACION: ENVASE X 4 UN</t>
  </si>
  <si>
    <t>2.9.5-5144.468</t>
  </si>
  <si>
    <t>INSTRUMENTAL ODONTOLOGICO; TIPO: LENTULO METALICO 25 mm, DESCARTABLE: NO, PRESENTACION: ENVASE X 4 UN</t>
  </si>
  <si>
    <t>2.9.5-5144.467</t>
  </si>
  <si>
    <t>INSTRUMENTAL ODONTOLOGICO; TIPO: LENTULO METALICO 21 mm, DESCARTABLE: NO, PRESENTACION: ENVASE X 4 UN</t>
  </si>
  <si>
    <t>2.9.5-5144.466</t>
  </si>
  <si>
    <t>INSTRUMENTAL ODONTOLOGICO; TIPO: CLAMP, DESCARTABLE: NO, PRESENTACION: KIT X 9 UN</t>
  </si>
  <si>
    <t>2.9.5-5144.465</t>
  </si>
  <si>
    <t>INSTRUMENTAL ODONTOLOGICO; TIPO: PINCEL MICROBRUSH, DESCARTABLE: SI, PRESENTACION: ENVASE X 100 UN</t>
  </si>
  <si>
    <t>2.9.5-5144.462</t>
  </si>
  <si>
    <t>INSTRUMENTAL ODONTOLOGICO; TIPO: MATRIZ ACERO 7 mm, DESCARTABLE: SI, PRESENTACION: ROLLO X 3 M</t>
  </si>
  <si>
    <t>2.9.5-5144.457</t>
  </si>
  <si>
    <t>INSTRUMENTAL ODONTOLOGICO; TIPO: MATRIZ ACERO 6 mm, DESCARTABLE: SI, PRESENTACION: ROLLO X 3 M</t>
  </si>
  <si>
    <t>2.9.5-5144.456</t>
  </si>
  <si>
    <t>INSTRUMENTAL ODONTOLOGICO; TIPO: MATRIZ ACERO 5 mm, DESCARTABLE: SI, PRESENTACION: ROLLO X 3 M</t>
  </si>
  <si>
    <t>2.9.5-5144.455</t>
  </si>
  <si>
    <t>INSTRUMENTAL ODONTOLOGICO; TIPO: DISCO DE GOMA RUEDA, DESCARTABLE: NO, PRESENTACION: UNIDAD UN</t>
  </si>
  <si>
    <t>2.9.5-5144.444</t>
  </si>
  <si>
    <t>INSTRUMENTAL ODONTOLOGICO; TIPO: CUÑA DE MADERA, DESCARTABLE: SI, PRESENTACION: ENVASE X 100 UN</t>
  </si>
  <si>
    <t>2.9.5-5144.428</t>
  </si>
  <si>
    <t>INSTRUMENTAL ODONTOLOGICO; TIPO: EYECTOR P/SALIVA, DESCARTABLE: SI, PRESENTACION: ENVASE X 100</t>
  </si>
  <si>
    <t>2.9.5-5144.417</t>
  </si>
  <si>
    <t>INSTRUMENTAL ODONTOLOGICO; TIPO: GOMA DIQUE, DESCARTABLE: SI, PRESENTACION: ENVASE X 50 UN</t>
  </si>
  <si>
    <t>2.9.5-5144.415</t>
  </si>
  <si>
    <t>INSTRUMENTAL ODONTOLOGICO; TIPO: TAPON HEMOSTATICO, DESCARTABLE: SI, PRESENTACION: ENVASE X 40</t>
  </si>
  <si>
    <t>2.9.5-5144.399</t>
  </si>
  <si>
    <t>INSTRUMENTAL ODONTOLOGICO; TIPO: PUNTA P/CAVITADOR , DESCARTABLE: SI, PRESENTACION: UNIDAD</t>
  </si>
  <si>
    <t>2.9.5-5144.370</t>
  </si>
  <si>
    <t>INSTRUMENTAL ODONTOLOGICO; TIPO: MUFLA DE BRONCE, DESCARTABLE: NO, PRESENTACION: UNIDAD</t>
  </si>
  <si>
    <t>2.9.5-5144.366</t>
  </si>
  <si>
    <t>INSTRUMENTAL ODONTOLOGICO; TIPO: P/EXODONCIA MOLAR , DESCARTABLE: NO, PRESENTACION: UNIDAD</t>
  </si>
  <si>
    <t>2.9.5-5144.360</t>
  </si>
  <si>
    <t>INSTRUMENTAL ODONTOLOGICO; TIPO: PINZA PARA EXODONCIA MOLAR INF, DESCARTABLE: NO, PRESENTACION: UNIDAD</t>
  </si>
  <si>
    <t>2.9.5-5144.359</t>
  </si>
  <si>
    <t>INSTRUMENTAL ODONTOLOGICO; TIPO: EXPLORADOR, DESCARTABLE: NO, PRESENTACION: UNIDAD</t>
  </si>
  <si>
    <t>2.9.5-5144.356</t>
  </si>
  <si>
    <t>INSTRUMENTAL ODONTOLOGICO; TIPO: ENSANCHADORES CONDUCTO, DESCARTABLE: SI, PRESENTACION: CAJA X 6 UN</t>
  </si>
  <si>
    <t>2.9.5-5144.273</t>
  </si>
  <si>
    <t>INSTRUMENTAL ODONTOLOGICO; TIPO: PIEDRA DIAMANTE CONO INVERTIDO, DESCARTABLE: NO, PRESENTACION: UNIDAD</t>
  </si>
  <si>
    <t>2.9.5-5144.267</t>
  </si>
  <si>
    <t>INSTRUMENTAL ODONTOLOGICO; TIPO: PIEDRA DIAM.CILIND. EXTRALARGA, DESCARTABLE: NO, PRESENTACION: UNIDAD</t>
  </si>
  <si>
    <t>2.9.5-5144.266</t>
  </si>
  <si>
    <t>INSTRUMENTAL ODONTOLOGICO; TIPO: PIEDRA DIAMANTE REDONDA, DESCARTABLE: NO, PRESENTACION: UNIDAD</t>
  </si>
  <si>
    <t>2.9.5-5144.265</t>
  </si>
  <si>
    <t>INSTRUMENTAL ODONTOLOGICO; TIPO: PIEDRA DIAMANTE TRONCOCONICA, DESCARTABLE: NO, PRESENTACION: UNIDAD</t>
  </si>
  <si>
    <t>2.9.5-5144.264</t>
  </si>
  <si>
    <t>INSTRUMENTAL ODONTOLOGICO; TIPO: PIEDRA TRONCOCONICA EXTRALARGA, DESCARTABLE: NO, PRESENTACION: UNIDAD</t>
  </si>
  <si>
    <t>2.9.5-5144.263</t>
  </si>
  <si>
    <t>INSTRUMENTAL ODONTOLOGICO; TIPO: PIEDRA DIAMANTE GRANO FINO, DESCARTABLE: NO, PRESENTACION: UNIDAD</t>
  </si>
  <si>
    <t>2.9.5-5144.262</t>
  </si>
  <si>
    <t>INSTRUMENTAL ODONTOLOGICO; TIPO: PIEDRA DIAMANTE GRANO GRUESO, DESCARTABLE: NO, PRESENTACION: UNIDAD</t>
  </si>
  <si>
    <t>2.9.5-5144.261</t>
  </si>
  <si>
    <t>INSTRUMENTAL ODONTOLOGICO; TIPO: LENTULOS 1ª SERIE, DESCARTABLE: SI, PRESENTACION: UNIDAD</t>
  </si>
  <si>
    <t>2.9.5-5144.260</t>
  </si>
  <si>
    <t>INSTRUMENTAL ODONTOLOGICO; TIPO: PIEDRA DIAMANTE GRANO MEDIANO, DESCARTABLE: NO, PRESENTACION: UNIDAD</t>
  </si>
  <si>
    <t>2.9.5-5144.259</t>
  </si>
  <si>
    <t>INSTRUMENTAL ODONTOLOGICO; TIPO: PIEZA DE MANO P/TURBINA, DESCARTABLE: NO, PRESENTACION: UNIDAD</t>
  </si>
  <si>
    <t>2.9.5-5144.256</t>
  </si>
  <si>
    <t>INSTRUMENTAL ODONTOLOGICO; TIPO: CONO DE PAPEL Nº 45-80, DESCARTABLE: SI, PRESENTACION: UNIDAD</t>
  </si>
  <si>
    <t>2.9.5-5144.254</t>
  </si>
  <si>
    <t>INSTRUMENTAL ODONTOLOGICO; TIPO: CONO DE PAPEL Nº 15-40, DESCARTABLE: SI, PRESENTACION: UNIDAD</t>
  </si>
  <si>
    <t>2.9.5-5144.253</t>
  </si>
  <si>
    <t>INSTRUMENTAL ODONTOLOGICO; TIPO: CONO GUTAPERCHA 2ªSERIE, DESCARTABLE: SI, PRESENTACION: UNIDAD</t>
  </si>
  <si>
    <t>2.9.5-5144.252</t>
  </si>
  <si>
    <t>INSTRUMENTAL ODONTOLOGICO; TIPO: CONO GUTAPERCHA 1ªSERIE, DESCARTABLE: SI, PRESENTACION: UNIDAD</t>
  </si>
  <si>
    <t>2.9.5-5144.251</t>
  </si>
  <si>
    <t>INSTRUMENTAL ODONTOLOGICO; TIPO: CONO GUTAPERCHA Nº80, DESCARTABLE: SI, PRESENTACION: UNIDAD</t>
  </si>
  <si>
    <t>2.9.5-5144.250</t>
  </si>
  <si>
    <t>INSTRUMENTAL ODONTOLOGICO; TIPO: CONO GUTAPERCHA Nº45, DESCARTABLE: SI, PRESENTACION: UNIDAD</t>
  </si>
  <si>
    <t>2.9.5-5144.249</t>
  </si>
  <si>
    <t>INSTRUMENTAL ODONTOLOGICO; TIPO: CONO GUTAPERCHA Nº40, DESCARTABLE: SI, PRESENTACION: UNIDAD</t>
  </si>
  <si>
    <t>2.9.5-5144.248</t>
  </si>
  <si>
    <t>INSTRUMENTAL ODONTOLOGICO; TIPO: CONO GUTAPERCHA Nº35, DESCARTABLE: SI, PRESENTACION: UNIDAD</t>
  </si>
  <si>
    <t>2.9.5-5144.247</t>
  </si>
  <si>
    <t>INSTRUMENTAL ODONTOLOGICO; TIPO: CONO GUTAPERCHA Nº30, DESCARTABLE: SI, PRESENTACION: UNIDAD</t>
  </si>
  <si>
    <t>2.9.5-5144.246</t>
  </si>
  <si>
    <t>INSTRUMENTAL ODONTOLOGICO; TIPO: CONO GUTAPERCHA Nº25, DESCARTABLE: SI, PRESENTACION: UNIDAD</t>
  </si>
  <si>
    <t>2.9.5-5144.245</t>
  </si>
  <si>
    <t>INSTRUMENTAL ODONTOLOGICO; TIPO: CONO GUTAPERCHA Nº20, DESCARTABLE: SI, PRESENTACION: UNIDAD</t>
  </si>
  <si>
    <t>2.9.5-5144.244</t>
  </si>
  <si>
    <t>INSTRUMENTAL ODONTOLOGICO; TIPO: CONO GUTAPERCHA Nº 15, DESCARTABLE: SI, PRESENTACION: UNIDAD</t>
  </si>
  <si>
    <t>2.9.5-5144.243</t>
  </si>
  <si>
    <t>INSTRUMENTAL ODONTOLOGICO; TIPO: PIEDRA DIAMANTE TURBINA, DESCARTABLE: NO, PRESENTACION: UNIDAD</t>
  </si>
  <si>
    <t>2.9.5-5144.239</t>
  </si>
  <si>
    <t>INSTRUMENTAL ODONTOLOGICO; TIPO: ARCO DE ERIC, DESCARTABLE: SI, PRESENTACION: UNIDAD</t>
  </si>
  <si>
    <t>2.9.5-5144.238</t>
  </si>
  <si>
    <t>INSTRUMENTAL ODONTOLOGICO; TIPO: ESPATULA DE GOTEO, DESCARTABLE: NO, PRESENTACION: UNIDAD</t>
  </si>
  <si>
    <t>2.9.5-5144.231</t>
  </si>
  <si>
    <t>INSTRUMENTAL ODONTOLOGICO; TIPO: ESPATULA P/TALLADO DE CERA, PRESENTACION: UNIDAD, DESCARTABLE: NO</t>
  </si>
  <si>
    <t>2.9.5-5144.230</t>
  </si>
  <si>
    <t>INSTRUMENTAL ODONTOLOGICO; TIPO: PRENSA MANUAL, DESCARTABLE: NO, PRESENTACION: UNIDAD</t>
  </si>
  <si>
    <t>2.9.5-5144.229</t>
  </si>
  <si>
    <t>INSTRUMENTAL ODONTOLOGICO; TIPO: BRIDA, DESCARTABLE: NO, PRESENTACION: UNIDAD</t>
  </si>
  <si>
    <t>2.9.5-5144.228</t>
  </si>
  <si>
    <t>INSTRUMENTAL ODONTOLOGICO; TIPO: FLAMEADOR, DESCARTABLE: NO, PRESENTACION: UNIDAD</t>
  </si>
  <si>
    <t>2.9.5-5144.227</t>
  </si>
  <si>
    <t>INSTRUMENTAL ODONTOLOGICO; TIPO: VIBRADORA, DESCARTABLE: NO, PRESENTACION: UNIDAD</t>
  </si>
  <si>
    <t>2.9.5-5144.226</t>
  </si>
  <si>
    <t>INSTRUMENTAL ODONTOLOGICO; TIPO: PIEDRA P/ACRILICO, DESCARTABLE: NO, PRESENTACION: UNIDAD</t>
  </si>
  <si>
    <t>2.9.5-5144.225</t>
  </si>
  <si>
    <t>INSTRUMENTAL ODONTOLOGICO; TIPO: FRESON DE CARBURO TUGSTENO, DESCARTABLE: NO, PRESENTACION: UNIDAD</t>
  </si>
  <si>
    <t>2.9.5-5144.224</t>
  </si>
  <si>
    <t>INSTRUMENTAL ODONTOLOGICO; TIPO: CONO DE FIELTRO Nº 3, PRESENTACION: UNIDAD, DESCARTABLE: SI</t>
  </si>
  <si>
    <t>2.9.5-5144.221</t>
  </si>
  <si>
    <t>INSTRUMENTAL ODONTOLOGICO; TIPO: PORTA MATRIZ, DESCARTABLE: NO, PRESENTACION: UNIDAD</t>
  </si>
  <si>
    <t>2.9.5-5144.220</t>
  </si>
  <si>
    <t>INSTRUMENTAL ODONTOLOGICO; TIPO: ALAMBRE DE ACERO D.1 MM, DESCARTABLE: SI, PRESENTACION: LATA X 10 M</t>
  </si>
  <si>
    <t>2.9.5-5144.219</t>
  </si>
  <si>
    <t>INSTRUMENTAL ODONTOLOGICO; TIPO: ALAMBRE DE ACERO D. 0,9 MM, PRESENTACION: LATA X 500 GR, DESCARTABLE: SI</t>
  </si>
  <si>
    <t>2.9.5-5144.218</t>
  </si>
  <si>
    <t>INSTRUMENTAL ODONTOLOGICO; DESCARTABLE: SI, TIPO: ALAMBRE DE ACERO D. 0,8 MM, PRESENTACION: LATA X 20 M</t>
  </si>
  <si>
    <t>2.9.5-5144.217</t>
  </si>
  <si>
    <t>INSTRUMENTAL ODONTOLOGICO; TIPO: PIEDRA P/DESG.ACR.RUBI CHICA, DESCARTABLE: SI, PRESENTACION: UNIDAD</t>
  </si>
  <si>
    <t>2.9.5-5144.213</t>
  </si>
  <si>
    <t>INSTRUMENTAL ODONTOLOGICO; TIPO: PIEDRA P/DESG.ACR.RUBI MEDIA, DESCARTABLE: SI, PRESENTACION: UNIDAD</t>
  </si>
  <si>
    <t>2.9.5-5144.212</t>
  </si>
  <si>
    <t>INSTRUMENTAL ODONTOLOGICO; TIPO: PIEDRA P/DESG.ACR.RUBI GRANDE, DESCARTABLE: SI, PRESENTACION: UNIDAD</t>
  </si>
  <si>
    <t>2.9.5-5144.211</t>
  </si>
  <si>
    <t>INSTRUMENTAL ODONTOLOGICO; TIPO: PIEDRA P/DESG.ACR.BLANCA CHICA, DESCARTABLE: SI, PRESENTACION: UNIDAD</t>
  </si>
  <si>
    <t>2.9.5-5144.210</t>
  </si>
  <si>
    <t>INSTRUMENTAL ODONTOLOGICO; TIPO: PIEDRA P/DESG.ACR.BLANCA MEDIA, DESCARTABLE: SI, PRESENTACION: UNIDAD</t>
  </si>
  <si>
    <t>2.9.5-5144.209</t>
  </si>
  <si>
    <t>INSTRUMENTAL ODONTOLOGICO; TIPO: PIEDRA P/DESG.ACR.BLANCA GRAND, DESCARTABLE: SI, PRESENTACION: UNIDAD</t>
  </si>
  <si>
    <t>2.9.5-5144.208</t>
  </si>
  <si>
    <t>INSTRUMENTAL ODONTOLOGICO; TIPO: GOMA P/PULIR ACRILICO, DESCARTABLE: SI, PRESENTACION: UNIDAD</t>
  </si>
  <si>
    <t>2.9.5-5144.200</t>
  </si>
  <si>
    <t>INSTRUMENTAL ODONTOLOGICO; DESCARTABLE: SI, PRESENTACION: UNIDAD, TIPO: HOJA DE SIERRA PLANA</t>
  </si>
  <si>
    <t>2.9.5-5144.197</t>
  </si>
  <si>
    <t>INSTRUMENTAL ODONTOLOGICO; TIPO: SEPARADOR DE YESO ROSA, DESCARTABLE: SI, PRESENTACION: 1 L</t>
  </si>
  <si>
    <t>2.9.5-5144.195</t>
  </si>
  <si>
    <t>INSTRUMENTAL ODONTOLOGICO; TIPO: MECHA FLAMEADOR, DESCARTABLE: SI, PRESENTACION: UNIDAD</t>
  </si>
  <si>
    <t>2.9.5-5144.194</t>
  </si>
  <si>
    <t>INSTRUMENTAL ODONTOLOGICO; TIPO: PORTA LIJA, DESCARTABLE: SI, PRESENTACION: UNIDAD</t>
  </si>
  <si>
    <t>2.9.5-5144.192</t>
  </si>
  <si>
    <t>INSTRUMENTAL ODONTOLOGICO; TIPO: MANDRIL, DESCARTABLE: NO, PRESENTACION: CAJA X 6 UN</t>
  </si>
  <si>
    <t>2.9.5-5144.187</t>
  </si>
  <si>
    <t>INSTRUMENTAL ODONTOLOGICO; DESCARTABLE: NO, PRESENTACION: UNIDAD, TIPO: ALICATE DE CORTE Y MODELADO</t>
  </si>
  <si>
    <t>2.9.5-5144.184</t>
  </si>
  <si>
    <t>INSTRUMENTAL ODONTOLOGICO; TIPO: CEPILLO LIMPIAFRESA, PRESENTACION: UNIDAD, DESCARTABLE: NO</t>
  </si>
  <si>
    <t>2.9.5-5144.179</t>
  </si>
  <si>
    <t>INSTRUMENTAL ODONTOLOGICO; DESCARTABLE: NO, PRESENTACION: UNIDAD, TIPO: MATRIZ METALICA</t>
  </si>
  <si>
    <t>2.9.5-5144.177</t>
  </si>
  <si>
    <t>INSTRUMENTAL ODONTOLOGICO; TIPO: PLACA BASE INFERIOR, DESCARTABLE: SIN VALOR, PRESENTACION: ENVASE X 100</t>
  </si>
  <si>
    <t>2.9.5-5144.176</t>
  </si>
  <si>
    <t>INSTRUMENTAL ODONTOLOGICO; TIPO: PLACA BASE SUPERIOR, DESCARTABLE: SIN VALOR, PRESENTACION: ENVASE X 100</t>
  </si>
  <si>
    <t>2.9.5-5144.175</t>
  </si>
  <si>
    <t>INSTRUMENTAL ODONTOLOGICO; TIPO: CONO DE FIELTRO Nº 4, DESCARTABLE: SI, PRESENTACION: UNIDAD</t>
  </si>
  <si>
    <t>2.9.5-5144.173</t>
  </si>
  <si>
    <t>INSTRUMENTAL ODONTOLOGICO; TIPO: ALAMBRE, DESCARTABLE: SI, PRESENTACION: ROLLO X 500 GR</t>
  </si>
  <si>
    <t>2.9.5-5144.172</t>
  </si>
  <si>
    <t>INSTRUMENTAL ODONTOLOGICO; TIPO: ARTICULADOR PARA PROTESIS, DESCARTABLE: NO, PRESENTACION: UNIDAD</t>
  </si>
  <si>
    <t>2.9.5-5144.171</t>
  </si>
  <si>
    <t>INSTRUMENTAL ODONTOLOGICO; DESCARTABLE: NO, TIPO: CAVITADOR NEUMATICO, PRESENTACION: UNIDAD</t>
  </si>
  <si>
    <t>2.9.5-5144.167</t>
  </si>
  <si>
    <t>INSTRUMENTAL ODONTOLOGICO; TIPO: CUCHARITAS DE BLACK DOBLES, PRESENTACION: UNIDAD, DESCARTABLE: NO</t>
  </si>
  <si>
    <t>2.9.5-5144.164</t>
  </si>
  <si>
    <t>INSTRUMENTAL ODONTOLOGICO; TIPO: CURETA PERIODONTAL 13/14, DESCARTABLE: NO, PRESENTACION: UNIDAD</t>
  </si>
  <si>
    <t>2.9.5-5144.162</t>
  </si>
  <si>
    <t>INSTRUMENTAL ODONTOLOGICO; TIPO: CURETA PERIODONTAL 11/12, DESCARTABLE: NO, PRESENTACION: UNIDAD</t>
  </si>
  <si>
    <t>2.9.5-5144.161</t>
  </si>
  <si>
    <t>INSTRUMENTAL ODONTOLOGICO; TIPO: CURETA PERIODONTAL 7/8, DESCARTABLE: NO, PRESENTACION: UNIDAD</t>
  </si>
  <si>
    <t>2.9.5-5144.160</t>
  </si>
  <si>
    <t>INSTRUMENTAL ODONTOLOGICO; TIPO: FRESON DE METAL SINTERIZADO, DESCARTABLE: NO, PRESENTACION: UNIDAD</t>
  </si>
  <si>
    <t>2.9.5-5144.156</t>
  </si>
  <si>
    <t>INSTRUMENTAL ODONTOLOGICO; TIPO: DISCO P/MICROMOTOR, PRESENTACION: CAJA X 50 UN, DESCARTABLE: NO</t>
  </si>
  <si>
    <t>2.9.5-5144.149</t>
  </si>
  <si>
    <t>INSTRUMENTAL ODONTOLOGICO; TIPO: DISCO P/PULIR COMPOSITE, DESCARTABLE: NO, PRESENTACION: CAJA X 50 UN</t>
  </si>
  <si>
    <t>2.9.5-5144.148</t>
  </si>
  <si>
    <t>INSTRUMENTAL ODONTOLOGICO; TIPO: TIRANERVIOS, DESCARTABLE: NO, PRESENTACION: CAJA X 6 UN</t>
  </si>
  <si>
    <t>2.9.5-5144.147</t>
  </si>
  <si>
    <t>INSTRUMENTAL ODONTOLOGICO; TIPO: MANDRIL P/PIEZA DE MANO, DESCARTABLE: NO, PRESENTACION: UNIDAD</t>
  </si>
  <si>
    <t>2.9.5-5144.137</t>
  </si>
  <si>
    <t>INSTRUMENTAL ODONTOLOGICO; TIPO: MANDRIL P/CONTRAANGULO, DESCARTABLE: NO, PRESENTACION: UNIDAD</t>
  </si>
  <si>
    <t>2.9.5-5144.136</t>
  </si>
  <si>
    <t>INSTRUMENTAL ODONTOLOGICO; TIPO: JERINGAS TRIPLES METALICAS, PRESENTACION: UNIDAD, DESCARTABLE: NO</t>
  </si>
  <si>
    <t>2.9.5-5144.131</t>
  </si>
  <si>
    <t>INSTRUMENTAL ODONTOLOGICO; DESCARTABLE: NO, TIPO: ARCO DE YOUNG, PRESENTACION: UNIDAD</t>
  </si>
  <si>
    <t>2.9.5-5144.125</t>
  </si>
  <si>
    <t>INSTRUMENTAL ODONTOLOGICO; TIPO: PIEDRA MEDIANA P/DESGASTAR, DESCARTABLE: NO, PRESENTACION: UNIDAD</t>
  </si>
  <si>
    <t>2.9.5-5144.121</t>
  </si>
  <si>
    <t>INSTRUMENTAL ODONTOLOGICO; TIPO: PIEDRA CHICA P/DESGASTAR, DESCARTABLE: NO, PRESENTACION: UNIDAD</t>
  </si>
  <si>
    <t>2.9.5-5144.120</t>
  </si>
  <si>
    <t>INSTRUMENTAL ODONTOLOGICO; TIPO: BROCHITA P/PROFILAXIS, DESCARTABLE: SI, PRESENTACION: BOLSA X 100 UN</t>
  </si>
  <si>
    <t>2.9.5-5144.118</t>
  </si>
  <si>
    <t>INSTRUMENTAL ODONTOLOGICO; TIPO: PIEDRA GRANDE P/DESGASTAR, DESCARTABLE: NO, PRESENTACION: UNIDAD</t>
  </si>
  <si>
    <t>2.9.5-5144.117</t>
  </si>
  <si>
    <t>INSTRUMENTAL ODONTOLOGICO; TIPO: DISCO DE CARBORUNDUM P/PULIR, DESCARTABLE: SI, PRESENTACION: CAJA X 100 UN</t>
  </si>
  <si>
    <t>2.9.5-5144.112</t>
  </si>
  <si>
    <t>INSTRUMENTAL ODONTOLOGICO; TIPO: CEPILLO DE TRAPO P/PULIDO, PRESENTACION: UNIDAD, DESCARTABLE: NO</t>
  </si>
  <si>
    <t>2.9.5-5144.110</t>
  </si>
  <si>
    <t>INSTRUMENTAL ODONTOLOGICO; TIPO: CEPILLO P/PULIDORA, PRESENTACION: UNIDAD, DESCARTABLE: NO</t>
  </si>
  <si>
    <t>2.9.5-5144.108</t>
  </si>
  <si>
    <t>INSTRUMENTAL ODONTOLOGICO; TIPO: CONO DE FIELTRO, PRESENTACION: UNIDAD, DESCARTABLE: NO</t>
  </si>
  <si>
    <t>2.9.5-5144.107</t>
  </si>
  <si>
    <t>INSTRUMENTAL ODONTOLOGICO; TIPO: PAPEL DE ARTICULAR, PRESENTACION: ENVASE X 12 BLOCKS, DESCARTABLE: SI</t>
  </si>
  <si>
    <t>2.9.5-5144.104</t>
  </si>
  <si>
    <t>INSTRUMENTAL ODONTOLOGICO; TIPO: CONTRA-ANGULO, DESCARTABLE: NO, PRESENTACION: UNIDAD</t>
  </si>
  <si>
    <t>2.9.5-5144.95</t>
  </si>
  <si>
    <t>INSTRUMENTAL ODONTOLOGICO; TIPO: MANDRILES, DESCARTABLE: NO, PRESENTACION: UNIDAD</t>
  </si>
  <si>
    <t>2.9.5-5144.92</t>
  </si>
  <si>
    <t>INSTRUMENTAL ODONTOLOGICO; TIPO: PINZA 139 DE ANGLE, DESCARTABLE: NO, PRESENTACION: UNIDAD</t>
  </si>
  <si>
    <t>2.9.5-5144.87</t>
  </si>
  <si>
    <t>INSTRUMENTAL ODONTOLOGICO; TIPO: LENTULOS, DESCARTABLE: SI, PRESENTACION: CAJA X 6 UNIDAD</t>
  </si>
  <si>
    <t>2.9.5-5144.83</t>
  </si>
  <si>
    <t>INSTRUMENTAL ODONTOLOGICO; TIPO: PAPEL DE ARTICULAR, DESCARTABLE: SI, PRESENTACION: BLOCK X 10</t>
  </si>
  <si>
    <t>2.9.5-5144.82</t>
  </si>
  <si>
    <t>INSTRUMENTAL ODONTOLOGICO; TIPO: LOSETA DE VIDRIO 15 X 8 X 1 CM, DESCARTABLE: NO, PRESENTACION: UNIDAD</t>
  </si>
  <si>
    <t>2.9.5-5144.80</t>
  </si>
  <si>
    <t>INSTRUMENTAL ODONTOLOGICO; TIPO: ARCO PEINE P/BLOQ. INTERMAX., DESCARTABLE: NO, PRESENTACION: ROLLO</t>
  </si>
  <si>
    <t>2.9.5-5144.79</t>
  </si>
  <si>
    <t>INSTRUMENTAL ODONTOLOGICO; TIPO: VASO DAPPEN VIDRIO, DESCARTABLE: NO, PRESENTACION: UNIDAD</t>
  </si>
  <si>
    <t>2.9.5-5144.76</t>
  </si>
  <si>
    <t>INSTRUMENTAL ODONTOLOGICO; TIPO: TIRA P/PULIR COMPOSITE, DESCARTABLE: NO, PRESENTACION: ENVASE X 100 UN</t>
  </si>
  <si>
    <t>2.9.5-5144.75</t>
  </si>
  <si>
    <t>INSTRUMENTAL ODONTOLOGICO; DESCARTABLE: NO, PRESENTACION: UNIDAD, TIPO: PINZA DE EXTRACCION INFERIOR</t>
  </si>
  <si>
    <t>2.9.5-5144.74</t>
  </si>
  <si>
    <t>INSTRUMENTAL ODONTOLOGICO; TIPO: PINZA DE EXTRACCION SUPERIOR, DESCARTABLE: NO, PRESENTACION: UNIDAD</t>
  </si>
  <si>
    <t>2.9.5-5144.73</t>
  </si>
  <si>
    <t>INSTRUMENTAL ODONTOLOGICO; TIPO: RUEDA DE TELA P/PULIR, DESCARTABLE: NO, PRESENTACION: UNIDAD</t>
  </si>
  <si>
    <t>2.9.5-5144.72</t>
  </si>
  <si>
    <t>INSTRUMENTAL ODONTOLOGICO; TIPO: BARRA ALTO BRILLO P/PULIR, PRESENTACION: UNIDAD, DESCARTABLE: NO</t>
  </si>
  <si>
    <t>2.9.5-5144.71</t>
  </si>
  <si>
    <t>INSTRUMENTAL ODONTOLOGICO; TIPO: PINZA P/ CONO DE GUTAPERCHA, DESCARTABLE: NO, PRESENTACION: UNIDAD</t>
  </si>
  <si>
    <t>2.9.5-5144.68</t>
  </si>
  <si>
    <t>INSTRUMENTAL ODONTOLOGICO; TIPO: FRESON DE ACERO, DESCARTABLE: NO, PRESENTACION: UNIDAD</t>
  </si>
  <si>
    <t>2.9.5-5144.64</t>
  </si>
  <si>
    <t>INSTRUMENTAL ODONTOLOGICO; TIPO: TURBINA DE ALTA PRECISION, PRESENTACION: UNIDAD, DESCARTABLE: NO</t>
  </si>
  <si>
    <t>2.9.5-5144.62</t>
  </si>
  <si>
    <t>INSTRUMENTAL ODONTOLOGICO; DESCARTABLE: NO, PRESENTACION: UNIDAD, TIPO: PIEZA DE MANO RECTA P/MICROCIR</t>
  </si>
  <si>
    <t>2.9.5-5144.61</t>
  </si>
  <si>
    <t>INSTRUMENTAL ODONTOLOGICO; TIPO: DISCO P/ PULIR, DESCARTABLE: NO, PRESENTACION: UNIDAD</t>
  </si>
  <si>
    <t>2.9.5-5144.59</t>
  </si>
  <si>
    <t>INSTRUMENTAL ODONTOLOGICO; DESCARTABLE: NO, PRESENTACION: UNIDAD, TIPO: SACABANDAS P/MOLARES</t>
  </si>
  <si>
    <t>2.9.5-5144.57</t>
  </si>
  <si>
    <t>INSTRUMENTAL ODONTOLOGICO; TIPO: BROCHITA P/ LIMPIEZA, PRESENTACION: UNIDAD, DESCARTABLE: SI</t>
  </si>
  <si>
    <t>2.9.5-5144.53</t>
  </si>
  <si>
    <t>INSTRUMENTAL ODONTOLOGICO; TIPO: PINCEL P/ ADHESIVO, DESCARTABLE: LAS PUNTAS, PRESENTACION: ENVASE X 100 UN</t>
  </si>
  <si>
    <t>2.9.5-5144.52</t>
  </si>
  <si>
    <t>INSTRUMENTAL ODONTOLOGICO; TIPO: ABREBOCA, DESCARTABLE: NO, PRESENTACION: CAJA X 2 UN</t>
  </si>
  <si>
    <t>2.9.5-5144.51</t>
  </si>
  <si>
    <t>INSTRUMENTAL ODONTOLOGICO; TIPO: GOMAS BLANCAS P/PULIDO, DESCARTABLE: NO, PRESENTACION: UNIDAD</t>
  </si>
  <si>
    <t>2.9.5-5144.50</t>
  </si>
  <si>
    <t>INSTRUMENTAL ODONTOLOGICO; TIPO: GOMAS P/PULIDO, DESCARTABLE: NO, PRESENTACION: UNIDAD</t>
  </si>
  <si>
    <t>2.9.5-5144.49</t>
  </si>
  <si>
    <t>INSTRUMENTAL ODONTOLOGICO; TIPO: MARTILLO P/CIRUGIA, DESCARTABLE: NO, PRESENTACION: UNIDAD</t>
  </si>
  <si>
    <t>2.9.5-5144.48</t>
  </si>
  <si>
    <t>INSTRUMENTAL ODONTOLOGICO; TIPO: SINDESMOTOMO RECTO, DESCARTABLE: SIN VALOR, PRESENTACION: SIN VALOR</t>
  </si>
  <si>
    <t>2.9.5-5144.45</t>
  </si>
  <si>
    <t>INSTRUMENTAL ODONTOLOGICO; TIPO: TORNO COLGANTE C/PEDAL, DESCARTABLE: NO, PRESENTACION: UNIDAD</t>
  </si>
  <si>
    <t>2.9.5-5144.44</t>
  </si>
  <si>
    <t>INSTRUMENTAL ODONTOLOGICO; TIPO: PORTA FRESA, PRESENTACION: UNIDAD, DESCARTABLE: NO</t>
  </si>
  <si>
    <t>2.9.5-5144.43</t>
  </si>
  <si>
    <t>INSTRUMENTAL ODONTOLOGICO; DESCARTABLE: NO, PRESENTACION: UNIDAD, TIPO: PORTA ALGODON</t>
  </si>
  <si>
    <t>2.9.5-5144.42</t>
  </si>
  <si>
    <t>INSTRUMENTAL ODONTOLOGICO; TIPO: BANDEJA PARA EL INSTRUMENTAL, DESCARTABLE: NO, PRESENTACION: UNIDAD</t>
  </si>
  <si>
    <t>2.9.5-5144.40</t>
  </si>
  <si>
    <t>INSTRUMENTAL ODONTOLOGICO; TIPO: ESPACIADOR P/CONOS GUTA-PERCHA, DESCARTABLE: NO, PRESENTACION: UNIDAD</t>
  </si>
  <si>
    <t>2.9.5-5144.39</t>
  </si>
  <si>
    <t>INSTRUMENTAL ODONTOLOGICO; TIPO: ATACADOR P/CONOS GUTA-PERCHA, PRESENTACION: UNIDAD, DESCARTABLE: NO</t>
  </si>
  <si>
    <t>2.9.5-5144.38</t>
  </si>
  <si>
    <t>INSTRUMENTAL ODONTOLOGICO; TIPO: ESPATULA LECRON, DESCARTABLE: NO, PRESENTACION: UNIDAD</t>
  </si>
  <si>
    <t>2.9.5-5144.35</t>
  </si>
  <si>
    <t>INSTRUMENTAL ODONTOLOGICO; TIPO: ALICATE UNIVERSAL, DESCARTABLE: NO, PRESENTACION: UNIDAD</t>
  </si>
  <si>
    <t>2.9.5-5144.31</t>
  </si>
  <si>
    <t>INSTRUMENTAL ODONTOLOGICO; TIPO: PORTA AGUJAS, DESCARTABLE: NO, PRESENTACION: UNIDAD</t>
  </si>
  <si>
    <t>2.9.5-5144.30</t>
  </si>
  <si>
    <t>INSTRUMENTAL ODONTOLOGICO; TIPO: CURETA DOBLE P/HUESO, DESCARTABLE: NO, PRESENTACION: UNIDAD</t>
  </si>
  <si>
    <t>2.9.5-5144.28</t>
  </si>
  <si>
    <t>INSTRUMENTAL ODONTOLOGICO; TIPO: LIMA PARA HUESO DOBLE, DESCARTABLE: NO, PRESENTACION: UNIDAD</t>
  </si>
  <si>
    <t>2.9.5-5144.27</t>
  </si>
  <si>
    <t>INSTRUMENTAL ODONTOLOGICO; TIPO: SINDESMOTOMO CURVO, DESCARTABLE: NO, PRESENTACION: UNIDAD</t>
  </si>
  <si>
    <t>2.9.5-5144.24</t>
  </si>
  <si>
    <t>INSTRUMENTAL ODONTOLOGICO; TIPO: ESPATULA PARA GUTTA, DESCARTABLE: NO, PRESENTACION: UNIDAD</t>
  </si>
  <si>
    <t>2.9.5-5144.20</t>
  </si>
  <si>
    <t>INSTRUMENTAL ODONTOLOGICO; DESCARTABLE: NO, PRESENTACION: UNIDAD, TIPO: ESPATULA P/CEMENTO DOBLE</t>
  </si>
  <si>
    <t>2.9.5-5144.13</t>
  </si>
  <si>
    <t>INSTRUMENTAL ODONTOLOGICO; TIPO: CURETA DE GRACEY, DESCARTABLE: NO, PRESENTACION: UNIDAD</t>
  </si>
  <si>
    <t>2.9.5-5144.12</t>
  </si>
  <si>
    <t>INSTRUMENTAL ODONTOLOGICO; TIPO: JERINGAS TIPO CARPULE, PRESENTACION: UNIDAD, DESCARTABLE: NO</t>
  </si>
  <si>
    <t>2.9.5-5144.10</t>
  </si>
  <si>
    <t>INSTRUMENTAL ODONTOLOGICO; TIPO: MANGO PARA ESPEJO BUCAL, PRESENTACION: UNIDAD, DESCARTABLE: NO</t>
  </si>
  <si>
    <t>2.9.5-5144.9</t>
  </si>
  <si>
    <t>INSTRUMENTAL ODONTOLOGICO; TIPO: PINZA DE ALGODON, DESCARTABLE: NO, PRESENTACION: UNIDAD</t>
  </si>
  <si>
    <t>2.9.5-5144.8</t>
  </si>
  <si>
    <t>INSTRUMENTAL ODONTOLOGICO; DESCARTABLE: NO, PRESENTACION: UNIDAD, TIPO: EXPLORADOR CURVO P/EXAMEN BUCA</t>
  </si>
  <si>
    <t>2.9.5-5144.7</t>
  </si>
  <si>
    <t>INSTRUMENTAL ODONTOLOGICO; TIPO: PIEZA DE MANO PARA MICROMOTOR, DESCARTABLE: NO, PRESENTACION: UNIDAD</t>
  </si>
  <si>
    <t>2.9.5-5144.6</t>
  </si>
  <si>
    <t>INSTRUMENTAL ODONTOLOGICO; TIPO: MICROMOTOR, DESCARTABLE: NO, PRESENTACION: UNIDAD</t>
  </si>
  <si>
    <t>2.9.5-5144.5</t>
  </si>
  <si>
    <t>INSTRUMENTAL ODONTOLOGICO; TIPO: TURBINA A RULEMANES, DESCARTABLE: NO, PRESENTACION: UNIDAD</t>
  </si>
  <si>
    <t>2.9.5-5144.4</t>
  </si>
  <si>
    <t>CERAS ROSAS P/ODONTOLOGIA; MATERIAL: UTILITY EN PLANCHA, USO: ODONTOLOGICO, PRESENTACION: 1 Kg</t>
  </si>
  <si>
    <t>2.9.5-4389.9</t>
  </si>
  <si>
    <t>CERAS ROSAS P/ODONTOLOGIA; MATERIAL: BASE INVIERNO, USO: ODONTOLOGICO, PRESENTACION: CAJA X 1000 GR</t>
  </si>
  <si>
    <t>2.9.5-4389.7</t>
  </si>
  <si>
    <t>CERAS ROSAS P/ODONTOLOGIA; MATERIAL: BASE VERANO, USO: ODONTOLOGICO, PRESENTACION: CAJA X 1000 GR</t>
  </si>
  <si>
    <t>2.9.5-4389.6</t>
  </si>
  <si>
    <t>FORCEPS P/MICROCIRUGIAS; USO: ODONTOLOGIA, TIPO: EXTRACCION, MATERIAL: ACERO QUIRURGICO</t>
  </si>
  <si>
    <t>2.9.5-6637.10</t>
  </si>
  <si>
    <t>PINZAS P/MEDICINA; USO: ODONTOLOGICO, TIPO: PORTA CLAMPS, MEDIDA: 20 Cm</t>
  </si>
  <si>
    <t>2.9.5-5769.55</t>
  </si>
  <si>
    <t>PINZAS P/MEDICINA; USO: ODONTOLOGICO, TIPO: GUBIA, MEDIDA: 20 Cm</t>
  </si>
  <si>
    <t>2.9.5-5769.37</t>
  </si>
  <si>
    <t>MANGOS DE BISTURI; TIPO: MANGO DE BISTURI, USO: ODONTOLOGICO, CUERPO: 147 dBV/mPa , CAMBIAR HOJAS: SI, NUMERO: 15, MATERIAL DEL CUERPO: 147 dBV/mPa , MATERIAL: METAL</t>
  </si>
  <si>
    <t>2.9.5-5627.4</t>
  </si>
  <si>
    <t>TIRAS P/ODONTOLOGIA; USO: PULIR, PRESENTACION: ENVASE X 100 UN</t>
  </si>
  <si>
    <t>2.9.5-5515.1</t>
  </si>
  <si>
    <t>PASTAS P/ODONTOLOGIA; USO: OBTURACION, TIPO: GUTAPERCHA, PRESENTACION: ENVASE X 25 GR</t>
  </si>
  <si>
    <t>2.9.5-5514.22</t>
  </si>
  <si>
    <t>PASTAS P/ODONTOLOGIA; PRESENTACION: JERINGA, USO: SELLADOR, TIPO: COMPOMERO</t>
  </si>
  <si>
    <t>2.9.5-5514.10</t>
  </si>
  <si>
    <t>PALILLOS P/ODONTOLOGIA; MATERIAL : MADERA, USO: SEPARAR DIENTES, SECCION: SIN VALOR, PRESENTACION: CAJA X 100 UN, MATERIAL: MADERA</t>
  </si>
  <si>
    <t>2.9.5-5513.3</t>
  </si>
  <si>
    <t>PALILLOS P/ODONTOLOGIA; MATERIAL : MADERA, USO: RECONSTRUCCIONES DENTARIAS, SECCION: SIN VALOR, PRESENTACION: CAJA X 100 UN, MATERIAL: MADERA</t>
  </si>
  <si>
    <t>2.9.5-5513.2</t>
  </si>
  <si>
    <t>CADENAS P/BABEROS; MATERIAL : 147 dBV/mPa , USO: ODONTOLOGIA, MATERIAL: METAL</t>
  </si>
  <si>
    <t>2.9.5-5507.2</t>
  </si>
  <si>
    <t>TOALLITAS P/ODONTOLOGIA; TIPO: DESCONTAMINANTE DE SUPERFICIE, PRESENTACION: ENVASE X 170 UN</t>
  </si>
  <si>
    <t>2.9.5-5506.2</t>
  </si>
  <si>
    <t>TOALLITAS P/ODONTOLOGIA; TIPO: ANTISEPTICAS, PRESENTACION: ENVASE X 60 UN</t>
  </si>
  <si>
    <t>2.9.5-5506.1</t>
  </si>
  <si>
    <t>PELICULAS RADIOGRAFICAS; USO: ODONTOLOGICO PERIAPICAL NIÑOS, PRESENTACION: ENVASE X 100 UN</t>
  </si>
  <si>
    <t>2.9.5-4684.16</t>
  </si>
  <si>
    <t>ACIDO GRABADOR ODONTOLOG.; ESTADO: GEL, PRESENTACION: JERINGA X 12 GR, CAPACIDAD: 12 GR</t>
  </si>
  <si>
    <t>2.5.2-3204.13</t>
  </si>
  <si>
    <t>FORCEPS P/EXTRACCION; MATERIAL: ACERO INOXIDABLE, TIPO: ODONTOLOGICO, USO: ODONTOLOGICO</t>
  </si>
  <si>
    <t>2.9.5-2958.2</t>
  </si>
  <si>
    <t>FRESAS P/ODONTOLOGIA; MATERIAL: PIEDRA DE DIAMANTE, NUMERO: 1/4, LARGO: STANDAR, TIPO: REDONDA FG</t>
  </si>
  <si>
    <t>2.9.5-2567.241</t>
  </si>
  <si>
    <t>FRESAS P/ODONTOLOGIA; MATERIAL: PIEDRA DE DIAMANTE, NUMERO: 1/2, LARGO: STANDAR, TIPO: REDONDA FG</t>
  </si>
  <si>
    <t>2.9.5-2567.240</t>
  </si>
  <si>
    <t>FRESAS P/ODONTOLOGIA; MATERIAL: PIEDRA DE DIAMANTE, NUMERO: SIN, LARGO: STANDAR, TIPO: CILINDRICA FG</t>
  </si>
  <si>
    <t>2.9.5-2567.239</t>
  </si>
  <si>
    <t>FRESAS P/ODONTOLOGIA; MATERIAL: ACERO INOXIDABLE, NUMERO: 4, LARGO: 22 mm, TIPO: CIRUGIA P/EXTRACCIONES</t>
  </si>
  <si>
    <t>2.9.5-2567.238</t>
  </si>
  <si>
    <t>FRESAS P/ODONTOLOGIA; MATERIAL: ACERO INOXIDABLE, NUMERO: 6, LARGO: 25 mm, TIPO: CIRUGIA FG MD</t>
  </si>
  <si>
    <t>2.9.5-2567.237</t>
  </si>
  <si>
    <t>FRESAS P/ODONTOLOGIA; MATERIAL: CARBURO DE TUNGSTENO, NUMERO: 801, LARGO: 19 mm, TIPO: REDONDA MEDIANA</t>
  </si>
  <si>
    <t>2.9.5-2567.236</t>
  </si>
  <si>
    <t>FRESAS P/ODONTOLOGIA; MATERIAL: ACERO INOXIDABLE, NUMERO: SIN, LARGO: LARGA, TIPO: PIMPOLLA P/TURBINA</t>
  </si>
  <si>
    <t>2.9.5-2567.235</t>
  </si>
  <si>
    <t>FRESAS P/ODONTOLOGIA; MATERIAL: CARBURO DE TUNGSTENO, NUMERO: FG 2-1-331, LARGO: 19 mm, TIPO: CILINDRICA</t>
  </si>
  <si>
    <t>2.9.5-2567.234</t>
  </si>
  <si>
    <t>FRESAS P/ODONTOLOGIA; MATERIAL: CARBURO, NUMERO: 120 X 157, LARGO: EXTRA LARGA, TIPO: CILINDRICA</t>
  </si>
  <si>
    <t>2.9.5-2567.233</t>
  </si>
  <si>
    <t>FRESAS P/ODONTOLOGIA; MATERIAL: ACERO INOXIDABLE, NUMERO: 3, LARGO: 32 mm, TIPO: PEESO</t>
  </si>
  <si>
    <t>2.9.5-2567.232</t>
  </si>
  <si>
    <t>FRESAS P/ODONTOLOGIA; MATERIAL: ACERO INOXIDABLE, NUMERO: 2, LARGO: 32 mm, TIPO: PEESO</t>
  </si>
  <si>
    <t>2.9.5-2567.231</t>
  </si>
  <si>
    <t>FRESAS P/ODONTOLOGIA; MATERIAL: ACERO INOXIDABLE, NUMERO: 1, LARGO: 32 mm, TIPO: PEESO</t>
  </si>
  <si>
    <t>2.9.5-2567.230</t>
  </si>
  <si>
    <t>FRESAS P/ODONTOLOGIA; MATERIAL: PIEDRA DE DIAMANTE, NUMERO: SIN, LARGO: STANDAR, TIPO: TRONCOCON LARG GRUES FG</t>
  </si>
  <si>
    <t>2.9.5-2567.217</t>
  </si>
  <si>
    <t>FRESAS P/ODONTOLOGIA; MATERIAL: PIEDRA DE DIAMANTE, NUMERO: 8, LARGO: STANDAR, TIPO: REDONDA FG</t>
  </si>
  <si>
    <t>2.9.5-2567.215</t>
  </si>
  <si>
    <t>FRESAS P/ODONTOLOGIA; MATERIAL: ACERO INOXIDABLE, NUMERO: 4, LARGO: 32 mm, TIPO: GATES</t>
  </si>
  <si>
    <t>2.9.5-2567.205</t>
  </si>
  <si>
    <t>FRESAS P/ODONTOLOGIA; MATERIAL: ACERO INOXIDABLE, NUMERO: 3, LARGO: 32 mm, TIPO: GATES</t>
  </si>
  <si>
    <t>2.9.5-2567.204</t>
  </si>
  <si>
    <t>FRESAS P/ODONTOLOGIA; MATERIAL: ACERO INOXIDABLE, NUMERO: 2, LARGO: 32 mm, TIPO: GATES</t>
  </si>
  <si>
    <t>2.9.5-2567.203</t>
  </si>
  <si>
    <t>FRESAS P/ODONTOLOGIA; MATERIAL: ACERO INOXIDABLE, NUMERO: 1, LARGO: 32 mm, TIPO: GATES</t>
  </si>
  <si>
    <t>2.9.5-2567.202</t>
  </si>
  <si>
    <t>FRESAS P/ODONTOLOGIA; MATERIAL: PIEDRA DE DIAMANTE, NUMERO: SIN, LARGO: STANDAR, TIPO: AGUJA GRANO ULTRA FINO FG</t>
  </si>
  <si>
    <t>2.9.5-2567.201</t>
  </si>
  <si>
    <t>FRESAS P/ODONTOLOGIA; MATERIAL: PIEDRA DE DIAMANTE, NUMERO: SIN, LARGO: STANDAR, TIPO: AGUJA GRANO FINO FG</t>
  </si>
  <si>
    <t>2.9.5-2567.200</t>
  </si>
  <si>
    <t>FRESAS P/ODONTOLOGIA; MATERIAL: PIEDRA DE DIAMANTE, NUMERO: SIN, LARGO: STANDAR, TIPO: TRONCOC CORTA GR ULTRA FINO FG</t>
  </si>
  <si>
    <t>2.9.5-2567.199</t>
  </si>
  <si>
    <t>FRESAS P/ODONTOLOGIA; MATERIAL: PIEDRA DE DIAMANTE, NUMERO: SIN, LARGO: STANDAR, TIPO: TRONCOC LARGA GR ULTRA FINO FG</t>
  </si>
  <si>
    <t>2.9.5-2567.197</t>
  </si>
  <si>
    <t>FRESAS P/ODONTOLOGIA; MATERIAL: PIEDRA DE DIAMANTE, NUMERO: 34, LARGO: STANDAR, TIPO: CONO INVERTIDO FG</t>
  </si>
  <si>
    <t>2.9.5-2567.193</t>
  </si>
  <si>
    <t>FRESAS P/ODONTOLOGIA; MATERIAL: PIEDRA DE DIAMANTE, NUMERO: 35, LARGO: STANDAR, TIPO: CONO INVERTIDO FG</t>
  </si>
  <si>
    <t>2.9.5-2567.192</t>
  </si>
  <si>
    <t>FRESAS P/ODONTOLOGIA; MATERIAL: PIEDRA DE DIAMANTE, NUMERO: 36, LARGO: STANDAR, TIPO: CONO INVERTIDO FG</t>
  </si>
  <si>
    <t>2.9.5-2567.191</t>
  </si>
  <si>
    <t>FRESAS P/ODONTOLOGIA; MATERIAL: PIEDRA DE DIAMANTE, NUMERO: 37, LARGO: STANDAR, TIPO: CONO INVERTIDO FG</t>
  </si>
  <si>
    <t>2.9.5-2567.190</t>
  </si>
  <si>
    <t>FRESAS P/ODONTOLOGIA; MATERIAL: PIEDRA DE DIAMANTE, NUMERO: 171 L, LARGO: STANDAR, TIPO: TRONCOCONICA FG</t>
  </si>
  <si>
    <t>2.9.5-2567.171</t>
  </si>
  <si>
    <t>FRESAS P/ODONTOLOGIA; MATERIAL: PIEDRA DE DIAMANTE, NUMERO: 171, LARGO: STANDAR, TIPO: TRONCOCONICA FG</t>
  </si>
  <si>
    <t>2.9.5-2567.170</t>
  </si>
  <si>
    <t>FRESAS P/ODONTOLOGIA; MATERIAL: PIEDRA DE DIAMANTE, NUMERO: 170, LARGO: STANDAR, TIPO: TRONCOCONICA FG</t>
  </si>
  <si>
    <t>2.9.5-2567.169</t>
  </si>
  <si>
    <t>FRESAS P/ODONTOLOGIA; MATERIAL: PIEDRA DE DIAMANTE, NUMERO: 6, LARGO: STANDAR, TIPO: REDONDA FG</t>
  </si>
  <si>
    <t>2.9.5-2567.165</t>
  </si>
  <si>
    <t>FRESAS P/ODONTOLOGIA; MATERIAL: PIEDRA DE DIAMANTE, NUMERO: 5, LARGO: STANDAR, TIPO: REDONDA FG</t>
  </si>
  <si>
    <t>2.9.5-2567.164</t>
  </si>
  <si>
    <t>FRESAS P/ODONTOLOGIA; MATERIAL: PIEDRA DE DIAMANTE, NUMERO: 4, LARGO: STANDAR, TIPO: REDONDA FG</t>
  </si>
  <si>
    <t>2.9.5-2567.163</t>
  </si>
  <si>
    <t>FRESAS P/ODONTOLOGIA; MATERIAL: PIEDRA DE DIAMANTE, NUMERO: 3, LARGO: STANDAR, TIPO: REDONDA FG</t>
  </si>
  <si>
    <t>2.9.5-2567.162</t>
  </si>
  <si>
    <t>FRESAS P/ODONTOLOGIA; MATERIAL: PIEDRA DE DIAMANTE, NUMERO: 2, LARGO: STANDAR, TIPO: REDONDA FG</t>
  </si>
  <si>
    <t>2.9.5-2567.161</t>
  </si>
  <si>
    <t>FRESAS P/ODONTOLOGIA; MATERIAL: PIEDRA DE DIAMANTE, NUMERO: 1, LARGO: STANDAR, TIPO: REDONDA FG</t>
  </si>
  <si>
    <t>2.9.5-2567.160</t>
  </si>
  <si>
    <t>FRESAS P/ODONTOLOGIA; MATERIAL: CARBURO TUNGSTENO, NUMERO: 8, LARGO: EXTRA LARGA, TIPO: REDONDA CONTRAANGULO P/CIRUGIA</t>
  </si>
  <si>
    <t>2.9.5-2567.151</t>
  </si>
  <si>
    <t>FRESAS P/ODONTOLOGIA; MATERIAL: CARBURO DE TUNGSTENO, NUMERO: SIN, LARGO: EXTRA LARGA, TIPO: CILINDRICA FG P/ CIRUGIA</t>
  </si>
  <si>
    <t>2.9.5-2567.130</t>
  </si>
  <si>
    <t>FRESAS P/ODONTOLOGIA; MATERIAL: CARBURO DE TUNGSTENO, NUMERO: 1, LARGO: STANDAR, TIPO: REDONDA CONTRAANGULO</t>
  </si>
  <si>
    <t>2.9.5-2567.125</t>
  </si>
  <si>
    <t>FRESAS P/ODONTOLOGIA; MATERIAL: CARBURO DE TUNGSTENO, NUMERO: 2, LARGO: STANDAR, TIPO: REDONDA CONTRAANGULO</t>
  </si>
  <si>
    <t>2.9.5-2567.124</t>
  </si>
  <si>
    <t>FRESAS P/ODONTOLOGIA; MATERIAL: CARBURO DE TUNGSTENO, NUMERO: 3, LARGO: STANDAR, TIPO: REDONDA CONTRAANGULO</t>
  </si>
  <si>
    <t>2.9.5-2567.123</t>
  </si>
  <si>
    <t>FRESAS P/ODONTOLOGIA; MATERIAL: CARBURO DE TUNGSTENO, NUMERO: 4, LARGO: STANDAR, TIPO: REDONDA CONTRAANGULO</t>
  </si>
  <si>
    <t>2.9.5-2567.122</t>
  </si>
  <si>
    <t>FRESAS P/ODONTOLOGIA; MATERIAL: CARBURO DE TUNGSTENO, NUMERO: 5, LARGO: STANDAR, TIPO: REDONDA CONTRAANGULO</t>
  </si>
  <si>
    <t>2.9.5-2567.121</t>
  </si>
  <si>
    <t>FRESAS P/ODONTOLOGIA; MATERIAL: CARBURO DE TUNGSTENO, NUMERO: 6, LARGO: STANDAR, TIPO: REDONDA CONTRAANGULO</t>
  </si>
  <si>
    <t>2.9.5-2567.120</t>
  </si>
  <si>
    <t>FRESAS P/ODONTOLOGIA; MATERIAL: CARBURO DE TUNGSTENO, NUMERO: 7, LARGO: STANDAR, TIPO: REDONDA CONTRAANGULO</t>
  </si>
  <si>
    <t>2.9.5-2567.119</t>
  </si>
  <si>
    <t>FRESAS P/ODONTOLOGIA; MATERIAL: CARBURO DE TUNGSTENO, NUMERO: 8, LARGO: STANDAR, TIPO: REDONDA CONTRAANGULO</t>
  </si>
  <si>
    <t>2.9.5-2567.118</t>
  </si>
  <si>
    <t>FRESAS P/ODONTOLOGIA; MATERIAL: CARBURO DE TUNGSTENO, NUMERO: 56, LARGO: STANDAR, TIPO: CILINDRICA CONTRAANGULO</t>
  </si>
  <si>
    <t>2.9.5-2567.117</t>
  </si>
  <si>
    <t>FRESAS P/ODONTOLOGIA; MATERIAL: CARBURO DE TUNGSTENO, NUMERO: 57, LARGO: STANDAR, TIPO: CILINDRICA CONTRAANGULO</t>
  </si>
  <si>
    <t>2.9.5-2567.116</t>
  </si>
  <si>
    <t>FRESAS P/ODONTOLOGIA; MATERIAL: CARBURO DE TUNGSTENO, NUMERO: 58, LARGO: STANDAR, TIPO: CILINDRICA CONTRAANGULO</t>
  </si>
  <si>
    <t>2.9.5-2567.115</t>
  </si>
  <si>
    <t>FRESAS P/ODONTOLOGIA; MATERIAL: ACERO INOXIDABLE, Nº: 701L, LARGO: MEDIANA, TIPO: TRONCOCONICA, NUMERO: 701L</t>
  </si>
  <si>
    <t>2.9.5-2567.101</t>
  </si>
  <si>
    <t>FRESAS P/ODONTOLOGIA; MATERIAL: ACERO INOXIDABLE, Nº: 703, LARGO: GRANDE, TIPO: TRONCOCONICA, NUMERO: 703</t>
  </si>
  <si>
    <t>2.9.5-2567.100</t>
  </si>
  <si>
    <t>FRESAS P/ODONTOLOGIA; MATERIAL: ACERO INOXIDABLE, Nº: 6991, LARGO: CHICA, TIPO: TRONCOCONICA, NUMERO: 6991</t>
  </si>
  <si>
    <t>2.9.5-2567.99</t>
  </si>
  <si>
    <t>FRESAS P/ODONTOLOGIA; MATERIAL: CARBURO DE TUNGSTENO, Nº: 1, LARGO: 20 mm, TIPO: REDONDA, NUMERO: 1</t>
  </si>
  <si>
    <t>2.9.5-2567.74</t>
  </si>
  <si>
    <t>FRESAS P/ODONTOLOGIA; MATERIAL: CARBURO DE TUNGSTENO, Nº: 6, LARGO: 20 mm, TIPO: REDONDA, NUMERO: 6</t>
  </si>
  <si>
    <t>2.9.5-2567.73</t>
  </si>
  <si>
    <t>FRESAS P/ODONTOLOGIA; MATERIAL: CARBURO DE TUNGSTENO, Nº: 4, LARGO: 20 mm, TIPO: REDONDA, NUMERO: 4</t>
  </si>
  <si>
    <t>2.9.5-2567.72</t>
  </si>
  <si>
    <t>FRESAS P/ODONTOLOGIA; MATERIAL: CARBURO DE TUNGSTENO, Nº: 2, LARGO: 20 mm, TIPO: REDONDA, NUMERO: 2</t>
  </si>
  <si>
    <t>2.9.5-2567.71</t>
  </si>
  <si>
    <t>FRESAS P/ODONTOLOGIA; MATERIAL: CARBURO DE TUNGSTENO, Nº: 37, LARGO: 20 mm, TIPO: CONO INVERTIDO, NUMERO: 37</t>
  </si>
  <si>
    <t>2.9.5-2567.70</t>
  </si>
  <si>
    <t>FRESAS P/ODONTOLOGIA; MATERIAL: CARBURO DE TUNGSTENO, Nº: 33, LARGO: 20 mm, TIPO: CONO INVERTIDO, NUMERO: 33</t>
  </si>
  <si>
    <t>2.9.5-2567.69</t>
  </si>
  <si>
    <t>FRESAS P/ODONTOLOGIA; MATERIAL: CARBURO DE TUNGSTENO, Nº: 8, LARGO: 20 mm, TIPO: CILINDRICA, NUMERO: 8</t>
  </si>
  <si>
    <t>2.9.5-2567.65</t>
  </si>
  <si>
    <t>FRESAS P/ODONTOLOGIA; MATERIAL: CARBURO DE TUNGSTENO, Nº: 7, LARGO: 20 mm, TIPO: CILINDRICA, NUMERO: 7</t>
  </si>
  <si>
    <t>2.9.5-2567.64</t>
  </si>
  <si>
    <t>FRESAS P/ODONTOLOGIA; MATERIAL: CARBURO DE TUNGSTENO, Nº: 6, LARGO: 20 mm, TIPO: CILINDRICA, NUMERO: 6</t>
  </si>
  <si>
    <t>2.9.5-2567.63</t>
  </si>
  <si>
    <t>FRESAS P/ODONTOLOGIA; MATERIAL: CARBURO DE TUNGSTENO, Nº: 5, LARGO: 20 mm, TIPO: CILINDRICA, NUMERO: 5</t>
  </si>
  <si>
    <t>2.9.5-2567.62</t>
  </si>
  <si>
    <t>FRESAS P/ODONTOLOGIA; MATERIAL: CARBURO DE TUNGSTENO, Nº: 4, LARGO: 20 mm, TIPO: CILINDRICA, NUMERO: 4</t>
  </si>
  <si>
    <t>2.9.5-2567.61</t>
  </si>
  <si>
    <t>FRESAS P/ODONTOLOGIA; MATERIAL: CARBURO DE TUNGSTENO, Nº: 3, LARGO: 20 mm, TIPO: CILINDRICA, NUMERO: 3</t>
  </si>
  <si>
    <t>2.9.5-2567.60</t>
  </si>
  <si>
    <t>FRESAS P/ODONTOLOGIA; MATERIAL: CARBURO DE TUNGSTENO, Nº: 2, LARGO: 20 mm, TIPO: CILINDRICA, NUMERO: 2</t>
  </si>
  <si>
    <t>2.9.5-2567.59</t>
  </si>
  <si>
    <t>FRESAS P/ODONTOLOGIA; MATERIAL: CARBURO DE TUNGSTENO, Nº: 1, LARGO: 20 mm, TIPO: CILINDRICA, NUMERO: 1</t>
  </si>
  <si>
    <t>2.9.5-2567.58</t>
  </si>
  <si>
    <t>FRESAS P/ODONTOLOGIA; MATERIAL: CARBURO DE TUNGSTENO, Nº: 7613, LARGO: 20 mm, TIPO: TRONCOCONICA, NUMERO: 7613</t>
  </si>
  <si>
    <t>2.9.5-2567.52</t>
  </si>
  <si>
    <t>FRESAS P/ODONTOLOGIA; MATERIAL: CARBURO DE TUNGSTENO, Nº: 7809, LARGO: 20 mm, TIPO: TRONCOCONICA, NUMERO: 7809</t>
  </si>
  <si>
    <t>2.9.5-2567.51</t>
  </si>
  <si>
    <t>BLISTER</t>
  </si>
  <si>
    <t>LIMAS P/ODONTOLOGIA; MATERIAL: ACERO INOXIDABLE, NUMERO: 40, LARGO: 31 mm, TIPO: LISA</t>
  </si>
  <si>
    <t>2.9.5-2538.179</t>
  </si>
  <si>
    <t>LIMAS P/ODONTOLOGIA; MATERIAL: ACERO FLEXIBLE, NUMERO: 15 AL 40, LARGO: 31 mm, TIPO: LISA</t>
  </si>
  <si>
    <t>2.9.5-2538.178</t>
  </si>
  <si>
    <t>LIMAS P/ODONTOLOGIA; MATERIAL: ACERO INOXIDABLE, NUMERO: 45 AL 80, LARGO: 30 mm, TIPO: K</t>
  </si>
  <si>
    <t>2.9.5-2538.175</t>
  </si>
  <si>
    <t>LIMAS P/ODONTOLOGIA; MATERIAL: ACERO INOXIDABLE, NUMERO: 15 AL 40, LARGO: 30 mm, TIPO: K</t>
  </si>
  <si>
    <t>2.9.5-2538.174</t>
  </si>
  <si>
    <t>LIMAS P/ODONTOLOGIA; MATERIAL: ACERO INOXIDABLE, NUMERO: 45 AL 80, LARGO: 25 mm, TIPO: K</t>
  </si>
  <si>
    <t>2.9.5-2538.173</t>
  </si>
  <si>
    <t>LIMAS P/ODONTOLOGIA; MATERIAL: ACERO INOXIDABLE, NUMERO: 15 AL 40, LARGO: 25 mm, TIPO: K</t>
  </si>
  <si>
    <t>2.9.5-2538.172</t>
  </si>
  <si>
    <t>LIMAS P/ODONTOLOGIA; MATERIAL: ACERO INOXIDABLE, NUMERO: 45 AL 80, LARGO: 21 mm, TIPO: K</t>
  </si>
  <si>
    <t>2.9.5-2538.170</t>
  </si>
  <si>
    <t>LIMAS P/ODONTOLOGIA; MATERIAL: ACERO INOXIDABLE, NUMERO: 15 AL 40, LARGO: 21 mm, TIPO: K</t>
  </si>
  <si>
    <t>2.9.5-2538.169</t>
  </si>
  <si>
    <t>LIMAS P/ODONTOLOGIA; MATERIAL: ACERO INOXIDABLE, NUMERO: 45 AL 80, LARGO: 25 mm, TIPO: HEDSTROEM</t>
  </si>
  <si>
    <t>2.9.5-2538.167</t>
  </si>
  <si>
    <t>LIMAS P/ODONTOLOGIA; MATERIAL: ACERO INOXIDABLE, NUMERO: 15 AL 40, LARGO: 25 mm, TIPO: HEDSTROEM</t>
  </si>
  <si>
    <t>2.9.5-2538.166</t>
  </si>
  <si>
    <t>LIMAS P/ODONTOLOGIA; MATERIAL: ACERO INOXIDABLE, NUMERO: 45 AL 80, LARGO: 21 mm, TIPO: HEDSTROEM</t>
  </si>
  <si>
    <t>2.9.5-2538.165</t>
  </si>
  <si>
    <t>LIMAS P/ODONTOLOGIA; MATERIAL: ACERO INOXIDABLE, NUMERO: 15 AL 40, LARGO: 21 mm, TIPO: HEDSTROEM</t>
  </si>
  <si>
    <t>2.9.5-2538.164</t>
  </si>
  <si>
    <t>LIMAS P/ODONTOLOGIA; MATERIAL: CARBURO DE TUNGSTENO, NUMERO: 15/40, LARGO: 31 mm, TIPO: K</t>
  </si>
  <si>
    <t>2.9.5-2538.162</t>
  </si>
  <si>
    <t>LIMAS P/ODONTOLOGIA; MATERIAL: CARBURO DE TUNGSTENO, NUMERO: 45/80, LARGO: 25 mm, TIPO: K</t>
  </si>
  <si>
    <t>2.9.5-2538.161</t>
  </si>
  <si>
    <t>LIMAS P/ODONTOLOGIA; MATERIAL: CARBURO DE TUNGSTENO, NUMERO: 15 - 40, LARGO: 25 mm, TIPO: HEDSTRONG</t>
  </si>
  <si>
    <t>2.9.5-2538.143</t>
  </si>
  <si>
    <t>LIMAS P/ODONTOLOGIA; MATERIAL: ACERO INOXIDABLE, NUMERO: 40, LARGO: 21 Cm, TIPO: LISA</t>
  </si>
  <si>
    <t>2.9.5-2538.128</t>
  </si>
  <si>
    <t>LIMAS P/ODONTOLOGIA; MATERIAL: ACERO INOXIDABLE, NUMERO: 40, LARGO: 31 Cm, TIPO: LISA</t>
  </si>
  <si>
    <t>2.9.5-2538.127</t>
  </si>
  <si>
    <t>LIMAS P/ODONTOLOGIA; MATERIAL: ACERO INOXIDABLE, NUMERO: 15, LARGO: 31 Cm, TIPO: LISA</t>
  </si>
  <si>
    <t>2.9.5-2538.126</t>
  </si>
  <si>
    <t>LIMAS P/ODONTOLOGIA; MATERIAL: ACERO INOXIDABLE, NUMERO: 6, LARGO: 21 mm, TIPO: LISA</t>
  </si>
  <si>
    <t>2.9.5-2538.125</t>
  </si>
  <si>
    <t>LIMAS P/ODONTOLOGIA; MATERIAL: ACERO INOXIDABLE, NUMERO: 5, LARGO: 21 mm, TIPO: LISA</t>
  </si>
  <si>
    <t>2.9.5-2538.124</t>
  </si>
  <si>
    <t>LIMAS P/ODONTOLOGIA; MATERIAL: ACERO INOXIDABLE, NUMERO: 4, LARGO: 21 mm, TIPO: LISA</t>
  </si>
  <si>
    <t>2.9.5-2538.123</t>
  </si>
  <si>
    <t>LIMAS P/ODONTOLOGIA; MATERIAL: ACERO INOXIDABLE, NUMERO: 3, LARGO: 21 mm, TIPO: LISA</t>
  </si>
  <si>
    <t>2.9.5-2538.122</t>
  </si>
  <si>
    <t>LIMAS P/ODONTOLOGIA; MATERIAL: ACERO INOXIDABLE, NUMERO: 2, LARGO: 21 mm, TIPO: LISA</t>
  </si>
  <si>
    <t>2.9.5-2538.121</t>
  </si>
  <si>
    <t>LIMAS P/ODONTOLOGIA; MATERIAL: ACERO INOXIDABLE, NUMERO: 1, LARGO: 21 mm, TIPO: LISA</t>
  </si>
  <si>
    <t>2.9.5-2538.120</t>
  </si>
  <si>
    <t>LIMAS P/ODONTOLOGIA; MATERIAL: ACERO INOXIDABLE, NUMERO: 45, LARGO: 31 Cm, TIPO: LISA</t>
  </si>
  <si>
    <t>2.9.5-2538.119</t>
  </si>
  <si>
    <t>LIMAS P/ODONTOLOGIA; MATERIAL: ACERO INOXIDABLE, NUMERO: 80, LARGO: 31 Cm, TIPO: LISA</t>
  </si>
  <si>
    <t>2.9.5-2538.118</t>
  </si>
  <si>
    <t>LIMAS P/ODONTOLOGIA; MATERIAL: ACERO INOXIDABLE, NUMERO: 15, LARGO: 31 mm, TIPO: MAILLEFER</t>
  </si>
  <si>
    <t>2.9.5-2538.117</t>
  </si>
  <si>
    <t>LIMAS P/ODONTOLOGIA; MATERIAL: ACERO INOXIDABLE, NUMERO: 40, LARGO: 31 mm, TIPO: MAILLEFER</t>
  </si>
  <si>
    <t>2.9.5-2538.115</t>
  </si>
  <si>
    <t>LIMAS P/ODONTOLOGIA; MATERIAL: ACERO INOXIDABLE, NUMERO: 35, LARGO: 31 mm, TIPO: MAILLEFER</t>
  </si>
  <si>
    <t>2.9.5-2538.114</t>
  </si>
  <si>
    <t>LIMAS P/ODONTOLOGIA; MATERIAL: ACERO INOXIDABLE, NUMERO: 30, LARGO: 31 mm, TIPO: MAILLEFER</t>
  </si>
  <si>
    <t>2.9.5-2538.113</t>
  </si>
  <si>
    <t>LIMAS P/ODONTOLOGIA; MATERIAL: ACERO INOXIDABLE, NUMERO: 20, LARGO: 31 mm, TIPO: MAILLEFER</t>
  </si>
  <si>
    <t>2.9.5-2538.112</t>
  </si>
  <si>
    <t>LIMAS P/ODONTOLOGIA; MATERIAL: ACERO INOXIDABLE, NUMERO: 50, LARGO: 25 mm, TIPO: MAILLEFER</t>
  </si>
  <si>
    <t>2.9.5-2538.111</t>
  </si>
  <si>
    <t>LIMAS P/ODONTOLOGIA; MATERIAL: ACERO INOXIDABLE, NUMERO: 45, LARGO: 25 mm, TIPO: MAILLEFER</t>
  </si>
  <si>
    <t>2.9.5-2538.110</t>
  </si>
  <si>
    <t>LIMAS P/ODONTOLOGIA; MATERIAL: ACERO INOXIDABLE, NUMERO: 25, LARGO: 31 mm, TIPO: MAILLEFER</t>
  </si>
  <si>
    <t>2.9.5-2538.109</t>
  </si>
  <si>
    <t>LIMAS P/ODONTOLOGIA; NUMERO: 080, LARGO: 30 mm, TIPO: K, MATERIAL: ACERO INOXIDABLE</t>
  </si>
  <si>
    <t>2.9.5-2538.108</t>
  </si>
  <si>
    <t>LIMAS P/ODONTOLOGIA; MATERIAL: ACERO INOXIDABLE, NUMERO: 075, TIPO: K, LARGO: 30 mm</t>
  </si>
  <si>
    <t>2.9.5-2538.107</t>
  </si>
  <si>
    <t>LIMAS P/ODONTOLOGIA; MATERIAL: ACERO INOXIDABLE, NUMERO: 070, LARGO: 30 mm, TIPO: K</t>
  </si>
  <si>
    <t>2.9.5-2538.106</t>
  </si>
  <si>
    <t>LIMAS P/ODONTOLOGIA; MATERIAL: ACERO INOXIDABLE, NUMERO: 065, LARGO: 30 mm, TIPO: K</t>
  </si>
  <si>
    <t>2.9.5-2538.105</t>
  </si>
  <si>
    <t>LIMAS P/ODONTOLOGIA; MATERIAL: ACERO INOXIDABLE, NUMERO: 060, LARGO: 30 mm, TIPO: K</t>
  </si>
  <si>
    <t>2.9.5-2538.104</t>
  </si>
  <si>
    <t>LIMAS P/ODONTOLOGIA; MATERIAL: ACERO INOXIDABLE, NUMERO: 055, LARGO: 30 mm, TIPO: K</t>
  </si>
  <si>
    <t>2.9.5-2538.103</t>
  </si>
  <si>
    <t>LIMAS P/ODONTOLOGIA; MATERIAL: ACERO INOXIDABLE, NUMERO: 050, LARGO: 30 mm, TIPO: K</t>
  </si>
  <si>
    <t>2.9.5-2538.102</t>
  </si>
  <si>
    <t>LIMAS P/ODONTOLOGIA; MATERIAL: ACERO INOXIDABLE, NUMERO: 045, LARGO: 30 mm, TIPO: K</t>
  </si>
  <si>
    <t>2.9.5-2538.101</t>
  </si>
  <si>
    <t>LIMAS P/ODONTOLOGIA; MATERIAL: ACERO INOXIDABLE, NUMERO: 040, LARGO: 30 mm, TIPO: K</t>
  </si>
  <si>
    <t>2.9.5-2538.100</t>
  </si>
  <si>
    <t>LIMAS P/ODONTOLOGIA; MATERIAL: ACERO INOXIDABLE, NUMERO: 035, LARGO: 30 mm, TIPO: K</t>
  </si>
  <si>
    <t>2.9.5-2538.99</t>
  </si>
  <si>
    <t>LIMAS P/ODONTOLOGIA; MATERIAL: ACERO INOXIDABLE, NUMERO: 030, LARGO: 30 mm, TIPO: K</t>
  </si>
  <si>
    <t>2.9.5-2538.98</t>
  </si>
  <si>
    <t>LIMAS P/ODONTOLOGIA; MATERIAL: ACERO INOXIDABLE, NUMERO: 025, LARGO: 30 mm, TIPO: K</t>
  </si>
  <si>
    <t>2.9.5-2538.97</t>
  </si>
  <si>
    <t>LIMAS P/ODONTOLOGIA; MATERIAL: ACERO INOXIDABLE, NUMERO: 020, LARGO: 30 mm, TIPO: K</t>
  </si>
  <si>
    <t>2.9.5-2538.96</t>
  </si>
  <si>
    <t>LIMAS P/ODONTOLOGIA; MATERIAL: ACERO INOXIDABLE, NUMERO: 015, LARGO: 30 mm, TIPO: K</t>
  </si>
  <si>
    <t>2.9.5-2538.95</t>
  </si>
  <si>
    <t>LIMAS P/ODONTOLOGIA; MATERIAL: ACERO INOXIDABLE, NUMERO: 010, LARGO: 30 mm, TIPO: K</t>
  </si>
  <si>
    <t>2.9.5-2538.94</t>
  </si>
  <si>
    <t>LIMAS P/ODONTOLOGIA; NUMERO: 080, LARGO: 25 mm, MATERIAL: ACERO INOXIDABLE, TIPO: K</t>
  </si>
  <si>
    <t>2.9.5-2538.92</t>
  </si>
  <si>
    <t>LIMAS P/ODONTOLOGIA; NUMERO: 075, LARGO: 25 mm, TIPO: K, MATERIAL: ACERO INOXIDABLE</t>
  </si>
  <si>
    <t>2.9.5-2538.91</t>
  </si>
  <si>
    <t>LIMAS P/ODONTOLOGIA; NUMERO: 070, LARGO: 25 mm, TIPO: K, MATERIAL: ACERO INOXIDABLE</t>
  </si>
  <si>
    <t>2.9.5-2538.90</t>
  </si>
  <si>
    <t>LIMAS P/ODONTOLOGIA; NUMERO: 065, LARGO: 25 mm, TIPO: K, MATERIAL: ACERO INOXIDABLE</t>
  </si>
  <si>
    <t>2.9.5-2538.89</t>
  </si>
  <si>
    <t>LIMAS P/ODONTOLOGIA; MATERIAL: ACERO INOXIDABLE, LARGO: 25 mm, TIPO: K, NUMERO: 060</t>
  </si>
  <si>
    <t>2.9.5-2538.88</t>
  </si>
  <si>
    <t>LIMAS P/ODONTOLOGIA; NUMERO: 055, LARGO: 25 mm, MATERIAL: ACERO INOXIDABLE, TIPO: K</t>
  </si>
  <si>
    <t>2.9.5-2538.87</t>
  </si>
  <si>
    <t>LIMAS P/ODONTOLOGIA; MATERIAL: ACERO INOXIDABLE, NUMERO: 050, LARGO: 25 mm, TIPO: K</t>
  </si>
  <si>
    <t>2.9.5-2538.86</t>
  </si>
  <si>
    <t>LIMAS P/ODONTOLOGIA; MATERIAL: ACERO INOXIDABLE, NUMERO: 045, LARGO: 25 mm, TIPO: K</t>
  </si>
  <si>
    <t>2.9.5-2538.85</t>
  </si>
  <si>
    <t>LIMAS P/ODONTOLOGIA; MATERIAL: ACERO INOXIDABLE, NUMERO: 040, LARGO: 25 mm, TIPO: K X 6 UNIDADES</t>
  </si>
  <si>
    <t>2.9.5-2538.84</t>
  </si>
  <si>
    <t>LIMAS P/ODONTOLOGIA; MATERIAL: ACERO INOXIDABLE, NUMERO: 035, LARGO: 25 mm, TIPO: KX 6 UNIDADES</t>
  </si>
  <si>
    <t>2.9.5-2538.83</t>
  </si>
  <si>
    <t>LIMAS P/ODONTOLOGIA; MATERIAL: ACERO INOXIDABLE, NUMERO: 030, LARGO: 25 mm, TIPO: KX 6 UNIDADES</t>
  </si>
  <si>
    <t>2.9.5-2538.82</t>
  </si>
  <si>
    <t>LIMAS P/ODONTOLOGIA; MATERIAL: ACERO INOXIDABLE, NUMERO: 025, LARGO: 25 mm, TIPO: KX 6 UNIDADES</t>
  </si>
  <si>
    <t>2.9.5-2538.81</t>
  </si>
  <si>
    <t>LIMAS P/ODONTOLOGIA; MATERIAL: ACERO INOXIDABLE, NUMERO: 020, LARGO: 25 mm, TIPO: K X 6 UNIDADES</t>
  </si>
  <si>
    <t>2.9.5-2538.80</t>
  </si>
  <si>
    <t>LIMAS P/ODONTOLOGIA; MATERIAL: ACERO INOXIDABLE, NUMERO: 015, LARGO: 25 mm, TIPO: K X 6 UNIDADES</t>
  </si>
  <si>
    <t>2.9.5-2538.79</t>
  </si>
  <si>
    <t>LIMAS P/ODONTOLOGIA; MATERIAL: ACERO INOXIDABLE, NUMERO: 010, LARGO: 25 mm, TIPO: K X 6 UNIDADES</t>
  </si>
  <si>
    <t>2.9.5-2538.78</t>
  </si>
  <si>
    <t>LIMAS P/ODONTOLOGIA; MATERIAL: ACERO INOXIDABLE, NUMERO: 045, LARGO: 21 mm, TIPO: K X 6 UNIDADES</t>
  </si>
  <si>
    <t>2.9.5-2538.69</t>
  </si>
  <si>
    <t>LIMAS P/ODONTOLOGIA; MATERIAL: ACERO INOXIDABLE, NUMERO: 040, LARGO: 21 mm, TIPO: K X 6 UNIDADES</t>
  </si>
  <si>
    <t>2.9.5-2538.68</t>
  </si>
  <si>
    <t>LIMAS P/ODONTOLOGIA; MATERIAL: ACERO INOXIDABLE, NUMERO: 035, LARGO: 21 mm, TIPO: K X 6 UNIDADES</t>
  </si>
  <si>
    <t>2.9.5-2538.67</t>
  </si>
  <si>
    <t>LIMAS P/ODONTOLOGIA; MATERIAL: ACERO INOXIDABLE, NUMERO: 030, LARGO: 21 mm, TIPO: K X 6 UNIDADES</t>
  </si>
  <si>
    <t>2.9.5-2538.66</t>
  </si>
  <si>
    <t>LIMAS P/ODONTOLOGIA; MATERIAL: ACERO INOXIDABLE, NUMERO: 025, LARGO: 21 mm, TIPO: K X 6 UNIDADES</t>
  </si>
  <si>
    <t>2.9.5-2538.65</t>
  </si>
  <si>
    <t>LIMAS P/ODONTOLOGIA; NUMERO: 020, LARGO: 21 mm, TIPO: K, MATERIAL: ACERO INOXIDABLEX 6 UNIDADES</t>
  </si>
  <si>
    <t>2.9.5-2538.64</t>
  </si>
  <si>
    <t>LIMAS P/ODONTOLOGIA; NUMERO: 015, LARGO: 21 mm, TIPO: K, MATERIAL: ACERO INOXIDABLEX 6 UNIDADES</t>
  </si>
  <si>
    <t>2.9.5-2538.63</t>
  </si>
  <si>
    <t>LIMAS P/ODONTOLOGIA; MATERIAL: ACERO INOXIDABLE, NUMERO: 080, LARGO: 30 mm, TIPO: HEDSTROEM</t>
  </si>
  <si>
    <t>2.9.5-2538.60</t>
  </si>
  <si>
    <t>LIMAS P/ODONTOLOGIA; MATERIAL: ACERO INOXIDABLE, NUMERO: 075, LARGO: 30 mm, TIPO: HEDSTROEM</t>
  </si>
  <si>
    <t>2.9.5-2538.59</t>
  </si>
  <si>
    <t>LIMAS P/ODONTOLOGIA; MATERIAL: ACERO INOXIDABLE, NUMERO: 070, LARGO: 30 mm, TIPO: HEDSTROEM</t>
  </si>
  <si>
    <t>2.9.5-2538.58</t>
  </si>
  <si>
    <t>LIMAS P/ODONTOLOGIA; MATERIAL: ACERO INOXIDABLE, NUMERO: 065, LARGO: 30 mm, TIPO: HEDSTROEM</t>
  </si>
  <si>
    <t>2.9.5-2538.57</t>
  </si>
  <si>
    <t>LIMAS P/ODONTOLOGIA; MATERIAL: ACERO INOXIDABLE, NUMERO: 060, LARGO: 30 mm, TIPO: HEDSTROEM</t>
  </si>
  <si>
    <t>2.9.5-2538.56</t>
  </si>
  <si>
    <t>LIMAS P/ODONTOLOGIA; NUMERO: 055, LARGO: 30 mm, TIPO: HEDSTROEM, MATERIAL: ACERO INOXIDABLE</t>
  </si>
  <si>
    <t>2.9.5-2538.55</t>
  </si>
  <si>
    <t>LIMAS P/ODONTOLOGIA; MATERIAL: ACERO INOXIDABLE, LARGO: 30 mm, TIPO: HEDSTROEM, NUMERO: 050</t>
  </si>
  <si>
    <t>2.9.5-2538.54</t>
  </si>
  <si>
    <t>LIMAS P/ODONTOLOGIA; MATERIAL: ACERO INOXIDABLE, NUMERO: 045, TIPO: HEDSTROEM, LARGO: 30 mm</t>
  </si>
  <si>
    <t>2.9.5-2538.53</t>
  </si>
  <si>
    <t>LIMAS P/ODONTOLOGIA; MATERIAL: ACERO INOXIDABLE, NUMERO: 010, LARGO: 30 mm, TIPO: HEDSTROEM</t>
  </si>
  <si>
    <t>2.9.5-2538.30</t>
  </si>
  <si>
    <t>LIMAS P/ODONTOLOGIA; MATERIAL: ACERO INOXIDABLE, NUMERO: 08, LARGO: 30 mm, TIPO: HEDSTROEM</t>
  </si>
  <si>
    <t>2.9.5-2538.29</t>
  </si>
  <si>
    <t>LIMAS P/ODONTOLOGIA; MATERIAL: ACERO INOXIDABLE, NUMERO: 040, LARGO: 25 mm, TIPO: HEDSTROEM</t>
  </si>
  <si>
    <t>2.9.5-2538.28</t>
  </si>
  <si>
    <t>LIMAS P/ODONTOLOGIA; MATERIAL: ACERO INOXIDABLE, NUMERO: 035, LARGO: 25 mm, TIPO: HEDSTROEM</t>
  </si>
  <si>
    <t>2.9.5-2538.27</t>
  </si>
  <si>
    <t>LIMAS P/ODONTOLOGIA; MATERIAL: ACERO INOXIDABLE, NUMERO: 030, LARGO: 25 mm, TIPO: HEDSTROEM</t>
  </si>
  <si>
    <t>2.9.5-2538.26</t>
  </si>
  <si>
    <t>LIMAS P/ODONTOLOGIA; MATERIAL: ACERO INOXIDABLE, NUMERO: 025, LARGO: 25 mm, TIPO: HEDSTROEM</t>
  </si>
  <si>
    <t>2.9.5-2538.25</t>
  </si>
  <si>
    <t>LIMAS P/ODONTOLOGIA; MATERIAL: ACERO INOXIDABLE, NUMERO: 020, LARGO: 25 mm, TIPO: HEDSTROEM</t>
  </si>
  <si>
    <t>2.9.5-2538.24</t>
  </si>
  <si>
    <t>LIMAS P/ODONTOLOGIA; MATERIAL: ACERO INOXIDABLE, NUMERO: 015, LARGO: 25 mm, TIPO: HEDSTROEM</t>
  </si>
  <si>
    <t>2.9.5-2538.23</t>
  </si>
  <si>
    <t>LIMAS P/ODONTOLOGIA; MATERIAL: ACERO INOXIDABLE, NUMERO: 010, TIPO: HEDSTROEM, LARGO: 25 mm</t>
  </si>
  <si>
    <t>2.9.5-2538.22</t>
  </si>
  <si>
    <t>LIMAS P/ODONTOLOGIA; MATERIAL: ACERO INOXIDABLE, LARGO: 21 mm, TIPO: HEDSTROEM, NUMERO: 040</t>
  </si>
  <si>
    <t>2.9.5-2538.6</t>
  </si>
  <si>
    <t>LIMAS P/ODONTOLOGIA; MATERIAL: ACERO INOXIDABLE, NUMERO: 035, TIPO: HEDSTROEM, LARGO: 21 mm</t>
  </si>
  <si>
    <t>2.9.5-2538.5</t>
  </si>
  <si>
    <t>LIMAS P/ODONTOLOGIA; MATERIAL: ACERO INOXIDABLE, NUMERO: 030, LARGO: 21 mm, TIPO: HEDSTROEM</t>
  </si>
  <si>
    <t>2.9.5-2538.4</t>
  </si>
  <si>
    <t>LIMAS P/ODONTOLOGIA; MATERIAL: ACERO INOXIDABLE, NUMERO: 025, LARGO: 21 mm, TIPO: HEDSTROEM</t>
  </si>
  <si>
    <t>2.9.5-2538.3</t>
  </si>
  <si>
    <t>LIMAS P/ODONTOLOGIA; MATERIAL: ACERO INOXIDABLE, LARGO: 21 mm, TIPO: HEDSTROEM, NUMERO: 020</t>
  </si>
  <si>
    <t>2.9.5-2538.2</t>
  </si>
  <si>
    <t>LIMAS P/ODONTOLOGIA; MATERIAL: ACERO INOXIDABLE, NUMERO: 015, LARGO: 21 mm, TIPO: HEDSTROEM</t>
  </si>
  <si>
    <t>2.9.5-2538.1</t>
  </si>
  <si>
    <t>CORONAS ODONTOLOGICAS; MATERIAL: ACETATO, USO: DIENTES SUPERIORES -INFERIORES</t>
  </si>
  <si>
    <t>2.9.5-2468.1</t>
  </si>
  <si>
    <t>PINZAS DE CIRUGIA; TIPO: ODONTOLOGIA, MEDIDA: 15 Cm</t>
  </si>
  <si>
    <t>2.9.5-472.281</t>
  </si>
  <si>
    <t>CINTAS ADHESIVAS; ANCHO: 12 mm, LARGO ROLLO: 30 M, MATERIAL: CELOFAN, ACCESORIO: SIN VALOR, TIPO: TRANSPARENTE, LARGO: 30 M</t>
  </si>
  <si>
    <t>2.9.2-1153.4</t>
  </si>
  <si>
    <t>YESO EN POLVO; PRESENTACION: BOLSA, PESO: 25 Kg, USO: ODONTOLOGICO, TIPO: PIEDRA</t>
  </si>
  <si>
    <t>2.6.5-677.31</t>
  </si>
  <si>
    <t>YESO EN POLVO; PRESENTACION: BOLSA, PESO: 25 Kg, USO: ODONTOLOGICO, TIPO: TALLER</t>
  </si>
  <si>
    <t>2.6.5-677.30</t>
  </si>
  <si>
    <t>FIJADORES P/RADIOLOGIA; PROCESO DE UTILIZACION: MANUAL, PRESENTACION: BOTELLA, CAPACIDAD: 480 mL, SENSIBILIDAD: AL VERDE, PROCESO: MANUAL</t>
  </si>
  <si>
    <t>2.5.9-2401.5</t>
  </si>
  <si>
    <t>REVELADORES P/RADIOLOGIA; PRESENTACION: BOTELLA, CAPACIDAD: 480 mL, SENSIBILIDAD: AL VERDE, PROCESO: MANUAL, PROCESO DE UTILIZACION: MANUAL</t>
  </si>
  <si>
    <t>2.5.9-2402.6</t>
  </si>
  <si>
    <t>CERAS; TIPO: UTILITY EN LAMINAS, USO: ODONTOLOGICO, PRESENTACION: ENVASE X 1 Kg</t>
  </si>
  <si>
    <t>2.5.9-1687.12</t>
  </si>
  <si>
    <t>CERAS; TIPO: ROSA, USO: ODONTOLOGICO, CAPACIDAD: ENVASE X 1 Kg, PRESENTACION: ENVASE X 1 Kg</t>
  </si>
  <si>
    <t>2.5.9-1687.7</t>
  </si>
  <si>
    <t>PLACAS RADIOGRAFICAS; SENSIBILIDAD: AL VERDE, DIMENSION: P/ODONTOLOGIA X 150 UNIDADES</t>
  </si>
  <si>
    <t>2.5.9-945.28</t>
  </si>
  <si>
    <t>PLACAS RADIOGRAFICAS; SENSIBILIDAD: AL AZUL, DIMENSION: P/ODONTOLOGIA CAJA X 100 UNIDADES</t>
  </si>
  <si>
    <t>2.5.9-945.11</t>
  </si>
  <si>
    <t>SILICONAS; TIPO: P/ODONTOLOGIA (P/ADICION), PRESENTACION: AVIO X 96 mL</t>
  </si>
  <si>
    <t>2.5.9-4280.5</t>
  </si>
  <si>
    <t>SILICONAS; TIPO: P/ODONTOLOGIA (P/AUTOMEZCLADO), PRESENTACION: AVIO X 96 mL</t>
  </si>
  <si>
    <t>2.5.9-4280.4</t>
  </si>
  <si>
    <t>ACEITES LUBRICANTES; USO: TURBINA ODONTOLOGICA, PRESENTACION: 210 mL, NORMA: SAE 30</t>
  </si>
  <si>
    <t>2.5.6-7104.529</t>
  </si>
  <si>
    <t>COMPOSITE; COLOR: A3,5, POLIMERIZACION: FOTOPOLIMERIZACION, TAMAÑO PARTICULA: HIBRIDO, FORMA DE PRESENTACION: JERINGA, PRESENTACION: ENVASE X 4 GR</t>
  </si>
  <si>
    <t>2.5.2-9133.4</t>
  </si>
  <si>
    <t>COMPOSITE; COLOR: A3, POLIMERIZACION: FOTOPOLIMERIZACION, TAMAÑO PARTICULA: HIBRIDO, FORMA DE PRESENTACION: JERINGA, PRESENTACION: ENVASE X 4 GR</t>
  </si>
  <si>
    <t>2.5.2-9133.3</t>
  </si>
  <si>
    <t>COMPOSITE; COLOR: A2, POLIMERIZACION: FOTOPOLIMERIZACION, TAMAÑO PARTICULA: HIBRIDO, FORMA DE PRESENTACION: JERINGA, PRESENTACION: ENVASE X 4 GR</t>
  </si>
  <si>
    <t>2.5.2-9133.2</t>
  </si>
  <si>
    <t>COMPOSITE; COLOR: A1, POLIMERIZACION: FOTOPOLIMERIZACION, TAMAÑO PARTICULA: HIBRIDO, FORMA DE PRESENTACION: JERINGA, PRESENTACION: ENVASE X 4 GR</t>
  </si>
  <si>
    <t>2.5.2-9133.1</t>
  </si>
  <si>
    <t>ANTISEPTICOS LOCALES P/PERSONA; TIPO: ANTISEPTICO, DROGA GENERICA: EUGENOL, FORMA FARMACEUTICA: LIQUIDO, PRESENTACION: FRASCO X 50 mL</t>
  </si>
  <si>
    <t>2.5.2-1723.92</t>
  </si>
  <si>
    <t>ADHESIVOS P/ODONTOLOGIA; PRESENTACION: FRASCO X 4,5 mm, TIPO: ADHESIVO+PRIMER, USO: ODONTOLOGICO</t>
  </si>
  <si>
    <t>2.5.2-5538.8</t>
  </si>
  <si>
    <t>ANTISEPTICOS LOCALES P/PERSONA; TIPO: MONODROGA, DROGA GENERICA: EDTAC, FORMA FARMACEUTICA: SOLUCION, PRESENTACION: FRASCO X 20 mL</t>
  </si>
  <si>
    <t>2.5.2-1723.59</t>
  </si>
  <si>
    <t>ANTISEPTICOS LOCALES P/PERSONA; TIPO: MONODROGA, DROGA GENERICA: IODOFORMO, FORMA FARMACEUTICA: POLVO, PRESENTACION: ENVASE X 20 GR</t>
  </si>
  <si>
    <t>2.5.2-1723.148</t>
  </si>
  <si>
    <t>ANTISEPTICOS LOCALES P/PERSONA; TIPO: MONODROGA, DROGA GENERICA: IODOPOVIDONA, FORMA FARMACEUTICA: SOLUCION, PRESENTACION: 1 L</t>
  </si>
  <si>
    <t>2.5.2-1723.33</t>
  </si>
  <si>
    <t>TOPICOS ODONTOLOGICOS; DROGA GENERICA: FORMOCRESOL, PRESENTACION: FRASCO X 20 mL, ESTADO: LIQUIDO, FORMA DE PRESENTACION: LIQUIDO</t>
  </si>
  <si>
    <t>2.5.2-5142.6</t>
  </si>
  <si>
    <t>TOPICOS ODONTOLOGICOS; DROGA GENERICA: FLUOR FOSFATO ACIDULADO TIXOTR, ESTADO: SOLUCION, PRESENTACION: ENVASE X 200 mL, FORMA DE PRESENTACION: SOLUCION</t>
  </si>
  <si>
    <t>2.5.2-5142.4</t>
  </si>
  <si>
    <t>TOPICOS ODONTOLOGICOS; DROGA GENERICA: FLUORURO DIAMIN. PLATA CARIOST, ESTADO: SOLUCION, PRESENTACION: ENVASE X 5 mL, FORMA DE PRESENTACION: SOLUCION</t>
  </si>
  <si>
    <t>2.5.2-5142.3</t>
  </si>
  <si>
    <t>TOPICOS ODONTOLOGICOS; DROGA GENERICA: BENZOCAINA AL 20%, PRESENTACION: ENVASE X 20 GR, FORMA DE PRESENTACION: POMADA</t>
  </si>
  <si>
    <t>2.5.2-5142.13</t>
  </si>
  <si>
    <t>IONOMEROS VITREOS; USO: AUTOCURADO, ESTADO: POLVO - LIQUIDO, PRESENTACION: AVIO 30 GRS/12 ML, FORMA DE PRESENTACION: POLVO - LIQUIDO</t>
  </si>
  <si>
    <t>2.5.2-5143.19</t>
  </si>
  <si>
    <t>IONOMEROS VITREOS; USO: FOTOCURADO, PRESENTACION: AVIO 10 GRS/6 ML, FORMA DE PRESENTACION: POLVO - LIQUIDO</t>
  </si>
  <si>
    <t>2.5.2-5143.37</t>
  </si>
  <si>
    <t>SELLADORES P/ODONTOLOGIA; USO: FOSAS Y FISURAS, PRESENTACION: ENVASE X 6 mL</t>
  </si>
  <si>
    <t>2.5.2-5525.1</t>
  </si>
  <si>
    <t>ANESTESICOS LOCALES; TIPO: ANESTESIA ODONTOLOGICA, DROGA GENERICA: CLORHIDRATO DE CARTICAINA 4%, FORMA FARMACEUTICA: ANESTUBOS, PRESENTACION: ENVASE X 50 UN</t>
  </si>
  <si>
    <t>2.5.2-1883.179</t>
  </si>
  <si>
    <t>CEMENTOS QUIRURGICOS; PRESENTACION: AVIO 38 GRS/15 ML, TIPO: OXIDO DE ZINC Y EUGENOL REFORZ, USO: ODONTOLOGICO</t>
  </si>
  <si>
    <t>2.5.2-2322.45</t>
  </si>
  <si>
    <t>CEMENTOS QUIRURGICOS; PRESENTACION: AVIO 13 GRS/11 GRS, TIPO: HIDROXIDO DE CALCIO FRAGUABLE, USO: ODONTOLOGIA</t>
  </si>
  <si>
    <t>2.5.2-2322.20</t>
  </si>
  <si>
    <t>CEMENTOS QUIRURGICOS; PRESENTACION: AVIO 100 GRS/40 ML, TIPO: ACIDO FOSFATICO/OXIDO DE ZINC, USO: ODONTOLOGIA</t>
  </si>
  <si>
    <t>2.5.2-2322.13</t>
  </si>
  <si>
    <t>CEMENTOS QUIRURGICOS; PRESENTACION: ENVASE X 20 GR, TIPO: GROSSMAN, USO: ODONTOLOGIA</t>
  </si>
  <si>
    <t>2.5.2-2322.12</t>
  </si>
  <si>
    <t>CEMENTOS QUIRURGICOS; PRESENTACION: FRASCO, TIPO: POLVO Y LIQUIDO, USO: ODONTOLOGICO 70X 15</t>
  </si>
  <si>
    <t>2.5.2-2322.11</t>
  </si>
  <si>
    <t>ODONTOLOGIA</t>
  </si>
  <si>
    <t>TOTAL DE ODONTOLOG</t>
  </si>
  <si>
    <t>2.9.6-1355.1381</t>
  </si>
  <si>
    <t>CARTUCHOS DE TINTA; CODIGO: HP 21, USO: IMPRESORA HP DESK JET 3920</t>
  </si>
  <si>
    <t>2.9.6-401.11</t>
  </si>
  <si>
    <t>CARTUCHOS DE TONER; COLOR: NEGRO, PRODUCTO: PRINT, USO: EPSON, CODIGO: 50002, DESCRIPCION: PRINT</t>
  </si>
  <si>
    <t>2.9.6-401.2006</t>
  </si>
  <si>
    <t>CARTUCHOS DE TONER; CODIGO: CE285D, USO: HP LASER JET 1102 N</t>
  </si>
  <si>
    <t>2.9.6-401.1918</t>
  </si>
  <si>
    <t>CARTUCHOS DE TONER; CODIGO: SCX-6320D8, USO: SAMSUNG SCX-6322DN</t>
  </si>
  <si>
    <t>INSUMOS DE RADIOLOGIA</t>
  </si>
  <si>
    <t>TOTAL DEL RUBRO INSUMOS DE RADIOLOGIA</t>
  </si>
  <si>
    <t>3.3.3-8733.1</t>
  </si>
  <si>
    <t>SERVICIOS BASICOS</t>
  </si>
  <si>
    <t>M. Y R. EQ. ODONTOLOGICOS; DESCRIPCION: MANT. Y REPAR. EQ.ODONTOLOGICO</t>
  </si>
  <si>
    <t>SERVICIO</t>
  </si>
  <si>
    <t>2.2.2-802.11</t>
  </si>
  <si>
    <t>GORRA DE TRABAJO; TELA: FISELINA, COLOR: BLANCO, USO: ODONTOLOGIA x 100 un</t>
  </si>
  <si>
    <t>2.2.2-836.488</t>
  </si>
  <si>
    <t>AMBO; SACO: RECTO, TELA: ACROCEL</t>
  </si>
  <si>
    <t>TOTAL DEL RUBRO PRENDA DE VESTIR</t>
  </si>
  <si>
    <t>INSUMOS DE ODONTOLOGIA</t>
  </si>
  <si>
    <t>TOTAL DEL RUBRO ODONTOLOGIA</t>
  </si>
  <si>
    <t>TOTAL DEL RUBRO NEUMATICOS</t>
  </si>
  <si>
    <t xml:space="preserve">TOTAL DEL RUBRO SERVICIOS </t>
  </si>
  <si>
    <t>M</t>
  </si>
  <si>
    <t>SAME</t>
  </si>
  <si>
    <t>TOTAL DE SAME</t>
  </si>
  <si>
    <t>2.1.1-2456.8</t>
  </si>
  <si>
    <t>2.1.1-2456.10</t>
  </si>
  <si>
    <t>RACIONAMIENTO; DESCRIPCION: ALMUERZO</t>
  </si>
  <si>
    <t>RACIONAMIENTO; DESCRIPCION: CENA</t>
  </si>
  <si>
    <t>RACION</t>
  </si>
  <si>
    <t>2.9.1-6951.60</t>
  </si>
  <si>
    <t>2.9.1-6951.139</t>
  </si>
  <si>
    <t>LIMPIADORES; TIPO: DESENGRASANTE, PRESENTACION: ENVASE X 5 L</t>
  </si>
  <si>
    <t>LIMPIADORES; TIPO: LIMPIADOR DE PISOS, PRESENTACION: ENVASE X 5 L</t>
  </si>
  <si>
    <t>2.4.4-6818.803</t>
  </si>
  <si>
    <t>NEUMATICOS; VEHICULO: MINIBUS, CONSTRUCCION: RADIAL, ARMADO: S/CAMARA, MEDIDA: 205 R16 C</t>
  </si>
  <si>
    <t>2.9.6-9689.456</t>
  </si>
  <si>
    <t>2.2.2-809.35</t>
  </si>
  <si>
    <t>2.2.2-6738.171</t>
  </si>
  <si>
    <t>2.2.2-6738.121</t>
  </si>
  <si>
    <t>CHAQUETILLAS; TELA: ACROCEL, USO: SIN VALOR, COLOR: CELESTE, TALLE: SIN VALOR</t>
  </si>
  <si>
    <t>PANTALONES; TIPO: CARGO, TELA: GABARDINA, SEXO: MASCULINO, CRITERIO SOCIAL: CRITERIO SOCIAL COMPARTIDO, CRITERIO DE SEGURIDAD: SIN</t>
  </si>
  <si>
    <t>PANTALONES; TIPO: TRABAJO, TELA: GABARDINA, SEXO: FEMENINO</t>
  </si>
  <si>
    <t>3.3.2-5266.21</t>
  </si>
  <si>
    <t>MANT. REPARACION Y LIMPIEZA</t>
  </si>
  <si>
    <t>SERV. PROFESIONAL Y COMERCIAL</t>
  </si>
  <si>
    <t>SERV. DE SISTEMAS ESPECIFICOS; DESCRIPCION: SERV DE SISTEMAS ESPECIFICOS</t>
  </si>
  <si>
    <t>3.2.4-1426.19</t>
  </si>
  <si>
    <t>ALQ. DE FOTOCOPIADORA; ALQUILER DE FOTOCOPIADORA</t>
  </si>
  <si>
    <t>ALQUILER</t>
  </si>
  <si>
    <t>2.5.1-9018.8</t>
  </si>
  <si>
    <t>GASES; COMPUESTO QUIMICO: OXIGENO, CALIDAD: MEDICINAL, PRESENTACION: TUBO X 6 M3</t>
  </si>
  <si>
    <t>QUIMICOS</t>
  </si>
  <si>
    <t>M3</t>
  </si>
  <si>
    <t>TOTAL DEL RUBRO OXIGENO</t>
  </si>
  <si>
    <t>MALBRAN</t>
  </si>
  <si>
    <t>HOSPITAL MALBRAN</t>
  </si>
  <si>
    <t>AGUA MINERAL; TIPO: SIN GASIFICAR, PRESENTACION: ENVASE X 1500 CM3, MATERIAL ENVASE: PLASTICO PVC, TIPO ENVASE: NO RETORNABLE, ELEM. TRANSPORTE: SIN, MATERIAL ELEM. TRANSPORTE: SIN</t>
  </si>
  <si>
    <t>2.1.1-478.41</t>
  </si>
  <si>
    <t>BOTELLA</t>
  </si>
  <si>
    <t>GAS OIL; PRESENTACION: A GRANEL, USO: MOTORES DIESEL, COMERCIALIZACION: GRADO 3</t>
  </si>
  <si>
    <t>2.5.6-793.27</t>
  </si>
  <si>
    <t>maternidade e infancia</t>
  </si>
  <si>
    <t xml:space="preserve">total maternidad </t>
  </si>
  <si>
    <t>TOALLAS DE PAPEL; MATERIAL: PAPEL NATURAL, GRAMAJE: 50 GR/CM2, DIMENSION: 24 X 20 Cm, PRESENTACION: ENVASE X 2500 UN</t>
  </si>
  <si>
    <t>2.3.4-783.70</t>
  </si>
  <si>
    <t>paquete</t>
  </si>
  <si>
    <t>LECHE; ESTADO:POLVO, TIPO: FORTIFICADA, PROCESO: ESTERILIZADA, AGREGADO:HIERRO, ZINC Y ACIDO ASCORBICO, MATERIAL ENVASE:PLASTICO X 800GR, ELEM. TRANSPORTE: SIN, MATERIAL ELEM. TRANSPORTE: SIN, CERTIFICADO FORESTAL (GFS): SIN, LIBRE DE GLUTEN: SI</t>
  </si>
  <si>
    <t>2.1.1-705.134</t>
  </si>
  <si>
    <t>2.5.6-798.7</t>
  </si>
  <si>
    <t xml:space="preserve">GAS EN GARRAFA, CAPACIDAD: 45 KG. </t>
  </si>
  <si>
    <t xml:space="preserve">TOTAL DEL RUBRO GAS </t>
  </si>
  <si>
    <t>3.9.3.-1387.1</t>
  </si>
  <si>
    <t xml:space="preserve">VIGILANCIA Y SEGURIDAD </t>
  </si>
  <si>
    <t>VIGILANCIA Y CUSTODIA, AREAS DE EDIFICIOS: VIGILANCIA Y CUSTODIA, DESCRIPCION: VIGILANCIA Y CUSTODIA</t>
  </si>
  <si>
    <t>MES</t>
  </si>
  <si>
    <t>SEC DE ASIST EN SALUD PUB</t>
  </si>
  <si>
    <t>TOTAL SEC EN ASIS EN SAL</t>
  </si>
  <si>
    <t>2.9.1-6952.61</t>
  </si>
  <si>
    <t>CEPILLOS; TIPO: ESCOBA REFORZADA, MATERIAL: PLASTICO</t>
  </si>
  <si>
    <t>2.9.1-564.13</t>
  </si>
  <si>
    <t>BALDES DE PLASTICO; CAPACIDAD: 17 L, COLOR: SIN VALOR</t>
  </si>
  <si>
    <t>2.1.1-709.8</t>
  </si>
  <si>
    <t>CAFE; ESTADO: INSTANTANEO, PRESENTACION: 170 GR.</t>
  </si>
  <si>
    <t>FRASCO</t>
  </si>
  <si>
    <t>PAPELES ANOTADOR AUTOADHESIVOS; MULTICOLOR PRESENTACION: 500 HOJAS, LARGO X ANCHO: 9 X 9 Cm, DIMENSION: SIN VALOR, MATERIAL: SIN VALOR</t>
  </si>
  <si>
    <t>2.9.2-1062.12</t>
  </si>
  <si>
    <t>PAPELES ANOTADOR AUTOADHESIVOS; PRESENTACION : 100 HOJAS, LARGO X ANCHO 76X76 MM</t>
  </si>
  <si>
    <t>2.9.6</t>
  </si>
  <si>
    <t>2.3.3.</t>
  </si>
  <si>
    <t>SALUD Y MEDIO AMBIENTE</t>
  </si>
  <si>
    <t>TOTAL SALUD Y MEDIO AMBIENTE</t>
  </si>
  <si>
    <t>2.2.2-6738.22</t>
  </si>
  <si>
    <t>PANTALONES; TELA: GRAFA, SEXO: MASCULINO, TIPO: DE TRABAJO</t>
  </si>
  <si>
    <t>2.2.2-6731.125</t>
  </si>
  <si>
    <t>2.2.2-6729.165</t>
  </si>
  <si>
    <t>CAMISAS; TIPO: INFORMAL, TELA: GABARDINA, MANGA: LARGA, COSTURA: SIMPLE, BOLSILLO: SIN</t>
  </si>
  <si>
    <t>CALZADOS; TIPO: BOTA CAÑA ALTA, MATERIAL: GOMA, SUELA: GOMA, SEXO: MASCULINO</t>
  </si>
  <si>
    <t>2.4.4-6818.1024</t>
  </si>
  <si>
    <t>NEUMATICOS; VEHICULO: CAMION, CONSTRUCCION: LINEAL, ARMADO: S/CAMARA, MEDIDA: 295/80 R22,5 pulg</t>
  </si>
  <si>
    <t>2.5.1-3691.1</t>
  </si>
  <si>
    <t>COMPUESTO QUIMICO</t>
  </si>
  <si>
    <t>POTABILIZADOR DE AGUA; COMPUESTO QUIMICO: CLORO, PRESENTACION: COMPRIMIDO, CAPACIDAD POTABILIZACION: 3 L, COMPUESTO: CLORO, CAPACIDAD: 3 L</t>
  </si>
  <si>
    <t>2.9.5-4046.4</t>
  </si>
  <si>
    <t>EQUIPOS</t>
  </si>
  <si>
    <t>DOSÍMETRO PARA RADIACIÓN</t>
  </si>
  <si>
    <t>2.9.5-4685.1</t>
  </si>
  <si>
    <t>CELDAS P/MUESTRAS D/LABORATORI; MATERIAL: VIDRIO, DIMENSIONES: 12,5 X 45 X 1 mm, DIMENSION: 12,5 X 45 X 1 mm</t>
  </si>
  <si>
    <t>TOTAL DE INSUMOS DE BROMATOLOGIA</t>
  </si>
  <si>
    <t>2.6.5-335.29</t>
  </si>
  <si>
    <t>MATERIALES DE CONSTRUCCION</t>
  </si>
  <si>
    <t>CEMENTO PORTLAND; PRESENTACION: BOLSA X 50 Kg, TIPO: NORMAL, CANT. PLIEGOS BOLSA: 4</t>
  </si>
  <si>
    <t>2.9.3-277.11</t>
  </si>
  <si>
    <t>2.9.3-277.5</t>
  </si>
  <si>
    <t>MATERIALES ELECTRICOS</t>
  </si>
  <si>
    <t>FOCOS DE BAJO CONSUMO</t>
  </si>
  <si>
    <t>TUBOS FLOURERESCENTES</t>
  </si>
  <si>
    <t>TOTAL DE MATERIALES ELECTRICOS</t>
  </si>
  <si>
    <t>VECTORES Y ZOONOSIS</t>
  </si>
  <si>
    <t>TOTAL DE VECT Y ZOON</t>
  </si>
  <si>
    <t>2.2.2-6731.27</t>
  </si>
  <si>
    <t>CAMISAS; TIPO: DE TRABAJO, TELA: GRAFA, MANGA: LARGA, 
COSTURA: REFORZADA, BOLSILLO: 2</t>
  </si>
  <si>
    <t>2.2.2-2859.1</t>
  </si>
  <si>
    <t>REMERAS; MATERIAL: ALGODON, MANGA: CORTA, TALLE: SMALL</t>
  </si>
  <si>
    <t>2.2.2-6728.115</t>
  </si>
  <si>
    <t>CALZADO DE SEGURIDAD; TIPO: BOTINES DE SEGURIDAD, SUELA: POLIURETANO, PUNTERA: ALUMINIO, MATERIAL: CUERO, CRITERIO DE SEGURIDAD: SELLO DE SEGURIDAD</t>
  </si>
  <si>
    <t>MANT. Y REP. DE VEHICULOS; DESCRIPCION: MANT. Y REP. DE VEHICULOS, CRITERIO SOCIAL: SIN</t>
  </si>
  <si>
    <t>NEUMATICOS; VEHICULO: CAMIONETA, CONSTRUCCION: RADIAL, MEDIDA: 235/75R15, ARMADO: S/CAMARA</t>
  </si>
  <si>
    <t>2.4.4-6818.48</t>
  </si>
  <si>
    <t>2.5.4-506.66</t>
  </si>
  <si>
    <t>INSECTICIDAS; PRINCIPIO ACTIVO: ALFA CIPERMETRINA 5 %, USO P/CONTROL: 
INSECTOS VOLADORES, ACCION: VOLTEO, PRESENTACION: LIQUIDO X 1 L, 
CAPACIDAD: 1 L, CONTROL: INSECTOS VOLADORES</t>
  </si>
  <si>
    <t>LITRO</t>
  </si>
  <si>
    <t>2.5.4-506.68</t>
  </si>
  <si>
    <t>INSECTICIDAS; PRINCIPIO ACTIVO: SIN VALOR, PRESENTACION: BOTELLA X 1 L, 
CAPACIDAD: 1 L, ACCION: VOLTEO, CONTROL: MOSCAS Y MOSQUITOS, 
USO P/CONTROL: MOSCAS Y MOSQUITOS</t>
  </si>
  <si>
    <t>2.9.2-262.4</t>
  </si>
  <si>
    <t>ADHESIVOS P/PAPEL; PRESENTACION: 250 GR, TIPO: COLA VINILICA</t>
  </si>
  <si>
    <t>2.5.1-9052.354</t>
  </si>
  <si>
    <t>REACTIVOS P/LAB. TEC. MANUAL ; NOMBRE: TOXOTEST HAI, USO: INMUNOLOGIA, 
PRESENTACION: ENVASE X 96 DETERM.</t>
  </si>
  <si>
    <t>EQUIPO</t>
  </si>
  <si>
    <t>2.5.1-9052.355</t>
  </si>
  <si>
    <t>REACTIVOS P/LAB. TEC. MANUAL ; NOMBRE: HBSAG ELISA, USO: DIAGNOSTICO, 
PRESENTACION: ENVASE X 96 DETERM.</t>
  </si>
  <si>
    <t>2.5.7-3517.31</t>
  </si>
  <si>
    <t>PRODUCTOS VETERINARIOS</t>
  </si>
  <si>
    <t>REACTIVOS VETERINARIOS; TIPO: 2 - MERCAPTOETANOL, USO: DIAGNOSTICO, 
PRESENTACION: ENVASE X 250 mL</t>
  </si>
  <si>
    <t>2.5.7-7051.13</t>
  </si>
  <si>
    <t>ANTIPARASITARIOS VETERINARIOS; TIPO: MONODROGA, DROGA GENERICA: IVERMECTINA, FORMA FARMACEUTICA: INYECTABLE, PRESENTACION: FRASCO X 500 mL</t>
  </si>
  <si>
    <t>2.5.7-2985.18</t>
  </si>
  <si>
    <t>CICATRIZANTES VETERINARIOS; TIPO: ASOCIACION, DROGA GENERICA: 
SULFATIZINA + PLATA 0,1 GS...., FORMA FARMACEUTICA: AEROSOL,
 PRESENTACION: ENVASE X 440 mL</t>
  </si>
  <si>
    <t>2.5.7-7051.16</t>
  </si>
  <si>
    <t>ANTIPARASITARIOS VETERINARIOS; TIPO: ASOCIACION, DROGA GENERICA:
 PIRANTEL-OXANTEL, FORMA FARMACEUTICA: SOLUCION, PRESENTACION: FRASCO X 15 mL</t>
  </si>
  <si>
    <t>TOTAL DEL RUBRO PROD VETERINARIOS</t>
  </si>
  <si>
    <t>2.9.5-468.166</t>
  </si>
  <si>
    <t>PROD. MEDICO/
FARMACEUTICOS/LAB</t>
  </si>
  <si>
    <t>TUBOS DE ENSAYO; TIPO: AUTOCLAVABLE, MATERIAL: PLASTICO, DIMENSION: 50 mL, ACCESORIO: TAPA A ROSCA</t>
  </si>
  <si>
    <t>2.9.5-3017.2</t>
  </si>
  <si>
    <t>GRADILLAS P/LABORATORIO; TAMAÑO TUBO: 10 X 2 Cm, CANTIDAD DE TUBOS: 
48, MATERIAL: ALAMBRE PLASTIFICADO, MEDIDA TUBO: 10 X 2 Cm, CANT. 
DE ELEMENTOS: 48, MEDIDA: 10 X 2 Cm</t>
  </si>
  <si>
    <t>2.9.5-2782.1</t>
  </si>
  <si>
    <t>PISETAS DE LABORATORIO; CAPACIDAD: 500 mL, MATERIAL: PLASTICO</t>
  </si>
  <si>
    <t>2.9.5-2763.2</t>
  </si>
  <si>
    <t>PROBETAS; MATERIAL: VIDRIO, CAPACIDAD: 100 mL, GRADUACION: 1/10 mL, 
TAPA: PLASTICA, BASE: PLASTICA</t>
  </si>
  <si>
    <t>SUMAR</t>
  </si>
  <si>
    <t xml:space="preserve">TOTAL SUMAR </t>
  </si>
  <si>
    <t>CUR</t>
  </si>
  <si>
    <t>TOTAL CUR</t>
  </si>
  <si>
    <t>2.9.1-761.2</t>
  </si>
  <si>
    <t>GUANTES P/LIMPIEZA; MATERIAL: LATEX, TAMAÑO: MEDIANO</t>
  </si>
  <si>
    <t>PARES</t>
  </si>
  <si>
    <t>2.9.1-1083.8</t>
  </si>
  <si>
    <t>ESPONJA DE ACERO; PESO: 25 GR, MATERIAL: ACERO</t>
  </si>
  <si>
    <t>2.9.2-700.29</t>
  </si>
  <si>
    <t>BROCHES P/ABROCHADORA; NUMERO: 24/6, PRESENTACION: CAJA X 1000 UNIDADES</t>
  </si>
  <si>
    <t xml:space="preserve"> COMPUESTOS QUIMICOS</t>
  </si>
  <si>
    <t>2.5.1.</t>
  </si>
  <si>
    <t>ARC HIV COMBO RGT X 100 DET.</t>
  </si>
  <si>
    <t>ARC HBSAG RGT X 100 DET.</t>
  </si>
  <si>
    <t>ARC ANTI HBC II RGT X 100 DET.</t>
  </si>
  <si>
    <t>ARC ANTI HBS RGT X 100 DET.</t>
  </si>
  <si>
    <t>ARC ANTI HCV RGT X 100 DET.</t>
  </si>
  <si>
    <t>ARC HAVAB M RGT X 100 DET.</t>
  </si>
  <si>
    <t>ARC SIFILIS RGT X 100 DET.</t>
  </si>
  <si>
    <t>ARC CONC BUFFER X 4 LTS.</t>
  </si>
  <si>
    <t>ARC REACTION VESSELLS X 4000.</t>
  </si>
  <si>
    <t>BOLSAS</t>
  </si>
  <si>
    <t>ARC TRIGGER X 4 LTS.</t>
  </si>
  <si>
    <t>ARC PRE TRIGGER X 4 LTS.</t>
  </si>
  <si>
    <t>ARC SAMPLE CUPS X 2000.</t>
  </si>
  <si>
    <t>ARC PROBE CONDITION x 4 BIDONES X 800 ML.</t>
  </si>
  <si>
    <t>AGUA BIDESTILADA</t>
  </si>
  <si>
    <t>ALERE DETERMINE SIFILIS  X 100 DETERMINACIONES</t>
  </si>
  <si>
    <t>ALERE TUBOS CAPILARES C/EDTA X 100</t>
  </si>
  <si>
    <t>ALERE DETERMINECHASE BUFFER X 2,5</t>
  </si>
  <si>
    <t>V.R.L. TEST WIENER X 250 DET.</t>
  </si>
  <si>
    <t>ÚTILES MEN. MÉD., QUIRÚRG. Y LAB.</t>
  </si>
  <si>
    <t>APOSITO POST EXTRACCION X 250 UNIDADES</t>
  </si>
  <si>
    <t>TIPS AMARILLOS PARA MICROPIPETA  X 1000 UNIDADES</t>
  </si>
  <si>
    <t>PLANIFICACION</t>
  </si>
  <si>
    <t>TOTAL PLANIFICA</t>
  </si>
  <si>
    <t>2.1.1-709.54</t>
  </si>
  <si>
    <t>CAFE; PRESENTACION: ENVASE X 1 Kg, ESTADO: TORRADO, LIBRE DE GLUTEN: NO</t>
  </si>
  <si>
    <t>2.6.2-3032.17</t>
  </si>
  <si>
    <t>2.6.2-3032.105</t>
  </si>
  <si>
    <t>2.6.3-1652.9</t>
  </si>
  <si>
    <t>2.6.3-825.37</t>
  </si>
  <si>
    <t>2.6.3-1474.8</t>
  </si>
  <si>
    <t>2.6.3-835.115</t>
  </si>
  <si>
    <t>2.6.3-833.1</t>
  </si>
  <si>
    <t>2.6.3-813.7</t>
  </si>
  <si>
    <t>2.6.4-311.21</t>
  </si>
  <si>
    <t>2.6.4-311.26</t>
  </si>
  <si>
    <t>2.6.4-1170.3</t>
  </si>
  <si>
    <t>2.6.4-1170.6</t>
  </si>
  <si>
    <t>2.6.1-545.64</t>
  </si>
  <si>
    <t>2.6.1-555.47</t>
  </si>
  <si>
    <t>2.6.1-545.92</t>
  </si>
  <si>
    <t>2.6.1-545.125</t>
  </si>
  <si>
    <t>2.8.4-2107.6</t>
  </si>
  <si>
    <t>2.8.4-6866.1</t>
  </si>
  <si>
    <t>2.8.4-6866.4</t>
  </si>
  <si>
    <t>2.8.4-2507.2</t>
  </si>
  <si>
    <t>2.8.4-966.1</t>
  </si>
  <si>
    <t>2.6.5-8596.9</t>
  </si>
  <si>
    <t>2.6.5-1741.3</t>
  </si>
  <si>
    <t>2.6.5-1740.1</t>
  </si>
  <si>
    <t>2.6.5-1740.3</t>
  </si>
  <si>
    <t>2.6.5-1740.5</t>
  </si>
  <si>
    <t>2.6.5-8482.1</t>
  </si>
  <si>
    <t>VIDRIOS PLANOS; TIPO: FLOAT, ESPESOR: 4 mm, TRANSPARENCIA: 88 %, DIMENSION: CORTE A MEDIDA</t>
  </si>
  <si>
    <t>VIDRIOS PLANOS; TIPO: ESPEJADO, ESPESOR: 4 mm, TRANSPARENCIA: 100 %, DIMENSION: 1,20 X 2,50 M</t>
  </si>
  <si>
    <t>BACHAS; MATERIAL: LOZA, FORMA: OVALADA, DIAMETRO MAYOR: 46 Cm, DIAMETRO MENOR: 34 Cm</t>
  </si>
  <si>
    <t>BIDET; MATERIAL: ACERO PORCELANIZADO, LARGO X ANCHO: 615 X 385 mm, TIPO: LLUVIA, TIPO DE PUNTA/MODELO: SIN VALOR, COLOR: BLANCO</t>
  </si>
  <si>
    <t>DEPOSITOS P/INODOROS; MATERIAL: LOZA, CAPACIDAD: 8 L, COLOR: BLANCO, TIPO DE PUNTA/MODELO: ANDINA</t>
  </si>
  <si>
    <t>INODOROS; MATERIAL: LOZA, TIPO: CORTO, TIPO DESCARGA: A LA PARED, LARGO X ANCHO: 495 X 370 mm, COLOR: BLANCO, TIPO DE PUNTA/MODELO: ANDINA</t>
  </si>
  <si>
    <t>LAVATORIOS; COLOR: BLANCO, TIPO: CON COLUMNA, BACHA: SIMPLE, LARGO X ANCHO: 730 X 550 mm, FORMA: SEMI OVALADO, MATERIAL: ACERO PORCELANIZADO</t>
  </si>
  <si>
    <t>MINGITORIOS; MATERIAL: LOZA, ALTO/LARGO/ANCHO: 285 X 330 X 535 mm, COLOR: BLANCO, DIMENSION (A/P/H): 285 X 330 X 535 mm</t>
  </si>
  <si>
    <t>BLOQUES DE HORMIGON; MEDIDA: 14 X 19 X 39 Cm</t>
  </si>
  <si>
    <t>BLOQUES DE HORMIGON; MEDIDA: 19 X 19 X 39 Cm</t>
  </si>
  <si>
    <t>LOSETAS DE CEMENTO; TIPO: C/CANTO RODADO, DIMENSION: 40 X 40 Cm</t>
  </si>
  <si>
    <t>LOSETAS DE CEMENTO; TIPO: HORMIGON COMPRIMIDO, DIMENSION: 50 X 50 Cm</t>
  </si>
  <si>
    <t>CERAMICAS P/PISOS; COLOR: BLANCO, DIMENSION: 20 X 20 Cm, TIPO: COLORES PLENOS BRILLANTES, TIPO DE PUNTA/MODELO: COLORES PLENOS BRILLANTES</t>
  </si>
  <si>
    <t>CERAMICAS P/REVESTIMIENTOS; TIPO DE PUNTA/MODELO: BRILLANTE, DIMENSION NOMINAL: 20 X 25 Cm, TIPO: BRILLANTE, COLOR: BLANCO, DIMENSION: 20 X 25 Cm</t>
  </si>
  <si>
    <t>CERAMICAS P/PISOS; DIMENSION: 40 X 40 Cm, COLOR: SIN VALOR, TIPO: ALBERDI, TIPO DE PUNTA/MODELO: ALBERDI</t>
  </si>
  <si>
    <t>CERAMICAS P/PISOS; DIMENSION: 40 X 40 Cm, TIPO: BALDOSA MICROVIBRADA</t>
  </si>
  <si>
    <t>PIEDRAS PARTIDAS; DIAMETRO: 2 A 5 Cm</t>
  </si>
  <si>
    <t>ARENA; MEDIDA: 0 A 6 mm, TIPO: TRITURACION</t>
  </si>
  <si>
    <t>ARENA; TIPO: FINA, MEDIDA: 1 M3</t>
  </si>
  <si>
    <t>PIEDRA CANTO RODADO; TAMAÑO: ESTANDAR, PRESENTACION: METRO CUBICO</t>
  </si>
  <si>
    <t>GRANITO; ESPESOR: 20 mm, LARGO X ANCHO: SIN VALOR, TEXTURA: PIEDRA, COLOR: GRIS Y BLANCO</t>
  </si>
  <si>
    <t>CEMENTO DE ALBAÑILERIA; PRESENTACION: ENVASE X 50 Kg, CANT. PLIEGOS BOLSA: 3, CRITERIO DE SEGURIDAD: SELLO DE SEGURIDAD</t>
  </si>
  <si>
    <t>CAL; PRESENTACION: BOLSA 25 Kg, TIPO: AEREA HIDRATADA, USO: CONSTRUCCION</t>
  </si>
  <si>
    <t>PLACAS PREMOLDEADAS DE YESO; ESPESOR: 12,5 mm, TIPO: NORMAL</t>
  </si>
  <si>
    <t>PLACAS PREMOLDEADAS DE YESO; ESPESOR: 12,5 mm, TIPO: RESISTENTE A LA HUMEDAD</t>
  </si>
  <si>
    <t>PLACAS PREMOLDEADAS DE YESO; ESPESOR: 12,5 mm, TIPO: RESISTENTE AL FUEGO</t>
  </si>
  <si>
    <t>MEZCLAS P/REVOQUE; COMPOSICION: ARENA FINA-CAL-CEMENTO, PRESENTACION: ENVASE X 30 Kg</t>
  </si>
  <si>
    <t>m2</t>
  </si>
  <si>
    <t>Unidad</t>
  </si>
  <si>
    <t>m3</t>
  </si>
  <si>
    <t>TOTAL DEL RUBRO CONSTRUCCION</t>
  </si>
  <si>
    <t>2.5.5-381.4</t>
  </si>
  <si>
    <t>2.5.5-579.18</t>
  </si>
  <si>
    <t>2.5.5-576.2</t>
  </si>
  <si>
    <t>2.5.5-5444.1</t>
  </si>
  <si>
    <t>2.5.5-570.34</t>
  </si>
  <si>
    <t>2.5.5-578.3</t>
  </si>
  <si>
    <t>2.5.5-3205.1</t>
  </si>
  <si>
    <t>2.5.5-3205.22</t>
  </si>
  <si>
    <t>2.5.5-580.7</t>
  </si>
  <si>
    <t>2.5.5-6979.254</t>
  </si>
  <si>
    <t>2.5.5-6979.265</t>
  </si>
  <si>
    <t>2.5.5-6979.350</t>
  </si>
  <si>
    <t>2.5.5-7014.3</t>
  </si>
  <si>
    <t>2.5.5-1076.2</t>
  </si>
  <si>
    <t>2.5.5-569.2</t>
  </si>
  <si>
    <t>PINTURA</t>
  </si>
  <si>
    <t>ENDUIDOS; CAPACIDAD: LATA X 20 L</t>
  </si>
  <si>
    <t>MASILLAS; PRESENTACION: ENVASE X 4 Kg</t>
  </si>
  <si>
    <t>BARNIZ; CAPACIDAD: 4 L, PRESENTACION: ENVASE X 4 L</t>
  </si>
  <si>
    <t>DILUYENTES; PRESENTACION: ENVASE X 4 L</t>
  </si>
  <si>
    <t>ESMALTES SINTETICOS; CAPACIDAD: LATA X 4 L, PRESENTACION: ENVASE X 4 L</t>
  </si>
  <si>
    <t>FIJADORES; CAPACIDAD: ENVASE X 20 L, PRESENTACION: ENVASE X 20 L</t>
  </si>
  <si>
    <t>IMPERMEABILIZANTES; PRESENTACION: LATA X 20 L, TIPO: TECHOS</t>
  </si>
  <si>
    <t>IMPERMEABILIZANTES; TIPO: EXTERIOR, PRESENTACION: ENVASE X 20 L</t>
  </si>
  <si>
    <t>LACAS; PRESENTACION: ENVASE X 3.5 L, CAPACIDAD: ENVASE X 3.5 L</t>
  </si>
  <si>
    <t>PINTURAS; TIPO: LATEX, PRESENTACION: ENVASE X 20 L, COMPUESTOS VOLATILES: SIN, PORCENTAJE DE PLOMO: 0 %</t>
  </si>
  <si>
    <t>PINTURAS; TIPO: ASFALTICA, PRESENTACION: ENVASE X 4 L, COMPUESTOS VOLATILES: SIN, PORCENTAJE DE PLOMO: 0 %</t>
  </si>
  <si>
    <t>PINTURAS; TIPO: LATEX PARA INTERIOR, PRESENTACION: ENVASE X 20 L, COMPUESTOS VOLATILES: SIN, PORCENTAJE DE PLOMO: 0 %</t>
  </si>
  <si>
    <t>SOLVENTES; PRESENTACION: ENVASE X 4 L</t>
  </si>
  <si>
    <t>PASTINAS; CONTENIDO: 5 Kg, PRESENTACION: 5 Kg</t>
  </si>
  <si>
    <t>ANTIOXIDOS; CAPACIDAD: LATA X 4 L, PRESENTACION: LATA X 4 L</t>
  </si>
  <si>
    <t xml:space="preserve">UNIDAD  </t>
  </si>
  <si>
    <t>TOTAL DEL RUBRO PINTURAS</t>
  </si>
  <si>
    <t>2.3.4-999.20</t>
  </si>
  <si>
    <t>2.3.4-999.21</t>
  </si>
  <si>
    <t>2.3.4-999.23</t>
  </si>
  <si>
    <t>2.3.4-999.25</t>
  </si>
  <si>
    <t>2.7.5-654.271</t>
  </si>
  <si>
    <t>2.7.5-654.272</t>
  </si>
  <si>
    <t>2.7.5-654.268</t>
  </si>
  <si>
    <t>2.7.5-654.43</t>
  </si>
  <si>
    <t>2.7.5-654.45</t>
  </si>
  <si>
    <t>2.7.5-654.47</t>
  </si>
  <si>
    <t>2.7.5-312.13</t>
  </si>
  <si>
    <t>2.7.5-1432.4</t>
  </si>
  <si>
    <t>2.7.5-1432.2</t>
  </si>
  <si>
    <t>2.7.5-745.7</t>
  </si>
  <si>
    <t>2.7.5-745.11</t>
  </si>
  <si>
    <t>2.7.5-745.15</t>
  </si>
  <si>
    <t>2.7.5-1000.1</t>
  </si>
  <si>
    <t>2.7.5-420.8</t>
  </si>
  <si>
    <t>2.7.5-420.2</t>
  </si>
  <si>
    <t>2.7.5-2321.4</t>
  </si>
  <si>
    <t>2.7.5-2321.5</t>
  </si>
  <si>
    <t>2.7.5-2321.3</t>
  </si>
  <si>
    <t>2.7.5-1976.54</t>
  </si>
  <si>
    <t>2.7.5-1244.1</t>
  </si>
  <si>
    <t>2.7.5-770.3</t>
  </si>
  <si>
    <t>2.7.5-770.13</t>
  </si>
  <si>
    <t>2.7.5-770.79</t>
  </si>
  <si>
    <t>2.7.5-770.76</t>
  </si>
  <si>
    <t>2.7.5-895.5</t>
  </si>
  <si>
    <t>2.7.5-895.8</t>
  </si>
  <si>
    <t>2.7.5-633.3</t>
  </si>
  <si>
    <t>2.7.5-633.4</t>
  </si>
  <si>
    <t>2.7.5-633.7</t>
  </si>
  <si>
    <t>2.7.5-746.1</t>
  </si>
  <si>
    <t>2.7.5-746.14</t>
  </si>
  <si>
    <t>2.7.5-1994.1</t>
  </si>
  <si>
    <t>2.7.5-1994.8</t>
  </si>
  <si>
    <t>2.7.5-653.13</t>
  </si>
  <si>
    <t>2.7.5-769.3</t>
  </si>
  <si>
    <t>2.7.5-4196.12</t>
  </si>
  <si>
    <t>PAPELES DE LIJA; TIPO: AL AGUA, NUMERO: 100, PRESENTACION: PAQUETE X 100</t>
  </si>
  <si>
    <t>PAPELES DE LIJA; TIPO: AL AGUA, NUMERO: 120, PRESENTACION: PAQUETE X 50</t>
  </si>
  <si>
    <t>PAPELES DE LIJA; TIPO: AL AGUA, NUMERO: 150, PRESENTACION: PAQUETE X 50</t>
  </si>
  <si>
    <t>PAPELES DE LIJA; TIPO: AL AGUA, NUMERO: 180, PRESENTACION: PAQUETE X 50</t>
  </si>
  <si>
    <t>MECHAS MILIMETRICA; TIPO: DE WIDIA, DIAMETRO: 10 mm, LARGO: 110 mm, VASTAGO: CILINDRICO</t>
  </si>
  <si>
    <t>MECHAS MILIMETRICA; TIPO: DE WIDIA, DIAMETRO: 12 mm, LARGO: 110 mm, VASTAGO: CILINDRICO</t>
  </si>
  <si>
    <t>MECHAS MILIMETRICA; TIPO: DE VIDIA, DIAMETRO: 14 mm, LARGO: ESTANDAR, VASTAGO: SIN VALOR</t>
  </si>
  <si>
    <t>MECHAS MILIMETRICA; LARGO: ESTANDAR, DIAMETRO: 8 mm, VASTAGO: SIN VALOR, TIPO: DE ACERO RAPIDO</t>
  </si>
  <si>
    <t>MECHAS MILIMETRICA; LARGO: ESTANDAR, TIPO: DE ACERO RAPIDO, DIAMETRO: 10 mm, VASTAGO: SIN VALOR</t>
  </si>
  <si>
    <t>MECHAS MILIMETRICA; DIAMETRO: 12 mm, TIPO: DE ACERO RAPIDO, VASTAGO: SIN VALOR, LARGO: ESTANDAR</t>
  </si>
  <si>
    <t>ARCOS DE SIERRAS; LARGO HOJA: 30 Cm, TIPO: DE MANO</t>
  </si>
  <si>
    <t>ELECTRODOS; DIAMETRO: 2,5 mm, PUNTA: AZUL, USO: P/SOLDADURA DE ARCO ELECTRICO, TIPO PUNTA: AZUL</t>
  </si>
  <si>
    <t>ELECTRODOS; DIAMETRO: 2 mm, PUNTA: AZUL, USO: P/SOLDADURA DE ARCO ELECTRICO, TIPO PUNTA: AZUL</t>
  </si>
  <si>
    <t>ESPATULAS DE ACERO; ANCHO: 80 mm, MANGO: PLASTICO</t>
  </si>
  <si>
    <t>ESPATULAS DE ACERO; ANCHO: 50 mm, MANGO: DE MADERA</t>
  </si>
  <si>
    <t>ESPATULAS DE ACERO; ANCHO: 140 mm, MANGO: PLASTICO</t>
  </si>
  <si>
    <t>FRATACHOS; LARGO: 20 mm, MATERIAL: MADERA, TIPO: BORDE LISO</t>
  </si>
  <si>
    <t>HACHAS; MATERIAL: ACERO, MANGO: HAYA, LONG.DE CUERPO: 40 Cm, USO: MULTIUSO, TIPO: MULTIUSO</t>
  </si>
  <si>
    <t>HACHAS; MATERIAL: ACERO, USO: HENDIR, MANGO: NOGAL, LONG.DE CUERPO: 74 Cm, TIPO: HENDIR</t>
  </si>
  <si>
    <t>JUEGO DE DESTORNILLADORES; CANT. PIEZAS: 3, TIPO: PUNTA PLANA, COMPONENTES: 3</t>
  </si>
  <si>
    <t>JUEGO DE DESTORNILLADORES; CANT. PIEZAS: 6, TIPO: PUNTA PHILIPS, COMPONENTES: 6</t>
  </si>
  <si>
    <t>JUEGO DE DESTORNILLADORES; CANT. PIEZAS: 12 UN, TIPO: PUNTAS TORX D/ACERO CROMO VANA, COMPONENTES: 12 UN</t>
  </si>
  <si>
    <t>JUEGO DE MECHAS; TIPO: DE COPA, VASTAGO: CILINDRICO, COMPONENTES: 6</t>
  </si>
  <si>
    <t>LAPIZ DE CARPINTERO; SECCION: OVAL, COLOR: NEGRO</t>
  </si>
  <si>
    <t>MARTILLOS; TIPO: CARPINTERO, AGARRE: SIN VALOR, MATERIAL DEL MANGO: MADERA, PESO CABEZA: 300 GR, MANGO: SIN VALOR</t>
  </si>
  <si>
    <t>MARTILLOS; MATERIAL DEL MANGO: MADERA, TIPO: BOLITA, PESO CABEZA: 300 GR, AGARRE: SIN VALOR, MANGO: SIN VALOR</t>
  </si>
  <si>
    <t>MARTILLOS; TIPO: MAZA, MATERIAL DEL MANGO: MADERA, MANGO: MADERA, PESO CABEZA: 1500 GR</t>
  </si>
  <si>
    <t>MARTILLOS; TIPO: MAZA, MATERIAL DEL MANGO: MADERA, MANGO: RECTO, PESO CABEZA: 5 Kg</t>
  </si>
  <si>
    <t>NIVELES P/ALBAÑIL; LONG.DE CUERPO: 30 Cm, ESTRUCTURA: ALUMINIO, TIPO: BURBUJA DE AIRE, USO: ALBAÑILERIA, MATERIAL ESTRUCTURA: ALUMINIO</t>
  </si>
  <si>
    <t>NIVELES P/ALBAÑIL; ESTRUCTURA: PLASTICO, TIPO: BURBUJA DE AIRE, USO: CARPINTERIA, LONG.DE CUERPO: 60 Cm, MATERIAL ESTRUCTURA: PLASTICO</t>
  </si>
  <si>
    <t>PALAS; LARGO: 1,2 M, TIPO: DE PUNTA, USO: HOYOS Y POSTES</t>
  </si>
  <si>
    <t>PALAS; LARGO: 2 M, USO: POSTES, TIPO: DERECHA PUNTA CORAZON</t>
  </si>
  <si>
    <t>PALAS; LARGO: 1,2 M, USO: ALBAÑILERIA, TIPO: PLANA</t>
  </si>
  <si>
    <t>PINZAS P/TALLER; MANGO: AISLANTE, ACABADO: PAVONADO, TIPO: PUNTA PLANA, LARGO: 167 mm, ACCESORIO: CORTE LATERAL</t>
  </si>
  <si>
    <t>PINZAS P/TALLER; ACABADO: PAVONADO, LARGO: 240 mm, TIPO: PICO DE LORO, ACCESORIO: SIN VALOR, MANGO: AISLANTE</t>
  </si>
  <si>
    <t>PRENSA TIPO "G"; MATERIAL: HIERRO FUNDIDO, DIMENSION APERTURA: 12,5 Cm, APERTURA: 12,5 Cm</t>
  </si>
  <si>
    <t>PRENSA TIPO "G"; MATERIAL: HIERRO, APERTURA: 25 Cm</t>
  </si>
  <si>
    <t>REMACHADORAS; TIPO REMACHE: ALUMINIO, ACCIONAMIENTO: MANUAL</t>
  </si>
  <si>
    <t>TENAZAS; LONGITUD CORTE: 25 mm, DIAMETRO: 220 mm, MANGO: SIN VALOR, LONG. DE CORTE: 25 mm, MEDIDA: 220 mm</t>
  </si>
  <si>
    <t>DISCOS DE CORTE ABRASIVO; DIAMETRO EXTERIOR: 115 mm, ESPESOR: 1,6 mm, USO: AMOLADORA, TIPO: DE CORTE</t>
  </si>
  <si>
    <t>SALUD MENTAL</t>
  </si>
  <si>
    <t>TOTAL SALUD MENTAL</t>
  </si>
  <si>
    <t>2.1.1-3380.9</t>
  </si>
  <si>
    <t>TURRONES; VARIEDAD: MANI, TIPO: DURO, PRESENTACION: ENVASE X 120 GR</t>
  </si>
  <si>
    <t>2.5.6-797.1</t>
  </si>
  <si>
    <t>2.5.6</t>
  </si>
  <si>
    <t>NAFTA SUPER; TIPO: SUPER, PRESENTACION: GRANEL, OCTANO: 95, DESTINO: SIN VALOR</t>
  </si>
  <si>
    <t>TOTAL FERRETERIA</t>
  </si>
  <si>
    <t>2.9.4-1184.35</t>
  </si>
  <si>
    <t>BAZAR Y MENAJE</t>
  </si>
  <si>
    <t>2.9.4</t>
  </si>
  <si>
    <t>VASOS; MATERIAL: POLIESTIRENO, TIPO: DESCARTABLE, CAPACIDAD: 300 CM3</t>
  </si>
  <si>
    <t>2.9.4-1184.26</t>
  </si>
  <si>
    <t>VASOS; MATERIAL: PLASTICO, TIPO: AGUA, CAPACIDAD: 200 mL</t>
  </si>
  <si>
    <t>2.9.4-690.16</t>
  </si>
  <si>
    <t>CUCHARAS; TIPO: TE, MATERIAL: PLASTICO</t>
  </si>
  <si>
    <t>2.9.4-1015.6</t>
  </si>
  <si>
    <t>BANDEJAS DE MESA; MATERIAL: PLASTICO, DIMENSION: SIN VALOR, FORMATO: OVALADO, FORMA: OVALADO</t>
  </si>
  <si>
    <t>3.9.9-9814.1</t>
  </si>
  <si>
    <t>3.9.9</t>
  </si>
  <si>
    <t>S. CATERING C/VAJILLA RETORNAB; DESCRIPCION: S. CATERING C/VAJILLA RETORNAB</t>
  </si>
  <si>
    <t>2.5.8-1055.9</t>
  </si>
  <si>
    <t>2.5.8</t>
  </si>
  <si>
    <t>BANDEJAS DE PLASTICO; MATERIAL: POLIPROPILENO, LARGO X ANCHO: 24 X 17 Cm, FORMA: OVAL, PRESENTACION: BOLSA X 50</t>
  </si>
  <si>
    <t>2.5.8-1055.14</t>
  </si>
  <si>
    <t>BANDEJAS DE PLASTICO; MATERIAL: PLASTICO RESISTENTE AL CALOR, PRESENTACION: POR UNIDAD, FORMA: RECTANGULAR, LARGO X ANCHO: 23 X 28 Cm</t>
  </si>
  <si>
    <t>2.5.8-1055.2</t>
  </si>
  <si>
    <t>BANDEJAS DE PLASTICO; MATERIAL: POLIPROPILENO, LARGO X ANCHO: 18 X 13 Cm, PRESENTACION: CAJA X 1000, FORMA: RECTANGULAR</t>
  </si>
  <si>
    <t>2.9.4-587.20</t>
  </si>
  <si>
    <t>CUBIERTOS PLASTICOS; MATERIAL: POLIESTIRENO, ELEMENTO: VARILLA REVOLVEDORA, PRESENTACION: BOLSA X 1000 UN</t>
  </si>
  <si>
    <t>2.9.4-587.3</t>
  </si>
  <si>
    <t>CUBIERTOS PLASTICOS; MATERIAL: POLIESTIRENO, ELEMENTO: CUCHARA TE, PRESENTACION: CAJA X 2000</t>
  </si>
  <si>
    <t>2.9.4-587.6</t>
  </si>
  <si>
    <t>CUBIERTOS PLASTICOS; MATERIAL: POLIESTIRENO, ELEMENTO: TENEDOR, PRESENTACION: CAJA X 1000</t>
  </si>
  <si>
    <t>2.9.4-587.8</t>
  </si>
  <si>
    <t>CUBIERTOS PLASTICOS; MATERIAL: POLIESTIRENO, PRESENTACION: CAJA X 1000, ELEMENTO: CUCHILLO</t>
  </si>
  <si>
    <t>2.9.4-588.33</t>
  </si>
  <si>
    <t>VASOS PLASTICOS DESCARTABLES; MATERIAL: POLIESTIRENO, MOTIVO: LISO, CAPACIDAD: 180 CM3, TIPO: BLANCOS, PRESENTACION: CAJA X 500</t>
  </si>
  <si>
    <t>AREAS Y DPAS</t>
  </si>
  <si>
    <t>TOTAL DPAS</t>
  </si>
  <si>
    <t>NEUMATICOS; VEHICULO: AMBULANCIA/FURGON/MINIBUS, CONSTRUCCION: RADIAL, ARMADO: S/CAMARA, MEDIDA: 205/75R16</t>
  </si>
  <si>
    <t>2.4.4-6818.986</t>
  </si>
  <si>
    <t>NEUMATICOS; VEHICULO: AMBULANCIA/FURGON/MINIBUS, CONSTRUCCION: RADIAL, ARMADO: S/CAMARA, MEDIDA: 195/70-R15</t>
  </si>
  <si>
    <t>2.4.4-6818.980</t>
  </si>
  <si>
    <t>NEUMATICOS; VEHICULO: UTILITARIO, CONSTRUCCION: RADIAL, ARMADO: S/CAMARA, MEDIDA: 225/75-R16C</t>
  </si>
  <si>
    <t>2.4.4-6818.993</t>
  </si>
  <si>
    <t>NEUMATICOS; VEHICULO: UTILITARIO, CONSTRUCCION: C/CLAVOS, ARMADO: S/CAMARA, MEDIDA: 235/75R15</t>
  </si>
  <si>
    <t>2.4.4-6818.983</t>
  </si>
  <si>
    <t>NEUMATICOS; VEHICULO: UTILITARIO, CONSTRUCCION: RADIAL, ARMADO: SIN CAMARA, MEDIDA: 185/65R15</t>
  </si>
  <si>
    <t>2.4.4-6818.746</t>
  </si>
  <si>
    <t>NEUMATICOS; VEHICULO: CAMIONETA, CONSTRUCCION: RADIAL, ARMADO: SIN CAMARA, MEDIDA: 235/70R16</t>
  </si>
  <si>
    <t>2.4.4-6818.826</t>
  </si>
  <si>
    <t>NEUMATICOS; VEHICULO: CAMIONETA, CONSTRUCCION: RADIAL, ARMADO: S/CAMARA, MEDIDA: 245/65 R17</t>
  </si>
  <si>
    <t>2.4.4-6818.751</t>
  </si>
  <si>
    <t>NEUMATICOS; VEHICULO: CAMIONETA, CONSTRUCCION: RADIAL, ARMADO: S/CAMARA, MEDIDA: 225/70 R17</t>
  </si>
  <si>
    <t>2.4.4-6818.989</t>
  </si>
  <si>
    <t>NEUMATICOS; VEHICULO: CAMIONETA, CONSTRUCCION: RADIAL, ARMADO: S/CAMARA, MEDIDA: 215/80R16</t>
  </si>
  <si>
    <t>2.4.4-6818.52</t>
  </si>
  <si>
    <t>NEUMATICOS; VEHICULO: CAMIONETA, CONSTRUCCION: RADIAL, ARMADO: S/CAMARA, MEDIDA: 265/70R16</t>
  </si>
  <si>
    <t>2.4.4-6818.811</t>
  </si>
  <si>
    <t>NEUMATICOS; VEHICULO: CAMIONETA, CONSTRUCCION: RADIAL, ARMADO: S/CAMARA, MEDIDA: 215/75R16</t>
  </si>
  <si>
    <t>2.4.4-6818.60</t>
  </si>
  <si>
    <t>NEUMATICOS; VEHICULO: CAMIONETA, CONSTRUCCION: RADIAL, ARMADO: S/CAMARA, MEDIDA: 235/70R15</t>
  </si>
  <si>
    <t>2.4.4-6818.43</t>
  </si>
  <si>
    <t>2.4.4</t>
  </si>
  <si>
    <t>TOTAL DEL RUBRO BAZAR</t>
  </si>
  <si>
    <t>AGUJA ESPINAL 18 G X 3-1/2</t>
  </si>
  <si>
    <t>INSUMO COMPLEJO</t>
  </si>
  <si>
    <t xml:space="preserve">AGUJA ESPINAL 27G 3 1/2 PUNTA LAPIZ </t>
  </si>
  <si>
    <t>AGUJA ESPINAL Nº 20</t>
  </si>
  <si>
    <t xml:space="preserve">Aguja espinal para obesos  27 G </t>
  </si>
  <si>
    <t xml:space="preserve">CEPILLO PARA CIRUGIA  DESCARTABLE ESTERIL </t>
  </si>
  <si>
    <t>TOTAL</t>
  </si>
  <si>
    <t xml:space="preserve">Especificidades </t>
  </si>
  <si>
    <t>Descripción técnica</t>
  </si>
  <si>
    <t>Plazos de entrega</t>
  </si>
  <si>
    <t>veinte (20) dias habiles</t>
  </si>
  <si>
    <t>Lugar de Entrega:</t>
  </si>
  <si>
    <t>Calidad Minima esperada</t>
  </si>
  <si>
    <t>Mantenimiento</t>
  </si>
  <si>
    <t>cuarenta y cinco (45) días</t>
  </si>
  <si>
    <t>NOTA DE PEDIDO</t>
  </si>
  <si>
    <t>N°</t>
  </si>
  <si>
    <t xml:space="preserve">JURISDICCIÓN: </t>
  </si>
  <si>
    <t>040 - Ministerio de Salud</t>
  </si>
  <si>
    <t>SAF:</t>
  </si>
  <si>
    <t>011 - Direccion Provincial de Administración - Ministerio de Salud</t>
  </si>
  <si>
    <t>UNIDAD EJECUTORA:</t>
  </si>
  <si>
    <t xml:space="preserve">DEPENDENCIA SOLICITANTE: </t>
  </si>
  <si>
    <t>PERIODO UTILIZACIÓN:</t>
  </si>
  <si>
    <t>2° TRIMESTRE</t>
  </si>
  <si>
    <t>OBJETO:</t>
  </si>
  <si>
    <t>Ítem</t>
  </si>
  <si>
    <t>Codigo Item</t>
  </si>
  <si>
    <t>DESCRIPCIÓN</t>
  </si>
  <si>
    <t>Adjunta Detalle Técnico</t>
  </si>
  <si>
    <t>Unidad Medida</t>
  </si>
  <si>
    <t>Precio Unitario Estimado</t>
  </si>
  <si>
    <t>Cantidad Solicitada</t>
  </si>
  <si>
    <t>SI</t>
  </si>
  <si>
    <t>AUTORIZACION PARA GASTAR</t>
  </si>
  <si>
    <t>JURISDICCIÓN:</t>
  </si>
  <si>
    <t>011- Dirección Provincial de Administración</t>
  </si>
  <si>
    <t>469 - DIRECCION PROVINCIAL DE FARMACIA E INSUMOS</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</si>
  <si>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</si>
  <si>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</si>
  <si>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</si>
  <si>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</si>
  <si>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</si>
  <si>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</si>
  <si>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</si>
  <si>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</si>
  <si>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</si>
  <si>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</si>
  <si>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</si>
  <si>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</si>
  <si>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</si>
  <si>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</si>
  <si>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</si>
  <si>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</si>
  <si>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</si>
  <si>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FF</t>
  </si>
  <si>
    <t>1.1</t>
  </si>
  <si>
    <t>Útiles Menores Médico, Quirúrgico y de Laboratorio</t>
  </si>
  <si>
    <t>JUSTIFICACIÓN:</t>
  </si>
  <si>
    <t>Adquisicion de InsumosComplejos</t>
  </si>
  <si>
    <t>Adquisición de Insumos Complejos.</t>
  </si>
  <si>
    <t>Autorizo la realización de los  trámites correspondientes, a fin de proveer a  este Organismo los bienes que se detallan en Nota de pedido y Entrega N°08/2021,  afectando la erogación resultante a los créditos presupuestarios aprobados a favor de esta Unidad Ejecutora, conforme al siguiente detalle:</t>
  </si>
  <si>
    <t xml:space="preserve"> 08/2021</t>
  </si>
  <si>
    <t>Otros No Especificados Precedentemente (N.E.P.)</t>
  </si>
  <si>
    <t>TOTAL DE PESOS:  TRES MILLONES SESENTA Y DOS MIL QUINIENTOS VEINTE CON 00/100</t>
  </si>
  <si>
    <t>DIR. PROV. DE FARMACIA E INSUMOS - CHACABUCO N° 169 - en el horario de 8:00hs a 12:00hs de lunes a viernes</t>
  </si>
  <si>
    <t xml:space="preserve">ANEXO
1-Para oferentes de la Provincia de Catamarca deberán presentes Habilitación Provincial para comercializar el producto que cotizan. 
2-Para el resto de oferentes deberán presentar Certificado de Inscripción de ANMAT vigente al momento de la oferta y de encontrarse vencido adjuntar la solicitud de renovación. 
3-No se aceptarán ofertas de productos médicos, si no están registrados y autorizada su venta por ANMAT. Cuando se cotice productos médicos deberá adjuntarse el número de certificado bajo el cual se hallen registrados. 
4-Presentar Nº de ANMAT.
5-Los productos deberán tener un vencimiento posterior a dieciocho (18) meses  a partir de la fecha de su recepción.
6-Se podra solicitar muestra en caso de necesitar analisis de calidad.  </t>
  </si>
  <si>
    <t>Costo total estimado: TRES MILLONES SESENTA Y DOS MIL QUINIENTOS VEINTE CON 00/100</t>
  </si>
</sst>
</file>

<file path=xl/styles.xml><?xml version="1.0" encoding="utf-8"?>
<styleSheet xmlns="http://schemas.openxmlformats.org/spreadsheetml/2006/main">
  <numFmts count="17">
    <numFmt numFmtId="6" formatCode="&quot;$&quot;\ #,##0;[Red]&quot;$&quot;\ \-#,##0"/>
    <numFmt numFmtId="7" formatCode="&quot;$&quot;\ #,##0.00;&quot;$&quot;\ \-#,##0.00"/>
    <numFmt numFmtId="44" formatCode="_ &quot;$&quot;\ * #,##0.00_ ;_ &quot;$&quot;\ * \-#,##0.00_ ;_ &quot;$&quot;\ * &quot;-&quot;??_ ;_ @_ "/>
    <numFmt numFmtId="164" formatCode="_-* #,##0.00_-;\-* #,##0.00_-;_-* &quot;-&quot;??_-;_-@_-"/>
    <numFmt numFmtId="165" formatCode="&quot;$&quot;\ #,##0.00;\-&quot;$&quot;\ #,##0.00"/>
    <numFmt numFmtId="166" formatCode="_-&quot;$&quot;\ * #,##0.00_-;\-&quot;$&quot;\ * #,##0.00_-;_-&quot;$&quot;\ * &quot;-&quot;??_-;_-@_-"/>
    <numFmt numFmtId="167" formatCode="_-* #,##0.00&quot; €&quot;_-;\-* #,##0.00&quot; €&quot;_-;_-* \-??&quot; €&quot;_-;_-@_-"/>
    <numFmt numFmtId="168" formatCode="_-[$$-2C0A]\ * #,##0.00_-;\-[$$-2C0A]\ * #,##0.00_-;_-[$$-2C0A]\ * &quot;-&quot;??_-;_-@_-"/>
    <numFmt numFmtId="169" formatCode="[$$-2C0A]\ #,##0.00;[$$-2C0A]&quot; -&quot;#,##0.00"/>
    <numFmt numFmtId="170" formatCode="_ [$$-2C0A]\ * #,##0.00_ ;_ [$$-2C0A]\ * \-#,##0.00_ ;_ [$$-2C0A]\ * &quot;-&quot;??_ ;_ @_ "/>
    <numFmt numFmtId="171" formatCode="[$$-2C0A]\ #,##0.00"/>
    <numFmt numFmtId="172" formatCode="&quot;$&quot;\ #,##0.00"/>
    <numFmt numFmtId="173" formatCode="_-[$$-2C0A]* #,##0.00_-;\-[$$-2C0A]* #,##0.00_-;_-[$$-2C0A]* &quot;-&quot;??_-;_-@_-"/>
    <numFmt numFmtId="174" formatCode="&quot;$&quot;#,##0.00"/>
    <numFmt numFmtId="175" formatCode="_(\$* #,##0.00_);_(\$* \(#,##0.00\);_(\$* \-??_);_(@_)"/>
    <numFmt numFmtId="176" formatCode="_-&quot;$&quot;\ * #,##0.000_-;\-&quot;$&quot;\ * #,##0.000_-;_-&quot;$&quot;\ * &quot;-&quot;??_-;_-@_-"/>
    <numFmt numFmtId="177" formatCode="dd\-mm\-yy;@"/>
  </numFmts>
  <fonts count="50">
    <font>
      <sz val="10"/>
      <name val="Arial"/>
      <charset val="1"/>
    </font>
    <font>
      <sz val="11"/>
      <color theme="1"/>
      <name val="Calibri"/>
      <family val="2"/>
      <scheme val="minor"/>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b/>
      <sz val="12"/>
      <color rgb="FF000000"/>
      <name val="Times New Roman"/>
      <family val="1"/>
    </font>
    <font>
      <sz val="10"/>
      <name val="Arial"/>
      <family val="2"/>
    </font>
    <font>
      <sz val="11"/>
      <name val="Arial"/>
      <family val="2"/>
    </font>
    <font>
      <sz val="11"/>
      <color rgb="FF333333"/>
      <name val="Arial"/>
      <family val="2"/>
    </font>
    <font>
      <sz val="11"/>
      <color theme="1"/>
      <name val="Arial"/>
      <family val="2"/>
    </font>
    <font>
      <sz val="11"/>
      <color rgb="FF000000"/>
      <name val="Arial"/>
      <family val="2"/>
    </font>
    <font>
      <b/>
      <sz val="14"/>
      <name val="Arial"/>
      <family val="2"/>
    </font>
    <font>
      <sz val="11"/>
      <color rgb="FFFF0000"/>
      <name val="Arial"/>
      <family val="2"/>
    </font>
    <font>
      <b/>
      <sz val="20"/>
      <name val="Times New Roman"/>
      <family val="1"/>
    </font>
    <font>
      <b/>
      <sz val="12"/>
      <color rgb="FFFF0000"/>
      <name val="Arial"/>
      <family val="2"/>
    </font>
    <font>
      <sz val="11"/>
      <name val="Times New Roman"/>
      <family val="1"/>
    </font>
    <font>
      <sz val="8"/>
      <color theme="1"/>
      <name val="Times New Roman"/>
      <family val="1"/>
      <charset val="1"/>
    </font>
    <font>
      <sz val="8"/>
      <color theme="1"/>
      <name val="Arial"/>
      <family val="2"/>
    </font>
    <font>
      <sz val="8"/>
      <color theme="1"/>
      <name val="Calibri"/>
      <family val="2"/>
      <scheme val="minor"/>
    </font>
    <font>
      <b/>
      <sz val="10"/>
      <name val="Times New Roman"/>
      <family val="1"/>
    </font>
    <font>
      <sz val="11"/>
      <color rgb="FF000000"/>
      <name val="Times New Roman"/>
      <family val="1"/>
    </font>
    <font>
      <sz val="8"/>
      <name val="Times New Roman"/>
      <family val="1"/>
      <charset val="1"/>
    </font>
    <font>
      <b/>
      <sz val="11"/>
      <name val="Arial"/>
      <family val="2"/>
    </font>
    <font>
      <b/>
      <sz val="11"/>
      <color rgb="FF333333"/>
      <name val="Arial"/>
      <family val="2"/>
    </font>
    <font>
      <sz val="10"/>
      <name val="Arial"/>
      <family val="2"/>
    </font>
    <font>
      <b/>
      <sz val="10"/>
      <name val="Arial"/>
      <family val="2"/>
    </font>
    <font>
      <sz val="9"/>
      <name val="Arial"/>
      <family val="2"/>
    </font>
    <font>
      <sz val="11"/>
      <name val="Calibri"/>
      <family val="2"/>
      <scheme val="minor"/>
    </font>
    <font>
      <sz val="9"/>
      <name val="Times New Roman"/>
      <family val="1"/>
    </font>
    <font>
      <b/>
      <sz val="9"/>
      <name val="Arial"/>
      <family val="2"/>
    </font>
    <font>
      <b/>
      <sz val="10"/>
      <color theme="1"/>
      <name val="Times New Roman"/>
      <family val="1"/>
    </font>
    <font>
      <sz val="12"/>
      <color rgb="FFFF0000"/>
      <name val="Arial"/>
      <family val="2"/>
    </font>
    <font>
      <sz val="10"/>
      <name val="Arial"/>
      <family val="2"/>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sz val="10"/>
      <color theme="0"/>
      <name val="Arial"/>
      <family val="2"/>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s>
  <fills count="10">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C0C0C0"/>
        <bgColor rgb="FFCCCCFF"/>
      </patternFill>
    </fill>
    <fill>
      <patternFill patternType="solid">
        <fgColor theme="0"/>
        <bgColor rgb="FFCCCCFF"/>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6B8B7"/>
        <bgColor indexed="64"/>
      </patternFill>
    </fill>
  </fills>
  <borders count="83">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indexed="64"/>
      </bottom>
      <diagonal/>
    </border>
    <border>
      <left/>
      <right style="medium">
        <color indexed="64"/>
      </right>
      <top/>
      <bottom/>
      <diagonal/>
    </border>
    <border>
      <left/>
      <right/>
      <top style="thin">
        <color auto="1"/>
      </top>
      <bottom/>
      <diagonal/>
    </border>
    <border>
      <left/>
      <right style="medium">
        <color indexed="64"/>
      </right>
      <top/>
      <bottom style="thin">
        <color auto="1"/>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24">
    <xf numFmtId="0" fontId="0" fillId="0" borderId="0"/>
    <xf numFmtId="167" fontId="5" fillId="0" borderId="0" applyBorder="0" applyProtection="0"/>
    <xf numFmtId="0" fontId="3" fillId="0" borderId="1" applyProtection="0"/>
    <xf numFmtId="0" fontId="4" fillId="2" borderId="0" applyBorder="0" applyProtection="0"/>
    <xf numFmtId="0" fontId="11" fillId="0" borderId="0"/>
    <xf numFmtId="44" fontId="11" fillId="0" borderId="0" applyBorder="0" applyAlignment="0" applyProtection="0"/>
    <xf numFmtId="0" fontId="11" fillId="0" borderId="0"/>
    <xf numFmtId="0" fontId="11" fillId="0" borderId="0"/>
    <xf numFmtId="0" fontId="11" fillId="0" borderId="0"/>
    <xf numFmtId="0" fontId="2" fillId="0" borderId="0"/>
    <xf numFmtId="0" fontId="5" fillId="0" borderId="0"/>
    <xf numFmtId="167" fontId="5" fillId="0" borderId="0" applyBorder="0" applyProtection="0"/>
    <xf numFmtId="0" fontId="3" fillId="0" borderId="1" applyProtection="0"/>
    <xf numFmtId="0" fontId="5" fillId="0" borderId="0"/>
    <xf numFmtId="44" fontId="5" fillId="0" borderId="0" applyBorder="0" applyAlignment="0" applyProtection="0"/>
    <xf numFmtId="0" fontId="5" fillId="0" borderId="0"/>
    <xf numFmtId="0" fontId="5" fillId="0" borderId="0"/>
    <xf numFmtId="0" fontId="5" fillId="0" borderId="0"/>
    <xf numFmtId="0" fontId="29" fillId="0" borderId="0"/>
    <xf numFmtId="0" fontId="1" fillId="0" borderId="0"/>
    <xf numFmtId="0" fontId="1" fillId="0" borderId="0"/>
    <xf numFmtId="164" fontId="1" fillId="0" borderId="0" applyFont="0" applyFill="0" applyBorder="0" applyAlignment="0" applyProtection="0"/>
    <xf numFmtId="167" fontId="5" fillId="0" borderId="0" applyBorder="0" applyProtection="0"/>
    <xf numFmtId="175" fontId="37" fillId="0" borderId="0" applyBorder="0" applyProtection="0"/>
  </cellStyleXfs>
  <cellXfs count="476">
    <xf numFmtId="0" fontId="0" fillId="0" borderId="0" xfId="0"/>
    <xf numFmtId="0" fontId="6" fillId="0" borderId="0" xfId="0" applyFont="1"/>
    <xf numFmtId="0" fontId="8" fillId="0" borderId="0" xfId="0" applyFont="1" applyAlignment="1">
      <alignment horizontal="center" wrapText="1"/>
    </xf>
    <xf numFmtId="0" fontId="6" fillId="0" borderId="0" xfId="0" applyFont="1" applyAlignment="1">
      <alignment horizontal="center"/>
    </xf>
    <xf numFmtId="0" fontId="9" fillId="0" borderId="0" xfId="0" applyFont="1" applyFill="1" applyAlignment="1">
      <alignment horizontal="center" wrapText="1"/>
    </xf>
    <xf numFmtId="3" fontId="12" fillId="4" borderId="2" xfId="0" applyNumberFormat="1" applyFont="1" applyFill="1" applyBorder="1" applyAlignment="1">
      <alignment horizontal="center" vertical="center" wrapText="1"/>
    </xf>
    <xf numFmtId="0" fontId="6" fillId="4" borderId="0" xfId="0" applyFont="1" applyFill="1"/>
    <xf numFmtId="0" fontId="23" fillId="0" borderId="0" xfId="0" applyFont="1" applyBorder="1" applyAlignment="1">
      <alignment horizontal="left" vertical="center" wrapText="1"/>
    </xf>
    <xf numFmtId="0" fontId="22" fillId="0" borderId="0" xfId="0" applyFont="1" applyBorder="1" applyAlignment="1">
      <alignment horizontal="left"/>
    </xf>
    <xf numFmtId="0" fontId="23" fillId="0" borderId="8" xfId="0" applyFont="1" applyBorder="1" applyAlignment="1">
      <alignment horizontal="left" vertical="center" wrapText="1"/>
    </xf>
    <xf numFmtId="0" fontId="22" fillId="0" borderId="0" xfId="0" applyFont="1" applyBorder="1" applyAlignment="1">
      <alignment horizontal="center" wrapText="1"/>
    </xf>
    <xf numFmtId="0" fontId="24" fillId="0" borderId="0" xfId="0" applyFont="1" applyAlignment="1">
      <alignment wrapText="1"/>
    </xf>
    <xf numFmtId="0" fontId="22" fillId="0" borderId="17" xfId="0" applyFont="1" applyBorder="1" applyAlignment="1"/>
    <xf numFmtId="0" fontId="22" fillId="0" borderId="9" xfId="0" applyFont="1" applyBorder="1" applyAlignment="1">
      <alignment horizontal="left"/>
    </xf>
    <xf numFmtId="0" fontId="22" fillId="0" borderId="8" xfId="0" applyFont="1" applyBorder="1" applyAlignment="1">
      <alignment horizontal="left"/>
    </xf>
    <xf numFmtId="0" fontId="22" fillId="4" borderId="21" xfId="0" applyFont="1" applyFill="1" applyBorder="1" applyAlignment="1">
      <alignment horizontal="left" vertical="top"/>
    </xf>
    <xf numFmtId="0" fontId="22" fillId="4" borderId="20" xfId="0" applyFont="1" applyFill="1" applyBorder="1" applyAlignment="1">
      <alignment horizontal="left" vertical="top"/>
    </xf>
    <xf numFmtId="0" fontId="22" fillId="0" borderId="21" xfId="0" applyFont="1" applyBorder="1" applyAlignment="1">
      <alignment horizontal="left"/>
    </xf>
    <xf numFmtId="0" fontId="22" fillId="0" borderId="20" xfId="0" applyFont="1" applyBorder="1" applyAlignment="1">
      <alignment horizontal="left"/>
    </xf>
    <xf numFmtId="0" fontId="22" fillId="4" borderId="21" xfId="0" applyFont="1" applyFill="1" applyBorder="1" applyAlignment="1">
      <alignment horizontal="left"/>
    </xf>
    <xf numFmtId="0" fontId="22" fillId="4" borderId="20" xfId="0" applyFont="1" applyFill="1" applyBorder="1" applyAlignment="1">
      <alignment horizontal="left"/>
    </xf>
    <xf numFmtId="0" fontId="22" fillId="0" borderId="12" xfId="0" applyFont="1" applyBorder="1" applyAlignment="1">
      <alignment horizontal="left"/>
    </xf>
    <xf numFmtId="0" fontId="22" fillId="0" borderId="4" xfId="0" applyFont="1" applyBorder="1" applyAlignment="1">
      <alignment horizontal="left"/>
    </xf>
    <xf numFmtId="0" fontId="22" fillId="0" borderId="0" xfId="0" applyFont="1" applyBorder="1" applyAlignment="1">
      <alignment horizontal="center"/>
    </xf>
    <xf numFmtId="0" fontId="22" fillId="0" borderId="11" xfId="0" applyFont="1" applyBorder="1" applyAlignment="1">
      <alignment horizontal="center"/>
    </xf>
    <xf numFmtId="0" fontId="22" fillId="0" borderId="10" xfId="0" applyFont="1" applyBorder="1" applyAlignment="1">
      <alignment horizontal="center"/>
    </xf>
    <xf numFmtId="0" fontId="22" fillId="0" borderId="13" xfId="0" applyFont="1" applyBorder="1" applyAlignment="1">
      <alignment horizontal="center"/>
    </xf>
    <xf numFmtId="0" fontId="22" fillId="0" borderId="9" xfId="0" applyFont="1" applyBorder="1" applyAlignment="1">
      <alignment horizontal="center" wrapText="1"/>
    </xf>
    <xf numFmtId="0" fontId="22" fillId="0" borderId="14" xfId="0" applyFont="1" applyBorder="1" applyAlignment="1">
      <alignment horizontal="center" wrapText="1"/>
    </xf>
    <xf numFmtId="1" fontId="8" fillId="0" borderId="0" xfId="0" applyNumberFormat="1" applyFont="1" applyAlignment="1">
      <alignment horizontal="center" wrapText="1"/>
    </xf>
    <xf numFmtId="1" fontId="6" fillId="0" borderId="0" xfId="0" applyNumberFormat="1" applyFont="1" applyAlignment="1">
      <alignment horizontal="center"/>
    </xf>
    <xf numFmtId="0" fontId="22" fillId="0" borderId="10" xfId="0" applyFont="1" applyBorder="1" applyAlignment="1">
      <alignment horizontal="center"/>
    </xf>
    <xf numFmtId="0" fontId="22" fillId="0" borderId="13" xfId="0" applyFont="1" applyBorder="1" applyAlignment="1">
      <alignment horizontal="center"/>
    </xf>
    <xf numFmtId="0" fontId="15" fillId="4" borderId="23" xfId="0" applyFont="1" applyFill="1" applyBorder="1" applyAlignment="1">
      <alignment horizontal="center" vertical="center" wrapText="1"/>
    </xf>
    <xf numFmtId="0" fontId="12" fillId="4" borderId="23" xfId="4" applyFont="1" applyFill="1" applyBorder="1" applyAlignment="1">
      <alignment horizontal="center" vertical="center" wrapText="1"/>
    </xf>
    <xf numFmtId="172" fontId="12" fillId="4" borderId="23"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171" fontId="12" fillId="4" borderId="23" xfId="0" applyNumberFormat="1" applyFont="1" applyFill="1" applyBorder="1" applyAlignment="1">
      <alignment horizontal="center" vertical="center" wrapText="1"/>
    </xf>
    <xf numFmtId="3" fontId="12" fillId="4" borderId="23" xfId="0" applyNumberFormat="1" applyFont="1" applyFill="1" applyBorder="1" applyAlignment="1">
      <alignment horizontal="center" vertical="center" wrapText="1"/>
    </xf>
    <xf numFmtId="166" fontId="12" fillId="4" borderId="23" xfId="0" applyNumberFormat="1" applyFont="1" applyFill="1" applyBorder="1" applyAlignment="1">
      <alignment horizontal="center" vertical="center" wrapText="1"/>
    </xf>
    <xf numFmtId="0" fontId="22" fillId="0" borderId="24" xfId="0" applyFont="1" applyBorder="1" applyAlignment="1">
      <alignment horizontal="center" wrapText="1"/>
    </xf>
    <xf numFmtId="0" fontId="22" fillId="4" borderId="24" xfId="0" applyFont="1" applyFill="1" applyBorder="1" applyAlignment="1">
      <alignment horizontal="left" vertical="top"/>
    </xf>
    <xf numFmtId="0" fontId="22" fillId="0" borderId="24" xfId="0" applyFont="1" applyBorder="1" applyAlignment="1">
      <alignment horizontal="left"/>
    </xf>
    <xf numFmtId="0" fontId="22" fillId="4" borderId="24" xfId="0" applyFont="1" applyFill="1" applyBorder="1" applyAlignment="1">
      <alignment horizontal="left"/>
    </xf>
    <xf numFmtId="0" fontId="14" fillId="0" borderId="23" xfId="0" applyFont="1" applyBorder="1" applyAlignment="1">
      <alignment horizontal="center" vertical="center" wrapText="1"/>
    </xf>
    <xf numFmtId="0" fontId="12" fillId="0" borderId="23" xfId="4" applyFont="1" applyBorder="1" applyAlignment="1">
      <alignment horizontal="center" vertical="center"/>
    </xf>
    <xf numFmtId="0" fontId="12" fillId="0" borderId="23" xfId="13" applyFont="1" applyBorder="1" applyAlignment="1">
      <alignment horizontal="center" vertical="center"/>
    </xf>
    <xf numFmtId="0" fontId="12" fillId="0" borderId="23" xfId="13" applyFont="1" applyBorder="1" applyAlignment="1">
      <alignment horizontal="center" vertical="center" wrapText="1"/>
    </xf>
    <xf numFmtId="3" fontId="12" fillId="0" borderId="23" xfId="13" applyNumberFormat="1" applyFont="1" applyBorder="1" applyAlignment="1">
      <alignment horizontal="center" vertical="center" wrapText="1"/>
    </xf>
    <xf numFmtId="0" fontId="12" fillId="0" borderId="23" xfId="4" applyFont="1" applyBorder="1" applyAlignment="1">
      <alignment horizontal="center" vertical="center" wrapText="1"/>
    </xf>
    <xf numFmtId="171" fontId="12" fillId="0" borderId="23" xfId="4" applyNumberFormat="1" applyFont="1" applyBorder="1" applyAlignment="1">
      <alignment horizontal="center" vertical="center" wrapText="1"/>
    </xf>
    <xf numFmtId="1" fontId="12" fillId="0" borderId="23" xfId="4" applyNumberFormat="1" applyFont="1" applyBorder="1" applyAlignment="1">
      <alignment horizontal="center" vertical="center" wrapText="1"/>
    </xf>
    <xf numFmtId="0" fontId="12" fillId="0" borderId="23" xfId="0" applyFont="1" applyBorder="1" applyAlignment="1">
      <alignment horizontal="center" vertical="center" wrapText="1"/>
    </xf>
    <xf numFmtId="0" fontId="15" fillId="0" borderId="23" xfId="0" applyFont="1" applyBorder="1" applyAlignment="1">
      <alignment horizontal="center" vertical="center" wrapText="1"/>
    </xf>
    <xf numFmtId="0" fontId="15" fillId="3" borderId="23" xfId="0" applyFont="1" applyFill="1" applyBorder="1" applyAlignment="1">
      <alignment horizontal="center" vertical="center" wrapText="1"/>
    </xf>
    <xf numFmtId="1" fontId="15" fillId="4" borderId="23" xfId="0" applyNumberFormat="1" applyFont="1" applyFill="1" applyBorder="1" applyAlignment="1">
      <alignment horizontal="center" vertical="center" wrapText="1"/>
    </xf>
    <xf numFmtId="0" fontId="13" fillId="0" borderId="23" xfId="0" applyFont="1" applyBorder="1" applyAlignment="1">
      <alignment horizontal="center" vertical="center" wrapText="1"/>
    </xf>
    <xf numFmtId="170" fontId="12" fillId="0" borderId="23" xfId="4" applyNumberFormat="1" applyFont="1" applyBorder="1" applyAlignment="1">
      <alignment horizontal="center" vertical="center" wrapText="1"/>
    </xf>
    <xf numFmtId="170" fontId="12" fillId="4" borderId="23" xfId="4" applyNumberFormat="1"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3" xfId="4" applyFont="1" applyFill="1" applyBorder="1" applyAlignment="1">
      <alignment horizontal="center" vertical="center" wrapText="1"/>
    </xf>
    <xf numFmtId="0" fontId="12" fillId="5" borderId="23" xfId="0" applyFont="1" applyFill="1" applyBorder="1" applyAlignment="1">
      <alignment horizontal="center" vertical="center" wrapText="1"/>
    </xf>
    <xf numFmtId="0" fontId="12" fillId="4" borderId="23" xfId="6" applyFont="1" applyFill="1" applyBorder="1" applyAlignment="1">
      <alignment horizontal="center" vertical="center" wrapText="1"/>
    </xf>
    <xf numFmtId="1" fontId="14" fillId="4" borderId="23" xfId="4" applyNumberFormat="1" applyFont="1" applyFill="1" applyBorder="1" applyAlignment="1">
      <alignment horizontal="center" vertical="center" wrapText="1"/>
    </xf>
    <xf numFmtId="0" fontId="15" fillId="4" borderId="23" xfId="0" applyFont="1" applyFill="1" applyBorder="1" applyAlignment="1">
      <alignment horizontal="center" vertical="center"/>
    </xf>
    <xf numFmtId="1" fontId="12" fillId="4" borderId="23" xfId="4" applyNumberFormat="1" applyFont="1" applyFill="1" applyBorder="1" applyAlignment="1">
      <alignment horizontal="center" vertical="center" wrapText="1"/>
    </xf>
    <xf numFmtId="0" fontId="14" fillId="0" borderId="23" xfId="0" applyFont="1" applyBorder="1" applyAlignment="1">
      <alignment horizontal="center" vertical="center"/>
    </xf>
    <xf numFmtId="3" fontId="12" fillId="0" borderId="23" xfId="0" applyNumberFormat="1" applyFont="1" applyBorder="1" applyAlignment="1">
      <alignment horizontal="center" vertical="center"/>
    </xf>
    <xf numFmtId="0" fontId="12" fillId="0" borderId="23" xfId="0" applyFont="1" applyFill="1" applyBorder="1" applyAlignment="1">
      <alignment horizontal="center" vertical="center" wrapText="1"/>
    </xf>
    <xf numFmtId="1" fontId="12" fillId="0" borderId="23" xfId="13" applyNumberFormat="1" applyFont="1" applyBorder="1" applyAlignment="1">
      <alignment horizontal="center" vertical="center" wrapText="1"/>
    </xf>
    <xf numFmtId="0" fontId="12" fillId="0" borderId="23" xfId="0" applyFont="1" applyBorder="1" applyAlignment="1">
      <alignment horizontal="center" vertical="center"/>
    </xf>
    <xf numFmtId="3" fontId="14" fillId="0" borderId="23" xfId="0" applyNumberFormat="1" applyFont="1" applyBorder="1" applyAlignment="1">
      <alignment horizontal="center" vertical="center" wrapText="1"/>
    </xf>
    <xf numFmtId="172" fontId="12" fillId="0" borderId="23" xfId="4" applyNumberFormat="1" applyFont="1" applyBorder="1" applyAlignment="1">
      <alignment horizontal="center" vertical="center" wrapText="1"/>
    </xf>
    <xf numFmtId="172" fontId="12" fillId="0" borderId="23" xfId="0" applyNumberFormat="1" applyFont="1" applyBorder="1" applyAlignment="1">
      <alignment horizontal="center" vertical="center" wrapText="1"/>
    </xf>
    <xf numFmtId="172" fontId="6" fillId="0" borderId="0" xfId="0" applyNumberFormat="1" applyFont="1" applyAlignment="1">
      <alignment horizontal="center"/>
    </xf>
    <xf numFmtId="172" fontId="8" fillId="0" borderId="0" xfId="0" applyNumberFormat="1" applyFont="1" applyAlignment="1">
      <alignment horizontal="center" wrapText="1"/>
    </xf>
    <xf numFmtId="172" fontId="12" fillId="4" borderId="23" xfId="4" applyNumberFormat="1" applyFont="1" applyFill="1" applyBorder="1" applyAlignment="1">
      <alignment horizontal="center" vertical="center" wrapText="1"/>
    </xf>
    <xf numFmtId="172" fontId="12" fillId="0" borderId="23" xfId="13" applyNumberFormat="1" applyFont="1" applyBorder="1" applyAlignment="1">
      <alignment horizontal="center" vertical="center" wrapText="1"/>
    </xf>
    <xf numFmtId="172" fontId="14" fillId="0" borderId="23" xfId="1" applyNumberFormat="1" applyFont="1" applyFill="1" applyBorder="1" applyAlignment="1" applyProtection="1">
      <alignment vertical="center"/>
    </xf>
    <xf numFmtId="172" fontId="12" fillId="4" borderId="23" xfId="0" applyNumberFormat="1" applyFont="1" applyFill="1" applyBorder="1" applyAlignment="1">
      <alignment vertical="center"/>
    </xf>
    <xf numFmtId="172" fontId="12" fillId="0" borderId="23" xfId="0" applyNumberFormat="1" applyFont="1" applyBorder="1" applyAlignment="1">
      <alignment vertical="center"/>
    </xf>
    <xf numFmtId="3" fontId="6" fillId="0" borderId="0" xfId="0" applyNumberFormat="1" applyFont="1" applyAlignment="1">
      <alignment horizontal="center"/>
    </xf>
    <xf numFmtId="3" fontId="8" fillId="0" borderId="0" xfId="0" applyNumberFormat="1" applyFont="1" applyAlignment="1">
      <alignment horizontal="center" wrapText="1"/>
    </xf>
    <xf numFmtId="3" fontId="12" fillId="0" borderId="23" xfId="4" applyNumberFormat="1" applyFont="1" applyBorder="1" applyAlignment="1">
      <alignment horizontal="center" vertical="center" wrapText="1"/>
    </xf>
    <xf numFmtId="3" fontId="12" fillId="0" borderId="23" xfId="0" applyNumberFormat="1" applyFont="1" applyBorder="1" applyAlignment="1">
      <alignment horizontal="center" vertical="center" wrapText="1"/>
    </xf>
    <xf numFmtId="3" fontId="15" fillId="4" borderId="23" xfId="0" applyNumberFormat="1" applyFont="1" applyFill="1" applyBorder="1" applyAlignment="1">
      <alignment horizontal="center" vertical="center" wrapText="1"/>
    </xf>
    <xf numFmtId="3" fontId="12" fillId="4" borderId="23" xfId="4"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2" fillId="4" borderId="23" xfId="4" applyFont="1" applyFill="1" applyBorder="1" applyAlignment="1">
      <alignment horizontal="center" vertical="center"/>
    </xf>
    <xf numFmtId="0" fontId="0" fillId="0" borderId="0" xfId="0" applyBorder="1" applyAlignment="1">
      <alignment wrapText="1"/>
    </xf>
    <xf numFmtId="0" fontId="0" fillId="0" borderId="0" xfId="0" applyAlignment="1">
      <alignment wrapText="1"/>
    </xf>
    <xf numFmtId="0" fontId="0" fillId="0" borderId="6" xfId="0" applyBorder="1" applyAlignment="1">
      <alignment wrapText="1"/>
    </xf>
    <xf numFmtId="0" fontId="0" fillId="0" borderId="10" xfId="0" applyBorder="1" applyAlignment="1">
      <alignment wrapText="1"/>
    </xf>
    <xf numFmtId="0" fontId="0" fillId="0" borderId="5" xfId="0" applyBorder="1" applyAlignment="1">
      <alignment wrapText="1"/>
    </xf>
    <xf numFmtId="0" fontId="22" fillId="4" borderId="12" xfId="0" applyFont="1" applyFill="1" applyBorder="1" applyAlignment="1">
      <alignment horizontal="left"/>
    </xf>
    <xf numFmtId="0" fontId="22" fillId="4" borderId="4" xfId="0" applyFont="1" applyFill="1" applyBorder="1" applyAlignment="1">
      <alignment horizontal="left"/>
    </xf>
    <xf numFmtId="0" fontId="0" fillId="4" borderId="12" xfId="0" applyFill="1" applyBorder="1" applyAlignment="1">
      <alignment wrapText="1"/>
    </xf>
    <xf numFmtId="0" fontId="0" fillId="4" borderId="4" xfId="0" applyFill="1" applyBorder="1" applyAlignment="1">
      <alignment wrapText="1"/>
    </xf>
    <xf numFmtId="0" fontId="0" fillId="4" borderId="0" xfId="0" applyFill="1" applyAlignment="1">
      <alignment wrapText="1"/>
    </xf>
    <xf numFmtId="0" fontId="0" fillId="4" borderId="6" xfId="0" applyFill="1" applyBorder="1" applyAlignment="1">
      <alignment wrapText="1"/>
    </xf>
    <xf numFmtId="0" fontId="27" fillId="0" borderId="23" xfId="13" applyFont="1" applyBorder="1" applyAlignment="1">
      <alignment horizontal="center" vertical="center" wrapText="1"/>
    </xf>
    <xf numFmtId="3" fontId="6" fillId="0" borderId="0" xfId="0" applyNumberFormat="1" applyFont="1" applyAlignment="1">
      <alignment horizontal="center" vertical="center"/>
    </xf>
    <xf numFmtId="3" fontId="8" fillId="0" borderId="0" xfId="0" applyNumberFormat="1" applyFont="1" applyAlignment="1">
      <alignment horizontal="center" vertical="center" wrapText="1"/>
    </xf>
    <xf numFmtId="172" fontId="15" fillId="4" borderId="23" xfId="0" applyNumberFormat="1" applyFont="1" applyFill="1" applyBorder="1" applyAlignment="1">
      <alignment horizontal="center" vertical="center"/>
    </xf>
    <xf numFmtId="3" fontId="15" fillId="4" borderId="23" xfId="0" applyNumberFormat="1" applyFont="1" applyFill="1" applyBorder="1" applyAlignment="1">
      <alignment horizontal="center" vertical="center"/>
    </xf>
    <xf numFmtId="172" fontId="14" fillId="0" borderId="23" xfId="1" applyNumberFormat="1" applyFont="1" applyBorder="1" applyAlignment="1" applyProtection="1">
      <alignment vertical="center"/>
    </xf>
    <xf numFmtId="0" fontId="13" fillId="0" borderId="23" xfId="0" applyFont="1" applyBorder="1" applyAlignment="1">
      <alignment horizontal="center" vertical="center"/>
    </xf>
    <xf numFmtId="1" fontId="14" fillId="0" borderId="23" xfId="0" applyNumberFormat="1" applyFont="1" applyBorder="1" applyAlignment="1">
      <alignment horizontal="center" vertical="center"/>
    </xf>
    <xf numFmtId="1" fontId="14" fillId="0" borderId="23" xfId="0" applyNumberFormat="1" applyFont="1" applyBorder="1" applyAlignment="1">
      <alignment horizontal="center"/>
    </xf>
    <xf numFmtId="0" fontId="12" fillId="4" borderId="23" xfId="0" applyFont="1" applyFill="1" applyBorder="1" applyAlignment="1">
      <alignment horizontal="center" vertical="center"/>
    </xf>
    <xf numFmtId="1" fontId="12" fillId="0" borderId="23" xfId="0" applyNumberFormat="1" applyFont="1" applyBorder="1" applyAlignment="1">
      <alignment horizontal="center" vertical="center"/>
    </xf>
    <xf numFmtId="1" fontId="12" fillId="0" borderId="23" xfId="0" applyNumberFormat="1" applyFont="1" applyBorder="1" applyAlignment="1">
      <alignment horizontal="center" vertical="center" wrapText="1"/>
    </xf>
    <xf numFmtId="165" fontId="12" fillId="0" borderId="23" xfId="13" applyNumberFormat="1" applyFont="1" applyBorder="1" applyAlignment="1">
      <alignment horizontal="center" vertical="center" wrapText="1"/>
    </xf>
    <xf numFmtId="0" fontId="12" fillId="4" borderId="23" xfId="13" applyFont="1" applyFill="1" applyBorder="1" applyAlignment="1">
      <alignment horizontal="center" vertical="center" wrapText="1"/>
    </xf>
    <xf numFmtId="171" fontId="12" fillId="4" borderId="23" xfId="4" applyNumberFormat="1" applyFont="1" applyFill="1" applyBorder="1" applyAlignment="1">
      <alignment horizontal="center" vertical="center" wrapText="1"/>
    </xf>
    <xf numFmtId="1" fontId="14" fillId="0" borderId="23" xfId="13" applyNumberFormat="1" applyFont="1" applyBorder="1" applyAlignment="1">
      <alignment horizontal="center"/>
    </xf>
    <xf numFmtId="0" fontId="15" fillId="0" borderId="23" xfId="0" applyFont="1" applyFill="1" applyBorder="1" applyAlignment="1">
      <alignment horizontal="center" vertical="center" wrapText="1"/>
    </xf>
    <xf numFmtId="0" fontId="14" fillId="0" borderId="23" xfId="13" applyFont="1" applyBorder="1" applyAlignment="1">
      <alignment horizontal="center"/>
    </xf>
    <xf numFmtId="173" fontId="12" fillId="0" borderId="23" xfId="1" applyNumberFormat="1" applyFont="1" applyFill="1" applyBorder="1" applyAlignment="1">
      <alignment vertical="center"/>
    </xf>
    <xf numFmtId="1" fontId="12" fillId="4" borderId="23" xfId="0" applyNumberFormat="1" applyFont="1" applyFill="1" applyBorder="1" applyAlignment="1">
      <alignment horizontal="center" vertical="center"/>
    </xf>
    <xf numFmtId="0" fontId="27" fillId="0" borderId="23" xfId="4" applyFont="1" applyBorder="1" applyAlignment="1">
      <alignment horizontal="center" vertical="center" wrapText="1"/>
    </xf>
    <xf numFmtId="1" fontId="27" fillId="0" borderId="23" xfId="4" applyNumberFormat="1" applyFont="1" applyBorder="1" applyAlignment="1">
      <alignment horizontal="center" vertical="center" wrapText="1"/>
    </xf>
    <xf numFmtId="172" fontId="27" fillId="0" borderId="23" xfId="4" applyNumberFormat="1" applyFont="1" applyBorder="1" applyAlignment="1">
      <alignment horizontal="center" vertical="center" wrapText="1"/>
    </xf>
    <xf numFmtId="3" fontId="27" fillId="0" borderId="23" xfId="4" applyNumberFormat="1" applyFont="1" applyBorder="1" applyAlignment="1">
      <alignment horizontal="center" vertical="center" wrapText="1"/>
    </xf>
    <xf numFmtId="0" fontId="12" fillId="0" borderId="23" xfId="0" applyFont="1" applyBorder="1" applyAlignment="1">
      <alignment horizontal="center"/>
    </xf>
    <xf numFmtId="1" fontId="12" fillId="0" borderId="23" xfId="0" applyNumberFormat="1" applyFont="1" applyBorder="1" applyAlignment="1">
      <alignment horizontal="center"/>
    </xf>
    <xf numFmtId="172" fontId="12" fillId="0" borderId="23" xfId="0" applyNumberFormat="1" applyFont="1" applyBorder="1" applyAlignment="1">
      <alignment horizontal="center"/>
    </xf>
    <xf numFmtId="3" fontId="12" fillId="0" borderId="23" xfId="0" applyNumberFormat="1" applyFont="1" applyBorder="1" applyAlignment="1">
      <alignment horizontal="center"/>
    </xf>
    <xf numFmtId="0" fontId="14" fillId="0" borderId="23" xfId="0" applyFont="1" applyBorder="1" applyAlignment="1">
      <alignment horizontal="center"/>
    </xf>
    <xf numFmtId="0" fontId="14" fillId="0" borderId="23" xfId="13" applyFont="1" applyBorder="1" applyAlignment="1">
      <alignment horizontal="center" vertical="center"/>
    </xf>
    <xf numFmtId="3" fontId="14" fillId="0" borderId="23" xfId="0" applyNumberFormat="1" applyFont="1" applyBorder="1" applyAlignment="1">
      <alignment horizontal="center" vertical="center"/>
    </xf>
    <xf numFmtId="0" fontId="14" fillId="4" borderId="23" xfId="0" applyFont="1" applyFill="1" applyBorder="1" applyAlignment="1">
      <alignment horizontal="center" vertical="center"/>
    </xf>
    <xf numFmtId="3" fontId="12" fillId="0" borderId="23" xfId="9" applyNumberFormat="1" applyFont="1" applyBorder="1" applyAlignment="1">
      <alignment horizontal="center" vertical="center"/>
    </xf>
    <xf numFmtId="3" fontId="14" fillId="4" borderId="23" xfId="0" applyNumberFormat="1" applyFont="1" applyFill="1" applyBorder="1" applyAlignment="1">
      <alignment horizontal="center" vertical="center"/>
    </xf>
    <xf numFmtId="0" fontId="14" fillId="4" borderId="23" xfId="13" applyFont="1" applyFill="1" applyBorder="1" applyAlignment="1">
      <alignment horizontal="center"/>
    </xf>
    <xf numFmtId="171" fontId="12" fillId="0" borderId="23" xfId="0" applyNumberFormat="1" applyFont="1" applyBorder="1" applyAlignment="1">
      <alignment horizontal="center"/>
    </xf>
    <xf numFmtId="0" fontId="14" fillId="0" borderId="23" xfId="0" applyFont="1" applyFill="1" applyBorder="1" applyAlignment="1">
      <alignment horizontal="center" vertical="center"/>
    </xf>
    <xf numFmtId="172" fontId="12" fillId="0" borderId="23" xfId="1" applyNumberFormat="1" applyFont="1" applyFill="1" applyBorder="1" applyAlignment="1">
      <alignment vertical="center"/>
    </xf>
    <xf numFmtId="0" fontId="15" fillId="0" borderId="23" xfId="0" applyFont="1" applyBorder="1" applyAlignment="1">
      <alignment horizontal="center" wrapText="1"/>
    </xf>
    <xf numFmtId="0" fontId="14" fillId="0" borderId="23" xfId="13" applyFont="1" applyBorder="1" applyAlignment="1">
      <alignment horizontal="center" vertical="top"/>
    </xf>
    <xf numFmtId="1" fontId="14" fillId="0" borderId="23" xfId="8" applyNumberFormat="1" applyFont="1" applyBorder="1" applyAlignment="1">
      <alignment horizontal="center" vertical="center"/>
    </xf>
    <xf numFmtId="172" fontId="14" fillId="0" borderId="23" xfId="1" applyNumberFormat="1" applyFont="1" applyBorder="1" applyAlignment="1">
      <alignment vertical="center"/>
    </xf>
    <xf numFmtId="172" fontId="14" fillId="0" borderId="23" xfId="1" applyNumberFormat="1" applyFont="1" applyBorder="1" applyAlignment="1">
      <alignment vertical="center" wrapText="1"/>
    </xf>
    <xf numFmtId="172" fontId="14" fillId="4" borderId="23" xfId="1" applyNumberFormat="1" applyFont="1" applyFill="1" applyBorder="1" applyAlignment="1">
      <alignment vertical="center" wrapText="1"/>
    </xf>
    <xf numFmtId="0" fontId="14" fillId="0" borderId="23" xfId="8" applyFont="1" applyBorder="1" applyAlignment="1">
      <alignment horizontal="center" vertical="center"/>
    </xf>
    <xf numFmtId="3" fontId="14" fillId="0" borderId="23" xfId="8" applyNumberFormat="1" applyFont="1" applyBorder="1" applyAlignment="1">
      <alignment horizontal="center" vertical="center"/>
    </xf>
    <xf numFmtId="172" fontId="12" fillId="0" borderId="23" xfId="0" applyNumberFormat="1" applyFont="1" applyBorder="1" applyAlignment="1">
      <alignment horizontal="center" vertical="center"/>
    </xf>
    <xf numFmtId="44" fontId="12" fillId="0" borderId="23" xfId="0" applyNumberFormat="1" applyFont="1" applyBorder="1" applyAlignment="1">
      <alignment horizontal="center"/>
    </xf>
    <xf numFmtId="172" fontId="14" fillId="4" borderId="23" xfId="1" applyNumberFormat="1" applyFont="1" applyFill="1" applyBorder="1" applyAlignment="1">
      <alignment vertical="center"/>
    </xf>
    <xf numFmtId="171" fontId="12" fillId="4" borderId="23" xfId="0" applyNumberFormat="1" applyFont="1" applyFill="1" applyBorder="1" applyAlignment="1">
      <alignment horizontal="center"/>
    </xf>
    <xf numFmtId="1" fontId="12" fillId="4" borderId="23" xfId="0" applyNumberFormat="1" applyFont="1" applyFill="1" applyBorder="1" applyAlignment="1">
      <alignment horizontal="center"/>
    </xf>
    <xf numFmtId="172" fontId="12" fillId="4" borderId="23" xfId="0" applyNumberFormat="1" applyFont="1" applyFill="1" applyBorder="1" applyAlignment="1">
      <alignment horizontal="center"/>
    </xf>
    <xf numFmtId="3" fontId="12" fillId="4" borderId="23" xfId="0" applyNumberFormat="1" applyFont="1" applyFill="1" applyBorder="1" applyAlignment="1">
      <alignment horizontal="center"/>
    </xf>
    <xf numFmtId="0" fontId="15" fillId="0" borderId="23" xfId="0" applyFont="1" applyBorder="1" applyAlignment="1">
      <alignment horizontal="center" vertical="center"/>
    </xf>
    <xf numFmtId="1" fontId="15" fillId="0" borderId="23" xfId="0" applyNumberFormat="1" applyFont="1" applyBorder="1" applyAlignment="1">
      <alignment horizontal="center" vertical="center" wrapText="1"/>
    </xf>
    <xf numFmtId="172" fontId="15" fillId="0" borderId="23" xfId="0" applyNumberFormat="1" applyFont="1" applyBorder="1" applyAlignment="1">
      <alignment horizontal="center" vertical="center" wrapText="1"/>
    </xf>
    <xf numFmtId="3" fontId="15" fillId="0" borderId="23" xfId="0" applyNumberFormat="1" applyFont="1" applyBorder="1" applyAlignment="1">
      <alignment horizontal="center" vertical="center" wrapText="1"/>
    </xf>
    <xf numFmtId="1" fontId="15" fillId="4" borderId="23" xfId="0" applyNumberFormat="1" applyFont="1" applyFill="1" applyBorder="1" applyAlignment="1">
      <alignment horizontal="center" vertical="center"/>
    </xf>
    <xf numFmtId="172" fontId="12" fillId="0" borderId="0" xfId="1" applyNumberFormat="1" applyFont="1" applyAlignment="1">
      <alignment vertical="center"/>
    </xf>
    <xf numFmtId="168" fontId="6" fillId="0" borderId="0" xfId="0" applyNumberFormat="1" applyFont="1" applyAlignment="1">
      <alignment vertical="center"/>
    </xf>
    <xf numFmtId="172" fontId="12" fillId="0" borderId="23" xfId="1" applyNumberFormat="1" applyFont="1" applyBorder="1" applyAlignment="1">
      <alignment vertical="center" wrapText="1"/>
    </xf>
    <xf numFmtId="168" fontId="15" fillId="0" borderId="23" xfId="0" applyNumberFormat="1" applyFont="1" applyBorder="1" applyAlignment="1">
      <alignment vertical="center" wrapText="1"/>
    </xf>
    <xf numFmtId="172" fontId="12" fillId="4" borderId="23" xfId="4" applyNumberFormat="1" applyFont="1" applyFill="1" applyBorder="1" applyAlignment="1">
      <alignment vertical="center" wrapText="1"/>
    </xf>
    <xf numFmtId="168" fontId="12" fillId="4" borderId="23" xfId="4" applyNumberFormat="1" applyFont="1" applyFill="1" applyBorder="1" applyAlignment="1">
      <alignment vertical="center" wrapText="1"/>
    </xf>
    <xf numFmtId="172" fontId="12" fillId="4" borderId="23" xfId="13" applyNumberFormat="1" applyFont="1" applyFill="1" applyBorder="1" applyAlignment="1">
      <alignment vertical="center" wrapText="1"/>
    </xf>
    <xf numFmtId="172" fontId="12" fillId="0" borderId="23" xfId="9" applyNumberFormat="1" applyFont="1" applyBorder="1" applyAlignment="1">
      <alignment vertical="center" wrapText="1"/>
    </xf>
    <xf numFmtId="172" fontId="12" fillId="0" borderId="23" xfId="0" applyNumberFormat="1" applyFont="1" applyBorder="1" applyAlignment="1">
      <alignment vertical="center" wrapText="1"/>
    </xf>
    <xf numFmtId="172" fontId="12" fillId="4" borderId="23" xfId="1" applyNumberFormat="1" applyFont="1" applyFill="1" applyBorder="1" applyAlignment="1">
      <alignment vertical="center" wrapText="1"/>
    </xf>
    <xf numFmtId="172" fontId="12" fillId="6" borderId="23" xfId="13" applyNumberFormat="1" applyFont="1" applyFill="1" applyBorder="1" applyAlignment="1">
      <alignment vertical="center" wrapText="1"/>
    </xf>
    <xf numFmtId="172" fontId="12" fillId="0" borderId="23" xfId="4" applyNumberFormat="1" applyFont="1" applyBorder="1" applyAlignment="1">
      <alignment vertical="center" wrapText="1"/>
    </xf>
    <xf numFmtId="172" fontId="12" fillId="3" borderId="23" xfId="1" applyNumberFormat="1" applyFont="1" applyFill="1" applyBorder="1" applyAlignment="1" applyProtection="1">
      <alignment vertical="center" wrapText="1"/>
    </xf>
    <xf numFmtId="7" fontId="12" fillId="0" borderId="23" xfId="1" applyNumberFormat="1" applyFont="1" applyFill="1" applyBorder="1" applyAlignment="1">
      <alignment vertical="center" wrapText="1"/>
    </xf>
    <xf numFmtId="172" fontId="15" fillId="4" borderId="23" xfId="0" applyNumberFormat="1" applyFont="1" applyFill="1" applyBorder="1" applyAlignment="1">
      <alignment vertical="center"/>
    </xf>
    <xf numFmtId="172" fontId="12" fillId="4" borderId="23" xfId="0" applyNumberFormat="1" applyFont="1" applyFill="1" applyBorder="1" applyAlignment="1">
      <alignment vertical="center" wrapText="1"/>
    </xf>
    <xf numFmtId="168" fontId="12" fillId="4" borderId="23" xfId="1" applyNumberFormat="1" applyFont="1" applyFill="1" applyBorder="1" applyAlignment="1">
      <alignment vertical="center" wrapText="1"/>
    </xf>
    <xf numFmtId="172" fontId="15" fillId="0" borderId="23" xfId="0" applyNumberFormat="1" applyFont="1" applyBorder="1" applyAlignment="1">
      <alignment vertical="center" wrapText="1"/>
    </xf>
    <xf numFmtId="173" fontId="12" fillId="0" borderId="23" xfId="1" applyNumberFormat="1" applyFont="1" applyFill="1" applyBorder="1" applyAlignment="1"/>
    <xf numFmtId="169" fontId="14" fillId="3" borderId="23" xfId="0" applyNumberFormat="1" applyFont="1" applyFill="1" applyBorder="1" applyAlignment="1">
      <alignment vertical="center" wrapText="1"/>
    </xf>
    <xf numFmtId="172" fontId="12" fillId="0" borderId="23" xfId="1" applyNumberFormat="1" applyFont="1" applyBorder="1" applyAlignment="1">
      <alignment vertical="center"/>
    </xf>
    <xf numFmtId="168" fontId="12" fillId="0" borderId="23" xfId="0" applyNumberFormat="1" applyFont="1" applyBorder="1" applyAlignment="1">
      <alignment vertical="center"/>
    </xf>
    <xf numFmtId="7" fontId="12" fillId="0" borderId="23" xfId="1" applyNumberFormat="1" applyFont="1" applyBorder="1" applyAlignment="1"/>
    <xf numFmtId="166" fontId="14" fillId="0" borderId="23" xfId="1" applyNumberFormat="1" applyFont="1" applyBorder="1" applyAlignment="1"/>
    <xf numFmtId="169" fontId="12" fillId="3" borderId="23" xfId="1" applyNumberFormat="1" applyFont="1" applyFill="1" applyBorder="1" applyAlignment="1" applyProtection="1">
      <alignment vertical="center" wrapText="1"/>
    </xf>
    <xf numFmtId="6" fontId="15" fillId="4" borderId="23" xfId="0" applyNumberFormat="1" applyFont="1" applyFill="1" applyBorder="1" applyAlignment="1">
      <alignment vertical="center" wrapText="1"/>
    </xf>
    <xf numFmtId="169" fontId="12" fillId="0" borderId="23" xfId="1" applyNumberFormat="1" applyFont="1" applyFill="1" applyBorder="1" applyAlignment="1" applyProtection="1">
      <alignment vertical="center" wrapText="1"/>
    </xf>
    <xf numFmtId="0" fontId="20" fillId="0" borderId="0" xfId="0" applyFont="1" applyAlignment="1">
      <alignment horizontal="center" wrapText="1"/>
    </xf>
    <xf numFmtId="0" fontId="6" fillId="0" borderId="0" xfId="0" applyFont="1" applyAlignment="1">
      <alignment horizontal="center" vertical="center"/>
    </xf>
    <xf numFmtId="0" fontId="10" fillId="0" borderId="0" xfId="0" applyFont="1" applyFill="1" applyAlignment="1">
      <alignment horizontal="center" vertical="center" wrapText="1"/>
    </xf>
    <xf numFmtId="0" fontId="9" fillId="0" borderId="0" xfId="0" applyFont="1" applyFill="1" applyAlignment="1">
      <alignment horizontal="center" vertical="center" wrapText="1"/>
    </xf>
    <xf numFmtId="0" fontId="25" fillId="0" borderId="0" xfId="0" applyFont="1" applyAlignment="1">
      <alignment horizontal="center" wrapText="1"/>
    </xf>
    <xf numFmtId="0" fontId="8" fillId="0" borderId="0" xfId="0" applyFont="1" applyAlignment="1">
      <alignment horizontal="center" vertical="center" wrapText="1"/>
    </xf>
    <xf numFmtId="0" fontId="12" fillId="0" borderId="23" xfId="0" applyFont="1" applyBorder="1" applyAlignment="1">
      <alignment horizontal="center" wrapText="1"/>
    </xf>
    <xf numFmtId="0" fontId="14" fillId="0" borderId="23" xfId="0" applyFont="1" applyBorder="1" applyAlignment="1">
      <alignment horizontal="center" wrapText="1"/>
    </xf>
    <xf numFmtId="0" fontId="13" fillId="0" borderId="23" xfId="0" applyFont="1" applyBorder="1" applyAlignment="1">
      <alignment horizontal="center" wrapText="1"/>
    </xf>
    <xf numFmtId="0" fontId="14" fillId="4" borderId="23" xfId="9" applyFont="1" applyFill="1" applyBorder="1" applyAlignment="1">
      <alignment horizontal="center" vertical="center"/>
    </xf>
    <xf numFmtId="0" fontId="14" fillId="4" borderId="23" xfId="9" applyFont="1" applyFill="1" applyBorder="1" applyAlignment="1">
      <alignment horizontal="center" vertical="center" wrapText="1"/>
    </xf>
    <xf numFmtId="0" fontId="12" fillId="4" borderId="23" xfId="13" applyFont="1" applyFill="1" applyBorder="1" applyAlignment="1">
      <alignment horizontal="center" vertical="center"/>
    </xf>
    <xf numFmtId="0" fontId="13" fillId="4" borderId="23" xfId="0" applyFont="1" applyFill="1" applyBorder="1" applyAlignment="1">
      <alignment horizontal="center" vertical="center"/>
    </xf>
    <xf numFmtId="3" fontId="14" fillId="4" borderId="23" xfId="0" applyNumberFormat="1" applyFont="1" applyFill="1" applyBorder="1" applyAlignment="1">
      <alignment horizontal="center" vertical="center" wrapText="1"/>
    </xf>
    <xf numFmtId="0" fontId="12" fillId="4" borderId="23" xfId="9" applyFont="1" applyFill="1" applyBorder="1" applyAlignment="1">
      <alignment horizontal="center" vertical="center" wrapText="1"/>
    </xf>
    <xf numFmtId="0" fontId="12" fillId="0" borderId="23" xfId="0" applyFont="1" applyBorder="1" applyAlignment="1">
      <alignment horizontal="center" vertical="top" wrapText="1"/>
    </xf>
    <xf numFmtId="0" fontId="14" fillId="4" borderId="23" xfId="0" applyFont="1" applyFill="1" applyBorder="1" applyAlignment="1">
      <alignment horizontal="center"/>
    </xf>
    <xf numFmtId="0" fontId="17" fillId="0" borderId="23" xfId="0" applyFont="1" applyBorder="1" applyAlignment="1">
      <alignment horizontal="center" vertical="center"/>
    </xf>
    <xf numFmtId="0" fontId="12" fillId="0" borderId="23" xfId="0" applyNumberFormat="1" applyFont="1" applyBorder="1" applyAlignment="1">
      <alignment horizontal="center"/>
    </xf>
    <xf numFmtId="0" fontId="12" fillId="0" borderId="23" xfId="0" applyNumberFormat="1" applyFont="1" applyBorder="1" applyAlignment="1">
      <alignment horizontal="center" vertical="center"/>
    </xf>
    <xf numFmtId="0" fontId="12" fillId="4" borderId="23" xfId="0" applyFont="1" applyFill="1" applyBorder="1" applyAlignment="1">
      <alignment horizontal="center"/>
    </xf>
    <xf numFmtId="168" fontId="19" fillId="4" borderId="23" xfId="4" applyNumberFormat="1" applyFont="1" applyFill="1" applyBorder="1" applyAlignment="1">
      <alignment vertical="center" wrapText="1"/>
    </xf>
    <xf numFmtId="1" fontId="14" fillId="4" borderId="23" xfId="0" applyNumberFormat="1" applyFont="1" applyFill="1" applyBorder="1" applyAlignment="1">
      <alignment horizontal="center"/>
    </xf>
    <xf numFmtId="172" fontId="14" fillId="4" borderId="23" xfId="1" applyNumberFormat="1" applyFont="1" applyFill="1" applyBorder="1" applyAlignment="1" applyProtection="1">
      <alignment vertical="center"/>
    </xf>
    <xf numFmtId="0" fontId="22" fillId="4" borderId="0" xfId="0" applyFont="1" applyFill="1" applyBorder="1" applyAlignment="1">
      <alignment horizontal="center" wrapText="1"/>
    </xf>
    <xf numFmtId="0" fontId="12" fillId="4" borderId="23" xfId="0" applyFont="1" applyFill="1" applyBorder="1" applyAlignment="1">
      <alignment horizontal="center" wrapText="1"/>
    </xf>
    <xf numFmtId="0" fontId="28" fillId="0" borderId="23" xfId="0" applyFont="1" applyBorder="1" applyAlignment="1">
      <alignment horizontal="center" vertical="center" wrapText="1"/>
    </xf>
    <xf numFmtId="0" fontId="27" fillId="0" borderId="23" xfId="4" applyFont="1" applyBorder="1" applyAlignment="1">
      <alignment horizontal="center" vertical="center"/>
    </xf>
    <xf numFmtId="0" fontId="27" fillId="0" borderId="23" xfId="0" applyFont="1" applyBorder="1" applyAlignment="1">
      <alignment horizontal="center" vertical="center"/>
    </xf>
    <xf numFmtId="170" fontId="27" fillId="0" borderId="23" xfId="4" applyNumberFormat="1" applyFont="1" applyBorder="1" applyAlignment="1">
      <alignment horizontal="center" vertical="center" wrapText="1"/>
    </xf>
    <xf numFmtId="171" fontId="27" fillId="0" borderId="23" xfId="4" applyNumberFormat="1" applyFont="1" applyBorder="1" applyAlignment="1">
      <alignment horizontal="center" vertical="center" wrapText="1"/>
    </xf>
    <xf numFmtId="172" fontId="27" fillId="6" borderId="23" xfId="13" applyNumberFormat="1" applyFont="1" applyFill="1" applyBorder="1" applyAlignment="1">
      <alignment vertical="center" wrapText="1"/>
    </xf>
    <xf numFmtId="0" fontId="24" fillId="0" borderId="0" xfId="0" applyFont="1"/>
    <xf numFmtId="172" fontId="19" fillId="4" borderId="23" xfId="0" applyNumberFormat="1" applyFont="1" applyFill="1" applyBorder="1" applyAlignment="1">
      <alignment vertical="center" wrapText="1"/>
    </xf>
    <xf numFmtId="172" fontId="19" fillId="4" borderId="23" xfId="0" applyNumberFormat="1" applyFont="1" applyFill="1" applyBorder="1" applyAlignment="1">
      <alignment vertical="center"/>
    </xf>
    <xf numFmtId="168" fontId="19" fillId="0" borderId="23" xfId="0" applyNumberFormat="1" applyFont="1" applyBorder="1" applyAlignment="1">
      <alignment vertical="center"/>
    </xf>
    <xf numFmtId="0" fontId="14" fillId="4" borderId="23" xfId="0" applyFont="1" applyFill="1" applyBorder="1" applyAlignment="1">
      <alignment horizontal="center" wrapText="1"/>
    </xf>
    <xf numFmtId="0" fontId="6" fillId="0" borderId="0" xfId="0" applyFont="1" applyAlignment="1">
      <alignment horizontal="center" vertical="center" wrapText="1"/>
    </xf>
    <xf numFmtId="0" fontId="17" fillId="0" borderId="23" xfId="0" applyFont="1" applyBorder="1" applyAlignment="1">
      <alignment horizontal="center" vertical="center" wrapText="1"/>
    </xf>
    <xf numFmtId="0" fontId="16" fillId="0" borderId="3" xfId="0" applyFont="1" applyBorder="1" applyAlignment="1">
      <alignment horizontal="left" vertical="center" wrapText="1"/>
    </xf>
    <xf numFmtId="0" fontId="16" fillId="0" borderId="22" xfId="0" applyFont="1" applyBorder="1" applyAlignment="1">
      <alignment horizontal="left" vertical="center" wrapText="1"/>
    </xf>
    <xf numFmtId="0" fontId="5" fillId="7" borderId="23" xfId="0" applyFont="1" applyFill="1" applyBorder="1" applyAlignment="1">
      <alignment vertical="center"/>
    </xf>
    <xf numFmtId="0" fontId="6" fillId="0" borderId="23" xfId="0" applyFont="1" applyBorder="1" applyAlignment="1">
      <alignment horizontal="center" vertical="center"/>
    </xf>
    <xf numFmtId="0" fontId="20" fillId="0" borderId="23" xfId="0" applyFont="1" applyBorder="1" applyAlignment="1">
      <alignment horizontal="center" wrapText="1"/>
    </xf>
    <xf numFmtId="0" fontId="6" fillId="0" borderId="23" xfId="0" applyFont="1" applyBorder="1" applyAlignment="1">
      <alignment horizontal="center"/>
    </xf>
    <xf numFmtId="1" fontId="6" fillId="0" borderId="23" xfId="0" applyNumberFormat="1" applyFont="1" applyBorder="1" applyAlignment="1">
      <alignment horizontal="center"/>
    </xf>
    <xf numFmtId="172" fontId="6" fillId="0" borderId="23" xfId="0" applyNumberFormat="1" applyFont="1" applyBorder="1" applyAlignment="1">
      <alignment horizontal="center"/>
    </xf>
    <xf numFmtId="3" fontId="6" fillId="0" borderId="23" xfId="0" applyNumberFormat="1" applyFont="1" applyBorder="1" applyAlignment="1">
      <alignment horizontal="center"/>
    </xf>
    <xf numFmtId="3" fontId="6" fillId="0" borderId="23" xfId="0" applyNumberFormat="1" applyFont="1" applyBorder="1" applyAlignment="1">
      <alignment horizontal="center" vertical="center"/>
    </xf>
    <xf numFmtId="0" fontId="5" fillId="7" borderId="23" xfId="8" applyFont="1" applyFill="1" applyBorder="1" applyAlignment="1">
      <alignment horizontal="left" vertical="center"/>
    </xf>
    <xf numFmtId="0" fontId="16" fillId="0" borderId="34" xfId="0" applyFont="1" applyBorder="1" applyAlignment="1">
      <alignment horizontal="left" vertical="center" wrapText="1"/>
    </xf>
    <xf numFmtId="0" fontId="16" fillId="0" borderId="35" xfId="0" applyFont="1" applyBorder="1" applyAlignment="1">
      <alignment horizontal="left" vertical="center" wrapText="1"/>
    </xf>
    <xf numFmtId="0" fontId="6" fillId="0" borderId="27" xfId="0" applyFont="1" applyBorder="1" applyAlignment="1">
      <alignment horizontal="center"/>
    </xf>
    <xf numFmtId="0" fontId="6" fillId="0" borderId="25" xfId="0" applyFont="1" applyBorder="1" applyAlignment="1">
      <alignment horizontal="center"/>
    </xf>
    <xf numFmtId="3" fontId="33" fillId="0" borderId="23" xfId="0" applyNumberFormat="1" applyFont="1" applyBorder="1" applyAlignment="1">
      <alignment horizontal="center"/>
    </xf>
    <xf numFmtId="3" fontId="34" fillId="0" borderId="30" xfId="0" applyNumberFormat="1" applyFont="1" applyBorder="1" applyAlignment="1">
      <alignment horizontal="center" vertical="center"/>
    </xf>
    <xf numFmtId="3" fontId="34" fillId="0" borderId="31" xfId="0" applyNumberFormat="1" applyFont="1" applyBorder="1" applyAlignment="1">
      <alignment horizontal="center" vertical="center"/>
    </xf>
    <xf numFmtId="0" fontId="24" fillId="9" borderId="23" xfId="0" applyFont="1" applyFill="1" applyBorder="1" applyAlignment="1">
      <alignment horizontal="center" vertical="center" wrapText="1"/>
    </xf>
    <xf numFmtId="168" fontId="6" fillId="0" borderId="23" xfId="0" applyNumberFormat="1" applyFont="1" applyBorder="1" applyAlignment="1">
      <alignment horizontal="center" vertical="center"/>
    </xf>
    <xf numFmtId="174" fontId="6" fillId="0" borderId="23" xfId="0" applyNumberFormat="1" applyFont="1" applyBorder="1" applyAlignment="1">
      <alignment horizontal="center" vertical="center"/>
    </xf>
    <xf numFmtId="174" fontId="6" fillId="0" borderId="23" xfId="0" applyNumberFormat="1" applyFont="1" applyBorder="1" applyAlignment="1">
      <alignment vertical="center"/>
    </xf>
    <xf numFmtId="174" fontId="31" fillId="0" borderId="28" xfId="0" applyNumberFormat="1" applyFont="1" applyBorder="1" applyAlignment="1">
      <alignment horizontal="center" vertical="center" wrapText="1"/>
    </xf>
    <xf numFmtId="174" fontId="31" fillId="0" borderId="23" xfId="0" applyNumberFormat="1" applyFont="1" applyBorder="1" applyAlignment="1">
      <alignment horizontal="center" vertical="center" wrapText="1"/>
    </xf>
    <xf numFmtId="0" fontId="35" fillId="8" borderId="23" xfId="0" applyFont="1" applyFill="1" applyBorder="1" applyAlignment="1">
      <alignment horizontal="center" vertical="center" wrapText="1"/>
    </xf>
    <xf numFmtId="0" fontId="24" fillId="8" borderId="23" xfId="0" applyFont="1" applyFill="1" applyBorder="1" applyAlignment="1">
      <alignment horizontal="center" vertical="center" wrapText="1"/>
    </xf>
    <xf numFmtId="0" fontId="24" fillId="9" borderId="29" xfId="0" applyFont="1" applyFill="1" applyBorder="1" applyAlignment="1">
      <alignment horizontal="center" vertical="center" wrapText="1"/>
    </xf>
    <xf numFmtId="168" fontId="24" fillId="0" borderId="23" xfId="0" applyNumberFormat="1" applyFont="1" applyBorder="1" applyAlignment="1">
      <alignment vertical="center"/>
    </xf>
    <xf numFmtId="174" fontId="6" fillId="0" borderId="0" xfId="0" applyNumberFormat="1" applyFont="1" applyAlignment="1">
      <alignment horizontal="center"/>
    </xf>
    <xf numFmtId="0" fontId="36" fillId="0" borderId="23" xfId="0" applyFont="1" applyBorder="1" applyAlignment="1">
      <alignment horizontal="center" vertical="center" wrapText="1"/>
    </xf>
    <xf numFmtId="0" fontId="36" fillId="4" borderId="23" xfId="4" applyFont="1" applyFill="1" applyBorder="1" applyAlignment="1">
      <alignment horizontal="center" vertical="center" wrapText="1"/>
    </xf>
    <xf numFmtId="0" fontId="36" fillId="4" borderId="23" xfId="9" applyFont="1" applyFill="1" applyBorder="1" applyAlignment="1">
      <alignment horizontal="center" vertical="center" wrapText="1"/>
    </xf>
    <xf numFmtId="0" fontId="36" fillId="4" borderId="23" xfId="0" applyFont="1" applyFill="1" applyBorder="1" applyAlignment="1">
      <alignment horizontal="center" vertical="center" wrapText="1"/>
    </xf>
    <xf numFmtId="0" fontId="5" fillId="7" borderId="23" xfId="0" applyFont="1" applyFill="1" applyBorder="1" applyAlignment="1">
      <alignment horizontal="left" vertical="center" wrapText="1"/>
    </xf>
    <xf numFmtId="0" fontId="5" fillId="7" borderId="32" xfId="0" applyFont="1" applyFill="1" applyBorder="1" applyAlignment="1">
      <alignment horizontal="left" vertical="center" wrapText="1"/>
    </xf>
    <xf numFmtId="0" fontId="5" fillId="7" borderId="33" xfId="0" applyFont="1" applyFill="1" applyBorder="1" applyAlignment="1">
      <alignment horizontal="left" vertical="center" wrapText="1"/>
    </xf>
    <xf numFmtId="0" fontId="5" fillId="0" borderId="0" xfId="13"/>
    <xf numFmtId="0" fontId="38" fillId="0" borderId="36" xfId="13" applyFont="1" applyBorder="1" applyAlignment="1">
      <alignment horizontal="right" vertical="center"/>
    </xf>
    <xf numFmtId="17" fontId="39" fillId="3" borderId="37" xfId="13" applyNumberFormat="1" applyFont="1" applyFill="1" applyBorder="1" applyAlignment="1">
      <alignment horizontal="center" vertical="center"/>
    </xf>
    <xf numFmtId="0" fontId="37" fillId="0" borderId="0" xfId="13" applyFont="1" applyBorder="1" applyAlignment="1">
      <alignment vertical="center"/>
    </xf>
    <xf numFmtId="0" fontId="38" fillId="0" borderId="38" xfId="13" applyFont="1" applyBorder="1" applyAlignment="1">
      <alignment vertical="center"/>
    </xf>
    <xf numFmtId="0" fontId="38" fillId="0" borderId="0" xfId="13" applyFont="1" applyBorder="1" applyAlignment="1">
      <alignment vertical="center"/>
    </xf>
    <xf numFmtId="0" fontId="40" fillId="0" borderId="0" xfId="13" applyFont="1" applyBorder="1" applyAlignment="1">
      <alignment horizontal="left" vertical="center"/>
    </xf>
    <xf numFmtId="0" fontId="39" fillId="0" borderId="0" xfId="13" applyFont="1" applyBorder="1" applyAlignment="1">
      <alignment horizontal="left" vertical="center" wrapText="1" indent="1"/>
    </xf>
    <xf numFmtId="0" fontId="42" fillId="4" borderId="45" xfId="13" applyFont="1" applyFill="1" applyBorder="1" applyAlignment="1">
      <alignment horizontal="center" vertical="center"/>
    </xf>
    <xf numFmtId="0" fontId="42" fillId="4" borderId="45" xfId="13" applyFont="1" applyFill="1" applyBorder="1" applyAlignment="1">
      <alignment horizontal="left" vertical="center"/>
    </xf>
    <xf numFmtId="0" fontId="42" fillId="3" borderId="45" xfId="13" applyFont="1" applyFill="1" applyBorder="1" applyAlignment="1">
      <alignment horizontal="center" vertical="center"/>
    </xf>
    <xf numFmtId="0" fontId="5" fillId="0" borderId="29" xfId="13" applyBorder="1" applyAlignment="1">
      <alignment horizontal="center" vertical="center"/>
    </xf>
    <xf numFmtId="166" fontId="43" fillId="4" borderId="0" xfId="13" applyNumberFormat="1" applyFont="1" applyFill="1" applyBorder="1" applyAlignment="1">
      <alignment vertical="center"/>
    </xf>
    <xf numFmtId="0" fontId="42" fillId="4" borderId="46" xfId="13" applyFont="1" applyFill="1" applyBorder="1" applyAlignment="1">
      <alignment horizontal="center" vertical="center"/>
    </xf>
    <xf numFmtId="0" fontId="42" fillId="4" borderId="46" xfId="13" applyFont="1" applyFill="1" applyBorder="1" applyAlignment="1">
      <alignment horizontal="left" vertical="center"/>
    </xf>
    <xf numFmtId="166" fontId="5" fillId="4" borderId="46" xfId="22" applyNumberFormat="1" applyFont="1" applyFill="1" applyBorder="1" applyAlignment="1" applyProtection="1">
      <alignment horizontal="center" vertical="center" wrapText="1"/>
    </xf>
    <xf numFmtId="3" fontId="5" fillId="4" borderId="46" xfId="13" applyNumberFormat="1" applyFont="1" applyFill="1" applyBorder="1" applyAlignment="1">
      <alignment horizontal="center" vertical="center"/>
    </xf>
    <xf numFmtId="0" fontId="32" fillId="4" borderId="48" xfId="13" applyFont="1" applyFill="1" applyBorder="1" applyAlignment="1">
      <alignment horizontal="left" vertical="center" wrapText="1"/>
    </xf>
    <xf numFmtId="0" fontId="32" fillId="4" borderId="10" xfId="13" applyFont="1" applyFill="1" applyBorder="1" applyAlignment="1">
      <alignment horizontal="left" vertical="center" wrapText="1"/>
    </xf>
    <xf numFmtId="0" fontId="32" fillId="4" borderId="13" xfId="13" applyFont="1" applyFill="1" applyBorder="1" applyAlignment="1">
      <alignment horizontal="left" vertical="center" wrapText="1"/>
    </xf>
    <xf numFmtId="0" fontId="42" fillId="3" borderId="46" xfId="13" applyFont="1" applyFill="1" applyBorder="1" applyAlignment="1">
      <alignment horizontal="center" vertical="center"/>
    </xf>
    <xf numFmtId="166" fontId="37" fillId="0" borderId="0" xfId="13" applyNumberFormat="1" applyFont="1" applyBorder="1" applyAlignment="1">
      <alignment vertical="center"/>
    </xf>
    <xf numFmtId="0" fontId="44" fillId="0" borderId="49" xfId="13" applyFont="1" applyBorder="1" applyAlignment="1">
      <alignment horizontal="center" vertical="center"/>
    </xf>
    <xf numFmtId="0" fontId="44" fillId="0" borderId="49" xfId="13" applyFont="1" applyBorder="1" applyAlignment="1">
      <alignment horizontal="left" vertical="center"/>
    </xf>
    <xf numFmtId="0" fontId="42" fillId="0" borderId="49" xfId="13" applyFont="1" applyBorder="1" applyAlignment="1">
      <alignment horizontal="center" vertical="center"/>
    </xf>
    <xf numFmtId="166" fontId="5" fillId="0" borderId="49" xfId="22" applyNumberFormat="1" applyFont="1" applyBorder="1" applyAlignment="1">
      <alignment vertical="center"/>
    </xf>
    <xf numFmtId="3" fontId="5" fillId="4" borderId="49" xfId="13" applyNumberFormat="1" applyFont="1" applyFill="1" applyBorder="1" applyAlignment="1">
      <alignment horizontal="center" vertical="center"/>
    </xf>
    <xf numFmtId="0" fontId="44" fillId="0" borderId="50" xfId="13" applyFont="1" applyBorder="1" applyAlignment="1">
      <alignment horizontal="center" vertical="center"/>
    </xf>
    <xf numFmtId="0" fontId="44" fillId="0" borderId="50" xfId="13" applyFont="1" applyBorder="1" applyAlignment="1">
      <alignment horizontal="left" vertical="center"/>
    </xf>
    <xf numFmtId="0" fontId="42" fillId="0" borderId="50" xfId="13" applyFont="1" applyBorder="1" applyAlignment="1">
      <alignment horizontal="center" vertical="center"/>
    </xf>
    <xf numFmtId="0" fontId="42" fillId="0" borderId="51" xfId="13" applyFont="1" applyBorder="1" applyAlignment="1">
      <alignment horizontal="center" vertical="center" wrapText="1"/>
    </xf>
    <xf numFmtId="166" fontId="42" fillId="0" borderId="50" xfId="13" applyNumberFormat="1" applyFont="1" applyBorder="1" applyAlignment="1">
      <alignment horizontal="center" vertical="center" wrapText="1"/>
    </xf>
    <xf numFmtId="3" fontId="42" fillId="0" borderId="50" xfId="13" applyNumberFormat="1" applyFont="1" applyBorder="1" applyAlignment="1">
      <alignment horizontal="center" vertical="center"/>
    </xf>
    <xf numFmtId="0" fontId="44" fillId="0" borderId="52" xfId="13" applyFont="1" applyBorder="1" applyAlignment="1">
      <alignment horizontal="center" vertical="center"/>
    </xf>
    <xf numFmtId="0" fontId="44" fillId="0" borderId="52" xfId="13" applyFont="1" applyBorder="1" applyAlignment="1">
      <alignment horizontal="left" vertical="center"/>
    </xf>
    <xf numFmtId="166" fontId="5" fillId="0" borderId="0" xfId="13" applyNumberFormat="1"/>
    <xf numFmtId="3" fontId="45" fillId="0" borderId="0" xfId="13" applyNumberFormat="1" applyFont="1" applyBorder="1" applyAlignment="1"/>
    <xf numFmtId="177" fontId="5" fillId="0" borderId="0" xfId="13" applyNumberFormat="1" applyAlignment="1">
      <alignment horizontal="left"/>
    </xf>
    <xf numFmtId="0" fontId="5" fillId="0" borderId="0" xfId="13" applyAlignment="1">
      <alignment horizontal="left"/>
    </xf>
    <xf numFmtId="0" fontId="37" fillId="0" borderId="0" xfId="13" applyFont="1"/>
    <xf numFmtId="0" fontId="5" fillId="0" borderId="0" xfId="13" applyBorder="1"/>
    <xf numFmtId="0" fontId="5" fillId="0" borderId="36" xfId="13" applyBorder="1"/>
    <xf numFmtId="0" fontId="5" fillId="0" borderId="58" xfId="13" applyBorder="1"/>
    <xf numFmtId="0" fontId="5" fillId="0" borderId="38" xfId="13" applyBorder="1"/>
    <xf numFmtId="0" fontId="5" fillId="0" borderId="38" xfId="13" applyBorder="1" applyAlignment="1">
      <alignment horizontal="left"/>
    </xf>
    <xf numFmtId="0" fontId="5" fillId="0" borderId="59" xfId="13" applyBorder="1"/>
    <xf numFmtId="0" fontId="49" fillId="0" borderId="62" xfId="13" applyFont="1" applyBorder="1" applyAlignment="1">
      <alignment horizontal="center" vertical="center"/>
    </xf>
    <xf numFmtId="0" fontId="49" fillId="0" borderId="63" xfId="13" applyFont="1" applyBorder="1" applyAlignment="1">
      <alignment horizontal="center" vertical="center"/>
    </xf>
    <xf numFmtId="0" fontId="49" fillId="0" borderId="63" xfId="13" applyFont="1" applyBorder="1" applyAlignment="1">
      <alignment horizontal="left" vertical="center"/>
    </xf>
    <xf numFmtId="0" fontId="49" fillId="0" borderId="64" xfId="13" applyFont="1" applyBorder="1" applyAlignment="1">
      <alignment horizontal="center" vertical="center"/>
    </xf>
    <xf numFmtId="0" fontId="49" fillId="0" borderId="65" xfId="13" applyFont="1" applyBorder="1" applyAlignment="1">
      <alignment horizontal="center" vertical="center"/>
    </xf>
    <xf numFmtId="0" fontId="5" fillId="3" borderId="66" xfId="13" applyFont="1" applyFill="1" applyBorder="1" applyAlignment="1">
      <alignment horizontal="center" vertical="center"/>
    </xf>
    <xf numFmtId="0" fontId="5" fillId="3" borderId="67" xfId="13" applyFont="1" applyFill="1" applyBorder="1" applyAlignment="1">
      <alignment horizontal="center" vertical="center"/>
    </xf>
    <xf numFmtId="0" fontId="5" fillId="0" borderId="67" xfId="13" applyFont="1" applyBorder="1" applyAlignment="1">
      <alignment horizontal="center" vertical="center"/>
    </xf>
    <xf numFmtId="0" fontId="5" fillId="3" borderId="68" xfId="13" applyFont="1" applyFill="1" applyBorder="1" applyAlignment="1">
      <alignment horizontal="center" vertical="center"/>
    </xf>
    <xf numFmtId="0" fontId="5" fillId="3" borderId="67" xfId="13" applyFill="1" applyBorder="1" applyAlignment="1">
      <alignment horizontal="center" vertical="center"/>
    </xf>
    <xf numFmtId="169" fontId="0" fillId="0" borderId="69" xfId="23" applyNumberFormat="1" applyFont="1" applyBorder="1" applyAlignment="1" applyProtection="1">
      <alignment horizontal="center" vertical="center"/>
    </xf>
    <xf numFmtId="0" fontId="5" fillId="0" borderId="70" xfId="13" applyFont="1" applyBorder="1" applyAlignment="1">
      <alignment horizontal="center" vertical="center"/>
    </xf>
    <xf numFmtId="0" fontId="5" fillId="0" borderId="71" xfId="13" applyFont="1" applyBorder="1" applyAlignment="1">
      <alignment horizontal="center" vertical="center"/>
    </xf>
    <xf numFmtId="0" fontId="5" fillId="0" borderId="72" xfId="13" applyFont="1" applyBorder="1" applyAlignment="1">
      <alignment horizontal="center" vertical="center"/>
    </xf>
    <xf numFmtId="0" fontId="5" fillId="0" borderId="73" xfId="13" applyFont="1" applyBorder="1" applyAlignment="1">
      <alignment horizontal="center" vertical="center"/>
    </xf>
    <xf numFmtId="169" fontId="0" fillId="0" borderId="74" xfId="23" applyNumberFormat="1" applyFont="1" applyBorder="1" applyAlignment="1" applyProtection="1">
      <alignment horizontal="center" vertical="center"/>
    </xf>
    <xf numFmtId="0" fontId="47" fillId="0" borderId="70" xfId="13" applyFont="1" applyBorder="1" applyAlignment="1">
      <alignment horizontal="center" vertical="center"/>
    </xf>
    <xf numFmtId="0" fontId="47" fillId="0" borderId="71" xfId="13" applyFont="1" applyBorder="1" applyAlignment="1">
      <alignment horizontal="center" vertical="center"/>
    </xf>
    <xf numFmtId="0" fontId="5" fillId="0" borderId="73" xfId="13" applyBorder="1" applyAlignment="1">
      <alignment horizontal="center" vertical="center"/>
    </xf>
    <xf numFmtId="0" fontId="47" fillId="0" borderId="72" xfId="13" applyFont="1" applyBorder="1" applyAlignment="1">
      <alignment horizontal="center" vertical="center"/>
    </xf>
    <xf numFmtId="0" fontId="47" fillId="0" borderId="73" xfId="13" applyFont="1" applyBorder="1" applyAlignment="1">
      <alignment horizontal="center" vertical="center"/>
    </xf>
    <xf numFmtId="0" fontId="5" fillId="0" borderId="75" xfId="13" applyBorder="1" applyAlignment="1">
      <alignment horizontal="center" vertical="center"/>
    </xf>
    <xf numFmtId="0" fontId="5" fillId="0" borderId="76" xfId="13" applyBorder="1" applyAlignment="1">
      <alignment horizontal="center" vertical="center"/>
    </xf>
    <xf numFmtId="0" fontId="5" fillId="0" borderId="77" xfId="13" applyBorder="1" applyAlignment="1">
      <alignment horizontal="center" vertical="center"/>
    </xf>
    <xf numFmtId="169" fontId="0" fillId="0" borderId="78" xfId="23" applyNumberFormat="1" applyFont="1" applyBorder="1" applyAlignment="1" applyProtection="1">
      <alignment horizontal="center" vertical="center"/>
    </xf>
    <xf numFmtId="169" fontId="49" fillId="0" borderId="79" xfId="13" applyNumberFormat="1" applyFont="1" applyBorder="1" applyAlignment="1">
      <alignment horizontal="center" vertical="center"/>
    </xf>
    <xf numFmtId="0" fontId="6" fillId="0" borderId="0" xfId="0" applyFont="1" applyAlignment="1">
      <alignment horizontal="left" vertical="center"/>
    </xf>
    <xf numFmtId="0" fontId="22" fillId="0" borderId="24" xfId="0" applyFont="1" applyBorder="1" applyAlignment="1">
      <alignment horizontal="center" wrapText="1"/>
    </xf>
    <xf numFmtId="0" fontId="22" fillId="0" borderId="9" xfId="0" applyFont="1" applyBorder="1" applyAlignment="1">
      <alignment horizontal="center" wrapText="1"/>
    </xf>
    <xf numFmtId="0" fontId="22" fillId="0" borderId="14" xfId="0" applyFont="1" applyBorder="1" applyAlignment="1">
      <alignment horizontal="center" wrapText="1"/>
    </xf>
    <xf numFmtId="0" fontId="22" fillId="0" borderId="12" xfId="0" applyFont="1" applyBorder="1" applyAlignment="1">
      <alignment horizontal="center" wrapText="1"/>
    </xf>
    <xf numFmtId="0" fontId="22" fillId="0" borderId="15" xfId="0" applyFont="1" applyBorder="1" applyAlignment="1">
      <alignment horizontal="center" wrapText="1"/>
    </xf>
    <xf numFmtId="0" fontId="22" fillId="0" borderId="24"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0" xfId="0" applyFont="1" applyBorder="1" applyAlignment="1">
      <alignment horizontal="center" wrapText="1"/>
    </xf>
    <xf numFmtId="0" fontId="22" fillId="0" borderId="11" xfId="0" applyFont="1" applyBorder="1" applyAlignment="1">
      <alignment horizontal="center" wrapText="1"/>
    </xf>
    <xf numFmtId="0" fontId="22" fillId="0" borderId="10" xfId="0" applyFont="1" applyBorder="1" applyAlignment="1">
      <alignment horizontal="center" wrapText="1"/>
    </xf>
    <xf numFmtId="0" fontId="22" fillId="0" borderId="13" xfId="0" applyFont="1" applyBorder="1" applyAlignment="1">
      <alignment horizontal="center" wrapText="1"/>
    </xf>
    <xf numFmtId="0" fontId="22" fillId="4" borderId="24" xfId="0" applyFont="1" applyFill="1" applyBorder="1" applyAlignment="1">
      <alignment horizontal="center" wrapText="1"/>
    </xf>
    <xf numFmtId="0" fontId="22" fillId="4" borderId="9" xfId="0" applyFont="1" applyFill="1" applyBorder="1" applyAlignment="1">
      <alignment horizontal="center" wrapText="1"/>
    </xf>
    <xf numFmtId="0" fontId="22" fillId="4" borderId="14" xfId="0" applyFont="1" applyFill="1" applyBorder="1" applyAlignment="1">
      <alignment horizontal="center" wrapText="1"/>
    </xf>
    <xf numFmtId="0" fontId="22" fillId="0" borderId="24" xfId="0" applyFont="1" applyBorder="1" applyAlignment="1">
      <alignment horizontal="left"/>
    </xf>
    <xf numFmtId="0" fontId="22" fillId="0" borderId="21" xfId="0" applyFont="1" applyBorder="1" applyAlignment="1">
      <alignment horizontal="left"/>
    </xf>
    <xf numFmtId="0" fontId="22" fillId="0" borderId="20" xfId="0" applyFont="1" applyBorder="1" applyAlignment="1">
      <alignment horizontal="left"/>
    </xf>
    <xf numFmtId="0" fontId="22" fillId="4" borderId="24" xfId="0" applyFont="1" applyFill="1" applyBorder="1" applyAlignment="1">
      <alignment horizontal="left" vertical="top"/>
    </xf>
    <xf numFmtId="0" fontId="22" fillId="4" borderId="21" xfId="0" applyFont="1" applyFill="1" applyBorder="1" applyAlignment="1">
      <alignment horizontal="left" vertical="top"/>
    </xf>
    <xf numFmtId="0" fontId="22" fillId="4" borderId="20" xfId="0" applyFont="1" applyFill="1" applyBorder="1" applyAlignment="1">
      <alignment horizontal="left" vertical="top"/>
    </xf>
    <xf numFmtId="0" fontId="18" fillId="0" borderId="0" xfId="0" applyFont="1" applyBorder="1" applyAlignment="1">
      <alignment horizontal="center"/>
    </xf>
    <xf numFmtId="0" fontId="18" fillId="0" borderId="0" xfId="0" applyFont="1" applyBorder="1" applyAlignment="1">
      <alignment horizontal="center" vertical="center"/>
    </xf>
    <xf numFmtId="0" fontId="18" fillId="0" borderId="0" xfId="0" applyFont="1" applyBorder="1" applyAlignment="1">
      <alignment horizontal="right" vertical="center"/>
    </xf>
    <xf numFmtId="0" fontId="7" fillId="0" borderId="0" xfId="0" applyFont="1" applyBorder="1" applyAlignment="1">
      <alignment horizontal="left" vertical="center" wrapText="1"/>
    </xf>
    <xf numFmtId="0" fontId="10" fillId="0" borderId="0" xfId="0" applyFont="1" applyFill="1" applyBorder="1" applyAlignment="1">
      <alignment horizontal="center" wrapText="1"/>
    </xf>
    <xf numFmtId="0" fontId="21" fillId="0" borderId="24" xfId="0" applyFont="1" applyBorder="1" applyAlignment="1">
      <alignment horizontal="left" vertical="center"/>
    </xf>
    <xf numFmtId="0" fontId="21" fillId="0" borderId="21" xfId="0" applyFont="1" applyBorder="1" applyAlignment="1">
      <alignment horizontal="left" vertical="center"/>
    </xf>
    <xf numFmtId="0" fontId="21" fillId="0" borderId="20" xfId="0" applyFont="1" applyBorder="1" applyAlignment="1">
      <alignment horizontal="left" vertical="center"/>
    </xf>
    <xf numFmtId="0" fontId="21" fillId="0" borderId="25" xfId="0" applyFont="1" applyBorder="1" applyAlignment="1">
      <alignment horizontal="left" vertical="center"/>
    </xf>
    <xf numFmtId="0" fontId="21" fillId="0" borderId="16" xfId="0" applyFont="1" applyBorder="1" applyAlignment="1">
      <alignment horizontal="left" vertical="center"/>
    </xf>
    <xf numFmtId="0" fontId="22" fillId="0" borderId="24" xfId="0" applyFont="1" applyBorder="1" applyAlignment="1">
      <alignment wrapText="1"/>
    </xf>
    <xf numFmtId="0" fontId="22" fillId="0" borderId="18" xfId="0" applyFont="1" applyBorder="1" applyAlignment="1">
      <alignment wrapText="1"/>
    </xf>
    <xf numFmtId="0" fontId="22" fillId="0" borderId="17" xfId="0" applyFont="1" applyBorder="1" applyAlignment="1">
      <alignment wrapText="1"/>
    </xf>
    <xf numFmtId="0" fontId="21" fillId="4" borderId="7" xfId="0" applyFont="1" applyFill="1" applyBorder="1" applyAlignment="1">
      <alignment horizontal="left" vertical="center" wrapText="1"/>
    </xf>
    <xf numFmtId="0" fontId="21" fillId="4" borderId="19" xfId="0" applyFont="1" applyFill="1" applyBorder="1" applyAlignment="1">
      <alignment horizontal="left" vertical="center" wrapText="1"/>
    </xf>
    <xf numFmtId="0" fontId="22" fillId="0" borderId="24" xfId="0" applyFont="1" applyBorder="1" applyAlignment="1">
      <alignment horizontal="left" vertical="center"/>
    </xf>
    <xf numFmtId="0" fontId="22" fillId="0" borderId="21" xfId="0" applyFont="1" applyBorder="1" applyAlignment="1">
      <alignment horizontal="left" vertical="center"/>
    </xf>
    <xf numFmtId="0" fontId="22" fillId="0" borderId="20" xfId="0" applyFont="1" applyBorder="1" applyAlignment="1">
      <alignment horizontal="left" vertical="center"/>
    </xf>
    <xf numFmtId="0" fontId="22" fillId="0" borderId="25" xfId="0" applyFont="1" applyBorder="1" applyAlignment="1">
      <alignment horizontal="left"/>
    </xf>
    <xf numFmtId="0" fontId="22" fillId="0" borderId="16" xfId="0" applyFont="1" applyBorder="1" applyAlignment="1">
      <alignment horizontal="left"/>
    </xf>
    <xf numFmtId="0" fontId="22" fillId="0" borderId="12" xfId="0" applyFont="1" applyBorder="1" applyAlignment="1">
      <alignment horizontal="center"/>
    </xf>
    <xf numFmtId="0" fontId="22" fillId="0" borderId="15" xfId="0" applyFont="1" applyBorder="1" applyAlignment="1">
      <alignment horizontal="center"/>
    </xf>
    <xf numFmtId="0" fontId="22" fillId="0" borderId="10" xfId="0" applyFont="1" applyBorder="1" applyAlignment="1">
      <alignment horizontal="center"/>
    </xf>
    <xf numFmtId="0" fontId="22" fillId="0" borderId="13" xfId="0" applyFont="1" applyBorder="1" applyAlignment="1">
      <alignment horizontal="center"/>
    </xf>
    <xf numFmtId="0" fontId="22" fillId="0" borderId="24" xfId="0" applyFont="1" applyBorder="1" applyAlignment="1">
      <alignment horizontal="left" wrapText="1"/>
    </xf>
    <xf numFmtId="0" fontId="22" fillId="0" borderId="18" xfId="0" applyFont="1" applyBorder="1" applyAlignment="1">
      <alignment horizontal="left" wrapText="1"/>
    </xf>
    <xf numFmtId="0" fontId="22" fillId="0" borderId="17" xfId="0" applyFont="1" applyBorder="1" applyAlignment="1">
      <alignment horizontal="left" wrapText="1"/>
    </xf>
    <xf numFmtId="0" fontId="21" fillId="0" borderId="25" xfId="0" applyFont="1" applyBorder="1" applyAlignment="1">
      <alignment horizontal="left" vertical="center" wrapText="1"/>
    </xf>
    <xf numFmtId="0" fontId="21" fillId="0" borderId="16" xfId="0" applyFont="1" applyBorder="1" applyAlignment="1">
      <alignment horizontal="left" vertical="center" wrapText="1"/>
    </xf>
    <xf numFmtId="0" fontId="26" fillId="4" borderId="12" xfId="0" applyFont="1" applyFill="1" applyBorder="1" applyAlignment="1">
      <alignment horizontal="left" wrapText="1"/>
    </xf>
    <xf numFmtId="0" fontId="26" fillId="4" borderId="4" xfId="0" applyFont="1" applyFill="1" applyBorder="1" applyAlignment="1">
      <alignment horizontal="left" wrapText="1"/>
    </xf>
    <xf numFmtId="0" fontId="26" fillId="4" borderId="10" xfId="0" applyFont="1" applyFill="1" applyBorder="1" applyAlignment="1">
      <alignment horizontal="left" wrapText="1"/>
    </xf>
    <xf numFmtId="0" fontId="26" fillId="4" borderId="5" xfId="0" applyFont="1" applyFill="1" applyBorder="1" applyAlignment="1">
      <alignment horizontal="left" wrapText="1"/>
    </xf>
    <xf numFmtId="0" fontId="22" fillId="4" borderId="25" xfId="0" applyFont="1" applyFill="1" applyBorder="1" applyAlignment="1">
      <alignment horizontal="left"/>
    </xf>
    <xf numFmtId="0" fontId="22" fillId="4" borderId="16" xfId="0" applyFont="1" applyFill="1" applyBorder="1" applyAlignment="1">
      <alignment horizontal="left"/>
    </xf>
    <xf numFmtId="0" fontId="22" fillId="4" borderId="24" xfId="0" applyFont="1" applyFill="1" applyBorder="1" applyAlignment="1">
      <alignment horizontal="center"/>
    </xf>
    <xf numFmtId="0" fontId="22" fillId="4" borderId="21" xfId="0" applyFont="1" applyFill="1" applyBorder="1" applyAlignment="1">
      <alignment horizontal="center"/>
    </xf>
    <xf numFmtId="0" fontId="22" fillId="4" borderId="20" xfId="0" applyFont="1" applyFill="1" applyBorder="1" applyAlignment="1">
      <alignment horizontal="center"/>
    </xf>
    <xf numFmtId="0" fontId="22" fillId="0" borderId="18" xfId="0" applyFont="1" applyBorder="1" applyAlignment="1">
      <alignment horizontal="center" wrapText="1"/>
    </xf>
    <xf numFmtId="0" fontId="22" fillId="0" borderId="17" xfId="0" applyFont="1" applyBorder="1" applyAlignment="1">
      <alignment horizontal="center" wrapText="1"/>
    </xf>
    <xf numFmtId="0" fontId="30" fillId="0" borderId="32" xfId="13" applyFont="1" applyBorder="1" applyAlignment="1">
      <alignment horizontal="left" vertical="center"/>
    </xf>
    <xf numFmtId="0" fontId="30" fillId="0" borderId="3" xfId="13" applyFont="1" applyBorder="1" applyAlignment="1">
      <alignment horizontal="left" vertical="center"/>
    </xf>
    <xf numFmtId="0" fontId="30" fillId="0" borderId="22" xfId="13" applyFont="1" applyBorder="1" applyAlignment="1">
      <alignment horizontal="left" vertical="center"/>
    </xf>
    <xf numFmtId="176" fontId="24" fillId="0" borderId="3" xfId="13" applyNumberFormat="1" applyFont="1" applyBorder="1" applyAlignment="1">
      <alignment horizontal="center" vertical="center" wrapText="1"/>
    </xf>
    <xf numFmtId="176" fontId="24" fillId="0" borderId="22" xfId="13" applyNumberFormat="1" applyFont="1" applyBorder="1" applyAlignment="1">
      <alignment horizontal="center" vertical="center" wrapText="1"/>
    </xf>
    <xf numFmtId="0" fontId="39" fillId="0" borderId="0" xfId="13" applyFont="1" applyBorder="1" applyAlignment="1">
      <alignment horizontal="left" vertical="center" wrapText="1" indent="1"/>
    </xf>
    <xf numFmtId="171" fontId="40" fillId="0" borderId="0" xfId="13" applyNumberFormat="1" applyFont="1" applyBorder="1" applyAlignment="1">
      <alignment horizontal="center" vertical="center"/>
    </xf>
    <xf numFmtId="0" fontId="5" fillId="0" borderId="47" xfId="13" applyBorder="1" applyAlignment="1">
      <alignment horizontal="left" vertical="center"/>
    </xf>
    <xf numFmtId="0" fontId="5" fillId="0" borderId="24" xfId="13" applyBorder="1" applyAlignment="1">
      <alignment horizontal="left" vertical="center"/>
    </xf>
    <xf numFmtId="0" fontId="5" fillId="0" borderId="17" xfId="13" applyBorder="1" applyAlignment="1">
      <alignment horizontal="left" vertical="center"/>
    </xf>
    <xf numFmtId="0" fontId="5" fillId="0" borderId="53" xfId="13" applyFont="1" applyBorder="1" applyAlignment="1">
      <alignment horizontal="left" vertical="center"/>
    </xf>
    <xf numFmtId="0" fontId="5" fillId="0" borderId="26" xfId="13" applyFont="1" applyBorder="1" applyAlignment="1">
      <alignment horizontal="left" vertical="center"/>
    </xf>
    <xf numFmtId="0" fontId="5" fillId="0" borderId="54" xfId="13" applyFont="1" applyBorder="1" applyAlignment="1">
      <alignment horizontal="left" vertical="center"/>
    </xf>
    <xf numFmtId="0" fontId="5" fillId="4" borderId="47"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5" fillId="4" borderId="17" xfId="0" applyFont="1" applyFill="1" applyBorder="1" applyAlignment="1">
      <alignment horizontal="left" vertical="center" wrapText="1"/>
    </xf>
    <xf numFmtId="0" fontId="41" fillId="0" borderId="43" xfId="13" applyFont="1" applyBorder="1" applyAlignment="1">
      <alignment horizontal="center" vertical="center" wrapText="1"/>
    </xf>
    <xf numFmtId="0" fontId="5" fillId="4" borderId="33" xfId="0" applyFont="1" applyFill="1" applyBorder="1" applyAlignment="1">
      <alignment horizontal="left" vertical="center"/>
    </xf>
    <xf numFmtId="0" fontId="5" fillId="4" borderId="34" xfId="0" applyFont="1" applyFill="1" applyBorder="1" applyAlignment="1">
      <alignment horizontal="left" vertical="center"/>
    </xf>
    <xf numFmtId="0" fontId="5" fillId="4" borderId="35" xfId="0" applyFont="1" applyFill="1" applyBorder="1" applyAlignment="1">
      <alignment horizontal="left" vertical="center"/>
    </xf>
    <xf numFmtId="0" fontId="5" fillId="4" borderId="47" xfId="0" applyFont="1" applyFill="1" applyBorder="1" applyAlignment="1">
      <alignment horizontal="left" vertical="center"/>
    </xf>
    <xf numFmtId="0" fontId="5" fillId="4" borderId="24" xfId="0" applyFont="1" applyFill="1" applyBorder="1" applyAlignment="1">
      <alignment horizontal="left" vertical="center"/>
    </xf>
    <xf numFmtId="0" fontId="5" fillId="4" borderId="17" xfId="0" applyFont="1" applyFill="1" applyBorder="1" applyAlignment="1">
      <alignment horizontal="left" vertical="center"/>
    </xf>
    <xf numFmtId="0" fontId="32" fillId="4" borderId="47" xfId="13" applyFont="1" applyFill="1" applyBorder="1" applyAlignment="1">
      <alignment horizontal="left" vertical="center" wrapText="1"/>
    </xf>
    <xf numFmtId="0" fontId="32" fillId="4" borderId="24" xfId="13" applyFont="1" applyFill="1" applyBorder="1" applyAlignment="1">
      <alignment horizontal="left" vertical="center" wrapText="1"/>
    </xf>
    <xf numFmtId="0" fontId="32" fillId="4" borderId="17" xfId="13" applyFont="1" applyFill="1" applyBorder="1" applyAlignment="1">
      <alignment horizontal="left" vertical="center" wrapText="1"/>
    </xf>
    <xf numFmtId="0" fontId="5" fillId="4" borderId="53" xfId="0" applyFont="1" applyFill="1" applyBorder="1" applyAlignment="1">
      <alignment horizontal="left" vertical="center" wrapText="1"/>
    </xf>
    <xf numFmtId="0" fontId="5" fillId="4" borderId="26" xfId="0" applyFont="1" applyFill="1" applyBorder="1" applyAlignment="1">
      <alignment horizontal="left" vertical="center" wrapText="1"/>
    </xf>
    <xf numFmtId="0" fontId="5" fillId="4" borderId="54" xfId="0" applyFont="1" applyFill="1" applyBorder="1" applyAlignment="1">
      <alignment horizontal="left" vertical="center" wrapText="1"/>
    </xf>
    <xf numFmtId="0" fontId="5" fillId="4" borderId="3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22" xfId="0" applyFont="1" applyFill="1" applyBorder="1" applyAlignment="1">
      <alignment horizontal="left" vertical="center" wrapText="1"/>
    </xf>
    <xf numFmtId="0" fontId="41" fillId="0" borderId="44" xfId="13" applyFont="1" applyBorder="1" applyAlignment="1">
      <alignment horizontal="center" vertical="center" wrapText="1"/>
    </xf>
    <xf numFmtId="0" fontId="5" fillId="4" borderId="47" xfId="8" applyFont="1" applyFill="1" applyBorder="1" applyAlignment="1">
      <alignment horizontal="left" vertical="center"/>
    </xf>
    <xf numFmtId="0" fontId="5" fillId="4" borderId="24" xfId="8" applyFont="1" applyFill="1" applyBorder="1" applyAlignment="1">
      <alignment horizontal="left" vertical="center"/>
    </xf>
    <xf numFmtId="0" fontId="5" fillId="4" borderId="17" xfId="8" applyFont="1" applyFill="1" applyBorder="1" applyAlignment="1">
      <alignment horizontal="left" vertical="center"/>
    </xf>
    <xf numFmtId="0" fontId="5" fillId="4" borderId="33" xfId="0" applyFont="1" applyFill="1" applyBorder="1" applyAlignment="1">
      <alignment horizontal="left" vertical="center" wrapText="1"/>
    </xf>
    <xf numFmtId="0" fontId="5" fillId="4" borderId="34" xfId="0" applyFont="1" applyFill="1" applyBorder="1" applyAlignment="1">
      <alignment horizontal="left" vertical="center" wrapText="1"/>
    </xf>
    <xf numFmtId="0" fontId="5" fillId="4" borderId="35" xfId="0" applyFont="1" applyFill="1" applyBorder="1" applyAlignment="1">
      <alignment horizontal="left" vertical="center" wrapText="1"/>
    </xf>
    <xf numFmtId="0" fontId="41" fillId="0" borderId="42" xfId="13" applyFont="1" applyBorder="1" applyAlignment="1">
      <alignment horizontal="center" vertical="center"/>
    </xf>
    <xf numFmtId="0" fontId="40" fillId="0" borderId="39" xfId="13" applyFont="1" applyBorder="1" applyAlignment="1">
      <alignment horizontal="left" vertical="center" wrapText="1"/>
    </xf>
    <xf numFmtId="0" fontId="39" fillId="0" borderId="40" xfId="13" applyFont="1" applyBorder="1" applyAlignment="1">
      <alignment horizontal="left" vertical="center" wrapText="1" indent="1"/>
    </xf>
    <xf numFmtId="0" fontId="40" fillId="0" borderId="41" xfId="13" applyFont="1" applyBorder="1" applyAlignment="1">
      <alignment horizontal="left" vertical="center" wrapText="1"/>
    </xf>
    <xf numFmtId="0" fontId="40" fillId="0" borderId="42" xfId="13" applyFont="1" applyBorder="1" applyAlignment="1">
      <alignment horizontal="left" vertical="center"/>
    </xf>
    <xf numFmtId="0" fontId="39" fillId="0" borderId="43" xfId="13" applyFont="1" applyBorder="1" applyAlignment="1">
      <alignment horizontal="left" vertical="center" wrapText="1" indent="1"/>
    </xf>
    <xf numFmtId="0" fontId="38" fillId="0" borderId="0" xfId="13" applyFont="1" applyBorder="1" applyAlignment="1">
      <alignment horizontal="center" vertical="center"/>
    </xf>
    <xf numFmtId="0" fontId="47" fillId="3" borderId="79" xfId="13" applyFont="1" applyFill="1" applyBorder="1" applyAlignment="1">
      <alignment horizontal="left" vertical="center" wrapText="1" indent="1"/>
    </xf>
    <xf numFmtId="0" fontId="5" fillId="0" borderId="81" xfId="13" applyBorder="1" applyAlignment="1">
      <alignment horizontal="left" vertical="center" wrapText="1"/>
    </xf>
    <xf numFmtId="0" fontId="5" fillId="0" borderId="82" xfId="13" applyFont="1" applyBorder="1" applyAlignment="1">
      <alignment horizontal="left" vertical="center" wrapText="1"/>
    </xf>
    <xf numFmtId="0" fontId="5" fillId="0" borderId="73" xfId="13" applyBorder="1" applyAlignment="1">
      <alignment horizontal="left" vertical="center"/>
    </xf>
    <xf numFmtId="0" fontId="5" fillId="0" borderId="73" xfId="13" applyFont="1" applyBorder="1" applyAlignment="1">
      <alignment horizontal="left" vertical="center"/>
    </xf>
    <xf numFmtId="0" fontId="5" fillId="0" borderId="76" xfId="13" applyBorder="1" applyAlignment="1">
      <alignment horizontal="left" vertical="center"/>
    </xf>
    <xf numFmtId="0" fontId="45" fillId="0" borderId="79" xfId="13" applyFont="1" applyBorder="1" applyAlignment="1">
      <alignment horizontal="left" vertical="center" wrapText="1"/>
    </xf>
    <xf numFmtId="0" fontId="5" fillId="0" borderId="60" xfId="13" applyBorder="1"/>
    <xf numFmtId="0" fontId="45" fillId="0" borderId="32" xfId="13" applyFont="1" applyBorder="1" applyAlignment="1">
      <alignment vertical="center" wrapText="1"/>
    </xf>
    <xf numFmtId="0" fontId="45" fillId="0" borderId="80" xfId="13" applyFont="1" applyBorder="1" applyAlignment="1">
      <alignment vertical="center" wrapText="1"/>
    </xf>
    <xf numFmtId="0" fontId="45" fillId="0" borderId="43" xfId="13" applyFont="1" applyBorder="1" applyAlignment="1">
      <alignment vertical="center" wrapText="1"/>
    </xf>
    <xf numFmtId="0" fontId="47" fillId="0" borderId="61" xfId="13" applyFont="1" applyBorder="1" applyAlignment="1">
      <alignment vertical="center" wrapText="1"/>
    </xf>
    <xf numFmtId="0" fontId="5" fillId="0" borderId="67" xfId="13" applyBorder="1" applyAlignment="1">
      <alignment horizontal="left" vertical="center" wrapText="1"/>
    </xf>
    <xf numFmtId="0" fontId="5" fillId="0" borderId="67" xfId="13" applyFont="1" applyBorder="1" applyAlignment="1">
      <alignment horizontal="left" vertical="center" wrapText="1"/>
    </xf>
    <xf numFmtId="0" fontId="42" fillId="0" borderId="39" xfId="13" applyFont="1" applyBorder="1" applyAlignment="1">
      <alignment horizontal="left" vertical="center" wrapText="1"/>
    </xf>
    <xf numFmtId="0" fontId="42" fillId="0" borderId="55" xfId="13" applyFont="1" applyBorder="1" applyAlignment="1">
      <alignment horizontal="left" vertical="center" wrapText="1"/>
    </xf>
    <xf numFmtId="0" fontId="42" fillId="0" borderId="56" xfId="13" applyFont="1" applyBorder="1" applyAlignment="1">
      <alignment horizontal="left" vertical="center" wrapText="1"/>
    </xf>
    <xf numFmtId="0" fontId="47" fillId="0" borderId="37" xfId="13" applyFont="1" applyBorder="1" applyAlignment="1">
      <alignment horizontal="left" indent="1"/>
    </xf>
    <xf numFmtId="0" fontId="48" fillId="0" borderId="37" xfId="13" applyFont="1" applyBorder="1" applyAlignment="1">
      <alignment horizontal="left"/>
    </xf>
    <xf numFmtId="0" fontId="47" fillId="0" borderId="57" xfId="13" applyFont="1" applyBorder="1"/>
    <xf numFmtId="0" fontId="47" fillId="4" borderId="57" xfId="13" applyNumberFormat="1" applyFont="1" applyFill="1" applyBorder="1" applyAlignment="1">
      <alignment horizontal="left" vertical="justify" wrapText="1" indent="1"/>
    </xf>
    <xf numFmtId="0" fontId="47" fillId="4" borderId="0" xfId="13" applyNumberFormat="1" applyFont="1" applyFill="1" applyBorder="1" applyAlignment="1">
      <alignment horizontal="left" vertical="justify" wrapText="1" indent="1"/>
    </xf>
    <xf numFmtId="0" fontId="47" fillId="4" borderId="36" xfId="13" applyNumberFormat="1" applyFont="1" applyFill="1" applyBorder="1" applyAlignment="1">
      <alignment horizontal="left" vertical="justify" wrapText="1" indent="1"/>
    </xf>
    <xf numFmtId="0" fontId="49" fillId="0" borderId="60" xfId="13" applyFont="1" applyBorder="1" applyAlignment="1">
      <alignment horizontal="center" vertical="center"/>
    </xf>
    <xf numFmtId="0" fontId="49" fillId="0" borderId="37" xfId="13" applyFont="1" applyBorder="1" applyAlignment="1">
      <alignment horizontal="center" vertical="center"/>
    </xf>
    <xf numFmtId="0" fontId="49" fillId="0" borderId="60" xfId="13" applyFont="1" applyBorder="1" applyAlignment="1">
      <alignment horizontal="center" vertical="center" wrapText="1"/>
    </xf>
    <xf numFmtId="0" fontId="49" fillId="0" borderId="61" xfId="13" applyFont="1" applyBorder="1" applyAlignment="1">
      <alignment horizontal="center" vertical="center"/>
    </xf>
    <xf numFmtId="0" fontId="5" fillId="0" borderId="32" xfId="13" applyFont="1" applyBorder="1" applyAlignment="1">
      <alignment horizontal="center"/>
    </xf>
    <xf numFmtId="0" fontId="45" fillId="0" borderId="22" xfId="13" applyNumberFormat="1" applyFont="1" applyBorder="1" applyAlignment="1">
      <alignment horizontal="center"/>
    </xf>
    <xf numFmtId="0" fontId="46" fillId="0" borderId="37" xfId="13" applyFont="1" applyBorder="1" applyAlignment="1">
      <alignment horizontal="center" vertical="center" wrapText="1"/>
    </xf>
    <xf numFmtId="0" fontId="37" fillId="0" borderId="37" xfId="13" applyFont="1" applyBorder="1"/>
    <xf numFmtId="0" fontId="6" fillId="0" borderId="0" xfId="0" applyFont="1" applyAlignment="1">
      <alignment horizontal="left" vertical="center" wrapText="1"/>
    </xf>
    <xf numFmtId="0" fontId="20" fillId="0" borderId="0" xfId="0" applyFont="1" applyAlignment="1">
      <alignment horizontal="center" vertical="center" wrapText="1"/>
    </xf>
    <xf numFmtId="3" fontId="31" fillId="0" borderId="30" xfId="0" applyNumberFormat="1" applyFont="1" applyBorder="1" applyAlignment="1">
      <alignment horizontal="center" vertical="center"/>
    </xf>
    <xf numFmtId="3" fontId="31" fillId="0" borderId="31" xfId="0" applyNumberFormat="1" applyFont="1" applyBorder="1" applyAlignment="1">
      <alignment horizontal="center" vertical="center"/>
    </xf>
  </cellXfs>
  <cellStyles count="24">
    <cellStyle name="Encabezado 1" xfId="2"/>
    <cellStyle name="Encabezado 1 2" xfId="12"/>
    <cellStyle name="Millares 2" xfId="21"/>
    <cellStyle name="Moneda" xfId="1" builtinId="4"/>
    <cellStyle name="Moneda 2" xfId="5"/>
    <cellStyle name="Moneda 2 2" xfId="14"/>
    <cellStyle name="Moneda 3" xfId="11"/>
    <cellStyle name="Moneda 4" xfId="22"/>
    <cellStyle name="Moneda_AUTORIZACION Y NOTA DE PEDIDO" xfId="23"/>
    <cellStyle name="Neutral 1" xfId="3"/>
    <cellStyle name="Normal" xfId="0" builtinId="0"/>
    <cellStyle name="Normal 2" xfId="4"/>
    <cellStyle name="Normal 2 2" xfId="13"/>
    <cellStyle name="Normal 3" xfId="6"/>
    <cellStyle name="Normal 3 2" xfId="7"/>
    <cellStyle name="Normal 3 2 2" xfId="16"/>
    <cellStyle name="Normal 3 3" xfId="15"/>
    <cellStyle name="Normal 3 4" xfId="20"/>
    <cellStyle name="Normal 4" xfId="8"/>
    <cellStyle name="Normal 4 2" xfId="17"/>
    <cellStyle name="Normal 4 3" xfId="19"/>
    <cellStyle name="Normal 5" xfId="9"/>
    <cellStyle name="Normal 6" xfId="10"/>
    <cellStyle name="Normal 7" xfId="18"/>
  </cellStyles>
  <dxfs count="239">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mruColors>
      <color rgb="FFE6B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AX905"/>
  <sheetViews>
    <sheetView tabSelected="1" zoomScale="70" zoomScaleNormal="70" workbookViewId="0">
      <pane ySplit="9" topLeftCell="A899" activePane="bottomLeft" state="frozen"/>
      <selection pane="bottomLeft" activeCell="AR878" sqref="AR878:AR889"/>
    </sheetView>
  </sheetViews>
  <sheetFormatPr baseColWidth="10" defaultColWidth="11" defaultRowHeight="15"/>
  <cols>
    <col min="1" max="1" width="6.42578125" style="187" customWidth="1"/>
    <col min="2" max="2" width="16" style="186" customWidth="1"/>
    <col min="3" max="3" width="36.28515625" style="187" customWidth="1"/>
    <col min="4" max="4" width="8.42578125" style="3" customWidth="1"/>
    <col min="5" max="5" width="84.42578125" style="223" customWidth="1"/>
    <col min="6" max="6" width="16.42578125" style="3" customWidth="1"/>
    <col min="7" max="7" width="11" style="3" hidden="1" customWidth="1"/>
    <col min="8" max="9" width="14.85546875" style="3" hidden="1" customWidth="1"/>
    <col min="10" max="10" width="24" style="3" hidden="1" customWidth="1"/>
    <col min="11" max="11" width="12.85546875" style="30" hidden="1" customWidth="1"/>
    <col min="12" max="12" width="18.85546875" style="75" hidden="1" customWidth="1"/>
    <col min="13" max="13" width="18.85546875" style="82" hidden="1" customWidth="1"/>
    <col min="14" max="14" width="18.85546875" style="3" hidden="1" customWidth="1"/>
    <col min="15" max="15" width="18.85546875" style="30" hidden="1" customWidth="1"/>
    <col min="16" max="16" width="18.85546875" style="3" hidden="1" customWidth="1"/>
    <col min="17" max="17" width="18.85546875" style="82" hidden="1" customWidth="1"/>
    <col min="18" max="18" width="18.85546875" style="3" hidden="1" customWidth="1"/>
    <col min="19" max="19" width="18.85546875" style="30" hidden="1" customWidth="1"/>
    <col min="20" max="20" width="18.85546875" style="3" hidden="1" customWidth="1"/>
    <col min="21" max="21" width="18.85546875" style="82" hidden="1" customWidth="1"/>
    <col min="22" max="22" width="18.85546875" style="3" hidden="1" customWidth="1"/>
    <col min="23" max="23" width="18.85546875" style="82" hidden="1" customWidth="1"/>
    <col min="24" max="24" width="18.85546875" style="3" hidden="1" customWidth="1"/>
    <col min="25" max="25" width="18.85546875" style="82" hidden="1" customWidth="1"/>
    <col min="26" max="26" width="18.85546875" style="3" hidden="1" customWidth="1"/>
    <col min="27" max="27" width="18.85546875" style="82" hidden="1" customWidth="1"/>
    <col min="28" max="28" width="18.85546875" style="3" hidden="1" customWidth="1"/>
    <col min="29" max="29" width="18.85546875" style="82" hidden="1" customWidth="1"/>
    <col min="30" max="30" width="18.85546875" style="3" hidden="1" customWidth="1"/>
    <col min="31" max="31" width="18.85546875" style="82" hidden="1" customWidth="1"/>
    <col min="32" max="32" width="18.85546875" style="3" hidden="1" customWidth="1"/>
    <col min="33" max="33" width="18.85546875" style="82" hidden="1" customWidth="1"/>
    <col min="34" max="34" width="18.85546875" style="3" hidden="1" customWidth="1"/>
    <col min="35" max="35" width="18.85546875" style="82" hidden="1" customWidth="1"/>
    <col min="36" max="36" width="18.85546875" style="3" hidden="1" customWidth="1"/>
    <col min="37" max="37" width="18.85546875" style="82" hidden="1" customWidth="1"/>
    <col min="38" max="38" width="18.85546875" style="3" hidden="1" customWidth="1"/>
    <col min="39" max="39" width="18.85546875" style="82" hidden="1" customWidth="1"/>
    <col min="40" max="40" width="18.85546875" style="3" hidden="1" customWidth="1"/>
    <col min="41" max="41" width="18.85546875" style="82" hidden="1" customWidth="1"/>
    <col min="42" max="42" width="18.85546875" style="3" hidden="1" customWidth="1"/>
    <col min="43" max="43" width="16.42578125" style="102" customWidth="1"/>
    <col min="44" max="44" width="24.5703125" style="159" customWidth="1"/>
    <col min="45" max="45" width="22.5703125" style="160" customWidth="1"/>
    <col min="46" max="46" width="23.5703125" style="1" customWidth="1"/>
    <col min="47" max="16384" width="11" style="1"/>
  </cols>
  <sheetData>
    <row r="1" spans="1:46">
      <c r="A1" s="5">
        <f>+S320</f>
        <v>200</v>
      </c>
    </row>
    <row r="2" spans="1:46" ht="25.5">
      <c r="B2" s="355" t="s">
        <v>64</v>
      </c>
      <c r="C2" s="355"/>
      <c r="D2" s="355"/>
      <c r="E2" s="355"/>
      <c r="F2" s="355"/>
      <c r="G2" s="355"/>
      <c r="H2" s="355"/>
      <c r="I2" s="355"/>
      <c r="J2" s="355"/>
      <c r="K2" s="355"/>
      <c r="L2" s="355"/>
      <c r="M2" s="355"/>
      <c r="N2" s="355"/>
      <c r="O2" s="355"/>
      <c r="P2" s="355"/>
      <c r="Q2" s="355"/>
      <c r="R2" s="355"/>
      <c r="S2" s="355"/>
      <c r="T2" s="355"/>
      <c r="U2" s="355"/>
      <c r="V2" s="355"/>
      <c r="W2" s="355"/>
      <c r="X2" s="355"/>
      <c r="Y2" s="355"/>
      <c r="Z2" s="355"/>
      <c r="AA2" s="355"/>
      <c r="AB2" s="355"/>
      <c r="AC2" s="355"/>
      <c r="AD2" s="355"/>
      <c r="AE2" s="355"/>
      <c r="AF2" s="355"/>
      <c r="AG2" s="355"/>
      <c r="AH2" s="355"/>
      <c r="AI2" s="355"/>
      <c r="AJ2" s="355"/>
      <c r="AK2" s="355"/>
      <c r="AL2" s="355"/>
      <c r="AM2" s="355"/>
      <c r="AN2" s="355"/>
      <c r="AO2" s="355"/>
      <c r="AP2" s="355"/>
      <c r="AQ2" s="356"/>
      <c r="AR2" s="357"/>
    </row>
    <row r="4" spans="1:46" ht="18" customHeight="1">
      <c r="A4" s="358" t="s">
        <v>0</v>
      </c>
      <c r="B4" s="358"/>
      <c r="C4" s="359" t="s">
        <v>46</v>
      </c>
      <c r="D4" s="359"/>
      <c r="E4" s="359"/>
      <c r="F4" s="2"/>
      <c r="G4" s="2"/>
      <c r="H4" s="2"/>
      <c r="I4" s="2"/>
      <c r="J4" s="2"/>
      <c r="K4" s="29"/>
      <c r="L4" s="76"/>
      <c r="M4" s="83"/>
      <c r="N4" s="2"/>
      <c r="O4" s="29"/>
      <c r="P4" s="2"/>
      <c r="Q4" s="83"/>
      <c r="R4" s="2"/>
      <c r="S4" s="29"/>
      <c r="T4" s="2"/>
      <c r="U4" s="83"/>
      <c r="V4" s="2"/>
      <c r="W4" s="83"/>
      <c r="X4" s="2"/>
      <c r="Y4" s="83"/>
      <c r="Z4" s="2"/>
      <c r="AA4" s="83"/>
      <c r="AB4" s="2"/>
      <c r="AC4" s="83"/>
      <c r="AD4" s="2"/>
      <c r="AE4" s="83"/>
      <c r="AF4" s="2"/>
      <c r="AG4" s="83"/>
      <c r="AH4" s="2"/>
      <c r="AI4" s="83"/>
      <c r="AJ4" s="2"/>
      <c r="AK4" s="83"/>
      <c r="AL4" s="2"/>
      <c r="AM4" s="83"/>
      <c r="AN4" s="2"/>
      <c r="AO4" s="83"/>
      <c r="AP4" s="2"/>
      <c r="AQ4" s="103"/>
    </row>
    <row r="5" spans="1:46" ht="18" customHeight="1">
      <c r="A5" s="358" t="s">
        <v>1</v>
      </c>
      <c r="B5" s="358"/>
      <c r="C5" s="359" t="s">
        <v>171</v>
      </c>
      <c r="D5" s="359"/>
      <c r="E5" s="359"/>
      <c r="F5" s="2"/>
      <c r="G5" s="2"/>
      <c r="H5" s="2"/>
      <c r="I5" s="2"/>
      <c r="J5" s="2"/>
      <c r="K5" s="29"/>
      <c r="L5" s="76"/>
      <c r="M5" s="83"/>
      <c r="N5" s="2"/>
      <c r="O5" s="29"/>
      <c r="P5" s="2"/>
      <c r="Q5" s="83"/>
      <c r="R5" s="2"/>
      <c r="S5" s="29"/>
      <c r="T5" s="2"/>
      <c r="U5" s="83"/>
      <c r="V5" s="2"/>
      <c r="W5" s="83"/>
      <c r="X5" s="2"/>
      <c r="Y5" s="83"/>
      <c r="Z5" s="2"/>
      <c r="AA5" s="83"/>
      <c r="AB5" s="2"/>
      <c r="AC5" s="83"/>
      <c r="AD5" s="2"/>
      <c r="AE5" s="83"/>
      <c r="AF5" s="2"/>
      <c r="AG5" s="83"/>
      <c r="AH5" s="2"/>
      <c r="AI5" s="83"/>
      <c r="AJ5" s="2"/>
      <c r="AK5" s="83"/>
      <c r="AL5" s="2"/>
      <c r="AM5" s="83"/>
      <c r="AN5" s="2"/>
      <c r="AO5" s="83"/>
      <c r="AP5" s="2"/>
      <c r="AQ5" s="103"/>
    </row>
    <row r="6" spans="1:46" ht="16.5" customHeight="1">
      <c r="A6" s="358" t="s">
        <v>2</v>
      </c>
      <c r="B6" s="358"/>
      <c r="C6" s="188">
        <v>2021</v>
      </c>
      <c r="D6" s="4"/>
      <c r="E6" s="189"/>
      <c r="F6" s="2"/>
      <c r="G6" s="2"/>
      <c r="H6" s="2"/>
      <c r="I6" s="2"/>
      <c r="J6" s="2"/>
      <c r="K6" s="29"/>
      <c r="L6" s="76"/>
      <c r="M6" s="83"/>
      <c r="N6" s="2"/>
      <c r="O6" s="29"/>
      <c r="P6" s="2"/>
      <c r="Q6" s="83"/>
      <c r="R6" s="2"/>
      <c r="S6" s="29"/>
      <c r="T6" s="2"/>
      <c r="U6" s="83"/>
      <c r="V6" s="2"/>
      <c r="W6" s="83"/>
      <c r="X6" s="2"/>
      <c r="Y6" s="83"/>
      <c r="Z6" s="2"/>
      <c r="AA6" s="83"/>
      <c r="AB6" s="2"/>
      <c r="AC6" s="83"/>
      <c r="AD6" s="2"/>
      <c r="AE6" s="83"/>
      <c r="AF6" s="2"/>
      <c r="AG6" s="83"/>
      <c r="AH6" s="2"/>
      <c r="AI6" s="83"/>
      <c r="AJ6" s="2"/>
      <c r="AK6" s="83"/>
      <c r="AL6" s="2"/>
      <c r="AM6" s="83"/>
      <c r="AN6" s="2"/>
      <c r="AO6" s="83"/>
      <c r="AP6" s="2"/>
      <c r="AQ6" s="103"/>
    </row>
    <row r="7" spans="1:46" ht="31.5" customHeight="1">
      <c r="A7" s="358" t="s">
        <v>3</v>
      </c>
      <c r="B7" s="358"/>
      <c r="C7" s="188" t="s">
        <v>63</v>
      </c>
      <c r="D7" s="4"/>
      <c r="E7" s="189"/>
      <c r="F7" s="2"/>
      <c r="G7" s="2"/>
      <c r="H7" s="2"/>
      <c r="I7" s="2"/>
      <c r="J7" s="2"/>
      <c r="K7" s="29"/>
      <c r="L7" s="76"/>
      <c r="M7" s="83"/>
      <c r="N7" s="2"/>
      <c r="O7" s="29"/>
      <c r="P7" s="2"/>
      <c r="Q7" s="83"/>
      <c r="R7" s="2"/>
      <c r="S7" s="29"/>
      <c r="T7" s="2"/>
      <c r="U7" s="83"/>
      <c r="V7" s="2"/>
      <c r="W7" s="83"/>
      <c r="X7" s="2"/>
      <c r="Y7" s="83"/>
      <c r="Z7" s="2"/>
      <c r="AA7" s="83"/>
      <c r="AB7" s="2"/>
      <c r="AC7" s="83"/>
      <c r="AD7" s="2"/>
      <c r="AE7" s="83"/>
      <c r="AF7" s="2"/>
      <c r="AG7" s="83"/>
      <c r="AH7" s="2"/>
      <c r="AI7" s="83"/>
      <c r="AJ7" s="2"/>
      <c r="AK7" s="83"/>
      <c r="AL7" s="2"/>
      <c r="AM7" s="83"/>
      <c r="AN7" s="2"/>
      <c r="AO7" s="83"/>
      <c r="AP7" s="2"/>
      <c r="AQ7" s="103"/>
    </row>
    <row r="8" spans="1:46" ht="2.25" customHeight="1">
      <c r="B8" s="190"/>
      <c r="C8" s="191"/>
      <c r="D8" s="2"/>
      <c r="E8" s="191"/>
      <c r="F8" s="2"/>
      <c r="G8" s="2"/>
      <c r="H8" s="2"/>
      <c r="I8" s="2"/>
      <c r="J8" s="2"/>
      <c r="K8" s="29"/>
      <c r="L8" s="76"/>
      <c r="M8" s="83"/>
      <c r="N8" s="2"/>
      <c r="O8" s="29"/>
      <c r="P8" s="2"/>
      <c r="Q8" s="83"/>
      <c r="R8" s="2"/>
      <c r="S8" s="29"/>
      <c r="T8" s="2"/>
      <c r="U8" s="83"/>
      <c r="V8" s="2"/>
      <c r="W8" s="83"/>
      <c r="X8" s="2"/>
      <c r="Y8" s="83"/>
      <c r="Z8" s="2"/>
      <c r="AA8" s="83"/>
      <c r="AB8" s="2"/>
      <c r="AC8" s="83"/>
      <c r="AD8" s="2"/>
      <c r="AE8" s="83"/>
      <c r="AF8" s="2"/>
      <c r="AG8" s="83"/>
      <c r="AH8" s="2"/>
      <c r="AI8" s="83"/>
      <c r="AJ8" s="2"/>
      <c r="AK8" s="83"/>
      <c r="AL8" s="2"/>
      <c r="AM8" s="83"/>
      <c r="AN8" s="2"/>
      <c r="AO8" s="83"/>
      <c r="AP8" s="2"/>
      <c r="AQ8" s="103"/>
    </row>
    <row r="9" spans="1:46" ht="28.5">
      <c r="A9" s="154" t="s">
        <v>4</v>
      </c>
      <c r="B9" s="154" t="s">
        <v>5</v>
      </c>
      <c r="C9" s="54" t="s">
        <v>6</v>
      </c>
      <c r="D9" s="154" t="s">
        <v>7</v>
      </c>
      <c r="E9" s="54" t="s">
        <v>8</v>
      </c>
      <c r="F9" s="54" t="s">
        <v>9</v>
      </c>
      <c r="G9" s="54" t="s">
        <v>172</v>
      </c>
      <c r="H9" s="54" t="s">
        <v>174</v>
      </c>
      <c r="I9" s="54" t="s">
        <v>273</v>
      </c>
      <c r="J9" s="54" t="s">
        <v>274</v>
      </c>
      <c r="K9" s="155" t="s">
        <v>321</v>
      </c>
      <c r="L9" s="156" t="s">
        <v>322</v>
      </c>
      <c r="M9" s="157" t="s">
        <v>381</v>
      </c>
      <c r="N9" s="54" t="s">
        <v>382</v>
      </c>
      <c r="O9" s="155" t="s">
        <v>428</v>
      </c>
      <c r="P9" s="54" t="s">
        <v>429</v>
      </c>
      <c r="Q9" s="157" t="s">
        <v>433</v>
      </c>
      <c r="R9" s="54" t="s">
        <v>434</v>
      </c>
      <c r="S9" s="155" t="s">
        <v>1229</v>
      </c>
      <c r="T9" s="54" t="s">
        <v>1230</v>
      </c>
      <c r="U9" s="157" t="s">
        <v>1255</v>
      </c>
      <c r="V9" s="54" t="s">
        <v>1256</v>
      </c>
      <c r="W9" s="157" t="s">
        <v>1287</v>
      </c>
      <c r="X9" s="54" t="s">
        <v>1288</v>
      </c>
      <c r="Y9" s="157" t="s">
        <v>1294</v>
      </c>
      <c r="Z9" s="54" t="s">
        <v>1295</v>
      </c>
      <c r="AA9" s="157" t="s">
        <v>1308</v>
      </c>
      <c r="AB9" s="54" t="s">
        <v>1309</v>
      </c>
      <c r="AC9" s="157" t="s">
        <v>1322</v>
      </c>
      <c r="AD9" s="54" t="s">
        <v>1323</v>
      </c>
      <c r="AE9" s="157" t="s">
        <v>1350</v>
      </c>
      <c r="AF9" s="54" t="s">
        <v>1351</v>
      </c>
      <c r="AG9" s="157" t="s">
        <v>1392</v>
      </c>
      <c r="AH9" s="54" t="s">
        <v>1393</v>
      </c>
      <c r="AI9" s="157" t="s">
        <v>1394</v>
      </c>
      <c r="AJ9" s="54" t="s">
        <v>1395</v>
      </c>
      <c r="AK9" s="157" t="s">
        <v>1427</v>
      </c>
      <c r="AL9" s="54" t="s">
        <v>1428</v>
      </c>
      <c r="AM9" s="157" t="s">
        <v>1602</v>
      </c>
      <c r="AN9" s="54" t="s">
        <v>1603</v>
      </c>
      <c r="AO9" s="157" t="s">
        <v>1640</v>
      </c>
      <c r="AP9" s="54" t="s">
        <v>1641</v>
      </c>
      <c r="AQ9" s="157" t="s">
        <v>173</v>
      </c>
      <c r="AR9" s="161" t="s">
        <v>10</v>
      </c>
      <c r="AS9" s="162" t="s">
        <v>11</v>
      </c>
      <c r="AT9" s="11"/>
    </row>
    <row r="10" spans="1:46" ht="42.75" hidden="1">
      <c r="A10" s="45">
        <v>1</v>
      </c>
      <c r="B10" s="71" t="s">
        <v>175</v>
      </c>
      <c r="C10" s="71" t="s">
        <v>53</v>
      </c>
      <c r="D10" s="46" t="s">
        <v>176</v>
      </c>
      <c r="E10" s="192" t="s">
        <v>62</v>
      </c>
      <c r="F10" s="50" t="s">
        <v>177</v>
      </c>
      <c r="G10" s="50">
        <v>100</v>
      </c>
      <c r="H10" s="51">
        <f>+G10*AR10</f>
        <v>33000</v>
      </c>
      <c r="I10" s="51"/>
      <c r="J10" s="51"/>
      <c r="K10" s="52"/>
      <c r="L10" s="73">
        <f t="shared" ref="L10:L21" si="0">+K10*AR10</f>
        <v>0</v>
      </c>
      <c r="M10" s="84"/>
      <c r="N10" s="51">
        <f t="shared" ref="N10:N29" si="1">+M10*AQ10</f>
        <v>0</v>
      </c>
      <c r="O10" s="52">
        <v>30</v>
      </c>
      <c r="P10" s="51">
        <f>+AR10*O10</f>
        <v>9900</v>
      </c>
      <c r="Q10" s="84"/>
      <c r="R10" s="51"/>
      <c r="S10" s="52"/>
      <c r="T10" s="51"/>
      <c r="U10" s="84"/>
      <c r="V10" s="51"/>
      <c r="W10" s="84">
        <f>45*3</f>
        <v>135</v>
      </c>
      <c r="X10" s="51">
        <f>+W10*AR10</f>
        <v>44550</v>
      </c>
      <c r="Y10" s="84"/>
      <c r="Z10" s="51"/>
      <c r="AA10" s="84">
        <v>80</v>
      </c>
      <c r="AB10" s="51">
        <f>+AR10</f>
        <v>330</v>
      </c>
      <c r="AC10" s="84">
        <v>150</v>
      </c>
      <c r="AD10" s="51">
        <f>+AC10*AR10</f>
        <v>49500</v>
      </c>
      <c r="AE10" s="84"/>
      <c r="AF10" s="51"/>
      <c r="AG10" s="84"/>
      <c r="AH10" s="51"/>
      <c r="AI10" s="84"/>
      <c r="AJ10" s="51">
        <f>+AI10*AR10</f>
        <v>0</v>
      </c>
      <c r="AK10" s="84">
        <v>200</v>
      </c>
      <c r="AL10" s="51">
        <f>+AK10*AR10</f>
        <v>66000</v>
      </c>
      <c r="AM10" s="84">
        <v>15</v>
      </c>
      <c r="AN10" s="51">
        <f>+AM10*AR10</f>
        <v>4950</v>
      </c>
      <c r="AO10" s="84"/>
      <c r="AP10" s="51"/>
      <c r="AQ10" s="84">
        <f>+AO10+AM10+AK10+AI10+AG10+AE10+AC10+AA10+Y10+W10+U10+S10+Q10+O10+M10+K10+I10+G10</f>
        <v>710</v>
      </c>
      <c r="AR10" s="163">
        <v>330</v>
      </c>
      <c r="AS10" s="164">
        <f>+AQ10*AR10</f>
        <v>234300</v>
      </c>
    </row>
    <row r="11" spans="1:46" ht="42.75" hidden="1">
      <c r="A11" s="45">
        <v>2</v>
      </c>
      <c r="B11" s="71" t="s">
        <v>1290</v>
      </c>
      <c r="C11" s="71" t="s">
        <v>53</v>
      </c>
      <c r="D11" s="46" t="s">
        <v>176</v>
      </c>
      <c r="E11" s="192" t="s">
        <v>1289</v>
      </c>
      <c r="F11" s="50" t="s">
        <v>1291</v>
      </c>
      <c r="G11" s="50"/>
      <c r="H11" s="51"/>
      <c r="I11" s="51"/>
      <c r="J11" s="51"/>
      <c r="K11" s="52"/>
      <c r="L11" s="73"/>
      <c r="M11" s="84"/>
      <c r="N11" s="51"/>
      <c r="O11" s="52"/>
      <c r="P11" s="51"/>
      <c r="Q11" s="84"/>
      <c r="R11" s="51"/>
      <c r="S11" s="52"/>
      <c r="T11" s="51"/>
      <c r="U11" s="84"/>
      <c r="V11" s="51"/>
      <c r="W11" s="84">
        <f>1400*3</f>
        <v>4200</v>
      </c>
      <c r="X11" s="51">
        <f>+W11*AR11</f>
        <v>231000</v>
      </c>
      <c r="Y11" s="84"/>
      <c r="Z11" s="51"/>
      <c r="AA11" s="84"/>
      <c r="AB11" s="51"/>
      <c r="AC11" s="84"/>
      <c r="AD11" s="51"/>
      <c r="AE11" s="84"/>
      <c r="AF11" s="51"/>
      <c r="AG11" s="84"/>
      <c r="AH11" s="51"/>
      <c r="AI11" s="84">
        <v>60</v>
      </c>
      <c r="AJ11" s="51">
        <f t="shared" ref="AJ11:AJ30" si="2">+AI11*AR11</f>
        <v>3300</v>
      </c>
      <c r="AK11" s="84"/>
      <c r="AL11" s="51">
        <f t="shared" ref="AL11:AL30" si="3">+AK11*AR11</f>
        <v>0</v>
      </c>
      <c r="AM11" s="84">
        <v>40</v>
      </c>
      <c r="AN11" s="51">
        <f t="shared" ref="AN11:AN29" si="4">+AM11*AR11</f>
        <v>2200</v>
      </c>
      <c r="AO11" s="84"/>
      <c r="AP11" s="51"/>
      <c r="AQ11" s="84">
        <f t="shared" ref="AQ11:AQ74" si="5">+AO11+AM11+AK11+AI11+AG11+AE11+AC11+AA11+Y11+W11+U11+S11+Q11+O11+M11+K11+I11+G11</f>
        <v>4300</v>
      </c>
      <c r="AR11" s="163">
        <v>55</v>
      </c>
      <c r="AS11" s="164">
        <f>+AQ11*AR11</f>
        <v>236500</v>
      </c>
    </row>
    <row r="12" spans="1:46" ht="28.5" hidden="1">
      <c r="A12" s="45">
        <v>3</v>
      </c>
      <c r="B12" s="67" t="s">
        <v>65</v>
      </c>
      <c r="C12" s="71" t="s">
        <v>53</v>
      </c>
      <c r="D12" s="46" t="s">
        <v>176</v>
      </c>
      <c r="E12" s="192" t="s">
        <v>66</v>
      </c>
      <c r="F12" s="130" t="s">
        <v>17</v>
      </c>
      <c r="G12" s="50"/>
      <c r="H12" s="51"/>
      <c r="I12" s="51"/>
      <c r="J12" s="51"/>
      <c r="K12" s="108">
        <v>20</v>
      </c>
      <c r="L12" s="73">
        <f t="shared" si="0"/>
        <v>18000</v>
      </c>
      <c r="M12" s="84">
        <v>4</v>
      </c>
      <c r="N12" s="51">
        <f t="shared" si="1"/>
        <v>1076</v>
      </c>
      <c r="O12" s="52">
        <v>25</v>
      </c>
      <c r="P12" s="51">
        <f t="shared" ref="P12:P26" si="6">+AR12*O12</f>
        <v>22500</v>
      </c>
      <c r="Q12" s="84"/>
      <c r="R12" s="51"/>
      <c r="S12" s="52"/>
      <c r="T12" s="51"/>
      <c r="U12" s="84"/>
      <c r="V12" s="51"/>
      <c r="W12" s="84"/>
      <c r="X12" s="51"/>
      <c r="Y12" s="84">
        <v>25</v>
      </c>
      <c r="Z12" s="51">
        <f>+Y12*AR12</f>
        <v>22500</v>
      </c>
      <c r="AA12" s="84">
        <v>20</v>
      </c>
      <c r="AB12" s="51">
        <f>+AA12*AR12</f>
        <v>18000</v>
      </c>
      <c r="AC12" s="84"/>
      <c r="AD12" s="51"/>
      <c r="AE12" s="84"/>
      <c r="AF12" s="51"/>
      <c r="AG12" s="84"/>
      <c r="AH12" s="51"/>
      <c r="AI12" s="84">
        <v>45</v>
      </c>
      <c r="AJ12" s="51">
        <f t="shared" si="2"/>
        <v>40500</v>
      </c>
      <c r="AK12" s="84">
        <v>100</v>
      </c>
      <c r="AL12" s="51">
        <f t="shared" si="3"/>
        <v>90000</v>
      </c>
      <c r="AM12" s="84">
        <v>30</v>
      </c>
      <c r="AN12" s="51">
        <f t="shared" si="4"/>
        <v>27000</v>
      </c>
      <c r="AO12" s="84"/>
      <c r="AP12" s="51"/>
      <c r="AQ12" s="84">
        <f t="shared" si="5"/>
        <v>269</v>
      </c>
      <c r="AR12" s="79">
        <v>900</v>
      </c>
      <c r="AS12" s="164">
        <f t="shared" ref="AS12:AS30" si="7">+AQ12*AR12</f>
        <v>242100</v>
      </c>
    </row>
    <row r="13" spans="1:46" ht="14.25" hidden="1">
      <c r="A13" s="45">
        <v>4</v>
      </c>
      <c r="B13" s="67" t="s">
        <v>1314</v>
      </c>
      <c r="C13" s="71" t="s">
        <v>53</v>
      </c>
      <c r="D13" s="46" t="s">
        <v>176</v>
      </c>
      <c r="E13" s="192" t="s">
        <v>1315</v>
      </c>
      <c r="F13" s="130" t="s">
        <v>1316</v>
      </c>
      <c r="G13" s="50"/>
      <c r="H13" s="51"/>
      <c r="I13" s="51"/>
      <c r="J13" s="51"/>
      <c r="K13" s="108"/>
      <c r="L13" s="73"/>
      <c r="M13" s="84"/>
      <c r="N13" s="51"/>
      <c r="O13" s="52"/>
      <c r="P13" s="51"/>
      <c r="Q13" s="84"/>
      <c r="R13" s="51"/>
      <c r="S13" s="52"/>
      <c r="T13" s="51"/>
      <c r="U13" s="84"/>
      <c r="V13" s="51"/>
      <c r="W13" s="84"/>
      <c r="X13" s="51"/>
      <c r="Y13" s="84"/>
      <c r="Z13" s="51"/>
      <c r="AA13" s="84">
        <v>25</v>
      </c>
      <c r="AB13" s="51">
        <f>+AA13*AR13</f>
        <v>6500</v>
      </c>
      <c r="AC13" s="84"/>
      <c r="AD13" s="51"/>
      <c r="AE13" s="84"/>
      <c r="AF13" s="51"/>
      <c r="AG13" s="84"/>
      <c r="AH13" s="51"/>
      <c r="AI13" s="84">
        <v>15</v>
      </c>
      <c r="AJ13" s="51">
        <f t="shared" si="2"/>
        <v>3900</v>
      </c>
      <c r="AK13" s="84">
        <v>100</v>
      </c>
      <c r="AL13" s="51">
        <f t="shared" si="3"/>
        <v>26000</v>
      </c>
      <c r="AM13" s="84">
        <v>15</v>
      </c>
      <c r="AN13" s="51">
        <f t="shared" si="4"/>
        <v>3900</v>
      </c>
      <c r="AO13" s="84"/>
      <c r="AP13" s="51"/>
      <c r="AQ13" s="84">
        <f t="shared" si="5"/>
        <v>155</v>
      </c>
      <c r="AR13" s="79">
        <v>260</v>
      </c>
      <c r="AS13" s="164">
        <f t="shared" si="7"/>
        <v>40300</v>
      </c>
    </row>
    <row r="14" spans="1:46" ht="28.5" hidden="1">
      <c r="A14" s="45">
        <v>5</v>
      </c>
      <c r="B14" s="67" t="s">
        <v>1429</v>
      </c>
      <c r="C14" s="71" t="s">
        <v>53</v>
      </c>
      <c r="D14" s="46" t="s">
        <v>176</v>
      </c>
      <c r="E14" s="192" t="s">
        <v>1430</v>
      </c>
      <c r="F14" s="130" t="s">
        <v>12</v>
      </c>
      <c r="G14" s="50"/>
      <c r="H14" s="51"/>
      <c r="I14" s="51"/>
      <c r="J14" s="51"/>
      <c r="K14" s="108"/>
      <c r="L14" s="73"/>
      <c r="M14" s="84"/>
      <c r="N14" s="51"/>
      <c r="O14" s="52"/>
      <c r="P14" s="51"/>
      <c r="Q14" s="84"/>
      <c r="R14" s="51"/>
      <c r="S14" s="52"/>
      <c r="T14" s="51"/>
      <c r="U14" s="84"/>
      <c r="V14" s="51"/>
      <c r="W14" s="84"/>
      <c r="X14" s="51"/>
      <c r="Y14" s="84"/>
      <c r="Z14" s="51"/>
      <c r="AA14" s="84"/>
      <c r="AB14" s="51"/>
      <c r="AC14" s="84"/>
      <c r="AD14" s="51"/>
      <c r="AE14" s="84"/>
      <c r="AF14" s="51"/>
      <c r="AG14" s="84"/>
      <c r="AH14" s="51"/>
      <c r="AI14" s="84"/>
      <c r="AJ14" s="51"/>
      <c r="AK14" s="84">
        <v>30</v>
      </c>
      <c r="AL14" s="51">
        <f t="shared" si="3"/>
        <v>15000</v>
      </c>
      <c r="AM14" s="84">
        <v>17</v>
      </c>
      <c r="AN14" s="51">
        <f t="shared" si="4"/>
        <v>8500</v>
      </c>
      <c r="AO14" s="84"/>
      <c r="AP14" s="51"/>
      <c r="AQ14" s="84">
        <f t="shared" si="5"/>
        <v>47</v>
      </c>
      <c r="AR14" s="79">
        <v>500</v>
      </c>
      <c r="AS14" s="164">
        <f t="shared" si="7"/>
        <v>23500</v>
      </c>
    </row>
    <row r="15" spans="1:46" ht="42.75" hidden="1">
      <c r="A15" s="45">
        <v>6</v>
      </c>
      <c r="B15" s="131" t="s">
        <v>67</v>
      </c>
      <c r="C15" s="71" t="s">
        <v>53</v>
      </c>
      <c r="D15" s="46" t="s">
        <v>176</v>
      </c>
      <c r="E15" s="53" t="s">
        <v>68</v>
      </c>
      <c r="F15" s="118" t="s">
        <v>14</v>
      </c>
      <c r="G15" s="50"/>
      <c r="H15" s="51"/>
      <c r="I15" s="51"/>
      <c r="J15" s="51"/>
      <c r="K15" s="109">
        <v>35</v>
      </c>
      <c r="L15" s="73">
        <f t="shared" si="0"/>
        <v>5075</v>
      </c>
      <c r="M15" s="84"/>
      <c r="N15" s="51">
        <f t="shared" si="1"/>
        <v>0</v>
      </c>
      <c r="O15" s="52"/>
      <c r="P15" s="51">
        <f t="shared" si="6"/>
        <v>0</v>
      </c>
      <c r="Q15" s="84"/>
      <c r="R15" s="51"/>
      <c r="S15" s="52"/>
      <c r="T15" s="51"/>
      <c r="U15" s="84"/>
      <c r="V15" s="51"/>
      <c r="W15" s="84"/>
      <c r="X15" s="51"/>
      <c r="Y15" s="84"/>
      <c r="Z15" s="51"/>
      <c r="AA15" s="84"/>
      <c r="AB15" s="51"/>
      <c r="AC15" s="84"/>
      <c r="AD15" s="51"/>
      <c r="AE15" s="84"/>
      <c r="AF15" s="51"/>
      <c r="AG15" s="84"/>
      <c r="AH15" s="51"/>
      <c r="AI15" s="84">
        <v>50</v>
      </c>
      <c r="AJ15" s="51">
        <f t="shared" si="2"/>
        <v>7250</v>
      </c>
      <c r="AK15" s="84">
        <v>25</v>
      </c>
      <c r="AL15" s="51">
        <f t="shared" si="3"/>
        <v>3625</v>
      </c>
      <c r="AM15" s="84">
        <v>90</v>
      </c>
      <c r="AN15" s="51">
        <f t="shared" si="4"/>
        <v>13050</v>
      </c>
      <c r="AO15" s="84"/>
      <c r="AP15" s="51"/>
      <c r="AQ15" s="84">
        <f t="shared" si="5"/>
        <v>200</v>
      </c>
      <c r="AR15" s="79">
        <v>145</v>
      </c>
      <c r="AS15" s="164">
        <f t="shared" si="7"/>
        <v>29000</v>
      </c>
    </row>
    <row r="16" spans="1:46" ht="28.5" hidden="1">
      <c r="A16" s="45">
        <v>7</v>
      </c>
      <c r="B16" s="131" t="s">
        <v>69</v>
      </c>
      <c r="C16" s="71" t="s">
        <v>53</v>
      </c>
      <c r="D16" s="46" t="s">
        <v>176</v>
      </c>
      <c r="E16" s="53" t="s">
        <v>70</v>
      </c>
      <c r="F16" s="118" t="s">
        <v>71</v>
      </c>
      <c r="G16" s="50"/>
      <c r="H16" s="51"/>
      <c r="I16" s="51"/>
      <c r="J16" s="51"/>
      <c r="K16" s="109">
        <v>40</v>
      </c>
      <c r="L16" s="73">
        <f t="shared" si="0"/>
        <v>4400</v>
      </c>
      <c r="M16" s="84"/>
      <c r="N16" s="51">
        <f t="shared" si="1"/>
        <v>0</v>
      </c>
      <c r="O16" s="52"/>
      <c r="P16" s="51">
        <f t="shared" si="6"/>
        <v>0</v>
      </c>
      <c r="Q16" s="84"/>
      <c r="R16" s="51"/>
      <c r="S16" s="52"/>
      <c r="T16" s="51"/>
      <c r="U16" s="84"/>
      <c r="V16" s="51"/>
      <c r="W16" s="84"/>
      <c r="X16" s="51"/>
      <c r="Y16" s="84"/>
      <c r="Z16" s="51"/>
      <c r="AA16" s="84"/>
      <c r="AB16" s="51"/>
      <c r="AC16" s="84"/>
      <c r="AD16" s="51"/>
      <c r="AE16" s="84"/>
      <c r="AF16" s="51"/>
      <c r="AG16" s="84"/>
      <c r="AH16" s="51"/>
      <c r="AI16" s="84"/>
      <c r="AJ16" s="51">
        <f t="shared" si="2"/>
        <v>0</v>
      </c>
      <c r="AK16" s="84">
        <v>25</v>
      </c>
      <c r="AL16" s="51">
        <f t="shared" si="3"/>
        <v>2750</v>
      </c>
      <c r="AM16" s="84">
        <v>90</v>
      </c>
      <c r="AN16" s="51">
        <f t="shared" si="4"/>
        <v>9900</v>
      </c>
      <c r="AO16" s="84"/>
      <c r="AP16" s="51"/>
      <c r="AQ16" s="84">
        <f t="shared" si="5"/>
        <v>155</v>
      </c>
      <c r="AR16" s="79">
        <v>110</v>
      </c>
      <c r="AS16" s="164">
        <f t="shared" si="7"/>
        <v>17050</v>
      </c>
    </row>
    <row r="17" spans="1:45" ht="42.75" hidden="1">
      <c r="A17" s="45">
        <v>8</v>
      </c>
      <c r="B17" s="132" t="s">
        <v>380</v>
      </c>
      <c r="C17" s="71" t="s">
        <v>53</v>
      </c>
      <c r="D17" s="46" t="s">
        <v>176</v>
      </c>
      <c r="E17" s="192" t="s">
        <v>379</v>
      </c>
      <c r="F17" s="118" t="s">
        <v>17</v>
      </c>
      <c r="G17" s="50"/>
      <c r="H17" s="51"/>
      <c r="I17" s="51"/>
      <c r="J17" s="51"/>
      <c r="K17" s="109">
        <v>30</v>
      </c>
      <c r="L17" s="73">
        <f t="shared" si="0"/>
        <v>36000</v>
      </c>
      <c r="M17" s="84"/>
      <c r="N17" s="51">
        <f t="shared" si="1"/>
        <v>0</v>
      </c>
      <c r="O17" s="52"/>
      <c r="P17" s="51">
        <f t="shared" si="6"/>
        <v>0</v>
      </c>
      <c r="Q17" s="84"/>
      <c r="R17" s="51"/>
      <c r="S17" s="52"/>
      <c r="T17" s="51"/>
      <c r="U17" s="84"/>
      <c r="V17" s="51"/>
      <c r="W17" s="84"/>
      <c r="X17" s="51"/>
      <c r="Y17" s="84"/>
      <c r="Z17" s="51"/>
      <c r="AA17" s="84"/>
      <c r="AB17" s="51"/>
      <c r="AC17" s="84"/>
      <c r="AD17" s="51"/>
      <c r="AE17" s="84"/>
      <c r="AF17" s="51"/>
      <c r="AG17" s="84"/>
      <c r="AH17" s="51"/>
      <c r="AI17" s="84"/>
      <c r="AJ17" s="51">
        <f t="shared" si="2"/>
        <v>0</v>
      </c>
      <c r="AK17" s="84"/>
      <c r="AL17" s="51">
        <f t="shared" si="3"/>
        <v>0</v>
      </c>
      <c r="AM17" s="84"/>
      <c r="AN17" s="51">
        <f t="shared" si="4"/>
        <v>0</v>
      </c>
      <c r="AO17" s="84"/>
      <c r="AP17" s="51"/>
      <c r="AQ17" s="84">
        <f t="shared" si="5"/>
        <v>30</v>
      </c>
      <c r="AR17" s="79">
        <v>1200</v>
      </c>
      <c r="AS17" s="164">
        <f t="shared" si="7"/>
        <v>36000</v>
      </c>
    </row>
    <row r="18" spans="1:45" ht="28.5" hidden="1">
      <c r="A18" s="45">
        <v>9</v>
      </c>
      <c r="B18" s="67" t="s">
        <v>72</v>
      </c>
      <c r="C18" s="71" t="s">
        <v>53</v>
      </c>
      <c r="D18" s="46" t="s">
        <v>176</v>
      </c>
      <c r="E18" s="53" t="s">
        <v>73</v>
      </c>
      <c r="F18" s="118" t="s">
        <v>17</v>
      </c>
      <c r="G18" s="50"/>
      <c r="H18" s="51"/>
      <c r="I18" s="51"/>
      <c r="J18" s="51"/>
      <c r="K18" s="109">
        <v>40</v>
      </c>
      <c r="L18" s="73">
        <f t="shared" si="0"/>
        <v>6800</v>
      </c>
      <c r="M18" s="84">
        <v>4</v>
      </c>
      <c r="N18" s="51">
        <f t="shared" si="1"/>
        <v>936</v>
      </c>
      <c r="O18" s="52"/>
      <c r="P18" s="51">
        <f t="shared" si="6"/>
        <v>0</v>
      </c>
      <c r="Q18" s="84"/>
      <c r="R18" s="51"/>
      <c r="S18" s="52"/>
      <c r="T18" s="51"/>
      <c r="U18" s="84"/>
      <c r="V18" s="51"/>
      <c r="W18" s="84"/>
      <c r="X18" s="51"/>
      <c r="Y18" s="84">
        <v>15</v>
      </c>
      <c r="Z18" s="51">
        <f>+Y18*AR18</f>
        <v>2550</v>
      </c>
      <c r="AA18" s="84">
        <v>50</v>
      </c>
      <c r="AB18" s="51">
        <f>+AA18*AR18</f>
        <v>8500</v>
      </c>
      <c r="AC18" s="84"/>
      <c r="AD18" s="51"/>
      <c r="AE18" s="84"/>
      <c r="AF18" s="51"/>
      <c r="AG18" s="84"/>
      <c r="AH18" s="51"/>
      <c r="AI18" s="84">
        <v>45</v>
      </c>
      <c r="AJ18" s="51">
        <f t="shared" si="2"/>
        <v>7650</v>
      </c>
      <c r="AK18" s="84">
        <v>50</v>
      </c>
      <c r="AL18" s="51">
        <f t="shared" si="3"/>
        <v>8500</v>
      </c>
      <c r="AM18" s="84">
        <v>30</v>
      </c>
      <c r="AN18" s="51">
        <f t="shared" si="4"/>
        <v>5100</v>
      </c>
      <c r="AO18" s="84"/>
      <c r="AP18" s="51"/>
      <c r="AQ18" s="84">
        <f t="shared" si="5"/>
        <v>234</v>
      </c>
      <c r="AR18" s="79">
        <v>170</v>
      </c>
      <c r="AS18" s="164">
        <f t="shared" si="7"/>
        <v>39780</v>
      </c>
    </row>
    <row r="19" spans="1:45" ht="28.5" hidden="1">
      <c r="A19" s="45">
        <v>10</v>
      </c>
      <c r="B19" s="67" t="s">
        <v>74</v>
      </c>
      <c r="C19" s="71" t="s">
        <v>53</v>
      </c>
      <c r="D19" s="46" t="s">
        <v>176</v>
      </c>
      <c r="E19" s="53" t="s">
        <v>75</v>
      </c>
      <c r="F19" s="118" t="s">
        <v>17</v>
      </c>
      <c r="G19" s="50"/>
      <c r="H19" s="51"/>
      <c r="I19" s="51"/>
      <c r="J19" s="51"/>
      <c r="K19" s="109">
        <v>40</v>
      </c>
      <c r="L19" s="73">
        <f t="shared" si="0"/>
        <v>2800</v>
      </c>
      <c r="M19" s="84">
        <v>4</v>
      </c>
      <c r="N19" s="51">
        <f t="shared" si="1"/>
        <v>524</v>
      </c>
      <c r="O19" s="52"/>
      <c r="P19" s="51">
        <f t="shared" si="6"/>
        <v>0</v>
      </c>
      <c r="Q19" s="84"/>
      <c r="R19" s="51"/>
      <c r="S19" s="52"/>
      <c r="T19" s="51"/>
      <c r="U19" s="84"/>
      <c r="V19" s="51"/>
      <c r="W19" s="84"/>
      <c r="X19" s="51"/>
      <c r="Y19" s="84"/>
      <c r="Z19" s="51"/>
      <c r="AA19" s="84"/>
      <c r="AB19" s="51"/>
      <c r="AC19" s="84"/>
      <c r="AD19" s="51"/>
      <c r="AE19" s="84"/>
      <c r="AF19" s="51"/>
      <c r="AG19" s="84"/>
      <c r="AH19" s="51"/>
      <c r="AI19" s="84">
        <v>45</v>
      </c>
      <c r="AJ19" s="51">
        <f t="shared" si="2"/>
        <v>3150</v>
      </c>
      <c r="AK19" s="84">
        <v>30</v>
      </c>
      <c r="AL19" s="51">
        <f t="shared" si="3"/>
        <v>2100</v>
      </c>
      <c r="AM19" s="84">
        <v>12</v>
      </c>
      <c r="AN19" s="51">
        <f t="shared" si="4"/>
        <v>840</v>
      </c>
      <c r="AO19" s="84"/>
      <c r="AP19" s="51"/>
      <c r="AQ19" s="84">
        <f t="shared" si="5"/>
        <v>131</v>
      </c>
      <c r="AR19" s="79">
        <v>70</v>
      </c>
      <c r="AS19" s="164">
        <f t="shared" si="7"/>
        <v>9170</v>
      </c>
    </row>
    <row r="20" spans="1:45" ht="42.75" hidden="1">
      <c r="A20" s="45">
        <v>11</v>
      </c>
      <c r="B20" s="67" t="s">
        <v>76</v>
      </c>
      <c r="C20" s="71" t="s">
        <v>53</v>
      </c>
      <c r="D20" s="46" t="s">
        <v>176</v>
      </c>
      <c r="E20" s="192" t="s">
        <v>77</v>
      </c>
      <c r="F20" s="118" t="s">
        <v>17</v>
      </c>
      <c r="G20" s="50"/>
      <c r="H20" s="51"/>
      <c r="I20" s="51"/>
      <c r="J20" s="51"/>
      <c r="K20" s="109">
        <v>50</v>
      </c>
      <c r="L20" s="73">
        <f t="shared" si="0"/>
        <v>18250</v>
      </c>
      <c r="M20" s="84"/>
      <c r="N20" s="51">
        <f t="shared" si="1"/>
        <v>0</v>
      </c>
      <c r="O20" s="52"/>
      <c r="P20" s="51">
        <f t="shared" si="6"/>
        <v>0</v>
      </c>
      <c r="Q20" s="84"/>
      <c r="R20" s="51"/>
      <c r="S20" s="52"/>
      <c r="T20" s="51"/>
      <c r="U20" s="84"/>
      <c r="V20" s="51"/>
      <c r="W20" s="84"/>
      <c r="X20" s="51"/>
      <c r="Y20" s="84"/>
      <c r="Z20" s="51"/>
      <c r="AA20" s="84"/>
      <c r="AB20" s="51"/>
      <c r="AC20" s="84"/>
      <c r="AD20" s="51"/>
      <c r="AE20" s="84"/>
      <c r="AF20" s="51"/>
      <c r="AG20" s="84"/>
      <c r="AH20" s="51"/>
      <c r="AI20" s="84"/>
      <c r="AJ20" s="51">
        <f t="shared" si="2"/>
        <v>0</v>
      </c>
      <c r="AK20" s="84">
        <v>30</v>
      </c>
      <c r="AL20" s="51">
        <f t="shared" si="3"/>
        <v>10950</v>
      </c>
      <c r="AM20" s="84">
        <v>40</v>
      </c>
      <c r="AN20" s="51">
        <f t="shared" si="4"/>
        <v>14600</v>
      </c>
      <c r="AO20" s="84"/>
      <c r="AP20" s="51"/>
      <c r="AQ20" s="84">
        <f t="shared" si="5"/>
        <v>120</v>
      </c>
      <c r="AR20" s="79">
        <v>365</v>
      </c>
      <c r="AS20" s="164">
        <f t="shared" si="7"/>
        <v>43800</v>
      </c>
    </row>
    <row r="21" spans="1:45" ht="28.5" hidden="1">
      <c r="A21" s="45">
        <v>12</v>
      </c>
      <c r="B21" s="67" t="s">
        <v>57</v>
      </c>
      <c r="C21" s="71" t="s">
        <v>53</v>
      </c>
      <c r="D21" s="46" t="s">
        <v>176</v>
      </c>
      <c r="E21" s="53" t="s">
        <v>56</v>
      </c>
      <c r="F21" s="118" t="s">
        <v>17</v>
      </c>
      <c r="G21" s="50"/>
      <c r="H21" s="51"/>
      <c r="I21" s="51"/>
      <c r="J21" s="51"/>
      <c r="K21" s="109">
        <v>4</v>
      </c>
      <c r="L21" s="73">
        <f t="shared" si="0"/>
        <v>2240</v>
      </c>
      <c r="M21" s="84"/>
      <c r="N21" s="51">
        <f t="shared" si="1"/>
        <v>0</v>
      </c>
      <c r="O21" s="52"/>
      <c r="P21" s="51">
        <f t="shared" si="6"/>
        <v>0</v>
      </c>
      <c r="Q21" s="84"/>
      <c r="R21" s="51"/>
      <c r="S21" s="52"/>
      <c r="T21" s="51"/>
      <c r="U21" s="84"/>
      <c r="V21" s="51"/>
      <c r="W21" s="84"/>
      <c r="X21" s="51"/>
      <c r="Y21" s="84"/>
      <c r="Z21" s="51"/>
      <c r="AA21" s="84"/>
      <c r="AB21" s="51"/>
      <c r="AC21" s="84"/>
      <c r="AD21" s="51"/>
      <c r="AE21" s="84"/>
      <c r="AF21" s="51"/>
      <c r="AG21" s="84"/>
      <c r="AH21" s="51"/>
      <c r="AI21" s="84"/>
      <c r="AJ21" s="51">
        <f t="shared" si="2"/>
        <v>0</v>
      </c>
      <c r="AK21" s="84">
        <v>40</v>
      </c>
      <c r="AL21" s="51">
        <f t="shared" si="3"/>
        <v>22400</v>
      </c>
      <c r="AM21" s="84">
        <v>8</v>
      </c>
      <c r="AN21" s="51">
        <f t="shared" si="4"/>
        <v>4480</v>
      </c>
      <c r="AO21" s="84"/>
      <c r="AP21" s="51"/>
      <c r="AQ21" s="84">
        <f t="shared" si="5"/>
        <v>52</v>
      </c>
      <c r="AR21" s="79">
        <v>560</v>
      </c>
      <c r="AS21" s="164">
        <f t="shared" si="7"/>
        <v>29120</v>
      </c>
    </row>
    <row r="22" spans="1:45" ht="42.75" hidden="1">
      <c r="A22" s="45">
        <v>13</v>
      </c>
      <c r="B22" s="125" t="s">
        <v>424</v>
      </c>
      <c r="C22" s="192" t="s">
        <v>53</v>
      </c>
      <c r="D22" s="46" t="s">
        <v>176</v>
      </c>
      <c r="E22" s="192" t="s">
        <v>425</v>
      </c>
      <c r="F22" s="50" t="s">
        <v>14</v>
      </c>
      <c r="G22" s="50"/>
      <c r="H22" s="51"/>
      <c r="I22" s="51"/>
      <c r="J22" s="51"/>
      <c r="K22" s="52"/>
      <c r="L22" s="73"/>
      <c r="M22" s="84">
        <v>10</v>
      </c>
      <c r="N22" s="51">
        <f t="shared" si="1"/>
        <v>5700</v>
      </c>
      <c r="O22" s="52"/>
      <c r="P22" s="51">
        <f t="shared" si="6"/>
        <v>0</v>
      </c>
      <c r="Q22" s="84"/>
      <c r="R22" s="51"/>
      <c r="S22" s="52"/>
      <c r="T22" s="51"/>
      <c r="U22" s="84"/>
      <c r="V22" s="51"/>
      <c r="W22" s="84"/>
      <c r="X22" s="51"/>
      <c r="Y22" s="84"/>
      <c r="Z22" s="51"/>
      <c r="AA22" s="84">
        <v>20</v>
      </c>
      <c r="AB22" s="51">
        <f>+AA22*AR22</f>
        <v>2000</v>
      </c>
      <c r="AC22" s="84"/>
      <c r="AD22" s="51"/>
      <c r="AE22" s="84"/>
      <c r="AF22" s="51"/>
      <c r="AG22" s="84"/>
      <c r="AH22" s="51"/>
      <c r="AI22" s="84">
        <v>60</v>
      </c>
      <c r="AJ22" s="51">
        <f t="shared" si="2"/>
        <v>6000</v>
      </c>
      <c r="AK22" s="84">
        <v>300</v>
      </c>
      <c r="AL22" s="51">
        <f t="shared" si="3"/>
        <v>30000</v>
      </c>
      <c r="AM22" s="84">
        <v>180</v>
      </c>
      <c r="AN22" s="51">
        <f t="shared" si="4"/>
        <v>18000</v>
      </c>
      <c r="AO22" s="84"/>
      <c r="AP22" s="51"/>
      <c r="AQ22" s="84">
        <f t="shared" si="5"/>
        <v>570</v>
      </c>
      <c r="AR22" s="163">
        <v>100</v>
      </c>
      <c r="AS22" s="164">
        <f t="shared" si="7"/>
        <v>57000</v>
      </c>
    </row>
    <row r="23" spans="1:45" ht="28.5" hidden="1">
      <c r="A23" s="45">
        <v>14</v>
      </c>
      <c r="B23" s="125" t="s">
        <v>426</v>
      </c>
      <c r="C23" s="192" t="s">
        <v>53</v>
      </c>
      <c r="D23" s="46" t="s">
        <v>176</v>
      </c>
      <c r="E23" s="192" t="s">
        <v>427</v>
      </c>
      <c r="F23" s="50" t="s">
        <v>14</v>
      </c>
      <c r="G23" s="50"/>
      <c r="H23" s="51"/>
      <c r="I23" s="51"/>
      <c r="J23" s="51"/>
      <c r="K23" s="52"/>
      <c r="L23" s="73"/>
      <c r="M23" s="84">
        <v>3</v>
      </c>
      <c r="N23" s="51">
        <f t="shared" si="1"/>
        <v>1029</v>
      </c>
      <c r="O23" s="52">
        <v>20</v>
      </c>
      <c r="P23" s="51">
        <f t="shared" si="6"/>
        <v>3600</v>
      </c>
      <c r="Q23" s="84"/>
      <c r="R23" s="51"/>
      <c r="S23" s="52"/>
      <c r="T23" s="51"/>
      <c r="U23" s="84"/>
      <c r="V23" s="51"/>
      <c r="W23" s="84"/>
      <c r="X23" s="51"/>
      <c r="Y23" s="84">
        <v>10</v>
      </c>
      <c r="Z23" s="51">
        <f>+Y23*AR23</f>
        <v>1800</v>
      </c>
      <c r="AA23" s="84">
        <v>10</v>
      </c>
      <c r="AB23" s="51">
        <f>+AA23*AR23</f>
        <v>1800</v>
      </c>
      <c r="AC23" s="84"/>
      <c r="AD23" s="51"/>
      <c r="AE23" s="84"/>
      <c r="AF23" s="51"/>
      <c r="AG23" s="84"/>
      <c r="AH23" s="51"/>
      <c r="AI23" s="84">
        <v>15</v>
      </c>
      <c r="AJ23" s="51">
        <f t="shared" si="2"/>
        <v>2700</v>
      </c>
      <c r="AK23" s="84">
        <v>200</v>
      </c>
      <c r="AL23" s="51">
        <f t="shared" si="3"/>
        <v>36000</v>
      </c>
      <c r="AM23" s="84">
        <v>85</v>
      </c>
      <c r="AN23" s="51">
        <f t="shared" si="4"/>
        <v>15300</v>
      </c>
      <c r="AO23" s="84"/>
      <c r="AP23" s="51"/>
      <c r="AQ23" s="84">
        <f t="shared" si="5"/>
        <v>343</v>
      </c>
      <c r="AR23" s="163">
        <v>180</v>
      </c>
      <c r="AS23" s="164">
        <f t="shared" si="7"/>
        <v>61740</v>
      </c>
    </row>
    <row r="24" spans="1:45" ht="57" hidden="1">
      <c r="A24" s="45">
        <v>15</v>
      </c>
      <c r="B24" s="71" t="s">
        <v>55</v>
      </c>
      <c r="C24" s="71" t="s">
        <v>53</v>
      </c>
      <c r="D24" s="46" t="s">
        <v>176</v>
      </c>
      <c r="E24" s="192" t="s">
        <v>54</v>
      </c>
      <c r="F24" s="50" t="s">
        <v>271</v>
      </c>
      <c r="G24" s="50"/>
      <c r="H24" s="51"/>
      <c r="I24" s="51"/>
      <c r="J24" s="51"/>
      <c r="K24" s="52"/>
      <c r="L24" s="73"/>
      <c r="M24" s="84"/>
      <c r="N24" s="51"/>
      <c r="O24" s="49">
        <v>3</v>
      </c>
      <c r="P24" s="51">
        <f t="shared" si="6"/>
        <v>1200</v>
      </c>
      <c r="Q24" s="84"/>
      <c r="R24" s="51"/>
      <c r="S24" s="52"/>
      <c r="T24" s="51"/>
      <c r="U24" s="84"/>
      <c r="V24" s="51"/>
      <c r="W24" s="84"/>
      <c r="X24" s="51"/>
      <c r="Y24" s="84">
        <v>4</v>
      </c>
      <c r="Z24" s="51">
        <f>+Y24*AR24</f>
        <v>1600</v>
      </c>
      <c r="AA24" s="84"/>
      <c r="AB24" s="51"/>
      <c r="AC24" s="84"/>
      <c r="AD24" s="51"/>
      <c r="AE24" s="84"/>
      <c r="AF24" s="51"/>
      <c r="AG24" s="84"/>
      <c r="AH24" s="51"/>
      <c r="AI24" s="84"/>
      <c r="AJ24" s="51">
        <f t="shared" si="2"/>
        <v>0</v>
      </c>
      <c r="AK24" s="84">
        <v>30</v>
      </c>
      <c r="AL24" s="51">
        <f t="shared" si="3"/>
        <v>12000</v>
      </c>
      <c r="AM24" s="84">
        <v>12</v>
      </c>
      <c r="AN24" s="51">
        <f t="shared" si="4"/>
        <v>4800</v>
      </c>
      <c r="AO24" s="84"/>
      <c r="AP24" s="51"/>
      <c r="AQ24" s="84">
        <f t="shared" si="5"/>
        <v>49</v>
      </c>
      <c r="AR24" s="161">
        <v>400</v>
      </c>
      <c r="AS24" s="164">
        <f t="shared" si="7"/>
        <v>19600</v>
      </c>
    </row>
    <row r="25" spans="1:45" ht="42.75" hidden="1">
      <c r="A25" s="45">
        <v>16</v>
      </c>
      <c r="B25" s="47" t="s">
        <v>60</v>
      </c>
      <c r="C25" s="71" t="s">
        <v>53</v>
      </c>
      <c r="D25" s="46" t="s">
        <v>176</v>
      </c>
      <c r="E25" s="53" t="s">
        <v>61</v>
      </c>
      <c r="F25" s="48" t="s">
        <v>21</v>
      </c>
      <c r="G25" s="50"/>
      <c r="H25" s="51"/>
      <c r="I25" s="51"/>
      <c r="J25" s="51"/>
      <c r="K25" s="52"/>
      <c r="L25" s="73"/>
      <c r="M25" s="84"/>
      <c r="N25" s="51"/>
      <c r="O25" s="48">
        <v>10</v>
      </c>
      <c r="P25" s="51">
        <f t="shared" si="6"/>
        <v>1800</v>
      </c>
      <c r="Q25" s="84"/>
      <c r="R25" s="51"/>
      <c r="S25" s="52"/>
      <c r="T25" s="51"/>
      <c r="U25" s="84"/>
      <c r="V25" s="51"/>
      <c r="W25" s="84"/>
      <c r="X25" s="51"/>
      <c r="Y25" s="84">
        <v>10</v>
      </c>
      <c r="Z25" s="51">
        <f>+Y25*AR25</f>
        <v>1800</v>
      </c>
      <c r="AA25" s="84"/>
      <c r="AB25" s="51"/>
      <c r="AC25" s="84"/>
      <c r="AD25" s="51"/>
      <c r="AE25" s="84"/>
      <c r="AF25" s="51"/>
      <c r="AG25" s="84"/>
      <c r="AH25" s="51"/>
      <c r="AI25" s="84"/>
      <c r="AJ25" s="51">
        <f t="shared" si="2"/>
        <v>0</v>
      </c>
      <c r="AK25" s="84">
        <v>50</v>
      </c>
      <c r="AL25" s="51">
        <f t="shared" si="3"/>
        <v>9000</v>
      </c>
      <c r="AM25" s="84">
        <v>70</v>
      </c>
      <c r="AN25" s="51">
        <f t="shared" si="4"/>
        <v>12600</v>
      </c>
      <c r="AO25" s="84"/>
      <c r="AP25" s="51"/>
      <c r="AQ25" s="84">
        <f t="shared" si="5"/>
        <v>140</v>
      </c>
      <c r="AR25" s="165">
        <v>180</v>
      </c>
      <c r="AS25" s="164">
        <f t="shared" si="7"/>
        <v>25200</v>
      </c>
    </row>
    <row r="26" spans="1:45" ht="42.75" hidden="1">
      <c r="A26" s="45">
        <v>17</v>
      </c>
      <c r="B26" s="47" t="s">
        <v>59</v>
      </c>
      <c r="C26" s="71" t="s">
        <v>53</v>
      </c>
      <c r="D26" s="46" t="s">
        <v>176</v>
      </c>
      <c r="E26" s="53" t="s">
        <v>58</v>
      </c>
      <c r="F26" s="48" t="s">
        <v>17</v>
      </c>
      <c r="G26" s="50"/>
      <c r="H26" s="51"/>
      <c r="I26" s="51"/>
      <c r="J26" s="51"/>
      <c r="K26" s="52"/>
      <c r="L26" s="73"/>
      <c r="M26" s="84"/>
      <c r="N26" s="51">
        <f t="shared" si="1"/>
        <v>0</v>
      </c>
      <c r="O26" s="48">
        <v>10</v>
      </c>
      <c r="P26" s="51">
        <f t="shared" si="6"/>
        <v>3000</v>
      </c>
      <c r="Q26" s="84"/>
      <c r="R26" s="51"/>
      <c r="S26" s="52"/>
      <c r="T26" s="51"/>
      <c r="U26" s="84"/>
      <c r="V26" s="51"/>
      <c r="W26" s="84"/>
      <c r="X26" s="51"/>
      <c r="Y26" s="84"/>
      <c r="Z26" s="51"/>
      <c r="AA26" s="84"/>
      <c r="AB26" s="51"/>
      <c r="AC26" s="84"/>
      <c r="AD26" s="51"/>
      <c r="AE26" s="84"/>
      <c r="AF26" s="51"/>
      <c r="AG26" s="84"/>
      <c r="AH26" s="51"/>
      <c r="AI26" s="84"/>
      <c r="AJ26" s="51">
        <f t="shared" si="2"/>
        <v>0</v>
      </c>
      <c r="AK26" s="84">
        <v>30</v>
      </c>
      <c r="AL26" s="51">
        <f t="shared" si="3"/>
        <v>9000</v>
      </c>
      <c r="AM26" s="84"/>
      <c r="AN26" s="51">
        <f t="shared" si="4"/>
        <v>0</v>
      </c>
      <c r="AO26" s="84"/>
      <c r="AP26" s="51"/>
      <c r="AQ26" s="84">
        <f t="shared" si="5"/>
        <v>40</v>
      </c>
      <c r="AR26" s="165">
        <v>300</v>
      </c>
      <c r="AS26" s="164">
        <f t="shared" si="7"/>
        <v>12000</v>
      </c>
    </row>
    <row r="27" spans="1:45" ht="14.25" hidden="1">
      <c r="A27" s="45">
        <v>18</v>
      </c>
      <c r="B27" s="57" t="s">
        <v>1257</v>
      </c>
      <c r="C27" s="71" t="s">
        <v>53</v>
      </c>
      <c r="D27" s="46" t="s">
        <v>176</v>
      </c>
      <c r="E27" s="53" t="s">
        <v>1259</v>
      </c>
      <c r="F27" s="48" t="s">
        <v>1261</v>
      </c>
      <c r="G27" s="50"/>
      <c r="H27" s="51"/>
      <c r="I27" s="51"/>
      <c r="J27" s="51"/>
      <c r="K27" s="52"/>
      <c r="L27" s="73"/>
      <c r="M27" s="84"/>
      <c r="N27" s="51"/>
      <c r="O27" s="48"/>
      <c r="P27" s="51"/>
      <c r="Q27" s="84"/>
      <c r="R27" s="51"/>
      <c r="S27" s="52"/>
      <c r="T27" s="51"/>
      <c r="U27" s="84">
        <v>2700</v>
      </c>
      <c r="V27" s="51">
        <f>+U27*AR27</f>
        <v>486000</v>
      </c>
      <c r="W27" s="84"/>
      <c r="X27" s="51"/>
      <c r="Y27" s="84"/>
      <c r="Z27" s="51"/>
      <c r="AA27" s="84"/>
      <c r="AB27" s="51"/>
      <c r="AC27" s="84"/>
      <c r="AD27" s="51"/>
      <c r="AE27" s="84"/>
      <c r="AF27" s="51"/>
      <c r="AG27" s="84"/>
      <c r="AH27" s="51"/>
      <c r="AI27" s="84"/>
      <c r="AJ27" s="51">
        <f t="shared" si="2"/>
        <v>0</v>
      </c>
      <c r="AK27" s="84"/>
      <c r="AL27" s="51">
        <f t="shared" si="3"/>
        <v>0</v>
      </c>
      <c r="AM27" s="84"/>
      <c r="AN27" s="51">
        <f t="shared" si="4"/>
        <v>0</v>
      </c>
      <c r="AO27" s="84"/>
      <c r="AP27" s="51"/>
      <c r="AQ27" s="84">
        <f t="shared" si="5"/>
        <v>2700</v>
      </c>
      <c r="AR27" s="165">
        <v>180</v>
      </c>
      <c r="AS27" s="164">
        <f t="shared" si="7"/>
        <v>486000</v>
      </c>
    </row>
    <row r="28" spans="1:45" ht="14.25" hidden="1">
      <c r="A28" s="45">
        <v>19</v>
      </c>
      <c r="B28" s="57" t="s">
        <v>1258</v>
      </c>
      <c r="C28" s="71" t="s">
        <v>53</v>
      </c>
      <c r="D28" s="46" t="s">
        <v>176</v>
      </c>
      <c r="E28" s="53" t="s">
        <v>1260</v>
      </c>
      <c r="F28" s="48" t="s">
        <v>1261</v>
      </c>
      <c r="G28" s="50"/>
      <c r="H28" s="51"/>
      <c r="I28" s="51"/>
      <c r="J28" s="51"/>
      <c r="K28" s="52"/>
      <c r="L28" s="73"/>
      <c r="M28" s="84"/>
      <c r="N28" s="51"/>
      <c r="O28" s="48"/>
      <c r="P28" s="51"/>
      <c r="Q28" s="84"/>
      <c r="R28" s="51"/>
      <c r="S28" s="52"/>
      <c r="T28" s="51"/>
      <c r="U28" s="84">
        <v>2700</v>
      </c>
      <c r="V28" s="51">
        <f>+U28*AR28</f>
        <v>486000</v>
      </c>
      <c r="W28" s="84"/>
      <c r="X28" s="51"/>
      <c r="Y28" s="84"/>
      <c r="Z28" s="51"/>
      <c r="AA28" s="84"/>
      <c r="AB28" s="51"/>
      <c r="AC28" s="84"/>
      <c r="AD28" s="51"/>
      <c r="AE28" s="84"/>
      <c r="AF28" s="51"/>
      <c r="AG28" s="84"/>
      <c r="AH28" s="51"/>
      <c r="AI28" s="84"/>
      <c r="AJ28" s="51">
        <f t="shared" si="2"/>
        <v>0</v>
      </c>
      <c r="AK28" s="84"/>
      <c r="AL28" s="51">
        <f t="shared" si="3"/>
        <v>0</v>
      </c>
      <c r="AM28" s="84"/>
      <c r="AN28" s="51">
        <f t="shared" si="4"/>
        <v>0</v>
      </c>
      <c r="AO28" s="84"/>
      <c r="AP28" s="51"/>
      <c r="AQ28" s="84">
        <f t="shared" si="5"/>
        <v>2700</v>
      </c>
      <c r="AR28" s="165">
        <v>180</v>
      </c>
      <c r="AS28" s="164">
        <f t="shared" si="7"/>
        <v>486000</v>
      </c>
    </row>
    <row r="29" spans="1:45" ht="57" hidden="1">
      <c r="A29" s="45">
        <v>20</v>
      </c>
      <c r="B29" s="46" t="s">
        <v>1300</v>
      </c>
      <c r="C29" s="71" t="s">
        <v>53</v>
      </c>
      <c r="D29" s="46" t="s">
        <v>176</v>
      </c>
      <c r="E29" s="53" t="s">
        <v>1299</v>
      </c>
      <c r="F29" s="50" t="s">
        <v>12</v>
      </c>
      <c r="G29" s="50"/>
      <c r="H29" s="51"/>
      <c r="I29" s="51"/>
      <c r="J29" s="51"/>
      <c r="K29" s="52"/>
      <c r="L29" s="73"/>
      <c r="M29" s="84"/>
      <c r="N29" s="51">
        <f t="shared" si="1"/>
        <v>0</v>
      </c>
      <c r="O29" s="52"/>
      <c r="P29" s="51">
        <f>+AR29*O29</f>
        <v>0</v>
      </c>
      <c r="Q29" s="84"/>
      <c r="R29" s="51"/>
      <c r="S29" s="52"/>
      <c r="T29" s="51"/>
      <c r="U29" s="84"/>
      <c r="V29" s="51"/>
      <c r="W29" s="84"/>
      <c r="X29" s="51"/>
      <c r="Y29" s="84">
        <v>13500</v>
      </c>
      <c r="Z29" s="51">
        <f>+Y29*AR29</f>
        <v>4927500</v>
      </c>
      <c r="AA29" s="84"/>
      <c r="AB29" s="51"/>
      <c r="AC29" s="84"/>
      <c r="AD29" s="51"/>
      <c r="AE29" s="84"/>
      <c r="AF29" s="51"/>
      <c r="AG29" s="84"/>
      <c r="AH29" s="51"/>
      <c r="AI29" s="84"/>
      <c r="AJ29" s="51">
        <f t="shared" si="2"/>
        <v>0</v>
      </c>
      <c r="AK29" s="84"/>
      <c r="AL29" s="51">
        <f t="shared" si="3"/>
        <v>0</v>
      </c>
      <c r="AM29" s="84"/>
      <c r="AN29" s="51">
        <f t="shared" si="4"/>
        <v>0</v>
      </c>
      <c r="AO29" s="84"/>
      <c r="AP29" s="51"/>
      <c r="AQ29" s="84">
        <f t="shared" si="5"/>
        <v>13500</v>
      </c>
      <c r="AR29" s="165">
        <v>365</v>
      </c>
      <c r="AS29" s="164">
        <f t="shared" si="7"/>
        <v>4927500</v>
      </c>
    </row>
    <row r="30" spans="1:45" ht="14.25" hidden="1">
      <c r="A30" s="45">
        <v>21</v>
      </c>
      <c r="B30" s="46" t="s">
        <v>1604</v>
      </c>
      <c r="C30" s="71" t="s">
        <v>53</v>
      </c>
      <c r="D30" s="46" t="s">
        <v>176</v>
      </c>
      <c r="E30" s="53" t="s">
        <v>1605</v>
      </c>
      <c r="F30" s="50" t="s">
        <v>12</v>
      </c>
      <c r="G30" s="50"/>
      <c r="H30" s="51"/>
      <c r="I30" s="51"/>
      <c r="J30" s="51"/>
      <c r="K30" s="52"/>
      <c r="L30" s="73"/>
      <c r="M30" s="84"/>
      <c r="N30" s="51"/>
      <c r="O30" s="52"/>
      <c r="P30" s="51"/>
      <c r="Q30" s="84"/>
      <c r="R30" s="51"/>
      <c r="S30" s="52"/>
      <c r="T30" s="51"/>
      <c r="U30" s="84"/>
      <c r="V30" s="51"/>
      <c r="W30" s="84"/>
      <c r="X30" s="51"/>
      <c r="Y30" s="84"/>
      <c r="Z30" s="51"/>
      <c r="AA30" s="84"/>
      <c r="AB30" s="51"/>
      <c r="AC30" s="84"/>
      <c r="AD30" s="51"/>
      <c r="AE30" s="84"/>
      <c r="AF30" s="51"/>
      <c r="AG30" s="84"/>
      <c r="AH30" s="51"/>
      <c r="AI30" s="84"/>
      <c r="AJ30" s="51">
        <f t="shared" si="2"/>
        <v>0</v>
      </c>
      <c r="AK30" s="84"/>
      <c r="AL30" s="51">
        <f t="shared" si="3"/>
        <v>0</v>
      </c>
      <c r="AM30" s="84">
        <v>200</v>
      </c>
      <c r="AN30" s="51">
        <f>+AM30*AR30</f>
        <v>3400</v>
      </c>
      <c r="AO30" s="84"/>
      <c r="AP30" s="51"/>
      <c r="AQ30" s="84">
        <f t="shared" si="5"/>
        <v>200</v>
      </c>
      <c r="AR30" s="165">
        <v>17</v>
      </c>
      <c r="AS30" s="164">
        <f t="shared" si="7"/>
        <v>3400</v>
      </c>
    </row>
    <row r="31" spans="1:45" ht="15.75" hidden="1">
      <c r="A31" s="45"/>
      <c r="B31" s="45"/>
      <c r="C31" s="45"/>
      <c r="D31" s="45"/>
      <c r="E31" s="254" t="s">
        <v>209</v>
      </c>
      <c r="F31" s="50"/>
      <c r="G31" s="50"/>
      <c r="H31" s="51"/>
      <c r="I31" s="51"/>
      <c r="J31" s="51"/>
      <c r="K31" s="52"/>
      <c r="L31" s="73"/>
      <c r="M31" s="84"/>
      <c r="N31" s="51"/>
      <c r="O31" s="52"/>
      <c r="P31" s="51">
        <f>SUM(P10:P29)</f>
        <v>42000</v>
      </c>
      <c r="Q31" s="84"/>
      <c r="R31" s="51"/>
      <c r="S31" s="52"/>
      <c r="T31" s="51"/>
      <c r="U31" s="84"/>
      <c r="V31" s="51"/>
      <c r="W31" s="84"/>
      <c r="X31" s="51"/>
      <c r="Y31" s="84"/>
      <c r="Z31" s="51"/>
      <c r="AA31" s="84"/>
      <c r="AB31" s="51"/>
      <c r="AC31" s="84"/>
      <c r="AD31" s="51"/>
      <c r="AE31" s="84"/>
      <c r="AF31" s="51"/>
      <c r="AG31" s="84"/>
      <c r="AH31" s="51"/>
      <c r="AI31" s="84"/>
      <c r="AJ31" s="51"/>
      <c r="AK31" s="84"/>
      <c r="AL31" s="51"/>
      <c r="AM31" s="84"/>
      <c r="AN31" s="51">
        <f t="shared" ref="AN31:AN95" si="8">+AM31*AR31</f>
        <v>0</v>
      </c>
      <c r="AO31" s="84"/>
      <c r="AP31" s="51"/>
      <c r="AQ31" s="84"/>
      <c r="AR31" s="161"/>
      <c r="AS31" s="207">
        <f>SUM(AS10:AS30)</f>
        <v>7059060</v>
      </c>
    </row>
    <row r="32" spans="1:45" ht="28.5" hidden="1">
      <c r="A32" s="45">
        <v>22</v>
      </c>
      <c r="B32" s="46" t="s">
        <v>384</v>
      </c>
      <c r="C32" s="53" t="s">
        <v>383</v>
      </c>
      <c r="D32" s="46">
        <v>223</v>
      </c>
      <c r="E32" s="53" t="s">
        <v>385</v>
      </c>
      <c r="F32" s="50"/>
      <c r="G32" s="50"/>
      <c r="H32" s="51"/>
      <c r="I32" s="51"/>
      <c r="J32" s="51"/>
      <c r="K32" s="52"/>
      <c r="L32" s="73"/>
      <c r="M32" s="84">
        <v>400</v>
      </c>
      <c r="N32" s="51">
        <f>+M32*AR32</f>
        <v>760000</v>
      </c>
      <c r="O32" s="52"/>
      <c r="P32" s="51"/>
      <c r="Q32" s="84"/>
      <c r="R32" s="51"/>
      <c r="S32" s="52"/>
      <c r="T32" s="51"/>
      <c r="U32" s="84"/>
      <c r="V32" s="51"/>
      <c r="W32" s="84"/>
      <c r="X32" s="51"/>
      <c r="Y32" s="84"/>
      <c r="Z32" s="51"/>
      <c r="AA32" s="84"/>
      <c r="AB32" s="51"/>
      <c r="AC32" s="84"/>
      <c r="AD32" s="51"/>
      <c r="AE32" s="84"/>
      <c r="AF32" s="51"/>
      <c r="AG32" s="84"/>
      <c r="AH32" s="51"/>
      <c r="AI32" s="84"/>
      <c r="AJ32" s="51"/>
      <c r="AK32" s="84"/>
      <c r="AL32" s="51"/>
      <c r="AM32" s="84"/>
      <c r="AN32" s="51">
        <f t="shared" si="8"/>
        <v>0</v>
      </c>
      <c r="AO32" s="84"/>
      <c r="AP32" s="51"/>
      <c r="AQ32" s="84">
        <f t="shared" si="5"/>
        <v>400</v>
      </c>
      <c r="AR32" s="163">
        <v>1900</v>
      </c>
      <c r="AS32" s="164">
        <f>+AQ32*AR32</f>
        <v>760000</v>
      </c>
    </row>
    <row r="33" spans="1:45" ht="15.75" hidden="1">
      <c r="A33" s="45"/>
      <c r="B33" s="46"/>
      <c r="C33" s="53"/>
      <c r="D33" s="46"/>
      <c r="E33" s="254" t="s">
        <v>386</v>
      </c>
      <c r="F33" s="50"/>
      <c r="G33" s="50"/>
      <c r="H33" s="51"/>
      <c r="I33" s="51"/>
      <c r="J33" s="51"/>
      <c r="K33" s="52"/>
      <c r="L33" s="73"/>
      <c r="M33" s="84"/>
      <c r="N33" s="51">
        <f>+N32</f>
        <v>760000</v>
      </c>
      <c r="O33" s="52"/>
      <c r="P33" s="51"/>
      <c r="Q33" s="84"/>
      <c r="R33" s="51"/>
      <c r="S33" s="52"/>
      <c r="T33" s="51"/>
      <c r="U33" s="84"/>
      <c r="V33" s="51"/>
      <c r="W33" s="84"/>
      <c r="X33" s="51"/>
      <c r="Y33" s="84"/>
      <c r="Z33" s="51"/>
      <c r="AA33" s="84"/>
      <c r="AB33" s="51"/>
      <c r="AC33" s="84"/>
      <c r="AD33" s="51"/>
      <c r="AE33" s="84"/>
      <c r="AF33" s="51"/>
      <c r="AG33" s="84"/>
      <c r="AH33" s="51"/>
      <c r="AI33" s="84"/>
      <c r="AJ33" s="51"/>
      <c r="AK33" s="84"/>
      <c r="AL33" s="51"/>
      <c r="AM33" s="84"/>
      <c r="AN33" s="51">
        <f t="shared" si="8"/>
        <v>0</v>
      </c>
      <c r="AO33" s="84"/>
      <c r="AP33" s="51"/>
      <c r="AQ33" s="84"/>
      <c r="AR33" s="163"/>
      <c r="AS33" s="207">
        <f>+AS32</f>
        <v>760000</v>
      </c>
    </row>
    <row r="34" spans="1:45" ht="28.5" hidden="1">
      <c r="A34" s="45">
        <v>23</v>
      </c>
      <c r="B34" s="37" t="s">
        <v>1245</v>
      </c>
      <c r="C34" s="37" t="s">
        <v>383</v>
      </c>
      <c r="D34" s="37">
        <v>222</v>
      </c>
      <c r="E34" s="37" t="s">
        <v>1246</v>
      </c>
      <c r="F34" s="110" t="s">
        <v>130</v>
      </c>
      <c r="G34" s="50"/>
      <c r="H34" s="51"/>
      <c r="I34" s="51"/>
      <c r="J34" s="51"/>
      <c r="K34" s="52"/>
      <c r="L34" s="73"/>
      <c r="M34" s="84"/>
      <c r="N34" s="51"/>
      <c r="O34" s="52"/>
      <c r="P34" s="51"/>
      <c r="Q34" s="84"/>
      <c r="R34" s="51"/>
      <c r="S34" s="52">
        <v>10</v>
      </c>
      <c r="T34" s="51">
        <f>+S34*AR34</f>
        <v>11850</v>
      </c>
      <c r="U34" s="84"/>
      <c r="V34" s="51"/>
      <c r="W34" s="84"/>
      <c r="X34" s="51"/>
      <c r="Y34" s="84"/>
      <c r="Z34" s="51"/>
      <c r="AA34" s="84"/>
      <c r="AB34" s="51"/>
      <c r="AC34" s="84"/>
      <c r="AD34" s="51"/>
      <c r="AE34" s="84"/>
      <c r="AF34" s="51"/>
      <c r="AG34" s="84"/>
      <c r="AH34" s="51"/>
      <c r="AI34" s="84"/>
      <c r="AJ34" s="51"/>
      <c r="AK34" s="84"/>
      <c r="AL34" s="51"/>
      <c r="AM34" s="84"/>
      <c r="AN34" s="51">
        <f t="shared" si="8"/>
        <v>0</v>
      </c>
      <c r="AO34" s="84"/>
      <c r="AP34" s="51"/>
      <c r="AQ34" s="84">
        <f t="shared" si="5"/>
        <v>10</v>
      </c>
      <c r="AR34" s="80">
        <v>1185</v>
      </c>
      <c r="AS34" s="164">
        <f>+AQ34*AR34</f>
        <v>11850</v>
      </c>
    </row>
    <row r="35" spans="1:45" ht="28.5" hidden="1">
      <c r="A35" s="45">
        <v>24</v>
      </c>
      <c r="B35" s="53" t="s">
        <v>1247</v>
      </c>
      <c r="C35" s="53" t="s">
        <v>383</v>
      </c>
      <c r="D35" s="53">
        <v>222</v>
      </c>
      <c r="E35" s="53" t="s">
        <v>1248</v>
      </c>
      <c r="F35" s="71" t="s">
        <v>12</v>
      </c>
      <c r="G35" s="50"/>
      <c r="H35" s="51"/>
      <c r="I35" s="51"/>
      <c r="J35" s="51"/>
      <c r="K35" s="52"/>
      <c r="L35" s="73"/>
      <c r="M35" s="84"/>
      <c r="N35" s="51"/>
      <c r="O35" s="52"/>
      <c r="P35" s="51"/>
      <c r="Q35" s="84"/>
      <c r="R35" s="51"/>
      <c r="S35" s="52">
        <v>40</v>
      </c>
      <c r="T35" s="51">
        <f>+S35*AR35</f>
        <v>141000</v>
      </c>
      <c r="U35" s="84"/>
      <c r="V35" s="51"/>
      <c r="W35" s="84"/>
      <c r="X35" s="51"/>
      <c r="Y35" s="84"/>
      <c r="Z35" s="51"/>
      <c r="AA35" s="84"/>
      <c r="AB35" s="51"/>
      <c r="AC35" s="84">
        <v>30</v>
      </c>
      <c r="AD35" s="51">
        <f>+AR35</f>
        <v>3525</v>
      </c>
      <c r="AE35" s="84"/>
      <c r="AF35" s="51"/>
      <c r="AG35" s="84"/>
      <c r="AH35" s="51"/>
      <c r="AI35" s="84"/>
      <c r="AJ35" s="51"/>
      <c r="AK35" s="84"/>
      <c r="AL35" s="51"/>
      <c r="AM35" s="84"/>
      <c r="AN35" s="51">
        <f t="shared" si="8"/>
        <v>0</v>
      </c>
      <c r="AO35" s="84"/>
      <c r="AP35" s="51"/>
      <c r="AQ35" s="84">
        <f t="shared" si="5"/>
        <v>70</v>
      </c>
      <c r="AR35" s="81">
        <v>3525</v>
      </c>
      <c r="AS35" s="164">
        <f>+AQ35*AR35</f>
        <v>246750</v>
      </c>
    </row>
    <row r="36" spans="1:45" ht="28.5" hidden="1">
      <c r="A36" s="45">
        <v>25</v>
      </c>
      <c r="B36" s="57" t="s">
        <v>1269</v>
      </c>
      <c r="C36" s="53" t="s">
        <v>383</v>
      </c>
      <c r="D36" s="53">
        <v>222</v>
      </c>
      <c r="E36" s="57" t="s">
        <v>1272</v>
      </c>
      <c r="F36" s="71" t="s">
        <v>12</v>
      </c>
      <c r="G36" s="50"/>
      <c r="H36" s="51"/>
      <c r="I36" s="51"/>
      <c r="J36" s="51"/>
      <c r="K36" s="52"/>
      <c r="L36" s="73"/>
      <c r="M36" s="84"/>
      <c r="N36" s="51"/>
      <c r="O36" s="52"/>
      <c r="P36" s="51"/>
      <c r="Q36" s="84"/>
      <c r="R36" s="51"/>
      <c r="S36" s="52"/>
      <c r="T36" s="51"/>
      <c r="U36" s="133">
        <v>120</v>
      </c>
      <c r="V36" s="51">
        <f>+U36*AR36</f>
        <v>234000</v>
      </c>
      <c r="W36" s="84"/>
      <c r="X36" s="51"/>
      <c r="Y36" s="84"/>
      <c r="Z36" s="51"/>
      <c r="AA36" s="84"/>
      <c r="AB36" s="51"/>
      <c r="AC36" s="84"/>
      <c r="AD36" s="51"/>
      <c r="AE36" s="84"/>
      <c r="AF36" s="51"/>
      <c r="AG36" s="84"/>
      <c r="AH36" s="51"/>
      <c r="AI36" s="84"/>
      <c r="AJ36" s="51"/>
      <c r="AK36" s="84"/>
      <c r="AL36" s="51"/>
      <c r="AM36" s="84"/>
      <c r="AN36" s="51">
        <f t="shared" si="8"/>
        <v>0</v>
      </c>
      <c r="AO36" s="84"/>
      <c r="AP36" s="51"/>
      <c r="AQ36" s="84">
        <f t="shared" si="5"/>
        <v>120</v>
      </c>
      <c r="AR36" s="166">
        <v>1950</v>
      </c>
      <c r="AS36" s="164">
        <f>+AQ36*AR36</f>
        <v>234000</v>
      </c>
    </row>
    <row r="37" spans="1:45" ht="28.5" hidden="1">
      <c r="A37" s="45">
        <v>26</v>
      </c>
      <c r="B37" s="57" t="s">
        <v>1270</v>
      </c>
      <c r="C37" s="53" t="s">
        <v>383</v>
      </c>
      <c r="D37" s="53">
        <v>222</v>
      </c>
      <c r="E37" s="57" t="s">
        <v>1273</v>
      </c>
      <c r="F37" s="71" t="s">
        <v>12</v>
      </c>
      <c r="G37" s="50"/>
      <c r="H37" s="51"/>
      <c r="I37" s="51"/>
      <c r="J37" s="51"/>
      <c r="K37" s="52"/>
      <c r="L37" s="73"/>
      <c r="M37" s="84"/>
      <c r="N37" s="51"/>
      <c r="O37" s="52"/>
      <c r="P37" s="51"/>
      <c r="Q37" s="84"/>
      <c r="R37" s="51"/>
      <c r="S37" s="52"/>
      <c r="T37" s="51"/>
      <c r="U37" s="133">
        <v>70</v>
      </c>
      <c r="V37" s="51">
        <f t="shared" ref="V37:V39" si="9">+U37*AR37</f>
        <v>150500</v>
      </c>
      <c r="W37" s="84"/>
      <c r="X37" s="51"/>
      <c r="Y37" s="84"/>
      <c r="Z37" s="51"/>
      <c r="AA37" s="84"/>
      <c r="AB37" s="51"/>
      <c r="AC37" s="84"/>
      <c r="AD37" s="51"/>
      <c r="AE37" s="84"/>
      <c r="AF37" s="51"/>
      <c r="AG37" s="84"/>
      <c r="AH37" s="51"/>
      <c r="AI37" s="84"/>
      <c r="AJ37" s="51"/>
      <c r="AK37" s="84"/>
      <c r="AL37" s="51"/>
      <c r="AM37" s="84"/>
      <c r="AN37" s="51">
        <f t="shared" si="8"/>
        <v>0</v>
      </c>
      <c r="AO37" s="84"/>
      <c r="AP37" s="51"/>
      <c r="AQ37" s="84">
        <f t="shared" si="5"/>
        <v>70</v>
      </c>
      <c r="AR37" s="166">
        <v>2150</v>
      </c>
      <c r="AS37" s="164">
        <f t="shared" ref="AS37:AS44" si="10">+AQ37*AR37</f>
        <v>150500</v>
      </c>
    </row>
    <row r="38" spans="1:45" ht="28.5" hidden="1">
      <c r="A38" s="45">
        <v>27</v>
      </c>
      <c r="B38" s="57" t="s">
        <v>1324</v>
      </c>
      <c r="C38" s="53" t="s">
        <v>383</v>
      </c>
      <c r="D38" s="53">
        <v>222</v>
      </c>
      <c r="E38" s="57" t="s">
        <v>1325</v>
      </c>
      <c r="F38" s="71" t="s">
        <v>12</v>
      </c>
      <c r="G38" s="50"/>
      <c r="H38" s="51"/>
      <c r="I38" s="51"/>
      <c r="J38" s="51"/>
      <c r="K38" s="52"/>
      <c r="L38" s="73"/>
      <c r="M38" s="84"/>
      <c r="N38" s="51"/>
      <c r="O38" s="52"/>
      <c r="P38" s="51"/>
      <c r="Q38" s="84"/>
      <c r="R38" s="51"/>
      <c r="S38" s="52"/>
      <c r="T38" s="51"/>
      <c r="U38" s="133">
        <v>50</v>
      </c>
      <c r="V38" s="51">
        <f t="shared" ref="V38" si="11">+U38*AR38</f>
        <v>70000</v>
      </c>
      <c r="W38" s="84"/>
      <c r="X38" s="51"/>
      <c r="Y38" s="84"/>
      <c r="Z38" s="51"/>
      <c r="AA38" s="84"/>
      <c r="AB38" s="51"/>
      <c r="AC38" s="84">
        <v>20</v>
      </c>
      <c r="AD38" s="51">
        <f>+AC38*AR38</f>
        <v>28000</v>
      </c>
      <c r="AE38" s="84">
        <v>35</v>
      </c>
      <c r="AF38" s="51">
        <f>+AE38*AR38</f>
        <v>49000</v>
      </c>
      <c r="AG38" s="84"/>
      <c r="AH38" s="51"/>
      <c r="AI38" s="84"/>
      <c r="AJ38" s="51"/>
      <c r="AK38" s="84"/>
      <c r="AL38" s="51"/>
      <c r="AM38" s="84"/>
      <c r="AN38" s="51">
        <f t="shared" si="8"/>
        <v>0</v>
      </c>
      <c r="AO38" s="84"/>
      <c r="AP38" s="51"/>
      <c r="AQ38" s="84">
        <f t="shared" si="5"/>
        <v>105</v>
      </c>
      <c r="AR38" s="166">
        <v>1400</v>
      </c>
      <c r="AS38" s="164">
        <f t="shared" ref="AS38" si="12">+AQ38*AR38</f>
        <v>147000</v>
      </c>
    </row>
    <row r="39" spans="1:45" ht="28.5" hidden="1">
      <c r="A39" s="45">
        <v>28</v>
      </c>
      <c r="B39" s="57" t="s">
        <v>1271</v>
      </c>
      <c r="C39" s="53" t="s">
        <v>383</v>
      </c>
      <c r="D39" s="53">
        <v>222</v>
      </c>
      <c r="E39" s="57" t="s">
        <v>1274</v>
      </c>
      <c r="F39" s="71" t="s">
        <v>12</v>
      </c>
      <c r="G39" s="50"/>
      <c r="H39" s="51"/>
      <c r="I39" s="51"/>
      <c r="J39" s="51"/>
      <c r="K39" s="52"/>
      <c r="L39" s="73"/>
      <c r="M39" s="84"/>
      <c r="N39" s="51"/>
      <c r="O39" s="52"/>
      <c r="P39" s="51"/>
      <c r="Q39" s="84"/>
      <c r="R39" s="51"/>
      <c r="S39" s="52"/>
      <c r="T39" s="51"/>
      <c r="U39" s="133">
        <v>50</v>
      </c>
      <c r="V39" s="51">
        <f t="shared" si="9"/>
        <v>107500</v>
      </c>
      <c r="W39" s="84"/>
      <c r="X39" s="51"/>
      <c r="Y39" s="84"/>
      <c r="Z39" s="51"/>
      <c r="AA39" s="84"/>
      <c r="AB39" s="51"/>
      <c r="AC39" s="84"/>
      <c r="AD39" s="51"/>
      <c r="AE39" s="84"/>
      <c r="AF39" s="51"/>
      <c r="AG39" s="84"/>
      <c r="AH39" s="51"/>
      <c r="AI39" s="84"/>
      <c r="AJ39" s="51"/>
      <c r="AK39" s="84"/>
      <c r="AL39" s="51"/>
      <c r="AM39" s="84"/>
      <c r="AN39" s="51">
        <f t="shared" si="8"/>
        <v>0</v>
      </c>
      <c r="AO39" s="84"/>
      <c r="AP39" s="51"/>
      <c r="AQ39" s="84">
        <f t="shared" si="5"/>
        <v>50</v>
      </c>
      <c r="AR39" s="166">
        <v>2150</v>
      </c>
      <c r="AS39" s="164">
        <f t="shared" si="10"/>
        <v>107500</v>
      </c>
    </row>
    <row r="40" spans="1:45" ht="28.5" hidden="1">
      <c r="A40" s="45">
        <v>29</v>
      </c>
      <c r="B40" s="54" t="s">
        <v>1326</v>
      </c>
      <c r="C40" s="53" t="s">
        <v>383</v>
      </c>
      <c r="D40" s="53">
        <v>222</v>
      </c>
      <c r="E40" s="54" t="s">
        <v>1328</v>
      </c>
      <c r="F40" s="71" t="s">
        <v>12</v>
      </c>
      <c r="G40" s="50"/>
      <c r="H40" s="51"/>
      <c r="I40" s="51"/>
      <c r="J40" s="51"/>
      <c r="K40" s="52"/>
      <c r="L40" s="73"/>
      <c r="M40" s="84"/>
      <c r="N40" s="51"/>
      <c r="O40" s="52"/>
      <c r="P40" s="51"/>
      <c r="Q40" s="84"/>
      <c r="R40" s="51"/>
      <c r="S40" s="52"/>
      <c r="T40" s="51"/>
      <c r="U40" s="133"/>
      <c r="V40" s="51"/>
      <c r="W40" s="84"/>
      <c r="X40" s="51"/>
      <c r="Y40" s="84"/>
      <c r="Z40" s="51"/>
      <c r="AA40" s="84"/>
      <c r="AB40" s="51"/>
      <c r="AC40" s="84">
        <v>20</v>
      </c>
      <c r="AD40" s="51">
        <f>+AC40*AR40</f>
        <v>18000</v>
      </c>
      <c r="AE40" s="84"/>
      <c r="AF40" s="51"/>
      <c r="AG40" s="84"/>
      <c r="AH40" s="51"/>
      <c r="AI40" s="84"/>
      <c r="AJ40" s="51"/>
      <c r="AK40" s="84"/>
      <c r="AL40" s="51"/>
      <c r="AM40" s="84"/>
      <c r="AN40" s="51">
        <f t="shared" si="8"/>
        <v>0</v>
      </c>
      <c r="AO40" s="84"/>
      <c r="AP40" s="51"/>
      <c r="AQ40" s="84">
        <f t="shared" si="5"/>
        <v>20</v>
      </c>
      <c r="AR40" s="166">
        <v>900</v>
      </c>
      <c r="AS40" s="164">
        <f t="shared" si="10"/>
        <v>18000</v>
      </c>
    </row>
    <row r="41" spans="1:45" ht="28.5" hidden="1">
      <c r="A41" s="45">
        <v>30</v>
      </c>
      <c r="B41" s="54" t="s">
        <v>1352</v>
      </c>
      <c r="C41" s="53" t="s">
        <v>383</v>
      </c>
      <c r="D41" s="53">
        <v>222</v>
      </c>
      <c r="E41" s="54" t="s">
        <v>1353</v>
      </c>
      <c r="F41" s="71" t="s">
        <v>12</v>
      </c>
      <c r="G41" s="50"/>
      <c r="H41" s="51"/>
      <c r="I41" s="51"/>
      <c r="J41" s="51"/>
      <c r="K41" s="52"/>
      <c r="L41" s="73"/>
      <c r="M41" s="84"/>
      <c r="N41" s="51"/>
      <c r="O41" s="52"/>
      <c r="P41" s="51"/>
      <c r="Q41" s="84"/>
      <c r="R41" s="51"/>
      <c r="S41" s="52"/>
      <c r="T41" s="51"/>
      <c r="U41" s="133"/>
      <c r="V41" s="51"/>
      <c r="W41" s="84"/>
      <c r="X41" s="51"/>
      <c r="Y41" s="84"/>
      <c r="Z41" s="51"/>
      <c r="AA41" s="84"/>
      <c r="AB41" s="51"/>
      <c r="AC41" s="84">
        <v>20</v>
      </c>
      <c r="AD41" s="51">
        <f>+AC41*AR41</f>
        <v>28000</v>
      </c>
      <c r="AE41" s="84">
        <v>35</v>
      </c>
      <c r="AF41" s="51">
        <f>+AE41*AR41</f>
        <v>49000</v>
      </c>
      <c r="AG41" s="84"/>
      <c r="AH41" s="51"/>
      <c r="AI41" s="84"/>
      <c r="AJ41" s="51"/>
      <c r="AK41" s="84"/>
      <c r="AL41" s="51"/>
      <c r="AM41" s="84"/>
      <c r="AN41" s="51">
        <f t="shared" si="8"/>
        <v>0</v>
      </c>
      <c r="AO41" s="84"/>
      <c r="AP41" s="51"/>
      <c r="AQ41" s="84">
        <f t="shared" si="5"/>
        <v>55</v>
      </c>
      <c r="AR41" s="166">
        <v>1400</v>
      </c>
      <c r="AS41" s="164">
        <f t="shared" ref="AS41" si="13">+AQ41*AR41</f>
        <v>77000</v>
      </c>
    </row>
    <row r="42" spans="1:45" ht="28.5" hidden="1">
      <c r="A42" s="45">
        <v>31</v>
      </c>
      <c r="B42" s="54" t="s">
        <v>1354</v>
      </c>
      <c r="C42" s="53" t="s">
        <v>383</v>
      </c>
      <c r="D42" s="53">
        <v>222</v>
      </c>
      <c r="E42" s="54" t="s">
        <v>1355</v>
      </c>
      <c r="F42" s="71" t="s">
        <v>12</v>
      </c>
      <c r="G42" s="50"/>
      <c r="H42" s="51"/>
      <c r="I42" s="51"/>
      <c r="J42" s="51"/>
      <c r="K42" s="52"/>
      <c r="L42" s="73"/>
      <c r="M42" s="84"/>
      <c r="N42" s="51"/>
      <c r="O42" s="52"/>
      <c r="P42" s="51"/>
      <c r="Q42" s="84"/>
      <c r="R42" s="51"/>
      <c r="S42" s="52"/>
      <c r="T42" s="51"/>
      <c r="U42" s="133"/>
      <c r="V42" s="51"/>
      <c r="W42" s="84"/>
      <c r="X42" s="51"/>
      <c r="Y42" s="84"/>
      <c r="Z42" s="51"/>
      <c r="AA42" s="84"/>
      <c r="AB42" s="51"/>
      <c r="AC42" s="84">
        <v>20</v>
      </c>
      <c r="AD42" s="51">
        <f>+AC42*AR42</f>
        <v>12000</v>
      </c>
      <c r="AE42" s="84">
        <v>35</v>
      </c>
      <c r="AF42" s="51">
        <f>+AE42*AR42</f>
        <v>21000</v>
      </c>
      <c r="AG42" s="84"/>
      <c r="AH42" s="51"/>
      <c r="AI42" s="84"/>
      <c r="AJ42" s="51"/>
      <c r="AK42" s="84"/>
      <c r="AL42" s="51"/>
      <c r="AM42" s="84"/>
      <c r="AN42" s="51">
        <f t="shared" si="8"/>
        <v>0</v>
      </c>
      <c r="AO42" s="84"/>
      <c r="AP42" s="51"/>
      <c r="AQ42" s="84">
        <f t="shared" si="5"/>
        <v>55</v>
      </c>
      <c r="AR42" s="166">
        <v>600</v>
      </c>
      <c r="AS42" s="164">
        <f t="shared" ref="AS42" si="14">+AQ42*AR42</f>
        <v>33000</v>
      </c>
    </row>
    <row r="43" spans="1:45" ht="42.75" hidden="1">
      <c r="A43" s="45">
        <v>32</v>
      </c>
      <c r="B43" s="54" t="s">
        <v>1356</v>
      </c>
      <c r="C43" s="53" t="s">
        <v>383</v>
      </c>
      <c r="D43" s="53">
        <v>222</v>
      </c>
      <c r="E43" s="54" t="s">
        <v>1357</v>
      </c>
      <c r="F43" s="71" t="s">
        <v>12</v>
      </c>
      <c r="G43" s="50"/>
      <c r="H43" s="51"/>
      <c r="I43" s="51"/>
      <c r="J43" s="51"/>
      <c r="K43" s="52"/>
      <c r="L43" s="73"/>
      <c r="M43" s="84"/>
      <c r="N43" s="51"/>
      <c r="O43" s="52"/>
      <c r="P43" s="51"/>
      <c r="Q43" s="84"/>
      <c r="R43" s="51"/>
      <c r="S43" s="52"/>
      <c r="T43" s="51"/>
      <c r="U43" s="133"/>
      <c r="V43" s="51"/>
      <c r="W43" s="84"/>
      <c r="X43" s="51"/>
      <c r="Y43" s="84"/>
      <c r="Z43" s="51"/>
      <c r="AA43" s="84"/>
      <c r="AB43" s="51"/>
      <c r="AC43" s="84">
        <v>20</v>
      </c>
      <c r="AD43" s="51">
        <f>+AC43*AR43</f>
        <v>90000</v>
      </c>
      <c r="AE43" s="84">
        <v>35</v>
      </c>
      <c r="AF43" s="51">
        <f>+AE43*AR43</f>
        <v>157500</v>
      </c>
      <c r="AG43" s="84"/>
      <c r="AH43" s="51"/>
      <c r="AI43" s="84"/>
      <c r="AJ43" s="51"/>
      <c r="AK43" s="84"/>
      <c r="AL43" s="51"/>
      <c r="AM43" s="84"/>
      <c r="AN43" s="51">
        <f t="shared" si="8"/>
        <v>0</v>
      </c>
      <c r="AO43" s="84"/>
      <c r="AP43" s="51"/>
      <c r="AQ43" s="84">
        <f t="shared" si="5"/>
        <v>55</v>
      </c>
      <c r="AR43" s="166">
        <v>4500</v>
      </c>
      <c r="AS43" s="164">
        <f t="shared" ref="AS43" si="15">+AQ43*AR43</f>
        <v>247500</v>
      </c>
    </row>
    <row r="44" spans="1:45" ht="28.5" hidden="1">
      <c r="A44" s="45">
        <v>33</v>
      </c>
      <c r="B44" s="54" t="s">
        <v>1327</v>
      </c>
      <c r="C44" s="53" t="s">
        <v>383</v>
      </c>
      <c r="D44" s="53">
        <v>222</v>
      </c>
      <c r="E44" s="54" t="s">
        <v>1329</v>
      </c>
      <c r="F44" s="71" t="s">
        <v>12</v>
      </c>
      <c r="G44" s="50"/>
      <c r="H44" s="51"/>
      <c r="I44" s="51"/>
      <c r="J44" s="51"/>
      <c r="K44" s="52"/>
      <c r="L44" s="73"/>
      <c r="M44" s="84"/>
      <c r="N44" s="51"/>
      <c r="O44" s="52"/>
      <c r="P44" s="51"/>
      <c r="Q44" s="84"/>
      <c r="R44" s="51"/>
      <c r="S44" s="52"/>
      <c r="T44" s="51"/>
      <c r="U44" s="133"/>
      <c r="V44" s="51"/>
      <c r="W44" s="84"/>
      <c r="X44" s="51"/>
      <c r="Y44" s="84"/>
      <c r="Z44" s="51"/>
      <c r="AA44" s="84"/>
      <c r="AB44" s="51"/>
      <c r="AC44" s="84">
        <v>20</v>
      </c>
      <c r="AD44" s="51">
        <f>+AC44*AR44</f>
        <v>46000</v>
      </c>
      <c r="AE44" s="84"/>
      <c r="AF44" s="51"/>
      <c r="AG44" s="84"/>
      <c r="AH44" s="51"/>
      <c r="AI44" s="84"/>
      <c r="AJ44" s="51"/>
      <c r="AK44" s="84"/>
      <c r="AL44" s="51"/>
      <c r="AM44" s="84"/>
      <c r="AN44" s="51">
        <f t="shared" si="8"/>
        <v>0</v>
      </c>
      <c r="AO44" s="84"/>
      <c r="AP44" s="51"/>
      <c r="AQ44" s="84">
        <f t="shared" si="5"/>
        <v>20</v>
      </c>
      <c r="AR44" s="166">
        <v>2300</v>
      </c>
      <c r="AS44" s="164">
        <f t="shared" si="10"/>
        <v>46000</v>
      </c>
    </row>
    <row r="45" spans="1:45" ht="15.75" hidden="1">
      <c r="A45" s="45"/>
      <c r="B45" s="46"/>
      <c r="C45" s="53"/>
      <c r="D45" s="46"/>
      <c r="E45" s="254" t="s">
        <v>1249</v>
      </c>
      <c r="F45" s="50"/>
      <c r="G45" s="50"/>
      <c r="H45" s="51"/>
      <c r="I45" s="51"/>
      <c r="J45" s="51"/>
      <c r="K45" s="52"/>
      <c r="L45" s="73"/>
      <c r="M45" s="84"/>
      <c r="N45" s="51"/>
      <c r="O45" s="52"/>
      <c r="P45" s="51"/>
      <c r="Q45" s="84"/>
      <c r="R45" s="51"/>
      <c r="S45" s="52"/>
      <c r="T45" s="51"/>
      <c r="U45" s="84"/>
      <c r="V45" s="51"/>
      <c r="W45" s="84"/>
      <c r="X45" s="51"/>
      <c r="Y45" s="84"/>
      <c r="Z45" s="51"/>
      <c r="AA45" s="84"/>
      <c r="AB45" s="51"/>
      <c r="AC45" s="84"/>
      <c r="AD45" s="51"/>
      <c r="AE45" s="84"/>
      <c r="AF45" s="51"/>
      <c r="AG45" s="84"/>
      <c r="AH45" s="51"/>
      <c r="AI45" s="84"/>
      <c r="AJ45" s="51"/>
      <c r="AK45" s="84"/>
      <c r="AL45" s="51"/>
      <c r="AM45" s="84"/>
      <c r="AN45" s="51">
        <f t="shared" si="8"/>
        <v>0</v>
      </c>
      <c r="AO45" s="84"/>
      <c r="AP45" s="51"/>
      <c r="AQ45" s="84"/>
      <c r="AR45" s="163"/>
      <c r="AS45" s="207">
        <f>SUM(AS34:AS44)</f>
        <v>1319100</v>
      </c>
    </row>
    <row r="46" spans="1:45" ht="92.25" hidden="1" customHeight="1">
      <c r="A46" s="45">
        <v>34</v>
      </c>
      <c r="B46" s="46" t="s">
        <v>180</v>
      </c>
      <c r="C46" s="53" t="s">
        <v>20</v>
      </c>
      <c r="D46" s="46" t="s">
        <v>178</v>
      </c>
      <c r="E46" s="53" t="s">
        <v>181</v>
      </c>
      <c r="F46" s="50" t="s">
        <v>179</v>
      </c>
      <c r="G46" s="50">
        <v>200</v>
      </c>
      <c r="H46" s="51">
        <f>+G46*AR46</f>
        <v>96234</v>
      </c>
      <c r="I46" s="51"/>
      <c r="J46" s="51"/>
      <c r="K46" s="52">
        <v>50</v>
      </c>
      <c r="L46" s="73">
        <f>+K46*AR46</f>
        <v>24058.5</v>
      </c>
      <c r="M46" s="84">
        <v>76</v>
      </c>
      <c r="N46" s="51">
        <f t="shared" ref="N46:N57" si="16">+M46*AR46</f>
        <v>36568.92</v>
      </c>
      <c r="O46" s="52">
        <v>10</v>
      </c>
      <c r="P46" s="51">
        <f>+O46*AR46</f>
        <v>4811.7</v>
      </c>
      <c r="Q46" s="84"/>
      <c r="R46" s="51">
        <f>+Q46*AR46</f>
        <v>0</v>
      </c>
      <c r="S46" s="52"/>
      <c r="T46" s="51"/>
      <c r="U46" s="84"/>
      <c r="V46" s="51"/>
      <c r="W46" s="84">
        <v>10</v>
      </c>
      <c r="X46" s="51">
        <f>+W46*AR46</f>
        <v>4811.7</v>
      </c>
      <c r="Y46" s="84">
        <v>40</v>
      </c>
      <c r="Z46" s="51">
        <f>+Y46*AR46</f>
        <v>19246.8</v>
      </c>
      <c r="AA46" s="84">
        <v>30</v>
      </c>
      <c r="AB46" s="51">
        <f>+AA46*AR46</f>
        <v>14435.1</v>
      </c>
      <c r="AC46" s="84">
        <v>200</v>
      </c>
      <c r="AD46" s="51">
        <f>+AC46*AR46</f>
        <v>96234</v>
      </c>
      <c r="AE46" s="84">
        <v>10</v>
      </c>
      <c r="AF46" s="51">
        <f>+AE46*AR46</f>
        <v>4811.7</v>
      </c>
      <c r="AG46" s="84">
        <v>30</v>
      </c>
      <c r="AH46" s="51">
        <f>+AG46*AR46</f>
        <v>14435.1</v>
      </c>
      <c r="AI46" s="84">
        <v>40</v>
      </c>
      <c r="AJ46" s="51">
        <f>+AI46*AR46</f>
        <v>19246.8</v>
      </c>
      <c r="AK46" s="84">
        <v>200</v>
      </c>
      <c r="AL46" s="51">
        <f>+AK46*AR46</f>
        <v>96234</v>
      </c>
      <c r="AM46" s="84">
        <v>50</v>
      </c>
      <c r="AN46" s="51">
        <f t="shared" si="8"/>
        <v>24058.5</v>
      </c>
      <c r="AO46" s="84"/>
      <c r="AP46" s="51"/>
      <c r="AQ46" s="84">
        <f t="shared" si="5"/>
        <v>946</v>
      </c>
      <c r="AR46" s="163">
        <v>481.17</v>
      </c>
      <c r="AS46" s="164">
        <f>+AQ46*AR46</f>
        <v>455186.82</v>
      </c>
    </row>
    <row r="47" spans="1:45" ht="94.5" hidden="1" customHeight="1">
      <c r="A47" s="50">
        <v>35</v>
      </c>
      <c r="B47" s="46" t="s">
        <v>182</v>
      </c>
      <c r="C47" s="53" t="s">
        <v>20</v>
      </c>
      <c r="D47" s="46" t="s">
        <v>178</v>
      </c>
      <c r="E47" s="53" t="s">
        <v>183</v>
      </c>
      <c r="F47" s="50" t="s">
        <v>179</v>
      </c>
      <c r="G47" s="50">
        <v>100</v>
      </c>
      <c r="H47" s="51">
        <f>+G47*AR47</f>
        <v>59229.999999999993</v>
      </c>
      <c r="I47" s="51"/>
      <c r="J47" s="51"/>
      <c r="K47" s="52">
        <v>90</v>
      </c>
      <c r="L47" s="73">
        <f>+K47*AR47</f>
        <v>53306.999999999993</v>
      </c>
      <c r="M47" s="84">
        <v>100</v>
      </c>
      <c r="N47" s="51">
        <f t="shared" si="16"/>
        <v>59229.999999999993</v>
      </c>
      <c r="O47" s="52">
        <v>10</v>
      </c>
      <c r="P47" s="51">
        <f t="shared" ref="P47:P106" si="17">+O47*AR47</f>
        <v>5923</v>
      </c>
      <c r="Q47" s="84"/>
      <c r="R47" s="51">
        <f t="shared" ref="R47:R102" si="18">+Q47*AR47</f>
        <v>0</v>
      </c>
      <c r="S47" s="52"/>
      <c r="T47" s="51"/>
      <c r="U47" s="84">
        <v>180</v>
      </c>
      <c r="V47" s="51">
        <f>+U47*AR47</f>
        <v>106613.99999999999</v>
      </c>
      <c r="W47" s="84">
        <v>10</v>
      </c>
      <c r="X47" s="51">
        <f>+W47*AR47</f>
        <v>5923</v>
      </c>
      <c r="Y47" s="84">
        <v>250</v>
      </c>
      <c r="Z47" s="51">
        <f>+Y47*AR47</f>
        <v>148075</v>
      </c>
      <c r="AA47" s="84">
        <v>100</v>
      </c>
      <c r="AB47" s="51">
        <f>+AA47*AR47</f>
        <v>59229.999999999993</v>
      </c>
      <c r="AC47" s="84">
        <v>200</v>
      </c>
      <c r="AD47" s="51">
        <f>+AC47*AR47</f>
        <v>118459.99999999999</v>
      </c>
      <c r="AE47" s="84">
        <v>10</v>
      </c>
      <c r="AF47" s="51">
        <f>+AE47*AR47</f>
        <v>5923</v>
      </c>
      <c r="AG47" s="84">
        <v>30</v>
      </c>
      <c r="AH47" s="51">
        <f>+AG47*AR47</f>
        <v>17769</v>
      </c>
      <c r="AI47" s="84">
        <v>60</v>
      </c>
      <c r="AJ47" s="51">
        <f t="shared" ref="AJ47:AJ108" si="19">+AI47*AR47</f>
        <v>35538</v>
      </c>
      <c r="AK47" s="84">
        <v>250</v>
      </c>
      <c r="AL47" s="51">
        <f t="shared" ref="AL47:AL106" si="20">+AK47*AR47</f>
        <v>148075</v>
      </c>
      <c r="AM47" s="84">
        <v>80</v>
      </c>
      <c r="AN47" s="51">
        <f t="shared" si="8"/>
        <v>47384</v>
      </c>
      <c r="AO47" s="84"/>
      <c r="AP47" s="51"/>
      <c r="AQ47" s="84">
        <f t="shared" si="5"/>
        <v>1470</v>
      </c>
      <c r="AR47" s="163">
        <v>592.29999999999995</v>
      </c>
      <c r="AS47" s="164">
        <f t="shared" ref="AS47:AS110" si="21">+AQ47*AR47</f>
        <v>870680.99999999988</v>
      </c>
    </row>
    <row r="48" spans="1:45" ht="28.5" hidden="1">
      <c r="A48" s="45">
        <v>36</v>
      </c>
      <c r="B48" s="71" t="s">
        <v>184</v>
      </c>
      <c r="C48" s="53" t="s">
        <v>20</v>
      </c>
      <c r="D48" s="46" t="s">
        <v>178</v>
      </c>
      <c r="E48" s="192" t="s">
        <v>185</v>
      </c>
      <c r="F48" s="50" t="s">
        <v>17</v>
      </c>
      <c r="G48" s="50">
        <v>20</v>
      </c>
      <c r="H48" s="51">
        <f>+G48*AR48</f>
        <v>5838</v>
      </c>
      <c r="I48" s="51"/>
      <c r="J48" s="51"/>
      <c r="K48" s="52"/>
      <c r="L48" s="73">
        <f>+K48*AR48</f>
        <v>0</v>
      </c>
      <c r="M48" s="84"/>
      <c r="N48" s="51">
        <f t="shared" si="16"/>
        <v>0</v>
      </c>
      <c r="O48" s="52"/>
      <c r="P48" s="51">
        <f t="shared" si="17"/>
        <v>0</v>
      </c>
      <c r="Q48" s="84"/>
      <c r="R48" s="51">
        <f t="shared" si="18"/>
        <v>0</v>
      </c>
      <c r="S48" s="52"/>
      <c r="T48" s="51"/>
      <c r="U48" s="84"/>
      <c r="V48" s="51"/>
      <c r="W48" s="84"/>
      <c r="X48" s="51"/>
      <c r="Y48" s="84"/>
      <c r="Z48" s="51"/>
      <c r="AA48" s="84"/>
      <c r="AB48" s="51"/>
      <c r="AC48" s="84"/>
      <c r="AD48" s="51"/>
      <c r="AE48" s="84"/>
      <c r="AF48" s="51"/>
      <c r="AG48" s="84"/>
      <c r="AH48" s="51"/>
      <c r="AI48" s="84"/>
      <c r="AJ48" s="51">
        <f t="shared" si="19"/>
        <v>0</v>
      </c>
      <c r="AK48" s="84">
        <v>35</v>
      </c>
      <c r="AL48" s="51">
        <f t="shared" si="20"/>
        <v>10216.5</v>
      </c>
      <c r="AM48" s="84">
        <v>1</v>
      </c>
      <c r="AN48" s="51">
        <f t="shared" si="8"/>
        <v>291.89999999999998</v>
      </c>
      <c r="AO48" s="84"/>
      <c r="AP48" s="51"/>
      <c r="AQ48" s="84">
        <f t="shared" si="5"/>
        <v>56</v>
      </c>
      <c r="AR48" s="163">
        <v>291.89999999999998</v>
      </c>
      <c r="AS48" s="164">
        <f t="shared" si="21"/>
        <v>16346.399999999998</v>
      </c>
    </row>
    <row r="49" spans="1:50" ht="57" hidden="1">
      <c r="A49" s="50">
        <v>37</v>
      </c>
      <c r="B49" s="67" t="s">
        <v>342</v>
      </c>
      <c r="C49" s="53" t="s">
        <v>20</v>
      </c>
      <c r="D49" s="46" t="s">
        <v>178</v>
      </c>
      <c r="E49" s="53" t="s">
        <v>333</v>
      </c>
      <c r="F49" s="118" t="s">
        <v>71</v>
      </c>
      <c r="G49" s="50"/>
      <c r="H49" s="51"/>
      <c r="I49" s="51"/>
      <c r="J49" s="51"/>
      <c r="K49" s="109">
        <v>3</v>
      </c>
      <c r="L49" s="73">
        <f>+K49*AR49</f>
        <v>1440</v>
      </c>
      <c r="M49" s="84">
        <v>2</v>
      </c>
      <c r="N49" s="51">
        <f t="shared" si="16"/>
        <v>960</v>
      </c>
      <c r="O49" s="52">
        <v>3</v>
      </c>
      <c r="P49" s="51">
        <f t="shared" si="17"/>
        <v>1440</v>
      </c>
      <c r="Q49" s="84"/>
      <c r="R49" s="51">
        <f t="shared" si="18"/>
        <v>0</v>
      </c>
      <c r="S49" s="52"/>
      <c r="T49" s="51"/>
      <c r="U49" s="84"/>
      <c r="V49" s="51"/>
      <c r="W49" s="84"/>
      <c r="X49" s="51"/>
      <c r="Y49" s="84"/>
      <c r="Z49" s="51"/>
      <c r="AA49" s="84"/>
      <c r="AB49" s="51"/>
      <c r="AC49" s="84"/>
      <c r="AD49" s="51"/>
      <c r="AE49" s="84"/>
      <c r="AF49" s="51"/>
      <c r="AG49" s="84"/>
      <c r="AH49" s="51"/>
      <c r="AI49" s="84">
        <v>500</v>
      </c>
      <c r="AJ49" s="51">
        <f t="shared" si="19"/>
        <v>240000</v>
      </c>
      <c r="AK49" s="84">
        <v>100</v>
      </c>
      <c r="AL49" s="51">
        <f t="shared" si="20"/>
        <v>48000</v>
      </c>
      <c r="AM49" s="84">
        <v>4</v>
      </c>
      <c r="AN49" s="51">
        <f t="shared" si="8"/>
        <v>1920</v>
      </c>
      <c r="AO49" s="84"/>
      <c r="AP49" s="51"/>
      <c r="AQ49" s="84">
        <f t="shared" si="5"/>
        <v>612</v>
      </c>
      <c r="AR49" s="79">
        <v>480</v>
      </c>
      <c r="AS49" s="164">
        <f t="shared" si="21"/>
        <v>293760</v>
      </c>
      <c r="AT49" s="334"/>
      <c r="AU49" s="335"/>
      <c r="AV49" s="335"/>
      <c r="AW49" s="335"/>
      <c r="AX49" s="336"/>
    </row>
    <row r="50" spans="1:50" ht="57" hidden="1">
      <c r="A50" s="45">
        <v>38</v>
      </c>
      <c r="B50" s="67" t="s">
        <v>402</v>
      </c>
      <c r="C50" s="53" t="s">
        <v>20</v>
      </c>
      <c r="D50" s="46" t="s">
        <v>178</v>
      </c>
      <c r="E50" s="53" t="s">
        <v>401</v>
      </c>
      <c r="F50" s="118" t="s">
        <v>130</v>
      </c>
      <c r="G50" s="50"/>
      <c r="H50" s="51"/>
      <c r="I50" s="51"/>
      <c r="J50" s="51"/>
      <c r="K50" s="109"/>
      <c r="L50" s="73"/>
      <c r="M50" s="84">
        <v>3</v>
      </c>
      <c r="N50" s="51">
        <f t="shared" si="16"/>
        <v>3900</v>
      </c>
      <c r="O50" s="52">
        <v>3</v>
      </c>
      <c r="P50" s="51">
        <f t="shared" si="17"/>
        <v>3900</v>
      </c>
      <c r="Q50" s="84"/>
      <c r="R50" s="51">
        <f t="shared" si="18"/>
        <v>0</v>
      </c>
      <c r="S50" s="52"/>
      <c r="T50" s="51"/>
      <c r="U50" s="84"/>
      <c r="V50" s="51"/>
      <c r="W50" s="84"/>
      <c r="X50" s="51"/>
      <c r="Y50" s="84"/>
      <c r="Z50" s="51"/>
      <c r="AA50" s="84"/>
      <c r="AB50" s="51"/>
      <c r="AC50" s="84"/>
      <c r="AD50" s="51"/>
      <c r="AE50" s="84"/>
      <c r="AF50" s="51"/>
      <c r="AG50" s="84"/>
      <c r="AH50" s="51"/>
      <c r="AI50" s="84"/>
      <c r="AJ50" s="51">
        <f t="shared" si="19"/>
        <v>0</v>
      </c>
      <c r="AK50" s="84">
        <v>20</v>
      </c>
      <c r="AL50" s="51">
        <f t="shared" si="20"/>
        <v>26000</v>
      </c>
      <c r="AM50" s="84">
        <v>2</v>
      </c>
      <c r="AN50" s="51">
        <f t="shared" si="8"/>
        <v>2600</v>
      </c>
      <c r="AO50" s="84"/>
      <c r="AP50" s="51"/>
      <c r="AQ50" s="84">
        <f t="shared" si="5"/>
        <v>28</v>
      </c>
      <c r="AR50" s="79">
        <v>1300</v>
      </c>
      <c r="AS50" s="164">
        <f t="shared" si="21"/>
        <v>36400</v>
      </c>
      <c r="AT50" s="41"/>
      <c r="AU50" s="27"/>
      <c r="AV50" s="27"/>
      <c r="AW50" s="27"/>
      <c r="AX50" s="28"/>
    </row>
    <row r="51" spans="1:50" ht="42.75" hidden="1">
      <c r="A51" s="50">
        <v>39</v>
      </c>
      <c r="B51" s="131" t="s">
        <v>339</v>
      </c>
      <c r="C51" s="53" t="s">
        <v>20</v>
      </c>
      <c r="D51" s="46" t="s">
        <v>178</v>
      </c>
      <c r="E51" s="192" t="s">
        <v>330</v>
      </c>
      <c r="F51" s="118" t="s">
        <v>14</v>
      </c>
      <c r="G51" s="50"/>
      <c r="H51" s="50"/>
      <c r="I51" s="50"/>
      <c r="J51" s="50"/>
      <c r="K51" s="109">
        <v>25</v>
      </c>
      <c r="L51" s="73">
        <f>+K51*AR51</f>
        <v>5250</v>
      </c>
      <c r="M51" s="84">
        <v>500</v>
      </c>
      <c r="N51" s="51">
        <f t="shared" si="16"/>
        <v>105000</v>
      </c>
      <c r="O51" s="52">
        <v>10</v>
      </c>
      <c r="P51" s="51">
        <f t="shared" si="17"/>
        <v>2100</v>
      </c>
      <c r="Q51" s="84"/>
      <c r="R51" s="51">
        <f t="shared" si="18"/>
        <v>0</v>
      </c>
      <c r="S51" s="52"/>
      <c r="T51" s="51"/>
      <c r="U51" s="84">
        <v>20</v>
      </c>
      <c r="V51" s="51">
        <f>+U51*AR51</f>
        <v>4200</v>
      </c>
      <c r="W51" s="84"/>
      <c r="X51" s="51"/>
      <c r="Y51" s="84">
        <v>10</v>
      </c>
      <c r="Z51" s="51">
        <f>+Y51*AR51</f>
        <v>2100</v>
      </c>
      <c r="AA51" s="84"/>
      <c r="AB51" s="51"/>
      <c r="AC51" s="84"/>
      <c r="AD51" s="51"/>
      <c r="AE51" s="84"/>
      <c r="AF51" s="51"/>
      <c r="AG51" s="84"/>
      <c r="AH51" s="51"/>
      <c r="AI51" s="84"/>
      <c r="AJ51" s="51">
        <f t="shared" si="19"/>
        <v>0</v>
      </c>
      <c r="AK51" s="84">
        <v>100</v>
      </c>
      <c r="AL51" s="51">
        <f t="shared" si="20"/>
        <v>21000</v>
      </c>
      <c r="AM51" s="84">
        <v>60</v>
      </c>
      <c r="AN51" s="51">
        <f t="shared" si="8"/>
        <v>12600</v>
      </c>
      <c r="AO51" s="84"/>
      <c r="AP51" s="51"/>
      <c r="AQ51" s="84">
        <f t="shared" si="5"/>
        <v>725</v>
      </c>
      <c r="AR51" s="79">
        <v>210</v>
      </c>
      <c r="AS51" s="164">
        <f t="shared" si="21"/>
        <v>152250</v>
      </c>
      <c r="AT51" s="334"/>
      <c r="AU51" s="335"/>
      <c r="AV51" s="335"/>
      <c r="AW51" s="335"/>
      <c r="AX51" s="336"/>
    </row>
    <row r="52" spans="1:50" ht="28.5" hidden="1">
      <c r="A52" s="45">
        <v>40</v>
      </c>
      <c r="B52" s="131" t="s">
        <v>44</v>
      </c>
      <c r="C52" s="53" t="s">
        <v>20</v>
      </c>
      <c r="D52" s="46" t="s">
        <v>178</v>
      </c>
      <c r="E52" s="53" t="s">
        <v>45</v>
      </c>
      <c r="F52" s="118" t="s">
        <v>14</v>
      </c>
      <c r="G52" s="50"/>
      <c r="H52" s="51"/>
      <c r="I52" s="51"/>
      <c r="J52" s="51"/>
      <c r="K52" s="109">
        <v>10</v>
      </c>
      <c r="L52" s="73">
        <f>+K52*AR52</f>
        <v>2100</v>
      </c>
      <c r="M52" s="84"/>
      <c r="N52" s="51">
        <f t="shared" si="16"/>
        <v>0</v>
      </c>
      <c r="O52" s="52">
        <v>10</v>
      </c>
      <c r="P52" s="51">
        <f t="shared" si="17"/>
        <v>2100</v>
      </c>
      <c r="Q52" s="84">
        <v>30</v>
      </c>
      <c r="R52" s="51">
        <f t="shared" si="18"/>
        <v>6300</v>
      </c>
      <c r="S52" s="52"/>
      <c r="T52" s="51"/>
      <c r="U52" s="84">
        <v>10</v>
      </c>
      <c r="V52" s="51">
        <f>+U52*AR52</f>
        <v>2100</v>
      </c>
      <c r="W52" s="84"/>
      <c r="X52" s="51"/>
      <c r="Y52" s="84"/>
      <c r="Z52" s="51"/>
      <c r="AA52" s="84">
        <v>15</v>
      </c>
      <c r="AB52" s="51">
        <f>+AA52*AR52</f>
        <v>3150</v>
      </c>
      <c r="AC52" s="84"/>
      <c r="AD52" s="51"/>
      <c r="AE52" s="84"/>
      <c r="AF52" s="51"/>
      <c r="AG52" s="84"/>
      <c r="AH52" s="51"/>
      <c r="AI52" s="84">
        <v>10</v>
      </c>
      <c r="AJ52" s="51">
        <f t="shared" si="19"/>
        <v>2100</v>
      </c>
      <c r="AK52" s="84"/>
      <c r="AL52" s="51">
        <f t="shared" si="20"/>
        <v>0</v>
      </c>
      <c r="AM52" s="84">
        <v>8</v>
      </c>
      <c r="AN52" s="51">
        <f t="shared" si="8"/>
        <v>1680</v>
      </c>
      <c r="AO52" s="84"/>
      <c r="AP52" s="51"/>
      <c r="AQ52" s="84">
        <f t="shared" si="5"/>
        <v>93</v>
      </c>
      <c r="AR52" s="79">
        <v>210</v>
      </c>
      <c r="AS52" s="164">
        <f t="shared" si="21"/>
        <v>19530</v>
      </c>
      <c r="AT52" s="334"/>
      <c r="AU52" s="335"/>
      <c r="AV52" s="335"/>
      <c r="AW52" s="335"/>
      <c r="AX52" s="336"/>
    </row>
    <row r="53" spans="1:50" ht="42.75" hidden="1">
      <c r="A53" s="50">
        <v>41</v>
      </c>
      <c r="B53" s="131" t="s">
        <v>395</v>
      </c>
      <c r="C53" s="53" t="s">
        <v>20</v>
      </c>
      <c r="D53" s="46" t="s">
        <v>178</v>
      </c>
      <c r="E53" s="53" t="s">
        <v>396</v>
      </c>
      <c r="F53" s="118" t="s">
        <v>17</v>
      </c>
      <c r="G53" s="50"/>
      <c r="H53" s="51"/>
      <c r="I53" s="51"/>
      <c r="J53" s="51"/>
      <c r="K53" s="109"/>
      <c r="L53" s="73"/>
      <c r="M53" s="84">
        <v>1</v>
      </c>
      <c r="N53" s="51">
        <f t="shared" si="16"/>
        <v>749</v>
      </c>
      <c r="O53" s="52"/>
      <c r="P53" s="51">
        <f t="shared" si="17"/>
        <v>0</v>
      </c>
      <c r="Q53" s="84"/>
      <c r="R53" s="51">
        <f t="shared" si="18"/>
        <v>0</v>
      </c>
      <c r="S53" s="52"/>
      <c r="T53" s="51"/>
      <c r="U53" s="84"/>
      <c r="V53" s="51"/>
      <c r="W53" s="84"/>
      <c r="X53" s="51"/>
      <c r="Y53" s="84"/>
      <c r="Z53" s="51"/>
      <c r="AA53" s="84"/>
      <c r="AB53" s="51"/>
      <c r="AC53" s="84"/>
      <c r="AD53" s="51"/>
      <c r="AE53" s="84"/>
      <c r="AF53" s="51"/>
      <c r="AG53" s="84"/>
      <c r="AH53" s="51"/>
      <c r="AI53" s="84"/>
      <c r="AJ53" s="51">
        <f t="shared" si="19"/>
        <v>0</v>
      </c>
      <c r="AK53" s="84"/>
      <c r="AL53" s="51">
        <f t="shared" si="20"/>
        <v>0</v>
      </c>
      <c r="AM53" s="84">
        <v>20</v>
      </c>
      <c r="AN53" s="51">
        <f t="shared" si="8"/>
        <v>14980</v>
      </c>
      <c r="AO53" s="84"/>
      <c r="AP53" s="51"/>
      <c r="AQ53" s="84">
        <f t="shared" si="5"/>
        <v>21</v>
      </c>
      <c r="AR53" s="79">
        <v>749</v>
      </c>
      <c r="AS53" s="164">
        <f t="shared" si="21"/>
        <v>15729</v>
      </c>
      <c r="AT53" s="10"/>
      <c r="AU53" s="10"/>
      <c r="AV53" s="10"/>
      <c r="AW53" s="10"/>
      <c r="AX53" s="10"/>
    </row>
    <row r="54" spans="1:50" ht="42.75" hidden="1">
      <c r="A54" s="45">
        <v>42</v>
      </c>
      <c r="B54" s="131" t="s">
        <v>398</v>
      </c>
      <c r="C54" s="53" t="s">
        <v>20</v>
      </c>
      <c r="D54" s="46" t="s">
        <v>178</v>
      </c>
      <c r="E54" s="53" t="s">
        <v>397</v>
      </c>
      <c r="F54" s="118" t="s">
        <v>18</v>
      </c>
      <c r="G54" s="50"/>
      <c r="H54" s="51"/>
      <c r="I54" s="51"/>
      <c r="J54" s="51"/>
      <c r="K54" s="109"/>
      <c r="L54" s="73"/>
      <c r="M54" s="84">
        <v>1</v>
      </c>
      <c r="N54" s="51">
        <f t="shared" si="16"/>
        <v>2000</v>
      </c>
      <c r="O54" s="52"/>
      <c r="P54" s="51">
        <f t="shared" si="17"/>
        <v>0</v>
      </c>
      <c r="Q54" s="84"/>
      <c r="R54" s="51">
        <f t="shared" si="18"/>
        <v>0</v>
      </c>
      <c r="S54" s="52"/>
      <c r="T54" s="51"/>
      <c r="U54" s="84"/>
      <c r="V54" s="51"/>
      <c r="W54" s="84"/>
      <c r="X54" s="51"/>
      <c r="Y54" s="84"/>
      <c r="Z54" s="51"/>
      <c r="AA54" s="84"/>
      <c r="AB54" s="51"/>
      <c r="AC54" s="84"/>
      <c r="AD54" s="51"/>
      <c r="AE54" s="84"/>
      <c r="AF54" s="51"/>
      <c r="AG54" s="84"/>
      <c r="AH54" s="51"/>
      <c r="AI54" s="84"/>
      <c r="AJ54" s="51">
        <f t="shared" si="19"/>
        <v>0</v>
      </c>
      <c r="AK54" s="84">
        <v>100</v>
      </c>
      <c r="AL54" s="51">
        <f t="shared" si="20"/>
        <v>200000</v>
      </c>
      <c r="AM54" s="84">
        <v>40</v>
      </c>
      <c r="AN54" s="51">
        <f t="shared" si="8"/>
        <v>80000</v>
      </c>
      <c r="AO54" s="84"/>
      <c r="AP54" s="51"/>
      <c r="AQ54" s="84">
        <f t="shared" si="5"/>
        <v>141</v>
      </c>
      <c r="AR54" s="79">
        <v>2000</v>
      </c>
      <c r="AS54" s="164">
        <f t="shared" si="21"/>
        <v>282000</v>
      </c>
      <c r="AT54" s="10"/>
      <c r="AU54" s="10"/>
      <c r="AV54" s="10"/>
      <c r="AW54" s="10"/>
      <c r="AX54" s="10"/>
    </row>
    <row r="55" spans="1:50" ht="57" hidden="1">
      <c r="A55" s="50">
        <v>43</v>
      </c>
      <c r="B55" s="131" t="s">
        <v>400</v>
      </c>
      <c r="C55" s="53" t="s">
        <v>20</v>
      </c>
      <c r="D55" s="46" t="s">
        <v>178</v>
      </c>
      <c r="E55" s="53" t="s">
        <v>399</v>
      </c>
      <c r="F55" s="118" t="s">
        <v>14</v>
      </c>
      <c r="G55" s="50"/>
      <c r="H55" s="51"/>
      <c r="I55" s="51"/>
      <c r="J55" s="51"/>
      <c r="K55" s="109"/>
      <c r="L55" s="73"/>
      <c r="M55" s="84">
        <v>50</v>
      </c>
      <c r="N55" s="51">
        <f t="shared" si="16"/>
        <v>2350</v>
      </c>
      <c r="O55" s="52"/>
      <c r="P55" s="51">
        <f t="shared" si="17"/>
        <v>0</v>
      </c>
      <c r="Q55" s="84"/>
      <c r="R55" s="51">
        <f t="shared" si="18"/>
        <v>0</v>
      </c>
      <c r="S55" s="52"/>
      <c r="T55" s="51"/>
      <c r="U55" s="84"/>
      <c r="V55" s="51"/>
      <c r="W55" s="84"/>
      <c r="X55" s="51"/>
      <c r="Y55" s="84"/>
      <c r="Z55" s="51"/>
      <c r="AA55" s="84"/>
      <c r="AB55" s="51"/>
      <c r="AC55" s="84"/>
      <c r="AD55" s="51"/>
      <c r="AE55" s="84"/>
      <c r="AF55" s="51"/>
      <c r="AG55" s="84"/>
      <c r="AH55" s="51"/>
      <c r="AI55" s="84"/>
      <c r="AJ55" s="51">
        <f t="shared" si="19"/>
        <v>0</v>
      </c>
      <c r="AK55" s="84"/>
      <c r="AL55" s="51">
        <f t="shared" si="20"/>
        <v>0</v>
      </c>
      <c r="AM55" s="84">
        <v>20</v>
      </c>
      <c r="AN55" s="51">
        <f t="shared" si="8"/>
        <v>940</v>
      </c>
      <c r="AO55" s="84"/>
      <c r="AP55" s="51"/>
      <c r="AQ55" s="84">
        <f t="shared" si="5"/>
        <v>70</v>
      </c>
      <c r="AR55" s="79">
        <v>47</v>
      </c>
      <c r="AS55" s="164">
        <f t="shared" si="21"/>
        <v>3290</v>
      </c>
      <c r="AT55" s="10"/>
      <c r="AU55" s="10"/>
      <c r="AV55" s="10"/>
      <c r="AW55" s="10"/>
      <c r="AX55" s="10"/>
    </row>
    <row r="56" spans="1:50" s="6" customFormat="1" ht="42.75" hidden="1">
      <c r="A56" s="45">
        <v>44</v>
      </c>
      <c r="B56" s="211" t="s">
        <v>419</v>
      </c>
      <c r="C56" s="37" t="s">
        <v>20</v>
      </c>
      <c r="D56" s="89" t="s">
        <v>1321</v>
      </c>
      <c r="E56" s="37" t="s">
        <v>417</v>
      </c>
      <c r="F56" s="33" t="s">
        <v>12</v>
      </c>
      <c r="G56" s="34"/>
      <c r="H56" s="34"/>
      <c r="I56" s="34"/>
      <c r="J56" s="34"/>
      <c r="K56" s="66"/>
      <c r="L56" s="77"/>
      <c r="M56" s="86">
        <v>5</v>
      </c>
      <c r="N56" s="115">
        <f>+M56*AR56</f>
        <v>1150</v>
      </c>
      <c r="O56" s="66"/>
      <c r="P56" s="115">
        <f>+O56*AR56</f>
        <v>0</v>
      </c>
      <c r="Q56" s="87"/>
      <c r="R56" s="115">
        <f>+Q56*AR56</f>
        <v>0</v>
      </c>
      <c r="S56" s="66"/>
      <c r="T56" s="115"/>
      <c r="U56" s="87"/>
      <c r="V56" s="115"/>
      <c r="W56" s="87"/>
      <c r="X56" s="115"/>
      <c r="Y56" s="87"/>
      <c r="Z56" s="115"/>
      <c r="AA56" s="87"/>
      <c r="AB56" s="115"/>
      <c r="AC56" s="87"/>
      <c r="AD56" s="115"/>
      <c r="AE56" s="87"/>
      <c r="AF56" s="115"/>
      <c r="AG56" s="87"/>
      <c r="AH56" s="115"/>
      <c r="AI56" s="87"/>
      <c r="AJ56" s="115">
        <f>+AI56*AR56</f>
        <v>0</v>
      </c>
      <c r="AK56" s="87"/>
      <c r="AL56" s="115">
        <f>+AK56*AR56</f>
        <v>0</v>
      </c>
      <c r="AM56" s="87">
        <v>20</v>
      </c>
      <c r="AN56" s="115">
        <f>+AM56*AR56</f>
        <v>4600</v>
      </c>
      <c r="AO56" s="87"/>
      <c r="AP56" s="115"/>
      <c r="AQ56" s="84">
        <f t="shared" si="5"/>
        <v>25</v>
      </c>
      <c r="AR56" s="168">
        <v>230</v>
      </c>
      <c r="AS56" s="164">
        <f t="shared" si="21"/>
        <v>5750</v>
      </c>
    </row>
    <row r="57" spans="1:50" s="6" customFormat="1" ht="42.75" hidden="1">
      <c r="A57" s="50">
        <v>45</v>
      </c>
      <c r="B57" s="134" t="s">
        <v>415</v>
      </c>
      <c r="C57" s="37" t="s">
        <v>20</v>
      </c>
      <c r="D57" s="89" t="s">
        <v>178</v>
      </c>
      <c r="E57" s="37" t="s">
        <v>1317</v>
      </c>
      <c r="F57" s="135" t="s">
        <v>12</v>
      </c>
      <c r="G57" s="34"/>
      <c r="H57" s="115"/>
      <c r="I57" s="115"/>
      <c r="J57" s="115"/>
      <c r="K57" s="208"/>
      <c r="L57" s="77"/>
      <c r="M57" s="87">
        <v>10</v>
      </c>
      <c r="N57" s="115">
        <f t="shared" si="16"/>
        <v>2100</v>
      </c>
      <c r="O57" s="66"/>
      <c r="P57" s="115">
        <f t="shared" si="17"/>
        <v>0</v>
      </c>
      <c r="Q57" s="87"/>
      <c r="R57" s="115">
        <f t="shared" si="18"/>
        <v>0</v>
      </c>
      <c r="S57" s="66"/>
      <c r="T57" s="115"/>
      <c r="U57" s="87"/>
      <c r="V57" s="115"/>
      <c r="W57" s="87"/>
      <c r="X57" s="115"/>
      <c r="Y57" s="87"/>
      <c r="Z57" s="115"/>
      <c r="AA57" s="87">
        <v>10</v>
      </c>
      <c r="AB57" s="115">
        <f>+AA57*AR57</f>
        <v>2100</v>
      </c>
      <c r="AC57" s="87"/>
      <c r="AD57" s="115"/>
      <c r="AE57" s="87"/>
      <c r="AF57" s="115"/>
      <c r="AG57" s="87"/>
      <c r="AH57" s="115"/>
      <c r="AI57" s="87"/>
      <c r="AJ57" s="115">
        <f t="shared" si="19"/>
        <v>0</v>
      </c>
      <c r="AK57" s="87"/>
      <c r="AL57" s="115">
        <f t="shared" si="20"/>
        <v>0</v>
      </c>
      <c r="AM57" s="87">
        <v>10</v>
      </c>
      <c r="AN57" s="115">
        <f t="shared" si="8"/>
        <v>2100</v>
      </c>
      <c r="AO57" s="87"/>
      <c r="AP57" s="115"/>
      <c r="AQ57" s="84">
        <f t="shared" si="5"/>
        <v>30</v>
      </c>
      <c r="AR57" s="209">
        <v>210</v>
      </c>
      <c r="AS57" s="164">
        <f t="shared" si="21"/>
        <v>6300</v>
      </c>
      <c r="AT57" s="210"/>
      <c r="AU57" s="210"/>
      <c r="AV57" s="210"/>
      <c r="AW57" s="210"/>
      <c r="AX57" s="210"/>
    </row>
    <row r="58" spans="1:50" s="6" customFormat="1" ht="28.5" hidden="1">
      <c r="A58" s="45">
        <v>46</v>
      </c>
      <c r="B58" s="134" t="s">
        <v>1318</v>
      </c>
      <c r="C58" s="37" t="s">
        <v>20</v>
      </c>
      <c r="D58" s="89" t="s">
        <v>178</v>
      </c>
      <c r="E58" s="37" t="s">
        <v>1319</v>
      </c>
      <c r="F58" s="135" t="s">
        <v>12</v>
      </c>
      <c r="G58" s="34"/>
      <c r="H58" s="115"/>
      <c r="I58" s="115"/>
      <c r="J58" s="115"/>
      <c r="K58" s="208"/>
      <c r="L58" s="77"/>
      <c r="M58" s="87"/>
      <c r="N58" s="115"/>
      <c r="O58" s="66"/>
      <c r="P58" s="115">
        <f t="shared" si="17"/>
        <v>0</v>
      </c>
      <c r="Q58" s="87"/>
      <c r="R58" s="115">
        <f t="shared" si="18"/>
        <v>0</v>
      </c>
      <c r="S58" s="66"/>
      <c r="T58" s="115"/>
      <c r="U58" s="87"/>
      <c r="V58" s="115"/>
      <c r="W58" s="87"/>
      <c r="X58" s="115"/>
      <c r="Y58" s="87"/>
      <c r="Z58" s="115"/>
      <c r="AA58" s="87">
        <v>15</v>
      </c>
      <c r="AB58" s="115">
        <f>+AA58*AR58</f>
        <v>3750</v>
      </c>
      <c r="AC58" s="87"/>
      <c r="AD58" s="115"/>
      <c r="AE58" s="87"/>
      <c r="AF58" s="115"/>
      <c r="AG58" s="87"/>
      <c r="AH58" s="115"/>
      <c r="AI58" s="87"/>
      <c r="AJ58" s="115">
        <f t="shared" si="19"/>
        <v>0</v>
      </c>
      <c r="AK58" s="87"/>
      <c r="AL58" s="115">
        <f t="shared" si="20"/>
        <v>0</v>
      </c>
      <c r="AM58" s="87"/>
      <c r="AN58" s="115">
        <f t="shared" si="8"/>
        <v>0</v>
      </c>
      <c r="AO58" s="87"/>
      <c r="AP58" s="115"/>
      <c r="AQ58" s="84">
        <f t="shared" si="5"/>
        <v>15</v>
      </c>
      <c r="AR58" s="209">
        <v>250</v>
      </c>
      <c r="AS58" s="164">
        <f t="shared" si="21"/>
        <v>3750</v>
      </c>
      <c r="AT58" s="210"/>
      <c r="AU58" s="210"/>
      <c r="AV58" s="210"/>
      <c r="AW58" s="210"/>
      <c r="AX58" s="210"/>
    </row>
    <row r="59" spans="1:50" ht="28.5" hidden="1">
      <c r="A59" s="50">
        <v>47</v>
      </c>
      <c r="B59" s="46" t="s">
        <v>186</v>
      </c>
      <c r="C59" s="53" t="s">
        <v>20</v>
      </c>
      <c r="D59" s="46" t="s">
        <v>187</v>
      </c>
      <c r="E59" s="53" t="s">
        <v>188</v>
      </c>
      <c r="F59" s="50" t="s">
        <v>12</v>
      </c>
      <c r="G59" s="50">
        <v>20</v>
      </c>
      <c r="H59" s="51">
        <f>+G59*AR59</f>
        <v>1809.8</v>
      </c>
      <c r="I59" s="51"/>
      <c r="J59" s="51"/>
      <c r="K59" s="52">
        <v>20</v>
      </c>
      <c r="L59" s="73">
        <f t="shared" ref="L59:L70" si="22">+K59*AR59</f>
        <v>1809.8</v>
      </c>
      <c r="M59" s="84"/>
      <c r="N59" s="51">
        <f t="shared" ref="N59:N101" si="23">+M59*AR59</f>
        <v>0</v>
      </c>
      <c r="O59" s="52"/>
      <c r="P59" s="51">
        <f t="shared" si="17"/>
        <v>0</v>
      </c>
      <c r="Q59" s="84"/>
      <c r="R59" s="51">
        <f t="shared" si="18"/>
        <v>0</v>
      </c>
      <c r="S59" s="52"/>
      <c r="T59" s="51"/>
      <c r="U59" s="84"/>
      <c r="V59" s="51"/>
      <c r="W59" s="84"/>
      <c r="X59" s="51"/>
      <c r="Y59" s="84"/>
      <c r="Z59" s="51"/>
      <c r="AA59" s="84"/>
      <c r="AB59" s="51"/>
      <c r="AC59" s="84"/>
      <c r="AD59" s="51"/>
      <c r="AE59" s="84"/>
      <c r="AF59" s="51"/>
      <c r="AG59" s="84"/>
      <c r="AH59" s="51"/>
      <c r="AI59" s="84"/>
      <c r="AJ59" s="51">
        <f t="shared" si="19"/>
        <v>0</v>
      </c>
      <c r="AK59" s="84"/>
      <c r="AL59" s="51">
        <f t="shared" si="20"/>
        <v>0</v>
      </c>
      <c r="AM59" s="84"/>
      <c r="AN59" s="51">
        <f t="shared" si="8"/>
        <v>0</v>
      </c>
      <c r="AO59" s="84"/>
      <c r="AP59" s="51"/>
      <c r="AQ59" s="84">
        <f t="shared" si="5"/>
        <v>40</v>
      </c>
      <c r="AR59" s="163">
        <v>90.49</v>
      </c>
      <c r="AS59" s="164">
        <f t="shared" si="21"/>
        <v>3619.6</v>
      </c>
    </row>
    <row r="60" spans="1:50" ht="28.5" hidden="1">
      <c r="A60" s="45">
        <v>48</v>
      </c>
      <c r="B60" s="46" t="s">
        <v>190</v>
      </c>
      <c r="C60" s="53" t="s">
        <v>20</v>
      </c>
      <c r="D60" s="46" t="s">
        <v>187</v>
      </c>
      <c r="E60" s="53" t="s">
        <v>189</v>
      </c>
      <c r="F60" s="50" t="s">
        <v>12</v>
      </c>
      <c r="G60" s="50">
        <v>10</v>
      </c>
      <c r="H60" s="51">
        <f>+G60*AR60</f>
        <v>2138.1</v>
      </c>
      <c r="I60" s="51"/>
      <c r="J60" s="51"/>
      <c r="K60" s="52">
        <v>20</v>
      </c>
      <c r="L60" s="73">
        <f t="shared" si="22"/>
        <v>4276.2</v>
      </c>
      <c r="M60" s="84"/>
      <c r="N60" s="51">
        <f t="shared" si="23"/>
        <v>0</v>
      </c>
      <c r="O60" s="52">
        <v>10</v>
      </c>
      <c r="P60" s="51">
        <f t="shared" si="17"/>
        <v>2138.1</v>
      </c>
      <c r="Q60" s="84"/>
      <c r="R60" s="51">
        <f t="shared" si="18"/>
        <v>0</v>
      </c>
      <c r="S60" s="52"/>
      <c r="T60" s="51"/>
      <c r="U60" s="84"/>
      <c r="V60" s="51"/>
      <c r="W60" s="84"/>
      <c r="X60" s="51"/>
      <c r="Y60" s="84">
        <v>10</v>
      </c>
      <c r="Z60" s="51">
        <f>+Y60*AR60</f>
        <v>2138.1</v>
      </c>
      <c r="AA60" s="84"/>
      <c r="AB60" s="51"/>
      <c r="AC60" s="84"/>
      <c r="AD60" s="51"/>
      <c r="AE60" s="84"/>
      <c r="AF60" s="51"/>
      <c r="AG60" s="84"/>
      <c r="AH60" s="51"/>
      <c r="AI60" s="84"/>
      <c r="AJ60" s="51">
        <f t="shared" si="19"/>
        <v>0</v>
      </c>
      <c r="AK60" s="84"/>
      <c r="AL60" s="51">
        <f t="shared" si="20"/>
        <v>0</v>
      </c>
      <c r="AM60" s="84"/>
      <c r="AN60" s="51">
        <f t="shared" si="8"/>
        <v>0</v>
      </c>
      <c r="AO60" s="84"/>
      <c r="AP60" s="51"/>
      <c r="AQ60" s="84">
        <f t="shared" si="5"/>
        <v>50</v>
      </c>
      <c r="AR60" s="163">
        <v>213.81</v>
      </c>
      <c r="AS60" s="164">
        <f t="shared" si="21"/>
        <v>10690.5</v>
      </c>
    </row>
    <row r="61" spans="1:50" ht="14.25" hidden="1">
      <c r="A61" s="50">
        <v>49</v>
      </c>
      <c r="B61" s="46" t="s">
        <v>30</v>
      </c>
      <c r="C61" s="53" t="s">
        <v>20</v>
      </c>
      <c r="D61" s="46" t="s">
        <v>187</v>
      </c>
      <c r="E61" s="53" t="s">
        <v>31</v>
      </c>
      <c r="F61" s="50" t="s">
        <v>271</v>
      </c>
      <c r="G61" s="50"/>
      <c r="H61" s="51"/>
      <c r="I61" s="51"/>
      <c r="J61" s="51"/>
      <c r="K61" s="52">
        <v>2</v>
      </c>
      <c r="L61" s="73">
        <f t="shared" si="22"/>
        <v>2800</v>
      </c>
      <c r="M61" s="84">
        <v>3</v>
      </c>
      <c r="N61" s="51">
        <f t="shared" si="23"/>
        <v>4200</v>
      </c>
      <c r="O61" s="52">
        <v>2</v>
      </c>
      <c r="P61" s="51">
        <f t="shared" si="17"/>
        <v>2800</v>
      </c>
      <c r="Q61" s="84"/>
      <c r="R61" s="51">
        <f t="shared" si="18"/>
        <v>0</v>
      </c>
      <c r="S61" s="52">
        <v>3</v>
      </c>
      <c r="T61" s="51">
        <f>+S61*AR61</f>
        <v>4200</v>
      </c>
      <c r="U61" s="84">
        <v>2</v>
      </c>
      <c r="V61" s="51">
        <f>+U61*AR61</f>
        <v>2800</v>
      </c>
      <c r="W61" s="84">
        <v>3</v>
      </c>
      <c r="X61" s="51">
        <f>+W61*AR61</f>
        <v>4200</v>
      </c>
      <c r="Y61" s="84">
        <v>3</v>
      </c>
      <c r="Z61" s="51">
        <f>+Y61*AR61</f>
        <v>4200</v>
      </c>
      <c r="AA61" s="84"/>
      <c r="AB61" s="51"/>
      <c r="AC61" s="84"/>
      <c r="AD61" s="51"/>
      <c r="AE61" s="84">
        <v>2</v>
      </c>
      <c r="AF61" s="51">
        <f>+AE61*AR61</f>
        <v>2800</v>
      </c>
      <c r="AG61" s="84">
        <v>2</v>
      </c>
      <c r="AH61" s="51">
        <f>+AG61*AR61</f>
        <v>2800</v>
      </c>
      <c r="AI61" s="84">
        <v>60</v>
      </c>
      <c r="AJ61" s="51">
        <f t="shared" si="19"/>
        <v>84000</v>
      </c>
      <c r="AK61" s="84">
        <v>6</v>
      </c>
      <c r="AL61" s="51">
        <f t="shared" si="20"/>
        <v>8400</v>
      </c>
      <c r="AM61" s="84">
        <v>18</v>
      </c>
      <c r="AN61" s="51">
        <f t="shared" si="8"/>
        <v>25200</v>
      </c>
      <c r="AO61" s="84"/>
      <c r="AP61" s="51"/>
      <c r="AQ61" s="84">
        <f t="shared" si="5"/>
        <v>106</v>
      </c>
      <c r="AR61" s="163">
        <v>1400</v>
      </c>
      <c r="AS61" s="164">
        <f t="shared" si="21"/>
        <v>148400</v>
      </c>
    </row>
    <row r="62" spans="1:50" ht="14.25" hidden="1">
      <c r="A62" s="45">
        <v>50</v>
      </c>
      <c r="B62" s="71" t="s">
        <v>324</v>
      </c>
      <c r="C62" s="53" t="s">
        <v>20</v>
      </c>
      <c r="D62" s="46" t="s">
        <v>187</v>
      </c>
      <c r="E62" s="53" t="s">
        <v>323</v>
      </c>
      <c r="F62" s="50" t="s">
        <v>17</v>
      </c>
      <c r="G62" s="50"/>
      <c r="H62" s="50"/>
      <c r="I62" s="50"/>
      <c r="J62" s="50"/>
      <c r="K62" s="52">
        <v>2</v>
      </c>
      <c r="L62" s="73">
        <f t="shared" si="22"/>
        <v>2800</v>
      </c>
      <c r="M62" s="84">
        <v>3</v>
      </c>
      <c r="N62" s="51">
        <f t="shared" si="23"/>
        <v>4200</v>
      </c>
      <c r="O62" s="52">
        <v>2</v>
      </c>
      <c r="P62" s="51">
        <f t="shared" si="17"/>
        <v>2800</v>
      </c>
      <c r="Q62" s="84"/>
      <c r="R62" s="51">
        <f t="shared" si="18"/>
        <v>0</v>
      </c>
      <c r="S62" s="52">
        <v>3</v>
      </c>
      <c r="T62" s="51">
        <f>+S62*AR62</f>
        <v>4200</v>
      </c>
      <c r="U62" s="84">
        <v>2</v>
      </c>
      <c r="V62" s="51">
        <f>+U62*AR62</f>
        <v>2800</v>
      </c>
      <c r="W62" s="84"/>
      <c r="X62" s="51"/>
      <c r="Y62" s="84"/>
      <c r="Z62" s="51"/>
      <c r="AA62" s="84"/>
      <c r="AB62" s="51"/>
      <c r="AC62" s="84"/>
      <c r="AD62" s="51"/>
      <c r="AE62" s="84"/>
      <c r="AF62" s="51"/>
      <c r="AG62" s="84"/>
      <c r="AH62" s="51"/>
      <c r="AI62" s="84">
        <v>60</v>
      </c>
      <c r="AJ62" s="51">
        <f t="shared" si="19"/>
        <v>84000</v>
      </c>
      <c r="AK62" s="84">
        <v>6</v>
      </c>
      <c r="AL62" s="51">
        <f t="shared" si="20"/>
        <v>8400</v>
      </c>
      <c r="AM62" s="84">
        <v>8</v>
      </c>
      <c r="AN62" s="51">
        <f t="shared" si="8"/>
        <v>11200</v>
      </c>
      <c r="AO62" s="84"/>
      <c r="AP62" s="51"/>
      <c r="AQ62" s="84">
        <f t="shared" si="5"/>
        <v>86</v>
      </c>
      <c r="AR62" s="163">
        <v>1400</v>
      </c>
      <c r="AS62" s="164">
        <f t="shared" si="21"/>
        <v>120400</v>
      </c>
    </row>
    <row r="63" spans="1:50" ht="14.25" hidden="1">
      <c r="A63" s="50">
        <v>51</v>
      </c>
      <c r="B63" s="46" t="s">
        <v>324</v>
      </c>
      <c r="C63" s="53" t="s">
        <v>20</v>
      </c>
      <c r="D63" s="46" t="s">
        <v>187</v>
      </c>
      <c r="E63" s="53" t="s">
        <v>323</v>
      </c>
      <c r="F63" s="50" t="s">
        <v>17</v>
      </c>
      <c r="G63" s="50"/>
      <c r="H63" s="51"/>
      <c r="I63" s="51"/>
      <c r="J63" s="51"/>
      <c r="K63" s="52">
        <v>2</v>
      </c>
      <c r="L63" s="73">
        <f t="shared" si="22"/>
        <v>2800</v>
      </c>
      <c r="M63" s="84">
        <v>3</v>
      </c>
      <c r="N63" s="51">
        <f t="shared" si="23"/>
        <v>4200</v>
      </c>
      <c r="O63" s="52">
        <v>2</v>
      </c>
      <c r="P63" s="51">
        <f t="shared" si="17"/>
        <v>2800</v>
      </c>
      <c r="Q63" s="84"/>
      <c r="R63" s="51">
        <f t="shared" si="18"/>
        <v>0</v>
      </c>
      <c r="S63" s="52"/>
      <c r="T63" s="51"/>
      <c r="U63" s="84"/>
      <c r="V63" s="51"/>
      <c r="W63" s="84">
        <v>3</v>
      </c>
      <c r="X63" s="51">
        <f>+W63*AR63</f>
        <v>4200</v>
      </c>
      <c r="Y63" s="84"/>
      <c r="Z63" s="51"/>
      <c r="AA63" s="84"/>
      <c r="AB63" s="51"/>
      <c r="AC63" s="84"/>
      <c r="AD63" s="51"/>
      <c r="AE63" s="84"/>
      <c r="AF63" s="51"/>
      <c r="AG63" s="84"/>
      <c r="AH63" s="51"/>
      <c r="AI63" s="84"/>
      <c r="AJ63" s="51">
        <f t="shared" si="19"/>
        <v>0</v>
      </c>
      <c r="AK63" s="84"/>
      <c r="AL63" s="51">
        <f t="shared" si="20"/>
        <v>0</v>
      </c>
      <c r="AM63" s="84"/>
      <c r="AN63" s="51">
        <f t="shared" si="8"/>
        <v>0</v>
      </c>
      <c r="AO63" s="84"/>
      <c r="AP63" s="51"/>
      <c r="AQ63" s="84">
        <f t="shared" si="5"/>
        <v>10</v>
      </c>
      <c r="AR63" s="163">
        <v>1400</v>
      </c>
      <c r="AS63" s="164">
        <f t="shared" si="21"/>
        <v>14000</v>
      </c>
    </row>
    <row r="64" spans="1:50" ht="14.25" hidden="1">
      <c r="A64" s="45">
        <v>52</v>
      </c>
      <c r="B64" s="46" t="s">
        <v>324</v>
      </c>
      <c r="C64" s="53" t="s">
        <v>20</v>
      </c>
      <c r="D64" s="46" t="s">
        <v>187</v>
      </c>
      <c r="E64" s="53" t="s">
        <v>323</v>
      </c>
      <c r="F64" s="50" t="s">
        <v>17</v>
      </c>
      <c r="G64" s="50"/>
      <c r="H64" s="51"/>
      <c r="I64" s="51"/>
      <c r="J64" s="51"/>
      <c r="K64" s="52">
        <v>2</v>
      </c>
      <c r="L64" s="73">
        <f t="shared" si="22"/>
        <v>2800</v>
      </c>
      <c r="M64" s="84">
        <v>3</v>
      </c>
      <c r="N64" s="51">
        <f t="shared" si="23"/>
        <v>4200</v>
      </c>
      <c r="O64" s="52">
        <v>2</v>
      </c>
      <c r="P64" s="51">
        <f t="shared" si="17"/>
        <v>2800</v>
      </c>
      <c r="Q64" s="84"/>
      <c r="R64" s="51">
        <f t="shared" si="18"/>
        <v>0</v>
      </c>
      <c r="S64" s="52"/>
      <c r="T64" s="51"/>
      <c r="U64" s="84"/>
      <c r="V64" s="51"/>
      <c r="W64" s="84"/>
      <c r="X64" s="51"/>
      <c r="Y64" s="84"/>
      <c r="Z64" s="51"/>
      <c r="AA64" s="84"/>
      <c r="AB64" s="51"/>
      <c r="AC64" s="84"/>
      <c r="AD64" s="51"/>
      <c r="AE64" s="84"/>
      <c r="AF64" s="51"/>
      <c r="AG64" s="84"/>
      <c r="AH64" s="51"/>
      <c r="AI64" s="84"/>
      <c r="AJ64" s="51">
        <f t="shared" si="19"/>
        <v>0</v>
      </c>
      <c r="AK64" s="84"/>
      <c r="AL64" s="51">
        <f t="shared" si="20"/>
        <v>0</v>
      </c>
      <c r="AM64" s="84"/>
      <c r="AN64" s="51">
        <f t="shared" si="8"/>
        <v>0</v>
      </c>
      <c r="AO64" s="84"/>
      <c r="AP64" s="51"/>
      <c r="AQ64" s="84">
        <f t="shared" si="5"/>
        <v>7</v>
      </c>
      <c r="AR64" s="163">
        <v>1400</v>
      </c>
      <c r="AS64" s="164">
        <f t="shared" si="21"/>
        <v>9800</v>
      </c>
    </row>
    <row r="65" spans="1:50" ht="14.25" hidden="1">
      <c r="A65" s="50">
        <v>53</v>
      </c>
      <c r="B65" s="71" t="s">
        <v>28</v>
      </c>
      <c r="C65" s="53" t="s">
        <v>20</v>
      </c>
      <c r="D65" s="46" t="s">
        <v>187</v>
      </c>
      <c r="E65" s="192" t="s">
        <v>29</v>
      </c>
      <c r="F65" s="50" t="s">
        <v>270</v>
      </c>
      <c r="G65" s="50"/>
      <c r="H65" s="50"/>
      <c r="I65" s="50"/>
      <c r="J65" s="50"/>
      <c r="K65" s="52">
        <f>4*21</f>
        <v>84</v>
      </c>
      <c r="L65" s="73">
        <f t="shared" si="22"/>
        <v>1764</v>
      </c>
      <c r="M65" s="84">
        <v>450</v>
      </c>
      <c r="N65" s="51">
        <f t="shared" si="23"/>
        <v>9450</v>
      </c>
      <c r="O65" s="52">
        <v>20</v>
      </c>
      <c r="P65" s="51">
        <f t="shared" si="17"/>
        <v>420</v>
      </c>
      <c r="Q65" s="84"/>
      <c r="R65" s="51">
        <f t="shared" si="18"/>
        <v>0</v>
      </c>
      <c r="S65" s="52"/>
      <c r="T65" s="51"/>
      <c r="U65" s="84"/>
      <c r="V65" s="51"/>
      <c r="W65" s="84">
        <v>30</v>
      </c>
      <c r="X65" s="51">
        <f>+W65*AR65</f>
        <v>630</v>
      </c>
      <c r="Y65" s="84">
        <v>45</v>
      </c>
      <c r="Z65" s="51">
        <f>+Y65*AR65</f>
        <v>945</v>
      </c>
      <c r="AA65" s="84"/>
      <c r="AB65" s="51"/>
      <c r="AC65" s="84"/>
      <c r="AD65" s="51"/>
      <c r="AE65" s="84">
        <v>50</v>
      </c>
      <c r="AF65" s="51">
        <f>+AE65*AR65</f>
        <v>1050</v>
      </c>
      <c r="AG65" s="84"/>
      <c r="AH65" s="51"/>
      <c r="AI65" s="84"/>
      <c r="AJ65" s="51">
        <f t="shared" si="19"/>
        <v>0</v>
      </c>
      <c r="AK65" s="84">
        <v>100</v>
      </c>
      <c r="AL65" s="51">
        <f t="shared" si="20"/>
        <v>2100</v>
      </c>
      <c r="AM65" s="84">
        <v>30</v>
      </c>
      <c r="AN65" s="51">
        <f t="shared" si="8"/>
        <v>630</v>
      </c>
      <c r="AO65" s="84"/>
      <c r="AP65" s="51"/>
      <c r="AQ65" s="84">
        <f t="shared" si="5"/>
        <v>809</v>
      </c>
      <c r="AR65" s="161">
        <v>21</v>
      </c>
      <c r="AS65" s="164">
        <f t="shared" si="21"/>
        <v>16989</v>
      </c>
    </row>
    <row r="66" spans="1:50" ht="42.75" hidden="1">
      <c r="A66" s="45">
        <v>54</v>
      </c>
      <c r="B66" s="131" t="s">
        <v>78</v>
      </c>
      <c r="C66" s="53" t="s">
        <v>20</v>
      </c>
      <c r="D66" s="46" t="s">
        <v>187</v>
      </c>
      <c r="E66" s="45" t="s">
        <v>79</v>
      </c>
      <c r="F66" s="118" t="s">
        <v>14</v>
      </c>
      <c r="G66" s="45"/>
      <c r="H66" s="45"/>
      <c r="I66" s="45"/>
      <c r="J66" s="51"/>
      <c r="K66" s="109">
        <v>10</v>
      </c>
      <c r="L66" s="73">
        <f t="shared" si="22"/>
        <v>1200</v>
      </c>
      <c r="M66" s="84">
        <v>5</v>
      </c>
      <c r="N66" s="51">
        <f t="shared" si="23"/>
        <v>600</v>
      </c>
      <c r="O66" s="52">
        <v>2</v>
      </c>
      <c r="P66" s="51">
        <f t="shared" si="17"/>
        <v>240</v>
      </c>
      <c r="Q66" s="84">
        <v>10</v>
      </c>
      <c r="R66" s="51">
        <f t="shared" si="18"/>
        <v>1200</v>
      </c>
      <c r="S66" s="52"/>
      <c r="T66" s="51"/>
      <c r="U66" s="84"/>
      <c r="V66" s="51"/>
      <c r="W66" s="84"/>
      <c r="X66" s="51"/>
      <c r="Y66" s="84">
        <v>10</v>
      </c>
      <c r="Z66" s="51">
        <f>+Y66*AR66</f>
        <v>1200</v>
      </c>
      <c r="AA66" s="84"/>
      <c r="AB66" s="51"/>
      <c r="AC66" s="84"/>
      <c r="AD66" s="51"/>
      <c r="AE66" s="84"/>
      <c r="AF66" s="51"/>
      <c r="AG66" s="84"/>
      <c r="AH66" s="51"/>
      <c r="AI66" s="84"/>
      <c r="AJ66" s="51">
        <f t="shared" si="19"/>
        <v>0</v>
      </c>
      <c r="AK66" s="84"/>
      <c r="AL66" s="51">
        <f t="shared" si="20"/>
        <v>0</v>
      </c>
      <c r="AM66" s="84">
        <v>36</v>
      </c>
      <c r="AN66" s="51">
        <f t="shared" si="8"/>
        <v>4320</v>
      </c>
      <c r="AO66" s="84"/>
      <c r="AP66" s="51"/>
      <c r="AQ66" s="84">
        <f t="shared" si="5"/>
        <v>73</v>
      </c>
      <c r="AR66" s="79">
        <v>120</v>
      </c>
      <c r="AS66" s="164">
        <f t="shared" si="21"/>
        <v>8760</v>
      </c>
      <c r="AT66" s="334"/>
      <c r="AU66" s="335"/>
      <c r="AV66" s="335"/>
      <c r="AW66" s="335"/>
      <c r="AX66" s="336"/>
    </row>
    <row r="67" spans="1:50" ht="28.5" hidden="1">
      <c r="A67" s="50">
        <v>55</v>
      </c>
      <c r="B67" s="131" t="s">
        <v>80</v>
      </c>
      <c r="C67" s="53" t="s">
        <v>20</v>
      </c>
      <c r="D67" s="46" t="s">
        <v>187</v>
      </c>
      <c r="E67" s="193" t="s">
        <v>81</v>
      </c>
      <c r="F67" s="118" t="s">
        <v>14</v>
      </c>
      <c r="G67" s="67"/>
      <c r="H67" s="67"/>
      <c r="I67" s="67"/>
      <c r="J67" s="50"/>
      <c r="K67" s="109">
        <v>40</v>
      </c>
      <c r="L67" s="73">
        <f t="shared" si="22"/>
        <v>3200</v>
      </c>
      <c r="M67" s="84">
        <v>450</v>
      </c>
      <c r="N67" s="51">
        <f t="shared" si="23"/>
        <v>36000</v>
      </c>
      <c r="O67" s="52">
        <v>15</v>
      </c>
      <c r="P67" s="51">
        <f t="shared" si="17"/>
        <v>1200</v>
      </c>
      <c r="Q67" s="84"/>
      <c r="R67" s="51">
        <f t="shared" si="18"/>
        <v>0</v>
      </c>
      <c r="S67" s="52"/>
      <c r="T67" s="51"/>
      <c r="U67" s="84">
        <v>100</v>
      </c>
      <c r="V67" s="51">
        <f>+U67*AR67</f>
        <v>8000</v>
      </c>
      <c r="W67" s="84">
        <v>30</v>
      </c>
      <c r="X67" s="51">
        <f>+W67*AR67</f>
        <v>2400</v>
      </c>
      <c r="Y67" s="84">
        <v>25</v>
      </c>
      <c r="Z67" s="51">
        <f>+Y67*AR67</f>
        <v>2000</v>
      </c>
      <c r="AA67" s="84">
        <v>30</v>
      </c>
      <c r="AB67" s="51">
        <f>+AA5*AR67</f>
        <v>0</v>
      </c>
      <c r="AC67" s="84"/>
      <c r="AD67" s="51"/>
      <c r="AE67" s="84">
        <v>10</v>
      </c>
      <c r="AF67" s="51">
        <f>+AE67*AR67</f>
        <v>800</v>
      </c>
      <c r="AG67" s="84"/>
      <c r="AH67" s="51"/>
      <c r="AI67" s="84">
        <v>10</v>
      </c>
      <c r="AJ67" s="51">
        <f t="shared" si="19"/>
        <v>800</v>
      </c>
      <c r="AK67" s="84">
        <v>150</v>
      </c>
      <c r="AL67" s="51">
        <f t="shared" si="20"/>
        <v>12000</v>
      </c>
      <c r="AM67" s="84">
        <v>30</v>
      </c>
      <c r="AN67" s="51">
        <f t="shared" si="8"/>
        <v>2400</v>
      </c>
      <c r="AO67" s="84"/>
      <c r="AP67" s="51"/>
      <c r="AQ67" s="84">
        <f t="shared" si="5"/>
        <v>890</v>
      </c>
      <c r="AR67" s="79">
        <v>80</v>
      </c>
      <c r="AS67" s="164">
        <f t="shared" si="21"/>
        <v>71200</v>
      </c>
      <c r="AT67" s="334"/>
      <c r="AU67" s="335"/>
      <c r="AV67" s="335"/>
      <c r="AW67" s="335"/>
      <c r="AX67" s="336"/>
    </row>
    <row r="68" spans="1:50" ht="28.5" hidden="1">
      <c r="A68" s="45">
        <v>56</v>
      </c>
      <c r="B68" s="131" t="s">
        <v>82</v>
      </c>
      <c r="C68" s="53" t="s">
        <v>20</v>
      </c>
      <c r="D68" s="46" t="s">
        <v>187</v>
      </c>
      <c r="E68" s="193" t="s">
        <v>83</v>
      </c>
      <c r="F68" s="118" t="s">
        <v>14</v>
      </c>
      <c r="G68" s="45"/>
      <c r="H68" s="45"/>
      <c r="I68" s="45"/>
      <c r="J68" s="51"/>
      <c r="K68" s="109">
        <v>15</v>
      </c>
      <c r="L68" s="73">
        <f t="shared" si="22"/>
        <v>600</v>
      </c>
      <c r="M68" s="84"/>
      <c r="N68" s="51">
        <f t="shared" si="23"/>
        <v>0</v>
      </c>
      <c r="O68" s="52">
        <v>10</v>
      </c>
      <c r="P68" s="51">
        <f t="shared" si="17"/>
        <v>400</v>
      </c>
      <c r="Q68" s="84"/>
      <c r="R68" s="51">
        <f t="shared" si="18"/>
        <v>0</v>
      </c>
      <c r="S68" s="52">
        <v>60</v>
      </c>
      <c r="T68" s="51">
        <f>+S68*AR68</f>
        <v>2400</v>
      </c>
      <c r="U68" s="84"/>
      <c r="V68" s="51"/>
      <c r="W68" s="84"/>
      <c r="X68" s="51"/>
      <c r="Y68" s="84">
        <v>10</v>
      </c>
      <c r="Z68" s="51">
        <f>+Y68*AR68</f>
        <v>400</v>
      </c>
      <c r="AA68" s="84"/>
      <c r="AB68" s="51"/>
      <c r="AC68" s="84"/>
      <c r="AD68" s="51"/>
      <c r="AE68" s="84"/>
      <c r="AF68" s="51"/>
      <c r="AG68" s="84"/>
      <c r="AH68" s="51"/>
      <c r="AI68" s="84"/>
      <c r="AJ68" s="51">
        <f t="shared" si="19"/>
        <v>0</v>
      </c>
      <c r="AK68" s="84"/>
      <c r="AL68" s="51">
        <f t="shared" si="20"/>
        <v>0</v>
      </c>
      <c r="AM68" s="84">
        <v>12</v>
      </c>
      <c r="AN68" s="51">
        <f t="shared" si="8"/>
        <v>480</v>
      </c>
      <c r="AO68" s="84"/>
      <c r="AP68" s="51"/>
      <c r="AQ68" s="84">
        <f t="shared" si="5"/>
        <v>107</v>
      </c>
      <c r="AR68" s="79">
        <v>40</v>
      </c>
      <c r="AS68" s="164">
        <f t="shared" si="21"/>
        <v>4280</v>
      </c>
      <c r="AT68" s="334"/>
      <c r="AU68" s="335"/>
      <c r="AV68" s="335"/>
      <c r="AW68" s="335"/>
      <c r="AX68" s="336"/>
    </row>
    <row r="69" spans="1:50" ht="28.5" hidden="1">
      <c r="A69" s="50">
        <v>57</v>
      </c>
      <c r="B69" s="131" t="s">
        <v>38</v>
      </c>
      <c r="C69" s="53" t="s">
        <v>20</v>
      </c>
      <c r="D69" s="46" t="s">
        <v>187</v>
      </c>
      <c r="E69" s="193" t="s">
        <v>39</v>
      </c>
      <c r="F69" s="118" t="s">
        <v>14</v>
      </c>
      <c r="G69" s="129"/>
      <c r="H69" s="129"/>
      <c r="I69" s="129"/>
      <c r="J69" s="50"/>
      <c r="K69" s="109">
        <v>15</v>
      </c>
      <c r="L69" s="73">
        <f t="shared" si="22"/>
        <v>600</v>
      </c>
      <c r="M69" s="84">
        <v>20</v>
      </c>
      <c r="N69" s="51">
        <f t="shared" si="23"/>
        <v>800</v>
      </c>
      <c r="O69" s="52">
        <v>5</v>
      </c>
      <c r="P69" s="51">
        <f t="shared" si="17"/>
        <v>200</v>
      </c>
      <c r="Q69" s="84">
        <v>50</v>
      </c>
      <c r="R69" s="51">
        <f t="shared" si="18"/>
        <v>2000</v>
      </c>
      <c r="S69" s="52"/>
      <c r="T69" s="51"/>
      <c r="U69" s="84"/>
      <c r="V69" s="51"/>
      <c r="W69" s="84"/>
      <c r="X69" s="51"/>
      <c r="Y69" s="84">
        <v>10</v>
      </c>
      <c r="Z69" s="51">
        <f>+Y69*AR69</f>
        <v>400</v>
      </c>
      <c r="AA69" s="84"/>
      <c r="AB69" s="51"/>
      <c r="AC69" s="84">
        <v>10</v>
      </c>
      <c r="AD69" s="51">
        <f>+AC69*AR69</f>
        <v>400</v>
      </c>
      <c r="AE69" s="84"/>
      <c r="AF69" s="51"/>
      <c r="AG69" s="84"/>
      <c r="AH69" s="51"/>
      <c r="AI69" s="84"/>
      <c r="AJ69" s="51">
        <f t="shared" si="19"/>
        <v>0</v>
      </c>
      <c r="AK69" s="84"/>
      <c r="AL69" s="51">
        <f t="shared" si="20"/>
        <v>0</v>
      </c>
      <c r="AM69" s="84">
        <v>6</v>
      </c>
      <c r="AN69" s="51">
        <f t="shared" si="8"/>
        <v>240</v>
      </c>
      <c r="AO69" s="84"/>
      <c r="AP69" s="51"/>
      <c r="AQ69" s="84">
        <f t="shared" si="5"/>
        <v>116</v>
      </c>
      <c r="AR69" s="79">
        <v>40</v>
      </c>
      <c r="AS69" s="164">
        <f t="shared" si="21"/>
        <v>4640</v>
      </c>
      <c r="AT69" s="334"/>
      <c r="AU69" s="335"/>
      <c r="AV69" s="335"/>
      <c r="AW69" s="335"/>
      <c r="AX69" s="336"/>
    </row>
    <row r="70" spans="1:50" ht="28.5" hidden="1">
      <c r="A70" s="45">
        <v>58</v>
      </c>
      <c r="B70" s="131" t="s">
        <v>334</v>
      </c>
      <c r="C70" s="53" t="s">
        <v>20</v>
      </c>
      <c r="D70" s="46" t="s">
        <v>187</v>
      </c>
      <c r="E70" s="53" t="s">
        <v>325</v>
      </c>
      <c r="F70" s="118" t="s">
        <v>14</v>
      </c>
      <c r="G70" s="50"/>
      <c r="H70" s="51"/>
      <c r="I70" s="51"/>
      <c r="J70" s="51"/>
      <c r="K70" s="109">
        <v>20</v>
      </c>
      <c r="L70" s="73">
        <f t="shared" si="22"/>
        <v>1000</v>
      </c>
      <c r="M70" s="84"/>
      <c r="N70" s="51">
        <f t="shared" si="23"/>
        <v>0</v>
      </c>
      <c r="O70" s="52"/>
      <c r="P70" s="51">
        <f t="shared" si="17"/>
        <v>0</v>
      </c>
      <c r="Q70" s="84"/>
      <c r="R70" s="51">
        <f t="shared" si="18"/>
        <v>0</v>
      </c>
      <c r="S70" s="52"/>
      <c r="T70" s="51"/>
      <c r="U70" s="84"/>
      <c r="V70" s="51"/>
      <c r="W70" s="84"/>
      <c r="X70" s="51"/>
      <c r="Y70" s="84"/>
      <c r="Z70" s="51"/>
      <c r="AA70" s="84"/>
      <c r="AB70" s="51"/>
      <c r="AC70" s="84"/>
      <c r="AD70" s="51"/>
      <c r="AE70" s="84"/>
      <c r="AF70" s="51"/>
      <c r="AG70" s="84"/>
      <c r="AH70" s="51"/>
      <c r="AI70" s="84"/>
      <c r="AJ70" s="51">
        <f t="shared" si="19"/>
        <v>0</v>
      </c>
      <c r="AK70" s="84"/>
      <c r="AL70" s="51">
        <f t="shared" si="20"/>
        <v>0</v>
      </c>
      <c r="AM70" s="84"/>
      <c r="AN70" s="51">
        <f t="shared" si="8"/>
        <v>0</v>
      </c>
      <c r="AO70" s="84"/>
      <c r="AP70" s="51"/>
      <c r="AQ70" s="84">
        <f t="shared" si="5"/>
        <v>20</v>
      </c>
      <c r="AR70" s="79">
        <v>50</v>
      </c>
      <c r="AS70" s="164">
        <f t="shared" si="21"/>
        <v>1000</v>
      </c>
      <c r="AT70" s="375"/>
      <c r="AU70" s="375"/>
      <c r="AV70" s="375"/>
      <c r="AW70" s="375"/>
      <c r="AX70" s="376"/>
    </row>
    <row r="71" spans="1:50" ht="28.5" hidden="1">
      <c r="A71" s="50">
        <v>59</v>
      </c>
      <c r="B71" s="131" t="s">
        <v>388</v>
      </c>
      <c r="C71" s="53" t="s">
        <v>20</v>
      </c>
      <c r="D71" s="46" t="s">
        <v>187</v>
      </c>
      <c r="E71" s="53" t="s">
        <v>387</v>
      </c>
      <c r="F71" s="118" t="s">
        <v>14</v>
      </c>
      <c r="G71" s="50"/>
      <c r="H71" s="51"/>
      <c r="I71" s="51"/>
      <c r="J71" s="51"/>
      <c r="K71" s="109"/>
      <c r="L71" s="73"/>
      <c r="M71" s="84">
        <v>10</v>
      </c>
      <c r="N71" s="51">
        <f t="shared" si="23"/>
        <v>500</v>
      </c>
      <c r="O71" s="52"/>
      <c r="P71" s="51">
        <f t="shared" si="17"/>
        <v>0</v>
      </c>
      <c r="Q71" s="84">
        <v>200</v>
      </c>
      <c r="R71" s="51">
        <f t="shared" si="18"/>
        <v>10000</v>
      </c>
      <c r="S71" s="52"/>
      <c r="T71" s="51"/>
      <c r="U71" s="84"/>
      <c r="V71" s="51"/>
      <c r="W71" s="84">
        <v>30</v>
      </c>
      <c r="X71" s="51">
        <f>+W71*AR71</f>
        <v>1500</v>
      </c>
      <c r="Y71" s="84"/>
      <c r="Z71" s="51"/>
      <c r="AA71" s="84"/>
      <c r="AB71" s="51"/>
      <c r="AC71" s="84"/>
      <c r="AD71" s="51"/>
      <c r="AE71" s="84"/>
      <c r="AF71" s="51"/>
      <c r="AG71" s="84"/>
      <c r="AH71" s="51"/>
      <c r="AI71" s="84">
        <v>12</v>
      </c>
      <c r="AJ71" s="51">
        <f t="shared" si="19"/>
        <v>600</v>
      </c>
      <c r="AK71" s="84"/>
      <c r="AL71" s="51">
        <f t="shared" si="20"/>
        <v>0</v>
      </c>
      <c r="AM71" s="84">
        <v>10</v>
      </c>
      <c r="AN71" s="51">
        <f t="shared" si="8"/>
        <v>500</v>
      </c>
      <c r="AO71" s="84"/>
      <c r="AP71" s="51"/>
      <c r="AQ71" s="84">
        <f t="shared" si="5"/>
        <v>262</v>
      </c>
      <c r="AR71" s="79">
        <v>50</v>
      </c>
      <c r="AS71" s="164">
        <f t="shared" si="21"/>
        <v>13100</v>
      </c>
      <c r="AT71" s="23"/>
      <c r="AU71" s="23"/>
      <c r="AV71" s="23"/>
      <c r="AW71" s="23"/>
      <c r="AX71" s="24"/>
    </row>
    <row r="72" spans="1:50" ht="28.5" hidden="1">
      <c r="A72" s="45">
        <v>60</v>
      </c>
      <c r="B72" s="131" t="s">
        <v>390</v>
      </c>
      <c r="C72" s="53" t="s">
        <v>20</v>
      </c>
      <c r="D72" s="46" t="s">
        <v>187</v>
      </c>
      <c r="E72" s="53" t="s">
        <v>389</v>
      </c>
      <c r="F72" s="118" t="s">
        <v>14</v>
      </c>
      <c r="G72" s="50"/>
      <c r="H72" s="51"/>
      <c r="I72" s="51"/>
      <c r="J72" s="51"/>
      <c r="K72" s="109"/>
      <c r="L72" s="73"/>
      <c r="M72" s="84">
        <v>10</v>
      </c>
      <c r="N72" s="51">
        <f t="shared" si="23"/>
        <v>550</v>
      </c>
      <c r="O72" s="52"/>
      <c r="P72" s="51">
        <f t="shared" si="17"/>
        <v>0</v>
      </c>
      <c r="Q72" s="84">
        <v>100</v>
      </c>
      <c r="R72" s="51">
        <f t="shared" si="18"/>
        <v>5500</v>
      </c>
      <c r="S72" s="52"/>
      <c r="T72" s="51"/>
      <c r="U72" s="84"/>
      <c r="V72" s="51"/>
      <c r="W72" s="84"/>
      <c r="X72" s="51"/>
      <c r="Y72" s="84"/>
      <c r="Z72" s="51"/>
      <c r="AA72" s="84"/>
      <c r="AB72" s="51"/>
      <c r="AC72" s="84">
        <v>20</v>
      </c>
      <c r="AD72" s="51">
        <f>+AC72*AR72</f>
        <v>1100</v>
      </c>
      <c r="AE72" s="84"/>
      <c r="AF72" s="51"/>
      <c r="AG72" s="84"/>
      <c r="AH72" s="51"/>
      <c r="AI72" s="84"/>
      <c r="AJ72" s="51">
        <f t="shared" si="19"/>
        <v>0</v>
      </c>
      <c r="AK72" s="84"/>
      <c r="AL72" s="51">
        <f t="shared" si="20"/>
        <v>0</v>
      </c>
      <c r="AM72" s="84"/>
      <c r="AN72" s="51">
        <f t="shared" si="8"/>
        <v>0</v>
      </c>
      <c r="AO72" s="84"/>
      <c r="AP72" s="51"/>
      <c r="AQ72" s="84">
        <f t="shared" si="5"/>
        <v>130</v>
      </c>
      <c r="AR72" s="79">
        <v>55</v>
      </c>
      <c r="AS72" s="164">
        <f t="shared" si="21"/>
        <v>7150</v>
      </c>
      <c r="AT72" s="23"/>
      <c r="AU72" s="23"/>
      <c r="AV72" s="23"/>
      <c r="AW72" s="23"/>
      <c r="AX72" s="24"/>
    </row>
    <row r="73" spans="1:50" ht="28.5" hidden="1">
      <c r="A73" s="50">
        <v>61</v>
      </c>
      <c r="B73" s="131" t="s">
        <v>335</v>
      </c>
      <c r="C73" s="53" t="s">
        <v>20</v>
      </c>
      <c r="D73" s="46" t="s">
        <v>187</v>
      </c>
      <c r="E73" s="192" t="s">
        <v>326</v>
      </c>
      <c r="F73" s="118" t="s">
        <v>14</v>
      </c>
      <c r="G73" s="50"/>
      <c r="H73" s="50"/>
      <c r="I73" s="50"/>
      <c r="J73" s="50"/>
      <c r="K73" s="109">
        <v>30</v>
      </c>
      <c r="L73" s="73">
        <f>+K73*AR73</f>
        <v>2400</v>
      </c>
      <c r="M73" s="84"/>
      <c r="N73" s="51">
        <f t="shared" si="23"/>
        <v>0</v>
      </c>
      <c r="O73" s="52"/>
      <c r="P73" s="51">
        <f t="shared" si="17"/>
        <v>0</v>
      </c>
      <c r="Q73" s="84"/>
      <c r="R73" s="51">
        <f t="shared" si="18"/>
        <v>0</v>
      </c>
      <c r="S73" s="52"/>
      <c r="T73" s="51"/>
      <c r="U73" s="84"/>
      <c r="V73" s="51"/>
      <c r="W73" s="84"/>
      <c r="X73" s="51"/>
      <c r="Y73" s="84"/>
      <c r="Z73" s="51"/>
      <c r="AA73" s="84"/>
      <c r="AB73" s="51"/>
      <c r="AC73" s="84"/>
      <c r="AD73" s="51"/>
      <c r="AE73" s="84">
        <v>12</v>
      </c>
      <c r="AF73" s="51">
        <f>+AE73*AR73</f>
        <v>960</v>
      </c>
      <c r="AG73" s="84"/>
      <c r="AH73" s="51"/>
      <c r="AI73" s="84"/>
      <c r="AJ73" s="51">
        <f t="shared" si="19"/>
        <v>0</v>
      </c>
      <c r="AK73" s="84">
        <v>50</v>
      </c>
      <c r="AL73" s="51">
        <f t="shared" si="20"/>
        <v>4000</v>
      </c>
      <c r="AM73" s="84">
        <v>10</v>
      </c>
      <c r="AN73" s="51">
        <f t="shared" si="8"/>
        <v>800</v>
      </c>
      <c r="AO73" s="84"/>
      <c r="AP73" s="51"/>
      <c r="AQ73" s="84">
        <f t="shared" si="5"/>
        <v>102</v>
      </c>
      <c r="AR73" s="79">
        <v>80</v>
      </c>
      <c r="AS73" s="164">
        <f t="shared" si="21"/>
        <v>8160</v>
      </c>
      <c r="AT73" s="377"/>
      <c r="AU73" s="377"/>
      <c r="AV73" s="377"/>
      <c r="AW73" s="377"/>
      <c r="AX73" s="378"/>
    </row>
    <row r="74" spans="1:50" ht="28.5" hidden="1">
      <c r="A74" s="45">
        <v>62</v>
      </c>
      <c r="B74" s="131" t="s">
        <v>391</v>
      </c>
      <c r="C74" s="53" t="s">
        <v>20</v>
      </c>
      <c r="D74" s="46" t="s">
        <v>187</v>
      </c>
      <c r="E74" s="192" t="s">
        <v>392</v>
      </c>
      <c r="F74" s="118" t="s">
        <v>14</v>
      </c>
      <c r="G74" s="50"/>
      <c r="H74" s="50"/>
      <c r="I74" s="50"/>
      <c r="J74" s="50"/>
      <c r="K74" s="109"/>
      <c r="L74" s="73"/>
      <c r="M74" s="84">
        <v>3</v>
      </c>
      <c r="N74" s="51">
        <f t="shared" si="23"/>
        <v>240</v>
      </c>
      <c r="O74" s="52"/>
      <c r="P74" s="51">
        <f t="shared" si="17"/>
        <v>0</v>
      </c>
      <c r="Q74" s="84"/>
      <c r="R74" s="51">
        <f t="shared" si="18"/>
        <v>0</v>
      </c>
      <c r="S74" s="52"/>
      <c r="T74" s="51"/>
      <c r="U74" s="84"/>
      <c r="V74" s="51"/>
      <c r="W74" s="84">
        <v>30</v>
      </c>
      <c r="X74" s="51">
        <f>+W74*AR74</f>
        <v>2400</v>
      </c>
      <c r="Y74" s="84"/>
      <c r="Z74" s="51"/>
      <c r="AA74" s="84"/>
      <c r="AB74" s="51"/>
      <c r="AC74" s="84"/>
      <c r="AD74" s="51"/>
      <c r="AE74" s="84">
        <v>10</v>
      </c>
      <c r="AF74" s="51">
        <f>+AE74*AR74</f>
        <v>800</v>
      </c>
      <c r="AG74" s="84"/>
      <c r="AH74" s="51"/>
      <c r="AI74" s="84"/>
      <c r="AJ74" s="51">
        <f t="shared" si="19"/>
        <v>0</v>
      </c>
      <c r="AK74" s="84"/>
      <c r="AL74" s="51">
        <f t="shared" si="20"/>
        <v>0</v>
      </c>
      <c r="AM74" s="84">
        <v>22</v>
      </c>
      <c r="AN74" s="51">
        <f t="shared" si="8"/>
        <v>1760</v>
      </c>
      <c r="AO74" s="84"/>
      <c r="AP74" s="51"/>
      <c r="AQ74" s="84">
        <f t="shared" si="5"/>
        <v>65</v>
      </c>
      <c r="AR74" s="79">
        <v>80</v>
      </c>
      <c r="AS74" s="164">
        <f t="shared" si="21"/>
        <v>5200</v>
      </c>
      <c r="AT74" s="25"/>
      <c r="AU74" s="25"/>
      <c r="AV74" s="25"/>
      <c r="AW74" s="25"/>
      <c r="AX74" s="26"/>
    </row>
    <row r="75" spans="1:50" ht="28.5" hidden="1">
      <c r="A75" s="50">
        <v>63</v>
      </c>
      <c r="B75" s="37" t="s">
        <v>42</v>
      </c>
      <c r="C75" s="60" t="s">
        <v>20</v>
      </c>
      <c r="D75" s="46" t="s">
        <v>187</v>
      </c>
      <c r="E75" s="37" t="s">
        <v>43</v>
      </c>
      <c r="F75" s="33" t="s">
        <v>17</v>
      </c>
      <c r="G75" s="50"/>
      <c r="H75" s="50"/>
      <c r="I75" s="50"/>
      <c r="J75" s="50"/>
      <c r="K75" s="109"/>
      <c r="L75" s="73"/>
      <c r="M75" s="84"/>
      <c r="N75" s="51"/>
      <c r="O75" s="52">
        <v>5</v>
      </c>
      <c r="P75" s="51">
        <f t="shared" si="17"/>
        <v>2400</v>
      </c>
      <c r="Q75" s="84">
        <v>50</v>
      </c>
      <c r="R75" s="51">
        <f t="shared" si="18"/>
        <v>24000</v>
      </c>
      <c r="S75" s="52"/>
      <c r="T75" s="51"/>
      <c r="U75" s="84"/>
      <c r="V75" s="51"/>
      <c r="W75" s="84">
        <v>3</v>
      </c>
      <c r="X75" s="51">
        <f>+W75*AR75</f>
        <v>1440</v>
      </c>
      <c r="Y75" s="84">
        <v>5</v>
      </c>
      <c r="Z75" s="51">
        <f>+Y75*AR75</f>
        <v>2400</v>
      </c>
      <c r="AA75" s="84"/>
      <c r="AB75" s="51"/>
      <c r="AC75" s="84"/>
      <c r="AD75" s="51"/>
      <c r="AE75" s="84"/>
      <c r="AF75" s="51"/>
      <c r="AG75" s="84">
        <v>1</v>
      </c>
      <c r="AH75" s="51">
        <f>+AG75*AR75</f>
        <v>480</v>
      </c>
      <c r="AI75" s="84"/>
      <c r="AJ75" s="51">
        <f t="shared" si="19"/>
        <v>0</v>
      </c>
      <c r="AK75" s="84">
        <v>50</v>
      </c>
      <c r="AL75" s="51">
        <f t="shared" si="20"/>
        <v>24000</v>
      </c>
      <c r="AM75" s="84">
        <v>10</v>
      </c>
      <c r="AN75" s="51">
        <f t="shared" si="8"/>
        <v>4800</v>
      </c>
      <c r="AO75" s="84"/>
      <c r="AP75" s="51"/>
      <c r="AQ75" s="84">
        <f t="shared" ref="AQ75:AQ138" si="24">+AO75+AM75+AK75+AI75+AG75+AE75+AC75+AA75+Y75+W75+U75+S75+Q75+O75+M75+K75+I75+G75</f>
        <v>124</v>
      </c>
      <c r="AR75" s="79">
        <v>480</v>
      </c>
      <c r="AS75" s="164">
        <f t="shared" si="21"/>
        <v>59520</v>
      </c>
      <c r="AT75" s="31"/>
      <c r="AU75" s="31"/>
      <c r="AV75" s="31"/>
      <c r="AW75" s="31"/>
      <c r="AX75" s="32"/>
    </row>
    <row r="76" spans="1:50" ht="14.25" hidden="1">
      <c r="A76" s="45">
        <v>64</v>
      </c>
      <c r="B76" s="131" t="s">
        <v>84</v>
      </c>
      <c r="C76" s="53" t="s">
        <v>20</v>
      </c>
      <c r="D76" s="46" t="s">
        <v>187</v>
      </c>
      <c r="E76" s="53" t="s">
        <v>85</v>
      </c>
      <c r="F76" s="118" t="s">
        <v>14</v>
      </c>
      <c r="G76" s="50"/>
      <c r="H76" s="51"/>
      <c r="I76" s="51"/>
      <c r="J76" s="51"/>
      <c r="K76" s="109">
        <v>4</v>
      </c>
      <c r="L76" s="73">
        <f t="shared" ref="L76:L91" si="25">+K76*AR76</f>
        <v>480</v>
      </c>
      <c r="M76" s="84"/>
      <c r="N76" s="51">
        <f t="shared" si="23"/>
        <v>0</v>
      </c>
      <c r="O76" s="52"/>
      <c r="P76" s="51">
        <f t="shared" si="17"/>
        <v>0</v>
      </c>
      <c r="Q76" s="84"/>
      <c r="R76" s="51">
        <f t="shared" si="18"/>
        <v>0</v>
      </c>
      <c r="S76" s="52"/>
      <c r="T76" s="51"/>
      <c r="U76" s="84"/>
      <c r="V76" s="51"/>
      <c r="W76" s="84"/>
      <c r="X76" s="51"/>
      <c r="Y76" s="84"/>
      <c r="Z76" s="51"/>
      <c r="AA76" s="84"/>
      <c r="AB76" s="51"/>
      <c r="AC76" s="84"/>
      <c r="AD76" s="51"/>
      <c r="AE76" s="84"/>
      <c r="AF76" s="51"/>
      <c r="AG76" s="84"/>
      <c r="AH76" s="51"/>
      <c r="AI76" s="84"/>
      <c r="AJ76" s="51">
        <f t="shared" si="19"/>
        <v>0</v>
      </c>
      <c r="AK76" s="84"/>
      <c r="AL76" s="51">
        <f t="shared" si="20"/>
        <v>0</v>
      </c>
      <c r="AM76" s="84"/>
      <c r="AN76" s="51">
        <f t="shared" si="8"/>
        <v>0</v>
      </c>
      <c r="AO76" s="84"/>
      <c r="AP76" s="51"/>
      <c r="AQ76" s="84">
        <f t="shared" si="24"/>
        <v>4</v>
      </c>
      <c r="AR76" s="79">
        <v>120</v>
      </c>
      <c r="AS76" s="164">
        <f t="shared" si="21"/>
        <v>480</v>
      </c>
      <c r="AT76" s="334"/>
      <c r="AU76" s="335"/>
      <c r="AV76" s="335"/>
      <c r="AW76" s="335"/>
      <c r="AX76" s="336"/>
    </row>
    <row r="77" spans="1:50" ht="28.5" hidden="1">
      <c r="A77" s="50">
        <v>65</v>
      </c>
      <c r="B77" s="131" t="s">
        <v>86</v>
      </c>
      <c r="C77" s="53" t="s">
        <v>20</v>
      </c>
      <c r="D77" s="46" t="s">
        <v>187</v>
      </c>
      <c r="E77" s="192" t="s">
        <v>87</v>
      </c>
      <c r="F77" s="118" t="s">
        <v>17</v>
      </c>
      <c r="G77" s="50"/>
      <c r="H77" s="50"/>
      <c r="I77" s="50"/>
      <c r="J77" s="50"/>
      <c r="K77" s="109">
        <v>15</v>
      </c>
      <c r="L77" s="73">
        <f t="shared" si="25"/>
        <v>1500</v>
      </c>
      <c r="M77" s="84"/>
      <c r="N77" s="51">
        <f t="shared" si="23"/>
        <v>0</v>
      </c>
      <c r="O77" s="52">
        <v>4</v>
      </c>
      <c r="P77" s="51">
        <f t="shared" si="17"/>
        <v>400</v>
      </c>
      <c r="Q77" s="84"/>
      <c r="R77" s="51">
        <f t="shared" si="18"/>
        <v>0</v>
      </c>
      <c r="S77" s="52"/>
      <c r="T77" s="51"/>
      <c r="U77" s="84"/>
      <c r="V77" s="51"/>
      <c r="W77" s="84"/>
      <c r="X77" s="51"/>
      <c r="Y77" s="84"/>
      <c r="Z77" s="51"/>
      <c r="AA77" s="84"/>
      <c r="AB77" s="51"/>
      <c r="AC77" s="84"/>
      <c r="AD77" s="51"/>
      <c r="AE77" s="84"/>
      <c r="AF77" s="51"/>
      <c r="AG77" s="84"/>
      <c r="AH77" s="51"/>
      <c r="AI77" s="84"/>
      <c r="AJ77" s="51">
        <f t="shared" si="19"/>
        <v>0</v>
      </c>
      <c r="AK77" s="84">
        <v>20</v>
      </c>
      <c r="AL77" s="51">
        <f t="shared" si="20"/>
        <v>2000</v>
      </c>
      <c r="AM77" s="84">
        <v>2</v>
      </c>
      <c r="AN77" s="51">
        <f t="shared" si="8"/>
        <v>200</v>
      </c>
      <c r="AO77" s="84"/>
      <c r="AP77" s="51"/>
      <c r="AQ77" s="84">
        <f t="shared" si="24"/>
        <v>41</v>
      </c>
      <c r="AR77" s="79">
        <v>100</v>
      </c>
      <c r="AS77" s="164">
        <f t="shared" si="21"/>
        <v>4100</v>
      </c>
      <c r="AT77" s="334"/>
      <c r="AU77" s="335"/>
      <c r="AV77" s="335"/>
      <c r="AW77" s="335"/>
      <c r="AX77" s="336"/>
    </row>
    <row r="78" spans="1:50" ht="28.5" hidden="1">
      <c r="A78" s="45">
        <v>66</v>
      </c>
      <c r="B78" s="131" t="s">
        <v>88</v>
      </c>
      <c r="C78" s="53" t="s">
        <v>20</v>
      </c>
      <c r="D78" s="46" t="s">
        <v>187</v>
      </c>
      <c r="E78" s="53" t="s">
        <v>89</v>
      </c>
      <c r="F78" s="118" t="s">
        <v>17</v>
      </c>
      <c r="G78" s="50"/>
      <c r="H78" s="51"/>
      <c r="I78" s="51"/>
      <c r="J78" s="51"/>
      <c r="K78" s="109">
        <v>10</v>
      </c>
      <c r="L78" s="73">
        <f t="shared" si="25"/>
        <v>1100</v>
      </c>
      <c r="M78" s="84"/>
      <c r="N78" s="51">
        <f t="shared" si="23"/>
        <v>0</v>
      </c>
      <c r="O78" s="52"/>
      <c r="P78" s="51">
        <f t="shared" si="17"/>
        <v>0</v>
      </c>
      <c r="Q78" s="84"/>
      <c r="R78" s="51">
        <f t="shared" si="18"/>
        <v>0</v>
      </c>
      <c r="S78" s="52"/>
      <c r="T78" s="51"/>
      <c r="U78" s="84"/>
      <c r="V78" s="51"/>
      <c r="W78" s="84"/>
      <c r="X78" s="51"/>
      <c r="Y78" s="84"/>
      <c r="Z78" s="51"/>
      <c r="AA78" s="84"/>
      <c r="AB78" s="51"/>
      <c r="AC78" s="84"/>
      <c r="AD78" s="51"/>
      <c r="AE78" s="84"/>
      <c r="AF78" s="51"/>
      <c r="AG78" s="84"/>
      <c r="AH78" s="51"/>
      <c r="AI78" s="84"/>
      <c r="AJ78" s="51">
        <f t="shared" si="19"/>
        <v>0</v>
      </c>
      <c r="AK78" s="84">
        <v>30</v>
      </c>
      <c r="AL78" s="51">
        <f t="shared" si="20"/>
        <v>3300</v>
      </c>
      <c r="AM78" s="84">
        <v>2</v>
      </c>
      <c r="AN78" s="51">
        <f t="shared" si="8"/>
        <v>220</v>
      </c>
      <c r="AO78" s="84"/>
      <c r="AP78" s="51"/>
      <c r="AQ78" s="84">
        <f t="shared" si="24"/>
        <v>42</v>
      </c>
      <c r="AR78" s="79">
        <v>110</v>
      </c>
      <c r="AS78" s="164">
        <f t="shared" si="21"/>
        <v>4620</v>
      </c>
      <c r="AT78" s="334"/>
      <c r="AU78" s="335"/>
      <c r="AV78" s="335"/>
      <c r="AW78" s="335"/>
      <c r="AX78" s="336"/>
    </row>
    <row r="79" spans="1:50" s="6" customFormat="1" ht="28.5" hidden="1">
      <c r="A79" s="50">
        <v>67</v>
      </c>
      <c r="B79" s="134" t="s">
        <v>90</v>
      </c>
      <c r="C79" s="37" t="s">
        <v>20</v>
      </c>
      <c r="D79" s="46" t="s">
        <v>187</v>
      </c>
      <c r="E79" s="211" t="s">
        <v>91</v>
      </c>
      <c r="F79" s="135" t="s">
        <v>14</v>
      </c>
      <c r="G79" s="34"/>
      <c r="H79" s="34"/>
      <c r="I79" s="34"/>
      <c r="J79" s="34"/>
      <c r="K79" s="208">
        <v>30</v>
      </c>
      <c r="L79" s="77">
        <f t="shared" si="25"/>
        <v>1110</v>
      </c>
      <c r="M79" s="87"/>
      <c r="N79" s="115">
        <f t="shared" si="23"/>
        <v>0</v>
      </c>
      <c r="O79" s="66"/>
      <c r="P79" s="115">
        <f t="shared" si="17"/>
        <v>0</v>
      </c>
      <c r="Q79" s="87"/>
      <c r="R79" s="115">
        <f t="shared" si="18"/>
        <v>0</v>
      </c>
      <c r="S79" s="66"/>
      <c r="T79" s="115"/>
      <c r="U79" s="87"/>
      <c r="V79" s="115"/>
      <c r="W79" s="87"/>
      <c r="X79" s="115"/>
      <c r="Y79" s="87"/>
      <c r="Z79" s="115"/>
      <c r="AA79" s="87"/>
      <c r="AB79" s="115"/>
      <c r="AC79" s="87"/>
      <c r="AD79" s="115"/>
      <c r="AE79" s="87"/>
      <c r="AF79" s="115"/>
      <c r="AG79" s="87"/>
      <c r="AH79" s="115"/>
      <c r="AI79" s="87"/>
      <c r="AJ79" s="115">
        <f t="shared" si="19"/>
        <v>0</v>
      </c>
      <c r="AK79" s="87"/>
      <c r="AL79" s="115">
        <f t="shared" si="20"/>
        <v>0</v>
      </c>
      <c r="AM79" s="87"/>
      <c r="AN79" s="115">
        <f t="shared" si="8"/>
        <v>0</v>
      </c>
      <c r="AO79" s="87"/>
      <c r="AP79" s="115"/>
      <c r="AQ79" s="84">
        <f t="shared" si="24"/>
        <v>30</v>
      </c>
      <c r="AR79" s="209">
        <v>37</v>
      </c>
      <c r="AS79" s="164">
        <f t="shared" si="21"/>
        <v>1110</v>
      </c>
      <c r="AT79" s="346"/>
      <c r="AU79" s="347"/>
      <c r="AV79" s="347"/>
      <c r="AW79" s="347"/>
      <c r="AX79" s="348"/>
    </row>
    <row r="80" spans="1:50" ht="28.5" hidden="1">
      <c r="A80" s="45">
        <v>68</v>
      </c>
      <c r="B80" s="131" t="s">
        <v>336</v>
      </c>
      <c r="C80" s="53" t="s">
        <v>20</v>
      </c>
      <c r="D80" s="46" t="s">
        <v>187</v>
      </c>
      <c r="E80" s="53" t="s">
        <v>327</v>
      </c>
      <c r="F80" s="118" t="s">
        <v>14</v>
      </c>
      <c r="G80" s="50"/>
      <c r="H80" s="51"/>
      <c r="I80" s="51"/>
      <c r="J80" s="51"/>
      <c r="K80" s="109">
        <v>30</v>
      </c>
      <c r="L80" s="73">
        <f t="shared" si="25"/>
        <v>6300</v>
      </c>
      <c r="M80" s="84">
        <v>10</v>
      </c>
      <c r="N80" s="51">
        <f t="shared" si="23"/>
        <v>2100</v>
      </c>
      <c r="O80" s="52">
        <v>15</v>
      </c>
      <c r="P80" s="51">
        <f t="shared" si="17"/>
        <v>3150</v>
      </c>
      <c r="Q80" s="84">
        <v>700</v>
      </c>
      <c r="R80" s="51">
        <f t="shared" si="18"/>
        <v>147000</v>
      </c>
      <c r="S80" s="52"/>
      <c r="T80" s="51"/>
      <c r="U80" s="84"/>
      <c r="V80" s="51"/>
      <c r="W80" s="84">
        <v>30</v>
      </c>
      <c r="X80" s="51">
        <f>+W80*AR80</f>
        <v>6300</v>
      </c>
      <c r="Y80" s="84">
        <v>10</v>
      </c>
      <c r="Z80" s="51">
        <f>+Y80*AR80</f>
        <v>2100</v>
      </c>
      <c r="AA80" s="84">
        <v>20</v>
      </c>
      <c r="AB80" s="51">
        <f>+AA80*AR80</f>
        <v>4200</v>
      </c>
      <c r="AC80" s="84"/>
      <c r="AD80" s="51"/>
      <c r="AE80" s="84"/>
      <c r="AF80" s="51"/>
      <c r="AG80" s="84"/>
      <c r="AH80" s="51"/>
      <c r="AI80" s="84">
        <v>20</v>
      </c>
      <c r="AJ80" s="51">
        <f t="shared" si="19"/>
        <v>4200</v>
      </c>
      <c r="AK80" s="84">
        <v>100</v>
      </c>
      <c r="AL80" s="51">
        <f t="shared" si="20"/>
        <v>21000</v>
      </c>
      <c r="AM80" s="84">
        <v>10</v>
      </c>
      <c r="AN80" s="51">
        <f t="shared" si="8"/>
        <v>2100</v>
      </c>
      <c r="AO80" s="84"/>
      <c r="AP80" s="51"/>
      <c r="AQ80" s="84">
        <f t="shared" si="24"/>
        <v>945</v>
      </c>
      <c r="AR80" s="79">
        <v>210</v>
      </c>
      <c r="AS80" s="164">
        <f t="shared" si="21"/>
        <v>198450</v>
      </c>
      <c r="AT80" s="337"/>
      <c r="AU80" s="337"/>
      <c r="AV80" s="337"/>
      <c r="AW80" s="337"/>
      <c r="AX80" s="338"/>
    </row>
    <row r="81" spans="1:50" ht="28.5" hidden="1">
      <c r="A81" s="50">
        <v>69</v>
      </c>
      <c r="B81" s="67" t="s">
        <v>96</v>
      </c>
      <c r="C81" s="53" t="s">
        <v>20</v>
      </c>
      <c r="D81" s="46" t="s">
        <v>187</v>
      </c>
      <c r="E81" s="192" t="s">
        <v>97</v>
      </c>
      <c r="F81" s="118" t="s">
        <v>14</v>
      </c>
      <c r="G81" s="50"/>
      <c r="H81" s="50"/>
      <c r="I81" s="50"/>
      <c r="J81" s="50"/>
      <c r="K81" s="109">
        <v>5</v>
      </c>
      <c r="L81" s="73">
        <f t="shared" si="25"/>
        <v>650</v>
      </c>
      <c r="M81" s="84"/>
      <c r="N81" s="51">
        <f t="shared" si="23"/>
        <v>0</v>
      </c>
      <c r="O81" s="52"/>
      <c r="P81" s="51">
        <f t="shared" si="17"/>
        <v>0</v>
      </c>
      <c r="Q81" s="84"/>
      <c r="R81" s="51">
        <f t="shared" si="18"/>
        <v>0</v>
      </c>
      <c r="S81" s="52"/>
      <c r="T81" s="51"/>
      <c r="U81" s="84"/>
      <c r="V81" s="51"/>
      <c r="W81" s="84"/>
      <c r="X81" s="51"/>
      <c r="Y81" s="84"/>
      <c r="Z81" s="51"/>
      <c r="AA81" s="84"/>
      <c r="AB81" s="51"/>
      <c r="AC81" s="84"/>
      <c r="AD81" s="51"/>
      <c r="AE81" s="84"/>
      <c r="AF81" s="51"/>
      <c r="AG81" s="84"/>
      <c r="AH81" s="51"/>
      <c r="AI81" s="84"/>
      <c r="AJ81" s="51">
        <f t="shared" si="19"/>
        <v>0</v>
      </c>
      <c r="AK81" s="84"/>
      <c r="AL81" s="51">
        <f t="shared" si="20"/>
        <v>0</v>
      </c>
      <c r="AM81" s="84">
        <v>5</v>
      </c>
      <c r="AN81" s="51">
        <f t="shared" si="8"/>
        <v>650</v>
      </c>
      <c r="AO81" s="84"/>
      <c r="AP81" s="51"/>
      <c r="AQ81" s="84">
        <f t="shared" si="24"/>
        <v>10</v>
      </c>
      <c r="AR81" s="79">
        <v>130</v>
      </c>
      <c r="AS81" s="164">
        <f t="shared" si="21"/>
        <v>1300</v>
      </c>
      <c r="AT81" s="339"/>
      <c r="AU81" s="340"/>
      <c r="AV81" s="340"/>
      <c r="AW81" s="340"/>
      <c r="AX81" s="341"/>
    </row>
    <row r="82" spans="1:50" ht="28.5" hidden="1">
      <c r="A82" s="45">
        <v>70</v>
      </c>
      <c r="B82" s="131" t="s">
        <v>337</v>
      </c>
      <c r="C82" s="53" t="s">
        <v>20</v>
      </c>
      <c r="D82" s="46" t="s">
        <v>187</v>
      </c>
      <c r="E82" s="53" t="s">
        <v>328</v>
      </c>
      <c r="F82" s="118" t="s">
        <v>14</v>
      </c>
      <c r="G82" s="50"/>
      <c r="H82" s="51"/>
      <c r="I82" s="51"/>
      <c r="J82" s="51"/>
      <c r="K82" s="109">
        <v>36</v>
      </c>
      <c r="L82" s="73">
        <f t="shared" si="25"/>
        <v>1152</v>
      </c>
      <c r="M82" s="84">
        <v>100</v>
      </c>
      <c r="N82" s="51">
        <f t="shared" si="23"/>
        <v>3200</v>
      </c>
      <c r="O82" s="52"/>
      <c r="P82" s="51">
        <f t="shared" si="17"/>
        <v>0</v>
      </c>
      <c r="Q82" s="84"/>
      <c r="R82" s="51">
        <f t="shared" si="18"/>
        <v>0</v>
      </c>
      <c r="S82" s="52"/>
      <c r="T82" s="51"/>
      <c r="U82" s="84"/>
      <c r="V82" s="51"/>
      <c r="W82" s="84">
        <v>30</v>
      </c>
      <c r="X82" s="51">
        <f>+W82*AR82</f>
        <v>960</v>
      </c>
      <c r="Y82" s="84"/>
      <c r="Z82" s="51"/>
      <c r="AA82" s="84"/>
      <c r="AB82" s="51"/>
      <c r="AC82" s="84"/>
      <c r="AD82" s="51"/>
      <c r="AE82" s="84">
        <v>30</v>
      </c>
      <c r="AF82" s="51">
        <f>+AE82*AR82</f>
        <v>960</v>
      </c>
      <c r="AG82" s="84"/>
      <c r="AH82" s="51"/>
      <c r="AI82" s="84"/>
      <c r="AJ82" s="51">
        <f t="shared" si="19"/>
        <v>0</v>
      </c>
      <c r="AK82" s="84">
        <v>20</v>
      </c>
      <c r="AL82" s="51">
        <f t="shared" si="20"/>
        <v>640</v>
      </c>
      <c r="AM82" s="84">
        <v>100</v>
      </c>
      <c r="AN82" s="51">
        <f t="shared" si="8"/>
        <v>3200</v>
      </c>
      <c r="AO82" s="84"/>
      <c r="AP82" s="51"/>
      <c r="AQ82" s="84">
        <f t="shared" si="24"/>
        <v>316</v>
      </c>
      <c r="AR82" s="79">
        <v>32</v>
      </c>
      <c r="AS82" s="164">
        <f t="shared" si="21"/>
        <v>10112</v>
      </c>
      <c r="AT82" s="342"/>
      <c r="AU82" s="342"/>
      <c r="AV82" s="342"/>
      <c r="AW82" s="342"/>
      <c r="AX82" s="343"/>
    </row>
    <row r="83" spans="1:50" ht="28.5" hidden="1">
      <c r="A83" s="50">
        <v>71</v>
      </c>
      <c r="B83" s="131" t="s">
        <v>338</v>
      </c>
      <c r="C83" s="53" t="s">
        <v>20</v>
      </c>
      <c r="D83" s="46" t="s">
        <v>187</v>
      </c>
      <c r="E83" s="192" t="s">
        <v>329</v>
      </c>
      <c r="F83" s="118" t="s">
        <v>14</v>
      </c>
      <c r="G83" s="50"/>
      <c r="H83" s="50"/>
      <c r="I83" s="50"/>
      <c r="J83" s="50"/>
      <c r="K83" s="109">
        <v>20</v>
      </c>
      <c r="L83" s="73">
        <f t="shared" si="25"/>
        <v>5000</v>
      </c>
      <c r="M83" s="84">
        <v>100</v>
      </c>
      <c r="N83" s="51">
        <f t="shared" si="23"/>
        <v>25000</v>
      </c>
      <c r="O83" s="52"/>
      <c r="P83" s="51">
        <f t="shared" si="17"/>
        <v>0</v>
      </c>
      <c r="Q83" s="84"/>
      <c r="R83" s="51">
        <f t="shared" si="18"/>
        <v>0</v>
      </c>
      <c r="S83" s="52"/>
      <c r="T83" s="51"/>
      <c r="U83" s="84"/>
      <c r="V83" s="51"/>
      <c r="W83" s="84"/>
      <c r="X83" s="51"/>
      <c r="Y83" s="84"/>
      <c r="Z83" s="51"/>
      <c r="AA83" s="84"/>
      <c r="AB83" s="51"/>
      <c r="AC83" s="84"/>
      <c r="AD83" s="51"/>
      <c r="AE83" s="84"/>
      <c r="AF83" s="51"/>
      <c r="AG83" s="84"/>
      <c r="AH83" s="51"/>
      <c r="AI83" s="84"/>
      <c r="AJ83" s="51">
        <f t="shared" si="19"/>
        <v>0</v>
      </c>
      <c r="AK83" s="84">
        <v>20</v>
      </c>
      <c r="AL83" s="51">
        <f t="shared" si="20"/>
        <v>5000</v>
      </c>
      <c r="AM83" s="84">
        <v>100</v>
      </c>
      <c r="AN83" s="51">
        <f t="shared" si="8"/>
        <v>25000</v>
      </c>
      <c r="AO83" s="84"/>
      <c r="AP83" s="51"/>
      <c r="AQ83" s="84">
        <f t="shared" si="24"/>
        <v>240</v>
      </c>
      <c r="AR83" s="79">
        <v>250</v>
      </c>
      <c r="AS83" s="164">
        <f t="shared" si="21"/>
        <v>60000</v>
      </c>
      <c r="AT83" s="344"/>
      <c r="AU83" s="344"/>
      <c r="AV83" s="344"/>
      <c r="AW83" s="344"/>
      <c r="AX83" s="345"/>
    </row>
    <row r="84" spans="1:50" ht="28.5" hidden="1">
      <c r="A84" s="45">
        <v>72</v>
      </c>
      <c r="B84" s="131" t="s">
        <v>92</v>
      </c>
      <c r="C84" s="53" t="s">
        <v>20</v>
      </c>
      <c r="D84" s="46" t="s">
        <v>187</v>
      </c>
      <c r="E84" s="53" t="s">
        <v>93</v>
      </c>
      <c r="F84" s="118" t="s">
        <v>14</v>
      </c>
      <c r="G84" s="50"/>
      <c r="H84" s="51"/>
      <c r="I84" s="51"/>
      <c r="J84" s="51"/>
      <c r="K84" s="109">
        <v>10</v>
      </c>
      <c r="L84" s="73">
        <f t="shared" si="25"/>
        <v>1450</v>
      </c>
      <c r="M84" s="84"/>
      <c r="N84" s="51">
        <f t="shared" si="23"/>
        <v>0</v>
      </c>
      <c r="O84" s="52"/>
      <c r="P84" s="51">
        <f t="shared" si="17"/>
        <v>0</v>
      </c>
      <c r="Q84" s="84"/>
      <c r="R84" s="51">
        <f t="shared" si="18"/>
        <v>0</v>
      </c>
      <c r="S84" s="52"/>
      <c r="T84" s="51"/>
      <c r="U84" s="84"/>
      <c r="V84" s="51"/>
      <c r="W84" s="84"/>
      <c r="X84" s="51"/>
      <c r="Y84" s="84"/>
      <c r="Z84" s="51"/>
      <c r="AA84" s="84"/>
      <c r="AB84" s="51"/>
      <c r="AC84" s="84"/>
      <c r="AD84" s="51"/>
      <c r="AE84" s="84"/>
      <c r="AF84" s="51"/>
      <c r="AG84" s="84"/>
      <c r="AH84" s="51"/>
      <c r="AI84" s="84"/>
      <c r="AJ84" s="51">
        <f t="shared" si="19"/>
        <v>0</v>
      </c>
      <c r="AK84" s="84"/>
      <c r="AL84" s="51">
        <f t="shared" si="20"/>
        <v>0</v>
      </c>
      <c r="AM84" s="84">
        <v>10</v>
      </c>
      <c r="AN84" s="51">
        <f t="shared" si="8"/>
        <v>1450</v>
      </c>
      <c r="AO84" s="84"/>
      <c r="AP84" s="51"/>
      <c r="AQ84" s="84">
        <f t="shared" si="24"/>
        <v>20</v>
      </c>
      <c r="AR84" s="79">
        <v>145</v>
      </c>
      <c r="AS84" s="164">
        <f t="shared" si="21"/>
        <v>2900</v>
      </c>
      <c r="AT84" s="334"/>
      <c r="AU84" s="335"/>
      <c r="AV84" s="335"/>
      <c r="AW84" s="335"/>
      <c r="AX84" s="336"/>
    </row>
    <row r="85" spans="1:50" ht="28.5" hidden="1">
      <c r="A85" s="50">
        <v>73</v>
      </c>
      <c r="B85" s="131" t="s">
        <v>40</v>
      </c>
      <c r="C85" s="53" t="s">
        <v>20</v>
      </c>
      <c r="D85" s="46" t="s">
        <v>187</v>
      </c>
      <c r="E85" s="192" t="s">
        <v>41</v>
      </c>
      <c r="F85" s="118" t="s">
        <v>17</v>
      </c>
      <c r="G85" s="50"/>
      <c r="H85" s="50"/>
      <c r="I85" s="50"/>
      <c r="J85" s="50"/>
      <c r="K85" s="109">
        <v>30</v>
      </c>
      <c r="L85" s="73">
        <f t="shared" si="25"/>
        <v>1800</v>
      </c>
      <c r="M85" s="84">
        <v>50</v>
      </c>
      <c r="N85" s="51">
        <f t="shared" si="23"/>
        <v>3000</v>
      </c>
      <c r="O85" s="52">
        <v>15</v>
      </c>
      <c r="P85" s="51">
        <f t="shared" si="17"/>
        <v>900</v>
      </c>
      <c r="Q85" s="84"/>
      <c r="R85" s="51">
        <f t="shared" si="18"/>
        <v>0</v>
      </c>
      <c r="S85" s="52">
        <v>50</v>
      </c>
      <c r="T85" s="51">
        <f>+S85*AR85</f>
        <v>3000</v>
      </c>
      <c r="U85" s="84"/>
      <c r="V85" s="51"/>
      <c r="W85" s="84">
        <v>30</v>
      </c>
      <c r="X85" s="51">
        <f>+W85*AR85</f>
        <v>1800</v>
      </c>
      <c r="Y85" s="84">
        <v>15</v>
      </c>
      <c r="Z85" s="51">
        <f>+Y85*AR85</f>
        <v>900</v>
      </c>
      <c r="AA85" s="84"/>
      <c r="AB85" s="51"/>
      <c r="AC85" s="84"/>
      <c r="AD85" s="51"/>
      <c r="AE85" s="84">
        <v>12</v>
      </c>
      <c r="AF85" s="51">
        <f>+AE85*AR85</f>
        <v>720</v>
      </c>
      <c r="AG85" s="84"/>
      <c r="AH85" s="51"/>
      <c r="AI85" s="84">
        <v>20</v>
      </c>
      <c r="AJ85" s="51">
        <f t="shared" si="19"/>
        <v>1200</v>
      </c>
      <c r="AK85" s="84">
        <v>100</v>
      </c>
      <c r="AL85" s="51">
        <f t="shared" si="20"/>
        <v>6000</v>
      </c>
      <c r="AM85" s="84">
        <v>20</v>
      </c>
      <c r="AN85" s="51">
        <f t="shared" si="8"/>
        <v>1200</v>
      </c>
      <c r="AO85" s="84"/>
      <c r="AP85" s="51"/>
      <c r="AQ85" s="84">
        <f t="shared" si="24"/>
        <v>342</v>
      </c>
      <c r="AR85" s="79">
        <v>60</v>
      </c>
      <c r="AS85" s="164">
        <f t="shared" si="21"/>
        <v>20520</v>
      </c>
      <c r="AT85" s="334"/>
      <c r="AU85" s="335"/>
      <c r="AV85" s="335"/>
      <c r="AW85" s="335"/>
      <c r="AX85" s="336"/>
    </row>
    <row r="86" spans="1:50" ht="28.5" hidden="1">
      <c r="A86" s="45">
        <v>74</v>
      </c>
      <c r="B86" s="131" t="s">
        <v>94</v>
      </c>
      <c r="C86" s="53" t="s">
        <v>20</v>
      </c>
      <c r="D86" s="46" t="s">
        <v>187</v>
      </c>
      <c r="E86" s="53" t="s">
        <v>95</v>
      </c>
      <c r="F86" s="118" t="s">
        <v>17</v>
      </c>
      <c r="G86" s="50"/>
      <c r="H86" s="51"/>
      <c r="I86" s="51"/>
      <c r="J86" s="51"/>
      <c r="K86" s="109">
        <v>20</v>
      </c>
      <c r="L86" s="73">
        <f t="shared" si="25"/>
        <v>2400</v>
      </c>
      <c r="M86" s="84"/>
      <c r="N86" s="51">
        <f t="shared" si="23"/>
        <v>0</v>
      </c>
      <c r="O86" s="52"/>
      <c r="P86" s="51">
        <f t="shared" si="17"/>
        <v>0</v>
      </c>
      <c r="Q86" s="84">
        <v>50</v>
      </c>
      <c r="R86" s="51">
        <f t="shared" si="18"/>
        <v>6000</v>
      </c>
      <c r="S86" s="52"/>
      <c r="T86" s="51"/>
      <c r="U86" s="84"/>
      <c r="V86" s="51"/>
      <c r="W86" s="84"/>
      <c r="X86" s="51"/>
      <c r="Y86" s="84"/>
      <c r="Z86" s="51"/>
      <c r="AA86" s="84"/>
      <c r="AB86" s="51"/>
      <c r="AC86" s="84"/>
      <c r="AD86" s="51"/>
      <c r="AE86" s="84"/>
      <c r="AF86" s="51"/>
      <c r="AG86" s="84"/>
      <c r="AH86" s="51"/>
      <c r="AI86" s="84"/>
      <c r="AJ86" s="51">
        <f t="shared" si="19"/>
        <v>0</v>
      </c>
      <c r="AK86" s="84"/>
      <c r="AL86" s="51">
        <f t="shared" si="20"/>
        <v>0</v>
      </c>
      <c r="AM86" s="84">
        <v>13</v>
      </c>
      <c r="AN86" s="51">
        <f t="shared" si="8"/>
        <v>1560</v>
      </c>
      <c r="AO86" s="84"/>
      <c r="AP86" s="51"/>
      <c r="AQ86" s="84">
        <f t="shared" si="24"/>
        <v>83</v>
      </c>
      <c r="AR86" s="79">
        <v>120</v>
      </c>
      <c r="AS86" s="164">
        <f t="shared" si="21"/>
        <v>9960</v>
      </c>
      <c r="AT86" s="334"/>
      <c r="AU86" s="335"/>
      <c r="AV86" s="335"/>
      <c r="AW86" s="335"/>
      <c r="AX86" s="336"/>
    </row>
    <row r="87" spans="1:50" ht="28.5" hidden="1">
      <c r="A87" s="50">
        <v>75</v>
      </c>
      <c r="B87" s="131" t="s">
        <v>1401</v>
      </c>
      <c r="C87" s="53" t="s">
        <v>20</v>
      </c>
      <c r="D87" s="46" t="s">
        <v>187</v>
      </c>
      <c r="E87" s="53" t="s">
        <v>1402</v>
      </c>
      <c r="F87" s="118" t="s">
        <v>17</v>
      </c>
      <c r="G87" s="50"/>
      <c r="H87" s="51"/>
      <c r="I87" s="51"/>
      <c r="J87" s="51"/>
      <c r="K87" s="109">
        <v>20</v>
      </c>
      <c r="L87" s="73">
        <f t="shared" ref="L87" si="26">+K87*AR87</f>
        <v>1576</v>
      </c>
      <c r="M87" s="84"/>
      <c r="N87" s="51">
        <f t="shared" ref="N87" si="27">+M87*AR87</f>
        <v>0</v>
      </c>
      <c r="O87" s="52"/>
      <c r="P87" s="51">
        <f t="shared" ref="P87" si="28">+O87*AR87</f>
        <v>0</v>
      </c>
      <c r="Q87" s="84">
        <v>50</v>
      </c>
      <c r="R87" s="51">
        <f t="shared" ref="R87" si="29">+Q87*AR87</f>
        <v>3940</v>
      </c>
      <c r="S87" s="52"/>
      <c r="T87" s="51"/>
      <c r="U87" s="84"/>
      <c r="V87" s="51"/>
      <c r="W87" s="84"/>
      <c r="X87" s="51"/>
      <c r="Y87" s="84"/>
      <c r="Z87" s="51"/>
      <c r="AA87" s="84"/>
      <c r="AB87" s="51"/>
      <c r="AC87" s="84"/>
      <c r="AD87" s="51"/>
      <c r="AE87" s="84"/>
      <c r="AF87" s="51"/>
      <c r="AG87" s="84"/>
      <c r="AH87" s="51"/>
      <c r="AI87" s="84">
        <v>10</v>
      </c>
      <c r="AJ87" s="51">
        <f t="shared" ref="AJ87" si="30">+AI87*AR87</f>
        <v>788</v>
      </c>
      <c r="AK87" s="84">
        <v>20</v>
      </c>
      <c r="AL87" s="51">
        <f t="shared" si="20"/>
        <v>1576</v>
      </c>
      <c r="AM87" s="84"/>
      <c r="AN87" s="51">
        <f t="shared" si="8"/>
        <v>0</v>
      </c>
      <c r="AO87" s="84"/>
      <c r="AP87" s="51"/>
      <c r="AQ87" s="84">
        <f t="shared" si="24"/>
        <v>100</v>
      </c>
      <c r="AR87" s="79">
        <v>78.8</v>
      </c>
      <c r="AS87" s="164">
        <f t="shared" si="21"/>
        <v>7880</v>
      </c>
      <c r="AT87" s="334"/>
      <c r="AU87" s="335"/>
      <c r="AV87" s="335"/>
      <c r="AW87" s="335"/>
      <c r="AX87" s="336"/>
    </row>
    <row r="88" spans="1:50" ht="28.5" hidden="1">
      <c r="A88" s="45">
        <v>76</v>
      </c>
      <c r="B88" s="131" t="s">
        <v>340</v>
      </c>
      <c r="C88" s="53" t="s">
        <v>20</v>
      </c>
      <c r="D88" s="46" t="s">
        <v>187</v>
      </c>
      <c r="E88" s="192" t="s">
        <v>331</v>
      </c>
      <c r="F88" s="118" t="s">
        <v>17</v>
      </c>
      <c r="G88" s="50"/>
      <c r="H88" s="50"/>
      <c r="I88" s="50"/>
      <c r="J88" s="50"/>
      <c r="K88" s="109">
        <v>2</v>
      </c>
      <c r="L88" s="73">
        <f t="shared" si="25"/>
        <v>300</v>
      </c>
      <c r="M88" s="84">
        <v>1</v>
      </c>
      <c r="N88" s="51">
        <f t="shared" si="23"/>
        <v>150</v>
      </c>
      <c r="O88" s="52">
        <v>5</v>
      </c>
      <c r="P88" s="51">
        <f t="shared" si="17"/>
        <v>750</v>
      </c>
      <c r="Q88" s="84"/>
      <c r="R88" s="51">
        <f t="shared" si="18"/>
        <v>0</v>
      </c>
      <c r="S88" s="52"/>
      <c r="T88" s="51"/>
      <c r="U88" s="84"/>
      <c r="V88" s="51"/>
      <c r="W88" s="84"/>
      <c r="X88" s="51"/>
      <c r="Y88" s="84"/>
      <c r="Z88" s="51"/>
      <c r="AA88" s="84"/>
      <c r="AB88" s="51"/>
      <c r="AC88" s="84"/>
      <c r="AD88" s="51"/>
      <c r="AE88" s="84"/>
      <c r="AF88" s="51"/>
      <c r="AG88" s="84"/>
      <c r="AH88" s="51"/>
      <c r="AI88" s="84"/>
      <c r="AJ88" s="51">
        <f t="shared" si="19"/>
        <v>0</v>
      </c>
      <c r="AK88" s="84"/>
      <c r="AL88" s="51">
        <f t="shared" si="20"/>
        <v>0</v>
      </c>
      <c r="AM88" s="84">
        <v>6</v>
      </c>
      <c r="AN88" s="51">
        <f t="shared" si="8"/>
        <v>900</v>
      </c>
      <c r="AO88" s="84"/>
      <c r="AP88" s="51"/>
      <c r="AQ88" s="84">
        <f t="shared" si="24"/>
        <v>14</v>
      </c>
      <c r="AR88" s="79">
        <v>150</v>
      </c>
      <c r="AS88" s="164">
        <f t="shared" si="21"/>
        <v>2100</v>
      </c>
      <c r="AT88" s="339"/>
      <c r="AU88" s="340"/>
      <c r="AV88" s="340"/>
      <c r="AW88" s="340"/>
      <c r="AX88" s="341"/>
    </row>
    <row r="89" spans="1:50" ht="28.5" hidden="1">
      <c r="A89" s="50">
        <v>77</v>
      </c>
      <c r="B89" s="131" t="s">
        <v>50</v>
      </c>
      <c r="C89" s="53" t="s">
        <v>20</v>
      </c>
      <c r="D89" s="46" t="s">
        <v>187</v>
      </c>
      <c r="E89" s="53" t="s">
        <v>49</v>
      </c>
      <c r="F89" s="118" t="s">
        <v>14</v>
      </c>
      <c r="G89" s="50"/>
      <c r="H89" s="51"/>
      <c r="I89" s="51"/>
      <c r="J89" s="51"/>
      <c r="K89" s="109">
        <v>5</v>
      </c>
      <c r="L89" s="73">
        <f t="shared" si="25"/>
        <v>3500</v>
      </c>
      <c r="M89" s="84">
        <v>3</v>
      </c>
      <c r="N89" s="51">
        <f t="shared" si="23"/>
        <v>2100</v>
      </c>
      <c r="O89" s="52">
        <v>2</v>
      </c>
      <c r="P89" s="51">
        <f t="shared" si="17"/>
        <v>1400</v>
      </c>
      <c r="Q89" s="84">
        <v>3</v>
      </c>
      <c r="R89" s="51">
        <f t="shared" si="18"/>
        <v>2100</v>
      </c>
      <c r="S89" s="52"/>
      <c r="T89" s="51"/>
      <c r="U89" s="84"/>
      <c r="V89" s="51"/>
      <c r="W89" s="84"/>
      <c r="X89" s="51"/>
      <c r="Y89" s="84"/>
      <c r="Z89" s="51"/>
      <c r="AA89" s="84"/>
      <c r="AB89" s="51"/>
      <c r="AC89" s="84"/>
      <c r="AD89" s="51"/>
      <c r="AE89" s="84"/>
      <c r="AF89" s="51"/>
      <c r="AG89" s="84"/>
      <c r="AH89" s="51"/>
      <c r="AI89" s="84"/>
      <c r="AJ89" s="51">
        <f t="shared" si="19"/>
        <v>0</v>
      </c>
      <c r="AK89" s="84">
        <v>5</v>
      </c>
      <c r="AL89" s="51">
        <f t="shared" si="20"/>
        <v>3500</v>
      </c>
      <c r="AM89" s="84">
        <v>3</v>
      </c>
      <c r="AN89" s="51">
        <f t="shared" si="8"/>
        <v>2100</v>
      </c>
      <c r="AO89" s="84"/>
      <c r="AP89" s="51"/>
      <c r="AQ89" s="84">
        <f t="shared" si="24"/>
        <v>21</v>
      </c>
      <c r="AR89" s="79">
        <v>700</v>
      </c>
      <c r="AS89" s="164">
        <f t="shared" si="21"/>
        <v>14700</v>
      </c>
      <c r="AT89" s="334"/>
      <c r="AU89" s="335"/>
      <c r="AV89" s="335"/>
      <c r="AW89" s="335"/>
      <c r="AX89" s="336"/>
    </row>
    <row r="90" spans="1:50" ht="28.5" hidden="1">
      <c r="A90" s="45">
        <v>78</v>
      </c>
      <c r="B90" s="67" t="s">
        <v>341</v>
      </c>
      <c r="C90" s="53" t="s">
        <v>20</v>
      </c>
      <c r="D90" s="46" t="s">
        <v>187</v>
      </c>
      <c r="E90" s="192" t="s">
        <v>332</v>
      </c>
      <c r="F90" s="118" t="s">
        <v>14</v>
      </c>
      <c r="G90" s="50"/>
      <c r="H90" s="50"/>
      <c r="I90" s="50"/>
      <c r="J90" s="50"/>
      <c r="K90" s="109">
        <v>10</v>
      </c>
      <c r="L90" s="73">
        <f t="shared" si="25"/>
        <v>1200</v>
      </c>
      <c r="M90" s="84">
        <v>5</v>
      </c>
      <c r="N90" s="51">
        <f t="shared" si="23"/>
        <v>600</v>
      </c>
      <c r="O90" s="52">
        <v>2</v>
      </c>
      <c r="P90" s="51">
        <f t="shared" si="17"/>
        <v>240</v>
      </c>
      <c r="Q90" s="84"/>
      <c r="R90" s="51">
        <f t="shared" si="18"/>
        <v>0</v>
      </c>
      <c r="S90" s="52"/>
      <c r="T90" s="51"/>
      <c r="U90" s="84"/>
      <c r="V90" s="51"/>
      <c r="W90" s="84"/>
      <c r="X90" s="51"/>
      <c r="Y90" s="84">
        <v>5</v>
      </c>
      <c r="Z90" s="51">
        <f>+Y90*AR90</f>
        <v>600</v>
      </c>
      <c r="AA90" s="84"/>
      <c r="AB90" s="51"/>
      <c r="AC90" s="84"/>
      <c r="AD90" s="51"/>
      <c r="AE90" s="84"/>
      <c r="AF90" s="51"/>
      <c r="AG90" s="84"/>
      <c r="AH90" s="51"/>
      <c r="AI90" s="84"/>
      <c r="AJ90" s="51">
        <f t="shared" si="19"/>
        <v>0</v>
      </c>
      <c r="AK90" s="84">
        <v>15</v>
      </c>
      <c r="AL90" s="51">
        <f t="shared" si="20"/>
        <v>1800</v>
      </c>
      <c r="AM90" s="84">
        <v>5</v>
      </c>
      <c r="AN90" s="51">
        <f t="shared" si="8"/>
        <v>600</v>
      </c>
      <c r="AO90" s="84"/>
      <c r="AP90" s="51"/>
      <c r="AQ90" s="84">
        <f t="shared" si="24"/>
        <v>42</v>
      </c>
      <c r="AR90" s="79">
        <v>120</v>
      </c>
      <c r="AS90" s="164">
        <f t="shared" si="21"/>
        <v>5040</v>
      </c>
      <c r="AT90" s="8"/>
      <c r="AU90" s="7"/>
      <c r="AV90" s="7"/>
      <c r="AW90" s="7"/>
      <c r="AX90" s="9"/>
    </row>
    <row r="91" spans="1:50" ht="28.5" hidden="1">
      <c r="A91" s="50">
        <v>79</v>
      </c>
      <c r="B91" s="67" t="s">
        <v>98</v>
      </c>
      <c r="C91" s="53" t="s">
        <v>20</v>
      </c>
      <c r="D91" s="46" t="s">
        <v>187</v>
      </c>
      <c r="E91" s="192" t="s">
        <v>99</v>
      </c>
      <c r="F91" s="118" t="s">
        <v>14</v>
      </c>
      <c r="G91" s="50"/>
      <c r="H91" s="50"/>
      <c r="I91" s="50"/>
      <c r="J91" s="50"/>
      <c r="K91" s="109">
        <v>2</v>
      </c>
      <c r="L91" s="73">
        <f t="shared" si="25"/>
        <v>3900</v>
      </c>
      <c r="M91" s="84"/>
      <c r="N91" s="51">
        <f t="shared" si="23"/>
        <v>0</v>
      </c>
      <c r="O91" s="52"/>
      <c r="P91" s="51">
        <f t="shared" si="17"/>
        <v>0</v>
      </c>
      <c r="Q91" s="84"/>
      <c r="R91" s="51">
        <f t="shared" si="18"/>
        <v>0</v>
      </c>
      <c r="S91" s="52"/>
      <c r="T91" s="51"/>
      <c r="U91" s="84"/>
      <c r="V91" s="51"/>
      <c r="W91" s="84"/>
      <c r="X91" s="51"/>
      <c r="Y91" s="84"/>
      <c r="Z91" s="51"/>
      <c r="AA91" s="84"/>
      <c r="AB91" s="51"/>
      <c r="AC91" s="84"/>
      <c r="AD91" s="51"/>
      <c r="AE91" s="84"/>
      <c r="AF91" s="51"/>
      <c r="AG91" s="84"/>
      <c r="AH91" s="51"/>
      <c r="AI91" s="84"/>
      <c r="AJ91" s="51">
        <f t="shared" si="19"/>
        <v>0</v>
      </c>
      <c r="AK91" s="84"/>
      <c r="AL91" s="51">
        <f t="shared" si="20"/>
        <v>0</v>
      </c>
      <c r="AM91" s="84"/>
      <c r="AN91" s="51">
        <f t="shared" si="8"/>
        <v>0</v>
      </c>
      <c r="AO91" s="84"/>
      <c r="AP91" s="51"/>
      <c r="AQ91" s="84">
        <f t="shared" si="24"/>
        <v>2</v>
      </c>
      <c r="AR91" s="79">
        <v>1950</v>
      </c>
      <c r="AS91" s="164">
        <f t="shared" si="21"/>
        <v>3900</v>
      </c>
      <c r="AT91" s="334"/>
      <c r="AU91" s="335"/>
      <c r="AV91" s="335"/>
      <c r="AW91" s="335"/>
      <c r="AX91" s="336"/>
    </row>
    <row r="92" spans="1:50" ht="28.5" hidden="1">
      <c r="A92" s="45">
        <v>80</v>
      </c>
      <c r="B92" s="46" t="s">
        <v>394</v>
      </c>
      <c r="C92" s="53" t="s">
        <v>20</v>
      </c>
      <c r="D92" s="46" t="s">
        <v>187</v>
      </c>
      <c r="E92" s="53" t="s">
        <v>393</v>
      </c>
      <c r="F92" s="118" t="s">
        <v>14</v>
      </c>
      <c r="G92" s="50"/>
      <c r="H92" s="51"/>
      <c r="I92" s="51"/>
      <c r="J92" s="51"/>
      <c r="K92" s="52"/>
      <c r="L92" s="73"/>
      <c r="M92" s="84">
        <v>2</v>
      </c>
      <c r="N92" s="51">
        <f t="shared" si="23"/>
        <v>780</v>
      </c>
      <c r="O92" s="52">
        <v>1</v>
      </c>
      <c r="P92" s="51">
        <f t="shared" si="17"/>
        <v>390</v>
      </c>
      <c r="Q92" s="84"/>
      <c r="R92" s="51">
        <f t="shared" si="18"/>
        <v>0</v>
      </c>
      <c r="S92" s="52"/>
      <c r="T92" s="51"/>
      <c r="U92" s="84"/>
      <c r="V92" s="51"/>
      <c r="W92" s="84"/>
      <c r="X92" s="51"/>
      <c r="Y92" s="84">
        <v>3</v>
      </c>
      <c r="Z92" s="51">
        <f>+Y92*AR92</f>
        <v>1170</v>
      </c>
      <c r="AA92" s="84"/>
      <c r="AB92" s="51"/>
      <c r="AC92" s="84"/>
      <c r="AD92" s="51"/>
      <c r="AE92" s="84"/>
      <c r="AF92" s="51"/>
      <c r="AG92" s="84"/>
      <c r="AH92" s="51"/>
      <c r="AI92" s="84"/>
      <c r="AJ92" s="51">
        <f t="shared" si="19"/>
        <v>0</v>
      </c>
      <c r="AK92" s="84"/>
      <c r="AL92" s="51">
        <f t="shared" si="20"/>
        <v>0</v>
      </c>
      <c r="AM92" s="84"/>
      <c r="AN92" s="51">
        <f t="shared" si="8"/>
        <v>0</v>
      </c>
      <c r="AO92" s="84"/>
      <c r="AP92" s="51"/>
      <c r="AQ92" s="84">
        <f t="shared" si="24"/>
        <v>6</v>
      </c>
      <c r="AR92" s="163">
        <v>390</v>
      </c>
      <c r="AS92" s="164">
        <f t="shared" si="21"/>
        <v>2340</v>
      </c>
    </row>
    <row r="93" spans="1:50" ht="14.25" hidden="1">
      <c r="A93" s="50">
        <v>81</v>
      </c>
      <c r="B93" s="71" t="s">
        <v>24</v>
      </c>
      <c r="C93" s="53" t="s">
        <v>20</v>
      </c>
      <c r="D93" s="46" t="s">
        <v>187</v>
      </c>
      <c r="E93" s="192" t="s">
        <v>25</v>
      </c>
      <c r="F93" s="118" t="s">
        <v>14</v>
      </c>
      <c r="G93" s="50"/>
      <c r="H93" s="50"/>
      <c r="I93" s="50"/>
      <c r="J93" s="50"/>
      <c r="K93" s="52"/>
      <c r="L93" s="73">
        <f>+K93*AR93</f>
        <v>0</v>
      </c>
      <c r="M93" s="84">
        <v>1</v>
      </c>
      <c r="N93" s="51">
        <f t="shared" si="23"/>
        <v>300</v>
      </c>
      <c r="O93" s="52">
        <v>1</v>
      </c>
      <c r="P93" s="51">
        <f t="shared" si="17"/>
        <v>300</v>
      </c>
      <c r="Q93" s="84"/>
      <c r="R93" s="51">
        <f t="shared" si="18"/>
        <v>0</v>
      </c>
      <c r="S93" s="52"/>
      <c r="T93" s="51"/>
      <c r="U93" s="84"/>
      <c r="V93" s="51"/>
      <c r="W93" s="84"/>
      <c r="X93" s="51"/>
      <c r="Y93" s="84"/>
      <c r="Z93" s="51"/>
      <c r="AA93" s="84"/>
      <c r="AB93" s="51"/>
      <c r="AC93" s="84"/>
      <c r="AD93" s="51"/>
      <c r="AE93" s="84"/>
      <c r="AF93" s="51"/>
      <c r="AG93" s="84"/>
      <c r="AH93" s="51"/>
      <c r="AI93" s="84"/>
      <c r="AJ93" s="51">
        <f t="shared" si="19"/>
        <v>0</v>
      </c>
      <c r="AK93" s="84"/>
      <c r="AL93" s="51">
        <f t="shared" si="20"/>
        <v>0</v>
      </c>
      <c r="AM93" s="84"/>
      <c r="AN93" s="51">
        <f t="shared" si="8"/>
        <v>0</v>
      </c>
      <c r="AO93" s="84"/>
      <c r="AP93" s="51"/>
      <c r="AQ93" s="84">
        <f t="shared" si="24"/>
        <v>2</v>
      </c>
      <c r="AR93" s="161">
        <v>300</v>
      </c>
      <c r="AS93" s="164">
        <f t="shared" si="21"/>
        <v>600</v>
      </c>
    </row>
    <row r="94" spans="1:50" ht="28.5" hidden="1">
      <c r="A94" s="45">
        <v>82</v>
      </c>
      <c r="B94" s="46" t="s">
        <v>26</v>
      </c>
      <c r="C94" s="53" t="s">
        <v>20</v>
      </c>
      <c r="D94" s="46" t="s">
        <v>187</v>
      </c>
      <c r="E94" s="53" t="s">
        <v>27</v>
      </c>
      <c r="F94" s="118" t="s">
        <v>14</v>
      </c>
      <c r="G94" s="50"/>
      <c r="H94" s="51"/>
      <c r="I94" s="51"/>
      <c r="J94" s="51"/>
      <c r="K94" s="52"/>
      <c r="L94" s="73"/>
      <c r="M94" s="84">
        <v>2</v>
      </c>
      <c r="N94" s="51">
        <f t="shared" si="23"/>
        <v>800</v>
      </c>
      <c r="O94" s="52">
        <v>1</v>
      </c>
      <c r="P94" s="51">
        <f t="shared" si="17"/>
        <v>400</v>
      </c>
      <c r="Q94" s="84"/>
      <c r="R94" s="51">
        <f t="shared" si="18"/>
        <v>0</v>
      </c>
      <c r="S94" s="52"/>
      <c r="T94" s="51"/>
      <c r="U94" s="84"/>
      <c r="V94" s="51"/>
      <c r="W94" s="84"/>
      <c r="X94" s="51"/>
      <c r="Y94" s="84"/>
      <c r="Z94" s="51"/>
      <c r="AA94" s="84"/>
      <c r="AB94" s="51"/>
      <c r="AC94" s="84"/>
      <c r="AD94" s="51"/>
      <c r="AE94" s="84"/>
      <c r="AF94" s="51"/>
      <c r="AG94" s="84"/>
      <c r="AH94" s="51"/>
      <c r="AI94" s="84"/>
      <c r="AJ94" s="51">
        <f t="shared" si="19"/>
        <v>0</v>
      </c>
      <c r="AK94" s="84"/>
      <c r="AL94" s="51">
        <f t="shared" si="20"/>
        <v>0</v>
      </c>
      <c r="AM94" s="84"/>
      <c r="AN94" s="51">
        <f t="shared" si="8"/>
        <v>0</v>
      </c>
      <c r="AO94" s="84"/>
      <c r="AP94" s="51"/>
      <c r="AQ94" s="84">
        <f t="shared" si="24"/>
        <v>3</v>
      </c>
      <c r="AR94" s="163">
        <v>400</v>
      </c>
      <c r="AS94" s="164">
        <f t="shared" si="21"/>
        <v>1200</v>
      </c>
    </row>
    <row r="95" spans="1:50" ht="14.25" hidden="1">
      <c r="A95" s="50">
        <v>83</v>
      </c>
      <c r="B95" s="71" t="s">
        <v>22</v>
      </c>
      <c r="C95" s="53" t="s">
        <v>20</v>
      </c>
      <c r="D95" s="46" t="s">
        <v>187</v>
      </c>
      <c r="E95" s="192" t="s">
        <v>23</v>
      </c>
      <c r="F95" s="118" t="s">
        <v>14</v>
      </c>
      <c r="G95" s="50"/>
      <c r="H95" s="50"/>
      <c r="I95" s="50"/>
      <c r="J95" s="50"/>
      <c r="K95" s="52"/>
      <c r="L95" s="73">
        <f>+K95*AR95</f>
        <v>0</v>
      </c>
      <c r="M95" s="84">
        <v>10</v>
      </c>
      <c r="N95" s="51">
        <f t="shared" si="23"/>
        <v>7000</v>
      </c>
      <c r="O95" s="52">
        <v>10</v>
      </c>
      <c r="P95" s="51">
        <f t="shared" si="17"/>
        <v>7000</v>
      </c>
      <c r="Q95" s="84"/>
      <c r="R95" s="51">
        <f t="shared" si="18"/>
        <v>0</v>
      </c>
      <c r="S95" s="52"/>
      <c r="T95" s="51"/>
      <c r="U95" s="84"/>
      <c r="V95" s="51"/>
      <c r="W95" s="84"/>
      <c r="X95" s="51"/>
      <c r="Y95" s="84"/>
      <c r="Z95" s="51"/>
      <c r="AA95" s="84"/>
      <c r="AB95" s="51"/>
      <c r="AC95" s="84">
        <v>20</v>
      </c>
      <c r="AD95" s="51">
        <f>+AC95*AR95</f>
        <v>14000</v>
      </c>
      <c r="AE95" s="84"/>
      <c r="AF95" s="51"/>
      <c r="AG95" s="84"/>
      <c r="AH95" s="51"/>
      <c r="AI95" s="84"/>
      <c r="AJ95" s="51">
        <f t="shared" si="19"/>
        <v>0</v>
      </c>
      <c r="AK95" s="84">
        <v>20</v>
      </c>
      <c r="AL95" s="51">
        <f t="shared" si="20"/>
        <v>14000</v>
      </c>
      <c r="AM95" s="84">
        <v>12</v>
      </c>
      <c r="AN95" s="51">
        <f t="shared" si="8"/>
        <v>8400</v>
      </c>
      <c r="AO95" s="84"/>
      <c r="AP95" s="51"/>
      <c r="AQ95" s="84">
        <f t="shared" si="24"/>
        <v>72</v>
      </c>
      <c r="AR95" s="161">
        <v>700</v>
      </c>
      <c r="AS95" s="164">
        <f t="shared" si="21"/>
        <v>50400</v>
      </c>
    </row>
    <row r="96" spans="1:50" ht="14.25" hidden="1">
      <c r="A96" s="45">
        <v>84</v>
      </c>
      <c r="B96" s="71" t="s">
        <v>404</v>
      </c>
      <c r="C96" s="53" t="s">
        <v>20</v>
      </c>
      <c r="D96" s="46" t="s">
        <v>187</v>
      </c>
      <c r="E96" s="192" t="s">
        <v>403</v>
      </c>
      <c r="F96" s="118" t="s">
        <v>14</v>
      </c>
      <c r="G96" s="50"/>
      <c r="H96" s="50"/>
      <c r="I96" s="50"/>
      <c r="J96" s="50"/>
      <c r="K96" s="52"/>
      <c r="L96" s="73"/>
      <c r="M96" s="84">
        <v>3</v>
      </c>
      <c r="N96" s="51">
        <f t="shared" si="23"/>
        <v>900</v>
      </c>
      <c r="O96" s="52"/>
      <c r="P96" s="51">
        <f t="shared" si="17"/>
        <v>0</v>
      </c>
      <c r="Q96" s="84"/>
      <c r="R96" s="51">
        <f t="shared" si="18"/>
        <v>0</v>
      </c>
      <c r="S96" s="52"/>
      <c r="T96" s="51"/>
      <c r="U96" s="84"/>
      <c r="V96" s="51"/>
      <c r="W96" s="84"/>
      <c r="X96" s="51"/>
      <c r="Y96" s="84"/>
      <c r="Z96" s="51"/>
      <c r="AA96" s="84"/>
      <c r="AB96" s="51"/>
      <c r="AC96" s="84"/>
      <c r="AD96" s="51"/>
      <c r="AE96" s="84"/>
      <c r="AF96" s="51"/>
      <c r="AG96" s="84"/>
      <c r="AH96" s="51"/>
      <c r="AI96" s="84"/>
      <c r="AJ96" s="51">
        <f t="shared" si="19"/>
        <v>0</v>
      </c>
      <c r="AK96" s="84"/>
      <c r="AL96" s="51">
        <f t="shared" si="20"/>
        <v>0</v>
      </c>
      <c r="AM96" s="84">
        <v>3</v>
      </c>
      <c r="AN96" s="51">
        <f t="shared" ref="AN96:AN142" si="31">+AM96*AR96</f>
        <v>900</v>
      </c>
      <c r="AO96" s="84"/>
      <c r="AP96" s="51"/>
      <c r="AQ96" s="84">
        <f t="shared" si="24"/>
        <v>6</v>
      </c>
      <c r="AR96" s="161">
        <v>300</v>
      </c>
      <c r="AS96" s="164">
        <f t="shared" si="21"/>
        <v>1800</v>
      </c>
    </row>
    <row r="97" spans="1:45" ht="14.25" hidden="1">
      <c r="A97" s="50">
        <v>85</v>
      </c>
      <c r="B97" s="71" t="s">
        <v>405</v>
      </c>
      <c r="C97" s="53" t="s">
        <v>20</v>
      </c>
      <c r="D97" s="46" t="s">
        <v>187</v>
      </c>
      <c r="E97" s="192" t="s">
        <v>406</v>
      </c>
      <c r="F97" s="118" t="s">
        <v>14</v>
      </c>
      <c r="G97" s="50"/>
      <c r="H97" s="50"/>
      <c r="I97" s="50"/>
      <c r="J97" s="50"/>
      <c r="K97" s="52"/>
      <c r="L97" s="73"/>
      <c r="M97" s="84">
        <v>20</v>
      </c>
      <c r="N97" s="51">
        <f t="shared" si="23"/>
        <v>4000</v>
      </c>
      <c r="O97" s="52"/>
      <c r="P97" s="51">
        <f t="shared" si="17"/>
        <v>0</v>
      </c>
      <c r="Q97" s="84"/>
      <c r="R97" s="51">
        <f t="shared" si="18"/>
        <v>0</v>
      </c>
      <c r="S97" s="52">
        <v>20</v>
      </c>
      <c r="T97" s="51">
        <f>+S97*AR97</f>
        <v>4000</v>
      </c>
      <c r="U97" s="84"/>
      <c r="V97" s="51"/>
      <c r="W97" s="84"/>
      <c r="X97" s="51"/>
      <c r="Y97" s="84"/>
      <c r="Z97" s="51"/>
      <c r="AA97" s="84">
        <v>50</v>
      </c>
      <c r="AB97" s="51">
        <f>+AA97*AR97</f>
        <v>10000</v>
      </c>
      <c r="AC97" s="84"/>
      <c r="AD97" s="51"/>
      <c r="AE97" s="84"/>
      <c r="AF97" s="51"/>
      <c r="AG97" s="84"/>
      <c r="AH97" s="51"/>
      <c r="AI97" s="84"/>
      <c r="AJ97" s="51">
        <f t="shared" si="19"/>
        <v>0</v>
      </c>
      <c r="AK97" s="84">
        <v>50</v>
      </c>
      <c r="AL97" s="51">
        <f t="shared" si="20"/>
        <v>10000</v>
      </c>
      <c r="AM97" s="84">
        <v>70</v>
      </c>
      <c r="AN97" s="51">
        <f t="shared" si="31"/>
        <v>14000</v>
      </c>
      <c r="AO97" s="84"/>
      <c r="AP97" s="51"/>
      <c r="AQ97" s="84">
        <f t="shared" si="24"/>
        <v>210</v>
      </c>
      <c r="AR97" s="161">
        <v>200</v>
      </c>
      <c r="AS97" s="164">
        <f t="shared" si="21"/>
        <v>42000</v>
      </c>
    </row>
    <row r="98" spans="1:45" ht="28.5" hidden="1">
      <c r="A98" s="45">
        <v>86</v>
      </c>
      <c r="B98" s="53" t="s">
        <v>411</v>
      </c>
      <c r="C98" s="53" t="s">
        <v>20</v>
      </c>
      <c r="D98" s="46" t="s">
        <v>187</v>
      </c>
      <c r="E98" s="53" t="s">
        <v>410</v>
      </c>
      <c r="F98" s="53" t="s">
        <v>12</v>
      </c>
      <c r="G98" s="50"/>
      <c r="H98" s="50"/>
      <c r="I98" s="50"/>
      <c r="J98" s="50"/>
      <c r="K98" s="52"/>
      <c r="L98" s="73"/>
      <c r="M98" s="85">
        <v>20</v>
      </c>
      <c r="N98" s="51">
        <f t="shared" si="23"/>
        <v>5200</v>
      </c>
      <c r="O98" s="52"/>
      <c r="P98" s="51">
        <f t="shared" si="17"/>
        <v>0</v>
      </c>
      <c r="Q98" s="84"/>
      <c r="R98" s="51">
        <f t="shared" si="18"/>
        <v>0</v>
      </c>
      <c r="S98" s="52"/>
      <c r="T98" s="51"/>
      <c r="U98" s="84"/>
      <c r="V98" s="51"/>
      <c r="W98" s="84"/>
      <c r="X98" s="51"/>
      <c r="Y98" s="84"/>
      <c r="Z98" s="51"/>
      <c r="AA98" s="84">
        <v>30</v>
      </c>
      <c r="AB98" s="51">
        <f>+AA98*AR98</f>
        <v>7800</v>
      </c>
      <c r="AC98" s="84"/>
      <c r="AD98" s="51"/>
      <c r="AE98" s="84">
        <v>10</v>
      </c>
      <c r="AF98" s="51">
        <f>+AE98*AR98</f>
        <v>2600</v>
      </c>
      <c r="AG98" s="84"/>
      <c r="AH98" s="51"/>
      <c r="AI98" s="84"/>
      <c r="AJ98" s="51">
        <f t="shared" si="19"/>
        <v>0</v>
      </c>
      <c r="AK98" s="84">
        <v>50</v>
      </c>
      <c r="AL98" s="51">
        <f t="shared" si="20"/>
        <v>13000</v>
      </c>
      <c r="AM98" s="84">
        <v>30</v>
      </c>
      <c r="AN98" s="51">
        <f t="shared" si="31"/>
        <v>7800</v>
      </c>
      <c r="AO98" s="84"/>
      <c r="AP98" s="51"/>
      <c r="AQ98" s="84">
        <f t="shared" si="24"/>
        <v>140</v>
      </c>
      <c r="AR98" s="167">
        <v>260</v>
      </c>
      <c r="AS98" s="164">
        <f t="shared" si="21"/>
        <v>36400</v>
      </c>
    </row>
    <row r="99" spans="1:45" ht="28.5" hidden="1">
      <c r="A99" s="50">
        <v>87</v>
      </c>
      <c r="B99" s="194" t="s">
        <v>418</v>
      </c>
      <c r="C99" s="53" t="s">
        <v>20</v>
      </c>
      <c r="D99" s="46" t="s">
        <v>187</v>
      </c>
      <c r="E99" s="53" t="s">
        <v>416</v>
      </c>
      <c r="F99" s="33" t="s">
        <v>17</v>
      </c>
      <c r="G99" s="50"/>
      <c r="H99" s="50"/>
      <c r="I99" s="50"/>
      <c r="J99" s="50"/>
      <c r="K99" s="52"/>
      <c r="L99" s="73"/>
      <c r="M99" s="86">
        <v>10</v>
      </c>
      <c r="N99" s="51">
        <f t="shared" si="23"/>
        <v>480</v>
      </c>
      <c r="O99" s="52"/>
      <c r="P99" s="51">
        <f t="shared" si="17"/>
        <v>0</v>
      </c>
      <c r="Q99" s="84"/>
      <c r="R99" s="51">
        <f t="shared" si="18"/>
        <v>0</v>
      </c>
      <c r="S99" s="52"/>
      <c r="T99" s="51"/>
      <c r="U99" s="84"/>
      <c r="V99" s="51"/>
      <c r="W99" s="84">
        <v>3</v>
      </c>
      <c r="X99" s="51">
        <f>+W99*AR99</f>
        <v>144</v>
      </c>
      <c r="Y99" s="84"/>
      <c r="Z99" s="51"/>
      <c r="AA99" s="84"/>
      <c r="AB99" s="51"/>
      <c r="AC99" s="84"/>
      <c r="AD99" s="51"/>
      <c r="AE99" s="84"/>
      <c r="AF99" s="51"/>
      <c r="AG99" s="84"/>
      <c r="AH99" s="51"/>
      <c r="AI99" s="84"/>
      <c r="AJ99" s="51">
        <f t="shared" si="19"/>
        <v>0</v>
      </c>
      <c r="AK99" s="84">
        <v>30</v>
      </c>
      <c r="AL99" s="51">
        <f t="shared" si="20"/>
        <v>1440</v>
      </c>
      <c r="AM99" s="84">
        <v>28</v>
      </c>
      <c r="AN99" s="51">
        <f t="shared" si="31"/>
        <v>1344</v>
      </c>
      <c r="AO99" s="84"/>
      <c r="AP99" s="51"/>
      <c r="AQ99" s="84">
        <f t="shared" si="24"/>
        <v>71</v>
      </c>
      <c r="AR99" s="168">
        <v>48</v>
      </c>
      <c r="AS99" s="164">
        <f t="shared" si="21"/>
        <v>3408</v>
      </c>
    </row>
    <row r="100" spans="1:45" ht="28.5" hidden="1">
      <c r="A100" s="45">
        <v>88</v>
      </c>
      <c r="B100" s="192" t="s">
        <v>420</v>
      </c>
      <c r="C100" s="45" t="s">
        <v>20</v>
      </c>
      <c r="D100" s="46" t="s">
        <v>187</v>
      </c>
      <c r="E100" s="53" t="s">
        <v>421</v>
      </c>
      <c r="F100" s="33" t="s">
        <v>71</v>
      </c>
      <c r="G100" s="50"/>
      <c r="H100" s="50"/>
      <c r="I100" s="50"/>
      <c r="J100" s="50"/>
      <c r="K100" s="52"/>
      <c r="L100" s="73"/>
      <c r="M100" s="86">
        <v>10</v>
      </c>
      <c r="N100" s="51">
        <f t="shared" si="23"/>
        <v>3500</v>
      </c>
      <c r="O100" s="52">
        <v>10</v>
      </c>
      <c r="P100" s="51">
        <f t="shared" si="17"/>
        <v>3500</v>
      </c>
      <c r="Q100" s="84"/>
      <c r="R100" s="51">
        <f t="shared" si="18"/>
        <v>0</v>
      </c>
      <c r="S100" s="52"/>
      <c r="T100" s="51"/>
      <c r="U100" s="84"/>
      <c r="V100" s="51"/>
      <c r="W100" s="84"/>
      <c r="X100" s="51"/>
      <c r="Y100" s="84"/>
      <c r="Z100" s="51"/>
      <c r="AA100" s="84">
        <v>50</v>
      </c>
      <c r="AB100" s="51">
        <f>+AA100*AR100</f>
        <v>17500</v>
      </c>
      <c r="AC100" s="84">
        <v>30</v>
      </c>
      <c r="AD100" s="51">
        <f>+AC100*AR100</f>
        <v>10500</v>
      </c>
      <c r="AE100" s="84">
        <v>1</v>
      </c>
      <c r="AF100" s="51">
        <f>+AE100*AR100</f>
        <v>350</v>
      </c>
      <c r="AG100" s="84">
        <v>5</v>
      </c>
      <c r="AH100" s="51">
        <f>+AG100*AR100</f>
        <v>1750</v>
      </c>
      <c r="AI100" s="84"/>
      <c r="AJ100" s="51">
        <f t="shared" si="19"/>
        <v>0</v>
      </c>
      <c r="AK100" s="84">
        <v>20</v>
      </c>
      <c r="AL100" s="51">
        <f t="shared" si="20"/>
        <v>7000</v>
      </c>
      <c r="AM100" s="84">
        <v>70</v>
      </c>
      <c r="AN100" s="51">
        <f t="shared" si="31"/>
        <v>24500</v>
      </c>
      <c r="AO100" s="84"/>
      <c r="AP100" s="51"/>
      <c r="AQ100" s="84">
        <f t="shared" si="24"/>
        <v>196</v>
      </c>
      <c r="AR100" s="168">
        <v>350</v>
      </c>
      <c r="AS100" s="164">
        <f t="shared" si="21"/>
        <v>68600</v>
      </c>
    </row>
    <row r="101" spans="1:45" ht="28.5" hidden="1">
      <c r="A101" s="50">
        <v>89</v>
      </c>
      <c r="B101" s="192" t="s">
        <v>422</v>
      </c>
      <c r="C101" s="45" t="s">
        <v>20</v>
      </c>
      <c r="D101" s="46" t="s">
        <v>187</v>
      </c>
      <c r="E101" s="53" t="s">
        <v>423</v>
      </c>
      <c r="F101" s="33" t="s">
        <v>71</v>
      </c>
      <c r="G101" s="50"/>
      <c r="H101" s="50"/>
      <c r="I101" s="50"/>
      <c r="J101" s="50"/>
      <c r="K101" s="52"/>
      <c r="L101" s="73"/>
      <c r="M101" s="86">
        <v>14</v>
      </c>
      <c r="N101" s="51">
        <f t="shared" si="23"/>
        <v>5460</v>
      </c>
      <c r="O101" s="52">
        <v>10</v>
      </c>
      <c r="P101" s="51">
        <f t="shared" si="17"/>
        <v>3900</v>
      </c>
      <c r="Q101" s="84"/>
      <c r="R101" s="51">
        <f t="shared" si="18"/>
        <v>0</v>
      </c>
      <c r="S101" s="52">
        <v>30</v>
      </c>
      <c r="T101" s="51">
        <f>+S101*AR101</f>
        <v>11700</v>
      </c>
      <c r="U101" s="84"/>
      <c r="V101" s="51"/>
      <c r="W101" s="84"/>
      <c r="X101" s="51"/>
      <c r="Y101" s="84"/>
      <c r="Z101" s="51"/>
      <c r="AA101" s="84"/>
      <c r="AB101" s="51"/>
      <c r="AC101" s="84">
        <v>30</v>
      </c>
      <c r="AD101" s="51">
        <f>+AC101*AR101</f>
        <v>11700</v>
      </c>
      <c r="AE101" s="84">
        <v>1</v>
      </c>
      <c r="AF101" s="51">
        <f>+AE101*AR101</f>
        <v>390</v>
      </c>
      <c r="AG101" s="84">
        <v>5</v>
      </c>
      <c r="AH101" s="51">
        <f>+AG101*AR101</f>
        <v>1950</v>
      </c>
      <c r="AI101" s="84"/>
      <c r="AJ101" s="51">
        <f t="shared" si="19"/>
        <v>0</v>
      </c>
      <c r="AK101" s="84">
        <v>20</v>
      </c>
      <c r="AL101" s="51">
        <f t="shared" si="20"/>
        <v>7800</v>
      </c>
      <c r="AM101" s="84">
        <v>20</v>
      </c>
      <c r="AN101" s="51">
        <f t="shared" si="31"/>
        <v>7800</v>
      </c>
      <c r="AO101" s="84"/>
      <c r="AP101" s="51"/>
      <c r="AQ101" s="84">
        <f t="shared" si="24"/>
        <v>130</v>
      </c>
      <c r="AR101" s="168">
        <v>390</v>
      </c>
      <c r="AS101" s="164">
        <f t="shared" si="21"/>
        <v>50700</v>
      </c>
    </row>
    <row r="102" spans="1:45" ht="14.25" hidden="1">
      <c r="A102" s="45">
        <v>90</v>
      </c>
      <c r="B102" s="195" t="s">
        <v>32</v>
      </c>
      <c r="C102" s="60" t="s">
        <v>20</v>
      </c>
      <c r="D102" s="46" t="s">
        <v>187</v>
      </c>
      <c r="E102" s="88" t="s">
        <v>33</v>
      </c>
      <c r="F102" s="55" t="s">
        <v>14</v>
      </c>
      <c r="G102" s="50"/>
      <c r="H102" s="50"/>
      <c r="I102" s="50"/>
      <c r="J102" s="50"/>
      <c r="K102" s="52"/>
      <c r="L102" s="73"/>
      <c r="M102" s="84"/>
      <c r="N102" s="33"/>
      <c r="O102" s="56">
        <v>6</v>
      </c>
      <c r="P102" s="51">
        <f t="shared" si="17"/>
        <v>450</v>
      </c>
      <c r="Q102" s="84"/>
      <c r="R102" s="51">
        <f t="shared" si="18"/>
        <v>0</v>
      </c>
      <c r="S102" s="52"/>
      <c r="T102" s="51"/>
      <c r="U102" s="84"/>
      <c r="V102" s="51"/>
      <c r="W102" s="84"/>
      <c r="X102" s="51"/>
      <c r="Y102" s="84">
        <v>20</v>
      </c>
      <c r="Z102" s="51">
        <f>+Y102*AR102</f>
        <v>1500</v>
      </c>
      <c r="AA102" s="84"/>
      <c r="AB102" s="51"/>
      <c r="AC102" s="84"/>
      <c r="AD102" s="51"/>
      <c r="AE102" s="84"/>
      <c r="AF102" s="51"/>
      <c r="AG102" s="84"/>
      <c r="AH102" s="51"/>
      <c r="AI102" s="84"/>
      <c r="AJ102" s="51">
        <f t="shared" si="19"/>
        <v>0</v>
      </c>
      <c r="AK102" s="84">
        <v>50</v>
      </c>
      <c r="AL102" s="51">
        <f t="shared" si="20"/>
        <v>3750</v>
      </c>
      <c r="AM102" s="84"/>
      <c r="AN102" s="51">
        <f t="shared" si="31"/>
        <v>0</v>
      </c>
      <c r="AO102" s="84"/>
      <c r="AP102" s="51"/>
      <c r="AQ102" s="84">
        <f t="shared" si="24"/>
        <v>76</v>
      </c>
      <c r="AR102" s="168">
        <v>75</v>
      </c>
      <c r="AS102" s="164">
        <f t="shared" si="21"/>
        <v>5700</v>
      </c>
    </row>
    <row r="103" spans="1:45" ht="14.25" hidden="1">
      <c r="A103" s="50">
        <v>91</v>
      </c>
      <c r="B103" s="195" t="s">
        <v>1366</v>
      </c>
      <c r="C103" s="60" t="s">
        <v>20</v>
      </c>
      <c r="D103" s="46" t="s">
        <v>187</v>
      </c>
      <c r="E103" s="88" t="s">
        <v>1367</v>
      </c>
      <c r="F103" s="55" t="s">
        <v>14</v>
      </c>
      <c r="G103" s="50"/>
      <c r="H103" s="50"/>
      <c r="I103" s="50"/>
      <c r="J103" s="50"/>
      <c r="K103" s="52"/>
      <c r="L103" s="73"/>
      <c r="M103" s="84"/>
      <c r="N103" s="33"/>
      <c r="O103" s="56"/>
      <c r="P103" s="51"/>
      <c r="Q103" s="84"/>
      <c r="R103" s="51"/>
      <c r="S103" s="52"/>
      <c r="T103" s="51"/>
      <c r="U103" s="84"/>
      <c r="V103" s="51"/>
      <c r="W103" s="84"/>
      <c r="X103" s="51"/>
      <c r="Y103" s="84"/>
      <c r="Z103" s="51"/>
      <c r="AA103" s="84"/>
      <c r="AB103" s="51"/>
      <c r="AC103" s="84"/>
      <c r="AD103" s="51"/>
      <c r="AE103" s="84">
        <v>8</v>
      </c>
      <c r="AF103" s="51">
        <f>+AE103*AR103</f>
        <v>1976</v>
      </c>
      <c r="AG103" s="84"/>
      <c r="AH103" s="51"/>
      <c r="AI103" s="84">
        <v>10</v>
      </c>
      <c r="AJ103" s="51">
        <f t="shared" si="19"/>
        <v>2470</v>
      </c>
      <c r="AK103" s="84">
        <v>20</v>
      </c>
      <c r="AL103" s="51">
        <f t="shared" si="20"/>
        <v>4940</v>
      </c>
      <c r="AM103" s="84">
        <v>30</v>
      </c>
      <c r="AN103" s="51">
        <f t="shared" si="31"/>
        <v>7410</v>
      </c>
      <c r="AO103" s="84"/>
      <c r="AP103" s="51"/>
      <c r="AQ103" s="84">
        <f t="shared" si="24"/>
        <v>68</v>
      </c>
      <c r="AR103" s="168">
        <f>190*1.3</f>
        <v>247</v>
      </c>
      <c r="AS103" s="164">
        <f t="shared" si="21"/>
        <v>16796</v>
      </c>
    </row>
    <row r="104" spans="1:45" ht="28.5" hidden="1">
      <c r="A104" s="45">
        <v>92</v>
      </c>
      <c r="B104" s="88" t="s">
        <v>36</v>
      </c>
      <c r="C104" s="60" t="s">
        <v>20</v>
      </c>
      <c r="D104" s="46" t="s">
        <v>187</v>
      </c>
      <c r="E104" s="88" t="s">
        <v>37</v>
      </c>
      <c r="F104" s="33" t="s">
        <v>12</v>
      </c>
      <c r="G104" s="50"/>
      <c r="H104" s="50"/>
      <c r="I104" s="50"/>
      <c r="J104" s="50"/>
      <c r="K104" s="52"/>
      <c r="L104" s="73"/>
      <c r="M104" s="84"/>
      <c r="N104" s="33"/>
      <c r="O104" s="56">
        <v>10</v>
      </c>
      <c r="P104" s="51">
        <f t="shared" si="17"/>
        <v>1350</v>
      </c>
      <c r="Q104" s="84"/>
      <c r="R104" s="51"/>
      <c r="S104" s="52"/>
      <c r="T104" s="51"/>
      <c r="U104" s="84"/>
      <c r="V104" s="51"/>
      <c r="W104" s="84"/>
      <c r="X104" s="51"/>
      <c r="Y104" s="84"/>
      <c r="Z104" s="51"/>
      <c r="AA104" s="84"/>
      <c r="AB104" s="51"/>
      <c r="AC104" s="84"/>
      <c r="AD104" s="51"/>
      <c r="AE104" s="84"/>
      <c r="AF104" s="51"/>
      <c r="AG104" s="84"/>
      <c r="AH104" s="51"/>
      <c r="AI104" s="84"/>
      <c r="AJ104" s="51">
        <f t="shared" si="19"/>
        <v>0</v>
      </c>
      <c r="AK104" s="84"/>
      <c r="AL104" s="51">
        <f t="shared" si="20"/>
        <v>0</v>
      </c>
      <c r="AM104" s="84"/>
      <c r="AN104" s="51">
        <f t="shared" si="31"/>
        <v>0</v>
      </c>
      <c r="AO104" s="84"/>
      <c r="AP104" s="51"/>
      <c r="AQ104" s="84">
        <f t="shared" si="24"/>
        <v>10</v>
      </c>
      <c r="AR104" s="168">
        <v>135</v>
      </c>
      <c r="AS104" s="164">
        <f t="shared" si="21"/>
        <v>1350</v>
      </c>
    </row>
    <row r="105" spans="1:45" ht="42.75" hidden="1">
      <c r="A105" s="50">
        <v>93</v>
      </c>
      <c r="B105" s="88" t="s">
        <v>34</v>
      </c>
      <c r="C105" s="60" t="s">
        <v>20</v>
      </c>
      <c r="D105" s="46" t="s">
        <v>187</v>
      </c>
      <c r="E105" s="88" t="s">
        <v>35</v>
      </c>
      <c r="F105" s="55" t="s">
        <v>14</v>
      </c>
      <c r="G105" s="50"/>
      <c r="H105" s="50"/>
      <c r="I105" s="50"/>
      <c r="J105" s="50"/>
      <c r="K105" s="52"/>
      <c r="L105" s="73"/>
      <c r="M105" s="84"/>
      <c r="N105" s="33"/>
      <c r="O105" s="56">
        <v>10</v>
      </c>
      <c r="P105" s="51">
        <f t="shared" si="17"/>
        <v>1300</v>
      </c>
      <c r="Q105" s="84"/>
      <c r="R105" s="51"/>
      <c r="S105" s="52"/>
      <c r="T105" s="51"/>
      <c r="U105" s="84"/>
      <c r="V105" s="51"/>
      <c r="W105" s="84"/>
      <c r="X105" s="51"/>
      <c r="Y105" s="84"/>
      <c r="Z105" s="51"/>
      <c r="AA105" s="84"/>
      <c r="AB105" s="51"/>
      <c r="AC105" s="84"/>
      <c r="AD105" s="51"/>
      <c r="AE105" s="84"/>
      <c r="AF105" s="51"/>
      <c r="AG105" s="84"/>
      <c r="AH105" s="51"/>
      <c r="AI105" s="84"/>
      <c r="AJ105" s="51">
        <f t="shared" si="19"/>
        <v>0</v>
      </c>
      <c r="AK105" s="84"/>
      <c r="AL105" s="51">
        <f t="shared" si="20"/>
        <v>0</v>
      </c>
      <c r="AM105" s="84"/>
      <c r="AN105" s="51">
        <f t="shared" si="31"/>
        <v>0</v>
      </c>
      <c r="AO105" s="84"/>
      <c r="AP105" s="51"/>
      <c r="AQ105" s="84">
        <f t="shared" si="24"/>
        <v>10</v>
      </c>
      <c r="AR105" s="168">
        <v>130</v>
      </c>
      <c r="AS105" s="164">
        <f t="shared" si="21"/>
        <v>1300</v>
      </c>
    </row>
    <row r="106" spans="1:45" ht="42.75" hidden="1">
      <c r="A106" s="45">
        <v>94</v>
      </c>
      <c r="B106" s="195" t="s">
        <v>52</v>
      </c>
      <c r="C106" s="60" t="s">
        <v>20</v>
      </c>
      <c r="D106" s="46" t="s">
        <v>187</v>
      </c>
      <c r="E106" s="196" t="s">
        <v>51</v>
      </c>
      <c r="F106" s="33" t="s">
        <v>12</v>
      </c>
      <c r="G106" s="50"/>
      <c r="H106" s="50"/>
      <c r="I106" s="50"/>
      <c r="J106" s="50"/>
      <c r="K106" s="52"/>
      <c r="L106" s="73"/>
      <c r="M106" s="84"/>
      <c r="N106" s="33"/>
      <c r="O106" s="56">
        <v>3</v>
      </c>
      <c r="P106" s="51">
        <f t="shared" si="17"/>
        <v>1800</v>
      </c>
      <c r="Q106" s="84"/>
      <c r="R106" s="51"/>
      <c r="S106" s="52"/>
      <c r="T106" s="51"/>
      <c r="U106" s="84"/>
      <c r="V106" s="51"/>
      <c r="W106" s="84"/>
      <c r="X106" s="51"/>
      <c r="Y106" s="84"/>
      <c r="Z106" s="51"/>
      <c r="AA106" s="84"/>
      <c r="AB106" s="51"/>
      <c r="AC106" s="84"/>
      <c r="AD106" s="51"/>
      <c r="AE106" s="84"/>
      <c r="AF106" s="51"/>
      <c r="AG106" s="84"/>
      <c r="AH106" s="51"/>
      <c r="AI106" s="84"/>
      <c r="AJ106" s="51">
        <f t="shared" si="19"/>
        <v>0</v>
      </c>
      <c r="AK106" s="84">
        <v>10</v>
      </c>
      <c r="AL106" s="51">
        <f t="shared" si="20"/>
        <v>6000</v>
      </c>
      <c r="AM106" s="84"/>
      <c r="AN106" s="51">
        <f t="shared" si="31"/>
        <v>0</v>
      </c>
      <c r="AO106" s="84"/>
      <c r="AP106" s="51"/>
      <c r="AQ106" s="84">
        <f t="shared" si="24"/>
        <v>13</v>
      </c>
      <c r="AR106" s="168">
        <v>600</v>
      </c>
      <c r="AS106" s="164">
        <f t="shared" si="21"/>
        <v>7800</v>
      </c>
    </row>
    <row r="107" spans="1:45" ht="28.5" hidden="1">
      <c r="A107" s="50">
        <v>95</v>
      </c>
      <c r="B107" s="37" t="s">
        <v>1162</v>
      </c>
      <c r="C107" s="37" t="s">
        <v>20</v>
      </c>
      <c r="D107" s="46" t="s">
        <v>187</v>
      </c>
      <c r="E107" s="37" t="s">
        <v>1161</v>
      </c>
      <c r="F107" s="53" t="s">
        <v>12</v>
      </c>
      <c r="G107" s="48"/>
      <c r="H107" s="58">
        <f>+G107*AR107</f>
        <v>0</v>
      </c>
      <c r="I107" s="58"/>
      <c r="J107" s="58"/>
      <c r="K107" s="52"/>
      <c r="L107" s="73">
        <f>+K107*AR107</f>
        <v>0</v>
      </c>
      <c r="M107" s="84"/>
      <c r="N107" s="51">
        <f>+M107*AR107</f>
        <v>0</v>
      </c>
      <c r="O107" s="52"/>
      <c r="P107" s="51">
        <f>+O107*AR107</f>
        <v>0</v>
      </c>
      <c r="Q107" s="84"/>
      <c r="R107" s="51">
        <f>+Q107*AR107</f>
        <v>0</v>
      </c>
      <c r="S107" s="52">
        <v>50</v>
      </c>
      <c r="T107" s="51">
        <f>+AR107*S107</f>
        <v>53232.000000000007</v>
      </c>
      <c r="U107" s="84"/>
      <c r="V107" s="51"/>
      <c r="W107" s="84"/>
      <c r="X107" s="51"/>
      <c r="Y107" s="84"/>
      <c r="Z107" s="51"/>
      <c r="AA107" s="84"/>
      <c r="AB107" s="51"/>
      <c r="AC107" s="84"/>
      <c r="AD107" s="51"/>
      <c r="AE107" s="84">
        <v>15</v>
      </c>
      <c r="AF107" s="51">
        <f>+AE107*AR107</f>
        <v>15969.600000000002</v>
      </c>
      <c r="AG107" s="84"/>
      <c r="AH107" s="51"/>
      <c r="AI107" s="84"/>
      <c r="AJ107" s="51">
        <f>+AI107*AR107</f>
        <v>0</v>
      </c>
      <c r="AK107" s="84">
        <v>30</v>
      </c>
      <c r="AL107" s="51">
        <f>+AK107*AR107</f>
        <v>31939.200000000004</v>
      </c>
      <c r="AM107" s="84">
        <v>20</v>
      </c>
      <c r="AN107" s="51">
        <f>+AM107*AR107</f>
        <v>21292.800000000003</v>
      </c>
      <c r="AO107" s="84"/>
      <c r="AP107" s="51"/>
      <c r="AQ107" s="84">
        <f t="shared" si="24"/>
        <v>115</v>
      </c>
      <c r="AR107" s="169">
        <v>1064.6400000000001</v>
      </c>
      <c r="AS107" s="164">
        <f t="shared" si="21"/>
        <v>122433.60000000001</v>
      </c>
    </row>
    <row r="108" spans="1:45" ht="14.25" hidden="1">
      <c r="A108" s="45">
        <v>96</v>
      </c>
      <c r="B108" s="37" t="s">
        <v>1231</v>
      </c>
      <c r="C108" s="37" t="s">
        <v>13</v>
      </c>
      <c r="D108" s="46" t="s">
        <v>1320</v>
      </c>
      <c r="E108" s="37" t="s">
        <v>1232</v>
      </c>
      <c r="F108" s="71" t="s">
        <v>12</v>
      </c>
      <c r="G108" s="50"/>
      <c r="H108" s="50"/>
      <c r="I108" s="50"/>
      <c r="J108" s="50"/>
      <c r="K108" s="52"/>
      <c r="L108" s="73"/>
      <c r="M108" s="84"/>
      <c r="N108" s="33"/>
      <c r="O108" s="56"/>
      <c r="P108" s="51"/>
      <c r="Q108" s="84"/>
      <c r="R108" s="51"/>
      <c r="S108" s="111">
        <v>5</v>
      </c>
      <c r="T108" s="51">
        <f>+S108*AR108</f>
        <v>15000</v>
      </c>
      <c r="U108" s="84"/>
      <c r="V108" s="51"/>
      <c r="W108" s="84"/>
      <c r="X108" s="51"/>
      <c r="Y108" s="84"/>
      <c r="Z108" s="51"/>
      <c r="AA108" s="84"/>
      <c r="AB108" s="51"/>
      <c r="AC108" s="84"/>
      <c r="AD108" s="51"/>
      <c r="AE108" s="84"/>
      <c r="AF108" s="51"/>
      <c r="AG108" s="84"/>
      <c r="AH108" s="51"/>
      <c r="AI108" s="84"/>
      <c r="AJ108" s="51">
        <f t="shared" si="19"/>
        <v>0</v>
      </c>
      <c r="AK108" s="84"/>
      <c r="AL108" s="51">
        <f t="shared" ref="AL108:AL111" si="32">+AK108*AR108</f>
        <v>0</v>
      </c>
      <c r="AM108" s="84"/>
      <c r="AN108" s="51">
        <f t="shared" si="31"/>
        <v>0</v>
      </c>
      <c r="AO108" s="84"/>
      <c r="AP108" s="51"/>
      <c r="AQ108" s="84">
        <f t="shared" si="24"/>
        <v>5</v>
      </c>
      <c r="AR108" s="168">
        <v>3000</v>
      </c>
      <c r="AS108" s="164">
        <f t="shared" si="21"/>
        <v>15000</v>
      </c>
    </row>
    <row r="109" spans="1:45" ht="28.5" hidden="1">
      <c r="A109" s="50">
        <v>97</v>
      </c>
      <c r="B109" s="37" t="s">
        <v>1233</v>
      </c>
      <c r="C109" s="37" t="s">
        <v>13</v>
      </c>
      <c r="D109" s="46" t="s">
        <v>1320</v>
      </c>
      <c r="E109" s="37" t="s">
        <v>1234</v>
      </c>
      <c r="F109" s="71" t="s">
        <v>12</v>
      </c>
      <c r="G109" s="50"/>
      <c r="H109" s="50"/>
      <c r="I109" s="50"/>
      <c r="J109" s="50"/>
      <c r="K109" s="52"/>
      <c r="L109" s="73"/>
      <c r="M109" s="84"/>
      <c r="N109" s="51"/>
      <c r="O109" s="52"/>
      <c r="P109" s="51"/>
      <c r="Q109" s="84"/>
      <c r="R109" s="51"/>
      <c r="S109" s="112">
        <v>5</v>
      </c>
      <c r="T109" s="51">
        <f t="shared" ref="T109:T111" si="33">+S109*AR109</f>
        <v>29500</v>
      </c>
      <c r="U109" s="84"/>
      <c r="V109" s="51"/>
      <c r="W109" s="84"/>
      <c r="X109" s="51"/>
      <c r="Y109" s="84"/>
      <c r="Z109" s="51"/>
      <c r="AA109" s="84"/>
      <c r="AB109" s="51"/>
      <c r="AC109" s="84"/>
      <c r="AD109" s="51"/>
      <c r="AE109" s="84"/>
      <c r="AF109" s="51"/>
      <c r="AG109" s="84"/>
      <c r="AH109" s="51"/>
      <c r="AI109" s="84"/>
      <c r="AJ109" s="51">
        <f t="shared" ref="AJ109:AJ111" si="34">+AI109*AR109</f>
        <v>0</v>
      </c>
      <c r="AK109" s="84"/>
      <c r="AL109" s="51">
        <f t="shared" si="32"/>
        <v>0</v>
      </c>
      <c r="AM109" s="84"/>
      <c r="AN109" s="51">
        <f t="shared" si="31"/>
        <v>0</v>
      </c>
      <c r="AO109" s="84"/>
      <c r="AP109" s="51"/>
      <c r="AQ109" s="84">
        <f t="shared" si="24"/>
        <v>5</v>
      </c>
      <c r="AR109" s="167">
        <v>5900</v>
      </c>
      <c r="AS109" s="164">
        <f t="shared" si="21"/>
        <v>29500</v>
      </c>
    </row>
    <row r="110" spans="1:45" ht="14.25" hidden="1">
      <c r="A110" s="45">
        <v>98</v>
      </c>
      <c r="B110" s="37" t="s">
        <v>1235</v>
      </c>
      <c r="C110" s="37" t="s">
        <v>13</v>
      </c>
      <c r="D110" s="46" t="s">
        <v>1320</v>
      </c>
      <c r="E110" s="37" t="s">
        <v>1236</v>
      </c>
      <c r="F110" s="71" t="s">
        <v>12</v>
      </c>
      <c r="G110" s="50"/>
      <c r="H110" s="50"/>
      <c r="I110" s="50"/>
      <c r="J110" s="50"/>
      <c r="K110" s="52"/>
      <c r="L110" s="73"/>
      <c r="M110" s="84"/>
      <c r="N110" s="51"/>
      <c r="O110" s="52"/>
      <c r="P110" s="51"/>
      <c r="Q110" s="84"/>
      <c r="R110" s="51"/>
      <c r="S110" s="112">
        <v>10</v>
      </c>
      <c r="T110" s="51">
        <f t="shared" si="33"/>
        <v>85000</v>
      </c>
      <c r="U110" s="84"/>
      <c r="V110" s="51"/>
      <c r="W110" s="84"/>
      <c r="X110" s="51"/>
      <c r="Y110" s="84"/>
      <c r="Z110" s="51"/>
      <c r="AA110" s="84">
        <v>5</v>
      </c>
      <c r="AB110" s="51">
        <f>+AR110*AA110</f>
        <v>42500</v>
      </c>
      <c r="AC110" s="84"/>
      <c r="AD110" s="51"/>
      <c r="AE110" s="84"/>
      <c r="AF110" s="51"/>
      <c r="AG110" s="84"/>
      <c r="AH110" s="51"/>
      <c r="AI110" s="84"/>
      <c r="AJ110" s="51">
        <f t="shared" si="34"/>
        <v>0</v>
      </c>
      <c r="AK110" s="84"/>
      <c r="AL110" s="51">
        <f t="shared" si="32"/>
        <v>0</v>
      </c>
      <c r="AM110" s="84"/>
      <c r="AN110" s="51">
        <f t="shared" si="31"/>
        <v>0</v>
      </c>
      <c r="AO110" s="84"/>
      <c r="AP110" s="51"/>
      <c r="AQ110" s="84">
        <f t="shared" si="24"/>
        <v>15</v>
      </c>
      <c r="AR110" s="167">
        <v>8500</v>
      </c>
      <c r="AS110" s="164">
        <f t="shared" si="21"/>
        <v>127500</v>
      </c>
    </row>
    <row r="111" spans="1:45" ht="14.25" hidden="1">
      <c r="A111" s="50">
        <v>99</v>
      </c>
      <c r="B111" s="37" t="s">
        <v>1237</v>
      </c>
      <c r="C111" s="37" t="s">
        <v>13</v>
      </c>
      <c r="D111" s="46" t="s">
        <v>1320</v>
      </c>
      <c r="E111" s="37" t="s">
        <v>1238</v>
      </c>
      <c r="F111" s="71" t="s">
        <v>12</v>
      </c>
      <c r="G111" s="50"/>
      <c r="H111" s="58"/>
      <c r="I111" s="58"/>
      <c r="J111" s="58"/>
      <c r="K111" s="52"/>
      <c r="L111" s="73"/>
      <c r="M111" s="84"/>
      <c r="N111" s="51"/>
      <c r="O111" s="52"/>
      <c r="P111" s="51"/>
      <c r="Q111" s="84"/>
      <c r="R111" s="51"/>
      <c r="S111" s="112">
        <v>5</v>
      </c>
      <c r="T111" s="51">
        <f t="shared" si="33"/>
        <v>4250</v>
      </c>
      <c r="U111" s="84"/>
      <c r="V111" s="51"/>
      <c r="W111" s="84"/>
      <c r="X111" s="51"/>
      <c r="Y111" s="84"/>
      <c r="Z111" s="51"/>
      <c r="AA111" s="84"/>
      <c r="AB111" s="51"/>
      <c r="AC111" s="84"/>
      <c r="AD111" s="51"/>
      <c r="AE111" s="84"/>
      <c r="AF111" s="51"/>
      <c r="AG111" s="84"/>
      <c r="AH111" s="51"/>
      <c r="AI111" s="84"/>
      <c r="AJ111" s="51">
        <f t="shared" si="34"/>
        <v>0</v>
      </c>
      <c r="AK111" s="84"/>
      <c r="AL111" s="51">
        <f t="shared" si="32"/>
        <v>0</v>
      </c>
      <c r="AM111" s="84"/>
      <c r="AN111" s="51">
        <f t="shared" si="31"/>
        <v>0</v>
      </c>
      <c r="AO111" s="84"/>
      <c r="AP111" s="51"/>
      <c r="AQ111" s="84">
        <f t="shared" si="24"/>
        <v>5</v>
      </c>
      <c r="AR111" s="167">
        <v>850</v>
      </c>
      <c r="AS111" s="164">
        <f t="shared" ref="AS111:AS114" si="35">+AQ111*AR111</f>
        <v>4250</v>
      </c>
    </row>
    <row r="112" spans="1:45" ht="14.25" hidden="1">
      <c r="A112" s="45">
        <v>100</v>
      </c>
      <c r="B112" s="53" t="s">
        <v>412</v>
      </c>
      <c r="C112" s="53" t="s">
        <v>13</v>
      </c>
      <c r="D112" s="46" t="s">
        <v>1320</v>
      </c>
      <c r="E112" s="53" t="s">
        <v>409</v>
      </c>
      <c r="F112" s="53" t="s">
        <v>12</v>
      </c>
      <c r="G112" s="50"/>
      <c r="H112" s="50"/>
      <c r="I112" s="50"/>
      <c r="J112" s="50"/>
      <c r="K112" s="52"/>
      <c r="L112" s="73"/>
      <c r="M112" s="85">
        <v>2</v>
      </c>
      <c r="N112" s="51">
        <f>+M112*AR112</f>
        <v>4000</v>
      </c>
      <c r="O112" s="52"/>
      <c r="P112" s="51">
        <f>+O112*AR112</f>
        <v>0</v>
      </c>
      <c r="Q112" s="84"/>
      <c r="R112" s="51">
        <f>+Q112*AR112</f>
        <v>0</v>
      </c>
      <c r="S112" s="52"/>
      <c r="T112" s="51"/>
      <c r="U112" s="84"/>
      <c r="V112" s="51"/>
      <c r="W112" s="84"/>
      <c r="X112" s="51"/>
      <c r="Y112" s="84"/>
      <c r="Z112" s="51"/>
      <c r="AA112" s="84"/>
      <c r="AB112" s="51"/>
      <c r="AC112" s="84"/>
      <c r="AD112" s="51"/>
      <c r="AE112" s="84"/>
      <c r="AF112" s="51"/>
      <c r="AG112" s="84"/>
      <c r="AH112" s="51"/>
      <c r="AI112" s="84"/>
      <c r="AJ112" s="51">
        <f>+AI112*AR112</f>
        <v>0</v>
      </c>
      <c r="AK112" s="84"/>
      <c r="AL112" s="51">
        <f>+AK112*AR112</f>
        <v>0</v>
      </c>
      <c r="AM112" s="84"/>
      <c r="AN112" s="51">
        <f>+AM112*AR112</f>
        <v>0</v>
      </c>
      <c r="AO112" s="84"/>
      <c r="AP112" s="51"/>
      <c r="AQ112" s="84">
        <f t="shared" si="24"/>
        <v>2</v>
      </c>
      <c r="AR112" s="167">
        <v>2000</v>
      </c>
      <c r="AS112" s="164">
        <f t="shared" si="35"/>
        <v>4000</v>
      </c>
    </row>
    <row r="113" spans="1:50" ht="14.25" hidden="1">
      <c r="A113" s="50">
        <v>101</v>
      </c>
      <c r="B113" s="53" t="s">
        <v>413</v>
      </c>
      <c r="C113" s="53" t="s">
        <v>13</v>
      </c>
      <c r="D113" s="46" t="s">
        <v>1320</v>
      </c>
      <c r="E113" s="53" t="s">
        <v>408</v>
      </c>
      <c r="F113" s="53" t="s">
        <v>12</v>
      </c>
      <c r="G113" s="50"/>
      <c r="H113" s="50"/>
      <c r="I113" s="50"/>
      <c r="J113" s="50"/>
      <c r="K113" s="52"/>
      <c r="L113" s="73"/>
      <c r="M113" s="85">
        <v>1</v>
      </c>
      <c r="N113" s="51">
        <f>+M113*AR113</f>
        <v>2000</v>
      </c>
      <c r="O113" s="52"/>
      <c r="P113" s="51">
        <f>+O113*AR113</f>
        <v>0</v>
      </c>
      <c r="Q113" s="84"/>
      <c r="R113" s="51">
        <f>+Q113*AR113</f>
        <v>0</v>
      </c>
      <c r="S113" s="52"/>
      <c r="T113" s="51"/>
      <c r="U113" s="84"/>
      <c r="V113" s="51"/>
      <c r="W113" s="84"/>
      <c r="X113" s="51"/>
      <c r="Y113" s="84"/>
      <c r="Z113" s="51"/>
      <c r="AA113" s="84"/>
      <c r="AB113" s="51"/>
      <c r="AC113" s="84"/>
      <c r="AD113" s="51"/>
      <c r="AE113" s="84"/>
      <c r="AF113" s="51"/>
      <c r="AG113" s="84"/>
      <c r="AH113" s="51"/>
      <c r="AI113" s="84"/>
      <c r="AJ113" s="51">
        <f>+AI113*AR113</f>
        <v>0</v>
      </c>
      <c r="AK113" s="84"/>
      <c r="AL113" s="51">
        <f>+AK113*AR113</f>
        <v>0</v>
      </c>
      <c r="AM113" s="84"/>
      <c r="AN113" s="51">
        <f>+AM113*AR113</f>
        <v>0</v>
      </c>
      <c r="AO113" s="84"/>
      <c r="AP113" s="51"/>
      <c r="AQ113" s="84">
        <f t="shared" si="24"/>
        <v>1</v>
      </c>
      <c r="AR113" s="167">
        <v>2000</v>
      </c>
      <c r="AS113" s="164">
        <f t="shared" si="35"/>
        <v>2000</v>
      </c>
    </row>
    <row r="114" spans="1:50" ht="14.25" hidden="1">
      <c r="A114" s="45">
        <v>102</v>
      </c>
      <c r="B114" s="125" t="s">
        <v>414</v>
      </c>
      <c r="C114" s="53" t="s">
        <v>13</v>
      </c>
      <c r="D114" s="46" t="s">
        <v>1320</v>
      </c>
      <c r="E114" s="192" t="s">
        <v>407</v>
      </c>
      <c r="F114" s="53" t="s">
        <v>12</v>
      </c>
      <c r="G114" s="50"/>
      <c r="H114" s="50"/>
      <c r="I114" s="50"/>
      <c r="J114" s="50"/>
      <c r="K114" s="52"/>
      <c r="L114" s="73"/>
      <c r="M114" s="85">
        <v>2</v>
      </c>
      <c r="N114" s="51">
        <f>+M114*AR114</f>
        <v>6000</v>
      </c>
      <c r="O114" s="52"/>
      <c r="P114" s="51">
        <f>+O114*AR114</f>
        <v>0</v>
      </c>
      <c r="Q114" s="84"/>
      <c r="R114" s="51">
        <f>+Q114*AR114</f>
        <v>0</v>
      </c>
      <c r="S114" s="52"/>
      <c r="T114" s="51"/>
      <c r="U114" s="84"/>
      <c r="V114" s="51"/>
      <c r="W114" s="84"/>
      <c r="X114" s="51"/>
      <c r="Y114" s="84"/>
      <c r="Z114" s="51"/>
      <c r="AA114" s="84"/>
      <c r="AB114" s="51"/>
      <c r="AC114" s="84"/>
      <c r="AD114" s="51"/>
      <c r="AE114" s="84"/>
      <c r="AF114" s="51"/>
      <c r="AG114" s="84"/>
      <c r="AH114" s="51"/>
      <c r="AI114" s="84"/>
      <c r="AJ114" s="51">
        <f>+AI114*AR114</f>
        <v>0</v>
      </c>
      <c r="AK114" s="84"/>
      <c r="AL114" s="51">
        <f>+AK114*AR114</f>
        <v>0</v>
      </c>
      <c r="AM114" s="84"/>
      <c r="AN114" s="51">
        <f>+AM114*AR114</f>
        <v>0</v>
      </c>
      <c r="AO114" s="84"/>
      <c r="AP114" s="51"/>
      <c r="AQ114" s="84">
        <f t="shared" si="24"/>
        <v>2</v>
      </c>
      <c r="AR114" s="167">
        <v>3000</v>
      </c>
      <c r="AS114" s="164">
        <f t="shared" si="35"/>
        <v>6000</v>
      </c>
    </row>
    <row r="115" spans="1:50" s="218" customFormat="1" ht="15.75" hidden="1">
      <c r="A115" s="212"/>
      <c r="B115" s="213"/>
      <c r="C115" s="214"/>
      <c r="D115" s="213"/>
      <c r="E115" s="224" t="s">
        <v>210</v>
      </c>
      <c r="F115" s="121"/>
      <c r="G115" s="101"/>
      <c r="H115" s="215"/>
      <c r="I115" s="215"/>
      <c r="J115" s="215"/>
      <c r="K115" s="122"/>
      <c r="L115" s="123"/>
      <c r="M115" s="124"/>
      <c r="N115" s="216"/>
      <c r="O115" s="122"/>
      <c r="P115" s="216"/>
      <c r="Q115" s="124"/>
      <c r="R115" s="216"/>
      <c r="S115" s="122"/>
      <c r="T115" s="216"/>
      <c r="U115" s="124"/>
      <c r="V115" s="216"/>
      <c r="W115" s="124"/>
      <c r="X115" s="216"/>
      <c r="Y115" s="124"/>
      <c r="Z115" s="216"/>
      <c r="AA115" s="124"/>
      <c r="AB115" s="216"/>
      <c r="AC115" s="124"/>
      <c r="AD115" s="216"/>
      <c r="AE115" s="124"/>
      <c r="AF115" s="216"/>
      <c r="AG115" s="124"/>
      <c r="AH115" s="216"/>
      <c r="AI115" s="124"/>
      <c r="AJ115" s="216"/>
      <c r="AK115" s="124"/>
      <c r="AL115" s="216"/>
      <c r="AM115" s="124"/>
      <c r="AN115" s="216">
        <f t="shared" si="31"/>
        <v>0</v>
      </c>
      <c r="AO115" s="124"/>
      <c r="AP115" s="216"/>
      <c r="AQ115" s="124"/>
      <c r="AR115" s="217"/>
      <c r="AS115" s="207">
        <f>SUM(AS46:AS114)</f>
        <v>3616131.92</v>
      </c>
    </row>
    <row r="116" spans="1:50" ht="14.25" hidden="1">
      <c r="A116" s="57">
        <v>103</v>
      </c>
      <c r="B116" s="46" t="s">
        <v>191</v>
      </c>
      <c r="C116" s="53" t="s">
        <v>15</v>
      </c>
      <c r="D116" s="46" t="s">
        <v>192</v>
      </c>
      <c r="E116" s="53" t="s">
        <v>193</v>
      </c>
      <c r="F116" s="50" t="s">
        <v>12</v>
      </c>
      <c r="G116" s="48">
        <v>6</v>
      </c>
      <c r="H116" s="58">
        <f>+AR116*G116</f>
        <v>1200</v>
      </c>
      <c r="I116" s="58"/>
      <c r="J116" s="58"/>
      <c r="K116" s="52"/>
      <c r="L116" s="73">
        <f t="shared" ref="L116:L136" si="36">+K116*AR116</f>
        <v>0</v>
      </c>
      <c r="M116" s="84"/>
      <c r="N116" s="51">
        <f t="shared" ref="N116:N136" si="37">+M116*AR116</f>
        <v>0</v>
      </c>
      <c r="O116" s="52">
        <v>30</v>
      </c>
      <c r="P116" s="51">
        <f t="shared" ref="P116:P136" si="38">+O116*AR116</f>
        <v>6000</v>
      </c>
      <c r="Q116" s="84"/>
      <c r="R116" s="51">
        <f t="shared" ref="R116:R138" si="39">+Q116*AR116</f>
        <v>0</v>
      </c>
      <c r="S116" s="52">
        <v>60</v>
      </c>
      <c r="T116" s="51">
        <f>+S116*AR116</f>
        <v>12000</v>
      </c>
      <c r="U116" s="84">
        <v>50</v>
      </c>
      <c r="V116" s="51">
        <f>+U116*AR116</f>
        <v>10000</v>
      </c>
      <c r="W116" s="84">
        <f>20*3</f>
        <v>60</v>
      </c>
      <c r="X116" s="51">
        <f>+W116*AR116</f>
        <v>12000</v>
      </c>
      <c r="Y116" s="84"/>
      <c r="Z116" s="51"/>
      <c r="AA116" s="84"/>
      <c r="AB116" s="51"/>
      <c r="AC116" s="84"/>
      <c r="AD116" s="51"/>
      <c r="AE116" s="84"/>
      <c r="AF116" s="51"/>
      <c r="AG116" s="84"/>
      <c r="AH116" s="51"/>
      <c r="AI116" s="84">
        <v>15</v>
      </c>
      <c r="AJ116" s="51">
        <f>+AI116*AR116</f>
        <v>3000</v>
      </c>
      <c r="AK116" s="84">
        <v>300</v>
      </c>
      <c r="AL116" s="51">
        <f>+AK116*AR116</f>
        <v>60000</v>
      </c>
      <c r="AM116" s="84">
        <v>30</v>
      </c>
      <c r="AN116" s="51">
        <f t="shared" si="31"/>
        <v>6000</v>
      </c>
      <c r="AO116" s="84"/>
      <c r="AP116" s="51"/>
      <c r="AQ116" s="84">
        <f t="shared" si="24"/>
        <v>551</v>
      </c>
      <c r="AR116" s="169">
        <v>200</v>
      </c>
      <c r="AS116" s="164">
        <f>+AQ116*AR116</f>
        <v>110200</v>
      </c>
    </row>
    <row r="117" spans="1:50" ht="14.25" hidden="1">
      <c r="A117" s="57">
        <v>104</v>
      </c>
      <c r="B117" s="47" t="s">
        <v>194</v>
      </c>
      <c r="C117" s="53" t="s">
        <v>15</v>
      </c>
      <c r="D117" s="46" t="s">
        <v>192</v>
      </c>
      <c r="E117" s="53" t="s">
        <v>195</v>
      </c>
      <c r="F117" s="50" t="s">
        <v>12</v>
      </c>
      <c r="G117" s="48"/>
      <c r="H117" s="58">
        <f t="shared" ref="H117" si="40">+AR117*G117</f>
        <v>0</v>
      </c>
      <c r="I117" s="58"/>
      <c r="J117" s="58"/>
      <c r="K117" s="52"/>
      <c r="L117" s="73">
        <f t="shared" si="36"/>
        <v>0</v>
      </c>
      <c r="M117" s="84"/>
      <c r="N117" s="51">
        <f t="shared" si="37"/>
        <v>0</v>
      </c>
      <c r="O117" s="52">
        <v>10</v>
      </c>
      <c r="P117" s="51">
        <f t="shared" si="38"/>
        <v>550</v>
      </c>
      <c r="Q117" s="84"/>
      <c r="R117" s="51">
        <f t="shared" si="39"/>
        <v>0</v>
      </c>
      <c r="S117" s="52"/>
      <c r="T117" s="51"/>
      <c r="U117" s="84"/>
      <c r="V117" s="51"/>
      <c r="W117" s="84"/>
      <c r="X117" s="51"/>
      <c r="Y117" s="84">
        <v>10</v>
      </c>
      <c r="Z117" s="51">
        <f>+Y117*AR117</f>
        <v>550</v>
      </c>
      <c r="AA117" s="84"/>
      <c r="AB117" s="51"/>
      <c r="AC117" s="84"/>
      <c r="AD117" s="51"/>
      <c r="AE117" s="84"/>
      <c r="AF117" s="51"/>
      <c r="AG117" s="84"/>
      <c r="AH117" s="51"/>
      <c r="AI117" s="84">
        <v>30</v>
      </c>
      <c r="AJ117" s="51">
        <f>+AI117*AR117</f>
        <v>1650</v>
      </c>
      <c r="AK117" s="84">
        <v>50</v>
      </c>
      <c r="AL117" s="51">
        <f t="shared" ref="AL117:AL142" si="41">+AK117*AR117</f>
        <v>2750</v>
      </c>
      <c r="AM117" s="84">
        <v>12</v>
      </c>
      <c r="AN117" s="51">
        <f t="shared" si="31"/>
        <v>660</v>
      </c>
      <c r="AO117" s="84"/>
      <c r="AP117" s="51"/>
      <c r="AQ117" s="84">
        <f t="shared" si="24"/>
        <v>112</v>
      </c>
      <c r="AR117" s="169">
        <v>55</v>
      </c>
      <c r="AS117" s="164">
        <f t="shared" ref="AS117:AS150" si="42">+AQ117*AR117</f>
        <v>6160</v>
      </c>
    </row>
    <row r="118" spans="1:50" ht="14.25" hidden="1">
      <c r="A118" s="57">
        <v>105</v>
      </c>
      <c r="B118" s="47" t="s">
        <v>196</v>
      </c>
      <c r="C118" s="53" t="s">
        <v>15</v>
      </c>
      <c r="D118" s="46" t="s">
        <v>192</v>
      </c>
      <c r="E118" s="53" t="s">
        <v>197</v>
      </c>
      <c r="F118" s="50" t="s">
        <v>177</v>
      </c>
      <c r="G118" s="48">
        <v>10</v>
      </c>
      <c r="H118" s="58">
        <f>+AR118*G118</f>
        <v>3300</v>
      </c>
      <c r="I118" s="58"/>
      <c r="J118" s="58"/>
      <c r="K118" s="52"/>
      <c r="L118" s="73">
        <f t="shared" si="36"/>
        <v>0</v>
      </c>
      <c r="M118" s="84"/>
      <c r="N118" s="51">
        <f t="shared" si="37"/>
        <v>0</v>
      </c>
      <c r="O118" s="52">
        <v>25</v>
      </c>
      <c r="P118" s="51">
        <f t="shared" si="38"/>
        <v>8250</v>
      </c>
      <c r="Q118" s="84"/>
      <c r="R118" s="51">
        <f t="shared" si="39"/>
        <v>0</v>
      </c>
      <c r="S118" s="52">
        <v>100</v>
      </c>
      <c r="T118" s="51">
        <f>+S118*AR118</f>
        <v>33000</v>
      </c>
      <c r="U118" s="84">
        <v>50</v>
      </c>
      <c r="V118" s="51">
        <f>+U118*AR118</f>
        <v>16500</v>
      </c>
      <c r="W118" s="84">
        <f>50*3</f>
        <v>150</v>
      </c>
      <c r="X118" s="51">
        <f>+W118*AR118</f>
        <v>49500</v>
      </c>
      <c r="Y118" s="84">
        <v>10</v>
      </c>
      <c r="Z118" s="51">
        <f>+Y118*AR118</f>
        <v>3300</v>
      </c>
      <c r="AA118" s="84"/>
      <c r="AB118" s="51"/>
      <c r="AC118" s="84"/>
      <c r="AD118" s="51"/>
      <c r="AE118" s="84"/>
      <c r="AF118" s="51"/>
      <c r="AG118" s="84"/>
      <c r="AH118" s="51"/>
      <c r="AI118" s="84">
        <v>10</v>
      </c>
      <c r="AJ118" s="51">
        <f>+AI118*AR118</f>
        <v>3300</v>
      </c>
      <c r="AK118" s="84">
        <v>50</v>
      </c>
      <c r="AL118" s="51">
        <f t="shared" si="41"/>
        <v>16500</v>
      </c>
      <c r="AM118" s="84">
        <f>20+51+5+36+4</f>
        <v>116</v>
      </c>
      <c r="AN118" s="51">
        <f t="shared" si="31"/>
        <v>38280</v>
      </c>
      <c r="AO118" s="84"/>
      <c r="AP118" s="51"/>
      <c r="AQ118" s="84">
        <f t="shared" si="24"/>
        <v>521</v>
      </c>
      <c r="AR118" s="169">
        <v>330</v>
      </c>
      <c r="AS118" s="164">
        <f t="shared" si="42"/>
        <v>171930</v>
      </c>
    </row>
    <row r="119" spans="1:50" ht="42.75" hidden="1">
      <c r="A119" s="57">
        <v>106</v>
      </c>
      <c r="B119" s="47" t="s">
        <v>199</v>
      </c>
      <c r="C119" s="53" t="s">
        <v>15</v>
      </c>
      <c r="D119" s="46" t="s">
        <v>192</v>
      </c>
      <c r="E119" s="53" t="s">
        <v>198</v>
      </c>
      <c r="F119" s="50" t="s">
        <v>12</v>
      </c>
      <c r="G119" s="57">
        <v>10</v>
      </c>
      <c r="H119" s="48">
        <f>+AR119*G119</f>
        <v>2200</v>
      </c>
      <c r="I119" s="48"/>
      <c r="J119" s="48"/>
      <c r="K119" s="52"/>
      <c r="L119" s="73">
        <f t="shared" si="36"/>
        <v>0</v>
      </c>
      <c r="M119" s="84"/>
      <c r="N119" s="51">
        <f t="shared" si="37"/>
        <v>0</v>
      </c>
      <c r="O119" s="52">
        <v>25</v>
      </c>
      <c r="P119" s="51">
        <f t="shared" si="38"/>
        <v>5500</v>
      </c>
      <c r="Q119" s="84"/>
      <c r="R119" s="51">
        <f t="shared" si="39"/>
        <v>0</v>
      </c>
      <c r="S119" s="52">
        <v>50</v>
      </c>
      <c r="T119" s="51">
        <f>+S119*AR119</f>
        <v>11000</v>
      </c>
      <c r="U119" s="84"/>
      <c r="V119" s="51"/>
      <c r="W119" s="84"/>
      <c r="X119" s="51"/>
      <c r="Y119" s="84"/>
      <c r="Z119" s="51"/>
      <c r="AA119" s="84"/>
      <c r="AB119" s="51"/>
      <c r="AC119" s="84"/>
      <c r="AD119" s="51"/>
      <c r="AE119" s="84"/>
      <c r="AF119" s="51"/>
      <c r="AG119" s="84"/>
      <c r="AH119" s="51"/>
      <c r="AI119" s="84">
        <v>20</v>
      </c>
      <c r="AJ119" s="51">
        <f t="shared" ref="AJ119:AJ139" si="43">+AI119*AR119</f>
        <v>4400</v>
      </c>
      <c r="AK119" s="84">
        <v>100</v>
      </c>
      <c r="AL119" s="51">
        <f t="shared" si="41"/>
        <v>22000</v>
      </c>
      <c r="AM119" s="84">
        <v>3</v>
      </c>
      <c r="AN119" s="51">
        <f t="shared" si="31"/>
        <v>660</v>
      </c>
      <c r="AO119" s="84"/>
      <c r="AP119" s="51"/>
      <c r="AQ119" s="84">
        <f t="shared" si="24"/>
        <v>208</v>
      </c>
      <c r="AR119" s="169">
        <v>220</v>
      </c>
      <c r="AS119" s="164">
        <f t="shared" si="42"/>
        <v>45760</v>
      </c>
    </row>
    <row r="120" spans="1:50" ht="28.5" hidden="1">
      <c r="A120" s="57">
        <v>107</v>
      </c>
      <c r="B120" s="47" t="s">
        <v>200</v>
      </c>
      <c r="C120" s="53" t="s">
        <v>15</v>
      </c>
      <c r="D120" s="46" t="s">
        <v>192</v>
      </c>
      <c r="E120" s="53" t="s">
        <v>201</v>
      </c>
      <c r="F120" s="50" t="s">
        <v>130</v>
      </c>
      <c r="G120" s="57">
        <v>10</v>
      </c>
      <c r="H120" s="48">
        <f>+AR120*G120</f>
        <v>1844.3000000000002</v>
      </c>
      <c r="I120" s="48"/>
      <c r="J120" s="48"/>
      <c r="K120" s="52"/>
      <c r="L120" s="73">
        <f t="shared" si="36"/>
        <v>0</v>
      </c>
      <c r="M120" s="84"/>
      <c r="N120" s="51">
        <f t="shared" si="37"/>
        <v>0</v>
      </c>
      <c r="O120" s="52"/>
      <c r="P120" s="51">
        <f t="shared" si="38"/>
        <v>0</v>
      </c>
      <c r="Q120" s="84"/>
      <c r="R120" s="51">
        <f t="shared" si="39"/>
        <v>0</v>
      </c>
      <c r="S120" s="52"/>
      <c r="T120" s="51"/>
      <c r="U120" s="84"/>
      <c r="V120" s="51"/>
      <c r="W120" s="84"/>
      <c r="X120" s="51"/>
      <c r="Y120" s="84"/>
      <c r="Z120" s="51"/>
      <c r="AA120" s="84">
        <v>13.333333333333334</v>
      </c>
      <c r="AB120" s="51">
        <f>+AA120+AR120</f>
        <v>197.76333333333335</v>
      </c>
      <c r="AC120" s="84"/>
      <c r="AD120" s="51"/>
      <c r="AE120" s="84"/>
      <c r="AF120" s="51"/>
      <c r="AG120" s="84"/>
      <c r="AH120" s="51"/>
      <c r="AI120" s="84">
        <v>10</v>
      </c>
      <c r="AJ120" s="51">
        <f t="shared" si="43"/>
        <v>1844.3000000000002</v>
      </c>
      <c r="AK120" s="84">
        <v>50</v>
      </c>
      <c r="AL120" s="51">
        <f t="shared" si="41"/>
        <v>9221.5</v>
      </c>
      <c r="AM120" s="84">
        <v>10</v>
      </c>
      <c r="AN120" s="51">
        <f t="shared" si="31"/>
        <v>1844.3000000000002</v>
      </c>
      <c r="AO120" s="84"/>
      <c r="AP120" s="51"/>
      <c r="AQ120" s="84">
        <f t="shared" si="24"/>
        <v>93.333333333333329</v>
      </c>
      <c r="AR120" s="169">
        <v>184.43</v>
      </c>
      <c r="AS120" s="164">
        <f t="shared" si="42"/>
        <v>17213.466666666667</v>
      </c>
    </row>
    <row r="121" spans="1:50" ht="28.5" hidden="1">
      <c r="A121" s="57">
        <v>108</v>
      </c>
      <c r="B121" s="47" t="s">
        <v>432</v>
      </c>
      <c r="C121" s="53" t="s">
        <v>15</v>
      </c>
      <c r="D121" s="46" t="s">
        <v>192</v>
      </c>
      <c r="E121" s="53" t="s">
        <v>431</v>
      </c>
      <c r="F121" s="50" t="s">
        <v>130</v>
      </c>
      <c r="G121" s="57">
        <v>20</v>
      </c>
      <c r="H121" s="48">
        <f>+AR121*G121</f>
        <v>4000</v>
      </c>
      <c r="I121" s="48"/>
      <c r="J121" s="48"/>
      <c r="K121" s="109"/>
      <c r="L121" s="73">
        <f t="shared" si="36"/>
        <v>0</v>
      </c>
      <c r="M121" s="84"/>
      <c r="N121" s="51">
        <f t="shared" si="37"/>
        <v>0</v>
      </c>
      <c r="O121" s="52"/>
      <c r="P121" s="51">
        <f t="shared" si="38"/>
        <v>0</v>
      </c>
      <c r="Q121" s="84">
        <v>100</v>
      </c>
      <c r="R121" s="51">
        <f t="shared" si="39"/>
        <v>20000</v>
      </c>
      <c r="S121" s="52">
        <v>100</v>
      </c>
      <c r="T121" s="51">
        <f>+S121*AR121</f>
        <v>20000</v>
      </c>
      <c r="U121" s="84"/>
      <c r="V121" s="51"/>
      <c r="W121" s="84">
        <f>1000*3</f>
        <v>3000</v>
      </c>
      <c r="X121" s="51">
        <f>+W121*AR121</f>
        <v>600000</v>
      </c>
      <c r="Y121" s="84"/>
      <c r="Z121" s="51"/>
      <c r="AA121" s="84">
        <v>13</v>
      </c>
      <c r="AB121" s="51">
        <f>+AA121*AR121</f>
        <v>2600</v>
      </c>
      <c r="AC121" s="84"/>
      <c r="AD121" s="51"/>
      <c r="AE121" s="84"/>
      <c r="AF121" s="51"/>
      <c r="AG121" s="84"/>
      <c r="AH121" s="51"/>
      <c r="AI121" s="84">
        <v>100</v>
      </c>
      <c r="AJ121" s="51">
        <f t="shared" si="43"/>
        <v>20000</v>
      </c>
      <c r="AK121" s="84">
        <v>200</v>
      </c>
      <c r="AL121" s="51">
        <f t="shared" si="41"/>
        <v>40000</v>
      </c>
      <c r="AM121" s="84">
        <v>10</v>
      </c>
      <c r="AN121" s="51">
        <f t="shared" si="31"/>
        <v>2000</v>
      </c>
      <c r="AO121" s="84"/>
      <c r="AP121" s="51"/>
      <c r="AQ121" s="84">
        <f t="shared" si="24"/>
        <v>3543</v>
      </c>
      <c r="AR121" s="79">
        <v>200</v>
      </c>
      <c r="AS121" s="164">
        <f t="shared" si="42"/>
        <v>708600</v>
      </c>
      <c r="AT121" s="334"/>
      <c r="AU121" s="393"/>
      <c r="AV121" s="393"/>
      <c r="AW121" s="393"/>
      <c r="AX121" s="12" t="s">
        <v>363</v>
      </c>
    </row>
    <row r="122" spans="1:50" ht="28.5" hidden="1">
      <c r="A122" s="57">
        <v>109</v>
      </c>
      <c r="B122" s="47" t="s">
        <v>436</v>
      </c>
      <c r="C122" s="53" t="s">
        <v>15</v>
      </c>
      <c r="D122" s="46" t="s">
        <v>192</v>
      </c>
      <c r="E122" s="53" t="s">
        <v>435</v>
      </c>
      <c r="F122" s="50" t="s">
        <v>130</v>
      </c>
      <c r="G122" s="57"/>
      <c r="H122" s="48"/>
      <c r="I122" s="48"/>
      <c r="J122" s="48"/>
      <c r="K122" s="109"/>
      <c r="L122" s="73">
        <f t="shared" si="36"/>
        <v>0</v>
      </c>
      <c r="M122" s="84"/>
      <c r="N122" s="51">
        <f t="shared" si="37"/>
        <v>0</v>
      </c>
      <c r="O122" s="52"/>
      <c r="P122" s="51">
        <f t="shared" si="38"/>
        <v>0</v>
      </c>
      <c r="Q122" s="84">
        <v>30</v>
      </c>
      <c r="R122" s="51">
        <f t="shared" si="39"/>
        <v>5550</v>
      </c>
      <c r="S122" s="52"/>
      <c r="T122" s="51"/>
      <c r="U122" s="84"/>
      <c r="V122" s="51"/>
      <c r="W122" s="84">
        <f>500*3</f>
        <v>1500</v>
      </c>
      <c r="X122" s="51">
        <f>+W122*AR122</f>
        <v>277500</v>
      </c>
      <c r="Y122" s="84"/>
      <c r="Z122" s="51"/>
      <c r="AA122" s="84"/>
      <c r="AB122" s="51"/>
      <c r="AC122" s="84"/>
      <c r="AD122" s="51"/>
      <c r="AE122" s="84"/>
      <c r="AF122" s="51"/>
      <c r="AG122" s="84"/>
      <c r="AH122" s="51"/>
      <c r="AI122" s="84"/>
      <c r="AJ122" s="51">
        <f t="shared" si="43"/>
        <v>0</v>
      </c>
      <c r="AK122" s="84"/>
      <c r="AL122" s="51">
        <f t="shared" si="41"/>
        <v>0</v>
      </c>
      <c r="AM122" s="84">
        <v>30</v>
      </c>
      <c r="AN122" s="51">
        <f t="shared" si="31"/>
        <v>5550</v>
      </c>
      <c r="AO122" s="84"/>
      <c r="AP122" s="51"/>
      <c r="AQ122" s="84">
        <f t="shared" si="24"/>
        <v>1560</v>
      </c>
      <c r="AR122" s="79">
        <v>185</v>
      </c>
      <c r="AS122" s="164">
        <f t="shared" si="42"/>
        <v>288600</v>
      </c>
      <c r="AT122" s="373"/>
      <c r="AU122" s="374" t="s">
        <v>103</v>
      </c>
      <c r="AV122" s="374" t="s">
        <v>103</v>
      </c>
      <c r="AW122" s="374" t="s">
        <v>103</v>
      </c>
      <c r="AX122" s="374" t="s">
        <v>103</v>
      </c>
    </row>
    <row r="123" spans="1:50" ht="14.25" hidden="1">
      <c r="A123" s="57">
        <v>110</v>
      </c>
      <c r="B123" s="107" t="s">
        <v>207</v>
      </c>
      <c r="C123" s="53" t="s">
        <v>15</v>
      </c>
      <c r="D123" s="46" t="s">
        <v>192</v>
      </c>
      <c r="E123" s="57" t="s">
        <v>208</v>
      </c>
      <c r="F123" s="57" t="s">
        <v>12</v>
      </c>
      <c r="G123" s="57">
        <v>10</v>
      </c>
      <c r="H123" s="113">
        <f>+G123*AR123</f>
        <v>1500</v>
      </c>
      <c r="I123" s="48"/>
      <c r="J123" s="48"/>
      <c r="K123" s="109">
        <v>30</v>
      </c>
      <c r="L123" s="73">
        <f t="shared" si="36"/>
        <v>4500</v>
      </c>
      <c r="M123" s="84"/>
      <c r="N123" s="51">
        <f t="shared" si="37"/>
        <v>0</v>
      </c>
      <c r="O123" s="52">
        <v>30</v>
      </c>
      <c r="P123" s="51">
        <f t="shared" si="38"/>
        <v>4500</v>
      </c>
      <c r="Q123" s="84"/>
      <c r="R123" s="51">
        <f t="shared" si="39"/>
        <v>0</v>
      </c>
      <c r="S123" s="52">
        <v>200</v>
      </c>
      <c r="T123" s="51">
        <f>+S123*AR123</f>
        <v>30000</v>
      </c>
      <c r="U123" s="84"/>
      <c r="V123" s="51"/>
      <c r="W123" s="84">
        <f>20*3</f>
        <v>60</v>
      </c>
      <c r="X123" s="51">
        <f>+W123*AR123</f>
        <v>9000</v>
      </c>
      <c r="Y123" s="84">
        <v>15</v>
      </c>
      <c r="Z123" s="51">
        <f>+Y123*AR123</f>
        <v>2250</v>
      </c>
      <c r="AA123" s="84">
        <v>15</v>
      </c>
      <c r="AB123" s="51">
        <f>+AA123*AR123</f>
        <v>2250</v>
      </c>
      <c r="AC123" s="84"/>
      <c r="AD123" s="51"/>
      <c r="AE123" s="84"/>
      <c r="AF123" s="51"/>
      <c r="AG123" s="84"/>
      <c r="AH123" s="51"/>
      <c r="AI123" s="84">
        <v>30</v>
      </c>
      <c r="AJ123" s="51">
        <f t="shared" si="43"/>
        <v>4500</v>
      </c>
      <c r="AK123" s="84">
        <v>100</v>
      </c>
      <c r="AL123" s="51">
        <f t="shared" si="41"/>
        <v>15000</v>
      </c>
      <c r="AM123" s="84">
        <v>36</v>
      </c>
      <c r="AN123" s="51">
        <f t="shared" si="31"/>
        <v>5400</v>
      </c>
      <c r="AO123" s="84"/>
      <c r="AP123" s="51"/>
      <c r="AQ123" s="84">
        <f t="shared" si="24"/>
        <v>526</v>
      </c>
      <c r="AR123" s="79">
        <v>150</v>
      </c>
      <c r="AS123" s="164">
        <f t="shared" si="42"/>
        <v>78900</v>
      </c>
      <c r="AT123" s="373"/>
      <c r="AU123" s="374" t="s">
        <v>361</v>
      </c>
      <c r="AV123" s="374" t="s">
        <v>361</v>
      </c>
      <c r="AW123" s="374" t="s">
        <v>361</v>
      </c>
      <c r="AX123" s="374" t="s">
        <v>361</v>
      </c>
    </row>
    <row r="124" spans="1:50" ht="14.25" hidden="1">
      <c r="A124" s="57">
        <v>111</v>
      </c>
      <c r="B124" s="107" t="s">
        <v>100</v>
      </c>
      <c r="C124" s="53" t="s">
        <v>15</v>
      </c>
      <c r="D124" s="46" t="s">
        <v>192</v>
      </c>
      <c r="E124" s="57" t="s">
        <v>101</v>
      </c>
      <c r="F124" s="57" t="s">
        <v>12</v>
      </c>
      <c r="G124" s="57">
        <v>20</v>
      </c>
      <c r="H124" s="113">
        <f>+G124*AR124</f>
        <v>9000</v>
      </c>
      <c r="I124" s="48"/>
      <c r="J124" s="48"/>
      <c r="K124" s="109">
        <v>12</v>
      </c>
      <c r="L124" s="73">
        <f t="shared" si="36"/>
        <v>5400</v>
      </c>
      <c r="M124" s="84"/>
      <c r="N124" s="51">
        <f t="shared" si="37"/>
        <v>0</v>
      </c>
      <c r="O124" s="52">
        <v>10</v>
      </c>
      <c r="P124" s="51">
        <f t="shared" si="38"/>
        <v>4500</v>
      </c>
      <c r="Q124" s="84"/>
      <c r="R124" s="51">
        <f t="shared" si="39"/>
        <v>0</v>
      </c>
      <c r="S124" s="52"/>
      <c r="T124" s="51"/>
      <c r="U124" s="84">
        <v>60</v>
      </c>
      <c r="V124" s="51">
        <f>+U124*AR124</f>
        <v>27000</v>
      </c>
      <c r="W124" s="84"/>
      <c r="X124" s="51"/>
      <c r="Y124" s="84"/>
      <c r="Z124" s="51"/>
      <c r="AA124" s="84">
        <v>10</v>
      </c>
      <c r="AB124" s="51">
        <f>+AA124*AR124</f>
        <v>4500</v>
      </c>
      <c r="AC124" s="84"/>
      <c r="AD124" s="51"/>
      <c r="AE124" s="84"/>
      <c r="AF124" s="51"/>
      <c r="AG124" s="84"/>
      <c r="AH124" s="51"/>
      <c r="AI124" s="84"/>
      <c r="AJ124" s="51">
        <f t="shared" si="43"/>
        <v>0</v>
      </c>
      <c r="AK124" s="84">
        <v>50</v>
      </c>
      <c r="AL124" s="51">
        <f t="shared" si="41"/>
        <v>22500</v>
      </c>
      <c r="AM124" s="84">
        <f>15+36</f>
        <v>51</v>
      </c>
      <c r="AN124" s="51">
        <f t="shared" si="31"/>
        <v>22950</v>
      </c>
      <c r="AO124" s="84"/>
      <c r="AP124" s="51"/>
      <c r="AQ124" s="84">
        <f t="shared" si="24"/>
        <v>213</v>
      </c>
      <c r="AR124" s="79">
        <v>450</v>
      </c>
      <c r="AS124" s="164">
        <f t="shared" si="42"/>
        <v>95850</v>
      </c>
      <c r="AT124" s="334"/>
      <c r="AU124" s="393"/>
      <c r="AV124" s="393"/>
      <c r="AW124" s="393"/>
      <c r="AX124" s="394"/>
    </row>
    <row r="125" spans="1:50" ht="28.5" hidden="1">
      <c r="A125" s="57">
        <v>112</v>
      </c>
      <c r="B125" s="131" t="s">
        <v>350</v>
      </c>
      <c r="C125" s="53" t="s">
        <v>15</v>
      </c>
      <c r="D125" s="46" t="s">
        <v>192</v>
      </c>
      <c r="E125" s="57" t="s">
        <v>102</v>
      </c>
      <c r="F125" s="118" t="s">
        <v>12</v>
      </c>
      <c r="G125" s="57"/>
      <c r="H125" s="48"/>
      <c r="I125" s="48"/>
      <c r="J125" s="48"/>
      <c r="K125" s="109">
        <v>40</v>
      </c>
      <c r="L125" s="73">
        <f t="shared" si="36"/>
        <v>6000</v>
      </c>
      <c r="M125" s="84"/>
      <c r="N125" s="51">
        <f t="shared" si="37"/>
        <v>0</v>
      </c>
      <c r="O125" s="52"/>
      <c r="P125" s="51">
        <f t="shared" si="38"/>
        <v>0</v>
      </c>
      <c r="Q125" s="84"/>
      <c r="R125" s="51">
        <f t="shared" si="39"/>
        <v>0</v>
      </c>
      <c r="S125" s="52"/>
      <c r="T125" s="51"/>
      <c r="U125" s="84"/>
      <c r="V125" s="51"/>
      <c r="W125" s="84"/>
      <c r="X125" s="51"/>
      <c r="Y125" s="84"/>
      <c r="Z125" s="51"/>
      <c r="AA125" s="84"/>
      <c r="AB125" s="51"/>
      <c r="AC125" s="84"/>
      <c r="AD125" s="51"/>
      <c r="AE125" s="84"/>
      <c r="AF125" s="51"/>
      <c r="AG125" s="84"/>
      <c r="AH125" s="51"/>
      <c r="AI125" s="84">
        <v>30</v>
      </c>
      <c r="AJ125" s="51">
        <f t="shared" si="43"/>
        <v>4500</v>
      </c>
      <c r="AK125" s="84">
        <v>100</v>
      </c>
      <c r="AL125" s="51">
        <f t="shared" si="41"/>
        <v>15000</v>
      </c>
      <c r="AM125" s="84">
        <v>30</v>
      </c>
      <c r="AN125" s="51">
        <f t="shared" si="31"/>
        <v>4500</v>
      </c>
      <c r="AO125" s="84"/>
      <c r="AP125" s="51"/>
      <c r="AQ125" s="84">
        <f t="shared" si="24"/>
        <v>200</v>
      </c>
      <c r="AR125" s="79">
        <v>150</v>
      </c>
      <c r="AS125" s="164">
        <f t="shared" si="42"/>
        <v>30000</v>
      </c>
      <c r="AT125" s="373"/>
      <c r="AU125" s="374" t="s">
        <v>359</v>
      </c>
      <c r="AV125" s="374" t="s">
        <v>359</v>
      </c>
      <c r="AW125" s="374" t="s">
        <v>359</v>
      </c>
      <c r="AX125" s="374" t="s">
        <v>359</v>
      </c>
    </row>
    <row r="126" spans="1:50" ht="14.25" hidden="1">
      <c r="A126" s="57">
        <v>113</v>
      </c>
      <c r="B126" s="131" t="s">
        <v>349</v>
      </c>
      <c r="C126" s="53" t="s">
        <v>15</v>
      </c>
      <c r="D126" s="46" t="s">
        <v>192</v>
      </c>
      <c r="E126" s="57" t="s">
        <v>362</v>
      </c>
      <c r="F126" s="118" t="s">
        <v>12</v>
      </c>
      <c r="G126" s="57"/>
      <c r="H126" s="48"/>
      <c r="I126" s="48"/>
      <c r="J126" s="48"/>
      <c r="K126" s="109"/>
      <c r="L126" s="73">
        <f t="shared" si="36"/>
        <v>0</v>
      </c>
      <c r="M126" s="84"/>
      <c r="N126" s="51">
        <f t="shared" si="37"/>
        <v>0</v>
      </c>
      <c r="O126" s="52"/>
      <c r="P126" s="51">
        <f t="shared" si="38"/>
        <v>0</v>
      </c>
      <c r="Q126" s="84"/>
      <c r="R126" s="51">
        <f t="shared" si="39"/>
        <v>0</v>
      </c>
      <c r="S126" s="52">
        <v>50</v>
      </c>
      <c r="T126" s="51">
        <f>+S126*AR126</f>
        <v>15000</v>
      </c>
      <c r="U126" s="84"/>
      <c r="V126" s="51"/>
      <c r="W126" s="84"/>
      <c r="X126" s="51"/>
      <c r="Y126" s="84"/>
      <c r="Z126" s="51"/>
      <c r="AA126" s="84"/>
      <c r="AB126" s="51"/>
      <c r="AC126" s="84"/>
      <c r="AD126" s="51"/>
      <c r="AE126" s="84"/>
      <c r="AF126" s="51"/>
      <c r="AG126" s="84"/>
      <c r="AH126" s="51"/>
      <c r="AI126" s="84">
        <v>2</v>
      </c>
      <c r="AJ126" s="51">
        <f t="shared" si="43"/>
        <v>600</v>
      </c>
      <c r="AK126" s="84">
        <v>150</v>
      </c>
      <c r="AL126" s="51">
        <f t="shared" si="41"/>
        <v>45000</v>
      </c>
      <c r="AM126" s="84">
        <v>10</v>
      </c>
      <c r="AN126" s="51">
        <f t="shared" si="31"/>
        <v>3000</v>
      </c>
      <c r="AO126" s="84"/>
      <c r="AP126" s="51"/>
      <c r="AQ126" s="84">
        <f t="shared" si="24"/>
        <v>212</v>
      </c>
      <c r="AR126" s="79">
        <v>300</v>
      </c>
      <c r="AS126" s="164">
        <f t="shared" si="42"/>
        <v>63600</v>
      </c>
      <c r="AT126" s="373"/>
      <c r="AU126" s="374" t="s">
        <v>357</v>
      </c>
      <c r="AV126" s="374" t="s">
        <v>357</v>
      </c>
      <c r="AW126" s="374" t="s">
        <v>357</v>
      </c>
      <c r="AX126" s="374" t="s">
        <v>357</v>
      </c>
    </row>
    <row r="127" spans="1:50" ht="14.25" hidden="1">
      <c r="A127" s="57">
        <v>114</v>
      </c>
      <c r="B127" s="131" t="s">
        <v>108</v>
      </c>
      <c r="C127" s="53" t="s">
        <v>15</v>
      </c>
      <c r="D127" s="46" t="s">
        <v>192</v>
      </c>
      <c r="E127" s="57" t="s">
        <v>109</v>
      </c>
      <c r="F127" s="118" t="s">
        <v>12</v>
      </c>
      <c r="G127" s="57"/>
      <c r="H127" s="48"/>
      <c r="I127" s="48"/>
      <c r="J127" s="48"/>
      <c r="K127" s="109">
        <v>10</v>
      </c>
      <c r="L127" s="73">
        <f t="shared" si="36"/>
        <v>1850</v>
      </c>
      <c r="M127" s="84"/>
      <c r="N127" s="51">
        <f t="shared" si="37"/>
        <v>0</v>
      </c>
      <c r="O127" s="52"/>
      <c r="P127" s="51">
        <f t="shared" si="38"/>
        <v>0</v>
      </c>
      <c r="Q127" s="84"/>
      <c r="R127" s="51">
        <f t="shared" si="39"/>
        <v>0</v>
      </c>
      <c r="S127" s="52"/>
      <c r="T127" s="51"/>
      <c r="U127" s="84"/>
      <c r="V127" s="51"/>
      <c r="W127" s="84"/>
      <c r="X127" s="51"/>
      <c r="Y127" s="84"/>
      <c r="Z127" s="51"/>
      <c r="AA127" s="84"/>
      <c r="AB127" s="51"/>
      <c r="AC127" s="84"/>
      <c r="AD127" s="51"/>
      <c r="AE127" s="84"/>
      <c r="AF127" s="51"/>
      <c r="AG127" s="84"/>
      <c r="AH127" s="51"/>
      <c r="AI127" s="84"/>
      <c r="AJ127" s="51">
        <f t="shared" si="43"/>
        <v>0</v>
      </c>
      <c r="AK127" s="84"/>
      <c r="AL127" s="51">
        <f t="shared" si="41"/>
        <v>0</v>
      </c>
      <c r="AM127" s="84">
        <v>10</v>
      </c>
      <c r="AN127" s="51">
        <f t="shared" si="31"/>
        <v>1850</v>
      </c>
      <c r="AO127" s="84"/>
      <c r="AP127" s="51"/>
      <c r="AQ127" s="84">
        <f t="shared" si="24"/>
        <v>20</v>
      </c>
      <c r="AR127" s="79">
        <v>185</v>
      </c>
      <c r="AS127" s="164">
        <f t="shared" si="42"/>
        <v>3700</v>
      </c>
      <c r="AT127" s="334"/>
      <c r="AU127" s="393"/>
      <c r="AV127" s="393"/>
      <c r="AW127" s="393"/>
      <c r="AX127" s="394"/>
    </row>
    <row r="128" spans="1:50" ht="28.5" hidden="1">
      <c r="A128" s="57">
        <v>115</v>
      </c>
      <c r="B128" s="131" t="s">
        <v>104</v>
      </c>
      <c r="C128" s="53" t="s">
        <v>15</v>
      </c>
      <c r="D128" s="46" t="s">
        <v>192</v>
      </c>
      <c r="E128" s="57" t="s">
        <v>105</v>
      </c>
      <c r="F128" s="118" t="s">
        <v>12</v>
      </c>
      <c r="G128" s="57"/>
      <c r="H128" s="48"/>
      <c r="I128" s="48"/>
      <c r="J128" s="48"/>
      <c r="K128" s="109">
        <v>5</v>
      </c>
      <c r="L128" s="73">
        <f t="shared" si="36"/>
        <v>2250</v>
      </c>
      <c r="M128" s="84"/>
      <c r="N128" s="51">
        <f t="shared" si="37"/>
        <v>0</v>
      </c>
      <c r="O128" s="52">
        <v>2</v>
      </c>
      <c r="P128" s="51">
        <f t="shared" si="38"/>
        <v>900</v>
      </c>
      <c r="Q128" s="84"/>
      <c r="R128" s="51">
        <f t="shared" si="39"/>
        <v>0</v>
      </c>
      <c r="S128" s="52"/>
      <c r="T128" s="51"/>
      <c r="U128" s="84"/>
      <c r="V128" s="51"/>
      <c r="W128" s="84"/>
      <c r="X128" s="51"/>
      <c r="Y128" s="84"/>
      <c r="Z128" s="51"/>
      <c r="AA128" s="84"/>
      <c r="AB128" s="51"/>
      <c r="AC128" s="84"/>
      <c r="AD128" s="51"/>
      <c r="AE128" s="84"/>
      <c r="AF128" s="51"/>
      <c r="AG128" s="84"/>
      <c r="AH128" s="51"/>
      <c r="AI128" s="84"/>
      <c r="AJ128" s="51">
        <f t="shared" si="43"/>
        <v>0</v>
      </c>
      <c r="AK128" s="84"/>
      <c r="AL128" s="51">
        <f t="shared" si="41"/>
        <v>0</v>
      </c>
      <c r="AM128" s="84"/>
      <c r="AN128" s="51">
        <f t="shared" si="31"/>
        <v>0</v>
      </c>
      <c r="AO128" s="84"/>
      <c r="AP128" s="51"/>
      <c r="AQ128" s="84">
        <f t="shared" si="24"/>
        <v>7</v>
      </c>
      <c r="AR128" s="79">
        <v>450</v>
      </c>
      <c r="AS128" s="164">
        <f t="shared" si="42"/>
        <v>3150</v>
      </c>
      <c r="AT128" s="365"/>
      <c r="AU128" s="366"/>
      <c r="AV128" s="366"/>
      <c r="AW128" s="366"/>
      <c r="AX128" s="367"/>
    </row>
    <row r="129" spans="1:50" ht="14.25" hidden="1">
      <c r="A129" s="57">
        <v>116</v>
      </c>
      <c r="B129" s="131" t="s">
        <v>348</v>
      </c>
      <c r="C129" s="53" t="s">
        <v>15</v>
      </c>
      <c r="D129" s="46" t="s">
        <v>192</v>
      </c>
      <c r="E129" s="57" t="s">
        <v>360</v>
      </c>
      <c r="F129" s="118" t="s">
        <v>12</v>
      </c>
      <c r="G129" s="57"/>
      <c r="H129" s="48"/>
      <c r="I129" s="48"/>
      <c r="J129" s="48"/>
      <c r="K129" s="109">
        <v>8</v>
      </c>
      <c r="L129" s="73">
        <f t="shared" si="36"/>
        <v>2040</v>
      </c>
      <c r="M129" s="84"/>
      <c r="N129" s="51">
        <f t="shared" si="37"/>
        <v>0</v>
      </c>
      <c r="O129" s="52"/>
      <c r="P129" s="51">
        <f t="shared" si="38"/>
        <v>0</v>
      </c>
      <c r="Q129" s="84"/>
      <c r="R129" s="51">
        <f t="shared" si="39"/>
        <v>0</v>
      </c>
      <c r="S129" s="52"/>
      <c r="T129" s="51"/>
      <c r="U129" s="84"/>
      <c r="V129" s="51"/>
      <c r="W129" s="84"/>
      <c r="X129" s="51"/>
      <c r="Y129" s="84"/>
      <c r="Z129" s="51"/>
      <c r="AA129" s="84"/>
      <c r="AB129" s="51"/>
      <c r="AC129" s="84"/>
      <c r="AD129" s="51"/>
      <c r="AE129" s="84"/>
      <c r="AF129" s="51"/>
      <c r="AG129" s="84"/>
      <c r="AH129" s="51"/>
      <c r="AI129" s="84"/>
      <c r="AJ129" s="51">
        <f t="shared" si="43"/>
        <v>0</v>
      </c>
      <c r="AK129" s="84">
        <v>30</v>
      </c>
      <c r="AL129" s="51">
        <f t="shared" si="41"/>
        <v>7650</v>
      </c>
      <c r="AM129" s="84"/>
      <c r="AN129" s="51">
        <f t="shared" si="31"/>
        <v>0</v>
      </c>
      <c r="AO129" s="84"/>
      <c r="AP129" s="51"/>
      <c r="AQ129" s="84">
        <f t="shared" si="24"/>
        <v>38</v>
      </c>
      <c r="AR129" s="79">
        <v>255</v>
      </c>
      <c r="AS129" s="164">
        <f t="shared" si="42"/>
        <v>9690</v>
      </c>
      <c r="AT129" s="379"/>
      <c r="AU129" s="380"/>
      <c r="AV129" s="380"/>
      <c r="AW129" s="380"/>
      <c r="AX129" s="381"/>
    </row>
    <row r="130" spans="1:50" ht="14.25" hidden="1">
      <c r="A130" s="57">
        <v>117</v>
      </c>
      <c r="B130" s="131" t="s">
        <v>347</v>
      </c>
      <c r="C130" s="53" t="s">
        <v>15</v>
      </c>
      <c r="D130" s="46" t="s">
        <v>192</v>
      </c>
      <c r="E130" s="57" t="s">
        <v>358</v>
      </c>
      <c r="F130" s="118" t="s">
        <v>12</v>
      </c>
      <c r="G130" s="57"/>
      <c r="H130" s="48"/>
      <c r="I130" s="48"/>
      <c r="J130" s="48"/>
      <c r="K130" s="109">
        <v>5</v>
      </c>
      <c r="L130" s="73">
        <f t="shared" si="36"/>
        <v>2000</v>
      </c>
      <c r="M130" s="84"/>
      <c r="N130" s="51">
        <f t="shared" si="37"/>
        <v>0</v>
      </c>
      <c r="O130" s="52"/>
      <c r="P130" s="51">
        <f t="shared" si="38"/>
        <v>0</v>
      </c>
      <c r="Q130" s="84"/>
      <c r="R130" s="51">
        <f t="shared" si="39"/>
        <v>0</v>
      </c>
      <c r="S130" s="52"/>
      <c r="T130" s="51"/>
      <c r="U130" s="84"/>
      <c r="V130" s="51"/>
      <c r="W130" s="84"/>
      <c r="X130" s="51"/>
      <c r="Y130" s="84"/>
      <c r="Z130" s="51"/>
      <c r="AA130" s="84"/>
      <c r="AB130" s="51"/>
      <c r="AC130" s="84"/>
      <c r="AD130" s="51"/>
      <c r="AE130" s="84"/>
      <c r="AF130" s="51"/>
      <c r="AG130" s="84"/>
      <c r="AH130" s="51"/>
      <c r="AI130" s="84"/>
      <c r="AJ130" s="51">
        <f t="shared" si="43"/>
        <v>0</v>
      </c>
      <c r="AK130" s="84">
        <v>25</v>
      </c>
      <c r="AL130" s="51">
        <f t="shared" si="41"/>
        <v>10000</v>
      </c>
      <c r="AM130" s="84"/>
      <c r="AN130" s="51">
        <f t="shared" si="31"/>
        <v>0</v>
      </c>
      <c r="AO130" s="84"/>
      <c r="AP130" s="51"/>
      <c r="AQ130" s="84">
        <f t="shared" si="24"/>
        <v>30</v>
      </c>
      <c r="AR130" s="79">
        <v>400</v>
      </c>
      <c r="AS130" s="164">
        <f t="shared" si="42"/>
        <v>12000</v>
      </c>
      <c r="AT130" s="379"/>
      <c r="AU130" s="380"/>
      <c r="AV130" s="380"/>
      <c r="AW130" s="380"/>
      <c r="AX130" s="381"/>
    </row>
    <row r="131" spans="1:50" ht="28.5" hidden="1">
      <c r="A131" s="57">
        <v>118</v>
      </c>
      <c r="B131" s="131" t="s">
        <v>106</v>
      </c>
      <c r="C131" s="53" t="s">
        <v>15</v>
      </c>
      <c r="D131" s="46" t="s">
        <v>192</v>
      </c>
      <c r="E131" s="57" t="s">
        <v>107</v>
      </c>
      <c r="F131" s="118" t="s">
        <v>71</v>
      </c>
      <c r="G131" s="57"/>
      <c r="H131" s="48"/>
      <c r="I131" s="48"/>
      <c r="J131" s="48"/>
      <c r="K131" s="109">
        <v>10</v>
      </c>
      <c r="L131" s="73">
        <f t="shared" si="36"/>
        <v>450</v>
      </c>
      <c r="M131" s="84"/>
      <c r="N131" s="51">
        <f t="shared" si="37"/>
        <v>0</v>
      </c>
      <c r="O131" s="52"/>
      <c r="P131" s="51">
        <f t="shared" si="38"/>
        <v>0</v>
      </c>
      <c r="Q131" s="84"/>
      <c r="R131" s="51">
        <f t="shared" si="39"/>
        <v>0</v>
      </c>
      <c r="S131" s="52"/>
      <c r="T131" s="51"/>
      <c r="U131" s="84"/>
      <c r="V131" s="51"/>
      <c r="W131" s="84"/>
      <c r="X131" s="51"/>
      <c r="Y131" s="84"/>
      <c r="Z131" s="51"/>
      <c r="AA131" s="84"/>
      <c r="AB131" s="51"/>
      <c r="AC131" s="84"/>
      <c r="AD131" s="51"/>
      <c r="AE131" s="84"/>
      <c r="AF131" s="51"/>
      <c r="AG131" s="84"/>
      <c r="AH131" s="51"/>
      <c r="AI131" s="84"/>
      <c r="AJ131" s="51">
        <f t="shared" si="43"/>
        <v>0</v>
      </c>
      <c r="AK131" s="84">
        <v>15</v>
      </c>
      <c r="AL131" s="51">
        <f t="shared" si="41"/>
        <v>675</v>
      </c>
      <c r="AM131" s="84"/>
      <c r="AN131" s="51">
        <f t="shared" si="31"/>
        <v>0</v>
      </c>
      <c r="AO131" s="84"/>
      <c r="AP131" s="51"/>
      <c r="AQ131" s="84">
        <f t="shared" si="24"/>
        <v>25</v>
      </c>
      <c r="AR131" s="79">
        <v>45</v>
      </c>
      <c r="AS131" s="164">
        <f t="shared" si="42"/>
        <v>1125</v>
      </c>
      <c r="AT131" s="379"/>
      <c r="AU131" s="380"/>
      <c r="AV131" s="380"/>
      <c r="AW131" s="380"/>
      <c r="AX131" s="381"/>
    </row>
    <row r="132" spans="1:50" ht="14.25" hidden="1">
      <c r="A132" s="57">
        <v>119</v>
      </c>
      <c r="B132" s="131" t="s">
        <v>346</v>
      </c>
      <c r="C132" s="53" t="s">
        <v>15</v>
      </c>
      <c r="D132" s="46" t="s">
        <v>192</v>
      </c>
      <c r="E132" s="57" t="s">
        <v>356</v>
      </c>
      <c r="F132" s="118" t="s">
        <v>364</v>
      </c>
      <c r="G132" s="57"/>
      <c r="H132" s="48"/>
      <c r="I132" s="48"/>
      <c r="J132" s="48"/>
      <c r="K132" s="109">
        <v>10</v>
      </c>
      <c r="L132" s="73">
        <f t="shared" si="36"/>
        <v>9000</v>
      </c>
      <c r="M132" s="84"/>
      <c r="N132" s="51">
        <f t="shared" si="37"/>
        <v>0</v>
      </c>
      <c r="O132" s="52"/>
      <c r="P132" s="51">
        <f t="shared" si="38"/>
        <v>0</v>
      </c>
      <c r="Q132" s="84"/>
      <c r="R132" s="51">
        <f t="shared" si="39"/>
        <v>0</v>
      </c>
      <c r="S132" s="52"/>
      <c r="T132" s="51"/>
      <c r="U132" s="84"/>
      <c r="V132" s="51"/>
      <c r="W132" s="84"/>
      <c r="X132" s="51"/>
      <c r="Y132" s="84"/>
      <c r="Z132" s="51"/>
      <c r="AA132" s="84">
        <v>8</v>
      </c>
      <c r="AB132" s="51">
        <f>+AA132*AR132</f>
        <v>7200</v>
      </c>
      <c r="AC132" s="84"/>
      <c r="AD132" s="51"/>
      <c r="AE132" s="84"/>
      <c r="AF132" s="51"/>
      <c r="AG132" s="84"/>
      <c r="AH132" s="51"/>
      <c r="AI132" s="84"/>
      <c r="AJ132" s="51">
        <f t="shared" si="43"/>
        <v>0</v>
      </c>
      <c r="AK132" s="84">
        <v>5</v>
      </c>
      <c r="AL132" s="51">
        <f t="shared" si="41"/>
        <v>4500</v>
      </c>
      <c r="AM132" s="84">
        <f>20+10+36</f>
        <v>66</v>
      </c>
      <c r="AN132" s="51">
        <f t="shared" si="31"/>
        <v>59400</v>
      </c>
      <c r="AO132" s="84"/>
      <c r="AP132" s="51"/>
      <c r="AQ132" s="84">
        <f t="shared" si="24"/>
        <v>89</v>
      </c>
      <c r="AR132" s="79">
        <v>900</v>
      </c>
      <c r="AS132" s="164">
        <f t="shared" si="42"/>
        <v>80100</v>
      </c>
      <c r="AT132" s="379"/>
      <c r="AU132" s="380"/>
      <c r="AV132" s="380"/>
      <c r="AW132" s="380"/>
      <c r="AX132" s="381"/>
    </row>
    <row r="133" spans="1:50" ht="28.5" hidden="1">
      <c r="A133" s="57">
        <v>120</v>
      </c>
      <c r="B133" s="131" t="s">
        <v>345</v>
      </c>
      <c r="C133" s="53" t="s">
        <v>15</v>
      </c>
      <c r="D133" s="46" t="s">
        <v>192</v>
      </c>
      <c r="E133" s="57" t="s">
        <v>355</v>
      </c>
      <c r="F133" s="118" t="s">
        <v>12</v>
      </c>
      <c r="G133" s="57"/>
      <c r="H133" s="48"/>
      <c r="I133" s="48"/>
      <c r="J133" s="48"/>
      <c r="K133" s="109">
        <v>30</v>
      </c>
      <c r="L133" s="73">
        <f t="shared" si="36"/>
        <v>3900</v>
      </c>
      <c r="M133" s="84"/>
      <c r="N133" s="51">
        <f t="shared" si="37"/>
        <v>0</v>
      </c>
      <c r="O133" s="52">
        <v>20</v>
      </c>
      <c r="P133" s="51">
        <f t="shared" si="38"/>
        <v>2600</v>
      </c>
      <c r="Q133" s="84"/>
      <c r="R133" s="51">
        <f t="shared" si="39"/>
        <v>0</v>
      </c>
      <c r="S133" s="52"/>
      <c r="T133" s="51"/>
      <c r="U133" s="84"/>
      <c r="V133" s="51"/>
      <c r="W133" s="84"/>
      <c r="X133" s="51"/>
      <c r="Y133" s="84">
        <v>20</v>
      </c>
      <c r="Z133" s="51">
        <f>+Y133*AR133</f>
        <v>2600</v>
      </c>
      <c r="AA133" s="84"/>
      <c r="AB133" s="51"/>
      <c r="AC133" s="84"/>
      <c r="AD133" s="51"/>
      <c r="AE133" s="84"/>
      <c r="AF133" s="51"/>
      <c r="AG133" s="84"/>
      <c r="AH133" s="51"/>
      <c r="AI133" s="84">
        <v>60</v>
      </c>
      <c r="AJ133" s="51">
        <f t="shared" si="43"/>
        <v>7800</v>
      </c>
      <c r="AK133" s="84">
        <v>50</v>
      </c>
      <c r="AL133" s="51">
        <f t="shared" si="41"/>
        <v>6500</v>
      </c>
      <c r="AM133" s="84">
        <v>30</v>
      </c>
      <c r="AN133" s="51">
        <f t="shared" si="31"/>
        <v>3900</v>
      </c>
      <c r="AO133" s="84"/>
      <c r="AP133" s="51"/>
      <c r="AQ133" s="84">
        <f t="shared" si="24"/>
        <v>210</v>
      </c>
      <c r="AR133" s="79">
        <v>130</v>
      </c>
      <c r="AS133" s="164">
        <f t="shared" si="42"/>
        <v>27300</v>
      </c>
      <c r="AT133" s="379"/>
      <c r="AU133" s="380"/>
      <c r="AV133" s="380"/>
      <c r="AW133" s="380"/>
      <c r="AX133" s="381"/>
    </row>
    <row r="134" spans="1:50" ht="28.5" hidden="1">
      <c r="A134" s="57">
        <v>121</v>
      </c>
      <c r="B134" s="131" t="s">
        <v>47</v>
      </c>
      <c r="C134" s="53" t="s">
        <v>15</v>
      </c>
      <c r="D134" s="46" t="s">
        <v>192</v>
      </c>
      <c r="E134" s="57" t="s">
        <v>48</v>
      </c>
      <c r="F134" s="118" t="s">
        <v>12</v>
      </c>
      <c r="G134" s="57"/>
      <c r="H134" s="48"/>
      <c r="I134" s="48"/>
      <c r="J134" s="48"/>
      <c r="K134" s="109">
        <v>40</v>
      </c>
      <c r="L134" s="73">
        <f t="shared" si="36"/>
        <v>16000</v>
      </c>
      <c r="M134" s="84"/>
      <c r="N134" s="51">
        <f t="shared" si="37"/>
        <v>0</v>
      </c>
      <c r="O134" s="52">
        <v>10</v>
      </c>
      <c r="P134" s="51">
        <f t="shared" si="38"/>
        <v>4000</v>
      </c>
      <c r="Q134" s="84"/>
      <c r="R134" s="51">
        <f t="shared" si="39"/>
        <v>0</v>
      </c>
      <c r="S134" s="52"/>
      <c r="T134" s="51"/>
      <c r="U134" s="84"/>
      <c r="V134" s="51"/>
      <c r="W134" s="84">
        <f>30*3</f>
        <v>90</v>
      </c>
      <c r="X134" s="51">
        <f>+W134*AR134</f>
        <v>36000</v>
      </c>
      <c r="Y134" s="84">
        <v>3</v>
      </c>
      <c r="Z134" s="51">
        <f>+Y134*AR134</f>
        <v>1200</v>
      </c>
      <c r="AA134" s="84"/>
      <c r="AB134" s="51"/>
      <c r="AC134" s="84"/>
      <c r="AD134" s="51"/>
      <c r="AE134" s="84"/>
      <c r="AF134" s="51"/>
      <c r="AG134" s="84"/>
      <c r="AH134" s="51"/>
      <c r="AI134" s="84">
        <v>2</v>
      </c>
      <c r="AJ134" s="51">
        <f t="shared" si="43"/>
        <v>800</v>
      </c>
      <c r="AK134" s="84">
        <v>10</v>
      </c>
      <c r="AL134" s="51">
        <f t="shared" si="41"/>
        <v>4000</v>
      </c>
      <c r="AM134" s="84">
        <v>4</v>
      </c>
      <c r="AN134" s="51">
        <f t="shared" si="31"/>
        <v>1600</v>
      </c>
      <c r="AO134" s="84"/>
      <c r="AP134" s="51"/>
      <c r="AQ134" s="84">
        <f t="shared" si="24"/>
        <v>159</v>
      </c>
      <c r="AR134" s="79">
        <v>400</v>
      </c>
      <c r="AS134" s="164">
        <f t="shared" si="42"/>
        <v>63600</v>
      </c>
      <c r="AT134" s="365"/>
      <c r="AU134" s="366"/>
      <c r="AV134" s="366"/>
      <c r="AW134" s="366"/>
      <c r="AX134" s="12" t="s">
        <v>352</v>
      </c>
    </row>
    <row r="135" spans="1:50" ht="28.5" hidden="1">
      <c r="A135" s="57">
        <v>122</v>
      </c>
      <c r="B135" s="131" t="s">
        <v>344</v>
      </c>
      <c r="C135" s="53" t="s">
        <v>15</v>
      </c>
      <c r="D135" s="46" t="s">
        <v>192</v>
      </c>
      <c r="E135" s="57" t="s">
        <v>354</v>
      </c>
      <c r="F135" s="118" t="s">
        <v>12</v>
      </c>
      <c r="G135" s="57"/>
      <c r="H135" s="48"/>
      <c r="I135" s="48"/>
      <c r="J135" s="48"/>
      <c r="K135" s="109">
        <v>7</v>
      </c>
      <c r="L135" s="73">
        <f t="shared" si="36"/>
        <v>2415</v>
      </c>
      <c r="M135" s="84"/>
      <c r="N135" s="51">
        <f t="shared" si="37"/>
        <v>0</v>
      </c>
      <c r="O135" s="52"/>
      <c r="P135" s="51">
        <f t="shared" si="38"/>
        <v>0</v>
      </c>
      <c r="Q135" s="84"/>
      <c r="R135" s="51">
        <f t="shared" si="39"/>
        <v>0</v>
      </c>
      <c r="S135" s="52"/>
      <c r="T135" s="51"/>
      <c r="U135" s="84"/>
      <c r="V135" s="51"/>
      <c r="W135" s="84"/>
      <c r="X135" s="51"/>
      <c r="Y135" s="84"/>
      <c r="Z135" s="51"/>
      <c r="AA135" s="84"/>
      <c r="AB135" s="51"/>
      <c r="AC135" s="84"/>
      <c r="AD135" s="51"/>
      <c r="AE135" s="84"/>
      <c r="AF135" s="51"/>
      <c r="AG135" s="84"/>
      <c r="AH135" s="51"/>
      <c r="AI135" s="84"/>
      <c r="AJ135" s="51">
        <f t="shared" si="43"/>
        <v>0</v>
      </c>
      <c r="AK135" s="84">
        <v>20</v>
      </c>
      <c r="AL135" s="51">
        <f t="shared" si="41"/>
        <v>6900</v>
      </c>
      <c r="AM135" s="84"/>
      <c r="AN135" s="51">
        <f t="shared" si="31"/>
        <v>0</v>
      </c>
      <c r="AO135" s="84"/>
      <c r="AP135" s="51"/>
      <c r="AQ135" s="84">
        <f t="shared" si="24"/>
        <v>27</v>
      </c>
      <c r="AR135" s="79">
        <v>345</v>
      </c>
      <c r="AS135" s="164">
        <f t="shared" si="42"/>
        <v>9315</v>
      </c>
      <c r="AT135" s="379"/>
      <c r="AU135" s="380"/>
      <c r="AV135" s="380"/>
      <c r="AW135" s="380"/>
      <c r="AX135" s="381"/>
    </row>
    <row r="136" spans="1:50" ht="28.5" hidden="1">
      <c r="A136" s="57">
        <v>123</v>
      </c>
      <c r="B136" s="131" t="s">
        <v>343</v>
      </c>
      <c r="C136" s="53" t="s">
        <v>15</v>
      </c>
      <c r="D136" s="46" t="s">
        <v>192</v>
      </c>
      <c r="E136" s="57" t="s">
        <v>353</v>
      </c>
      <c r="F136" s="118" t="s">
        <v>12</v>
      </c>
      <c r="G136" s="48"/>
      <c r="H136" s="58"/>
      <c r="I136" s="58"/>
      <c r="J136" s="58"/>
      <c r="K136" s="52">
        <v>8</v>
      </c>
      <c r="L136" s="73">
        <f t="shared" si="36"/>
        <v>2720</v>
      </c>
      <c r="M136" s="84"/>
      <c r="N136" s="51">
        <f t="shared" si="37"/>
        <v>0</v>
      </c>
      <c r="O136" s="52"/>
      <c r="P136" s="51">
        <f t="shared" si="38"/>
        <v>0</v>
      </c>
      <c r="Q136" s="84"/>
      <c r="R136" s="51">
        <f t="shared" si="39"/>
        <v>0</v>
      </c>
      <c r="S136" s="52"/>
      <c r="T136" s="51"/>
      <c r="U136" s="84"/>
      <c r="V136" s="51"/>
      <c r="W136" s="84"/>
      <c r="X136" s="51"/>
      <c r="Y136" s="84"/>
      <c r="Z136" s="51"/>
      <c r="AA136" s="84"/>
      <c r="AB136" s="51"/>
      <c r="AC136" s="84"/>
      <c r="AD136" s="51"/>
      <c r="AE136" s="84"/>
      <c r="AF136" s="51"/>
      <c r="AG136" s="84"/>
      <c r="AH136" s="51"/>
      <c r="AI136" s="84"/>
      <c r="AJ136" s="51">
        <f t="shared" si="43"/>
        <v>0</v>
      </c>
      <c r="AK136" s="84">
        <v>20</v>
      </c>
      <c r="AL136" s="51">
        <f t="shared" si="41"/>
        <v>6800</v>
      </c>
      <c r="AM136" s="84"/>
      <c r="AN136" s="51">
        <f t="shared" si="31"/>
        <v>0</v>
      </c>
      <c r="AO136" s="84"/>
      <c r="AP136" s="51"/>
      <c r="AQ136" s="84">
        <f t="shared" si="24"/>
        <v>28</v>
      </c>
      <c r="AR136" s="169">
        <v>340</v>
      </c>
      <c r="AS136" s="164">
        <f t="shared" si="42"/>
        <v>9520</v>
      </c>
    </row>
    <row r="137" spans="1:50" ht="14.25" hidden="1">
      <c r="A137" s="57">
        <v>124</v>
      </c>
      <c r="B137" s="71" t="s">
        <v>1262</v>
      </c>
      <c r="C137" s="37" t="s">
        <v>15</v>
      </c>
      <c r="D137" s="46" t="s">
        <v>192</v>
      </c>
      <c r="E137" s="53" t="s">
        <v>1264</v>
      </c>
      <c r="F137" s="50" t="s">
        <v>177</v>
      </c>
      <c r="G137" s="50"/>
      <c r="H137" s="50"/>
      <c r="I137" s="50"/>
      <c r="J137" s="50"/>
      <c r="K137" s="52"/>
      <c r="L137" s="73"/>
      <c r="M137" s="84"/>
      <c r="N137" s="58"/>
      <c r="O137" s="52"/>
      <c r="P137" s="58"/>
      <c r="Q137" s="84"/>
      <c r="R137" s="58">
        <f t="shared" si="39"/>
        <v>0</v>
      </c>
      <c r="S137" s="52"/>
      <c r="T137" s="58"/>
      <c r="U137" s="84">
        <v>20</v>
      </c>
      <c r="V137" s="58">
        <f>+U137*AR137</f>
        <v>9100</v>
      </c>
      <c r="W137" s="84"/>
      <c r="X137" s="58"/>
      <c r="Y137" s="84"/>
      <c r="Z137" s="58"/>
      <c r="AA137" s="84"/>
      <c r="AB137" s="58"/>
      <c r="AC137" s="84"/>
      <c r="AD137" s="58"/>
      <c r="AE137" s="84"/>
      <c r="AF137" s="58"/>
      <c r="AG137" s="84"/>
      <c r="AH137" s="58"/>
      <c r="AI137" s="84"/>
      <c r="AJ137" s="51">
        <f t="shared" si="43"/>
        <v>0</v>
      </c>
      <c r="AK137" s="84">
        <v>50</v>
      </c>
      <c r="AL137" s="51">
        <f t="shared" si="41"/>
        <v>22750</v>
      </c>
      <c r="AM137" s="84"/>
      <c r="AN137" s="51">
        <f t="shared" si="31"/>
        <v>0</v>
      </c>
      <c r="AO137" s="84"/>
      <c r="AP137" s="51"/>
      <c r="AQ137" s="84">
        <f t="shared" si="24"/>
        <v>70</v>
      </c>
      <c r="AR137" s="170">
        <v>455</v>
      </c>
      <c r="AS137" s="164">
        <f t="shared" si="42"/>
        <v>31850</v>
      </c>
    </row>
    <row r="138" spans="1:50" ht="14.25" hidden="1">
      <c r="A138" s="57">
        <v>125</v>
      </c>
      <c r="B138" s="71" t="s">
        <v>1263</v>
      </c>
      <c r="C138" s="37" t="s">
        <v>15</v>
      </c>
      <c r="D138" s="46" t="s">
        <v>192</v>
      </c>
      <c r="E138" s="53" t="s">
        <v>1265</v>
      </c>
      <c r="F138" s="50" t="s">
        <v>177</v>
      </c>
      <c r="G138" s="34"/>
      <c r="H138" s="59"/>
      <c r="I138" s="55"/>
      <c r="J138" s="136">
        <f t="shared" ref="J138:J730" si="44">+I138*AR138</f>
        <v>0</v>
      </c>
      <c r="K138" s="126"/>
      <c r="L138" s="127">
        <f t="shared" ref="L138:L730" si="45">+K138*AR138</f>
        <v>0</v>
      </c>
      <c r="M138" s="128"/>
      <c r="N138" s="136"/>
      <c r="O138" s="126"/>
      <c r="P138" s="136"/>
      <c r="Q138" s="128"/>
      <c r="R138" s="136">
        <f t="shared" si="39"/>
        <v>0</v>
      </c>
      <c r="S138" s="126"/>
      <c r="T138" s="136"/>
      <c r="U138" s="128">
        <v>50</v>
      </c>
      <c r="V138" s="136">
        <f>+U138*AR138</f>
        <v>26200</v>
      </c>
      <c r="W138" s="128">
        <f>30*3</f>
        <v>90</v>
      </c>
      <c r="X138" s="136">
        <f>+W138*AR138</f>
        <v>47160</v>
      </c>
      <c r="Y138" s="128"/>
      <c r="Z138" s="136"/>
      <c r="AA138" s="128"/>
      <c r="AB138" s="136"/>
      <c r="AC138" s="128"/>
      <c r="AD138" s="136"/>
      <c r="AE138" s="128"/>
      <c r="AF138" s="136"/>
      <c r="AG138" s="128"/>
      <c r="AH138" s="136"/>
      <c r="AI138" s="128">
        <v>18</v>
      </c>
      <c r="AJ138" s="51">
        <f t="shared" si="43"/>
        <v>9432</v>
      </c>
      <c r="AK138" s="84">
        <v>50</v>
      </c>
      <c r="AL138" s="51">
        <f t="shared" si="41"/>
        <v>26200</v>
      </c>
      <c r="AM138" s="84"/>
      <c r="AN138" s="51">
        <f t="shared" si="31"/>
        <v>0</v>
      </c>
      <c r="AO138" s="84"/>
      <c r="AP138" s="51"/>
      <c r="AQ138" s="84">
        <f t="shared" si="24"/>
        <v>208</v>
      </c>
      <c r="AR138" s="171">
        <v>524</v>
      </c>
      <c r="AS138" s="164">
        <f t="shared" si="42"/>
        <v>108992</v>
      </c>
    </row>
    <row r="139" spans="1:50" ht="14.25" hidden="1">
      <c r="A139" s="57">
        <v>126</v>
      </c>
      <c r="B139" s="198" t="s">
        <v>1310</v>
      </c>
      <c r="C139" s="37" t="s">
        <v>15</v>
      </c>
      <c r="D139" s="46" t="s">
        <v>192</v>
      </c>
      <c r="E139" s="53" t="s">
        <v>1311</v>
      </c>
      <c r="F139" s="50" t="s">
        <v>12</v>
      </c>
      <c r="G139" s="60"/>
      <c r="H139" s="60"/>
      <c r="I139" s="55"/>
      <c r="J139" s="136"/>
      <c r="K139" s="126"/>
      <c r="L139" s="127"/>
      <c r="M139" s="128"/>
      <c r="N139" s="136"/>
      <c r="O139" s="126"/>
      <c r="P139" s="136"/>
      <c r="Q139" s="128"/>
      <c r="R139" s="136"/>
      <c r="S139" s="126"/>
      <c r="T139" s="136"/>
      <c r="U139" s="128"/>
      <c r="V139" s="136"/>
      <c r="W139" s="128"/>
      <c r="X139" s="136"/>
      <c r="Y139" s="128"/>
      <c r="Z139" s="136"/>
      <c r="AA139" s="128">
        <v>4</v>
      </c>
      <c r="AB139" s="136">
        <f>+AR139*AA139</f>
        <v>2200</v>
      </c>
      <c r="AC139" s="128"/>
      <c r="AD139" s="136"/>
      <c r="AE139" s="128"/>
      <c r="AF139" s="136"/>
      <c r="AG139" s="128"/>
      <c r="AH139" s="136"/>
      <c r="AI139" s="128">
        <v>3</v>
      </c>
      <c r="AJ139" s="51">
        <f t="shared" si="43"/>
        <v>1650</v>
      </c>
      <c r="AK139" s="84">
        <v>15</v>
      </c>
      <c r="AL139" s="51">
        <f t="shared" si="41"/>
        <v>8250</v>
      </c>
      <c r="AM139" s="84">
        <v>6</v>
      </c>
      <c r="AN139" s="51">
        <f t="shared" si="31"/>
        <v>3300</v>
      </c>
      <c r="AO139" s="84"/>
      <c r="AP139" s="51"/>
      <c r="AQ139" s="84">
        <f t="shared" ref="AQ139:AQ753" si="46">+AO139+AM139+AK139+AI139+AG139+AE139+AC139+AA139+Y139+W139+U139+S139+Q139+O139+M139+K139+I139+G139</f>
        <v>28</v>
      </c>
      <c r="AR139" s="171">
        <v>550</v>
      </c>
      <c r="AS139" s="164">
        <f t="shared" si="42"/>
        <v>15400</v>
      </c>
    </row>
    <row r="140" spans="1:50" ht="14.25" hidden="1">
      <c r="A140" s="57">
        <v>127</v>
      </c>
      <c r="B140" s="198" t="s">
        <v>1312</v>
      </c>
      <c r="C140" s="37" t="s">
        <v>15</v>
      </c>
      <c r="D140" s="46" t="s">
        <v>192</v>
      </c>
      <c r="E140" s="53" t="s">
        <v>1313</v>
      </c>
      <c r="F140" s="50" t="s">
        <v>12</v>
      </c>
      <c r="G140" s="60"/>
      <c r="H140" s="60"/>
      <c r="I140" s="55"/>
      <c r="J140" s="136"/>
      <c r="K140" s="126"/>
      <c r="L140" s="127"/>
      <c r="M140" s="128"/>
      <c r="N140" s="136"/>
      <c r="O140" s="126"/>
      <c r="P140" s="136"/>
      <c r="Q140" s="128"/>
      <c r="R140" s="136"/>
      <c r="S140" s="126"/>
      <c r="T140" s="136"/>
      <c r="U140" s="128"/>
      <c r="V140" s="136"/>
      <c r="W140" s="128"/>
      <c r="X140" s="136"/>
      <c r="Y140" s="128"/>
      <c r="Z140" s="136"/>
      <c r="AA140" s="128">
        <v>2</v>
      </c>
      <c r="AB140" s="136">
        <f>+AR140</f>
        <v>630</v>
      </c>
      <c r="AC140" s="128"/>
      <c r="AD140" s="136"/>
      <c r="AE140" s="128"/>
      <c r="AF140" s="136"/>
      <c r="AG140" s="128"/>
      <c r="AH140" s="136"/>
      <c r="AI140" s="128"/>
      <c r="AJ140" s="51">
        <f>+AI140*AR140</f>
        <v>0</v>
      </c>
      <c r="AK140" s="84">
        <v>50</v>
      </c>
      <c r="AL140" s="51">
        <f t="shared" si="41"/>
        <v>31500</v>
      </c>
      <c r="AM140" s="84">
        <v>6</v>
      </c>
      <c r="AN140" s="51">
        <f t="shared" si="31"/>
        <v>3780</v>
      </c>
      <c r="AO140" s="84"/>
      <c r="AP140" s="51"/>
      <c r="AQ140" s="84">
        <f t="shared" si="46"/>
        <v>58</v>
      </c>
      <c r="AR140" s="171">
        <v>630</v>
      </c>
      <c r="AS140" s="164">
        <f t="shared" si="42"/>
        <v>36540</v>
      </c>
    </row>
    <row r="141" spans="1:50" ht="14.25" hidden="1">
      <c r="A141" s="57">
        <v>128</v>
      </c>
      <c r="B141" s="137" t="s">
        <v>1396</v>
      </c>
      <c r="C141" s="117" t="s">
        <v>15</v>
      </c>
      <c r="D141" s="117" t="s">
        <v>192</v>
      </c>
      <c r="E141" s="117" t="s">
        <v>1397</v>
      </c>
      <c r="F141" s="69" t="s">
        <v>1398</v>
      </c>
      <c r="G141" s="60"/>
      <c r="H141" s="60"/>
      <c r="I141" s="55"/>
      <c r="J141" s="136"/>
      <c r="K141" s="126"/>
      <c r="L141" s="127"/>
      <c r="M141" s="128"/>
      <c r="N141" s="136"/>
      <c r="O141" s="126"/>
      <c r="P141" s="136"/>
      <c r="Q141" s="128"/>
      <c r="R141" s="136"/>
      <c r="S141" s="126"/>
      <c r="T141" s="136"/>
      <c r="U141" s="128"/>
      <c r="V141" s="136"/>
      <c r="W141" s="128"/>
      <c r="X141" s="136"/>
      <c r="Y141" s="128"/>
      <c r="Z141" s="136"/>
      <c r="AA141" s="128"/>
      <c r="AB141" s="136"/>
      <c r="AC141" s="128"/>
      <c r="AD141" s="136"/>
      <c r="AE141" s="128"/>
      <c r="AF141" s="136"/>
      <c r="AG141" s="128"/>
      <c r="AH141" s="136"/>
      <c r="AI141" s="128">
        <v>10</v>
      </c>
      <c r="AJ141" s="51">
        <f t="shared" ref="AJ141:AJ142" si="47">+AI141*AR141</f>
        <v>2200</v>
      </c>
      <c r="AK141" s="84">
        <v>30</v>
      </c>
      <c r="AL141" s="51">
        <f t="shared" si="41"/>
        <v>6600</v>
      </c>
      <c r="AM141" s="84">
        <v>30</v>
      </c>
      <c r="AN141" s="51">
        <f t="shared" si="31"/>
        <v>6600</v>
      </c>
      <c r="AO141" s="84"/>
      <c r="AP141" s="51"/>
      <c r="AQ141" s="84">
        <f t="shared" si="46"/>
        <v>70</v>
      </c>
      <c r="AR141" s="138">
        <v>220</v>
      </c>
      <c r="AS141" s="164">
        <f t="shared" si="42"/>
        <v>15400</v>
      </c>
    </row>
    <row r="142" spans="1:50" ht="14.25" hidden="1">
      <c r="A142" s="57">
        <v>129</v>
      </c>
      <c r="B142" s="137" t="s">
        <v>1399</v>
      </c>
      <c r="C142" s="117" t="s">
        <v>15</v>
      </c>
      <c r="D142" s="117" t="s">
        <v>192</v>
      </c>
      <c r="E142" s="117" t="s">
        <v>1400</v>
      </c>
      <c r="F142" s="69" t="s">
        <v>12</v>
      </c>
      <c r="G142" s="60"/>
      <c r="H142" s="60"/>
      <c r="I142" s="55"/>
      <c r="J142" s="136"/>
      <c r="K142" s="126"/>
      <c r="L142" s="127"/>
      <c r="M142" s="128"/>
      <c r="N142" s="136"/>
      <c r="O142" s="126"/>
      <c r="P142" s="136"/>
      <c r="Q142" s="128"/>
      <c r="R142" s="136"/>
      <c r="S142" s="126"/>
      <c r="T142" s="136"/>
      <c r="U142" s="128"/>
      <c r="V142" s="136"/>
      <c r="W142" s="128"/>
      <c r="X142" s="136"/>
      <c r="Y142" s="128"/>
      <c r="Z142" s="136"/>
      <c r="AA142" s="128"/>
      <c r="AB142" s="136"/>
      <c r="AC142" s="128"/>
      <c r="AD142" s="136"/>
      <c r="AE142" s="128"/>
      <c r="AF142" s="136"/>
      <c r="AG142" s="128"/>
      <c r="AH142" s="136"/>
      <c r="AI142" s="128">
        <v>20</v>
      </c>
      <c r="AJ142" s="51">
        <f t="shared" si="47"/>
        <v>1200</v>
      </c>
      <c r="AK142" s="84"/>
      <c r="AL142" s="51">
        <f t="shared" si="41"/>
        <v>0</v>
      </c>
      <c r="AM142" s="84"/>
      <c r="AN142" s="51">
        <f t="shared" si="31"/>
        <v>0</v>
      </c>
      <c r="AO142" s="84"/>
      <c r="AP142" s="51"/>
      <c r="AQ142" s="84">
        <f t="shared" si="46"/>
        <v>20</v>
      </c>
      <c r="AR142" s="138">
        <v>60</v>
      </c>
      <c r="AS142" s="164">
        <f t="shared" si="42"/>
        <v>1200</v>
      </c>
    </row>
    <row r="143" spans="1:50" s="6" customFormat="1" ht="42.75" hidden="1">
      <c r="A143" s="57">
        <v>130</v>
      </c>
      <c r="B143" s="134" t="s">
        <v>114</v>
      </c>
      <c r="C143" s="37" t="s">
        <v>15</v>
      </c>
      <c r="D143" s="89" t="s">
        <v>204</v>
      </c>
      <c r="E143" s="88" t="s">
        <v>115</v>
      </c>
      <c r="F143" s="135" t="s">
        <v>12</v>
      </c>
      <c r="G143" s="114"/>
      <c r="H143" s="59"/>
      <c r="I143" s="59"/>
      <c r="J143" s="59"/>
      <c r="K143" s="66">
        <v>10</v>
      </c>
      <c r="L143" s="77">
        <f t="shared" ref="L143:L148" si="48">+K143*AR143</f>
        <v>6000</v>
      </c>
      <c r="M143" s="87"/>
      <c r="N143" s="115"/>
      <c r="O143" s="66">
        <v>10</v>
      </c>
      <c r="P143" s="115">
        <f>+O143*AR143</f>
        <v>6000</v>
      </c>
      <c r="Q143" s="87"/>
      <c r="R143" s="115">
        <f t="shared" ref="R143:R149" si="49">+Q143*AR143</f>
        <v>0</v>
      </c>
      <c r="S143" s="66"/>
      <c r="T143" s="115"/>
      <c r="U143" s="87"/>
      <c r="V143" s="115"/>
      <c r="W143" s="87"/>
      <c r="X143" s="115"/>
      <c r="Y143" s="87"/>
      <c r="Z143" s="115"/>
      <c r="AA143" s="87"/>
      <c r="AB143" s="115"/>
      <c r="AC143" s="87"/>
      <c r="AD143" s="115"/>
      <c r="AE143" s="87"/>
      <c r="AF143" s="115"/>
      <c r="AG143" s="87"/>
      <c r="AH143" s="115"/>
      <c r="AI143" s="87">
        <v>25</v>
      </c>
      <c r="AJ143" s="51">
        <f t="shared" ref="AJ143:AJ150" si="50">+AI143*AR143</f>
        <v>15000</v>
      </c>
      <c r="AK143" s="84"/>
      <c r="AL143" s="51">
        <f t="shared" ref="AL143:AL150" si="51">+AK143*AR143</f>
        <v>0</v>
      </c>
      <c r="AM143" s="84"/>
      <c r="AN143" s="51">
        <f t="shared" ref="AN143:AN150" si="52">+AM143*AR143</f>
        <v>0</v>
      </c>
      <c r="AO143" s="84"/>
      <c r="AP143" s="51"/>
      <c r="AQ143" s="84">
        <f t="shared" si="46"/>
        <v>45</v>
      </c>
      <c r="AR143" s="169">
        <v>600</v>
      </c>
      <c r="AS143" s="164">
        <f t="shared" si="42"/>
        <v>27000</v>
      </c>
    </row>
    <row r="144" spans="1:50" s="6" customFormat="1" ht="42.75" hidden="1">
      <c r="A144" s="57">
        <v>131</v>
      </c>
      <c r="B144" s="197" t="s">
        <v>203</v>
      </c>
      <c r="C144" s="37" t="s">
        <v>15</v>
      </c>
      <c r="D144" s="89" t="s">
        <v>204</v>
      </c>
      <c r="E144" s="37" t="s">
        <v>202</v>
      </c>
      <c r="F144" s="34" t="s">
        <v>16</v>
      </c>
      <c r="G144" s="114">
        <v>50</v>
      </c>
      <c r="H144" s="59">
        <f>+G144*AR144</f>
        <v>5900</v>
      </c>
      <c r="I144" s="59"/>
      <c r="J144" s="59"/>
      <c r="K144" s="66">
        <v>25</v>
      </c>
      <c r="L144" s="77">
        <f t="shared" si="48"/>
        <v>2950</v>
      </c>
      <c r="M144" s="87"/>
      <c r="N144" s="115"/>
      <c r="O144" s="66"/>
      <c r="P144" s="115"/>
      <c r="Q144" s="87"/>
      <c r="R144" s="115">
        <f t="shared" si="49"/>
        <v>0</v>
      </c>
      <c r="S144" s="66"/>
      <c r="T144" s="115"/>
      <c r="U144" s="87">
        <v>90</v>
      </c>
      <c r="V144" s="115">
        <f>+U144*AR144</f>
        <v>10620</v>
      </c>
      <c r="W144" s="87">
        <f>200*3</f>
        <v>600</v>
      </c>
      <c r="X144" s="115">
        <f>+W144*AR144</f>
        <v>70800</v>
      </c>
      <c r="Y144" s="87">
        <v>50</v>
      </c>
      <c r="Z144" s="115">
        <f>+Y144*AR144</f>
        <v>5900</v>
      </c>
      <c r="AA144" s="87">
        <v>60</v>
      </c>
      <c r="AB144" s="115">
        <f>+AA144*AR144</f>
        <v>7080</v>
      </c>
      <c r="AC144" s="87"/>
      <c r="AD144" s="115"/>
      <c r="AE144" s="87"/>
      <c r="AF144" s="115"/>
      <c r="AG144" s="87"/>
      <c r="AH144" s="115"/>
      <c r="AI144" s="87">
        <v>20</v>
      </c>
      <c r="AJ144" s="51">
        <f t="shared" si="50"/>
        <v>2360</v>
      </c>
      <c r="AK144" s="84">
        <v>100</v>
      </c>
      <c r="AL144" s="51">
        <f t="shared" si="51"/>
        <v>11800</v>
      </c>
      <c r="AM144" s="84">
        <f>10+6+36</f>
        <v>52</v>
      </c>
      <c r="AN144" s="51">
        <f t="shared" si="52"/>
        <v>6136</v>
      </c>
      <c r="AO144" s="84"/>
      <c r="AP144" s="51"/>
      <c r="AQ144" s="84">
        <f t="shared" si="46"/>
        <v>1047</v>
      </c>
      <c r="AR144" s="169">
        <v>118</v>
      </c>
      <c r="AS144" s="164">
        <f t="shared" si="42"/>
        <v>123546</v>
      </c>
    </row>
    <row r="145" spans="1:50" s="6" customFormat="1" ht="28.5" hidden="1">
      <c r="A145" s="57">
        <v>132</v>
      </c>
      <c r="B145" s="197" t="s">
        <v>206</v>
      </c>
      <c r="C145" s="37" t="s">
        <v>15</v>
      </c>
      <c r="D145" s="89" t="s">
        <v>204</v>
      </c>
      <c r="E145" s="37" t="s">
        <v>205</v>
      </c>
      <c r="F145" s="34" t="s">
        <v>16</v>
      </c>
      <c r="G145" s="114">
        <v>50</v>
      </c>
      <c r="H145" s="59">
        <f>+G145*AR145</f>
        <v>6750</v>
      </c>
      <c r="I145" s="59"/>
      <c r="J145" s="59"/>
      <c r="K145" s="66">
        <v>24</v>
      </c>
      <c r="L145" s="77">
        <f t="shared" si="48"/>
        <v>3240</v>
      </c>
      <c r="M145" s="87"/>
      <c r="N145" s="115"/>
      <c r="O145" s="66"/>
      <c r="P145" s="115"/>
      <c r="Q145" s="87"/>
      <c r="R145" s="115">
        <f t="shared" si="49"/>
        <v>0</v>
      </c>
      <c r="S145" s="66"/>
      <c r="T145" s="115"/>
      <c r="U145" s="87"/>
      <c r="V145" s="115"/>
      <c r="W145" s="87"/>
      <c r="X145" s="115"/>
      <c r="Y145" s="87"/>
      <c r="Z145" s="115"/>
      <c r="AA145" s="87">
        <v>20</v>
      </c>
      <c r="AB145" s="115">
        <f>+AA145*AR145</f>
        <v>2700</v>
      </c>
      <c r="AC145" s="87"/>
      <c r="AD145" s="115"/>
      <c r="AE145" s="87"/>
      <c r="AF145" s="115"/>
      <c r="AG145" s="87"/>
      <c r="AH145" s="115"/>
      <c r="AI145" s="87">
        <v>60</v>
      </c>
      <c r="AJ145" s="51">
        <f t="shared" si="50"/>
        <v>8100</v>
      </c>
      <c r="AK145" s="84">
        <v>50</v>
      </c>
      <c r="AL145" s="51">
        <f t="shared" si="51"/>
        <v>6750</v>
      </c>
      <c r="AM145" s="84">
        <v>50</v>
      </c>
      <c r="AN145" s="51">
        <f t="shared" si="52"/>
        <v>6750</v>
      </c>
      <c r="AO145" s="84"/>
      <c r="AP145" s="51"/>
      <c r="AQ145" s="84">
        <f t="shared" si="46"/>
        <v>254</v>
      </c>
      <c r="AR145" s="169">
        <v>135</v>
      </c>
      <c r="AS145" s="164">
        <f t="shared" si="42"/>
        <v>34290</v>
      </c>
    </row>
    <row r="146" spans="1:50" ht="28.5" hidden="1">
      <c r="A146" s="57">
        <v>133</v>
      </c>
      <c r="B146" s="47" t="s">
        <v>1297</v>
      </c>
      <c r="C146" s="37" t="s">
        <v>15</v>
      </c>
      <c r="D146" s="46" t="s">
        <v>204</v>
      </c>
      <c r="E146" s="53" t="s">
        <v>1296</v>
      </c>
      <c r="F146" s="50" t="s">
        <v>1298</v>
      </c>
      <c r="G146" s="60"/>
      <c r="H146" s="60"/>
      <c r="I146" s="55"/>
      <c r="J146" s="136">
        <f>+I146*AR146</f>
        <v>0</v>
      </c>
      <c r="K146" s="126"/>
      <c r="L146" s="127">
        <f t="shared" si="48"/>
        <v>0</v>
      </c>
      <c r="M146" s="128"/>
      <c r="N146" s="136"/>
      <c r="O146" s="126"/>
      <c r="P146" s="136"/>
      <c r="Q146" s="128"/>
      <c r="R146" s="136">
        <f t="shared" si="49"/>
        <v>0</v>
      </c>
      <c r="S146" s="126"/>
      <c r="T146" s="136"/>
      <c r="U146" s="128"/>
      <c r="V146" s="136"/>
      <c r="W146" s="128">
        <v>30</v>
      </c>
      <c r="X146" s="136">
        <f>+W146*AR146</f>
        <v>24000</v>
      </c>
      <c r="Y146" s="128">
        <v>5</v>
      </c>
      <c r="Z146" s="136">
        <f>+Y146*AR146</f>
        <v>4000</v>
      </c>
      <c r="AA146" s="128"/>
      <c r="AB146" s="136"/>
      <c r="AC146" s="128"/>
      <c r="AD146" s="136"/>
      <c r="AE146" s="128"/>
      <c r="AF146" s="136"/>
      <c r="AG146" s="128"/>
      <c r="AH146" s="136"/>
      <c r="AI146" s="128"/>
      <c r="AJ146" s="51">
        <f t="shared" si="50"/>
        <v>0</v>
      </c>
      <c r="AK146" s="84">
        <v>15</v>
      </c>
      <c r="AL146" s="51">
        <f t="shared" si="51"/>
        <v>12000</v>
      </c>
      <c r="AM146" s="84">
        <v>10</v>
      </c>
      <c r="AN146" s="51">
        <f t="shared" si="52"/>
        <v>8000</v>
      </c>
      <c r="AO146" s="84"/>
      <c r="AP146" s="51"/>
      <c r="AQ146" s="84">
        <f t="shared" si="46"/>
        <v>60</v>
      </c>
      <c r="AR146" s="171">
        <v>800</v>
      </c>
      <c r="AS146" s="164">
        <f t="shared" si="42"/>
        <v>48000</v>
      </c>
    </row>
    <row r="147" spans="1:50" ht="42.75" hidden="1">
      <c r="A147" s="57">
        <v>134</v>
      </c>
      <c r="B147" s="131" t="s">
        <v>110</v>
      </c>
      <c r="C147" s="53" t="s">
        <v>15</v>
      </c>
      <c r="D147" s="46" t="s">
        <v>351</v>
      </c>
      <c r="E147" s="57" t="s">
        <v>111</v>
      </c>
      <c r="F147" s="118" t="s">
        <v>12</v>
      </c>
      <c r="G147" s="48"/>
      <c r="H147" s="58"/>
      <c r="I147" s="58"/>
      <c r="J147" s="58"/>
      <c r="K147" s="52">
        <v>30</v>
      </c>
      <c r="L147" s="73">
        <f t="shared" si="48"/>
        <v>8400</v>
      </c>
      <c r="M147" s="84"/>
      <c r="N147" s="51">
        <f>+M147*AR147</f>
        <v>0</v>
      </c>
      <c r="O147" s="52"/>
      <c r="P147" s="51">
        <f>+O147*AR147</f>
        <v>0</v>
      </c>
      <c r="Q147" s="84"/>
      <c r="R147" s="51">
        <f t="shared" si="49"/>
        <v>0</v>
      </c>
      <c r="S147" s="52">
        <v>50</v>
      </c>
      <c r="T147" s="51">
        <f>+S147*AR147</f>
        <v>14000</v>
      </c>
      <c r="U147" s="84"/>
      <c r="V147" s="51"/>
      <c r="W147" s="84">
        <f>20*3</f>
        <v>60</v>
      </c>
      <c r="X147" s="51">
        <f>+W147*AR147</f>
        <v>16800</v>
      </c>
      <c r="Y147" s="84"/>
      <c r="Z147" s="51"/>
      <c r="AA147" s="84"/>
      <c r="AB147" s="51"/>
      <c r="AC147" s="84"/>
      <c r="AD147" s="51"/>
      <c r="AE147" s="84">
        <v>100</v>
      </c>
      <c r="AF147" s="51">
        <f>+AE147*AR147</f>
        <v>28000</v>
      </c>
      <c r="AG147" s="84"/>
      <c r="AH147" s="51"/>
      <c r="AI147" s="84"/>
      <c r="AJ147" s="51">
        <f t="shared" si="50"/>
        <v>0</v>
      </c>
      <c r="AK147" s="84"/>
      <c r="AL147" s="51">
        <f t="shared" si="51"/>
        <v>0</v>
      </c>
      <c r="AM147" s="84"/>
      <c r="AN147" s="51">
        <f t="shared" si="52"/>
        <v>0</v>
      </c>
      <c r="AO147" s="84"/>
      <c r="AP147" s="51"/>
      <c r="AQ147" s="84">
        <f t="shared" si="46"/>
        <v>240</v>
      </c>
      <c r="AR147" s="169">
        <v>280</v>
      </c>
      <c r="AS147" s="164">
        <f t="shared" si="42"/>
        <v>67200</v>
      </c>
    </row>
    <row r="148" spans="1:50" ht="42.75" hidden="1">
      <c r="A148" s="57">
        <v>135</v>
      </c>
      <c r="B148" s="131" t="s">
        <v>112</v>
      </c>
      <c r="C148" s="53" t="s">
        <v>15</v>
      </c>
      <c r="D148" s="46" t="s">
        <v>351</v>
      </c>
      <c r="E148" s="57" t="s">
        <v>113</v>
      </c>
      <c r="F148" s="118" t="s">
        <v>12</v>
      </c>
      <c r="G148" s="48"/>
      <c r="H148" s="58"/>
      <c r="I148" s="58"/>
      <c r="J148" s="58"/>
      <c r="K148" s="52">
        <v>30</v>
      </c>
      <c r="L148" s="73">
        <f t="shared" si="48"/>
        <v>7800</v>
      </c>
      <c r="M148" s="84"/>
      <c r="N148" s="51"/>
      <c r="O148" s="52"/>
      <c r="P148" s="51"/>
      <c r="Q148" s="84"/>
      <c r="R148" s="51">
        <f t="shared" si="49"/>
        <v>0</v>
      </c>
      <c r="S148" s="52">
        <v>50</v>
      </c>
      <c r="T148" s="51">
        <f>+S148*AR148</f>
        <v>13000</v>
      </c>
      <c r="U148" s="84"/>
      <c r="V148" s="51"/>
      <c r="W148" s="84"/>
      <c r="X148" s="51"/>
      <c r="Y148" s="84"/>
      <c r="Z148" s="51"/>
      <c r="AA148" s="84"/>
      <c r="AB148" s="51"/>
      <c r="AC148" s="84"/>
      <c r="AD148" s="51"/>
      <c r="AE148" s="84"/>
      <c r="AF148" s="51"/>
      <c r="AG148" s="84"/>
      <c r="AH148" s="51"/>
      <c r="AI148" s="84"/>
      <c r="AJ148" s="51">
        <f t="shared" si="50"/>
        <v>0</v>
      </c>
      <c r="AK148" s="84"/>
      <c r="AL148" s="51">
        <f t="shared" si="51"/>
        <v>0</v>
      </c>
      <c r="AM148" s="84">
        <v>20</v>
      </c>
      <c r="AN148" s="51">
        <f t="shared" si="52"/>
        <v>5200</v>
      </c>
      <c r="AO148" s="84"/>
      <c r="AP148" s="51"/>
      <c r="AQ148" s="84">
        <f t="shared" si="46"/>
        <v>100</v>
      </c>
      <c r="AR148" s="169">
        <v>260</v>
      </c>
      <c r="AS148" s="164">
        <f t="shared" si="42"/>
        <v>26000</v>
      </c>
    </row>
    <row r="149" spans="1:50" ht="42.75" hidden="1">
      <c r="A149" s="57">
        <v>136</v>
      </c>
      <c r="B149" s="131" t="s">
        <v>1361</v>
      </c>
      <c r="C149" s="53" t="s">
        <v>15</v>
      </c>
      <c r="D149" s="46" t="s">
        <v>351</v>
      </c>
      <c r="E149" s="57" t="s">
        <v>1362</v>
      </c>
      <c r="F149" s="118" t="s">
        <v>1363</v>
      </c>
      <c r="G149" s="48"/>
      <c r="H149" s="58"/>
      <c r="I149" s="58"/>
      <c r="J149" s="58"/>
      <c r="K149" s="52"/>
      <c r="L149" s="73"/>
      <c r="M149" s="84"/>
      <c r="N149" s="51"/>
      <c r="O149" s="52"/>
      <c r="P149" s="51"/>
      <c r="Q149" s="84"/>
      <c r="R149" s="51">
        <f t="shared" si="49"/>
        <v>0</v>
      </c>
      <c r="S149" s="52"/>
      <c r="T149" s="51"/>
      <c r="U149" s="84"/>
      <c r="V149" s="51"/>
      <c r="W149" s="84"/>
      <c r="X149" s="51"/>
      <c r="Y149" s="84"/>
      <c r="Z149" s="51"/>
      <c r="AA149" s="84"/>
      <c r="AB149" s="51"/>
      <c r="AC149" s="84"/>
      <c r="AD149" s="51"/>
      <c r="AE149" s="84">
        <v>120</v>
      </c>
      <c r="AF149" s="51">
        <f>+AE149*AR149</f>
        <v>540000</v>
      </c>
      <c r="AG149" s="84"/>
      <c r="AH149" s="51"/>
      <c r="AI149" s="84"/>
      <c r="AJ149" s="51">
        <f t="shared" si="50"/>
        <v>0</v>
      </c>
      <c r="AK149" s="84"/>
      <c r="AL149" s="51">
        <f t="shared" si="51"/>
        <v>0</v>
      </c>
      <c r="AM149" s="84"/>
      <c r="AN149" s="51">
        <f t="shared" si="52"/>
        <v>0</v>
      </c>
      <c r="AO149" s="84"/>
      <c r="AP149" s="51"/>
      <c r="AQ149" s="84">
        <f t="shared" si="46"/>
        <v>120</v>
      </c>
      <c r="AR149" s="169">
        <f>3000*1.5</f>
        <v>4500</v>
      </c>
      <c r="AS149" s="164">
        <f t="shared" si="42"/>
        <v>540000</v>
      </c>
    </row>
    <row r="150" spans="1:50" ht="42.75" hidden="1">
      <c r="A150" s="57">
        <v>137</v>
      </c>
      <c r="B150" s="131" t="s">
        <v>1364</v>
      </c>
      <c r="C150" s="53" t="s">
        <v>15</v>
      </c>
      <c r="D150" s="46" t="s">
        <v>351</v>
      </c>
      <c r="E150" s="57" t="s">
        <v>1365</v>
      </c>
      <c r="F150" s="118" t="s">
        <v>1363</v>
      </c>
      <c r="G150" s="48"/>
      <c r="H150" s="58"/>
      <c r="I150" s="58"/>
      <c r="J150" s="58"/>
      <c r="K150" s="52"/>
      <c r="L150" s="73"/>
      <c r="M150" s="84"/>
      <c r="N150" s="51"/>
      <c r="O150" s="52"/>
      <c r="P150" s="51"/>
      <c r="Q150" s="84"/>
      <c r="R150" s="51">
        <f t="shared" ref="R150" si="53">+Q150*AR150</f>
        <v>0</v>
      </c>
      <c r="S150" s="52"/>
      <c r="T150" s="51"/>
      <c r="U150" s="84"/>
      <c r="V150" s="51"/>
      <c r="W150" s="84"/>
      <c r="X150" s="51"/>
      <c r="Y150" s="84"/>
      <c r="Z150" s="51"/>
      <c r="AA150" s="84"/>
      <c r="AB150" s="51"/>
      <c r="AC150" s="84"/>
      <c r="AD150" s="51"/>
      <c r="AE150" s="84">
        <v>48</v>
      </c>
      <c r="AF150" s="51">
        <f>+AE150*AR150</f>
        <v>223200</v>
      </c>
      <c r="AG150" s="84"/>
      <c r="AH150" s="51"/>
      <c r="AI150" s="84"/>
      <c r="AJ150" s="51">
        <f t="shared" si="50"/>
        <v>0</v>
      </c>
      <c r="AK150" s="84"/>
      <c r="AL150" s="51">
        <f t="shared" si="51"/>
        <v>0</v>
      </c>
      <c r="AM150" s="84"/>
      <c r="AN150" s="51">
        <f t="shared" si="52"/>
        <v>0</v>
      </c>
      <c r="AO150" s="84"/>
      <c r="AP150" s="51"/>
      <c r="AQ150" s="84">
        <f t="shared" si="46"/>
        <v>48</v>
      </c>
      <c r="AR150" s="169">
        <f>3100*1.5</f>
        <v>4650</v>
      </c>
      <c r="AS150" s="164">
        <f t="shared" si="42"/>
        <v>223200</v>
      </c>
    </row>
    <row r="151" spans="1:50" ht="15.75" hidden="1">
      <c r="A151" s="45"/>
      <c r="B151" s="50"/>
      <c r="C151" s="50"/>
      <c r="D151" s="50"/>
      <c r="E151" s="255" t="s">
        <v>211</v>
      </c>
      <c r="F151" s="50"/>
      <c r="G151" s="37"/>
      <c r="H151" s="37"/>
      <c r="I151" s="55"/>
      <c r="J151" s="136">
        <f t="shared" si="44"/>
        <v>0</v>
      </c>
      <c r="K151" s="126"/>
      <c r="L151" s="127">
        <f t="shared" si="45"/>
        <v>0</v>
      </c>
      <c r="M151" s="128"/>
      <c r="N151" s="136"/>
      <c r="O151" s="126"/>
      <c r="P151" s="136"/>
      <c r="Q151" s="128"/>
      <c r="R151" s="136"/>
      <c r="S151" s="126"/>
      <c r="T151" s="136"/>
      <c r="U151" s="128"/>
      <c r="V151" s="136"/>
      <c r="W151" s="128"/>
      <c r="X151" s="136"/>
      <c r="Y151" s="128"/>
      <c r="Z151" s="136"/>
      <c r="AA151" s="128"/>
      <c r="AB151" s="136"/>
      <c r="AC151" s="128"/>
      <c r="AD151" s="136"/>
      <c r="AE151" s="128"/>
      <c r="AF151" s="136"/>
      <c r="AG151" s="128"/>
      <c r="AH151" s="136"/>
      <c r="AI151" s="128"/>
      <c r="AJ151" s="136"/>
      <c r="AK151" s="128"/>
      <c r="AL151" s="136"/>
      <c r="AM151" s="128"/>
      <c r="AN151" s="136"/>
      <c r="AO151" s="128"/>
      <c r="AP151" s="136"/>
      <c r="AQ151" s="84"/>
      <c r="AR151" s="171"/>
      <c r="AS151" s="207">
        <f>SUM(AS116:AS150)</f>
        <v>3134931.4666666668</v>
      </c>
    </row>
    <row r="152" spans="1:50" s="6" customFormat="1" ht="14.25" hidden="1">
      <c r="A152" s="60">
        <v>138</v>
      </c>
      <c r="B152" s="195" t="s">
        <v>376</v>
      </c>
      <c r="C152" s="60" t="s">
        <v>19</v>
      </c>
      <c r="D152" s="54" t="s">
        <v>1607</v>
      </c>
      <c r="E152" s="196" t="s">
        <v>375</v>
      </c>
      <c r="F152" s="65" t="s">
        <v>377</v>
      </c>
      <c r="G152" s="37"/>
      <c r="H152" s="37"/>
      <c r="I152" s="37"/>
      <c r="J152" s="35"/>
      <c r="K152" s="36">
        <v>200</v>
      </c>
      <c r="L152" s="35">
        <f>+K152*AS152</f>
        <v>349482120.00000006</v>
      </c>
      <c r="M152" s="39">
        <v>1112</v>
      </c>
      <c r="N152" s="35">
        <f>+M152*AS152</f>
        <v>1943120587.2000003</v>
      </c>
      <c r="O152" s="36">
        <f>99000/AR152</f>
        <v>1089.108910891089</v>
      </c>
      <c r="P152" s="35"/>
      <c r="Q152" s="39"/>
      <c r="R152" s="35"/>
      <c r="S152" s="36"/>
      <c r="T152" s="35"/>
      <c r="U152" s="39"/>
      <c r="V152" s="35">
        <f>+U152*AR152</f>
        <v>0</v>
      </c>
      <c r="W152" s="39"/>
      <c r="X152" s="35"/>
      <c r="Y152" s="39">
        <v>3893</v>
      </c>
      <c r="Z152" s="35">
        <f>+Y152*AR152</f>
        <v>353873.7</v>
      </c>
      <c r="AA152" s="39">
        <v>2200</v>
      </c>
      <c r="AB152" s="35">
        <f>+AA152*AR152</f>
        <v>199980</v>
      </c>
      <c r="AC152" s="39">
        <v>1995</v>
      </c>
      <c r="AD152" s="35">
        <f>+AC152*AR152</f>
        <v>181345.5</v>
      </c>
      <c r="AE152" s="39">
        <v>2534</v>
      </c>
      <c r="AF152" s="35">
        <f>+AE152*AR152</f>
        <v>230340.6</v>
      </c>
      <c r="AG152" s="39"/>
      <c r="AH152" s="35"/>
      <c r="AI152" s="39">
        <v>2000</v>
      </c>
      <c r="AJ152" s="35">
        <f>+AI152*AR152</f>
        <v>181800</v>
      </c>
      <c r="AK152" s="39">
        <f>300000/AR152</f>
        <v>3300.3300330033003</v>
      </c>
      <c r="AL152" s="35">
        <f>+AK152*AR152</f>
        <v>300000</v>
      </c>
      <c r="AM152" s="39">
        <v>900</v>
      </c>
      <c r="AN152" s="35">
        <f>+AM152*AR152</f>
        <v>81810</v>
      </c>
      <c r="AO152" s="39"/>
      <c r="AP152" s="35"/>
      <c r="AQ152" s="84">
        <f t="shared" si="46"/>
        <v>19223.438943894391</v>
      </c>
      <c r="AR152" s="144">
        <v>90.9</v>
      </c>
      <c r="AS152" s="174">
        <f>+AQ152*AR152</f>
        <v>1747410.6000000003</v>
      </c>
      <c r="AT152" s="95"/>
      <c r="AU152" s="95"/>
      <c r="AV152" s="95"/>
      <c r="AW152" s="95"/>
      <c r="AX152" s="96"/>
    </row>
    <row r="153" spans="1:50" s="6" customFormat="1" ht="28.5" hidden="1">
      <c r="A153" s="60">
        <v>139</v>
      </c>
      <c r="B153" s="195" t="s">
        <v>1293</v>
      </c>
      <c r="C153" s="60" t="s">
        <v>19</v>
      </c>
      <c r="D153" s="54" t="s">
        <v>1607</v>
      </c>
      <c r="E153" s="196" t="s">
        <v>1292</v>
      </c>
      <c r="F153" s="65" t="s">
        <v>377</v>
      </c>
      <c r="G153" s="37"/>
      <c r="H153" s="37"/>
      <c r="I153" s="37"/>
      <c r="J153" s="35"/>
      <c r="K153" s="36"/>
      <c r="L153" s="35"/>
      <c r="M153" s="39"/>
      <c r="N153" s="35"/>
      <c r="O153" s="36"/>
      <c r="P153" s="35"/>
      <c r="Q153" s="39"/>
      <c r="R153" s="35"/>
      <c r="S153" s="36"/>
      <c r="T153" s="35"/>
      <c r="U153" s="39">
        <v>15286</v>
      </c>
      <c r="V153" s="35">
        <f>+AR153*U153</f>
        <v>2084246.1000000003</v>
      </c>
      <c r="W153" s="39">
        <f>120*3</f>
        <v>360</v>
      </c>
      <c r="X153" s="35">
        <f>+W153*AR153</f>
        <v>49086.000000000007</v>
      </c>
      <c r="Y153" s="39"/>
      <c r="Z153" s="35"/>
      <c r="AA153" s="39"/>
      <c r="AB153" s="35"/>
      <c r="AC153" s="39"/>
      <c r="AD153" s="35"/>
      <c r="AE153" s="39"/>
      <c r="AF153" s="35"/>
      <c r="AG153" s="39"/>
      <c r="AH153" s="35"/>
      <c r="AI153" s="39"/>
      <c r="AJ153" s="35"/>
      <c r="AK153" s="39"/>
      <c r="AL153" s="35"/>
      <c r="AM153" s="39"/>
      <c r="AN153" s="35"/>
      <c r="AO153" s="39">
        <f>8800+4500+3000+3000+12000+1800+3500+5000+6000+8000+15375+6000+3000+6000+4000</f>
        <v>89975</v>
      </c>
      <c r="AP153" s="35">
        <f>+AO153*AR153</f>
        <v>12268091.250000002</v>
      </c>
      <c r="AQ153" s="84">
        <f t="shared" si="46"/>
        <v>105621</v>
      </c>
      <c r="AR153" s="144">
        <f>+AR152*1.5</f>
        <v>136.35000000000002</v>
      </c>
      <c r="AS153" s="174">
        <f t="shared" ref="AS153:AS154" si="54">+AQ153*AR153</f>
        <v>14401423.350000001</v>
      </c>
      <c r="AT153" s="95"/>
      <c r="AU153" s="95"/>
      <c r="AV153" s="95"/>
      <c r="AW153" s="95"/>
      <c r="AX153" s="96"/>
    </row>
    <row r="154" spans="1:50" s="6" customFormat="1" ht="28.5" hidden="1">
      <c r="A154" s="60">
        <v>140</v>
      </c>
      <c r="B154" s="71" t="s">
        <v>1606</v>
      </c>
      <c r="C154" s="54" t="s">
        <v>19</v>
      </c>
      <c r="D154" s="54" t="s">
        <v>1607</v>
      </c>
      <c r="E154" s="201" t="s">
        <v>1608</v>
      </c>
      <c r="F154" s="65" t="s">
        <v>377</v>
      </c>
      <c r="G154" s="37"/>
      <c r="H154" s="37"/>
      <c r="I154" s="37"/>
      <c r="J154" s="35"/>
      <c r="K154" s="36"/>
      <c r="L154" s="35"/>
      <c r="M154" s="39"/>
      <c r="N154" s="35"/>
      <c r="O154" s="36"/>
      <c r="P154" s="35"/>
      <c r="Q154" s="39"/>
      <c r="R154" s="35"/>
      <c r="S154" s="36"/>
      <c r="T154" s="35"/>
      <c r="U154" s="39"/>
      <c r="V154" s="35"/>
      <c r="W154" s="39"/>
      <c r="X154" s="35"/>
      <c r="Y154" s="39"/>
      <c r="Z154" s="35"/>
      <c r="AA154" s="39"/>
      <c r="AB154" s="35"/>
      <c r="AC154" s="39"/>
      <c r="AD154" s="35"/>
      <c r="AE154" s="39"/>
      <c r="AF154" s="35"/>
      <c r="AG154" s="39"/>
      <c r="AH154" s="35"/>
      <c r="AI154" s="39"/>
      <c r="AJ154" s="35"/>
      <c r="AK154" s="39"/>
      <c r="AL154" s="35"/>
      <c r="AM154" s="39">
        <v>1000</v>
      </c>
      <c r="AN154" s="35">
        <f>+AM154*AR154</f>
        <v>90000</v>
      </c>
      <c r="AO154" s="39"/>
      <c r="AP154" s="35"/>
      <c r="AQ154" s="84">
        <f t="shared" si="46"/>
        <v>1000</v>
      </c>
      <c r="AR154" s="144">
        <v>90</v>
      </c>
      <c r="AS154" s="174">
        <f t="shared" si="54"/>
        <v>90000</v>
      </c>
      <c r="AT154" s="95"/>
      <c r="AU154" s="95"/>
      <c r="AV154" s="95"/>
      <c r="AW154" s="95"/>
      <c r="AX154" s="96"/>
    </row>
    <row r="155" spans="1:50" ht="15.75" hidden="1">
      <c r="A155" s="60"/>
      <c r="B155" s="195"/>
      <c r="C155" s="132"/>
      <c r="D155" s="65"/>
      <c r="E155" s="256" t="s">
        <v>378</v>
      </c>
      <c r="F155" s="65"/>
      <c r="G155" s="65"/>
      <c r="H155" s="65"/>
      <c r="I155" s="65"/>
      <c r="J155" s="104"/>
      <c r="K155" s="158"/>
      <c r="L155" s="104"/>
      <c r="M155" s="105"/>
      <c r="N155" s="104"/>
      <c r="O155" s="158"/>
      <c r="P155" s="104"/>
      <c r="Q155" s="105"/>
      <c r="R155" s="104"/>
      <c r="S155" s="158"/>
      <c r="T155" s="104"/>
      <c r="U155" s="105"/>
      <c r="V155" s="104"/>
      <c r="W155" s="105"/>
      <c r="X155" s="104"/>
      <c r="Y155" s="105"/>
      <c r="Z155" s="104"/>
      <c r="AA155" s="105"/>
      <c r="AB155" s="104"/>
      <c r="AC155" s="105"/>
      <c r="AD155" s="104"/>
      <c r="AE155" s="105"/>
      <c r="AF155" s="104"/>
      <c r="AG155" s="105"/>
      <c r="AH155" s="104"/>
      <c r="AI155" s="105"/>
      <c r="AJ155" s="104"/>
      <c r="AK155" s="105"/>
      <c r="AL155" s="104"/>
      <c r="AM155" s="105"/>
      <c r="AN155" s="104"/>
      <c r="AO155" s="105"/>
      <c r="AP155" s="104"/>
      <c r="AQ155" s="105"/>
      <c r="AR155" s="142"/>
      <c r="AS155" s="220">
        <f>SUM(AS152:AS154)</f>
        <v>16238833.950000001</v>
      </c>
      <c r="AT155" s="21"/>
      <c r="AU155" s="21"/>
      <c r="AV155" s="21"/>
      <c r="AW155" s="21"/>
      <c r="AX155" s="22"/>
    </row>
    <row r="156" spans="1:50" ht="14.25" hidden="1">
      <c r="A156" s="60">
        <v>141</v>
      </c>
      <c r="B156" s="195" t="s">
        <v>1301</v>
      </c>
      <c r="C156" s="60" t="s">
        <v>19</v>
      </c>
      <c r="D156" s="54" t="s">
        <v>1607</v>
      </c>
      <c r="E156" s="196" t="s">
        <v>1302</v>
      </c>
      <c r="F156" s="65" t="s">
        <v>12</v>
      </c>
      <c r="G156" s="37"/>
      <c r="H156" s="37"/>
      <c r="I156" s="37"/>
      <c r="J156" s="35"/>
      <c r="K156" s="36"/>
      <c r="L156" s="35"/>
      <c r="M156" s="39"/>
      <c r="N156" s="35"/>
      <c r="O156" s="36"/>
      <c r="P156" s="35"/>
      <c r="Q156" s="39"/>
      <c r="R156" s="35"/>
      <c r="S156" s="36"/>
      <c r="T156" s="35"/>
      <c r="U156" s="133"/>
      <c r="V156" s="35"/>
      <c r="W156" s="39">
        <v>100</v>
      </c>
      <c r="X156" s="35">
        <f>+W156*AR156</f>
        <v>600000</v>
      </c>
      <c r="Y156" s="39"/>
      <c r="Z156" s="35"/>
      <c r="AA156" s="39"/>
      <c r="AB156" s="35"/>
      <c r="AC156" s="39"/>
      <c r="AD156" s="35"/>
      <c r="AE156" s="39"/>
      <c r="AF156" s="35"/>
      <c r="AG156" s="39"/>
      <c r="AH156" s="35"/>
      <c r="AI156" s="39"/>
      <c r="AJ156" s="35"/>
      <c r="AK156" s="39"/>
      <c r="AL156" s="35"/>
      <c r="AM156" s="39"/>
      <c r="AN156" s="35"/>
      <c r="AO156" s="39"/>
      <c r="AP156" s="35"/>
      <c r="AQ156" s="84">
        <f t="shared" si="46"/>
        <v>100</v>
      </c>
      <c r="AR156" s="143">
        <v>6000</v>
      </c>
      <c r="AS156" s="174">
        <f>+AQ156*AR156</f>
        <v>600000</v>
      </c>
      <c r="AT156" s="21"/>
      <c r="AU156" s="21"/>
      <c r="AV156" s="21"/>
      <c r="AW156" s="21"/>
      <c r="AX156" s="22"/>
    </row>
    <row r="157" spans="1:50" ht="15.75" hidden="1">
      <c r="A157" s="60"/>
      <c r="B157" s="195"/>
      <c r="C157" s="132"/>
      <c r="D157" s="65"/>
      <c r="E157" s="256" t="s">
        <v>1303</v>
      </c>
      <c r="F157" s="65"/>
      <c r="G157" s="65"/>
      <c r="H157" s="65"/>
      <c r="I157" s="65"/>
      <c r="J157" s="104"/>
      <c r="K157" s="158"/>
      <c r="L157" s="104"/>
      <c r="M157" s="105"/>
      <c r="N157" s="104"/>
      <c r="O157" s="158"/>
      <c r="P157" s="104"/>
      <c r="Q157" s="105"/>
      <c r="R157" s="104"/>
      <c r="S157" s="158"/>
      <c r="T157" s="104"/>
      <c r="U157" s="105"/>
      <c r="V157" s="104"/>
      <c r="W157" s="105"/>
      <c r="X157" s="104"/>
      <c r="Y157" s="105"/>
      <c r="Z157" s="104"/>
      <c r="AA157" s="105"/>
      <c r="AB157" s="104"/>
      <c r="AC157" s="105"/>
      <c r="AD157" s="104"/>
      <c r="AE157" s="105"/>
      <c r="AF157" s="104"/>
      <c r="AG157" s="105"/>
      <c r="AH157" s="104"/>
      <c r="AI157" s="105"/>
      <c r="AJ157" s="104"/>
      <c r="AK157" s="105"/>
      <c r="AL157" s="104"/>
      <c r="AM157" s="105"/>
      <c r="AN157" s="104"/>
      <c r="AO157" s="105"/>
      <c r="AP157" s="104"/>
      <c r="AQ157" s="105"/>
      <c r="AR157" s="142"/>
      <c r="AS157" s="220">
        <f>SUM(AS156)</f>
        <v>600000</v>
      </c>
      <c r="AT157" s="8"/>
      <c r="AU157" s="21"/>
      <c r="AV157" s="21"/>
      <c r="AW157" s="21"/>
      <c r="AX157" s="22"/>
    </row>
    <row r="158" spans="1:50" ht="28.5" hidden="1">
      <c r="A158" s="48">
        <v>142</v>
      </c>
      <c r="B158" s="71" t="s">
        <v>1360</v>
      </c>
      <c r="C158" s="45" t="s">
        <v>13</v>
      </c>
      <c r="D158" s="53" t="s">
        <v>1666</v>
      </c>
      <c r="E158" s="192" t="s">
        <v>1359</v>
      </c>
      <c r="F158" s="48" t="s">
        <v>14</v>
      </c>
      <c r="G158" s="125"/>
      <c r="H158" s="125"/>
      <c r="I158" s="125"/>
      <c r="J158" s="125"/>
      <c r="K158" s="126"/>
      <c r="L158" s="127"/>
      <c r="M158" s="128"/>
      <c r="N158" s="125"/>
      <c r="O158" s="126">
        <v>4</v>
      </c>
      <c r="P158" s="127">
        <f>+O158*AR158</f>
        <v>50000</v>
      </c>
      <c r="Q158" s="128"/>
      <c r="R158" s="125"/>
      <c r="S158" s="126"/>
      <c r="T158" s="125"/>
      <c r="U158" s="128"/>
      <c r="V158" s="125"/>
      <c r="W158" s="128"/>
      <c r="X158" s="125"/>
      <c r="Y158" s="128">
        <v>4</v>
      </c>
      <c r="Z158" s="127">
        <f>+Y158*AR158</f>
        <v>50000</v>
      </c>
      <c r="AA158" s="128"/>
      <c r="AB158" s="127"/>
      <c r="AC158" s="128">
        <v>20</v>
      </c>
      <c r="AD158" s="127">
        <f>+AR158*AC158</f>
        <v>250000</v>
      </c>
      <c r="AE158" s="128">
        <v>8</v>
      </c>
      <c r="AF158" s="127">
        <f>+AE158*AR158</f>
        <v>100000</v>
      </c>
      <c r="AG158" s="128"/>
      <c r="AH158" s="127"/>
      <c r="AI158" s="128"/>
      <c r="AJ158" s="127"/>
      <c r="AK158" s="128"/>
      <c r="AL158" s="127"/>
      <c r="AM158" s="128"/>
      <c r="AN158" s="127"/>
      <c r="AO158" s="128"/>
      <c r="AP158" s="127"/>
      <c r="AQ158" s="84">
        <f t="shared" si="46"/>
        <v>36</v>
      </c>
      <c r="AR158" s="179">
        <v>12500</v>
      </c>
      <c r="AS158" s="180">
        <f>+AQ158*AR158</f>
        <v>450000</v>
      </c>
    </row>
    <row r="159" spans="1:50" ht="28.5" hidden="1">
      <c r="A159" s="71">
        <v>143</v>
      </c>
      <c r="B159" s="71" t="s">
        <v>1266</v>
      </c>
      <c r="C159" s="45" t="s">
        <v>13</v>
      </c>
      <c r="D159" s="53" t="s">
        <v>1666</v>
      </c>
      <c r="E159" s="53" t="s">
        <v>1267</v>
      </c>
      <c r="F159" s="48" t="s">
        <v>14</v>
      </c>
      <c r="G159" s="53"/>
      <c r="H159" s="125"/>
      <c r="I159" s="125"/>
      <c r="J159" s="125"/>
      <c r="K159" s="126"/>
      <c r="L159" s="127"/>
      <c r="M159" s="128"/>
      <c r="N159" s="125"/>
      <c r="O159" s="126"/>
      <c r="P159" s="125"/>
      <c r="Q159" s="128"/>
      <c r="R159" s="125"/>
      <c r="S159" s="126"/>
      <c r="T159" s="125"/>
      <c r="U159" s="128">
        <v>20</v>
      </c>
      <c r="V159" s="127">
        <f>+U159*AR159</f>
        <v>391915.4</v>
      </c>
      <c r="W159" s="128"/>
      <c r="X159" s="127"/>
      <c r="Y159" s="128"/>
      <c r="Z159" s="127"/>
      <c r="AA159" s="128"/>
      <c r="AB159" s="127"/>
      <c r="AC159" s="128"/>
      <c r="AD159" s="127"/>
      <c r="AE159" s="128"/>
      <c r="AF159" s="127"/>
      <c r="AG159" s="128"/>
      <c r="AH159" s="127"/>
      <c r="AI159" s="128"/>
      <c r="AJ159" s="127"/>
      <c r="AK159" s="128"/>
      <c r="AL159" s="127"/>
      <c r="AM159" s="128"/>
      <c r="AN159" s="127"/>
      <c r="AO159" s="128"/>
      <c r="AP159" s="127"/>
      <c r="AQ159" s="84">
        <f t="shared" si="46"/>
        <v>20</v>
      </c>
      <c r="AR159" s="179">
        <v>19595.77</v>
      </c>
      <c r="AS159" s="180">
        <f t="shared" ref="AS159:AS172" si="55">+AQ159*AR159</f>
        <v>391915.4</v>
      </c>
    </row>
    <row r="160" spans="1:50" ht="28.5" hidden="1">
      <c r="A160" s="48">
        <v>144</v>
      </c>
      <c r="B160" s="71" t="s">
        <v>1330</v>
      </c>
      <c r="C160" s="45" t="s">
        <v>13</v>
      </c>
      <c r="D160" s="53" t="s">
        <v>1666</v>
      </c>
      <c r="E160" s="53" t="s">
        <v>1331</v>
      </c>
      <c r="F160" s="48" t="s">
        <v>14</v>
      </c>
      <c r="G160" s="53"/>
      <c r="H160" s="125"/>
      <c r="I160" s="125"/>
      <c r="J160" s="125"/>
      <c r="K160" s="126"/>
      <c r="L160" s="127"/>
      <c r="M160" s="128"/>
      <c r="N160" s="125"/>
      <c r="O160" s="126"/>
      <c r="P160" s="125"/>
      <c r="Q160" s="128"/>
      <c r="R160" s="125"/>
      <c r="S160" s="126"/>
      <c r="T160" s="125"/>
      <c r="U160" s="128"/>
      <c r="V160" s="127"/>
      <c r="W160" s="128"/>
      <c r="X160" s="127"/>
      <c r="Y160" s="128"/>
      <c r="Z160" s="127"/>
      <c r="AA160" s="128"/>
      <c r="AB160" s="127"/>
      <c r="AC160" s="128">
        <v>6</v>
      </c>
      <c r="AD160" s="127">
        <f>+AC160*AR160</f>
        <v>118800</v>
      </c>
      <c r="AE160" s="128"/>
      <c r="AF160" s="127"/>
      <c r="AG160" s="128"/>
      <c r="AH160" s="127"/>
      <c r="AI160" s="128"/>
      <c r="AJ160" s="127"/>
      <c r="AK160" s="128"/>
      <c r="AL160" s="127"/>
      <c r="AM160" s="128"/>
      <c r="AN160" s="127"/>
      <c r="AO160" s="128"/>
      <c r="AP160" s="127"/>
      <c r="AQ160" s="84">
        <f t="shared" si="46"/>
        <v>6</v>
      </c>
      <c r="AR160" s="179">
        <v>19800</v>
      </c>
      <c r="AS160" s="180">
        <f t="shared" si="55"/>
        <v>118800</v>
      </c>
    </row>
    <row r="161" spans="1:45" ht="28.5" hidden="1">
      <c r="A161" s="71">
        <v>145</v>
      </c>
      <c r="B161" s="71" t="s">
        <v>1643</v>
      </c>
      <c r="C161" s="45" t="s">
        <v>13</v>
      </c>
      <c r="D161" s="53" t="s">
        <v>1666</v>
      </c>
      <c r="E161" s="53" t="s">
        <v>1642</v>
      </c>
      <c r="F161" s="48" t="s">
        <v>14</v>
      </c>
      <c r="G161" s="53"/>
      <c r="H161" s="125"/>
      <c r="I161" s="125"/>
      <c r="J161" s="125"/>
      <c r="K161" s="126"/>
      <c r="L161" s="127"/>
      <c r="M161" s="128"/>
      <c r="N161" s="125"/>
      <c r="O161" s="126"/>
      <c r="P161" s="125"/>
      <c r="Q161" s="128"/>
      <c r="R161" s="125"/>
      <c r="S161" s="126"/>
      <c r="T161" s="125"/>
      <c r="U161" s="128"/>
      <c r="V161" s="127"/>
      <c r="W161" s="128"/>
      <c r="X161" s="127"/>
      <c r="Y161" s="128"/>
      <c r="Z161" s="127"/>
      <c r="AA161" s="128"/>
      <c r="AB161" s="127"/>
      <c r="AC161" s="128"/>
      <c r="AD161" s="127"/>
      <c r="AE161" s="128"/>
      <c r="AF161" s="127"/>
      <c r="AG161" s="128"/>
      <c r="AH161" s="127"/>
      <c r="AI161" s="128"/>
      <c r="AJ161" s="127"/>
      <c r="AK161" s="128"/>
      <c r="AL161" s="127"/>
      <c r="AM161" s="128"/>
      <c r="AN161" s="127"/>
      <c r="AO161" s="68">
        <f>6+4+8+8+10+8+4+4+6+6</f>
        <v>64</v>
      </c>
      <c r="AP161" s="147">
        <f>+AO161*AR161</f>
        <v>2579008</v>
      </c>
      <c r="AQ161" s="84">
        <f t="shared" si="46"/>
        <v>64</v>
      </c>
      <c r="AR161" s="179">
        <v>40297</v>
      </c>
      <c r="AS161" s="180">
        <f t="shared" si="55"/>
        <v>2579008</v>
      </c>
    </row>
    <row r="162" spans="1:45" ht="28.5" hidden="1">
      <c r="A162" s="48">
        <v>146</v>
      </c>
      <c r="B162" s="125" t="s">
        <v>1645</v>
      </c>
      <c r="C162" s="45" t="s">
        <v>13</v>
      </c>
      <c r="D162" s="53" t="s">
        <v>1666</v>
      </c>
      <c r="E162" s="54" t="s">
        <v>1644</v>
      </c>
      <c r="F162" s="48" t="s">
        <v>14</v>
      </c>
      <c r="G162" s="125"/>
      <c r="H162" s="125"/>
      <c r="I162" s="125"/>
      <c r="J162" s="125"/>
      <c r="K162" s="126"/>
      <c r="L162" s="127"/>
      <c r="M162" s="128"/>
      <c r="N162" s="125"/>
      <c r="O162" s="126"/>
      <c r="P162" s="125"/>
      <c r="Q162" s="128"/>
      <c r="R162" s="125"/>
      <c r="S162" s="126"/>
      <c r="T162" s="125"/>
      <c r="U162" s="128"/>
      <c r="V162" s="125"/>
      <c r="W162" s="128"/>
      <c r="X162" s="125"/>
      <c r="Y162" s="128"/>
      <c r="Z162" s="125"/>
      <c r="AA162" s="128"/>
      <c r="AB162" s="125"/>
      <c r="AC162" s="128"/>
      <c r="AD162" s="125"/>
      <c r="AE162" s="128"/>
      <c r="AF162" s="125"/>
      <c r="AG162" s="128"/>
      <c r="AH162" s="125"/>
      <c r="AI162" s="128"/>
      <c r="AJ162" s="125"/>
      <c r="AK162" s="128"/>
      <c r="AL162" s="125"/>
      <c r="AM162" s="128"/>
      <c r="AN162" s="125"/>
      <c r="AO162" s="128">
        <v>4</v>
      </c>
      <c r="AP162" s="147">
        <f>+AO162*AR162</f>
        <v>127221.2</v>
      </c>
      <c r="AQ162" s="84">
        <f t="shared" si="46"/>
        <v>4</v>
      </c>
      <c r="AR162" s="179">
        <v>31805.3</v>
      </c>
      <c r="AS162" s="180">
        <f t="shared" si="55"/>
        <v>127221.2</v>
      </c>
    </row>
    <row r="163" spans="1:45" ht="28.5" hidden="1">
      <c r="A163" s="71">
        <v>147</v>
      </c>
      <c r="B163" s="125" t="s">
        <v>1647</v>
      </c>
      <c r="C163" s="45" t="s">
        <v>13</v>
      </c>
      <c r="D163" s="53" t="s">
        <v>1666</v>
      </c>
      <c r="E163" s="54" t="s">
        <v>1646</v>
      </c>
      <c r="F163" s="48" t="s">
        <v>14</v>
      </c>
      <c r="G163" s="125"/>
      <c r="H163" s="125"/>
      <c r="I163" s="125"/>
      <c r="J163" s="125"/>
      <c r="K163" s="126"/>
      <c r="L163" s="127"/>
      <c r="M163" s="128"/>
      <c r="N163" s="125"/>
      <c r="O163" s="126"/>
      <c r="P163" s="125"/>
      <c r="Q163" s="128"/>
      <c r="R163" s="125"/>
      <c r="S163" s="126"/>
      <c r="T163" s="125"/>
      <c r="U163" s="128"/>
      <c r="V163" s="125"/>
      <c r="W163" s="128"/>
      <c r="X163" s="125"/>
      <c r="Y163" s="128"/>
      <c r="Z163" s="125"/>
      <c r="AA163" s="128"/>
      <c r="AB163" s="125"/>
      <c r="AC163" s="128"/>
      <c r="AD163" s="125"/>
      <c r="AE163" s="128"/>
      <c r="AF163" s="125"/>
      <c r="AG163" s="128"/>
      <c r="AH163" s="125"/>
      <c r="AI163" s="128"/>
      <c r="AJ163" s="125"/>
      <c r="AK163" s="128"/>
      <c r="AL163" s="125"/>
      <c r="AM163" s="128"/>
      <c r="AN163" s="125"/>
      <c r="AO163" s="128">
        <f>18+8</f>
        <v>26</v>
      </c>
      <c r="AP163" s="147">
        <f>+AO163*AR163</f>
        <v>1277796</v>
      </c>
      <c r="AQ163" s="84">
        <f t="shared" si="46"/>
        <v>26</v>
      </c>
      <c r="AR163" s="179">
        <v>49146</v>
      </c>
      <c r="AS163" s="180">
        <f t="shared" si="55"/>
        <v>1277796</v>
      </c>
    </row>
    <row r="164" spans="1:45" ht="28.5" hidden="1">
      <c r="A164" s="48">
        <v>148</v>
      </c>
      <c r="B164" s="125" t="s">
        <v>1649</v>
      </c>
      <c r="C164" s="45" t="s">
        <v>13</v>
      </c>
      <c r="D164" s="53" t="s">
        <v>1666</v>
      </c>
      <c r="E164" s="54" t="s">
        <v>1648</v>
      </c>
      <c r="F164" s="48" t="s">
        <v>14</v>
      </c>
      <c r="G164" s="125"/>
      <c r="H164" s="125"/>
      <c r="I164" s="125"/>
      <c r="J164" s="125"/>
      <c r="K164" s="126"/>
      <c r="L164" s="127"/>
      <c r="M164" s="128"/>
      <c r="N164" s="125"/>
      <c r="O164" s="126"/>
      <c r="P164" s="125"/>
      <c r="Q164" s="128"/>
      <c r="R164" s="125"/>
      <c r="S164" s="126"/>
      <c r="T164" s="125"/>
      <c r="U164" s="128"/>
      <c r="V164" s="125"/>
      <c r="W164" s="128"/>
      <c r="X164" s="125"/>
      <c r="Y164" s="128"/>
      <c r="Z164" s="125"/>
      <c r="AA164" s="128"/>
      <c r="AB164" s="125"/>
      <c r="AC164" s="128"/>
      <c r="AD164" s="125"/>
      <c r="AE164" s="128"/>
      <c r="AF164" s="125"/>
      <c r="AG164" s="128"/>
      <c r="AH164" s="125"/>
      <c r="AI164" s="128"/>
      <c r="AJ164" s="125"/>
      <c r="AK164" s="128"/>
      <c r="AL164" s="125"/>
      <c r="AM164" s="128"/>
      <c r="AN164" s="125"/>
      <c r="AO164" s="128">
        <f>4+8+4</f>
        <v>16</v>
      </c>
      <c r="AP164" s="147">
        <f>+AO164*AR164</f>
        <v>429088</v>
      </c>
      <c r="AQ164" s="84">
        <f t="shared" si="46"/>
        <v>16</v>
      </c>
      <c r="AR164" s="179">
        <v>26818</v>
      </c>
      <c r="AS164" s="180">
        <f t="shared" si="55"/>
        <v>429088</v>
      </c>
    </row>
    <row r="165" spans="1:45" ht="28.5" hidden="1">
      <c r="A165" s="71">
        <v>149</v>
      </c>
      <c r="B165" s="125" t="s">
        <v>1651</v>
      </c>
      <c r="C165" s="45" t="s">
        <v>13</v>
      </c>
      <c r="D165" s="53" t="s">
        <v>1666</v>
      </c>
      <c r="E165" s="54" t="s">
        <v>1650</v>
      </c>
      <c r="F165" s="48" t="s">
        <v>14</v>
      </c>
      <c r="G165" s="125"/>
      <c r="H165" s="125"/>
      <c r="I165" s="125"/>
      <c r="J165" s="125"/>
      <c r="K165" s="126"/>
      <c r="L165" s="127"/>
      <c r="M165" s="128"/>
      <c r="N165" s="125"/>
      <c r="O165" s="126"/>
      <c r="P165" s="125"/>
      <c r="Q165" s="128"/>
      <c r="R165" s="125"/>
      <c r="S165" s="126"/>
      <c r="T165" s="125"/>
      <c r="U165" s="128"/>
      <c r="V165" s="125"/>
      <c r="W165" s="128"/>
      <c r="X165" s="125"/>
      <c r="Y165" s="128"/>
      <c r="Z165" s="125"/>
      <c r="AA165" s="128"/>
      <c r="AB165" s="125"/>
      <c r="AC165" s="128"/>
      <c r="AD165" s="125"/>
      <c r="AE165" s="128"/>
      <c r="AF165" s="125"/>
      <c r="AG165" s="128"/>
      <c r="AH165" s="125"/>
      <c r="AI165" s="128"/>
      <c r="AJ165" s="125"/>
      <c r="AK165" s="128"/>
      <c r="AL165" s="125"/>
      <c r="AM165" s="128"/>
      <c r="AN165" s="125"/>
      <c r="AO165" s="128">
        <v>8</v>
      </c>
      <c r="AP165" s="147"/>
      <c r="AQ165" s="84">
        <f t="shared" si="46"/>
        <v>8</v>
      </c>
      <c r="AR165" s="179">
        <v>18370</v>
      </c>
      <c r="AS165" s="180">
        <f t="shared" si="55"/>
        <v>146960</v>
      </c>
    </row>
    <row r="166" spans="1:45" ht="28.5" hidden="1">
      <c r="A166" s="48">
        <v>150</v>
      </c>
      <c r="B166" s="125" t="s">
        <v>1653</v>
      </c>
      <c r="C166" s="45" t="s">
        <v>13</v>
      </c>
      <c r="D166" s="53" t="s">
        <v>1666</v>
      </c>
      <c r="E166" s="54" t="s">
        <v>1652</v>
      </c>
      <c r="F166" s="48" t="s">
        <v>14</v>
      </c>
      <c r="G166" s="125"/>
      <c r="H166" s="125"/>
      <c r="I166" s="125"/>
      <c r="J166" s="125"/>
      <c r="K166" s="126"/>
      <c r="L166" s="127"/>
      <c r="M166" s="128"/>
      <c r="N166" s="125"/>
      <c r="O166" s="126"/>
      <c r="P166" s="125"/>
      <c r="Q166" s="128"/>
      <c r="R166" s="125"/>
      <c r="S166" s="126"/>
      <c r="T166" s="125"/>
      <c r="U166" s="128"/>
      <c r="V166" s="125"/>
      <c r="W166" s="128"/>
      <c r="X166" s="125"/>
      <c r="Y166" s="128"/>
      <c r="Z166" s="125"/>
      <c r="AA166" s="128"/>
      <c r="AB166" s="125"/>
      <c r="AC166" s="128"/>
      <c r="AD166" s="125"/>
      <c r="AE166" s="128"/>
      <c r="AF166" s="125"/>
      <c r="AG166" s="128"/>
      <c r="AH166" s="125"/>
      <c r="AI166" s="128"/>
      <c r="AJ166" s="125"/>
      <c r="AK166" s="128"/>
      <c r="AL166" s="125"/>
      <c r="AM166" s="128"/>
      <c r="AN166" s="125"/>
      <c r="AO166" s="128">
        <f>8+2</f>
        <v>10</v>
      </c>
      <c r="AP166" s="147"/>
      <c r="AQ166" s="84">
        <f t="shared" si="46"/>
        <v>10</v>
      </c>
      <c r="AR166" s="179">
        <v>30791.3</v>
      </c>
      <c r="AS166" s="180">
        <f t="shared" si="55"/>
        <v>307913</v>
      </c>
    </row>
    <row r="167" spans="1:45" ht="28.5" hidden="1">
      <c r="A167" s="71">
        <v>151</v>
      </c>
      <c r="B167" s="125" t="s">
        <v>1655</v>
      </c>
      <c r="C167" s="45" t="s">
        <v>13</v>
      </c>
      <c r="D167" s="53" t="s">
        <v>1666</v>
      </c>
      <c r="E167" s="54" t="s">
        <v>1654</v>
      </c>
      <c r="F167" s="48" t="s">
        <v>14</v>
      </c>
      <c r="G167" s="125"/>
      <c r="H167" s="125"/>
      <c r="I167" s="125"/>
      <c r="J167" s="125"/>
      <c r="K167" s="126"/>
      <c r="L167" s="127"/>
      <c r="M167" s="128"/>
      <c r="N167" s="125"/>
      <c r="O167" s="126"/>
      <c r="P167" s="125"/>
      <c r="Q167" s="128"/>
      <c r="R167" s="125"/>
      <c r="S167" s="126"/>
      <c r="T167" s="125"/>
      <c r="U167" s="128"/>
      <c r="V167" s="125"/>
      <c r="W167" s="128"/>
      <c r="X167" s="125"/>
      <c r="Y167" s="128"/>
      <c r="Z167" s="125"/>
      <c r="AA167" s="128"/>
      <c r="AB167" s="125"/>
      <c r="AC167" s="128"/>
      <c r="AD167" s="125"/>
      <c r="AE167" s="128"/>
      <c r="AF167" s="125"/>
      <c r="AG167" s="128"/>
      <c r="AH167" s="125"/>
      <c r="AI167" s="128"/>
      <c r="AJ167" s="125"/>
      <c r="AK167" s="128"/>
      <c r="AL167" s="125"/>
      <c r="AM167" s="128"/>
      <c r="AN167" s="125"/>
      <c r="AO167" s="128">
        <f>4+4</f>
        <v>8</v>
      </c>
      <c r="AP167" s="147"/>
      <c r="AQ167" s="84">
        <f t="shared" si="46"/>
        <v>8</v>
      </c>
      <c r="AR167" s="179">
        <v>37410.120000000003</v>
      </c>
      <c r="AS167" s="180">
        <f t="shared" si="55"/>
        <v>299280.96000000002</v>
      </c>
    </row>
    <row r="168" spans="1:45" ht="28.5" hidden="1">
      <c r="A168" s="48">
        <v>152</v>
      </c>
      <c r="B168" s="125" t="s">
        <v>1657</v>
      </c>
      <c r="C168" s="45" t="s">
        <v>13</v>
      </c>
      <c r="D168" s="53" t="s">
        <v>1666</v>
      </c>
      <c r="E168" s="54" t="s">
        <v>1656</v>
      </c>
      <c r="F168" s="48" t="s">
        <v>14</v>
      </c>
      <c r="G168" s="125"/>
      <c r="H168" s="125"/>
      <c r="I168" s="125"/>
      <c r="J168" s="125"/>
      <c r="K168" s="126"/>
      <c r="L168" s="127"/>
      <c r="M168" s="128"/>
      <c r="N168" s="125"/>
      <c r="O168" s="126"/>
      <c r="P168" s="125"/>
      <c r="Q168" s="128"/>
      <c r="R168" s="125"/>
      <c r="S168" s="126"/>
      <c r="T168" s="125"/>
      <c r="U168" s="128"/>
      <c r="V168" s="125"/>
      <c r="W168" s="128"/>
      <c r="X168" s="125"/>
      <c r="Y168" s="128"/>
      <c r="Z168" s="125"/>
      <c r="AA168" s="128"/>
      <c r="AB168" s="125"/>
      <c r="AC168" s="128"/>
      <c r="AD168" s="125"/>
      <c r="AE168" s="128"/>
      <c r="AF168" s="125"/>
      <c r="AG168" s="128"/>
      <c r="AH168" s="125"/>
      <c r="AI168" s="128"/>
      <c r="AJ168" s="125"/>
      <c r="AK168" s="128"/>
      <c r="AL168" s="125"/>
      <c r="AM168" s="128"/>
      <c r="AN168" s="125"/>
      <c r="AO168" s="128">
        <v>8</v>
      </c>
      <c r="AP168" s="147"/>
      <c r="AQ168" s="84">
        <f t="shared" si="46"/>
        <v>8</v>
      </c>
      <c r="AR168" s="179">
        <v>33675.75</v>
      </c>
      <c r="AS168" s="180">
        <f t="shared" si="55"/>
        <v>269406</v>
      </c>
    </row>
    <row r="169" spans="1:45" ht="28.5" hidden="1">
      <c r="A169" s="71">
        <v>153</v>
      </c>
      <c r="B169" s="125" t="s">
        <v>1659</v>
      </c>
      <c r="C169" s="45" t="s">
        <v>13</v>
      </c>
      <c r="D169" s="53" t="s">
        <v>1666</v>
      </c>
      <c r="E169" s="54" t="s">
        <v>1658</v>
      </c>
      <c r="F169" s="48" t="s">
        <v>14</v>
      </c>
      <c r="G169" s="125"/>
      <c r="H169" s="125"/>
      <c r="I169" s="125"/>
      <c r="J169" s="125"/>
      <c r="K169" s="126"/>
      <c r="L169" s="127"/>
      <c r="M169" s="128"/>
      <c r="N169" s="125"/>
      <c r="O169" s="126"/>
      <c r="P169" s="125"/>
      <c r="Q169" s="128"/>
      <c r="R169" s="125"/>
      <c r="S169" s="126"/>
      <c r="T169" s="125"/>
      <c r="U169" s="128"/>
      <c r="V169" s="125"/>
      <c r="W169" s="128"/>
      <c r="X169" s="125"/>
      <c r="Y169" s="128"/>
      <c r="Z169" s="125"/>
      <c r="AA169" s="128"/>
      <c r="AB169" s="125"/>
      <c r="AC169" s="128"/>
      <c r="AD169" s="125"/>
      <c r="AE169" s="128"/>
      <c r="AF169" s="125"/>
      <c r="AG169" s="128"/>
      <c r="AH169" s="125"/>
      <c r="AI169" s="128"/>
      <c r="AJ169" s="125"/>
      <c r="AK169" s="128"/>
      <c r="AL169" s="125"/>
      <c r="AM169" s="128"/>
      <c r="AN169" s="125"/>
      <c r="AO169" s="128">
        <v>10</v>
      </c>
      <c r="AP169" s="147"/>
      <c r="AQ169" s="84">
        <f t="shared" si="46"/>
        <v>10</v>
      </c>
      <c r="AR169" s="179">
        <v>29803.94</v>
      </c>
      <c r="AS169" s="180">
        <f t="shared" si="55"/>
        <v>298039.39999999997</v>
      </c>
    </row>
    <row r="170" spans="1:45" ht="28.5" hidden="1">
      <c r="A170" s="48">
        <v>154</v>
      </c>
      <c r="B170" s="125" t="s">
        <v>1661</v>
      </c>
      <c r="C170" s="45" t="s">
        <v>13</v>
      </c>
      <c r="D170" s="53" t="s">
        <v>1666</v>
      </c>
      <c r="E170" s="54" t="s">
        <v>1660</v>
      </c>
      <c r="F170" s="48" t="s">
        <v>14</v>
      </c>
      <c r="G170" s="125"/>
      <c r="H170" s="125"/>
      <c r="I170" s="125"/>
      <c r="J170" s="125"/>
      <c r="K170" s="126"/>
      <c r="L170" s="127"/>
      <c r="M170" s="128"/>
      <c r="N170" s="125"/>
      <c r="O170" s="126"/>
      <c r="P170" s="125"/>
      <c r="Q170" s="128"/>
      <c r="R170" s="125"/>
      <c r="S170" s="126"/>
      <c r="T170" s="125"/>
      <c r="U170" s="128"/>
      <c r="V170" s="125"/>
      <c r="W170" s="128"/>
      <c r="X170" s="125"/>
      <c r="Y170" s="128"/>
      <c r="Z170" s="125"/>
      <c r="AA170" s="128"/>
      <c r="AB170" s="125"/>
      <c r="AC170" s="128"/>
      <c r="AD170" s="125"/>
      <c r="AE170" s="128"/>
      <c r="AF170" s="125"/>
      <c r="AG170" s="128"/>
      <c r="AH170" s="125"/>
      <c r="AI170" s="128"/>
      <c r="AJ170" s="125"/>
      <c r="AK170" s="128"/>
      <c r="AL170" s="125"/>
      <c r="AM170" s="128"/>
      <c r="AN170" s="125"/>
      <c r="AO170" s="128">
        <v>4</v>
      </c>
      <c r="AP170" s="147"/>
      <c r="AQ170" s="84">
        <f t="shared" si="46"/>
        <v>4</v>
      </c>
      <c r="AR170" s="179">
        <f>25162+1.3</f>
        <v>25163.3</v>
      </c>
      <c r="AS170" s="180">
        <f t="shared" si="55"/>
        <v>100653.2</v>
      </c>
    </row>
    <row r="171" spans="1:45" ht="28.5" hidden="1">
      <c r="A171" s="71">
        <v>155</v>
      </c>
      <c r="B171" s="125" t="s">
        <v>1663</v>
      </c>
      <c r="C171" s="45" t="s">
        <v>13</v>
      </c>
      <c r="D171" s="53" t="s">
        <v>1666</v>
      </c>
      <c r="E171" s="54" t="s">
        <v>1662</v>
      </c>
      <c r="F171" s="48" t="s">
        <v>14</v>
      </c>
      <c r="G171" s="125"/>
      <c r="H171" s="125"/>
      <c r="I171" s="125"/>
      <c r="J171" s="125"/>
      <c r="K171" s="126"/>
      <c r="L171" s="127"/>
      <c r="M171" s="128"/>
      <c r="N171" s="125"/>
      <c r="O171" s="126"/>
      <c r="P171" s="125"/>
      <c r="Q171" s="128"/>
      <c r="R171" s="125"/>
      <c r="S171" s="126"/>
      <c r="T171" s="125"/>
      <c r="U171" s="128"/>
      <c r="V171" s="125"/>
      <c r="W171" s="128"/>
      <c r="X171" s="125"/>
      <c r="Y171" s="128"/>
      <c r="Z171" s="125"/>
      <c r="AA171" s="128"/>
      <c r="AB171" s="125"/>
      <c r="AC171" s="128"/>
      <c r="AD171" s="125"/>
      <c r="AE171" s="128"/>
      <c r="AF171" s="125"/>
      <c r="AG171" s="128"/>
      <c r="AH171" s="125"/>
      <c r="AI171" s="128"/>
      <c r="AJ171" s="125"/>
      <c r="AK171" s="128"/>
      <c r="AL171" s="125"/>
      <c r="AM171" s="128"/>
      <c r="AN171" s="125"/>
      <c r="AO171" s="128">
        <v>4</v>
      </c>
      <c r="AP171" s="125"/>
      <c r="AQ171" s="84">
        <f t="shared" si="46"/>
        <v>4</v>
      </c>
      <c r="AR171" s="179">
        <f>27832+1.3</f>
        <v>27833.3</v>
      </c>
      <c r="AS171" s="180">
        <f t="shared" si="55"/>
        <v>111333.2</v>
      </c>
    </row>
    <row r="172" spans="1:45" ht="28.5" hidden="1">
      <c r="A172" s="48">
        <v>156</v>
      </c>
      <c r="B172" s="125" t="s">
        <v>1665</v>
      </c>
      <c r="C172" s="45" t="s">
        <v>13</v>
      </c>
      <c r="D172" s="53" t="s">
        <v>1666</v>
      </c>
      <c r="E172" s="54" t="s">
        <v>1664</v>
      </c>
      <c r="F172" s="48" t="s">
        <v>14</v>
      </c>
      <c r="G172" s="125"/>
      <c r="H172" s="125"/>
      <c r="I172" s="125"/>
      <c r="J172" s="125"/>
      <c r="K172" s="126"/>
      <c r="L172" s="127"/>
      <c r="M172" s="128"/>
      <c r="N172" s="125"/>
      <c r="O172" s="126"/>
      <c r="P172" s="125"/>
      <c r="Q172" s="128"/>
      <c r="R172" s="125"/>
      <c r="S172" s="126"/>
      <c r="T172" s="125"/>
      <c r="U172" s="128"/>
      <c r="V172" s="125"/>
      <c r="W172" s="128"/>
      <c r="X172" s="125"/>
      <c r="Y172" s="128"/>
      <c r="Z172" s="125"/>
      <c r="AA172" s="128"/>
      <c r="AB172" s="125"/>
      <c r="AC172" s="128"/>
      <c r="AD172" s="125"/>
      <c r="AE172" s="128"/>
      <c r="AF172" s="125"/>
      <c r="AG172" s="128"/>
      <c r="AH172" s="125"/>
      <c r="AI172" s="128"/>
      <c r="AJ172" s="125"/>
      <c r="AK172" s="128"/>
      <c r="AL172" s="125"/>
      <c r="AM172" s="128"/>
      <c r="AN172" s="125"/>
      <c r="AO172" s="128">
        <v>4</v>
      </c>
      <c r="AP172" s="125"/>
      <c r="AQ172" s="84">
        <f t="shared" si="46"/>
        <v>4</v>
      </c>
      <c r="AR172" s="179">
        <f>41354+1.3</f>
        <v>41355.300000000003</v>
      </c>
      <c r="AS172" s="180">
        <f t="shared" si="55"/>
        <v>165421.20000000001</v>
      </c>
    </row>
    <row r="173" spans="1:45" ht="15.75" hidden="1">
      <c r="A173" s="71"/>
      <c r="B173" s="125"/>
      <c r="C173" s="72"/>
      <c r="D173" s="54"/>
      <c r="E173" s="254" t="s">
        <v>1252</v>
      </c>
      <c r="F173" s="37"/>
      <c r="G173" s="125"/>
      <c r="H173" s="125"/>
      <c r="I173" s="125"/>
      <c r="J173" s="125"/>
      <c r="K173" s="126"/>
      <c r="L173" s="127"/>
      <c r="M173" s="128"/>
      <c r="N173" s="125"/>
      <c r="O173" s="126"/>
      <c r="P173" s="125"/>
      <c r="Q173" s="128"/>
      <c r="R173" s="125"/>
      <c r="S173" s="126"/>
      <c r="T173" s="125"/>
      <c r="U173" s="128"/>
      <c r="V173" s="125"/>
      <c r="W173" s="128"/>
      <c r="X173" s="125"/>
      <c r="Y173" s="128"/>
      <c r="Z173" s="125"/>
      <c r="AA173" s="128"/>
      <c r="AB173" s="125"/>
      <c r="AC173" s="128"/>
      <c r="AD173" s="125"/>
      <c r="AE173" s="128"/>
      <c r="AF173" s="125"/>
      <c r="AG173" s="128"/>
      <c r="AH173" s="125"/>
      <c r="AI173" s="128"/>
      <c r="AJ173" s="125"/>
      <c r="AK173" s="128"/>
      <c r="AL173" s="125"/>
      <c r="AM173" s="128"/>
      <c r="AN173" s="125"/>
      <c r="AO173" s="128"/>
      <c r="AP173" s="125"/>
      <c r="AQ173" s="68"/>
      <c r="AR173" s="179"/>
      <c r="AS173" s="221">
        <f>SUM(AS158:AS172)</f>
        <v>7072835.5600000005</v>
      </c>
    </row>
    <row r="174" spans="1:45" ht="14.25" hidden="1">
      <c r="A174" s="71">
        <v>157</v>
      </c>
      <c r="B174" s="54" t="s">
        <v>1344</v>
      </c>
      <c r="C174" s="72" t="s">
        <v>1346</v>
      </c>
      <c r="D174" s="54">
        <v>293</v>
      </c>
      <c r="E174" s="54" t="s">
        <v>1347</v>
      </c>
      <c r="F174" s="37" t="s">
        <v>12</v>
      </c>
      <c r="G174" s="125"/>
      <c r="H174" s="125"/>
      <c r="I174" s="125"/>
      <c r="J174" s="125"/>
      <c r="K174" s="126"/>
      <c r="L174" s="127"/>
      <c r="M174" s="128"/>
      <c r="N174" s="125"/>
      <c r="O174" s="126"/>
      <c r="P174" s="125"/>
      <c r="Q174" s="128"/>
      <c r="R174" s="125"/>
      <c r="S174" s="126"/>
      <c r="T174" s="125"/>
      <c r="U174" s="128"/>
      <c r="V174" s="125"/>
      <c r="W174" s="128"/>
      <c r="X174" s="125"/>
      <c r="Y174" s="128"/>
      <c r="Z174" s="125"/>
      <c r="AA174" s="128"/>
      <c r="AB174" s="125"/>
      <c r="AC174" s="128">
        <v>30</v>
      </c>
      <c r="AD174" s="127">
        <f>+AC174*AR174</f>
        <v>9000</v>
      </c>
      <c r="AE174" s="128"/>
      <c r="AF174" s="127"/>
      <c r="AG174" s="128"/>
      <c r="AH174" s="127"/>
      <c r="AI174" s="128"/>
      <c r="AJ174" s="127"/>
      <c r="AK174" s="128"/>
      <c r="AL174" s="127"/>
      <c r="AM174" s="128"/>
      <c r="AN174" s="127"/>
      <c r="AO174" s="128"/>
      <c r="AP174" s="127"/>
      <c r="AQ174" s="84">
        <f t="shared" si="46"/>
        <v>30</v>
      </c>
      <c r="AR174" s="179">
        <v>300</v>
      </c>
      <c r="AS174" s="180">
        <f>+AQ174*AR174</f>
        <v>9000</v>
      </c>
    </row>
    <row r="175" spans="1:45" ht="14.25" hidden="1">
      <c r="A175" s="71">
        <v>158</v>
      </c>
      <c r="B175" s="54" t="s">
        <v>1345</v>
      </c>
      <c r="C175" s="72" t="s">
        <v>1346</v>
      </c>
      <c r="D175" s="54">
        <v>293</v>
      </c>
      <c r="E175" s="54" t="s">
        <v>1348</v>
      </c>
      <c r="F175" s="37" t="s">
        <v>12</v>
      </c>
      <c r="G175" s="125"/>
      <c r="H175" s="125"/>
      <c r="I175" s="125"/>
      <c r="J175" s="125"/>
      <c r="K175" s="126"/>
      <c r="L175" s="127"/>
      <c r="M175" s="128"/>
      <c r="N175" s="125"/>
      <c r="O175" s="126"/>
      <c r="P175" s="125"/>
      <c r="Q175" s="128"/>
      <c r="R175" s="125"/>
      <c r="S175" s="126"/>
      <c r="T175" s="125"/>
      <c r="U175" s="128"/>
      <c r="V175" s="125"/>
      <c r="W175" s="128"/>
      <c r="X175" s="125"/>
      <c r="Y175" s="128"/>
      <c r="Z175" s="125"/>
      <c r="AA175" s="128"/>
      <c r="AB175" s="125"/>
      <c r="AC175" s="128">
        <v>30</v>
      </c>
      <c r="AD175" s="127">
        <f t="shared" ref="AD175" si="56">+AC175*AR175</f>
        <v>15000</v>
      </c>
      <c r="AE175" s="128"/>
      <c r="AF175" s="127"/>
      <c r="AG175" s="128"/>
      <c r="AH175" s="127"/>
      <c r="AI175" s="128"/>
      <c r="AJ175" s="127"/>
      <c r="AK175" s="128"/>
      <c r="AL175" s="127"/>
      <c r="AM175" s="128">
        <v>60</v>
      </c>
      <c r="AN175" s="127">
        <f>+AM175*AR175</f>
        <v>30000</v>
      </c>
      <c r="AO175" s="128"/>
      <c r="AP175" s="127"/>
      <c r="AQ175" s="84">
        <f t="shared" si="46"/>
        <v>90</v>
      </c>
      <c r="AR175" s="179">
        <v>500</v>
      </c>
      <c r="AS175" s="180">
        <f>+AQ175*AR175</f>
        <v>45000</v>
      </c>
    </row>
    <row r="176" spans="1:45" ht="15.75" hidden="1">
      <c r="A176" s="71"/>
      <c r="B176" s="125"/>
      <c r="C176" s="125"/>
      <c r="D176" s="54"/>
      <c r="E176" s="254" t="s">
        <v>1349</v>
      </c>
      <c r="F176" s="37"/>
      <c r="G176" s="125"/>
      <c r="H176" s="125"/>
      <c r="I176" s="125"/>
      <c r="J176" s="125"/>
      <c r="K176" s="126"/>
      <c r="L176" s="127"/>
      <c r="M176" s="128"/>
      <c r="N176" s="125"/>
      <c r="O176" s="126"/>
      <c r="P176" s="125"/>
      <c r="Q176" s="128"/>
      <c r="R176" s="125"/>
      <c r="S176" s="126"/>
      <c r="T176" s="125"/>
      <c r="U176" s="128"/>
      <c r="V176" s="125"/>
      <c r="W176" s="128"/>
      <c r="X176" s="125"/>
      <c r="Y176" s="128"/>
      <c r="Z176" s="125"/>
      <c r="AA176" s="128"/>
      <c r="AB176" s="125"/>
      <c r="AC176" s="128"/>
      <c r="AD176" s="125"/>
      <c r="AE176" s="128"/>
      <c r="AF176" s="125"/>
      <c r="AG176" s="128"/>
      <c r="AH176" s="125"/>
      <c r="AI176" s="128"/>
      <c r="AJ176" s="125"/>
      <c r="AK176" s="128"/>
      <c r="AL176" s="125"/>
      <c r="AM176" s="128"/>
      <c r="AN176" s="125"/>
      <c r="AO176" s="128"/>
      <c r="AP176" s="125"/>
      <c r="AQ176" s="68"/>
      <c r="AR176" s="179"/>
      <c r="AS176" s="221">
        <f>SUM(AS174:AS175)</f>
        <v>54000</v>
      </c>
    </row>
    <row r="177" spans="1:45" ht="42.75" hidden="1">
      <c r="A177" s="71">
        <v>159</v>
      </c>
      <c r="B177" s="67" t="s">
        <v>1443</v>
      </c>
      <c r="C177" s="72" t="s">
        <v>1342</v>
      </c>
      <c r="D177" s="54">
        <v>261</v>
      </c>
      <c r="E177" s="53" t="s">
        <v>1470</v>
      </c>
      <c r="F177" s="125" t="s">
        <v>1485</v>
      </c>
      <c r="G177" s="53"/>
      <c r="H177" s="53"/>
      <c r="I177" s="53"/>
      <c r="J177" s="125"/>
      <c r="K177" s="126"/>
      <c r="L177" s="127"/>
      <c r="M177" s="128"/>
      <c r="N177" s="125"/>
      <c r="O177" s="126"/>
      <c r="P177" s="125"/>
      <c r="Q177" s="128"/>
      <c r="R177" s="125"/>
      <c r="S177" s="126"/>
      <c r="T177" s="125"/>
      <c r="U177" s="128"/>
      <c r="V177" s="125"/>
      <c r="W177" s="128"/>
      <c r="X177" s="125"/>
      <c r="Y177" s="128"/>
      <c r="Z177" s="125"/>
      <c r="AA177" s="128"/>
      <c r="AB177" s="125"/>
      <c r="AC177" s="128"/>
      <c r="AD177" s="125"/>
      <c r="AE177" s="128"/>
      <c r="AF177" s="125"/>
      <c r="AG177" s="128"/>
      <c r="AH177" s="125"/>
      <c r="AI177" s="128"/>
      <c r="AJ177" s="125"/>
      <c r="AK177" s="125">
        <v>100</v>
      </c>
      <c r="AL177" s="127">
        <f>+AK177*AR177</f>
        <v>45000</v>
      </c>
      <c r="AM177" s="128"/>
      <c r="AN177" s="127"/>
      <c r="AO177" s="128"/>
      <c r="AP177" s="127"/>
      <c r="AQ177" s="84">
        <f t="shared" si="46"/>
        <v>100</v>
      </c>
      <c r="AR177" s="181">
        <v>450</v>
      </c>
      <c r="AS177" s="180">
        <f>+AQ177*AR177</f>
        <v>45000</v>
      </c>
    </row>
    <row r="178" spans="1:45" ht="42.75" hidden="1">
      <c r="A178" s="71">
        <v>160</v>
      </c>
      <c r="B178" s="67" t="s">
        <v>1444</v>
      </c>
      <c r="C178" s="72" t="s">
        <v>1342</v>
      </c>
      <c r="D178" s="54">
        <v>261</v>
      </c>
      <c r="E178" s="53" t="s">
        <v>1471</v>
      </c>
      <c r="F178" s="125" t="s">
        <v>1485</v>
      </c>
      <c r="G178" s="125"/>
      <c r="H178" s="125"/>
      <c r="I178" s="125"/>
      <c r="J178" s="125"/>
      <c r="K178" s="126"/>
      <c r="L178" s="127"/>
      <c r="M178" s="128"/>
      <c r="N178" s="125"/>
      <c r="O178" s="126"/>
      <c r="P178" s="125"/>
      <c r="Q178" s="128"/>
      <c r="R178" s="125"/>
      <c r="S178" s="126"/>
      <c r="T178" s="125"/>
      <c r="U178" s="128"/>
      <c r="V178" s="125"/>
      <c r="W178" s="128"/>
      <c r="X178" s="125"/>
      <c r="Y178" s="128"/>
      <c r="Z178" s="125"/>
      <c r="AA178" s="128"/>
      <c r="AB178" s="125"/>
      <c r="AC178" s="128"/>
      <c r="AD178" s="125"/>
      <c r="AE178" s="128"/>
      <c r="AF178" s="125"/>
      <c r="AG178" s="128"/>
      <c r="AH178" s="125"/>
      <c r="AI178" s="128"/>
      <c r="AJ178" s="125"/>
      <c r="AK178" s="125">
        <v>100</v>
      </c>
      <c r="AL178" s="127">
        <f>+AK178*AR178</f>
        <v>60000</v>
      </c>
      <c r="AM178" s="128"/>
      <c r="AN178" s="127"/>
      <c r="AO178" s="128"/>
      <c r="AP178" s="127"/>
      <c r="AQ178" s="84">
        <f t="shared" si="46"/>
        <v>100</v>
      </c>
      <c r="AR178" s="181">
        <v>600</v>
      </c>
      <c r="AS178" s="180">
        <f t="shared" ref="AS178:AS204" si="57">+AQ178*AR178</f>
        <v>60000</v>
      </c>
    </row>
    <row r="179" spans="1:45" ht="28.5" hidden="1">
      <c r="A179" s="71">
        <v>161</v>
      </c>
      <c r="B179" s="67" t="s">
        <v>1445</v>
      </c>
      <c r="C179" s="72" t="s">
        <v>1342</v>
      </c>
      <c r="D179" s="54">
        <v>261</v>
      </c>
      <c r="E179" s="53" t="s">
        <v>1472</v>
      </c>
      <c r="F179" s="125" t="s">
        <v>1485</v>
      </c>
      <c r="G179" s="192"/>
      <c r="H179" s="192"/>
      <c r="I179" s="192"/>
      <c r="J179" s="125"/>
      <c r="K179" s="126"/>
      <c r="L179" s="127"/>
      <c r="M179" s="128"/>
      <c r="N179" s="125"/>
      <c r="O179" s="126"/>
      <c r="P179" s="125"/>
      <c r="Q179" s="128"/>
      <c r="R179" s="125"/>
      <c r="S179" s="126"/>
      <c r="T179" s="125"/>
      <c r="U179" s="128"/>
      <c r="V179" s="125"/>
      <c r="W179" s="128"/>
      <c r="X179" s="125"/>
      <c r="Y179" s="128"/>
      <c r="Z179" s="125"/>
      <c r="AA179" s="128"/>
      <c r="AB179" s="125"/>
      <c r="AC179" s="128"/>
      <c r="AD179" s="125"/>
      <c r="AE179" s="128"/>
      <c r="AF179" s="125"/>
      <c r="AG179" s="128"/>
      <c r="AH179" s="125"/>
      <c r="AI179" s="128"/>
      <c r="AJ179" s="125"/>
      <c r="AK179" s="125">
        <v>100</v>
      </c>
      <c r="AL179" s="127">
        <f>+AK179*AR179</f>
        <v>110000</v>
      </c>
      <c r="AM179" s="128"/>
      <c r="AN179" s="127"/>
      <c r="AO179" s="128"/>
      <c r="AP179" s="127"/>
      <c r="AQ179" s="84">
        <f t="shared" si="46"/>
        <v>100</v>
      </c>
      <c r="AR179" s="181">
        <v>1100</v>
      </c>
      <c r="AS179" s="180">
        <f t="shared" si="57"/>
        <v>110000</v>
      </c>
    </row>
    <row r="180" spans="1:45" ht="14.25" hidden="1">
      <c r="A180" s="71">
        <v>162</v>
      </c>
      <c r="B180" s="67" t="s">
        <v>1446</v>
      </c>
      <c r="C180" s="72" t="s">
        <v>1342</v>
      </c>
      <c r="D180" s="54">
        <v>261</v>
      </c>
      <c r="E180" s="53" t="s">
        <v>1473</v>
      </c>
      <c r="F180" s="125" t="s">
        <v>1485</v>
      </c>
      <c r="G180" s="125"/>
      <c r="H180" s="125"/>
      <c r="I180" s="125"/>
      <c r="J180" s="125"/>
      <c r="K180" s="126"/>
      <c r="L180" s="127"/>
      <c r="M180" s="128"/>
      <c r="N180" s="125"/>
      <c r="O180" s="126"/>
      <c r="P180" s="125"/>
      <c r="Q180" s="128"/>
      <c r="R180" s="125"/>
      <c r="S180" s="126"/>
      <c r="T180" s="125"/>
      <c r="U180" s="128"/>
      <c r="V180" s="125"/>
      <c r="W180" s="128"/>
      <c r="X180" s="125"/>
      <c r="Y180" s="128"/>
      <c r="Z180" s="125"/>
      <c r="AA180" s="128"/>
      <c r="AB180" s="125"/>
      <c r="AC180" s="128"/>
      <c r="AD180" s="125"/>
      <c r="AE180" s="128"/>
      <c r="AF180" s="125"/>
      <c r="AG180" s="128"/>
      <c r="AH180" s="125"/>
      <c r="AI180" s="128"/>
      <c r="AJ180" s="125"/>
      <c r="AK180" s="125">
        <v>100</v>
      </c>
      <c r="AL180" s="127">
        <f>+AK180*AR180</f>
        <v>65000</v>
      </c>
      <c r="AM180" s="128"/>
      <c r="AN180" s="127"/>
      <c r="AO180" s="128"/>
      <c r="AP180" s="127"/>
      <c r="AQ180" s="84">
        <f t="shared" si="46"/>
        <v>100</v>
      </c>
      <c r="AR180" s="181">
        <v>650</v>
      </c>
      <c r="AS180" s="180">
        <f t="shared" si="57"/>
        <v>65000</v>
      </c>
    </row>
    <row r="181" spans="1:45" ht="28.5" hidden="1">
      <c r="A181" s="71">
        <v>163</v>
      </c>
      <c r="B181" s="67" t="s">
        <v>1431</v>
      </c>
      <c r="C181" s="72" t="s">
        <v>1342</v>
      </c>
      <c r="D181" s="54">
        <v>262</v>
      </c>
      <c r="E181" s="53" t="s">
        <v>1458</v>
      </c>
      <c r="F181" s="125" t="s">
        <v>1485</v>
      </c>
      <c r="G181" s="53"/>
      <c r="H181" s="53"/>
      <c r="I181" s="53"/>
      <c r="J181" s="125"/>
      <c r="K181" s="126"/>
      <c r="L181" s="127"/>
      <c r="M181" s="128"/>
      <c r="N181" s="125"/>
      <c r="O181" s="126"/>
      <c r="P181" s="125"/>
      <c r="Q181" s="128"/>
      <c r="R181" s="125"/>
      <c r="S181" s="126"/>
      <c r="T181" s="125"/>
      <c r="U181" s="128"/>
      <c r="V181" s="125"/>
      <c r="W181" s="128"/>
      <c r="X181" s="125"/>
      <c r="Y181" s="128"/>
      <c r="Z181" s="125"/>
      <c r="AA181" s="128"/>
      <c r="AB181" s="125"/>
      <c r="AC181" s="128"/>
      <c r="AD181" s="127">
        <f t="shared" ref="AD181:AD182" si="58">+AC181*AR181</f>
        <v>0</v>
      </c>
      <c r="AE181" s="128"/>
      <c r="AF181" s="127"/>
      <c r="AG181" s="128"/>
      <c r="AH181" s="127"/>
      <c r="AI181" s="128"/>
      <c r="AJ181" s="127"/>
      <c r="AK181" s="125">
        <v>50</v>
      </c>
      <c r="AL181" s="127">
        <f>+AK181*AR181</f>
        <v>85000</v>
      </c>
      <c r="AM181" s="128"/>
      <c r="AN181" s="127"/>
      <c r="AO181" s="128"/>
      <c r="AP181" s="127"/>
      <c r="AQ181" s="84">
        <f t="shared" si="46"/>
        <v>50</v>
      </c>
      <c r="AR181" s="181">
        <v>1700</v>
      </c>
      <c r="AS181" s="180">
        <f t="shared" si="57"/>
        <v>85000</v>
      </c>
    </row>
    <row r="182" spans="1:45" ht="28.5" hidden="1">
      <c r="A182" s="71">
        <v>164</v>
      </c>
      <c r="B182" s="67" t="s">
        <v>1432</v>
      </c>
      <c r="C182" s="72" t="s">
        <v>1342</v>
      </c>
      <c r="D182" s="54">
        <v>262</v>
      </c>
      <c r="E182" s="53" t="s">
        <v>1459</v>
      </c>
      <c r="F182" s="125" t="s">
        <v>1485</v>
      </c>
      <c r="G182" s="125"/>
      <c r="H182" s="125"/>
      <c r="I182" s="125"/>
      <c r="J182" s="125"/>
      <c r="K182" s="126"/>
      <c r="L182" s="127"/>
      <c r="M182" s="128"/>
      <c r="N182" s="125"/>
      <c r="O182" s="126"/>
      <c r="P182" s="125"/>
      <c r="Q182" s="128"/>
      <c r="R182" s="125"/>
      <c r="S182" s="126"/>
      <c r="T182" s="125"/>
      <c r="U182" s="128"/>
      <c r="V182" s="125"/>
      <c r="W182" s="128"/>
      <c r="X182" s="125"/>
      <c r="Y182" s="128"/>
      <c r="Z182" s="125"/>
      <c r="AA182" s="128"/>
      <c r="AB182" s="125"/>
      <c r="AC182" s="128"/>
      <c r="AD182" s="127">
        <f t="shared" si="58"/>
        <v>0</v>
      </c>
      <c r="AE182" s="128"/>
      <c r="AF182" s="127"/>
      <c r="AG182" s="128"/>
      <c r="AH182" s="127"/>
      <c r="AI182" s="128"/>
      <c r="AJ182" s="127"/>
      <c r="AK182" s="125">
        <v>20</v>
      </c>
      <c r="AL182" s="127">
        <f t="shared" ref="AL182:AL198" si="59">+AK182*AR182</f>
        <v>56000</v>
      </c>
      <c r="AM182" s="128"/>
      <c r="AN182" s="127"/>
      <c r="AO182" s="128"/>
      <c r="AP182" s="127"/>
      <c r="AQ182" s="84">
        <f t="shared" si="46"/>
        <v>20</v>
      </c>
      <c r="AR182" s="181">
        <v>2800</v>
      </c>
      <c r="AS182" s="180">
        <f t="shared" si="57"/>
        <v>56000</v>
      </c>
    </row>
    <row r="183" spans="1:45" ht="28.5" hidden="1">
      <c r="A183" s="71">
        <v>165</v>
      </c>
      <c r="B183" s="67" t="s">
        <v>1433</v>
      </c>
      <c r="C183" s="72" t="s">
        <v>1342</v>
      </c>
      <c r="D183" s="54">
        <v>263</v>
      </c>
      <c r="E183" s="53" t="s">
        <v>1460</v>
      </c>
      <c r="F183" s="125" t="s">
        <v>1486</v>
      </c>
      <c r="G183" s="53"/>
      <c r="H183" s="53"/>
      <c r="I183" s="53"/>
      <c r="J183" s="125"/>
      <c r="K183" s="126"/>
      <c r="L183" s="127"/>
      <c r="M183" s="128"/>
      <c r="N183" s="125"/>
      <c r="O183" s="126"/>
      <c r="P183" s="125"/>
      <c r="Q183" s="128"/>
      <c r="R183" s="125"/>
      <c r="S183" s="126"/>
      <c r="T183" s="125"/>
      <c r="U183" s="128"/>
      <c r="V183" s="125"/>
      <c r="W183" s="128"/>
      <c r="X183" s="125"/>
      <c r="Y183" s="128"/>
      <c r="Z183" s="125"/>
      <c r="AA183" s="128"/>
      <c r="AB183" s="125"/>
      <c r="AC183" s="128"/>
      <c r="AD183" s="125"/>
      <c r="AE183" s="128"/>
      <c r="AF183" s="125"/>
      <c r="AG183" s="128"/>
      <c r="AH183" s="125"/>
      <c r="AI183" s="128"/>
      <c r="AJ183" s="125"/>
      <c r="AK183" s="125">
        <v>4</v>
      </c>
      <c r="AL183" s="127">
        <f t="shared" si="59"/>
        <v>18400</v>
      </c>
      <c r="AM183" s="128"/>
      <c r="AN183" s="127"/>
      <c r="AO183" s="128"/>
      <c r="AP183" s="127"/>
      <c r="AQ183" s="84">
        <f t="shared" si="46"/>
        <v>4</v>
      </c>
      <c r="AR183" s="181">
        <v>4600</v>
      </c>
      <c r="AS183" s="180">
        <f t="shared" si="57"/>
        <v>18400</v>
      </c>
    </row>
    <row r="184" spans="1:45" ht="28.5" hidden="1">
      <c r="A184" s="71">
        <v>166</v>
      </c>
      <c r="B184" s="67" t="s">
        <v>1434</v>
      </c>
      <c r="C184" s="72" t="s">
        <v>1342</v>
      </c>
      <c r="D184" s="54">
        <v>263</v>
      </c>
      <c r="E184" s="53" t="s">
        <v>1461</v>
      </c>
      <c r="F184" s="125" t="s">
        <v>1486</v>
      </c>
      <c r="G184" s="192"/>
      <c r="H184" s="192"/>
      <c r="I184" s="192"/>
      <c r="J184" s="125"/>
      <c r="K184" s="126"/>
      <c r="L184" s="127"/>
      <c r="M184" s="128"/>
      <c r="N184" s="125"/>
      <c r="O184" s="126"/>
      <c r="P184" s="125"/>
      <c r="Q184" s="128"/>
      <c r="R184" s="125"/>
      <c r="S184" s="126"/>
      <c r="T184" s="125"/>
      <c r="U184" s="128"/>
      <c r="V184" s="125"/>
      <c r="W184" s="128"/>
      <c r="X184" s="125"/>
      <c r="Y184" s="128"/>
      <c r="Z184" s="125"/>
      <c r="AA184" s="128"/>
      <c r="AB184" s="125"/>
      <c r="AC184" s="128"/>
      <c r="AD184" s="125"/>
      <c r="AE184" s="128"/>
      <c r="AF184" s="125"/>
      <c r="AG184" s="128"/>
      <c r="AH184" s="125"/>
      <c r="AI184" s="128"/>
      <c r="AJ184" s="125"/>
      <c r="AK184" s="125">
        <v>10</v>
      </c>
      <c r="AL184" s="127">
        <f t="shared" si="59"/>
        <v>75000</v>
      </c>
      <c r="AM184" s="128"/>
      <c r="AN184" s="127"/>
      <c r="AO184" s="128"/>
      <c r="AP184" s="127"/>
      <c r="AQ184" s="84">
        <f t="shared" si="46"/>
        <v>10</v>
      </c>
      <c r="AR184" s="181">
        <v>7500</v>
      </c>
      <c r="AS184" s="180">
        <f t="shared" si="57"/>
        <v>75000</v>
      </c>
    </row>
    <row r="185" spans="1:45" ht="28.5" hidden="1">
      <c r="A185" s="71">
        <v>167</v>
      </c>
      <c r="B185" s="67" t="s">
        <v>1435</v>
      </c>
      <c r="C185" s="72" t="s">
        <v>1342</v>
      </c>
      <c r="D185" s="54">
        <v>263</v>
      </c>
      <c r="E185" s="53" t="s">
        <v>1462</v>
      </c>
      <c r="F185" s="125" t="s">
        <v>1486</v>
      </c>
      <c r="G185" s="192"/>
      <c r="H185" s="192"/>
      <c r="I185" s="192"/>
      <c r="J185" s="125"/>
      <c r="K185" s="126"/>
      <c r="L185" s="127"/>
      <c r="M185" s="128"/>
      <c r="N185" s="125"/>
      <c r="O185" s="126"/>
      <c r="P185" s="125"/>
      <c r="Q185" s="128"/>
      <c r="R185" s="125"/>
      <c r="S185" s="126"/>
      <c r="T185" s="125"/>
      <c r="U185" s="128"/>
      <c r="V185" s="125"/>
      <c r="W185" s="128"/>
      <c r="X185" s="125"/>
      <c r="Y185" s="128"/>
      <c r="Z185" s="125"/>
      <c r="AA185" s="128"/>
      <c r="AB185" s="125"/>
      <c r="AC185" s="128"/>
      <c r="AD185" s="125"/>
      <c r="AE185" s="128"/>
      <c r="AF185" s="125"/>
      <c r="AG185" s="128"/>
      <c r="AH185" s="125"/>
      <c r="AI185" s="128"/>
      <c r="AJ185" s="125"/>
      <c r="AK185" s="125">
        <v>10</v>
      </c>
      <c r="AL185" s="127">
        <f t="shared" si="59"/>
        <v>93000</v>
      </c>
      <c r="AM185" s="128"/>
      <c r="AN185" s="127"/>
      <c r="AO185" s="128"/>
      <c r="AP185" s="127"/>
      <c r="AQ185" s="84">
        <f t="shared" si="46"/>
        <v>10</v>
      </c>
      <c r="AR185" s="181">
        <v>9300</v>
      </c>
      <c r="AS185" s="180">
        <f t="shared" si="57"/>
        <v>93000</v>
      </c>
    </row>
    <row r="186" spans="1:45" ht="42.75" hidden="1">
      <c r="A186" s="71">
        <v>168</v>
      </c>
      <c r="B186" s="67" t="s">
        <v>1436</v>
      </c>
      <c r="C186" s="72" t="s">
        <v>1342</v>
      </c>
      <c r="D186" s="54">
        <v>263</v>
      </c>
      <c r="E186" s="53" t="s">
        <v>1463</v>
      </c>
      <c r="F186" s="125" t="s">
        <v>1486</v>
      </c>
      <c r="G186" s="125"/>
      <c r="H186" s="125"/>
      <c r="I186" s="125"/>
      <c r="J186" s="125"/>
      <c r="K186" s="126"/>
      <c r="L186" s="127"/>
      <c r="M186" s="128"/>
      <c r="N186" s="125"/>
      <c r="O186" s="126"/>
      <c r="P186" s="125"/>
      <c r="Q186" s="128"/>
      <c r="R186" s="125"/>
      <c r="S186" s="126"/>
      <c r="T186" s="125"/>
      <c r="U186" s="128"/>
      <c r="V186" s="125"/>
      <c r="W186" s="128"/>
      <c r="X186" s="125"/>
      <c r="Y186" s="128"/>
      <c r="Z186" s="125"/>
      <c r="AA186" s="128"/>
      <c r="AB186" s="125"/>
      <c r="AC186" s="128"/>
      <c r="AD186" s="125"/>
      <c r="AE186" s="128"/>
      <c r="AF186" s="125"/>
      <c r="AG186" s="128"/>
      <c r="AH186" s="125"/>
      <c r="AI186" s="128"/>
      <c r="AJ186" s="125"/>
      <c r="AK186" s="125">
        <v>10</v>
      </c>
      <c r="AL186" s="127">
        <f t="shared" si="59"/>
        <v>65000</v>
      </c>
      <c r="AM186" s="128"/>
      <c r="AN186" s="127"/>
      <c r="AO186" s="128"/>
      <c r="AP186" s="127"/>
      <c r="AQ186" s="84">
        <f t="shared" si="46"/>
        <v>10</v>
      </c>
      <c r="AR186" s="181">
        <v>6500</v>
      </c>
      <c r="AS186" s="180">
        <f t="shared" si="57"/>
        <v>65000</v>
      </c>
    </row>
    <row r="187" spans="1:45" ht="42.75" hidden="1">
      <c r="A187" s="71">
        <v>169</v>
      </c>
      <c r="B187" s="67" t="s">
        <v>1437</v>
      </c>
      <c r="C187" s="72" t="s">
        <v>1342</v>
      </c>
      <c r="D187" s="54">
        <v>263</v>
      </c>
      <c r="E187" s="53" t="s">
        <v>1464</v>
      </c>
      <c r="F187" s="125" t="s">
        <v>1486</v>
      </c>
      <c r="G187" s="53"/>
      <c r="H187" s="53"/>
      <c r="I187" s="53"/>
      <c r="J187" s="125"/>
      <c r="K187" s="126"/>
      <c r="L187" s="127"/>
      <c r="M187" s="128"/>
      <c r="N187" s="125"/>
      <c r="O187" s="126"/>
      <c r="P187" s="125"/>
      <c r="Q187" s="128"/>
      <c r="R187" s="125"/>
      <c r="S187" s="126"/>
      <c r="T187" s="125"/>
      <c r="U187" s="128"/>
      <c r="V187" s="125"/>
      <c r="W187" s="128"/>
      <c r="X187" s="125"/>
      <c r="Y187" s="128"/>
      <c r="Z187" s="125"/>
      <c r="AA187" s="128"/>
      <c r="AB187" s="125"/>
      <c r="AC187" s="128"/>
      <c r="AD187" s="125"/>
      <c r="AE187" s="128"/>
      <c r="AF187" s="125"/>
      <c r="AG187" s="128"/>
      <c r="AH187" s="125"/>
      <c r="AI187" s="128"/>
      <c r="AJ187" s="125"/>
      <c r="AK187" s="125">
        <v>10</v>
      </c>
      <c r="AL187" s="127">
        <f t="shared" si="59"/>
        <v>81000</v>
      </c>
      <c r="AM187" s="128"/>
      <c r="AN187" s="127"/>
      <c r="AO187" s="128"/>
      <c r="AP187" s="127"/>
      <c r="AQ187" s="84">
        <f t="shared" si="46"/>
        <v>10</v>
      </c>
      <c r="AR187" s="181">
        <v>8100</v>
      </c>
      <c r="AS187" s="180">
        <f t="shared" si="57"/>
        <v>81000</v>
      </c>
    </row>
    <row r="188" spans="1:45" ht="28.5" hidden="1">
      <c r="A188" s="71">
        <v>170</v>
      </c>
      <c r="B188" s="67" t="s">
        <v>1438</v>
      </c>
      <c r="C188" s="72" t="s">
        <v>1342</v>
      </c>
      <c r="D188" s="54">
        <v>263</v>
      </c>
      <c r="E188" s="53" t="s">
        <v>1465</v>
      </c>
      <c r="F188" s="125" t="s">
        <v>1486</v>
      </c>
      <c r="G188" s="53"/>
      <c r="H188" s="53"/>
      <c r="I188" s="53"/>
      <c r="J188" s="125"/>
      <c r="K188" s="126"/>
      <c r="L188" s="127"/>
      <c r="M188" s="128"/>
      <c r="N188" s="125"/>
      <c r="O188" s="126"/>
      <c r="P188" s="125"/>
      <c r="Q188" s="128"/>
      <c r="R188" s="125"/>
      <c r="S188" s="126"/>
      <c r="T188" s="125"/>
      <c r="U188" s="128"/>
      <c r="V188" s="125"/>
      <c r="W188" s="128"/>
      <c r="X188" s="125"/>
      <c r="Y188" s="128"/>
      <c r="Z188" s="125"/>
      <c r="AA188" s="128"/>
      <c r="AB188" s="125"/>
      <c r="AC188" s="128"/>
      <c r="AD188" s="125"/>
      <c r="AE188" s="128"/>
      <c r="AF188" s="125"/>
      <c r="AG188" s="128"/>
      <c r="AH188" s="125"/>
      <c r="AI188" s="128"/>
      <c r="AJ188" s="125"/>
      <c r="AK188" s="125">
        <v>10</v>
      </c>
      <c r="AL188" s="127">
        <f t="shared" si="59"/>
        <v>68000</v>
      </c>
      <c r="AM188" s="128"/>
      <c r="AN188" s="127"/>
      <c r="AO188" s="128"/>
      <c r="AP188" s="127"/>
      <c r="AQ188" s="84">
        <f t="shared" si="46"/>
        <v>10</v>
      </c>
      <c r="AR188" s="181">
        <v>6800</v>
      </c>
      <c r="AS188" s="180">
        <f t="shared" si="57"/>
        <v>68000</v>
      </c>
    </row>
    <row r="189" spans="1:45" ht="14.25" hidden="1">
      <c r="A189" s="71">
        <v>171</v>
      </c>
      <c r="B189" s="67" t="s">
        <v>1439</v>
      </c>
      <c r="C189" s="72" t="s">
        <v>1342</v>
      </c>
      <c r="D189" s="54">
        <v>264</v>
      </c>
      <c r="E189" s="53" t="s">
        <v>1466</v>
      </c>
      <c r="F189" s="125" t="s">
        <v>1486</v>
      </c>
      <c r="G189" s="53"/>
      <c r="H189" s="53"/>
      <c r="I189" s="53"/>
      <c r="J189" s="125"/>
      <c r="K189" s="126"/>
      <c r="L189" s="127"/>
      <c r="M189" s="128"/>
      <c r="N189" s="125"/>
      <c r="O189" s="126"/>
      <c r="P189" s="125"/>
      <c r="Q189" s="128"/>
      <c r="R189" s="125"/>
      <c r="S189" s="126"/>
      <c r="T189" s="125"/>
      <c r="U189" s="128"/>
      <c r="V189" s="125"/>
      <c r="W189" s="128"/>
      <c r="X189" s="125"/>
      <c r="Y189" s="128"/>
      <c r="Z189" s="125"/>
      <c r="AA189" s="128"/>
      <c r="AB189" s="125"/>
      <c r="AC189" s="128"/>
      <c r="AD189" s="125"/>
      <c r="AE189" s="128"/>
      <c r="AF189" s="125"/>
      <c r="AG189" s="128"/>
      <c r="AH189" s="125"/>
      <c r="AI189" s="128"/>
      <c r="AJ189" s="125"/>
      <c r="AK189" s="125">
        <v>500</v>
      </c>
      <c r="AL189" s="127">
        <f t="shared" si="59"/>
        <v>45000</v>
      </c>
      <c r="AM189" s="128"/>
      <c r="AN189" s="127"/>
      <c r="AO189" s="128"/>
      <c r="AP189" s="127"/>
      <c r="AQ189" s="84">
        <f t="shared" si="46"/>
        <v>500</v>
      </c>
      <c r="AR189" s="181">
        <v>90</v>
      </c>
      <c r="AS189" s="180">
        <f t="shared" si="57"/>
        <v>45000</v>
      </c>
    </row>
    <row r="190" spans="1:45" ht="14.25" hidden="1">
      <c r="A190" s="71">
        <v>172</v>
      </c>
      <c r="B190" s="67" t="s">
        <v>1440</v>
      </c>
      <c r="C190" s="72" t="s">
        <v>1342</v>
      </c>
      <c r="D190" s="54">
        <v>264</v>
      </c>
      <c r="E190" s="53" t="s">
        <v>1467</v>
      </c>
      <c r="F190" s="125" t="s">
        <v>1486</v>
      </c>
      <c r="G190" s="125"/>
      <c r="H190" s="125"/>
      <c r="I190" s="125"/>
      <c r="J190" s="125"/>
      <c r="K190" s="126"/>
      <c r="L190" s="127"/>
      <c r="M190" s="128"/>
      <c r="N190" s="125"/>
      <c r="O190" s="126"/>
      <c r="P190" s="125"/>
      <c r="Q190" s="128"/>
      <c r="R190" s="125"/>
      <c r="S190" s="126"/>
      <c r="T190" s="125"/>
      <c r="U190" s="128"/>
      <c r="V190" s="125"/>
      <c r="W190" s="128"/>
      <c r="X190" s="125"/>
      <c r="Y190" s="128"/>
      <c r="Z190" s="125"/>
      <c r="AA190" s="128"/>
      <c r="AB190" s="125"/>
      <c r="AC190" s="128"/>
      <c r="AD190" s="125"/>
      <c r="AE190" s="128"/>
      <c r="AF190" s="125"/>
      <c r="AG190" s="128"/>
      <c r="AH190" s="125"/>
      <c r="AI190" s="128"/>
      <c r="AJ190" s="125"/>
      <c r="AK190" s="125">
        <v>1000</v>
      </c>
      <c r="AL190" s="127">
        <f t="shared" si="59"/>
        <v>105000</v>
      </c>
      <c r="AM190" s="128"/>
      <c r="AN190" s="127"/>
      <c r="AO190" s="128"/>
      <c r="AP190" s="127"/>
      <c r="AQ190" s="84">
        <f t="shared" si="46"/>
        <v>1000</v>
      </c>
      <c r="AR190" s="181">
        <v>105</v>
      </c>
      <c r="AS190" s="180">
        <f t="shared" si="57"/>
        <v>105000</v>
      </c>
    </row>
    <row r="191" spans="1:45" ht="14.25" hidden="1">
      <c r="A191" s="71">
        <v>173</v>
      </c>
      <c r="B191" s="67" t="s">
        <v>1441</v>
      </c>
      <c r="C191" s="72" t="s">
        <v>1342</v>
      </c>
      <c r="D191" s="54">
        <v>264</v>
      </c>
      <c r="E191" s="53" t="s">
        <v>1468</v>
      </c>
      <c r="F191" s="125" t="s">
        <v>1485</v>
      </c>
      <c r="G191" s="192"/>
      <c r="H191" s="192"/>
      <c r="I191" s="192"/>
      <c r="J191" s="125"/>
      <c r="K191" s="126"/>
      <c r="L191" s="127"/>
      <c r="M191" s="128"/>
      <c r="N191" s="125"/>
      <c r="O191" s="126"/>
      <c r="P191" s="125"/>
      <c r="Q191" s="128"/>
      <c r="R191" s="125"/>
      <c r="S191" s="126"/>
      <c r="T191" s="125"/>
      <c r="U191" s="128"/>
      <c r="V191" s="125"/>
      <c r="W191" s="128"/>
      <c r="X191" s="125"/>
      <c r="Y191" s="128"/>
      <c r="Z191" s="125"/>
      <c r="AA191" s="128"/>
      <c r="AB191" s="125"/>
      <c r="AC191" s="128"/>
      <c r="AD191" s="125"/>
      <c r="AE191" s="128"/>
      <c r="AF191" s="125"/>
      <c r="AG191" s="128"/>
      <c r="AH191" s="125"/>
      <c r="AI191" s="128"/>
      <c r="AJ191" s="125"/>
      <c r="AK191" s="125">
        <v>60</v>
      </c>
      <c r="AL191" s="127">
        <f t="shared" si="59"/>
        <v>87000</v>
      </c>
      <c r="AM191" s="128"/>
      <c r="AN191" s="127"/>
      <c r="AO191" s="128"/>
      <c r="AP191" s="127"/>
      <c r="AQ191" s="84">
        <f t="shared" si="46"/>
        <v>60</v>
      </c>
      <c r="AR191" s="181">
        <v>1450</v>
      </c>
      <c r="AS191" s="180">
        <f t="shared" si="57"/>
        <v>87000</v>
      </c>
    </row>
    <row r="192" spans="1:45" ht="28.5" hidden="1">
      <c r="A192" s="71">
        <v>174</v>
      </c>
      <c r="B192" s="67" t="s">
        <v>1442</v>
      </c>
      <c r="C192" s="72" t="s">
        <v>1342</v>
      </c>
      <c r="D192" s="54">
        <v>264</v>
      </c>
      <c r="E192" s="53" t="s">
        <v>1469</v>
      </c>
      <c r="F192" s="125" t="s">
        <v>1485</v>
      </c>
      <c r="G192" s="125"/>
      <c r="H192" s="125"/>
      <c r="I192" s="125"/>
      <c r="J192" s="125"/>
      <c r="K192" s="126"/>
      <c r="L192" s="127"/>
      <c r="M192" s="128"/>
      <c r="N192" s="125"/>
      <c r="O192" s="126"/>
      <c r="P192" s="125"/>
      <c r="Q192" s="128"/>
      <c r="R192" s="125"/>
      <c r="S192" s="126"/>
      <c r="T192" s="125"/>
      <c r="U192" s="128"/>
      <c r="V192" s="125"/>
      <c r="W192" s="128"/>
      <c r="X192" s="125"/>
      <c r="Y192" s="128"/>
      <c r="Z192" s="125"/>
      <c r="AA192" s="128"/>
      <c r="AB192" s="125"/>
      <c r="AC192" s="128"/>
      <c r="AD192" s="125"/>
      <c r="AE192" s="128"/>
      <c r="AF192" s="125"/>
      <c r="AG192" s="128"/>
      <c r="AH192" s="125"/>
      <c r="AI192" s="128"/>
      <c r="AJ192" s="125"/>
      <c r="AK192" s="125">
        <v>50</v>
      </c>
      <c r="AL192" s="127">
        <f t="shared" si="59"/>
        <v>55000</v>
      </c>
      <c r="AM192" s="128"/>
      <c r="AN192" s="127"/>
      <c r="AO192" s="128"/>
      <c r="AP192" s="127"/>
      <c r="AQ192" s="84">
        <f t="shared" si="46"/>
        <v>50</v>
      </c>
      <c r="AR192" s="181">
        <v>1100</v>
      </c>
      <c r="AS192" s="180">
        <f t="shared" si="57"/>
        <v>55000</v>
      </c>
    </row>
    <row r="193" spans="1:45" ht="28.5" hidden="1">
      <c r="A193" s="71">
        <v>175</v>
      </c>
      <c r="B193" s="67" t="s">
        <v>1452</v>
      </c>
      <c r="C193" s="72" t="s">
        <v>1342</v>
      </c>
      <c r="D193" s="54">
        <v>265</v>
      </c>
      <c r="E193" s="53" t="s">
        <v>1479</v>
      </c>
      <c r="F193" s="125" t="s">
        <v>1486</v>
      </c>
      <c r="G193" s="53"/>
      <c r="H193" s="53"/>
      <c r="I193" s="53"/>
      <c r="J193" s="125"/>
      <c r="K193" s="126"/>
      <c r="L193" s="127"/>
      <c r="M193" s="128"/>
      <c r="N193" s="125"/>
      <c r="O193" s="126"/>
      <c r="P193" s="125"/>
      <c r="Q193" s="128"/>
      <c r="R193" s="125"/>
      <c r="S193" s="126"/>
      <c r="T193" s="125"/>
      <c r="U193" s="128"/>
      <c r="V193" s="125"/>
      <c r="W193" s="128"/>
      <c r="X193" s="125"/>
      <c r="Y193" s="128"/>
      <c r="Z193" s="125"/>
      <c r="AA193" s="128"/>
      <c r="AB193" s="125"/>
      <c r="AC193" s="128"/>
      <c r="AD193" s="125"/>
      <c r="AE193" s="128"/>
      <c r="AF193" s="125"/>
      <c r="AG193" s="128"/>
      <c r="AH193" s="125"/>
      <c r="AI193" s="128"/>
      <c r="AJ193" s="125"/>
      <c r="AK193" s="125">
        <v>200</v>
      </c>
      <c r="AL193" s="127">
        <f t="shared" si="59"/>
        <v>160000</v>
      </c>
      <c r="AM193" s="128"/>
      <c r="AN193" s="127"/>
      <c r="AO193" s="128"/>
      <c r="AP193" s="127"/>
      <c r="AQ193" s="84">
        <f t="shared" si="46"/>
        <v>200</v>
      </c>
      <c r="AR193" s="181">
        <v>800</v>
      </c>
      <c r="AS193" s="180">
        <f t="shared" si="57"/>
        <v>160000</v>
      </c>
    </row>
    <row r="194" spans="1:45" ht="28.5" hidden="1">
      <c r="A194" s="71">
        <v>176</v>
      </c>
      <c r="B194" s="67" t="s">
        <v>1453</v>
      </c>
      <c r="C194" s="72" t="s">
        <v>1342</v>
      </c>
      <c r="D194" s="54">
        <v>265</v>
      </c>
      <c r="E194" s="53" t="s">
        <v>1480</v>
      </c>
      <c r="F194" s="125" t="s">
        <v>1486</v>
      </c>
      <c r="G194" s="125"/>
      <c r="H194" s="125"/>
      <c r="I194" s="125"/>
      <c r="J194" s="125"/>
      <c r="K194" s="126"/>
      <c r="L194" s="127"/>
      <c r="M194" s="128"/>
      <c r="N194" s="125"/>
      <c r="O194" s="126"/>
      <c r="P194" s="125"/>
      <c r="Q194" s="128"/>
      <c r="R194" s="125"/>
      <c r="S194" s="126"/>
      <c r="T194" s="125"/>
      <c r="U194" s="128"/>
      <c r="V194" s="125"/>
      <c r="W194" s="128"/>
      <c r="X194" s="125"/>
      <c r="Y194" s="128"/>
      <c r="Z194" s="125"/>
      <c r="AA194" s="128"/>
      <c r="AB194" s="125"/>
      <c r="AC194" s="128"/>
      <c r="AD194" s="125"/>
      <c r="AE194" s="128"/>
      <c r="AF194" s="125"/>
      <c r="AG194" s="128"/>
      <c r="AH194" s="125"/>
      <c r="AI194" s="128"/>
      <c r="AJ194" s="125"/>
      <c r="AK194" s="125">
        <v>150</v>
      </c>
      <c r="AL194" s="127">
        <f t="shared" si="59"/>
        <v>67500</v>
      </c>
      <c r="AM194" s="128"/>
      <c r="AN194" s="127"/>
      <c r="AO194" s="128"/>
      <c r="AP194" s="127"/>
      <c r="AQ194" s="84">
        <f t="shared" si="46"/>
        <v>150</v>
      </c>
      <c r="AR194" s="181">
        <v>450</v>
      </c>
      <c r="AS194" s="180">
        <f t="shared" si="57"/>
        <v>67500</v>
      </c>
    </row>
    <row r="195" spans="1:45" ht="14.25" hidden="1">
      <c r="A195" s="71">
        <v>177</v>
      </c>
      <c r="B195" s="67" t="s">
        <v>1454</v>
      </c>
      <c r="C195" s="72" t="s">
        <v>1342</v>
      </c>
      <c r="D195" s="54">
        <v>265</v>
      </c>
      <c r="E195" s="53" t="s">
        <v>1481</v>
      </c>
      <c r="F195" s="125" t="s">
        <v>1486</v>
      </c>
      <c r="G195" s="192"/>
      <c r="H195" s="192"/>
      <c r="I195" s="192"/>
      <c r="J195" s="125"/>
      <c r="K195" s="126"/>
      <c r="L195" s="127"/>
      <c r="M195" s="128"/>
      <c r="N195" s="125"/>
      <c r="O195" s="126"/>
      <c r="P195" s="125"/>
      <c r="Q195" s="128"/>
      <c r="R195" s="125"/>
      <c r="S195" s="126"/>
      <c r="T195" s="125"/>
      <c r="U195" s="128"/>
      <c r="V195" s="125"/>
      <c r="W195" s="128"/>
      <c r="X195" s="125"/>
      <c r="Y195" s="128"/>
      <c r="Z195" s="125"/>
      <c r="AA195" s="128"/>
      <c r="AB195" s="125"/>
      <c r="AC195" s="128"/>
      <c r="AD195" s="125"/>
      <c r="AE195" s="128"/>
      <c r="AF195" s="125"/>
      <c r="AG195" s="128"/>
      <c r="AH195" s="125"/>
      <c r="AI195" s="128"/>
      <c r="AJ195" s="125"/>
      <c r="AK195" s="125">
        <v>20</v>
      </c>
      <c r="AL195" s="127">
        <f t="shared" si="59"/>
        <v>14000</v>
      </c>
      <c r="AM195" s="128"/>
      <c r="AN195" s="127"/>
      <c r="AO195" s="128"/>
      <c r="AP195" s="127"/>
      <c r="AQ195" s="84">
        <f t="shared" si="46"/>
        <v>20</v>
      </c>
      <c r="AR195" s="181">
        <v>700</v>
      </c>
      <c r="AS195" s="180">
        <f t="shared" si="57"/>
        <v>14000</v>
      </c>
    </row>
    <row r="196" spans="1:45" ht="28.5" hidden="1">
      <c r="A196" s="71">
        <v>178</v>
      </c>
      <c r="B196" s="67" t="s">
        <v>1455</v>
      </c>
      <c r="C196" s="72" t="s">
        <v>1342</v>
      </c>
      <c r="D196" s="54">
        <v>265</v>
      </c>
      <c r="E196" s="53" t="s">
        <v>1482</v>
      </c>
      <c r="F196" s="125" t="s">
        <v>1486</v>
      </c>
      <c r="G196" s="125"/>
      <c r="H196" s="125"/>
      <c r="I196" s="125"/>
      <c r="J196" s="125"/>
      <c r="K196" s="126"/>
      <c r="L196" s="127"/>
      <c r="M196" s="128"/>
      <c r="N196" s="125"/>
      <c r="O196" s="126"/>
      <c r="P196" s="125"/>
      <c r="Q196" s="128"/>
      <c r="R196" s="125"/>
      <c r="S196" s="126"/>
      <c r="T196" s="125"/>
      <c r="U196" s="128"/>
      <c r="V196" s="125"/>
      <c r="W196" s="128"/>
      <c r="X196" s="125"/>
      <c r="Y196" s="128"/>
      <c r="Z196" s="125"/>
      <c r="AA196" s="128"/>
      <c r="AB196" s="125"/>
      <c r="AC196" s="128"/>
      <c r="AD196" s="125"/>
      <c r="AE196" s="128"/>
      <c r="AF196" s="125"/>
      <c r="AG196" s="128"/>
      <c r="AH196" s="125"/>
      <c r="AI196" s="128"/>
      <c r="AJ196" s="125"/>
      <c r="AK196" s="125">
        <v>10</v>
      </c>
      <c r="AL196" s="127">
        <f t="shared" si="59"/>
        <v>14000</v>
      </c>
      <c r="AM196" s="128"/>
      <c r="AN196" s="127"/>
      <c r="AO196" s="128"/>
      <c r="AP196" s="127"/>
      <c r="AQ196" s="84">
        <f t="shared" si="46"/>
        <v>10</v>
      </c>
      <c r="AR196" s="181">
        <v>1400</v>
      </c>
      <c r="AS196" s="180">
        <f t="shared" si="57"/>
        <v>14000</v>
      </c>
    </row>
    <row r="197" spans="1:45" ht="28.5" hidden="1">
      <c r="A197" s="71">
        <v>179</v>
      </c>
      <c r="B197" s="67" t="s">
        <v>1456</v>
      </c>
      <c r="C197" s="72" t="s">
        <v>1342</v>
      </c>
      <c r="D197" s="54">
        <v>265</v>
      </c>
      <c r="E197" s="53" t="s">
        <v>1483</v>
      </c>
      <c r="F197" s="125" t="s">
        <v>1486</v>
      </c>
      <c r="G197" s="53"/>
      <c r="H197" s="53"/>
      <c r="I197" s="53"/>
      <c r="J197" s="125"/>
      <c r="K197" s="126"/>
      <c r="L197" s="127"/>
      <c r="M197" s="128"/>
      <c r="N197" s="125"/>
      <c r="O197" s="126"/>
      <c r="P197" s="125"/>
      <c r="Q197" s="128"/>
      <c r="R197" s="125"/>
      <c r="S197" s="126"/>
      <c r="T197" s="125"/>
      <c r="U197" s="128"/>
      <c r="V197" s="125"/>
      <c r="W197" s="128"/>
      <c r="X197" s="125"/>
      <c r="Y197" s="128"/>
      <c r="Z197" s="125"/>
      <c r="AA197" s="128"/>
      <c r="AB197" s="125"/>
      <c r="AC197" s="128"/>
      <c r="AD197" s="125"/>
      <c r="AE197" s="128"/>
      <c r="AF197" s="125"/>
      <c r="AG197" s="128"/>
      <c r="AH197" s="125"/>
      <c r="AI197" s="128"/>
      <c r="AJ197" s="125"/>
      <c r="AK197" s="125">
        <v>10</v>
      </c>
      <c r="AL197" s="127">
        <f t="shared" si="59"/>
        <v>12000</v>
      </c>
      <c r="AM197" s="128"/>
      <c r="AN197" s="127"/>
      <c r="AO197" s="128"/>
      <c r="AP197" s="127"/>
      <c r="AQ197" s="84">
        <f t="shared" si="46"/>
        <v>10</v>
      </c>
      <c r="AR197" s="181">
        <v>1200</v>
      </c>
      <c r="AS197" s="180">
        <f t="shared" si="57"/>
        <v>12000</v>
      </c>
    </row>
    <row r="198" spans="1:45" ht="28.5" hidden="1">
      <c r="A198" s="71">
        <v>180</v>
      </c>
      <c r="B198" s="67" t="s">
        <v>1457</v>
      </c>
      <c r="C198" s="72" t="s">
        <v>1342</v>
      </c>
      <c r="D198" s="54">
        <v>265</v>
      </c>
      <c r="E198" s="53" t="s">
        <v>1484</v>
      </c>
      <c r="F198" s="125" t="s">
        <v>1486</v>
      </c>
      <c r="G198" s="53"/>
      <c r="H198" s="53"/>
      <c r="I198" s="53"/>
      <c r="J198" s="125"/>
      <c r="K198" s="126"/>
      <c r="L198" s="127"/>
      <c r="M198" s="128"/>
      <c r="N198" s="125"/>
      <c r="O198" s="126"/>
      <c r="P198" s="125"/>
      <c r="Q198" s="128"/>
      <c r="R198" s="125"/>
      <c r="S198" s="126"/>
      <c r="T198" s="125"/>
      <c r="U198" s="128"/>
      <c r="V198" s="125"/>
      <c r="W198" s="128"/>
      <c r="X198" s="125"/>
      <c r="Y198" s="128"/>
      <c r="Z198" s="125"/>
      <c r="AA198" s="128"/>
      <c r="AB198" s="125"/>
      <c r="AC198" s="128"/>
      <c r="AD198" s="125"/>
      <c r="AE198" s="128"/>
      <c r="AF198" s="125"/>
      <c r="AG198" s="128"/>
      <c r="AH198" s="125"/>
      <c r="AI198" s="128"/>
      <c r="AJ198" s="125"/>
      <c r="AK198" s="125">
        <v>50</v>
      </c>
      <c r="AL198" s="127">
        <f t="shared" si="59"/>
        <v>22500</v>
      </c>
      <c r="AM198" s="128"/>
      <c r="AN198" s="127"/>
      <c r="AO198" s="128"/>
      <c r="AP198" s="127"/>
      <c r="AQ198" s="84">
        <f t="shared" si="46"/>
        <v>50</v>
      </c>
      <c r="AR198" s="181">
        <v>450</v>
      </c>
      <c r="AS198" s="180">
        <f t="shared" si="57"/>
        <v>22500</v>
      </c>
    </row>
    <row r="199" spans="1:45" ht="28.5" hidden="1">
      <c r="A199" s="71">
        <v>181</v>
      </c>
      <c r="B199" s="125" t="s">
        <v>1341</v>
      </c>
      <c r="C199" s="72" t="s">
        <v>1342</v>
      </c>
      <c r="D199" s="54">
        <v>265</v>
      </c>
      <c r="E199" s="54" t="s">
        <v>1343</v>
      </c>
      <c r="F199" s="37" t="s">
        <v>12</v>
      </c>
      <c r="G199" s="125"/>
      <c r="H199" s="125"/>
      <c r="I199" s="125"/>
      <c r="J199" s="125"/>
      <c r="K199" s="126"/>
      <c r="L199" s="127"/>
      <c r="M199" s="128"/>
      <c r="N199" s="125"/>
      <c r="O199" s="126"/>
      <c r="P199" s="125"/>
      <c r="Q199" s="128"/>
      <c r="R199" s="125"/>
      <c r="S199" s="126"/>
      <c r="T199" s="125"/>
      <c r="U199" s="128"/>
      <c r="V199" s="125"/>
      <c r="W199" s="128"/>
      <c r="X199" s="125"/>
      <c r="Y199" s="128"/>
      <c r="Z199" s="125"/>
      <c r="AA199" s="128"/>
      <c r="AB199" s="125"/>
      <c r="AC199" s="128">
        <v>8</v>
      </c>
      <c r="AD199" s="127">
        <f>+AC199*AR199</f>
        <v>7840</v>
      </c>
      <c r="AE199" s="128"/>
      <c r="AF199" s="127"/>
      <c r="AG199" s="128"/>
      <c r="AH199" s="127"/>
      <c r="AI199" s="128"/>
      <c r="AJ199" s="127"/>
      <c r="AK199" s="128"/>
      <c r="AL199" s="127"/>
      <c r="AM199" s="128"/>
      <c r="AN199" s="127"/>
      <c r="AO199" s="128"/>
      <c r="AP199" s="127"/>
      <c r="AQ199" s="84">
        <f t="shared" si="46"/>
        <v>8</v>
      </c>
      <c r="AR199" s="179">
        <v>980</v>
      </c>
      <c r="AS199" s="180">
        <f t="shared" si="57"/>
        <v>7840</v>
      </c>
    </row>
    <row r="200" spans="1:45" ht="14.25" hidden="1">
      <c r="A200" s="71">
        <v>182</v>
      </c>
      <c r="B200" s="67" t="s">
        <v>1447</v>
      </c>
      <c r="C200" s="72" t="s">
        <v>1342</v>
      </c>
      <c r="D200" s="54">
        <v>284</v>
      </c>
      <c r="E200" s="53" t="s">
        <v>1474</v>
      </c>
      <c r="F200" s="125" t="s">
        <v>1487</v>
      </c>
      <c r="G200" s="53"/>
      <c r="H200" s="53"/>
      <c r="I200" s="53"/>
      <c r="J200" s="125"/>
      <c r="K200" s="126"/>
      <c r="L200" s="127"/>
      <c r="M200" s="128"/>
      <c r="N200" s="125"/>
      <c r="O200" s="126"/>
      <c r="P200" s="125"/>
      <c r="Q200" s="128"/>
      <c r="R200" s="125"/>
      <c r="S200" s="126"/>
      <c r="T200" s="125"/>
      <c r="U200" s="128"/>
      <c r="V200" s="125"/>
      <c r="W200" s="128"/>
      <c r="X200" s="125"/>
      <c r="Y200" s="128"/>
      <c r="Z200" s="125"/>
      <c r="AA200" s="128"/>
      <c r="AB200" s="125"/>
      <c r="AC200" s="128"/>
      <c r="AD200" s="125"/>
      <c r="AE200" s="128"/>
      <c r="AF200" s="125"/>
      <c r="AG200" s="128"/>
      <c r="AH200" s="125"/>
      <c r="AI200" s="128"/>
      <c r="AJ200" s="125"/>
      <c r="AK200" s="125">
        <v>30</v>
      </c>
      <c r="AL200" s="127">
        <f>+AK200*AR200</f>
        <v>144000</v>
      </c>
      <c r="AM200" s="128"/>
      <c r="AN200" s="127"/>
      <c r="AO200" s="128"/>
      <c r="AP200" s="127"/>
      <c r="AQ200" s="84">
        <f t="shared" si="46"/>
        <v>30</v>
      </c>
      <c r="AR200" s="181">
        <v>4800</v>
      </c>
      <c r="AS200" s="180">
        <f t="shared" si="57"/>
        <v>144000</v>
      </c>
    </row>
    <row r="201" spans="1:45" ht="14.25" hidden="1">
      <c r="A201" s="71">
        <v>183</v>
      </c>
      <c r="B201" s="67" t="s">
        <v>1448</v>
      </c>
      <c r="C201" s="72" t="s">
        <v>1342</v>
      </c>
      <c r="D201" s="54">
        <v>284</v>
      </c>
      <c r="E201" s="53" t="s">
        <v>1475</v>
      </c>
      <c r="F201" s="125" t="s">
        <v>1487</v>
      </c>
      <c r="G201" s="125"/>
      <c r="H201" s="125"/>
      <c r="I201" s="125"/>
      <c r="J201" s="125"/>
      <c r="K201" s="126"/>
      <c r="L201" s="127"/>
      <c r="M201" s="128"/>
      <c r="N201" s="125"/>
      <c r="O201" s="126"/>
      <c r="P201" s="125"/>
      <c r="Q201" s="128"/>
      <c r="R201" s="125"/>
      <c r="S201" s="126"/>
      <c r="T201" s="125"/>
      <c r="U201" s="128"/>
      <c r="V201" s="125"/>
      <c r="W201" s="128"/>
      <c r="X201" s="125"/>
      <c r="Y201" s="128"/>
      <c r="Z201" s="125"/>
      <c r="AA201" s="128"/>
      <c r="AB201" s="125"/>
      <c r="AC201" s="128"/>
      <c r="AD201" s="125"/>
      <c r="AE201" s="128"/>
      <c r="AF201" s="125"/>
      <c r="AG201" s="128"/>
      <c r="AH201" s="125"/>
      <c r="AI201" s="128"/>
      <c r="AJ201" s="125"/>
      <c r="AK201" s="125">
        <v>30</v>
      </c>
      <c r="AL201" s="127">
        <f>+AK201*AR201</f>
        <v>105000</v>
      </c>
      <c r="AM201" s="128"/>
      <c r="AN201" s="127"/>
      <c r="AO201" s="128"/>
      <c r="AP201" s="127"/>
      <c r="AQ201" s="84">
        <f t="shared" si="46"/>
        <v>30</v>
      </c>
      <c r="AR201" s="181">
        <v>3500</v>
      </c>
      <c r="AS201" s="180">
        <f t="shared" si="57"/>
        <v>105000</v>
      </c>
    </row>
    <row r="202" spans="1:45" ht="14.25" hidden="1">
      <c r="A202" s="71">
        <v>184</v>
      </c>
      <c r="B202" s="67" t="s">
        <v>1449</v>
      </c>
      <c r="C202" s="72" t="s">
        <v>1342</v>
      </c>
      <c r="D202" s="54">
        <v>284</v>
      </c>
      <c r="E202" s="53" t="s">
        <v>1476</v>
      </c>
      <c r="F202" s="125" t="s">
        <v>1487</v>
      </c>
      <c r="G202" s="192"/>
      <c r="H202" s="192"/>
      <c r="I202" s="192"/>
      <c r="J202" s="125"/>
      <c r="K202" s="126"/>
      <c r="L202" s="127"/>
      <c r="M202" s="128"/>
      <c r="N202" s="125"/>
      <c r="O202" s="126"/>
      <c r="P202" s="125"/>
      <c r="Q202" s="128"/>
      <c r="R202" s="125"/>
      <c r="S202" s="126"/>
      <c r="T202" s="125"/>
      <c r="U202" s="128"/>
      <c r="V202" s="125"/>
      <c r="W202" s="128"/>
      <c r="X202" s="125"/>
      <c r="Y202" s="128"/>
      <c r="Z202" s="125"/>
      <c r="AA202" s="128"/>
      <c r="AB202" s="125"/>
      <c r="AC202" s="128"/>
      <c r="AD202" s="125"/>
      <c r="AE202" s="128"/>
      <c r="AF202" s="125"/>
      <c r="AG202" s="128"/>
      <c r="AH202" s="125"/>
      <c r="AI202" s="128"/>
      <c r="AJ202" s="125"/>
      <c r="AK202" s="125">
        <v>10</v>
      </c>
      <c r="AL202" s="127">
        <f>+AK202*AR202</f>
        <v>33000</v>
      </c>
      <c r="AM202" s="128"/>
      <c r="AN202" s="127"/>
      <c r="AO202" s="128"/>
      <c r="AP202" s="127"/>
      <c r="AQ202" s="84">
        <f t="shared" si="46"/>
        <v>10</v>
      </c>
      <c r="AR202" s="181">
        <v>3300</v>
      </c>
      <c r="AS202" s="180">
        <f t="shared" si="57"/>
        <v>33000</v>
      </c>
    </row>
    <row r="203" spans="1:45" ht="28.5" hidden="1">
      <c r="A203" s="71">
        <v>185</v>
      </c>
      <c r="B203" s="67" t="s">
        <v>1450</v>
      </c>
      <c r="C203" s="72" t="s">
        <v>1342</v>
      </c>
      <c r="D203" s="54">
        <v>284</v>
      </c>
      <c r="E203" s="53" t="s">
        <v>1477</v>
      </c>
      <c r="F203" s="125" t="s">
        <v>1487</v>
      </c>
      <c r="G203" s="125"/>
      <c r="H203" s="125"/>
      <c r="I203" s="125"/>
      <c r="J203" s="125"/>
      <c r="K203" s="126"/>
      <c r="L203" s="127"/>
      <c r="M203" s="128"/>
      <c r="N203" s="125"/>
      <c r="O203" s="126"/>
      <c r="P203" s="125"/>
      <c r="Q203" s="128"/>
      <c r="R203" s="125"/>
      <c r="S203" s="126"/>
      <c r="T203" s="125"/>
      <c r="U203" s="128"/>
      <c r="V203" s="125"/>
      <c r="W203" s="128"/>
      <c r="X203" s="125"/>
      <c r="Y203" s="128"/>
      <c r="Z203" s="125"/>
      <c r="AA203" s="128"/>
      <c r="AB203" s="125"/>
      <c r="AC203" s="128"/>
      <c r="AD203" s="125"/>
      <c r="AE203" s="128"/>
      <c r="AF203" s="125"/>
      <c r="AG203" s="128"/>
      <c r="AH203" s="125"/>
      <c r="AI203" s="128"/>
      <c r="AJ203" s="125"/>
      <c r="AK203" s="125">
        <v>18</v>
      </c>
      <c r="AL203" s="127">
        <f>+AK203*AR203</f>
        <v>18000</v>
      </c>
      <c r="AM203" s="128"/>
      <c r="AN203" s="127"/>
      <c r="AO203" s="128"/>
      <c r="AP203" s="127"/>
      <c r="AQ203" s="84">
        <f t="shared" si="46"/>
        <v>18</v>
      </c>
      <c r="AR203" s="181">
        <v>1000</v>
      </c>
      <c r="AS203" s="180">
        <f t="shared" si="57"/>
        <v>18000</v>
      </c>
    </row>
    <row r="204" spans="1:45" ht="28.5" hidden="1">
      <c r="A204" s="71">
        <v>186</v>
      </c>
      <c r="B204" s="67" t="s">
        <v>1451</v>
      </c>
      <c r="C204" s="72" t="s">
        <v>1342</v>
      </c>
      <c r="D204" s="54">
        <v>284</v>
      </c>
      <c r="E204" s="53" t="s">
        <v>1478</v>
      </c>
      <c r="F204" s="125" t="s">
        <v>1485</v>
      </c>
      <c r="G204" s="53"/>
      <c r="H204" s="53"/>
      <c r="I204" s="53"/>
      <c r="J204" s="125"/>
      <c r="K204" s="126"/>
      <c r="L204" s="127"/>
      <c r="M204" s="128"/>
      <c r="N204" s="125"/>
      <c r="O204" s="126"/>
      <c r="P204" s="125"/>
      <c r="Q204" s="128"/>
      <c r="R204" s="125"/>
      <c r="S204" s="126"/>
      <c r="T204" s="125"/>
      <c r="U204" s="128"/>
      <c r="V204" s="125"/>
      <c r="W204" s="128"/>
      <c r="X204" s="125"/>
      <c r="Y204" s="128"/>
      <c r="Z204" s="125"/>
      <c r="AA204" s="128"/>
      <c r="AB204" s="125"/>
      <c r="AC204" s="128"/>
      <c r="AD204" s="125"/>
      <c r="AE204" s="128"/>
      <c r="AF204" s="125"/>
      <c r="AG204" s="128"/>
      <c r="AH204" s="125"/>
      <c r="AI204" s="128"/>
      <c r="AJ204" s="125"/>
      <c r="AK204" s="125">
        <v>5</v>
      </c>
      <c r="AL204" s="127">
        <f>+AK204*AR204</f>
        <v>50000</v>
      </c>
      <c r="AM204" s="128"/>
      <c r="AN204" s="127"/>
      <c r="AO204" s="128"/>
      <c r="AP204" s="127"/>
      <c r="AQ204" s="84">
        <f t="shared" si="46"/>
        <v>5</v>
      </c>
      <c r="AR204" s="181">
        <v>10000</v>
      </c>
      <c r="AS204" s="180">
        <f t="shared" si="57"/>
        <v>50000</v>
      </c>
    </row>
    <row r="205" spans="1:45" ht="15.75" hidden="1">
      <c r="A205" s="71"/>
      <c r="B205" s="67"/>
      <c r="C205" s="72"/>
      <c r="D205" s="54"/>
      <c r="E205" s="254" t="s">
        <v>1488</v>
      </c>
      <c r="F205" s="37"/>
      <c r="G205" s="125"/>
      <c r="H205" s="125"/>
      <c r="I205" s="125"/>
      <c r="J205" s="125"/>
      <c r="K205" s="126"/>
      <c r="L205" s="127"/>
      <c r="M205" s="128"/>
      <c r="N205" s="125"/>
      <c r="O205" s="126"/>
      <c r="P205" s="125"/>
      <c r="Q205" s="128"/>
      <c r="R205" s="125"/>
      <c r="S205" s="126"/>
      <c r="T205" s="125"/>
      <c r="U205" s="128"/>
      <c r="V205" s="125"/>
      <c r="W205" s="128"/>
      <c r="X205" s="125"/>
      <c r="Y205" s="128"/>
      <c r="Z205" s="125"/>
      <c r="AA205" s="128"/>
      <c r="AB205" s="125"/>
      <c r="AC205" s="128"/>
      <c r="AD205" s="125"/>
      <c r="AE205" s="128"/>
      <c r="AF205" s="125"/>
      <c r="AG205" s="128"/>
      <c r="AH205" s="125"/>
      <c r="AI205" s="128"/>
      <c r="AJ205" s="125"/>
      <c r="AK205" s="128"/>
      <c r="AL205" s="125"/>
      <c r="AM205" s="128"/>
      <c r="AN205" s="125"/>
      <c r="AO205" s="128"/>
      <c r="AP205" s="125"/>
      <c r="AQ205" s="68"/>
      <c r="AR205" s="179"/>
      <c r="AS205" s="221">
        <f>SUM(AS177:AS204)</f>
        <v>1761240</v>
      </c>
    </row>
    <row r="206" spans="1:45" ht="14.25" hidden="1">
      <c r="A206" s="71">
        <v>187</v>
      </c>
      <c r="B206" s="204" t="s">
        <v>1489</v>
      </c>
      <c r="C206" s="72" t="s">
        <v>1504</v>
      </c>
      <c r="D206" s="54">
        <v>255</v>
      </c>
      <c r="E206" s="57" t="s">
        <v>1505</v>
      </c>
      <c r="F206" s="129" t="s">
        <v>1520</v>
      </c>
      <c r="G206" s="125"/>
      <c r="H206" s="125"/>
      <c r="I206" s="125"/>
      <c r="J206" s="125"/>
      <c r="K206" s="126"/>
      <c r="L206" s="127"/>
      <c r="M206" s="128"/>
      <c r="N206" s="125"/>
      <c r="O206" s="126"/>
      <c r="P206" s="125"/>
      <c r="Q206" s="128"/>
      <c r="R206" s="125"/>
      <c r="S206" s="126"/>
      <c r="T206" s="125"/>
      <c r="U206" s="128"/>
      <c r="V206" s="125"/>
      <c r="W206" s="128"/>
      <c r="X206" s="125"/>
      <c r="Y206" s="128"/>
      <c r="Z206" s="125"/>
      <c r="AA206" s="128"/>
      <c r="AB206" s="125"/>
      <c r="AC206" s="128"/>
      <c r="AD206" s="125"/>
      <c r="AE206" s="128"/>
      <c r="AF206" s="125"/>
      <c r="AG206" s="128"/>
      <c r="AH206" s="125"/>
      <c r="AI206" s="128"/>
      <c r="AJ206" s="125"/>
      <c r="AK206" s="129">
        <v>10</v>
      </c>
      <c r="AL206" s="148">
        <f>+AK206*AR206</f>
        <v>40000</v>
      </c>
      <c r="AM206" s="128"/>
      <c r="AN206" s="148"/>
      <c r="AO206" s="128"/>
      <c r="AP206" s="148"/>
      <c r="AQ206" s="84">
        <f t="shared" si="46"/>
        <v>10</v>
      </c>
      <c r="AR206" s="182">
        <v>4000</v>
      </c>
      <c r="AS206" s="180">
        <f>+AQ206*AR206</f>
        <v>40000</v>
      </c>
    </row>
    <row r="207" spans="1:45" ht="14.25" hidden="1">
      <c r="A207" s="71">
        <v>188</v>
      </c>
      <c r="B207" s="204" t="s">
        <v>1490</v>
      </c>
      <c r="C207" s="72" t="s">
        <v>1504</v>
      </c>
      <c r="D207" s="54">
        <v>255</v>
      </c>
      <c r="E207" s="57" t="s">
        <v>1506</v>
      </c>
      <c r="F207" s="129" t="s">
        <v>1520</v>
      </c>
      <c r="G207" s="125"/>
      <c r="H207" s="125"/>
      <c r="I207" s="125"/>
      <c r="J207" s="125"/>
      <c r="K207" s="126"/>
      <c r="L207" s="127"/>
      <c r="M207" s="128"/>
      <c r="N207" s="125"/>
      <c r="O207" s="126"/>
      <c r="P207" s="125"/>
      <c r="Q207" s="128"/>
      <c r="R207" s="125"/>
      <c r="S207" s="126"/>
      <c r="T207" s="125"/>
      <c r="U207" s="128"/>
      <c r="V207" s="125"/>
      <c r="W207" s="128"/>
      <c r="X207" s="125"/>
      <c r="Y207" s="128"/>
      <c r="Z207" s="125"/>
      <c r="AA207" s="128"/>
      <c r="AB207" s="125"/>
      <c r="AC207" s="128"/>
      <c r="AD207" s="125"/>
      <c r="AE207" s="128"/>
      <c r="AF207" s="125"/>
      <c r="AG207" s="128"/>
      <c r="AH207" s="125"/>
      <c r="AI207" s="128"/>
      <c r="AJ207" s="125"/>
      <c r="AK207" s="129">
        <v>10</v>
      </c>
      <c r="AL207" s="148">
        <f t="shared" ref="AL207:AL220" si="60">+AK207*AR207</f>
        <v>25000</v>
      </c>
      <c r="AM207" s="128"/>
      <c r="AN207" s="148"/>
      <c r="AO207" s="128"/>
      <c r="AP207" s="148"/>
      <c r="AQ207" s="84">
        <f t="shared" si="46"/>
        <v>10</v>
      </c>
      <c r="AR207" s="182">
        <v>2500</v>
      </c>
      <c r="AS207" s="180">
        <f t="shared" ref="AS207:AS220" si="61">+AQ207*AR207</f>
        <v>25000</v>
      </c>
    </row>
    <row r="208" spans="1:45" ht="14.25" hidden="1">
      <c r="A208" s="71">
        <v>189</v>
      </c>
      <c r="B208" s="204" t="s">
        <v>1491</v>
      </c>
      <c r="C208" s="72" t="s">
        <v>1504</v>
      </c>
      <c r="D208" s="54">
        <v>255</v>
      </c>
      <c r="E208" s="57" t="s">
        <v>1507</v>
      </c>
      <c r="F208" s="129" t="s">
        <v>1520</v>
      </c>
      <c r="G208" s="125"/>
      <c r="H208" s="125"/>
      <c r="I208" s="125"/>
      <c r="J208" s="125"/>
      <c r="K208" s="126"/>
      <c r="L208" s="127"/>
      <c r="M208" s="128"/>
      <c r="N208" s="125"/>
      <c r="O208" s="126"/>
      <c r="P208" s="125"/>
      <c r="Q208" s="128"/>
      <c r="R208" s="125"/>
      <c r="S208" s="126"/>
      <c r="T208" s="125"/>
      <c r="U208" s="128"/>
      <c r="V208" s="125"/>
      <c r="W208" s="128"/>
      <c r="X208" s="125"/>
      <c r="Y208" s="128"/>
      <c r="Z208" s="125"/>
      <c r="AA208" s="128"/>
      <c r="AB208" s="125"/>
      <c r="AC208" s="128"/>
      <c r="AD208" s="125"/>
      <c r="AE208" s="128"/>
      <c r="AF208" s="125"/>
      <c r="AG208" s="128"/>
      <c r="AH208" s="125"/>
      <c r="AI208" s="128"/>
      <c r="AJ208" s="125"/>
      <c r="AK208" s="129">
        <v>10</v>
      </c>
      <c r="AL208" s="148">
        <f t="shared" si="60"/>
        <v>32000</v>
      </c>
      <c r="AM208" s="128"/>
      <c r="AN208" s="148"/>
      <c r="AO208" s="128"/>
      <c r="AP208" s="148"/>
      <c r="AQ208" s="84">
        <f t="shared" si="46"/>
        <v>10</v>
      </c>
      <c r="AR208" s="182">
        <v>3200</v>
      </c>
      <c r="AS208" s="180">
        <f t="shared" si="61"/>
        <v>32000</v>
      </c>
    </row>
    <row r="209" spans="1:45" ht="14.25" hidden="1">
      <c r="A209" s="71">
        <v>190</v>
      </c>
      <c r="B209" s="204" t="s">
        <v>1492</v>
      </c>
      <c r="C209" s="72" t="s">
        <v>1504</v>
      </c>
      <c r="D209" s="54">
        <v>255</v>
      </c>
      <c r="E209" s="57" t="s">
        <v>1508</v>
      </c>
      <c r="F209" s="129" t="s">
        <v>1520</v>
      </c>
      <c r="G209" s="125"/>
      <c r="H209" s="125"/>
      <c r="I209" s="125"/>
      <c r="J209" s="125"/>
      <c r="K209" s="126"/>
      <c r="L209" s="127"/>
      <c r="M209" s="128"/>
      <c r="N209" s="125"/>
      <c r="O209" s="126"/>
      <c r="P209" s="125"/>
      <c r="Q209" s="128"/>
      <c r="R209" s="125"/>
      <c r="S209" s="126"/>
      <c r="T209" s="125"/>
      <c r="U209" s="128"/>
      <c r="V209" s="125"/>
      <c r="W209" s="128"/>
      <c r="X209" s="125"/>
      <c r="Y209" s="128"/>
      <c r="Z209" s="125"/>
      <c r="AA209" s="128"/>
      <c r="AB209" s="125"/>
      <c r="AC209" s="128"/>
      <c r="AD209" s="125"/>
      <c r="AE209" s="128"/>
      <c r="AF209" s="125"/>
      <c r="AG209" s="128"/>
      <c r="AH209" s="125"/>
      <c r="AI209" s="128"/>
      <c r="AJ209" s="125"/>
      <c r="AK209" s="129">
        <v>20</v>
      </c>
      <c r="AL209" s="148">
        <f t="shared" si="60"/>
        <v>20000</v>
      </c>
      <c r="AM209" s="128"/>
      <c r="AN209" s="148"/>
      <c r="AO209" s="128"/>
      <c r="AP209" s="148"/>
      <c r="AQ209" s="84">
        <f t="shared" si="46"/>
        <v>20</v>
      </c>
      <c r="AR209" s="182">
        <v>1000</v>
      </c>
      <c r="AS209" s="180">
        <f t="shared" si="61"/>
        <v>20000</v>
      </c>
    </row>
    <row r="210" spans="1:45" ht="14.25" hidden="1">
      <c r="A210" s="71">
        <v>191</v>
      </c>
      <c r="B210" s="204" t="s">
        <v>1493</v>
      </c>
      <c r="C210" s="72" t="s">
        <v>1504</v>
      </c>
      <c r="D210" s="54">
        <v>255</v>
      </c>
      <c r="E210" s="57" t="s">
        <v>1509</v>
      </c>
      <c r="F210" s="129" t="s">
        <v>1520</v>
      </c>
      <c r="G210" s="125"/>
      <c r="H210" s="125"/>
      <c r="I210" s="125"/>
      <c r="J210" s="125"/>
      <c r="K210" s="126"/>
      <c r="L210" s="127"/>
      <c r="M210" s="128"/>
      <c r="N210" s="125"/>
      <c r="O210" s="126"/>
      <c r="P210" s="125"/>
      <c r="Q210" s="128"/>
      <c r="R210" s="125"/>
      <c r="S210" s="126"/>
      <c r="T210" s="125"/>
      <c r="U210" s="128"/>
      <c r="V210" s="125"/>
      <c r="W210" s="128"/>
      <c r="X210" s="125"/>
      <c r="Y210" s="128"/>
      <c r="Z210" s="125"/>
      <c r="AA210" s="128"/>
      <c r="AB210" s="125"/>
      <c r="AC210" s="128"/>
      <c r="AD210" s="125"/>
      <c r="AE210" s="128"/>
      <c r="AF210" s="125"/>
      <c r="AG210" s="128"/>
      <c r="AH210" s="125"/>
      <c r="AI210" s="128"/>
      <c r="AJ210" s="125"/>
      <c r="AK210" s="129">
        <v>25</v>
      </c>
      <c r="AL210" s="148">
        <f t="shared" si="60"/>
        <v>112500</v>
      </c>
      <c r="AM210" s="128"/>
      <c r="AN210" s="148"/>
      <c r="AO210" s="128"/>
      <c r="AP210" s="148"/>
      <c r="AQ210" s="84">
        <f t="shared" si="46"/>
        <v>25</v>
      </c>
      <c r="AR210" s="182">
        <v>4500</v>
      </c>
      <c r="AS210" s="180">
        <f t="shared" si="61"/>
        <v>112500</v>
      </c>
    </row>
    <row r="211" spans="1:45" ht="14.25" hidden="1">
      <c r="A211" s="71">
        <v>192</v>
      </c>
      <c r="B211" s="204" t="s">
        <v>1494</v>
      </c>
      <c r="C211" s="72" t="s">
        <v>1504</v>
      </c>
      <c r="D211" s="54">
        <v>255</v>
      </c>
      <c r="E211" s="57" t="s">
        <v>1510</v>
      </c>
      <c r="F211" s="129" t="s">
        <v>1520</v>
      </c>
      <c r="G211" s="57"/>
      <c r="H211" s="57"/>
      <c r="I211" s="57"/>
      <c r="J211" s="125"/>
      <c r="K211" s="126"/>
      <c r="L211" s="127"/>
      <c r="M211" s="128"/>
      <c r="N211" s="125"/>
      <c r="O211" s="126"/>
      <c r="P211" s="125"/>
      <c r="Q211" s="128"/>
      <c r="R211" s="125"/>
      <c r="S211" s="126"/>
      <c r="T211" s="125"/>
      <c r="U211" s="128"/>
      <c r="V211" s="125"/>
      <c r="W211" s="128"/>
      <c r="X211" s="125"/>
      <c r="Y211" s="128"/>
      <c r="Z211" s="125"/>
      <c r="AA211" s="128"/>
      <c r="AB211" s="125"/>
      <c r="AC211" s="128"/>
      <c r="AD211" s="125"/>
      <c r="AE211" s="128"/>
      <c r="AF211" s="125"/>
      <c r="AG211" s="128"/>
      <c r="AH211" s="125"/>
      <c r="AI211" s="128"/>
      <c r="AJ211" s="125"/>
      <c r="AK211" s="129">
        <v>15</v>
      </c>
      <c r="AL211" s="148">
        <f t="shared" si="60"/>
        <v>60000</v>
      </c>
      <c r="AM211" s="128"/>
      <c r="AN211" s="148"/>
      <c r="AO211" s="128"/>
      <c r="AP211" s="148"/>
      <c r="AQ211" s="84">
        <f t="shared" si="46"/>
        <v>15</v>
      </c>
      <c r="AR211" s="182">
        <v>4000</v>
      </c>
      <c r="AS211" s="180">
        <f t="shared" si="61"/>
        <v>60000</v>
      </c>
    </row>
    <row r="212" spans="1:45" ht="14.25" hidden="1">
      <c r="A212" s="71">
        <v>193</v>
      </c>
      <c r="B212" s="204" t="s">
        <v>1495</v>
      </c>
      <c r="C212" s="72" t="s">
        <v>1504</v>
      </c>
      <c r="D212" s="54">
        <v>255</v>
      </c>
      <c r="E212" s="57" t="s">
        <v>1511</v>
      </c>
      <c r="F212" s="129" t="s">
        <v>1520</v>
      </c>
      <c r="G212" s="57"/>
      <c r="H212" s="57"/>
      <c r="I212" s="57"/>
      <c r="J212" s="125"/>
      <c r="K212" s="126"/>
      <c r="L212" s="127"/>
      <c r="M212" s="128"/>
      <c r="N212" s="125"/>
      <c r="O212" s="126"/>
      <c r="P212" s="125"/>
      <c r="Q212" s="128"/>
      <c r="R212" s="125"/>
      <c r="S212" s="126"/>
      <c r="T212" s="125"/>
      <c r="U212" s="128"/>
      <c r="V212" s="125"/>
      <c r="W212" s="128"/>
      <c r="X212" s="125"/>
      <c r="Y212" s="128"/>
      <c r="Z212" s="125"/>
      <c r="AA212" s="128"/>
      <c r="AB212" s="125"/>
      <c r="AC212" s="128"/>
      <c r="AD212" s="125"/>
      <c r="AE212" s="128"/>
      <c r="AF212" s="125"/>
      <c r="AG212" s="128"/>
      <c r="AH212" s="125"/>
      <c r="AI212" s="128"/>
      <c r="AJ212" s="125"/>
      <c r="AK212" s="129">
        <v>10</v>
      </c>
      <c r="AL212" s="148">
        <f t="shared" si="60"/>
        <v>120000</v>
      </c>
      <c r="AM212" s="128"/>
      <c r="AN212" s="148"/>
      <c r="AO212" s="128"/>
      <c r="AP212" s="148"/>
      <c r="AQ212" s="84">
        <f t="shared" si="46"/>
        <v>10</v>
      </c>
      <c r="AR212" s="182">
        <v>12000</v>
      </c>
      <c r="AS212" s="180">
        <f t="shared" si="61"/>
        <v>120000</v>
      </c>
    </row>
    <row r="213" spans="1:45" ht="14.25" hidden="1">
      <c r="A213" s="71">
        <v>194</v>
      </c>
      <c r="B213" s="204" t="s">
        <v>1496</v>
      </c>
      <c r="C213" s="72" t="s">
        <v>1504</v>
      </c>
      <c r="D213" s="54">
        <v>255</v>
      </c>
      <c r="E213" s="57" t="s">
        <v>1512</v>
      </c>
      <c r="F213" s="129" t="s">
        <v>1520</v>
      </c>
      <c r="G213" s="57"/>
      <c r="H213" s="57"/>
      <c r="I213" s="57"/>
      <c r="J213" s="125"/>
      <c r="K213" s="126"/>
      <c r="L213" s="127"/>
      <c r="M213" s="128"/>
      <c r="N213" s="125"/>
      <c r="O213" s="126"/>
      <c r="P213" s="125"/>
      <c r="Q213" s="128"/>
      <c r="R213" s="125"/>
      <c r="S213" s="126"/>
      <c r="T213" s="125"/>
      <c r="U213" s="128"/>
      <c r="V213" s="125"/>
      <c r="W213" s="128"/>
      <c r="X213" s="125"/>
      <c r="Y213" s="128"/>
      <c r="Z213" s="125"/>
      <c r="AA213" s="128"/>
      <c r="AB213" s="125"/>
      <c r="AC213" s="128"/>
      <c r="AD213" s="125"/>
      <c r="AE213" s="128"/>
      <c r="AF213" s="125"/>
      <c r="AG213" s="128"/>
      <c r="AH213" s="125"/>
      <c r="AI213" s="128"/>
      <c r="AJ213" s="125"/>
      <c r="AK213" s="129">
        <v>10</v>
      </c>
      <c r="AL213" s="148">
        <f t="shared" si="60"/>
        <v>120000</v>
      </c>
      <c r="AM213" s="128"/>
      <c r="AN213" s="148"/>
      <c r="AO213" s="128"/>
      <c r="AP213" s="148"/>
      <c r="AQ213" s="84">
        <f t="shared" si="46"/>
        <v>10</v>
      </c>
      <c r="AR213" s="182">
        <v>12000</v>
      </c>
      <c r="AS213" s="180">
        <f t="shared" si="61"/>
        <v>120000</v>
      </c>
    </row>
    <row r="214" spans="1:45" ht="14.25" hidden="1">
      <c r="A214" s="71">
        <v>195</v>
      </c>
      <c r="B214" s="204" t="s">
        <v>1497</v>
      </c>
      <c r="C214" s="72" t="s">
        <v>1504</v>
      </c>
      <c r="D214" s="54">
        <v>255</v>
      </c>
      <c r="E214" s="57" t="s">
        <v>1513</v>
      </c>
      <c r="F214" s="129" t="s">
        <v>1520</v>
      </c>
      <c r="G214" s="57"/>
      <c r="H214" s="57"/>
      <c r="I214" s="57"/>
      <c r="J214" s="125"/>
      <c r="K214" s="126"/>
      <c r="L214" s="127"/>
      <c r="M214" s="128"/>
      <c r="N214" s="125"/>
      <c r="O214" s="126"/>
      <c r="P214" s="125"/>
      <c r="Q214" s="128"/>
      <c r="R214" s="125"/>
      <c r="S214" s="126"/>
      <c r="T214" s="125"/>
      <c r="U214" s="128"/>
      <c r="V214" s="125"/>
      <c r="W214" s="128"/>
      <c r="X214" s="125"/>
      <c r="Y214" s="128"/>
      <c r="Z214" s="125"/>
      <c r="AA214" s="128"/>
      <c r="AB214" s="125"/>
      <c r="AC214" s="128"/>
      <c r="AD214" s="125"/>
      <c r="AE214" s="128"/>
      <c r="AF214" s="125"/>
      <c r="AG214" s="128"/>
      <c r="AH214" s="125"/>
      <c r="AI214" s="128"/>
      <c r="AJ214" s="125"/>
      <c r="AK214" s="129">
        <v>10</v>
      </c>
      <c r="AL214" s="148">
        <f t="shared" si="60"/>
        <v>30000</v>
      </c>
      <c r="AM214" s="128"/>
      <c r="AN214" s="148"/>
      <c r="AO214" s="128"/>
      <c r="AP214" s="148"/>
      <c r="AQ214" s="84">
        <f t="shared" si="46"/>
        <v>10</v>
      </c>
      <c r="AR214" s="182">
        <v>3000</v>
      </c>
      <c r="AS214" s="180">
        <f t="shared" si="61"/>
        <v>30000</v>
      </c>
    </row>
    <row r="215" spans="1:45" ht="28.5" hidden="1">
      <c r="A215" s="71">
        <v>196</v>
      </c>
      <c r="B215" s="204" t="s">
        <v>1498</v>
      </c>
      <c r="C215" s="72" t="s">
        <v>1504</v>
      </c>
      <c r="D215" s="54">
        <v>255</v>
      </c>
      <c r="E215" s="57" t="s">
        <v>1514</v>
      </c>
      <c r="F215" s="129" t="s">
        <v>1520</v>
      </c>
      <c r="G215" s="57"/>
      <c r="H215" s="57"/>
      <c r="I215" s="57"/>
      <c r="J215" s="125"/>
      <c r="K215" s="126"/>
      <c r="L215" s="127"/>
      <c r="M215" s="128"/>
      <c r="N215" s="125"/>
      <c r="O215" s="126"/>
      <c r="P215" s="125"/>
      <c r="Q215" s="128"/>
      <c r="R215" s="125"/>
      <c r="S215" s="126"/>
      <c r="T215" s="125"/>
      <c r="U215" s="128"/>
      <c r="V215" s="125"/>
      <c r="W215" s="128"/>
      <c r="X215" s="125"/>
      <c r="Y215" s="128"/>
      <c r="Z215" s="125"/>
      <c r="AA215" s="128"/>
      <c r="AB215" s="125"/>
      <c r="AC215" s="128"/>
      <c r="AD215" s="125"/>
      <c r="AE215" s="128"/>
      <c r="AF215" s="125"/>
      <c r="AG215" s="128"/>
      <c r="AH215" s="125"/>
      <c r="AI215" s="128"/>
      <c r="AJ215" s="125"/>
      <c r="AK215" s="129">
        <v>35</v>
      </c>
      <c r="AL215" s="148">
        <f t="shared" si="60"/>
        <v>245000</v>
      </c>
      <c r="AM215" s="128"/>
      <c r="AN215" s="148"/>
      <c r="AO215" s="128"/>
      <c r="AP215" s="148"/>
      <c r="AQ215" s="84">
        <f t="shared" si="46"/>
        <v>35</v>
      </c>
      <c r="AR215" s="182">
        <v>7000</v>
      </c>
      <c r="AS215" s="180">
        <f t="shared" si="61"/>
        <v>245000</v>
      </c>
    </row>
    <row r="216" spans="1:45" ht="28.5" hidden="1">
      <c r="A216" s="71">
        <v>197</v>
      </c>
      <c r="B216" s="204" t="s">
        <v>1499</v>
      </c>
      <c r="C216" s="72" t="s">
        <v>1504</v>
      </c>
      <c r="D216" s="54">
        <v>255</v>
      </c>
      <c r="E216" s="57" t="s">
        <v>1515</v>
      </c>
      <c r="F216" s="129" t="s">
        <v>1520</v>
      </c>
      <c r="G216" s="57"/>
      <c r="H216" s="57"/>
      <c r="I216" s="57"/>
      <c r="J216" s="125"/>
      <c r="K216" s="126"/>
      <c r="L216" s="127"/>
      <c r="M216" s="128"/>
      <c r="N216" s="125"/>
      <c r="O216" s="126"/>
      <c r="P216" s="125"/>
      <c r="Q216" s="128"/>
      <c r="R216" s="125"/>
      <c r="S216" s="126"/>
      <c r="T216" s="125"/>
      <c r="U216" s="128"/>
      <c r="V216" s="125"/>
      <c r="W216" s="128"/>
      <c r="X216" s="125"/>
      <c r="Y216" s="128"/>
      <c r="Z216" s="125"/>
      <c r="AA216" s="128"/>
      <c r="AB216" s="125"/>
      <c r="AC216" s="128"/>
      <c r="AD216" s="125"/>
      <c r="AE216" s="128"/>
      <c r="AF216" s="125"/>
      <c r="AG216" s="128"/>
      <c r="AH216" s="125"/>
      <c r="AI216" s="128"/>
      <c r="AJ216" s="125"/>
      <c r="AK216" s="129">
        <v>10</v>
      </c>
      <c r="AL216" s="148">
        <f t="shared" si="60"/>
        <v>18000</v>
      </c>
      <c r="AM216" s="128"/>
      <c r="AN216" s="148"/>
      <c r="AO216" s="128"/>
      <c r="AP216" s="148"/>
      <c r="AQ216" s="84">
        <f t="shared" si="46"/>
        <v>10</v>
      </c>
      <c r="AR216" s="182">
        <v>1800</v>
      </c>
      <c r="AS216" s="180">
        <f t="shared" si="61"/>
        <v>18000</v>
      </c>
    </row>
    <row r="217" spans="1:45" ht="28.5" hidden="1">
      <c r="A217" s="71">
        <v>198</v>
      </c>
      <c r="B217" s="204" t="s">
        <v>1500</v>
      </c>
      <c r="C217" s="72" t="s">
        <v>1504</v>
      </c>
      <c r="D217" s="54">
        <v>255</v>
      </c>
      <c r="E217" s="57" t="s">
        <v>1516</v>
      </c>
      <c r="F217" s="129" t="s">
        <v>1520</v>
      </c>
      <c r="G217" s="57"/>
      <c r="H217" s="57"/>
      <c r="I217" s="57"/>
      <c r="J217" s="125"/>
      <c r="K217" s="126"/>
      <c r="L217" s="127"/>
      <c r="M217" s="128"/>
      <c r="N217" s="125"/>
      <c r="O217" s="126"/>
      <c r="P217" s="125"/>
      <c r="Q217" s="128"/>
      <c r="R217" s="125"/>
      <c r="S217" s="126"/>
      <c r="T217" s="125"/>
      <c r="U217" s="128"/>
      <c r="V217" s="125"/>
      <c r="W217" s="128"/>
      <c r="X217" s="125"/>
      <c r="Y217" s="128"/>
      <c r="Z217" s="125"/>
      <c r="AA217" s="128"/>
      <c r="AB217" s="125"/>
      <c r="AC217" s="128"/>
      <c r="AD217" s="125"/>
      <c r="AE217" s="128"/>
      <c r="AF217" s="125"/>
      <c r="AG217" s="128"/>
      <c r="AH217" s="125"/>
      <c r="AI217" s="128"/>
      <c r="AJ217" s="125"/>
      <c r="AK217" s="129">
        <v>35</v>
      </c>
      <c r="AL217" s="148">
        <f t="shared" si="60"/>
        <v>280000</v>
      </c>
      <c r="AM217" s="128"/>
      <c r="AN217" s="148"/>
      <c r="AO217" s="128"/>
      <c r="AP217" s="148"/>
      <c r="AQ217" s="84">
        <f t="shared" si="46"/>
        <v>35</v>
      </c>
      <c r="AR217" s="182">
        <v>8000</v>
      </c>
      <c r="AS217" s="180">
        <f t="shared" si="61"/>
        <v>280000</v>
      </c>
    </row>
    <row r="218" spans="1:45" ht="14.25" hidden="1">
      <c r="A218" s="71">
        <v>199</v>
      </c>
      <c r="B218" s="204" t="s">
        <v>1501</v>
      </c>
      <c r="C218" s="72" t="s">
        <v>1504</v>
      </c>
      <c r="D218" s="54">
        <v>255</v>
      </c>
      <c r="E218" s="57" t="s">
        <v>1517</v>
      </c>
      <c r="F218" s="129" t="s">
        <v>1520</v>
      </c>
      <c r="G218" s="57"/>
      <c r="H218" s="57"/>
      <c r="I218" s="57"/>
      <c r="J218" s="125"/>
      <c r="K218" s="126"/>
      <c r="L218" s="127"/>
      <c r="M218" s="128"/>
      <c r="N218" s="125"/>
      <c r="O218" s="126"/>
      <c r="P218" s="125"/>
      <c r="Q218" s="128"/>
      <c r="R218" s="125"/>
      <c r="S218" s="126"/>
      <c r="T218" s="125"/>
      <c r="U218" s="128"/>
      <c r="V218" s="125"/>
      <c r="W218" s="128"/>
      <c r="X218" s="125"/>
      <c r="Y218" s="128"/>
      <c r="Z218" s="125"/>
      <c r="AA218" s="128"/>
      <c r="AB218" s="125"/>
      <c r="AC218" s="128"/>
      <c r="AD218" s="125"/>
      <c r="AE218" s="128"/>
      <c r="AF218" s="125"/>
      <c r="AG218" s="128"/>
      <c r="AH218" s="125"/>
      <c r="AI218" s="128"/>
      <c r="AJ218" s="125"/>
      <c r="AK218" s="129">
        <v>10</v>
      </c>
      <c r="AL218" s="148">
        <f t="shared" si="60"/>
        <v>10000</v>
      </c>
      <c r="AM218" s="128"/>
      <c r="AN218" s="148"/>
      <c r="AO218" s="128"/>
      <c r="AP218" s="148"/>
      <c r="AQ218" s="84">
        <f t="shared" si="46"/>
        <v>10</v>
      </c>
      <c r="AR218" s="182">
        <v>1000</v>
      </c>
      <c r="AS218" s="180">
        <f t="shared" si="61"/>
        <v>10000</v>
      </c>
    </row>
    <row r="219" spans="1:45" ht="14.25" hidden="1">
      <c r="A219" s="71">
        <v>200</v>
      </c>
      <c r="B219" s="204" t="s">
        <v>1502</v>
      </c>
      <c r="C219" s="72" t="s">
        <v>1504</v>
      </c>
      <c r="D219" s="54">
        <v>255</v>
      </c>
      <c r="E219" s="57" t="s">
        <v>1518</v>
      </c>
      <c r="F219" s="129" t="s">
        <v>1520</v>
      </c>
      <c r="G219" s="57"/>
      <c r="H219" s="57"/>
      <c r="I219" s="57"/>
      <c r="J219" s="125"/>
      <c r="K219" s="126"/>
      <c r="L219" s="127"/>
      <c r="M219" s="128"/>
      <c r="N219" s="125"/>
      <c r="O219" s="126"/>
      <c r="P219" s="125"/>
      <c r="Q219" s="128"/>
      <c r="R219" s="125"/>
      <c r="S219" s="126"/>
      <c r="T219" s="125"/>
      <c r="U219" s="128"/>
      <c r="V219" s="125"/>
      <c r="W219" s="128"/>
      <c r="X219" s="125"/>
      <c r="Y219" s="128"/>
      <c r="Z219" s="125"/>
      <c r="AA219" s="128"/>
      <c r="AB219" s="125"/>
      <c r="AC219" s="128"/>
      <c r="AD219" s="125"/>
      <c r="AE219" s="128"/>
      <c r="AF219" s="125"/>
      <c r="AG219" s="128"/>
      <c r="AH219" s="125"/>
      <c r="AI219" s="128"/>
      <c r="AJ219" s="125"/>
      <c r="AK219" s="129">
        <v>10</v>
      </c>
      <c r="AL219" s="148">
        <f t="shared" si="60"/>
        <v>7000</v>
      </c>
      <c r="AM219" s="128"/>
      <c r="AN219" s="148"/>
      <c r="AO219" s="128"/>
      <c r="AP219" s="148"/>
      <c r="AQ219" s="84">
        <f t="shared" si="46"/>
        <v>10</v>
      </c>
      <c r="AR219" s="182">
        <v>700</v>
      </c>
      <c r="AS219" s="180">
        <f t="shared" si="61"/>
        <v>7000</v>
      </c>
    </row>
    <row r="220" spans="1:45" ht="14.25" hidden="1">
      <c r="A220" s="71">
        <v>201</v>
      </c>
      <c r="B220" s="204" t="s">
        <v>1503</v>
      </c>
      <c r="C220" s="72" t="s">
        <v>1504</v>
      </c>
      <c r="D220" s="54">
        <v>255</v>
      </c>
      <c r="E220" s="57" t="s">
        <v>1519</v>
      </c>
      <c r="F220" s="129" t="s">
        <v>1520</v>
      </c>
      <c r="G220" s="57"/>
      <c r="H220" s="57"/>
      <c r="I220" s="57"/>
      <c r="J220" s="125"/>
      <c r="K220" s="126"/>
      <c r="L220" s="127"/>
      <c r="M220" s="128"/>
      <c r="N220" s="125"/>
      <c r="O220" s="126"/>
      <c r="P220" s="125"/>
      <c r="Q220" s="128"/>
      <c r="R220" s="125"/>
      <c r="S220" s="126"/>
      <c r="T220" s="125"/>
      <c r="U220" s="128"/>
      <c r="V220" s="125"/>
      <c r="W220" s="128"/>
      <c r="X220" s="125"/>
      <c r="Y220" s="128"/>
      <c r="Z220" s="125"/>
      <c r="AA220" s="128"/>
      <c r="AB220" s="125"/>
      <c r="AC220" s="128"/>
      <c r="AD220" s="125"/>
      <c r="AE220" s="128"/>
      <c r="AF220" s="125"/>
      <c r="AG220" s="128"/>
      <c r="AH220" s="125"/>
      <c r="AI220" s="128"/>
      <c r="AJ220" s="125"/>
      <c r="AK220" s="129">
        <v>5</v>
      </c>
      <c r="AL220" s="148">
        <f t="shared" si="60"/>
        <v>10000</v>
      </c>
      <c r="AM220" s="128"/>
      <c r="AN220" s="148"/>
      <c r="AO220" s="128"/>
      <c r="AP220" s="148"/>
      <c r="AQ220" s="84">
        <f t="shared" si="46"/>
        <v>5</v>
      </c>
      <c r="AR220" s="182">
        <v>2000</v>
      </c>
      <c r="AS220" s="180">
        <f t="shared" si="61"/>
        <v>10000</v>
      </c>
    </row>
    <row r="221" spans="1:45" ht="15.75" hidden="1">
      <c r="A221" s="71"/>
      <c r="B221" s="67"/>
      <c r="C221" s="72"/>
      <c r="D221" s="54"/>
      <c r="E221" s="254" t="s">
        <v>1521</v>
      </c>
      <c r="F221" s="37"/>
      <c r="G221" s="125"/>
      <c r="H221" s="125"/>
      <c r="I221" s="125"/>
      <c r="J221" s="125"/>
      <c r="K221" s="126"/>
      <c r="L221" s="127"/>
      <c r="M221" s="128"/>
      <c r="N221" s="125"/>
      <c r="O221" s="126"/>
      <c r="P221" s="125"/>
      <c r="Q221" s="128"/>
      <c r="R221" s="125"/>
      <c r="S221" s="126"/>
      <c r="T221" s="125"/>
      <c r="U221" s="128"/>
      <c r="V221" s="125"/>
      <c r="W221" s="128"/>
      <c r="X221" s="125"/>
      <c r="Y221" s="128"/>
      <c r="Z221" s="125"/>
      <c r="AA221" s="128"/>
      <c r="AB221" s="125"/>
      <c r="AC221" s="128"/>
      <c r="AD221" s="125"/>
      <c r="AE221" s="128"/>
      <c r="AF221" s="125"/>
      <c r="AG221" s="128"/>
      <c r="AH221" s="125"/>
      <c r="AI221" s="128"/>
      <c r="AJ221" s="125"/>
      <c r="AK221" s="128"/>
      <c r="AL221" s="125"/>
      <c r="AM221" s="128"/>
      <c r="AN221" s="125"/>
      <c r="AO221" s="128"/>
      <c r="AP221" s="125"/>
      <c r="AQ221" s="68"/>
      <c r="AR221" s="179"/>
      <c r="AS221" s="221">
        <f>SUM(AS206:AS220)</f>
        <v>1129500</v>
      </c>
    </row>
    <row r="222" spans="1:45" ht="28.5" hidden="1">
      <c r="A222" s="71">
        <v>202</v>
      </c>
      <c r="B222" s="205" t="s">
        <v>1522</v>
      </c>
      <c r="C222" s="72" t="s">
        <v>170</v>
      </c>
      <c r="D222" s="54">
        <v>234</v>
      </c>
      <c r="E222" s="57" t="s">
        <v>1562</v>
      </c>
      <c r="F222" s="129" t="s">
        <v>1520</v>
      </c>
      <c r="G222" s="125"/>
      <c r="H222" s="125"/>
      <c r="I222" s="125"/>
      <c r="J222" s="125"/>
      <c r="K222" s="126"/>
      <c r="L222" s="127"/>
      <c r="M222" s="128"/>
      <c r="N222" s="125"/>
      <c r="O222" s="126"/>
      <c r="P222" s="125"/>
      <c r="Q222" s="128"/>
      <c r="R222" s="125"/>
      <c r="S222" s="126"/>
      <c r="T222" s="125"/>
      <c r="U222" s="128"/>
      <c r="V222" s="125"/>
      <c r="W222" s="128"/>
      <c r="X222" s="125"/>
      <c r="Y222" s="128"/>
      <c r="Z222" s="125"/>
      <c r="AA222" s="128"/>
      <c r="AB222" s="125"/>
      <c r="AC222" s="128"/>
      <c r="AD222" s="125"/>
      <c r="AE222" s="128"/>
      <c r="AF222" s="125"/>
      <c r="AG222" s="128"/>
      <c r="AH222" s="125"/>
      <c r="AI222" s="128"/>
      <c r="AJ222" s="125"/>
      <c r="AK222" s="129">
        <v>2</v>
      </c>
      <c r="AL222" s="148">
        <f>+AK222*AR222</f>
        <v>16000</v>
      </c>
      <c r="AM222" s="128"/>
      <c r="AN222" s="148"/>
      <c r="AO222" s="128"/>
      <c r="AP222" s="148"/>
      <c r="AQ222" s="84">
        <f t="shared" si="46"/>
        <v>2</v>
      </c>
      <c r="AR222" s="182">
        <v>8000</v>
      </c>
      <c r="AS222" s="180">
        <f>+AQ222*AR222</f>
        <v>16000</v>
      </c>
    </row>
    <row r="223" spans="1:45" ht="28.5" hidden="1">
      <c r="A223" s="71">
        <v>203</v>
      </c>
      <c r="B223" s="205" t="s">
        <v>1523</v>
      </c>
      <c r="C223" s="72" t="s">
        <v>170</v>
      </c>
      <c r="D223" s="54">
        <v>234</v>
      </c>
      <c r="E223" s="57" t="s">
        <v>1563</v>
      </c>
      <c r="F223" s="129" t="s">
        <v>1520</v>
      </c>
      <c r="G223" s="125"/>
      <c r="H223" s="125"/>
      <c r="I223" s="125"/>
      <c r="J223" s="125"/>
      <c r="K223" s="126"/>
      <c r="L223" s="127"/>
      <c r="M223" s="128"/>
      <c r="N223" s="125"/>
      <c r="O223" s="126"/>
      <c r="P223" s="125"/>
      <c r="Q223" s="128"/>
      <c r="R223" s="125"/>
      <c r="S223" s="126"/>
      <c r="T223" s="125"/>
      <c r="U223" s="128"/>
      <c r="V223" s="125"/>
      <c r="W223" s="128"/>
      <c r="X223" s="125"/>
      <c r="Y223" s="128"/>
      <c r="Z223" s="125"/>
      <c r="AA223" s="128"/>
      <c r="AB223" s="125"/>
      <c r="AC223" s="128"/>
      <c r="AD223" s="125"/>
      <c r="AE223" s="128"/>
      <c r="AF223" s="125"/>
      <c r="AG223" s="128"/>
      <c r="AH223" s="125"/>
      <c r="AI223" s="128"/>
      <c r="AJ223" s="125"/>
      <c r="AK223" s="129">
        <v>2</v>
      </c>
      <c r="AL223" s="148">
        <f t="shared" ref="AL223:AL261" si="62">+AK223*AR223</f>
        <v>8000</v>
      </c>
      <c r="AM223" s="128"/>
      <c r="AN223" s="148"/>
      <c r="AO223" s="128"/>
      <c r="AP223" s="148"/>
      <c r="AQ223" s="84">
        <f t="shared" si="46"/>
        <v>2</v>
      </c>
      <c r="AR223" s="182">
        <v>4000</v>
      </c>
      <c r="AS223" s="180">
        <f t="shared" ref="AS223:AS261" si="63">+AQ223*AR223</f>
        <v>8000</v>
      </c>
    </row>
    <row r="224" spans="1:45" ht="28.5" hidden="1">
      <c r="A224" s="71">
        <v>204</v>
      </c>
      <c r="B224" s="205" t="s">
        <v>1524</v>
      </c>
      <c r="C224" s="72" t="s">
        <v>170</v>
      </c>
      <c r="D224" s="54">
        <v>234</v>
      </c>
      <c r="E224" s="57" t="s">
        <v>1564</v>
      </c>
      <c r="F224" s="129" t="s">
        <v>1520</v>
      </c>
      <c r="G224" s="125"/>
      <c r="H224" s="125"/>
      <c r="I224" s="125"/>
      <c r="J224" s="125"/>
      <c r="K224" s="126"/>
      <c r="L224" s="127"/>
      <c r="M224" s="128"/>
      <c r="N224" s="125"/>
      <c r="O224" s="126"/>
      <c r="P224" s="125"/>
      <c r="Q224" s="128"/>
      <c r="R224" s="125"/>
      <c r="S224" s="126"/>
      <c r="T224" s="125"/>
      <c r="U224" s="128"/>
      <c r="V224" s="125"/>
      <c r="W224" s="128"/>
      <c r="X224" s="125"/>
      <c r="Y224" s="128"/>
      <c r="Z224" s="125"/>
      <c r="AA224" s="128"/>
      <c r="AB224" s="125"/>
      <c r="AC224" s="128"/>
      <c r="AD224" s="125"/>
      <c r="AE224" s="128"/>
      <c r="AF224" s="125"/>
      <c r="AG224" s="128"/>
      <c r="AH224" s="125"/>
      <c r="AI224" s="128"/>
      <c r="AJ224" s="125"/>
      <c r="AK224" s="129">
        <v>1</v>
      </c>
      <c r="AL224" s="148">
        <f t="shared" si="62"/>
        <v>4000</v>
      </c>
      <c r="AM224" s="128"/>
      <c r="AN224" s="148"/>
      <c r="AO224" s="128"/>
      <c r="AP224" s="148"/>
      <c r="AQ224" s="84">
        <f t="shared" si="46"/>
        <v>1</v>
      </c>
      <c r="AR224" s="182">
        <v>4000</v>
      </c>
      <c r="AS224" s="180">
        <f t="shared" si="63"/>
        <v>4000</v>
      </c>
    </row>
    <row r="225" spans="1:45" ht="28.5" hidden="1">
      <c r="A225" s="71">
        <v>205</v>
      </c>
      <c r="B225" s="205" t="s">
        <v>1525</v>
      </c>
      <c r="C225" s="72" t="s">
        <v>170</v>
      </c>
      <c r="D225" s="54">
        <v>234</v>
      </c>
      <c r="E225" s="57" t="s">
        <v>1565</v>
      </c>
      <c r="F225" s="129" t="s">
        <v>1520</v>
      </c>
      <c r="G225" s="125"/>
      <c r="H225" s="125"/>
      <c r="I225" s="125"/>
      <c r="J225" s="125"/>
      <c r="K225" s="126"/>
      <c r="L225" s="127"/>
      <c r="M225" s="128"/>
      <c r="N225" s="125"/>
      <c r="O225" s="126"/>
      <c r="P225" s="125"/>
      <c r="Q225" s="128"/>
      <c r="R225" s="125"/>
      <c r="S225" s="126"/>
      <c r="T225" s="125"/>
      <c r="U225" s="128"/>
      <c r="V225" s="125"/>
      <c r="W225" s="128"/>
      <c r="X225" s="125"/>
      <c r="Y225" s="128"/>
      <c r="Z225" s="125"/>
      <c r="AA225" s="128"/>
      <c r="AB225" s="125"/>
      <c r="AC225" s="128"/>
      <c r="AD225" s="125"/>
      <c r="AE225" s="128"/>
      <c r="AF225" s="125"/>
      <c r="AG225" s="128"/>
      <c r="AH225" s="125"/>
      <c r="AI225" s="128"/>
      <c r="AJ225" s="125"/>
      <c r="AK225" s="129">
        <v>1</v>
      </c>
      <c r="AL225" s="148">
        <f t="shared" si="62"/>
        <v>4000</v>
      </c>
      <c r="AM225" s="128"/>
      <c r="AN225" s="148"/>
      <c r="AO225" s="128"/>
      <c r="AP225" s="148"/>
      <c r="AQ225" s="84">
        <f t="shared" si="46"/>
        <v>1</v>
      </c>
      <c r="AR225" s="182">
        <v>4000</v>
      </c>
      <c r="AS225" s="180">
        <f t="shared" si="63"/>
        <v>4000</v>
      </c>
    </row>
    <row r="226" spans="1:45" ht="28.5" hidden="1">
      <c r="A226" s="71">
        <v>206</v>
      </c>
      <c r="B226" s="205" t="s">
        <v>1526</v>
      </c>
      <c r="C226" s="72" t="s">
        <v>170</v>
      </c>
      <c r="D226" s="54">
        <v>275</v>
      </c>
      <c r="E226" s="57" t="s">
        <v>1566</v>
      </c>
      <c r="F226" s="129" t="s">
        <v>1520</v>
      </c>
      <c r="G226" s="125"/>
      <c r="H226" s="125"/>
      <c r="I226" s="125"/>
      <c r="J226" s="125"/>
      <c r="K226" s="126"/>
      <c r="L226" s="127"/>
      <c r="M226" s="128"/>
      <c r="N226" s="125"/>
      <c r="O226" s="126"/>
      <c r="P226" s="125"/>
      <c r="Q226" s="128"/>
      <c r="R226" s="125"/>
      <c r="S226" s="126"/>
      <c r="T226" s="125"/>
      <c r="U226" s="128"/>
      <c r="V226" s="125"/>
      <c r="W226" s="128"/>
      <c r="X226" s="125"/>
      <c r="Y226" s="128"/>
      <c r="Z226" s="125"/>
      <c r="AA226" s="128"/>
      <c r="AB226" s="125"/>
      <c r="AC226" s="128"/>
      <c r="AD226" s="125"/>
      <c r="AE226" s="128"/>
      <c r="AF226" s="125"/>
      <c r="AG226" s="128"/>
      <c r="AH226" s="125"/>
      <c r="AI226" s="128"/>
      <c r="AJ226" s="125"/>
      <c r="AK226" s="129">
        <v>5</v>
      </c>
      <c r="AL226" s="148">
        <f t="shared" si="62"/>
        <v>1500</v>
      </c>
      <c r="AM226" s="128"/>
      <c r="AN226" s="148"/>
      <c r="AO226" s="128"/>
      <c r="AP226" s="148"/>
      <c r="AQ226" s="84">
        <f t="shared" si="46"/>
        <v>5</v>
      </c>
      <c r="AR226" s="182">
        <v>300</v>
      </c>
      <c r="AS226" s="180">
        <f t="shared" si="63"/>
        <v>1500</v>
      </c>
    </row>
    <row r="227" spans="1:45" ht="28.5" hidden="1">
      <c r="A227" s="71">
        <v>207</v>
      </c>
      <c r="B227" s="205" t="s">
        <v>1527</v>
      </c>
      <c r="C227" s="72" t="s">
        <v>170</v>
      </c>
      <c r="D227" s="54">
        <v>275</v>
      </c>
      <c r="E227" s="57" t="s">
        <v>1567</v>
      </c>
      <c r="F227" s="129" t="s">
        <v>1520</v>
      </c>
      <c r="G227" s="57"/>
      <c r="H227" s="57"/>
      <c r="I227" s="57"/>
      <c r="J227" s="125"/>
      <c r="K227" s="126"/>
      <c r="L227" s="127"/>
      <c r="M227" s="128"/>
      <c r="N227" s="125"/>
      <c r="O227" s="126"/>
      <c r="P227" s="125"/>
      <c r="Q227" s="128"/>
      <c r="R227" s="125"/>
      <c r="S227" s="126"/>
      <c r="T227" s="125"/>
      <c r="U227" s="128"/>
      <c r="V227" s="125"/>
      <c r="W227" s="128"/>
      <c r="X227" s="125"/>
      <c r="Y227" s="128"/>
      <c r="Z227" s="125"/>
      <c r="AA227" s="128"/>
      <c r="AB227" s="125"/>
      <c r="AC227" s="128"/>
      <c r="AD227" s="125"/>
      <c r="AE227" s="128"/>
      <c r="AF227" s="125"/>
      <c r="AG227" s="128"/>
      <c r="AH227" s="125"/>
      <c r="AI227" s="128"/>
      <c r="AJ227" s="125"/>
      <c r="AK227" s="129">
        <v>5</v>
      </c>
      <c r="AL227" s="148">
        <f t="shared" si="62"/>
        <v>1750</v>
      </c>
      <c r="AM227" s="128"/>
      <c r="AN227" s="148"/>
      <c r="AO227" s="128"/>
      <c r="AP227" s="148"/>
      <c r="AQ227" s="84">
        <f t="shared" si="46"/>
        <v>5</v>
      </c>
      <c r="AR227" s="182">
        <v>350</v>
      </c>
      <c r="AS227" s="180">
        <f t="shared" si="63"/>
        <v>1750</v>
      </c>
    </row>
    <row r="228" spans="1:45" ht="28.5" hidden="1">
      <c r="A228" s="71">
        <v>208</v>
      </c>
      <c r="B228" s="205" t="s">
        <v>1528</v>
      </c>
      <c r="C228" s="72" t="s">
        <v>170</v>
      </c>
      <c r="D228" s="54">
        <v>275</v>
      </c>
      <c r="E228" s="57" t="s">
        <v>1568</v>
      </c>
      <c r="F228" s="129" t="s">
        <v>1520</v>
      </c>
      <c r="G228" s="57"/>
      <c r="H228" s="57"/>
      <c r="I228" s="57"/>
      <c r="J228" s="125"/>
      <c r="K228" s="126"/>
      <c r="L228" s="127"/>
      <c r="M228" s="128"/>
      <c r="N228" s="125"/>
      <c r="O228" s="126"/>
      <c r="P228" s="125"/>
      <c r="Q228" s="128"/>
      <c r="R228" s="125"/>
      <c r="S228" s="126"/>
      <c r="T228" s="125"/>
      <c r="U228" s="128"/>
      <c r="V228" s="125"/>
      <c r="W228" s="128"/>
      <c r="X228" s="125"/>
      <c r="Y228" s="128"/>
      <c r="Z228" s="125"/>
      <c r="AA228" s="128"/>
      <c r="AB228" s="125"/>
      <c r="AC228" s="128"/>
      <c r="AD228" s="125"/>
      <c r="AE228" s="128"/>
      <c r="AF228" s="125"/>
      <c r="AG228" s="128"/>
      <c r="AH228" s="125"/>
      <c r="AI228" s="128"/>
      <c r="AJ228" s="125"/>
      <c r="AK228" s="129">
        <v>5</v>
      </c>
      <c r="AL228" s="148">
        <f t="shared" si="62"/>
        <v>2150</v>
      </c>
      <c r="AM228" s="128"/>
      <c r="AN228" s="148"/>
      <c r="AO228" s="128"/>
      <c r="AP228" s="148"/>
      <c r="AQ228" s="84">
        <f t="shared" si="46"/>
        <v>5</v>
      </c>
      <c r="AR228" s="182">
        <v>430</v>
      </c>
      <c r="AS228" s="180">
        <f t="shared" si="63"/>
        <v>2150</v>
      </c>
    </row>
    <row r="229" spans="1:45" ht="28.5" hidden="1">
      <c r="A229" s="71">
        <v>209</v>
      </c>
      <c r="B229" s="205" t="s">
        <v>1529</v>
      </c>
      <c r="C229" s="72" t="s">
        <v>170</v>
      </c>
      <c r="D229" s="54">
        <v>275</v>
      </c>
      <c r="E229" s="57" t="s">
        <v>1569</v>
      </c>
      <c r="F229" s="129" t="s">
        <v>1520</v>
      </c>
      <c r="G229" s="57"/>
      <c r="H229" s="57"/>
      <c r="I229" s="57"/>
      <c r="J229" s="125"/>
      <c r="K229" s="126"/>
      <c r="L229" s="127"/>
      <c r="M229" s="128"/>
      <c r="N229" s="125"/>
      <c r="O229" s="126"/>
      <c r="P229" s="125"/>
      <c r="Q229" s="128"/>
      <c r="R229" s="125"/>
      <c r="S229" s="126"/>
      <c r="T229" s="125"/>
      <c r="U229" s="128"/>
      <c r="V229" s="125"/>
      <c r="W229" s="128"/>
      <c r="X229" s="125"/>
      <c r="Y229" s="128"/>
      <c r="Z229" s="125"/>
      <c r="AA229" s="128"/>
      <c r="AB229" s="125"/>
      <c r="AC229" s="128"/>
      <c r="AD229" s="125"/>
      <c r="AE229" s="128"/>
      <c r="AF229" s="125"/>
      <c r="AG229" s="128"/>
      <c r="AH229" s="125"/>
      <c r="AI229" s="128"/>
      <c r="AJ229" s="125"/>
      <c r="AK229" s="129">
        <v>5</v>
      </c>
      <c r="AL229" s="148">
        <f t="shared" si="62"/>
        <v>1500</v>
      </c>
      <c r="AM229" s="128"/>
      <c r="AN229" s="148"/>
      <c r="AO229" s="128"/>
      <c r="AP229" s="148"/>
      <c r="AQ229" s="84">
        <f t="shared" si="46"/>
        <v>5</v>
      </c>
      <c r="AR229" s="182">
        <v>300</v>
      </c>
      <c r="AS229" s="180">
        <f t="shared" si="63"/>
        <v>1500</v>
      </c>
    </row>
    <row r="230" spans="1:45" ht="28.5" hidden="1">
      <c r="A230" s="71">
        <v>210</v>
      </c>
      <c r="B230" s="205" t="s">
        <v>1530</v>
      </c>
      <c r="C230" s="72" t="s">
        <v>170</v>
      </c>
      <c r="D230" s="54">
        <v>275</v>
      </c>
      <c r="E230" s="57" t="s">
        <v>1570</v>
      </c>
      <c r="F230" s="129" t="s">
        <v>1520</v>
      </c>
      <c r="G230" s="57"/>
      <c r="H230" s="57"/>
      <c r="I230" s="57"/>
      <c r="J230" s="125"/>
      <c r="K230" s="126"/>
      <c r="L230" s="127"/>
      <c r="M230" s="128"/>
      <c r="N230" s="125"/>
      <c r="O230" s="126"/>
      <c r="P230" s="125"/>
      <c r="Q230" s="128"/>
      <c r="R230" s="125"/>
      <c r="S230" s="126"/>
      <c r="T230" s="125"/>
      <c r="U230" s="128"/>
      <c r="V230" s="125"/>
      <c r="W230" s="128"/>
      <c r="X230" s="125"/>
      <c r="Y230" s="128"/>
      <c r="Z230" s="125"/>
      <c r="AA230" s="128"/>
      <c r="AB230" s="125"/>
      <c r="AC230" s="128"/>
      <c r="AD230" s="125"/>
      <c r="AE230" s="128"/>
      <c r="AF230" s="125"/>
      <c r="AG230" s="128"/>
      <c r="AH230" s="125"/>
      <c r="AI230" s="128"/>
      <c r="AJ230" s="125"/>
      <c r="AK230" s="129">
        <v>5</v>
      </c>
      <c r="AL230" s="148">
        <f t="shared" si="62"/>
        <v>2000</v>
      </c>
      <c r="AM230" s="128"/>
      <c r="AN230" s="148"/>
      <c r="AO230" s="128"/>
      <c r="AP230" s="148"/>
      <c r="AQ230" s="84">
        <f t="shared" si="46"/>
        <v>5</v>
      </c>
      <c r="AR230" s="182">
        <v>400</v>
      </c>
      <c r="AS230" s="180">
        <f t="shared" si="63"/>
        <v>2000</v>
      </c>
    </row>
    <row r="231" spans="1:45" ht="28.5" hidden="1">
      <c r="A231" s="71">
        <v>211</v>
      </c>
      <c r="B231" s="205" t="s">
        <v>1531</v>
      </c>
      <c r="C231" s="72" t="s">
        <v>170</v>
      </c>
      <c r="D231" s="54">
        <v>275</v>
      </c>
      <c r="E231" s="57" t="s">
        <v>1571</v>
      </c>
      <c r="F231" s="129" t="s">
        <v>1520</v>
      </c>
      <c r="G231" s="57"/>
      <c r="H231" s="57"/>
      <c r="I231" s="57"/>
      <c r="J231" s="125"/>
      <c r="K231" s="126"/>
      <c r="L231" s="127"/>
      <c r="M231" s="128"/>
      <c r="N231" s="125"/>
      <c r="O231" s="126"/>
      <c r="P231" s="125"/>
      <c r="Q231" s="128"/>
      <c r="R231" s="125"/>
      <c r="S231" s="126"/>
      <c r="T231" s="125"/>
      <c r="U231" s="128"/>
      <c r="V231" s="125"/>
      <c r="W231" s="128"/>
      <c r="X231" s="125"/>
      <c r="Y231" s="128"/>
      <c r="Z231" s="125"/>
      <c r="AA231" s="128"/>
      <c r="AB231" s="125"/>
      <c r="AC231" s="128"/>
      <c r="AD231" s="125"/>
      <c r="AE231" s="128"/>
      <c r="AF231" s="125"/>
      <c r="AG231" s="128"/>
      <c r="AH231" s="125"/>
      <c r="AI231" s="128"/>
      <c r="AJ231" s="125"/>
      <c r="AK231" s="129">
        <v>5</v>
      </c>
      <c r="AL231" s="148">
        <f t="shared" si="62"/>
        <v>3000</v>
      </c>
      <c r="AM231" s="128"/>
      <c r="AN231" s="148"/>
      <c r="AO231" s="128"/>
      <c r="AP231" s="148"/>
      <c r="AQ231" s="84">
        <f t="shared" si="46"/>
        <v>5</v>
      </c>
      <c r="AR231" s="182">
        <v>600</v>
      </c>
      <c r="AS231" s="180">
        <f t="shared" si="63"/>
        <v>3000</v>
      </c>
    </row>
    <row r="232" spans="1:45" ht="14.25" hidden="1">
      <c r="A232" s="71">
        <v>212</v>
      </c>
      <c r="B232" s="205" t="s">
        <v>1532</v>
      </c>
      <c r="C232" s="72" t="s">
        <v>170</v>
      </c>
      <c r="D232" s="54">
        <v>275</v>
      </c>
      <c r="E232" s="57" t="s">
        <v>1572</v>
      </c>
      <c r="F232" s="129" t="s">
        <v>1520</v>
      </c>
      <c r="G232" s="57"/>
      <c r="H232" s="57"/>
      <c r="I232" s="57"/>
      <c r="J232" s="125"/>
      <c r="K232" s="126"/>
      <c r="L232" s="127"/>
      <c r="M232" s="128"/>
      <c r="N232" s="125"/>
      <c r="O232" s="126"/>
      <c r="P232" s="125"/>
      <c r="Q232" s="128"/>
      <c r="R232" s="125"/>
      <c r="S232" s="126"/>
      <c r="T232" s="125"/>
      <c r="U232" s="128"/>
      <c r="V232" s="125"/>
      <c r="W232" s="128"/>
      <c r="X232" s="125"/>
      <c r="Y232" s="128"/>
      <c r="Z232" s="125"/>
      <c r="AA232" s="128"/>
      <c r="AB232" s="125"/>
      <c r="AC232" s="128"/>
      <c r="AD232" s="125"/>
      <c r="AE232" s="128"/>
      <c r="AF232" s="125"/>
      <c r="AG232" s="128"/>
      <c r="AH232" s="125"/>
      <c r="AI232" s="128"/>
      <c r="AJ232" s="125"/>
      <c r="AK232" s="129">
        <v>3</v>
      </c>
      <c r="AL232" s="148">
        <f t="shared" si="62"/>
        <v>900</v>
      </c>
      <c r="AM232" s="128"/>
      <c r="AN232" s="148"/>
      <c r="AO232" s="128"/>
      <c r="AP232" s="148"/>
      <c r="AQ232" s="84">
        <f t="shared" si="46"/>
        <v>3</v>
      </c>
      <c r="AR232" s="182">
        <v>300</v>
      </c>
      <c r="AS232" s="180">
        <f t="shared" si="63"/>
        <v>900</v>
      </c>
    </row>
    <row r="233" spans="1:45" ht="28.5" hidden="1">
      <c r="A233" s="71">
        <v>213</v>
      </c>
      <c r="B233" s="205" t="s">
        <v>1533</v>
      </c>
      <c r="C233" s="72" t="s">
        <v>170</v>
      </c>
      <c r="D233" s="54">
        <v>275</v>
      </c>
      <c r="E233" s="57" t="s">
        <v>1573</v>
      </c>
      <c r="F233" s="129" t="s">
        <v>1520</v>
      </c>
      <c r="G233" s="57"/>
      <c r="H233" s="57"/>
      <c r="I233" s="57"/>
      <c r="J233" s="125"/>
      <c r="K233" s="126"/>
      <c r="L233" s="127"/>
      <c r="M233" s="128"/>
      <c r="N233" s="125"/>
      <c r="O233" s="126"/>
      <c r="P233" s="125"/>
      <c r="Q233" s="128"/>
      <c r="R233" s="125"/>
      <c r="S233" s="126"/>
      <c r="T233" s="125"/>
      <c r="U233" s="128"/>
      <c r="V233" s="125"/>
      <c r="W233" s="128"/>
      <c r="X233" s="125"/>
      <c r="Y233" s="128"/>
      <c r="Z233" s="125"/>
      <c r="AA233" s="128"/>
      <c r="AB233" s="125"/>
      <c r="AC233" s="128"/>
      <c r="AD233" s="125"/>
      <c r="AE233" s="128"/>
      <c r="AF233" s="125"/>
      <c r="AG233" s="128"/>
      <c r="AH233" s="125"/>
      <c r="AI233" s="128"/>
      <c r="AJ233" s="125"/>
      <c r="AK233" s="129">
        <v>20</v>
      </c>
      <c r="AL233" s="148">
        <f t="shared" si="62"/>
        <v>12000</v>
      </c>
      <c r="AM233" s="128"/>
      <c r="AN233" s="148"/>
      <c r="AO233" s="128"/>
      <c r="AP233" s="148"/>
      <c r="AQ233" s="84">
        <f t="shared" si="46"/>
        <v>20</v>
      </c>
      <c r="AR233" s="182">
        <v>600</v>
      </c>
      <c r="AS233" s="180">
        <f t="shared" si="63"/>
        <v>12000</v>
      </c>
    </row>
    <row r="234" spans="1:45" ht="28.5" hidden="1">
      <c r="A234" s="71">
        <v>214</v>
      </c>
      <c r="B234" s="205" t="s">
        <v>1534</v>
      </c>
      <c r="C234" s="72" t="s">
        <v>170</v>
      </c>
      <c r="D234" s="54">
        <v>275</v>
      </c>
      <c r="E234" s="57" t="s">
        <v>1574</v>
      </c>
      <c r="F234" s="129" t="s">
        <v>1520</v>
      </c>
      <c r="G234" s="57"/>
      <c r="H234" s="57"/>
      <c r="I234" s="57"/>
      <c r="J234" s="125"/>
      <c r="K234" s="126"/>
      <c r="L234" s="127"/>
      <c r="M234" s="128"/>
      <c r="N234" s="125"/>
      <c r="O234" s="126"/>
      <c r="P234" s="125"/>
      <c r="Q234" s="128"/>
      <c r="R234" s="125"/>
      <c r="S234" s="126"/>
      <c r="T234" s="125"/>
      <c r="U234" s="128"/>
      <c r="V234" s="125"/>
      <c r="W234" s="128"/>
      <c r="X234" s="125"/>
      <c r="Y234" s="128"/>
      <c r="Z234" s="125"/>
      <c r="AA234" s="128"/>
      <c r="AB234" s="125"/>
      <c r="AC234" s="128"/>
      <c r="AD234" s="125"/>
      <c r="AE234" s="128"/>
      <c r="AF234" s="125"/>
      <c r="AG234" s="128"/>
      <c r="AH234" s="125"/>
      <c r="AI234" s="128"/>
      <c r="AJ234" s="125"/>
      <c r="AK234" s="129">
        <v>20</v>
      </c>
      <c r="AL234" s="148">
        <f t="shared" si="62"/>
        <v>14000</v>
      </c>
      <c r="AM234" s="128"/>
      <c r="AN234" s="148"/>
      <c r="AO234" s="128"/>
      <c r="AP234" s="148"/>
      <c r="AQ234" s="84">
        <f t="shared" si="46"/>
        <v>20</v>
      </c>
      <c r="AR234" s="182">
        <v>700</v>
      </c>
      <c r="AS234" s="180">
        <f t="shared" si="63"/>
        <v>14000</v>
      </c>
    </row>
    <row r="235" spans="1:45" ht="14.25" hidden="1">
      <c r="A235" s="71">
        <v>215</v>
      </c>
      <c r="B235" s="205" t="s">
        <v>1535</v>
      </c>
      <c r="C235" s="72" t="s">
        <v>170</v>
      </c>
      <c r="D235" s="54">
        <v>275</v>
      </c>
      <c r="E235" s="57" t="s">
        <v>1575</v>
      </c>
      <c r="F235" s="129" t="s">
        <v>1520</v>
      </c>
      <c r="G235" s="57"/>
      <c r="H235" s="57"/>
      <c r="I235" s="57"/>
      <c r="J235" s="125"/>
      <c r="K235" s="126"/>
      <c r="L235" s="127"/>
      <c r="M235" s="128"/>
      <c r="N235" s="125"/>
      <c r="O235" s="126"/>
      <c r="P235" s="125"/>
      <c r="Q235" s="128"/>
      <c r="R235" s="125"/>
      <c r="S235" s="126"/>
      <c r="T235" s="125"/>
      <c r="U235" s="128"/>
      <c r="V235" s="125"/>
      <c r="W235" s="128"/>
      <c r="X235" s="125"/>
      <c r="Y235" s="128"/>
      <c r="Z235" s="125"/>
      <c r="AA235" s="128"/>
      <c r="AB235" s="125"/>
      <c r="AC235" s="128"/>
      <c r="AD235" s="125"/>
      <c r="AE235" s="128"/>
      <c r="AF235" s="125"/>
      <c r="AG235" s="128"/>
      <c r="AH235" s="125"/>
      <c r="AI235" s="128"/>
      <c r="AJ235" s="125"/>
      <c r="AK235" s="129">
        <v>5</v>
      </c>
      <c r="AL235" s="148">
        <f t="shared" si="62"/>
        <v>1650</v>
      </c>
      <c r="AM235" s="128"/>
      <c r="AN235" s="148"/>
      <c r="AO235" s="128"/>
      <c r="AP235" s="148"/>
      <c r="AQ235" s="84">
        <f t="shared" si="46"/>
        <v>5</v>
      </c>
      <c r="AR235" s="182">
        <v>330</v>
      </c>
      <c r="AS235" s="180">
        <f t="shared" si="63"/>
        <v>1650</v>
      </c>
    </row>
    <row r="236" spans="1:45" ht="14.25" hidden="1">
      <c r="A236" s="71">
        <v>216</v>
      </c>
      <c r="B236" s="205" t="s">
        <v>1536</v>
      </c>
      <c r="C236" s="72" t="s">
        <v>170</v>
      </c>
      <c r="D236" s="54">
        <v>275</v>
      </c>
      <c r="E236" s="57" t="s">
        <v>1576</v>
      </c>
      <c r="F236" s="129" t="s">
        <v>1520</v>
      </c>
      <c r="G236" s="57"/>
      <c r="H236" s="57"/>
      <c r="I236" s="57"/>
      <c r="J236" s="125"/>
      <c r="K236" s="126"/>
      <c r="L236" s="127"/>
      <c r="M236" s="128"/>
      <c r="N236" s="125"/>
      <c r="O236" s="126"/>
      <c r="P236" s="125"/>
      <c r="Q236" s="128"/>
      <c r="R236" s="125"/>
      <c r="S236" s="126"/>
      <c r="T236" s="125"/>
      <c r="U236" s="128"/>
      <c r="V236" s="125"/>
      <c r="W236" s="128"/>
      <c r="X236" s="125"/>
      <c r="Y236" s="128"/>
      <c r="Z236" s="125"/>
      <c r="AA236" s="128"/>
      <c r="AB236" s="125"/>
      <c r="AC236" s="128"/>
      <c r="AD236" s="125"/>
      <c r="AE236" s="128"/>
      <c r="AF236" s="125"/>
      <c r="AG236" s="128"/>
      <c r="AH236" s="125"/>
      <c r="AI236" s="128"/>
      <c r="AJ236" s="125"/>
      <c r="AK236" s="129">
        <v>5</v>
      </c>
      <c r="AL236" s="148">
        <f t="shared" si="62"/>
        <v>1000</v>
      </c>
      <c r="AM236" s="128"/>
      <c r="AN236" s="148"/>
      <c r="AO236" s="128"/>
      <c r="AP236" s="148"/>
      <c r="AQ236" s="84">
        <f t="shared" si="46"/>
        <v>5</v>
      </c>
      <c r="AR236" s="182">
        <v>200</v>
      </c>
      <c r="AS236" s="180">
        <f t="shared" si="63"/>
        <v>1000</v>
      </c>
    </row>
    <row r="237" spans="1:45" ht="14.25" hidden="1">
      <c r="A237" s="71">
        <v>217</v>
      </c>
      <c r="B237" s="205" t="s">
        <v>1537</v>
      </c>
      <c r="C237" s="72" t="s">
        <v>170</v>
      </c>
      <c r="D237" s="54">
        <v>275</v>
      </c>
      <c r="E237" s="57" t="s">
        <v>1577</v>
      </c>
      <c r="F237" s="129" t="s">
        <v>1520</v>
      </c>
      <c r="G237" s="57"/>
      <c r="H237" s="57"/>
      <c r="I237" s="57"/>
      <c r="J237" s="125"/>
      <c r="K237" s="126"/>
      <c r="L237" s="127"/>
      <c r="M237" s="128"/>
      <c r="N237" s="125"/>
      <c r="O237" s="126"/>
      <c r="P237" s="125"/>
      <c r="Q237" s="128"/>
      <c r="R237" s="125"/>
      <c r="S237" s="126"/>
      <c r="T237" s="125"/>
      <c r="U237" s="128"/>
      <c r="V237" s="125"/>
      <c r="W237" s="128"/>
      <c r="X237" s="125"/>
      <c r="Y237" s="128"/>
      <c r="Z237" s="125"/>
      <c r="AA237" s="128"/>
      <c r="AB237" s="125"/>
      <c r="AC237" s="128"/>
      <c r="AD237" s="125"/>
      <c r="AE237" s="128"/>
      <c r="AF237" s="125"/>
      <c r="AG237" s="128"/>
      <c r="AH237" s="125"/>
      <c r="AI237" s="128"/>
      <c r="AJ237" s="125"/>
      <c r="AK237" s="129">
        <v>5</v>
      </c>
      <c r="AL237" s="148">
        <f t="shared" si="62"/>
        <v>4500</v>
      </c>
      <c r="AM237" s="128"/>
      <c r="AN237" s="148"/>
      <c r="AO237" s="128"/>
      <c r="AP237" s="148"/>
      <c r="AQ237" s="84">
        <f t="shared" si="46"/>
        <v>5</v>
      </c>
      <c r="AR237" s="182">
        <v>900</v>
      </c>
      <c r="AS237" s="180">
        <f t="shared" si="63"/>
        <v>4500</v>
      </c>
    </row>
    <row r="238" spans="1:45" ht="14.25" hidden="1">
      <c r="A238" s="71">
        <v>218</v>
      </c>
      <c r="B238" s="205" t="s">
        <v>1538</v>
      </c>
      <c r="C238" s="72" t="s">
        <v>170</v>
      </c>
      <c r="D238" s="54">
        <v>275</v>
      </c>
      <c r="E238" s="57" t="s">
        <v>1578</v>
      </c>
      <c r="F238" s="129" t="s">
        <v>1520</v>
      </c>
      <c r="G238" s="57"/>
      <c r="H238" s="57"/>
      <c r="I238" s="57"/>
      <c r="J238" s="125"/>
      <c r="K238" s="126"/>
      <c r="L238" s="127"/>
      <c r="M238" s="128"/>
      <c r="N238" s="125"/>
      <c r="O238" s="126"/>
      <c r="P238" s="125"/>
      <c r="Q238" s="128"/>
      <c r="R238" s="125"/>
      <c r="S238" s="126"/>
      <c r="T238" s="125"/>
      <c r="U238" s="128"/>
      <c r="V238" s="125"/>
      <c r="W238" s="128"/>
      <c r="X238" s="125"/>
      <c r="Y238" s="128"/>
      <c r="Z238" s="125"/>
      <c r="AA238" s="128"/>
      <c r="AB238" s="125"/>
      <c r="AC238" s="128"/>
      <c r="AD238" s="125"/>
      <c r="AE238" s="128"/>
      <c r="AF238" s="125"/>
      <c r="AG238" s="128"/>
      <c r="AH238" s="125"/>
      <c r="AI238" s="128"/>
      <c r="AJ238" s="125"/>
      <c r="AK238" s="129">
        <v>5</v>
      </c>
      <c r="AL238" s="148">
        <f t="shared" si="62"/>
        <v>1700</v>
      </c>
      <c r="AM238" s="128"/>
      <c r="AN238" s="148"/>
      <c r="AO238" s="128"/>
      <c r="AP238" s="148"/>
      <c r="AQ238" s="84">
        <f t="shared" si="46"/>
        <v>5</v>
      </c>
      <c r="AR238" s="182">
        <v>340</v>
      </c>
      <c r="AS238" s="180">
        <f t="shared" si="63"/>
        <v>1700</v>
      </c>
    </row>
    <row r="239" spans="1:45" ht="28.5" hidden="1">
      <c r="A239" s="71">
        <v>219</v>
      </c>
      <c r="B239" s="205" t="s">
        <v>1539</v>
      </c>
      <c r="C239" s="72" t="s">
        <v>170</v>
      </c>
      <c r="D239" s="54">
        <v>275</v>
      </c>
      <c r="E239" s="57" t="s">
        <v>1579</v>
      </c>
      <c r="F239" s="129" t="s">
        <v>1520</v>
      </c>
      <c r="G239" s="57"/>
      <c r="H239" s="57"/>
      <c r="I239" s="57"/>
      <c r="J239" s="125"/>
      <c r="K239" s="126"/>
      <c r="L239" s="127"/>
      <c r="M239" s="128"/>
      <c r="N239" s="125"/>
      <c r="O239" s="126"/>
      <c r="P239" s="125"/>
      <c r="Q239" s="128"/>
      <c r="R239" s="125"/>
      <c r="S239" s="126"/>
      <c r="T239" s="125"/>
      <c r="U239" s="128"/>
      <c r="V239" s="125"/>
      <c r="W239" s="128"/>
      <c r="X239" s="125"/>
      <c r="Y239" s="128"/>
      <c r="Z239" s="125"/>
      <c r="AA239" s="128"/>
      <c r="AB239" s="125"/>
      <c r="AC239" s="128"/>
      <c r="AD239" s="125"/>
      <c r="AE239" s="128"/>
      <c r="AF239" s="125"/>
      <c r="AG239" s="128"/>
      <c r="AH239" s="125"/>
      <c r="AI239" s="128"/>
      <c r="AJ239" s="125"/>
      <c r="AK239" s="129">
        <v>2</v>
      </c>
      <c r="AL239" s="148">
        <f t="shared" si="62"/>
        <v>4000</v>
      </c>
      <c r="AM239" s="128"/>
      <c r="AN239" s="148"/>
      <c r="AO239" s="128"/>
      <c r="AP239" s="148"/>
      <c r="AQ239" s="84">
        <f t="shared" si="46"/>
        <v>2</v>
      </c>
      <c r="AR239" s="182">
        <v>2000</v>
      </c>
      <c r="AS239" s="180">
        <f t="shared" si="63"/>
        <v>4000</v>
      </c>
    </row>
    <row r="240" spans="1:45" ht="28.5" hidden="1">
      <c r="A240" s="71">
        <v>220</v>
      </c>
      <c r="B240" s="205" t="s">
        <v>1540</v>
      </c>
      <c r="C240" s="72" t="s">
        <v>170</v>
      </c>
      <c r="D240" s="54">
        <v>275</v>
      </c>
      <c r="E240" s="57" t="s">
        <v>1580</v>
      </c>
      <c r="F240" s="129" t="s">
        <v>1520</v>
      </c>
      <c r="G240" s="57"/>
      <c r="H240" s="57"/>
      <c r="I240" s="57"/>
      <c r="J240" s="125"/>
      <c r="K240" s="126"/>
      <c r="L240" s="127"/>
      <c r="M240" s="128"/>
      <c r="N240" s="125"/>
      <c r="O240" s="126"/>
      <c r="P240" s="125"/>
      <c r="Q240" s="128"/>
      <c r="R240" s="125"/>
      <c r="S240" s="126"/>
      <c r="T240" s="125"/>
      <c r="U240" s="128"/>
      <c r="V240" s="125"/>
      <c r="W240" s="128"/>
      <c r="X240" s="125"/>
      <c r="Y240" s="128"/>
      <c r="Z240" s="125"/>
      <c r="AA240" s="128"/>
      <c r="AB240" s="125"/>
      <c r="AC240" s="128"/>
      <c r="AD240" s="125"/>
      <c r="AE240" s="128"/>
      <c r="AF240" s="125"/>
      <c r="AG240" s="128"/>
      <c r="AH240" s="125"/>
      <c r="AI240" s="128"/>
      <c r="AJ240" s="125"/>
      <c r="AK240" s="129">
        <v>2</v>
      </c>
      <c r="AL240" s="148">
        <f t="shared" si="62"/>
        <v>7000</v>
      </c>
      <c r="AM240" s="128"/>
      <c r="AN240" s="148"/>
      <c r="AO240" s="128"/>
      <c r="AP240" s="148"/>
      <c r="AQ240" s="84">
        <f t="shared" si="46"/>
        <v>2</v>
      </c>
      <c r="AR240" s="182">
        <v>3500</v>
      </c>
      <c r="AS240" s="180">
        <f t="shared" si="63"/>
        <v>7000</v>
      </c>
    </row>
    <row r="241" spans="1:45" ht="28.5" hidden="1">
      <c r="A241" s="71">
        <v>221</v>
      </c>
      <c r="B241" s="205" t="s">
        <v>1541</v>
      </c>
      <c r="C241" s="72" t="s">
        <v>170</v>
      </c>
      <c r="D241" s="54">
        <v>275</v>
      </c>
      <c r="E241" s="57" t="s">
        <v>1581</v>
      </c>
      <c r="F241" s="129" t="s">
        <v>1520</v>
      </c>
      <c r="G241" s="57"/>
      <c r="H241" s="57"/>
      <c r="I241" s="57"/>
      <c r="J241" s="125"/>
      <c r="K241" s="126"/>
      <c r="L241" s="127"/>
      <c r="M241" s="128"/>
      <c r="N241" s="125"/>
      <c r="O241" s="126"/>
      <c r="P241" s="125"/>
      <c r="Q241" s="128"/>
      <c r="R241" s="125"/>
      <c r="S241" s="126"/>
      <c r="T241" s="125"/>
      <c r="U241" s="128"/>
      <c r="V241" s="125"/>
      <c r="W241" s="128"/>
      <c r="X241" s="125"/>
      <c r="Y241" s="128"/>
      <c r="Z241" s="125"/>
      <c r="AA241" s="128"/>
      <c r="AB241" s="125"/>
      <c r="AC241" s="128"/>
      <c r="AD241" s="125"/>
      <c r="AE241" s="128"/>
      <c r="AF241" s="125"/>
      <c r="AG241" s="128"/>
      <c r="AH241" s="125"/>
      <c r="AI241" s="128"/>
      <c r="AJ241" s="125"/>
      <c r="AK241" s="129">
        <v>3</v>
      </c>
      <c r="AL241" s="148">
        <f t="shared" si="62"/>
        <v>3600</v>
      </c>
      <c r="AM241" s="128"/>
      <c r="AN241" s="148"/>
      <c r="AO241" s="128"/>
      <c r="AP241" s="148"/>
      <c r="AQ241" s="84">
        <f t="shared" si="46"/>
        <v>3</v>
      </c>
      <c r="AR241" s="182">
        <v>1200</v>
      </c>
      <c r="AS241" s="180">
        <f t="shared" si="63"/>
        <v>3600</v>
      </c>
    </row>
    <row r="242" spans="1:45" ht="28.5" hidden="1">
      <c r="A242" s="71">
        <v>222</v>
      </c>
      <c r="B242" s="205" t="s">
        <v>1542</v>
      </c>
      <c r="C242" s="72" t="s">
        <v>170</v>
      </c>
      <c r="D242" s="54">
        <v>275</v>
      </c>
      <c r="E242" s="57" t="s">
        <v>1582</v>
      </c>
      <c r="F242" s="129" t="s">
        <v>1520</v>
      </c>
      <c r="G242" s="57"/>
      <c r="H242" s="57"/>
      <c r="I242" s="57"/>
      <c r="J242" s="125"/>
      <c r="K242" s="126"/>
      <c r="L242" s="127"/>
      <c r="M242" s="128"/>
      <c r="N242" s="125"/>
      <c r="O242" s="126"/>
      <c r="P242" s="125"/>
      <c r="Q242" s="128"/>
      <c r="R242" s="125"/>
      <c r="S242" s="126"/>
      <c r="T242" s="125"/>
      <c r="U242" s="128"/>
      <c r="V242" s="125"/>
      <c r="W242" s="128"/>
      <c r="X242" s="125"/>
      <c r="Y242" s="128"/>
      <c r="Z242" s="125"/>
      <c r="AA242" s="128"/>
      <c r="AB242" s="125"/>
      <c r="AC242" s="128"/>
      <c r="AD242" s="125"/>
      <c r="AE242" s="128"/>
      <c r="AF242" s="125"/>
      <c r="AG242" s="128"/>
      <c r="AH242" s="125"/>
      <c r="AI242" s="128"/>
      <c r="AJ242" s="125"/>
      <c r="AK242" s="129">
        <v>3</v>
      </c>
      <c r="AL242" s="148">
        <f t="shared" si="62"/>
        <v>6450</v>
      </c>
      <c r="AM242" s="128"/>
      <c r="AN242" s="148"/>
      <c r="AO242" s="128"/>
      <c r="AP242" s="148"/>
      <c r="AQ242" s="84">
        <f t="shared" si="46"/>
        <v>3</v>
      </c>
      <c r="AR242" s="182">
        <v>2150</v>
      </c>
      <c r="AS242" s="180">
        <f t="shared" si="63"/>
        <v>6450</v>
      </c>
    </row>
    <row r="243" spans="1:45" ht="28.5" hidden="1">
      <c r="A243" s="71">
        <v>223</v>
      </c>
      <c r="B243" s="205" t="s">
        <v>1543</v>
      </c>
      <c r="C243" s="72" t="s">
        <v>170</v>
      </c>
      <c r="D243" s="54">
        <v>275</v>
      </c>
      <c r="E243" s="57" t="s">
        <v>1583</v>
      </c>
      <c r="F243" s="129" t="s">
        <v>1520</v>
      </c>
      <c r="G243" s="57"/>
      <c r="H243" s="57"/>
      <c r="I243" s="57"/>
      <c r="J243" s="125"/>
      <c r="K243" s="126"/>
      <c r="L243" s="127"/>
      <c r="M243" s="128"/>
      <c r="N243" s="125"/>
      <c r="O243" s="126"/>
      <c r="P243" s="125"/>
      <c r="Q243" s="128"/>
      <c r="R243" s="125"/>
      <c r="S243" s="126"/>
      <c r="T243" s="125"/>
      <c r="U243" s="128"/>
      <c r="V243" s="125"/>
      <c r="W243" s="128"/>
      <c r="X243" s="125"/>
      <c r="Y243" s="128"/>
      <c r="Z243" s="125"/>
      <c r="AA243" s="128"/>
      <c r="AB243" s="125"/>
      <c r="AC243" s="128"/>
      <c r="AD243" s="125"/>
      <c r="AE243" s="128"/>
      <c r="AF243" s="125"/>
      <c r="AG243" s="128"/>
      <c r="AH243" s="125"/>
      <c r="AI243" s="128"/>
      <c r="AJ243" s="125"/>
      <c r="AK243" s="129">
        <v>2</v>
      </c>
      <c r="AL243" s="148">
        <f t="shared" si="62"/>
        <v>6600</v>
      </c>
      <c r="AM243" s="128"/>
      <c r="AN243" s="148"/>
      <c r="AO243" s="128"/>
      <c r="AP243" s="148"/>
      <c r="AQ243" s="84">
        <f t="shared" si="46"/>
        <v>2</v>
      </c>
      <c r="AR243" s="182">
        <v>3300</v>
      </c>
      <c r="AS243" s="180">
        <f t="shared" si="63"/>
        <v>6600</v>
      </c>
    </row>
    <row r="244" spans="1:45" ht="14.25" hidden="1">
      <c r="A244" s="71">
        <v>224</v>
      </c>
      <c r="B244" s="205" t="s">
        <v>1544</v>
      </c>
      <c r="C244" s="72" t="s">
        <v>170</v>
      </c>
      <c r="D244" s="54">
        <v>275</v>
      </c>
      <c r="E244" s="57" t="s">
        <v>1584</v>
      </c>
      <c r="F244" s="129" t="s">
        <v>1520</v>
      </c>
      <c r="G244" s="57"/>
      <c r="H244" s="57"/>
      <c r="I244" s="57"/>
      <c r="J244" s="125"/>
      <c r="K244" s="126"/>
      <c r="L244" s="127"/>
      <c r="M244" s="128"/>
      <c r="N244" s="125"/>
      <c r="O244" s="126"/>
      <c r="P244" s="125"/>
      <c r="Q244" s="128"/>
      <c r="R244" s="125"/>
      <c r="S244" s="126"/>
      <c r="T244" s="125"/>
      <c r="U244" s="128"/>
      <c r="V244" s="125"/>
      <c r="W244" s="128"/>
      <c r="X244" s="125"/>
      <c r="Y244" s="128"/>
      <c r="Z244" s="125"/>
      <c r="AA244" s="128"/>
      <c r="AB244" s="125"/>
      <c r="AC244" s="128"/>
      <c r="AD244" s="125"/>
      <c r="AE244" s="128"/>
      <c r="AF244" s="125"/>
      <c r="AG244" s="128"/>
      <c r="AH244" s="125"/>
      <c r="AI244" s="128"/>
      <c r="AJ244" s="125"/>
      <c r="AK244" s="129">
        <v>2</v>
      </c>
      <c r="AL244" s="148">
        <f t="shared" si="62"/>
        <v>7600</v>
      </c>
      <c r="AM244" s="128"/>
      <c r="AN244" s="148"/>
      <c r="AO244" s="128"/>
      <c r="AP244" s="148"/>
      <c r="AQ244" s="84">
        <f t="shared" si="46"/>
        <v>2</v>
      </c>
      <c r="AR244" s="182">
        <v>3800</v>
      </c>
      <c r="AS244" s="180">
        <f t="shared" si="63"/>
        <v>7600</v>
      </c>
    </row>
    <row r="245" spans="1:45" ht="14.25" hidden="1">
      <c r="A245" s="71">
        <v>225</v>
      </c>
      <c r="B245" s="205" t="s">
        <v>1545</v>
      </c>
      <c r="C245" s="72" t="s">
        <v>170</v>
      </c>
      <c r="D245" s="54">
        <v>275</v>
      </c>
      <c r="E245" s="57" t="s">
        <v>1585</v>
      </c>
      <c r="F245" s="129" t="s">
        <v>1520</v>
      </c>
      <c r="G245" s="57"/>
      <c r="H245" s="57"/>
      <c r="I245" s="57"/>
      <c r="J245" s="125"/>
      <c r="K245" s="126"/>
      <c r="L245" s="127"/>
      <c r="M245" s="128"/>
      <c r="N245" s="125"/>
      <c r="O245" s="126"/>
      <c r="P245" s="125"/>
      <c r="Q245" s="128"/>
      <c r="R245" s="125"/>
      <c r="S245" s="126"/>
      <c r="T245" s="125"/>
      <c r="U245" s="128"/>
      <c r="V245" s="125"/>
      <c r="W245" s="128"/>
      <c r="X245" s="125"/>
      <c r="Y245" s="128"/>
      <c r="Z245" s="125"/>
      <c r="AA245" s="128"/>
      <c r="AB245" s="125"/>
      <c r="AC245" s="128"/>
      <c r="AD245" s="125"/>
      <c r="AE245" s="128"/>
      <c r="AF245" s="125"/>
      <c r="AG245" s="128"/>
      <c r="AH245" s="125"/>
      <c r="AI245" s="128"/>
      <c r="AJ245" s="125"/>
      <c r="AK245" s="129">
        <v>10</v>
      </c>
      <c r="AL245" s="148">
        <f t="shared" si="62"/>
        <v>1100</v>
      </c>
      <c r="AM245" s="128"/>
      <c r="AN245" s="148"/>
      <c r="AO245" s="128"/>
      <c r="AP245" s="148"/>
      <c r="AQ245" s="84">
        <f t="shared" si="46"/>
        <v>10</v>
      </c>
      <c r="AR245" s="182">
        <v>110</v>
      </c>
      <c r="AS245" s="180">
        <f t="shared" si="63"/>
        <v>1100</v>
      </c>
    </row>
    <row r="246" spans="1:45" ht="28.5" hidden="1">
      <c r="A246" s="71">
        <v>226</v>
      </c>
      <c r="B246" s="205" t="s">
        <v>1546</v>
      </c>
      <c r="C246" s="72" t="s">
        <v>170</v>
      </c>
      <c r="D246" s="54">
        <v>275</v>
      </c>
      <c r="E246" s="57" t="s">
        <v>1586</v>
      </c>
      <c r="F246" s="129" t="s">
        <v>1520</v>
      </c>
      <c r="G246" s="57"/>
      <c r="H246" s="57"/>
      <c r="I246" s="57"/>
      <c r="J246" s="125"/>
      <c r="K246" s="126"/>
      <c r="L246" s="127"/>
      <c r="M246" s="128"/>
      <c r="N246" s="125"/>
      <c r="O246" s="126"/>
      <c r="P246" s="125"/>
      <c r="Q246" s="128"/>
      <c r="R246" s="125"/>
      <c r="S246" s="126"/>
      <c r="T246" s="125"/>
      <c r="U246" s="128"/>
      <c r="V246" s="125"/>
      <c r="W246" s="128"/>
      <c r="X246" s="125"/>
      <c r="Y246" s="128"/>
      <c r="Z246" s="125"/>
      <c r="AA246" s="128"/>
      <c r="AB246" s="125"/>
      <c r="AC246" s="128"/>
      <c r="AD246" s="125"/>
      <c r="AE246" s="128"/>
      <c r="AF246" s="125"/>
      <c r="AG246" s="128"/>
      <c r="AH246" s="125"/>
      <c r="AI246" s="128"/>
      <c r="AJ246" s="125"/>
      <c r="AK246" s="129">
        <v>3</v>
      </c>
      <c r="AL246" s="148">
        <f t="shared" si="62"/>
        <v>1350</v>
      </c>
      <c r="AM246" s="128"/>
      <c r="AN246" s="148"/>
      <c r="AO246" s="128"/>
      <c r="AP246" s="148"/>
      <c r="AQ246" s="84">
        <f t="shared" si="46"/>
        <v>3</v>
      </c>
      <c r="AR246" s="182">
        <v>450</v>
      </c>
      <c r="AS246" s="180">
        <f t="shared" si="63"/>
        <v>1350</v>
      </c>
    </row>
    <row r="247" spans="1:45" ht="28.5" hidden="1">
      <c r="A247" s="71">
        <v>227</v>
      </c>
      <c r="B247" s="205" t="s">
        <v>1547</v>
      </c>
      <c r="C247" s="72" t="s">
        <v>170</v>
      </c>
      <c r="D247" s="54">
        <v>275</v>
      </c>
      <c r="E247" s="57" t="s">
        <v>1587</v>
      </c>
      <c r="F247" s="129" t="s">
        <v>1520</v>
      </c>
      <c r="G247" s="57"/>
      <c r="H247" s="57"/>
      <c r="I247" s="57"/>
      <c r="J247" s="125"/>
      <c r="K247" s="126"/>
      <c r="L247" s="127"/>
      <c r="M247" s="128"/>
      <c r="N247" s="125"/>
      <c r="O247" s="126"/>
      <c r="P247" s="125"/>
      <c r="Q247" s="128"/>
      <c r="R247" s="125"/>
      <c r="S247" s="126"/>
      <c r="T247" s="125"/>
      <c r="U247" s="128"/>
      <c r="V247" s="125"/>
      <c r="W247" s="128"/>
      <c r="X247" s="125"/>
      <c r="Y247" s="128"/>
      <c r="Z247" s="125"/>
      <c r="AA247" s="128"/>
      <c r="AB247" s="125"/>
      <c r="AC247" s="128"/>
      <c r="AD247" s="125"/>
      <c r="AE247" s="128"/>
      <c r="AF247" s="125"/>
      <c r="AG247" s="128"/>
      <c r="AH247" s="125"/>
      <c r="AI247" s="128"/>
      <c r="AJ247" s="125"/>
      <c r="AK247" s="129">
        <v>3</v>
      </c>
      <c r="AL247" s="148">
        <f t="shared" si="62"/>
        <v>1500</v>
      </c>
      <c r="AM247" s="128"/>
      <c r="AN247" s="148"/>
      <c r="AO247" s="128"/>
      <c r="AP247" s="148"/>
      <c r="AQ247" s="84">
        <f t="shared" si="46"/>
        <v>3</v>
      </c>
      <c r="AR247" s="182">
        <v>500</v>
      </c>
      <c r="AS247" s="180">
        <f t="shared" si="63"/>
        <v>1500</v>
      </c>
    </row>
    <row r="248" spans="1:45" ht="28.5" hidden="1">
      <c r="A248" s="71">
        <v>228</v>
      </c>
      <c r="B248" s="205" t="s">
        <v>1548</v>
      </c>
      <c r="C248" s="72" t="s">
        <v>170</v>
      </c>
      <c r="D248" s="54">
        <v>275</v>
      </c>
      <c r="E248" s="57" t="s">
        <v>1588</v>
      </c>
      <c r="F248" s="129" t="s">
        <v>1520</v>
      </c>
      <c r="G248" s="57"/>
      <c r="H248" s="57"/>
      <c r="I248" s="57"/>
      <c r="J248" s="125"/>
      <c r="K248" s="126"/>
      <c r="L248" s="127"/>
      <c r="M248" s="128"/>
      <c r="N248" s="125"/>
      <c r="O248" s="126"/>
      <c r="P248" s="125"/>
      <c r="Q248" s="128"/>
      <c r="R248" s="125"/>
      <c r="S248" s="126"/>
      <c r="T248" s="125"/>
      <c r="U248" s="128"/>
      <c r="V248" s="125"/>
      <c r="W248" s="128"/>
      <c r="X248" s="125"/>
      <c r="Y248" s="128"/>
      <c r="Z248" s="125"/>
      <c r="AA248" s="128"/>
      <c r="AB248" s="125"/>
      <c r="AC248" s="128"/>
      <c r="AD248" s="125"/>
      <c r="AE248" s="128"/>
      <c r="AF248" s="125"/>
      <c r="AG248" s="128"/>
      <c r="AH248" s="125"/>
      <c r="AI248" s="128"/>
      <c r="AJ248" s="125"/>
      <c r="AK248" s="129">
        <v>3</v>
      </c>
      <c r="AL248" s="148">
        <f t="shared" si="62"/>
        <v>3600</v>
      </c>
      <c r="AM248" s="128"/>
      <c r="AN248" s="148"/>
      <c r="AO248" s="128"/>
      <c r="AP248" s="148"/>
      <c r="AQ248" s="84">
        <f t="shared" si="46"/>
        <v>3</v>
      </c>
      <c r="AR248" s="182">
        <v>1200</v>
      </c>
      <c r="AS248" s="180">
        <f t="shared" si="63"/>
        <v>3600</v>
      </c>
    </row>
    <row r="249" spans="1:45" ht="28.5" hidden="1">
      <c r="A249" s="71">
        <v>229</v>
      </c>
      <c r="B249" s="205" t="s">
        <v>1549</v>
      </c>
      <c r="C249" s="72" t="s">
        <v>170</v>
      </c>
      <c r="D249" s="54">
        <v>275</v>
      </c>
      <c r="E249" s="57" t="s">
        <v>1589</v>
      </c>
      <c r="F249" s="129" t="s">
        <v>1520</v>
      </c>
      <c r="G249" s="57"/>
      <c r="H249" s="57"/>
      <c r="I249" s="57"/>
      <c r="J249" s="125"/>
      <c r="K249" s="126"/>
      <c r="L249" s="127"/>
      <c r="M249" s="128"/>
      <c r="N249" s="125"/>
      <c r="O249" s="126"/>
      <c r="P249" s="125"/>
      <c r="Q249" s="128"/>
      <c r="R249" s="125"/>
      <c r="S249" s="126"/>
      <c r="T249" s="125"/>
      <c r="U249" s="128"/>
      <c r="V249" s="125"/>
      <c r="W249" s="128"/>
      <c r="X249" s="125"/>
      <c r="Y249" s="128"/>
      <c r="Z249" s="125"/>
      <c r="AA249" s="128"/>
      <c r="AB249" s="125"/>
      <c r="AC249" s="128"/>
      <c r="AD249" s="125"/>
      <c r="AE249" s="128"/>
      <c r="AF249" s="125"/>
      <c r="AG249" s="128"/>
      <c r="AH249" s="125"/>
      <c r="AI249" s="128"/>
      <c r="AJ249" s="125"/>
      <c r="AK249" s="129">
        <v>3</v>
      </c>
      <c r="AL249" s="148">
        <f t="shared" si="62"/>
        <v>10500</v>
      </c>
      <c r="AM249" s="128"/>
      <c r="AN249" s="148"/>
      <c r="AO249" s="128"/>
      <c r="AP249" s="148"/>
      <c r="AQ249" s="84">
        <f t="shared" si="46"/>
        <v>3</v>
      </c>
      <c r="AR249" s="182">
        <v>3500</v>
      </c>
      <c r="AS249" s="180">
        <f t="shared" si="63"/>
        <v>10500</v>
      </c>
    </row>
    <row r="250" spans="1:45" ht="28.5" hidden="1">
      <c r="A250" s="71">
        <v>230</v>
      </c>
      <c r="B250" s="205" t="s">
        <v>1550</v>
      </c>
      <c r="C250" s="72" t="s">
        <v>170</v>
      </c>
      <c r="D250" s="54">
        <v>275</v>
      </c>
      <c r="E250" s="57" t="s">
        <v>1590</v>
      </c>
      <c r="F250" s="129" t="s">
        <v>1520</v>
      </c>
      <c r="G250" s="57"/>
      <c r="H250" s="57"/>
      <c r="I250" s="57"/>
      <c r="J250" s="125"/>
      <c r="K250" s="126"/>
      <c r="L250" s="127"/>
      <c r="M250" s="128"/>
      <c r="N250" s="125"/>
      <c r="O250" s="126"/>
      <c r="P250" s="125"/>
      <c r="Q250" s="128"/>
      <c r="R250" s="125"/>
      <c r="S250" s="126"/>
      <c r="T250" s="125"/>
      <c r="U250" s="128"/>
      <c r="V250" s="125"/>
      <c r="W250" s="128"/>
      <c r="X250" s="125"/>
      <c r="Y250" s="128"/>
      <c r="Z250" s="125"/>
      <c r="AA250" s="128"/>
      <c r="AB250" s="125"/>
      <c r="AC250" s="128"/>
      <c r="AD250" s="125"/>
      <c r="AE250" s="128"/>
      <c r="AF250" s="125"/>
      <c r="AG250" s="128"/>
      <c r="AH250" s="125"/>
      <c r="AI250" s="128"/>
      <c r="AJ250" s="125"/>
      <c r="AK250" s="129">
        <v>2</v>
      </c>
      <c r="AL250" s="148">
        <f t="shared" si="62"/>
        <v>3600</v>
      </c>
      <c r="AM250" s="128"/>
      <c r="AN250" s="148"/>
      <c r="AO250" s="128"/>
      <c r="AP250" s="148"/>
      <c r="AQ250" s="84">
        <f t="shared" si="46"/>
        <v>2</v>
      </c>
      <c r="AR250" s="182">
        <v>1800</v>
      </c>
      <c r="AS250" s="180">
        <f t="shared" si="63"/>
        <v>3600</v>
      </c>
    </row>
    <row r="251" spans="1:45" ht="28.5" hidden="1">
      <c r="A251" s="71">
        <v>231</v>
      </c>
      <c r="B251" s="205" t="s">
        <v>1551</v>
      </c>
      <c r="C251" s="72" t="s">
        <v>170</v>
      </c>
      <c r="D251" s="54">
        <v>275</v>
      </c>
      <c r="E251" s="57" t="s">
        <v>1591</v>
      </c>
      <c r="F251" s="129" t="s">
        <v>1520</v>
      </c>
      <c r="G251" s="57"/>
      <c r="H251" s="57"/>
      <c r="I251" s="57"/>
      <c r="J251" s="125"/>
      <c r="K251" s="126"/>
      <c r="L251" s="127"/>
      <c r="M251" s="128"/>
      <c r="N251" s="125"/>
      <c r="O251" s="126"/>
      <c r="P251" s="125"/>
      <c r="Q251" s="128"/>
      <c r="R251" s="125"/>
      <c r="S251" s="126"/>
      <c r="T251" s="125"/>
      <c r="U251" s="128"/>
      <c r="V251" s="125"/>
      <c r="W251" s="128"/>
      <c r="X251" s="125"/>
      <c r="Y251" s="128"/>
      <c r="Z251" s="125"/>
      <c r="AA251" s="128"/>
      <c r="AB251" s="125"/>
      <c r="AC251" s="128"/>
      <c r="AD251" s="125"/>
      <c r="AE251" s="128"/>
      <c r="AF251" s="125"/>
      <c r="AG251" s="128"/>
      <c r="AH251" s="125"/>
      <c r="AI251" s="128"/>
      <c r="AJ251" s="125"/>
      <c r="AK251" s="129">
        <v>2</v>
      </c>
      <c r="AL251" s="148">
        <f t="shared" si="62"/>
        <v>4200</v>
      </c>
      <c r="AM251" s="128"/>
      <c r="AN251" s="148"/>
      <c r="AO251" s="128"/>
      <c r="AP251" s="148"/>
      <c r="AQ251" s="84">
        <f t="shared" si="46"/>
        <v>2</v>
      </c>
      <c r="AR251" s="182">
        <v>2100</v>
      </c>
      <c r="AS251" s="180">
        <f t="shared" si="63"/>
        <v>4200</v>
      </c>
    </row>
    <row r="252" spans="1:45" ht="14.25" hidden="1">
      <c r="A252" s="71">
        <v>232</v>
      </c>
      <c r="B252" s="205" t="s">
        <v>1552</v>
      </c>
      <c r="C252" s="72" t="s">
        <v>170</v>
      </c>
      <c r="D252" s="54">
        <v>275</v>
      </c>
      <c r="E252" s="57" t="s">
        <v>1592</v>
      </c>
      <c r="F252" s="129" t="s">
        <v>1520</v>
      </c>
      <c r="G252" s="57"/>
      <c r="H252" s="57"/>
      <c r="I252" s="57"/>
      <c r="J252" s="125"/>
      <c r="K252" s="126"/>
      <c r="L252" s="127"/>
      <c r="M252" s="128"/>
      <c r="N252" s="125"/>
      <c r="O252" s="126"/>
      <c r="P252" s="125"/>
      <c r="Q252" s="128"/>
      <c r="R252" s="125"/>
      <c r="S252" s="126"/>
      <c r="T252" s="125"/>
      <c r="U252" s="128"/>
      <c r="V252" s="125"/>
      <c r="W252" s="128"/>
      <c r="X252" s="125"/>
      <c r="Y252" s="128"/>
      <c r="Z252" s="125"/>
      <c r="AA252" s="128"/>
      <c r="AB252" s="125"/>
      <c r="AC252" s="128"/>
      <c r="AD252" s="125"/>
      <c r="AE252" s="128"/>
      <c r="AF252" s="125"/>
      <c r="AG252" s="128"/>
      <c r="AH252" s="125"/>
      <c r="AI252" s="128"/>
      <c r="AJ252" s="125"/>
      <c r="AK252" s="129">
        <v>2</v>
      </c>
      <c r="AL252" s="148">
        <f t="shared" si="62"/>
        <v>9000</v>
      </c>
      <c r="AM252" s="128"/>
      <c r="AN252" s="148"/>
      <c r="AO252" s="128"/>
      <c r="AP252" s="148"/>
      <c r="AQ252" s="84">
        <f t="shared" si="46"/>
        <v>2</v>
      </c>
      <c r="AR252" s="182">
        <v>4500</v>
      </c>
      <c r="AS252" s="180">
        <f t="shared" si="63"/>
        <v>9000</v>
      </c>
    </row>
    <row r="253" spans="1:45" ht="14.25" hidden="1">
      <c r="A253" s="71">
        <v>233</v>
      </c>
      <c r="B253" s="205" t="s">
        <v>1553</v>
      </c>
      <c r="C253" s="72" t="s">
        <v>170</v>
      </c>
      <c r="D253" s="54">
        <v>275</v>
      </c>
      <c r="E253" s="57" t="s">
        <v>1593</v>
      </c>
      <c r="F253" s="129" t="s">
        <v>1520</v>
      </c>
      <c r="G253" s="57"/>
      <c r="H253" s="57"/>
      <c r="I253" s="57"/>
      <c r="J253" s="125"/>
      <c r="K253" s="126"/>
      <c r="L253" s="127"/>
      <c r="M253" s="128"/>
      <c r="N253" s="125"/>
      <c r="O253" s="126"/>
      <c r="P253" s="125"/>
      <c r="Q253" s="128"/>
      <c r="R253" s="125"/>
      <c r="S253" s="126"/>
      <c r="T253" s="125"/>
      <c r="U253" s="128"/>
      <c r="V253" s="125"/>
      <c r="W253" s="128"/>
      <c r="X253" s="125"/>
      <c r="Y253" s="128"/>
      <c r="Z253" s="125"/>
      <c r="AA253" s="128"/>
      <c r="AB253" s="125"/>
      <c r="AC253" s="128"/>
      <c r="AD253" s="125"/>
      <c r="AE253" s="128"/>
      <c r="AF253" s="125"/>
      <c r="AG253" s="128"/>
      <c r="AH253" s="125"/>
      <c r="AI253" s="128"/>
      <c r="AJ253" s="125"/>
      <c r="AK253" s="129">
        <v>2</v>
      </c>
      <c r="AL253" s="148">
        <f t="shared" si="62"/>
        <v>6400</v>
      </c>
      <c r="AM253" s="128"/>
      <c r="AN253" s="148"/>
      <c r="AO253" s="128"/>
      <c r="AP253" s="148"/>
      <c r="AQ253" s="84">
        <f t="shared" si="46"/>
        <v>2</v>
      </c>
      <c r="AR253" s="182">
        <v>3200</v>
      </c>
      <c r="AS253" s="180">
        <f t="shared" si="63"/>
        <v>6400</v>
      </c>
    </row>
    <row r="254" spans="1:45" ht="14.25" hidden="1">
      <c r="A254" s="71">
        <v>234</v>
      </c>
      <c r="B254" s="205" t="s">
        <v>1554</v>
      </c>
      <c r="C254" s="72" t="s">
        <v>170</v>
      </c>
      <c r="D254" s="54">
        <v>275</v>
      </c>
      <c r="E254" s="57" t="s">
        <v>1594</v>
      </c>
      <c r="F254" s="129" t="s">
        <v>1520</v>
      </c>
      <c r="G254" s="57"/>
      <c r="H254" s="57"/>
      <c r="I254" s="57"/>
      <c r="J254" s="125"/>
      <c r="K254" s="126"/>
      <c r="L254" s="127"/>
      <c r="M254" s="128"/>
      <c r="N254" s="125"/>
      <c r="O254" s="126"/>
      <c r="P254" s="125"/>
      <c r="Q254" s="128"/>
      <c r="R254" s="125"/>
      <c r="S254" s="126"/>
      <c r="T254" s="125"/>
      <c r="U254" s="128"/>
      <c r="V254" s="125"/>
      <c r="W254" s="128"/>
      <c r="X254" s="125"/>
      <c r="Y254" s="128"/>
      <c r="Z254" s="125"/>
      <c r="AA254" s="128"/>
      <c r="AB254" s="125"/>
      <c r="AC254" s="128"/>
      <c r="AD254" s="125"/>
      <c r="AE254" s="128"/>
      <c r="AF254" s="125"/>
      <c r="AG254" s="128"/>
      <c r="AH254" s="125"/>
      <c r="AI254" s="128"/>
      <c r="AJ254" s="125"/>
      <c r="AK254" s="129">
        <v>2</v>
      </c>
      <c r="AL254" s="148">
        <f t="shared" si="62"/>
        <v>8000</v>
      </c>
      <c r="AM254" s="128"/>
      <c r="AN254" s="148"/>
      <c r="AO254" s="128"/>
      <c r="AP254" s="148"/>
      <c r="AQ254" s="84">
        <f t="shared" si="46"/>
        <v>2</v>
      </c>
      <c r="AR254" s="182">
        <v>4000</v>
      </c>
      <c r="AS254" s="180">
        <f t="shared" si="63"/>
        <v>8000</v>
      </c>
    </row>
    <row r="255" spans="1:45" ht="28.5" hidden="1">
      <c r="A255" s="71">
        <v>235</v>
      </c>
      <c r="B255" s="205" t="s">
        <v>1555</v>
      </c>
      <c r="C255" s="72" t="s">
        <v>170</v>
      </c>
      <c r="D255" s="54">
        <v>275</v>
      </c>
      <c r="E255" s="57" t="s">
        <v>1595</v>
      </c>
      <c r="F255" s="129" t="s">
        <v>1520</v>
      </c>
      <c r="G255" s="57"/>
      <c r="H255" s="57"/>
      <c r="I255" s="57"/>
      <c r="J255" s="125"/>
      <c r="K255" s="126"/>
      <c r="L255" s="127"/>
      <c r="M255" s="128"/>
      <c r="N255" s="125"/>
      <c r="O255" s="126"/>
      <c r="P255" s="125"/>
      <c r="Q255" s="128"/>
      <c r="R255" s="125"/>
      <c r="S255" s="126"/>
      <c r="T255" s="125"/>
      <c r="U255" s="128"/>
      <c r="V255" s="125"/>
      <c r="W255" s="128"/>
      <c r="X255" s="125"/>
      <c r="Y255" s="128"/>
      <c r="Z255" s="125"/>
      <c r="AA255" s="128"/>
      <c r="AB255" s="125"/>
      <c r="AC255" s="128"/>
      <c r="AD255" s="125"/>
      <c r="AE255" s="128"/>
      <c r="AF255" s="125"/>
      <c r="AG255" s="128"/>
      <c r="AH255" s="125"/>
      <c r="AI255" s="128"/>
      <c r="AJ255" s="125"/>
      <c r="AK255" s="129">
        <v>2</v>
      </c>
      <c r="AL255" s="148">
        <f t="shared" si="62"/>
        <v>1300</v>
      </c>
      <c r="AM255" s="128"/>
      <c r="AN255" s="148"/>
      <c r="AO255" s="128"/>
      <c r="AP255" s="148"/>
      <c r="AQ255" s="84">
        <f t="shared" si="46"/>
        <v>2</v>
      </c>
      <c r="AR255" s="182">
        <v>650</v>
      </c>
      <c r="AS255" s="180">
        <f t="shared" si="63"/>
        <v>1300</v>
      </c>
    </row>
    <row r="256" spans="1:45" ht="28.5" hidden="1">
      <c r="A256" s="71">
        <v>236</v>
      </c>
      <c r="B256" s="205" t="s">
        <v>1556</v>
      </c>
      <c r="C256" s="72" t="s">
        <v>170</v>
      </c>
      <c r="D256" s="54">
        <v>275</v>
      </c>
      <c r="E256" s="57" t="s">
        <v>1596</v>
      </c>
      <c r="F256" s="129" t="s">
        <v>1520</v>
      </c>
      <c r="G256" s="57"/>
      <c r="H256" s="57"/>
      <c r="I256" s="57"/>
      <c r="J256" s="125"/>
      <c r="K256" s="126"/>
      <c r="L256" s="127"/>
      <c r="M256" s="128"/>
      <c r="N256" s="125"/>
      <c r="O256" s="126"/>
      <c r="P256" s="125"/>
      <c r="Q256" s="128"/>
      <c r="R256" s="125"/>
      <c r="S256" s="126"/>
      <c r="T256" s="125"/>
      <c r="U256" s="128"/>
      <c r="V256" s="125"/>
      <c r="W256" s="128"/>
      <c r="X256" s="125"/>
      <c r="Y256" s="128"/>
      <c r="Z256" s="125"/>
      <c r="AA256" s="128"/>
      <c r="AB256" s="125"/>
      <c r="AC256" s="128"/>
      <c r="AD256" s="125"/>
      <c r="AE256" s="128"/>
      <c r="AF256" s="125"/>
      <c r="AG256" s="128"/>
      <c r="AH256" s="125"/>
      <c r="AI256" s="128"/>
      <c r="AJ256" s="125"/>
      <c r="AK256" s="129">
        <v>2</v>
      </c>
      <c r="AL256" s="148">
        <f t="shared" si="62"/>
        <v>1600</v>
      </c>
      <c r="AM256" s="128"/>
      <c r="AN256" s="148"/>
      <c r="AO256" s="128"/>
      <c r="AP256" s="148"/>
      <c r="AQ256" s="84">
        <f t="shared" si="46"/>
        <v>2</v>
      </c>
      <c r="AR256" s="182">
        <v>800</v>
      </c>
      <c r="AS256" s="180">
        <f t="shared" si="63"/>
        <v>1600</v>
      </c>
    </row>
    <row r="257" spans="1:45" ht="28.5" hidden="1">
      <c r="A257" s="71">
        <v>237</v>
      </c>
      <c r="B257" s="205" t="s">
        <v>1557</v>
      </c>
      <c r="C257" s="72" t="s">
        <v>170</v>
      </c>
      <c r="D257" s="54">
        <v>275</v>
      </c>
      <c r="E257" s="57" t="s">
        <v>1597</v>
      </c>
      <c r="F257" s="129" t="s">
        <v>1520</v>
      </c>
      <c r="G257" s="57"/>
      <c r="H257" s="57"/>
      <c r="I257" s="57"/>
      <c r="J257" s="125"/>
      <c r="K257" s="126"/>
      <c r="L257" s="127"/>
      <c r="M257" s="128"/>
      <c r="N257" s="125"/>
      <c r="O257" s="126"/>
      <c r="P257" s="125"/>
      <c r="Q257" s="128"/>
      <c r="R257" s="125"/>
      <c r="S257" s="126"/>
      <c r="T257" s="125"/>
      <c r="U257" s="128"/>
      <c r="V257" s="125"/>
      <c r="W257" s="128"/>
      <c r="X257" s="125"/>
      <c r="Y257" s="128"/>
      <c r="Z257" s="125"/>
      <c r="AA257" s="128"/>
      <c r="AB257" s="125"/>
      <c r="AC257" s="128"/>
      <c r="AD257" s="125"/>
      <c r="AE257" s="128"/>
      <c r="AF257" s="125"/>
      <c r="AG257" s="128"/>
      <c r="AH257" s="125"/>
      <c r="AI257" s="128"/>
      <c r="AJ257" s="125"/>
      <c r="AK257" s="129">
        <v>2</v>
      </c>
      <c r="AL257" s="148">
        <f t="shared" si="62"/>
        <v>3000</v>
      </c>
      <c r="AM257" s="128"/>
      <c r="AN257" s="148"/>
      <c r="AO257" s="128"/>
      <c r="AP257" s="148"/>
      <c r="AQ257" s="84">
        <f t="shared" si="46"/>
        <v>2</v>
      </c>
      <c r="AR257" s="182">
        <v>1500</v>
      </c>
      <c r="AS257" s="180">
        <f t="shared" si="63"/>
        <v>3000</v>
      </c>
    </row>
    <row r="258" spans="1:45" ht="14.25" hidden="1">
      <c r="A258" s="71">
        <v>238</v>
      </c>
      <c r="B258" s="205" t="s">
        <v>1558</v>
      </c>
      <c r="C258" s="72" t="s">
        <v>170</v>
      </c>
      <c r="D258" s="54">
        <v>275</v>
      </c>
      <c r="E258" s="57" t="s">
        <v>1598</v>
      </c>
      <c r="F258" s="129" t="s">
        <v>1520</v>
      </c>
      <c r="G258" s="57"/>
      <c r="H258" s="57"/>
      <c r="I258" s="57"/>
      <c r="J258" s="125"/>
      <c r="K258" s="126"/>
      <c r="L258" s="127"/>
      <c r="M258" s="128"/>
      <c r="N258" s="125"/>
      <c r="O258" s="126"/>
      <c r="P258" s="125"/>
      <c r="Q258" s="128"/>
      <c r="R258" s="125"/>
      <c r="S258" s="126"/>
      <c r="T258" s="125"/>
      <c r="U258" s="128"/>
      <c r="V258" s="125"/>
      <c r="W258" s="128"/>
      <c r="X258" s="125"/>
      <c r="Y258" s="128"/>
      <c r="Z258" s="125"/>
      <c r="AA258" s="128"/>
      <c r="AB258" s="125"/>
      <c r="AC258" s="128"/>
      <c r="AD258" s="125"/>
      <c r="AE258" s="128"/>
      <c r="AF258" s="125"/>
      <c r="AG258" s="128"/>
      <c r="AH258" s="125"/>
      <c r="AI258" s="128"/>
      <c r="AJ258" s="125"/>
      <c r="AK258" s="129">
        <v>2</v>
      </c>
      <c r="AL258" s="148">
        <f t="shared" si="62"/>
        <v>6400</v>
      </c>
      <c r="AM258" s="128"/>
      <c r="AN258" s="148"/>
      <c r="AO258" s="128"/>
      <c r="AP258" s="148"/>
      <c r="AQ258" s="84">
        <f t="shared" si="46"/>
        <v>2</v>
      </c>
      <c r="AR258" s="182">
        <v>3200</v>
      </c>
      <c r="AS258" s="180">
        <f t="shared" si="63"/>
        <v>6400</v>
      </c>
    </row>
    <row r="259" spans="1:45" ht="14.25" hidden="1">
      <c r="A259" s="71">
        <v>239</v>
      </c>
      <c r="B259" s="205" t="s">
        <v>1559</v>
      </c>
      <c r="C259" s="72" t="s">
        <v>170</v>
      </c>
      <c r="D259" s="54">
        <v>275</v>
      </c>
      <c r="E259" s="57" t="s">
        <v>1599</v>
      </c>
      <c r="F259" s="129" t="s">
        <v>1520</v>
      </c>
      <c r="G259" s="57"/>
      <c r="H259" s="57"/>
      <c r="I259" s="57"/>
      <c r="J259" s="125"/>
      <c r="K259" s="126"/>
      <c r="L259" s="127"/>
      <c r="M259" s="128"/>
      <c r="N259" s="125"/>
      <c r="O259" s="126"/>
      <c r="P259" s="125"/>
      <c r="Q259" s="128"/>
      <c r="R259" s="125"/>
      <c r="S259" s="126"/>
      <c r="T259" s="125"/>
      <c r="U259" s="128"/>
      <c r="V259" s="125"/>
      <c r="W259" s="128"/>
      <c r="X259" s="125"/>
      <c r="Y259" s="128"/>
      <c r="Z259" s="125"/>
      <c r="AA259" s="128"/>
      <c r="AB259" s="125"/>
      <c r="AC259" s="128"/>
      <c r="AD259" s="125"/>
      <c r="AE259" s="128"/>
      <c r="AF259" s="125"/>
      <c r="AG259" s="128"/>
      <c r="AH259" s="125"/>
      <c r="AI259" s="128"/>
      <c r="AJ259" s="125"/>
      <c r="AK259" s="129">
        <v>2</v>
      </c>
      <c r="AL259" s="148">
        <f t="shared" si="62"/>
        <v>3000</v>
      </c>
      <c r="AM259" s="128"/>
      <c r="AN259" s="148"/>
      <c r="AO259" s="128"/>
      <c r="AP259" s="148"/>
      <c r="AQ259" s="84">
        <f t="shared" si="46"/>
        <v>2</v>
      </c>
      <c r="AR259" s="182">
        <v>1500</v>
      </c>
      <c r="AS259" s="180">
        <f t="shared" si="63"/>
        <v>3000</v>
      </c>
    </row>
    <row r="260" spans="1:45" ht="28.5" hidden="1">
      <c r="A260" s="71">
        <v>240</v>
      </c>
      <c r="B260" s="205" t="s">
        <v>1560</v>
      </c>
      <c r="C260" s="72" t="s">
        <v>170</v>
      </c>
      <c r="D260" s="54">
        <v>275</v>
      </c>
      <c r="E260" s="57" t="s">
        <v>1600</v>
      </c>
      <c r="F260" s="129" t="s">
        <v>1520</v>
      </c>
      <c r="G260" s="57"/>
      <c r="H260" s="57"/>
      <c r="I260" s="57"/>
      <c r="J260" s="125"/>
      <c r="K260" s="126"/>
      <c r="L260" s="127"/>
      <c r="M260" s="128"/>
      <c r="N260" s="125"/>
      <c r="O260" s="126"/>
      <c r="P260" s="125"/>
      <c r="Q260" s="128"/>
      <c r="R260" s="125"/>
      <c r="S260" s="126"/>
      <c r="T260" s="125"/>
      <c r="U260" s="128"/>
      <c r="V260" s="125"/>
      <c r="W260" s="128"/>
      <c r="X260" s="125"/>
      <c r="Y260" s="128"/>
      <c r="Z260" s="125"/>
      <c r="AA260" s="128"/>
      <c r="AB260" s="125"/>
      <c r="AC260" s="128"/>
      <c r="AD260" s="125"/>
      <c r="AE260" s="128"/>
      <c r="AF260" s="125"/>
      <c r="AG260" s="128"/>
      <c r="AH260" s="125"/>
      <c r="AI260" s="128"/>
      <c r="AJ260" s="125"/>
      <c r="AK260" s="129">
        <v>2</v>
      </c>
      <c r="AL260" s="148">
        <f t="shared" si="62"/>
        <v>2400</v>
      </c>
      <c r="AM260" s="128"/>
      <c r="AN260" s="148"/>
      <c r="AO260" s="128"/>
      <c r="AP260" s="148"/>
      <c r="AQ260" s="84">
        <f t="shared" si="46"/>
        <v>2</v>
      </c>
      <c r="AR260" s="182">
        <v>1200</v>
      </c>
      <c r="AS260" s="180">
        <f t="shared" si="63"/>
        <v>2400</v>
      </c>
    </row>
    <row r="261" spans="1:45" ht="28.5" hidden="1">
      <c r="A261" s="71">
        <v>241</v>
      </c>
      <c r="B261" s="205" t="s">
        <v>1561</v>
      </c>
      <c r="C261" s="72" t="s">
        <v>170</v>
      </c>
      <c r="D261" s="54">
        <v>275</v>
      </c>
      <c r="E261" s="57" t="s">
        <v>1601</v>
      </c>
      <c r="F261" s="129" t="s">
        <v>1520</v>
      </c>
      <c r="G261" s="57"/>
      <c r="H261" s="57"/>
      <c r="I261" s="57"/>
      <c r="J261" s="125"/>
      <c r="K261" s="126"/>
      <c r="L261" s="127"/>
      <c r="M261" s="128"/>
      <c r="N261" s="125"/>
      <c r="O261" s="126"/>
      <c r="P261" s="125"/>
      <c r="Q261" s="128"/>
      <c r="R261" s="125"/>
      <c r="S261" s="126"/>
      <c r="T261" s="125"/>
      <c r="U261" s="128"/>
      <c r="V261" s="125"/>
      <c r="W261" s="128"/>
      <c r="X261" s="125"/>
      <c r="Y261" s="128"/>
      <c r="Z261" s="125"/>
      <c r="AA261" s="128"/>
      <c r="AB261" s="125"/>
      <c r="AC261" s="128"/>
      <c r="AD261" s="125"/>
      <c r="AE261" s="128"/>
      <c r="AF261" s="125"/>
      <c r="AG261" s="128"/>
      <c r="AH261" s="125"/>
      <c r="AI261" s="128"/>
      <c r="AJ261" s="125"/>
      <c r="AK261" s="129">
        <v>50</v>
      </c>
      <c r="AL261" s="148">
        <f t="shared" si="62"/>
        <v>4250</v>
      </c>
      <c r="AM261" s="128"/>
      <c r="AN261" s="148"/>
      <c r="AO261" s="128"/>
      <c r="AP261" s="148"/>
      <c r="AQ261" s="84">
        <f t="shared" si="46"/>
        <v>50</v>
      </c>
      <c r="AR261" s="182">
        <v>85</v>
      </c>
      <c r="AS261" s="180">
        <f t="shared" si="63"/>
        <v>4250</v>
      </c>
    </row>
    <row r="262" spans="1:45" ht="15.75" hidden="1">
      <c r="A262" s="71"/>
      <c r="B262" s="125"/>
      <c r="C262" s="203"/>
      <c r="D262" s="46"/>
      <c r="E262" s="254" t="s">
        <v>1609</v>
      </c>
      <c r="F262" s="53"/>
      <c r="G262" s="125"/>
      <c r="H262" s="125"/>
      <c r="I262" s="125"/>
      <c r="J262" s="125"/>
      <c r="K262" s="126"/>
      <c r="L262" s="127"/>
      <c r="M262" s="128"/>
      <c r="N262" s="125"/>
      <c r="O262" s="126"/>
      <c r="P262" s="125"/>
      <c r="Q262" s="128"/>
      <c r="R262" s="125"/>
      <c r="S262" s="126"/>
      <c r="T262" s="125"/>
      <c r="U262" s="128"/>
      <c r="V262" s="125"/>
      <c r="W262" s="128"/>
      <c r="X262" s="125"/>
      <c r="Y262" s="128"/>
      <c r="Z262" s="125"/>
      <c r="AA262" s="128"/>
      <c r="AB262" s="125"/>
      <c r="AC262" s="128"/>
      <c r="AD262" s="125"/>
      <c r="AE262" s="128"/>
      <c r="AF262" s="125"/>
      <c r="AG262" s="128"/>
      <c r="AH262" s="125"/>
      <c r="AI262" s="128"/>
      <c r="AJ262" s="125"/>
      <c r="AK262" s="128"/>
      <c r="AL262" s="125"/>
      <c r="AM262" s="128"/>
      <c r="AN262" s="125"/>
      <c r="AO262" s="128"/>
      <c r="AP262" s="125"/>
      <c r="AQ262" s="68"/>
      <c r="AR262" s="179"/>
      <c r="AS262" s="221">
        <f>SUM(AS222:AS261)</f>
        <v>186100</v>
      </c>
    </row>
    <row r="263" spans="1:45" ht="14.25" hidden="1">
      <c r="A263" s="71">
        <v>242</v>
      </c>
      <c r="B263" s="71" t="s">
        <v>1610</v>
      </c>
      <c r="C263" s="54" t="s">
        <v>1611</v>
      </c>
      <c r="D263" s="54" t="s">
        <v>1612</v>
      </c>
      <c r="E263" s="201" t="s">
        <v>1613</v>
      </c>
      <c r="F263" s="55" t="s">
        <v>12</v>
      </c>
      <c r="G263" s="125"/>
      <c r="H263" s="125"/>
      <c r="I263" s="125"/>
      <c r="J263" s="125"/>
      <c r="K263" s="126"/>
      <c r="L263" s="127"/>
      <c r="M263" s="128"/>
      <c r="N263" s="125"/>
      <c r="O263" s="126"/>
      <c r="P263" s="125"/>
      <c r="Q263" s="128"/>
      <c r="R263" s="125"/>
      <c r="S263" s="126"/>
      <c r="T263" s="125"/>
      <c r="U263" s="128"/>
      <c r="V263" s="125"/>
      <c r="W263" s="128"/>
      <c r="X263" s="125"/>
      <c r="Y263" s="128"/>
      <c r="Z263" s="125"/>
      <c r="AA263" s="128"/>
      <c r="AB263" s="125"/>
      <c r="AC263" s="128"/>
      <c r="AD263" s="125"/>
      <c r="AE263" s="128"/>
      <c r="AF263" s="125"/>
      <c r="AG263" s="128"/>
      <c r="AH263" s="125"/>
      <c r="AI263" s="128"/>
      <c r="AJ263" s="125"/>
      <c r="AK263" s="128"/>
      <c r="AL263" s="125"/>
      <c r="AM263" s="55">
        <v>200</v>
      </c>
      <c r="AN263" s="136">
        <f>+AM263*AR263</f>
        <v>130200</v>
      </c>
      <c r="AO263" s="128"/>
      <c r="AP263" s="136"/>
      <c r="AQ263" s="84">
        <f t="shared" si="46"/>
        <v>200</v>
      </c>
      <c r="AR263" s="183">
        <v>651</v>
      </c>
      <c r="AS263" s="180">
        <f>+AQ263*AR263</f>
        <v>130200</v>
      </c>
    </row>
    <row r="264" spans="1:45" ht="14.25" hidden="1">
      <c r="A264" s="71">
        <v>243</v>
      </c>
      <c r="B264" s="71" t="s">
        <v>1614</v>
      </c>
      <c r="C264" s="54" t="s">
        <v>1611</v>
      </c>
      <c r="D264" s="54" t="s">
        <v>1612</v>
      </c>
      <c r="E264" s="201" t="s">
        <v>1615</v>
      </c>
      <c r="F264" s="55" t="s">
        <v>12</v>
      </c>
      <c r="G264" s="125"/>
      <c r="H264" s="125"/>
      <c r="I264" s="125"/>
      <c r="J264" s="125"/>
      <c r="K264" s="126"/>
      <c r="L264" s="127"/>
      <c r="M264" s="128"/>
      <c r="N264" s="125"/>
      <c r="O264" s="126"/>
      <c r="P264" s="125"/>
      <c r="Q264" s="128"/>
      <c r="R264" s="125"/>
      <c r="S264" s="126"/>
      <c r="T264" s="125"/>
      <c r="U264" s="128"/>
      <c r="V264" s="125"/>
      <c r="W264" s="128"/>
      <c r="X264" s="125"/>
      <c r="Y264" s="128"/>
      <c r="Z264" s="125"/>
      <c r="AA264" s="128"/>
      <c r="AB264" s="125"/>
      <c r="AC264" s="128"/>
      <c r="AD264" s="125"/>
      <c r="AE264" s="128"/>
      <c r="AF264" s="125"/>
      <c r="AG264" s="128"/>
      <c r="AH264" s="125"/>
      <c r="AI264" s="128"/>
      <c r="AJ264" s="125"/>
      <c r="AK264" s="128"/>
      <c r="AL264" s="125"/>
      <c r="AM264" s="55">
        <v>300</v>
      </c>
      <c r="AN264" s="136">
        <f t="shared" ref="AN264:AN275" si="64">+AM264*AR264</f>
        <v>70500</v>
      </c>
      <c r="AO264" s="128"/>
      <c r="AP264" s="136"/>
      <c r="AQ264" s="84">
        <f t="shared" si="46"/>
        <v>300</v>
      </c>
      <c r="AR264" s="183">
        <v>235</v>
      </c>
      <c r="AS264" s="180">
        <f t="shared" ref="AS264:AS278" si="65">+AQ264*AR264</f>
        <v>70500</v>
      </c>
    </row>
    <row r="265" spans="1:45" ht="14.25" hidden="1">
      <c r="A265" s="71">
        <v>244</v>
      </c>
      <c r="B265" s="71" t="s">
        <v>1616</v>
      </c>
      <c r="C265" s="54" t="s">
        <v>1611</v>
      </c>
      <c r="D265" s="54" t="s">
        <v>1612</v>
      </c>
      <c r="E265" s="201" t="s">
        <v>1617</v>
      </c>
      <c r="F265" s="55" t="s">
        <v>12</v>
      </c>
      <c r="G265" s="125"/>
      <c r="H265" s="125"/>
      <c r="I265" s="125"/>
      <c r="J265" s="125"/>
      <c r="K265" s="126"/>
      <c r="L265" s="127"/>
      <c r="M265" s="128"/>
      <c r="N265" s="125"/>
      <c r="O265" s="126"/>
      <c r="P265" s="125"/>
      <c r="Q265" s="128"/>
      <c r="R265" s="125"/>
      <c r="S265" s="126"/>
      <c r="T265" s="125"/>
      <c r="U265" s="128"/>
      <c r="V265" s="125"/>
      <c r="W265" s="128"/>
      <c r="X265" s="125"/>
      <c r="Y265" s="128"/>
      <c r="Z265" s="125"/>
      <c r="AA265" s="128"/>
      <c r="AB265" s="125"/>
      <c r="AC265" s="128"/>
      <c r="AD265" s="125"/>
      <c r="AE265" s="128"/>
      <c r="AF265" s="125"/>
      <c r="AG265" s="128"/>
      <c r="AH265" s="125"/>
      <c r="AI265" s="128"/>
      <c r="AJ265" s="125"/>
      <c r="AK265" s="128"/>
      <c r="AL265" s="125"/>
      <c r="AM265" s="55">
        <v>300</v>
      </c>
      <c r="AN265" s="136">
        <f t="shared" si="64"/>
        <v>33900</v>
      </c>
      <c r="AO265" s="128"/>
      <c r="AP265" s="136"/>
      <c r="AQ265" s="84">
        <f t="shared" si="46"/>
        <v>300</v>
      </c>
      <c r="AR265" s="183">
        <v>113</v>
      </c>
      <c r="AS265" s="180">
        <f t="shared" si="65"/>
        <v>33900</v>
      </c>
    </row>
    <row r="266" spans="1:45" ht="28.5" hidden="1">
      <c r="A266" s="71">
        <v>245</v>
      </c>
      <c r="B266" s="71" t="s">
        <v>1618</v>
      </c>
      <c r="C266" s="54" t="s">
        <v>1611</v>
      </c>
      <c r="D266" s="54" t="s">
        <v>1612</v>
      </c>
      <c r="E266" s="201" t="s">
        <v>1619</v>
      </c>
      <c r="F266" s="55" t="s">
        <v>12</v>
      </c>
      <c r="G266" s="125"/>
      <c r="H266" s="125"/>
      <c r="I266" s="125"/>
      <c r="J266" s="125"/>
      <c r="K266" s="126"/>
      <c r="L266" s="127"/>
      <c r="M266" s="128"/>
      <c r="N266" s="125"/>
      <c r="O266" s="126"/>
      <c r="P266" s="125"/>
      <c r="Q266" s="128"/>
      <c r="R266" s="125"/>
      <c r="S266" s="126"/>
      <c r="T266" s="125"/>
      <c r="U266" s="128"/>
      <c r="V266" s="125"/>
      <c r="W266" s="128"/>
      <c r="X266" s="125"/>
      <c r="Y266" s="128"/>
      <c r="Z266" s="125"/>
      <c r="AA266" s="128"/>
      <c r="AB266" s="125"/>
      <c r="AC266" s="128"/>
      <c r="AD266" s="125"/>
      <c r="AE266" s="128"/>
      <c r="AF266" s="125"/>
      <c r="AG266" s="128"/>
      <c r="AH266" s="125"/>
      <c r="AI266" s="128"/>
      <c r="AJ266" s="125"/>
      <c r="AK266" s="128"/>
      <c r="AL266" s="125"/>
      <c r="AM266" s="55">
        <v>10</v>
      </c>
      <c r="AN266" s="136">
        <f t="shared" si="64"/>
        <v>2000</v>
      </c>
      <c r="AO266" s="128"/>
      <c r="AP266" s="136"/>
      <c r="AQ266" s="84">
        <f t="shared" si="46"/>
        <v>10</v>
      </c>
      <c r="AR266" s="183">
        <v>200</v>
      </c>
      <c r="AS266" s="180">
        <f t="shared" si="65"/>
        <v>2000</v>
      </c>
    </row>
    <row r="267" spans="1:45" ht="28.5" hidden="1">
      <c r="A267" s="71">
        <v>246</v>
      </c>
      <c r="B267" s="71" t="s">
        <v>1620</v>
      </c>
      <c r="C267" s="54" t="s">
        <v>1611</v>
      </c>
      <c r="D267" s="54" t="s">
        <v>1621</v>
      </c>
      <c r="E267" s="201" t="s">
        <v>1622</v>
      </c>
      <c r="F267" s="33" t="s">
        <v>12</v>
      </c>
      <c r="G267" s="125"/>
      <c r="H267" s="125"/>
      <c r="I267" s="125"/>
      <c r="J267" s="125"/>
      <c r="K267" s="126"/>
      <c r="L267" s="127"/>
      <c r="M267" s="128"/>
      <c r="N267" s="125"/>
      <c r="O267" s="126"/>
      <c r="P267" s="125"/>
      <c r="Q267" s="128"/>
      <c r="R267" s="125"/>
      <c r="S267" s="126"/>
      <c r="T267" s="125"/>
      <c r="U267" s="128"/>
      <c r="V267" s="125"/>
      <c r="W267" s="128"/>
      <c r="X267" s="125"/>
      <c r="Y267" s="128"/>
      <c r="Z267" s="125"/>
      <c r="AA267" s="128"/>
      <c r="AB267" s="125"/>
      <c r="AC267" s="128"/>
      <c r="AD267" s="125"/>
      <c r="AE267" s="128"/>
      <c r="AF267" s="125"/>
      <c r="AG267" s="128"/>
      <c r="AH267" s="125"/>
      <c r="AI267" s="128"/>
      <c r="AJ267" s="125"/>
      <c r="AK267" s="128"/>
      <c r="AL267" s="125"/>
      <c r="AM267" s="33">
        <v>10</v>
      </c>
      <c r="AN267" s="136">
        <f t="shared" si="64"/>
        <v>6000</v>
      </c>
      <c r="AO267" s="128"/>
      <c r="AP267" s="136"/>
      <c r="AQ267" s="84">
        <f t="shared" si="46"/>
        <v>10</v>
      </c>
      <c r="AR267" s="184">
        <v>600</v>
      </c>
      <c r="AS267" s="180">
        <f t="shared" si="65"/>
        <v>6000</v>
      </c>
    </row>
    <row r="268" spans="1:45" ht="28.5" hidden="1">
      <c r="A268" s="71">
        <v>247</v>
      </c>
      <c r="B268" s="71" t="s">
        <v>1623</v>
      </c>
      <c r="C268" s="54" t="s">
        <v>1611</v>
      </c>
      <c r="D268" s="54" t="s">
        <v>1624</v>
      </c>
      <c r="E268" s="201" t="s">
        <v>1625</v>
      </c>
      <c r="F268" s="54" t="s">
        <v>130</v>
      </c>
      <c r="G268" s="125"/>
      <c r="H268" s="125"/>
      <c r="I268" s="125"/>
      <c r="J268" s="125"/>
      <c r="K268" s="126"/>
      <c r="L268" s="127"/>
      <c r="M268" s="128"/>
      <c r="N268" s="125"/>
      <c r="O268" s="126"/>
      <c r="P268" s="125"/>
      <c r="Q268" s="128"/>
      <c r="R268" s="125"/>
      <c r="S268" s="126"/>
      <c r="T268" s="125"/>
      <c r="U268" s="128"/>
      <c r="V268" s="125"/>
      <c r="W268" s="128"/>
      <c r="X268" s="125"/>
      <c r="Y268" s="128"/>
      <c r="Z268" s="125"/>
      <c r="AA268" s="128"/>
      <c r="AB268" s="125"/>
      <c r="AC268" s="128"/>
      <c r="AD268" s="125"/>
      <c r="AE268" s="128"/>
      <c r="AF268" s="125"/>
      <c r="AG268" s="128"/>
      <c r="AH268" s="125"/>
      <c r="AI268" s="128"/>
      <c r="AJ268" s="125"/>
      <c r="AK268" s="128"/>
      <c r="AL268" s="125"/>
      <c r="AM268" s="54">
        <v>10</v>
      </c>
      <c r="AN268" s="136">
        <f t="shared" si="64"/>
        <v>2500</v>
      </c>
      <c r="AO268" s="128"/>
      <c r="AP268" s="136"/>
      <c r="AQ268" s="84">
        <f t="shared" si="46"/>
        <v>10</v>
      </c>
      <c r="AR268" s="185">
        <v>250</v>
      </c>
      <c r="AS268" s="180">
        <f t="shared" si="65"/>
        <v>2500</v>
      </c>
    </row>
    <row r="269" spans="1:45" ht="42.75" hidden="1">
      <c r="A269" s="71">
        <v>248</v>
      </c>
      <c r="B269" s="71" t="s">
        <v>1626</v>
      </c>
      <c r="C269" s="54" t="s">
        <v>1611</v>
      </c>
      <c r="D269" s="54" t="s">
        <v>1624</v>
      </c>
      <c r="E269" s="201" t="s">
        <v>1627</v>
      </c>
      <c r="F269" s="54" t="s">
        <v>12</v>
      </c>
      <c r="G269" s="125"/>
      <c r="H269" s="125"/>
      <c r="I269" s="125"/>
      <c r="J269" s="125"/>
      <c r="K269" s="126"/>
      <c r="L269" s="127"/>
      <c r="M269" s="128"/>
      <c r="N269" s="125"/>
      <c r="O269" s="126"/>
      <c r="P269" s="125"/>
      <c r="Q269" s="128"/>
      <c r="R269" s="125"/>
      <c r="S269" s="126"/>
      <c r="T269" s="125"/>
      <c r="U269" s="128"/>
      <c r="V269" s="125"/>
      <c r="W269" s="128"/>
      <c r="X269" s="125"/>
      <c r="Y269" s="128"/>
      <c r="Z269" s="125"/>
      <c r="AA269" s="128"/>
      <c r="AB269" s="125"/>
      <c r="AC269" s="128"/>
      <c r="AD269" s="125"/>
      <c r="AE269" s="128"/>
      <c r="AF269" s="125"/>
      <c r="AG269" s="128"/>
      <c r="AH269" s="125"/>
      <c r="AI269" s="128"/>
      <c r="AJ269" s="125"/>
      <c r="AK269" s="128"/>
      <c r="AL269" s="125"/>
      <c r="AM269" s="54">
        <v>500</v>
      </c>
      <c r="AN269" s="136">
        <f t="shared" si="64"/>
        <v>17000</v>
      </c>
      <c r="AO269" s="128"/>
      <c r="AP269" s="136"/>
      <c r="AQ269" s="84">
        <f t="shared" si="46"/>
        <v>500</v>
      </c>
      <c r="AR269" s="185">
        <v>34</v>
      </c>
      <c r="AS269" s="180">
        <f t="shared" si="65"/>
        <v>17000</v>
      </c>
    </row>
    <row r="270" spans="1:45" ht="28.5" hidden="1">
      <c r="A270" s="71">
        <v>249</v>
      </c>
      <c r="B270" s="71" t="s">
        <v>1628</v>
      </c>
      <c r="C270" s="54" t="s">
        <v>1611</v>
      </c>
      <c r="D270" s="54" t="s">
        <v>1624</v>
      </c>
      <c r="E270" s="201" t="s">
        <v>1629</v>
      </c>
      <c r="F270" s="54" t="s">
        <v>17</v>
      </c>
      <c r="G270" s="125"/>
      <c r="H270" s="125"/>
      <c r="I270" s="125"/>
      <c r="J270" s="125"/>
      <c r="K270" s="126"/>
      <c r="L270" s="127"/>
      <c r="M270" s="128"/>
      <c r="N270" s="125"/>
      <c r="O270" s="126"/>
      <c r="P270" s="125"/>
      <c r="Q270" s="128"/>
      <c r="R270" s="125"/>
      <c r="S270" s="126"/>
      <c r="T270" s="125"/>
      <c r="U270" s="128"/>
      <c r="V270" s="125"/>
      <c r="W270" s="128"/>
      <c r="X270" s="125"/>
      <c r="Y270" s="128"/>
      <c r="Z270" s="125"/>
      <c r="AA270" s="128"/>
      <c r="AB270" s="125"/>
      <c r="AC270" s="128"/>
      <c r="AD270" s="125"/>
      <c r="AE270" s="128"/>
      <c r="AF270" s="125"/>
      <c r="AG270" s="128"/>
      <c r="AH270" s="125"/>
      <c r="AI270" s="128"/>
      <c r="AJ270" s="125"/>
      <c r="AK270" s="128"/>
      <c r="AL270" s="125"/>
      <c r="AM270" s="54">
        <v>1</v>
      </c>
      <c r="AN270" s="136">
        <f t="shared" si="64"/>
        <v>5000</v>
      </c>
      <c r="AO270" s="128"/>
      <c r="AP270" s="136"/>
      <c r="AQ270" s="84">
        <f t="shared" si="46"/>
        <v>1</v>
      </c>
      <c r="AR270" s="185">
        <v>5000</v>
      </c>
      <c r="AS270" s="180">
        <f t="shared" si="65"/>
        <v>5000</v>
      </c>
    </row>
    <row r="271" spans="1:45" ht="28.5" hidden="1">
      <c r="A271" s="71">
        <v>250</v>
      </c>
      <c r="B271" s="71" t="s">
        <v>1630</v>
      </c>
      <c r="C271" s="54" t="s">
        <v>1611</v>
      </c>
      <c r="D271" s="54" t="s">
        <v>1612</v>
      </c>
      <c r="E271" s="201" t="s">
        <v>1631</v>
      </c>
      <c r="F271" s="54" t="s">
        <v>130</v>
      </c>
      <c r="G271" s="125"/>
      <c r="H271" s="125"/>
      <c r="I271" s="125"/>
      <c r="J271" s="125"/>
      <c r="K271" s="126"/>
      <c r="L271" s="127"/>
      <c r="M271" s="128"/>
      <c r="N271" s="125"/>
      <c r="O271" s="126"/>
      <c r="P271" s="125"/>
      <c r="Q271" s="128"/>
      <c r="R271" s="125"/>
      <c r="S271" s="126"/>
      <c r="T271" s="125"/>
      <c r="U271" s="128"/>
      <c r="V271" s="125"/>
      <c r="W271" s="128"/>
      <c r="X271" s="125"/>
      <c r="Y271" s="128"/>
      <c r="Z271" s="125"/>
      <c r="AA271" s="128"/>
      <c r="AB271" s="125"/>
      <c r="AC271" s="128"/>
      <c r="AD271" s="125"/>
      <c r="AE271" s="128"/>
      <c r="AF271" s="125"/>
      <c r="AG271" s="128"/>
      <c r="AH271" s="125"/>
      <c r="AI271" s="128"/>
      <c r="AJ271" s="125"/>
      <c r="AK271" s="128"/>
      <c r="AL271" s="125"/>
      <c r="AM271" s="54">
        <v>1</v>
      </c>
      <c r="AN271" s="136">
        <f t="shared" si="64"/>
        <v>600</v>
      </c>
      <c r="AO271" s="128"/>
      <c r="AP271" s="136"/>
      <c r="AQ271" s="84">
        <f t="shared" si="46"/>
        <v>1</v>
      </c>
      <c r="AR271" s="185">
        <v>600</v>
      </c>
      <c r="AS271" s="180">
        <f t="shared" si="65"/>
        <v>600</v>
      </c>
    </row>
    <row r="272" spans="1:45" ht="28.5" hidden="1">
      <c r="A272" s="71">
        <v>251</v>
      </c>
      <c r="B272" s="71" t="s">
        <v>1632</v>
      </c>
      <c r="C272" s="54" t="s">
        <v>1611</v>
      </c>
      <c r="D272" s="54" t="s">
        <v>1612</v>
      </c>
      <c r="E272" s="201" t="s">
        <v>1633</v>
      </c>
      <c r="F272" s="54" t="s">
        <v>17</v>
      </c>
      <c r="G272" s="125"/>
      <c r="H272" s="125"/>
      <c r="I272" s="125"/>
      <c r="J272" s="125"/>
      <c r="K272" s="126"/>
      <c r="L272" s="127"/>
      <c r="M272" s="128"/>
      <c r="N272" s="125"/>
      <c r="O272" s="126"/>
      <c r="P272" s="125"/>
      <c r="Q272" s="128"/>
      <c r="R272" s="125"/>
      <c r="S272" s="126"/>
      <c r="T272" s="125"/>
      <c r="U272" s="128"/>
      <c r="V272" s="125"/>
      <c r="W272" s="128"/>
      <c r="X272" s="125"/>
      <c r="Y272" s="128"/>
      <c r="Z272" s="125"/>
      <c r="AA272" s="128"/>
      <c r="AB272" s="125"/>
      <c r="AC272" s="128"/>
      <c r="AD272" s="125"/>
      <c r="AE272" s="128"/>
      <c r="AF272" s="125"/>
      <c r="AG272" s="128"/>
      <c r="AH272" s="125"/>
      <c r="AI272" s="128"/>
      <c r="AJ272" s="125"/>
      <c r="AK272" s="128"/>
      <c r="AL272" s="125"/>
      <c r="AM272" s="54">
        <v>3</v>
      </c>
      <c r="AN272" s="136">
        <f t="shared" si="64"/>
        <v>1950</v>
      </c>
      <c r="AO272" s="128"/>
      <c r="AP272" s="136"/>
      <c r="AQ272" s="84">
        <f t="shared" si="46"/>
        <v>3</v>
      </c>
      <c r="AR272" s="185">
        <v>650</v>
      </c>
      <c r="AS272" s="180">
        <f t="shared" si="65"/>
        <v>1950</v>
      </c>
    </row>
    <row r="273" spans="1:50" ht="28.5" hidden="1">
      <c r="A273" s="71">
        <v>252</v>
      </c>
      <c r="B273" s="71" t="s">
        <v>1634</v>
      </c>
      <c r="C273" s="54" t="s">
        <v>1611</v>
      </c>
      <c r="D273" s="54" t="s">
        <v>1612</v>
      </c>
      <c r="E273" s="201" t="s">
        <v>1635</v>
      </c>
      <c r="F273" s="54" t="s">
        <v>17</v>
      </c>
      <c r="G273" s="125"/>
      <c r="H273" s="125"/>
      <c r="I273" s="125"/>
      <c r="J273" s="125"/>
      <c r="K273" s="126"/>
      <c r="L273" s="127"/>
      <c r="M273" s="128"/>
      <c r="N273" s="125"/>
      <c r="O273" s="126"/>
      <c r="P273" s="125"/>
      <c r="Q273" s="128"/>
      <c r="R273" s="125"/>
      <c r="S273" s="126"/>
      <c r="T273" s="125"/>
      <c r="U273" s="128"/>
      <c r="V273" s="125"/>
      <c r="W273" s="128"/>
      <c r="X273" s="125"/>
      <c r="Y273" s="128"/>
      <c r="Z273" s="125"/>
      <c r="AA273" s="128"/>
      <c r="AB273" s="125"/>
      <c r="AC273" s="128"/>
      <c r="AD273" s="125"/>
      <c r="AE273" s="128"/>
      <c r="AF273" s="125"/>
      <c r="AG273" s="128"/>
      <c r="AH273" s="125"/>
      <c r="AI273" s="128"/>
      <c r="AJ273" s="125"/>
      <c r="AK273" s="128"/>
      <c r="AL273" s="125"/>
      <c r="AM273" s="54">
        <v>3</v>
      </c>
      <c r="AN273" s="136">
        <f t="shared" si="64"/>
        <v>3810</v>
      </c>
      <c r="AO273" s="128"/>
      <c r="AP273" s="136"/>
      <c r="AQ273" s="84">
        <f t="shared" si="46"/>
        <v>3</v>
      </c>
      <c r="AR273" s="185">
        <v>1270</v>
      </c>
      <c r="AS273" s="180">
        <f t="shared" si="65"/>
        <v>3810</v>
      </c>
    </row>
    <row r="274" spans="1:50" ht="28.5" hidden="1">
      <c r="A274" s="71">
        <v>253</v>
      </c>
      <c r="B274" s="71" t="s">
        <v>1636</v>
      </c>
      <c r="C274" s="54" t="s">
        <v>1611</v>
      </c>
      <c r="D274" s="54" t="s">
        <v>1612</v>
      </c>
      <c r="E274" s="201" t="s">
        <v>1637</v>
      </c>
      <c r="F274" s="54" t="s">
        <v>17</v>
      </c>
      <c r="G274" s="125"/>
      <c r="H274" s="125"/>
      <c r="I274" s="125"/>
      <c r="J274" s="125"/>
      <c r="K274" s="126"/>
      <c r="L274" s="127"/>
      <c r="M274" s="128"/>
      <c r="N274" s="125"/>
      <c r="O274" s="126"/>
      <c r="P274" s="125"/>
      <c r="Q274" s="128"/>
      <c r="R274" s="125"/>
      <c r="S274" s="126"/>
      <c r="T274" s="125"/>
      <c r="U274" s="128"/>
      <c r="V274" s="125"/>
      <c r="W274" s="128"/>
      <c r="X274" s="125"/>
      <c r="Y274" s="128"/>
      <c r="Z274" s="125"/>
      <c r="AA274" s="128"/>
      <c r="AB274" s="125"/>
      <c r="AC274" s="128"/>
      <c r="AD274" s="125"/>
      <c r="AE274" s="128"/>
      <c r="AF274" s="125"/>
      <c r="AG274" s="128"/>
      <c r="AH274" s="125"/>
      <c r="AI274" s="128"/>
      <c r="AJ274" s="125"/>
      <c r="AK274" s="128"/>
      <c r="AL274" s="125"/>
      <c r="AM274" s="54">
        <v>3</v>
      </c>
      <c r="AN274" s="136">
        <f t="shared" si="64"/>
        <v>3810</v>
      </c>
      <c r="AO274" s="128"/>
      <c r="AP274" s="136"/>
      <c r="AQ274" s="84">
        <f t="shared" si="46"/>
        <v>3</v>
      </c>
      <c r="AR274" s="185">
        <v>1270</v>
      </c>
      <c r="AS274" s="180">
        <f t="shared" si="65"/>
        <v>3810</v>
      </c>
    </row>
    <row r="275" spans="1:50" ht="28.5" hidden="1">
      <c r="A275" s="71">
        <v>254</v>
      </c>
      <c r="B275" s="71" t="s">
        <v>1638</v>
      </c>
      <c r="C275" s="54" t="s">
        <v>1611</v>
      </c>
      <c r="D275" s="54" t="s">
        <v>1612</v>
      </c>
      <c r="E275" s="201" t="s">
        <v>1639</v>
      </c>
      <c r="F275" s="54" t="s">
        <v>17</v>
      </c>
      <c r="G275" s="125"/>
      <c r="H275" s="125"/>
      <c r="I275" s="125"/>
      <c r="J275" s="125"/>
      <c r="K275" s="126"/>
      <c r="L275" s="127"/>
      <c r="M275" s="128"/>
      <c r="N275" s="125"/>
      <c r="O275" s="126"/>
      <c r="P275" s="125"/>
      <c r="Q275" s="128"/>
      <c r="R275" s="125"/>
      <c r="S275" s="126"/>
      <c r="T275" s="125"/>
      <c r="U275" s="128"/>
      <c r="V275" s="125"/>
      <c r="W275" s="128"/>
      <c r="X275" s="125"/>
      <c r="Y275" s="128"/>
      <c r="Z275" s="125"/>
      <c r="AA275" s="128"/>
      <c r="AB275" s="125"/>
      <c r="AC275" s="128"/>
      <c r="AD275" s="125"/>
      <c r="AE275" s="128"/>
      <c r="AF275" s="125"/>
      <c r="AG275" s="128"/>
      <c r="AH275" s="125"/>
      <c r="AI275" s="128"/>
      <c r="AJ275" s="125"/>
      <c r="AK275" s="128"/>
      <c r="AL275" s="125"/>
      <c r="AM275" s="54">
        <v>15</v>
      </c>
      <c r="AN275" s="136">
        <f t="shared" si="64"/>
        <v>3435</v>
      </c>
      <c r="AO275" s="128"/>
      <c r="AP275" s="136"/>
      <c r="AQ275" s="84">
        <f t="shared" si="46"/>
        <v>15</v>
      </c>
      <c r="AR275" s="185">
        <v>229</v>
      </c>
      <c r="AS275" s="180">
        <f t="shared" si="65"/>
        <v>3435</v>
      </c>
    </row>
    <row r="276" spans="1:50" s="6" customFormat="1" ht="28.5" hidden="1">
      <c r="A276" s="71">
        <v>255</v>
      </c>
      <c r="B276" s="200" t="s">
        <v>438</v>
      </c>
      <c r="C276" s="37" t="s">
        <v>170</v>
      </c>
      <c r="D276" s="37">
        <v>258</v>
      </c>
      <c r="E276" s="200" t="s">
        <v>437</v>
      </c>
      <c r="F276" s="37" t="s">
        <v>130</v>
      </c>
      <c r="G276" s="65"/>
      <c r="H276" s="65"/>
      <c r="I276" s="65"/>
      <c r="J276" s="104"/>
      <c r="K276" s="158"/>
      <c r="L276" s="104"/>
      <c r="M276" s="105"/>
      <c r="N276" s="104"/>
      <c r="O276" s="158"/>
      <c r="P276" s="104"/>
      <c r="Q276" s="105">
        <v>100</v>
      </c>
      <c r="R276" s="104">
        <f>+Q276*AR276</f>
        <v>18500</v>
      </c>
      <c r="S276" s="158"/>
      <c r="T276" s="104"/>
      <c r="U276" s="105"/>
      <c r="V276" s="104"/>
      <c r="W276" s="105"/>
      <c r="X276" s="104"/>
      <c r="Y276" s="105"/>
      <c r="Z276" s="104"/>
      <c r="AA276" s="105"/>
      <c r="AB276" s="104"/>
      <c r="AC276" s="105"/>
      <c r="AD276" s="104"/>
      <c r="AE276" s="105"/>
      <c r="AF276" s="104"/>
      <c r="AG276" s="105"/>
      <c r="AH276" s="104"/>
      <c r="AI276" s="105"/>
      <c r="AJ276" s="104"/>
      <c r="AK276" s="105"/>
      <c r="AL276" s="104"/>
      <c r="AM276" s="105"/>
      <c r="AN276" s="104"/>
      <c r="AO276" s="105"/>
      <c r="AP276" s="104"/>
      <c r="AQ276" s="84">
        <f t="shared" si="46"/>
        <v>100</v>
      </c>
      <c r="AR276" s="149">
        <v>185</v>
      </c>
      <c r="AS276" s="180">
        <f t="shared" si="65"/>
        <v>18500</v>
      </c>
      <c r="AU276" s="95"/>
      <c r="AV276" s="95"/>
      <c r="AW276" s="95"/>
      <c r="AX276" s="96"/>
    </row>
    <row r="277" spans="1:50" s="6" customFormat="1" ht="28.5" hidden="1">
      <c r="A277" s="71">
        <v>256</v>
      </c>
      <c r="B277" s="200" t="s">
        <v>440</v>
      </c>
      <c r="C277" s="37" t="s">
        <v>170</v>
      </c>
      <c r="D277" s="37">
        <v>258</v>
      </c>
      <c r="E277" s="200" t="s">
        <v>439</v>
      </c>
      <c r="F277" s="37" t="s">
        <v>130</v>
      </c>
      <c r="G277" s="33"/>
      <c r="H277" s="33"/>
      <c r="I277" s="206"/>
      <c r="J277" s="150"/>
      <c r="K277" s="151"/>
      <c r="L277" s="152"/>
      <c r="M277" s="153"/>
      <c r="N277" s="150"/>
      <c r="O277" s="151"/>
      <c r="P277" s="150"/>
      <c r="Q277" s="153">
        <v>100</v>
      </c>
      <c r="R277" s="104">
        <f t="shared" ref="R277:R278" si="66">+Q277*AR277</f>
        <v>38000</v>
      </c>
      <c r="S277" s="151"/>
      <c r="T277" s="150"/>
      <c r="U277" s="153"/>
      <c r="V277" s="150"/>
      <c r="W277" s="153"/>
      <c r="X277" s="150"/>
      <c r="Y277" s="153"/>
      <c r="Z277" s="150"/>
      <c r="AA277" s="153"/>
      <c r="AB277" s="150"/>
      <c r="AC277" s="153"/>
      <c r="AD277" s="150"/>
      <c r="AE277" s="153"/>
      <c r="AF277" s="150"/>
      <c r="AG277" s="153"/>
      <c r="AH277" s="150"/>
      <c r="AI277" s="153"/>
      <c r="AJ277" s="150"/>
      <c r="AK277" s="153"/>
      <c r="AL277" s="150"/>
      <c r="AM277" s="153"/>
      <c r="AN277" s="150"/>
      <c r="AO277" s="153"/>
      <c r="AP277" s="150"/>
      <c r="AQ277" s="84">
        <f t="shared" si="46"/>
        <v>100</v>
      </c>
      <c r="AR277" s="171">
        <v>380</v>
      </c>
      <c r="AS277" s="180">
        <f t="shared" si="65"/>
        <v>38000</v>
      </c>
      <c r="AU277" s="97"/>
      <c r="AV277" s="97"/>
      <c r="AW277" s="97"/>
      <c r="AX277" s="98"/>
    </row>
    <row r="278" spans="1:50" s="6" customFormat="1" ht="28.5" hidden="1">
      <c r="A278" s="71">
        <v>257</v>
      </c>
      <c r="B278" s="200" t="s">
        <v>442</v>
      </c>
      <c r="C278" s="37" t="s">
        <v>170</v>
      </c>
      <c r="D278" s="37">
        <v>258</v>
      </c>
      <c r="E278" s="200" t="s">
        <v>441</v>
      </c>
      <c r="F278" s="37" t="s">
        <v>130</v>
      </c>
      <c r="G278" s="61"/>
      <c r="H278" s="61"/>
      <c r="I278" s="206"/>
      <c r="J278" s="150"/>
      <c r="K278" s="151"/>
      <c r="L278" s="152"/>
      <c r="M278" s="153"/>
      <c r="N278" s="150"/>
      <c r="O278" s="151"/>
      <c r="P278" s="150"/>
      <c r="Q278" s="153">
        <v>100</v>
      </c>
      <c r="R278" s="104">
        <f t="shared" si="66"/>
        <v>63500</v>
      </c>
      <c r="S278" s="151"/>
      <c r="T278" s="150"/>
      <c r="U278" s="153"/>
      <c r="V278" s="150"/>
      <c r="W278" s="153"/>
      <c r="X278" s="150"/>
      <c r="Y278" s="153"/>
      <c r="Z278" s="150"/>
      <c r="AA278" s="153"/>
      <c r="AB278" s="150"/>
      <c r="AC278" s="153"/>
      <c r="AD278" s="150"/>
      <c r="AE278" s="153"/>
      <c r="AF278" s="150"/>
      <c r="AG278" s="153"/>
      <c r="AH278" s="150"/>
      <c r="AI278" s="153"/>
      <c r="AJ278" s="150"/>
      <c r="AK278" s="153"/>
      <c r="AL278" s="150"/>
      <c r="AM278" s="153"/>
      <c r="AN278" s="150"/>
      <c r="AO278" s="153"/>
      <c r="AP278" s="150"/>
      <c r="AQ278" s="84">
        <f t="shared" si="46"/>
        <v>100</v>
      </c>
      <c r="AR278" s="171">
        <v>635</v>
      </c>
      <c r="AS278" s="180">
        <f t="shared" si="65"/>
        <v>63500</v>
      </c>
      <c r="AU278" s="99"/>
      <c r="AV278" s="99"/>
      <c r="AW278" s="99"/>
      <c r="AX278" s="100"/>
    </row>
    <row r="279" spans="1:50" ht="15.75" hidden="1">
      <c r="A279" s="71"/>
      <c r="B279" s="192"/>
      <c r="C279" s="71"/>
      <c r="D279" s="125"/>
      <c r="E279" s="254" t="s">
        <v>1667</v>
      </c>
      <c r="F279" s="125"/>
      <c r="G279" s="125"/>
      <c r="H279" s="125"/>
      <c r="I279" s="125"/>
      <c r="J279" s="125"/>
      <c r="K279" s="126"/>
      <c r="L279" s="127"/>
      <c r="M279" s="128"/>
      <c r="N279" s="125"/>
      <c r="O279" s="126"/>
      <c r="P279" s="125"/>
      <c r="Q279" s="128"/>
      <c r="R279" s="125"/>
      <c r="S279" s="126"/>
      <c r="T279" s="125"/>
      <c r="U279" s="128"/>
      <c r="V279" s="125"/>
      <c r="W279" s="128"/>
      <c r="X279" s="125"/>
      <c r="Y279" s="128"/>
      <c r="Z279" s="125"/>
      <c r="AA279" s="128"/>
      <c r="AB279" s="125"/>
      <c r="AC279" s="128"/>
      <c r="AD279" s="125"/>
      <c r="AE279" s="128"/>
      <c r="AF279" s="125"/>
      <c r="AG279" s="128"/>
      <c r="AH279" s="125"/>
      <c r="AI279" s="128"/>
      <c r="AJ279" s="125"/>
      <c r="AK279" s="128"/>
      <c r="AL279" s="125"/>
      <c r="AM279" s="128"/>
      <c r="AN279" s="125"/>
      <c r="AO279" s="128"/>
      <c r="AP279" s="125"/>
      <c r="AQ279" s="68"/>
      <c r="AR279" s="179"/>
      <c r="AS279" s="221">
        <f>SUM(AS263:AS278)</f>
        <v>400705</v>
      </c>
    </row>
    <row r="280" spans="1:50" ht="28.5" hidden="1">
      <c r="A280" s="60">
        <v>258</v>
      </c>
      <c r="B280" s="107" t="s">
        <v>1373</v>
      </c>
      <c r="C280" s="57" t="s">
        <v>1374</v>
      </c>
      <c r="D280" s="48">
        <v>257</v>
      </c>
      <c r="E280" s="57" t="s">
        <v>1375</v>
      </c>
      <c r="F280" s="67" t="s">
        <v>12</v>
      </c>
      <c r="G280" s="65"/>
      <c r="H280" s="65"/>
      <c r="I280" s="65"/>
      <c r="J280" s="104"/>
      <c r="K280" s="158"/>
      <c r="L280" s="104"/>
      <c r="M280" s="105"/>
      <c r="N280" s="104"/>
      <c r="O280" s="158"/>
      <c r="P280" s="104"/>
      <c r="Q280" s="105"/>
      <c r="R280" s="104"/>
      <c r="S280" s="158"/>
      <c r="T280" s="104"/>
      <c r="U280" s="105"/>
      <c r="V280" s="104"/>
      <c r="W280" s="105"/>
      <c r="X280" s="104"/>
      <c r="Y280" s="105"/>
      <c r="Z280" s="104"/>
      <c r="AA280" s="105"/>
      <c r="AB280" s="104"/>
      <c r="AC280" s="105"/>
      <c r="AD280" s="104"/>
      <c r="AE280" s="33">
        <v>2</v>
      </c>
      <c r="AF280" s="104">
        <f>+AE280*AR280</f>
        <v>13120</v>
      </c>
      <c r="AG280" s="105"/>
      <c r="AH280" s="104"/>
      <c r="AI280" s="105"/>
      <c r="AJ280" s="104"/>
      <c r="AK280" s="105"/>
      <c r="AL280" s="104"/>
      <c r="AM280" s="105"/>
      <c r="AN280" s="104"/>
      <c r="AO280" s="105"/>
      <c r="AP280" s="104"/>
      <c r="AQ280" s="84">
        <f t="shared" si="46"/>
        <v>2</v>
      </c>
      <c r="AR280" s="175">
        <v>6560</v>
      </c>
      <c r="AS280" s="173">
        <f>+AQ280*AR280</f>
        <v>13120</v>
      </c>
      <c r="AT280" s="8"/>
      <c r="AU280" s="21"/>
      <c r="AV280" s="21"/>
      <c r="AW280" s="21"/>
      <c r="AX280" s="22"/>
    </row>
    <row r="281" spans="1:50" ht="42.75" hidden="1">
      <c r="A281" s="60">
        <v>259</v>
      </c>
      <c r="B281" s="88" t="s">
        <v>1376</v>
      </c>
      <c r="C281" s="57" t="s">
        <v>1374</v>
      </c>
      <c r="D281" s="48">
        <v>257</v>
      </c>
      <c r="E281" s="57" t="s">
        <v>1377</v>
      </c>
      <c r="F281" s="67" t="s">
        <v>12</v>
      </c>
      <c r="G281" s="65"/>
      <c r="H281" s="65"/>
      <c r="I281" s="65"/>
      <c r="J281" s="104"/>
      <c r="K281" s="158"/>
      <c r="L281" s="104"/>
      <c r="M281" s="105"/>
      <c r="N281" s="104"/>
      <c r="O281" s="158"/>
      <c r="P281" s="104"/>
      <c r="Q281" s="105"/>
      <c r="R281" s="104"/>
      <c r="S281" s="158"/>
      <c r="T281" s="104"/>
      <c r="U281" s="105"/>
      <c r="V281" s="104"/>
      <c r="W281" s="105"/>
      <c r="X281" s="104"/>
      <c r="Y281" s="105"/>
      <c r="Z281" s="104"/>
      <c r="AA281" s="105"/>
      <c r="AB281" s="104"/>
      <c r="AC281" s="105"/>
      <c r="AD281" s="104"/>
      <c r="AE281" s="33">
        <v>5</v>
      </c>
      <c r="AF281" s="104">
        <f t="shared" ref="AF281:AF283" si="67">+AE281*AR281</f>
        <v>6600</v>
      </c>
      <c r="AG281" s="105"/>
      <c r="AH281" s="104"/>
      <c r="AI281" s="105"/>
      <c r="AJ281" s="104"/>
      <c r="AK281" s="105"/>
      <c r="AL281" s="104"/>
      <c r="AM281" s="105"/>
      <c r="AN281" s="104"/>
      <c r="AO281" s="105"/>
      <c r="AP281" s="104"/>
      <c r="AQ281" s="84">
        <f t="shared" si="46"/>
        <v>5</v>
      </c>
      <c r="AR281" s="175">
        <v>1320</v>
      </c>
      <c r="AS281" s="173">
        <f t="shared" ref="AS281:AS283" si="68">+AQ281*AR281</f>
        <v>6600</v>
      </c>
      <c r="AT281" s="8"/>
      <c r="AU281" s="21"/>
      <c r="AV281" s="21"/>
      <c r="AW281" s="21"/>
      <c r="AX281" s="22"/>
    </row>
    <row r="282" spans="1:50" ht="42.75" hidden="1">
      <c r="A282" s="60">
        <v>260</v>
      </c>
      <c r="B282" s="107" t="s">
        <v>1378</v>
      </c>
      <c r="C282" s="57" t="s">
        <v>1374</v>
      </c>
      <c r="D282" s="48">
        <v>257</v>
      </c>
      <c r="E282" s="194" t="s">
        <v>1379</v>
      </c>
      <c r="F282" s="67" t="s">
        <v>12</v>
      </c>
      <c r="G282" s="65"/>
      <c r="H282" s="65"/>
      <c r="I282" s="65"/>
      <c r="J282" s="104"/>
      <c r="K282" s="158"/>
      <c r="L282" s="104"/>
      <c r="M282" s="105"/>
      <c r="N282" s="104"/>
      <c r="O282" s="158"/>
      <c r="P282" s="104"/>
      <c r="Q282" s="105"/>
      <c r="R282" s="104"/>
      <c r="S282" s="158"/>
      <c r="T282" s="104"/>
      <c r="U282" s="105"/>
      <c r="V282" s="104"/>
      <c r="W282" s="105"/>
      <c r="X282" s="104"/>
      <c r="Y282" s="105"/>
      <c r="Z282" s="104"/>
      <c r="AA282" s="105"/>
      <c r="AB282" s="104"/>
      <c r="AC282" s="105"/>
      <c r="AD282" s="104"/>
      <c r="AE282" s="33">
        <v>5</v>
      </c>
      <c r="AF282" s="104">
        <f t="shared" si="67"/>
        <v>2900</v>
      </c>
      <c r="AG282" s="105"/>
      <c r="AH282" s="104"/>
      <c r="AI282" s="105"/>
      <c r="AJ282" s="104"/>
      <c r="AK282" s="105"/>
      <c r="AL282" s="104"/>
      <c r="AM282" s="105"/>
      <c r="AN282" s="104"/>
      <c r="AO282" s="105"/>
      <c r="AP282" s="104"/>
      <c r="AQ282" s="84">
        <f t="shared" si="46"/>
        <v>5</v>
      </c>
      <c r="AR282" s="175">
        <v>580</v>
      </c>
      <c r="AS282" s="173">
        <f t="shared" si="68"/>
        <v>2900</v>
      </c>
      <c r="AT282" s="8"/>
      <c r="AU282" s="21"/>
      <c r="AV282" s="21"/>
      <c r="AW282" s="21"/>
      <c r="AX282" s="22"/>
    </row>
    <row r="283" spans="1:50" ht="42.75" hidden="1">
      <c r="A283" s="60">
        <v>261</v>
      </c>
      <c r="B283" s="107" t="s">
        <v>1380</v>
      </c>
      <c r="C283" s="57" t="s">
        <v>1374</v>
      </c>
      <c r="D283" s="48">
        <v>257</v>
      </c>
      <c r="E283" s="194" t="s">
        <v>1381</v>
      </c>
      <c r="F283" s="67" t="s">
        <v>12</v>
      </c>
      <c r="G283" s="65"/>
      <c r="H283" s="65"/>
      <c r="I283" s="65"/>
      <c r="J283" s="104"/>
      <c r="K283" s="158"/>
      <c r="L283" s="104"/>
      <c r="M283" s="105"/>
      <c r="N283" s="104"/>
      <c r="O283" s="158"/>
      <c r="P283" s="104"/>
      <c r="Q283" s="105"/>
      <c r="R283" s="104"/>
      <c r="S283" s="158"/>
      <c r="T283" s="104"/>
      <c r="U283" s="105"/>
      <c r="V283" s="104"/>
      <c r="W283" s="105"/>
      <c r="X283" s="104"/>
      <c r="Y283" s="105"/>
      <c r="Z283" s="104"/>
      <c r="AA283" s="105"/>
      <c r="AB283" s="104"/>
      <c r="AC283" s="105"/>
      <c r="AD283" s="104"/>
      <c r="AE283" s="33">
        <v>20</v>
      </c>
      <c r="AF283" s="104">
        <f t="shared" si="67"/>
        <v>7200</v>
      </c>
      <c r="AG283" s="105"/>
      <c r="AH283" s="104"/>
      <c r="AI283" s="105"/>
      <c r="AJ283" s="104"/>
      <c r="AK283" s="105"/>
      <c r="AL283" s="104"/>
      <c r="AM283" s="105"/>
      <c r="AN283" s="104"/>
      <c r="AO283" s="105"/>
      <c r="AP283" s="104"/>
      <c r="AQ283" s="84">
        <f t="shared" si="46"/>
        <v>20</v>
      </c>
      <c r="AR283" s="175">
        <v>360</v>
      </c>
      <c r="AS283" s="173">
        <f t="shared" si="68"/>
        <v>7200</v>
      </c>
      <c r="AT283" s="8"/>
      <c r="AU283" s="21"/>
      <c r="AV283" s="21"/>
      <c r="AW283" s="21"/>
      <c r="AX283" s="22"/>
    </row>
    <row r="284" spans="1:50" ht="15.75" hidden="1">
      <c r="A284" s="60"/>
      <c r="B284" s="195"/>
      <c r="C284" s="132"/>
      <c r="D284" s="65"/>
      <c r="E284" s="256" t="s">
        <v>1382</v>
      </c>
      <c r="F284" s="65"/>
      <c r="G284" s="65"/>
      <c r="H284" s="65"/>
      <c r="I284" s="65"/>
      <c r="J284" s="104"/>
      <c r="K284" s="158"/>
      <c r="L284" s="104"/>
      <c r="M284" s="105"/>
      <c r="N284" s="104"/>
      <c r="O284" s="158"/>
      <c r="P284" s="104"/>
      <c r="Q284" s="105"/>
      <c r="R284" s="104"/>
      <c r="S284" s="158"/>
      <c r="T284" s="104"/>
      <c r="U284" s="105"/>
      <c r="V284" s="104"/>
      <c r="W284" s="105"/>
      <c r="X284" s="104"/>
      <c r="Y284" s="105"/>
      <c r="Z284" s="104"/>
      <c r="AA284" s="105"/>
      <c r="AB284" s="104"/>
      <c r="AC284" s="105"/>
      <c r="AD284" s="104"/>
      <c r="AE284" s="105"/>
      <c r="AF284" s="104"/>
      <c r="AG284" s="105"/>
      <c r="AH284" s="104"/>
      <c r="AI284" s="105"/>
      <c r="AJ284" s="104"/>
      <c r="AK284" s="105"/>
      <c r="AL284" s="104"/>
      <c r="AM284" s="105"/>
      <c r="AN284" s="104"/>
      <c r="AO284" s="105"/>
      <c r="AP284" s="104"/>
      <c r="AQ284" s="105"/>
      <c r="AR284" s="142"/>
      <c r="AS284" s="220">
        <f>SUM(AS280:AS283)</f>
        <v>29820</v>
      </c>
      <c r="AT284" s="8"/>
      <c r="AU284" s="21"/>
      <c r="AV284" s="21"/>
      <c r="AW284" s="21"/>
      <c r="AX284" s="22"/>
    </row>
    <row r="285" spans="1:50" ht="42.75" hidden="1">
      <c r="A285" s="71">
        <v>262</v>
      </c>
      <c r="B285" s="125" t="s">
        <v>1332</v>
      </c>
      <c r="C285" s="72" t="s">
        <v>1333</v>
      </c>
      <c r="D285" s="54">
        <v>251</v>
      </c>
      <c r="E285" s="54" t="s">
        <v>1334</v>
      </c>
      <c r="F285" s="37" t="s">
        <v>12</v>
      </c>
      <c r="G285" s="125"/>
      <c r="H285" s="125"/>
      <c r="I285" s="125"/>
      <c r="J285" s="125"/>
      <c r="K285" s="126"/>
      <c r="L285" s="127"/>
      <c r="M285" s="128"/>
      <c r="N285" s="125"/>
      <c r="O285" s="126"/>
      <c r="P285" s="125"/>
      <c r="Q285" s="128"/>
      <c r="R285" s="125"/>
      <c r="S285" s="126"/>
      <c r="T285" s="125"/>
      <c r="U285" s="128"/>
      <c r="V285" s="125"/>
      <c r="W285" s="128"/>
      <c r="X285" s="125"/>
      <c r="Y285" s="128"/>
      <c r="Z285" s="125"/>
      <c r="AA285" s="128"/>
      <c r="AB285" s="125"/>
      <c r="AC285" s="128">
        <v>30</v>
      </c>
      <c r="AD285" s="127">
        <f>+AC285*AR285</f>
        <v>600000</v>
      </c>
      <c r="AE285" s="128"/>
      <c r="AF285" s="127"/>
      <c r="AG285" s="128"/>
      <c r="AH285" s="127"/>
      <c r="AI285" s="128"/>
      <c r="AJ285" s="127"/>
      <c r="AK285" s="128"/>
      <c r="AL285" s="127"/>
      <c r="AM285" s="128"/>
      <c r="AN285" s="127"/>
      <c r="AO285" s="128"/>
      <c r="AP285" s="127"/>
      <c r="AQ285" s="84">
        <f t="shared" si="46"/>
        <v>30</v>
      </c>
      <c r="AR285" s="179">
        <v>20000</v>
      </c>
      <c r="AS285" s="180">
        <f>+AQ285*AR285</f>
        <v>600000</v>
      </c>
    </row>
    <row r="286" spans="1:50" ht="14.25" hidden="1">
      <c r="A286" s="71">
        <v>263</v>
      </c>
      <c r="B286" s="125" t="s">
        <v>1335</v>
      </c>
      <c r="C286" s="72" t="s">
        <v>1336</v>
      </c>
      <c r="D286" s="54">
        <v>295</v>
      </c>
      <c r="E286" s="54" t="s">
        <v>1337</v>
      </c>
      <c r="F286" s="37" t="s">
        <v>12</v>
      </c>
      <c r="G286" s="125"/>
      <c r="H286" s="125"/>
      <c r="I286" s="125"/>
      <c r="J286" s="125"/>
      <c r="K286" s="126"/>
      <c r="L286" s="127"/>
      <c r="M286" s="128"/>
      <c r="N286" s="125"/>
      <c r="O286" s="126"/>
      <c r="P286" s="125"/>
      <c r="Q286" s="128"/>
      <c r="R286" s="125"/>
      <c r="S286" s="126"/>
      <c r="T286" s="125"/>
      <c r="U286" s="128"/>
      <c r="V286" s="125"/>
      <c r="W286" s="128"/>
      <c r="X286" s="125"/>
      <c r="Y286" s="128"/>
      <c r="Z286" s="125"/>
      <c r="AA286" s="128"/>
      <c r="AB286" s="125"/>
      <c r="AC286" s="128">
        <v>650</v>
      </c>
      <c r="AD286" s="127">
        <f t="shared" ref="AD286:AD287" si="69">+AC286*AR286</f>
        <v>650000</v>
      </c>
      <c r="AE286" s="128"/>
      <c r="AF286" s="127"/>
      <c r="AG286" s="128"/>
      <c r="AH286" s="127"/>
      <c r="AI286" s="128"/>
      <c r="AJ286" s="127"/>
      <c r="AK286" s="128"/>
      <c r="AL286" s="127"/>
      <c r="AM286" s="128"/>
      <c r="AN286" s="127"/>
      <c r="AO286" s="128"/>
      <c r="AP286" s="127"/>
      <c r="AQ286" s="84">
        <f t="shared" si="46"/>
        <v>650</v>
      </c>
      <c r="AR286" s="179">
        <v>1000</v>
      </c>
      <c r="AS286" s="180">
        <f t="shared" ref="AS286:AS287" si="70">+AQ286*AR286</f>
        <v>650000</v>
      </c>
    </row>
    <row r="287" spans="1:50" ht="28.5" hidden="1">
      <c r="A287" s="71">
        <v>264</v>
      </c>
      <c r="B287" s="125" t="s">
        <v>1338</v>
      </c>
      <c r="C287" s="72" t="s">
        <v>1336</v>
      </c>
      <c r="D287" s="54">
        <v>295</v>
      </c>
      <c r="E287" s="54" t="s">
        <v>1339</v>
      </c>
      <c r="F287" s="37" t="s">
        <v>12</v>
      </c>
      <c r="G287" s="125"/>
      <c r="H287" s="125"/>
      <c r="I287" s="125"/>
      <c r="J287" s="125"/>
      <c r="K287" s="126"/>
      <c r="L287" s="127"/>
      <c r="M287" s="128"/>
      <c r="N287" s="125"/>
      <c r="O287" s="126"/>
      <c r="P287" s="125"/>
      <c r="Q287" s="128"/>
      <c r="R287" s="125"/>
      <c r="S287" s="126"/>
      <c r="T287" s="125"/>
      <c r="U287" s="128"/>
      <c r="V287" s="125"/>
      <c r="W287" s="128"/>
      <c r="X287" s="125"/>
      <c r="Y287" s="128"/>
      <c r="Z287" s="125"/>
      <c r="AA287" s="128"/>
      <c r="AB287" s="125"/>
      <c r="AC287" s="128">
        <v>20</v>
      </c>
      <c r="AD287" s="127">
        <f t="shared" si="69"/>
        <v>52000</v>
      </c>
      <c r="AE287" s="128"/>
      <c r="AF287" s="127"/>
      <c r="AG287" s="128"/>
      <c r="AH287" s="127"/>
      <c r="AI287" s="128"/>
      <c r="AJ287" s="127"/>
      <c r="AK287" s="128"/>
      <c r="AL287" s="127"/>
      <c r="AM287" s="128"/>
      <c r="AN287" s="127"/>
      <c r="AO287" s="128"/>
      <c r="AP287" s="127"/>
      <c r="AQ287" s="84">
        <f t="shared" si="46"/>
        <v>20</v>
      </c>
      <c r="AR287" s="179">
        <v>2600</v>
      </c>
      <c r="AS287" s="180">
        <f t="shared" si="70"/>
        <v>52000</v>
      </c>
    </row>
    <row r="288" spans="1:50" ht="15.75" hidden="1">
      <c r="A288" s="71"/>
      <c r="B288" s="125"/>
      <c r="C288" s="72"/>
      <c r="D288" s="54"/>
      <c r="E288" s="254" t="s">
        <v>1340</v>
      </c>
      <c r="F288" s="37"/>
      <c r="G288" s="125"/>
      <c r="H288" s="125"/>
      <c r="I288" s="125"/>
      <c r="J288" s="125"/>
      <c r="K288" s="126"/>
      <c r="L288" s="127"/>
      <c r="M288" s="128"/>
      <c r="N288" s="125"/>
      <c r="O288" s="126"/>
      <c r="P288" s="125"/>
      <c r="Q288" s="128"/>
      <c r="R288" s="125"/>
      <c r="S288" s="126"/>
      <c r="T288" s="125"/>
      <c r="U288" s="128"/>
      <c r="V288" s="125"/>
      <c r="W288" s="128"/>
      <c r="X288" s="125"/>
      <c r="Y288" s="128"/>
      <c r="Z288" s="125"/>
      <c r="AA288" s="128"/>
      <c r="AB288" s="125"/>
      <c r="AC288" s="128"/>
      <c r="AD288" s="125"/>
      <c r="AE288" s="128"/>
      <c r="AF288" s="125"/>
      <c r="AG288" s="128"/>
      <c r="AH288" s="125"/>
      <c r="AI288" s="128"/>
      <c r="AJ288" s="125"/>
      <c r="AK288" s="128"/>
      <c r="AL288" s="125"/>
      <c r="AM288" s="128"/>
      <c r="AN288" s="125"/>
      <c r="AO288" s="128"/>
      <c r="AP288" s="125"/>
      <c r="AQ288" s="68"/>
      <c r="AR288" s="179"/>
      <c r="AS288" s="221">
        <f>SUM(AS285:AS287)</f>
        <v>1302000</v>
      </c>
    </row>
    <row r="289" spans="1:50" ht="28.5" hidden="1">
      <c r="A289" s="71">
        <v>265</v>
      </c>
      <c r="B289" s="37" t="s">
        <v>1241</v>
      </c>
      <c r="C289" s="37" t="s">
        <v>1242</v>
      </c>
      <c r="D289" s="37">
        <v>333</v>
      </c>
      <c r="E289" s="37" t="s">
        <v>1243</v>
      </c>
      <c r="F289" s="53" t="s">
        <v>1244</v>
      </c>
      <c r="G289" s="125"/>
      <c r="H289" s="125"/>
      <c r="I289" s="125"/>
      <c r="J289" s="125"/>
      <c r="K289" s="126"/>
      <c r="L289" s="127"/>
      <c r="M289" s="128"/>
      <c r="N289" s="125"/>
      <c r="O289" s="126"/>
      <c r="P289" s="125"/>
      <c r="Q289" s="128"/>
      <c r="R289" s="125"/>
      <c r="S289" s="126">
        <v>1</v>
      </c>
      <c r="T289" s="125">
        <v>500000</v>
      </c>
      <c r="U289" s="128"/>
      <c r="V289" s="125"/>
      <c r="W289" s="128"/>
      <c r="X289" s="125"/>
      <c r="Y289" s="128"/>
      <c r="Z289" s="125"/>
      <c r="AA289" s="128"/>
      <c r="AB289" s="125"/>
      <c r="AC289" s="128"/>
      <c r="AD289" s="125"/>
      <c r="AE289" s="128"/>
      <c r="AF289" s="125"/>
      <c r="AG289" s="128"/>
      <c r="AH289" s="125"/>
      <c r="AI289" s="128"/>
      <c r="AJ289" s="125"/>
      <c r="AK289" s="128"/>
      <c r="AL289" s="125"/>
      <c r="AM289" s="128"/>
      <c r="AN289" s="125"/>
      <c r="AO289" s="128"/>
      <c r="AP289" s="125"/>
      <c r="AQ289" s="84">
        <f t="shared" si="46"/>
        <v>1</v>
      </c>
      <c r="AR289" s="179">
        <v>500000</v>
      </c>
      <c r="AS289" s="180">
        <f>+AQ289*AR289</f>
        <v>500000</v>
      </c>
    </row>
    <row r="290" spans="1:50" ht="28.5" hidden="1">
      <c r="A290" s="71">
        <v>266</v>
      </c>
      <c r="B290" s="154" t="s">
        <v>1275</v>
      </c>
      <c r="C290" s="72" t="s">
        <v>1276</v>
      </c>
      <c r="D290" s="54">
        <v>332</v>
      </c>
      <c r="E290" s="54" t="s">
        <v>1358</v>
      </c>
      <c r="F290" s="53" t="s">
        <v>1244</v>
      </c>
      <c r="G290" s="54"/>
      <c r="H290" s="54"/>
      <c r="I290" s="54"/>
      <c r="J290" s="125"/>
      <c r="K290" s="126"/>
      <c r="L290" s="127"/>
      <c r="M290" s="128"/>
      <c r="N290" s="125"/>
      <c r="O290" s="126"/>
      <c r="P290" s="125"/>
      <c r="Q290" s="128"/>
      <c r="R290" s="125"/>
      <c r="S290" s="126"/>
      <c r="T290" s="125"/>
      <c r="U290" s="128">
        <v>1</v>
      </c>
      <c r="V290" s="127">
        <f>+U290*AR290</f>
        <v>130000</v>
      </c>
      <c r="W290" s="128"/>
      <c r="X290" s="127"/>
      <c r="Y290" s="128"/>
      <c r="Z290" s="127"/>
      <c r="AA290" s="128"/>
      <c r="AB290" s="127"/>
      <c r="AC290" s="128"/>
      <c r="AD290" s="127"/>
      <c r="AE290" s="128"/>
      <c r="AF290" s="127"/>
      <c r="AG290" s="128"/>
      <c r="AH290" s="127"/>
      <c r="AI290" s="128"/>
      <c r="AJ290" s="127"/>
      <c r="AK290" s="128"/>
      <c r="AL290" s="127"/>
      <c r="AM290" s="128"/>
      <c r="AN290" s="127"/>
      <c r="AO290" s="128"/>
      <c r="AP290" s="127"/>
      <c r="AQ290" s="84">
        <f t="shared" si="46"/>
        <v>1</v>
      </c>
      <c r="AR290" s="167">
        <v>130000</v>
      </c>
      <c r="AS290" s="180">
        <f t="shared" ref="AS290:AS301" si="71">+AQ290*AR290</f>
        <v>130000</v>
      </c>
    </row>
    <row r="291" spans="1:50" ht="28.5" hidden="1">
      <c r="A291" s="71">
        <v>267</v>
      </c>
      <c r="B291" s="154" t="s">
        <v>1275</v>
      </c>
      <c r="C291" s="72" t="s">
        <v>1276</v>
      </c>
      <c r="D291" s="54">
        <v>332</v>
      </c>
      <c r="E291" s="54" t="s">
        <v>1358</v>
      </c>
      <c r="F291" s="53" t="s">
        <v>1244</v>
      </c>
      <c r="G291" s="54"/>
      <c r="H291" s="54"/>
      <c r="I291" s="54"/>
      <c r="J291" s="125"/>
      <c r="K291" s="126"/>
      <c r="L291" s="127"/>
      <c r="M291" s="128"/>
      <c r="N291" s="125"/>
      <c r="O291" s="126"/>
      <c r="P291" s="125"/>
      <c r="Q291" s="128"/>
      <c r="R291" s="125"/>
      <c r="S291" s="126"/>
      <c r="T291" s="125"/>
      <c r="U291" s="128">
        <v>1</v>
      </c>
      <c r="V291" s="127">
        <f t="shared" ref="V291:V298" si="72">+U291*AR291</f>
        <v>220500</v>
      </c>
      <c r="W291" s="128"/>
      <c r="X291" s="127"/>
      <c r="Y291" s="128"/>
      <c r="Z291" s="127"/>
      <c r="AA291" s="128"/>
      <c r="AB291" s="127"/>
      <c r="AC291" s="128"/>
      <c r="AD291" s="127"/>
      <c r="AE291" s="128"/>
      <c r="AF291" s="127"/>
      <c r="AG291" s="128"/>
      <c r="AH291" s="127"/>
      <c r="AI291" s="128"/>
      <c r="AJ291" s="127"/>
      <c r="AK291" s="128"/>
      <c r="AL291" s="127"/>
      <c r="AM291" s="128"/>
      <c r="AN291" s="127"/>
      <c r="AO291" s="128"/>
      <c r="AP291" s="127"/>
      <c r="AQ291" s="84">
        <f t="shared" si="46"/>
        <v>1</v>
      </c>
      <c r="AR291" s="167">
        <v>220500</v>
      </c>
      <c r="AS291" s="180">
        <f t="shared" si="71"/>
        <v>220500</v>
      </c>
    </row>
    <row r="292" spans="1:50" ht="28.5" hidden="1">
      <c r="A292" s="71">
        <v>268</v>
      </c>
      <c r="B292" s="154" t="s">
        <v>1275</v>
      </c>
      <c r="C292" s="72" t="s">
        <v>1276</v>
      </c>
      <c r="D292" s="54">
        <v>332</v>
      </c>
      <c r="E292" s="54" t="s">
        <v>1358</v>
      </c>
      <c r="F292" s="53" t="s">
        <v>1244</v>
      </c>
      <c r="G292" s="54"/>
      <c r="H292" s="54"/>
      <c r="I292" s="54"/>
      <c r="J292" s="125"/>
      <c r="K292" s="126"/>
      <c r="L292" s="127"/>
      <c r="M292" s="128"/>
      <c r="N292" s="125"/>
      <c r="O292" s="126"/>
      <c r="P292" s="125"/>
      <c r="Q292" s="128"/>
      <c r="R292" s="125"/>
      <c r="S292" s="126"/>
      <c r="T292" s="125"/>
      <c r="U292" s="128">
        <v>1</v>
      </c>
      <c r="V292" s="127">
        <f t="shared" si="72"/>
        <v>191800</v>
      </c>
      <c r="W292" s="128"/>
      <c r="X292" s="127"/>
      <c r="Y292" s="128"/>
      <c r="Z292" s="127"/>
      <c r="AA292" s="128"/>
      <c r="AB292" s="127"/>
      <c r="AC292" s="128"/>
      <c r="AD292" s="127"/>
      <c r="AE292" s="128"/>
      <c r="AF292" s="127"/>
      <c r="AG292" s="128"/>
      <c r="AH292" s="127"/>
      <c r="AI292" s="128"/>
      <c r="AJ292" s="127"/>
      <c r="AK292" s="128"/>
      <c r="AL292" s="127"/>
      <c r="AM292" s="128"/>
      <c r="AN292" s="127"/>
      <c r="AO292" s="128"/>
      <c r="AP292" s="127"/>
      <c r="AQ292" s="84">
        <f t="shared" si="46"/>
        <v>1</v>
      </c>
      <c r="AR292" s="167">
        <v>191800</v>
      </c>
      <c r="AS292" s="180">
        <f t="shared" si="71"/>
        <v>191800</v>
      </c>
    </row>
    <row r="293" spans="1:50" ht="28.5" hidden="1">
      <c r="A293" s="71">
        <v>269</v>
      </c>
      <c r="B293" s="154" t="s">
        <v>1275</v>
      </c>
      <c r="C293" s="72" t="s">
        <v>1276</v>
      </c>
      <c r="D293" s="54">
        <v>332</v>
      </c>
      <c r="E293" s="54" t="s">
        <v>1358</v>
      </c>
      <c r="F293" s="53" t="s">
        <v>1244</v>
      </c>
      <c r="G293" s="54"/>
      <c r="H293" s="54"/>
      <c r="I293" s="54"/>
      <c r="J293" s="125"/>
      <c r="K293" s="126"/>
      <c r="L293" s="127"/>
      <c r="M293" s="128"/>
      <c r="N293" s="125"/>
      <c r="O293" s="126"/>
      <c r="P293" s="125"/>
      <c r="Q293" s="128"/>
      <c r="R293" s="125"/>
      <c r="S293" s="126"/>
      <c r="T293" s="125"/>
      <c r="U293" s="128">
        <v>1</v>
      </c>
      <c r="V293" s="127">
        <f t="shared" si="72"/>
        <v>140500</v>
      </c>
      <c r="W293" s="128"/>
      <c r="X293" s="127"/>
      <c r="Y293" s="128"/>
      <c r="Z293" s="127"/>
      <c r="AA293" s="128"/>
      <c r="AB293" s="127"/>
      <c r="AC293" s="128"/>
      <c r="AD293" s="127"/>
      <c r="AE293" s="128"/>
      <c r="AF293" s="127"/>
      <c r="AG293" s="128"/>
      <c r="AH293" s="127"/>
      <c r="AI293" s="128"/>
      <c r="AJ293" s="127"/>
      <c r="AK293" s="128"/>
      <c r="AL293" s="127"/>
      <c r="AM293" s="128"/>
      <c r="AN293" s="127"/>
      <c r="AO293" s="128"/>
      <c r="AP293" s="127"/>
      <c r="AQ293" s="84">
        <f t="shared" si="46"/>
        <v>1</v>
      </c>
      <c r="AR293" s="167">
        <v>140500</v>
      </c>
      <c r="AS293" s="180">
        <f t="shared" si="71"/>
        <v>140500</v>
      </c>
    </row>
    <row r="294" spans="1:50" ht="28.5" hidden="1">
      <c r="A294" s="71">
        <v>270</v>
      </c>
      <c r="B294" s="154" t="s">
        <v>1275</v>
      </c>
      <c r="C294" s="72" t="s">
        <v>1276</v>
      </c>
      <c r="D294" s="54">
        <v>332</v>
      </c>
      <c r="E294" s="54" t="s">
        <v>1358</v>
      </c>
      <c r="F294" s="53" t="s">
        <v>1244</v>
      </c>
      <c r="G294" s="54"/>
      <c r="H294" s="54"/>
      <c r="I294" s="54"/>
      <c r="J294" s="125"/>
      <c r="K294" s="126"/>
      <c r="L294" s="127"/>
      <c r="M294" s="128"/>
      <c r="N294" s="125"/>
      <c r="O294" s="126"/>
      <c r="P294" s="125"/>
      <c r="Q294" s="128"/>
      <c r="R294" s="125"/>
      <c r="S294" s="126"/>
      <c r="T294" s="125"/>
      <c r="U294" s="128">
        <v>1</v>
      </c>
      <c r="V294" s="127">
        <f t="shared" si="72"/>
        <v>188500</v>
      </c>
      <c r="W294" s="128"/>
      <c r="X294" s="127"/>
      <c r="Y294" s="128"/>
      <c r="Z294" s="127"/>
      <c r="AA294" s="128"/>
      <c r="AB294" s="127"/>
      <c r="AC294" s="128"/>
      <c r="AD294" s="127"/>
      <c r="AE294" s="128"/>
      <c r="AF294" s="127"/>
      <c r="AG294" s="128"/>
      <c r="AH294" s="127"/>
      <c r="AI294" s="128"/>
      <c r="AJ294" s="127"/>
      <c r="AK294" s="128"/>
      <c r="AL294" s="127"/>
      <c r="AM294" s="128"/>
      <c r="AN294" s="127"/>
      <c r="AO294" s="128"/>
      <c r="AP294" s="127"/>
      <c r="AQ294" s="84">
        <f t="shared" si="46"/>
        <v>1</v>
      </c>
      <c r="AR294" s="167">
        <v>188500</v>
      </c>
      <c r="AS294" s="180">
        <f t="shared" si="71"/>
        <v>188500</v>
      </c>
    </row>
    <row r="295" spans="1:50" ht="28.5" hidden="1">
      <c r="A295" s="71">
        <v>271</v>
      </c>
      <c r="B295" s="154" t="s">
        <v>1275</v>
      </c>
      <c r="C295" s="72" t="s">
        <v>1276</v>
      </c>
      <c r="D295" s="54">
        <v>332</v>
      </c>
      <c r="E295" s="54" t="s">
        <v>1358</v>
      </c>
      <c r="F295" s="53" t="s">
        <v>1244</v>
      </c>
      <c r="G295" s="54"/>
      <c r="H295" s="54"/>
      <c r="I295" s="54"/>
      <c r="J295" s="125"/>
      <c r="K295" s="126"/>
      <c r="L295" s="127"/>
      <c r="M295" s="128"/>
      <c r="N295" s="125"/>
      <c r="O295" s="126"/>
      <c r="P295" s="125"/>
      <c r="Q295" s="128"/>
      <c r="R295" s="125"/>
      <c r="S295" s="126"/>
      <c r="T295" s="125"/>
      <c r="U295" s="128">
        <v>1</v>
      </c>
      <c r="V295" s="127">
        <f t="shared" si="72"/>
        <v>292200</v>
      </c>
      <c r="W295" s="128"/>
      <c r="X295" s="127"/>
      <c r="Y295" s="128"/>
      <c r="Z295" s="127"/>
      <c r="AA295" s="128"/>
      <c r="AB295" s="127"/>
      <c r="AC295" s="128"/>
      <c r="AD295" s="127"/>
      <c r="AE295" s="128"/>
      <c r="AF295" s="127"/>
      <c r="AG295" s="128"/>
      <c r="AH295" s="127"/>
      <c r="AI295" s="128"/>
      <c r="AJ295" s="127"/>
      <c r="AK295" s="128"/>
      <c r="AL295" s="127"/>
      <c r="AM295" s="128"/>
      <c r="AN295" s="127"/>
      <c r="AO295" s="128"/>
      <c r="AP295" s="127"/>
      <c r="AQ295" s="84">
        <f t="shared" si="46"/>
        <v>1</v>
      </c>
      <c r="AR295" s="167">
        <v>292200</v>
      </c>
      <c r="AS295" s="180">
        <f t="shared" si="71"/>
        <v>292200</v>
      </c>
    </row>
    <row r="296" spans="1:50" ht="28.5" hidden="1">
      <c r="A296" s="71">
        <v>272</v>
      </c>
      <c r="B296" s="154" t="s">
        <v>1275</v>
      </c>
      <c r="C296" s="72" t="s">
        <v>1276</v>
      </c>
      <c r="D296" s="54">
        <v>332</v>
      </c>
      <c r="E296" s="54" t="s">
        <v>1358</v>
      </c>
      <c r="F296" s="53" t="s">
        <v>1244</v>
      </c>
      <c r="G296" s="54"/>
      <c r="H296" s="54"/>
      <c r="I296" s="54"/>
      <c r="J296" s="125"/>
      <c r="K296" s="126"/>
      <c r="L296" s="127"/>
      <c r="M296" s="128"/>
      <c r="N296" s="125"/>
      <c r="O296" s="126"/>
      <c r="P296" s="125"/>
      <c r="Q296" s="128"/>
      <c r="R296" s="125"/>
      <c r="S296" s="126"/>
      <c r="T296" s="125"/>
      <c r="U296" s="128">
        <v>1</v>
      </c>
      <c r="V296" s="127">
        <f t="shared" si="72"/>
        <v>304200</v>
      </c>
      <c r="W296" s="128"/>
      <c r="X296" s="127"/>
      <c r="Y296" s="128"/>
      <c r="Z296" s="127"/>
      <c r="AA296" s="128"/>
      <c r="AB296" s="127"/>
      <c r="AC296" s="128"/>
      <c r="AD296" s="127"/>
      <c r="AE296" s="128"/>
      <c r="AF296" s="127"/>
      <c r="AG296" s="128"/>
      <c r="AH296" s="127"/>
      <c r="AI296" s="128"/>
      <c r="AJ296" s="127"/>
      <c r="AK296" s="128"/>
      <c r="AL296" s="127"/>
      <c r="AM296" s="128"/>
      <c r="AN296" s="127"/>
      <c r="AO296" s="128"/>
      <c r="AP296" s="127"/>
      <c r="AQ296" s="84">
        <f t="shared" si="46"/>
        <v>1</v>
      </c>
      <c r="AR296" s="167">
        <v>304200</v>
      </c>
      <c r="AS296" s="180">
        <f t="shared" si="71"/>
        <v>304200</v>
      </c>
    </row>
    <row r="297" spans="1:50" ht="28.5" hidden="1">
      <c r="A297" s="71">
        <v>273</v>
      </c>
      <c r="B297" s="154" t="s">
        <v>1275</v>
      </c>
      <c r="C297" s="72" t="s">
        <v>1276</v>
      </c>
      <c r="D297" s="54">
        <v>332</v>
      </c>
      <c r="E297" s="54" t="s">
        <v>1358</v>
      </c>
      <c r="F297" s="53" t="s">
        <v>1244</v>
      </c>
      <c r="G297" s="54"/>
      <c r="H297" s="54"/>
      <c r="I297" s="54"/>
      <c r="J297" s="125"/>
      <c r="K297" s="126"/>
      <c r="L297" s="127"/>
      <c r="M297" s="128"/>
      <c r="N297" s="125"/>
      <c r="O297" s="126"/>
      <c r="P297" s="125"/>
      <c r="Q297" s="128"/>
      <c r="R297" s="125"/>
      <c r="S297" s="126"/>
      <c r="T297" s="125"/>
      <c r="U297" s="128">
        <v>1</v>
      </c>
      <c r="V297" s="127">
        <f t="shared" si="72"/>
        <v>183900</v>
      </c>
      <c r="W297" s="128"/>
      <c r="X297" s="127"/>
      <c r="Y297" s="128"/>
      <c r="Z297" s="127"/>
      <c r="AA297" s="128"/>
      <c r="AB297" s="127"/>
      <c r="AC297" s="128"/>
      <c r="AD297" s="127"/>
      <c r="AE297" s="128"/>
      <c r="AF297" s="127"/>
      <c r="AG297" s="128"/>
      <c r="AH297" s="127"/>
      <c r="AI297" s="128"/>
      <c r="AJ297" s="127"/>
      <c r="AK297" s="128"/>
      <c r="AL297" s="127"/>
      <c r="AM297" s="128"/>
      <c r="AN297" s="127"/>
      <c r="AO297" s="128"/>
      <c r="AP297" s="127"/>
      <c r="AQ297" s="84">
        <f t="shared" si="46"/>
        <v>1</v>
      </c>
      <c r="AR297" s="167">
        <v>183900</v>
      </c>
      <c r="AS297" s="180">
        <f t="shared" si="71"/>
        <v>183900</v>
      </c>
    </row>
    <row r="298" spans="1:50" ht="28.5" hidden="1">
      <c r="A298" s="71">
        <v>274</v>
      </c>
      <c r="B298" s="154" t="s">
        <v>1275</v>
      </c>
      <c r="C298" s="72" t="s">
        <v>1276</v>
      </c>
      <c r="D298" s="54">
        <v>332</v>
      </c>
      <c r="E298" s="54" t="s">
        <v>1358</v>
      </c>
      <c r="F298" s="53" t="s">
        <v>1244</v>
      </c>
      <c r="G298" s="54"/>
      <c r="H298" s="54"/>
      <c r="I298" s="54"/>
      <c r="J298" s="125"/>
      <c r="K298" s="126"/>
      <c r="L298" s="127"/>
      <c r="M298" s="128"/>
      <c r="N298" s="125"/>
      <c r="O298" s="126"/>
      <c r="P298" s="125"/>
      <c r="Q298" s="128"/>
      <c r="R298" s="125"/>
      <c r="S298" s="126"/>
      <c r="T298" s="125"/>
      <c r="U298" s="128">
        <v>1</v>
      </c>
      <c r="V298" s="127">
        <f t="shared" si="72"/>
        <v>475000</v>
      </c>
      <c r="W298" s="128"/>
      <c r="X298" s="127"/>
      <c r="Y298" s="128"/>
      <c r="Z298" s="127"/>
      <c r="AA298" s="128"/>
      <c r="AB298" s="127"/>
      <c r="AC298" s="128"/>
      <c r="AD298" s="127"/>
      <c r="AE298" s="128"/>
      <c r="AF298" s="127"/>
      <c r="AG298" s="128"/>
      <c r="AH298" s="127"/>
      <c r="AI298" s="128"/>
      <c r="AJ298" s="127"/>
      <c r="AK298" s="128"/>
      <c r="AL298" s="127"/>
      <c r="AM298" s="128"/>
      <c r="AN298" s="127"/>
      <c r="AO298" s="128"/>
      <c r="AP298" s="127"/>
      <c r="AQ298" s="84">
        <f t="shared" si="46"/>
        <v>1</v>
      </c>
      <c r="AR298" s="167">
        <v>475000</v>
      </c>
      <c r="AS298" s="180">
        <f t="shared" si="71"/>
        <v>475000</v>
      </c>
    </row>
    <row r="299" spans="1:50" ht="28.5" hidden="1">
      <c r="A299" s="71">
        <v>275</v>
      </c>
      <c r="B299" s="71" t="s">
        <v>1268</v>
      </c>
      <c r="C299" s="72" t="s">
        <v>1277</v>
      </c>
      <c r="D299" s="54">
        <v>346</v>
      </c>
      <c r="E299" s="54" t="s">
        <v>1278</v>
      </c>
      <c r="F299" s="53" t="s">
        <v>1244</v>
      </c>
      <c r="G299" s="125"/>
      <c r="H299" s="125"/>
      <c r="I299" s="125"/>
      <c r="J299" s="125"/>
      <c r="K299" s="126"/>
      <c r="L299" s="127"/>
      <c r="M299" s="128"/>
      <c r="N299" s="125"/>
      <c r="O299" s="126"/>
      <c r="P299" s="125"/>
      <c r="Q299" s="128"/>
      <c r="R299" s="125"/>
      <c r="S299" s="126"/>
      <c r="T299" s="125"/>
      <c r="U299" s="128">
        <v>3</v>
      </c>
      <c r="V299" s="127">
        <f>+U299*AR299</f>
        <v>198800</v>
      </c>
      <c r="W299" s="128"/>
      <c r="X299" s="127"/>
      <c r="Y299" s="128"/>
      <c r="Z299" s="127"/>
      <c r="AA299" s="128"/>
      <c r="AB299" s="127"/>
      <c r="AC299" s="128"/>
      <c r="AD299" s="127"/>
      <c r="AE299" s="128"/>
      <c r="AF299" s="127"/>
      <c r="AG299" s="128"/>
      <c r="AH299" s="127"/>
      <c r="AI299" s="128"/>
      <c r="AJ299" s="127"/>
      <c r="AK299" s="128"/>
      <c r="AL299" s="127"/>
      <c r="AM299" s="128"/>
      <c r="AN299" s="127"/>
      <c r="AO299" s="128"/>
      <c r="AP299" s="127"/>
      <c r="AQ299" s="84">
        <f t="shared" si="46"/>
        <v>3</v>
      </c>
      <c r="AR299" s="179">
        <f>198800/3</f>
        <v>66266.666666666672</v>
      </c>
      <c r="AS299" s="180">
        <f t="shared" si="71"/>
        <v>198800</v>
      </c>
    </row>
    <row r="300" spans="1:50" ht="14.25" hidden="1">
      <c r="A300" s="71">
        <v>276</v>
      </c>
      <c r="B300" s="125" t="s">
        <v>1279</v>
      </c>
      <c r="C300" s="72" t="s">
        <v>1281</v>
      </c>
      <c r="D300" s="54">
        <v>324</v>
      </c>
      <c r="E300" s="54" t="s">
        <v>1280</v>
      </c>
      <c r="F300" s="53" t="s">
        <v>1307</v>
      </c>
      <c r="G300" s="125"/>
      <c r="H300" s="125"/>
      <c r="I300" s="125"/>
      <c r="J300" s="125"/>
      <c r="K300" s="126"/>
      <c r="L300" s="127"/>
      <c r="M300" s="128"/>
      <c r="N300" s="125"/>
      <c r="O300" s="126"/>
      <c r="P300" s="125"/>
      <c r="Q300" s="128"/>
      <c r="R300" s="125"/>
      <c r="S300" s="126"/>
      <c r="T300" s="125"/>
      <c r="U300" s="128">
        <v>3</v>
      </c>
      <c r="V300" s="127">
        <f>+U300*AR300</f>
        <v>199200</v>
      </c>
      <c r="W300" s="128"/>
      <c r="X300" s="127"/>
      <c r="Y300" s="128"/>
      <c r="Z300" s="127"/>
      <c r="AA300" s="128"/>
      <c r="AB300" s="127"/>
      <c r="AC300" s="128"/>
      <c r="AD300" s="127"/>
      <c r="AE300" s="128"/>
      <c r="AF300" s="127"/>
      <c r="AG300" s="128"/>
      <c r="AH300" s="127"/>
      <c r="AI300" s="128"/>
      <c r="AJ300" s="127"/>
      <c r="AK300" s="128"/>
      <c r="AL300" s="127"/>
      <c r="AM300" s="128"/>
      <c r="AN300" s="127"/>
      <c r="AO300" s="128"/>
      <c r="AP300" s="127"/>
      <c r="AQ300" s="84">
        <f t="shared" si="46"/>
        <v>3</v>
      </c>
      <c r="AR300" s="179">
        <v>66400</v>
      </c>
      <c r="AS300" s="180">
        <f t="shared" si="71"/>
        <v>199200</v>
      </c>
    </row>
    <row r="301" spans="1:50" ht="28.5" hidden="1">
      <c r="A301" s="71">
        <v>277</v>
      </c>
      <c r="B301" s="125" t="s">
        <v>1304</v>
      </c>
      <c r="C301" s="72" t="s">
        <v>1305</v>
      </c>
      <c r="D301" s="54">
        <v>393</v>
      </c>
      <c r="E301" s="54" t="s">
        <v>1306</v>
      </c>
      <c r="F301" s="53" t="s">
        <v>1307</v>
      </c>
      <c r="G301" s="125"/>
      <c r="H301" s="125"/>
      <c r="I301" s="125"/>
      <c r="J301" s="125"/>
      <c r="K301" s="126"/>
      <c r="L301" s="127"/>
      <c r="M301" s="128"/>
      <c r="N301" s="125"/>
      <c r="O301" s="126"/>
      <c r="P301" s="125"/>
      <c r="Q301" s="128"/>
      <c r="R301" s="125"/>
      <c r="S301" s="126"/>
      <c r="T301" s="125"/>
      <c r="U301" s="128"/>
      <c r="V301" s="127"/>
      <c r="W301" s="128">
        <v>3</v>
      </c>
      <c r="X301" s="127">
        <f>+W301*AR301</f>
        <v>2340000</v>
      </c>
      <c r="Y301" s="128"/>
      <c r="Z301" s="127"/>
      <c r="AA301" s="128"/>
      <c r="AB301" s="127"/>
      <c r="AC301" s="128"/>
      <c r="AD301" s="127"/>
      <c r="AE301" s="128"/>
      <c r="AF301" s="127"/>
      <c r="AG301" s="128"/>
      <c r="AH301" s="127"/>
      <c r="AI301" s="128"/>
      <c r="AJ301" s="127"/>
      <c r="AK301" s="128"/>
      <c r="AL301" s="127"/>
      <c r="AM301" s="128"/>
      <c r="AN301" s="127"/>
      <c r="AO301" s="128"/>
      <c r="AP301" s="127"/>
      <c r="AQ301" s="84">
        <f t="shared" si="46"/>
        <v>3</v>
      </c>
      <c r="AR301" s="179">
        <v>780000</v>
      </c>
      <c r="AS301" s="180">
        <f t="shared" si="71"/>
        <v>2340000</v>
      </c>
    </row>
    <row r="302" spans="1:50" ht="15.75" hidden="1">
      <c r="A302" s="71"/>
      <c r="B302" s="125"/>
      <c r="C302" s="72"/>
      <c r="D302" s="54"/>
      <c r="E302" s="254" t="s">
        <v>1253</v>
      </c>
      <c r="F302" s="37"/>
      <c r="G302" s="125"/>
      <c r="H302" s="125"/>
      <c r="I302" s="125"/>
      <c r="J302" s="125"/>
      <c r="K302" s="126"/>
      <c r="L302" s="127"/>
      <c r="M302" s="128"/>
      <c r="N302" s="125"/>
      <c r="O302" s="126"/>
      <c r="P302" s="125"/>
      <c r="Q302" s="128"/>
      <c r="R302" s="125"/>
      <c r="S302" s="126"/>
      <c r="T302" s="125"/>
      <c r="U302" s="128"/>
      <c r="V302" s="125"/>
      <c r="W302" s="128"/>
      <c r="X302" s="125"/>
      <c r="Y302" s="128"/>
      <c r="Z302" s="125"/>
      <c r="AA302" s="128"/>
      <c r="AB302" s="125"/>
      <c r="AC302" s="128"/>
      <c r="AD302" s="125"/>
      <c r="AE302" s="128"/>
      <c r="AF302" s="125"/>
      <c r="AG302" s="128"/>
      <c r="AH302" s="125"/>
      <c r="AI302" s="128"/>
      <c r="AJ302" s="125"/>
      <c r="AK302" s="128"/>
      <c r="AL302" s="125"/>
      <c r="AM302" s="128"/>
      <c r="AN302" s="125"/>
      <c r="AO302" s="128"/>
      <c r="AP302" s="125"/>
      <c r="AQ302" s="68"/>
      <c r="AR302" s="179"/>
      <c r="AS302" s="221">
        <f>SUM(AS289:AS301)</f>
        <v>5364600</v>
      </c>
    </row>
    <row r="303" spans="1:50" ht="28.5" hidden="1">
      <c r="A303" s="60">
        <v>278</v>
      </c>
      <c r="B303" s="195" t="s">
        <v>1282</v>
      </c>
      <c r="C303" s="132" t="s">
        <v>1284</v>
      </c>
      <c r="D303" s="65">
        <v>251</v>
      </c>
      <c r="E303" s="200" t="s">
        <v>1283</v>
      </c>
      <c r="F303" s="65" t="s">
        <v>1285</v>
      </c>
      <c r="G303" s="37"/>
      <c r="H303" s="37"/>
      <c r="I303" s="37"/>
      <c r="J303" s="35"/>
      <c r="K303" s="36"/>
      <c r="L303" s="35"/>
      <c r="M303" s="39"/>
      <c r="N303" s="35"/>
      <c r="O303" s="36"/>
      <c r="P303" s="35"/>
      <c r="Q303" s="39"/>
      <c r="R303" s="35"/>
      <c r="S303" s="36"/>
      <c r="T303" s="35"/>
      <c r="U303" s="39">
        <v>550</v>
      </c>
      <c r="V303" s="35">
        <f>+U303*AR303</f>
        <v>192500</v>
      </c>
      <c r="W303" s="39"/>
      <c r="X303" s="35"/>
      <c r="Y303" s="39"/>
      <c r="Z303" s="35"/>
      <c r="AA303" s="39"/>
      <c r="AB303" s="35"/>
      <c r="AC303" s="39"/>
      <c r="AD303" s="35"/>
      <c r="AE303" s="39"/>
      <c r="AF303" s="35"/>
      <c r="AG303" s="39"/>
      <c r="AH303" s="35"/>
      <c r="AI303" s="39"/>
      <c r="AJ303" s="35"/>
      <c r="AK303" s="39"/>
      <c r="AL303" s="35"/>
      <c r="AM303" s="39"/>
      <c r="AN303" s="35"/>
      <c r="AO303" s="39">
        <f>400+200+150+300+600+1300+600+700+1000</f>
        <v>5250</v>
      </c>
      <c r="AP303" s="35">
        <f>+AO303*AR303</f>
        <v>1837500</v>
      </c>
      <c r="AQ303" s="84">
        <f t="shared" si="46"/>
        <v>5800</v>
      </c>
      <c r="AR303" s="143">
        <v>350</v>
      </c>
      <c r="AS303" s="174">
        <f>+AQ303*AR303</f>
        <v>2030000</v>
      </c>
      <c r="AT303" s="21"/>
      <c r="AU303" s="21"/>
      <c r="AV303" s="21"/>
      <c r="AW303" s="21"/>
      <c r="AX303" s="22"/>
    </row>
    <row r="304" spans="1:50" ht="15.75" hidden="1">
      <c r="A304" s="60"/>
      <c r="B304" s="195"/>
      <c r="C304" s="132"/>
      <c r="D304" s="65"/>
      <c r="E304" s="256" t="s">
        <v>1286</v>
      </c>
      <c r="F304" s="65"/>
      <c r="G304" s="37"/>
      <c r="H304" s="37"/>
      <c r="I304" s="37"/>
      <c r="J304" s="35"/>
      <c r="K304" s="36"/>
      <c r="L304" s="35"/>
      <c r="M304" s="39"/>
      <c r="N304" s="35"/>
      <c r="O304" s="36"/>
      <c r="P304" s="35"/>
      <c r="Q304" s="39"/>
      <c r="R304" s="35"/>
      <c r="S304" s="36"/>
      <c r="T304" s="35"/>
      <c r="U304" s="39"/>
      <c r="V304" s="35"/>
      <c r="W304" s="39"/>
      <c r="X304" s="35"/>
      <c r="Y304" s="39"/>
      <c r="Z304" s="35"/>
      <c r="AA304" s="39"/>
      <c r="AB304" s="35"/>
      <c r="AC304" s="39"/>
      <c r="AD304" s="35"/>
      <c r="AE304" s="39"/>
      <c r="AF304" s="35"/>
      <c r="AG304" s="39"/>
      <c r="AH304" s="35"/>
      <c r="AI304" s="39"/>
      <c r="AJ304" s="35"/>
      <c r="AK304" s="39"/>
      <c r="AL304" s="35"/>
      <c r="AM304" s="39"/>
      <c r="AN304" s="35"/>
      <c r="AO304" s="39"/>
      <c r="AP304" s="35"/>
      <c r="AQ304" s="84"/>
      <c r="AR304" s="143"/>
      <c r="AS304" s="219">
        <f>+AS303</f>
        <v>2030000</v>
      </c>
      <c r="AT304" s="21"/>
      <c r="AU304" s="21"/>
      <c r="AV304" s="21"/>
      <c r="AW304" s="21"/>
      <c r="AX304" s="22"/>
    </row>
    <row r="305" spans="1:45" ht="28.5" hidden="1">
      <c r="A305" s="67">
        <v>279</v>
      </c>
      <c r="B305" s="37" t="s">
        <v>1228</v>
      </c>
      <c r="C305" s="53" t="s">
        <v>1250</v>
      </c>
      <c r="D305" s="37">
        <v>252</v>
      </c>
      <c r="E305" s="37" t="s">
        <v>1227</v>
      </c>
      <c r="F305" s="110" t="s">
        <v>12</v>
      </c>
      <c r="G305" s="37"/>
      <c r="H305" s="37"/>
      <c r="I305" s="37"/>
      <c r="J305" s="37"/>
      <c r="K305" s="36"/>
      <c r="L305" s="35"/>
      <c r="M305" s="39"/>
      <c r="N305" s="37"/>
      <c r="O305" s="36"/>
      <c r="P305" s="37"/>
      <c r="Q305" s="39"/>
      <c r="R305" s="37"/>
      <c r="S305" s="120">
        <v>400</v>
      </c>
      <c r="T305" s="40">
        <f t="shared" ref="T305:T368" si="73">+S305*AR305</f>
        <v>714000</v>
      </c>
      <c r="U305" s="39"/>
      <c r="V305" s="40"/>
      <c r="W305" s="39"/>
      <c r="X305" s="40"/>
      <c r="Y305" s="39"/>
      <c r="Z305" s="40"/>
      <c r="AA305" s="39"/>
      <c r="AB305" s="40"/>
      <c r="AC305" s="39"/>
      <c r="AD305" s="40"/>
      <c r="AE305" s="39"/>
      <c r="AF305" s="40"/>
      <c r="AG305" s="39"/>
      <c r="AH305" s="40"/>
      <c r="AI305" s="39"/>
      <c r="AJ305" s="40"/>
      <c r="AK305" s="39"/>
      <c r="AL305" s="40"/>
      <c r="AM305" s="39"/>
      <c r="AN305" s="40"/>
      <c r="AO305" s="39"/>
      <c r="AP305" s="40"/>
      <c r="AQ305" s="84">
        <f t="shared" si="46"/>
        <v>400</v>
      </c>
      <c r="AR305" s="80">
        <v>1785</v>
      </c>
      <c r="AS305" s="178">
        <f>+AQ305*AR305</f>
        <v>714000</v>
      </c>
    </row>
    <row r="306" spans="1:45" ht="28.5" hidden="1">
      <c r="A306" s="71">
        <v>280</v>
      </c>
      <c r="B306" s="37" t="s">
        <v>1226</v>
      </c>
      <c r="C306" s="53" t="s">
        <v>1250</v>
      </c>
      <c r="D306" s="37">
        <v>252</v>
      </c>
      <c r="E306" s="37" t="s">
        <v>1225</v>
      </c>
      <c r="F306" s="110" t="s">
        <v>12</v>
      </c>
      <c r="G306" s="37"/>
      <c r="H306" s="37"/>
      <c r="I306" s="37"/>
      <c r="J306" s="37"/>
      <c r="K306" s="36"/>
      <c r="L306" s="35"/>
      <c r="M306" s="39"/>
      <c r="N306" s="37"/>
      <c r="O306" s="36"/>
      <c r="P306" s="37"/>
      <c r="Q306" s="39"/>
      <c r="R306" s="37"/>
      <c r="S306" s="120">
        <v>700</v>
      </c>
      <c r="T306" s="40">
        <f t="shared" si="73"/>
        <v>1963500</v>
      </c>
      <c r="U306" s="39"/>
      <c r="V306" s="40"/>
      <c r="W306" s="39"/>
      <c r="X306" s="40"/>
      <c r="Y306" s="39"/>
      <c r="Z306" s="40"/>
      <c r="AA306" s="39"/>
      <c r="AB306" s="40"/>
      <c r="AC306" s="39"/>
      <c r="AD306" s="40"/>
      <c r="AE306" s="39"/>
      <c r="AF306" s="40"/>
      <c r="AG306" s="39"/>
      <c r="AH306" s="40"/>
      <c r="AI306" s="39"/>
      <c r="AJ306" s="40"/>
      <c r="AK306" s="39"/>
      <c r="AL306" s="40"/>
      <c r="AM306" s="39"/>
      <c r="AN306" s="40"/>
      <c r="AO306" s="39"/>
      <c r="AP306" s="40"/>
      <c r="AQ306" s="84">
        <f t="shared" si="46"/>
        <v>700</v>
      </c>
      <c r="AR306" s="80">
        <v>2805</v>
      </c>
      <c r="AS306" s="178">
        <f t="shared" ref="AS306:AS369" si="74">+AQ306*AR306</f>
        <v>1963500</v>
      </c>
    </row>
    <row r="307" spans="1:45" ht="28.5" hidden="1">
      <c r="A307" s="67">
        <v>281</v>
      </c>
      <c r="B307" s="37" t="s">
        <v>1224</v>
      </c>
      <c r="C307" s="53" t="s">
        <v>1250</v>
      </c>
      <c r="D307" s="37">
        <v>252</v>
      </c>
      <c r="E307" s="37" t="s">
        <v>1223</v>
      </c>
      <c r="F307" s="110" t="s">
        <v>12</v>
      </c>
      <c r="G307" s="37"/>
      <c r="H307" s="37"/>
      <c r="I307" s="37"/>
      <c r="J307" s="37"/>
      <c r="K307" s="36"/>
      <c r="L307" s="35"/>
      <c r="M307" s="39"/>
      <c r="N307" s="37"/>
      <c r="O307" s="36"/>
      <c r="P307" s="37"/>
      <c r="Q307" s="39"/>
      <c r="R307" s="37"/>
      <c r="S307" s="120">
        <v>150</v>
      </c>
      <c r="T307" s="40">
        <f t="shared" si="73"/>
        <v>186750</v>
      </c>
      <c r="U307" s="39"/>
      <c r="V307" s="40"/>
      <c r="W307" s="39"/>
      <c r="X307" s="40"/>
      <c r="Y307" s="39"/>
      <c r="Z307" s="40"/>
      <c r="AA307" s="39"/>
      <c r="AB307" s="40"/>
      <c r="AC307" s="39"/>
      <c r="AD307" s="40"/>
      <c r="AE307" s="39"/>
      <c r="AF307" s="40"/>
      <c r="AG307" s="39"/>
      <c r="AH307" s="40"/>
      <c r="AI307" s="39"/>
      <c r="AJ307" s="40"/>
      <c r="AK307" s="39"/>
      <c r="AL307" s="40"/>
      <c r="AM307" s="39"/>
      <c r="AN307" s="40"/>
      <c r="AO307" s="39"/>
      <c r="AP307" s="40"/>
      <c r="AQ307" s="84">
        <f t="shared" si="46"/>
        <v>150</v>
      </c>
      <c r="AR307" s="80">
        <v>1245</v>
      </c>
      <c r="AS307" s="178">
        <f t="shared" si="74"/>
        <v>186750</v>
      </c>
    </row>
    <row r="308" spans="1:45" ht="28.5" hidden="1">
      <c r="A308" s="71">
        <v>282</v>
      </c>
      <c r="B308" s="37" t="s">
        <v>1222</v>
      </c>
      <c r="C308" s="53" t="s">
        <v>1250</v>
      </c>
      <c r="D308" s="37">
        <v>252</v>
      </c>
      <c r="E308" s="37" t="s">
        <v>1221</v>
      </c>
      <c r="F308" s="110" t="s">
        <v>12</v>
      </c>
      <c r="G308" s="37"/>
      <c r="H308" s="37"/>
      <c r="I308" s="37"/>
      <c r="J308" s="37"/>
      <c r="K308" s="36"/>
      <c r="L308" s="35"/>
      <c r="M308" s="39"/>
      <c r="N308" s="37"/>
      <c r="O308" s="36"/>
      <c r="P308" s="37"/>
      <c r="Q308" s="39"/>
      <c r="R308" s="37"/>
      <c r="S308" s="120">
        <v>400</v>
      </c>
      <c r="T308" s="40">
        <f t="shared" si="73"/>
        <v>719400</v>
      </c>
      <c r="U308" s="39"/>
      <c r="V308" s="40"/>
      <c r="W308" s="39"/>
      <c r="X308" s="40"/>
      <c r="Y308" s="39"/>
      <c r="Z308" s="40"/>
      <c r="AA308" s="39"/>
      <c r="AB308" s="40"/>
      <c r="AC308" s="39"/>
      <c r="AD308" s="40"/>
      <c r="AE308" s="39"/>
      <c r="AF308" s="40"/>
      <c r="AG308" s="39"/>
      <c r="AH308" s="40"/>
      <c r="AI308" s="39"/>
      <c r="AJ308" s="40"/>
      <c r="AK308" s="39"/>
      <c r="AL308" s="40"/>
      <c r="AM308" s="39"/>
      <c r="AN308" s="40"/>
      <c r="AO308" s="39"/>
      <c r="AP308" s="40"/>
      <c r="AQ308" s="84">
        <f t="shared" si="46"/>
        <v>400</v>
      </c>
      <c r="AR308" s="80">
        <v>1798.5</v>
      </c>
      <c r="AS308" s="178">
        <f t="shared" si="74"/>
        <v>719400</v>
      </c>
    </row>
    <row r="309" spans="1:45" ht="28.5" hidden="1">
      <c r="A309" s="67">
        <v>283</v>
      </c>
      <c r="B309" s="37" t="s">
        <v>1220</v>
      </c>
      <c r="C309" s="53" t="s">
        <v>1250</v>
      </c>
      <c r="D309" s="37">
        <v>252</v>
      </c>
      <c r="E309" s="37" t="s">
        <v>1219</v>
      </c>
      <c r="F309" s="110" t="s">
        <v>12</v>
      </c>
      <c r="G309" s="37"/>
      <c r="H309" s="37"/>
      <c r="I309" s="37"/>
      <c r="J309" s="37"/>
      <c r="K309" s="36"/>
      <c r="L309" s="35"/>
      <c r="M309" s="39"/>
      <c r="N309" s="37"/>
      <c r="O309" s="36"/>
      <c r="P309" s="37"/>
      <c r="Q309" s="39"/>
      <c r="R309" s="37"/>
      <c r="S309" s="120">
        <v>400</v>
      </c>
      <c r="T309" s="40">
        <f t="shared" si="73"/>
        <v>1758000</v>
      </c>
      <c r="U309" s="39"/>
      <c r="V309" s="40"/>
      <c r="W309" s="39"/>
      <c r="X309" s="40"/>
      <c r="Y309" s="39"/>
      <c r="Z309" s="40"/>
      <c r="AA309" s="39"/>
      <c r="AB309" s="40"/>
      <c r="AC309" s="39"/>
      <c r="AD309" s="40"/>
      <c r="AE309" s="39"/>
      <c r="AF309" s="40"/>
      <c r="AG309" s="39"/>
      <c r="AH309" s="40"/>
      <c r="AI309" s="39"/>
      <c r="AJ309" s="40"/>
      <c r="AK309" s="39"/>
      <c r="AL309" s="40"/>
      <c r="AM309" s="39"/>
      <c r="AN309" s="40"/>
      <c r="AO309" s="39"/>
      <c r="AP309" s="40"/>
      <c r="AQ309" s="84">
        <f t="shared" si="46"/>
        <v>400</v>
      </c>
      <c r="AR309" s="80">
        <v>4395</v>
      </c>
      <c r="AS309" s="178">
        <f t="shared" si="74"/>
        <v>1758000</v>
      </c>
    </row>
    <row r="310" spans="1:45" ht="42.75" hidden="1">
      <c r="A310" s="71">
        <v>284</v>
      </c>
      <c r="B310" s="37" t="s">
        <v>1218</v>
      </c>
      <c r="C310" s="53" t="s">
        <v>1250</v>
      </c>
      <c r="D310" s="37">
        <v>252</v>
      </c>
      <c r="E310" s="37" t="s">
        <v>1217</v>
      </c>
      <c r="F310" s="110" t="s">
        <v>12</v>
      </c>
      <c r="G310" s="37"/>
      <c r="H310" s="37"/>
      <c r="I310" s="37"/>
      <c r="J310" s="37"/>
      <c r="K310" s="36"/>
      <c r="L310" s="35"/>
      <c r="M310" s="39"/>
      <c r="N310" s="37"/>
      <c r="O310" s="36"/>
      <c r="P310" s="37"/>
      <c r="Q310" s="39"/>
      <c r="R310" s="37"/>
      <c r="S310" s="120">
        <v>3000</v>
      </c>
      <c r="T310" s="40">
        <f t="shared" si="73"/>
        <v>855000</v>
      </c>
      <c r="U310" s="39"/>
      <c r="V310" s="40"/>
      <c r="W310" s="39"/>
      <c r="X310" s="40"/>
      <c r="Y310" s="39"/>
      <c r="Z310" s="40"/>
      <c r="AA310" s="39"/>
      <c r="AB310" s="40"/>
      <c r="AC310" s="39"/>
      <c r="AD310" s="40"/>
      <c r="AE310" s="39"/>
      <c r="AF310" s="40"/>
      <c r="AG310" s="39"/>
      <c r="AH310" s="40"/>
      <c r="AI310" s="39"/>
      <c r="AJ310" s="40"/>
      <c r="AK310" s="39"/>
      <c r="AL310" s="40"/>
      <c r="AM310" s="39"/>
      <c r="AN310" s="40"/>
      <c r="AO310" s="39"/>
      <c r="AP310" s="40"/>
      <c r="AQ310" s="84">
        <f t="shared" si="46"/>
        <v>3000</v>
      </c>
      <c r="AR310" s="80">
        <v>285</v>
      </c>
      <c r="AS310" s="178">
        <f t="shared" si="74"/>
        <v>855000</v>
      </c>
    </row>
    <row r="311" spans="1:45" ht="28.5" hidden="1">
      <c r="A311" s="67">
        <v>285</v>
      </c>
      <c r="B311" s="37" t="s">
        <v>1216</v>
      </c>
      <c r="C311" s="53" t="s">
        <v>1250</v>
      </c>
      <c r="D311" s="37">
        <v>252</v>
      </c>
      <c r="E311" s="37" t="s">
        <v>1215</v>
      </c>
      <c r="F311" s="110" t="s">
        <v>12</v>
      </c>
      <c r="G311" s="37"/>
      <c r="H311" s="37"/>
      <c r="I311" s="37"/>
      <c r="J311" s="37"/>
      <c r="K311" s="36"/>
      <c r="L311" s="35"/>
      <c r="M311" s="39"/>
      <c r="N311" s="37"/>
      <c r="O311" s="36"/>
      <c r="P311" s="37"/>
      <c r="Q311" s="39"/>
      <c r="R311" s="37"/>
      <c r="S311" s="120">
        <v>300</v>
      </c>
      <c r="T311" s="40">
        <f t="shared" si="73"/>
        <v>87750</v>
      </c>
      <c r="U311" s="39"/>
      <c r="V311" s="40"/>
      <c r="W311" s="39"/>
      <c r="X311" s="40"/>
      <c r="Y311" s="39"/>
      <c r="Z311" s="40"/>
      <c r="AA311" s="39"/>
      <c r="AB311" s="40"/>
      <c r="AC311" s="39"/>
      <c r="AD311" s="40"/>
      <c r="AE311" s="39"/>
      <c r="AF311" s="40"/>
      <c r="AG311" s="39"/>
      <c r="AH311" s="40"/>
      <c r="AI311" s="39"/>
      <c r="AJ311" s="40"/>
      <c r="AK311" s="39"/>
      <c r="AL311" s="40"/>
      <c r="AM311" s="39"/>
      <c r="AN311" s="40"/>
      <c r="AO311" s="39"/>
      <c r="AP311" s="40"/>
      <c r="AQ311" s="84">
        <f t="shared" si="46"/>
        <v>300</v>
      </c>
      <c r="AR311" s="80">
        <v>292.5</v>
      </c>
      <c r="AS311" s="178">
        <f t="shared" si="74"/>
        <v>87750</v>
      </c>
    </row>
    <row r="312" spans="1:45" ht="28.5" hidden="1">
      <c r="A312" s="71">
        <v>286</v>
      </c>
      <c r="B312" s="37" t="s">
        <v>1214</v>
      </c>
      <c r="C312" s="53" t="s">
        <v>1250</v>
      </c>
      <c r="D312" s="37">
        <v>252</v>
      </c>
      <c r="E312" s="37" t="s">
        <v>1213</v>
      </c>
      <c r="F312" s="110" t="s">
        <v>12</v>
      </c>
      <c r="G312" s="37"/>
      <c r="H312" s="37"/>
      <c r="I312" s="37"/>
      <c r="J312" s="37"/>
      <c r="K312" s="36"/>
      <c r="L312" s="35"/>
      <c r="M312" s="39"/>
      <c r="N312" s="37"/>
      <c r="O312" s="36"/>
      <c r="P312" s="37"/>
      <c r="Q312" s="39"/>
      <c r="R312" s="37"/>
      <c r="S312" s="120">
        <v>300</v>
      </c>
      <c r="T312" s="40">
        <f t="shared" si="73"/>
        <v>175500</v>
      </c>
      <c r="U312" s="39"/>
      <c r="V312" s="40"/>
      <c r="W312" s="39"/>
      <c r="X312" s="40"/>
      <c r="Y312" s="39"/>
      <c r="Z312" s="40"/>
      <c r="AA312" s="39"/>
      <c r="AB312" s="40"/>
      <c r="AC312" s="39"/>
      <c r="AD312" s="40"/>
      <c r="AE312" s="39"/>
      <c r="AF312" s="40"/>
      <c r="AG312" s="39"/>
      <c r="AH312" s="40"/>
      <c r="AI312" s="39"/>
      <c r="AJ312" s="40"/>
      <c r="AK312" s="39"/>
      <c r="AL312" s="40"/>
      <c r="AM312" s="39"/>
      <c r="AN312" s="40"/>
      <c r="AO312" s="39"/>
      <c r="AP312" s="40"/>
      <c r="AQ312" s="84">
        <f t="shared" si="46"/>
        <v>300</v>
      </c>
      <c r="AR312" s="80">
        <v>585</v>
      </c>
      <c r="AS312" s="178">
        <f t="shared" si="74"/>
        <v>175500</v>
      </c>
    </row>
    <row r="313" spans="1:45" ht="42.75" hidden="1">
      <c r="A313" s="67">
        <v>287</v>
      </c>
      <c r="B313" s="37" t="s">
        <v>1212</v>
      </c>
      <c r="C313" s="53" t="s">
        <v>1250</v>
      </c>
      <c r="D313" s="37">
        <v>252</v>
      </c>
      <c r="E313" s="37" t="s">
        <v>1211</v>
      </c>
      <c r="F313" s="110" t="s">
        <v>12</v>
      </c>
      <c r="G313" s="37"/>
      <c r="H313" s="37"/>
      <c r="I313" s="37"/>
      <c r="J313" s="37"/>
      <c r="K313" s="36"/>
      <c r="L313" s="35"/>
      <c r="M313" s="39"/>
      <c r="N313" s="37"/>
      <c r="O313" s="36"/>
      <c r="P313" s="37"/>
      <c r="Q313" s="39"/>
      <c r="R313" s="37"/>
      <c r="S313" s="120">
        <v>200</v>
      </c>
      <c r="T313" s="40">
        <f t="shared" si="73"/>
        <v>327000</v>
      </c>
      <c r="U313" s="39"/>
      <c r="V313" s="40"/>
      <c r="W313" s="39"/>
      <c r="X313" s="40"/>
      <c r="Y313" s="39"/>
      <c r="Z313" s="40"/>
      <c r="AA313" s="39"/>
      <c r="AB313" s="40"/>
      <c r="AC313" s="39"/>
      <c r="AD313" s="40"/>
      <c r="AE313" s="39"/>
      <c r="AF313" s="40"/>
      <c r="AG313" s="39"/>
      <c r="AH313" s="40"/>
      <c r="AI313" s="39"/>
      <c r="AJ313" s="40"/>
      <c r="AK313" s="39"/>
      <c r="AL313" s="40"/>
      <c r="AM313" s="39"/>
      <c r="AN313" s="40"/>
      <c r="AO313" s="39"/>
      <c r="AP313" s="40"/>
      <c r="AQ313" s="84">
        <f t="shared" si="46"/>
        <v>200</v>
      </c>
      <c r="AR313" s="80">
        <v>1635</v>
      </c>
      <c r="AS313" s="178">
        <f t="shared" si="74"/>
        <v>327000</v>
      </c>
    </row>
    <row r="314" spans="1:45" ht="28.5" hidden="1">
      <c r="A314" s="71">
        <v>288</v>
      </c>
      <c r="B314" s="37" t="s">
        <v>1194</v>
      </c>
      <c r="C314" s="53" t="s">
        <v>1250</v>
      </c>
      <c r="D314" s="37">
        <v>252</v>
      </c>
      <c r="E314" s="37" t="s">
        <v>1193</v>
      </c>
      <c r="F314" s="110" t="s">
        <v>12</v>
      </c>
      <c r="G314" s="37"/>
      <c r="H314" s="37"/>
      <c r="I314" s="37"/>
      <c r="J314" s="37"/>
      <c r="K314" s="36"/>
      <c r="L314" s="35"/>
      <c r="M314" s="39"/>
      <c r="N314" s="37"/>
      <c r="O314" s="36"/>
      <c r="P314" s="37"/>
      <c r="Q314" s="39"/>
      <c r="R314" s="37"/>
      <c r="S314" s="120">
        <v>150</v>
      </c>
      <c r="T314" s="40">
        <f t="shared" si="73"/>
        <v>51750</v>
      </c>
      <c r="U314" s="39"/>
      <c r="V314" s="40"/>
      <c r="W314" s="39"/>
      <c r="X314" s="40"/>
      <c r="Y314" s="39"/>
      <c r="Z314" s="40"/>
      <c r="AA314" s="39"/>
      <c r="AB314" s="40"/>
      <c r="AC314" s="39"/>
      <c r="AD314" s="40"/>
      <c r="AE314" s="39"/>
      <c r="AF314" s="40"/>
      <c r="AG314" s="39"/>
      <c r="AH314" s="40"/>
      <c r="AI314" s="39"/>
      <c r="AJ314" s="40"/>
      <c r="AK314" s="39"/>
      <c r="AL314" s="40"/>
      <c r="AM314" s="39"/>
      <c r="AN314" s="40"/>
      <c r="AO314" s="39"/>
      <c r="AP314" s="40"/>
      <c r="AQ314" s="84">
        <f t="shared" si="46"/>
        <v>150</v>
      </c>
      <c r="AR314" s="80">
        <v>345</v>
      </c>
      <c r="AS314" s="178">
        <f t="shared" si="74"/>
        <v>51750</v>
      </c>
    </row>
    <row r="315" spans="1:45" ht="28.5" hidden="1">
      <c r="A315" s="67">
        <v>289</v>
      </c>
      <c r="B315" s="37" t="s">
        <v>1210</v>
      </c>
      <c r="C315" s="53" t="s">
        <v>1250</v>
      </c>
      <c r="D315" s="37">
        <v>252</v>
      </c>
      <c r="E315" s="37" t="s">
        <v>1209</v>
      </c>
      <c r="F315" s="110" t="s">
        <v>12</v>
      </c>
      <c r="G315" s="37"/>
      <c r="H315" s="37"/>
      <c r="I315" s="37"/>
      <c r="J315" s="37"/>
      <c r="K315" s="36"/>
      <c r="L315" s="35"/>
      <c r="M315" s="39"/>
      <c r="N315" s="37"/>
      <c r="O315" s="36"/>
      <c r="P315" s="37"/>
      <c r="Q315" s="39"/>
      <c r="R315" s="37"/>
      <c r="S315" s="111">
        <v>400</v>
      </c>
      <c r="T315" s="40">
        <f t="shared" si="73"/>
        <v>276000</v>
      </c>
      <c r="U315" s="39"/>
      <c r="V315" s="40"/>
      <c r="W315" s="39"/>
      <c r="X315" s="40"/>
      <c r="Y315" s="39"/>
      <c r="Z315" s="40"/>
      <c r="AA315" s="39"/>
      <c r="AB315" s="40"/>
      <c r="AC315" s="39"/>
      <c r="AD315" s="40"/>
      <c r="AE315" s="39"/>
      <c r="AF315" s="40"/>
      <c r="AG315" s="39"/>
      <c r="AH315" s="40"/>
      <c r="AI315" s="39"/>
      <c r="AJ315" s="40"/>
      <c r="AK315" s="39"/>
      <c r="AL315" s="40"/>
      <c r="AM315" s="39"/>
      <c r="AN315" s="40"/>
      <c r="AO315" s="39"/>
      <c r="AP315" s="40"/>
      <c r="AQ315" s="84">
        <f t="shared" si="46"/>
        <v>400</v>
      </c>
      <c r="AR315" s="81">
        <v>690</v>
      </c>
      <c r="AS315" s="178">
        <f t="shared" si="74"/>
        <v>276000</v>
      </c>
    </row>
    <row r="316" spans="1:45" ht="42.75" hidden="1">
      <c r="A316" s="71">
        <v>290</v>
      </c>
      <c r="B316" s="37" t="s">
        <v>1208</v>
      </c>
      <c r="C316" s="53" t="s">
        <v>1250</v>
      </c>
      <c r="D316" s="37">
        <v>252</v>
      </c>
      <c r="E316" s="37" t="s">
        <v>1207</v>
      </c>
      <c r="F316" s="110" t="s">
        <v>12</v>
      </c>
      <c r="G316" s="37"/>
      <c r="H316" s="37"/>
      <c r="I316" s="37"/>
      <c r="J316" s="37"/>
      <c r="K316" s="36"/>
      <c r="L316" s="35"/>
      <c r="M316" s="39"/>
      <c r="N316" s="37"/>
      <c r="O316" s="36"/>
      <c r="P316" s="37"/>
      <c r="Q316" s="39"/>
      <c r="R316" s="37"/>
      <c r="S316" s="111">
        <v>200</v>
      </c>
      <c r="T316" s="40">
        <f t="shared" si="73"/>
        <v>145500</v>
      </c>
      <c r="U316" s="39"/>
      <c r="V316" s="40"/>
      <c r="W316" s="39"/>
      <c r="X316" s="40"/>
      <c r="Y316" s="39"/>
      <c r="Z316" s="40"/>
      <c r="AA316" s="39"/>
      <c r="AB316" s="40"/>
      <c r="AC316" s="39"/>
      <c r="AD316" s="40"/>
      <c r="AE316" s="39"/>
      <c r="AF316" s="40"/>
      <c r="AG316" s="39"/>
      <c r="AH316" s="40"/>
      <c r="AI316" s="39"/>
      <c r="AJ316" s="40"/>
      <c r="AK316" s="39"/>
      <c r="AL316" s="40"/>
      <c r="AM316" s="39"/>
      <c r="AN316" s="40"/>
      <c r="AO316" s="39"/>
      <c r="AP316" s="40"/>
      <c r="AQ316" s="84">
        <f t="shared" si="46"/>
        <v>200</v>
      </c>
      <c r="AR316" s="81">
        <v>727.5</v>
      </c>
      <c r="AS316" s="178">
        <f t="shared" si="74"/>
        <v>145500</v>
      </c>
    </row>
    <row r="317" spans="1:45" ht="42.75" hidden="1">
      <c r="A317" s="67">
        <v>291</v>
      </c>
      <c r="B317" s="37" t="s">
        <v>1206</v>
      </c>
      <c r="C317" s="53" t="s">
        <v>1250</v>
      </c>
      <c r="D317" s="37">
        <v>252</v>
      </c>
      <c r="E317" s="37" t="s">
        <v>1205</v>
      </c>
      <c r="F317" s="110" t="s">
        <v>12</v>
      </c>
      <c r="G317" s="37"/>
      <c r="H317" s="37"/>
      <c r="I317" s="37"/>
      <c r="J317" s="37"/>
      <c r="K317" s="36"/>
      <c r="L317" s="35"/>
      <c r="M317" s="39"/>
      <c r="N317" s="37"/>
      <c r="O317" s="36"/>
      <c r="P317" s="37"/>
      <c r="Q317" s="39"/>
      <c r="R317" s="37"/>
      <c r="S317" s="111">
        <v>200</v>
      </c>
      <c r="T317" s="40">
        <f t="shared" si="73"/>
        <v>54000</v>
      </c>
      <c r="U317" s="39"/>
      <c r="V317" s="40"/>
      <c r="W317" s="39"/>
      <c r="X317" s="40"/>
      <c r="Y317" s="39"/>
      <c r="Z317" s="40"/>
      <c r="AA317" s="39"/>
      <c r="AB317" s="40"/>
      <c r="AC317" s="39"/>
      <c r="AD317" s="40"/>
      <c r="AE317" s="39"/>
      <c r="AF317" s="40"/>
      <c r="AG317" s="39"/>
      <c r="AH317" s="40"/>
      <c r="AI317" s="39"/>
      <c r="AJ317" s="40"/>
      <c r="AK317" s="39"/>
      <c r="AL317" s="40"/>
      <c r="AM317" s="39"/>
      <c r="AN317" s="40"/>
      <c r="AO317" s="39"/>
      <c r="AP317" s="40"/>
      <c r="AQ317" s="84">
        <f t="shared" si="46"/>
        <v>200</v>
      </c>
      <c r="AR317" s="81">
        <v>270</v>
      </c>
      <c r="AS317" s="178">
        <f t="shared" si="74"/>
        <v>54000</v>
      </c>
    </row>
    <row r="318" spans="1:45" ht="42.75" hidden="1">
      <c r="A318" s="71">
        <v>292</v>
      </c>
      <c r="B318" s="37" t="s">
        <v>1204</v>
      </c>
      <c r="C318" s="53" t="s">
        <v>1250</v>
      </c>
      <c r="D318" s="37">
        <v>252</v>
      </c>
      <c r="E318" s="37" t="s">
        <v>1203</v>
      </c>
      <c r="F318" s="110" t="s">
        <v>12</v>
      </c>
      <c r="G318" s="37"/>
      <c r="H318" s="37"/>
      <c r="I318" s="37"/>
      <c r="J318" s="37"/>
      <c r="K318" s="36"/>
      <c r="L318" s="35"/>
      <c r="M318" s="39"/>
      <c r="N318" s="37"/>
      <c r="O318" s="36"/>
      <c r="P318" s="37"/>
      <c r="Q318" s="39"/>
      <c r="R318" s="37"/>
      <c r="S318" s="120">
        <v>400</v>
      </c>
      <c r="T318" s="40">
        <f t="shared" si="73"/>
        <v>570000</v>
      </c>
      <c r="U318" s="39"/>
      <c r="V318" s="40"/>
      <c r="W318" s="39"/>
      <c r="X318" s="40"/>
      <c r="Y318" s="39"/>
      <c r="Z318" s="40"/>
      <c r="AA318" s="39"/>
      <c r="AB318" s="40"/>
      <c r="AC318" s="39"/>
      <c r="AD318" s="40"/>
      <c r="AE318" s="39"/>
      <c r="AF318" s="40"/>
      <c r="AG318" s="39"/>
      <c r="AH318" s="40"/>
      <c r="AI318" s="39"/>
      <c r="AJ318" s="40"/>
      <c r="AK318" s="39"/>
      <c r="AL318" s="40"/>
      <c r="AM318" s="39"/>
      <c r="AN318" s="40"/>
      <c r="AO318" s="39"/>
      <c r="AP318" s="40"/>
      <c r="AQ318" s="84">
        <f t="shared" si="46"/>
        <v>400</v>
      </c>
      <c r="AR318" s="80">
        <v>1425</v>
      </c>
      <c r="AS318" s="178">
        <f t="shared" si="74"/>
        <v>570000</v>
      </c>
    </row>
    <row r="319" spans="1:45" ht="28.5" hidden="1">
      <c r="A319" s="67">
        <v>293</v>
      </c>
      <c r="B319" s="53" t="s">
        <v>1202</v>
      </c>
      <c r="C319" s="53" t="s">
        <v>1250</v>
      </c>
      <c r="D319" s="37">
        <v>252</v>
      </c>
      <c r="E319" s="53" t="s">
        <v>1201</v>
      </c>
      <c r="F319" s="71" t="s">
        <v>12</v>
      </c>
      <c r="G319" s="37"/>
      <c r="H319" s="37"/>
      <c r="I319" s="37"/>
      <c r="J319" s="37"/>
      <c r="K319" s="36"/>
      <c r="L319" s="35"/>
      <c r="M319" s="39"/>
      <c r="N319" s="37"/>
      <c r="O319" s="36"/>
      <c r="P319" s="37"/>
      <c r="Q319" s="39"/>
      <c r="R319" s="37"/>
      <c r="S319" s="120">
        <v>200</v>
      </c>
      <c r="T319" s="40">
        <f t="shared" si="73"/>
        <v>117000</v>
      </c>
      <c r="U319" s="39"/>
      <c r="V319" s="40"/>
      <c r="W319" s="39"/>
      <c r="X319" s="40"/>
      <c r="Y319" s="39"/>
      <c r="Z319" s="40"/>
      <c r="AA319" s="39"/>
      <c r="AB319" s="40"/>
      <c r="AC319" s="39"/>
      <c r="AD319" s="40"/>
      <c r="AE319" s="39"/>
      <c r="AF319" s="40"/>
      <c r="AG319" s="39"/>
      <c r="AH319" s="40"/>
      <c r="AI319" s="39"/>
      <c r="AJ319" s="40"/>
      <c r="AK319" s="39"/>
      <c r="AL319" s="40"/>
      <c r="AM319" s="39"/>
      <c r="AN319" s="40"/>
      <c r="AO319" s="39"/>
      <c r="AP319" s="40"/>
      <c r="AQ319" s="84">
        <f t="shared" si="46"/>
        <v>200</v>
      </c>
      <c r="AR319" s="80">
        <v>585</v>
      </c>
      <c r="AS319" s="178">
        <f t="shared" si="74"/>
        <v>117000</v>
      </c>
    </row>
    <row r="320" spans="1:45" ht="42.75" hidden="1">
      <c r="A320" s="71">
        <v>294</v>
      </c>
      <c r="B320" s="53" t="s">
        <v>1200</v>
      </c>
      <c r="C320" s="53" t="s">
        <v>1250</v>
      </c>
      <c r="D320" s="37">
        <v>252</v>
      </c>
      <c r="E320" s="53" t="s">
        <v>1199</v>
      </c>
      <c r="F320" s="71" t="s">
        <v>12</v>
      </c>
      <c r="G320" s="37"/>
      <c r="H320" s="37"/>
      <c r="I320" s="37"/>
      <c r="J320" s="37"/>
      <c r="K320" s="36"/>
      <c r="L320" s="35"/>
      <c r="M320" s="39"/>
      <c r="N320" s="37"/>
      <c r="O320" s="36"/>
      <c r="P320" s="37"/>
      <c r="Q320" s="39"/>
      <c r="R320" s="37"/>
      <c r="S320" s="71">
        <v>200</v>
      </c>
      <c r="T320" s="40">
        <f t="shared" si="73"/>
        <v>258000</v>
      </c>
      <c r="U320" s="39"/>
      <c r="V320" s="40"/>
      <c r="W320" s="39"/>
      <c r="X320" s="40"/>
      <c r="Y320" s="39"/>
      <c r="Z320" s="40"/>
      <c r="AA320" s="39"/>
      <c r="AB320" s="40"/>
      <c r="AC320" s="39"/>
      <c r="AD320" s="40"/>
      <c r="AE320" s="39"/>
      <c r="AF320" s="40"/>
      <c r="AG320" s="39"/>
      <c r="AH320" s="40"/>
      <c r="AI320" s="39"/>
      <c r="AJ320" s="40"/>
      <c r="AK320" s="39"/>
      <c r="AL320" s="40"/>
      <c r="AM320" s="39"/>
      <c r="AN320" s="40"/>
      <c r="AO320" s="39"/>
      <c r="AP320" s="40"/>
      <c r="AQ320" s="84">
        <f t="shared" si="46"/>
        <v>200</v>
      </c>
      <c r="AR320" s="80">
        <v>1290</v>
      </c>
      <c r="AS320" s="178">
        <f t="shared" si="74"/>
        <v>258000</v>
      </c>
    </row>
    <row r="321" spans="1:45" ht="28.5" hidden="1">
      <c r="A321" s="67">
        <v>295</v>
      </c>
      <c r="B321" s="53" t="s">
        <v>1198</v>
      </c>
      <c r="C321" s="53" t="s">
        <v>1250</v>
      </c>
      <c r="D321" s="37">
        <v>252</v>
      </c>
      <c r="E321" s="53" t="s">
        <v>1197</v>
      </c>
      <c r="F321" s="71" t="s">
        <v>12</v>
      </c>
      <c r="G321" s="37"/>
      <c r="H321" s="37"/>
      <c r="I321" s="37"/>
      <c r="J321" s="37"/>
      <c r="K321" s="36"/>
      <c r="L321" s="35"/>
      <c r="M321" s="39"/>
      <c r="N321" s="37"/>
      <c r="O321" s="36"/>
      <c r="P321" s="37"/>
      <c r="Q321" s="39"/>
      <c r="R321" s="37"/>
      <c r="S321" s="71">
        <v>200</v>
      </c>
      <c r="T321" s="40">
        <f t="shared" si="73"/>
        <v>258000</v>
      </c>
      <c r="U321" s="39"/>
      <c r="V321" s="40"/>
      <c r="W321" s="39"/>
      <c r="X321" s="40"/>
      <c r="Y321" s="39"/>
      <c r="Z321" s="40"/>
      <c r="AA321" s="39"/>
      <c r="AB321" s="40"/>
      <c r="AC321" s="39"/>
      <c r="AD321" s="40"/>
      <c r="AE321" s="39"/>
      <c r="AF321" s="40"/>
      <c r="AG321" s="39"/>
      <c r="AH321" s="40"/>
      <c r="AI321" s="39"/>
      <c r="AJ321" s="40"/>
      <c r="AK321" s="39"/>
      <c r="AL321" s="40"/>
      <c r="AM321" s="39"/>
      <c r="AN321" s="40"/>
      <c r="AO321" s="39"/>
      <c r="AP321" s="40"/>
      <c r="AQ321" s="84">
        <f t="shared" si="46"/>
        <v>200</v>
      </c>
      <c r="AR321" s="80">
        <v>1290</v>
      </c>
      <c r="AS321" s="178">
        <f t="shared" si="74"/>
        <v>258000</v>
      </c>
    </row>
    <row r="322" spans="1:45" ht="28.5" hidden="1">
      <c r="A322" s="71">
        <v>296</v>
      </c>
      <c r="B322" s="37" t="s">
        <v>1196</v>
      </c>
      <c r="C322" s="53" t="s">
        <v>1250</v>
      </c>
      <c r="D322" s="37">
        <v>252</v>
      </c>
      <c r="E322" s="37" t="s">
        <v>1195</v>
      </c>
      <c r="F322" s="110" t="s">
        <v>12</v>
      </c>
      <c r="G322" s="37"/>
      <c r="H322" s="37"/>
      <c r="I322" s="37"/>
      <c r="J322" s="37"/>
      <c r="K322" s="36"/>
      <c r="L322" s="35"/>
      <c r="M322" s="39"/>
      <c r="N322" s="37"/>
      <c r="O322" s="36"/>
      <c r="P322" s="37"/>
      <c r="Q322" s="39"/>
      <c r="R322" s="37"/>
      <c r="S322" s="110">
        <v>400</v>
      </c>
      <c r="T322" s="40">
        <f t="shared" si="73"/>
        <v>516000</v>
      </c>
      <c r="U322" s="39"/>
      <c r="V322" s="40"/>
      <c r="W322" s="39"/>
      <c r="X322" s="40"/>
      <c r="Y322" s="39"/>
      <c r="Z322" s="40"/>
      <c r="AA322" s="39"/>
      <c r="AB322" s="40"/>
      <c r="AC322" s="39"/>
      <c r="AD322" s="40"/>
      <c r="AE322" s="39"/>
      <c r="AF322" s="40"/>
      <c r="AG322" s="39"/>
      <c r="AH322" s="40"/>
      <c r="AI322" s="39"/>
      <c r="AJ322" s="40"/>
      <c r="AK322" s="39"/>
      <c r="AL322" s="40"/>
      <c r="AM322" s="39"/>
      <c r="AN322" s="40"/>
      <c r="AO322" s="39"/>
      <c r="AP322" s="40"/>
      <c r="AQ322" s="84">
        <f t="shared" si="46"/>
        <v>400</v>
      </c>
      <c r="AR322" s="80">
        <v>1290</v>
      </c>
      <c r="AS322" s="178">
        <f t="shared" si="74"/>
        <v>516000</v>
      </c>
    </row>
    <row r="323" spans="1:45" ht="28.5" hidden="1">
      <c r="A323" s="67">
        <v>297</v>
      </c>
      <c r="B323" s="37" t="s">
        <v>1194</v>
      </c>
      <c r="C323" s="53" t="s">
        <v>1250</v>
      </c>
      <c r="D323" s="37">
        <v>252</v>
      </c>
      <c r="E323" s="37" t="s">
        <v>1193</v>
      </c>
      <c r="F323" s="110" t="s">
        <v>12</v>
      </c>
      <c r="G323" s="37"/>
      <c r="H323" s="37"/>
      <c r="I323" s="37"/>
      <c r="J323" s="37"/>
      <c r="K323" s="36"/>
      <c r="L323" s="35"/>
      <c r="M323" s="39"/>
      <c r="N323" s="37"/>
      <c r="O323" s="36"/>
      <c r="P323" s="37"/>
      <c r="Q323" s="39"/>
      <c r="R323" s="37"/>
      <c r="S323" s="110">
        <v>200</v>
      </c>
      <c r="T323" s="40">
        <f t="shared" si="73"/>
        <v>258000</v>
      </c>
      <c r="U323" s="39"/>
      <c r="V323" s="40"/>
      <c r="W323" s="39"/>
      <c r="X323" s="40"/>
      <c r="Y323" s="39"/>
      <c r="Z323" s="40"/>
      <c r="AA323" s="39"/>
      <c r="AB323" s="40"/>
      <c r="AC323" s="39"/>
      <c r="AD323" s="40"/>
      <c r="AE323" s="39"/>
      <c r="AF323" s="40"/>
      <c r="AG323" s="39"/>
      <c r="AH323" s="40"/>
      <c r="AI323" s="39"/>
      <c r="AJ323" s="40"/>
      <c r="AK323" s="39"/>
      <c r="AL323" s="40"/>
      <c r="AM323" s="39"/>
      <c r="AN323" s="40"/>
      <c r="AO323" s="39"/>
      <c r="AP323" s="40"/>
      <c r="AQ323" s="84">
        <f t="shared" si="46"/>
        <v>200</v>
      </c>
      <c r="AR323" s="80">
        <v>1290</v>
      </c>
      <c r="AS323" s="178">
        <f t="shared" si="74"/>
        <v>258000</v>
      </c>
    </row>
    <row r="324" spans="1:45" ht="42.75" hidden="1">
      <c r="A324" s="71">
        <v>298</v>
      </c>
      <c r="B324" s="53" t="s">
        <v>1192</v>
      </c>
      <c r="C324" s="53" t="s">
        <v>1250</v>
      </c>
      <c r="D324" s="37">
        <v>252</v>
      </c>
      <c r="E324" s="53" t="s">
        <v>1191</v>
      </c>
      <c r="F324" s="110" t="s">
        <v>12</v>
      </c>
      <c r="G324" s="37"/>
      <c r="H324" s="37"/>
      <c r="I324" s="37"/>
      <c r="J324" s="37"/>
      <c r="K324" s="36"/>
      <c r="L324" s="35"/>
      <c r="M324" s="39"/>
      <c r="N324" s="37"/>
      <c r="O324" s="36"/>
      <c r="P324" s="37"/>
      <c r="Q324" s="39"/>
      <c r="R324" s="37"/>
      <c r="S324" s="110">
        <v>300</v>
      </c>
      <c r="T324" s="40">
        <f t="shared" si="73"/>
        <v>78000</v>
      </c>
      <c r="U324" s="39"/>
      <c r="V324" s="40"/>
      <c r="W324" s="39"/>
      <c r="X324" s="40"/>
      <c r="Y324" s="39"/>
      <c r="Z324" s="40"/>
      <c r="AA324" s="39"/>
      <c r="AB324" s="40"/>
      <c r="AC324" s="39"/>
      <c r="AD324" s="40"/>
      <c r="AE324" s="39"/>
      <c r="AF324" s="40"/>
      <c r="AG324" s="39"/>
      <c r="AH324" s="40"/>
      <c r="AI324" s="39"/>
      <c r="AJ324" s="40"/>
      <c r="AK324" s="39"/>
      <c r="AL324" s="40"/>
      <c r="AM324" s="39"/>
      <c r="AN324" s="40"/>
      <c r="AO324" s="39"/>
      <c r="AP324" s="40"/>
      <c r="AQ324" s="84">
        <f t="shared" si="46"/>
        <v>300</v>
      </c>
      <c r="AR324" s="80">
        <v>260</v>
      </c>
      <c r="AS324" s="178">
        <f t="shared" si="74"/>
        <v>78000</v>
      </c>
    </row>
    <row r="325" spans="1:45" ht="42.75" hidden="1">
      <c r="A325" s="67">
        <v>299</v>
      </c>
      <c r="B325" s="53" t="s">
        <v>1190</v>
      </c>
      <c r="C325" s="53" t="s">
        <v>1250</v>
      </c>
      <c r="D325" s="37">
        <v>252</v>
      </c>
      <c r="E325" s="53" t="s">
        <v>1189</v>
      </c>
      <c r="F325" s="110" t="s">
        <v>12</v>
      </c>
      <c r="G325" s="37"/>
      <c r="H325" s="37"/>
      <c r="I325" s="37"/>
      <c r="J325" s="37"/>
      <c r="K325" s="36"/>
      <c r="L325" s="35"/>
      <c r="M325" s="39"/>
      <c r="N325" s="37"/>
      <c r="O325" s="36"/>
      <c r="P325" s="37"/>
      <c r="Q325" s="39"/>
      <c r="R325" s="37"/>
      <c r="S325" s="110">
        <v>400</v>
      </c>
      <c r="T325" s="40">
        <f t="shared" si="73"/>
        <v>104000</v>
      </c>
      <c r="U325" s="39"/>
      <c r="V325" s="40"/>
      <c r="W325" s="39"/>
      <c r="X325" s="40"/>
      <c r="Y325" s="39"/>
      <c r="Z325" s="40"/>
      <c r="AA325" s="39"/>
      <c r="AB325" s="40"/>
      <c r="AC325" s="39"/>
      <c r="AD325" s="40"/>
      <c r="AE325" s="39"/>
      <c r="AF325" s="40"/>
      <c r="AG325" s="39"/>
      <c r="AH325" s="40"/>
      <c r="AI325" s="39"/>
      <c r="AJ325" s="40"/>
      <c r="AK325" s="39"/>
      <c r="AL325" s="40"/>
      <c r="AM325" s="39"/>
      <c r="AN325" s="40"/>
      <c r="AO325" s="39"/>
      <c r="AP325" s="40"/>
      <c r="AQ325" s="84">
        <f t="shared" si="46"/>
        <v>400</v>
      </c>
      <c r="AR325" s="80">
        <v>260</v>
      </c>
      <c r="AS325" s="178">
        <f t="shared" si="74"/>
        <v>104000</v>
      </c>
    </row>
    <row r="326" spans="1:45" ht="42.75" hidden="1">
      <c r="A326" s="71">
        <v>300</v>
      </c>
      <c r="B326" s="53" t="s">
        <v>1188</v>
      </c>
      <c r="C326" s="53" t="s">
        <v>1250</v>
      </c>
      <c r="D326" s="37">
        <v>252</v>
      </c>
      <c r="E326" s="53" t="s">
        <v>1187</v>
      </c>
      <c r="F326" s="110" t="s">
        <v>12</v>
      </c>
      <c r="G326" s="37"/>
      <c r="H326" s="37"/>
      <c r="I326" s="37"/>
      <c r="J326" s="37"/>
      <c r="K326" s="36"/>
      <c r="L326" s="35"/>
      <c r="M326" s="39"/>
      <c r="N326" s="37"/>
      <c r="O326" s="36"/>
      <c r="P326" s="37"/>
      <c r="Q326" s="39"/>
      <c r="R326" s="37"/>
      <c r="S326" s="110">
        <v>400</v>
      </c>
      <c r="T326" s="40">
        <f t="shared" si="73"/>
        <v>288000</v>
      </c>
      <c r="U326" s="39"/>
      <c r="V326" s="40"/>
      <c r="W326" s="39"/>
      <c r="X326" s="40"/>
      <c r="Y326" s="39"/>
      <c r="Z326" s="40"/>
      <c r="AA326" s="39"/>
      <c r="AB326" s="40"/>
      <c r="AC326" s="39"/>
      <c r="AD326" s="40"/>
      <c r="AE326" s="39"/>
      <c r="AF326" s="40"/>
      <c r="AG326" s="39"/>
      <c r="AH326" s="40"/>
      <c r="AI326" s="39"/>
      <c r="AJ326" s="40"/>
      <c r="AK326" s="39"/>
      <c r="AL326" s="40"/>
      <c r="AM326" s="39"/>
      <c r="AN326" s="40"/>
      <c r="AO326" s="39"/>
      <c r="AP326" s="40"/>
      <c r="AQ326" s="84">
        <f t="shared" si="46"/>
        <v>400</v>
      </c>
      <c r="AR326" s="80">
        <v>720</v>
      </c>
      <c r="AS326" s="178">
        <f t="shared" si="74"/>
        <v>288000</v>
      </c>
    </row>
    <row r="327" spans="1:45" ht="42.75" hidden="1">
      <c r="A327" s="67">
        <v>301</v>
      </c>
      <c r="B327" s="53" t="s">
        <v>1186</v>
      </c>
      <c r="C327" s="53" t="s">
        <v>1250</v>
      </c>
      <c r="D327" s="37">
        <v>252</v>
      </c>
      <c r="E327" s="53" t="s">
        <v>1185</v>
      </c>
      <c r="F327" s="110" t="s">
        <v>12</v>
      </c>
      <c r="G327" s="37"/>
      <c r="H327" s="37"/>
      <c r="I327" s="37"/>
      <c r="J327" s="37"/>
      <c r="K327" s="36"/>
      <c r="L327" s="35"/>
      <c r="M327" s="39"/>
      <c r="N327" s="37"/>
      <c r="O327" s="36"/>
      <c r="P327" s="37"/>
      <c r="Q327" s="39"/>
      <c r="R327" s="37"/>
      <c r="S327" s="110">
        <v>400</v>
      </c>
      <c r="T327" s="40">
        <f t="shared" si="73"/>
        <v>2412000</v>
      </c>
      <c r="U327" s="39"/>
      <c r="V327" s="40"/>
      <c r="W327" s="39"/>
      <c r="X327" s="40"/>
      <c r="Y327" s="39"/>
      <c r="Z327" s="40"/>
      <c r="AA327" s="39"/>
      <c r="AB327" s="40"/>
      <c r="AC327" s="39"/>
      <c r="AD327" s="40"/>
      <c r="AE327" s="39"/>
      <c r="AF327" s="40"/>
      <c r="AG327" s="39"/>
      <c r="AH327" s="40"/>
      <c r="AI327" s="39"/>
      <c r="AJ327" s="40"/>
      <c r="AK327" s="39"/>
      <c r="AL327" s="40"/>
      <c r="AM327" s="39"/>
      <c r="AN327" s="40"/>
      <c r="AO327" s="39"/>
      <c r="AP327" s="40"/>
      <c r="AQ327" s="84">
        <f t="shared" si="46"/>
        <v>400</v>
      </c>
      <c r="AR327" s="80">
        <v>6030</v>
      </c>
      <c r="AS327" s="178">
        <f t="shared" si="74"/>
        <v>2412000</v>
      </c>
    </row>
    <row r="328" spans="1:45" ht="28.5" hidden="1">
      <c r="A328" s="71">
        <v>302</v>
      </c>
      <c r="B328" s="37" t="s">
        <v>1184</v>
      </c>
      <c r="C328" s="53" t="s">
        <v>1250</v>
      </c>
      <c r="D328" s="37">
        <v>256</v>
      </c>
      <c r="E328" s="37" t="s">
        <v>1183</v>
      </c>
      <c r="F328" s="110" t="s">
        <v>12</v>
      </c>
      <c r="G328" s="37"/>
      <c r="H328" s="37"/>
      <c r="I328" s="37"/>
      <c r="J328" s="37"/>
      <c r="K328" s="36"/>
      <c r="L328" s="35"/>
      <c r="M328" s="39"/>
      <c r="N328" s="37"/>
      <c r="O328" s="36"/>
      <c r="P328" s="37"/>
      <c r="Q328" s="39"/>
      <c r="R328" s="37"/>
      <c r="S328" s="110">
        <v>300</v>
      </c>
      <c r="T328" s="40">
        <f t="shared" si="73"/>
        <v>1917000</v>
      </c>
      <c r="U328" s="39"/>
      <c r="V328" s="40"/>
      <c r="W328" s="39"/>
      <c r="X328" s="40"/>
      <c r="Y328" s="39"/>
      <c r="Z328" s="40"/>
      <c r="AA328" s="39"/>
      <c r="AB328" s="40"/>
      <c r="AC328" s="39"/>
      <c r="AD328" s="40"/>
      <c r="AE328" s="39"/>
      <c r="AF328" s="40"/>
      <c r="AG328" s="39"/>
      <c r="AH328" s="40"/>
      <c r="AI328" s="39"/>
      <c r="AJ328" s="40"/>
      <c r="AK328" s="39"/>
      <c r="AL328" s="40"/>
      <c r="AM328" s="39"/>
      <c r="AN328" s="40"/>
      <c r="AO328" s="39"/>
      <c r="AP328" s="40"/>
      <c r="AQ328" s="84">
        <f t="shared" si="46"/>
        <v>300</v>
      </c>
      <c r="AR328" s="80">
        <v>6390</v>
      </c>
      <c r="AS328" s="178">
        <f t="shared" si="74"/>
        <v>1917000</v>
      </c>
    </row>
    <row r="329" spans="1:45" ht="28.5" hidden="1">
      <c r="A329" s="67">
        <v>303</v>
      </c>
      <c r="B329" s="37" t="s">
        <v>1182</v>
      </c>
      <c r="C329" s="53" t="s">
        <v>1250</v>
      </c>
      <c r="D329" s="37">
        <v>259</v>
      </c>
      <c r="E329" s="37" t="s">
        <v>1181</v>
      </c>
      <c r="F329" s="110" t="s">
        <v>12</v>
      </c>
      <c r="G329" s="37"/>
      <c r="H329" s="37"/>
      <c r="I329" s="37"/>
      <c r="J329" s="37"/>
      <c r="K329" s="36"/>
      <c r="L329" s="35"/>
      <c r="M329" s="39"/>
      <c r="N329" s="37"/>
      <c r="O329" s="36"/>
      <c r="P329" s="37"/>
      <c r="Q329" s="39"/>
      <c r="R329" s="37"/>
      <c r="S329" s="110">
        <v>20</v>
      </c>
      <c r="T329" s="40">
        <f t="shared" si="73"/>
        <v>41442.600000000006</v>
      </c>
      <c r="U329" s="39"/>
      <c r="V329" s="40"/>
      <c r="W329" s="39"/>
      <c r="X329" s="40"/>
      <c r="Y329" s="39"/>
      <c r="Z329" s="40"/>
      <c r="AA329" s="39"/>
      <c r="AB329" s="40"/>
      <c r="AC329" s="39"/>
      <c r="AD329" s="40"/>
      <c r="AE329" s="39"/>
      <c r="AF329" s="40"/>
      <c r="AG329" s="39"/>
      <c r="AH329" s="40"/>
      <c r="AI329" s="39"/>
      <c r="AJ329" s="40"/>
      <c r="AK329" s="39"/>
      <c r="AL329" s="40"/>
      <c r="AM329" s="39"/>
      <c r="AN329" s="40"/>
      <c r="AO329" s="39"/>
      <c r="AP329" s="40"/>
      <c r="AQ329" s="84">
        <f t="shared" si="46"/>
        <v>20</v>
      </c>
      <c r="AR329" s="80">
        <v>2072.13</v>
      </c>
      <c r="AS329" s="178">
        <f t="shared" si="74"/>
        <v>41442.600000000006</v>
      </c>
    </row>
    <row r="330" spans="1:45" ht="14.25" hidden="1">
      <c r="A330" s="71">
        <v>304</v>
      </c>
      <c r="B330" s="37" t="s">
        <v>1180</v>
      </c>
      <c r="C330" s="53" t="s">
        <v>1250</v>
      </c>
      <c r="D330" s="37">
        <v>259</v>
      </c>
      <c r="E330" s="37" t="s">
        <v>1179</v>
      </c>
      <c r="F330" s="110" t="s">
        <v>12</v>
      </c>
      <c r="G330" s="37"/>
      <c r="H330" s="37"/>
      <c r="I330" s="37"/>
      <c r="J330" s="37"/>
      <c r="K330" s="36"/>
      <c r="L330" s="35"/>
      <c r="M330" s="39"/>
      <c r="N330" s="37"/>
      <c r="O330" s="36"/>
      <c r="P330" s="37"/>
      <c r="Q330" s="39"/>
      <c r="R330" s="37"/>
      <c r="S330" s="110">
        <v>20</v>
      </c>
      <c r="T330" s="40">
        <f t="shared" si="73"/>
        <v>43561.2</v>
      </c>
      <c r="U330" s="39"/>
      <c r="V330" s="40"/>
      <c r="W330" s="39"/>
      <c r="X330" s="40"/>
      <c r="Y330" s="39"/>
      <c r="Z330" s="40"/>
      <c r="AA330" s="39"/>
      <c r="AB330" s="40"/>
      <c r="AC330" s="39"/>
      <c r="AD330" s="40"/>
      <c r="AE330" s="39"/>
      <c r="AF330" s="40"/>
      <c r="AG330" s="39"/>
      <c r="AH330" s="40"/>
      <c r="AI330" s="39"/>
      <c r="AJ330" s="40"/>
      <c r="AK330" s="39"/>
      <c r="AL330" s="40"/>
      <c r="AM330" s="39"/>
      <c r="AN330" s="40"/>
      <c r="AO330" s="39"/>
      <c r="AP330" s="40"/>
      <c r="AQ330" s="84">
        <f t="shared" si="46"/>
        <v>20</v>
      </c>
      <c r="AR330" s="80">
        <v>2178.06</v>
      </c>
      <c r="AS330" s="178">
        <f t="shared" si="74"/>
        <v>43561.2</v>
      </c>
    </row>
    <row r="331" spans="1:45" ht="28.5" hidden="1">
      <c r="A331" s="67">
        <v>305</v>
      </c>
      <c r="B331" s="37" t="s">
        <v>1178</v>
      </c>
      <c r="C331" s="53" t="s">
        <v>1250</v>
      </c>
      <c r="D331" s="37">
        <v>259</v>
      </c>
      <c r="E331" s="37" t="s">
        <v>1177</v>
      </c>
      <c r="F331" s="110" t="s">
        <v>12</v>
      </c>
      <c r="G331" s="37"/>
      <c r="H331" s="37"/>
      <c r="I331" s="37"/>
      <c r="J331" s="37"/>
      <c r="K331" s="36"/>
      <c r="L331" s="35"/>
      <c r="M331" s="39"/>
      <c r="N331" s="37"/>
      <c r="O331" s="36"/>
      <c r="P331" s="37"/>
      <c r="Q331" s="39"/>
      <c r="R331" s="37"/>
      <c r="S331" s="110">
        <v>20</v>
      </c>
      <c r="T331" s="40">
        <f t="shared" si="73"/>
        <v>11400</v>
      </c>
      <c r="U331" s="39"/>
      <c r="V331" s="40"/>
      <c r="W331" s="39"/>
      <c r="X331" s="40"/>
      <c r="Y331" s="39"/>
      <c r="Z331" s="40"/>
      <c r="AA331" s="39"/>
      <c r="AB331" s="40"/>
      <c r="AC331" s="39"/>
      <c r="AD331" s="40"/>
      <c r="AE331" s="39"/>
      <c r="AF331" s="40"/>
      <c r="AG331" s="39"/>
      <c r="AH331" s="40"/>
      <c r="AI331" s="39"/>
      <c r="AJ331" s="40"/>
      <c r="AK331" s="39"/>
      <c r="AL331" s="40"/>
      <c r="AM331" s="39"/>
      <c r="AN331" s="40"/>
      <c r="AO331" s="39"/>
      <c r="AP331" s="40"/>
      <c r="AQ331" s="84">
        <f t="shared" si="46"/>
        <v>20</v>
      </c>
      <c r="AR331" s="81">
        <v>570</v>
      </c>
      <c r="AS331" s="178">
        <f t="shared" si="74"/>
        <v>11400</v>
      </c>
    </row>
    <row r="332" spans="1:45" ht="28.5" hidden="1">
      <c r="A332" s="71">
        <v>306</v>
      </c>
      <c r="B332" s="37" t="s">
        <v>1176</v>
      </c>
      <c r="C332" s="53" t="s">
        <v>1250</v>
      </c>
      <c r="D332" s="37">
        <v>259</v>
      </c>
      <c r="E332" s="37" t="s">
        <v>1175</v>
      </c>
      <c r="F332" s="110" t="s">
        <v>12</v>
      </c>
      <c r="G332" s="37"/>
      <c r="H332" s="37"/>
      <c r="I332" s="37"/>
      <c r="J332" s="37"/>
      <c r="K332" s="36"/>
      <c r="L332" s="35"/>
      <c r="M332" s="39"/>
      <c r="N332" s="37"/>
      <c r="O332" s="36"/>
      <c r="P332" s="37"/>
      <c r="Q332" s="39"/>
      <c r="R332" s="37"/>
      <c r="S332" s="110">
        <v>20</v>
      </c>
      <c r="T332" s="40">
        <f t="shared" si="73"/>
        <v>10800</v>
      </c>
      <c r="U332" s="39"/>
      <c r="V332" s="40"/>
      <c r="W332" s="39"/>
      <c r="X332" s="40"/>
      <c r="Y332" s="39"/>
      <c r="Z332" s="40"/>
      <c r="AA332" s="39"/>
      <c r="AB332" s="40"/>
      <c r="AC332" s="39"/>
      <c r="AD332" s="40"/>
      <c r="AE332" s="39"/>
      <c r="AF332" s="40"/>
      <c r="AG332" s="39"/>
      <c r="AH332" s="40"/>
      <c r="AI332" s="39"/>
      <c r="AJ332" s="40"/>
      <c r="AK332" s="39"/>
      <c r="AL332" s="40"/>
      <c r="AM332" s="39"/>
      <c r="AN332" s="40"/>
      <c r="AO332" s="39"/>
      <c r="AP332" s="40"/>
      <c r="AQ332" s="84">
        <f t="shared" si="46"/>
        <v>20</v>
      </c>
      <c r="AR332" s="81">
        <v>540</v>
      </c>
      <c r="AS332" s="178">
        <f t="shared" si="74"/>
        <v>10800</v>
      </c>
    </row>
    <row r="333" spans="1:45" ht="28.5" hidden="1">
      <c r="A333" s="67">
        <v>307</v>
      </c>
      <c r="B333" s="37" t="s">
        <v>1174</v>
      </c>
      <c r="C333" s="53" t="s">
        <v>1250</v>
      </c>
      <c r="D333" s="37">
        <v>259</v>
      </c>
      <c r="E333" s="37" t="s">
        <v>1173</v>
      </c>
      <c r="F333" s="110" t="s">
        <v>12</v>
      </c>
      <c r="G333" s="37"/>
      <c r="H333" s="37"/>
      <c r="I333" s="37"/>
      <c r="J333" s="37"/>
      <c r="K333" s="36"/>
      <c r="L333" s="35"/>
      <c r="M333" s="39"/>
      <c r="N333" s="37"/>
      <c r="O333" s="36"/>
      <c r="P333" s="37"/>
      <c r="Q333" s="39"/>
      <c r="R333" s="37"/>
      <c r="S333" s="110">
        <v>300</v>
      </c>
      <c r="T333" s="40">
        <f t="shared" si="73"/>
        <v>922500</v>
      </c>
      <c r="U333" s="39"/>
      <c r="V333" s="40"/>
      <c r="W333" s="39"/>
      <c r="X333" s="40"/>
      <c r="Y333" s="39"/>
      <c r="Z333" s="40"/>
      <c r="AA333" s="39"/>
      <c r="AB333" s="40"/>
      <c r="AC333" s="39"/>
      <c r="AD333" s="40"/>
      <c r="AE333" s="39"/>
      <c r="AF333" s="40"/>
      <c r="AG333" s="39"/>
      <c r="AH333" s="40"/>
      <c r="AI333" s="39"/>
      <c r="AJ333" s="40"/>
      <c r="AK333" s="39"/>
      <c r="AL333" s="40"/>
      <c r="AM333" s="39"/>
      <c r="AN333" s="40"/>
      <c r="AO333" s="39"/>
      <c r="AP333" s="40"/>
      <c r="AQ333" s="84">
        <f t="shared" si="46"/>
        <v>300</v>
      </c>
      <c r="AR333" s="80">
        <v>3075</v>
      </c>
      <c r="AS333" s="178">
        <f t="shared" si="74"/>
        <v>922500</v>
      </c>
    </row>
    <row r="334" spans="1:45" ht="28.5" hidden="1">
      <c r="A334" s="71">
        <v>308</v>
      </c>
      <c r="B334" s="37" t="s">
        <v>1172</v>
      </c>
      <c r="C334" s="53" t="s">
        <v>1250</v>
      </c>
      <c r="D334" s="37">
        <v>259</v>
      </c>
      <c r="E334" s="37" t="s">
        <v>1171</v>
      </c>
      <c r="F334" s="110" t="s">
        <v>12</v>
      </c>
      <c r="G334" s="37"/>
      <c r="H334" s="37"/>
      <c r="I334" s="37"/>
      <c r="J334" s="37"/>
      <c r="K334" s="36"/>
      <c r="L334" s="35"/>
      <c r="M334" s="39"/>
      <c r="N334" s="37"/>
      <c r="O334" s="36"/>
      <c r="P334" s="37"/>
      <c r="Q334" s="39"/>
      <c r="R334" s="37"/>
      <c r="S334" s="110">
        <v>100</v>
      </c>
      <c r="T334" s="40">
        <f t="shared" si="73"/>
        <v>327000</v>
      </c>
      <c r="U334" s="39"/>
      <c r="V334" s="40"/>
      <c r="W334" s="39"/>
      <c r="X334" s="40"/>
      <c r="Y334" s="39"/>
      <c r="Z334" s="40"/>
      <c r="AA334" s="39"/>
      <c r="AB334" s="40"/>
      <c r="AC334" s="39"/>
      <c r="AD334" s="40"/>
      <c r="AE334" s="39"/>
      <c r="AF334" s="40"/>
      <c r="AG334" s="39"/>
      <c r="AH334" s="40"/>
      <c r="AI334" s="39"/>
      <c r="AJ334" s="40"/>
      <c r="AK334" s="39"/>
      <c r="AL334" s="40"/>
      <c r="AM334" s="39"/>
      <c r="AN334" s="40"/>
      <c r="AO334" s="39"/>
      <c r="AP334" s="40"/>
      <c r="AQ334" s="84">
        <f t="shared" si="46"/>
        <v>100</v>
      </c>
      <c r="AR334" s="80">
        <v>3270</v>
      </c>
      <c r="AS334" s="178">
        <f t="shared" si="74"/>
        <v>327000</v>
      </c>
    </row>
    <row r="335" spans="1:45" ht="42.75" hidden="1">
      <c r="A335" s="67">
        <v>309</v>
      </c>
      <c r="B335" s="37" t="s">
        <v>1170</v>
      </c>
      <c r="C335" s="53" t="s">
        <v>1250</v>
      </c>
      <c r="D335" s="37">
        <v>259</v>
      </c>
      <c r="E335" s="37" t="s">
        <v>1169</v>
      </c>
      <c r="F335" s="71" t="s">
        <v>12</v>
      </c>
      <c r="G335" s="37"/>
      <c r="H335" s="37"/>
      <c r="I335" s="37"/>
      <c r="J335" s="37"/>
      <c r="K335" s="36"/>
      <c r="L335" s="35"/>
      <c r="M335" s="39"/>
      <c r="N335" s="37"/>
      <c r="O335" s="36"/>
      <c r="P335" s="37"/>
      <c r="Q335" s="39"/>
      <c r="R335" s="37"/>
      <c r="S335" s="71">
        <v>300</v>
      </c>
      <c r="T335" s="40">
        <f t="shared" si="73"/>
        <v>7650</v>
      </c>
      <c r="U335" s="39"/>
      <c r="V335" s="40"/>
      <c r="W335" s="39"/>
      <c r="X335" s="40"/>
      <c r="Y335" s="39"/>
      <c r="Z335" s="40"/>
      <c r="AA335" s="39"/>
      <c r="AB335" s="40"/>
      <c r="AC335" s="39"/>
      <c r="AD335" s="40"/>
      <c r="AE335" s="39"/>
      <c r="AF335" s="40"/>
      <c r="AG335" s="39"/>
      <c r="AH335" s="40"/>
      <c r="AI335" s="39"/>
      <c r="AJ335" s="40"/>
      <c r="AK335" s="39"/>
      <c r="AL335" s="40"/>
      <c r="AM335" s="39"/>
      <c r="AN335" s="40"/>
      <c r="AO335" s="39"/>
      <c r="AP335" s="40"/>
      <c r="AQ335" s="84">
        <f t="shared" si="46"/>
        <v>300</v>
      </c>
      <c r="AR335" s="80">
        <v>25.5</v>
      </c>
      <c r="AS335" s="178">
        <f t="shared" si="74"/>
        <v>7650</v>
      </c>
    </row>
    <row r="336" spans="1:45" ht="42.75" hidden="1">
      <c r="A336" s="71">
        <v>310</v>
      </c>
      <c r="B336" s="37" t="s">
        <v>1168</v>
      </c>
      <c r="C336" s="53" t="s">
        <v>1250</v>
      </c>
      <c r="D336" s="37">
        <v>259</v>
      </c>
      <c r="E336" s="37" t="s">
        <v>1167</v>
      </c>
      <c r="F336" s="71" t="s">
        <v>12</v>
      </c>
      <c r="G336" s="37"/>
      <c r="H336" s="37"/>
      <c r="I336" s="37"/>
      <c r="J336" s="37"/>
      <c r="K336" s="36"/>
      <c r="L336" s="35"/>
      <c r="M336" s="39"/>
      <c r="N336" s="37"/>
      <c r="O336" s="36"/>
      <c r="P336" s="37"/>
      <c r="Q336" s="39"/>
      <c r="R336" s="37"/>
      <c r="S336" s="71">
        <v>300</v>
      </c>
      <c r="T336" s="40">
        <f t="shared" si="73"/>
        <v>145500</v>
      </c>
      <c r="U336" s="39"/>
      <c r="V336" s="40"/>
      <c r="W336" s="39"/>
      <c r="X336" s="40"/>
      <c r="Y336" s="39"/>
      <c r="Z336" s="40"/>
      <c r="AA336" s="39"/>
      <c r="AB336" s="40"/>
      <c r="AC336" s="39"/>
      <c r="AD336" s="40"/>
      <c r="AE336" s="39"/>
      <c r="AF336" s="40"/>
      <c r="AG336" s="39"/>
      <c r="AH336" s="40"/>
      <c r="AI336" s="39"/>
      <c r="AJ336" s="40"/>
      <c r="AK336" s="39"/>
      <c r="AL336" s="40"/>
      <c r="AM336" s="39"/>
      <c r="AN336" s="40"/>
      <c r="AO336" s="39"/>
      <c r="AP336" s="40"/>
      <c r="AQ336" s="84">
        <f t="shared" si="46"/>
        <v>300</v>
      </c>
      <c r="AR336" s="167">
        <v>485</v>
      </c>
      <c r="AS336" s="178">
        <f t="shared" si="74"/>
        <v>145500</v>
      </c>
    </row>
    <row r="337" spans="1:45" ht="28.5" hidden="1">
      <c r="A337" s="67">
        <v>311</v>
      </c>
      <c r="B337" s="37" t="s">
        <v>1166</v>
      </c>
      <c r="C337" s="53" t="s">
        <v>1250</v>
      </c>
      <c r="D337" s="37">
        <v>265</v>
      </c>
      <c r="E337" s="37" t="s">
        <v>1165</v>
      </c>
      <c r="F337" s="110" t="s">
        <v>12</v>
      </c>
      <c r="G337" s="37"/>
      <c r="H337" s="37"/>
      <c r="I337" s="37"/>
      <c r="J337" s="37"/>
      <c r="K337" s="36"/>
      <c r="L337" s="35"/>
      <c r="M337" s="39"/>
      <c r="N337" s="37"/>
      <c r="O337" s="36"/>
      <c r="P337" s="37"/>
      <c r="Q337" s="39"/>
      <c r="R337" s="37"/>
      <c r="S337" s="110">
        <v>50</v>
      </c>
      <c r="T337" s="40">
        <f t="shared" si="73"/>
        <v>37500</v>
      </c>
      <c r="U337" s="39"/>
      <c r="V337" s="40"/>
      <c r="W337" s="39"/>
      <c r="X337" s="40"/>
      <c r="Y337" s="39"/>
      <c r="Z337" s="40"/>
      <c r="AA337" s="39"/>
      <c r="AB337" s="40"/>
      <c r="AC337" s="39"/>
      <c r="AD337" s="40"/>
      <c r="AE337" s="39"/>
      <c r="AF337" s="40"/>
      <c r="AG337" s="39"/>
      <c r="AH337" s="40"/>
      <c r="AI337" s="39"/>
      <c r="AJ337" s="40"/>
      <c r="AK337" s="39"/>
      <c r="AL337" s="40"/>
      <c r="AM337" s="39"/>
      <c r="AN337" s="40"/>
      <c r="AO337" s="39"/>
      <c r="AP337" s="40"/>
      <c r="AQ337" s="84">
        <f t="shared" si="46"/>
        <v>50</v>
      </c>
      <c r="AR337" s="167">
        <v>750</v>
      </c>
      <c r="AS337" s="178">
        <f t="shared" si="74"/>
        <v>37500</v>
      </c>
    </row>
    <row r="338" spans="1:45" ht="28.5" hidden="1">
      <c r="A338" s="71">
        <v>312</v>
      </c>
      <c r="B338" s="37" t="s">
        <v>1164</v>
      </c>
      <c r="C338" s="53" t="s">
        <v>1250</v>
      </c>
      <c r="D338" s="37">
        <v>265</v>
      </c>
      <c r="E338" s="37" t="s">
        <v>1163</v>
      </c>
      <c r="F338" s="110" t="s">
        <v>12</v>
      </c>
      <c r="G338" s="37"/>
      <c r="H338" s="37"/>
      <c r="I338" s="37"/>
      <c r="J338" s="37"/>
      <c r="K338" s="36"/>
      <c r="L338" s="35"/>
      <c r="M338" s="39"/>
      <c r="N338" s="37"/>
      <c r="O338" s="36"/>
      <c r="P338" s="37"/>
      <c r="Q338" s="39"/>
      <c r="R338" s="37"/>
      <c r="S338" s="110">
        <v>50</v>
      </c>
      <c r="T338" s="40">
        <f t="shared" si="73"/>
        <v>19500</v>
      </c>
      <c r="U338" s="39"/>
      <c r="V338" s="40"/>
      <c r="W338" s="39"/>
      <c r="X338" s="40"/>
      <c r="Y338" s="39"/>
      <c r="Z338" s="40"/>
      <c r="AA338" s="39"/>
      <c r="AB338" s="40"/>
      <c r="AC338" s="39"/>
      <c r="AD338" s="40"/>
      <c r="AE338" s="39"/>
      <c r="AF338" s="40"/>
      <c r="AG338" s="39"/>
      <c r="AH338" s="40"/>
      <c r="AI338" s="39"/>
      <c r="AJ338" s="40"/>
      <c r="AK338" s="39"/>
      <c r="AL338" s="40"/>
      <c r="AM338" s="39"/>
      <c r="AN338" s="40"/>
      <c r="AO338" s="39"/>
      <c r="AP338" s="40"/>
      <c r="AQ338" s="84">
        <f t="shared" si="46"/>
        <v>50</v>
      </c>
      <c r="AR338" s="167">
        <v>390</v>
      </c>
      <c r="AS338" s="178">
        <f t="shared" si="74"/>
        <v>19500</v>
      </c>
    </row>
    <row r="339" spans="1:45" ht="14.25" hidden="1">
      <c r="A339" s="67">
        <v>313</v>
      </c>
      <c r="B339" s="37" t="s">
        <v>1160</v>
      </c>
      <c r="C339" s="53" t="s">
        <v>1250</v>
      </c>
      <c r="D339" s="37">
        <v>295</v>
      </c>
      <c r="E339" s="37" t="s">
        <v>1159</v>
      </c>
      <c r="F339" s="110" t="s">
        <v>12</v>
      </c>
      <c r="G339" s="37"/>
      <c r="H339" s="37"/>
      <c r="I339" s="37"/>
      <c r="J339" s="37"/>
      <c r="K339" s="36"/>
      <c r="L339" s="35"/>
      <c r="M339" s="39"/>
      <c r="N339" s="37"/>
      <c r="O339" s="36"/>
      <c r="P339" s="37"/>
      <c r="Q339" s="39"/>
      <c r="R339" s="37"/>
      <c r="S339" s="120">
        <v>300</v>
      </c>
      <c r="T339" s="40">
        <f t="shared" si="73"/>
        <v>327744</v>
      </c>
      <c r="U339" s="39"/>
      <c r="V339" s="40"/>
      <c r="W339" s="39"/>
      <c r="X339" s="40"/>
      <c r="Y339" s="39"/>
      <c r="Z339" s="40"/>
      <c r="AA339" s="39"/>
      <c r="AB339" s="40"/>
      <c r="AC339" s="39"/>
      <c r="AD339" s="40"/>
      <c r="AE339" s="39"/>
      <c r="AF339" s="40"/>
      <c r="AG339" s="39"/>
      <c r="AH339" s="40"/>
      <c r="AI339" s="39"/>
      <c r="AJ339" s="40"/>
      <c r="AK339" s="39"/>
      <c r="AL339" s="40"/>
      <c r="AM339" s="39"/>
      <c r="AN339" s="40"/>
      <c r="AO339" s="39"/>
      <c r="AP339" s="40"/>
      <c r="AQ339" s="84">
        <f t="shared" si="46"/>
        <v>300</v>
      </c>
      <c r="AR339" s="80">
        <v>1092.48</v>
      </c>
      <c r="AS339" s="178">
        <f t="shared" si="74"/>
        <v>327744</v>
      </c>
    </row>
    <row r="340" spans="1:45" ht="28.5" hidden="1">
      <c r="A340" s="71">
        <v>314</v>
      </c>
      <c r="B340" s="37" t="s">
        <v>1158</v>
      </c>
      <c r="C340" s="53" t="s">
        <v>1250</v>
      </c>
      <c r="D340" s="37">
        <v>295</v>
      </c>
      <c r="E340" s="37" t="s">
        <v>1157</v>
      </c>
      <c r="F340" s="110" t="s">
        <v>12</v>
      </c>
      <c r="G340" s="37"/>
      <c r="H340" s="37"/>
      <c r="I340" s="37"/>
      <c r="J340" s="37"/>
      <c r="K340" s="36"/>
      <c r="L340" s="35"/>
      <c r="M340" s="39"/>
      <c r="N340" s="37"/>
      <c r="O340" s="36"/>
      <c r="P340" s="37"/>
      <c r="Q340" s="39"/>
      <c r="R340" s="37"/>
      <c r="S340" s="120">
        <v>10</v>
      </c>
      <c r="T340" s="40">
        <f t="shared" si="73"/>
        <v>10924.8</v>
      </c>
      <c r="U340" s="39"/>
      <c r="V340" s="40"/>
      <c r="W340" s="39"/>
      <c r="X340" s="40"/>
      <c r="Y340" s="39"/>
      <c r="Z340" s="40"/>
      <c r="AA340" s="39"/>
      <c r="AB340" s="40"/>
      <c r="AC340" s="39"/>
      <c r="AD340" s="40"/>
      <c r="AE340" s="39"/>
      <c r="AF340" s="40"/>
      <c r="AG340" s="39"/>
      <c r="AH340" s="40"/>
      <c r="AI340" s="39"/>
      <c r="AJ340" s="40"/>
      <c r="AK340" s="39"/>
      <c r="AL340" s="40"/>
      <c r="AM340" s="39"/>
      <c r="AN340" s="40"/>
      <c r="AO340" s="39"/>
      <c r="AP340" s="40"/>
      <c r="AQ340" s="84">
        <f t="shared" si="46"/>
        <v>10</v>
      </c>
      <c r="AR340" s="80">
        <v>1092.48</v>
      </c>
      <c r="AS340" s="178">
        <f t="shared" si="74"/>
        <v>10924.8</v>
      </c>
    </row>
    <row r="341" spans="1:45" ht="28.5" hidden="1">
      <c r="A341" s="67">
        <v>315</v>
      </c>
      <c r="B341" s="37" t="s">
        <v>1156</v>
      </c>
      <c r="C341" s="53" t="s">
        <v>1250</v>
      </c>
      <c r="D341" s="37">
        <v>295</v>
      </c>
      <c r="E341" s="37" t="s">
        <v>1155</v>
      </c>
      <c r="F341" s="110" t="s">
        <v>968</v>
      </c>
      <c r="G341" s="37"/>
      <c r="H341" s="37"/>
      <c r="I341" s="37"/>
      <c r="J341" s="37"/>
      <c r="K341" s="36"/>
      <c r="L341" s="35"/>
      <c r="M341" s="39"/>
      <c r="N341" s="37"/>
      <c r="O341" s="36"/>
      <c r="P341" s="37"/>
      <c r="Q341" s="39"/>
      <c r="R341" s="37"/>
      <c r="S341" s="110">
        <v>5</v>
      </c>
      <c r="T341" s="40">
        <f t="shared" si="73"/>
        <v>5462.4</v>
      </c>
      <c r="U341" s="39"/>
      <c r="V341" s="40"/>
      <c r="W341" s="39"/>
      <c r="X341" s="40"/>
      <c r="Y341" s="39"/>
      <c r="Z341" s="40"/>
      <c r="AA341" s="39"/>
      <c r="AB341" s="40"/>
      <c r="AC341" s="39"/>
      <c r="AD341" s="40"/>
      <c r="AE341" s="39"/>
      <c r="AF341" s="40"/>
      <c r="AG341" s="39"/>
      <c r="AH341" s="40"/>
      <c r="AI341" s="39"/>
      <c r="AJ341" s="40"/>
      <c r="AK341" s="39"/>
      <c r="AL341" s="40"/>
      <c r="AM341" s="39"/>
      <c r="AN341" s="40"/>
      <c r="AO341" s="39"/>
      <c r="AP341" s="40"/>
      <c r="AQ341" s="84">
        <f t="shared" si="46"/>
        <v>5</v>
      </c>
      <c r="AR341" s="80">
        <v>1092.48</v>
      </c>
      <c r="AS341" s="178">
        <f t="shared" si="74"/>
        <v>5462.4</v>
      </c>
    </row>
    <row r="342" spans="1:45" ht="28.5" hidden="1">
      <c r="A342" s="71">
        <v>316</v>
      </c>
      <c r="B342" s="37" t="s">
        <v>1154</v>
      </c>
      <c r="C342" s="53" t="s">
        <v>1250</v>
      </c>
      <c r="D342" s="37">
        <v>295</v>
      </c>
      <c r="E342" s="37" t="s">
        <v>1153</v>
      </c>
      <c r="F342" s="110" t="s">
        <v>968</v>
      </c>
      <c r="G342" s="37"/>
      <c r="H342" s="37"/>
      <c r="I342" s="37"/>
      <c r="J342" s="37"/>
      <c r="K342" s="36"/>
      <c r="L342" s="35"/>
      <c r="M342" s="39"/>
      <c r="N342" s="37"/>
      <c r="O342" s="36"/>
      <c r="P342" s="37"/>
      <c r="Q342" s="39"/>
      <c r="R342" s="37"/>
      <c r="S342" s="110">
        <v>5</v>
      </c>
      <c r="T342" s="40">
        <f t="shared" si="73"/>
        <v>5462.4</v>
      </c>
      <c r="U342" s="39"/>
      <c r="V342" s="40"/>
      <c r="W342" s="39"/>
      <c r="X342" s="40"/>
      <c r="Y342" s="39"/>
      <c r="Z342" s="40"/>
      <c r="AA342" s="39"/>
      <c r="AB342" s="40"/>
      <c r="AC342" s="39"/>
      <c r="AD342" s="40"/>
      <c r="AE342" s="39"/>
      <c r="AF342" s="40"/>
      <c r="AG342" s="39"/>
      <c r="AH342" s="40"/>
      <c r="AI342" s="39"/>
      <c r="AJ342" s="40"/>
      <c r="AK342" s="39"/>
      <c r="AL342" s="40"/>
      <c r="AM342" s="39"/>
      <c r="AN342" s="40"/>
      <c r="AO342" s="39"/>
      <c r="AP342" s="40"/>
      <c r="AQ342" s="84">
        <f t="shared" si="46"/>
        <v>5</v>
      </c>
      <c r="AR342" s="80">
        <v>1092.48</v>
      </c>
      <c r="AS342" s="178">
        <f t="shared" si="74"/>
        <v>5462.4</v>
      </c>
    </row>
    <row r="343" spans="1:45" ht="28.5" hidden="1">
      <c r="A343" s="67">
        <v>317</v>
      </c>
      <c r="B343" s="37" t="s">
        <v>1152</v>
      </c>
      <c r="C343" s="53" t="s">
        <v>1250</v>
      </c>
      <c r="D343" s="37">
        <v>295</v>
      </c>
      <c r="E343" s="37" t="s">
        <v>1151</v>
      </c>
      <c r="F343" s="110" t="s">
        <v>968</v>
      </c>
      <c r="G343" s="37"/>
      <c r="H343" s="37"/>
      <c r="I343" s="37"/>
      <c r="J343" s="37"/>
      <c r="K343" s="36"/>
      <c r="L343" s="35"/>
      <c r="M343" s="39"/>
      <c r="N343" s="37"/>
      <c r="O343" s="36"/>
      <c r="P343" s="37"/>
      <c r="Q343" s="39"/>
      <c r="R343" s="37"/>
      <c r="S343" s="110">
        <v>5</v>
      </c>
      <c r="T343" s="40">
        <f t="shared" si="73"/>
        <v>5462.4</v>
      </c>
      <c r="U343" s="39"/>
      <c r="V343" s="40"/>
      <c r="W343" s="39"/>
      <c r="X343" s="40"/>
      <c r="Y343" s="39"/>
      <c r="Z343" s="40"/>
      <c r="AA343" s="39"/>
      <c r="AB343" s="40"/>
      <c r="AC343" s="39"/>
      <c r="AD343" s="40"/>
      <c r="AE343" s="39"/>
      <c r="AF343" s="40"/>
      <c r="AG343" s="39"/>
      <c r="AH343" s="40"/>
      <c r="AI343" s="39"/>
      <c r="AJ343" s="40"/>
      <c r="AK343" s="39"/>
      <c r="AL343" s="40"/>
      <c r="AM343" s="39"/>
      <c r="AN343" s="40"/>
      <c r="AO343" s="39"/>
      <c r="AP343" s="40"/>
      <c r="AQ343" s="84">
        <f t="shared" si="46"/>
        <v>5</v>
      </c>
      <c r="AR343" s="80">
        <v>1092.48</v>
      </c>
      <c r="AS343" s="178">
        <f t="shared" si="74"/>
        <v>5462.4</v>
      </c>
    </row>
    <row r="344" spans="1:45" ht="28.5" hidden="1">
      <c r="A344" s="71">
        <v>318</v>
      </c>
      <c r="B344" s="37" t="s">
        <v>1150</v>
      </c>
      <c r="C344" s="53" t="s">
        <v>1250</v>
      </c>
      <c r="D344" s="37">
        <v>295</v>
      </c>
      <c r="E344" s="37" t="s">
        <v>1149</v>
      </c>
      <c r="F344" s="110" t="s">
        <v>968</v>
      </c>
      <c r="G344" s="37"/>
      <c r="H344" s="37"/>
      <c r="I344" s="37"/>
      <c r="J344" s="37"/>
      <c r="K344" s="36"/>
      <c r="L344" s="35"/>
      <c r="M344" s="39"/>
      <c r="N344" s="37"/>
      <c r="O344" s="36"/>
      <c r="P344" s="37"/>
      <c r="Q344" s="39"/>
      <c r="R344" s="37"/>
      <c r="S344" s="110">
        <v>5</v>
      </c>
      <c r="T344" s="40">
        <f t="shared" si="73"/>
        <v>5462.4</v>
      </c>
      <c r="U344" s="39"/>
      <c r="V344" s="40"/>
      <c r="W344" s="39"/>
      <c r="X344" s="40"/>
      <c r="Y344" s="39"/>
      <c r="Z344" s="40"/>
      <c r="AA344" s="39"/>
      <c r="AB344" s="40"/>
      <c r="AC344" s="39"/>
      <c r="AD344" s="40"/>
      <c r="AE344" s="39"/>
      <c r="AF344" s="40"/>
      <c r="AG344" s="39"/>
      <c r="AH344" s="40"/>
      <c r="AI344" s="39"/>
      <c r="AJ344" s="40"/>
      <c r="AK344" s="39"/>
      <c r="AL344" s="40"/>
      <c r="AM344" s="39"/>
      <c r="AN344" s="40"/>
      <c r="AO344" s="39"/>
      <c r="AP344" s="40"/>
      <c r="AQ344" s="84">
        <f t="shared" si="46"/>
        <v>5</v>
      </c>
      <c r="AR344" s="80">
        <v>1092.48</v>
      </c>
      <c r="AS344" s="178">
        <f t="shared" si="74"/>
        <v>5462.4</v>
      </c>
    </row>
    <row r="345" spans="1:45" ht="28.5" hidden="1">
      <c r="A345" s="67">
        <v>319</v>
      </c>
      <c r="B345" s="37" t="s">
        <v>1148</v>
      </c>
      <c r="C345" s="53" t="s">
        <v>1250</v>
      </c>
      <c r="D345" s="37">
        <v>295</v>
      </c>
      <c r="E345" s="37" t="s">
        <v>1147</v>
      </c>
      <c r="F345" s="110" t="s">
        <v>968</v>
      </c>
      <c r="G345" s="37"/>
      <c r="H345" s="37"/>
      <c r="I345" s="37"/>
      <c r="J345" s="37"/>
      <c r="K345" s="36"/>
      <c r="L345" s="35"/>
      <c r="M345" s="39"/>
      <c r="N345" s="37"/>
      <c r="O345" s="36"/>
      <c r="P345" s="37"/>
      <c r="Q345" s="39"/>
      <c r="R345" s="37"/>
      <c r="S345" s="110">
        <v>5</v>
      </c>
      <c r="T345" s="40">
        <f t="shared" si="73"/>
        <v>5462.4</v>
      </c>
      <c r="U345" s="39"/>
      <c r="V345" s="40"/>
      <c r="W345" s="39"/>
      <c r="X345" s="40"/>
      <c r="Y345" s="39"/>
      <c r="Z345" s="40"/>
      <c r="AA345" s="39"/>
      <c r="AB345" s="40"/>
      <c r="AC345" s="39"/>
      <c r="AD345" s="40"/>
      <c r="AE345" s="39"/>
      <c r="AF345" s="40"/>
      <c r="AG345" s="39"/>
      <c r="AH345" s="40"/>
      <c r="AI345" s="39"/>
      <c r="AJ345" s="40"/>
      <c r="AK345" s="39"/>
      <c r="AL345" s="40"/>
      <c r="AM345" s="39"/>
      <c r="AN345" s="40"/>
      <c r="AO345" s="39"/>
      <c r="AP345" s="40"/>
      <c r="AQ345" s="84">
        <f t="shared" si="46"/>
        <v>5</v>
      </c>
      <c r="AR345" s="80">
        <v>1092.48</v>
      </c>
      <c r="AS345" s="178">
        <f t="shared" si="74"/>
        <v>5462.4</v>
      </c>
    </row>
    <row r="346" spans="1:45" ht="28.5" hidden="1">
      <c r="A346" s="71">
        <v>320</v>
      </c>
      <c r="B346" s="37" t="s">
        <v>1146</v>
      </c>
      <c r="C346" s="53" t="s">
        <v>1250</v>
      </c>
      <c r="D346" s="37">
        <v>295</v>
      </c>
      <c r="E346" s="37" t="s">
        <v>1145</v>
      </c>
      <c r="F346" s="110" t="s">
        <v>968</v>
      </c>
      <c r="G346" s="37"/>
      <c r="H346" s="37"/>
      <c r="I346" s="37"/>
      <c r="J346" s="37"/>
      <c r="K346" s="36"/>
      <c r="L346" s="35"/>
      <c r="M346" s="39"/>
      <c r="N346" s="37"/>
      <c r="O346" s="36"/>
      <c r="P346" s="37"/>
      <c r="Q346" s="39"/>
      <c r="R346" s="37"/>
      <c r="S346" s="110">
        <v>5</v>
      </c>
      <c r="T346" s="40">
        <f t="shared" si="73"/>
        <v>5462.4</v>
      </c>
      <c r="U346" s="39"/>
      <c r="V346" s="40"/>
      <c r="W346" s="39"/>
      <c r="X346" s="40"/>
      <c r="Y346" s="39"/>
      <c r="Z346" s="40"/>
      <c r="AA346" s="39"/>
      <c r="AB346" s="40"/>
      <c r="AC346" s="39"/>
      <c r="AD346" s="40"/>
      <c r="AE346" s="39"/>
      <c r="AF346" s="40"/>
      <c r="AG346" s="39"/>
      <c r="AH346" s="40"/>
      <c r="AI346" s="39"/>
      <c r="AJ346" s="40"/>
      <c r="AK346" s="39"/>
      <c r="AL346" s="40"/>
      <c r="AM346" s="39"/>
      <c r="AN346" s="40"/>
      <c r="AO346" s="39"/>
      <c r="AP346" s="40"/>
      <c r="AQ346" s="84">
        <f t="shared" si="46"/>
        <v>5</v>
      </c>
      <c r="AR346" s="80">
        <v>1092.48</v>
      </c>
      <c r="AS346" s="178">
        <f t="shared" si="74"/>
        <v>5462.4</v>
      </c>
    </row>
    <row r="347" spans="1:45" ht="28.5" hidden="1">
      <c r="A347" s="67">
        <v>321</v>
      </c>
      <c r="B347" s="37" t="s">
        <v>1144</v>
      </c>
      <c r="C347" s="53" t="s">
        <v>1250</v>
      </c>
      <c r="D347" s="37">
        <v>295</v>
      </c>
      <c r="E347" s="37" t="s">
        <v>1143</v>
      </c>
      <c r="F347" s="110" t="s">
        <v>968</v>
      </c>
      <c r="G347" s="37"/>
      <c r="H347" s="37"/>
      <c r="I347" s="37"/>
      <c r="J347" s="37"/>
      <c r="K347" s="36"/>
      <c r="L347" s="35"/>
      <c r="M347" s="39"/>
      <c r="N347" s="37"/>
      <c r="O347" s="36"/>
      <c r="P347" s="37"/>
      <c r="Q347" s="39"/>
      <c r="R347" s="37"/>
      <c r="S347" s="110">
        <v>5</v>
      </c>
      <c r="T347" s="40">
        <f t="shared" si="73"/>
        <v>5462.4</v>
      </c>
      <c r="U347" s="39"/>
      <c r="V347" s="40"/>
      <c r="W347" s="39"/>
      <c r="X347" s="40"/>
      <c r="Y347" s="39"/>
      <c r="Z347" s="40"/>
      <c r="AA347" s="39"/>
      <c r="AB347" s="40"/>
      <c r="AC347" s="39"/>
      <c r="AD347" s="40"/>
      <c r="AE347" s="39"/>
      <c r="AF347" s="40"/>
      <c r="AG347" s="39"/>
      <c r="AH347" s="40"/>
      <c r="AI347" s="39"/>
      <c r="AJ347" s="40"/>
      <c r="AK347" s="39"/>
      <c r="AL347" s="40"/>
      <c r="AM347" s="39"/>
      <c r="AN347" s="40"/>
      <c r="AO347" s="39"/>
      <c r="AP347" s="40"/>
      <c r="AQ347" s="84">
        <f t="shared" si="46"/>
        <v>5</v>
      </c>
      <c r="AR347" s="80">
        <v>1092.48</v>
      </c>
      <c r="AS347" s="178">
        <f t="shared" si="74"/>
        <v>5462.4</v>
      </c>
    </row>
    <row r="348" spans="1:45" ht="28.5" hidden="1">
      <c r="A348" s="71">
        <v>322</v>
      </c>
      <c r="B348" s="37" t="s">
        <v>1142</v>
      </c>
      <c r="C348" s="53" t="s">
        <v>1250</v>
      </c>
      <c r="D348" s="37">
        <v>295</v>
      </c>
      <c r="E348" s="37" t="s">
        <v>1141</v>
      </c>
      <c r="F348" s="110" t="s">
        <v>968</v>
      </c>
      <c r="G348" s="37"/>
      <c r="H348" s="37"/>
      <c r="I348" s="37"/>
      <c r="J348" s="37"/>
      <c r="K348" s="36"/>
      <c r="L348" s="35"/>
      <c r="M348" s="39"/>
      <c r="N348" s="37"/>
      <c r="O348" s="36"/>
      <c r="P348" s="37"/>
      <c r="Q348" s="39"/>
      <c r="R348" s="37"/>
      <c r="S348" s="110">
        <v>5</v>
      </c>
      <c r="T348" s="40">
        <f t="shared" si="73"/>
        <v>5462.4</v>
      </c>
      <c r="U348" s="39"/>
      <c r="V348" s="40"/>
      <c r="W348" s="39"/>
      <c r="X348" s="40"/>
      <c r="Y348" s="39"/>
      <c r="Z348" s="40"/>
      <c r="AA348" s="39"/>
      <c r="AB348" s="40"/>
      <c r="AC348" s="39"/>
      <c r="AD348" s="40"/>
      <c r="AE348" s="39"/>
      <c r="AF348" s="40"/>
      <c r="AG348" s="39"/>
      <c r="AH348" s="40"/>
      <c r="AI348" s="39"/>
      <c r="AJ348" s="40"/>
      <c r="AK348" s="39"/>
      <c r="AL348" s="40"/>
      <c r="AM348" s="39"/>
      <c r="AN348" s="40"/>
      <c r="AO348" s="39"/>
      <c r="AP348" s="40"/>
      <c r="AQ348" s="84">
        <f t="shared" si="46"/>
        <v>5</v>
      </c>
      <c r="AR348" s="80">
        <v>1092.48</v>
      </c>
      <c r="AS348" s="178">
        <f t="shared" si="74"/>
        <v>5462.4</v>
      </c>
    </row>
    <row r="349" spans="1:45" ht="28.5" hidden="1">
      <c r="A349" s="67">
        <v>323</v>
      </c>
      <c r="B349" s="37" t="s">
        <v>1140</v>
      </c>
      <c r="C349" s="53" t="s">
        <v>1250</v>
      </c>
      <c r="D349" s="37">
        <v>295</v>
      </c>
      <c r="E349" s="37" t="s">
        <v>1139</v>
      </c>
      <c r="F349" s="110" t="s">
        <v>968</v>
      </c>
      <c r="G349" s="37"/>
      <c r="H349" s="37"/>
      <c r="I349" s="37"/>
      <c r="J349" s="37"/>
      <c r="K349" s="36"/>
      <c r="L349" s="35"/>
      <c r="M349" s="39"/>
      <c r="N349" s="37"/>
      <c r="O349" s="36"/>
      <c r="P349" s="37"/>
      <c r="Q349" s="39"/>
      <c r="R349" s="37"/>
      <c r="S349" s="110">
        <v>5</v>
      </c>
      <c r="T349" s="40">
        <f t="shared" si="73"/>
        <v>5462.4</v>
      </c>
      <c r="U349" s="39"/>
      <c r="V349" s="40"/>
      <c r="W349" s="39"/>
      <c r="X349" s="40"/>
      <c r="Y349" s="39"/>
      <c r="Z349" s="40"/>
      <c r="AA349" s="39"/>
      <c r="AB349" s="40"/>
      <c r="AC349" s="39"/>
      <c r="AD349" s="40"/>
      <c r="AE349" s="39"/>
      <c r="AF349" s="40"/>
      <c r="AG349" s="39"/>
      <c r="AH349" s="40"/>
      <c r="AI349" s="39"/>
      <c r="AJ349" s="40"/>
      <c r="AK349" s="39"/>
      <c r="AL349" s="40"/>
      <c r="AM349" s="39"/>
      <c r="AN349" s="40"/>
      <c r="AO349" s="39"/>
      <c r="AP349" s="40"/>
      <c r="AQ349" s="84">
        <f t="shared" si="46"/>
        <v>5</v>
      </c>
      <c r="AR349" s="80">
        <v>1092.48</v>
      </c>
      <c r="AS349" s="178">
        <f t="shared" si="74"/>
        <v>5462.4</v>
      </c>
    </row>
    <row r="350" spans="1:45" ht="28.5" hidden="1">
      <c r="A350" s="71">
        <v>324</v>
      </c>
      <c r="B350" s="37" t="s">
        <v>1138</v>
      </c>
      <c r="C350" s="53" t="s">
        <v>1250</v>
      </c>
      <c r="D350" s="37">
        <v>295</v>
      </c>
      <c r="E350" s="37" t="s">
        <v>1137</v>
      </c>
      <c r="F350" s="110" t="s">
        <v>968</v>
      </c>
      <c r="G350" s="37"/>
      <c r="H350" s="37"/>
      <c r="I350" s="37"/>
      <c r="J350" s="37"/>
      <c r="K350" s="36"/>
      <c r="L350" s="35"/>
      <c r="M350" s="39"/>
      <c r="N350" s="37"/>
      <c r="O350" s="36"/>
      <c r="P350" s="37"/>
      <c r="Q350" s="39"/>
      <c r="R350" s="37"/>
      <c r="S350" s="110">
        <v>5</v>
      </c>
      <c r="T350" s="40">
        <f t="shared" si="73"/>
        <v>5462.4</v>
      </c>
      <c r="U350" s="39"/>
      <c r="V350" s="40"/>
      <c r="W350" s="39"/>
      <c r="X350" s="40"/>
      <c r="Y350" s="39"/>
      <c r="Z350" s="40"/>
      <c r="AA350" s="39"/>
      <c r="AB350" s="40"/>
      <c r="AC350" s="39"/>
      <c r="AD350" s="40"/>
      <c r="AE350" s="39"/>
      <c r="AF350" s="40"/>
      <c r="AG350" s="39"/>
      <c r="AH350" s="40"/>
      <c r="AI350" s="39"/>
      <c r="AJ350" s="40"/>
      <c r="AK350" s="39"/>
      <c r="AL350" s="40"/>
      <c r="AM350" s="39"/>
      <c r="AN350" s="40"/>
      <c r="AO350" s="39"/>
      <c r="AP350" s="40"/>
      <c r="AQ350" s="84">
        <f t="shared" si="46"/>
        <v>5</v>
      </c>
      <c r="AR350" s="80">
        <v>1092.48</v>
      </c>
      <c r="AS350" s="178">
        <f t="shared" si="74"/>
        <v>5462.4</v>
      </c>
    </row>
    <row r="351" spans="1:45" ht="28.5" hidden="1">
      <c r="A351" s="67">
        <v>325</v>
      </c>
      <c r="B351" s="37" t="s">
        <v>1136</v>
      </c>
      <c r="C351" s="53" t="s">
        <v>1250</v>
      </c>
      <c r="D351" s="37">
        <v>295</v>
      </c>
      <c r="E351" s="37" t="s">
        <v>1135</v>
      </c>
      <c r="F351" s="110" t="s">
        <v>968</v>
      </c>
      <c r="G351" s="37"/>
      <c r="H351" s="37"/>
      <c r="I351" s="37"/>
      <c r="J351" s="37"/>
      <c r="K351" s="36"/>
      <c r="L351" s="35"/>
      <c r="M351" s="39"/>
      <c r="N351" s="37"/>
      <c r="O351" s="36"/>
      <c r="P351" s="37"/>
      <c r="Q351" s="39"/>
      <c r="R351" s="37"/>
      <c r="S351" s="110">
        <v>5</v>
      </c>
      <c r="T351" s="40">
        <f t="shared" si="73"/>
        <v>5462.4</v>
      </c>
      <c r="U351" s="39"/>
      <c r="V351" s="40"/>
      <c r="W351" s="39"/>
      <c r="X351" s="40"/>
      <c r="Y351" s="39"/>
      <c r="Z351" s="40"/>
      <c r="AA351" s="39"/>
      <c r="AB351" s="40"/>
      <c r="AC351" s="39"/>
      <c r="AD351" s="40"/>
      <c r="AE351" s="39"/>
      <c r="AF351" s="40"/>
      <c r="AG351" s="39"/>
      <c r="AH351" s="40"/>
      <c r="AI351" s="39"/>
      <c r="AJ351" s="40"/>
      <c r="AK351" s="39"/>
      <c r="AL351" s="40"/>
      <c r="AM351" s="39"/>
      <c r="AN351" s="40"/>
      <c r="AO351" s="39"/>
      <c r="AP351" s="40"/>
      <c r="AQ351" s="84">
        <f t="shared" si="46"/>
        <v>5</v>
      </c>
      <c r="AR351" s="80">
        <v>1092.48</v>
      </c>
      <c r="AS351" s="178">
        <f t="shared" si="74"/>
        <v>5462.4</v>
      </c>
    </row>
    <row r="352" spans="1:45" ht="28.5" hidden="1">
      <c r="A352" s="71">
        <v>326</v>
      </c>
      <c r="B352" s="37" t="s">
        <v>1134</v>
      </c>
      <c r="C352" s="53" t="s">
        <v>1250</v>
      </c>
      <c r="D352" s="37">
        <v>295</v>
      </c>
      <c r="E352" s="37" t="s">
        <v>1133</v>
      </c>
      <c r="F352" s="110" t="s">
        <v>968</v>
      </c>
      <c r="G352" s="37"/>
      <c r="H352" s="37"/>
      <c r="I352" s="37"/>
      <c r="J352" s="37"/>
      <c r="K352" s="36"/>
      <c r="L352" s="35"/>
      <c r="M352" s="39"/>
      <c r="N352" s="37"/>
      <c r="O352" s="36"/>
      <c r="P352" s="37"/>
      <c r="Q352" s="39"/>
      <c r="R352" s="37"/>
      <c r="S352" s="110">
        <v>5</v>
      </c>
      <c r="T352" s="40">
        <f t="shared" si="73"/>
        <v>5462.4</v>
      </c>
      <c r="U352" s="39"/>
      <c r="V352" s="40"/>
      <c r="W352" s="39"/>
      <c r="X352" s="40"/>
      <c r="Y352" s="39"/>
      <c r="Z352" s="40"/>
      <c r="AA352" s="39"/>
      <c r="AB352" s="40"/>
      <c r="AC352" s="39"/>
      <c r="AD352" s="40"/>
      <c r="AE352" s="39"/>
      <c r="AF352" s="40"/>
      <c r="AG352" s="39"/>
      <c r="AH352" s="40"/>
      <c r="AI352" s="39"/>
      <c r="AJ352" s="40"/>
      <c r="AK352" s="39"/>
      <c r="AL352" s="40"/>
      <c r="AM352" s="39"/>
      <c r="AN352" s="40"/>
      <c r="AO352" s="39"/>
      <c r="AP352" s="40"/>
      <c r="AQ352" s="84">
        <f t="shared" si="46"/>
        <v>5</v>
      </c>
      <c r="AR352" s="80">
        <v>1092.48</v>
      </c>
      <c r="AS352" s="178">
        <f t="shared" si="74"/>
        <v>5462.4</v>
      </c>
    </row>
    <row r="353" spans="1:45" ht="28.5" hidden="1">
      <c r="A353" s="67">
        <v>327</v>
      </c>
      <c r="B353" s="37" t="s">
        <v>1132</v>
      </c>
      <c r="C353" s="53" t="s">
        <v>1250</v>
      </c>
      <c r="D353" s="37">
        <v>295</v>
      </c>
      <c r="E353" s="37" t="s">
        <v>1131</v>
      </c>
      <c r="F353" s="110" t="s">
        <v>968</v>
      </c>
      <c r="G353" s="37"/>
      <c r="H353" s="37"/>
      <c r="I353" s="37"/>
      <c r="J353" s="37"/>
      <c r="K353" s="36"/>
      <c r="L353" s="35"/>
      <c r="M353" s="39"/>
      <c r="N353" s="37"/>
      <c r="O353" s="36"/>
      <c r="P353" s="37"/>
      <c r="Q353" s="39"/>
      <c r="R353" s="37"/>
      <c r="S353" s="110">
        <v>5</v>
      </c>
      <c r="T353" s="40">
        <f t="shared" si="73"/>
        <v>5462.4</v>
      </c>
      <c r="U353" s="39"/>
      <c r="V353" s="40"/>
      <c r="W353" s="39"/>
      <c r="X353" s="40"/>
      <c r="Y353" s="39"/>
      <c r="Z353" s="40"/>
      <c r="AA353" s="39"/>
      <c r="AB353" s="40"/>
      <c r="AC353" s="39"/>
      <c r="AD353" s="40"/>
      <c r="AE353" s="39"/>
      <c r="AF353" s="40"/>
      <c r="AG353" s="39"/>
      <c r="AH353" s="40"/>
      <c r="AI353" s="39"/>
      <c r="AJ353" s="40"/>
      <c r="AK353" s="39"/>
      <c r="AL353" s="40"/>
      <c r="AM353" s="39"/>
      <c r="AN353" s="40"/>
      <c r="AO353" s="39"/>
      <c r="AP353" s="40"/>
      <c r="AQ353" s="84">
        <f t="shared" si="46"/>
        <v>5</v>
      </c>
      <c r="AR353" s="80">
        <v>1092.48</v>
      </c>
      <c r="AS353" s="178">
        <f t="shared" si="74"/>
        <v>5462.4</v>
      </c>
    </row>
    <row r="354" spans="1:45" ht="28.5" hidden="1">
      <c r="A354" s="71">
        <v>328</v>
      </c>
      <c r="B354" s="37" t="s">
        <v>1130</v>
      </c>
      <c r="C354" s="53" t="s">
        <v>1250</v>
      </c>
      <c r="D354" s="37">
        <v>295</v>
      </c>
      <c r="E354" s="37" t="s">
        <v>1129</v>
      </c>
      <c r="F354" s="110" t="s">
        <v>968</v>
      </c>
      <c r="G354" s="37"/>
      <c r="H354" s="37"/>
      <c r="I354" s="37"/>
      <c r="J354" s="37"/>
      <c r="K354" s="36"/>
      <c r="L354" s="35"/>
      <c r="M354" s="39"/>
      <c r="N354" s="37"/>
      <c r="O354" s="36"/>
      <c r="P354" s="37"/>
      <c r="Q354" s="39"/>
      <c r="R354" s="37"/>
      <c r="S354" s="110">
        <v>5</v>
      </c>
      <c r="T354" s="40">
        <f t="shared" si="73"/>
        <v>5462.4</v>
      </c>
      <c r="U354" s="39"/>
      <c r="V354" s="40"/>
      <c r="W354" s="39"/>
      <c r="X354" s="40"/>
      <c r="Y354" s="39"/>
      <c r="Z354" s="40"/>
      <c r="AA354" s="39"/>
      <c r="AB354" s="40"/>
      <c r="AC354" s="39"/>
      <c r="AD354" s="40"/>
      <c r="AE354" s="39"/>
      <c r="AF354" s="40"/>
      <c r="AG354" s="39"/>
      <c r="AH354" s="40"/>
      <c r="AI354" s="39"/>
      <c r="AJ354" s="40"/>
      <c r="AK354" s="39"/>
      <c r="AL354" s="40"/>
      <c r="AM354" s="39"/>
      <c r="AN354" s="40"/>
      <c r="AO354" s="39"/>
      <c r="AP354" s="40"/>
      <c r="AQ354" s="84">
        <f t="shared" si="46"/>
        <v>5</v>
      </c>
      <c r="AR354" s="80">
        <v>1092.48</v>
      </c>
      <c r="AS354" s="178">
        <f t="shared" si="74"/>
        <v>5462.4</v>
      </c>
    </row>
    <row r="355" spans="1:45" ht="28.5" hidden="1">
      <c r="A355" s="67">
        <v>329</v>
      </c>
      <c r="B355" s="37" t="s">
        <v>1128</v>
      </c>
      <c r="C355" s="53" t="s">
        <v>1250</v>
      </c>
      <c r="D355" s="37">
        <v>295</v>
      </c>
      <c r="E355" s="37" t="s">
        <v>1127</v>
      </c>
      <c r="F355" s="110" t="s">
        <v>968</v>
      </c>
      <c r="G355" s="37"/>
      <c r="H355" s="37"/>
      <c r="I355" s="37"/>
      <c r="J355" s="37"/>
      <c r="K355" s="36"/>
      <c r="L355" s="35"/>
      <c r="M355" s="39"/>
      <c r="N355" s="37"/>
      <c r="O355" s="36"/>
      <c r="P355" s="37"/>
      <c r="Q355" s="39"/>
      <c r="R355" s="37"/>
      <c r="S355" s="110">
        <v>5</v>
      </c>
      <c r="T355" s="40">
        <f t="shared" si="73"/>
        <v>5462.4</v>
      </c>
      <c r="U355" s="39"/>
      <c r="V355" s="40"/>
      <c r="W355" s="39"/>
      <c r="X355" s="40"/>
      <c r="Y355" s="39"/>
      <c r="Z355" s="40"/>
      <c r="AA355" s="39"/>
      <c r="AB355" s="40"/>
      <c r="AC355" s="39"/>
      <c r="AD355" s="40"/>
      <c r="AE355" s="39"/>
      <c r="AF355" s="40"/>
      <c r="AG355" s="39"/>
      <c r="AH355" s="40"/>
      <c r="AI355" s="39"/>
      <c r="AJ355" s="40"/>
      <c r="AK355" s="39"/>
      <c r="AL355" s="40"/>
      <c r="AM355" s="39"/>
      <c r="AN355" s="40"/>
      <c r="AO355" s="39"/>
      <c r="AP355" s="40"/>
      <c r="AQ355" s="84">
        <f t="shared" ref="AQ355:AQ418" si="75">+AO355+AM355+AK355+AI355+AG355+AE355+AC355+AA355+Y355+W355+U355+S355+Q355+O355+M355+K355+I355+G355</f>
        <v>5</v>
      </c>
      <c r="AR355" s="80">
        <v>1092.48</v>
      </c>
      <c r="AS355" s="178">
        <f t="shared" si="74"/>
        <v>5462.4</v>
      </c>
    </row>
    <row r="356" spans="1:45" ht="28.5" hidden="1">
      <c r="A356" s="71">
        <v>330</v>
      </c>
      <c r="B356" s="37" t="s">
        <v>1126</v>
      </c>
      <c r="C356" s="53" t="s">
        <v>1250</v>
      </c>
      <c r="D356" s="37">
        <v>295</v>
      </c>
      <c r="E356" s="37" t="s">
        <v>1125</v>
      </c>
      <c r="F356" s="110" t="s">
        <v>968</v>
      </c>
      <c r="G356" s="48"/>
      <c r="H356" s="48"/>
      <c r="I356" s="48"/>
      <c r="J356" s="48"/>
      <c r="K356" s="70"/>
      <c r="L356" s="78"/>
      <c r="M356" s="49"/>
      <c r="N356" s="48"/>
      <c r="O356" s="70"/>
      <c r="P356" s="48"/>
      <c r="Q356" s="49"/>
      <c r="R356" s="48"/>
      <c r="S356" s="110">
        <v>5</v>
      </c>
      <c r="T356" s="40">
        <f t="shared" si="73"/>
        <v>5462.4</v>
      </c>
      <c r="U356" s="39"/>
      <c r="V356" s="40"/>
      <c r="W356" s="39"/>
      <c r="X356" s="40"/>
      <c r="Y356" s="39"/>
      <c r="Z356" s="40"/>
      <c r="AA356" s="39"/>
      <c r="AB356" s="40"/>
      <c r="AC356" s="39"/>
      <c r="AD356" s="40"/>
      <c r="AE356" s="39"/>
      <c r="AF356" s="40"/>
      <c r="AG356" s="39"/>
      <c r="AH356" s="40"/>
      <c r="AI356" s="39"/>
      <c r="AJ356" s="40"/>
      <c r="AK356" s="39"/>
      <c r="AL356" s="40"/>
      <c r="AM356" s="39"/>
      <c r="AN356" s="40"/>
      <c r="AO356" s="39"/>
      <c r="AP356" s="40"/>
      <c r="AQ356" s="84">
        <f t="shared" si="75"/>
        <v>5</v>
      </c>
      <c r="AR356" s="80">
        <v>1092.48</v>
      </c>
      <c r="AS356" s="178">
        <f t="shared" si="74"/>
        <v>5462.4</v>
      </c>
    </row>
    <row r="357" spans="1:45" ht="28.5" hidden="1">
      <c r="A357" s="67">
        <v>331</v>
      </c>
      <c r="B357" s="37" t="s">
        <v>1124</v>
      </c>
      <c r="C357" s="53" t="s">
        <v>1250</v>
      </c>
      <c r="D357" s="37">
        <v>295</v>
      </c>
      <c r="E357" s="37" t="s">
        <v>1123</v>
      </c>
      <c r="F357" s="110" t="s">
        <v>968</v>
      </c>
      <c r="G357" s="48"/>
      <c r="H357" s="48"/>
      <c r="I357" s="48"/>
      <c r="J357" s="48"/>
      <c r="K357" s="70"/>
      <c r="L357" s="78"/>
      <c r="M357" s="49"/>
      <c r="N357" s="48"/>
      <c r="O357" s="70"/>
      <c r="P357" s="48"/>
      <c r="Q357" s="49"/>
      <c r="R357" s="48"/>
      <c r="S357" s="110">
        <v>5</v>
      </c>
      <c r="T357" s="40">
        <f t="shared" si="73"/>
        <v>5462.4</v>
      </c>
      <c r="U357" s="39"/>
      <c r="V357" s="40"/>
      <c r="W357" s="39"/>
      <c r="X357" s="40"/>
      <c r="Y357" s="39"/>
      <c r="Z357" s="40"/>
      <c r="AA357" s="39"/>
      <c r="AB357" s="40"/>
      <c r="AC357" s="39"/>
      <c r="AD357" s="40"/>
      <c r="AE357" s="39"/>
      <c r="AF357" s="40"/>
      <c r="AG357" s="39"/>
      <c r="AH357" s="40"/>
      <c r="AI357" s="39"/>
      <c r="AJ357" s="40"/>
      <c r="AK357" s="39"/>
      <c r="AL357" s="40"/>
      <c r="AM357" s="39"/>
      <c r="AN357" s="40"/>
      <c r="AO357" s="39"/>
      <c r="AP357" s="40"/>
      <c r="AQ357" s="84">
        <f t="shared" si="75"/>
        <v>5</v>
      </c>
      <c r="AR357" s="80">
        <v>1092.48</v>
      </c>
      <c r="AS357" s="178">
        <f t="shared" si="74"/>
        <v>5462.4</v>
      </c>
    </row>
    <row r="358" spans="1:45" ht="28.5" hidden="1">
      <c r="A358" s="71">
        <v>332</v>
      </c>
      <c r="B358" s="37" t="s">
        <v>1122</v>
      </c>
      <c r="C358" s="53" t="s">
        <v>1250</v>
      </c>
      <c r="D358" s="37">
        <v>295</v>
      </c>
      <c r="E358" s="37" t="s">
        <v>1121</v>
      </c>
      <c r="F358" s="110" t="s">
        <v>968</v>
      </c>
      <c r="G358" s="48"/>
      <c r="H358" s="48"/>
      <c r="I358" s="48"/>
      <c r="J358" s="48"/>
      <c r="K358" s="70"/>
      <c r="L358" s="78"/>
      <c r="M358" s="49"/>
      <c r="N358" s="48"/>
      <c r="O358" s="70"/>
      <c r="P358" s="48"/>
      <c r="Q358" s="49"/>
      <c r="R358" s="48"/>
      <c r="S358" s="110">
        <v>5</v>
      </c>
      <c r="T358" s="40">
        <f t="shared" si="73"/>
        <v>5462.4</v>
      </c>
      <c r="U358" s="39"/>
      <c r="V358" s="40"/>
      <c r="W358" s="39"/>
      <c r="X358" s="40"/>
      <c r="Y358" s="39"/>
      <c r="Z358" s="40"/>
      <c r="AA358" s="39"/>
      <c r="AB358" s="40"/>
      <c r="AC358" s="39"/>
      <c r="AD358" s="40"/>
      <c r="AE358" s="39"/>
      <c r="AF358" s="40"/>
      <c r="AG358" s="39"/>
      <c r="AH358" s="40"/>
      <c r="AI358" s="39"/>
      <c r="AJ358" s="40"/>
      <c r="AK358" s="39"/>
      <c r="AL358" s="40"/>
      <c r="AM358" s="39"/>
      <c r="AN358" s="40"/>
      <c r="AO358" s="39"/>
      <c r="AP358" s="40"/>
      <c r="AQ358" s="84">
        <f t="shared" si="75"/>
        <v>5</v>
      </c>
      <c r="AR358" s="80">
        <v>1092.48</v>
      </c>
      <c r="AS358" s="178">
        <f t="shared" si="74"/>
        <v>5462.4</v>
      </c>
    </row>
    <row r="359" spans="1:45" ht="28.5" hidden="1">
      <c r="A359" s="67">
        <v>333</v>
      </c>
      <c r="B359" s="37" t="s">
        <v>1120</v>
      </c>
      <c r="C359" s="53" t="s">
        <v>1250</v>
      </c>
      <c r="D359" s="37">
        <v>295</v>
      </c>
      <c r="E359" s="37" t="s">
        <v>1119</v>
      </c>
      <c r="F359" s="110" t="s">
        <v>968</v>
      </c>
      <c r="G359" s="48"/>
      <c r="H359" s="48"/>
      <c r="I359" s="48"/>
      <c r="J359" s="48"/>
      <c r="K359" s="70"/>
      <c r="L359" s="78"/>
      <c r="M359" s="49"/>
      <c r="N359" s="48"/>
      <c r="O359" s="70"/>
      <c r="P359" s="48"/>
      <c r="Q359" s="49"/>
      <c r="R359" s="48"/>
      <c r="S359" s="110">
        <v>5</v>
      </c>
      <c r="T359" s="40">
        <f t="shared" si="73"/>
        <v>5462.4</v>
      </c>
      <c r="U359" s="39"/>
      <c r="V359" s="40"/>
      <c r="W359" s="39"/>
      <c r="X359" s="40"/>
      <c r="Y359" s="39"/>
      <c r="Z359" s="40"/>
      <c r="AA359" s="39"/>
      <c r="AB359" s="40"/>
      <c r="AC359" s="39"/>
      <c r="AD359" s="40"/>
      <c r="AE359" s="39"/>
      <c r="AF359" s="40"/>
      <c r="AG359" s="39"/>
      <c r="AH359" s="40"/>
      <c r="AI359" s="39"/>
      <c r="AJ359" s="40"/>
      <c r="AK359" s="39"/>
      <c r="AL359" s="40"/>
      <c r="AM359" s="39"/>
      <c r="AN359" s="40"/>
      <c r="AO359" s="39"/>
      <c r="AP359" s="40"/>
      <c r="AQ359" s="84">
        <f t="shared" si="75"/>
        <v>5</v>
      </c>
      <c r="AR359" s="80">
        <v>1092.48</v>
      </c>
      <c r="AS359" s="178">
        <f t="shared" si="74"/>
        <v>5462.4</v>
      </c>
    </row>
    <row r="360" spans="1:45" ht="28.5" hidden="1">
      <c r="A360" s="71">
        <v>334</v>
      </c>
      <c r="B360" s="37" t="s">
        <v>1118</v>
      </c>
      <c r="C360" s="53" t="s">
        <v>1250</v>
      </c>
      <c r="D360" s="37">
        <v>295</v>
      </c>
      <c r="E360" s="37" t="s">
        <v>1117</v>
      </c>
      <c r="F360" s="110" t="s">
        <v>968</v>
      </c>
      <c r="G360" s="48"/>
      <c r="H360" s="48"/>
      <c r="I360" s="48"/>
      <c r="J360" s="48"/>
      <c r="K360" s="70"/>
      <c r="L360" s="78"/>
      <c r="M360" s="49"/>
      <c r="N360" s="48"/>
      <c r="O360" s="70"/>
      <c r="P360" s="48"/>
      <c r="Q360" s="49"/>
      <c r="R360" s="48"/>
      <c r="S360" s="110">
        <v>5</v>
      </c>
      <c r="T360" s="40">
        <f t="shared" si="73"/>
        <v>5462.4</v>
      </c>
      <c r="U360" s="39"/>
      <c r="V360" s="40"/>
      <c r="W360" s="39"/>
      <c r="X360" s="40"/>
      <c r="Y360" s="39"/>
      <c r="Z360" s="40"/>
      <c r="AA360" s="39"/>
      <c r="AB360" s="40"/>
      <c r="AC360" s="39"/>
      <c r="AD360" s="40"/>
      <c r="AE360" s="39"/>
      <c r="AF360" s="40"/>
      <c r="AG360" s="39"/>
      <c r="AH360" s="40"/>
      <c r="AI360" s="39"/>
      <c r="AJ360" s="40"/>
      <c r="AK360" s="39"/>
      <c r="AL360" s="40"/>
      <c r="AM360" s="39"/>
      <c r="AN360" s="40"/>
      <c r="AO360" s="39"/>
      <c r="AP360" s="40"/>
      <c r="AQ360" s="84">
        <f t="shared" si="75"/>
        <v>5</v>
      </c>
      <c r="AR360" s="80">
        <v>1092.48</v>
      </c>
      <c r="AS360" s="178">
        <f t="shared" si="74"/>
        <v>5462.4</v>
      </c>
    </row>
    <row r="361" spans="1:45" ht="28.5" hidden="1">
      <c r="A361" s="67">
        <v>335</v>
      </c>
      <c r="B361" s="37" t="s">
        <v>1116</v>
      </c>
      <c r="C361" s="53" t="s">
        <v>1250</v>
      </c>
      <c r="D361" s="37">
        <v>295</v>
      </c>
      <c r="E361" s="37" t="s">
        <v>1115</v>
      </c>
      <c r="F361" s="110" t="s">
        <v>968</v>
      </c>
      <c r="G361" s="48"/>
      <c r="H361" s="48"/>
      <c r="I361" s="48"/>
      <c r="J361" s="48"/>
      <c r="K361" s="70"/>
      <c r="L361" s="78"/>
      <c r="M361" s="49"/>
      <c r="N361" s="48"/>
      <c r="O361" s="70"/>
      <c r="P361" s="48"/>
      <c r="Q361" s="49"/>
      <c r="R361" s="48"/>
      <c r="S361" s="110">
        <v>5</v>
      </c>
      <c r="T361" s="40">
        <f t="shared" si="73"/>
        <v>5462.4</v>
      </c>
      <c r="U361" s="39"/>
      <c r="V361" s="40"/>
      <c r="W361" s="39"/>
      <c r="X361" s="40"/>
      <c r="Y361" s="39"/>
      <c r="Z361" s="40"/>
      <c r="AA361" s="39"/>
      <c r="AB361" s="40"/>
      <c r="AC361" s="39"/>
      <c r="AD361" s="40"/>
      <c r="AE361" s="39"/>
      <c r="AF361" s="40"/>
      <c r="AG361" s="39"/>
      <c r="AH361" s="40"/>
      <c r="AI361" s="39"/>
      <c r="AJ361" s="40"/>
      <c r="AK361" s="39"/>
      <c r="AL361" s="40"/>
      <c r="AM361" s="39"/>
      <c r="AN361" s="40"/>
      <c r="AO361" s="39"/>
      <c r="AP361" s="40"/>
      <c r="AQ361" s="84">
        <f t="shared" si="75"/>
        <v>5</v>
      </c>
      <c r="AR361" s="80">
        <v>1092.48</v>
      </c>
      <c r="AS361" s="178">
        <f t="shared" si="74"/>
        <v>5462.4</v>
      </c>
    </row>
    <row r="362" spans="1:45" ht="28.5" hidden="1">
      <c r="A362" s="71">
        <v>336</v>
      </c>
      <c r="B362" s="37" t="s">
        <v>1114</v>
      </c>
      <c r="C362" s="53" t="s">
        <v>1250</v>
      </c>
      <c r="D362" s="37">
        <v>295</v>
      </c>
      <c r="E362" s="37" t="s">
        <v>1113</v>
      </c>
      <c r="F362" s="110" t="s">
        <v>968</v>
      </c>
      <c r="G362" s="48"/>
      <c r="H362" s="48"/>
      <c r="I362" s="48"/>
      <c r="J362" s="48"/>
      <c r="K362" s="70"/>
      <c r="L362" s="78"/>
      <c r="M362" s="49"/>
      <c r="N362" s="48"/>
      <c r="O362" s="70"/>
      <c r="P362" s="48"/>
      <c r="Q362" s="49"/>
      <c r="R362" s="48"/>
      <c r="S362" s="110">
        <v>5</v>
      </c>
      <c r="T362" s="40">
        <f t="shared" si="73"/>
        <v>5462.4</v>
      </c>
      <c r="U362" s="39"/>
      <c r="V362" s="40"/>
      <c r="W362" s="39"/>
      <c r="X362" s="40"/>
      <c r="Y362" s="39"/>
      <c r="Z362" s="40"/>
      <c r="AA362" s="39"/>
      <c r="AB362" s="40"/>
      <c r="AC362" s="39"/>
      <c r="AD362" s="40"/>
      <c r="AE362" s="39"/>
      <c r="AF362" s="40"/>
      <c r="AG362" s="39"/>
      <c r="AH362" s="40"/>
      <c r="AI362" s="39"/>
      <c r="AJ362" s="40"/>
      <c r="AK362" s="39"/>
      <c r="AL362" s="40"/>
      <c r="AM362" s="39"/>
      <c r="AN362" s="40"/>
      <c r="AO362" s="39"/>
      <c r="AP362" s="40"/>
      <c r="AQ362" s="84">
        <f t="shared" si="75"/>
        <v>5</v>
      </c>
      <c r="AR362" s="80">
        <v>1092.48</v>
      </c>
      <c r="AS362" s="178">
        <f t="shared" si="74"/>
        <v>5462.4</v>
      </c>
    </row>
    <row r="363" spans="1:45" ht="28.5" hidden="1">
      <c r="A363" s="67">
        <v>337</v>
      </c>
      <c r="B363" s="37" t="s">
        <v>1112</v>
      </c>
      <c r="C363" s="53" t="s">
        <v>1250</v>
      </c>
      <c r="D363" s="37">
        <v>295</v>
      </c>
      <c r="E363" s="37" t="s">
        <v>1111</v>
      </c>
      <c r="F363" s="110" t="s">
        <v>968</v>
      </c>
      <c r="G363" s="48"/>
      <c r="H363" s="48"/>
      <c r="I363" s="48"/>
      <c r="J363" s="48"/>
      <c r="K363" s="70"/>
      <c r="L363" s="78"/>
      <c r="M363" s="49"/>
      <c r="N363" s="48"/>
      <c r="O363" s="70"/>
      <c r="P363" s="48"/>
      <c r="Q363" s="49"/>
      <c r="R363" s="48"/>
      <c r="S363" s="110">
        <v>5</v>
      </c>
      <c r="T363" s="40">
        <f t="shared" si="73"/>
        <v>5462.4</v>
      </c>
      <c r="U363" s="39"/>
      <c r="V363" s="40"/>
      <c r="W363" s="39"/>
      <c r="X363" s="40"/>
      <c r="Y363" s="39"/>
      <c r="Z363" s="40"/>
      <c r="AA363" s="39"/>
      <c r="AB363" s="40"/>
      <c r="AC363" s="39"/>
      <c r="AD363" s="40"/>
      <c r="AE363" s="39"/>
      <c r="AF363" s="40"/>
      <c r="AG363" s="39"/>
      <c r="AH363" s="40"/>
      <c r="AI363" s="39"/>
      <c r="AJ363" s="40"/>
      <c r="AK363" s="39"/>
      <c r="AL363" s="40"/>
      <c r="AM363" s="39"/>
      <c r="AN363" s="40"/>
      <c r="AO363" s="39"/>
      <c r="AP363" s="40"/>
      <c r="AQ363" s="84">
        <f t="shared" si="75"/>
        <v>5</v>
      </c>
      <c r="AR363" s="80">
        <v>1092.48</v>
      </c>
      <c r="AS363" s="178">
        <f t="shared" si="74"/>
        <v>5462.4</v>
      </c>
    </row>
    <row r="364" spans="1:45" ht="28.5" hidden="1">
      <c r="A364" s="71">
        <v>338</v>
      </c>
      <c r="B364" s="37" t="s">
        <v>1110</v>
      </c>
      <c r="C364" s="53" t="s">
        <v>1250</v>
      </c>
      <c r="D364" s="37">
        <v>295</v>
      </c>
      <c r="E364" s="37" t="s">
        <v>1109</v>
      </c>
      <c r="F364" s="110" t="s">
        <v>968</v>
      </c>
      <c r="G364" s="48"/>
      <c r="H364" s="48"/>
      <c r="I364" s="48"/>
      <c r="J364" s="48"/>
      <c r="K364" s="70"/>
      <c r="L364" s="78"/>
      <c r="M364" s="49"/>
      <c r="N364" s="48"/>
      <c r="O364" s="70"/>
      <c r="P364" s="48"/>
      <c r="Q364" s="49"/>
      <c r="R364" s="48"/>
      <c r="S364" s="110">
        <v>15</v>
      </c>
      <c r="T364" s="40">
        <f t="shared" si="73"/>
        <v>16387.2</v>
      </c>
      <c r="U364" s="39"/>
      <c r="V364" s="40"/>
      <c r="W364" s="39"/>
      <c r="X364" s="40"/>
      <c r="Y364" s="39"/>
      <c r="Z364" s="40"/>
      <c r="AA364" s="39"/>
      <c r="AB364" s="40"/>
      <c r="AC364" s="39"/>
      <c r="AD364" s="40"/>
      <c r="AE364" s="39"/>
      <c r="AF364" s="40"/>
      <c r="AG364" s="39"/>
      <c r="AH364" s="40"/>
      <c r="AI364" s="39"/>
      <c r="AJ364" s="40"/>
      <c r="AK364" s="39"/>
      <c r="AL364" s="40"/>
      <c r="AM364" s="39"/>
      <c r="AN364" s="40"/>
      <c r="AO364" s="39"/>
      <c r="AP364" s="40"/>
      <c r="AQ364" s="84">
        <f t="shared" si="75"/>
        <v>15</v>
      </c>
      <c r="AR364" s="80">
        <v>1092.48</v>
      </c>
      <c r="AS364" s="178">
        <f t="shared" si="74"/>
        <v>16387.2</v>
      </c>
    </row>
    <row r="365" spans="1:45" ht="28.5" hidden="1">
      <c r="A365" s="67">
        <v>339</v>
      </c>
      <c r="B365" s="37" t="s">
        <v>1108</v>
      </c>
      <c r="C365" s="53" t="s">
        <v>1250</v>
      </c>
      <c r="D365" s="37">
        <v>295</v>
      </c>
      <c r="E365" s="37" t="s">
        <v>1107</v>
      </c>
      <c r="F365" s="110" t="s">
        <v>968</v>
      </c>
      <c r="G365" s="53"/>
      <c r="H365" s="53"/>
      <c r="I365" s="53"/>
      <c r="J365" s="53"/>
      <c r="K365" s="112"/>
      <c r="L365" s="74"/>
      <c r="M365" s="85"/>
      <c r="N365" s="53"/>
      <c r="O365" s="53"/>
      <c r="P365" s="53"/>
      <c r="Q365" s="85"/>
      <c r="R365" s="53"/>
      <c r="S365" s="110">
        <v>15</v>
      </c>
      <c r="T365" s="40">
        <f t="shared" si="73"/>
        <v>16387.2</v>
      </c>
      <c r="U365" s="39"/>
      <c r="V365" s="40"/>
      <c r="W365" s="39"/>
      <c r="X365" s="40"/>
      <c r="Y365" s="39"/>
      <c r="Z365" s="40"/>
      <c r="AA365" s="39"/>
      <c r="AB365" s="40"/>
      <c r="AC365" s="39"/>
      <c r="AD365" s="40"/>
      <c r="AE365" s="39"/>
      <c r="AF365" s="40"/>
      <c r="AG365" s="39"/>
      <c r="AH365" s="40"/>
      <c r="AI365" s="39"/>
      <c r="AJ365" s="40"/>
      <c r="AK365" s="39"/>
      <c r="AL365" s="40"/>
      <c r="AM365" s="39"/>
      <c r="AN365" s="40"/>
      <c r="AO365" s="39"/>
      <c r="AP365" s="40"/>
      <c r="AQ365" s="84">
        <f t="shared" si="75"/>
        <v>15</v>
      </c>
      <c r="AR365" s="80">
        <v>1092.48</v>
      </c>
      <c r="AS365" s="178">
        <f t="shared" si="74"/>
        <v>16387.2</v>
      </c>
    </row>
    <row r="366" spans="1:45" ht="28.5" hidden="1">
      <c r="A366" s="71">
        <v>340</v>
      </c>
      <c r="B366" s="37" t="s">
        <v>1106</v>
      </c>
      <c r="C366" s="53" t="s">
        <v>1250</v>
      </c>
      <c r="D366" s="37">
        <v>295</v>
      </c>
      <c r="E366" s="37" t="s">
        <v>1105</v>
      </c>
      <c r="F366" s="110" t="s">
        <v>968</v>
      </c>
      <c r="G366" s="50"/>
      <c r="H366" s="50"/>
      <c r="I366" s="50"/>
      <c r="J366" s="50"/>
      <c r="K366" s="52"/>
      <c r="L366" s="73"/>
      <c r="M366" s="84"/>
      <c r="N366" s="50"/>
      <c r="O366" s="52"/>
      <c r="P366" s="50"/>
      <c r="Q366" s="84"/>
      <c r="R366" s="50"/>
      <c r="S366" s="110">
        <v>15</v>
      </c>
      <c r="T366" s="40">
        <f t="shared" si="73"/>
        <v>16387.2</v>
      </c>
      <c r="U366" s="39"/>
      <c r="V366" s="40"/>
      <c r="W366" s="39"/>
      <c r="X366" s="40"/>
      <c r="Y366" s="39"/>
      <c r="Z366" s="40"/>
      <c r="AA366" s="39"/>
      <c r="AB366" s="40"/>
      <c r="AC366" s="39"/>
      <c r="AD366" s="40"/>
      <c r="AE366" s="39"/>
      <c r="AF366" s="40"/>
      <c r="AG366" s="39"/>
      <c r="AH366" s="40"/>
      <c r="AI366" s="39"/>
      <c r="AJ366" s="40"/>
      <c r="AK366" s="39"/>
      <c r="AL366" s="40"/>
      <c r="AM366" s="39"/>
      <c r="AN366" s="40"/>
      <c r="AO366" s="39"/>
      <c r="AP366" s="40"/>
      <c r="AQ366" s="84">
        <f t="shared" si="75"/>
        <v>15</v>
      </c>
      <c r="AR366" s="80">
        <v>1092.48</v>
      </c>
      <c r="AS366" s="178">
        <f t="shared" si="74"/>
        <v>16387.2</v>
      </c>
    </row>
    <row r="367" spans="1:45" ht="28.5" hidden="1">
      <c r="A367" s="67">
        <v>341</v>
      </c>
      <c r="B367" s="37" t="s">
        <v>1104</v>
      </c>
      <c r="C367" s="53" t="s">
        <v>1250</v>
      </c>
      <c r="D367" s="37">
        <v>295</v>
      </c>
      <c r="E367" s="37" t="s">
        <v>1103</v>
      </c>
      <c r="F367" s="110" t="s">
        <v>968</v>
      </c>
      <c r="G367" s="48"/>
      <c r="H367" s="48"/>
      <c r="I367" s="48"/>
      <c r="J367" s="48"/>
      <c r="K367" s="70"/>
      <c r="L367" s="78"/>
      <c r="M367" s="49"/>
      <c r="N367" s="48"/>
      <c r="O367" s="70"/>
      <c r="P367" s="48"/>
      <c r="Q367" s="49"/>
      <c r="R367" s="48"/>
      <c r="S367" s="110">
        <v>15</v>
      </c>
      <c r="T367" s="40">
        <f t="shared" si="73"/>
        <v>16387.2</v>
      </c>
      <c r="U367" s="39"/>
      <c r="V367" s="40"/>
      <c r="W367" s="39"/>
      <c r="X367" s="40"/>
      <c r="Y367" s="39"/>
      <c r="Z367" s="40"/>
      <c r="AA367" s="39"/>
      <c r="AB367" s="40"/>
      <c r="AC367" s="39"/>
      <c r="AD367" s="40"/>
      <c r="AE367" s="39"/>
      <c r="AF367" s="40"/>
      <c r="AG367" s="39"/>
      <c r="AH367" s="40"/>
      <c r="AI367" s="39"/>
      <c r="AJ367" s="40"/>
      <c r="AK367" s="39"/>
      <c r="AL367" s="40"/>
      <c r="AM367" s="39"/>
      <c r="AN367" s="40"/>
      <c r="AO367" s="39"/>
      <c r="AP367" s="40"/>
      <c r="AQ367" s="84">
        <f t="shared" si="75"/>
        <v>15</v>
      </c>
      <c r="AR367" s="80">
        <v>1092.48</v>
      </c>
      <c r="AS367" s="178">
        <f t="shared" si="74"/>
        <v>16387.2</v>
      </c>
    </row>
    <row r="368" spans="1:45" ht="28.5" hidden="1">
      <c r="A368" s="71">
        <v>342</v>
      </c>
      <c r="B368" s="37" t="s">
        <v>1102</v>
      </c>
      <c r="C368" s="53" t="s">
        <v>1250</v>
      </c>
      <c r="D368" s="37">
        <v>295</v>
      </c>
      <c r="E368" s="37" t="s">
        <v>1101</v>
      </c>
      <c r="F368" s="110" t="s">
        <v>968</v>
      </c>
      <c r="G368" s="48"/>
      <c r="H368" s="48"/>
      <c r="I368" s="48"/>
      <c r="J368" s="48"/>
      <c r="K368" s="70"/>
      <c r="L368" s="78"/>
      <c r="M368" s="49"/>
      <c r="N368" s="48"/>
      <c r="O368" s="70"/>
      <c r="P368" s="48"/>
      <c r="Q368" s="49"/>
      <c r="R368" s="48"/>
      <c r="S368" s="110">
        <v>15</v>
      </c>
      <c r="T368" s="40">
        <f t="shared" si="73"/>
        <v>16387.2</v>
      </c>
      <c r="U368" s="39"/>
      <c r="V368" s="40"/>
      <c r="W368" s="39"/>
      <c r="X368" s="40"/>
      <c r="Y368" s="39"/>
      <c r="Z368" s="40"/>
      <c r="AA368" s="39"/>
      <c r="AB368" s="40"/>
      <c r="AC368" s="39"/>
      <c r="AD368" s="40"/>
      <c r="AE368" s="39"/>
      <c r="AF368" s="40"/>
      <c r="AG368" s="39"/>
      <c r="AH368" s="40"/>
      <c r="AI368" s="39"/>
      <c r="AJ368" s="40"/>
      <c r="AK368" s="39"/>
      <c r="AL368" s="40"/>
      <c r="AM368" s="39"/>
      <c r="AN368" s="40"/>
      <c r="AO368" s="39"/>
      <c r="AP368" s="40"/>
      <c r="AQ368" s="84">
        <f t="shared" si="75"/>
        <v>15</v>
      </c>
      <c r="AR368" s="80">
        <v>1092.48</v>
      </c>
      <c r="AS368" s="178">
        <f t="shared" si="74"/>
        <v>16387.2</v>
      </c>
    </row>
    <row r="369" spans="1:45" ht="28.5" hidden="1">
      <c r="A369" s="67">
        <v>343</v>
      </c>
      <c r="B369" s="37" t="s">
        <v>1100</v>
      </c>
      <c r="C369" s="53" t="s">
        <v>1250</v>
      </c>
      <c r="D369" s="37">
        <v>295</v>
      </c>
      <c r="E369" s="37" t="s">
        <v>1099</v>
      </c>
      <c r="F369" s="110" t="s">
        <v>968</v>
      </c>
      <c r="G369" s="48"/>
      <c r="H369" s="48"/>
      <c r="I369" s="48"/>
      <c r="J369" s="48"/>
      <c r="K369" s="70"/>
      <c r="L369" s="78"/>
      <c r="M369" s="49"/>
      <c r="N369" s="48"/>
      <c r="O369" s="70"/>
      <c r="P369" s="48"/>
      <c r="Q369" s="49"/>
      <c r="R369" s="48"/>
      <c r="S369" s="110">
        <v>15</v>
      </c>
      <c r="T369" s="40">
        <f t="shared" ref="T369:T432" si="76">+S369*AR369</f>
        <v>16387.2</v>
      </c>
      <c r="U369" s="39"/>
      <c r="V369" s="40"/>
      <c r="W369" s="39"/>
      <c r="X369" s="40"/>
      <c r="Y369" s="39"/>
      <c r="Z369" s="40"/>
      <c r="AA369" s="39"/>
      <c r="AB369" s="40"/>
      <c r="AC369" s="39"/>
      <c r="AD369" s="40"/>
      <c r="AE369" s="39"/>
      <c r="AF369" s="40"/>
      <c r="AG369" s="39"/>
      <c r="AH369" s="40"/>
      <c r="AI369" s="39"/>
      <c r="AJ369" s="40"/>
      <c r="AK369" s="39"/>
      <c r="AL369" s="40"/>
      <c r="AM369" s="39"/>
      <c r="AN369" s="40"/>
      <c r="AO369" s="39"/>
      <c r="AP369" s="40"/>
      <c r="AQ369" s="84">
        <f t="shared" si="75"/>
        <v>15</v>
      </c>
      <c r="AR369" s="80">
        <v>1092.48</v>
      </c>
      <c r="AS369" s="178">
        <f t="shared" si="74"/>
        <v>16387.2</v>
      </c>
    </row>
    <row r="370" spans="1:45" ht="28.5" hidden="1">
      <c r="A370" s="71">
        <v>344</v>
      </c>
      <c r="B370" s="37" t="s">
        <v>1098</v>
      </c>
      <c r="C370" s="53" t="s">
        <v>1250</v>
      </c>
      <c r="D370" s="37">
        <v>295</v>
      </c>
      <c r="E370" s="37" t="s">
        <v>1097</v>
      </c>
      <c r="F370" s="110" t="s">
        <v>968</v>
      </c>
      <c r="G370" s="53"/>
      <c r="H370" s="53"/>
      <c r="I370" s="53"/>
      <c r="J370" s="53"/>
      <c r="K370" s="112"/>
      <c r="L370" s="74"/>
      <c r="M370" s="85"/>
      <c r="N370" s="53"/>
      <c r="O370" s="53"/>
      <c r="P370" s="53"/>
      <c r="Q370" s="85"/>
      <c r="R370" s="53"/>
      <c r="S370" s="110">
        <v>15</v>
      </c>
      <c r="T370" s="40">
        <f t="shared" si="76"/>
        <v>16387.2</v>
      </c>
      <c r="U370" s="39"/>
      <c r="V370" s="40"/>
      <c r="W370" s="39"/>
      <c r="X370" s="40"/>
      <c r="Y370" s="39"/>
      <c r="Z370" s="40"/>
      <c r="AA370" s="39"/>
      <c r="AB370" s="40"/>
      <c r="AC370" s="39"/>
      <c r="AD370" s="40"/>
      <c r="AE370" s="39"/>
      <c r="AF370" s="40"/>
      <c r="AG370" s="39"/>
      <c r="AH370" s="40"/>
      <c r="AI370" s="39"/>
      <c r="AJ370" s="40"/>
      <c r="AK370" s="39"/>
      <c r="AL370" s="40"/>
      <c r="AM370" s="39"/>
      <c r="AN370" s="40"/>
      <c r="AO370" s="39"/>
      <c r="AP370" s="40"/>
      <c r="AQ370" s="84">
        <f t="shared" si="75"/>
        <v>15</v>
      </c>
      <c r="AR370" s="80">
        <v>1092.48</v>
      </c>
      <c r="AS370" s="178">
        <f t="shared" ref="AS370:AS433" si="77">+AQ370*AR370</f>
        <v>16387.2</v>
      </c>
    </row>
    <row r="371" spans="1:45" ht="28.5" hidden="1">
      <c r="A371" s="67">
        <v>345</v>
      </c>
      <c r="B371" s="37" t="s">
        <v>1096</v>
      </c>
      <c r="C371" s="53" t="s">
        <v>1250</v>
      </c>
      <c r="D371" s="37">
        <v>295</v>
      </c>
      <c r="E371" s="37" t="s">
        <v>1095</v>
      </c>
      <c r="F371" s="110" t="s">
        <v>968</v>
      </c>
      <c r="G371" s="50"/>
      <c r="H371" s="50"/>
      <c r="I371" s="50"/>
      <c r="J371" s="50"/>
      <c r="K371" s="52"/>
      <c r="L371" s="73"/>
      <c r="M371" s="84"/>
      <c r="N371" s="50"/>
      <c r="O371" s="52"/>
      <c r="P371" s="50"/>
      <c r="Q371" s="84"/>
      <c r="R371" s="50"/>
      <c r="S371" s="110">
        <v>15</v>
      </c>
      <c r="T371" s="40">
        <f t="shared" si="76"/>
        <v>16387.2</v>
      </c>
      <c r="U371" s="39"/>
      <c r="V371" s="40"/>
      <c r="W371" s="39"/>
      <c r="X371" s="40"/>
      <c r="Y371" s="39"/>
      <c r="Z371" s="40"/>
      <c r="AA371" s="39"/>
      <c r="AB371" s="40"/>
      <c r="AC371" s="39"/>
      <c r="AD371" s="40"/>
      <c r="AE371" s="39"/>
      <c r="AF371" s="40"/>
      <c r="AG371" s="39"/>
      <c r="AH371" s="40"/>
      <c r="AI371" s="39"/>
      <c r="AJ371" s="40"/>
      <c r="AK371" s="39"/>
      <c r="AL371" s="40"/>
      <c r="AM371" s="39"/>
      <c r="AN371" s="40"/>
      <c r="AO371" s="39"/>
      <c r="AP371" s="40"/>
      <c r="AQ371" s="84">
        <f t="shared" si="75"/>
        <v>15</v>
      </c>
      <c r="AR371" s="80">
        <v>1092.48</v>
      </c>
      <c r="AS371" s="178">
        <f t="shared" si="77"/>
        <v>16387.2</v>
      </c>
    </row>
    <row r="372" spans="1:45" ht="28.5" hidden="1">
      <c r="A372" s="71">
        <v>346</v>
      </c>
      <c r="B372" s="37" t="s">
        <v>1094</v>
      </c>
      <c r="C372" s="53" t="s">
        <v>1250</v>
      </c>
      <c r="D372" s="37">
        <v>295</v>
      </c>
      <c r="E372" s="37" t="s">
        <v>1093</v>
      </c>
      <c r="F372" s="110" t="s">
        <v>968</v>
      </c>
      <c r="G372" s="53"/>
      <c r="H372" s="53"/>
      <c r="I372" s="53"/>
      <c r="J372" s="53"/>
      <c r="K372" s="112"/>
      <c r="L372" s="74"/>
      <c r="M372" s="85"/>
      <c r="N372" s="53"/>
      <c r="O372" s="53"/>
      <c r="P372" s="53"/>
      <c r="Q372" s="85"/>
      <c r="R372" s="53"/>
      <c r="S372" s="110">
        <v>15</v>
      </c>
      <c r="T372" s="40">
        <f t="shared" si="76"/>
        <v>16387.2</v>
      </c>
      <c r="U372" s="39"/>
      <c r="V372" s="40"/>
      <c r="W372" s="39"/>
      <c r="X372" s="40"/>
      <c r="Y372" s="39"/>
      <c r="Z372" s="40"/>
      <c r="AA372" s="39"/>
      <c r="AB372" s="40"/>
      <c r="AC372" s="39"/>
      <c r="AD372" s="40"/>
      <c r="AE372" s="39"/>
      <c r="AF372" s="40"/>
      <c r="AG372" s="39"/>
      <c r="AH372" s="40"/>
      <c r="AI372" s="39"/>
      <c r="AJ372" s="40"/>
      <c r="AK372" s="39"/>
      <c r="AL372" s="40"/>
      <c r="AM372" s="39"/>
      <c r="AN372" s="40"/>
      <c r="AO372" s="39"/>
      <c r="AP372" s="40"/>
      <c r="AQ372" s="84">
        <f t="shared" si="75"/>
        <v>15</v>
      </c>
      <c r="AR372" s="80">
        <v>1092.48</v>
      </c>
      <c r="AS372" s="178">
        <f t="shared" si="77"/>
        <v>16387.2</v>
      </c>
    </row>
    <row r="373" spans="1:45" ht="28.5" hidden="1">
      <c r="A373" s="67">
        <v>347</v>
      </c>
      <c r="B373" s="37" t="s">
        <v>1092</v>
      </c>
      <c r="C373" s="53" t="s">
        <v>1250</v>
      </c>
      <c r="D373" s="37">
        <v>295</v>
      </c>
      <c r="E373" s="37" t="s">
        <v>1091</v>
      </c>
      <c r="F373" s="110" t="s">
        <v>968</v>
      </c>
      <c r="G373" s="50"/>
      <c r="H373" s="50"/>
      <c r="I373" s="50"/>
      <c r="J373" s="50"/>
      <c r="K373" s="52"/>
      <c r="L373" s="73"/>
      <c r="M373" s="84"/>
      <c r="N373" s="50"/>
      <c r="O373" s="52"/>
      <c r="P373" s="50"/>
      <c r="Q373" s="84"/>
      <c r="R373" s="50"/>
      <c r="S373" s="110">
        <v>15</v>
      </c>
      <c r="T373" s="40">
        <f t="shared" si="76"/>
        <v>16387.2</v>
      </c>
      <c r="U373" s="39"/>
      <c r="V373" s="40"/>
      <c r="W373" s="39"/>
      <c r="X373" s="40"/>
      <c r="Y373" s="39"/>
      <c r="Z373" s="40"/>
      <c r="AA373" s="39"/>
      <c r="AB373" s="40"/>
      <c r="AC373" s="39"/>
      <c r="AD373" s="40"/>
      <c r="AE373" s="39"/>
      <c r="AF373" s="40"/>
      <c r="AG373" s="39"/>
      <c r="AH373" s="40"/>
      <c r="AI373" s="39"/>
      <c r="AJ373" s="40"/>
      <c r="AK373" s="39"/>
      <c r="AL373" s="40"/>
      <c r="AM373" s="39"/>
      <c r="AN373" s="40"/>
      <c r="AO373" s="39"/>
      <c r="AP373" s="40"/>
      <c r="AQ373" s="84">
        <f t="shared" si="75"/>
        <v>15</v>
      </c>
      <c r="AR373" s="80">
        <v>1092.48</v>
      </c>
      <c r="AS373" s="178">
        <f t="shared" si="77"/>
        <v>16387.2</v>
      </c>
    </row>
    <row r="374" spans="1:45" ht="28.5" hidden="1">
      <c r="A374" s="71">
        <v>348</v>
      </c>
      <c r="B374" s="37" t="s">
        <v>1090</v>
      </c>
      <c r="C374" s="53" t="s">
        <v>1250</v>
      </c>
      <c r="D374" s="37">
        <v>295</v>
      </c>
      <c r="E374" s="37" t="s">
        <v>1089</v>
      </c>
      <c r="F374" s="110" t="s">
        <v>968</v>
      </c>
      <c r="G374" s="125"/>
      <c r="H374" s="125"/>
      <c r="I374" s="125"/>
      <c r="J374" s="125"/>
      <c r="K374" s="126"/>
      <c r="L374" s="127"/>
      <c r="M374" s="128"/>
      <c r="N374" s="125"/>
      <c r="O374" s="125"/>
      <c r="P374" s="125"/>
      <c r="Q374" s="128"/>
      <c r="R374" s="125"/>
      <c r="S374" s="110">
        <v>15</v>
      </c>
      <c r="T374" s="40">
        <f t="shared" si="76"/>
        <v>16387.2</v>
      </c>
      <c r="U374" s="39"/>
      <c r="V374" s="40"/>
      <c r="W374" s="39"/>
      <c r="X374" s="40"/>
      <c r="Y374" s="39"/>
      <c r="Z374" s="40"/>
      <c r="AA374" s="39"/>
      <c r="AB374" s="40"/>
      <c r="AC374" s="39"/>
      <c r="AD374" s="40"/>
      <c r="AE374" s="39"/>
      <c r="AF374" s="40"/>
      <c r="AG374" s="39"/>
      <c r="AH374" s="40"/>
      <c r="AI374" s="39"/>
      <c r="AJ374" s="40"/>
      <c r="AK374" s="39"/>
      <c r="AL374" s="40"/>
      <c r="AM374" s="39"/>
      <c r="AN374" s="40"/>
      <c r="AO374" s="39"/>
      <c r="AP374" s="40"/>
      <c r="AQ374" s="84">
        <f t="shared" si="75"/>
        <v>15</v>
      </c>
      <c r="AR374" s="80">
        <v>1092.48</v>
      </c>
      <c r="AS374" s="178">
        <f t="shared" si="77"/>
        <v>16387.2</v>
      </c>
    </row>
    <row r="375" spans="1:45" ht="28.5" hidden="1">
      <c r="A375" s="67">
        <v>349</v>
      </c>
      <c r="B375" s="37" t="s">
        <v>1088</v>
      </c>
      <c r="C375" s="53" t="s">
        <v>1250</v>
      </c>
      <c r="D375" s="37">
        <v>295</v>
      </c>
      <c r="E375" s="37" t="s">
        <v>1087</v>
      </c>
      <c r="F375" s="110" t="s">
        <v>968</v>
      </c>
      <c r="G375" s="125"/>
      <c r="H375" s="125"/>
      <c r="I375" s="125"/>
      <c r="J375" s="125"/>
      <c r="K375" s="126"/>
      <c r="L375" s="127"/>
      <c r="M375" s="128"/>
      <c r="N375" s="125"/>
      <c r="O375" s="126"/>
      <c r="P375" s="125"/>
      <c r="Q375" s="128"/>
      <c r="R375" s="125"/>
      <c r="S375" s="110">
        <v>15</v>
      </c>
      <c r="T375" s="40">
        <f t="shared" si="76"/>
        <v>16387.2</v>
      </c>
      <c r="U375" s="39"/>
      <c r="V375" s="40"/>
      <c r="W375" s="39"/>
      <c r="X375" s="40"/>
      <c r="Y375" s="39"/>
      <c r="Z375" s="40"/>
      <c r="AA375" s="39"/>
      <c r="AB375" s="40"/>
      <c r="AC375" s="39"/>
      <c r="AD375" s="40"/>
      <c r="AE375" s="39"/>
      <c r="AF375" s="40"/>
      <c r="AG375" s="39"/>
      <c r="AH375" s="40"/>
      <c r="AI375" s="39"/>
      <c r="AJ375" s="40"/>
      <c r="AK375" s="39"/>
      <c r="AL375" s="40"/>
      <c r="AM375" s="39"/>
      <c r="AN375" s="40"/>
      <c r="AO375" s="39"/>
      <c r="AP375" s="40"/>
      <c r="AQ375" s="84">
        <f t="shared" si="75"/>
        <v>15</v>
      </c>
      <c r="AR375" s="80">
        <v>1092.48</v>
      </c>
      <c r="AS375" s="178">
        <f t="shared" si="77"/>
        <v>16387.2</v>
      </c>
    </row>
    <row r="376" spans="1:45" ht="28.5" hidden="1">
      <c r="A376" s="71">
        <v>350</v>
      </c>
      <c r="B376" s="37" t="s">
        <v>1086</v>
      </c>
      <c r="C376" s="53" t="s">
        <v>1250</v>
      </c>
      <c r="D376" s="37">
        <v>295</v>
      </c>
      <c r="E376" s="37" t="s">
        <v>1085</v>
      </c>
      <c r="F376" s="110" t="s">
        <v>968</v>
      </c>
      <c r="G376" s="125"/>
      <c r="H376" s="125"/>
      <c r="I376" s="125"/>
      <c r="J376" s="125"/>
      <c r="K376" s="126"/>
      <c r="L376" s="127"/>
      <c r="M376" s="128"/>
      <c r="N376" s="125"/>
      <c r="O376" s="126"/>
      <c r="P376" s="125"/>
      <c r="Q376" s="128"/>
      <c r="R376" s="125"/>
      <c r="S376" s="110">
        <v>15</v>
      </c>
      <c r="T376" s="40">
        <f t="shared" si="76"/>
        <v>16387.2</v>
      </c>
      <c r="U376" s="39"/>
      <c r="V376" s="40"/>
      <c r="W376" s="39"/>
      <c r="X376" s="40"/>
      <c r="Y376" s="39"/>
      <c r="Z376" s="40"/>
      <c r="AA376" s="39"/>
      <c r="AB376" s="40"/>
      <c r="AC376" s="39"/>
      <c r="AD376" s="40"/>
      <c r="AE376" s="39"/>
      <c r="AF376" s="40"/>
      <c r="AG376" s="39"/>
      <c r="AH376" s="40"/>
      <c r="AI376" s="39"/>
      <c r="AJ376" s="40"/>
      <c r="AK376" s="39"/>
      <c r="AL376" s="40"/>
      <c r="AM376" s="39"/>
      <c r="AN376" s="40"/>
      <c r="AO376" s="39"/>
      <c r="AP376" s="40"/>
      <c r="AQ376" s="84">
        <f t="shared" si="75"/>
        <v>15</v>
      </c>
      <c r="AR376" s="80">
        <v>1092.48</v>
      </c>
      <c r="AS376" s="178">
        <f t="shared" si="77"/>
        <v>16387.2</v>
      </c>
    </row>
    <row r="377" spans="1:45" ht="28.5" hidden="1">
      <c r="A377" s="67">
        <v>351</v>
      </c>
      <c r="B377" s="37" t="s">
        <v>1084</v>
      </c>
      <c r="C377" s="53" t="s">
        <v>1250</v>
      </c>
      <c r="D377" s="37">
        <v>295</v>
      </c>
      <c r="E377" s="37" t="s">
        <v>1083</v>
      </c>
      <c r="F377" s="110" t="s">
        <v>968</v>
      </c>
      <c r="G377" s="125"/>
      <c r="H377" s="125"/>
      <c r="I377" s="125"/>
      <c r="J377" s="125"/>
      <c r="K377" s="126"/>
      <c r="L377" s="127"/>
      <c r="M377" s="128"/>
      <c r="N377" s="125"/>
      <c r="O377" s="126"/>
      <c r="P377" s="125"/>
      <c r="Q377" s="128"/>
      <c r="R377" s="125"/>
      <c r="S377" s="110">
        <v>15</v>
      </c>
      <c r="T377" s="40">
        <f t="shared" si="76"/>
        <v>16387.2</v>
      </c>
      <c r="U377" s="39"/>
      <c r="V377" s="40"/>
      <c r="W377" s="39"/>
      <c r="X377" s="40"/>
      <c r="Y377" s="39"/>
      <c r="Z377" s="40"/>
      <c r="AA377" s="39"/>
      <c r="AB377" s="40"/>
      <c r="AC377" s="39"/>
      <c r="AD377" s="40"/>
      <c r="AE377" s="39"/>
      <c r="AF377" s="40"/>
      <c r="AG377" s="39"/>
      <c r="AH377" s="40"/>
      <c r="AI377" s="39"/>
      <c r="AJ377" s="40"/>
      <c r="AK377" s="39"/>
      <c r="AL377" s="40"/>
      <c r="AM377" s="39"/>
      <c r="AN377" s="40"/>
      <c r="AO377" s="39"/>
      <c r="AP377" s="40"/>
      <c r="AQ377" s="84">
        <f t="shared" si="75"/>
        <v>15</v>
      </c>
      <c r="AR377" s="80">
        <v>1092.48</v>
      </c>
      <c r="AS377" s="178">
        <f t="shared" si="77"/>
        <v>16387.2</v>
      </c>
    </row>
    <row r="378" spans="1:45" ht="28.5" hidden="1">
      <c r="A378" s="71">
        <v>352</v>
      </c>
      <c r="B378" s="37" t="s">
        <v>1082</v>
      </c>
      <c r="C378" s="53" t="s">
        <v>1250</v>
      </c>
      <c r="D378" s="37">
        <v>295</v>
      </c>
      <c r="E378" s="37" t="s">
        <v>1081</v>
      </c>
      <c r="F378" s="110" t="s">
        <v>968</v>
      </c>
      <c r="G378" s="125"/>
      <c r="H378" s="125"/>
      <c r="I378" s="125"/>
      <c r="J378" s="125"/>
      <c r="K378" s="126"/>
      <c r="L378" s="127"/>
      <c r="M378" s="128"/>
      <c r="N378" s="125"/>
      <c r="O378" s="126"/>
      <c r="P378" s="125"/>
      <c r="Q378" s="128"/>
      <c r="R378" s="125"/>
      <c r="S378" s="110">
        <v>15</v>
      </c>
      <c r="T378" s="40">
        <f t="shared" si="76"/>
        <v>16387.2</v>
      </c>
      <c r="U378" s="39"/>
      <c r="V378" s="40"/>
      <c r="W378" s="39"/>
      <c r="X378" s="40"/>
      <c r="Y378" s="39"/>
      <c r="Z378" s="40"/>
      <c r="AA378" s="39"/>
      <c r="AB378" s="40"/>
      <c r="AC378" s="39"/>
      <c r="AD378" s="40"/>
      <c r="AE378" s="39"/>
      <c r="AF378" s="40"/>
      <c r="AG378" s="39"/>
      <c r="AH378" s="40"/>
      <c r="AI378" s="39"/>
      <c r="AJ378" s="40"/>
      <c r="AK378" s="39"/>
      <c r="AL378" s="40"/>
      <c r="AM378" s="39"/>
      <c r="AN378" s="40"/>
      <c r="AO378" s="39"/>
      <c r="AP378" s="40"/>
      <c r="AQ378" s="84">
        <f t="shared" si="75"/>
        <v>15</v>
      </c>
      <c r="AR378" s="80">
        <v>1092.48</v>
      </c>
      <c r="AS378" s="178">
        <f t="shared" si="77"/>
        <v>16387.2</v>
      </c>
    </row>
    <row r="379" spans="1:45" ht="28.5" hidden="1">
      <c r="A379" s="67">
        <v>353</v>
      </c>
      <c r="B379" s="37" t="s">
        <v>1080</v>
      </c>
      <c r="C379" s="53" t="s">
        <v>1250</v>
      </c>
      <c r="D379" s="37">
        <v>295</v>
      </c>
      <c r="E379" s="37" t="s">
        <v>1079</v>
      </c>
      <c r="F379" s="110" t="s">
        <v>968</v>
      </c>
      <c r="G379" s="125"/>
      <c r="H379" s="125"/>
      <c r="I379" s="125"/>
      <c r="J379" s="125"/>
      <c r="K379" s="126"/>
      <c r="L379" s="127"/>
      <c r="M379" s="128"/>
      <c r="N379" s="125"/>
      <c r="O379" s="126"/>
      <c r="P379" s="125"/>
      <c r="Q379" s="128"/>
      <c r="R379" s="125"/>
      <c r="S379" s="110">
        <v>15</v>
      </c>
      <c r="T379" s="40">
        <f t="shared" si="76"/>
        <v>16387.2</v>
      </c>
      <c r="U379" s="39"/>
      <c r="V379" s="40"/>
      <c r="W379" s="39"/>
      <c r="X379" s="40"/>
      <c r="Y379" s="39"/>
      <c r="Z379" s="40"/>
      <c r="AA379" s="39"/>
      <c r="AB379" s="40"/>
      <c r="AC379" s="39"/>
      <c r="AD379" s="40"/>
      <c r="AE379" s="39"/>
      <c r="AF379" s="40"/>
      <c r="AG379" s="39"/>
      <c r="AH379" s="40"/>
      <c r="AI379" s="39"/>
      <c r="AJ379" s="40"/>
      <c r="AK379" s="39"/>
      <c r="AL379" s="40"/>
      <c r="AM379" s="39"/>
      <c r="AN379" s="40"/>
      <c r="AO379" s="39"/>
      <c r="AP379" s="40"/>
      <c r="AQ379" s="84">
        <f t="shared" si="75"/>
        <v>15</v>
      </c>
      <c r="AR379" s="80">
        <v>1092.48</v>
      </c>
      <c r="AS379" s="178">
        <f t="shared" si="77"/>
        <v>16387.2</v>
      </c>
    </row>
    <row r="380" spans="1:45" ht="28.5" hidden="1">
      <c r="A380" s="71">
        <v>354</v>
      </c>
      <c r="B380" s="37" t="s">
        <v>1078</v>
      </c>
      <c r="C380" s="53" t="s">
        <v>1250</v>
      </c>
      <c r="D380" s="37">
        <v>295</v>
      </c>
      <c r="E380" s="37" t="s">
        <v>1077</v>
      </c>
      <c r="F380" s="110" t="s">
        <v>968</v>
      </c>
      <c r="G380" s="125"/>
      <c r="H380" s="125"/>
      <c r="I380" s="125"/>
      <c r="J380" s="125"/>
      <c r="K380" s="126"/>
      <c r="L380" s="127"/>
      <c r="M380" s="128"/>
      <c r="N380" s="125"/>
      <c r="O380" s="126"/>
      <c r="P380" s="125"/>
      <c r="Q380" s="128"/>
      <c r="R380" s="125"/>
      <c r="S380" s="110">
        <v>15</v>
      </c>
      <c r="T380" s="40">
        <f t="shared" si="76"/>
        <v>16387.2</v>
      </c>
      <c r="U380" s="39"/>
      <c r="V380" s="40"/>
      <c r="W380" s="39"/>
      <c r="X380" s="40"/>
      <c r="Y380" s="39"/>
      <c r="Z380" s="40"/>
      <c r="AA380" s="39"/>
      <c r="AB380" s="40"/>
      <c r="AC380" s="39"/>
      <c r="AD380" s="40"/>
      <c r="AE380" s="39"/>
      <c r="AF380" s="40"/>
      <c r="AG380" s="39"/>
      <c r="AH380" s="40"/>
      <c r="AI380" s="39"/>
      <c r="AJ380" s="40"/>
      <c r="AK380" s="39"/>
      <c r="AL380" s="40"/>
      <c r="AM380" s="39"/>
      <c r="AN380" s="40"/>
      <c r="AO380" s="39"/>
      <c r="AP380" s="40"/>
      <c r="AQ380" s="84">
        <f t="shared" si="75"/>
        <v>15</v>
      </c>
      <c r="AR380" s="80">
        <v>1092.48</v>
      </c>
      <c r="AS380" s="178">
        <f t="shared" si="77"/>
        <v>16387.2</v>
      </c>
    </row>
    <row r="381" spans="1:45" ht="28.5" hidden="1">
      <c r="A381" s="67">
        <v>355</v>
      </c>
      <c r="B381" s="37" t="s">
        <v>1076</v>
      </c>
      <c r="C381" s="53" t="s">
        <v>1250</v>
      </c>
      <c r="D381" s="37">
        <v>295</v>
      </c>
      <c r="E381" s="37" t="s">
        <v>1075</v>
      </c>
      <c r="F381" s="110" t="s">
        <v>968</v>
      </c>
      <c r="G381" s="125"/>
      <c r="H381" s="125"/>
      <c r="I381" s="125"/>
      <c r="J381" s="125"/>
      <c r="K381" s="126"/>
      <c r="L381" s="127"/>
      <c r="M381" s="128"/>
      <c r="N381" s="125"/>
      <c r="O381" s="126"/>
      <c r="P381" s="125"/>
      <c r="Q381" s="128"/>
      <c r="R381" s="125"/>
      <c r="S381" s="110">
        <v>15</v>
      </c>
      <c r="T381" s="40">
        <f t="shared" si="76"/>
        <v>16387.2</v>
      </c>
      <c r="U381" s="39"/>
      <c r="V381" s="40"/>
      <c r="W381" s="39"/>
      <c r="X381" s="40"/>
      <c r="Y381" s="39"/>
      <c r="Z381" s="40"/>
      <c r="AA381" s="39"/>
      <c r="AB381" s="40"/>
      <c r="AC381" s="39"/>
      <c r="AD381" s="40"/>
      <c r="AE381" s="39"/>
      <c r="AF381" s="40"/>
      <c r="AG381" s="39"/>
      <c r="AH381" s="40"/>
      <c r="AI381" s="39"/>
      <c r="AJ381" s="40"/>
      <c r="AK381" s="39"/>
      <c r="AL381" s="40"/>
      <c r="AM381" s="39"/>
      <c r="AN381" s="40"/>
      <c r="AO381" s="39"/>
      <c r="AP381" s="40"/>
      <c r="AQ381" s="84">
        <f t="shared" si="75"/>
        <v>15</v>
      </c>
      <c r="AR381" s="80">
        <v>1092.48</v>
      </c>
      <c r="AS381" s="178">
        <f t="shared" si="77"/>
        <v>16387.2</v>
      </c>
    </row>
    <row r="382" spans="1:45" ht="28.5" hidden="1">
      <c r="A382" s="71">
        <v>356</v>
      </c>
      <c r="B382" s="37" t="s">
        <v>1074</v>
      </c>
      <c r="C382" s="53" t="s">
        <v>1250</v>
      </c>
      <c r="D382" s="37">
        <v>295</v>
      </c>
      <c r="E382" s="37" t="s">
        <v>1073</v>
      </c>
      <c r="F382" s="110" t="s">
        <v>968</v>
      </c>
      <c r="G382" s="125"/>
      <c r="H382" s="125"/>
      <c r="I382" s="125"/>
      <c r="J382" s="125"/>
      <c r="K382" s="126"/>
      <c r="L382" s="127"/>
      <c r="M382" s="128"/>
      <c r="N382" s="125"/>
      <c r="O382" s="126"/>
      <c r="P382" s="125"/>
      <c r="Q382" s="128"/>
      <c r="R382" s="125"/>
      <c r="S382" s="110">
        <v>15</v>
      </c>
      <c r="T382" s="40">
        <f t="shared" si="76"/>
        <v>16387.2</v>
      </c>
      <c r="U382" s="39"/>
      <c r="V382" s="40"/>
      <c r="W382" s="39"/>
      <c r="X382" s="40"/>
      <c r="Y382" s="39"/>
      <c r="Z382" s="40"/>
      <c r="AA382" s="39"/>
      <c r="AB382" s="40"/>
      <c r="AC382" s="39"/>
      <c r="AD382" s="40"/>
      <c r="AE382" s="39"/>
      <c r="AF382" s="40"/>
      <c r="AG382" s="39"/>
      <c r="AH382" s="40"/>
      <c r="AI382" s="39"/>
      <c r="AJ382" s="40"/>
      <c r="AK382" s="39"/>
      <c r="AL382" s="40"/>
      <c r="AM382" s="39"/>
      <c r="AN382" s="40"/>
      <c r="AO382" s="39"/>
      <c r="AP382" s="40"/>
      <c r="AQ382" s="84">
        <f t="shared" si="75"/>
        <v>15</v>
      </c>
      <c r="AR382" s="80">
        <v>1092.48</v>
      </c>
      <c r="AS382" s="178">
        <f t="shared" si="77"/>
        <v>16387.2</v>
      </c>
    </row>
    <row r="383" spans="1:45" ht="28.5" hidden="1">
      <c r="A383" s="67">
        <v>357</v>
      </c>
      <c r="B383" s="37" t="s">
        <v>1072</v>
      </c>
      <c r="C383" s="53" t="s">
        <v>1250</v>
      </c>
      <c r="D383" s="37">
        <v>295</v>
      </c>
      <c r="E383" s="37" t="s">
        <v>1071</v>
      </c>
      <c r="F383" s="110" t="s">
        <v>968</v>
      </c>
      <c r="G383" s="125"/>
      <c r="H383" s="125"/>
      <c r="I383" s="125"/>
      <c r="J383" s="125"/>
      <c r="K383" s="126"/>
      <c r="L383" s="127"/>
      <c r="M383" s="128"/>
      <c r="N383" s="125"/>
      <c r="O383" s="126"/>
      <c r="P383" s="125"/>
      <c r="Q383" s="128"/>
      <c r="R383" s="125"/>
      <c r="S383" s="110">
        <v>15</v>
      </c>
      <c r="T383" s="40">
        <f t="shared" si="76"/>
        <v>16387.2</v>
      </c>
      <c r="U383" s="39"/>
      <c r="V383" s="40"/>
      <c r="W383" s="39"/>
      <c r="X383" s="40"/>
      <c r="Y383" s="39"/>
      <c r="Z383" s="40"/>
      <c r="AA383" s="39"/>
      <c r="AB383" s="40"/>
      <c r="AC383" s="39"/>
      <c r="AD383" s="40"/>
      <c r="AE383" s="39"/>
      <c r="AF383" s="40"/>
      <c r="AG383" s="39"/>
      <c r="AH383" s="40"/>
      <c r="AI383" s="39"/>
      <c r="AJ383" s="40"/>
      <c r="AK383" s="39"/>
      <c r="AL383" s="40"/>
      <c r="AM383" s="39"/>
      <c r="AN383" s="40"/>
      <c r="AO383" s="39"/>
      <c r="AP383" s="40"/>
      <c r="AQ383" s="84">
        <f t="shared" si="75"/>
        <v>15</v>
      </c>
      <c r="AR383" s="80">
        <v>1092.48</v>
      </c>
      <c r="AS383" s="178">
        <f t="shared" si="77"/>
        <v>16387.2</v>
      </c>
    </row>
    <row r="384" spans="1:45" ht="28.5" hidden="1">
      <c r="A384" s="71">
        <v>358</v>
      </c>
      <c r="B384" s="37" t="s">
        <v>1070</v>
      </c>
      <c r="C384" s="53" t="s">
        <v>1250</v>
      </c>
      <c r="D384" s="37">
        <v>295</v>
      </c>
      <c r="E384" s="37" t="s">
        <v>1069</v>
      </c>
      <c r="F384" s="110" t="s">
        <v>968</v>
      </c>
      <c r="G384" s="125"/>
      <c r="H384" s="125"/>
      <c r="I384" s="125"/>
      <c r="J384" s="125"/>
      <c r="K384" s="126"/>
      <c r="L384" s="127"/>
      <c r="M384" s="128"/>
      <c r="N384" s="125"/>
      <c r="O384" s="126"/>
      <c r="P384" s="125"/>
      <c r="Q384" s="128"/>
      <c r="R384" s="125"/>
      <c r="S384" s="110">
        <v>15</v>
      </c>
      <c r="T384" s="40">
        <f t="shared" si="76"/>
        <v>16387.2</v>
      </c>
      <c r="U384" s="39"/>
      <c r="V384" s="40"/>
      <c r="W384" s="39"/>
      <c r="X384" s="40"/>
      <c r="Y384" s="39"/>
      <c r="Z384" s="40"/>
      <c r="AA384" s="39"/>
      <c r="AB384" s="40"/>
      <c r="AC384" s="39"/>
      <c r="AD384" s="40"/>
      <c r="AE384" s="39"/>
      <c r="AF384" s="40"/>
      <c r="AG384" s="39"/>
      <c r="AH384" s="40"/>
      <c r="AI384" s="39"/>
      <c r="AJ384" s="40"/>
      <c r="AK384" s="39"/>
      <c r="AL384" s="40"/>
      <c r="AM384" s="39"/>
      <c r="AN384" s="40"/>
      <c r="AO384" s="39"/>
      <c r="AP384" s="40"/>
      <c r="AQ384" s="84">
        <f t="shared" si="75"/>
        <v>15</v>
      </c>
      <c r="AR384" s="80">
        <v>1092.48</v>
      </c>
      <c r="AS384" s="178">
        <f t="shared" si="77"/>
        <v>16387.2</v>
      </c>
    </row>
    <row r="385" spans="1:45" ht="28.5" hidden="1">
      <c r="A385" s="67">
        <v>359</v>
      </c>
      <c r="B385" s="37" t="s">
        <v>1068</v>
      </c>
      <c r="C385" s="53" t="s">
        <v>1250</v>
      </c>
      <c r="D385" s="37">
        <v>295</v>
      </c>
      <c r="E385" s="37" t="s">
        <v>1067</v>
      </c>
      <c r="F385" s="110" t="s">
        <v>968</v>
      </c>
      <c r="G385" s="125"/>
      <c r="H385" s="125"/>
      <c r="I385" s="125"/>
      <c r="J385" s="125"/>
      <c r="K385" s="126"/>
      <c r="L385" s="127"/>
      <c r="M385" s="128"/>
      <c r="N385" s="125"/>
      <c r="O385" s="126"/>
      <c r="P385" s="125"/>
      <c r="Q385" s="128"/>
      <c r="R385" s="125"/>
      <c r="S385" s="110">
        <v>15</v>
      </c>
      <c r="T385" s="40">
        <f t="shared" si="76"/>
        <v>16387.2</v>
      </c>
      <c r="U385" s="39"/>
      <c r="V385" s="40"/>
      <c r="W385" s="39"/>
      <c r="X385" s="40"/>
      <c r="Y385" s="39"/>
      <c r="Z385" s="40"/>
      <c r="AA385" s="39"/>
      <c r="AB385" s="40"/>
      <c r="AC385" s="39"/>
      <c r="AD385" s="40"/>
      <c r="AE385" s="39"/>
      <c r="AF385" s="40"/>
      <c r="AG385" s="39"/>
      <c r="AH385" s="40"/>
      <c r="AI385" s="39"/>
      <c r="AJ385" s="40"/>
      <c r="AK385" s="39"/>
      <c r="AL385" s="40"/>
      <c r="AM385" s="39"/>
      <c r="AN385" s="40"/>
      <c r="AO385" s="39"/>
      <c r="AP385" s="40"/>
      <c r="AQ385" s="84">
        <f t="shared" si="75"/>
        <v>15</v>
      </c>
      <c r="AR385" s="80">
        <v>1092.48</v>
      </c>
      <c r="AS385" s="178">
        <f t="shared" si="77"/>
        <v>16387.2</v>
      </c>
    </row>
    <row r="386" spans="1:45" ht="28.5" hidden="1">
      <c r="A386" s="71">
        <v>360</v>
      </c>
      <c r="B386" s="37" t="s">
        <v>1066</v>
      </c>
      <c r="C386" s="53" t="s">
        <v>1250</v>
      </c>
      <c r="D386" s="37">
        <v>295</v>
      </c>
      <c r="E386" s="37" t="s">
        <v>1065</v>
      </c>
      <c r="F386" s="110" t="s">
        <v>968</v>
      </c>
      <c r="G386" s="125"/>
      <c r="H386" s="125"/>
      <c r="I386" s="125"/>
      <c r="J386" s="125"/>
      <c r="K386" s="126"/>
      <c r="L386" s="127"/>
      <c r="M386" s="128"/>
      <c r="N386" s="125"/>
      <c r="O386" s="126"/>
      <c r="P386" s="125"/>
      <c r="Q386" s="128"/>
      <c r="R386" s="125"/>
      <c r="S386" s="110">
        <v>15</v>
      </c>
      <c r="T386" s="40">
        <f t="shared" si="76"/>
        <v>16387.2</v>
      </c>
      <c r="U386" s="39"/>
      <c r="V386" s="40"/>
      <c r="W386" s="39"/>
      <c r="X386" s="40"/>
      <c r="Y386" s="39"/>
      <c r="Z386" s="40"/>
      <c r="AA386" s="39"/>
      <c r="AB386" s="40"/>
      <c r="AC386" s="39"/>
      <c r="AD386" s="40"/>
      <c r="AE386" s="39"/>
      <c r="AF386" s="40"/>
      <c r="AG386" s="39"/>
      <c r="AH386" s="40"/>
      <c r="AI386" s="39"/>
      <c r="AJ386" s="40"/>
      <c r="AK386" s="39"/>
      <c r="AL386" s="40"/>
      <c r="AM386" s="39"/>
      <c r="AN386" s="40"/>
      <c r="AO386" s="39"/>
      <c r="AP386" s="40"/>
      <c r="AQ386" s="84">
        <f t="shared" si="75"/>
        <v>15</v>
      </c>
      <c r="AR386" s="80">
        <v>1092.48</v>
      </c>
      <c r="AS386" s="178">
        <f t="shared" si="77"/>
        <v>16387.2</v>
      </c>
    </row>
    <row r="387" spans="1:45" ht="28.5" hidden="1">
      <c r="A387" s="67">
        <v>361</v>
      </c>
      <c r="B387" s="37" t="s">
        <v>1064</v>
      </c>
      <c r="C387" s="53" t="s">
        <v>1250</v>
      </c>
      <c r="D387" s="37">
        <v>295</v>
      </c>
      <c r="E387" s="37" t="s">
        <v>1063</v>
      </c>
      <c r="F387" s="110" t="s">
        <v>968</v>
      </c>
      <c r="G387" s="125"/>
      <c r="H387" s="125"/>
      <c r="I387" s="125"/>
      <c r="J387" s="125"/>
      <c r="K387" s="126"/>
      <c r="L387" s="127"/>
      <c r="M387" s="128"/>
      <c r="N387" s="125"/>
      <c r="O387" s="126"/>
      <c r="P387" s="125"/>
      <c r="Q387" s="128"/>
      <c r="R387" s="125"/>
      <c r="S387" s="110">
        <v>15</v>
      </c>
      <c r="T387" s="40">
        <f t="shared" si="76"/>
        <v>16387.2</v>
      </c>
      <c r="U387" s="39"/>
      <c r="V387" s="40"/>
      <c r="W387" s="39"/>
      <c r="X387" s="40"/>
      <c r="Y387" s="39"/>
      <c r="Z387" s="40"/>
      <c r="AA387" s="39"/>
      <c r="AB387" s="40"/>
      <c r="AC387" s="39"/>
      <c r="AD387" s="40"/>
      <c r="AE387" s="39"/>
      <c r="AF387" s="40"/>
      <c r="AG387" s="39"/>
      <c r="AH387" s="40"/>
      <c r="AI387" s="39"/>
      <c r="AJ387" s="40"/>
      <c r="AK387" s="39"/>
      <c r="AL387" s="40"/>
      <c r="AM387" s="39"/>
      <c r="AN387" s="40"/>
      <c r="AO387" s="39"/>
      <c r="AP387" s="40"/>
      <c r="AQ387" s="84">
        <f t="shared" si="75"/>
        <v>15</v>
      </c>
      <c r="AR387" s="80">
        <v>1092.48</v>
      </c>
      <c r="AS387" s="178">
        <f t="shared" si="77"/>
        <v>16387.2</v>
      </c>
    </row>
    <row r="388" spans="1:45" ht="28.5" hidden="1">
      <c r="A388" s="71">
        <v>362</v>
      </c>
      <c r="B388" s="37" t="s">
        <v>1062</v>
      </c>
      <c r="C388" s="53" t="s">
        <v>1250</v>
      </c>
      <c r="D388" s="37">
        <v>295</v>
      </c>
      <c r="E388" s="37" t="s">
        <v>1061</v>
      </c>
      <c r="F388" s="110" t="s">
        <v>968</v>
      </c>
      <c r="G388" s="125"/>
      <c r="H388" s="125"/>
      <c r="I388" s="125"/>
      <c r="J388" s="125"/>
      <c r="K388" s="126"/>
      <c r="L388" s="127"/>
      <c r="M388" s="128"/>
      <c r="N388" s="125"/>
      <c r="O388" s="126"/>
      <c r="P388" s="125"/>
      <c r="Q388" s="128"/>
      <c r="R388" s="125"/>
      <c r="S388" s="110">
        <v>15</v>
      </c>
      <c r="T388" s="40">
        <f t="shared" si="76"/>
        <v>16387.2</v>
      </c>
      <c r="U388" s="39"/>
      <c r="V388" s="40"/>
      <c r="W388" s="39"/>
      <c r="X388" s="40"/>
      <c r="Y388" s="39"/>
      <c r="Z388" s="40"/>
      <c r="AA388" s="39"/>
      <c r="AB388" s="40"/>
      <c r="AC388" s="39"/>
      <c r="AD388" s="40"/>
      <c r="AE388" s="39"/>
      <c r="AF388" s="40"/>
      <c r="AG388" s="39"/>
      <c r="AH388" s="40"/>
      <c r="AI388" s="39"/>
      <c r="AJ388" s="40"/>
      <c r="AK388" s="39"/>
      <c r="AL388" s="40"/>
      <c r="AM388" s="39"/>
      <c r="AN388" s="40"/>
      <c r="AO388" s="39"/>
      <c r="AP388" s="40"/>
      <c r="AQ388" s="84">
        <f t="shared" si="75"/>
        <v>15</v>
      </c>
      <c r="AR388" s="80">
        <v>1092.48</v>
      </c>
      <c r="AS388" s="178">
        <f t="shared" si="77"/>
        <v>16387.2</v>
      </c>
    </row>
    <row r="389" spans="1:45" ht="28.5" hidden="1">
      <c r="A389" s="67">
        <v>363</v>
      </c>
      <c r="B389" s="37" t="s">
        <v>1060</v>
      </c>
      <c r="C389" s="53" t="s">
        <v>1250</v>
      </c>
      <c r="D389" s="37">
        <v>295</v>
      </c>
      <c r="E389" s="37" t="s">
        <v>1059</v>
      </c>
      <c r="F389" s="110" t="s">
        <v>968</v>
      </c>
      <c r="G389" s="125"/>
      <c r="H389" s="125"/>
      <c r="I389" s="125"/>
      <c r="J389" s="125"/>
      <c r="K389" s="126"/>
      <c r="L389" s="127"/>
      <c r="M389" s="128"/>
      <c r="N389" s="125"/>
      <c r="O389" s="126"/>
      <c r="P389" s="125"/>
      <c r="Q389" s="128"/>
      <c r="R389" s="125"/>
      <c r="S389" s="110">
        <v>15</v>
      </c>
      <c r="T389" s="40">
        <f t="shared" si="76"/>
        <v>16387.2</v>
      </c>
      <c r="U389" s="39"/>
      <c r="V389" s="40"/>
      <c r="W389" s="39"/>
      <c r="X389" s="40"/>
      <c r="Y389" s="39"/>
      <c r="Z389" s="40"/>
      <c r="AA389" s="39"/>
      <c r="AB389" s="40"/>
      <c r="AC389" s="39"/>
      <c r="AD389" s="40"/>
      <c r="AE389" s="39"/>
      <c r="AF389" s="40"/>
      <c r="AG389" s="39"/>
      <c r="AH389" s="40"/>
      <c r="AI389" s="39"/>
      <c r="AJ389" s="40"/>
      <c r="AK389" s="39"/>
      <c r="AL389" s="40"/>
      <c r="AM389" s="39"/>
      <c r="AN389" s="40"/>
      <c r="AO389" s="39"/>
      <c r="AP389" s="40"/>
      <c r="AQ389" s="84">
        <f t="shared" si="75"/>
        <v>15</v>
      </c>
      <c r="AR389" s="80">
        <v>1092.48</v>
      </c>
      <c r="AS389" s="178">
        <f t="shared" si="77"/>
        <v>16387.2</v>
      </c>
    </row>
    <row r="390" spans="1:45" ht="28.5" hidden="1">
      <c r="A390" s="71">
        <v>364</v>
      </c>
      <c r="B390" s="37" t="s">
        <v>1058</v>
      </c>
      <c r="C390" s="53" t="s">
        <v>1250</v>
      </c>
      <c r="D390" s="37">
        <v>295</v>
      </c>
      <c r="E390" s="37" t="s">
        <v>1057</v>
      </c>
      <c r="F390" s="110" t="s">
        <v>968</v>
      </c>
      <c r="G390" s="125"/>
      <c r="H390" s="125"/>
      <c r="I390" s="125"/>
      <c r="J390" s="125"/>
      <c r="K390" s="126"/>
      <c r="L390" s="127"/>
      <c r="M390" s="128"/>
      <c r="N390" s="125"/>
      <c r="O390" s="126"/>
      <c r="P390" s="125"/>
      <c r="Q390" s="128"/>
      <c r="R390" s="125"/>
      <c r="S390" s="110">
        <v>15</v>
      </c>
      <c r="T390" s="40">
        <f t="shared" si="76"/>
        <v>16387.2</v>
      </c>
      <c r="U390" s="39"/>
      <c r="V390" s="40"/>
      <c r="W390" s="39"/>
      <c r="X390" s="40"/>
      <c r="Y390" s="39"/>
      <c r="Z390" s="40"/>
      <c r="AA390" s="39"/>
      <c r="AB390" s="40"/>
      <c r="AC390" s="39"/>
      <c r="AD390" s="40"/>
      <c r="AE390" s="39"/>
      <c r="AF390" s="40"/>
      <c r="AG390" s="39"/>
      <c r="AH390" s="40"/>
      <c r="AI390" s="39"/>
      <c r="AJ390" s="40"/>
      <c r="AK390" s="39"/>
      <c r="AL390" s="40"/>
      <c r="AM390" s="39"/>
      <c r="AN390" s="40"/>
      <c r="AO390" s="39"/>
      <c r="AP390" s="40"/>
      <c r="AQ390" s="84">
        <f t="shared" si="75"/>
        <v>15</v>
      </c>
      <c r="AR390" s="80">
        <v>1092.48</v>
      </c>
      <c r="AS390" s="178">
        <f t="shared" si="77"/>
        <v>16387.2</v>
      </c>
    </row>
    <row r="391" spans="1:45" ht="28.5" hidden="1">
      <c r="A391" s="67">
        <v>365</v>
      </c>
      <c r="B391" s="37" t="s">
        <v>1056</v>
      </c>
      <c r="C391" s="53" t="s">
        <v>1250</v>
      </c>
      <c r="D391" s="37">
        <v>295</v>
      </c>
      <c r="E391" s="37" t="s">
        <v>1055</v>
      </c>
      <c r="F391" s="110" t="s">
        <v>968</v>
      </c>
      <c r="G391" s="125"/>
      <c r="H391" s="125"/>
      <c r="I391" s="125"/>
      <c r="J391" s="125"/>
      <c r="K391" s="126"/>
      <c r="L391" s="127"/>
      <c r="M391" s="128"/>
      <c r="N391" s="125"/>
      <c r="O391" s="126"/>
      <c r="P391" s="125"/>
      <c r="Q391" s="128"/>
      <c r="R391" s="125"/>
      <c r="S391" s="110">
        <v>15</v>
      </c>
      <c r="T391" s="40">
        <f t="shared" si="76"/>
        <v>16387.2</v>
      </c>
      <c r="U391" s="39"/>
      <c r="V391" s="40"/>
      <c r="W391" s="39"/>
      <c r="X391" s="40"/>
      <c r="Y391" s="39"/>
      <c r="Z391" s="40"/>
      <c r="AA391" s="39"/>
      <c r="AB391" s="40"/>
      <c r="AC391" s="39"/>
      <c r="AD391" s="40"/>
      <c r="AE391" s="39"/>
      <c r="AF391" s="40"/>
      <c r="AG391" s="39"/>
      <c r="AH391" s="40"/>
      <c r="AI391" s="39"/>
      <c r="AJ391" s="40"/>
      <c r="AK391" s="39"/>
      <c r="AL391" s="40"/>
      <c r="AM391" s="39"/>
      <c r="AN391" s="40"/>
      <c r="AO391" s="39"/>
      <c r="AP391" s="40"/>
      <c r="AQ391" s="84">
        <f t="shared" si="75"/>
        <v>15</v>
      </c>
      <c r="AR391" s="80">
        <v>1092.48</v>
      </c>
      <c r="AS391" s="178">
        <f t="shared" si="77"/>
        <v>16387.2</v>
      </c>
    </row>
    <row r="392" spans="1:45" ht="28.5" hidden="1">
      <c r="A392" s="71">
        <v>366</v>
      </c>
      <c r="B392" s="37" t="s">
        <v>1054</v>
      </c>
      <c r="C392" s="53" t="s">
        <v>1250</v>
      </c>
      <c r="D392" s="37">
        <v>295</v>
      </c>
      <c r="E392" s="37" t="s">
        <v>1053</v>
      </c>
      <c r="F392" s="110" t="s">
        <v>968</v>
      </c>
      <c r="G392" s="125"/>
      <c r="H392" s="125"/>
      <c r="I392" s="125"/>
      <c r="J392" s="125"/>
      <c r="K392" s="126"/>
      <c r="L392" s="127"/>
      <c r="M392" s="128"/>
      <c r="N392" s="125"/>
      <c r="O392" s="126"/>
      <c r="P392" s="125"/>
      <c r="Q392" s="128"/>
      <c r="R392" s="125"/>
      <c r="S392" s="110">
        <v>15</v>
      </c>
      <c r="T392" s="40">
        <f t="shared" si="76"/>
        <v>16387.2</v>
      </c>
      <c r="U392" s="39"/>
      <c r="V392" s="40"/>
      <c r="W392" s="39"/>
      <c r="X392" s="40"/>
      <c r="Y392" s="39"/>
      <c r="Z392" s="40"/>
      <c r="AA392" s="39"/>
      <c r="AB392" s="40"/>
      <c r="AC392" s="39"/>
      <c r="AD392" s="40"/>
      <c r="AE392" s="39"/>
      <c r="AF392" s="40"/>
      <c r="AG392" s="39"/>
      <c r="AH392" s="40"/>
      <c r="AI392" s="39"/>
      <c r="AJ392" s="40"/>
      <c r="AK392" s="39"/>
      <c r="AL392" s="40"/>
      <c r="AM392" s="39"/>
      <c r="AN392" s="40"/>
      <c r="AO392" s="39"/>
      <c r="AP392" s="40"/>
      <c r="AQ392" s="84">
        <f t="shared" si="75"/>
        <v>15</v>
      </c>
      <c r="AR392" s="80">
        <v>1092.48</v>
      </c>
      <c r="AS392" s="178">
        <f t="shared" si="77"/>
        <v>16387.2</v>
      </c>
    </row>
    <row r="393" spans="1:45" ht="28.5" hidden="1">
      <c r="A393" s="67">
        <v>367</v>
      </c>
      <c r="B393" s="37" t="s">
        <v>1052</v>
      </c>
      <c r="C393" s="53" t="s">
        <v>1250</v>
      </c>
      <c r="D393" s="37">
        <v>295</v>
      </c>
      <c r="E393" s="37" t="s">
        <v>1051</v>
      </c>
      <c r="F393" s="110" t="s">
        <v>968</v>
      </c>
      <c r="G393" s="125"/>
      <c r="H393" s="125"/>
      <c r="I393" s="125"/>
      <c r="J393" s="125"/>
      <c r="K393" s="126"/>
      <c r="L393" s="127"/>
      <c r="M393" s="128"/>
      <c r="N393" s="125"/>
      <c r="O393" s="126"/>
      <c r="P393" s="125"/>
      <c r="Q393" s="128"/>
      <c r="R393" s="125"/>
      <c r="S393" s="110">
        <v>15</v>
      </c>
      <c r="T393" s="40">
        <f t="shared" si="76"/>
        <v>16387.2</v>
      </c>
      <c r="U393" s="39"/>
      <c r="V393" s="40"/>
      <c r="W393" s="39"/>
      <c r="X393" s="40"/>
      <c r="Y393" s="39"/>
      <c r="Z393" s="40"/>
      <c r="AA393" s="39"/>
      <c r="AB393" s="40"/>
      <c r="AC393" s="39"/>
      <c r="AD393" s="40"/>
      <c r="AE393" s="39"/>
      <c r="AF393" s="40"/>
      <c r="AG393" s="39"/>
      <c r="AH393" s="40"/>
      <c r="AI393" s="39"/>
      <c r="AJ393" s="40"/>
      <c r="AK393" s="39"/>
      <c r="AL393" s="40"/>
      <c r="AM393" s="39"/>
      <c r="AN393" s="40"/>
      <c r="AO393" s="39"/>
      <c r="AP393" s="40"/>
      <c r="AQ393" s="84">
        <f t="shared" si="75"/>
        <v>15</v>
      </c>
      <c r="AR393" s="80">
        <v>1092.48</v>
      </c>
      <c r="AS393" s="178">
        <f t="shared" si="77"/>
        <v>16387.2</v>
      </c>
    </row>
    <row r="394" spans="1:45" ht="28.5" hidden="1">
      <c r="A394" s="71">
        <v>368</v>
      </c>
      <c r="B394" s="37" t="s">
        <v>1050</v>
      </c>
      <c r="C394" s="53" t="s">
        <v>1250</v>
      </c>
      <c r="D394" s="37">
        <v>295</v>
      </c>
      <c r="E394" s="37" t="s">
        <v>1049</v>
      </c>
      <c r="F394" s="110" t="s">
        <v>968</v>
      </c>
      <c r="G394" s="125"/>
      <c r="H394" s="125"/>
      <c r="I394" s="125"/>
      <c r="J394" s="125"/>
      <c r="K394" s="126"/>
      <c r="L394" s="127"/>
      <c r="M394" s="128"/>
      <c r="N394" s="125"/>
      <c r="O394" s="126"/>
      <c r="P394" s="125"/>
      <c r="Q394" s="128"/>
      <c r="R394" s="125"/>
      <c r="S394" s="110">
        <v>15</v>
      </c>
      <c r="T394" s="40">
        <f t="shared" si="76"/>
        <v>16387.2</v>
      </c>
      <c r="U394" s="39"/>
      <c r="V394" s="40"/>
      <c r="W394" s="39"/>
      <c r="X394" s="40"/>
      <c r="Y394" s="39"/>
      <c r="Z394" s="40"/>
      <c r="AA394" s="39"/>
      <c r="AB394" s="40"/>
      <c r="AC394" s="39"/>
      <c r="AD394" s="40"/>
      <c r="AE394" s="39"/>
      <c r="AF394" s="40"/>
      <c r="AG394" s="39"/>
      <c r="AH394" s="40"/>
      <c r="AI394" s="39"/>
      <c r="AJ394" s="40"/>
      <c r="AK394" s="39"/>
      <c r="AL394" s="40"/>
      <c r="AM394" s="39"/>
      <c r="AN394" s="40"/>
      <c r="AO394" s="39"/>
      <c r="AP394" s="40"/>
      <c r="AQ394" s="84">
        <f t="shared" si="75"/>
        <v>15</v>
      </c>
      <c r="AR394" s="80">
        <v>1092.48</v>
      </c>
      <c r="AS394" s="178">
        <f t="shared" si="77"/>
        <v>16387.2</v>
      </c>
    </row>
    <row r="395" spans="1:45" ht="28.5" hidden="1">
      <c r="A395" s="67">
        <v>369</v>
      </c>
      <c r="B395" s="37" t="s">
        <v>1048</v>
      </c>
      <c r="C395" s="53" t="s">
        <v>1250</v>
      </c>
      <c r="D395" s="37">
        <v>295</v>
      </c>
      <c r="E395" s="37" t="s">
        <v>1047</v>
      </c>
      <c r="F395" s="110" t="s">
        <v>968</v>
      </c>
      <c r="G395" s="125"/>
      <c r="H395" s="125"/>
      <c r="I395" s="125"/>
      <c r="J395" s="125"/>
      <c r="K395" s="126"/>
      <c r="L395" s="127"/>
      <c r="M395" s="128"/>
      <c r="N395" s="125"/>
      <c r="O395" s="126"/>
      <c r="P395" s="125"/>
      <c r="Q395" s="128"/>
      <c r="R395" s="125"/>
      <c r="S395" s="110">
        <v>15</v>
      </c>
      <c r="T395" s="40">
        <f t="shared" si="76"/>
        <v>16387.2</v>
      </c>
      <c r="U395" s="39"/>
      <c r="V395" s="40"/>
      <c r="W395" s="39"/>
      <c r="X395" s="40"/>
      <c r="Y395" s="39"/>
      <c r="Z395" s="40"/>
      <c r="AA395" s="39"/>
      <c r="AB395" s="40"/>
      <c r="AC395" s="39"/>
      <c r="AD395" s="40"/>
      <c r="AE395" s="39"/>
      <c r="AF395" s="40"/>
      <c r="AG395" s="39"/>
      <c r="AH395" s="40"/>
      <c r="AI395" s="39"/>
      <c r="AJ395" s="40"/>
      <c r="AK395" s="39"/>
      <c r="AL395" s="40"/>
      <c r="AM395" s="39"/>
      <c r="AN395" s="40"/>
      <c r="AO395" s="39"/>
      <c r="AP395" s="40"/>
      <c r="AQ395" s="84">
        <f t="shared" si="75"/>
        <v>15</v>
      </c>
      <c r="AR395" s="80">
        <v>1092.48</v>
      </c>
      <c r="AS395" s="178">
        <f t="shared" si="77"/>
        <v>16387.2</v>
      </c>
    </row>
    <row r="396" spans="1:45" ht="28.5" hidden="1">
      <c r="A396" s="71">
        <v>370</v>
      </c>
      <c r="B396" s="37" t="s">
        <v>1046</v>
      </c>
      <c r="C396" s="53" t="s">
        <v>1250</v>
      </c>
      <c r="D396" s="37">
        <v>295</v>
      </c>
      <c r="E396" s="37" t="s">
        <v>1045</v>
      </c>
      <c r="F396" s="110" t="s">
        <v>968</v>
      </c>
      <c r="G396" s="125"/>
      <c r="H396" s="125"/>
      <c r="I396" s="125"/>
      <c r="J396" s="125"/>
      <c r="K396" s="126"/>
      <c r="L396" s="127"/>
      <c r="M396" s="128"/>
      <c r="N396" s="125"/>
      <c r="O396" s="126"/>
      <c r="P396" s="125"/>
      <c r="Q396" s="128"/>
      <c r="R396" s="125"/>
      <c r="S396" s="110">
        <v>15</v>
      </c>
      <c r="T396" s="40">
        <f t="shared" si="76"/>
        <v>16387.2</v>
      </c>
      <c r="U396" s="39"/>
      <c r="V396" s="40"/>
      <c r="W396" s="39"/>
      <c r="X396" s="40"/>
      <c r="Y396" s="39"/>
      <c r="Z396" s="40"/>
      <c r="AA396" s="39"/>
      <c r="AB396" s="40"/>
      <c r="AC396" s="39"/>
      <c r="AD396" s="40"/>
      <c r="AE396" s="39"/>
      <c r="AF396" s="40"/>
      <c r="AG396" s="39"/>
      <c r="AH396" s="40"/>
      <c r="AI396" s="39"/>
      <c r="AJ396" s="40"/>
      <c r="AK396" s="39"/>
      <c r="AL396" s="40"/>
      <c r="AM396" s="39"/>
      <c r="AN396" s="40"/>
      <c r="AO396" s="39"/>
      <c r="AP396" s="40"/>
      <c r="AQ396" s="84">
        <f t="shared" si="75"/>
        <v>15</v>
      </c>
      <c r="AR396" s="80">
        <v>1092.48</v>
      </c>
      <c r="AS396" s="178">
        <f t="shared" si="77"/>
        <v>16387.2</v>
      </c>
    </row>
    <row r="397" spans="1:45" ht="28.5" hidden="1">
      <c r="A397" s="67">
        <v>371</v>
      </c>
      <c r="B397" s="37" t="s">
        <v>1044</v>
      </c>
      <c r="C397" s="53" t="s">
        <v>1250</v>
      </c>
      <c r="D397" s="37">
        <v>295</v>
      </c>
      <c r="E397" s="37" t="s">
        <v>1043</v>
      </c>
      <c r="F397" s="110" t="s">
        <v>968</v>
      </c>
      <c r="G397" s="125"/>
      <c r="H397" s="125"/>
      <c r="I397" s="125"/>
      <c r="J397" s="125"/>
      <c r="K397" s="126"/>
      <c r="L397" s="127"/>
      <c r="M397" s="128"/>
      <c r="N397" s="125"/>
      <c r="O397" s="126"/>
      <c r="P397" s="125"/>
      <c r="Q397" s="128"/>
      <c r="R397" s="125"/>
      <c r="S397" s="110">
        <v>15</v>
      </c>
      <c r="T397" s="40">
        <f t="shared" si="76"/>
        <v>16387.2</v>
      </c>
      <c r="U397" s="39"/>
      <c r="V397" s="40"/>
      <c r="W397" s="39"/>
      <c r="X397" s="40"/>
      <c r="Y397" s="39"/>
      <c r="Z397" s="40"/>
      <c r="AA397" s="39"/>
      <c r="AB397" s="40"/>
      <c r="AC397" s="39"/>
      <c r="AD397" s="40"/>
      <c r="AE397" s="39"/>
      <c r="AF397" s="40"/>
      <c r="AG397" s="39"/>
      <c r="AH397" s="40"/>
      <c r="AI397" s="39"/>
      <c r="AJ397" s="40"/>
      <c r="AK397" s="39"/>
      <c r="AL397" s="40"/>
      <c r="AM397" s="39"/>
      <c r="AN397" s="40"/>
      <c r="AO397" s="39"/>
      <c r="AP397" s="40"/>
      <c r="AQ397" s="84">
        <f t="shared" si="75"/>
        <v>15</v>
      </c>
      <c r="AR397" s="80">
        <v>1092.48</v>
      </c>
      <c r="AS397" s="178">
        <f t="shared" si="77"/>
        <v>16387.2</v>
      </c>
    </row>
    <row r="398" spans="1:45" ht="28.5" hidden="1">
      <c r="A398" s="71">
        <v>372</v>
      </c>
      <c r="B398" s="37" t="s">
        <v>1042</v>
      </c>
      <c r="C398" s="53" t="s">
        <v>1250</v>
      </c>
      <c r="D398" s="37">
        <v>295</v>
      </c>
      <c r="E398" s="37" t="s">
        <v>1041</v>
      </c>
      <c r="F398" s="110" t="s">
        <v>968</v>
      </c>
      <c r="G398" s="125"/>
      <c r="H398" s="125"/>
      <c r="I398" s="125"/>
      <c r="J398" s="125"/>
      <c r="K398" s="126"/>
      <c r="L398" s="127"/>
      <c r="M398" s="128"/>
      <c r="N398" s="125"/>
      <c r="O398" s="126"/>
      <c r="P398" s="125"/>
      <c r="Q398" s="128"/>
      <c r="R398" s="125"/>
      <c r="S398" s="110">
        <v>15</v>
      </c>
      <c r="T398" s="40">
        <f t="shared" si="76"/>
        <v>16387.2</v>
      </c>
      <c r="U398" s="39"/>
      <c r="V398" s="40"/>
      <c r="W398" s="39"/>
      <c r="X398" s="40"/>
      <c r="Y398" s="39"/>
      <c r="Z398" s="40"/>
      <c r="AA398" s="39"/>
      <c r="AB398" s="40"/>
      <c r="AC398" s="39"/>
      <c r="AD398" s="40"/>
      <c r="AE398" s="39"/>
      <c r="AF398" s="40"/>
      <c r="AG398" s="39"/>
      <c r="AH398" s="40"/>
      <c r="AI398" s="39"/>
      <c r="AJ398" s="40"/>
      <c r="AK398" s="39"/>
      <c r="AL398" s="40"/>
      <c r="AM398" s="39"/>
      <c r="AN398" s="40"/>
      <c r="AO398" s="39"/>
      <c r="AP398" s="40"/>
      <c r="AQ398" s="84">
        <f t="shared" si="75"/>
        <v>15</v>
      </c>
      <c r="AR398" s="80">
        <v>1092.48</v>
      </c>
      <c r="AS398" s="178">
        <f t="shared" si="77"/>
        <v>16387.2</v>
      </c>
    </row>
    <row r="399" spans="1:45" ht="28.5" hidden="1">
      <c r="A399" s="67">
        <v>373</v>
      </c>
      <c r="B399" s="37" t="s">
        <v>1040</v>
      </c>
      <c r="C399" s="53" t="s">
        <v>1250</v>
      </c>
      <c r="D399" s="37">
        <v>295</v>
      </c>
      <c r="E399" s="37" t="s">
        <v>1039</v>
      </c>
      <c r="F399" s="110" t="s">
        <v>968</v>
      </c>
      <c r="G399" s="125"/>
      <c r="H399" s="125"/>
      <c r="I399" s="125"/>
      <c r="J399" s="125"/>
      <c r="K399" s="126"/>
      <c r="L399" s="127"/>
      <c r="M399" s="128"/>
      <c r="N399" s="125"/>
      <c r="O399" s="126"/>
      <c r="P399" s="125"/>
      <c r="Q399" s="128"/>
      <c r="R399" s="125"/>
      <c r="S399" s="110">
        <v>15</v>
      </c>
      <c r="T399" s="40">
        <f t="shared" si="76"/>
        <v>16387.2</v>
      </c>
      <c r="U399" s="39"/>
      <c r="V399" s="40"/>
      <c r="W399" s="39"/>
      <c r="X399" s="40"/>
      <c r="Y399" s="39"/>
      <c r="Z399" s="40"/>
      <c r="AA399" s="39"/>
      <c r="AB399" s="40"/>
      <c r="AC399" s="39"/>
      <c r="AD399" s="40"/>
      <c r="AE399" s="39"/>
      <c r="AF399" s="40"/>
      <c r="AG399" s="39"/>
      <c r="AH399" s="40"/>
      <c r="AI399" s="39"/>
      <c r="AJ399" s="40"/>
      <c r="AK399" s="39"/>
      <c r="AL399" s="40"/>
      <c r="AM399" s="39"/>
      <c r="AN399" s="40"/>
      <c r="AO399" s="39"/>
      <c r="AP399" s="40"/>
      <c r="AQ399" s="84">
        <f t="shared" si="75"/>
        <v>15</v>
      </c>
      <c r="AR399" s="80">
        <v>1092.48</v>
      </c>
      <c r="AS399" s="178">
        <f t="shared" si="77"/>
        <v>16387.2</v>
      </c>
    </row>
    <row r="400" spans="1:45" ht="28.5" hidden="1">
      <c r="A400" s="71">
        <v>374</v>
      </c>
      <c r="B400" s="37" t="s">
        <v>1038</v>
      </c>
      <c r="C400" s="53" t="s">
        <v>1250</v>
      </c>
      <c r="D400" s="37">
        <v>295</v>
      </c>
      <c r="E400" s="37" t="s">
        <v>1037</v>
      </c>
      <c r="F400" s="110" t="s">
        <v>968</v>
      </c>
      <c r="G400" s="125"/>
      <c r="H400" s="125"/>
      <c r="I400" s="125"/>
      <c r="J400" s="125"/>
      <c r="K400" s="126"/>
      <c r="L400" s="127"/>
      <c r="M400" s="128"/>
      <c r="N400" s="125"/>
      <c r="O400" s="126"/>
      <c r="P400" s="125"/>
      <c r="Q400" s="128"/>
      <c r="R400" s="125"/>
      <c r="S400" s="110">
        <v>15</v>
      </c>
      <c r="T400" s="40">
        <f t="shared" si="76"/>
        <v>16387.2</v>
      </c>
      <c r="U400" s="39"/>
      <c r="V400" s="40"/>
      <c r="W400" s="39"/>
      <c r="X400" s="40"/>
      <c r="Y400" s="39"/>
      <c r="Z400" s="40"/>
      <c r="AA400" s="39"/>
      <c r="AB400" s="40"/>
      <c r="AC400" s="39"/>
      <c r="AD400" s="40"/>
      <c r="AE400" s="39"/>
      <c r="AF400" s="40"/>
      <c r="AG400" s="39"/>
      <c r="AH400" s="40"/>
      <c r="AI400" s="39"/>
      <c r="AJ400" s="40"/>
      <c r="AK400" s="39"/>
      <c r="AL400" s="40"/>
      <c r="AM400" s="39"/>
      <c r="AN400" s="40"/>
      <c r="AO400" s="39"/>
      <c r="AP400" s="40"/>
      <c r="AQ400" s="84">
        <f t="shared" si="75"/>
        <v>15</v>
      </c>
      <c r="AR400" s="80">
        <v>1092.48</v>
      </c>
      <c r="AS400" s="178">
        <f t="shared" si="77"/>
        <v>16387.2</v>
      </c>
    </row>
    <row r="401" spans="1:45" ht="28.5" hidden="1">
      <c r="A401" s="67">
        <v>375</v>
      </c>
      <c r="B401" s="37" t="s">
        <v>1036</v>
      </c>
      <c r="C401" s="53" t="s">
        <v>1250</v>
      </c>
      <c r="D401" s="37">
        <v>295</v>
      </c>
      <c r="E401" s="37" t="s">
        <v>1035</v>
      </c>
      <c r="F401" s="110" t="s">
        <v>968</v>
      </c>
      <c r="G401" s="125"/>
      <c r="H401" s="125"/>
      <c r="I401" s="125"/>
      <c r="J401" s="125"/>
      <c r="K401" s="126"/>
      <c r="L401" s="127"/>
      <c r="M401" s="128"/>
      <c r="N401" s="125"/>
      <c r="O401" s="126"/>
      <c r="P401" s="125"/>
      <c r="Q401" s="128"/>
      <c r="R401" s="125"/>
      <c r="S401" s="110">
        <v>5</v>
      </c>
      <c r="T401" s="40">
        <f t="shared" si="76"/>
        <v>5462.4</v>
      </c>
      <c r="U401" s="39"/>
      <c r="V401" s="40"/>
      <c r="W401" s="39"/>
      <c r="X401" s="40"/>
      <c r="Y401" s="39"/>
      <c r="Z401" s="40"/>
      <c r="AA401" s="39"/>
      <c r="AB401" s="40"/>
      <c r="AC401" s="39"/>
      <c r="AD401" s="40"/>
      <c r="AE401" s="39"/>
      <c r="AF401" s="40"/>
      <c r="AG401" s="39"/>
      <c r="AH401" s="40"/>
      <c r="AI401" s="39"/>
      <c r="AJ401" s="40"/>
      <c r="AK401" s="39"/>
      <c r="AL401" s="40"/>
      <c r="AM401" s="39"/>
      <c r="AN401" s="40"/>
      <c r="AO401" s="39"/>
      <c r="AP401" s="40"/>
      <c r="AQ401" s="84">
        <f t="shared" si="75"/>
        <v>5</v>
      </c>
      <c r="AR401" s="80">
        <v>1092.48</v>
      </c>
      <c r="AS401" s="178">
        <f t="shared" si="77"/>
        <v>5462.4</v>
      </c>
    </row>
    <row r="402" spans="1:45" ht="28.5" hidden="1">
      <c r="A402" s="71">
        <v>376</v>
      </c>
      <c r="B402" s="37" t="s">
        <v>1034</v>
      </c>
      <c r="C402" s="53" t="s">
        <v>1250</v>
      </c>
      <c r="D402" s="37">
        <v>295</v>
      </c>
      <c r="E402" s="37" t="s">
        <v>1033</v>
      </c>
      <c r="F402" s="110" t="s">
        <v>968</v>
      </c>
      <c r="G402" s="125"/>
      <c r="H402" s="125"/>
      <c r="I402" s="125"/>
      <c r="J402" s="125"/>
      <c r="K402" s="126"/>
      <c r="L402" s="127"/>
      <c r="M402" s="128"/>
      <c r="N402" s="125"/>
      <c r="O402" s="126"/>
      <c r="P402" s="125"/>
      <c r="Q402" s="128"/>
      <c r="R402" s="125"/>
      <c r="S402" s="110">
        <v>5</v>
      </c>
      <c r="T402" s="40">
        <f t="shared" si="76"/>
        <v>5462.4</v>
      </c>
      <c r="U402" s="39"/>
      <c r="V402" s="40"/>
      <c r="W402" s="39"/>
      <c r="X402" s="40"/>
      <c r="Y402" s="39"/>
      <c r="Z402" s="40"/>
      <c r="AA402" s="39"/>
      <c r="AB402" s="40"/>
      <c r="AC402" s="39"/>
      <c r="AD402" s="40"/>
      <c r="AE402" s="39"/>
      <c r="AF402" s="40"/>
      <c r="AG402" s="39"/>
      <c r="AH402" s="40"/>
      <c r="AI402" s="39"/>
      <c r="AJ402" s="40"/>
      <c r="AK402" s="39"/>
      <c r="AL402" s="40"/>
      <c r="AM402" s="39"/>
      <c r="AN402" s="40"/>
      <c r="AO402" s="39"/>
      <c r="AP402" s="40"/>
      <c r="AQ402" s="84">
        <f t="shared" si="75"/>
        <v>5</v>
      </c>
      <c r="AR402" s="80">
        <v>1092.48</v>
      </c>
      <c r="AS402" s="178">
        <f t="shared" si="77"/>
        <v>5462.4</v>
      </c>
    </row>
    <row r="403" spans="1:45" ht="28.5" hidden="1">
      <c r="A403" s="67">
        <v>377</v>
      </c>
      <c r="B403" s="37" t="s">
        <v>1032</v>
      </c>
      <c r="C403" s="53" t="s">
        <v>1250</v>
      </c>
      <c r="D403" s="37">
        <v>295</v>
      </c>
      <c r="E403" s="37" t="s">
        <v>1031</v>
      </c>
      <c r="F403" s="110" t="s">
        <v>968</v>
      </c>
      <c r="G403" s="125"/>
      <c r="H403" s="125"/>
      <c r="I403" s="125"/>
      <c r="J403" s="125"/>
      <c r="K403" s="126"/>
      <c r="L403" s="127"/>
      <c r="M403" s="128"/>
      <c r="N403" s="125"/>
      <c r="O403" s="126"/>
      <c r="P403" s="125"/>
      <c r="Q403" s="128"/>
      <c r="R403" s="125"/>
      <c r="S403" s="110">
        <v>5</v>
      </c>
      <c r="T403" s="40">
        <f t="shared" si="76"/>
        <v>5462.4</v>
      </c>
      <c r="U403" s="39"/>
      <c r="V403" s="40"/>
      <c r="W403" s="39"/>
      <c r="X403" s="40"/>
      <c r="Y403" s="39"/>
      <c r="Z403" s="40"/>
      <c r="AA403" s="39"/>
      <c r="AB403" s="40"/>
      <c r="AC403" s="39"/>
      <c r="AD403" s="40"/>
      <c r="AE403" s="39"/>
      <c r="AF403" s="40"/>
      <c r="AG403" s="39"/>
      <c r="AH403" s="40"/>
      <c r="AI403" s="39"/>
      <c r="AJ403" s="40"/>
      <c r="AK403" s="39"/>
      <c r="AL403" s="40"/>
      <c r="AM403" s="39"/>
      <c r="AN403" s="40"/>
      <c r="AO403" s="39"/>
      <c r="AP403" s="40"/>
      <c r="AQ403" s="84">
        <f t="shared" si="75"/>
        <v>5</v>
      </c>
      <c r="AR403" s="80">
        <v>1092.48</v>
      </c>
      <c r="AS403" s="178">
        <f t="shared" si="77"/>
        <v>5462.4</v>
      </c>
    </row>
    <row r="404" spans="1:45" ht="28.5" hidden="1">
      <c r="A404" s="71">
        <v>378</v>
      </c>
      <c r="B404" s="37" t="s">
        <v>1030</v>
      </c>
      <c r="C404" s="53" t="s">
        <v>1250</v>
      </c>
      <c r="D404" s="37">
        <v>295</v>
      </c>
      <c r="E404" s="37" t="s">
        <v>1029</v>
      </c>
      <c r="F404" s="110" t="s">
        <v>968</v>
      </c>
      <c r="G404" s="125"/>
      <c r="H404" s="125"/>
      <c r="I404" s="125"/>
      <c r="J404" s="125"/>
      <c r="K404" s="126"/>
      <c r="L404" s="127"/>
      <c r="M404" s="128"/>
      <c r="N404" s="125"/>
      <c r="O404" s="126"/>
      <c r="P404" s="125"/>
      <c r="Q404" s="128"/>
      <c r="R404" s="125"/>
      <c r="S404" s="110">
        <v>5</v>
      </c>
      <c r="T404" s="40">
        <f t="shared" si="76"/>
        <v>5462.4</v>
      </c>
      <c r="U404" s="39"/>
      <c r="V404" s="40"/>
      <c r="W404" s="39"/>
      <c r="X404" s="40"/>
      <c r="Y404" s="39"/>
      <c r="Z404" s="40"/>
      <c r="AA404" s="39"/>
      <c r="AB404" s="40"/>
      <c r="AC404" s="39"/>
      <c r="AD404" s="40"/>
      <c r="AE404" s="39"/>
      <c r="AF404" s="40"/>
      <c r="AG404" s="39"/>
      <c r="AH404" s="40"/>
      <c r="AI404" s="39"/>
      <c r="AJ404" s="40"/>
      <c r="AK404" s="39"/>
      <c r="AL404" s="40"/>
      <c r="AM404" s="39"/>
      <c r="AN404" s="40"/>
      <c r="AO404" s="39"/>
      <c r="AP404" s="40"/>
      <c r="AQ404" s="84">
        <f t="shared" si="75"/>
        <v>5</v>
      </c>
      <c r="AR404" s="80">
        <v>1092.48</v>
      </c>
      <c r="AS404" s="178">
        <f t="shared" si="77"/>
        <v>5462.4</v>
      </c>
    </row>
    <row r="405" spans="1:45" ht="28.5" hidden="1">
      <c r="A405" s="67">
        <v>379</v>
      </c>
      <c r="B405" s="37" t="s">
        <v>1028</v>
      </c>
      <c r="C405" s="53" t="s">
        <v>1250</v>
      </c>
      <c r="D405" s="37">
        <v>295</v>
      </c>
      <c r="E405" s="37" t="s">
        <v>1027</v>
      </c>
      <c r="F405" s="110" t="s">
        <v>968</v>
      </c>
      <c r="G405" s="125"/>
      <c r="H405" s="125"/>
      <c r="I405" s="125"/>
      <c r="J405" s="125"/>
      <c r="K405" s="126"/>
      <c r="L405" s="127"/>
      <c r="M405" s="128"/>
      <c r="N405" s="125"/>
      <c r="O405" s="126"/>
      <c r="P405" s="125"/>
      <c r="Q405" s="128"/>
      <c r="R405" s="125"/>
      <c r="S405" s="110">
        <v>5</v>
      </c>
      <c r="T405" s="40">
        <f t="shared" si="76"/>
        <v>5462.4</v>
      </c>
      <c r="U405" s="39"/>
      <c r="V405" s="40"/>
      <c r="W405" s="39"/>
      <c r="X405" s="40"/>
      <c r="Y405" s="39"/>
      <c r="Z405" s="40"/>
      <c r="AA405" s="39"/>
      <c r="AB405" s="40"/>
      <c r="AC405" s="39"/>
      <c r="AD405" s="40"/>
      <c r="AE405" s="39"/>
      <c r="AF405" s="40"/>
      <c r="AG405" s="39"/>
      <c r="AH405" s="40"/>
      <c r="AI405" s="39"/>
      <c r="AJ405" s="40"/>
      <c r="AK405" s="39"/>
      <c r="AL405" s="40"/>
      <c r="AM405" s="39"/>
      <c r="AN405" s="40"/>
      <c r="AO405" s="39"/>
      <c r="AP405" s="40"/>
      <c r="AQ405" s="84">
        <f t="shared" si="75"/>
        <v>5</v>
      </c>
      <c r="AR405" s="80">
        <v>1092.48</v>
      </c>
      <c r="AS405" s="178">
        <f t="shared" si="77"/>
        <v>5462.4</v>
      </c>
    </row>
    <row r="406" spans="1:45" ht="28.5" hidden="1">
      <c r="A406" s="71">
        <v>380</v>
      </c>
      <c r="B406" s="37" t="s">
        <v>1026</v>
      </c>
      <c r="C406" s="53" t="s">
        <v>1250</v>
      </c>
      <c r="D406" s="37">
        <v>295</v>
      </c>
      <c r="E406" s="37" t="s">
        <v>1025</v>
      </c>
      <c r="F406" s="110" t="s">
        <v>968</v>
      </c>
      <c r="G406" s="125"/>
      <c r="H406" s="125"/>
      <c r="I406" s="125"/>
      <c r="J406" s="125"/>
      <c r="K406" s="126"/>
      <c r="L406" s="127"/>
      <c r="M406" s="128"/>
      <c r="N406" s="125"/>
      <c r="O406" s="126"/>
      <c r="P406" s="125"/>
      <c r="Q406" s="128"/>
      <c r="R406" s="125"/>
      <c r="S406" s="110">
        <v>5</v>
      </c>
      <c r="T406" s="40">
        <f t="shared" si="76"/>
        <v>5462.4</v>
      </c>
      <c r="U406" s="39"/>
      <c r="V406" s="40"/>
      <c r="W406" s="39"/>
      <c r="X406" s="40"/>
      <c r="Y406" s="39"/>
      <c r="Z406" s="40"/>
      <c r="AA406" s="39"/>
      <c r="AB406" s="40"/>
      <c r="AC406" s="39"/>
      <c r="AD406" s="40"/>
      <c r="AE406" s="39"/>
      <c r="AF406" s="40"/>
      <c r="AG406" s="39"/>
      <c r="AH406" s="40"/>
      <c r="AI406" s="39"/>
      <c r="AJ406" s="40"/>
      <c r="AK406" s="39"/>
      <c r="AL406" s="40"/>
      <c r="AM406" s="39"/>
      <c r="AN406" s="40"/>
      <c r="AO406" s="39"/>
      <c r="AP406" s="40"/>
      <c r="AQ406" s="84">
        <f t="shared" si="75"/>
        <v>5</v>
      </c>
      <c r="AR406" s="80">
        <v>1092.48</v>
      </c>
      <c r="AS406" s="178">
        <f t="shared" si="77"/>
        <v>5462.4</v>
      </c>
    </row>
    <row r="407" spans="1:45" ht="28.5" hidden="1">
      <c r="A407" s="67">
        <v>381</v>
      </c>
      <c r="B407" s="37" t="s">
        <v>1024</v>
      </c>
      <c r="C407" s="53" t="s">
        <v>1250</v>
      </c>
      <c r="D407" s="37">
        <v>295</v>
      </c>
      <c r="E407" s="37" t="s">
        <v>1023</v>
      </c>
      <c r="F407" s="110" t="s">
        <v>968</v>
      </c>
      <c r="G407" s="125"/>
      <c r="H407" s="125"/>
      <c r="I407" s="125"/>
      <c r="J407" s="125"/>
      <c r="K407" s="126"/>
      <c r="L407" s="127"/>
      <c r="M407" s="128"/>
      <c r="N407" s="125"/>
      <c r="O407" s="126"/>
      <c r="P407" s="125"/>
      <c r="Q407" s="128"/>
      <c r="R407" s="125"/>
      <c r="S407" s="110">
        <v>5</v>
      </c>
      <c r="T407" s="40">
        <f t="shared" si="76"/>
        <v>5462.4</v>
      </c>
      <c r="U407" s="39"/>
      <c r="V407" s="40"/>
      <c r="W407" s="39"/>
      <c r="X407" s="40"/>
      <c r="Y407" s="39"/>
      <c r="Z407" s="40"/>
      <c r="AA407" s="39"/>
      <c r="AB407" s="40"/>
      <c r="AC407" s="39"/>
      <c r="AD407" s="40"/>
      <c r="AE407" s="39"/>
      <c r="AF407" s="40"/>
      <c r="AG407" s="39"/>
      <c r="AH407" s="40"/>
      <c r="AI407" s="39"/>
      <c r="AJ407" s="40"/>
      <c r="AK407" s="39"/>
      <c r="AL407" s="40"/>
      <c r="AM407" s="39"/>
      <c r="AN407" s="40"/>
      <c r="AO407" s="39"/>
      <c r="AP407" s="40"/>
      <c r="AQ407" s="84">
        <f t="shared" si="75"/>
        <v>5</v>
      </c>
      <c r="AR407" s="80">
        <v>1092.48</v>
      </c>
      <c r="AS407" s="178">
        <f t="shared" si="77"/>
        <v>5462.4</v>
      </c>
    </row>
    <row r="408" spans="1:45" ht="28.5" hidden="1">
      <c r="A408" s="71">
        <v>382</v>
      </c>
      <c r="B408" s="37" t="s">
        <v>1022</v>
      </c>
      <c r="C408" s="53" t="s">
        <v>1250</v>
      </c>
      <c r="D408" s="37">
        <v>295</v>
      </c>
      <c r="E408" s="37" t="s">
        <v>1021</v>
      </c>
      <c r="F408" s="110" t="s">
        <v>968</v>
      </c>
      <c r="G408" s="125"/>
      <c r="H408" s="125"/>
      <c r="I408" s="125"/>
      <c r="J408" s="125"/>
      <c r="K408" s="126"/>
      <c r="L408" s="127"/>
      <c r="M408" s="128"/>
      <c r="N408" s="125"/>
      <c r="O408" s="126"/>
      <c r="P408" s="125"/>
      <c r="Q408" s="128"/>
      <c r="R408" s="125"/>
      <c r="S408" s="110">
        <v>5</v>
      </c>
      <c r="T408" s="40">
        <f t="shared" si="76"/>
        <v>5462.4</v>
      </c>
      <c r="U408" s="39"/>
      <c r="V408" s="40"/>
      <c r="W408" s="39"/>
      <c r="X408" s="40"/>
      <c r="Y408" s="39"/>
      <c r="Z408" s="40"/>
      <c r="AA408" s="39"/>
      <c r="AB408" s="40"/>
      <c r="AC408" s="39"/>
      <c r="AD408" s="40"/>
      <c r="AE408" s="39"/>
      <c r="AF408" s="40"/>
      <c r="AG408" s="39"/>
      <c r="AH408" s="40"/>
      <c r="AI408" s="39"/>
      <c r="AJ408" s="40"/>
      <c r="AK408" s="39"/>
      <c r="AL408" s="40"/>
      <c r="AM408" s="39"/>
      <c r="AN408" s="40"/>
      <c r="AO408" s="39"/>
      <c r="AP408" s="40"/>
      <c r="AQ408" s="84">
        <f t="shared" si="75"/>
        <v>5</v>
      </c>
      <c r="AR408" s="80">
        <v>1092.48</v>
      </c>
      <c r="AS408" s="178">
        <f t="shared" si="77"/>
        <v>5462.4</v>
      </c>
    </row>
    <row r="409" spans="1:45" ht="28.5" hidden="1">
      <c r="A409" s="67">
        <v>383</v>
      </c>
      <c r="B409" s="37" t="s">
        <v>1020</v>
      </c>
      <c r="C409" s="53" t="s">
        <v>1250</v>
      </c>
      <c r="D409" s="37">
        <v>295</v>
      </c>
      <c r="E409" s="37" t="s">
        <v>1019</v>
      </c>
      <c r="F409" s="110" t="s">
        <v>968</v>
      </c>
      <c r="G409" s="125"/>
      <c r="H409" s="125"/>
      <c r="I409" s="125"/>
      <c r="J409" s="125"/>
      <c r="K409" s="126"/>
      <c r="L409" s="127"/>
      <c r="M409" s="128"/>
      <c r="N409" s="125"/>
      <c r="O409" s="126"/>
      <c r="P409" s="125"/>
      <c r="Q409" s="128"/>
      <c r="R409" s="125"/>
      <c r="S409" s="110">
        <v>2</v>
      </c>
      <c r="T409" s="40">
        <f t="shared" si="76"/>
        <v>2184.96</v>
      </c>
      <c r="U409" s="39"/>
      <c r="V409" s="40"/>
      <c r="W409" s="39"/>
      <c r="X409" s="40"/>
      <c r="Y409" s="39"/>
      <c r="Z409" s="40"/>
      <c r="AA409" s="39"/>
      <c r="AB409" s="40"/>
      <c r="AC409" s="39"/>
      <c r="AD409" s="40"/>
      <c r="AE409" s="39"/>
      <c r="AF409" s="40"/>
      <c r="AG409" s="39"/>
      <c r="AH409" s="40"/>
      <c r="AI409" s="39"/>
      <c r="AJ409" s="40"/>
      <c r="AK409" s="39"/>
      <c r="AL409" s="40"/>
      <c r="AM409" s="39"/>
      <c r="AN409" s="40"/>
      <c r="AO409" s="39"/>
      <c r="AP409" s="40"/>
      <c r="AQ409" s="84">
        <f t="shared" si="75"/>
        <v>2</v>
      </c>
      <c r="AR409" s="80">
        <v>1092.48</v>
      </c>
      <c r="AS409" s="178">
        <f t="shared" si="77"/>
        <v>2184.96</v>
      </c>
    </row>
    <row r="410" spans="1:45" ht="28.5" hidden="1">
      <c r="A410" s="71">
        <v>384</v>
      </c>
      <c r="B410" s="37" t="s">
        <v>1018</v>
      </c>
      <c r="C410" s="53" t="s">
        <v>1250</v>
      </c>
      <c r="D410" s="37">
        <v>295</v>
      </c>
      <c r="E410" s="37" t="s">
        <v>1017</v>
      </c>
      <c r="F410" s="110" t="s">
        <v>968</v>
      </c>
      <c r="G410" s="125"/>
      <c r="H410" s="125"/>
      <c r="I410" s="125"/>
      <c r="J410" s="125"/>
      <c r="K410" s="126"/>
      <c r="L410" s="127"/>
      <c r="M410" s="128"/>
      <c r="N410" s="125"/>
      <c r="O410" s="126"/>
      <c r="P410" s="125"/>
      <c r="Q410" s="128"/>
      <c r="R410" s="125"/>
      <c r="S410" s="110">
        <v>2</v>
      </c>
      <c r="T410" s="40">
        <f t="shared" si="76"/>
        <v>2184.96</v>
      </c>
      <c r="U410" s="39"/>
      <c r="V410" s="40"/>
      <c r="W410" s="39"/>
      <c r="X410" s="40"/>
      <c r="Y410" s="39"/>
      <c r="Z410" s="40"/>
      <c r="AA410" s="39"/>
      <c r="AB410" s="40"/>
      <c r="AC410" s="39"/>
      <c r="AD410" s="40"/>
      <c r="AE410" s="39"/>
      <c r="AF410" s="40"/>
      <c r="AG410" s="39"/>
      <c r="AH410" s="40"/>
      <c r="AI410" s="39"/>
      <c r="AJ410" s="40"/>
      <c r="AK410" s="39"/>
      <c r="AL410" s="40"/>
      <c r="AM410" s="39"/>
      <c r="AN410" s="40"/>
      <c r="AO410" s="39"/>
      <c r="AP410" s="40"/>
      <c r="AQ410" s="84">
        <f t="shared" si="75"/>
        <v>2</v>
      </c>
      <c r="AR410" s="80">
        <v>1092.48</v>
      </c>
      <c r="AS410" s="178">
        <f t="shared" si="77"/>
        <v>2184.96</v>
      </c>
    </row>
    <row r="411" spans="1:45" ht="28.5" hidden="1">
      <c r="A411" s="67">
        <v>385</v>
      </c>
      <c r="B411" s="37" t="s">
        <v>1016</v>
      </c>
      <c r="C411" s="53" t="s">
        <v>1250</v>
      </c>
      <c r="D411" s="37">
        <v>295</v>
      </c>
      <c r="E411" s="37" t="s">
        <v>1015</v>
      </c>
      <c r="F411" s="110" t="s">
        <v>968</v>
      </c>
      <c r="G411" s="125"/>
      <c r="H411" s="125"/>
      <c r="I411" s="125"/>
      <c r="J411" s="125"/>
      <c r="K411" s="126"/>
      <c r="L411" s="127"/>
      <c r="M411" s="128"/>
      <c r="N411" s="125"/>
      <c r="O411" s="126"/>
      <c r="P411" s="125"/>
      <c r="Q411" s="128"/>
      <c r="R411" s="125"/>
      <c r="S411" s="110">
        <v>3</v>
      </c>
      <c r="T411" s="40">
        <f t="shared" si="76"/>
        <v>3277.44</v>
      </c>
      <c r="U411" s="39"/>
      <c r="V411" s="40"/>
      <c r="W411" s="39"/>
      <c r="X411" s="40"/>
      <c r="Y411" s="39"/>
      <c r="Z411" s="40"/>
      <c r="AA411" s="39"/>
      <c r="AB411" s="40"/>
      <c r="AC411" s="39"/>
      <c r="AD411" s="40"/>
      <c r="AE411" s="39"/>
      <c r="AF411" s="40"/>
      <c r="AG411" s="39"/>
      <c r="AH411" s="40"/>
      <c r="AI411" s="39"/>
      <c r="AJ411" s="40"/>
      <c r="AK411" s="39"/>
      <c r="AL411" s="40"/>
      <c r="AM411" s="39"/>
      <c r="AN411" s="40"/>
      <c r="AO411" s="39"/>
      <c r="AP411" s="40"/>
      <c r="AQ411" s="84">
        <f t="shared" si="75"/>
        <v>3</v>
      </c>
      <c r="AR411" s="80">
        <v>1092.48</v>
      </c>
      <c r="AS411" s="178">
        <f t="shared" si="77"/>
        <v>3277.44</v>
      </c>
    </row>
    <row r="412" spans="1:45" ht="28.5" hidden="1">
      <c r="A412" s="71">
        <v>386</v>
      </c>
      <c r="B412" s="37" t="s">
        <v>1014</v>
      </c>
      <c r="C412" s="53" t="s">
        <v>1250</v>
      </c>
      <c r="D412" s="37">
        <v>295</v>
      </c>
      <c r="E412" s="37" t="s">
        <v>1013</v>
      </c>
      <c r="F412" s="110" t="s">
        <v>968</v>
      </c>
      <c r="G412" s="125"/>
      <c r="H412" s="125"/>
      <c r="I412" s="125"/>
      <c r="J412" s="125"/>
      <c r="K412" s="126"/>
      <c r="L412" s="127"/>
      <c r="M412" s="128"/>
      <c r="N412" s="125"/>
      <c r="O412" s="126"/>
      <c r="P412" s="125"/>
      <c r="Q412" s="128"/>
      <c r="R412" s="125"/>
      <c r="S412" s="110">
        <v>3</v>
      </c>
      <c r="T412" s="40">
        <f t="shared" si="76"/>
        <v>3277.44</v>
      </c>
      <c r="U412" s="39"/>
      <c r="V412" s="40"/>
      <c r="W412" s="39"/>
      <c r="X412" s="40"/>
      <c r="Y412" s="39"/>
      <c r="Z412" s="40"/>
      <c r="AA412" s="39"/>
      <c r="AB412" s="40"/>
      <c r="AC412" s="39"/>
      <c r="AD412" s="40"/>
      <c r="AE412" s="39"/>
      <c r="AF412" s="40"/>
      <c r="AG412" s="39"/>
      <c r="AH412" s="40"/>
      <c r="AI412" s="39"/>
      <c r="AJ412" s="40"/>
      <c r="AK412" s="39"/>
      <c r="AL412" s="40"/>
      <c r="AM412" s="39"/>
      <c r="AN412" s="40"/>
      <c r="AO412" s="39"/>
      <c r="AP412" s="40"/>
      <c r="AQ412" s="84">
        <f t="shared" si="75"/>
        <v>3</v>
      </c>
      <c r="AR412" s="80">
        <v>1092.48</v>
      </c>
      <c r="AS412" s="178">
        <f t="shared" si="77"/>
        <v>3277.44</v>
      </c>
    </row>
    <row r="413" spans="1:45" ht="28.5" hidden="1">
      <c r="A413" s="67">
        <v>387</v>
      </c>
      <c r="B413" s="37" t="s">
        <v>1012</v>
      </c>
      <c r="C413" s="53" t="s">
        <v>1250</v>
      </c>
      <c r="D413" s="37">
        <v>295</v>
      </c>
      <c r="E413" s="37" t="s">
        <v>1011</v>
      </c>
      <c r="F413" s="110" t="s">
        <v>968</v>
      </c>
      <c r="G413" s="125"/>
      <c r="H413" s="125"/>
      <c r="I413" s="125"/>
      <c r="J413" s="125"/>
      <c r="K413" s="126"/>
      <c r="L413" s="127"/>
      <c r="M413" s="128"/>
      <c r="N413" s="125"/>
      <c r="O413" s="126"/>
      <c r="P413" s="125"/>
      <c r="Q413" s="128"/>
      <c r="R413" s="125"/>
      <c r="S413" s="110">
        <v>3</v>
      </c>
      <c r="T413" s="40">
        <f t="shared" si="76"/>
        <v>3277.44</v>
      </c>
      <c r="U413" s="39"/>
      <c r="V413" s="40"/>
      <c r="W413" s="39"/>
      <c r="X413" s="40"/>
      <c r="Y413" s="39"/>
      <c r="Z413" s="40"/>
      <c r="AA413" s="39"/>
      <c r="AB413" s="40"/>
      <c r="AC413" s="39"/>
      <c r="AD413" s="40"/>
      <c r="AE413" s="39"/>
      <c r="AF413" s="40"/>
      <c r="AG413" s="39"/>
      <c r="AH413" s="40"/>
      <c r="AI413" s="39"/>
      <c r="AJ413" s="40"/>
      <c r="AK413" s="39"/>
      <c r="AL413" s="40"/>
      <c r="AM413" s="39"/>
      <c r="AN413" s="40"/>
      <c r="AO413" s="39"/>
      <c r="AP413" s="40"/>
      <c r="AQ413" s="84">
        <f t="shared" si="75"/>
        <v>3</v>
      </c>
      <c r="AR413" s="80">
        <v>1092.48</v>
      </c>
      <c r="AS413" s="178">
        <f t="shared" si="77"/>
        <v>3277.44</v>
      </c>
    </row>
    <row r="414" spans="1:45" ht="28.5" hidden="1">
      <c r="A414" s="71">
        <v>388</v>
      </c>
      <c r="B414" s="37" t="s">
        <v>1010</v>
      </c>
      <c r="C414" s="53" t="s">
        <v>1250</v>
      </c>
      <c r="D414" s="37">
        <v>295</v>
      </c>
      <c r="E414" s="37" t="s">
        <v>1009</v>
      </c>
      <c r="F414" s="110" t="s">
        <v>968</v>
      </c>
      <c r="G414" s="125"/>
      <c r="H414" s="125"/>
      <c r="I414" s="125"/>
      <c r="J414" s="125"/>
      <c r="K414" s="126"/>
      <c r="L414" s="127"/>
      <c r="M414" s="128"/>
      <c r="N414" s="125"/>
      <c r="O414" s="126"/>
      <c r="P414" s="125"/>
      <c r="Q414" s="128"/>
      <c r="R414" s="125"/>
      <c r="S414" s="110">
        <v>3</v>
      </c>
      <c r="T414" s="40">
        <f t="shared" si="76"/>
        <v>3277.44</v>
      </c>
      <c r="U414" s="39"/>
      <c r="V414" s="40"/>
      <c r="W414" s="39"/>
      <c r="X414" s="40"/>
      <c r="Y414" s="39"/>
      <c r="Z414" s="40"/>
      <c r="AA414" s="39"/>
      <c r="AB414" s="40"/>
      <c r="AC414" s="39"/>
      <c r="AD414" s="40"/>
      <c r="AE414" s="39"/>
      <c r="AF414" s="40"/>
      <c r="AG414" s="39"/>
      <c r="AH414" s="40"/>
      <c r="AI414" s="39"/>
      <c r="AJ414" s="40"/>
      <c r="AK414" s="39"/>
      <c r="AL414" s="40"/>
      <c r="AM414" s="39"/>
      <c r="AN414" s="40"/>
      <c r="AO414" s="39"/>
      <c r="AP414" s="40"/>
      <c r="AQ414" s="84">
        <f t="shared" si="75"/>
        <v>3</v>
      </c>
      <c r="AR414" s="80">
        <v>1092.48</v>
      </c>
      <c r="AS414" s="178">
        <f t="shared" si="77"/>
        <v>3277.44</v>
      </c>
    </row>
    <row r="415" spans="1:45" ht="28.5" hidden="1">
      <c r="A415" s="67">
        <v>389</v>
      </c>
      <c r="B415" s="37" t="s">
        <v>1008</v>
      </c>
      <c r="C415" s="53" t="s">
        <v>1250</v>
      </c>
      <c r="D415" s="37">
        <v>295</v>
      </c>
      <c r="E415" s="37" t="s">
        <v>1007</v>
      </c>
      <c r="F415" s="110" t="s">
        <v>968</v>
      </c>
      <c r="G415" s="125"/>
      <c r="H415" s="125"/>
      <c r="I415" s="125"/>
      <c r="J415" s="125"/>
      <c r="K415" s="126"/>
      <c r="L415" s="127"/>
      <c r="M415" s="128"/>
      <c r="N415" s="125"/>
      <c r="O415" s="126"/>
      <c r="P415" s="125"/>
      <c r="Q415" s="128"/>
      <c r="R415" s="125"/>
      <c r="S415" s="110">
        <v>3</v>
      </c>
      <c r="T415" s="40">
        <f t="shared" si="76"/>
        <v>3277.44</v>
      </c>
      <c r="U415" s="39"/>
      <c r="V415" s="40"/>
      <c r="W415" s="39"/>
      <c r="X415" s="40"/>
      <c r="Y415" s="39"/>
      <c r="Z415" s="40"/>
      <c r="AA415" s="39"/>
      <c r="AB415" s="40"/>
      <c r="AC415" s="39"/>
      <c r="AD415" s="40"/>
      <c r="AE415" s="39"/>
      <c r="AF415" s="40"/>
      <c r="AG415" s="39"/>
      <c r="AH415" s="40"/>
      <c r="AI415" s="39"/>
      <c r="AJ415" s="40"/>
      <c r="AK415" s="39"/>
      <c r="AL415" s="40"/>
      <c r="AM415" s="39"/>
      <c r="AN415" s="40"/>
      <c r="AO415" s="39"/>
      <c r="AP415" s="40"/>
      <c r="AQ415" s="84">
        <f t="shared" si="75"/>
        <v>3</v>
      </c>
      <c r="AR415" s="80">
        <v>1092.48</v>
      </c>
      <c r="AS415" s="178">
        <f t="shared" si="77"/>
        <v>3277.44</v>
      </c>
    </row>
    <row r="416" spans="1:45" ht="28.5" hidden="1">
      <c r="A416" s="71">
        <v>390</v>
      </c>
      <c r="B416" s="37" t="s">
        <v>1006</v>
      </c>
      <c r="C416" s="53" t="s">
        <v>1250</v>
      </c>
      <c r="D416" s="37">
        <v>295</v>
      </c>
      <c r="E416" s="37" t="s">
        <v>1005</v>
      </c>
      <c r="F416" s="110" t="s">
        <v>968</v>
      </c>
      <c r="G416" s="125"/>
      <c r="H416" s="125"/>
      <c r="I416" s="125"/>
      <c r="J416" s="125"/>
      <c r="K416" s="126"/>
      <c r="L416" s="127"/>
      <c r="M416" s="128"/>
      <c r="N416" s="125"/>
      <c r="O416" s="126"/>
      <c r="P416" s="125"/>
      <c r="Q416" s="128"/>
      <c r="R416" s="125"/>
      <c r="S416" s="110">
        <v>3</v>
      </c>
      <c r="T416" s="40">
        <f t="shared" si="76"/>
        <v>3277.44</v>
      </c>
      <c r="U416" s="39"/>
      <c r="V416" s="40"/>
      <c r="W416" s="39"/>
      <c r="X416" s="40"/>
      <c r="Y416" s="39"/>
      <c r="Z416" s="40"/>
      <c r="AA416" s="39"/>
      <c r="AB416" s="40"/>
      <c r="AC416" s="39"/>
      <c r="AD416" s="40"/>
      <c r="AE416" s="39"/>
      <c r="AF416" s="40"/>
      <c r="AG416" s="39"/>
      <c r="AH416" s="40"/>
      <c r="AI416" s="39"/>
      <c r="AJ416" s="40"/>
      <c r="AK416" s="39"/>
      <c r="AL416" s="40"/>
      <c r="AM416" s="39"/>
      <c r="AN416" s="40"/>
      <c r="AO416" s="39"/>
      <c r="AP416" s="40"/>
      <c r="AQ416" s="84">
        <f t="shared" si="75"/>
        <v>3</v>
      </c>
      <c r="AR416" s="80">
        <v>1092.48</v>
      </c>
      <c r="AS416" s="178">
        <f t="shared" si="77"/>
        <v>3277.44</v>
      </c>
    </row>
    <row r="417" spans="1:45" ht="28.5" hidden="1">
      <c r="A417" s="67">
        <v>391</v>
      </c>
      <c r="B417" s="37" t="s">
        <v>1004</v>
      </c>
      <c r="C417" s="53" t="s">
        <v>1250</v>
      </c>
      <c r="D417" s="37">
        <v>295</v>
      </c>
      <c r="E417" s="37" t="s">
        <v>1003</v>
      </c>
      <c r="F417" s="110" t="s">
        <v>968</v>
      </c>
      <c r="G417" s="125"/>
      <c r="H417" s="125"/>
      <c r="I417" s="125"/>
      <c r="J417" s="125"/>
      <c r="K417" s="126"/>
      <c r="L417" s="127"/>
      <c r="M417" s="128"/>
      <c r="N417" s="125"/>
      <c r="O417" s="126"/>
      <c r="P417" s="125"/>
      <c r="Q417" s="128"/>
      <c r="R417" s="125"/>
      <c r="S417" s="110">
        <v>3</v>
      </c>
      <c r="T417" s="40">
        <f t="shared" si="76"/>
        <v>3277.44</v>
      </c>
      <c r="U417" s="39"/>
      <c r="V417" s="40"/>
      <c r="W417" s="39"/>
      <c r="X417" s="40"/>
      <c r="Y417" s="39"/>
      <c r="Z417" s="40"/>
      <c r="AA417" s="39"/>
      <c r="AB417" s="40"/>
      <c r="AC417" s="39"/>
      <c r="AD417" s="40"/>
      <c r="AE417" s="39"/>
      <c r="AF417" s="40"/>
      <c r="AG417" s="39"/>
      <c r="AH417" s="40"/>
      <c r="AI417" s="39"/>
      <c r="AJ417" s="40"/>
      <c r="AK417" s="39"/>
      <c r="AL417" s="40"/>
      <c r="AM417" s="39"/>
      <c r="AN417" s="40"/>
      <c r="AO417" s="39"/>
      <c r="AP417" s="40"/>
      <c r="AQ417" s="84">
        <f t="shared" si="75"/>
        <v>3</v>
      </c>
      <c r="AR417" s="80">
        <v>1092.48</v>
      </c>
      <c r="AS417" s="178">
        <f t="shared" si="77"/>
        <v>3277.44</v>
      </c>
    </row>
    <row r="418" spans="1:45" ht="28.5" hidden="1">
      <c r="A418" s="71">
        <v>392</v>
      </c>
      <c r="B418" s="37" t="s">
        <v>1002</v>
      </c>
      <c r="C418" s="53" t="s">
        <v>1250</v>
      </c>
      <c r="D418" s="37">
        <v>295</v>
      </c>
      <c r="E418" s="37" t="s">
        <v>1001</v>
      </c>
      <c r="F418" s="110" t="s">
        <v>968</v>
      </c>
      <c r="G418" s="125"/>
      <c r="H418" s="125"/>
      <c r="I418" s="125"/>
      <c r="J418" s="125"/>
      <c r="K418" s="126"/>
      <c r="L418" s="127"/>
      <c r="M418" s="128"/>
      <c r="N418" s="125"/>
      <c r="O418" s="126"/>
      <c r="P418" s="125"/>
      <c r="Q418" s="128"/>
      <c r="R418" s="125"/>
      <c r="S418" s="110">
        <v>3</v>
      </c>
      <c r="T418" s="40">
        <f t="shared" si="76"/>
        <v>3277.44</v>
      </c>
      <c r="U418" s="39"/>
      <c r="V418" s="40"/>
      <c r="W418" s="39"/>
      <c r="X418" s="40"/>
      <c r="Y418" s="39"/>
      <c r="Z418" s="40"/>
      <c r="AA418" s="39"/>
      <c r="AB418" s="40"/>
      <c r="AC418" s="39"/>
      <c r="AD418" s="40"/>
      <c r="AE418" s="39"/>
      <c r="AF418" s="40"/>
      <c r="AG418" s="39"/>
      <c r="AH418" s="40"/>
      <c r="AI418" s="39"/>
      <c r="AJ418" s="40"/>
      <c r="AK418" s="39"/>
      <c r="AL418" s="40"/>
      <c r="AM418" s="39"/>
      <c r="AN418" s="40"/>
      <c r="AO418" s="39"/>
      <c r="AP418" s="40"/>
      <c r="AQ418" s="84">
        <f t="shared" si="75"/>
        <v>3</v>
      </c>
      <c r="AR418" s="80">
        <v>1092.48</v>
      </c>
      <c r="AS418" s="178">
        <f t="shared" si="77"/>
        <v>3277.44</v>
      </c>
    </row>
    <row r="419" spans="1:45" ht="28.5" hidden="1">
      <c r="A419" s="67">
        <v>393</v>
      </c>
      <c r="B419" s="37" t="s">
        <v>1000</v>
      </c>
      <c r="C419" s="53" t="s">
        <v>1250</v>
      </c>
      <c r="D419" s="37">
        <v>295</v>
      </c>
      <c r="E419" s="37" t="s">
        <v>999</v>
      </c>
      <c r="F419" s="110" t="s">
        <v>968</v>
      </c>
      <c r="G419" s="125"/>
      <c r="H419" s="125"/>
      <c r="I419" s="125"/>
      <c r="J419" s="125"/>
      <c r="K419" s="126"/>
      <c r="L419" s="127"/>
      <c r="M419" s="128"/>
      <c r="N419" s="125"/>
      <c r="O419" s="126"/>
      <c r="P419" s="125"/>
      <c r="Q419" s="128"/>
      <c r="R419" s="125"/>
      <c r="S419" s="110">
        <v>3</v>
      </c>
      <c r="T419" s="40">
        <f t="shared" si="76"/>
        <v>3277.44</v>
      </c>
      <c r="U419" s="39"/>
      <c r="V419" s="40"/>
      <c r="W419" s="39"/>
      <c r="X419" s="40"/>
      <c r="Y419" s="39"/>
      <c r="Z419" s="40"/>
      <c r="AA419" s="39"/>
      <c r="AB419" s="40"/>
      <c r="AC419" s="39"/>
      <c r="AD419" s="40"/>
      <c r="AE419" s="39"/>
      <c r="AF419" s="40"/>
      <c r="AG419" s="39"/>
      <c r="AH419" s="40"/>
      <c r="AI419" s="39"/>
      <c r="AJ419" s="40"/>
      <c r="AK419" s="39"/>
      <c r="AL419" s="40"/>
      <c r="AM419" s="39"/>
      <c r="AN419" s="40"/>
      <c r="AO419" s="39"/>
      <c r="AP419" s="40"/>
      <c r="AQ419" s="84">
        <f t="shared" ref="AQ419:AQ482" si="78">+AO419+AM419+AK419+AI419+AG419+AE419+AC419+AA419+Y419+W419+U419+S419+Q419+O419+M419+K419+I419+G419</f>
        <v>3</v>
      </c>
      <c r="AR419" s="80">
        <v>1092.48</v>
      </c>
      <c r="AS419" s="178">
        <f t="shared" si="77"/>
        <v>3277.44</v>
      </c>
    </row>
    <row r="420" spans="1:45" ht="28.5" hidden="1">
      <c r="A420" s="71">
        <v>394</v>
      </c>
      <c r="B420" s="37" t="s">
        <v>998</v>
      </c>
      <c r="C420" s="53" t="s">
        <v>1250</v>
      </c>
      <c r="D420" s="37">
        <v>295</v>
      </c>
      <c r="E420" s="37" t="s">
        <v>997</v>
      </c>
      <c r="F420" s="110" t="s">
        <v>968</v>
      </c>
      <c r="G420" s="125"/>
      <c r="H420" s="125"/>
      <c r="I420" s="125"/>
      <c r="J420" s="125"/>
      <c r="K420" s="126"/>
      <c r="L420" s="127"/>
      <c r="M420" s="128"/>
      <c r="N420" s="125"/>
      <c r="O420" s="126"/>
      <c r="P420" s="125"/>
      <c r="Q420" s="128"/>
      <c r="R420" s="125"/>
      <c r="S420" s="110">
        <v>3</v>
      </c>
      <c r="T420" s="40">
        <f t="shared" si="76"/>
        <v>3277.44</v>
      </c>
      <c r="U420" s="39"/>
      <c r="V420" s="40"/>
      <c r="W420" s="39"/>
      <c r="X420" s="40"/>
      <c r="Y420" s="39"/>
      <c r="Z420" s="40"/>
      <c r="AA420" s="39"/>
      <c r="AB420" s="40"/>
      <c r="AC420" s="39"/>
      <c r="AD420" s="40"/>
      <c r="AE420" s="39"/>
      <c r="AF420" s="40"/>
      <c r="AG420" s="39"/>
      <c r="AH420" s="40"/>
      <c r="AI420" s="39"/>
      <c r="AJ420" s="40"/>
      <c r="AK420" s="39"/>
      <c r="AL420" s="40"/>
      <c r="AM420" s="39"/>
      <c r="AN420" s="40"/>
      <c r="AO420" s="39"/>
      <c r="AP420" s="40"/>
      <c r="AQ420" s="84">
        <f t="shared" si="78"/>
        <v>3</v>
      </c>
      <c r="AR420" s="80">
        <v>1092.48</v>
      </c>
      <c r="AS420" s="178">
        <f t="shared" si="77"/>
        <v>3277.44</v>
      </c>
    </row>
    <row r="421" spans="1:45" ht="28.5" hidden="1">
      <c r="A421" s="67">
        <v>395</v>
      </c>
      <c r="B421" s="37" t="s">
        <v>996</v>
      </c>
      <c r="C421" s="53" t="s">
        <v>1250</v>
      </c>
      <c r="D421" s="37">
        <v>295</v>
      </c>
      <c r="E421" s="37" t="s">
        <v>995</v>
      </c>
      <c r="F421" s="110" t="s">
        <v>968</v>
      </c>
      <c r="G421" s="125"/>
      <c r="H421" s="125"/>
      <c r="I421" s="125"/>
      <c r="J421" s="125"/>
      <c r="K421" s="126"/>
      <c r="L421" s="127"/>
      <c r="M421" s="128"/>
      <c r="N421" s="125"/>
      <c r="O421" s="126"/>
      <c r="P421" s="125"/>
      <c r="Q421" s="128"/>
      <c r="R421" s="125"/>
      <c r="S421" s="110">
        <v>3</v>
      </c>
      <c r="T421" s="40">
        <f t="shared" si="76"/>
        <v>3277.44</v>
      </c>
      <c r="U421" s="39"/>
      <c r="V421" s="40"/>
      <c r="W421" s="39"/>
      <c r="X421" s="40"/>
      <c r="Y421" s="39"/>
      <c r="Z421" s="40"/>
      <c r="AA421" s="39"/>
      <c r="AB421" s="40"/>
      <c r="AC421" s="39"/>
      <c r="AD421" s="40"/>
      <c r="AE421" s="39"/>
      <c r="AF421" s="40"/>
      <c r="AG421" s="39"/>
      <c r="AH421" s="40"/>
      <c r="AI421" s="39"/>
      <c r="AJ421" s="40"/>
      <c r="AK421" s="39"/>
      <c r="AL421" s="40"/>
      <c r="AM421" s="39"/>
      <c r="AN421" s="40"/>
      <c r="AO421" s="39"/>
      <c r="AP421" s="40"/>
      <c r="AQ421" s="84">
        <f t="shared" si="78"/>
        <v>3</v>
      </c>
      <c r="AR421" s="80">
        <v>1092.48</v>
      </c>
      <c r="AS421" s="178">
        <f t="shared" si="77"/>
        <v>3277.44</v>
      </c>
    </row>
    <row r="422" spans="1:45" ht="28.5" hidden="1">
      <c r="A422" s="71">
        <v>396</v>
      </c>
      <c r="B422" s="37" t="s">
        <v>994</v>
      </c>
      <c r="C422" s="53" t="s">
        <v>1250</v>
      </c>
      <c r="D422" s="37">
        <v>295</v>
      </c>
      <c r="E422" s="37" t="s">
        <v>993</v>
      </c>
      <c r="F422" s="110" t="s">
        <v>968</v>
      </c>
      <c r="G422" s="125"/>
      <c r="H422" s="125"/>
      <c r="I422" s="125"/>
      <c r="J422" s="125"/>
      <c r="K422" s="126"/>
      <c r="L422" s="127"/>
      <c r="M422" s="128"/>
      <c r="N422" s="125"/>
      <c r="O422" s="126"/>
      <c r="P422" s="125"/>
      <c r="Q422" s="128"/>
      <c r="R422" s="125"/>
      <c r="S422" s="110">
        <v>3</v>
      </c>
      <c r="T422" s="40">
        <f t="shared" si="76"/>
        <v>3277.44</v>
      </c>
      <c r="U422" s="39"/>
      <c r="V422" s="40"/>
      <c r="W422" s="39"/>
      <c r="X422" s="40"/>
      <c r="Y422" s="39"/>
      <c r="Z422" s="40"/>
      <c r="AA422" s="39"/>
      <c r="AB422" s="40"/>
      <c r="AC422" s="39"/>
      <c r="AD422" s="40"/>
      <c r="AE422" s="39"/>
      <c r="AF422" s="40"/>
      <c r="AG422" s="39"/>
      <c r="AH422" s="40"/>
      <c r="AI422" s="39"/>
      <c r="AJ422" s="40"/>
      <c r="AK422" s="39"/>
      <c r="AL422" s="40"/>
      <c r="AM422" s="39"/>
      <c r="AN422" s="40"/>
      <c r="AO422" s="39"/>
      <c r="AP422" s="40"/>
      <c r="AQ422" s="84">
        <f t="shared" si="78"/>
        <v>3</v>
      </c>
      <c r="AR422" s="80">
        <v>1092.48</v>
      </c>
      <c r="AS422" s="178">
        <f t="shared" si="77"/>
        <v>3277.44</v>
      </c>
    </row>
    <row r="423" spans="1:45" ht="28.5" hidden="1">
      <c r="A423" s="67">
        <v>397</v>
      </c>
      <c r="B423" s="37" t="s">
        <v>992</v>
      </c>
      <c r="C423" s="53" t="s">
        <v>1250</v>
      </c>
      <c r="D423" s="37">
        <v>295</v>
      </c>
      <c r="E423" s="37" t="s">
        <v>991</v>
      </c>
      <c r="F423" s="110" t="s">
        <v>968</v>
      </c>
      <c r="G423" s="125"/>
      <c r="H423" s="125"/>
      <c r="I423" s="125"/>
      <c r="J423" s="125"/>
      <c r="K423" s="126"/>
      <c r="L423" s="127"/>
      <c r="M423" s="128"/>
      <c r="N423" s="125"/>
      <c r="O423" s="126"/>
      <c r="P423" s="125"/>
      <c r="Q423" s="128"/>
      <c r="R423" s="125"/>
      <c r="S423" s="110">
        <v>3</v>
      </c>
      <c r="T423" s="40">
        <f t="shared" si="76"/>
        <v>3277.44</v>
      </c>
      <c r="U423" s="39"/>
      <c r="V423" s="40"/>
      <c r="W423" s="39"/>
      <c r="X423" s="40"/>
      <c r="Y423" s="39"/>
      <c r="Z423" s="40"/>
      <c r="AA423" s="39"/>
      <c r="AB423" s="40"/>
      <c r="AC423" s="39"/>
      <c r="AD423" s="40"/>
      <c r="AE423" s="39"/>
      <c r="AF423" s="40"/>
      <c r="AG423" s="39"/>
      <c r="AH423" s="40"/>
      <c r="AI423" s="39"/>
      <c r="AJ423" s="40"/>
      <c r="AK423" s="39"/>
      <c r="AL423" s="40"/>
      <c r="AM423" s="39"/>
      <c r="AN423" s="40"/>
      <c r="AO423" s="39"/>
      <c r="AP423" s="40"/>
      <c r="AQ423" s="84">
        <f t="shared" si="78"/>
        <v>3</v>
      </c>
      <c r="AR423" s="80">
        <v>1092.48</v>
      </c>
      <c r="AS423" s="178">
        <f t="shared" si="77"/>
        <v>3277.44</v>
      </c>
    </row>
    <row r="424" spans="1:45" ht="28.5" hidden="1">
      <c r="A424" s="71">
        <v>398</v>
      </c>
      <c r="B424" s="37" t="s">
        <v>990</v>
      </c>
      <c r="C424" s="53" t="s">
        <v>1250</v>
      </c>
      <c r="D424" s="37">
        <v>295</v>
      </c>
      <c r="E424" s="37" t="s">
        <v>989</v>
      </c>
      <c r="F424" s="110" t="s">
        <v>968</v>
      </c>
      <c r="G424" s="125"/>
      <c r="H424" s="125"/>
      <c r="I424" s="125"/>
      <c r="J424" s="125"/>
      <c r="K424" s="126"/>
      <c r="L424" s="127"/>
      <c r="M424" s="128"/>
      <c r="N424" s="125"/>
      <c r="O424" s="126"/>
      <c r="P424" s="125"/>
      <c r="Q424" s="128"/>
      <c r="R424" s="125"/>
      <c r="S424" s="110">
        <v>3</v>
      </c>
      <c r="T424" s="40">
        <f t="shared" si="76"/>
        <v>3277.44</v>
      </c>
      <c r="U424" s="39"/>
      <c r="V424" s="40"/>
      <c r="W424" s="39"/>
      <c r="X424" s="40"/>
      <c r="Y424" s="39"/>
      <c r="Z424" s="40"/>
      <c r="AA424" s="39"/>
      <c r="AB424" s="40"/>
      <c r="AC424" s="39"/>
      <c r="AD424" s="40"/>
      <c r="AE424" s="39"/>
      <c r="AF424" s="40"/>
      <c r="AG424" s="39"/>
      <c r="AH424" s="40"/>
      <c r="AI424" s="39"/>
      <c r="AJ424" s="40"/>
      <c r="AK424" s="39"/>
      <c r="AL424" s="40"/>
      <c r="AM424" s="39"/>
      <c r="AN424" s="40"/>
      <c r="AO424" s="39"/>
      <c r="AP424" s="40"/>
      <c r="AQ424" s="84">
        <f t="shared" si="78"/>
        <v>3</v>
      </c>
      <c r="AR424" s="80">
        <v>1092.48</v>
      </c>
      <c r="AS424" s="178">
        <f t="shared" si="77"/>
        <v>3277.44</v>
      </c>
    </row>
    <row r="425" spans="1:45" ht="28.5" hidden="1">
      <c r="A425" s="67">
        <v>399</v>
      </c>
      <c r="B425" s="37" t="s">
        <v>988</v>
      </c>
      <c r="C425" s="53" t="s">
        <v>1250</v>
      </c>
      <c r="D425" s="37">
        <v>295</v>
      </c>
      <c r="E425" s="37" t="s">
        <v>987</v>
      </c>
      <c r="F425" s="110" t="s">
        <v>968</v>
      </c>
      <c r="G425" s="125"/>
      <c r="H425" s="125"/>
      <c r="I425" s="125"/>
      <c r="J425" s="125"/>
      <c r="K425" s="126"/>
      <c r="L425" s="127"/>
      <c r="M425" s="128"/>
      <c r="N425" s="125"/>
      <c r="O425" s="126"/>
      <c r="P425" s="125"/>
      <c r="Q425" s="128"/>
      <c r="R425" s="125"/>
      <c r="S425" s="110">
        <v>3</v>
      </c>
      <c r="T425" s="40">
        <f t="shared" si="76"/>
        <v>3277.44</v>
      </c>
      <c r="U425" s="39"/>
      <c r="V425" s="40"/>
      <c r="W425" s="39"/>
      <c r="X425" s="40"/>
      <c r="Y425" s="39"/>
      <c r="Z425" s="40"/>
      <c r="AA425" s="39"/>
      <c r="AB425" s="40"/>
      <c r="AC425" s="39"/>
      <c r="AD425" s="40"/>
      <c r="AE425" s="39"/>
      <c r="AF425" s="40"/>
      <c r="AG425" s="39"/>
      <c r="AH425" s="40"/>
      <c r="AI425" s="39"/>
      <c r="AJ425" s="40"/>
      <c r="AK425" s="39"/>
      <c r="AL425" s="40"/>
      <c r="AM425" s="39"/>
      <c r="AN425" s="40"/>
      <c r="AO425" s="39"/>
      <c r="AP425" s="40"/>
      <c r="AQ425" s="84">
        <f t="shared" si="78"/>
        <v>3</v>
      </c>
      <c r="AR425" s="80">
        <v>1092.48</v>
      </c>
      <c r="AS425" s="178">
        <f t="shared" si="77"/>
        <v>3277.44</v>
      </c>
    </row>
    <row r="426" spans="1:45" ht="28.5" hidden="1">
      <c r="A426" s="71">
        <v>400</v>
      </c>
      <c r="B426" s="37" t="s">
        <v>986</v>
      </c>
      <c r="C426" s="53" t="s">
        <v>1250</v>
      </c>
      <c r="D426" s="37">
        <v>295</v>
      </c>
      <c r="E426" s="37" t="s">
        <v>985</v>
      </c>
      <c r="F426" s="110" t="s">
        <v>968</v>
      </c>
      <c r="G426" s="125"/>
      <c r="H426" s="125"/>
      <c r="I426" s="125"/>
      <c r="J426" s="125"/>
      <c r="K426" s="126"/>
      <c r="L426" s="127"/>
      <c r="M426" s="128"/>
      <c r="N426" s="125"/>
      <c r="O426" s="126"/>
      <c r="P426" s="125"/>
      <c r="Q426" s="128"/>
      <c r="R426" s="125"/>
      <c r="S426" s="110">
        <v>3</v>
      </c>
      <c r="T426" s="40">
        <f t="shared" si="76"/>
        <v>3277.44</v>
      </c>
      <c r="U426" s="39"/>
      <c r="V426" s="40"/>
      <c r="W426" s="39"/>
      <c r="X426" s="40"/>
      <c r="Y426" s="39"/>
      <c r="Z426" s="40"/>
      <c r="AA426" s="39"/>
      <c r="AB426" s="40"/>
      <c r="AC426" s="39"/>
      <c r="AD426" s="40"/>
      <c r="AE426" s="39"/>
      <c r="AF426" s="40"/>
      <c r="AG426" s="39"/>
      <c r="AH426" s="40"/>
      <c r="AI426" s="39"/>
      <c r="AJ426" s="40"/>
      <c r="AK426" s="39"/>
      <c r="AL426" s="40"/>
      <c r="AM426" s="39"/>
      <c r="AN426" s="40"/>
      <c r="AO426" s="39"/>
      <c r="AP426" s="40"/>
      <c r="AQ426" s="84">
        <f t="shared" si="78"/>
        <v>3</v>
      </c>
      <c r="AR426" s="80">
        <v>1092.48</v>
      </c>
      <c r="AS426" s="178">
        <f t="shared" si="77"/>
        <v>3277.44</v>
      </c>
    </row>
    <row r="427" spans="1:45" ht="28.5" hidden="1">
      <c r="A427" s="67">
        <v>401</v>
      </c>
      <c r="B427" s="37" t="s">
        <v>984</v>
      </c>
      <c r="C427" s="53" t="s">
        <v>1250</v>
      </c>
      <c r="D427" s="37">
        <v>295</v>
      </c>
      <c r="E427" s="37" t="s">
        <v>983</v>
      </c>
      <c r="F427" s="110" t="s">
        <v>968</v>
      </c>
      <c r="G427" s="125"/>
      <c r="H427" s="125"/>
      <c r="I427" s="125"/>
      <c r="J427" s="125"/>
      <c r="K427" s="126"/>
      <c r="L427" s="127"/>
      <c r="M427" s="128"/>
      <c r="N427" s="125"/>
      <c r="O427" s="126"/>
      <c r="P427" s="125"/>
      <c r="Q427" s="128"/>
      <c r="R427" s="125"/>
      <c r="S427" s="110">
        <v>3</v>
      </c>
      <c r="T427" s="40">
        <f t="shared" si="76"/>
        <v>3277.44</v>
      </c>
      <c r="U427" s="39"/>
      <c r="V427" s="40"/>
      <c r="W427" s="39"/>
      <c r="X427" s="40"/>
      <c r="Y427" s="39"/>
      <c r="Z427" s="40"/>
      <c r="AA427" s="39"/>
      <c r="AB427" s="40"/>
      <c r="AC427" s="39"/>
      <c r="AD427" s="40"/>
      <c r="AE427" s="39"/>
      <c r="AF427" s="40"/>
      <c r="AG427" s="39"/>
      <c r="AH427" s="40"/>
      <c r="AI427" s="39"/>
      <c r="AJ427" s="40"/>
      <c r="AK427" s="39"/>
      <c r="AL427" s="40"/>
      <c r="AM427" s="39"/>
      <c r="AN427" s="40"/>
      <c r="AO427" s="39"/>
      <c r="AP427" s="40"/>
      <c r="AQ427" s="84">
        <f t="shared" si="78"/>
        <v>3</v>
      </c>
      <c r="AR427" s="80">
        <v>1092.48</v>
      </c>
      <c r="AS427" s="178">
        <f t="shared" si="77"/>
        <v>3277.44</v>
      </c>
    </row>
    <row r="428" spans="1:45" ht="28.5" hidden="1">
      <c r="A428" s="71">
        <v>402</v>
      </c>
      <c r="B428" s="37" t="s">
        <v>982</v>
      </c>
      <c r="C428" s="53" t="s">
        <v>1250</v>
      </c>
      <c r="D428" s="37">
        <v>295</v>
      </c>
      <c r="E428" s="37" t="s">
        <v>981</v>
      </c>
      <c r="F428" s="110" t="s">
        <v>968</v>
      </c>
      <c r="G428" s="125"/>
      <c r="H428" s="125"/>
      <c r="I428" s="125"/>
      <c r="J428" s="125"/>
      <c r="K428" s="126"/>
      <c r="L428" s="127"/>
      <c r="M428" s="128"/>
      <c r="N428" s="125"/>
      <c r="O428" s="126"/>
      <c r="P428" s="125"/>
      <c r="Q428" s="128"/>
      <c r="R428" s="125"/>
      <c r="S428" s="110">
        <v>3</v>
      </c>
      <c r="T428" s="40">
        <f t="shared" si="76"/>
        <v>3277.44</v>
      </c>
      <c r="U428" s="39"/>
      <c r="V428" s="40"/>
      <c r="W428" s="39"/>
      <c r="X428" s="40"/>
      <c r="Y428" s="39"/>
      <c r="Z428" s="40"/>
      <c r="AA428" s="39"/>
      <c r="AB428" s="40"/>
      <c r="AC428" s="39"/>
      <c r="AD428" s="40"/>
      <c r="AE428" s="39"/>
      <c r="AF428" s="40"/>
      <c r="AG428" s="39"/>
      <c r="AH428" s="40"/>
      <c r="AI428" s="39"/>
      <c r="AJ428" s="40"/>
      <c r="AK428" s="39"/>
      <c r="AL428" s="40"/>
      <c r="AM428" s="39"/>
      <c r="AN428" s="40"/>
      <c r="AO428" s="39"/>
      <c r="AP428" s="40"/>
      <c r="AQ428" s="84">
        <f t="shared" si="78"/>
        <v>3</v>
      </c>
      <c r="AR428" s="80">
        <v>1092.48</v>
      </c>
      <c r="AS428" s="178">
        <f t="shared" si="77"/>
        <v>3277.44</v>
      </c>
    </row>
    <row r="429" spans="1:45" ht="28.5" hidden="1">
      <c r="A429" s="67">
        <v>403</v>
      </c>
      <c r="B429" s="37" t="s">
        <v>980</v>
      </c>
      <c r="C429" s="53" t="s">
        <v>1250</v>
      </c>
      <c r="D429" s="37">
        <v>295</v>
      </c>
      <c r="E429" s="37" t="s">
        <v>979</v>
      </c>
      <c r="F429" s="110" t="s">
        <v>968</v>
      </c>
      <c r="G429" s="125"/>
      <c r="H429" s="125"/>
      <c r="I429" s="125"/>
      <c r="J429" s="125"/>
      <c r="K429" s="126"/>
      <c r="L429" s="127"/>
      <c r="M429" s="128"/>
      <c r="N429" s="125"/>
      <c r="O429" s="126"/>
      <c r="P429" s="125"/>
      <c r="Q429" s="128"/>
      <c r="R429" s="125"/>
      <c r="S429" s="110">
        <v>3</v>
      </c>
      <c r="T429" s="40">
        <f t="shared" si="76"/>
        <v>3277.44</v>
      </c>
      <c r="U429" s="39"/>
      <c r="V429" s="40"/>
      <c r="W429" s="39"/>
      <c r="X429" s="40"/>
      <c r="Y429" s="39"/>
      <c r="Z429" s="40"/>
      <c r="AA429" s="39"/>
      <c r="AB429" s="40"/>
      <c r="AC429" s="39"/>
      <c r="AD429" s="40"/>
      <c r="AE429" s="39"/>
      <c r="AF429" s="40"/>
      <c r="AG429" s="39"/>
      <c r="AH429" s="40"/>
      <c r="AI429" s="39"/>
      <c r="AJ429" s="40"/>
      <c r="AK429" s="39"/>
      <c r="AL429" s="40"/>
      <c r="AM429" s="39"/>
      <c r="AN429" s="40"/>
      <c r="AO429" s="39"/>
      <c r="AP429" s="40"/>
      <c r="AQ429" s="84">
        <f t="shared" si="78"/>
        <v>3</v>
      </c>
      <c r="AR429" s="80">
        <v>1092.48</v>
      </c>
      <c r="AS429" s="178">
        <f t="shared" si="77"/>
        <v>3277.44</v>
      </c>
    </row>
    <row r="430" spans="1:45" ht="28.5" hidden="1">
      <c r="A430" s="71">
        <v>404</v>
      </c>
      <c r="B430" s="37" t="s">
        <v>978</v>
      </c>
      <c r="C430" s="53" t="s">
        <v>1250</v>
      </c>
      <c r="D430" s="37">
        <v>295</v>
      </c>
      <c r="E430" s="37" t="s">
        <v>977</v>
      </c>
      <c r="F430" s="110" t="s">
        <v>968</v>
      </c>
      <c r="G430" s="125"/>
      <c r="H430" s="125"/>
      <c r="I430" s="125"/>
      <c r="J430" s="125"/>
      <c r="K430" s="126"/>
      <c r="L430" s="127"/>
      <c r="M430" s="128"/>
      <c r="N430" s="125"/>
      <c r="O430" s="126"/>
      <c r="P430" s="125"/>
      <c r="Q430" s="128"/>
      <c r="R430" s="125"/>
      <c r="S430" s="110">
        <v>3</v>
      </c>
      <c r="T430" s="40">
        <f t="shared" si="76"/>
        <v>3277.44</v>
      </c>
      <c r="U430" s="39"/>
      <c r="V430" s="40"/>
      <c r="W430" s="39"/>
      <c r="X430" s="40"/>
      <c r="Y430" s="39"/>
      <c r="Z430" s="40"/>
      <c r="AA430" s="39"/>
      <c r="AB430" s="40"/>
      <c r="AC430" s="39"/>
      <c r="AD430" s="40"/>
      <c r="AE430" s="39"/>
      <c r="AF430" s="40"/>
      <c r="AG430" s="39"/>
      <c r="AH430" s="40"/>
      <c r="AI430" s="39"/>
      <c r="AJ430" s="40"/>
      <c r="AK430" s="39"/>
      <c r="AL430" s="40"/>
      <c r="AM430" s="39"/>
      <c r="AN430" s="40"/>
      <c r="AO430" s="39"/>
      <c r="AP430" s="40"/>
      <c r="AQ430" s="84">
        <f t="shared" si="78"/>
        <v>3</v>
      </c>
      <c r="AR430" s="80">
        <v>1092.48</v>
      </c>
      <c r="AS430" s="178">
        <f t="shared" si="77"/>
        <v>3277.44</v>
      </c>
    </row>
    <row r="431" spans="1:45" ht="28.5" hidden="1">
      <c r="A431" s="67">
        <v>405</v>
      </c>
      <c r="B431" s="37" t="s">
        <v>976</v>
      </c>
      <c r="C431" s="53" t="s">
        <v>1250</v>
      </c>
      <c r="D431" s="37">
        <v>295</v>
      </c>
      <c r="E431" s="37" t="s">
        <v>975</v>
      </c>
      <c r="F431" s="110" t="s">
        <v>968</v>
      </c>
      <c r="G431" s="125"/>
      <c r="H431" s="125"/>
      <c r="I431" s="125"/>
      <c r="J431" s="125"/>
      <c r="K431" s="126"/>
      <c r="L431" s="127"/>
      <c r="M431" s="128"/>
      <c r="N431" s="125"/>
      <c r="O431" s="126"/>
      <c r="P431" s="125"/>
      <c r="Q431" s="128"/>
      <c r="R431" s="125"/>
      <c r="S431" s="110">
        <v>3</v>
      </c>
      <c r="T431" s="40">
        <f t="shared" si="76"/>
        <v>703.43999999999994</v>
      </c>
      <c r="U431" s="39"/>
      <c r="V431" s="40"/>
      <c r="W431" s="39"/>
      <c r="X431" s="40"/>
      <c r="Y431" s="39"/>
      <c r="Z431" s="40"/>
      <c r="AA431" s="39"/>
      <c r="AB431" s="40"/>
      <c r="AC431" s="39"/>
      <c r="AD431" s="40"/>
      <c r="AE431" s="39"/>
      <c r="AF431" s="40"/>
      <c r="AG431" s="39"/>
      <c r="AH431" s="40"/>
      <c r="AI431" s="39"/>
      <c r="AJ431" s="40"/>
      <c r="AK431" s="39"/>
      <c r="AL431" s="40"/>
      <c r="AM431" s="39"/>
      <c r="AN431" s="40"/>
      <c r="AO431" s="39"/>
      <c r="AP431" s="40"/>
      <c r="AQ431" s="84">
        <f t="shared" si="78"/>
        <v>3</v>
      </c>
      <c r="AR431" s="80">
        <v>234.48</v>
      </c>
      <c r="AS431" s="178">
        <f t="shared" si="77"/>
        <v>703.43999999999994</v>
      </c>
    </row>
    <row r="432" spans="1:45" ht="28.5" hidden="1">
      <c r="A432" s="71">
        <v>406</v>
      </c>
      <c r="B432" s="37" t="s">
        <v>974</v>
      </c>
      <c r="C432" s="53" t="s">
        <v>1250</v>
      </c>
      <c r="D432" s="37">
        <v>295</v>
      </c>
      <c r="E432" s="37" t="s">
        <v>973</v>
      </c>
      <c r="F432" s="110" t="s">
        <v>968</v>
      </c>
      <c r="G432" s="125"/>
      <c r="H432" s="125"/>
      <c r="I432" s="125"/>
      <c r="J432" s="125"/>
      <c r="K432" s="126"/>
      <c r="L432" s="127"/>
      <c r="M432" s="128"/>
      <c r="N432" s="125"/>
      <c r="O432" s="126"/>
      <c r="P432" s="125"/>
      <c r="Q432" s="128"/>
      <c r="R432" s="125"/>
      <c r="S432" s="110">
        <v>3</v>
      </c>
      <c r="T432" s="40">
        <f t="shared" si="76"/>
        <v>703.43999999999994</v>
      </c>
      <c r="U432" s="39"/>
      <c r="V432" s="40"/>
      <c r="W432" s="39"/>
      <c r="X432" s="40"/>
      <c r="Y432" s="39"/>
      <c r="Z432" s="40"/>
      <c r="AA432" s="39"/>
      <c r="AB432" s="40"/>
      <c r="AC432" s="39"/>
      <c r="AD432" s="40"/>
      <c r="AE432" s="39"/>
      <c r="AF432" s="40"/>
      <c r="AG432" s="39"/>
      <c r="AH432" s="40"/>
      <c r="AI432" s="39"/>
      <c r="AJ432" s="40"/>
      <c r="AK432" s="39"/>
      <c r="AL432" s="40"/>
      <c r="AM432" s="39"/>
      <c r="AN432" s="40"/>
      <c r="AO432" s="39"/>
      <c r="AP432" s="40"/>
      <c r="AQ432" s="84">
        <f t="shared" si="78"/>
        <v>3</v>
      </c>
      <c r="AR432" s="80">
        <v>234.48</v>
      </c>
      <c r="AS432" s="178">
        <f t="shared" si="77"/>
        <v>703.43999999999994</v>
      </c>
    </row>
    <row r="433" spans="1:45" ht="28.5" hidden="1">
      <c r="A433" s="67">
        <v>407</v>
      </c>
      <c r="B433" s="37" t="s">
        <v>972</v>
      </c>
      <c r="C433" s="53" t="s">
        <v>1250</v>
      </c>
      <c r="D433" s="37">
        <v>295</v>
      </c>
      <c r="E433" s="37" t="s">
        <v>971</v>
      </c>
      <c r="F433" s="110" t="s">
        <v>968</v>
      </c>
      <c r="G433" s="125"/>
      <c r="H433" s="125"/>
      <c r="I433" s="125"/>
      <c r="J433" s="125"/>
      <c r="K433" s="126"/>
      <c r="L433" s="127"/>
      <c r="M433" s="128"/>
      <c r="N433" s="125"/>
      <c r="O433" s="126"/>
      <c r="P433" s="125"/>
      <c r="Q433" s="128"/>
      <c r="R433" s="125"/>
      <c r="S433" s="110">
        <v>3</v>
      </c>
      <c r="T433" s="40">
        <f t="shared" ref="T433:T496" si="79">+S433*AR433</f>
        <v>703.43999999999994</v>
      </c>
      <c r="U433" s="39"/>
      <c r="V433" s="40"/>
      <c r="W433" s="39"/>
      <c r="X433" s="40"/>
      <c r="Y433" s="39"/>
      <c r="Z433" s="40"/>
      <c r="AA433" s="39"/>
      <c r="AB433" s="40"/>
      <c r="AC433" s="39"/>
      <c r="AD433" s="40"/>
      <c r="AE433" s="39"/>
      <c r="AF433" s="40"/>
      <c r="AG433" s="39"/>
      <c r="AH433" s="40"/>
      <c r="AI433" s="39"/>
      <c r="AJ433" s="40"/>
      <c r="AK433" s="39"/>
      <c r="AL433" s="40"/>
      <c r="AM433" s="39"/>
      <c r="AN433" s="40"/>
      <c r="AO433" s="39"/>
      <c r="AP433" s="40"/>
      <c r="AQ433" s="84">
        <f t="shared" si="78"/>
        <v>3</v>
      </c>
      <c r="AR433" s="80">
        <v>234.48</v>
      </c>
      <c r="AS433" s="178">
        <f t="shared" si="77"/>
        <v>703.43999999999994</v>
      </c>
    </row>
    <row r="434" spans="1:45" ht="28.5" hidden="1">
      <c r="A434" s="71">
        <v>408</v>
      </c>
      <c r="B434" s="37" t="s">
        <v>970</v>
      </c>
      <c r="C434" s="53" t="s">
        <v>1250</v>
      </c>
      <c r="D434" s="37">
        <v>295</v>
      </c>
      <c r="E434" s="37" t="s">
        <v>969</v>
      </c>
      <c r="F434" s="110" t="s">
        <v>968</v>
      </c>
      <c r="G434" s="125"/>
      <c r="H434" s="125"/>
      <c r="I434" s="125"/>
      <c r="J434" s="125"/>
      <c r="K434" s="126"/>
      <c r="L434" s="127"/>
      <c r="M434" s="128"/>
      <c r="N434" s="125"/>
      <c r="O434" s="126"/>
      <c r="P434" s="125"/>
      <c r="Q434" s="128"/>
      <c r="R434" s="125"/>
      <c r="S434" s="110">
        <v>3</v>
      </c>
      <c r="T434" s="40">
        <f t="shared" si="79"/>
        <v>703.43999999999994</v>
      </c>
      <c r="U434" s="39"/>
      <c r="V434" s="40"/>
      <c r="W434" s="39"/>
      <c r="X434" s="40"/>
      <c r="Y434" s="39"/>
      <c r="Z434" s="40"/>
      <c r="AA434" s="39"/>
      <c r="AB434" s="40"/>
      <c r="AC434" s="39"/>
      <c r="AD434" s="40"/>
      <c r="AE434" s="39"/>
      <c r="AF434" s="40"/>
      <c r="AG434" s="39"/>
      <c r="AH434" s="40"/>
      <c r="AI434" s="39"/>
      <c r="AJ434" s="40"/>
      <c r="AK434" s="39"/>
      <c r="AL434" s="40"/>
      <c r="AM434" s="39"/>
      <c r="AN434" s="40"/>
      <c r="AO434" s="39"/>
      <c r="AP434" s="40"/>
      <c r="AQ434" s="84">
        <f t="shared" si="78"/>
        <v>3</v>
      </c>
      <c r="AR434" s="80">
        <v>234.48</v>
      </c>
      <c r="AS434" s="178">
        <f t="shared" ref="AS434:AS497" si="80">+AQ434*AR434</f>
        <v>703.43999999999994</v>
      </c>
    </row>
    <row r="435" spans="1:45" ht="28.5" hidden="1">
      <c r="A435" s="67">
        <v>409</v>
      </c>
      <c r="B435" s="37" t="s">
        <v>967</v>
      </c>
      <c r="C435" s="53" t="s">
        <v>1250</v>
      </c>
      <c r="D435" s="37">
        <v>295</v>
      </c>
      <c r="E435" s="37" t="s">
        <v>966</v>
      </c>
      <c r="F435" s="110" t="s">
        <v>12</v>
      </c>
      <c r="G435" s="125"/>
      <c r="H435" s="125"/>
      <c r="I435" s="125"/>
      <c r="J435" s="125"/>
      <c r="K435" s="126"/>
      <c r="L435" s="127"/>
      <c r="M435" s="128"/>
      <c r="N435" s="125"/>
      <c r="O435" s="126"/>
      <c r="P435" s="125"/>
      <c r="Q435" s="128"/>
      <c r="R435" s="125"/>
      <c r="S435" s="110">
        <v>20</v>
      </c>
      <c r="T435" s="40">
        <f t="shared" si="79"/>
        <v>4689.5999999999995</v>
      </c>
      <c r="U435" s="39"/>
      <c r="V435" s="40"/>
      <c r="W435" s="39"/>
      <c r="X435" s="40"/>
      <c r="Y435" s="39"/>
      <c r="Z435" s="40"/>
      <c r="AA435" s="39"/>
      <c r="AB435" s="40"/>
      <c r="AC435" s="39"/>
      <c r="AD435" s="40"/>
      <c r="AE435" s="39"/>
      <c r="AF435" s="40"/>
      <c r="AG435" s="39"/>
      <c r="AH435" s="40"/>
      <c r="AI435" s="39"/>
      <c r="AJ435" s="40"/>
      <c r="AK435" s="39"/>
      <c r="AL435" s="40"/>
      <c r="AM435" s="39"/>
      <c r="AN435" s="40"/>
      <c r="AO435" s="39"/>
      <c r="AP435" s="40"/>
      <c r="AQ435" s="84">
        <f t="shared" si="78"/>
        <v>20</v>
      </c>
      <c r="AR435" s="80">
        <v>234.48</v>
      </c>
      <c r="AS435" s="178">
        <f t="shared" si="80"/>
        <v>4689.5999999999995</v>
      </c>
    </row>
    <row r="436" spans="1:45" ht="28.5" hidden="1">
      <c r="A436" s="71">
        <v>410</v>
      </c>
      <c r="B436" s="37" t="s">
        <v>965</v>
      </c>
      <c r="C436" s="53" t="s">
        <v>1250</v>
      </c>
      <c r="D436" s="37">
        <v>295</v>
      </c>
      <c r="E436" s="37" t="s">
        <v>964</v>
      </c>
      <c r="F436" s="110" t="s">
        <v>12</v>
      </c>
      <c r="G436" s="125"/>
      <c r="H436" s="125"/>
      <c r="I436" s="125"/>
      <c r="J436" s="125"/>
      <c r="K436" s="126"/>
      <c r="L436" s="127"/>
      <c r="M436" s="128"/>
      <c r="N436" s="125"/>
      <c r="O436" s="126"/>
      <c r="P436" s="125"/>
      <c r="Q436" s="128"/>
      <c r="R436" s="125"/>
      <c r="S436" s="110">
        <v>20</v>
      </c>
      <c r="T436" s="40">
        <f t="shared" si="79"/>
        <v>4689.5999999999995</v>
      </c>
      <c r="U436" s="39"/>
      <c r="V436" s="40"/>
      <c r="W436" s="39"/>
      <c r="X436" s="40"/>
      <c r="Y436" s="39"/>
      <c r="Z436" s="40"/>
      <c r="AA436" s="39"/>
      <c r="AB436" s="40"/>
      <c r="AC436" s="39"/>
      <c r="AD436" s="40"/>
      <c r="AE436" s="39"/>
      <c r="AF436" s="40"/>
      <c r="AG436" s="39"/>
      <c r="AH436" s="40"/>
      <c r="AI436" s="39"/>
      <c r="AJ436" s="40"/>
      <c r="AK436" s="39"/>
      <c r="AL436" s="40"/>
      <c r="AM436" s="39"/>
      <c r="AN436" s="40"/>
      <c r="AO436" s="39"/>
      <c r="AP436" s="40"/>
      <c r="AQ436" s="84">
        <f t="shared" si="78"/>
        <v>20</v>
      </c>
      <c r="AR436" s="80">
        <v>234.48</v>
      </c>
      <c r="AS436" s="178">
        <f t="shared" si="80"/>
        <v>4689.5999999999995</v>
      </c>
    </row>
    <row r="437" spans="1:45" ht="28.5" hidden="1">
      <c r="A437" s="67">
        <v>411</v>
      </c>
      <c r="B437" s="37" t="s">
        <v>963</v>
      </c>
      <c r="C437" s="53" t="s">
        <v>1250</v>
      </c>
      <c r="D437" s="37">
        <v>295</v>
      </c>
      <c r="E437" s="37" t="s">
        <v>962</v>
      </c>
      <c r="F437" s="110" t="s">
        <v>12</v>
      </c>
      <c r="G437" s="125"/>
      <c r="H437" s="125"/>
      <c r="I437" s="125"/>
      <c r="J437" s="125"/>
      <c r="K437" s="126"/>
      <c r="L437" s="127"/>
      <c r="M437" s="128"/>
      <c r="N437" s="125"/>
      <c r="O437" s="126"/>
      <c r="P437" s="125"/>
      <c r="Q437" s="128"/>
      <c r="R437" s="125"/>
      <c r="S437" s="110">
        <v>20</v>
      </c>
      <c r="T437" s="40">
        <f t="shared" si="79"/>
        <v>4689.5999999999995</v>
      </c>
      <c r="U437" s="39"/>
      <c r="V437" s="40"/>
      <c r="W437" s="39"/>
      <c r="X437" s="40"/>
      <c r="Y437" s="39"/>
      <c r="Z437" s="40"/>
      <c r="AA437" s="39"/>
      <c r="AB437" s="40"/>
      <c r="AC437" s="39"/>
      <c r="AD437" s="40"/>
      <c r="AE437" s="39"/>
      <c r="AF437" s="40"/>
      <c r="AG437" s="39"/>
      <c r="AH437" s="40"/>
      <c r="AI437" s="39"/>
      <c r="AJ437" s="40"/>
      <c r="AK437" s="39"/>
      <c r="AL437" s="40"/>
      <c r="AM437" s="39"/>
      <c r="AN437" s="40"/>
      <c r="AO437" s="39"/>
      <c r="AP437" s="40"/>
      <c r="AQ437" s="84">
        <f t="shared" si="78"/>
        <v>20</v>
      </c>
      <c r="AR437" s="80">
        <v>234.48</v>
      </c>
      <c r="AS437" s="178">
        <f t="shared" si="80"/>
        <v>4689.5999999999995</v>
      </c>
    </row>
    <row r="438" spans="1:45" ht="28.5" hidden="1">
      <c r="A438" s="71">
        <v>412</v>
      </c>
      <c r="B438" s="37" t="s">
        <v>961</v>
      </c>
      <c r="C438" s="53" t="s">
        <v>1250</v>
      </c>
      <c r="D438" s="37">
        <v>295</v>
      </c>
      <c r="E438" s="37" t="s">
        <v>960</v>
      </c>
      <c r="F438" s="110" t="s">
        <v>12</v>
      </c>
      <c r="G438" s="125"/>
      <c r="H438" s="125"/>
      <c r="I438" s="125"/>
      <c r="J438" s="125"/>
      <c r="K438" s="126"/>
      <c r="L438" s="127"/>
      <c r="M438" s="128"/>
      <c r="N438" s="125"/>
      <c r="O438" s="126"/>
      <c r="P438" s="125"/>
      <c r="Q438" s="128"/>
      <c r="R438" s="125"/>
      <c r="S438" s="110">
        <v>20</v>
      </c>
      <c r="T438" s="40">
        <f t="shared" si="79"/>
        <v>4689.5999999999995</v>
      </c>
      <c r="U438" s="39"/>
      <c r="V438" s="40"/>
      <c r="W438" s="39"/>
      <c r="X438" s="40"/>
      <c r="Y438" s="39"/>
      <c r="Z438" s="40"/>
      <c r="AA438" s="39"/>
      <c r="AB438" s="40"/>
      <c r="AC438" s="39"/>
      <c r="AD438" s="40"/>
      <c r="AE438" s="39"/>
      <c r="AF438" s="40"/>
      <c r="AG438" s="39"/>
      <c r="AH438" s="40"/>
      <c r="AI438" s="39"/>
      <c r="AJ438" s="40"/>
      <c r="AK438" s="39"/>
      <c r="AL438" s="40"/>
      <c r="AM438" s="39"/>
      <c r="AN438" s="40"/>
      <c r="AO438" s="39"/>
      <c r="AP438" s="40"/>
      <c r="AQ438" s="84">
        <f t="shared" si="78"/>
        <v>20</v>
      </c>
      <c r="AR438" s="80">
        <v>234.48</v>
      </c>
      <c r="AS438" s="178">
        <f t="shared" si="80"/>
        <v>4689.5999999999995</v>
      </c>
    </row>
    <row r="439" spans="1:45" ht="28.5" hidden="1">
      <c r="A439" s="67">
        <v>413</v>
      </c>
      <c r="B439" s="37" t="s">
        <v>959</v>
      </c>
      <c r="C439" s="53" t="s">
        <v>1250</v>
      </c>
      <c r="D439" s="37">
        <v>295</v>
      </c>
      <c r="E439" s="37" t="s">
        <v>958</v>
      </c>
      <c r="F439" s="110" t="s">
        <v>12</v>
      </c>
      <c r="G439" s="125"/>
      <c r="H439" s="125"/>
      <c r="I439" s="125"/>
      <c r="J439" s="125"/>
      <c r="K439" s="126"/>
      <c r="L439" s="127"/>
      <c r="M439" s="128"/>
      <c r="N439" s="125"/>
      <c r="O439" s="126"/>
      <c r="P439" s="125"/>
      <c r="Q439" s="128"/>
      <c r="R439" s="125"/>
      <c r="S439" s="110">
        <v>20</v>
      </c>
      <c r="T439" s="40">
        <f t="shared" si="79"/>
        <v>4689.5999999999995</v>
      </c>
      <c r="U439" s="39"/>
      <c r="V439" s="40"/>
      <c r="W439" s="39"/>
      <c r="X439" s="40"/>
      <c r="Y439" s="39"/>
      <c r="Z439" s="40"/>
      <c r="AA439" s="39"/>
      <c r="AB439" s="40"/>
      <c r="AC439" s="39"/>
      <c r="AD439" s="40"/>
      <c r="AE439" s="39"/>
      <c r="AF439" s="40"/>
      <c r="AG439" s="39"/>
      <c r="AH439" s="40"/>
      <c r="AI439" s="39"/>
      <c r="AJ439" s="40"/>
      <c r="AK439" s="39"/>
      <c r="AL439" s="40"/>
      <c r="AM439" s="39"/>
      <c r="AN439" s="40"/>
      <c r="AO439" s="39"/>
      <c r="AP439" s="40"/>
      <c r="AQ439" s="84">
        <f t="shared" si="78"/>
        <v>20</v>
      </c>
      <c r="AR439" s="80">
        <v>234.48</v>
      </c>
      <c r="AS439" s="178">
        <f t="shared" si="80"/>
        <v>4689.5999999999995</v>
      </c>
    </row>
    <row r="440" spans="1:45" ht="28.5" hidden="1">
      <c r="A440" s="71">
        <v>414</v>
      </c>
      <c r="B440" s="37" t="s">
        <v>957</v>
      </c>
      <c r="C440" s="53" t="s">
        <v>1250</v>
      </c>
      <c r="D440" s="37">
        <v>295</v>
      </c>
      <c r="E440" s="37" t="s">
        <v>956</v>
      </c>
      <c r="F440" s="110" t="s">
        <v>12</v>
      </c>
      <c r="G440" s="125"/>
      <c r="H440" s="125"/>
      <c r="I440" s="125"/>
      <c r="J440" s="125"/>
      <c r="K440" s="126"/>
      <c r="L440" s="127"/>
      <c r="M440" s="128"/>
      <c r="N440" s="125"/>
      <c r="O440" s="126"/>
      <c r="P440" s="125"/>
      <c r="Q440" s="128"/>
      <c r="R440" s="125"/>
      <c r="S440" s="110">
        <v>20</v>
      </c>
      <c r="T440" s="40">
        <f t="shared" si="79"/>
        <v>4689.5999999999995</v>
      </c>
      <c r="U440" s="39"/>
      <c r="V440" s="40"/>
      <c r="W440" s="39"/>
      <c r="X440" s="40"/>
      <c r="Y440" s="39"/>
      <c r="Z440" s="40"/>
      <c r="AA440" s="39"/>
      <c r="AB440" s="40"/>
      <c r="AC440" s="39"/>
      <c r="AD440" s="40"/>
      <c r="AE440" s="39"/>
      <c r="AF440" s="40"/>
      <c r="AG440" s="39"/>
      <c r="AH440" s="40"/>
      <c r="AI440" s="39"/>
      <c r="AJ440" s="40"/>
      <c r="AK440" s="39"/>
      <c r="AL440" s="40"/>
      <c r="AM440" s="39"/>
      <c r="AN440" s="40"/>
      <c r="AO440" s="39"/>
      <c r="AP440" s="40"/>
      <c r="AQ440" s="84">
        <f t="shared" si="78"/>
        <v>20</v>
      </c>
      <c r="AR440" s="80">
        <v>234.48</v>
      </c>
      <c r="AS440" s="178">
        <f t="shared" si="80"/>
        <v>4689.5999999999995</v>
      </c>
    </row>
    <row r="441" spans="1:45" ht="28.5" hidden="1">
      <c r="A441" s="67">
        <v>415</v>
      </c>
      <c r="B441" s="37" t="s">
        <v>955</v>
      </c>
      <c r="C441" s="53" t="s">
        <v>1250</v>
      </c>
      <c r="D441" s="37">
        <v>295</v>
      </c>
      <c r="E441" s="37" t="s">
        <v>954</v>
      </c>
      <c r="F441" s="110" t="s">
        <v>12</v>
      </c>
      <c r="G441" s="125"/>
      <c r="H441" s="125"/>
      <c r="I441" s="125"/>
      <c r="J441" s="125"/>
      <c r="K441" s="126"/>
      <c r="L441" s="127"/>
      <c r="M441" s="128"/>
      <c r="N441" s="125"/>
      <c r="O441" s="126"/>
      <c r="P441" s="125"/>
      <c r="Q441" s="128"/>
      <c r="R441" s="125"/>
      <c r="S441" s="110">
        <v>20</v>
      </c>
      <c r="T441" s="40">
        <f t="shared" si="79"/>
        <v>4689.5999999999995</v>
      </c>
      <c r="U441" s="39"/>
      <c r="V441" s="40"/>
      <c r="W441" s="39"/>
      <c r="X441" s="40"/>
      <c r="Y441" s="39"/>
      <c r="Z441" s="40"/>
      <c r="AA441" s="39"/>
      <c r="AB441" s="40"/>
      <c r="AC441" s="39"/>
      <c r="AD441" s="40"/>
      <c r="AE441" s="39"/>
      <c r="AF441" s="40"/>
      <c r="AG441" s="39"/>
      <c r="AH441" s="40"/>
      <c r="AI441" s="39"/>
      <c r="AJ441" s="40"/>
      <c r="AK441" s="39"/>
      <c r="AL441" s="40"/>
      <c r="AM441" s="39"/>
      <c r="AN441" s="40"/>
      <c r="AO441" s="39"/>
      <c r="AP441" s="40"/>
      <c r="AQ441" s="84">
        <f t="shared" si="78"/>
        <v>20</v>
      </c>
      <c r="AR441" s="80">
        <v>234.48</v>
      </c>
      <c r="AS441" s="178">
        <f t="shared" si="80"/>
        <v>4689.5999999999995</v>
      </c>
    </row>
    <row r="442" spans="1:45" ht="28.5" hidden="1">
      <c r="A442" s="71">
        <v>416</v>
      </c>
      <c r="B442" s="37" t="s">
        <v>953</v>
      </c>
      <c r="C442" s="53" t="s">
        <v>1250</v>
      </c>
      <c r="D442" s="37">
        <v>295</v>
      </c>
      <c r="E442" s="37" t="s">
        <v>952</v>
      </c>
      <c r="F442" s="110" t="s">
        <v>12</v>
      </c>
      <c r="G442" s="125"/>
      <c r="H442" s="125"/>
      <c r="I442" s="125"/>
      <c r="J442" s="125"/>
      <c r="K442" s="126"/>
      <c r="L442" s="127"/>
      <c r="M442" s="128"/>
      <c r="N442" s="125"/>
      <c r="O442" s="126"/>
      <c r="P442" s="125"/>
      <c r="Q442" s="128"/>
      <c r="R442" s="125"/>
      <c r="S442" s="110">
        <v>20</v>
      </c>
      <c r="T442" s="40">
        <f t="shared" si="79"/>
        <v>4689.5999999999995</v>
      </c>
      <c r="U442" s="39"/>
      <c r="V442" s="40"/>
      <c r="W442" s="39"/>
      <c r="X442" s="40"/>
      <c r="Y442" s="39"/>
      <c r="Z442" s="40"/>
      <c r="AA442" s="39"/>
      <c r="AB442" s="40"/>
      <c r="AC442" s="39"/>
      <c r="AD442" s="40"/>
      <c r="AE442" s="39"/>
      <c r="AF442" s="40"/>
      <c r="AG442" s="39"/>
      <c r="AH442" s="40"/>
      <c r="AI442" s="39"/>
      <c r="AJ442" s="40"/>
      <c r="AK442" s="39"/>
      <c r="AL442" s="40"/>
      <c r="AM442" s="39"/>
      <c r="AN442" s="40"/>
      <c r="AO442" s="39"/>
      <c r="AP442" s="40"/>
      <c r="AQ442" s="84">
        <f t="shared" si="78"/>
        <v>20</v>
      </c>
      <c r="AR442" s="80">
        <v>234.48</v>
      </c>
      <c r="AS442" s="178">
        <f t="shared" si="80"/>
        <v>4689.5999999999995</v>
      </c>
    </row>
    <row r="443" spans="1:45" ht="28.5" hidden="1">
      <c r="A443" s="67">
        <v>417</v>
      </c>
      <c r="B443" s="37" t="s">
        <v>951</v>
      </c>
      <c r="C443" s="53" t="s">
        <v>1250</v>
      </c>
      <c r="D443" s="37">
        <v>295</v>
      </c>
      <c r="E443" s="37" t="s">
        <v>950</v>
      </c>
      <c r="F443" s="110" t="s">
        <v>12</v>
      </c>
      <c r="G443" s="125"/>
      <c r="H443" s="125"/>
      <c r="I443" s="125"/>
      <c r="J443" s="125"/>
      <c r="K443" s="126"/>
      <c r="L443" s="127"/>
      <c r="M443" s="128"/>
      <c r="N443" s="125"/>
      <c r="O443" s="126"/>
      <c r="P443" s="125"/>
      <c r="Q443" s="128"/>
      <c r="R443" s="125"/>
      <c r="S443" s="110">
        <v>20</v>
      </c>
      <c r="T443" s="40">
        <f t="shared" si="79"/>
        <v>4689.5999999999995</v>
      </c>
      <c r="U443" s="39"/>
      <c r="V443" s="40"/>
      <c r="W443" s="39"/>
      <c r="X443" s="40"/>
      <c r="Y443" s="39"/>
      <c r="Z443" s="40"/>
      <c r="AA443" s="39"/>
      <c r="AB443" s="40"/>
      <c r="AC443" s="39"/>
      <c r="AD443" s="40"/>
      <c r="AE443" s="39"/>
      <c r="AF443" s="40"/>
      <c r="AG443" s="39"/>
      <c r="AH443" s="40"/>
      <c r="AI443" s="39"/>
      <c r="AJ443" s="40"/>
      <c r="AK443" s="39"/>
      <c r="AL443" s="40"/>
      <c r="AM443" s="39"/>
      <c r="AN443" s="40"/>
      <c r="AO443" s="39"/>
      <c r="AP443" s="40"/>
      <c r="AQ443" s="84">
        <f t="shared" si="78"/>
        <v>20</v>
      </c>
      <c r="AR443" s="80">
        <v>234.48</v>
      </c>
      <c r="AS443" s="178">
        <f t="shared" si="80"/>
        <v>4689.5999999999995</v>
      </c>
    </row>
    <row r="444" spans="1:45" ht="28.5" hidden="1">
      <c r="A444" s="71">
        <v>418</v>
      </c>
      <c r="B444" s="37" t="s">
        <v>949</v>
      </c>
      <c r="C444" s="53" t="s">
        <v>1250</v>
      </c>
      <c r="D444" s="37">
        <v>295</v>
      </c>
      <c r="E444" s="37" t="s">
        <v>948</v>
      </c>
      <c r="F444" s="110" t="s">
        <v>12</v>
      </c>
      <c r="G444" s="125"/>
      <c r="H444" s="125"/>
      <c r="I444" s="125"/>
      <c r="J444" s="125"/>
      <c r="K444" s="126"/>
      <c r="L444" s="127"/>
      <c r="M444" s="128"/>
      <c r="N444" s="125"/>
      <c r="O444" s="126"/>
      <c r="P444" s="125"/>
      <c r="Q444" s="128"/>
      <c r="R444" s="125"/>
      <c r="S444" s="110">
        <v>20</v>
      </c>
      <c r="T444" s="40">
        <f t="shared" si="79"/>
        <v>4689.5999999999995</v>
      </c>
      <c r="U444" s="39"/>
      <c r="V444" s="40"/>
      <c r="W444" s="39"/>
      <c r="X444" s="40"/>
      <c r="Y444" s="39"/>
      <c r="Z444" s="40"/>
      <c r="AA444" s="39"/>
      <c r="AB444" s="40"/>
      <c r="AC444" s="39"/>
      <c r="AD444" s="40"/>
      <c r="AE444" s="39"/>
      <c r="AF444" s="40"/>
      <c r="AG444" s="39"/>
      <c r="AH444" s="40"/>
      <c r="AI444" s="39"/>
      <c r="AJ444" s="40"/>
      <c r="AK444" s="39"/>
      <c r="AL444" s="40"/>
      <c r="AM444" s="39"/>
      <c r="AN444" s="40"/>
      <c r="AO444" s="39"/>
      <c r="AP444" s="40"/>
      <c r="AQ444" s="84">
        <f t="shared" si="78"/>
        <v>20</v>
      </c>
      <c r="AR444" s="80">
        <v>234.48</v>
      </c>
      <c r="AS444" s="178">
        <f t="shared" si="80"/>
        <v>4689.5999999999995</v>
      </c>
    </row>
    <row r="445" spans="1:45" ht="28.5" hidden="1">
      <c r="A445" s="67">
        <v>419</v>
      </c>
      <c r="B445" s="37" t="s">
        <v>947</v>
      </c>
      <c r="C445" s="53" t="s">
        <v>1250</v>
      </c>
      <c r="D445" s="37">
        <v>295</v>
      </c>
      <c r="E445" s="37" t="s">
        <v>946</v>
      </c>
      <c r="F445" s="110" t="s">
        <v>12</v>
      </c>
      <c r="G445" s="125"/>
      <c r="H445" s="125"/>
      <c r="I445" s="125"/>
      <c r="J445" s="125"/>
      <c r="K445" s="126"/>
      <c r="L445" s="127"/>
      <c r="M445" s="128"/>
      <c r="N445" s="125"/>
      <c r="O445" s="126"/>
      <c r="P445" s="125"/>
      <c r="Q445" s="128"/>
      <c r="R445" s="125"/>
      <c r="S445" s="110">
        <v>20</v>
      </c>
      <c r="T445" s="40">
        <f t="shared" si="79"/>
        <v>4689.5999999999995</v>
      </c>
      <c r="U445" s="39"/>
      <c r="V445" s="40"/>
      <c r="W445" s="39"/>
      <c r="X445" s="40"/>
      <c r="Y445" s="39"/>
      <c r="Z445" s="40"/>
      <c r="AA445" s="39"/>
      <c r="AB445" s="40"/>
      <c r="AC445" s="39"/>
      <c r="AD445" s="40"/>
      <c r="AE445" s="39"/>
      <c r="AF445" s="40"/>
      <c r="AG445" s="39"/>
      <c r="AH445" s="40"/>
      <c r="AI445" s="39"/>
      <c r="AJ445" s="40"/>
      <c r="AK445" s="39"/>
      <c r="AL445" s="40"/>
      <c r="AM445" s="39"/>
      <c r="AN445" s="40"/>
      <c r="AO445" s="39"/>
      <c r="AP445" s="40"/>
      <c r="AQ445" s="84">
        <f t="shared" si="78"/>
        <v>20</v>
      </c>
      <c r="AR445" s="80">
        <v>234.48</v>
      </c>
      <c r="AS445" s="178">
        <f t="shared" si="80"/>
        <v>4689.5999999999995</v>
      </c>
    </row>
    <row r="446" spans="1:45" ht="28.5" hidden="1">
      <c r="A446" s="71">
        <v>420</v>
      </c>
      <c r="B446" s="37" t="s">
        <v>945</v>
      </c>
      <c r="C446" s="53" t="s">
        <v>1250</v>
      </c>
      <c r="D446" s="37">
        <v>295</v>
      </c>
      <c r="E446" s="37" t="s">
        <v>944</v>
      </c>
      <c r="F446" s="110" t="s">
        <v>12</v>
      </c>
      <c r="G446" s="125"/>
      <c r="H446" s="125"/>
      <c r="I446" s="125"/>
      <c r="J446" s="125"/>
      <c r="K446" s="126"/>
      <c r="L446" s="127"/>
      <c r="M446" s="128"/>
      <c r="N446" s="125"/>
      <c r="O446" s="126"/>
      <c r="P446" s="125"/>
      <c r="Q446" s="128"/>
      <c r="R446" s="125"/>
      <c r="S446" s="110">
        <v>20</v>
      </c>
      <c r="T446" s="40">
        <f t="shared" si="79"/>
        <v>4689.5999999999995</v>
      </c>
      <c r="U446" s="39"/>
      <c r="V446" s="40"/>
      <c r="W446" s="39"/>
      <c r="X446" s="40"/>
      <c r="Y446" s="39"/>
      <c r="Z446" s="40"/>
      <c r="AA446" s="39"/>
      <c r="AB446" s="40"/>
      <c r="AC446" s="39"/>
      <c r="AD446" s="40"/>
      <c r="AE446" s="39"/>
      <c r="AF446" s="40"/>
      <c r="AG446" s="39"/>
      <c r="AH446" s="40"/>
      <c r="AI446" s="39"/>
      <c r="AJ446" s="40"/>
      <c r="AK446" s="39"/>
      <c r="AL446" s="40"/>
      <c r="AM446" s="39"/>
      <c r="AN446" s="40"/>
      <c r="AO446" s="39"/>
      <c r="AP446" s="40"/>
      <c r="AQ446" s="84">
        <f t="shared" si="78"/>
        <v>20</v>
      </c>
      <c r="AR446" s="80">
        <v>234.48</v>
      </c>
      <c r="AS446" s="178">
        <f t="shared" si="80"/>
        <v>4689.5999999999995</v>
      </c>
    </row>
    <row r="447" spans="1:45" ht="28.5" hidden="1">
      <c r="A447" s="67">
        <v>421</v>
      </c>
      <c r="B447" s="37" t="s">
        <v>943</v>
      </c>
      <c r="C447" s="53" t="s">
        <v>1250</v>
      </c>
      <c r="D447" s="37">
        <v>295</v>
      </c>
      <c r="E447" s="37" t="s">
        <v>942</v>
      </c>
      <c r="F447" s="110" t="s">
        <v>12</v>
      </c>
      <c r="G447" s="125"/>
      <c r="H447" s="125"/>
      <c r="I447" s="125"/>
      <c r="J447" s="125"/>
      <c r="K447" s="126"/>
      <c r="L447" s="127"/>
      <c r="M447" s="128"/>
      <c r="N447" s="125"/>
      <c r="O447" s="126"/>
      <c r="P447" s="125"/>
      <c r="Q447" s="128"/>
      <c r="R447" s="125"/>
      <c r="S447" s="110">
        <v>20</v>
      </c>
      <c r="T447" s="40">
        <f t="shared" si="79"/>
        <v>4689.5999999999995</v>
      </c>
      <c r="U447" s="39"/>
      <c r="V447" s="40"/>
      <c r="W447" s="39"/>
      <c r="X447" s="40"/>
      <c r="Y447" s="39"/>
      <c r="Z447" s="40"/>
      <c r="AA447" s="39"/>
      <c r="AB447" s="40"/>
      <c r="AC447" s="39"/>
      <c r="AD447" s="40"/>
      <c r="AE447" s="39"/>
      <c r="AF447" s="40"/>
      <c r="AG447" s="39"/>
      <c r="AH447" s="40"/>
      <c r="AI447" s="39"/>
      <c r="AJ447" s="40"/>
      <c r="AK447" s="39"/>
      <c r="AL447" s="40"/>
      <c r="AM447" s="39"/>
      <c r="AN447" s="40"/>
      <c r="AO447" s="39"/>
      <c r="AP447" s="40"/>
      <c r="AQ447" s="84">
        <f t="shared" si="78"/>
        <v>20</v>
      </c>
      <c r="AR447" s="80">
        <v>234.48</v>
      </c>
      <c r="AS447" s="178">
        <f t="shared" si="80"/>
        <v>4689.5999999999995</v>
      </c>
    </row>
    <row r="448" spans="1:45" ht="28.5" hidden="1">
      <c r="A448" s="71">
        <v>422</v>
      </c>
      <c r="B448" s="37" t="s">
        <v>941</v>
      </c>
      <c r="C448" s="53" t="s">
        <v>1250</v>
      </c>
      <c r="D448" s="37">
        <v>295</v>
      </c>
      <c r="E448" s="37" t="s">
        <v>940</v>
      </c>
      <c r="F448" s="110" t="s">
        <v>12</v>
      </c>
      <c r="G448" s="125"/>
      <c r="H448" s="125"/>
      <c r="I448" s="125"/>
      <c r="J448" s="125"/>
      <c r="K448" s="126"/>
      <c r="L448" s="127"/>
      <c r="M448" s="128"/>
      <c r="N448" s="125"/>
      <c r="O448" s="126"/>
      <c r="P448" s="125"/>
      <c r="Q448" s="128"/>
      <c r="R448" s="125"/>
      <c r="S448" s="110">
        <v>20</v>
      </c>
      <c r="T448" s="40">
        <f t="shared" si="79"/>
        <v>9000</v>
      </c>
      <c r="U448" s="39"/>
      <c r="V448" s="40"/>
      <c r="W448" s="39"/>
      <c r="X448" s="40"/>
      <c r="Y448" s="39"/>
      <c r="Z448" s="40"/>
      <c r="AA448" s="39"/>
      <c r="AB448" s="40"/>
      <c r="AC448" s="39"/>
      <c r="AD448" s="40"/>
      <c r="AE448" s="39"/>
      <c r="AF448" s="40"/>
      <c r="AG448" s="39"/>
      <c r="AH448" s="40"/>
      <c r="AI448" s="39"/>
      <c r="AJ448" s="40"/>
      <c r="AK448" s="39"/>
      <c r="AL448" s="40"/>
      <c r="AM448" s="39"/>
      <c r="AN448" s="40"/>
      <c r="AO448" s="39"/>
      <c r="AP448" s="40"/>
      <c r="AQ448" s="84">
        <f t="shared" si="78"/>
        <v>20</v>
      </c>
      <c r="AR448" s="80">
        <v>450</v>
      </c>
      <c r="AS448" s="178">
        <f t="shared" si="80"/>
        <v>9000</v>
      </c>
    </row>
    <row r="449" spans="1:45" ht="28.5" hidden="1">
      <c r="A449" s="67">
        <v>423</v>
      </c>
      <c r="B449" s="37" t="s">
        <v>939</v>
      </c>
      <c r="C449" s="53" t="s">
        <v>1250</v>
      </c>
      <c r="D449" s="37">
        <v>295</v>
      </c>
      <c r="E449" s="37" t="s">
        <v>938</v>
      </c>
      <c r="F449" s="110" t="s">
        <v>12</v>
      </c>
      <c r="G449" s="125"/>
      <c r="H449" s="125"/>
      <c r="I449" s="125"/>
      <c r="J449" s="125"/>
      <c r="K449" s="126"/>
      <c r="L449" s="127"/>
      <c r="M449" s="128"/>
      <c r="N449" s="125"/>
      <c r="O449" s="126"/>
      <c r="P449" s="125"/>
      <c r="Q449" s="128"/>
      <c r="R449" s="125"/>
      <c r="S449" s="110">
        <v>20</v>
      </c>
      <c r="T449" s="40">
        <f t="shared" si="79"/>
        <v>4689.5999999999995</v>
      </c>
      <c r="U449" s="39"/>
      <c r="V449" s="40"/>
      <c r="W449" s="39"/>
      <c r="X449" s="40"/>
      <c r="Y449" s="39"/>
      <c r="Z449" s="40"/>
      <c r="AA449" s="39"/>
      <c r="AB449" s="40"/>
      <c r="AC449" s="39"/>
      <c r="AD449" s="40"/>
      <c r="AE449" s="39"/>
      <c r="AF449" s="40"/>
      <c r="AG449" s="39"/>
      <c r="AH449" s="40"/>
      <c r="AI449" s="39"/>
      <c r="AJ449" s="40"/>
      <c r="AK449" s="39"/>
      <c r="AL449" s="40"/>
      <c r="AM449" s="39"/>
      <c r="AN449" s="40"/>
      <c r="AO449" s="39"/>
      <c r="AP449" s="40"/>
      <c r="AQ449" s="84">
        <f t="shared" si="78"/>
        <v>20</v>
      </c>
      <c r="AR449" s="80">
        <v>234.48</v>
      </c>
      <c r="AS449" s="178">
        <f t="shared" si="80"/>
        <v>4689.5999999999995</v>
      </c>
    </row>
    <row r="450" spans="1:45" ht="28.5" hidden="1">
      <c r="A450" s="71">
        <v>424</v>
      </c>
      <c r="B450" s="37" t="s">
        <v>937</v>
      </c>
      <c r="C450" s="53" t="s">
        <v>1250</v>
      </c>
      <c r="D450" s="37">
        <v>295</v>
      </c>
      <c r="E450" s="37" t="s">
        <v>936</v>
      </c>
      <c r="F450" s="110" t="s">
        <v>12</v>
      </c>
      <c r="G450" s="125"/>
      <c r="H450" s="125"/>
      <c r="I450" s="125"/>
      <c r="J450" s="125"/>
      <c r="K450" s="126"/>
      <c r="L450" s="127"/>
      <c r="M450" s="128"/>
      <c r="N450" s="125"/>
      <c r="O450" s="126"/>
      <c r="P450" s="125"/>
      <c r="Q450" s="128"/>
      <c r="R450" s="125"/>
      <c r="S450" s="110">
        <v>20</v>
      </c>
      <c r="T450" s="40">
        <f t="shared" si="79"/>
        <v>4689.5999999999995</v>
      </c>
      <c r="U450" s="39"/>
      <c r="V450" s="40"/>
      <c r="W450" s="39"/>
      <c r="X450" s="40"/>
      <c r="Y450" s="39"/>
      <c r="Z450" s="40"/>
      <c r="AA450" s="39"/>
      <c r="AB450" s="40"/>
      <c r="AC450" s="39"/>
      <c r="AD450" s="40"/>
      <c r="AE450" s="39"/>
      <c r="AF450" s="40"/>
      <c r="AG450" s="39"/>
      <c r="AH450" s="40"/>
      <c r="AI450" s="39"/>
      <c r="AJ450" s="40"/>
      <c r="AK450" s="39"/>
      <c r="AL450" s="40"/>
      <c r="AM450" s="39"/>
      <c r="AN450" s="40"/>
      <c r="AO450" s="39"/>
      <c r="AP450" s="40"/>
      <c r="AQ450" s="84">
        <f t="shared" si="78"/>
        <v>20</v>
      </c>
      <c r="AR450" s="80">
        <v>234.48</v>
      </c>
      <c r="AS450" s="178">
        <f t="shared" si="80"/>
        <v>4689.5999999999995</v>
      </c>
    </row>
    <row r="451" spans="1:45" ht="28.5" hidden="1">
      <c r="A451" s="67">
        <v>425</v>
      </c>
      <c r="B451" s="37" t="s">
        <v>935</v>
      </c>
      <c r="C451" s="53" t="s">
        <v>1250</v>
      </c>
      <c r="D451" s="37">
        <v>295</v>
      </c>
      <c r="E451" s="37" t="s">
        <v>934</v>
      </c>
      <c r="F451" s="110" t="s">
        <v>12</v>
      </c>
      <c r="G451" s="125"/>
      <c r="H451" s="125"/>
      <c r="I451" s="125"/>
      <c r="J451" s="125"/>
      <c r="K451" s="126"/>
      <c r="L451" s="127"/>
      <c r="M451" s="128"/>
      <c r="N451" s="125"/>
      <c r="O451" s="126"/>
      <c r="P451" s="125"/>
      <c r="Q451" s="128"/>
      <c r="R451" s="125"/>
      <c r="S451" s="110">
        <v>20</v>
      </c>
      <c r="T451" s="40">
        <f t="shared" si="79"/>
        <v>4689.5999999999995</v>
      </c>
      <c r="U451" s="39"/>
      <c r="V451" s="40"/>
      <c r="W451" s="39"/>
      <c r="X451" s="40"/>
      <c r="Y451" s="39"/>
      <c r="Z451" s="40"/>
      <c r="AA451" s="39"/>
      <c r="AB451" s="40"/>
      <c r="AC451" s="39"/>
      <c r="AD451" s="40"/>
      <c r="AE451" s="39"/>
      <c r="AF451" s="40"/>
      <c r="AG451" s="39"/>
      <c r="AH451" s="40"/>
      <c r="AI451" s="39"/>
      <c r="AJ451" s="40"/>
      <c r="AK451" s="39"/>
      <c r="AL451" s="40"/>
      <c r="AM451" s="39"/>
      <c r="AN451" s="40"/>
      <c r="AO451" s="39"/>
      <c r="AP451" s="40"/>
      <c r="AQ451" s="84">
        <f t="shared" si="78"/>
        <v>20</v>
      </c>
      <c r="AR451" s="80">
        <v>234.48</v>
      </c>
      <c r="AS451" s="178">
        <f t="shared" si="80"/>
        <v>4689.5999999999995</v>
      </c>
    </row>
    <row r="452" spans="1:45" ht="28.5" hidden="1">
      <c r="A452" s="71">
        <v>426</v>
      </c>
      <c r="B452" s="37" t="s">
        <v>933</v>
      </c>
      <c r="C452" s="53" t="s">
        <v>1250</v>
      </c>
      <c r="D452" s="37">
        <v>295</v>
      </c>
      <c r="E452" s="37" t="s">
        <v>932</v>
      </c>
      <c r="F452" s="110" t="s">
        <v>12</v>
      </c>
      <c r="G452" s="125"/>
      <c r="H452" s="125"/>
      <c r="I452" s="125"/>
      <c r="J452" s="125"/>
      <c r="K452" s="126"/>
      <c r="L452" s="127"/>
      <c r="M452" s="128"/>
      <c r="N452" s="125"/>
      <c r="O452" s="126"/>
      <c r="P452" s="125"/>
      <c r="Q452" s="128"/>
      <c r="R452" s="125"/>
      <c r="S452" s="110">
        <v>20</v>
      </c>
      <c r="T452" s="40">
        <f t="shared" si="79"/>
        <v>4689.5999999999995</v>
      </c>
      <c r="U452" s="39"/>
      <c r="V452" s="40"/>
      <c r="W452" s="39"/>
      <c r="X452" s="40"/>
      <c r="Y452" s="39"/>
      <c r="Z452" s="40"/>
      <c r="AA452" s="39"/>
      <c r="AB452" s="40"/>
      <c r="AC452" s="39"/>
      <c r="AD452" s="40"/>
      <c r="AE452" s="39"/>
      <c r="AF452" s="40"/>
      <c r="AG452" s="39"/>
      <c r="AH452" s="40"/>
      <c r="AI452" s="39"/>
      <c r="AJ452" s="40"/>
      <c r="AK452" s="39"/>
      <c r="AL452" s="40"/>
      <c r="AM452" s="39"/>
      <c r="AN452" s="40"/>
      <c r="AO452" s="39"/>
      <c r="AP452" s="40"/>
      <c r="AQ452" s="84">
        <f t="shared" si="78"/>
        <v>20</v>
      </c>
      <c r="AR452" s="80">
        <v>234.48</v>
      </c>
      <c r="AS452" s="178">
        <f t="shared" si="80"/>
        <v>4689.5999999999995</v>
      </c>
    </row>
    <row r="453" spans="1:45" ht="28.5" hidden="1">
      <c r="A453" s="67">
        <v>427</v>
      </c>
      <c r="B453" s="37" t="s">
        <v>931</v>
      </c>
      <c r="C453" s="53" t="s">
        <v>1250</v>
      </c>
      <c r="D453" s="37">
        <v>295</v>
      </c>
      <c r="E453" s="37" t="s">
        <v>930</v>
      </c>
      <c r="F453" s="110" t="s">
        <v>12</v>
      </c>
      <c r="G453" s="125"/>
      <c r="H453" s="125"/>
      <c r="I453" s="125"/>
      <c r="J453" s="125"/>
      <c r="K453" s="126"/>
      <c r="L453" s="127"/>
      <c r="M453" s="128"/>
      <c r="N453" s="125"/>
      <c r="O453" s="126"/>
      <c r="P453" s="125"/>
      <c r="Q453" s="128"/>
      <c r="R453" s="125"/>
      <c r="S453" s="110">
        <v>20</v>
      </c>
      <c r="T453" s="40">
        <f t="shared" si="79"/>
        <v>4689.5999999999995</v>
      </c>
      <c r="U453" s="39"/>
      <c r="V453" s="40"/>
      <c r="W453" s="39"/>
      <c r="X453" s="40"/>
      <c r="Y453" s="39"/>
      <c r="Z453" s="40"/>
      <c r="AA453" s="39"/>
      <c r="AB453" s="40"/>
      <c r="AC453" s="39"/>
      <c r="AD453" s="40"/>
      <c r="AE453" s="39"/>
      <c r="AF453" s="40"/>
      <c r="AG453" s="39"/>
      <c r="AH453" s="40"/>
      <c r="AI453" s="39"/>
      <c r="AJ453" s="40"/>
      <c r="AK453" s="39"/>
      <c r="AL453" s="40"/>
      <c r="AM453" s="39"/>
      <c r="AN453" s="40"/>
      <c r="AO453" s="39"/>
      <c r="AP453" s="40"/>
      <c r="AQ453" s="84">
        <f t="shared" si="78"/>
        <v>20</v>
      </c>
      <c r="AR453" s="80">
        <v>234.48</v>
      </c>
      <c r="AS453" s="178">
        <f t="shared" si="80"/>
        <v>4689.5999999999995</v>
      </c>
    </row>
    <row r="454" spans="1:45" ht="28.5" hidden="1">
      <c r="A454" s="71">
        <v>428</v>
      </c>
      <c r="B454" s="37" t="s">
        <v>929</v>
      </c>
      <c r="C454" s="53" t="s">
        <v>1250</v>
      </c>
      <c r="D454" s="37">
        <v>295</v>
      </c>
      <c r="E454" s="37" t="s">
        <v>928</v>
      </c>
      <c r="F454" s="110" t="s">
        <v>12</v>
      </c>
      <c r="G454" s="125"/>
      <c r="H454" s="125"/>
      <c r="I454" s="125"/>
      <c r="J454" s="125"/>
      <c r="K454" s="126"/>
      <c r="L454" s="127"/>
      <c r="M454" s="128"/>
      <c r="N454" s="125"/>
      <c r="O454" s="126"/>
      <c r="P454" s="125"/>
      <c r="Q454" s="128"/>
      <c r="R454" s="125"/>
      <c r="S454" s="110">
        <v>20</v>
      </c>
      <c r="T454" s="40">
        <f t="shared" si="79"/>
        <v>4689.5999999999995</v>
      </c>
      <c r="U454" s="39"/>
      <c r="V454" s="40"/>
      <c r="W454" s="39"/>
      <c r="X454" s="40"/>
      <c r="Y454" s="39"/>
      <c r="Z454" s="40"/>
      <c r="AA454" s="39"/>
      <c r="AB454" s="40"/>
      <c r="AC454" s="39"/>
      <c r="AD454" s="40"/>
      <c r="AE454" s="39"/>
      <c r="AF454" s="40"/>
      <c r="AG454" s="39"/>
      <c r="AH454" s="40"/>
      <c r="AI454" s="39"/>
      <c r="AJ454" s="40"/>
      <c r="AK454" s="39"/>
      <c r="AL454" s="40"/>
      <c r="AM454" s="39"/>
      <c r="AN454" s="40"/>
      <c r="AO454" s="39"/>
      <c r="AP454" s="40"/>
      <c r="AQ454" s="84">
        <f t="shared" si="78"/>
        <v>20</v>
      </c>
      <c r="AR454" s="80">
        <v>234.48</v>
      </c>
      <c r="AS454" s="178">
        <f t="shared" si="80"/>
        <v>4689.5999999999995</v>
      </c>
    </row>
    <row r="455" spans="1:45" ht="28.5" hidden="1">
      <c r="A455" s="67">
        <v>429</v>
      </c>
      <c r="B455" s="37" t="s">
        <v>927</v>
      </c>
      <c r="C455" s="53" t="s">
        <v>1250</v>
      </c>
      <c r="D455" s="37">
        <v>295</v>
      </c>
      <c r="E455" s="37" t="s">
        <v>926</v>
      </c>
      <c r="F455" s="110" t="s">
        <v>12</v>
      </c>
      <c r="G455" s="125"/>
      <c r="H455" s="125"/>
      <c r="I455" s="125"/>
      <c r="J455" s="125"/>
      <c r="K455" s="126"/>
      <c r="L455" s="127"/>
      <c r="M455" s="128"/>
      <c r="N455" s="125"/>
      <c r="O455" s="126"/>
      <c r="P455" s="125"/>
      <c r="Q455" s="128"/>
      <c r="R455" s="125"/>
      <c r="S455" s="110">
        <v>20</v>
      </c>
      <c r="T455" s="40">
        <f t="shared" si="79"/>
        <v>4689.5999999999995</v>
      </c>
      <c r="U455" s="39"/>
      <c r="V455" s="40"/>
      <c r="W455" s="39"/>
      <c r="X455" s="40"/>
      <c r="Y455" s="39"/>
      <c r="Z455" s="40"/>
      <c r="AA455" s="39"/>
      <c r="AB455" s="40"/>
      <c r="AC455" s="39"/>
      <c r="AD455" s="40"/>
      <c r="AE455" s="39"/>
      <c r="AF455" s="40"/>
      <c r="AG455" s="39"/>
      <c r="AH455" s="40"/>
      <c r="AI455" s="39"/>
      <c r="AJ455" s="40"/>
      <c r="AK455" s="39"/>
      <c r="AL455" s="40"/>
      <c r="AM455" s="39"/>
      <c r="AN455" s="40"/>
      <c r="AO455" s="39"/>
      <c r="AP455" s="40"/>
      <c r="AQ455" s="84">
        <f t="shared" si="78"/>
        <v>20</v>
      </c>
      <c r="AR455" s="80">
        <v>234.48</v>
      </c>
      <c r="AS455" s="178">
        <f t="shared" si="80"/>
        <v>4689.5999999999995</v>
      </c>
    </row>
    <row r="456" spans="1:45" ht="28.5" hidden="1">
      <c r="A456" s="71">
        <v>430</v>
      </c>
      <c r="B456" s="37" t="s">
        <v>925</v>
      </c>
      <c r="C456" s="53" t="s">
        <v>1250</v>
      </c>
      <c r="D456" s="37">
        <v>295</v>
      </c>
      <c r="E456" s="37" t="s">
        <v>924</v>
      </c>
      <c r="F456" s="110" t="s">
        <v>12</v>
      </c>
      <c r="G456" s="125"/>
      <c r="H456" s="125"/>
      <c r="I456" s="125"/>
      <c r="J456" s="125"/>
      <c r="K456" s="126"/>
      <c r="L456" s="127"/>
      <c r="M456" s="128"/>
      <c r="N456" s="125"/>
      <c r="O456" s="126"/>
      <c r="P456" s="125"/>
      <c r="Q456" s="128"/>
      <c r="R456" s="125"/>
      <c r="S456" s="110">
        <v>20</v>
      </c>
      <c r="T456" s="40">
        <f t="shared" si="79"/>
        <v>4689.5999999999995</v>
      </c>
      <c r="U456" s="39"/>
      <c r="V456" s="40"/>
      <c r="W456" s="39"/>
      <c r="X456" s="40"/>
      <c r="Y456" s="39"/>
      <c r="Z456" s="40"/>
      <c r="AA456" s="39"/>
      <c r="AB456" s="40"/>
      <c r="AC456" s="39"/>
      <c r="AD456" s="40"/>
      <c r="AE456" s="39"/>
      <c r="AF456" s="40"/>
      <c r="AG456" s="39"/>
      <c r="AH456" s="40"/>
      <c r="AI456" s="39"/>
      <c r="AJ456" s="40"/>
      <c r="AK456" s="39"/>
      <c r="AL456" s="40"/>
      <c r="AM456" s="39"/>
      <c r="AN456" s="40"/>
      <c r="AO456" s="39"/>
      <c r="AP456" s="40"/>
      <c r="AQ456" s="84">
        <f t="shared" si="78"/>
        <v>20</v>
      </c>
      <c r="AR456" s="80">
        <v>234.48</v>
      </c>
      <c r="AS456" s="178">
        <f t="shared" si="80"/>
        <v>4689.5999999999995</v>
      </c>
    </row>
    <row r="457" spans="1:45" ht="28.5" hidden="1">
      <c r="A457" s="67">
        <v>431</v>
      </c>
      <c r="B457" s="37" t="s">
        <v>923</v>
      </c>
      <c r="C457" s="53" t="s">
        <v>1250</v>
      </c>
      <c r="D457" s="37">
        <v>295</v>
      </c>
      <c r="E457" s="37" t="s">
        <v>922</v>
      </c>
      <c r="F457" s="110" t="s">
        <v>12</v>
      </c>
      <c r="G457" s="125"/>
      <c r="H457" s="125"/>
      <c r="I457" s="125"/>
      <c r="J457" s="125"/>
      <c r="K457" s="126"/>
      <c r="L457" s="127"/>
      <c r="M457" s="128"/>
      <c r="N457" s="125"/>
      <c r="O457" s="126"/>
      <c r="P457" s="125"/>
      <c r="Q457" s="128"/>
      <c r="R457" s="125"/>
      <c r="S457" s="110">
        <v>20</v>
      </c>
      <c r="T457" s="40">
        <f t="shared" si="79"/>
        <v>4689.5999999999995</v>
      </c>
      <c r="U457" s="39"/>
      <c r="V457" s="40"/>
      <c r="W457" s="39"/>
      <c r="X457" s="40"/>
      <c r="Y457" s="39"/>
      <c r="Z457" s="40"/>
      <c r="AA457" s="39"/>
      <c r="AB457" s="40"/>
      <c r="AC457" s="39"/>
      <c r="AD457" s="40"/>
      <c r="AE457" s="39"/>
      <c r="AF457" s="40"/>
      <c r="AG457" s="39"/>
      <c r="AH457" s="40"/>
      <c r="AI457" s="39"/>
      <c r="AJ457" s="40"/>
      <c r="AK457" s="39"/>
      <c r="AL457" s="40"/>
      <c r="AM457" s="39"/>
      <c r="AN457" s="40"/>
      <c r="AO457" s="39"/>
      <c r="AP457" s="40"/>
      <c r="AQ457" s="84">
        <f t="shared" si="78"/>
        <v>20</v>
      </c>
      <c r="AR457" s="80">
        <v>234.48</v>
      </c>
      <c r="AS457" s="178">
        <f t="shared" si="80"/>
        <v>4689.5999999999995</v>
      </c>
    </row>
    <row r="458" spans="1:45" ht="28.5" hidden="1">
      <c r="A458" s="71">
        <v>432</v>
      </c>
      <c r="B458" s="37" t="s">
        <v>921</v>
      </c>
      <c r="C458" s="53" t="s">
        <v>1250</v>
      </c>
      <c r="D458" s="37">
        <v>295</v>
      </c>
      <c r="E458" s="37" t="s">
        <v>920</v>
      </c>
      <c r="F458" s="110" t="s">
        <v>12</v>
      </c>
      <c r="G458" s="125"/>
      <c r="H458" s="125"/>
      <c r="I458" s="125"/>
      <c r="J458" s="125"/>
      <c r="K458" s="126"/>
      <c r="L458" s="127"/>
      <c r="M458" s="128"/>
      <c r="N458" s="125"/>
      <c r="O458" s="126"/>
      <c r="P458" s="125"/>
      <c r="Q458" s="128"/>
      <c r="R458" s="125"/>
      <c r="S458" s="110">
        <v>20</v>
      </c>
      <c r="T458" s="40">
        <f t="shared" si="79"/>
        <v>4689.5999999999995</v>
      </c>
      <c r="U458" s="39"/>
      <c r="V458" s="40"/>
      <c r="W458" s="39"/>
      <c r="X458" s="40"/>
      <c r="Y458" s="39"/>
      <c r="Z458" s="40"/>
      <c r="AA458" s="39"/>
      <c r="AB458" s="40"/>
      <c r="AC458" s="39"/>
      <c r="AD458" s="40"/>
      <c r="AE458" s="39"/>
      <c r="AF458" s="40"/>
      <c r="AG458" s="39"/>
      <c r="AH458" s="40"/>
      <c r="AI458" s="39"/>
      <c r="AJ458" s="40"/>
      <c r="AK458" s="39"/>
      <c r="AL458" s="40"/>
      <c r="AM458" s="39"/>
      <c r="AN458" s="40"/>
      <c r="AO458" s="39"/>
      <c r="AP458" s="40"/>
      <c r="AQ458" s="84">
        <f t="shared" si="78"/>
        <v>20</v>
      </c>
      <c r="AR458" s="80">
        <v>234.48</v>
      </c>
      <c r="AS458" s="178">
        <f t="shared" si="80"/>
        <v>4689.5999999999995</v>
      </c>
    </row>
    <row r="459" spans="1:45" ht="28.5" hidden="1">
      <c r="A459" s="67">
        <v>433</v>
      </c>
      <c r="B459" s="37" t="s">
        <v>919</v>
      </c>
      <c r="C459" s="53" t="s">
        <v>1250</v>
      </c>
      <c r="D459" s="37">
        <v>295</v>
      </c>
      <c r="E459" s="37" t="s">
        <v>918</v>
      </c>
      <c r="F459" s="110" t="s">
        <v>12</v>
      </c>
      <c r="G459" s="125"/>
      <c r="H459" s="125"/>
      <c r="I459" s="125"/>
      <c r="J459" s="125"/>
      <c r="K459" s="126"/>
      <c r="L459" s="127"/>
      <c r="M459" s="128"/>
      <c r="N459" s="125"/>
      <c r="O459" s="126"/>
      <c r="P459" s="125"/>
      <c r="Q459" s="128"/>
      <c r="R459" s="125"/>
      <c r="S459" s="110">
        <v>20</v>
      </c>
      <c r="T459" s="40">
        <f t="shared" si="79"/>
        <v>4689.5999999999995</v>
      </c>
      <c r="U459" s="39"/>
      <c r="V459" s="40"/>
      <c r="W459" s="39"/>
      <c r="X459" s="40"/>
      <c r="Y459" s="39"/>
      <c r="Z459" s="40"/>
      <c r="AA459" s="39"/>
      <c r="AB459" s="40"/>
      <c r="AC459" s="39"/>
      <c r="AD459" s="40"/>
      <c r="AE459" s="39"/>
      <c r="AF459" s="40"/>
      <c r="AG459" s="39"/>
      <c r="AH459" s="40"/>
      <c r="AI459" s="39"/>
      <c r="AJ459" s="40"/>
      <c r="AK459" s="39"/>
      <c r="AL459" s="40"/>
      <c r="AM459" s="39"/>
      <c r="AN459" s="40"/>
      <c r="AO459" s="39"/>
      <c r="AP459" s="40"/>
      <c r="AQ459" s="84">
        <f t="shared" si="78"/>
        <v>20</v>
      </c>
      <c r="AR459" s="80">
        <v>234.48</v>
      </c>
      <c r="AS459" s="178">
        <f t="shared" si="80"/>
        <v>4689.5999999999995</v>
      </c>
    </row>
    <row r="460" spans="1:45" ht="28.5" hidden="1">
      <c r="A460" s="71">
        <v>434</v>
      </c>
      <c r="B460" s="37" t="s">
        <v>917</v>
      </c>
      <c r="C460" s="53" t="s">
        <v>1250</v>
      </c>
      <c r="D460" s="37">
        <v>295</v>
      </c>
      <c r="E460" s="37" t="s">
        <v>916</v>
      </c>
      <c r="F460" s="110" t="s">
        <v>12</v>
      </c>
      <c r="G460" s="125"/>
      <c r="H460" s="125"/>
      <c r="I460" s="125"/>
      <c r="J460" s="125"/>
      <c r="K460" s="126"/>
      <c r="L460" s="127"/>
      <c r="M460" s="128"/>
      <c r="N460" s="125"/>
      <c r="O460" s="126"/>
      <c r="P460" s="125"/>
      <c r="Q460" s="128"/>
      <c r="R460" s="125"/>
      <c r="S460" s="110">
        <v>20</v>
      </c>
      <c r="T460" s="40">
        <f t="shared" si="79"/>
        <v>4689.5999999999995</v>
      </c>
      <c r="U460" s="39"/>
      <c r="V460" s="40"/>
      <c r="W460" s="39"/>
      <c r="X460" s="40"/>
      <c r="Y460" s="39"/>
      <c r="Z460" s="40"/>
      <c r="AA460" s="39"/>
      <c r="AB460" s="40"/>
      <c r="AC460" s="39"/>
      <c r="AD460" s="40"/>
      <c r="AE460" s="39"/>
      <c r="AF460" s="40"/>
      <c r="AG460" s="39"/>
      <c r="AH460" s="40"/>
      <c r="AI460" s="39"/>
      <c r="AJ460" s="40"/>
      <c r="AK460" s="39"/>
      <c r="AL460" s="40"/>
      <c r="AM460" s="39"/>
      <c r="AN460" s="40"/>
      <c r="AO460" s="39"/>
      <c r="AP460" s="40"/>
      <c r="AQ460" s="84">
        <f t="shared" si="78"/>
        <v>20</v>
      </c>
      <c r="AR460" s="80">
        <v>234.48</v>
      </c>
      <c r="AS460" s="178">
        <f t="shared" si="80"/>
        <v>4689.5999999999995</v>
      </c>
    </row>
    <row r="461" spans="1:45" ht="28.5" hidden="1">
      <c r="A461" s="67">
        <v>435</v>
      </c>
      <c r="B461" s="37" t="s">
        <v>915</v>
      </c>
      <c r="C461" s="53" t="s">
        <v>1250</v>
      </c>
      <c r="D461" s="37">
        <v>295</v>
      </c>
      <c r="E461" s="37" t="s">
        <v>914</v>
      </c>
      <c r="F461" s="110" t="s">
        <v>12</v>
      </c>
      <c r="G461" s="125"/>
      <c r="H461" s="125"/>
      <c r="I461" s="125"/>
      <c r="J461" s="125"/>
      <c r="K461" s="126"/>
      <c r="L461" s="127"/>
      <c r="M461" s="128"/>
      <c r="N461" s="125"/>
      <c r="O461" s="126"/>
      <c r="P461" s="125"/>
      <c r="Q461" s="128"/>
      <c r="R461" s="125"/>
      <c r="S461" s="110">
        <v>20</v>
      </c>
      <c r="T461" s="40">
        <f t="shared" si="79"/>
        <v>8517</v>
      </c>
      <c r="U461" s="39"/>
      <c r="V461" s="40"/>
      <c r="W461" s="39"/>
      <c r="X461" s="40"/>
      <c r="Y461" s="39"/>
      <c r="Z461" s="40"/>
      <c r="AA461" s="39"/>
      <c r="AB461" s="40"/>
      <c r="AC461" s="39"/>
      <c r="AD461" s="40"/>
      <c r="AE461" s="39"/>
      <c r="AF461" s="40"/>
      <c r="AG461" s="39"/>
      <c r="AH461" s="40"/>
      <c r="AI461" s="39"/>
      <c r="AJ461" s="40"/>
      <c r="AK461" s="39"/>
      <c r="AL461" s="40"/>
      <c r="AM461" s="39"/>
      <c r="AN461" s="40"/>
      <c r="AO461" s="39"/>
      <c r="AP461" s="40"/>
      <c r="AQ461" s="84">
        <f t="shared" si="78"/>
        <v>20</v>
      </c>
      <c r="AR461" s="80">
        <v>425.85</v>
      </c>
      <c r="AS461" s="178">
        <f t="shared" si="80"/>
        <v>8517</v>
      </c>
    </row>
    <row r="462" spans="1:45" ht="28.5" hidden="1">
      <c r="A462" s="71">
        <v>436</v>
      </c>
      <c r="B462" s="37" t="s">
        <v>913</v>
      </c>
      <c r="C462" s="53" t="s">
        <v>1250</v>
      </c>
      <c r="D462" s="37">
        <v>295</v>
      </c>
      <c r="E462" s="37" t="s">
        <v>912</v>
      </c>
      <c r="F462" s="110" t="s">
        <v>12</v>
      </c>
      <c r="G462" s="125"/>
      <c r="H462" s="125"/>
      <c r="I462" s="125"/>
      <c r="J462" s="125"/>
      <c r="K462" s="126"/>
      <c r="L462" s="127"/>
      <c r="M462" s="128"/>
      <c r="N462" s="125"/>
      <c r="O462" s="126"/>
      <c r="P462" s="125"/>
      <c r="Q462" s="128"/>
      <c r="R462" s="125"/>
      <c r="S462" s="110">
        <v>20</v>
      </c>
      <c r="T462" s="40">
        <f t="shared" si="79"/>
        <v>8517</v>
      </c>
      <c r="U462" s="39"/>
      <c r="V462" s="40"/>
      <c r="W462" s="39"/>
      <c r="X462" s="40"/>
      <c r="Y462" s="39"/>
      <c r="Z462" s="40"/>
      <c r="AA462" s="39"/>
      <c r="AB462" s="40"/>
      <c r="AC462" s="39"/>
      <c r="AD462" s="40"/>
      <c r="AE462" s="39"/>
      <c r="AF462" s="40"/>
      <c r="AG462" s="39"/>
      <c r="AH462" s="40"/>
      <c r="AI462" s="39"/>
      <c r="AJ462" s="40"/>
      <c r="AK462" s="39"/>
      <c r="AL462" s="40"/>
      <c r="AM462" s="39"/>
      <c r="AN462" s="40"/>
      <c r="AO462" s="39"/>
      <c r="AP462" s="40"/>
      <c r="AQ462" s="84">
        <f t="shared" si="78"/>
        <v>20</v>
      </c>
      <c r="AR462" s="80">
        <v>425.85</v>
      </c>
      <c r="AS462" s="178">
        <f t="shared" si="80"/>
        <v>8517</v>
      </c>
    </row>
    <row r="463" spans="1:45" ht="28.5" hidden="1">
      <c r="A463" s="67">
        <v>437</v>
      </c>
      <c r="B463" s="37" t="s">
        <v>911</v>
      </c>
      <c r="C463" s="53" t="s">
        <v>1250</v>
      </c>
      <c r="D463" s="37">
        <v>295</v>
      </c>
      <c r="E463" s="37" t="s">
        <v>910</v>
      </c>
      <c r="F463" s="110" t="s">
        <v>12</v>
      </c>
      <c r="G463" s="125"/>
      <c r="H463" s="125"/>
      <c r="I463" s="125"/>
      <c r="J463" s="125"/>
      <c r="K463" s="126"/>
      <c r="L463" s="127"/>
      <c r="M463" s="128"/>
      <c r="N463" s="125"/>
      <c r="O463" s="126"/>
      <c r="P463" s="125"/>
      <c r="Q463" s="128"/>
      <c r="R463" s="125"/>
      <c r="S463" s="110">
        <v>20</v>
      </c>
      <c r="T463" s="40">
        <f t="shared" si="79"/>
        <v>4500</v>
      </c>
      <c r="U463" s="39"/>
      <c r="V463" s="40"/>
      <c r="W463" s="39"/>
      <c r="X463" s="40"/>
      <c r="Y463" s="39"/>
      <c r="Z463" s="40"/>
      <c r="AA463" s="39"/>
      <c r="AB463" s="40"/>
      <c r="AC463" s="39"/>
      <c r="AD463" s="40"/>
      <c r="AE463" s="39"/>
      <c r="AF463" s="40"/>
      <c r="AG463" s="39"/>
      <c r="AH463" s="40"/>
      <c r="AI463" s="39"/>
      <c r="AJ463" s="40"/>
      <c r="AK463" s="39"/>
      <c r="AL463" s="40"/>
      <c r="AM463" s="39"/>
      <c r="AN463" s="40"/>
      <c r="AO463" s="39"/>
      <c r="AP463" s="40"/>
      <c r="AQ463" s="84">
        <f t="shared" si="78"/>
        <v>20</v>
      </c>
      <c r="AR463" s="80">
        <v>225</v>
      </c>
      <c r="AS463" s="178">
        <f t="shared" si="80"/>
        <v>4500</v>
      </c>
    </row>
    <row r="464" spans="1:45" ht="28.5" hidden="1">
      <c r="A464" s="71">
        <v>438</v>
      </c>
      <c r="B464" s="37" t="s">
        <v>909</v>
      </c>
      <c r="C464" s="53" t="s">
        <v>1250</v>
      </c>
      <c r="D464" s="37">
        <v>295</v>
      </c>
      <c r="E464" s="37" t="s">
        <v>908</v>
      </c>
      <c r="F464" s="110" t="s">
        <v>12</v>
      </c>
      <c r="G464" s="125"/>
      <c r="H464" s="125"/>
      <c r="I464" s="125"/>
      <c r="J464" s="125"/>
      <c r="K464" s="126"/>
      <c r="L464" s="127"/>
      <c r="M464" s="128"/>
      <c r="N464" s="125"/>
      <c r="O464" s="126"/>
      <c r="P464" s="125"/>
      <c r="Q464" s="128"/>
      <c r="R464" s="125"/>
      <c r="S464" s="110">
        <v>20</v>
      </c>
      <c r="T464" s="40">
        <f t="shared" si="79"/>
        <v>4500</v>
      </c>
      <c r="U464" s="39"/>
      <c r="V464" s="40"/>
      <c r="W464" s="39"/>
      <c r="X464" s="40"/>
      <c r="Y464" s="39"/>
      <c r="Z464" s="40"/>
      <c r="AA464" s="39"/>
      <c r="AB464" s="40"/>
      <c r="AC464" s="39"/>
      <c r="AD464" s="40"/>
      <c r="AE464" s="39"/>
      <c r="AF464" s="40"/>
      <c r="AG464" s="39"/>
      <c r="AH464" s="40"/>
      <c r="AI464" s="39"/>
      <c r="AJ464" s="40"/>
      <c r="AK464" s="39"/>
      <c r="AL464" s="40"/>
      <c r="AM464" s="39"/>
      <c r="AN464" s="40"/>
      <c r="AO464" s="39"/>
      <c r="AP464" s="40"/>
      <c r="AQ464" s="84">
        <f t="shared" si="78"/>
        <v>20</v>
      </c>
      <c r="AR464" s="80">
        <v>225</v>
      </c>
      <c r="AS464" s="178">
        <f t="shared" si="80"/>
        <v>4500</v>
      </c>
    </row>
    <row r="465" spans="1:45" ht="28.5" hidden="1">
      <c r="A465" s="67">
        <v>439</v>
      </c>
      <c r="B465" s="37" t="s">
        <v>907</v>
      </c>
      <c r="C465" s="53" t="s">
        <v>1250</v>
      </c>
      <c r="D465" s="37">
        <v>295</v>
      </c>
      <c r="E465" s="37" t="s">
        <v>906</v>
      </c>
      <c r="F465" s="110" t="s">
        <v>12</v>
      </c>
      <c r="G465" s="125"/>
      <c r="H465" s="125"/>
      <c r="I465" s="125"/>
      <c r="J465" s="125"/>
      <c r="K465" s="126"/>
      <c r="L465" s="127"/>
      <c r="M465" s="128"/>
      <c r="N465" s="125"/>
      <c r="O465" s="126"/>
      <c r="P465" s="125"/>
      <c r="Q465" s="128"/>
      <c r="R465" s="125"/>
      <c r="S465" s="110">
        <v>20</v>
      </c>
      <c r="T465" s="40">
        <f t="shared" si="79"/>
        <v>4500</v>
      </c>
      <c r="U465" s="39"/>
      <c r="V465" s="40"/>
      <c r="W465" s="39"/>
      <c r="X465" s="40"/>
      <c r="Y465" s="39"/>
      <c r="Z465" s="40"/>
      <c r="AA465" s="39"/>
      <c r="AB465" s="40"/>
      <c r="AC465" s="39"/>
      <c r="AD465" s="40"/>
      <c r="AE465" s="39"/>
      <c r="AF465" s="40"/>
      <c r="AG465" s="39"/>
      <c r="AH465" s="40"/>
      <c r="AI465" s="39"/>
      <c r="AJ465" s="40"/>
      <c r="AK465" s="39"/>
      <c r="AL465" s="40"/>
      <c r="AM465" s="39"/>
      <c r="AN465" s="40"/>
      <c r="AO465" s="39"/>
      <c r="AP465" s="40"/>
      <c r="AQ465" s="84">
        <f t="shared" si="78"/>
        <v>20</v>
      </c>
      <c r="AR465" s="80">
        <v>225</v>
      </c>
      <c r="AS465" s="178">
        <f t="shared" si="80"/>
        <v>4500</v>
      </c>
    </row>
    <row r="466" spans="1:45" ht="28.5" hidden="1">
      <c r="A466" s="71">
        <v>440</v>
      </c>
      <c r="B466" s="37" t="s">
        <v>905</v>
      </c>
      <c r="C466" s="53" t="s">
        <v>1250</v>
      </c>
      <c r="D466" s="37">
        <v>295</v>
      </c>
      <c r="E466" s="37" t="s">
        <v>904</v>
      </c>
      <c r="F466" s="110" t="s">
        <v>12</v>
      </c>
      <c r="G466" s="125"/>
      <c r="H466" s="125"/>
      <c r="I466" s="125"/>
      <c r="J466" s="125"/>
      <c r="K466" s="126"/>
      <c r="L466" s="127"/>
      <c r="M466" s="128"/>
      <c r="N466" s="125"/>
      <c r="O466" s="126"/>
      <c r="P466" s="125"/>
      <c r="Q466" s="128"/>
      <c r="R466" s="125"/>
      <c r="S466" s="110">
        <v>20</v>
      </c>
      <c r="T466" s="40">
        <f t="shared" si="79"/>
        <v>4500</v>
      </c>
      <c r="U466" s="39"/>
      <c r="V466" s="40"/>
      <c r="W466" s="39"/>
      <c r="X466" s="40"/>
      <c r="Y466" s="39"/>
      <c r="Z466" s="40"/>
      <c r="AA466" s="39"/>
      <c r="AB466" s="40"/>
      <c r="AC466" s="39"/>
      <c r="AD466" s="40"/>
      <c r="AE466" s="39"/>
      <c r="AF466" s="40"/>
      <c r="AG466" s="39"/>
      <c r="AH466" s="40"/>
      <c r="AI466" s="39"/>
      <c r="AJ466" s="40"/>
      <c r="AK466" s="39"/>
      <c r="AL466" s="40"/>
      <c r="AM466" s="39"/>
      <c r="AN466" s="40"/>
      <c r="AO466" s="39"/>
      <c r="AP466" s="40"/>
      <c r="AQ466" s="84">
        <f t="shared" si="78"/>
        <v>20</v>
      </c>
      <c r="AR466" s="80">
        <v>225</v>
      </c>
      <c r="AS466" s="178">
        <f t="shared" si="80"/>
        <v>4500</v>
      </c>
    </row>
    <row r="467" spans="1:45" ht="28.5" hidden="1">
      <c r="A467" s="67">
        <v>441</v>
      </c>
      <c r="B467" s="37" t="s">
        <v>903</v>
      </c>
      <c r="C467" s="53" t="s">
        <v>1250</v>
      </c>
      <c r="D467" s="37">
        <v>295</v>
      </c>
      <c r="E467" s="37" t="s">
        <v>902</v>
      </c>
      <c r="F467" s="110" t="s">
        <v>12</v>
      </c>
      <c r="G467" s="125"/>
      <c r="H467" s="125"/>
      <c r="I467" s="125"/>
      <c r="J467" s="125"/>
      <c r="K467" s="126"/>
      <c r="L467" s="127"/>
      <c r="M467" s="128"/>
      <c r="N467" s="125"/>
      <c r="O467" s="126"/>
      <c r="P467" s="125"/>
      <c r="Q467" s="128"/>
      <c r="R467" s="125"/>
      <c r="S467" s="110">
        <v>20</v>
      </c>
      <c r="T467" s="40">
        <f t="shared" si="79"/>
        <v>4500</v>
      </c>
      <c r="U467" s="39"/>
      <c r="V467" s="40"/>
      <c r="W467" s="39"/>
      <c r="X467" s="40"/>
      <c r="Y467" s="39"/>
      <c r="Z467" s="40"/>
      <c r="AA467" s="39"/>
      <c r="AB467" s="40"/>
      <c r="AC467" s="39"/>
      <c r="AD467" s="40"/>
      <c r="AE467" s="39"/>
      <c r="AF467" s="40"/>
      <c r="AG467" s="39"/>
      <c r="AH467" s="40"/>
      <c r="AI467" s="39"/>
      <c r="AJ467" s="40"/>
      <c r="AK467" s="39"/>
      <c r="AL467" s="40"/>
      <c r="AM467" s="39"/>
      <c r="AN467" s="40"/>
      <c r="AO467" s="39"/>
      <c r="AP467" s="40"/>
      <c r="AQ467" s="84">
        <f t="shared" si="78"/>
        <v>20</v>
      </c>
      <c r="AR467" s="80">
        <v>225</v>
      </c>
      <c r="AS467" s="178">
        <f t="shared" si="80"/>
        <v>4500</v>
      </c>
    </row>
    <row r="468" spans="1:45" ht="28.5" hidden="1">
      <c r="A468" s="71">
        <v>442</v>
      </c>
      <c r="B468" s="37" t="s">
        <v>901</v>
      </c>
      <c r="C468" s="53" t="s">
        <v>1250</v>
      </c>
      <c r="D468" s="37">
        <v>295</v>
      </c>
      <c r="E468" s="37" t="s">
        <v>900</v>
      </c>
      <c r="F468" s="110" t="s">
        <v>12</v>
      </c>
      <c r="G468" s="125"/>
      <c r="H468" s="125"/>
      <c r="I468" s="125"/>
      <c r="J468" s="125"/>
      <c r="K468" s="126"/>
      <c r="L468" s="127"/>
      <c r="M468" s="128"/>
      <c r="N468" s="125"/>
      <c r="O468" s="126"/>
      <c r="P468" s="125"/>
      <c r="Q468" s="128"/>
      <c r="R468" s="125"/>
      <c r="S468" s="110">
        <v>20</v>
      </c>
      <c r="T468" s="40">
        <f t="shared" si="79"/>
        <v>4500</v>
      </c>
      <c r="U468" s="39"/>
      <c r="V468" s="40"/>
      <c r="W468" s="39"/>
      <c r="X468" s="40"/>
      <c r="Y468" s="39"/>
      <c r="Z468" s="40"/>
      <c r="AA468" s="39"/>
      <c r="AB468" s="40"/>
      <c r="AC468" s="39"/>
      <c r="AD468" s="40"/>
      <c r="AE468" s="39"/>
      <c r="AF468" s="40"/>
      <c r="AG468" s="39"/>
      <c r="AH468" s="40"/>
      <c r="AI468" s="39"/>
      <c r="AJ468" s="40"/>
      <c r="AK468" s="39"/>
      <c r="AL468" s="40"/>
      <c r="AM468" s="39"/>
      <c r="AN468" s="40"/>
      <c r="AO468" s="39"/>
      <c r="AP468" s="40"/>
      <c r="AQ468" s="84">
        <f t="shared" si="78"/>
        <v>20</v>
      </c>
      <c r="AR468" s="80">
        <v>225</v>
      </c>
      <c r="AS468" s="178">
        <f t="shared" si="80"/>
        <v>4500</v>
      </c>
    </row>
    <row r="469" spans="1:45" ht="28.5" hidden="1">
      <c r="A469" s="67">
        <v>443</v>
      </c>
      <c r="B469" s="37" t="s">
        <v>899</v>
      </c>
      <c r="C469" s="53" t="s">
        <v>1250</v>
      </c>
      <c r="D469" s="37">
        <v>295</v>
      </c>
      <c r="E469" s="37" t="s">
        <v>898</v>
      </c>
      <c r="F469" s="110" t="s">
        <v>12</v>
      </c>
      <c r="G469" s="125"/>
      <c r="H469" s="125"/>
      <c r="I469" s="125"/>
      <c r="J469" s="125"/>
      <c r="K469" s="126"/>
      <c r="L469" s="127"/>
      <c r="M469" s="128"/>
      <c r="N469" s="125"/>
      <c r="O469" s="126"/>
      <c r="P469" s="125"/>
      <c r="Q469" s="128"/>
      <c r="R469" s="125"/>
      <c r="S469" s="110">
        <v>20</v>
      </c>
      <c r="T469" s="40">
        <f t="shared" si="79"/>
        <v>4500</v>
      </c>
      <c r="U469" s="39"/>
      <c r="V469" s="40"/>
      <c r="W469" s="39"/>
      <c r="X469" s="40"/>
      <c r="Y469" s="39"/>
      <c r="Z469" s="40"/>
      <c r="AA469" s="39"/>
      <c r="AB469" s="40"/>
      <c r="AC469" s="39"/>
      <c r="AD469" s="40"/>
      <c r="AE469" s="39"/>
      <c r="AF469" s="40"/>
      <c r="AG469" s="39"/>
      <c r="AH469" s="40"/>
      <c r="AI469" s="39"/>
      <c r="AJ469" s="40"/>
      <c r="AK469" s="39"/>
      <c r="AL469" s="40"/>
      <c r="AM469" s="39"/>
      <c r="AN469" s="40"/>
      <c r="AO469" s="39"/>
      <c r="AP469" s="40"/>
      <c r="AQ469" s="84">
        <f t="shared" si="78"/>
        <v>20</v>
      </c>
      <c r="AR469" s="80">
        <v>225</v>
      </c>
      <c r="AS469" s="178">
        <f t="shared" si="80"/>
        <v>4500</v>
      </c>
    </row>
    <row r="470" spans="1:45" ht="28.5" hidden="1">
      <c r="A470" s="71">
        <v>444</v>
      </c>
      <c r="B470" s="37" t="s">
        <v>897</v>
      </c>
      <c r="C470" s="53" t="s">
        <v>1250</v>
      </c>
      <c r="D470" s="37">
        <v>295</v>
      </c>
      <c r="E470" s="37" t="s">
        <v>896</v>
      </c>
      <c r="F470" s="110" t="s">
        <v>12</v>
      </c>
      <c r="G470" s="125"/>
      <c r="H470" s="125"/>
      <c r="I470" s="125"/>
      <c r="J470" s="125"/>
      <c r="K470" s="126"/>
      <c r="L470" s="127"/>
      <c r="M470" s="128"/>
      <c r="N470" s="125"/>
      <c r="O470" s="126"/>
      <c r="P470" s="125"/>
      <c r="Q470" s="128"/>
      <c r="R470" s="125"/>
      <c r="S470" s="110">
        <v>20</v>
      </c>
      <c r="T470" s="40">
        <f t="shared" si="79"/>
        <v>4500</v>
      </c>
      <c r="U470" s="39"/>
      <c r="V470" s="40"/>
      <c r="W470" s="39"/>
      <c r="X470" s="40"/>
      <c r="Y470" s="39"/>
      <c r="Z470" s="40"/>
      <c r="AA470" s="39"/>
      <c r="AB470" s="40"/>
      <c r="AC470" s="39"/>
      <c r="AD470" s="40"/>
      <c r="AE470" s="39"/>
      <c r="AF470" s="40"/>
      <c r="AG470" s="39"/>
      <c r="AH470" s="40"/>
      <c r="AI470" s="39"/>
      <c r="AJ470" s="40"/>
      <c r="AK470" s="39"/>
      <c r="AL470" s="40"/>
      <c r="AM470" s="39"/>
      <c r="AN470" s="40"/>
      <c r="AO470" s="39"/>
      <c r="AP470" s="40"/>
      <c r="AQ470" s="84">
        <f t="shared" si="78"/>
        <v>20</v>
      </c>
      <c r="AR470" s="80">
        <v>225</v>
      </c>
      <c r="AS470" s="178">
        <f t="shared" si="80"/>
        <v>4500</v>
      </c>
    </row>
    <row r="471" spans="1:45" ht="28.5" hidden="1">
      <c r="A471" s="67">
        <v>445</v>
      </c>
      <c r="B471" s="37" t="s">
        <v>895</v>
      </c>
      <c r="C471" s="53" t="s">
        <v>1250</v>
      </c>
      <c r="D471" s="37">
        <v>295</v>
      </c>
      <c r="E471" s="37" t="s">
        <v>894</v>
      </c>
      <c r="F471" s="110" t="s">
        <v>12</v>
      </c>
      <c r="G471" s="125"/>
      <c r="H471" s="125"/>
      <c r="I471" s="125"/>
      <c r="J471" s="125"/>
      <c r="K471" s="126"/>
      <c r="L471" s="127"/>
      <c r="M471" s="128"/>
      <c r="N471" s="125"/>
      <c r="O471" s="126"/>
      <c r="P471" s="125"/>
      <c r="Q471" s="128"/>
      <c r="R471" s="125"/>
      <c r="S471" s="110">
        <v>20</v>
      </c>
      <c r="T471" s="40">
        <f t="shared" si="79"/>
        <v>4500</v>
      </c>
      <c r="U471" s="39"/>
      <c r="V471" s="40"/>
      <c r="W471" s="39"/>
      <c r="X471" s="40"/>
      <c r="Y471" s="39"/>
      <c r="Z471" s="40"/>
      <c r="AA471" s="39"/>
      <c r="AB471" s="40"/>
      <c r="AC471" s="39"/>
      <c r="AD471" s="40"/>
      <c r="AE471" s="39"/>
      <c r="AF471" s="40"/>
      <c r="AG471" s="39"/>
      <c r="AH471" s="40"/>
      <c r="AI471" s="39"/>
      <c r="AJ471" s="40"/>
      <c r="AK471" s="39"/>
      <c r="AL471" s="40"/>
      <c r="AM471" s="39"/>
      <c r="AN471" s="40"/>
      <c r="AO471" s="39"/>
      <c r="AP471" s="40"/>
      <c r="AQ471" s="84">
        <f t="shared" si="78"/>
        <v>20</v>
      </c>
      <c r="AR471" s="80">
        <v>225</v>
      </c>
      <c r="AS471" s="178">
        <f t="shared" si="80"/>
        <v>4500</v>
      </c>
    </row>
    <row r="472" spans="1:45" ht="28.5" hidden="1">
      <c r="A472" s="71">
        <v>446</v>
      </c>
      <c r="B472" s="37" t="s">
        <v>893</v>
      </c>
      <c r="C472" s="53" t="s">
        <v>1250</v>
      </c>
      <c r="D472" s="37">
        <v>295</v>
      </c>
      <c r="E472" s="37" t="s">
        <v>892</v>
      </c>
      <c r="F472" s="110" t="s">
        <v>12</v>
      </c>
      <c r="G472" s="125"/>
      <c r="H472" s="125"/>
      <c r="I472" s="125"/>
      <c r="J472" s="125"/>
      <c r="K472" s="126"/>
      <c r="L472" s="127"/>
      <c r="M472" s="128"/>
      <c r="N472" s="125"/>
      <c r="O472" s="126"/>
      <c r="P472" s="125"/>
      <c r="Q472" s="128"/>
      <c r="R472" s="125"/>
      <c r="S472" s="110">
        <v>20</v>
      </c>
      <c r="T472" s="40">
        <f t="shared" si="79"/>
        <v>4500</v>
      </c>
      <c r="U472" s="39"/>
      <c r="V472" s="40"/>
      <c r="W472" s="39"/>
      <c r="X472" s="40"/>
      <c r="Y472" s="39"/>
      <c r="Z472" s="40"/>
      <c r="AA472" s="39"/>
      <c r="AB472" s="40"/>
      <c r="AC472" s="39"/>
      <c r="AD472" s="40"/>
      <c r="AE472" s="39"/>
      <c r="AF472" s="40"/>
      <c r="AG472" s="39"/>
      <c r="AH472" s="40"/>
      <c r="AI472" s="39"/>
      <c r="AJ472" s="40"/>
      <c r="AK472" s="39"/>
      <c r="AL472" s="40"/>
      <c r="AM472" s="39"/>
      <c r="AN472" s="40"/>
      <c r="AO472" s="39"/>
      <c r="AP472" s="40"/>
      <c r="AQ472" s="84">
        <f t="shared" si="78"/>
        <v>20</v>
      </c>
      <c r="AR472" s="80">
        <v>225</v>
      </c>
      <c r="AS472" s="178">
        <f t="shared" si="80"/>
        <v>4500</v>
      </c>
    </row>
    <row r="473" spans="1:45" ht="28.5" hidden="1">
      <c r="A473" s="67">
        <v>447</v>
      </c>
      <c r="B473" s="37" t="s">
        <v>891</v>
      </c>
      <c r="C473" s="53" t="s">
        <v>1250</v>
      </c>
      <c r="D473" s="37">
        <v>295</v>
      </c>
      <c r="E473" s="37" t="s">
        <v>890</v>
      </c>
      <c r="F473" s="110" t="s">
        <v>12</v>
      </c>
      <c r="G473" s="125"/>
      <c r="H473" s="125"/>
      <c r="I473" s="125"/>
      <c r="J473" s="125"/>
      <c r="K473" s="126"/>
      <c r="L473" s="127"/>
      <c r="M473" s="128"/>
      <c r="N473" s="125"/>
      <c r="O473" s="126"/>
      <c r="P473" s="125"/>
      <c r="Q473" s="128"/>
      <c r="R473" s="125"/>
      <c r="S473" s="110">
        <v>20</v>
      </c>
      <c r="T473" s="40">
        <f t="shared" si="79"/>
        <v>4500</v>
      </c>
      <c r="U473" s="39"/>
      <c r="V473" s="40"/>
      <c r="W473" s="39"/>
      <c r="X473" s="40"/>
      <c r="Y473" s="39"/>
      <c r="Z473" s="40"/>
      <c r="AA473" s="39"/>
      <c r="AB473" s="40"/>
      <c r="AC473" s="39"/>
      <c r="AD473" s="40"/>
      <c r="AE473" s="39"/>
      <c r="AF473" s="40"/>
      <c r="AG473" s="39"/>
      <c r="AH473" s="40"/>
      <c r="AI473" s="39"/>
      <c r="AJ473" s="40"/>
      <c r="AK473" s="39"/>
      <c r="AL473" s="40"/>
      <c r="AM473" s="39"/>
      <c r="AN473" s="40"/>
      <c r="AO473" s="39"/>
      <c r="AP473" s="40"/>
      <c r="AQ473" s="84">
        <f t="shared" si="78"/>
        <v>20</v>
      </c>
      <c r="AR473" s="80">
        <v>225</v>
      </c>
      <c r="AS473" s="178">
        <f t="shared" si="80"/>
        <v>4500</v>
      </c>
    </row>
    <row r="474" spans="1:45" ht="28.5" hidden="1">
      <c r="A474" s="71">
        <v>448</v>
      </c>
      <c r="B474" s="37" t="s">
        <v>889</v>
      </c>
      <c r="C474" s="53" t="s">
        <v>1250</v>
      </c>
      <c r="D474" s="37">
        <v>295</v>
      </c>
      <c r="E474" s="37" t="s">
        <v>888</v>
      </c>
      <c r="F474" s="110" t="s">
        <v>12</v>
      </c>
      <c r="G474" s="125"/>
      <c r="H474" s="125"/>
      <c r="I474" s="125"/>
      <c r="J474" s="125"/>
      <c r="K474" s="126"/>
      <c r="L474" s="127"/>
      <c r="M474" s="128"/>
      <c r="N474" s="125"/>
      <c r="O474" s="126"/>
      <c r="P474" s="125"/>
      <c r="Q474" s="128"/>
      <c r="R474" s="125"/>
      <c r="S474" s="110">
        <v>20</v>
      </c>
      <c r="T474" s="40">
        <f t="shared" si="79"/>
        <v>4500</v>
      </c>
      <c r="U474" s="39"/>
      <c r="V474" s="40"/>
      <c r="W474" s="39"/>
      <c r="X474" s="40"/>
      <c r="Y474" s="39"/>
      <c r="Z474" s="40"/>
      <c r="AA474" s="39"/>
      <c r="AB474" s="40"/>
      <c r="AC474" s="39"/>
      <c r="AD474" s="40"/>
      <c r="AE474" s="39"/>
      <c r="AF474" s="40"/>
      <c r="AG474" s="39"/>
      <c r="AH474" s="40"/>
      <c r="AI474" s="39"/>
      <c r="AJ474" s="40"/>
      <c r="AK474" s="39"/>
      <c r="AL474" s="40"/>
      <c r="AM474" s="39"/>
      <c r="AN474" s="40"/>
      <c r="AO474" s="39"/>
      <c r="AP474" s="40"/>
      <c r="AQ474" s="84">
        <f t="shared" si="78"/>
        <v>20</v>
      </c>
      <c r="AR474" s="80">
        <v>225</v>
      </c>
      <c r="AS474" s="178">
        <f t="shared" si="80"/>
        <v>4500</v>
      </c>
    </row>
    <row r="475" spans="1:45" ht="28.5" hidden="1">
      <c r="A475" s="67">
        <v>449</v>
      </c>
      <c r="B475" s="37" t="s">
        <v>887</v>
      </c>
      <c r="C475" s="53" t="s">
        <v>1250</v>
      </c>
      <c r="D475" s="37">
        <v>295</v>
      </c>
      <c r="E475" s="37" t="s">
        <v>886</v>
      </c>
      <c r="F475" s="110" t="s">
        <v>12</v>
      </c>
      <c r="G475" s="125"/>
      <c r="H475" s="125"/>
      <c r="I475" s="125"/>
      <c r="J475" s="125"/>
      <c r="K475" s="126"/>
      <c r="L475" s="127"/>
      <c r="M475" s="128"/>
      <c r="N475" s="125"/>
      <c r="O475" s="126"/>
      <c r="P475" s="125"/>
      <c r="Q475" s="128"/>
      <c r="R475" s="125"/>
      <c r="S475" s="110">
        <v>20</v>
      </c>
      <c r="T475" s="40">
        <f t="shared" si="79"/>
        <v>4500</v>
      </c>
      <c r="U475" s="39"/>
      <c r="V475" s="40"/>
      <c r="W475" s="39"/>
      <c r="X475" s="40"/>
      <c r="Y475" s="39"/>
      <c r="Z475" s="40"/>
      <c r="AA475" s="39"/>
      <c r="AB475" s="40"/>
      <c r="AC475" s="39"/>
      <c r="AD475" s="40"/>
      <c r="AE475" s="39"/>
      <c r="AF475" s="40"/>
      <c r="AG475" s="39"/>
      <c r="AH475" s="40"/>
      <c r="AI475" s="39"/>
      <c r="AJ475" s="40"/>
      <c r="AK475" s="39"/>
      <c r="AL475" s="40"/>
      <c r="AM475" s="39"/>
      <c r="AN475" s="40"/>
      <c r="AO475" s="39"/>
      <c r="AP475" s="40"/>
      <c r="AQ475" s="84">
        <f t="shared" si="78"/>
        <v>20</v>
      </c>
      <c r="AR475" s="80">
        <v>225</v>
      </c>
      <c r="AS475" s="178">
        <f t="shared" si="80"/>
        <v>4500</v>
      </c>
    </row>
    <row r="476" spans="1:45" ht="28.5" hidden="1">
      <c r="A476" s="71">
        <v>450</v>
      </c>
      <c r="B476" s="37" t="s">
        <v>885</v>
      </c>
      <c r="C476" s="53" t="s">
        <v>1250</v>
      </c>
      <c r="D476" s="37">
        <v>295</v>
      </c>
      <c r="E476" s="37" t="s">
        <v>884</v>
      </c>
      <c r="F476" s="110" t="s">
        <v>12</v>
      </c>
      <c r="G476" s="125"/>
      <c r="H476" s="125"/>
      <c r="I476" s="125"/>
      <c r="J476" s="125"/>
      <c r="K476" s="126"/>
      <c r="L476" s="127"/>
      <c r="M476" s="128"/>
      <c r="N476" s="125"/>
      <c r="O476" s="126"/>
      <c r="P476" s="125"/>
      <c r="Q476" s="128"/>
      <c r="R476" s="125"/>
      <c r="S476" s="110">
        <v>20</v>
      </c>
      <c r="T476" s="40">
        <f t="shared" si="79"/>
        <v>4500</v>
      </c>
      <c r="U476" s="39"/>
      <c r="V476" s="40"/>
      <c r="W476" s="39"/>
      <c r="X476" s="40"/>
      <c r="Y476" s="39"/>
      <c r="Z476" s="40"/>
      <c r="AA476" s="39"/>
      <c r="AB476" s="40"/>
      <c r="AC476" s="39"/>
      <c r="AD476" s="40"/>
      <c r="AE476" s="39"/>
      <c r="AF476" s="40"/>
      <c r="AG476" s="39"/>
      <c r="AH476" s="40"/>
      <c r="AI476" s="39"/>
      <c r="AJ476" s="40"/>
      <c r="AK476" s="39"/>
      <c r="AL476" s="40"/>
      <c r="AM476" s="39"/>
      <c r="AN476" s="40"/>
      <c r="AO476" s="39"/>
      <c r="AP476" s="40"/>
      <c r="AQ476" s="84">
        <f t="shared" si="78"/>
        <v>20</v>
      </c>
      <c r="AR476" s="80">
        <v>225</v>
      </c>
      <c r="AS476" s="178">
        <f t="shared" si="80"/>
        <v>4500</v>
      </c>
    </row>
    <row r="477" spans="1:45" ht="28.5" hidden="1">
      <c r="A477" s="67">
        <v>451</v>
      </c>
      <c r="B477" s="37" t="s">
        <v>883</v>
      </c>
      <c r="C477" s="53" t="s">
        <v>1250</v>
      </c>
      <c r="D477" s="37">
        <v>295</v>
      </c>
      <c r="E477" s="37" t="s">
        <v>882</v>
      </c>
      <c r="F477" s="110" t="s">
        <v>12</v>
      </c>
      <c r="G477" s="125"/>
      <c r="H477" s="125"/>
      <c r="I477" s="125"/>
      <c r="J477" s="125"/>
      <c r="K477" s="126"/>
      <c r="L477" s="127"/>
      <c r="M477" s="128"/>
      <c r="N477" s="125"/>
      <c r="O477" s="126"/>
      <c r="P477" s="125"/>
      <c r="Q477" s="128"/>
      <c r="R477" s="125"/>
      <c r="S477" s="110">
        <v>20</v>
      </c>
      <c r="T477" s="40">
        <f t="shared" si="79"/>
        <v>4500</v>
      </c>
      <c r="U477" s="39"/>
      <c r="V477" s="40"/>
      <c r="W477" s="39"/>
      <c r="X477" s="40"/>
      <c r="Y477" s="39"/>
      <c r="Z477" s="40"/>
      <c r="AA477" s="39"/>
      <c r="AB477" s="40"/>
      <c r="AC477" s="39"/>
      <c r="AD477" s="40"/>
      <c r="AE477" s="39"/>
      <c r="AF477" s="40"/>
      <c r="AG477" s="39"/>
      <c r="AH477" s="40"/>
      <c r="AI477" s="39"/>
      <c r="AJ477" s="40"/>
      <c r="AK477" s="39"/>
      <c r="AL477" s="40"/>
      <c r="AM477" s="39"/>
      <c r="AN477" s="40"/>
      <c r="AO477" s="39"/>
      <c r="AP477" s="40"/>
      <c r="AQ477" s="84">
        <f t="shared" si="78"/>
        <v>20</v>
      </c>
      <c r="AR477" s="80">
        <v>225</v>
      </c>
      <c r="AS477" s="178">
        <f t="shared" si="80"/>
        <v>4500</v>
      </c>
    </row>
    <row r="478" spans="1:45" ht="28.5" hidden="1">
      <c r="A478" s="71">
        <v>452</v>
      </c>
      <c r="B478" s="37" t="s">
        <v>881</v>
      </c>
      <c r="C478" s="53" t="s">
        <v>1250</v>
      </c>
      <c r="D478" s="37">
        <v>295</v>
      </c>
      <c r="E478" s="37" t="s">
        <v>880</v>
      </c>
      <c r="F478" s="110" t="s">
        <v>12</v>
      </c>
      <c r="G478" s="125"/>
      <c r="H478" s="125"/>
      <c r="I478" s="125"/>
      <c r="J478" s="125"/>
      <c r="K478" s="126"/>
      <c r="L478" s="127"/>
      <c r="M478" s="128"/>
      <c r="N478" s="125"/>
      <c r="O478" s="126"/>
      <c r="P478" s="125"/>
      <c r="Q478" s="128"/>
      <c r="R478" s="125"/>
      <c r="S478" s="110">
        <v>20</v>
      </c>
      <c r="T478" s="40">
        <f t="shared" si="79"/>
        <v>4500</v>
      </c>
      <c r="U478" s="39"/>
      <c r="V478" s="40"/>
      <c r="W478" s="39"/>
      <c r="X478" s="40"/>
      <c r="Y478" s="39"/>
      <c r="Z478" s="40"/>
      <c r="AA478" s="39"/>
      <c r="AB478" s="40"/>
      <c r="AC478" s="39"/>
      <c r="AD478" s="40"/>
      <c r="AE478" s="39"/>
      <c r="AF478" s="40"/>
      <c r="AG478" s="39"/>
      <c r="AH478" s="40"/>
      <c r="AI478" s="39"/>
      <c r="AJ478" s="40"/>
      <c r="AK478" s="39"/>
      <c r="AL478" s="40"/>
      <c r="AM478" s="39"/>
      <c r="AN478" s="40"/>
      <c r="AO478" s="39"/>
      <c r="AP478" s="40"/>
      <c r="AQ478" s="84">
        <f t="shared" si="78"/>
        <v>20</v>
      </c>
      <c r="AR478" s="80">
        <v>225</v>
      </c>
      <c r="AS478" s="178">
        <f t="shared" si="80"/>
        <v>4500</v>
      </c>
    </row>
    <row r="479" spans="1:45" ht="28.5" hidden="1">
      <c r="A479" s="67">
        <v>453</v>
      </c>
      <c r="B479" s="37" t="s">
        <v>879</v>
      </c>
      <c r="C479" s="53" t="s">
        <v>1250</v>
      </c>
      <c r="D479" s="37">
        <v>295</v>
      </c>
      <c r="E479" s="37" t="s">
        <v>878</v>
      </c>
      <c r="F479" s="110" t="s">
        <v>12</v>
      </c>
      <c r="G479" s="125"/>
      <c r="H479" s="125"/>
      <c r="I479" s="125"/>
      <c r="J479" s="125"/>
      <c r="K479" s="126"/>
      <c r="L479" s="127"/>
      <c r="M479" s="128"/>
      <c r="N479" s="125"/>
      <c r="O479" s="126"/>
      <c r="P479" s="125"/>
      <c r="Q479" s="128"/>
      <c r="R479" s="125"/>
      <c r="S479" s="110">
        <v>20</v>
      </c>
      <c r="T479" s="40">
        <f t="shared" si="79"/>
        <v>4500</v>
      </c>
      <c r="U479" s="39"/>
      <c r="V479" s="40"/>
      <c r="W479" s="39"/>
      <c r="X479" s="40"/>
      <c r="Y479" s="39"/>
      <c r="Z479" s="40"/>
      <c r="AA479" s="39"/>
      <c r="AB479" s="40"/>
      <c r="AC479" s="39"/>
      <c r="AD479" s="40"/>
      <c r="AE479" s="39"/>
      <c r="AF479" s="40"/>
      <c r="AG479" s="39"/>
      <c r="AH479" s="40"/>
      <c r="AI479" s="39"/>
      <c r="AJ479" s="40"/>
      <c r="AK479" s="39"/>
      <c r="AL479" s="40"/>
      <c r="AM479" s="39"/>
      <c r="AN479" s="40"/>
      <c r="AO479" s="39"/>
      <c r="AP479" s="40"/>
      <c r="AQ479" s="84">
        <f t="shared" si="78"/>
        <v>20</v>
      </c>
      <c r="AR479" s="80">
        <v>225</v>
      </c>
      <c r="AS479" s="178">
        <f t="shared" si="80"/>
        <v>4500</v>
      </c>
    </row>
    <row r="480" spans="1:45" ht="28.5" hidden="1">
      <c r="A480" s="71">
        <v>454</v>
      </c>
      <c r="B480" s="37" t="s">
        <v>877</v>
      </c>
      <c r="C480" s="53" t="s">
        <v>1250</v>
      </c>
      <c r="D480" s="37">
        <v>295</v>
      </c>
      <c r="E480" s="37" t="s">
        <v>876</v>
      </c>
      <c r="F480" s="110" t="s">
        <v>12</v>
      </c>
      <c r="G480" s="125"/>
      <c r="H480" s="125"/>
      <c r="I480" s="125"/>
      <c r="J480" s="125"/>
      <c r="K480" s="126"/>
      <c r="L480" s="127"/>
      <c r="M480" s="128"/>
      <c r="N480" s="125"/>
      <c r="O480" s="126"/>
      <c r="P480" s="125"/>
      <c r="Q480" s="128"/>
      <c r="R480" s="125"/>
      <c r="S480" s="110">
        <v>20</v>
      </c>
      <c r="T480" s="40">
        <f t="shared" si="79"/>
        <v>7464</v>
      </c>
      <c r="U480" s="39"/>
      <c r="V480" s="40"/>
      <c r="W480" s="39"/>
      <c r="X480" s="40"/>
      <c r="Y480" s="39"/>
      <c r="Z480" s="40"/>
      <c r="AA480" s="39"/>
      <c r="AB480" s="40"/>
      <c r="AC480" s="39"/>
      <c r="AD480" s="40"/>
      <c r="AE480" s="39"/>
      <c r="AF480" s="40"/>
      <c r="AG480" s="39"/>
      <c r="AH480" s="40"/>
      <c r="AI480" s="39"/>
      <c r="AJ480" s="40"/>
      <c r="AK480" s="39"/>
      <c r="AL480" s="40"/>
      <c r="AM480" s="39"/>
      <c r="AN480" s="40"/>
      <c r="AO480" s="39"/>
      <c r="AP480" s="40"/>
      <c r="AQ480" s="84">
        <f t="shared" si="78"/>
        <v>20</v>
      </c>
      <c r="AR480" s="80">
        <v>373.2</v>
      </c>
      <c r="AS480" s="178">
        <f t="shared" si="80"/>
        <v>7464</v>
      </c>
    </row>
    <row r="481" spans="1:45" ht="28.5" hidden="1">
      <c r="A481" s="67">
        <v>455</v>
      </c>
      <c r="B481" s="37" t="s">
        <v>875</v>
      </c>
      <c r="C481" s="53" t="s">
        <v>1250</v>
      </c>
      <c r="D481" s="37">
        <v>295</v>
      </c>
      <c r="E481" s="37" t="s">
        <v>874</v>
      </c>
      <c r="F481" s="110" t="s">
        <v>12</v>
      </c>
      <c r="G481" s="125"/>
      <c r="H481" s="125"/>
      <c r="I481" s="125"/>
      <c r="J481" s="125"/>
      <c r="K481" s="126"/>
      <c r="L481" s="127"/>
      <c r="M481" s="128"/>
      <c r="N481" s="125"/>
      <c r="O481" s="126"/>
      <c r="P481" s="125"/>
      <c r="Q481" s="128"/>
      <c r="R481" s="125"/>
      <c r="S481" s="110">
        <v>20</v>
      </c>
      <c r="T481" s="40">
        <f t="shared" si="79"/>
        <v>7464</v>
      </c>
      <c r="U481" s="39"/>
      <c r="V481" s="40"/>
      <c r="W481" s="39"/>
      <c r="X481" s="40"/>
      <c r="Y481" s="39"/>
      <c r="Z481" s="40"/>
      <c r="AA481" s="39"/>
      <c r="AB481" s="40"/>
      <c r="AC481" s="39"/>
      <c r="AD481" s="40"/>
      <c r="AE481" s="39"/>
      <c r="AF481" s="40"/>
      <c r="AG481" s="39"/>
      <c r="AH481" s="40"/>
      <c r="AI481" s="39"/>
      <c r="AJ481" s="40"/>
      <c r="AK481" s="39"/>
      <c r="AL481" s="40"/>
      <c r="AM481" s="39"/>
      <c r="AN481" s="40"/>
      <c r="AO481" s="39"/>
      <c r="AP481" s="40"/>
      <c r="AQ481" s="84">
        <f t="shared" si="78"/>
        <v>20</v>
      </c>
      <c r="AR481" s="80">
        <v>373.2</v>
      </c>
      <c r="AS481" s="178">
        <f t="shared" si="80"/>
        <v>7464</v>
      </c>
    </row>
    <row r="482" spans="1:45" ht="28.5" hidden="1">
      <c r="A482" s="71">
        <v>456</v>
      </c>
      <c r="B482" s="37" t="s">
        <v>873</v>
      </c>
      <c r="C482" s="53" t="s">
        <v>1250</v>
      </c>
      <c r="D482" s="37">
        <v>295</v>
      </c>
      <c r="E482" s="37" t="s">
        <v>872</v>
      </c>
      <c r="F482" s="110" t="s">
        <v>12</v>
      </c>
      <c r="G482" s="125"/>
      <c r="H482" s="125"/>
      <c r="I482" s="125"/>
      <c r="J482" s="125"/>
      <c r="K482" s="126"/>
      <c r="L482" s="127"/>
      <c r="M482" s="128"/>
      <c r="N482" s="125"/>
      <c r="O482" s="126"/>
      <c r="P482" s="125"/>
      <c r="Q482" s="128"/>
      <c r="R482" s="125"/>
      <c r="S482" s="110">
        <v>20</v>
      </c>
      <c r="T482" s="40">
        <f t="shared" si="79"/>
        <v>7464</v>
      </c>
      <c r="U482" s="39"/>
      <c r="V482" s="40"/>
      <c r="W482" s="39"/>
      <c r="X482" s="40"/>
      <c r="Y482" s="39"/>
      <c r="Z482" s="40"/>
      <c r="AA482" s="39"/>
      <c r="AB482" s="40"/>
      <c r="AC482" s="39"/>
      <c r="AD482" s="40"/>
      <c r="AE482" s="39"/>
      <c r="AF482" s="40"/>
      <c r="AG482" s="39"/>
      <c r="AH482" s="40"/>
      <c r="AI482" s="39"/>
      <c r="AJ482" s="40"/>
      <c r="AK482" s="39"/>
      <c r="AL482" s="40"/>
      <c r="AM482" s="39"/>
      <c r="AN482" s="40"/>
      <c r="AO482" s="39"/>
      <c r="AP482" s="40"/>
      <c r="AQ482" s="84">
        <f t="shared" si="78"/>
        <v>20</v>
      </c>
      <c r="AR482" s="80">
        <v>373.2</v>
      </c>
      <c r="AS482" s="178">
        <f t="shared" si="80"/>
        <v>7464</v>
      </c>
    </row>
    <row r="483" spans="1:45" ht="28.5" hidden="1">
      <c r="A483" s="67">
        <v>457</v>
      </c>
      <c r="B483" s="37" t="s">
        <v>871</v>
      </c>
      <c r="C483" s="53" t="s">
        <v>1250</v>
      </c>
      <c r="D483" s="37">
        <v>295</v>
      </c>
      <c r="E483" s="37" t="s">
        <v>870</v>
      </c>
      <c r="F483" s="110" t="s">
        <v>12</v>
      </c>
      <c r="G483" s="125"/>
      <c r="H483" s="125"/>
      <c r="I483" s="125"/>
      <c r="J483" s="125"/>
      <c r="K483" s="126"/>
      <c r="L483" s="127"/>
      <c r="M483" s="128"/>
      <c r="N483" s="125"/>
      <c r="O483" s="126"/>
      <c r="P483" s="125"/>
      <c r="Q483" s="128"/>
      <c r="R483" s="125"/>
      <c r="S483" s="110">
        <v>20</v>
      </c>
      <c r="T483" s="40">
        <f t="shared" si="79"/>
        <v>7464</v>
      </c>
      <c r="U483" s="39"/>
      <c r="V483" s="40"/>
      <c r="W483" s="39"/>
      <c r="X483" s="40"/>
      <c r="Y483" s="39"/>
      <c r="Z483" s="40"/>
      <c r="AA483" s="39"/>
      <c r="AB483" s="40"/>
      <c r="AC483" s="39"/>
      <c r="AD483" s="40"/>
      <c r="AE483" s="39"/>
      <c r="AF483" s="40"/>
      <c r="AG483" s="39"/>
      <c r="AH483" s="40"/>
      <c r="AI483" s="39"/>
      <c r="AJ483" s="40"/>
      <c r="AK483" s="39"/>
      <c r="AL483" s="40"/>
      <c r="AM483" s="39"/>
      <c r="AN483" s="40"/>
      <c r="AO483" s="39"/>
      <c r="AP483" s="40"/>
      <c r="AQ483" s="84">
        <f t="shared" ref="AQ483:AQ546" si="81">+AO483+AM483+AK483+AI483+AG483+AE483+AC483+AA483+Y483+W483+U483+S483+Q483+O483+M483+K483+I483+G483</f>
        <v>20</v>
      </c>
      <c r="AR483" s="80">
        <v>373.2</v>
      </c>
      <c r="AS483" s="178">
        <f t="shared" si="80"/>
        <v>7464</v>
      </c>
    </row>
    <row r="484" spans="1:45" ht="28.5" hidden="1">
      <c r="A484" s="71">
        <v>458</v>
      </c>
      <c r="B484" s="37" t="s">
        <v>869</v>
      </c>
      <c r="C484" s="53" t="s">
        <v>1250</v>
      </c>
      <c r="D484" s="37">
        <v>295</v>
      </c>
      <c r="E484" s="37" t="s">
        <v>868</v>
      </c>
      <c r="F484" s="110" t="s">
        <v>12</v>
      </c>
      <c r="G484" s="125"/>
      <c r="H484" s="125"/>
      <c r="I484" s="125"/>
      <c r="J484" s="125"/>
      <c r="K484" s="126"/>
      <c r="L484" s="127"/>
      <c r="M484" s="128"/>
      <c r="N484" s="125"/>
      <c r="O484" s="126"/>
      <c r="P484" s="125"/>
      <c r="Q484" s="128"/>
      <c r="R484" s="125"/>
      <c r="S484" s="110">
        <v>20</v>
      </c>
      <c r="T484" s="40">
        <f t="shared" si="79"/>
        <v>4500</v>
      </c>
      <c r="U484" s="39"/>
      <c r="V484" s="40"/>
      <c r="W484" s="39"/>
      <c r="X484" s="40"/>
      <c r="Y484" s="39"/>
      <c r="Z484" s="40"/>
      <c r="AA484" s="39"/>
      <c r="AB484" s="40"/>
      <c r="AC484" s="39"/>
      <c r="AD484" s="40"/>
      <c r="AE484" s="39"/>
      <c r="AF484" s="40"/>
      <c r="AG484" s="39"/>
      <c r="AH484" s="40"/>
      <c r="AI484" s="39"/>
      <c r="AJ484" s="40"/>
      <c r="AK484" s="39"/>
      <c r="AL484" s="40"/>
      <c r="AM484" s="39"/>
      <c r="AN484" s="40"/>
      <c r="AO484" s="39"/>
      <c r="AP484" s="40"/>
      <c r="AQ484" s="84">
        <f t="shared" si="81"/>
        <v>20</v>
      </c>
      <c r="AR484" s="80">
        <v>225</v>
      </c>
      <c r="AS484" s="178">
        <f t="shared" si="80"/>
        <v>4500</v>
      </c>
    </row>
    <row r="485" spans="1:45" ht="28.5" hidden="1">
      <c r="A485" s="67">
        <v>459</v>
      </c>
      <c r="B485" s="37" t="s">
        <v>867</v>
      </c>
      <c r="C485" s="53" t="s">
        <v>1250</v>
      </c>
      <c r="D485" s="37">
        <v>295</v>
      </c>
      <c r="E485" s="37" t="s">
        <v>866</v>
      </c>
      <c r="F485" s="110" t="s">
        <v>12</v>
      </c>
      <c r="G485" s="125"/>
      <c r="H485" s="125"/>
      <c r="I485" s="125"/>
      <c r="J485" s="125"/>
      <c r="K485" s="126"/>
      <c r="L485" s="127"/>
      <c r="M485" s="128"/>
      <c r="N485" s="125"/>
      <c r="O485" s="126"/>
      <c r="P485" s="125"/>
      <c r="Q485" s="128"/>
      <c r="R485" s="125"/>
      <c r="S485" s="110">
        <v>20</v>
      </c>
      <c r="T485" s="40">
        <f t="shared" si="79"/>
        <v>4500</v>
      </c>
      <c r="U485" s="39"/>
      <c r="V485" s="40"/>
      <c r="W485" s="39"/>
      <c r="X485" s="40"/>
      <c r="Y485" s="39"/>
      <c r="Z485" s="40"/>
      <c r="AA485" s="39"/>
      <c r="AB485" s="40"/>
      <c r="AC485" s="39"/>
      <c r="AD485" s="40"/>
      <c r="AE485" s="39"/>
      <c r="AF485" s="40"/>
      <c r="AG485" s="39"/>
      <c r="AH485" s="40"/>
      <c r="AI485" s="39"/>
      <c r="AJ485" s="40"/>
      <c r="AK485" s="39"/>
      <c r="AL485" s="40"/>
      <c r="AM485" s="39"/>
      <c r="AN485" s="40"/>
      <c r="AO485" s="39"/>
      <c r="AP485" s="40"/>
      <c r="AQ485" s="84">
        <f t="shared" si="81"/>
        <v>20</v>
      </c>
      <c r="AR485" s="80">
        <v>225</v>
      </c>
      <c r="AS485" s="178">
        <f t="shared" si="80"/>
        <v>4500</v>
      </c>
    </row>
    <row r="486" spans="1:45" ht="28.5" hidden="1">
      <c r="A486" s="71">
        <v>460</v>
      </c>
      <c r="B486" s="37" t="s">
        <v>865</v>
      </c>
      <c r="C486" s="53" t="s">
        <v>1250</v>
      </c>
      <c r="D486" s="37">
        <v>295</v>
      </c>
      <c r="E486" s="37" t="s">
        <v>864</v>
      </c>
      <c r="F486" s="110" t="s">
        <v>12</v>
      </c>
      <c r="G486" s="125"/>
      <c r="H486" s="125"/>
      <c r="I486" s="125"/>
      <c r="J486" s="125"/>
      <c r="K486" s="126"/>
      <c r="L486" s="127"/>
      <c r="M486" s="128"/>
      <c r="N486" s="125"/>
      <c r="O486" s="126"/>
      <c r="P486" s="125"/>
      <c r="Q486" s="128"/>
      <c r="R486" s="125"/>
      <c r="S486" s="110">
        <v>20</v>
      </c>
      <c r="T486" s="40">
        <f t="shared" si="79"/>
        <v>7464</v>
      </c>
      <c r="U486" s="39"/>
      <c r="V486" s="40"/>
      <c r="W486" s="39"/>
      <c r="X486" s="40"/>
      <c r="Y486" s="39"/>
      <c r="Z486" s="40"/>
      <c r="AA486" s="39"/>
      <c r="AB486" s="40"/>
      <c r="AC486" s="39"/>
      <c r="AD486" s="40"/>
      <c r="AE486" s="39"/>
      <c r="AF486" s="40"/>
      <c r="AG486" s="39"/>
      <c r="AH486" s="40"/>
      <c r="AI486" s="39"/>
      <c r="AJ486" s="40"/>
      <c r="AK486" s="39"/>
      <c r="AL486" s="40"/>
      <c r="AM486" s="39"/>
      <c r="AN486" s="40"/>
      <c r="AO486" s="39"/>
      <c r="AP486" s="40"/>
      <c r="AQ486" s="84">
        <f t="shared" si="81"/>
        <v>20</v>
      </c>
      <c r="AR486" s="80">
        <v>373.2</v>
      </c>
      <c r="AS486" s="178">
        <f t="shared" si="80"/>
        <v>7464</v>
      </c>
    </row>
    <row r="487" spans="1:45" ht="28.5" hidden="1">
      <c r="A487" s="67">
        <v>461</v>
      </c>
      <c r="B487" s="37" t="s">
        <v>863</v>
      </c>
      <c r="C487" s="53" t="s">
        <v>1250</v>
      </c>
      <c r="D487" s="37">
        <v>295</v>
      </c>
      <c r="E487" s="37" t="s">
        <v>862</v>
      </c>
      <c r="F487" s="110" t="s">
        <v>12</v>
      </c>
      <c r="G487" s="125"/>
      <c r="H487" s="125"/>
      <c r="I487" s="125"/>
      <c r="J487" s="125"/>
      <c r="K487" s="126"/>
      <c r="L487" s="127"/>
      <c r="M487" s="128"/>
      <c r="N487" s="125"/>
      <c r="O487" s="126"/>
      <c r="P487" s="125"/>
      <c r="Q487" s="128"/>
      <c r="R487" s="125"/>
      <c r="S487" s="110">
        <v>20</v>
      </c>
      <c r="T487" s="40">
        <f t="shared" si="79"/>
        <v>7464</v>
      </c>
      <c r="U487" s="39"/>
      <c r="V487" s="40"/>
      <c r="W487" s="39"/>
      <c r="X487" s="40"/>
      <c r="Y487" s="39"/>
      <c r="Z487" s="40"/>
      <c r="AA487" s="39"/>
      <c r="AB487" s="40"/>
      <c r="AC487" s="39"/>
      <c r="AD487" s="40"/>
      <c r="AE487" s="39"/>
      <c r="AF487" s="40"/>
      <c r="AG487" s="39"/>
      <c r="AH487" s="40"/>
      <c r="AI487" s="39"/>
      <c r="AJ487" s="40"/>
      <c r="AK487" s="39"/>
      <c r="AL487" s="40"/>
      <c r="AM487" s="39"/>
      <c r="AN487" s="40"/>
      <c r="AO487" s="39"/>
      <c r="AP487" s="40"/>
      <c r="AQ487" s="84">
        <f t="shared" si="81"/>
        <v>20</v>
      </c>
      <c r="AR487" s="80">
        <v>373.2</v>
      </c>
      <c r="AS487" s="178">
        <f t="shared" si="80"/>
        <v>7464</v>
      </c>
    </row>
    <row r="488" spans="1:45" ht="28.5" hidden="1">
      <c r="A488" s="71">
        <v>462</v>
      </c>
      <c r="B488" s="37" t="s">
        <v>861</v>
      </c>
      <c r="C488" s="53" t="s">
        <v>1250</v>
      </c>
      <c r="D488" s="37">
        <v>295</v>
      </c>
      <c r="E488" s="37" t="s">
        <v>860</v>
      </c>
      <c r="F488" s="110" t="s">
        <v>12</v>
      </c>
      <c r="G488" s="125"/>
      <c r="H488" s="125"/>
      <c r="I488" s="125"/>
      <c r="J488" s="125"/>
      <c r="K488" s="126"/>
      <c r="L488" s="127"/>
      <c r="M488" s="128"/>
      <c r="N488" s="125"/>
      <c r="O488" s="126"/>
      <c r="P488" s="125"/>
      <c r="Q488" s="128"/>
      <c r="R488" s="125"/>
      <c r="S488" s="110">
        <v>20</v>
      </c>
      <c r="T488" s="40">
        <f t="shared" si="79"/>
        <v>7464</v>
      </c>
      <c r="U488" s="39"/>
      <c r="V488" s="40"/>
      <c r="W488" s="39"/>
      <c r="X488" s="40"/>
      <c r="Y488" s="39"/>
      <c r="Z488" s="40"/>
      <c r="AA488" s="39"/>
      <c r="AB488" s="40"/>
      <c r="AC488" s="39"/>
      <c r="AD488" s="40"/>
      <c r="AE488" s="39"/>
      <c r="AF488" s="40"/>
      <c r="AG488" s="39"/>
      <c r="AH488" s="40"/>
      <c r="AI488" s="39"/>
      <c r="AJ488" s="40"/>
      <c r="AK488" s="39"/>
      <c r="AL488" s="40"/>
      <c r="AM488" s="39"/>
      <c r="AN488" s="40"/>
      <c r="AO488" s="39"/>
      <c r="AP488" s="40"/>
      <c r="AQ488" s="84">
        <f t="shared" si="81"/>
        <v>20</v>
      </c>
      <c r="AR488" s="80">
        <v>373.2</v>
      </c>
      <c r="AS488" s="178">
        <f t="shared" si="80"/>
        <v>7464</v>
      </c>
    </row>
    <row r="489" spans="1:45" ht="28.5" hidden="1">
      <c r="A489" s="67">
        <v>463</v>
      </c>
      <c r="B489" s="37" t="s">
        <v>859</v>
      </c>
      <c r="C489" s="53" t="s">
        <v>1250</v>
      </c>
      <c r="D489" s="37">
        <v>295</v>
      </c>
      <c r="E489" s="37" t="s">
        <v>858</v>
      </c>
      <c r="F489" s="110" t="s">
        <v>12</v>
      </c>
      <c r="G489" s="125"/>
      <c r="H489" s="125"/>
      <c r="I489" s="125"/>
      <c r="J489" s="125"/>
      <c r="K489" s="126"/>
      <c r="L489" s="127"/>
      <c r="M489" s="128"/>
      <c r="N489" s="125"/>
      <c r="O489" s="126"/>
      <c r="P489" s="125"/>
      <c r="Q489" s="128"/>
      <c r="R489" s="125"/>
      <c r="S489" s="110">
        <v>20</v>
      </c>
      <c r="T489" s="40">
        <f t="shared" si="79"/>
        <v>9000</v>
      </c>
      <c r="U489" s="39"/>
      <c r="V489" s="40"/>
      <c r="W489" s="39"/>
      <c r="X489" s="40"/>
      <c r="Y489" s="39"/>
      <c r="Z489" s="40"/>
      <c r="AA489" s="39"/>
      <c r="AB489" s="40"/>
      <c r="AC489" s="39"/>
      <c r="AD489" s="40"/>
      <c r="AE489" s="39"/>
      <c r="AF489" s="40"/>
      <c r="AG489" s="39"/>
      <c r="AH489" s="40"/>
      <c r="AI489" s="39"/>
      <c r="AJ489" s="40"/>
      <c r="AK489" s="39"/>
      <c r="AL489" s="40"/>
      <c r="AM489" s="39"/>
      <c r="AN489" s="40"/>
      <c r="AO489" s="39"/>
      <c r="AP489" s="40"/>
      <c r="AQ489" s="84">
        <f t="shared" si="81"/>
        <v>20</v>
      </c>
      <c r="AR489" s="80">
        <v>450</v>
      </c>
      <c r="AS489" s="178">
        <f t="shared" si="80"/>
        <v>9000</v>
      </c>
    </row>
    <row r="490" spans="1:45" ht="28.5" hidden="1">
      <c r="A490" s="71">
        <v>464</v>
      </c>
      <c r="B490" s="37" t="s">
        <v>857</v>
      </c>
      <c r="C490" s="53" t="s">
        <v>1250</v>
      </c>
      <c r="D490" s="37">
        <v>295</v>
      </c>
      <c r="E490" s="37" t="s">
        <v>856</v>
      </c>
      <c r="F490" s="110" t="s">
        <v>12</v>
      </c>
      <c r="G490" s="125"/>
      <c r="H490" s="125"/>
      <c r="I490" s="125"/>
      <c r="J490" s="125"/>
      <c r="K490" s="126"/>
      <c r="L490" s="127"/>
      <c r="M490" s="128"/>
      <c r="N490" s="125"/>
      <c r="O490" s="126"/>
      <c r="P490" s="125"/>
      <c r="Q490" s="128"/>
      <c r="R490" s="125"/>
      <c r="S490" s="110">
        <v>20</v>
      </c>
      <c r="T490" s="40">
        <f t="shared" si="79"/>
        <v>4689.5999999999995</v>
      </c>
      <c r="U490" s="39"/>
      <c r="V490" s="40"/>
      <c r="W490" s="39"/>
      <c r="X490" s="40"/>
      <c r="Y490" s="39"/>
      <c r="Z490" s="40"/>
      <c r="AA490" s="39"/>
      <c r="AB490" s="40"/>
      <c r="AC490" s="39"/>
      <c r="AD490" s="40"/>
      <c r="AE490" s="39"/>
      <c r="AF490" s="40"/>
      <c r="AG490" s="39"/>
      <c r="AH490" s="40"/>
      <c r="AI490" s="39"/>
      <c r="AJ490" s="40"/>
      <c r="AK490" s="39"/>
      <c r="AL490" s="40"/>
      <c r="AM490" s="39"/>
      <c r="AN490" s="40"/>
      <c r="AO490" s="39"/>
      <c r="AP490" s="40"/>
      <c r="AQ490" s="84">
        <f t="shared" si="81"/>
        <v>20</v>
      </c>
      <c r="AR490" s="80">
        <v>234.48</v>
      </c>
      <c r="AS490" s="178">
        <f t="shared" si="80"/>
        <v>4689.5999999999995</v>
      </c>
    </row>
    <row r="491" spans="1:45" ht="28.5" hidden="1">
      <c r="A491" s="67">
        <v>465</v>
      </c>
      <c r="B491" s="37" t="s">
        <v>855</v>
      </c>
      <c r="C491" s="53" t="s">
        <v>1250</v>
      </c>
      <c r="D491" s="37">
        <v>295</v>
      </c>
      <c r="E491" s="37" t="s">
        <v>854</v>
      </c>
      <c r="F491" s="110" t="s">
        <v>12</v>
      </c>
      <c r="G491" s="125"/>
      <c r="H491" s="125"/>
      <c r="I491" s="125"/>
      <c r="J491" s="125"/>
      <c r="K491" s="126"/>
      <c r="L491" s="127"/>
      <c r="M491" s="128"/>
      <c r="N491" s="125"/>
      <c r="O491" s="126"/>
      <c r="P491" s="125"/>
      <c r="Q491" s="128"/>
      <c r="R491" s="125"/>
      <c r="S491" s="110">
        <v>20</v>
      </c>
      <c r="T491" s="40">
        <f t="shared" si="79"/>
        <v>11340.4</v>
      </c>
      <c r="U491" s="39"/>
      <c r="V491" s="40"/>
      <c r="W491" s="39"/>
      <c r="X491" s="40"/>
      <c r="Y491" s="39"/>
      <c r="Z491" s="40"/>
      <c r="AA491" s="39"/>
      <c r="AB491" s="40"/>
      <c r="AC491" s="39"/>
      <c r="AD491" s="40"/>
      <c r="AE491" s="39"/>
      <c r="AF491" s="40"/>
      <c r="AG491" s="39"/>
      <c r="AH491" s="40"/>
      <c r="AI491" s="39"/>
      <c r="AJ491" s="40"/>
      <c r="AK491" s="39"/>
      <c r="AL491" s="40"/>
      <c r="AM491" s="39"/>
      <c r="AN491" s="40"/>
      <c r="AO491" s="39"/>
      <c r="AP491" s="40"/>
      <c r="AQ491" s="84">
        <f t="shared" si="81"/>
        <v>20</v>
      </c>
      <c r="AR491" s="80">
        <v>567.02</v>
      </c>
      <c r="AS491" s="178">
        <f t="shared" si="80"/>
        <v>11340.4</v>
      </c>
    </row>
    <row r="492" spans="1:45" ht="28.5" hidden="1">
      <c r="A492" s="71">
        <v>466</v>
      </c>
      <c r="B492" s="37" t="s">
        <v>853</v>
      </c>
      <c r="C492" s="53" t="s">
        <v>1250</v>
      </c>
      <c r="D492" s="37">
        <v>295</v>
      </c>
      <c r="E492" s="37" t="s">
        <v>852</v>
      </c>
      <c r="F492" s="110" t="s">
        <v>12</v>
      </c>
      <c r="G492" s="125"/>
      <c r="H492" s="125"/>
      <c r="I492" s="125"/>
      <c r="J492" s="125"/>
      <c r="K492" s="126"/>
      <c r="L492" s="127"/>
      <c r="M492" s="128"/>
      <c r="N492" s="125"/>
      <c r="O492" s="126"/>
      <c r="P492" s="125"/>
      <c r="Q492" s="128"/>
      <c r="R492" s="125"/>
      <c r="S492" s="110">
        <v>20</v>
      </c>
      <c r="T492" s="40">
        <f t="shared" si="79"/>
        <v>4689.5999999999995</v>
      </c>
      <c r="U492" s="39"/>
      <c r="V492" s="40"/>
      <c r="W492" s="39"/>
      <c r="X492" s="40"/>
      <c r="Y492" s="39"/>
      <c r="Z492" s="40"/>
      <c r="AA492" s="39"/>
      <c r="AB492" s="40"/>
      <c r="AC492" s="39"/>
      <c r="AD492" s="40"/>
      <c r="AE492" s="39"/>
      <c r="AF492" s="40"/>
      <c r="AG492" s="39"/>
      <c r="AH492" s="40"/>
      <c r="AI492" s="39"/>
      <c r="AJ492" s="40"/>
      <c r="AK492" s="39"/>
      <c r="AL492" s="40"/>
      <c r="AM492" s="39"/>
      <c r="AN492" s="40"/>
      <c r="AO492" s="39"/>
      <c r="AP492" s="40"/>
      <c r="AQ492" s="84">
        <f t="shared" si="81"/>
        <v>20</v>
      </c>
      <c r="AR492" s="80">
        <v>234.48</v>
      </c>
      <c r="AS492" s="178">
        <f t="shared" si="80"/>
        <v>4689.5999999999995</v>
      </c>
    </row>
    <row r="493" spans="1:45" ht="28.5" hidden="1">
      <c r="A493" s="67">
        <v>467</v>
      </c>
      <c r="B493" s="37" t="s">
        <v>851</v>
      </c>
      <c r="C493" s="53" t="s">
        <v>1250</v>
      </c>
      <c r="D493" s="37">
        <v>295</v>
      </c>
      <c r="E493" s="37" t="s">
        <v>850</v>
      </c>
      <c r="F493" s="110" t="s">
        <v>12</v>
      </c>
      <c r="G493" s="125"/>
      <c r="H493" s="125"/>
      <c r="I493" s="125"/>
      <c r="J493" s="125"/>
      <c r="K493" s="126"/>
      <c r="L493" s="127"/>
      <c r="M493" s="128"/>
      <c r="N493" s="125"/>
      <c r="O493" s="126"/>
      <c r="P493" s="125"/>
      <c r="Q493" s="128"/>
      <c r="R493" s="125"/>
      <c r="S493" s="110">
        <v>20</v>
      </c>
      <c r="T493" s="40">
        <f t="shared" si="79"/>
        <v>8517</v>
      </c>
      <c r="U493" s="39"/>
      <c r="V493" s="40"/>
      <c r="W493" s="39"/>
      <c r="X493" s="40"/>
      <c r="Y493" s="39"/>
      <c r="Z493" s="40"/>
      <c r="AA493" s="39"/>
      <c r="AB493" s="40"/>
      <c r="AC493" s="39"/>
      <c r="AD493" s="40"/>
      <c r="AE493" s="39"/>
      <c r="AF493" s="40"/>
      <c r="AG493" s="39"/>
      <c r="AH493" s="40"/>
      <c r="AI493" s="39"/>
      <c r="AJ493" s="40"/>
      <c r="AK493" s="39"/>
      <c r="AL493" s="40"/>
      <c r="AM493" s="39"/>
      <c r="AN493" s="40"/>
      <c r="AO493" s="39"/>
      <c r="AP493" s="40"/>
      <c r="AQ493" s="84">
        <f t="shared" si="81"/>
        <v>20</v>
      </c>
      <c r="AR493" s="80">
        <v>425.85</v>
      </c>
      <c r="AS493" s="178">
        <f t="shared" si="80"/>
        <v>8517</v>
      </c>
    </row>
    <row r="494" spans="1:45" ht="28.5" hidden="1">
      <c r="A494" s="71">
        <v>468</v>
      </c>
      <c r="B494" s="37" t="s">
        <v>849</v>
      </c>
      <c r="C494" s="53" t="s">
        <v>1250</v>
      </c>
      <c r="D494" s="37">
        <v>295</v>
      </c>
      <c r="E494" s="37" t="s">
        <v>848</v>
      </c>
      <c r="F494" s="110" t="s">
        <v>12</v>
      </c>
      <c r="G494" s="125"/>
      <c r="H494" s="125"/>
      <c r="I494" s="125"/>
      <c r="J494" s="125"/>
      <c r="K494" s="126"/>
      <c r="L494" s="127"/>
      <c r="M494" s="128"/>
      <c r="N494" s="125"/>
      <c r="O494" s="126"/>
      <c r="P494" s="125"/>
      <c r="Q494" s="128"/>
      <c r="R494" s="125"/>
      <c r="S494" s="110">
        <v>20</v>
      </c>
      <c r="T494" s="40">
        <f t="shared" si="79"/>
        <v>8517</v>
      </c>
      <c r="U494" s="39"/>
      <c r="V494" s="40"/>
      <c r="W494" s="39"/>
      <c r="X494" s="40"/>
      <c r="Y494" s="39"/>
      <c r="Z494" s="40"/>
      <c r="AA494" s="39"/>
      <c r="AB494" s="40"/>
      <c r="AC494" s="39"/>
      <c r="AD494" s="40"/>
      <c r="AE494" s="39"/>
      <c r="AF494" s="40"/>
      <c r="AG494" s="39"/>
      <c r="AH494" s="40"/>
      <c r="AI494" s="39"/>
      <c r="AJ494" s="40"/>
      <c r="AK494" s="39"/>
      <c r="AL494" s="40"/>
      <c r="AM494" s="39"/>
      <c r="AN494" s="40"/>
      <c r="AO494" s="39"/>
      <c r="AP494" s="40"/>
      <c r="AQ494" s="84">
        <f t="shared" si="81"/>
        <v>20</v>
      </c>
      <c r="AR494" s="80">
        <v>425.85</v>
      </c>
      <c r="AS494" s="178">
        <f t="shared" si="80"/>
        <v>8517</v>
      </c>
    </row>
    <row r="495" spans="1:45" ht="28.5" hidden="1">
      <c r="A495" s="67">
        <v>469</v>
      </c>
      <c r="B495" s="37" t="s">
        <v>847</v>
      </c>
      <c r="C495" s="53" t="s">
        <v>1250</v>
      </c>
      <c r="D495" s="37">
        <v>295</v>
      </c>
      <c r="E495" s="37" t="s">
        <v>846</v>
      </c>
      <c r="F495" s="110" t="s">
        <v>12</v>
      </c>
      <c r="G495" s="125"/>
      <c r="H495" s="125"/>
      <c r="I495" s="125"/>
      <c r="J495" s="125"/>
      <c r="K495" s="126"/>
      <c r="L495" s="127"/>
      <c r="M495" s="128"/>
      <c r="N495" s="125"/>
      <c r="O495" s="126"/>
      <c r="P495" s="125"/>
      <c r="Q495" s="128"/>
      <c r="R495" s="125"/>
      <c r="S495" s="110">
        <v>20</v>
      </c>
      <c r="T495" s="40">
        <f t="shared" si="79"/>
        <v>4500</v>
      </c>
      <c r="U495" s="39"/>
      <c r="V495" s="40"/>
      <c r="W495" s="39"/>
      <c r="X495" s="40"/>
      <c r="Y495" s="39"/>
      <c r="Z495" s="40"/>
      <c r="AA495" s="39"/>
      <c r="AB495" s="40"/>
      <c r="AC495" s="39"/>
      <c r="AD495" s="40"/>
      <c r="AE495" s="39"/>
      <c r="AF495" s="40"/>
      <c r="AG495" s="39"/>
      <c r="AH495" s="40"/>
      <c r="AI495" s="39"/>
      <c r="AJ495" s="40"/>
      <c r="AK495" s="39"/>
      <c r="AL495" s="40"/>
      <c r="AM495" s="39"/>
      <c r="AN495" s="40"/>
      <c r="AO495" s="39"/>
      <c r="AP495" s="40"/>
      <c r="AQ495" s="84">
        <f t="shared" si="81"/>
        <v>20</v>
      </c>
      <c r="AR495" s="80">
        <v>225</v>
      </c>
      <c r="AS495" s="178">
        <f t="shared" si="80"/>
        <v>4500</v>
      </c>
    </row>
    <row r="496" spans="1:45" ht="28.5" hidden="1">
      <c r="A496" s="71">
        <v>470</v>
      </c>
      <c r="B496" s="37" t="s">
        <v>845</v>
      </c>
      <c r="C496" s="53" t="s">
        <v>1250</v>
      </c>
      <c r="D496" s="37">
        <v>295</v>
      </c>
      <c r="E496" s="37" t="s">
        <v>844</v>
      </c>
      <c r="F496" s="110" t="s">
        <v>12</v>
      </c>
      <c r="G496" s="125"/>
      <c r="H496" s="125"/>
      <c r="I496" s="125"/>
      <c r="J496" s="125"/>
      <c r="K496" s="126"/>
      <c r="L496" s="127"/>
      <c r="M496" s="128"/>
      <c r="N496" s="125"/>
      <c r="O496" s="126"/>
      <c r="P496" s="125"/>
      <c r="Q496" s="128"/>
      <c r="R496" s="125"/>
      <c r="S496" s="110">
        <v>20</v>
      </c>
      <c r="T496" s="40">
        <f t="shared" si="79"/>
        <v>4500</v>
      </c>
      <c r="U496" s="39"/>
      <c r="V496" s="40"/>
      <c r="W496" s="39"/>
      <c r="X496" s="40"/>
      <c r="Y496" s="39"/>
      <c r="Z496" s="40"/>
      <c r="AA496" s="39"/>
      <c r="AB496" s="40"/>
      <c r="AC496" s="39"/>
      <c r="AD496" s="40"/>
      <c r="AE496" s="39"/>
      <c r="AF496" s="40"/>
      <c r="AG496" s="39"/>
      <c r="AH496" s="40"/>
      <c r="AI496" s="39"/>
      <c r="AJ496" s="40"/>
      <c r="AK496" s="39"/>
      <c r="AL496" s="40"/>
      <c r="AM496" s="39"/>
      <c r="AN496" s="40"/>
      <c r="AO496" s="39"/>
      <c r="AP496" s="40"/>
      <c r="AQ496" s="84">
        <f t="shared" si="81"/>
        <v>20</v>
      </c>
      <c r="AR496" s="80">
        <v>225</v>
      </c>
      <c r="AS496" s="178">
        <f t="shared" si="80"/>
        <v>4500</v>
      </c>
    </row>
    <row r="497" spans="1:45" ht="28.5" hidden="1">
      <c r="A497" s="67">
        <v>471</v>
      </c>
      <c r="B497" s="37" t="s">
        <v>843</v>
      </c>
      <c r="C497" s="53" t="s">
        <v>1250</v>
      </c>
      <c r="D497" s="37">
        <v>295</v>
      </c>
      <c r="E497" s="37" t="s">
        <v>842</v>
      </c>
      <c r="F497" s="110" t="s">
        <v>12</v>
      </c>
      <c r="G497" s="125"/>
      <c r="H497" s="125"/>
      <c r="I497" s="125"/>
      <c r="J497" s="125"/>
      <c r="K497" s="126"/>
      <c r="L497" s="127"/>
      <c r="M497" s="128"/>
      <c r="N497" s="125"/>
      <c r="O497" s="126"/>
      <c r="P497" s="125"/>
      <c r="Q497" s="128"/>
      <c r="R497" s="125"/>
      <c r="S497" s="110">
        <v>20</v>
      </c>
      <c r="T497" s="40">
        <f t="shared" ref="T497:T560" si="82">+S497*AR497</f>
        <v>4500</v>
      </c>
      <c r="U497" s="39"/>
      <c r="V497" s="40"/>
      <c r="W497" s="39"/>
      <c r="X497" s="40"/>
      <c r="Y497" s="39"/>
      <c r="Z497" s="40"/>
      <c r="AA497" s="39"/>
      <c r="AB497" s="40"/>
      <c r="AC497" s="39"/>
      <c r="AD497" s="40"/>
      <c r="AE497" s="39"/>
      <c r="AF497" s="40"/>
      <c r="AG497" s="39"/>
      <c r="AH497" s="40"/>
      <c r="AI497" s="39"/>
      <c r="AJ497" s="40"/>
      <c r="AK497" s="39"/>
      <c r="AL497" s="40"/>
      <c r="AM497" s="39"/>
      <c r="AN497" s="40"/>
      <c r="AO497" s="39"/>
      <c r="AP497" s="40"/>
      <c r="AQ497" s="84">
        <f t="shared" si="81"/>
        <v>20</v>
      </c>
      <c r="AR497" s="80">
        <v>225</v>
      </c>
      <c r="AS497" s="178">
        <f t="shared" si="80"/>
        <v>4500</v>
      </c>
    </row>
    <row r="498" spans="1:45" ht="28.5" hidden="1">
      <c r="A498" s="71">
        <v>472</v>
      </c>
      <c r="B498" s="37" t="s">
        <v>841</v>
      </c>
      <c r="C498" s="53" t="s">
        <v>1250</v>
      </c>
      <c r="D498" s="37">
        <v>295</v>
      </c>
      <c r="E498" s="37" t="s">
        <v>840</v>
      </c>
      <c r="F498" s="110" t="s">
        <v>12</v>
      </c>
      <c r="G498" s="125"/>
      <c r="H498" s="125"/>
      <c r="I498" s="125"/>
      <c r="J498" s="125"/>
      <c r="K498" s="126"/>
      <c r="L498" s="127"/>
      <c r="M498" s="128"/>
      <c r="N498" s="125"/>
      <c r="O498" s="126"/>
      <c r="P498" s="125"/>
      <c r="Q498" s="128"/>
      <c r="R498" s="125"/>
      <c r="S498" s="110">
        <v>20</v>
      </c>
      <c r="T498" s="40">
        <f t="shared" si="82"/>
        <v>290274</v>
      </c>
      <c r="U498" s="39"/>
      <c r="V498" s="40"/>
      <c r="W498" s="39"/>
      <c r="X498" s="40"/>
      <c r="Y498" s="39"/>
      <c r="Z498" s="40"/>
      <c r="AA498" s="39"/>
      <c r="AB498" s="40"/>
      <c r="AC498" s="39"/>
      <c r="AD498" s="40"/>
      <c r="AE498" s="39"/>
      <c r="AF498" s="40"/>
      <c r="AG498" s="39"/>
      <c r="AH498" s="40"/>
      <c r="AI498" s="39"/>
      <c r="AJ498" s="40"/>
      <c r="AK498" s="39"/>
      <c r="AL498" s="40"/>
      <c r="AM498" s="39"/>
      <c r="AN498" s="40"/>
      <c r="AO498" s="39"/>
      <c r="AP498" s="40"/>
      <c r="AQ498" s="84">
        <f t="shared" si="81"/>
        <v>20</v>
      </c>
      <c r="AR498" s="80">
        <v>14513.7</v>
      </c>
      <c r="AS498" s="178">
        <f t="shared" ref="AS498:AS561" si="83">+AQ498*AR498</f>
        <v>290274</v>
      </c>
    </row>
    <row r="499" spans="1:45" ht="28.5" hidden="1">
      <c r="A499" s="67">
        <v>473</v>
      </c>
      <c r="B499" s="37" t="s">
        <v>839</v>
      </c>
      <c r="C499" s="53" t="s">
        <v>1250</v>
      </c>
      <c r="D499" s="37">
        <v>295</v>
      </c>
      <c r="E499" s="37" t="s">
        <v>838</v>
      </c>
      <c r="F499" s="110" t="s">
        <v>12</v>
      </c>
      <c r="G499" s="125"/>
      <c r="H499" s="125"/>
      <c r="I499" s="125"/>
      <c r="J499" s="125"/>
      <c r="K499" s="126"/>
      <c r="L499" s="127"/>
      <c r="M499" s="128"/>
      <c r="N499" s="125"/>
      <c r="O499" s="126"/>
      <c r="P499" s="125"/>
      <c r="Q499" s="128"/>
      <c r="R499" s="125"/>
      <c r="S499" s="110">
        <v>20</v>
      </c>
      <c r="T499" s="40">
        <f t="shared" si="82"/>
        <v>17700</v>
      </c>
      <c r="U499" s="39"/>
      <c r="V499" s="40"/>
      <c r="W499" s="39"/>
      <c r="X499" s="40"/>
      <c r="Y499" s="39"/>
      <c r="Z499" s="40"/>
      <c r="AA499" s="39"/>
      <c r="AB499" s="40"/>
      <c r="AC499" s="39"/>
      <c r="AD499" s="40"/>
      <c r="AE499" s="39"/>
      <c r="AF499" s="40"/>
      <c r="AG499" s="39"/>
      <c r="AH499" s="40"/>
      <c r="AI499" s="39"/>
      <c r="AJ499" s="40"/>
      <c r="AK499" s="39"/>
      <c r="AL499" s="40"/>
      <c r="AM499" s="39"/>
      <c r="AN499" s="40"/>
      <c r="AO499" s="39"/>
      <c r="AP499" s="40"/>
      <c r="AQ499" s="84">
        <f t="shared" si="81"/>
        <v>20</v>
      </c>
      <c r="AR499" s="80">
        <v>885</v>
      </c>
      <c r="AS499" s="178">
        <f t="shared" si="83"/>
        <v>17700</v>
      </c>
    </row>
    <row r="500" spans="1:45" ht="28.5" hidden="1">
      <c r="A500" s="71">
        <v>474</v>
      </c>
      <c r="B500" s="37" t="s">
        <v>837</v>
      </c>
      <c r="C500" s="53" t="s">
        <v>1250</v>
      </c>
      <c r="D500" s="37">
        <v>295</v>
      </c>
      <c r="E500" s="37" t="s">
        <v>836</v>
      </c>
      <c r="F500" s="110" t="s">
        <v>12</v>
      </c>
      <c r="G500" s="125"/>
      <c r="H500" s="125"/>
      <c r="I500" s="125"/>
      <c r="J500" s="125"/>
      <c r="K500" s="126"/>
      <c r="L500" s="127"/>
      <c r="M500" s="128"/>
      <c r="N500" s="125"/>
      <c r="O500" s="126"/>
      <c r="P500" s="125"/>
      <c r="Q500" s="128"/>
      <c r="R500" s="125"/>
      <c r="S500" s="110">
        <v>20</v>
      </c>
      <c r="T500" s="40">
        <f t="shared" si="82"/>
        <v>125700</v>
      </c>
      <c r="U500" s="39"/>
      <c r="V500" s="40"/>
      <c r="W500" s="39"/>
      <c r="X500" s="40"/>
      <c r="Y500" s="39"/>
      <c r="Z500" s="40"/>
      <c r="AA500" s="39"/>
      <c r="AB500" s="40"/>
      <c r="AC500" s="39"/>
      <c r="AD500" s="40"/>
      <c r="AE500" s="39"/>
      <c r="AF500" s="40"/>
      <c r="AG500" s="39"/>
      <c r="AH500" s="40"/>
      <c r="AI500" s="39"/>
      <c r="AJ500" s="40"/>
      <c r="AK500" s="39"/>
      <c r="AL500" s="40"/>
      <c r="AM500" s="39"/>
      <c r="AN500" s="40"/>
      <c r="AO500" s="39"/>
      <c r="AP500" s="40"/>
      <c r="AQ500" s="84">
        <f t="shared" si="81"/>
        <v>20</v>
      </c>
      <c r="AR500" s="80">
        <v>6285</v>
      </c>
      <c r="AS500" s="178">
        <f t="shared" si="83"/>
        <v>125700</v>
      </c>
    </row>
    <row r="501" spans="1:45" ht="28.5" hidden="1">
      <c r="A501" s="67">
        <v>475</v>
      </c>
      <c r="B501" s="37" t="s">
        <v>835</v>
      </c>
      <c r="C501" s="53" t="s">
        <v>1250</v>
      </c>
      <c r="D501" s="37">
        <v>295</v>
      </c>
      <c r="E501" s="37" t="s">
        <v>834</v>
      </c>
      <c r="F501" s="110" t="s">
        <v>12</v>
      </c>
      <c r="G501" s="125"/>
      <c r="H501" s="125"/>
      <c r="I501" s="125"/>
      <c r="J501" s="125"/>
      <c r="K501" s="126"/>
      <c r="L501" s="127"/>
      <c r="M501" s="128"/>
      <c r="N501" s="125"/>
      <c r="O501" s="126"/>
      <c r="P501" s="125"/>
      <c r="Q501" s="128"/>
      <c r="R501" s="125"/>
      <c r="S501" s="110">
        <v>20</v>
      </c>
      <c r="T501" s="40">
        <f t="shared" si="82"/>
        <v>5700</v>
      </c>
      <c r="U501" s="39"/>
      <c r="V501" s="40"/>
      <c r="W501" s="39"/>
      <c r="X501" s="40"/>
      <c r="Y501" s="39"/>
      <c r="Z501" s="40"/>
      <c r="AA501" s="39"/>
      <c r="AB501" s="40"/>
      <c r="AC501" s="39"/>
      <c r="AD501" s="40"/>
      <c r="AE501" s="39"/>
      <c r="AF501" s="40"/>
      <c r="AG501" s="39"/>
      <c r="AH501" s="40"/>
      <c r="AI501" s="39"/>
      <c r="AJ501" s="40"/>
      <c r="AK501" s="39"/>
      <c r="AL501" s="40"/>
      <c r="AM501" s="39"/>
      <c r="AN501" s="40"/>
      <c r="AO501" s="39"/>
      <c r="AP501" s="40"/>
      <c r="AQ501" s="84">
        <f t="shared" si="81"/>
        <v>20</v>
      </c>
      <c r="AR501" s="80">
        <v>285</v>
      </c>
      <c r="AS501" s="178">
        <f t="shared" si="83"/>
        <v>5700</v>
      </c>
    </row>
    <row r="502" spans="1:45" ht="28.5" hidden="1">
      <c r="A502" s="71">
        <v>476</v>
      </c>
      <c r="B502" s="37" t="s">
        <v>833</v>
      </c>
      <c r="C502" s="53" t="s">
        <v>1250</v>
      </c>
      <c r="D502" s="37">
        <v>295</v>
      </c>
      <c r="E502" s="37" t="s">
        <v>832</v>
      </c>
      <c r="F502" s="110" t="s">
        <v>12</v>
      </c>
      <c r="G502" s="125"/>
      <c r="H502" s="125"/>
      <c r="I502" s="125"/>
      <c r="J502" s="125"/>
      <c r="K502" s="126"/>
      <c r="L502" s="127"/>
      <c r="M502" s="128"/>
      <c r="N502" s="125"/>
      <c r="O502" s="126"/>
      <c r="P502" s="125"/>
      <c r="Q502" s="128"/>
      <c r="R502" s="125"/>
      <c r="S502" s="110">
        <v>10</v>
      </c>
      <c r="T502" s="40">
        <f t="shared" si="82"/>
        <v>5100</v>
      </c>
      <c r="U502" s="39"/>
      <c r="V502" s="40"/>
      <c r="W502" s="39"/>
      <c r="X502" s="40"/>
      <c r="Y502" s="39"/>
      <c r="Z502" s="40"/>
      <c r="AA502" s="39"/>
      <c r="AB502" s="40"/>
      <c r="AC502" s="39"/>
      <c r="AD502" s="40"/>
      <c r="AE502" s="39"/>
      <c r="AF502" s="40"/>
      <c r="AG502" s="39"/>
      <c r="AH502" s="40"/>
      <c r="AI502" s="39"/>
      <c r="AJ502" s="40"/>
      <c r="AK502" s="39"/>
      <c r="AL502" s="40"/>
      <c r="AM502" s="39"/>
      <c r="AN502" s="40"/>
      <c r="AO502" s="39"/>
      <c r="AP502" s="40"/>
      <c r="AQ502" s="84">
        <f t="shared" si="81"/>
        <v>10</v>
      </c>
      <c r="AR502" s="80">
        <v>510</v>
      </c>
      <c r="AS502" s="178">
        <f t="shared" si="83"/>
        <v>5100</v>
      </c>
    </row>
    <row r="503" spans="1:45" ht="28.5" hidden="1">
      <c r="A503" s="67">
        <v>477</v>
      </c>
      <c r="B503" s="37" t="s">
        <v>831</v>
      </c>
      <c r="C503" s="53" t="s">
        <v>1250</v>
      </c>
      <c r="D503" s="37">
        <v>295</v>
      </c>
      <c r="E503" s="37" t="s">
        <v>830</v>
      </c>
      <c r="F503" s="110" t="s">
        <v>12</v>
      </c>
      <c r="G503" s="125"/>
      <c r="H503" s="125"/>
      <c r="I503" s="125"/>
      <c r="J503" s="125"/>
      <c r="K503" s="126"/>
      <c r="L503" s="127"/>
      <c r="M503" s="128"/>
      <c r="N503" s="125"/>
      <c r="O503" s="126"/>
      <c r="P503" s="125"/>
      <c r="Q503" s="128"/>
      <c r="R503" s="125"/>
      <c r="S503" s="110">
        <v>300</v>
      </c>
      <c r="T503" s="40">
        <f t="shared" si="82"/>
        <v>42750</v>
      </c>
      <c r="U503" s="39"/>
      <c r="V503" s="40"/>
      <c r="W503" s="39"/>
      <c r="X503" s="40"/>
      <c r="Y503" s="39"/>
      <c r="Z503" s="40"/>
      <c r="AA503" s="39"/>
      <c r="AB503" s="40"/>
      <c r="AC503" s="39"/>
      <c r="AD503" s="40"/>
      <c r="AE503" s="39"/>
      <c r="AF503" s="40"/>
      <c r="AG503" s="39"/>
      <c r="AH503" s="40"/>
      <c r="AI503" s="39"/>
      <c r="AJ503" s="40"/>
      <c r="AK503" s="39"/>
      <c r="AL503" s="40"/>
      <c r="AM503" s="39"/>
      <c r="AN503" s="40"/>
      <c r="AO503" s="39"/>
      <c r="AP503" s="40"/>
      <c r="AQ503" s="84">
        <f t="shared" si="81"/>
        <v>300</v>
      </c>
      <c r="AR503" s="80">
        <v>142.5</v>
      </c>
      <c r="AS503" s="178">
        <f t="shared" si="83"/>
        <v>42750</v>
      </c>
    </row>
    <row r="504" spans="1:45" ht="28.5" hidden="1">
      <c r="A504" s="71">
        <v>478</v>
      </c>
      <c r="B504" s="37" t="s">
        <v>829</v>
      </c>
      <c r="C504" s="53" t="s">
        <v>1250</v>
      </c>
      <c r="D504" s="37">
        <v>295</v>
      </c>
      <c r="E504" s="37" t="s">
        <v>828</v>
      </c>
      <c r="F504" s="110" t="s">
        <v>17</v>
      </c>
      <c r="G504" s="125"/>
      <c r="H504" s="125"/>
      <c r="I504" s="125"/>
      <c r="J504" s="125"/>
      <c r="K504" s="126"/>
      <c r="L504" s="127"/>
      <c r="M504" s="128"/>
      <c r="N504" s="125"/>
      <c r="O504" s="126"/>
      <c r="P504" s="125"/>
      <c r="Q504" s="128"/>
      <c r="R504" s="125"/>
      <c r="S504" s="110">
        <v>2</v>
      </c>
      <c r="T504" s="40">
        <f t="shared" si="82"/>
        <v>3528.64</v>
      </c>
      <c r="U504" s="39"/>
      <c r="V504" s="40"/>
      <c r="W504" s="39"/>
      <c r="X504" s="40"/>
      <c r="Y504" s="39"/>
      <c r="Z504" s="40"/>
      <c r="AA504" s="39"/>
      <c r="AB504" s="40"/>
      <c r="AC504" s="39"/>
      <c r="AD504" s="40"/>
      <c r="AE504" s="39"/>
      <c r="AF504" s="40"/>
      <c r="AG504" s="39"/>
      <c r="AH504" s="40"/>
      <c r="AI504" s="39"/>
      <c r="AJ504" s="40"/>
      <c r="AK504" s="39"/>
      <c r="AL504" s="40"/>
      <c r="AM504" s="39"/>
      <c r="AN504" s="40"/>
      <c r="AO504" s="39"/>
      <c r="AP504" s="40"/>
      <c r="AQ504" s="84">
        <f t="shared" si="81"/>
        <v>2</v>
      </c>
      <c r="AR504" s="80">
        <v>1764.32</v>
      </c>
      <c r="AS504" s="178">
        <f t="shared" si="83"/>
        <v>3528.64</v>
      </c>
    </row>
    <row r="505" spans="1:45" ht="28.5" hidden="1">
      <c r="A505" s="67">
        <v>479</v>
      </c>
      <c r="B505" s="37" t="s">
        <v>827</v>
      </c>
      <c r="C505" s="53" t="s">
        <v>1250</v>
      </c>
      <c r="D505" s="37">
        <v>295</v>
      </c>
      <c r="E505" s="37" t="s">
        <v>826</v>
      </c>
      <c r="F505" s="110" t="s">
        <v>12</v>
      </c>
      <c r="G505" s="125"/>
      <c r="H505" s="125"/>
      <c r="I505" s="125"/>
      <c r="J505" s="125"/>
      <c r="K505" s="126"/>
      <c r="L505" s="127"/>
      <c r="M505" s="128"/>
      <c r="N505" s="125"/>
      <c r="O505" s="126"/>
      <c r="P505" s="125"/>
      <c r="Q505" s="128"/>
      <c r="R505" s="125"/>
      <c r="S505" s="110">
        <v>300</v>
      </c>
      <c r="T505" s="40">
        <f t="shared" si="82"/>
        <v>529296</v>
      </c>
      <c r="U505" s="39"/>
      <c r="V505" s="40"/>
      <c r="W505" s="39"/>
      <c r="X505" s="40"/>
      <c r="Y505" s="39"/>
      <c r="Z505" s="40"/>
      <c r="AA505" s="39"/>
      <c r="AB505" s="40"/>
      <c r="AC505" s="39"/>
      <c r="AD505" s="40"/>
      <c r="AE505" s="39"/>
      <c r="AF505" s="40"/>
      <c r="AG505" s="39"/>
      <c r="AH505" s="40"/>
      <c r="AI505" s="39"/>
      <c r="AJ505" s="40"/>
      <c r="AK505" s="39"/>
      <c r="AL505" s="40"/>
      <c r="AM505" s="39"/>
      <c r="AN505" s="40"/>
      <c r="AO505" s="39"/>
      <c r="AP505" s="40"/>
      <c r="AQ505" s="84">
        <f t="shared" si="81"/>
        <v>300</v>
      </c>
      <c r="AR505" s="80">
        <v>1764.32</v>
      </c>
      <c r="AS505" s="178">
        <f t="shared" si="83"/>
        <v>529296</v>
      </c>
    </row>
    <row r="506" spans="1:45" ht="28.5" hidden="1">
      <c r="A506" s="71">
        <v>480</v>
      </c>
      <c r="B506" s="37" t="s">
        <v>825</v>
      </c>
      <c r="C506" s="53" t="s">
        <v>1250</v>
      </c>
      <c r="D506" s="37">
        <v>295</v>
      </c>
      <c r="E506" s="37" t="s">
        <v>824</v>
      </c>
      <c r="F506" s="110" t="s">
        <v>12</v>
      </c>
      <c r="G506" s="125"/>
      <c r="H506" s="125"/>
      <c r="I506" s="125"/>
      <c r="J506" s="125"/>
      <c r="K506" s="126"/>
      <c r="L506" s="127"/>
      <c r="M506" s="128"/>
      <c r="N506" s="125"/>
      <c r="O506" s="126"/>
      <c r="P506" s="125"/>
      <c r="Q506" s="128"/>
      <c r="R506" s="125"/>
      <c r="S506" s="110">
        <v>100</v>
      </c>
      <c r="T506" s="40">
        <f t="shared" si="82"/>
        <v>124500</v>
      </c>
      <c r="U506" s="39"/>
      <c r="V506" s="40"/>
      <c r="W506" s="39"/>
      <c r="X506" s="40"/>
      <c r="Y506" s="39"/>
      <c r="Z506" s="40"/>
      <c r="AA506" s="39"/>
      <c r="AB506" s="40"/>
      <c r="AC506" s="39"/>
      <c r="AD506" s="40"/>
      <c r="AE506" s="39"/>
      <c r="AF506" s="40"/>
      <c r="AG506" s="39"/>
      <c r="AH506" s="40"/>
      <c r="AI506" s="39"/>
      <c r="AJ506" s="40"/>
      <c r="AK506" s="39"/>
      <c r="AL506" s="40"/>
      <c r="AM506" s="39"/>
      <c r="AN506" s="40"/>
      <c r="AO506" s="39"/>
      <c r="AP506" s="40"/>
      <c r="AQ506" s="84">
        <f t="shared" si="81"/>
        <v>100</v>
      </c>
      <c r="AR506" s="80">
        <v>1245</v>
      </c>
      <c r="AS506" s="178">
        <f t="shared" si="83"/>
        <v>124500</v>
      </c>
    </row>
    <row r="507" spans="1:45" ht="28.5" hidden="1">
      <c r="A507" s="67">
        <v>481</v>
      </c>
      <c r="B507" s="37" t="s">
        <v>823</v>
      </c>
      <c r="C507" s="53" t="s">
        <v>1250</v>
      </c>
      <c r="D507" s="37">
        <v>295</v>
      </c>
      <c r="E507" s="37" t="s">
        <v>822</v>
      </c>
      <c r="F507" s="110" t="s">
        <v>12</v>
      </c>
      <c r="G507" s="125"/>
      <c r="H507" s="125"/>
      <c r="I507" s="125"/>
      <c r="J507" s="125"/>
      <c r="K507" s="126"/>
      <c r="L507" s="127"/>
      <c r="M507" s="128"/>
      <c r="N507" s="125"/>
      <c r="O507" s="126"/>
      <c r="P507" s="125"/>
      <c r="Q507" s="128"/>
      <c r="R507" s="125"/>
      <c r="S507" s="110">
        <v>200</v>
      </c>
      <c r="T507" s="40">
        <f t="shared" si="82"/>
        <v>93000</v>
      </c>
      <c r="U507" s="39"/>
      <c r="V507" s="40"/>
      <c r="W507" s="39"/>
      <c r="X507" s="40"/>
      <c r="Y507" s="39"/>
      <c r="Z507" s="40"/>
      <c r="AA507" s="39"/>
      <c r="AB507" s="40"/>
      <c r="AC507" s="39"/>
      <c r="AD507" s="40"/>
      <c r="AE507" s="39"/>
      <c r="AF507" s="40"/>
      <c r="AG507" s="39"/>
      <c r="AH507" s="40"/>
      <c r="AI507" s="39"/>
      <c r="AJ507" s="40"/>
      <c r="AK507" s="39"/>
      <c r="AL507" s="40"/>
      <c r="AM507" s="39"/>
      <c r="AN507" s="40"/>
      <c r="AO507" s="39"/>
      <c r="AP507" s="40"/>
      <c r="AQ507" s="84">
        <f t="shared" si="81"/>
        <v>200</v>
      </c>
      <c r="AR507" s="80">
        <v>465</v>
      </c>
      <c r="AS507" s="178">
        <f t="shared" si="83"/>
        <v>93000</v>
      </c>
    </row>
    <row r="508" spans="1:45" ht="42.75" hidden="1">
      <c r="A508" s="71">
        <v>482</v>
      </c>
      <c r="B508" s="37" t="s">
        <v>821</v>
      </c>
      <c r="C508" s="53" t="s">
        <v>1250</v>
      </c>
      <c r="D508" s="37">
        <v>295</v>
      </c>
      <c r="E508" s="37" t="s">
        <v>820</v>
      </c>
      <c r="F508" s="110" t="s">
        <v>17</v>
      </c>
      <c r="G508" s="125"/>
      <c r="H508" s="125"/>
      <c r="I508" s="125"/>
      <c r="J508" s="125"/>
      <c r="K508" s="126"/>
      <c r="L508" s="127"/>
      <c r="M508" s="128"/>
      <c r="N508" s="125"/>
      <c r="O508" s="126"/>
      <c r="P508" s="125"/>
      <c r="Q508" s="128"/>
      <c r="R508" s="125"/>
      <c r="S508" s="110">
        <v>10</v>
      </c>
      <c r="T508" s="40">
        <f t="shared" si="82"/>
        <v>7950</v>
      </c>
      <c r="U508" s="39"/>
      <c r="V508" s="40"/>
      <c r="W508" s="39"/>
      <c r="X508" s="40"/>
      <c r="Y508" s="39"/>
      <c r="Z508" s="40"/>
      <c r="AA508" s="39"/>
      <c r="AB508" s="40"/>
      <c r="AC508" s="39"/>
      <c r="AD508" s="40"/>
      <c r="AE508" s="39"/>
      <c r="AF508" s="40"/>
      <c r="AG508" s="39"/>
      <c r="AH508" s="40"/>
      <c r="AI508" s="39"/>
      <c r="AJ508" s="40"/>
      <c r="AK508" s="39"/>
      <c r="AL508" s="40"/>
      <c r="AM508" s="39"/>
      <c r="AN508" s="40"/>
      <c r="AO508" s="39"/>
      <c r="AP508" s="40"/>
      <c r="AQ508" s="84">
        <f t="shared" si="81"/>
        <v>10</v>
      </c>
      <c r="AR508" s="80">
        <v>795</v>
      </c>
      <c r="AS508" s="178">
        <f t="shared" si="83"/>
        <v>7950</v>
      </c>
    </row>
    <row r="509" spans="1:45" ht="28.5" hidden="1">
      <c r="A509" s="67">
        <v>483</v>
      </c>
      <c r="B509" s="37" t="s">
        <v>819</v>
      </c>
      <c r="C509" s="53" t="s">
        <v>1250</v>
      </c>
      <c r="D509" s="37">
        <v>295</v>
      </c>
      <c r="E509" s="37" t="s">
        <v>818</v>
      </c>
      <c r="F509" s="110" t="s">
        <v>17</v>
      </c>
      <c r="G509" s="125"/>
      <c r="H509" s="125"/>
      <c r="I509" s="125"/>
      <c r="J509" s="125"/>
      <c r="K509" s="126"/>
      <c r="L509" s="127"/>
      <c r="M509" s="128"/>
      <c r="N509" s="125"/>
      <c r="O509" s="126"/>
      <c r="P509" s="125"/>
      <c r="Q509" s="128"/>
      <c r="R509" s="125"/>
      <c r="S509" s="110">
        <v>10</v>
      </c>
      <c r="T509" s="40">
        <f t="shared" si="82"/>
        <v>2100</v>
      </c>
      <c r="U509" s="39"/>
      <c r="V509" s="40"/>
      <c r="W509" s="39"/>
      <c r="X509" s="40"/>
      <c r="Y509" s="39"/>
      <c r="Z509" s="40"/>
      <c r="AA509" s="39"/>
      <c r="AB509" s="40"/>
      <c r="AC509" s="39"/>
      <c r="AD509" s="40"/>
      <c r="AE509" s="39"/>
      <c r="AF509" s="40"/>
      <c r="AG509" s="39"/>
      <c r="AH509" s="40"/>
      <c r="AI509" s="39"/>
      <c r="AJ509" s="40"/>
      <c r="AK509" s="39"/>
      <c r="AL509" s="40"/>
      <c r="AM509" s="39"/>
      <c r="AN509" s="40"/>
      <c r="AO509" s="39"/>
      <c r="AP509" s="40"/>
      <c r="AQ509" s="84">
        <f t="shared" si="81"/>
        <v>10</v>
      </c>
      <c r="AR509" s="80">
        <v>210</v>
      </c>
      <c r="AS509" s="178">
        <f t="shared" si="83"/>
        <v>2100</v>
      </c>
    </row>
    <row r="510" spans="1:45" ht="28.5" hidden="1">
      <c r="A510" s="71">
        <v>484</v>
      </c>
      <c r="B510" s="37" t="s">
        <v>817</v>
      </c>
      <c r="C510" s="53" t="s">
        <v>1250</v>
      </c>
      <c r="D510" s="37">
        <v>295</v>
      </c>
      <c r="E510" s="37" t="s">
        <v>816</v>
      </c>
      <c r="F510" s="110" t="s">
        <v>12</v>
      </c>
      <c r="G510" s="125"/>
      <c r="H510" s="125"/>
      <c r="I510" s="125"/>
      <c r="J510" s="125"/>
      <c r="K510" s="126"/>
      <c r="L510" s="127"/>
      <c r="M510" s="128"/>
      <c r="N510" s="125"/>
      <c r="O510" s="126"/>
      <c r="P510" s="125"/>
      <c r="Q510" s="128"/>
      <c r="R510" s="125"/>
      <c r="S510" s="110">
        <v>50</v>
      </c>
      <c r="T510" s="40">
        <f t="shared" si="82"/>
        <v>98734.5</v>
      </c>
      <c r="U510" s="39"/>
      <c r="V510" s="40"/>
      <c r="W510" s="39"/>
      <c r="X510" s="40"/>
      <c r="Y510" s="39"/>
      <c r="Z510" s="40"/>
      <c r="AA510" s="39"/>
      <c r="AB510" s="40"/>
      <c r="AC510" s="39"/>
      <c r="AD510" s="40"/>
      <c r="AE510" s="39"/>
      <c r="AF510" s="40"/>
      <c r="AG510" s="39"/>
      <c r="AH510" s="40"/>
      <c r="AI510" s="39"/>
      <c r="AJ510" s="40"/>
      <c r="AK510" s="39"/>
      <c r="AL510" s="40"/>
      <c r="AM510" s="39"/>
      <c r="AN510" s="40"/>
      <c r="AO510" s="39"/>
      <c r="AP510" s="40"/>
      <c r="AQ510" s="84">
        <f t="shared" si="81"/>
        <v>50</v>
      </c>
      <c r="AR510" s="80">
        <v>1974.69</v>
      </c>
      <c r="AS510" s="178">
        <f t="shared" si="83"/>
        <v>98734.5</v>
      </c>
    </row>
    <row r="511" spans="1:45" ht="28.5" hidden="1">
      <c r="A511" s="67">
        <v>485</v>
      </c>
      <c r="B511" s="37" t="s">
        <v>815</v>
      </c>
      <c r="C511" s="53" t="s">
        <v>1250</v>
      </c>
      <c r="D511" s="37">
        <v>295</v>
      </c>
      <c r="E511" s="37" t="s">
        <v>814</v>
      </c>
      <c r="F511" s="110" t="s">
        <v>12</v>
      </c>
      <c r="G511" s="125"/>
      <c r="H511" s="125"/>
      <c r="I511" s="125"/>
      <c r="J511" s="125"/>
      <c r="K511" s="126"/>
      <c r="L511" s="127"/>
      <c r="M511" s="128"/>
      <c r="N511" s="125"/>
      <c r="O511" s="126"/>
      <c r="P511" s="125"/>
      <c r="Q511" s="128"/>
      <c r="R511" s="125"/>
      <c r="S511" s="110">
        <v>50</v>
      </c>
      <c r="T511" s="40">
        <f t="shared" si="82"/>
        <v>80260</v>
      </c>
      <c r="U511" s="39"/>
      <c r="V511" s="40"/>
      <c r="W511" s="39"/>
      <c r="X511" s="40"/>
      <c r="Y511" s="39"/>
      <c r="Z511" s="40"/>
      <c r="AA511" s="39"/>
      <c r="AB511" s="40"/>
      <c r="AC511" s="39"/>
      <c r="AD511" s="40"/>
      <c r="AE511" s="39"/>
      <c r="AF511" s="40"/>
      <c r="AG511" s="39"/>
      <c r="AH511" s="40"/>
      <c r="AI511" s="39"/>
      <c r="AJ511" s="40"/>
      <c r="AK511" s="39"/>
      <c r="AL511" s="40"/>
      <c r="AM511" s="39"/>
      <c r="AN511" s="40"/>
      <c r="AO511" s="39"/>
      <c r="AP511" s="40"/>
      <c r="AQ511" s="84">
        <f t="shared" si="81"/>
        <v>50</v>
      </c>
      <c r="AR511" s="80">
        <v>1605.2</v>
      </c>
      <c r="AS511" s="178">
        <f t="shared" si="83"/>
        <v>80260</v>
      </c>
    </row>
    <row r="512" spans="1:45" ht="14.25" hidden="1">
      <c r="A512" s="71">
        <v>486</v>
      </c>
      <c r="B512" s="37" t="s">
        <v>813</v>
      </c>
      <c r="C512" s="53" t="s">
        <v>1250</v>
      </c>
      <c r="D512" s="37">
        <v>295</v>
      </c>
      <c r="E512" s="37" t="s">
        <v>812</v>
      </c>
      <c r="F512" s="110" t="s">
        <v>12</v>
      </c>
      <c r="G512" s="125"/>
      <c r="H512" s="125"/>
      <c r="I512" s="125"/>
      <c r="J512" s="125"/>
      <c r="K512" s="126"/>
      <c r="L512" s="127"/>
      <c r="M512" s="128"/>
      <c r="N512" s="125"/>
      <c r="O512" s="126"/>
      <c r="P512" s="125"/>
      <c r="Q512" s="128"/>
      <c r="R512" s="125"/>
      <c r="S512" s="110">
        <v>200</v>
      </c>
      <c r="T512" s="40">
        <f t="shared" si="82"/>
        <v>2902740</v>
      </c>
      <c r="U512" s="39"/>
      <c r="V512" s="40"/>
      <c r="W512" s="39"/>
      <c r="X512" s="40"/>
      <c r="Y512" s="39"/>
      <c r="Z512" s="40"/>
      <c r="AA512" s="39"/>
      <c r="AB512" s="40"/>
      <c r="AC512" s="39"/>
      <c r="AD512" s="40"/>
      <c r="AE512" s="39"/>
      <c r="AF512" s="40"/>
      <c r="AG512" s="39"/>
      <c r="AH512" s="40"/>
      <c r="AI512" s="39"/>
      <c r="AJ512" s="40"/>
      <c r="AK512" s="39"/>
      <c r="AL512" s="40"/>
      <c r="AM512" s="39"/>
      <c r="AN512" s="40"/>
      <c r="AO512" s="39"/>
      <c r="AP512" s="40"/>
      <c r="AQ512" s="84">
        <f t="shared" si="81"/>
        <v>200</v>
      </c>
      <c r="AR512" s="80">
        <v>14513.7</v>
      </c>
      <c r="AS512" s="178">
        <f t="shared" si="83"/>
        <v>2902740</v>
      </c>
    </row>
    <row r="513" spans="1:45" ht="42.75" hidden="1">
      <c r="A513" s="67">
        <v>487</v>
      </c>
      <c r="B513" s="37" t="s">
        <v>811</v>
      </c>
      <c r="C513" s="53" t="s">
        <v>1250</v>
      </c>
      <c r="D513" s="37">
        <v>295</v>
      </c>
      <c r="E513" s="37" t="s">
        <v>810</v>
      </c>
      <c r="F513" s="110" t="s">
        <v>12</v>
      </c>
      <c r="G513" s="125"/>
      <c r="H513" s="125"/>
      <c r="I513" s="125"/>
      <c r="J513" s="125"/>
      <c r="K513" s="126"/>
      <c r="L513" s="127"/>
      <c r="M513" s="128"/>
      <c r="N513" s="125"/>
      <c r="O513" s="126"/>
      <c r="P513" s="125"/>
      <c r="Q513" s="128"/>
      <c r="R513" s="125"/>
      <c r="S513" s="110">
        <v>150</v>
      </c>
      <c r="T513" s="40">
        <f t="shared" si="82"/>
        <v>310819.5</v>
      </c>
      <c r="U513" s="39"/>
      <c r="V513" s="40"/>
      <c r="W513" s="39"/>
      <c r="X513" s="40"/>
      <c r="Y513" s="39"/>
      <c r="Z513" s="40"/>
      <c r="AA513" s="39"/>
      <c r="AB513" s="40"/>
      <c r="AC513" s="39"/>
      <c r="AD513" s="40"/>
      <c r="AE513" s="39"/>
      <c r="AF513" s="40"/>
      <c r="AG513" s="39"/>
      <c r="AH513" s="40"/>
      <c r="AI513" s="39"/>
      <c r="AJ513" s="40"/>
      <c r="AK513" s="39"/>
      <c r="AL513" s="40"/>
      <c r="AM513" s="39"/>
      <c r="AN513" s="40"/>
      <c r="AO513" s="39"/>
      <c r="AP513" s="40"/>
      <c r="AQ513" s="84">
        <f t="shared" si="81"/>
        <v>150</v>
      </c>
      <c r="AR513" s="80">
        <v>2072.13</v>
      </c>
      <c r="AS513" s="178">
        <f t="shared" si="83"/>
        <v>310819.5</v>
      </c>
    </row>
    <row r="514" spans="1:45" ht="14.25" hidden="1">
      <c r="A514" s="71">
        <v>488</v>
      </c>
      <c r="B514" s="37" t="s">
        <v>809</v>
      </c>
      <c r="C514" s="53" t="s">
        <v>1250</v>
      </c>
      <c r="D514" s="37">
        <v>295</v>
      </c>
      <c r="E514" s="37" t="s">
        <v>808</v>
      </c>
      <c r="F514" s="110" t="s">
        <v>12</v>
      </c>
      <c r="G514" s="125"/>
      <c r="H514" s="125"/>
      <c r="I514" s="125"/>
      <c r="J514" s="125"/>
      <c r="K514" s="126"/>
      <c r="L514" s="127"/>
      <c r="M514" s="128"/>
      <c r="N514" s="125"/>
      <c r="O514" s="126"/>
      <c r="P514" s="125"/>
      <c r="Q514" s="128"/>
      <c r="R514" s="125"/>
      <c r="S514" s="110">
        <v>70</v>
      </c>
      <c r="T514" s="40">
        <f t="shared" si="82"/>
        <v>145049.1</v>
      </c>
      <c r="U514" s="39"/>
      <c r="V514" s="40"/>
      <c r="W514" s="39"/>
      <c r="X514" s="40"/>
      <c r="Y514" s="39"/>
      <c r="Z514" s="40"/>
      <c r="AA514" s="39"/>
      <c r="AB514" s="40"/>
      <c r="AC514" s="39"/>
      <c r="AD514" s="40"/>
      <c r="AE514" s="39"/>
      <c r="AF514" s="40"/>
      <c r="AG514" s="39"/>
      <c r="AH514" s="40"/>
      <c r="AI514" s="39"/>
      <c r="AJ514" s="40"/>
      <c r="AK514" s="39"/>
      <c r="AL514" s="40"/>
      <c r="AM514" s="39"/>
      <c r="AN514" s="40"/>
      <c r="AO514" s="39"/>
      <c r="AP514" s="40"/>
      <c r="AQ514" s="84">
        <f t="shared" si="81"/>
        <v>70</v>
      </c>
      <c r="AR514" s="80">
        <v>2072.13</v>
      </c>
      <c r="AS514" s="178">
        <f t="shared" si="83"/>
        <v>145049.1</v>
      </c>
    </row>
    <row r="515" spans="1:45" ht="28.5" hidden="1">
      <c r="A515" s="67">
        <v>489</v>
      </c>
      <c r="B515" s="37" t="s">
        <v>807</v>
      </c>
      <c r="C515" s="53" t="s">
        <v>1250</v>
      </c>
      <c r="D515" s="37">
        <v>295</v>
      </c>
      <c r="E515" s="37" t="s">
        <v>806</v>
      </c>
      <c r="F515" s="110" t="s">
        <v>12</v>
      </c>
      <c r="G515" s="125"/>
      <c r="H515" s="125"/>
      <c r="I515" s="125"/>
      <c r="J515" s="125"/>
      <c r="K515" s="126"/>
      <c r="L515" s="127"/>
      <c r="M515" s="128"/>
      <c r="N515" s="125"/>
      <c r="O515" s="126"/>
      <c r="P515" s="125"/>
      <c r="Q515" s="128"/>
      <c r="R515" s="125"/>
      <c r="S515" s="110">
        <v>30</v>
      </c>
      <c r="T515" s="40">
        <f t="shared" si="82"/>
        <v>65341.799999999996</v>
      </c>
      <c r="U515" s="39"/>
      <c r="V515" s="40"/>
      <c r="W515" s="39"/>
      <c r="X515" s="40"/>
      <c r="Y515" s="39"/>
      <c r="Z515" s="40"/>
      <c r="AA515" s="39"/>
      <c r="AB515" s="40"/>
      <c r="AC515" s="39"/>
      <c r="AD515" s="40"/>
      <c r="AE515" s="39"/>
      <c r="AF515" s="40"/>
      <c r="AG515" s="39"/>
      <c r="AH515" s="40"/>
      <c r="AI515" s="39"/>
      <c r="AJ515" s="40"/>
      <c r="AK515" s="39"/>
      <c r="AL515" s="40"/>
      <c r="AM515" s="39"/>
      <c r="AN515" s="40"/>
      <c r="AO515" s="39"/>
      <c r="AP515" s="40"/>
      <c r="AQ515" s="84">
        <f t="shared" si="81"/>
        <v>30</v>
      </c>
      <c r="AR515" s="80">
        <v>2178.06</v>
      </c>
      <c r="AS515" s="178">
        <f t="shared" si="83"/>
        <v>65341.799999999996</v>
      </c>
    </row>
    <row r="516" spans="1:45" ht="28.5" hidden="1">
      <c r="A516" s="71">
        <v>490</v>
      </c>
      <c r="B516" s="37" t="s">
        <v>805</v>
      </c>
      <c r="C516" s="53" t="s">
        <v>1250</v>
      </c>
      <c r="D516" s="37">
        <v>295</v>
      </c>
      <c r="E516" s="37" t="s">
        <v>804</v>
      </c>
      <c r="F516" s="110" t="s">
        <v>12</v>
      </c>
      <c r="G516" s="125"/>
      <c r="H516" s="125"/>
      <c r="I516" s="125"/>
      <c r="J516" s="125"/>
      <c r="K516" s="126"/>
      <c r="L516" s="127"/>
      <c r="M516" s="128"/>
      <c r="N516" s="125"/>
      <c r="O516" s="126"/>
      <c r="P516" s="125"/>
      <c r="Q516" s="128"/>
      <c r="R516" s="125"/>
      <c r="S516" s="110">
        <v>30</v>
      </c>
      <c r="T516" s="40">
        <f t="shared" si="82"/>
        <v>308250</v>
      </c>
      <c r="U516" s="39"/>
      <c r="V516" s="40"/>
      <c r="W516" s="39"/>
      <c r="X516" s="40"/>
      <c r="Y516" s="39"/>
      <c r="Z516" s="40"/>
      <c r="AA516" s="39"/>
      <c r="AB516" s="40"/>
      <c r="AC516" s="39"/>
      <c r="AD516" s="40"/>
      <c r="AE516" s="39"/>
      <c r="AF516" s="40"/>
      <c r="AG516" s="39"/>
      <c r="AH516" s="40"/>
      <c r="AI516" s="39"/>
      <c r="AJ516" s="40"/>
      <c r="AK516" s="39"/>
      <c r="AL516" s="40"/>
      <c r="AM516" s="39"/>
      <c r="AN516" s="40"/>
      <c r="AO516" s="39"/>
      <c r="AP516" s="40"/>
      <c r="AQ516" s="84">
        <f t="shared" si="81"/>
        <v>30</v>
      </c>
      <c r="AR516" s="80">
        <v>10275</v>
      </c>
      <c r="AS516" s="178">
        <f t="shared" si="83"/>
        <v>308250</v>
      </c>
    </row>
    <row r="517" spans="1:45" ht="28.5" hidden="1">
      <c r="A517" s="67">
        <v>491</v>
      </c>
      <c r="B517" s="37" t="s">
        <v>803</v>
      </c>
      <c r="C517" s="53" t="s">
        <v>1250</v>
      </c>
      <c r="D517" s="37">
        <v>295</v>
      </c>
      <c r="E517" s="37" t="s">
        <v>802</v>
      </c>
      <c r="F517" s="110" t="s">
        <v>12</v>
      </c>
      <c r="G517" s="125"/>
      <c r="H517" s="125"/>
      <c r="I517" s="125"/>
      <c r="J517" s="125"/>
      <c r="K517" s="126"/>
      <c r="L517" s="127"/>
      <c r="M517" s="128"/>
      <c r="N517" s="125"/>
      <c r="O517" s="126"/>
      <c r="P517" s="125"/>
      <c r="Q517" s="128"/>
      <c r="R517" s="125"/>
      <c r="S517" s="110">
        <v>10</v>
      </c>
      <c r="T517" s="40">
        <f t="shared" si="82"/>
        <v>114300</v>
      </c>
      <c r="U517" s="39"/>
      <c r="V517" s="40"/>
      <c r="W517" s="39"/>
      <c r="X517" s="40"/>
      <c r="Y517" s="39"/>
      <c r="Z517" s="40"/>
      <c r="AA517" s="39"/>
      <c r="AB517" s="40"/>
      <c r="AC517" s="39"/>
      <c r="AD517" s="40"/>
      <c r="AE517" s="39"/>
      <c r="AF517" s="40"/>
      <c r="AG517" s="39"/>
      <c r="AH517" s="40"/>
      <c r="AI517" s="39"/>
      <c r="AJ517" s="40"/>
      <c r="AK517" s="39"/>
      <c r="AL517" s="40"/>
      <c r="AM517" s="39"/>
      <c r="AN517" s="40"/>
      <c r="AO517" s="39"/>
      <c r="AP517" s="40"/>
      <c r="AQ517" s="84">
        <f t="shared" si="81"/>
        <v>10</v>
      </c>
      <c r="AR517" s="80">
        <v>11430</v>
      </c>
      <c r="AS517" s="178">
        <f t="shared" si="83"/>
        <v>114300</v>
      </c>
    </row>
    <row r="518" spans="1:45" ht="28.5" hidden="1">
      <c r="A518" s="71">
        <v>492</v>
      </c>
      <c r="B518" s="37" t="s">
        <v>801</v>
      </c>
      <c r="C518" s="53" t="s">
        <v>1250</v>
      </c>
      <c r="D518" s="37">
        <v>295</v>
      </c>
      <c r="E518" s="37" t="s">
        <v>800</v>
      </c>
      <c r="F518" s="110" t="s">
        <v>12</v>
      </c>
      <c r="G518" s="125"/>
      <c r="H518" s="125"/>
      <c r="I518" s="125"/>
      <c r="J518" s="125"/>
      <c r="K518" s="126"/>
      <c r="L518" s="127"/>
      <c r="M518" s="128"/>
      <c r="N518" s="125"/>
      <c r="O518" s="126"/>
      <c r="P518" s="125"/>
      <c r="Q518" s="128"/>
      <c r="R518" s="125"/>
      <c r="S518" s="110">
        <v>5</v>
      </c>
      <c r="T518" s="40">
        <f t="shared" si="82"/>
        <v>63375</v>
      </c>
      <c r="U518" s="39"/>
      <c r="V518" s="40"/>
      <c r="W518" s="39"/>
      <c r="X518" s="40"/>
      <c r="Y518" s="39"/>
      <c r="Z518" s="40"/>
      <c r="AA518" s="39"/>
      <c r="AB518" s="40"/>
      <c r="AC518" s="39"/>
      <c r="AD518" s="40"/>
      <c r="AE518" s="39"/>
      <c r="AF518" s="40"/>
      <c r="AG518" s="39"/>
      <c r="AH518" s="40"/>
      <c r="AI518" s="39"/>
      <c r="AJ518" s="40"/>
      <c r="AK518" s="39"/>
      <c r="AL518" s="40"/>
      <c r="AM518" s="39"/>
      <c r="AN518" s="40"/>
      <c r="AO518" s="39"/>
      <c r="AP518" s="40"/>
      <c r="AQ518" s="84">
        <f t="shared" si="81"/>
        <v>5</v>
      </c>
      <c r="AR518" s="80">
        <v>12675</v>
      </c>
      <c r="AS518" s="178">
        <f t="shared" si="83"/>
        <v>63375</v>
      </c>
    </row>
    <row r="519" spans="1:45" ht="28.5" hidden="1">
      <c r="A519" s="67">
        <v>493</v>
      </c>
      <c r="B519" s="37" t="s">
        <v>799</v>
      </c>
      <c r="C519" s="53" t="s">
        <v>1250</v>
      </c>
      <c r="D519" s="37">
        <v>295</v>
      </c>
      <c r="E519" s="37" t="s">
        <v>798</v>
      </c>
      <c r="F519" s="110" t="s">
        <v>12</v>
      </c>
      <c r="G519" s="125"/>
      <c r="H519" s="125"/>
      <c r="I519" s="125"/>
      <c r="J519" s="125"/>
      <c r="K519" s="126"/>
      <c r="L519" s="127"/>
      <c r="M519" s="128"/>
      <c r="N519" s="125"/>
      <c r="O519" s="126"/>
      <c r="P519" s="125"/>
      <c r="Q519" s="128"/>
      <c r="R519" s="125"/>
      <c r="S519" s="110">
        <v>5</v>
      </c>
      <c r="T519" s="40">
        <f t="shared" si="82"/>
        <v>1012.5</v>
      </c>
      <c r="U519" s="39"/>
      <c r="V519" s="40"/>
      <c r="W519" s="39"/>
      <c r="X519" s="40"/>
      <c r="Y519" s="39"/>
      <c r="Z519" s="40"/>
      <c r="AA519" s="39"/>
      <c r="AB519" s="40"/>
      <c r="AC519" s="39"/>
      <c r="AD519" s="40"/>
      <c r="AE519" s="39"/>
      <c r="AF519" s="40"/>
      <c r="AG519" s="39"/>
      <c r="AH519" s="40"/>
      <c r="AI519" s="39"/>
      <c r="AJ519" s="40"/>
      <c r="AK519" s="39"/>
      <c r="AL519" s="40"/>
      <c r="AM519" s="39"/>
      <c r="AN519" s="40"/>
      <c r="AO519" s="39"/>
      <c r="AP519" s="40"/>
      <c r="AQ519" s="84">
        <f t="shared" si="81"/>
        <v>5</v>
      </c>
      <c r="AR519" s="80">
        <v>202.5</v>
      </c>
      <c r="AS519" s="178">
        <f t="shared" si="83"/>
        <v>1012.5</v>
      </c>
    </row>
    <row r="520" spans="1:45" ht="28.5" hidden="1">
      <c r="A520" s="71">
        <v>494</v>
      </c>
      <c r="B520" s="37" t="s">
        <v>797</v>
      </c>
      <c r="C520" s="53" t="s">
        <v>1250</v>
      </c>
      <c r="D520" s="37">
        <v>295</v>
      </c>
      <c r="E520" s="37" t="s">
        <v>796</v>
      </c>
      <c r="F520" s="110" t="s">
        <v>12</v>
      </c>
      <c r="G520" s="125"/>
      <c r="H520" s="125"/>
      <c r="I520" s="125"/>
      <c r="J520" s="125"/>
      <c r="K520" s="126"/>
      <c r="L520" s="127"/>
      <c r="M520" s="128"/>
      <c r="N520" s="125"/>
      <c r="O520" s="126"/>
      <c r="P520" s="125"/>
      <c r="Q520" s="128"/>
      <c r="R520" s="125"/>
      <c r="S520" s="110">
        <v>50</v>
      </c>
      <c r="T520" s="40">
        <f t="shared" si="82"/>
        <v>13513.5</v>
      </c>
      <c r="U520" s="39"/>
      <c r="V520" s="40"/>
      <c r="W520" s="39"/>
      <c r="X520" s="40"/>
      <c r="Y520" s="39"/>
      <c r="Z520" s="40"/>
      <c r="AA520" s="39"/>
      <c r="AB520" s="40"/>
      <c r="AC520" s="39"/>
      <c r="AD520" s="40"/>
      <c r="AE520" s="39"/>
      <c r="AF520" s="40"/>
      <c r="AG520" s="39"/>
      <c r="AH520" s="40"/>
      <c r="AI520" s="39"/>
      <c r="AJ520" s="40"/>
      <c r="AK520" s="39"/>
      <c r="AL520" s="40"/>
      <c r="AM520" s="39"/>
      <c r="AN520" s="40"/>
      <c r="AO520" s="39"/>
      <c r="AP520" s="40"/>
      <c r="AQ520" s="84">
        <f t="shared" si="81"/>
        <v>50</v>
      </c>
      <c r="AR520" s="80">
        <v>270.27</v>
      </c>
      <c r="AS520" s="178">
        <f t="shared" si="83"/>
        <v>13513.5</v>
      </c>
    </row>
    <row r="521" spans="1:45" ht="28.5" hidden="1">
      <c r="A521" s="67">
        <v>495</v>
      </c>
      <c r="B521" s="37" t="s">
        <v>795</v>
      </c>
      <c r="C521" s="53" t="s">
        <v>1250</v>
      </c>
      <c r="D521" s="37">
        <v>295</v>
      </c>
      <c r="E521" s="37" t="s">
        <v>794</v>
      </c>
      <c r="F521" s="110" t="s">
        <v>12</v>
      </c>
      <c r="G521" s="125"/>
      <c r="H521" s="125"/>
      <c r="I521" s="125"/>
      <c r="J521" s="125"/>
      <c r="K521" s="126"/>
      <c r="L521" s="127"/>
      <c r="M521" s="128"/>
      <c r="N521" s="125"/>
      <c r="O521" s="126"/>
      <c r="P521" s="125"/>
      <c r="Q521" s="128"/>
      <c r="R521" s="125"/>
      <c r="S521" s="110">
        <v>30</v>
      </c>
      <c r="T521" s="40">
        <f t="shared" si="82"/>
        <v>6075</v>
      </c>
      <c r="U521" s="39"/>
      <c r="V521" s="40"/>
      <c r="W521" s="39"/>
      <c r="X521" s="40"/>
      <c r="Y521" s="39"/>
      <c r="Z521" s="40"/>
      <c r="AA521" s="39"/>
      <c r="AB521" s="40"/>
      <c r="AC521" s="39"/>
      <c r="AD521" s="40"/>
      <c r="AE521" s="39"/>
      <c r="AF521" s="40"/>
      <c r="AG521" s="39"/>
      <c r="AH521" s="40"/>
      <c r="AI521" s="39"/>
      <c r="AJ521" s="40"/>
      <c r="AK521" s="39"/>
      <c r="AL521" s="40"/>
      <c r="AM521" s="39"/>
      <c r="AN521" s="40"/>
      <c r="AO521" s="39"/>
      <c r="AP521" s="40"/>
      <c r="AQ521" s="84">
        <f t="shared" si="81"/>
        <v>30</v>
      </c>
      <c r="AR521" s="80">
        <v>202.5</v>
      </c>
      <c r="AS521" s="178">
        <f t="shared" si="83"/>
        <v>6075</v>
      </c>
    </row>
    <row r="522" spans="1:45" ht="28.5" hidden="1">
      <c r="A522" s="71">
        <v>496</v>
      </c>
      <c r="B522" s="37" t="s">
        <v>793</v>
      </c>
      <c r="C522" s="53" t="s">
        <v>1250</v>
      </c>
      <c r="D522" s="37">
        <v>295</v>
      </c>
      <c r="E522" s="37" t="s">
        <v>792</v>
      </c>
      <c r="F522" s="110" t="s">
        <v>12</v>
      </c>
      <c r="G522" s="125"/>
      <c r="H522" s="125"/>
      <c r="I522" s="125"/>
      <c r="J522" s="125"/>
      <c r="K522" s="126"/>
      <c r="L522" s="127"/>
      <c r="M522" s="128"/>
      <c r="N522" s="125"/>
      <c r="O522" s="126"/>
      <c r="P522" s="125"/>
      <c r="Q522" s="128"/>
      <c r="R522" s="125"/>
      <c r="S522" s="110">
        <v>5</v>
      </c>
      <c r="T522" s="40">
        <f t="shared" si="82"/>
        <v>6808.4500000000007</v>
      </c>
      <c r="U522" s="39"/>
      <c r="V522" s="40"/>
      <c r="W522" s="39"/>
      <c r="X522" s="40"/>
      <c r="Y522" s="39"/>
      <c r="Z522" s="40"/>
      <c r="AA522" s="39"/>
      <c r="AB522" s="40"/>
      <c r="AC522" s="39"/>
      <c r="AD522" s="40"/>
      <c r="AE522" s="39"/>
      <c r="AF522" s="40"/>
      <c r="AG522" s="39"/>
      <c r="AH522" s="40"/>
      <c r="AI522" s="39"/>
      <c r="AJ522" s="40"/>
      <c r="AK522" s="39"/>
      <c r="AL522" s="40"/>
      <c r="AM522" s="39"/>
      <c r="AN522" s="40"/>
      <c r="AO522" s="39"/>
      <c r="AP522" s="40"/>
      <c r="AQ522" s="84">
        <f t="shared" si="81"/>
        <v>5</v>
      </c>
      <c r="AR522" s="80">
        <v>1361.69</v>
      </c>
      <c r="AS522" s="178">
        <f t="shared" si="83"/>
        <v>6808.4500000000007</v>
      </c>
    </row>
    <row r="523" spans="1:45" ht="28.5" hidden="1">
      <c r="A523" s="67">
        <v>497</v>
      </c>
      <c r="B523" s="37" t="s">
        <v>791</v>
      </c>
      <c r="C523" s="53" t="s">
        <v>1250</v>
      </c>
      <c r="D523" s="37">
        <v>295</v>
      </c>
      <c r="E523" s="37" t="s">
        <v>790</v>
      </c>
      <c r="F523" s="110" t="s">
        <v>12</v>
      </c>
      <c r="G523" s="125"/>
      <c r="H523" s="125"/>
      <c r="I523" s="125"/>
      <c r="J523" s="125"/>
      <c r="K523" s="126"/>
      <c r="L523" s="127"/>
      <c r="M523" s="128"/>
      <c r="N523" s="125"/>
      <c r="O523" s="126"/>
      <c r="P523" s="125"/>
      <c r="Q523" s="128"/>
      <c r="R523" s="125"/>
      <c r="S523" s="110">
        <v>300</v>
      </c>
      <c r="T523" s="40">
        <f t="shared" si="82"/>
        <v>504000</v>
      </c>
      <c r="U523" s="39"/>
      <c r="V523" s="40"/>
      <c r="W523" s="39"/>
      <c r="X523" s="40"/>
      <c r="Y523" s="39"/>
      <c r="Z523" s="40"/>
      <c r="AA523" s="39"/>
      <c r="AB523" s="40"/>
      <c r="AC523" s="39"/>
      <c r="AD523" s="40"/>
      <c r="AE523" s="39"/>
      <c r="AF523" s="40"/>
      <c r="AG523" s="39"/>
      <c r="AH523" s="40"/>
      <c r="AI523" s="39"/>
      <c r="AJ523" s="40"/>
      <c r="AK523" s="39"/>
      <c r="AL523" s="40"/>
      <c r="AM523" s="39"/>
      <c r="AN523" s="40"/>
      <c r="AO523" s="39"/>
      <c r="AP523" s="40"/>
      <c r="AQ523" s="84">
        <f t="shared" si="81"/>
        <v>300</v>
      </c>
      <c r="AR523" s="80">
        <v>1680</v>
      </c>
      <c r="AS523" s="178">
        <f t="shared" si="83"/>
        <v>504000</v>
      </c>
    </row>
    <row r="524" spans="1:45" ht="28.5" hidden="1">
      <c r="A524" s="71">
        <v>498</v>
      </c>
      <c r="B524" s="37" t="s">
        <v>789</v>
      </c>
      <c r="C524" s="53" t="s">
        <v>1250</v>
      </c>
      <c r="D524" s="37">
        <v>295</v>
      </c>
      <c r="E524" s="37" t="s">
        <v>788</v>
      </c>
      <c r="F524" s="110" t="s">
        <v>12</v>
      </c>
      <c r="G524" s="125"/>
      <c r="H524" s="125"/>
      <c r="I524" s="125"/>
      <c r="J524" s="125"/>
      <c r="K524" s="126"/>
      <c r="L524" s="127"/>
      <c r="M524" s="128"/>
      <c r="N524" s="125"/>
      <c r="O524" s="126"/>
      <c r="P524" s="125"/>
      <c r="Q524" s="128"/>
      <c r="R524" s="125"/>
      <c r="S524" s="110">
        <v>300</v>
      </c>
      <c r="T524" s="40">
        <f t="shared" si="82"/>
        <v>81000</v>
      </c>
      <c r="U524" s="39"/>
      <c r="V524" s="40"/>
      <c r="W524" s="39"/>
      <c r="X524" s="40"/>
      <c r="Y524" s="39"/>
      <c r="Z524" s="40"/>
      <c r="AA524" s="39"/>
      <c r="AB524" s="40"/>
      <c r="AC524" s="39"/>
      <c r="AD524" s="40"/>
      <c r="AE524" s="39"/>
      <c r="AF524" s="40"/>
      <c r="AG524" s="39"/>
      <c r="AH524" s="40"/>
      <c r="AI524" s="39"/>
      <c r="AJ524" s="40"/>
      <c r="AK524" s="39"/>
      <c r="AL524" s="40"/>
      <c r="AM524" s="39"/>
      <c r="AN524" s="40"/>
      <c r="AO524" s="39"/>
      <c r="AP524" s="40"/>
      <c r="AQ524" s="84">
        <f t="shared" si="81"/>
        <v>300</v>
      </c>
      <c r="AR524" s="80">
        <v>270</v>
      </c>
      <c r="AS524" s="178">
        <f t="shared" si="83"/>
        <v>81000</v>
      </c>
    </row>
    <row r="525" spans="1:45" ht="28.5" hidden="1">
      <c r="A525" s="67">
        <v>499</v>
      </c>
      <c r="B525" s="37" t="s">
        <v>787</v>
      </c>
      <c r="C525" s="53" t="s">
        <v>1250</v>
      </c>
      <c r="D525" s="37">
        <v>295</v>
      </c>
      <c r="E525" s="37" t="s">
        <v>786</v>
      </c>
      <c r="F525" s="110" t="s">
        <v>12</v>
      </c>
      <c r="G525" s="125"/>
      <c r="H525" s="125"/>
      <c r="I525" s="125"/>
      <c r="J525" s="125"/>
      <c r="K525" s="126"/>
      <c r="L525" s="127"/>
      <c r="M525" s="128"/>
      <c r="N525" s="125"/>
      <c r="O525" s="126"/>
      <c r="P525" s="125"/>
      <c r="Q525" s="128"/>
      <c r="R525" s="125"/>
      <c r="S525" s="110">
        <v>300</v>
      </c>
      <c r="T525" s="40">
        <f t="shared" si="82"/>
        <v>81000</v>
      </c>
      <c r="U525" s="39"/>
      <c r="V525" s="40"/>
      <c r="W525" s="39"/>
      <c r="X525" s="40"/>
      <c r="Y525" s="39"/>
      <c r="Z525" s="40"/>
      <c r="AA525" s="39"/>
      <c r="AB525" s="40"/>
      <c r="AC525" s="39"/>
      <c r="AD525" s="40"/>
      <c r="AE525" s="39"/>
      <c r="AF525" s="40"/>
      <c r="AG525" s="39"/>
      <c r="AH525" s="40"/>
      <c r="AI525" s="39"/>
      <c r="AJ525" s="40"/>
      <c r="AK525" s="39"/>
      <c r="AL525" s="40"/>
      <c r="AM525" s="39"/>
      <c r="AN525" s="40"/>
      <c r="AO525" s="39"/>
      <c r="AP525" s="40"/>
      <c r="AQ525" s="84">
        <f t="shared" si="81"/>
        <v>300</v>
      </c>
      <c r="AR525" s="80">
        <v>270</v>
      </c>
      <c r="AS525" s="178">
        <f t="shared" si="83"/>
        <v>81000</v>
      </c>
    </row>
    <row r="526" spans="1:45" ht="28.5" hidden="1">
      <c r="A526" s="71">
        <v>500</v>
      </c>
      <c r="B526" s="37" t="s">
        <v>785</v>
      </c>
      <c r="C526" s="53" t="s">
        <v>1250</v>
      </c>
      <c r="D526" s="37">
        <v>295</v>
      </c>
      <c r="E526" s="37" t="s">
        <v>784</v>
      </c>
      <c r="F526" s="110" t="s">
        <v>12</v>
      </c>
      <c r="G526" s="125"/>
      <c r="H526" s="125"/>
      <c r="I526" s="125"/>
      <c r="J526" s="125"/>
      <c r="K526" s="126"/>
      <c r="L526" s="127"/>
      <c r="M526" s="128"/>
      <c r="N526" s="125"/>
      <c r="O526" s="126"/>
      <c r="P526" s="125"/>
      <c r="Q526" s="128"/>
      <c r="R526" s="125"/>
      <c r="S526" s="110">
        <v>300</v>
      </c>
      <c r="T526" s="40">
        <f t="shared" si="82"/>
        <v>92346</v>
      </c>
      <c r="U526" s="39"/>
      <c r="V526" s="40"/>
      <c r="W526" s="39"/>
      <c r="X526" s="40"/>
      <c r="Y526" s="39"/>
      <c r="Z526" s="40"/>
      <c r="AA526" s="39"/>
      <c r="AB526" s="40"/>
      <c r="AC526" s="39"/>
      <c r="AD526" s="40"/>
      <c r="AE526" s="39"/>
      <c r="AF526" s="40"/>
      <c r="AG526" s="39"/>
      <c r="AH526" s="40"/>
      <c r="AI526" s="39"/>
      <c r="AJ526" s="40"/>
      <c r="AK526" s="39"/>
      <c r="AL526" s="40"/>
      <c r="AM526" s="39"/>
      <c r="AN526" s="40"/>
      <c r="AO526" s="39"/>
      <c r="AP526" s="40"/>
      <c r="AQ526" s="84">
        <f t="shared" si="81"/>
        <v>300</v>
      </c>
      <c r="AR526" s="80">
        <v>307.82</v>
      </c>
      <c r="AS526" s="178">
        <f t="shared" si="83"/>
        <v>92346</v>
      </c>
    </row>
    <row r="527" spans="1:45" ht="28.5" hidden="1">
      <c r="A527" s="67">
        <v>501</v>
      </c>
      <c r="B527" s="37" t="s">
        <v>783</v>
      </c>
      <c r="C527" s="53" t="s">
        <v>1250</v>
      </c>
      <c r="D527" s="37">
        <v>295</v>
      </c>
      <c r="E527" s="37" t="s">
        <v>782</v>
      </c>
      <c r="F527" s="110" t="s">
        <v>12</v>
      </c>
      <c r="G527" s="125"/>
      <c r="H527" s="125"/>
      <c r="I527" s="125"/>
      <c r="J527" s="125"/>
      <c r="K527" s="126"/>
      <c r="L527" s="127"/>
      <c r="M527" s="128"/>
      <c r="N527" s="125"/>
      <c r="O527" s="126"/>
      <c r="P527" s="125"/>
      <c r="Q527" s="128"/>
      <c r="R527" s="125"/>
      <c r="S527" s="110">
        <v>50</v>
      </c>
      <c r="T527" s="40">
        <f t="shared" si="82"/>
        <v>35625</v>
      </c>
      <c r="U527" s="39"/>
      <c r="V527" s="40"/>
      <c r="W527" s="39"/>
      <c r="X527" s="40"/>
      <c r="Y527" s="39"/>
      <c r="Z527" s="40"/>
      <c r="AA527" s="39"/>
      <c r="AB527" s="40"/>
      <c r="AC527" s="39"/>
      <c r="AD527" s="40"/>
      <c r="AE527" s="39"/>
      <c r="AF527" s="40"/>
      <c r="AG527" s="39"/>
      <c r="AH527" s="40"/>
      <c r="AI527" s="39"/>
      <c r="AJ527" s="40"/>
      <c r="AK527" s="39"/>
      <c r="AL527" s="40"/>
      <c r="AM527" s="39"/>
      <c r="AN527" s="40"/>
      <c r="AO527" s="39"/>
      <c r="AP527" s="40"/>
      <c r="AQ527" s="84">
        <f t="shared" si="81"/>
        <v>50</v>
      </c>
      <c r="AR527" s="80">
        <v>712.5</v>
      </c>
      <c r="AS527" s="178">
        <f t="shared" si="83"/>
        <v>35625</v>
      </c>
    </row>
    <row r="528" spans="1:45" ht="28.5" hidden="1">
      <c r="A528" s="71">
        <v>502</v>
      </c>
      <c r="B528" s="37" t="s">
        <v>781</v>
      </c>
      <c r="C528" s="53" t="s">
        <v>1250</v>
      </c>
      <c r="D528" s="37">
        <v>295</v>
      </c>
      <c r="E528" s="37" t="s">
        <v>780</v>
      </c>
      <c r="F528" s="110" t="s">
        <v>12</v>
      </c>
      <c r="G528" s="125"/>
      <c r="H528" s="125"/>
      <c r="I528" s="125"/>
      <c r="J528" s="125"/>
      <c r="K528" s="126"/>
      <c r="L528" s="127"/>
      <c r="M528" s="128"/>
      <c r="N528" s="125"/>
      <c r="O528" s="126"/>
      <c r="P528" s="125"/>
      <c r="Q528" s="128"/>
      <c r="R528" s="125"/>
      <c r="S528" s="110">
        <v>150</v>
      </c>
      <c r="T528" s="40">
        <f t="shared" si="82"/>
        <v>46182</v>
      </c>
      <c r="U528" s="39"/>
      <c r="V528" s="40"/>
      <c r="W528" s="39"/>
      <c r="X528" s="40"/>
      <c r="Y528" s="39"/>
      <c r="Z528" s="40"/>
      <c r="AA528" s="39"/>
      <c r="AB528" s="40"/>
      <c r="AC528" s="39"/>
      <c r="AD528" s="40"/>
      <c r="AE528" s="39"/>
      <c r="AF528" s="40"/>
      <c r="AG528" s="39"/>
      <c r="AH528" s="40"/>
      <c r="AI528" s="39"/>
      <c r="AJ528" s="40"/>
      <c r="AK528" s="39"/>
      <c r="AL528" s="40"/>
      <c r="AM528" s="39"/>
      <c r="AN528" s="40"/>
      <c r="AO528" s="39"/>
      <c r="AP528" s="40"/>
      <c r="AQ528" s="84">
        <f t="shared" si="81"/>
        <v>150</v>
      </c>
      <c r="AR528" s="80">
        <v>307.88</v>
      </c>
      <c r="AS528" s="178">
        <f t="shared" si="83"/>
        <v>46182</v>
      </c>
    </row>
    <row r="529" spans="1:45" ht="28.5" hidden="1">
      <c r="A529" s="67">
        <v>503</v>
      </c>
      <c r="B529" s="37" t="s">
        <v>779</v>
      </c>
      <c r="C529" s="53" t="s">
        <v>1250</v>
      </c>
      <c r="D529" s="37">
        <v>295</v>
      </c>
      <c r="E529" s="37" t="s">
        <v>778</v>
      </c>
      <c r="F529" s="110" t="s">
        <v>12</v>
      </c>
      <c r="G529" s="125"/>
      <c r="H529" s="125"/>
      <c r="I529" s="125"/>
      <c r="J529" s="125"/>
      <c r="K529" s="126"/>
      <c r="L529" s="127"/>
      <c r="M529" s="128"/>
      <c r="N529" s="125"/>
      <c r="O529" s="126"/>
      <c r="P529" s="125"/>
      <c r="Q529" s="128"/>
      <c r="R529" s="125"/>
      <c r="S529" s="110">
        <v>50</v>
      </c>
      <c r="T529" s="40">
        <f t="shared" si="82"/>
        <v>33375</v>
      </c>
      <c r="U529" s="39"/>
      <c r="V529" s="40"/>
      <c r="W529" s="39"/>
      <c r="X529" s="40"/>
      <c r="Y529" s="39"/>
      <c r="Z529" s="40"/>
      <c r="AA529" s="39"/>
      <c r="AB529" s="40"/>
      <c r="AC529" s="39"/>
      <c r="AD529" s="40"/>
      <c r="AE529" s="39"/>
      <c r="AF529" s="40"/>
      <c r="AG529" s="39"/>
      <c r="AH529" s="40"/>
      <c r="AI529" s="39"/>
      <c r="AJ529" s="40"/>
      <c r="AK529" s="39"/>
      <c r="AL529" s="40"/>
      <c r="AM529" s="39"/>
      <c r="AN529" s="40"/>
      <c r="AO529" s="39"/>
      <c r="AP529" s="40"/>
      <c r="AQ529" s="84">
        <f t="shared" si="81"/>
        <v>50</v>
      </c>
      <c r="AR529" s="80">
        <v>667.5</v>
      </c>
      <c r="AS529" s="178">
        <f t="shared" si="83"/>
        <v>33375</v>
      </c>
    </row>
    <row r="530" spans="1:45" ht="28.5" hidden="1">
      <c r="A530" s="71">
        <v>504</v>
      </c>
      <c r="B530" s="37" t="s">
        <v>777</v>
      </c>
      <c r="C530" s="53" t="s">
        <v>1250</v>
      </c>
      <c r="D530" s="37">
        <v>295</v>
      </c>
      <c r="E530" s="37" t="s">
        <v>776</v>
      </c>
      <c r="F530" s="110" t="s">
        <v>12</v>
      </c>
      <c r="G530" s="125"/>
      <c r="H530" s="125"/>
      <c r="I530" s="125"/>
      <c r="J530" s="125"/>
      <c r="K530" s="126"/>
      <c r="L530" s="127"/>
      <c r="M530" s="128"/>
      <c r="N530" s="125"/>
      <c r="O530" s="126"/>
      <c r="P530" s="125"/>
      <c r="Q530" s="128"/>
      <c r="R530" s="125"/>
      <c r="S530" s="110">
        <v>300</v>
      </c>
      <c r="T530" s="40">
        <f t="shared" si="82"/>
        <v>414000</v>
      </c>
      <c r="U530" s="39"/>
      <c r="V530" s="40"/>
      <c r="W530" s="39"/>
      <c r="X530" s="40"/>
      <c r="Y530" s="39"/>
      <c r="Z530" s="40"/>
      <c r="AA530" s="39"/>
      <c r="AB530" s="40"/>
      <c r="AC530" s="39"/>
      <c r="AD530" s="40"/>
      <c r="AE530" s="39"/>
      <c r="AF530" s="40"/>
      <c r="AG530" s="39"/>
      <c r="AH530" s="40"/>
      <c r="AI530" s="39"/>
      <c r="AJ530" s="40"/>
      <c r="AK530" s="39"/>
      <c r="AL530" s="40"/>
      <c r="AM530" s="39"/>
      <c r="AN530" s="40"/>
      <c r="AO530" s="39"/>
      <c r="AP530" s="40"/>
      <c r="AQ530" s="84">
        <f t="shared" si="81"/>
        <v>300</v>
      </c>
      <c r="AR530" s="80">
        <v>1380</v>
      </c>
      <c r="AS530" s="178">
        <f t="shared" si="83"/>
        <v>414000</v>
      </c>
    </row>
    <row r="531" spans="1:45" ht="28.5" hidden="1">
      <c r="A531" s="67">
        <v>505</v>
      </c>
      <c r="B531" s="37" t="s">
        <v>775</v>
      </c>
      <c r="C531" s="53" t="s">
        <v>1250</v>
      </c>
      <c r="D531" s="37">
        <v>295</v>
      </c>
      <c r="E531" s="37" t="s">
        <v>774</v>
      </c>
      <c r="F531" s="110" t="s">
        <v>12</v>
      </c>
      <c r="G531" s="125"/>
      <c r="H531" s="125"/>
      <c r="I531" s="125"/>
      <c r="J531" s="125"/>
      <c r="K531" s="126"/>
      <c r="L531" s="127"/>
      <c r="M531" s="128"/>
      <c r="N531" s="125"/>
      <c r="O531" s="126"/>
      <c r="P531" s="125"/>
      <c r="Q531" s="128"/>
      <c r="R531" s="125"/>
      <c r="S531" s="110">
        <v>50</v>
      </c>
      <c r="T531" s="40">
        <f t="shared" si="82"/>
        <v>13500</v>
      </c>
      <c r="U531" s="39"/>
      <c r="V531" s="40"/>
      <c r="W531" s="39"/>
      <c r="X531" s="40"/>
      <c r="Y531" s="39"/>
      <c r="Z531" s="40"/>
      <c r="AA531" s="39"/>
      <c r="AB531" s="40"/>
      <c r="AC531" s="39"/>
      <c r="AD531" s="40"/>
      <c r="AE531" s="39"/>
      <c r="AF531" s="40"/>
      <c r="AG531" s="39"/>
      <c r="AH531" s="40"/>
      <c r="AI531" s="39"/>
      <c r="AJ531" s="40"/>
      <c r="AK531" s="39"/>
      <c r="AL531" s="40"/>
      <c r="AM531" s="39"/>
      <c r="AN531" s="40"/>
      <c r="AO531" s="39"/>
      <c r="AP531" s="40"/>
      <c r="AQ531" s="84">
        <f t="shared" si="81"/>
        <v>50</v>
      </c>
      <c r="AR531" s="80">
        <v>270</v>
      </c>
      <c r="AS531" s="178">
        <f t="shared" si="83"/>
        <v>13500</v>
      </c>
    </row>
    <row r="532" spans="1:45" ht="28.5" hidden="1">
      <c r="A532" s="71">
        <v>506</v>
      </c>
      <c r="B532" s="37" t="s">
        <v>773</v>
      </c>
      <c r="C532" s="53" t="s">
        <v>1250</v>
      </c>
      <c r="D532" s="37">
        <v>295</v>
      </c>
      <c r="E532" s="37" t="s">
        <v>772</v>
      </c>
      <c r="F532" s="110" t="s">
        <v>12</v>
      </c>
      <c r="G532" s="125"/>
      <c r="H532" s="125"/>
      <c r="I532" s="125"/>
      <c r="J532" s="125"/>
      <c r="K532" s="126"/>
      <c r="L532" s="127"/>
      <c r="M532" s="128"/>
      <c r="N532" s="125"/>
      <c r="O532" s="126"/>
      <c r="P532" s="125"/>
      <c r="Q532" s="128"/>
      <c r="R532" s="125"/>
      <c r="S532" s="110">
        <v>50</v>
      </c>
      <c r="T532" s="40">
        <f t="shared" si="82"/>
        <v>13500</v>
      </c>
      <c r="U532" s="39"/>
      <c r="V532" s="40"/>
      <c r="W532" s="39"/>
      <c r="X532" s="40"/>
      <c r="Y532" s="39"/>
      <c r="Z532" s="40"/>
      <c r="AA532" s="39"/>
      <c r="AB532" s="40"/>
      <c r="AC532" s="39"/>
      <c r="AD532" s="40"/>
      <c r="AE532" s="39"/>
      <c r="AF532" s="40"/>
      <c r="AG532" s="39"/>
      <c r="AH532" s="40"/>
      <c r="AI532" s="39"/>
      <c r="AJ532" s="40"/>
      <c r="AK532" s="39"/>
      <c r="AL532" s="40"/>
      <c r="AM532" s="39"/>
      <c r="AN532" s="40"/>
      <c r="AO532" s="39"/>
      <c r="AP532" s="40"/>
      <c r="AQ532" s="84">
        <f t="shared" si="81"/>
        <v>50</v>
      </c>
      <c r="AR532" s="80">
        <v>270</v>
      </c>
      <c r="AS532" s="178">
        <f t="shared" si="83"/>
        <v>13500</v>
      </c>
    </row>
    <row r="533" spans="1:45" ht="28.5" hidden="1">
      <c r="A533" s="67">
        <v>507</v>
      </c>
      <c r="B533" s="37" t="s">
        <v>771</v>
      </c>
      <c r="C533" s="53" t="s">
        <v>1250</v>
      </c>
      <c r="D533" s="37">
        <v>295</v>
      </c>
      <c r="E533" s="37" t="s">
        <v>770</v>
      </c>
      <c r="F533" s="110" t="s">
        <v>12</v>
      </c>
      <c r="G533" s="125"/>
      <c r="H533" s="125"/>
      <c r="I533" s="125"/>
      <c r="J533" s="125"/>
      <c r="K533" s="126"/>
      <c r="L533" s="127"/>
      <c r="M533" s="128"/>
      <c r="N533" s="125"/>
      <c r="O533" s="126"/>
      <c r="P533" s="125"/>
      <c r="Q533" s="128"/>
      <c r="R533" s="125"/>
      <c r="S533" s="110">
        <v>200</v>
      </c>
      <c r="T533" s="40">
        <f t="shared" si="82"/>
        <v>265326</v>
      </c>
      <c r="U533" s="39"/>
      <c r="V533" s="40"/>
      <c r="W533" s="39"/>
      <c r="X533" s="40"/>
      <c r="Y533" s="39"/>
      <c r="Z533" s="40"/>
      <c r="AA533" s="39"/>
      <c r="AB533" s="40"/>
      <c r="AC533" s="39"/>
      <c r="AD533" s="40"/>
      <c r="AE533" s="39"/>
      <c r="AF533" s="40"/>
      <c r="AG533" s="39"/>
      <c r="AH533" s="40"/>
      <c r="AI533" s="39"/>
      <c r="AJ533" s="40"/>
      <c r="AK533" s="39"/>
      <c r="AL533" s="40"/>
      <c r="AM533" s="39"/>
      <c r="AN533" s="40"/>
      <c r="AO533" s="39"/>
      <c r="AP533" s="40"/>
      <c r="AQ533" s="84">
        <f t="shared" si="81"/>
        <v>200</v>
      </c>
      <c r="AR533" s="80">
        <v>1326.63</v>
      </c>
      <c r="AS533" s="178">
        <f t="shared" si="83"/>
        <v>265326</v>
      </c>
    </row>
    <row r="534" spans="1:45" ht="28.5" hidden="1">
      <c r="A534" s="71">
        <v>508</v>
      </c>
      <c r="B534" s="37" t="s">
        <v>769</v>
      </c>
      <c r="C534" s="53" t="s">
        <v>1250</v>
      </c>
      <c r="D534" s="37">
        <v>295</v>
      </c>
      <c r="E534" s="37" t="s">
        <v>768</v>
      </c>
      <c r="F534" s="110" t="s">
        <v>12</v>
      </c>
      <c r="G534" s="125"/>
      <c r="H534" s="125"/>
      <c r="I534" s="125"/>
      <c r="J534" s="125"/>
      <c r="K534" s="126"/>
      <c r="L534" s="127"/>
      <c r="M534" s="128"/>
      <c r="N534" s="125"/>
      <c r="O534" s="126"/>
      <c r="P534" s="125"/>
      <c r="Q534" s="128"/>
      <c r="R534" s="125"/>
      <c r="S534" s="110">
        <v>20</v>
      </c>
      <c r="T534" s="40">
        <f t="shared" si="82"/>
        <v>7500</v>
      </c>
      <c r="U534" s="39"/>
      <c r="V534" s="40"/>
      <c r="W534" s="39"/>
      <c r="X534" s="40"/>
      <c r="Y534" s="39"/>
      <c r="Z534" s="40"/>
      <c r="AA534" s="39"/>
      <c r="AB534" s="40"/>
      <c r="AC534" s="39"/>
      <c r="AD534" s="40"/>
      <c r="AE534" s="39"/>
      <c r="AF534" s="40"/>
      <c r="AG534" s="39"/>
      <c r="AH534" s="40"/>
      <c r="AI534" s="39"/>
      <c r="AJ534" s="40"/>
      <c r="AK534" s="39"/>
      <c r="AL534" s="40"/>
      <c r="AM534" s="39"/>
      <c r="AN534" s="40"/>
      <c r="AO534" s="39"/>
      <c r="AP534" s="40"/>
      <c r="AQ534" s="84">
        <f t="shared" si="81"/>
        <v>20</v>
      </c>
      <c r="AR534" s="80">
        <v>375</v>
      </c>
      <c r="AS534" s="178">
        <f t="shared" si="83"/>
        <v>7500</v>
      </c>
    </row>
    <row r="535" spans="1:45" ht="28.5" hidden="1">
      <c r="A535" s="67">
        <v>509</v>
      </c>
      <c r="B535" s="37" t="s">
        <v>767</v>
      </c>
      <c r="C535" s="53" t="s">
        <v>1250</v>
      </c>
      <c r="D535" s="37">
        <v>295</v>
      </c>
      <c r="E535" s="37" t="s">
        <v>766</v>
      </c>
      <c r="F535" s="110" t="s">
        <v>12</v>
      </c>
      <c r="G535" s="125"/>
      <c r="H535" s="125"/>
      <c r="I535" s="125"/>
      <c r="J535" s="125"/>
      <c r="K535" s="126"/>
      <c r="L535" s="127"/>
      <c r="M535" s="128"/>
      <c r="N535" s="125"/>
      <c r="O535" s="126"/>
      <c r="P535" s="125"/>
      <c r="Q535" s="128"/>
      <c r="R535" s="125"/>
      <c r="S535" s="110">
        <v>30</v>
      </c>
      <c r="T535" s="40">
        <f t="shared" si="82"/>
        <v>19800</v>
      </c>
      <c r="U535" s="39"/>
      <c r="V535" s="40"/>
      <c r="W535" s="39"/>
      <c r="X535" s="40"/>
      <c r="Y535" s="39"/>
      <c r="Z535" s="40"/>
      <c r="AA535" s="39"/>
      <c r="AB535" s="40"/>
      <c r="AC535" s="39"/>
      <c r="AD535" s="40"/>
      <c r="AE535" s="39"/>
      <c r="AF535" s="40"/>
      <c r="AG535" s="39"/>
      <c r="AH535" s="40"/>
      <c r="AI535" s="39"/>
      <c r="AJ535" s="40"/>
      <c r="AK535" s="39"/>
      <c r="AL535" s="40"/>
      <c r="AM535" s="39"/>
      <c r="AN535" s="40"/>
      <c r="AO535" s="39"/>
      <c r="AP535" s="40"/>
      <c r="AQ535" s="84">
        <f t="shared" si="81"/>
        <v>30</v>
      </c>
      <c r="AR535" s="80">
        <v>660</v>
      </c>
      <c r="AS535" s="178">
        <f t="shared" si="83"/>
        <v>19800</v>
      </c>
    </row>
    <row r="536" spans="1:45" ht="28.5" hidden="1">
      <c r="A536" s="71">
        <v>510</v>
      </c>
      <c r="B536" s="37" t="s">
        <v>765</v>
      </c>
      <c r="C536" s="53" t="s">
        <v>1250</v>
      </c>
      <c r="D536" s="37">
        <v>295</v>
      </c>
      <c r="E536" s="37" t="s">
        <v>764</v>
      </c>
      <c r="F536" s="110" t="s">
        <v>12</v>
      </c>
      <c r="G536" s="125"/>
      <c r="H536" s="125"/>
      <c r="I536" s="125"/>
      <c r="J536" s="125"/>
      <c r="K536" s="126"/>
      <c r="L536" s="127"/>
      <c r="M536" s="128"/>
      <c r="N536" s="125"/>
      <c r="O536" s="126"/>
      <c r="P536" s="125"/>
      <c r="Q536" s="128"/>
      <c r="R536" s="125"/>
      <c r="S536" s="110">
        <v>30</v>
      </c>
      <c r="T536" s="40">
        <f t="shared" si="82"/>
        <v>35550</v>
      </c>
      <c r="U536" s="39"/>
      <c r="V536" s="40"/>
      <c r="W536" s="39"/>
      <c r="X536" s="40"/>
      <c r="Y536" s="39"/>
      <c r="Z536" s="40"/>
      <c r="AA536" s="39"/>
      <c r="AB536" s="40"/>
      <c r="AC536" s="39"/>
      <c r="AD536" s="40"/>
      <c r="AE536" s="39"/>
      <c r="AF536" s="40"/>
      <c r="AG536" s="39"/>
      <c r="AH536" s="40"/>
      <c r="AI536" s="39"/>
      <c r="AJ536" s="40"/>
      <c r="AK536" s="39"/>
      <c r="AL536" s="40"/>
      <c r="AM536" s="39"/>
      <c r="AN536" s="40"/>
      <c r="AO536" s="39"/>
      <c r="AP536" s="40"/>
      <c r="AQ536" s="84">
        <f t="shared" si="81"/>
        <v>30</v>
      </c>
      <c r="AR536" s="80">
        <v>1185</v>
      </c>
      <c r="AS536" s="178">
        <f t="shared" si="83"/>
        <v>35550</v>
      </c>
    </row>
    <row r="537" spans="1:45" ht="28.5" hidden="1">
      <c r="A537" s="67">
        <v>511</v>
      </c>
      <c r="B537" s="37" t="s">
        <v>763</v>
      </c>
      <c r="C537" s="53" t="s">
        <v>1250</v>
      </c>
      <c r="D537" s="37">
        <v>295</v>
      </c>
      <c r="E537" s="37" t="s">
        <v>762</v>
      </c>
      <c r="F537" s="110" t="s">
        <v>12</v>
      </c>
      <c r="G537" s="125"/>
      <c r="H537" s="125"/>
      <c r="I537" s="125"/>
      <c r="J537" s="125"/>
      <c r="K537" s="126"/>
      <c r="L537" s="127"/>
      <c r="M537" s="128"/>
      <c r="N537" s="125"/>
      <c r="O537" s="126"/>
      <c r="P537" s="125"/>
      <c r="Q537" s="128"/>
      <c r="R537" s="125"/>
      <c r="S537" s="110">
        <v>50</v>
      </c>
      <c r="T537" s="40">
        <f t="shared" si="82"/>
        <v>1260750</v>
      </c>
      <c r="U537" s="39"/>
      <c r="V537" s="40"/>
      <c r="W537" s="39"/>
      <c r="X537" s="40"/>
      <c r="Y537" s="39"/>
      <c r="Z537" s="40"/>
      <c r="AA537" s="39"/>
      <c r="AB537" s="40"/>
      <c r="AC537" s="39"/>
      <c r="AD537" s="40"/>
      <c r="AE537" s="39"/>
      <c r="AF537" s="40"/>
      <c r="AG537" s="39"/>
      <c r="AH537" s="40"/>
      <c r="AI537" s="39"/>
      <c r="AJ537" s="40"/>
      <c r="AK537" s="39"/>
      <c r="AL537" s="40"/>
      <c r="AM537" s="39"/>
      <c r="AN537" s="40"/>
      <c r="AO537" s="39"/>
      <c r="AP537" s="40"/>
      <c r="AQ537" s="84">
        <f t="shared" si="81"/>
        <v>50</v>
      </c>
      <c r="AR537" s="80">
        <v>25215</v>
      </c>
      <c r="AS537" s="178">
        <f t="shared" si="83"/>
        <v>1260750</v>
      </c>
    </row>
    <row r="538" spans="1:45" ht="28.5" hidden="1">
      <c r="A538" s="71">
        <v>512</v>
      </c>
      <c r="B538" s="37" t="s">
        <v>761</v>
      </c>
      <c r="C538" s="53" t="s">
        <v>1250</v>
      </c>
      <c r="D538" s="37">
        <v>295</v>
      </c>
      <c r="E538" s="37" t="s">
        <v>760</v>
      </c>
      <c r="F538" s="110" t="s">
        <v>12</v>
      </c>
      <c r="G538" s="125"/>
      <c r="H538" s="125"/>
      <c r="I538" s="125"/>
      <c r="J538" s="125"/>
      <c r="K538" s="126"/>
      <c r="L538" s="127"/>
      <c r="M538" s="128"/>
      <c r="N538" s="125"/>
      <c r="O538" s="126"/>
      <c r="P538" s="125"/>
      <c r="Q538" s="128"/>
      <c r="R538" s="125"/>
      <c r="S538" s="110">
        <v>150</v>
      </c>
      <c r="T538" s="40">
        <f t="shared" si="82"/>
        <v>46173</v>
      </c>
      <c r="U538" s="39"/>
      <c r="V538" s="40"/>
      <c r="W538" s="39"/>
      <c r="X538" s="40"/>
      <c r="Y538" s="39"/>
      <c r="Z538" s="40"/>
      <c r="AA538" s="39"/>
      <c r="AB538" s="40"/>
      <c r="AC538" s="39"/>
      <c r="AD538" s="40"/>
      <c r="AE538" s="39"/>
      <c r="AF538" s="40"/>
      <c r="AG538" s="39"/>
      <c r="AH538" s="40"/>
      <c r="AI538" s="39"/>
      <c r="AJ538" s="40"/>
      <c r="AK538" s="39"/>
      <c r="AL538" s="40"/>
      <c r="AM538" s="39"/>
      <c r="AN538" s="40"/>
      <c r="AO538" s="39"/>
      <c r="AP538" s="40"/>
      <c r="AQ538" s="84">
        <f t="shared" si="81"/>
        <v>150</v>
      </c>
      <c r="AR538" s="80">
        <v>307.82</v>
      </c>
      <c r="AS538" s="178">
        <f t="shared" si="83"/>
        <v>46173</v>
      </c>
    </row>
    <row r="539" spans="1:45" ht="28.5" hidden="1">
      <c r="A539" s="67">
        <v>513</v>
      </c>
      <c r="B539" s="37" t="s">
        <v>759</v>
      </c>
      <c r="C539" s="53" t="s">
        <v>1250</v>
      </c>
      <c r="D539" s="37">
        <v>295</v>
      </c>
      <c r="E539" s="37" t="s">
        <v>758</v>
      </c>
      <c r="F539" s="110" t="s">
        <v>12</v>
      </c>
      <c r="G539" s="125"/>
      <c r="H539" s="125"/>
      <c r="I539" s="125"/>
      <c r="J539" s="125"/>
      <c r="K539" s="126"/>
      <c r="L539" s="127"/>
      <c r="M539" s="128"/>
      <c r="N539" s="125"/>
      <c r="O539" s="126"/>
      <c r="P539" s="125"/>
      <c r="Q539" s="128"/>
      <c r="R539" s="125"/>
      <c r="S539" s="110">
        <v>30</v>
      </c>
      <c r="T539" s="40">
        <f t="shared" si="82"/>
        <v>36900</v>
      </c>
      <c r="U539" s="39"/>
      <c r="V539" s="40"/>
      <c r="W539" s="39"/>
      <c r="X539" s="40"/>
      <c r="Y539" s="39"/>
      <c r="Z539" s="40"/>
      <c r="AA539" s="39"/>
      <c r="AB539" s="40"/>
      <c r="AC539" s="39"/>
      <c r="AD539" s="40"/>
      <c r="AE539" s="39"/>
      <c r="AF539" s="40"/>
      <c r="AG539" s="39"/>
      <c r="AH539" s="40"/>
      <c r="AI539" s="39"/>
      <c r="AJ539" s="40"/>
      <c r="AK539" s="39"/>
      <c r="AL539" s="40"/>
      <c r="AM539" s="39"/>
      <c r="AN539" s="40"/>
      <c r="AO539" s="39"/>
      <c r="AP539" s="40"/>
      <c r="AQ539" s="84">
        <f t="shared" si="81"/>
        <v>30</v>
      </c>
      <c r="AR539" s="80">
        <v>1230</v>
      </c>
      <c r="AS539" s="178">
        <f t="shared" si="83"/>
        <v>36900</v>
      </c>
    </row>
    <row r="540" spans="1:45" ht="28.5" hidden="1">
      <c r="A540" s="71">
        <v>514</v>
      </c>
      <c r="B540" s="37" t="s">
        <v>757</v>
      </c>
      <c r="C540" s="53" t="s">
        <v>1250</v>
      </c>
      <c r="D540" s="37">
        <v>295</v>
      </c>
      <c r="E540" s="37" t="s">
        <v>756</v>
      </c>
      <c r="F540" s="110" t="s">
        <v>12</v>
      </c>
      <c r="G540" s="125"/>
      <c r="H540" s="125"/>
      <c r="I540" s="125"/>
      <c r="J540" s="125"/>
      <c r="K540" s="126"/>
      <c r="L540" s="127"/>
      <c r="M540" s="128"/>
      <c r="N540" s="125"/>
      <c r="O540" s="126"/>
      <c r="P540" s="125"/>
      <c r="Q540" s="128"/>
      <c r="R540" s="125"/>
      <c r="S540" s="110">
        <v>30</v>
      </c>
      <c r="T540" s="40">
        <f t="shared" si="82"/>
        <v>8353.5</v>
      </c>
      <c r="U540" s="39"/>
      <c r="V540" s="40"/>
      <c r="W540" s="39"/>
      <c r="X540" s="40"/>
      <c r="Y540" s="39"/>
      <c r="Z540" s="40"/>
      <c r="AA540" s="39"/>
      <c r="AB540" s="40"/>
      <c r="AC540" s="39"/>
      <c r="AD540" s="40"/>
      <c r="AE540" s="39"/>
      <c r="AF540" s="40"/>
      <c r="AG540" s="39"/>
      <c r="AH540" s="40"/>
      <c r="AI540" s="39"/>
      <c r="AJ540" s="40"/>
      <c r="AK540" s="39"/>
      <c r="AL540" s="40"/>
      <c r="AM540" s="39"/>
      <c r="AN540" s="40"/>
      <c r="AO540" s="39"/>
      <c r="AP540" s="40"/>
      <c r="AQ540" s="84">
        <f t="shared" si="81"/>
        <v>30</v>
      </c>
      <c r="AR540" s="80">
        <v>278.45</v>
      </c>
      <c r="AS540" s="178">
        <f t="shared" si="83"/>
        <v>8353.5</v>
      </c>
    </row>
    <row r="541" spans="1:45" ht="28.5" hidden="1">
      <c r="A541" s="67">
        <v>515</v>
      </c>
      <c r="B541" s="37" t="s">
        <v>755</v>
      </c>
      <c r="C541" s="53" t="s">
        <v>1250</v>
      </c>
      <c r="D541" s="37">
        <v>295</v>
      </c>
      <c r="E541" s="37" t="s">
        <v>754</v>
      </c>
      <c r="F541" s="110" t="s">
        <v>12</v>
      </c>
      <c r="G541" s="125"/>
      <c r="H541" s="125"/>
      <c r="I541" s="125"/>
      <c r="J541" s="125"/>
      <c r="K541" s="126"/>
      <c r="L541" s="127"/>
      <c r="M541" s="128"/>
      <c r="N541" s="125"/>
      <c r="O541" s="126"/>
      <c r="P541" s="125"/>
      <c r="Q541" s="128"/>
      <c r="R541" s="125"/>
      <c r="S541" s="110">
        <v>2</v>
      </c>
      <c r="T541" s="40">
        <f t="shared" si="82"/>
        <v>556.9</v>
      </c>
      <c r="U541" s="39"/>
      <c r="V541" s="40"/>
      <c r="W541" s="39"/>
      <c r="X541" s="40"/>
      <c r="Y541" s="39"/>
      <c r="Z541" s="40"/>
      <c r="AA541" s="39"/>
      <c r="AB541" s="40"/>
      <c r="AC541" s="39"/>
      <c r="AD541" s="40"/>
      <c r="AE541" s="39"/>
      <c r="AF541" s="40"/>
      <c r="AG541" s="39"/>
      <c r="AH541" s="40"/>
      <c r="AI541" s="39"/>
      <c r="AJ541" s="40"/>
      <c r="AK541" s="39"/>
      <c r="AL541" s="40"/>
      <c r="AM541" s="39"/>
      <c r="AN541" s="40"/>
      <c r="AO541" s="39"/>
      <c r="AP541" s="40"/>
      <c r="AQ541" s="84">
        <f t="shared" si="81"/>
        <v>2</v>
      </c>
      <c r="AR541" s="80">
        <v>278.45</v>
      </c>
      <c r="AS541" s="178">
        <f t="shared" si="83"/>
        <v>556.9</v>
      </c>
    </row>
    <row r="542" spans="1:45" ht="28.5" hidden="1">
      <c r="A542" s="71">
        <v>516</v>
      </c>
      <c r="B542" s="37" t="s">
        <v>753</v>
      </c>
      <c r="C542" s="53" t="s">
        <v>1250</v>
      </c>
      <c r="D542" s="37">
        <v>295</v>
      </c>
      <c r="E542" s="37" t="s">
        <v>752</v>
      </c>
      <c r="F542" s="110" t="s">
        <v>12</v>
      </c>
      <c r="G542" s="125"/>
      <c r="H542" s="125"/>
      <c r="I542" s="125"/>
      <c r="J542" s="125"/>
      <c r="K542" s="126"/>
      <c r="L542" s="127"/>
      <c r="M542" s="128"/>
      <c r="N542" s="125"/>
      <c r="O542" s="126"/>
      <c r="P542" s="125"/>
      <c r="Q542" s="128"/>
      <c r="R542" s="125"/>
      <c r="S542" s="110">
        <v>200</v>
      </c>
      <c r="T542" s="40">
        <f t="shared" si="82"/>
        <v>65190</v>
      </c>
      <c r="U542" s="39"/>
      <c r="V542" s="40"/>
      <c r="W542" s="39"/>
      <c r="X542" s="40"/>
      <c r="Y542" s="39"/>
      <c r="Z542" s="40"/>
      <c r="AA542" s="39"/>
      <c r="AB542" s="40"/>
      <c r="AC542" s="39"/>
      <c r="AD542" s="40"/>
      <c r="AE542" s="39"/>
      <c r="AF542" s="40"/>
      <c r="AG542" s="39"/>
      <c r="AH542" s="40"/>
      <c r="AI542" s="39"/>
      <c r="AJ542" s="40"/>
      <c r="AK542" s="39"/>
      <c r="AL542" s="40"/>
      <c r="AM542" s="39"/>
      <c r="AN542" s="40"/>
      <c r="AO542" s="39"/>
      <c r="AP542" s="40"/>
      <c r="AQ542" s="84">
        <f t="shared" si="81"/>
        <v>200</v>
      </c>
      <c r="AR542" s="80">
        <v>325.95</v>
      </c>
      <c r="AS542" s="178">
        <f t="shared" si="83"/>
        <v>65190</v>
      </c>
    </row>
    <row r="543" spans="1:45" ht="28.5" hidden="1">
      <c r="A543" s="67">
        <v>517</v>
      </c>
      <c r="B543" s="37" t="s">
        <v>751</v>
      </c>
      <c r="C543" s="53" t="s">
        <v>1250</v>
      </c>
      <c r="D543" s="37">
        <v>295</v>
      </c>
      <c r="E543" s="37" t="s">
        <v>750</v>
      </c>
      <c r="F543" s="110" t="s">
        <v>12</v>
      </c>
      <c r="G543" s="125"/>
      <c r="H543" s="125"/>
      <c r="I543" s="125"/>
      <c r="J543" s="125"/>
      <c r="K543" s="126"/>
      <c r="L543" s="127"/>
      <c r="M543" s="128"/>
      <c r="N543" s="125"/>
      <c r="O543" s="126"/>
      <c r="P543" s="125"/>
      <c r="Q543" s="128"/>
      <c r="R543" s="125"/>
      <c r="S543" s="110">
        <v>2</v>
      </c>
      <c r="T543" s="40">
        <f t="shared" si="82"/>
        <v>1015.54</v>
      </c>
      <c r="U543" s="39"/>
      <c r="V543" s="40"/>
      <c r="W543" s="39"/>
      <c r="X543" s="40"/>
      <c r="Y543" s="39"/>
      <c r="Z543" s="40"/>
      <c r="AA543" s="39"/>
      <c r="AB543" s="40"/>
      <c r="AC543" s="39"/>
      <c r="AD543" s="40"/>
      <c r="AE543" s="39"/>
      <c r="AF543" s="40"/>
      <c r="AG543" s="39"/>
      <c r="AH543" s="40"/>
      <c r="AI543" s="39"/>
      <c r="AJ543" s="40"/>
      <c r="AK543" s="39"/>
      <c r="AL543" s="40"/>
      <c r="AM543" s="39"/>
      <c r="AN543" s="40"/>
      <c r="AO543" s="39"/>
      <c r="AP543" s="40"/>
      <c r="AQ543" s="84">
        <f t="shared" si="81"/>
        <v>2</v>
      </c>
      <c r="AR543" s="80">
        <v>507.77</v>
      </c>
      <c r="AS543" s="178">
        <f t="shared" si="83"/>
        <v>1015.54</v>
      </c>
    </row>
    <row r="544" spans="1:45" ht="28.5" hidden="1">
      <c r="A544" s="71">
        <v>518</v>
      </c>
      <c r="B544" s="37" t="s">
        <v>749</v>
      </c>
      <c r="C544" s="53" t="s">
        <v>1250</v>
      </c>
      <c r="D544" s="37">
        <v>295</v>
      </c>
      <c r="E544" s="37" t="s">
        <v>748</v>
      </c>
      <c r="F544" s="110" t="s">
        <v>12</v>
      </c>
      <c r="G544" s="125"/>
      <c r="H544" s="125"/>
      <c r="I544" s="125"/>
      <c r="J544" s="125"/>
      <c r="K544" s="126"/>
      <c r="L544" s="127"/>
      <c r="M544" s="128"/>
      <c r="N544" s="125"/>
      <c r="O544" s="126"/>
      <c r="P544" s="125"/>
      <c r="Q544" s="128"/>
      <c r="R544" s="125"/>
      <c r="S544" s="110">
        <v>50</v>
      </c>
      <c r="T544" s="40">
        <f t="shared" si="82"/>
        <v>3112</v>
      </c>
      <c r="U544" s="39"/>
      <c r="V544" s="40"/>
      <c r="W544" s="39"/>
      <c r="X544" s="40"/>
      <c r="Y544" s="39"/>
      <c r="Z544" s="40"/>
      <c r="AA544" s="39"/>
      <c r="AB544" s="40"/>
      <c r="AC544" s="39"/>
      <c r="AD544" s="40"/>
      <c r="AE544" s="39"/>
      <c r="AF544" s="40"/>
      <c r="AG544" s="39"/>
      <c r="AH544" s="40"/>
      <c r="AI544" s="39"/>
      <c r="AJ544" s="40"/>
      <c r="AK544" s="39"/>
      <c r="AL544" s="40"/>
      <c r="AM544" s="39"/>
      <c r="AN544" s="40"/>
      <c r="AO544" s="39"/>
      <c r="AP544" s="40"/>
      <c r="AQ544" s="84">
        <f t="shared" si="81"/>
        <v>50</v>
      </c>
      <c r="AR544" s="80">
        <v>62.24</v>
      </c>
      <c r="AS544" s="178">
        <f t="shared" si="83"/>
        <v>3112</v>
      </c>
    </row>
    <row r="545" spans="1:45" ht="28.5" hidden="1">
      <c r="A545" s="67">
        <v>519</v>
      </c>
      <c r="B545" s="37" t="s">
        <v>747</v>
      </c>
      <c r="C545" s="53" t="s">
        <v>1250</v>
      </c>
      <c r="D545" s="37">
        <v>295</v>
      </c>
      <c r="E545" s="37" t="s">
        <v>746</v>
      </c>
      <c r="F545" s="110" t="s">
        <v>12</v>
      </c>
      <c r="G545" s="125"/>
      <c r="H545" s="125"/>
      <c r="I545" s="125"/>
      <c r="J545" s="125"/>
      <c r="K545" s="126"/>
      <c r="L545" s="127"/>
      <c r="M545" s="128"/>
      <c r="N545" s="125"/>
      <c r="O545" s="126"/>
      <c r="P545" s="125"/>
      <c r="Q545" s="128"/>
      <c r="R545" s="125"/>
      <c r="S545" s="110">
        <v>30</v>
      </c>
      <c r="T545" s="40">
        <f t="shared" si="82"/>
        <v>66094.2</v>
      </c>
      <c r="U545" s="39"/>
      <c r="V545" s="40"/>
      <c r="W545" s="39"/>
      <c r="X545" s="40"/>
      <c r="Y545" s="39"/>
      <c r="Z545" s="40"/>
      <c r="AA545" s="39"/>
      <c r="AB545" s="40"/>
      <c r="AC545" s="39"/>
      <c r="AD545" s="40"/>
      <c r="AE545" s="39"/>
      <c r="AF545" s="40"/>
      <c r="AG545" s="39"/>
      <c r="AH545" s="40"/>
      <c r="AI545" s="39"/>
      <c r="AJ545" s="40"/>
      <c r="AK545" s="39"/>
      <c r="AL545" s="40"/>
      <c r="AM545" s="39"/>
      <c r="AN545" s="40"/>
      <c r="AO545" s="39"/>
      <c r="AP545" s="40"/>
      <c r="AQ545" s="84">
        <f t="shared" si="81"/>
        <v>30</v>
      </c>
      <c r="AR545" s="80">
        <v>2203.14</v>
      </c>
      <c r="AS545" s="178">
        <f t="shared" si="83"/>
        <v>66094.2</v>
      </c>
    </row>
    <row r="546" spans="1:45" ht="28.5" hidden="1">
      <c r="A546" s="71">
        <v>520</v>
      </c>
      <c r="B546" s="37" t="s">
        <v>745</v>
      </c>
      <c r="C546" s="53" t="s">
        <v>1250</v>
      </c>
      <c r="D546" s="37">
        <v>295</v>
      </c>
      <c r="E546" s="37" t="s">
        <v>744</v>
      </c>
      <c r="F546" s="110" t="s">
        <v>12</v>
      </c>
      <c r="G546" s="125"/>
      <c r="H546" s="125"/>
      <c r="I546" s="125"/>
      <c r="J546" s="125"/>
      <c r="K546" s="126"/>
      <c r="L546" s="127"/>
      <c r="M546" s="128"/>
      <c r="N546" s="125"/>
      <c r="O546" s="126"/>
      <c r="P546" s="125"/>
      <c r="Q546" s="128"/>
      <c r="R546" s="125"/>
      <c r="S546" s="110">
        <v>10</v>
      </c>
      <c r="T546" s="40">
        <f t="shared" si="82"/>
        <v>1719.9</v>
      </c>
      <c r="U546" s="39"/>
      <c r="V546" s="40"/>
      <c r="W546" s="39"/>
      <c r="X546" s="40"/>
      <c r="Y546" s="39"/>
      <c r="Z546" s="40"/>
      <c r="AA546" s="39"/>
      <c r="AB546" s="40"/>
      <c r="AC546" s="39"/>
      <c r="AD546" s="40"/>
      <c r="AE546" s="39"/>
      <c r="AF546" s="40"/>
      <c r="AG546" s="39"/>
      <c r="AH546" s="40"/>
      <c r="AI546" s="39"/>
      <c r="AJ546" s="40"/>
      <c r="AK546" s="39"/>
      <c r="AL546" s="40"/>
      <c r="AM546" s="39"/>
      <c r="AN546" s="40"/>
      <c r="AO546" s="39"/>
      <c r="AP546" s="40"/>
      <c r="AQ546" s="84">
        <f t="shared" si="81"/>
        <v>10</v>
      </c>
      <c r="AR546" s="80">
        <v>171.99</v>
      </c>
      <c r="AS546" s="178">
        <f t="shared" si="83"/>
        <v>1719.9</v>
      </c>
    </row>
    <row r="547" spans="1:45" ht="28.5" hidden="1">
      <c r="A547" s="67">
        <v>521</v>
      </c>
      <c r="B547" s="37" t="s">
        <v>743</v>
      </c>
      <c r="C547" s="53" t="s">
        <v>1250</v>
      </c>
      <c r="D547" s="37">
        <v>295</v>
      </c>
      <c r="E547" s="37" t="s">
        <v>742</v>
      </c>
      <c r="F547" s="110" t="s">
        <v>12</v>
      </c>
      <c r="G547" s="125"/>
      <c r="H547" s="125"/>
      <c r="I547" s="125"/>
      <c r="J547" s="125"/>
      <c r="K547" s="126"/>
      <c r="L547" s="127"/>
      <c r="M547" s="128"/>
      <c r="N547" s="125"/>
      <c r="O547" s="126"/>
      <c r="P547" s="125"/>
      <c r="Q547" s="128"/>
      <c r="R547" s="125"/>
      <c r="S547" s="110">
        <v>20</v>
      </c>
      <c r="T547" s="40">
        <f t="shared" si="82"/>
        <v>253500</v>
      </c>
      <c r="U547" s="39"/>
      <c r="V547" s="40"/>
      <c r="W547" s="39"/>
      <c r="X547" s="40"/>
      <c r="Y547" s="39"/>
      <c r="Z547" s="40"/>
      <c r="AA547" s="39"/>
      <c r="AB547" s="40"/>
      <c r="AC547" s="39"/>
      <c r="AD547" s="40"/>
      <c r="AE547" s="39"/>
      <c r="AF547" s="40"/>
      <c r="AG547" s="39"/>
      <c r="AH547" s="40"/>
      <c r="AI547" s="39"/>
      <c r="AJ547" s="40"/>
      <c r="AK547" s="39"/>
      <c r="AL547" s="40"/>
      <c r="AM547" s="39"/>
      <c r="AN547" s="40"/>
      <c r="AO547" s="39"/>
      <c r="AP547" s="40"/>
      <c r="AQ547" s="84">
        <f t="shared" ref="AQ547:AQ610" si="84">+AO547+AM547+AK547+AI547+AG547+AE547+AC547+AA547+Y547+W547+U547+S547+Q547+O547+M547+K547+I547+G547</f>
        <v>20</v>
      </c>
      <c r="AR547" s="80">
        <v>12675</v>
      </c>
      <c r="AS547" s="178">
        <f t="shared" si="83"/>
        <v>253500</v>
      </c>
    </row>
    <row r="548" spans="1:45" ht="28.5" hidden="1">
      <c r="A548" s="71">
        <v>522</v>
      </c>
      <c r="B548" s="37" t="s">
        <v>741</v>
      </c>
      <c r="C548" s="53" t="s">
        <v>1250</v>
      </c>
      <c r="D548" s="37">
        <v>295</v>
      </c>
      <c r="E548" s="37" t="s">
        <v>740</v>
      </c>
      <c r="F548" s="110" t="s">
        <v>12</v>
      </c>
      <c r="G548" s="125"/>
      <c r="H548" s="125"/>
      <c r="I548" s="125"/>
      <c r="J548" s="125"/>
      <c r="K548" s="126"/>
      <c r="L548" s="127"/>
      <c r="M548" s="128"/>
      <c r="N548" s="125"/>
      <c r="O548" s="126"/>
      <c r="P548" s="125"/>
      <c r="Q548" s="128"/>
      <c r="R548" s="125"/>
      <c r="S548" s="110">
        <v>50</v>
      </c>
      <c r="T548" s="40">
        <f t="shared" si="82"/>
        <v>513750</v>
      </c>
      <c r="U548" s="39"/>
      <c r="V548" s="40"/>
      <c r="W548" s="39"/>
      <c r="X548" s="40"/>
      <c r="Y548" s="39"/>
      <c r="Z548" s="40"/>
      <c r="AA548" s="39"/>
      <c r="AB548" s="40"/>
      <c r="AC548" s="39"/>
      <c r="AD548" s="40"/>
      <c r="AE548" s="39"/>
      <c r="AF548" s="40"/>
      <c r="AG548" s="39"/>
      <c r="AH548" s="40"/>
      <c r="AI548" s="39"/>
      <c r="AJ548" s="40"/>
      <c r="AK548" s="39"/>
      <c r="AL548" s="40"/>
      <c r="AM548" s="39"/>
      <c r="AN548" s="40"/>
      <c r="AO548" s="39"/>
      <c r="AP548" s="40"/>
      <c r="AQ548" s="84">
        <f t="shared" si="84"/>
        <v>50</v>
      </c>
      <c r="AR548" s="80">
        <v>10275</v>
      </c>
      <c r="AS548" s="178">
        <f t="shared" si="83"/>
        <v>513750</v>
      </c>
    </row>
    <row r="549" spans="1:45" ht="28.5" hidden="1">
      <c r="A549" s="67">
        <v>523</v>
      </c>
      <c r="B549" s="37" t="s">
        <v>739</v>
      </c>
      <c r="C549" s="53" t="s">
        <v>1250</v>
      </c>
      <c r="D549" s="37">
        <v>295</v>
      </c>
      <c r="E549" s="37" t="s">
        <v>738</v>
      </c>
      <c r="F549" s="110" t="s">
        <v>12</v>
      </c>
      <c r="G549" s="125"/>
      <c r="H549" s="125"/>
      <c r="I549" s="125"/>
      <c r="J549" s="125"/>
      <c r="K549" s="126"/>
      <c r="L549" s="127"/>
      <c r="M549" s="128"/>
      <c r="N549" s="125"/>
      <c r="O549" s="126"/>
      <c r="P549" s="125"/>
      <c r="Q549" s="128"/>
      <c r="R549" s="125"/>
      <c r="S549" s="110">
        <v>10</v>
      </c>
      <c r="T549" s="40">
        <f t="shared" si="82"/>
        <v>7800</v>
      </c>
      <c r="U549" s="39"/>
      <c r="V549" s="40"/>
      <c r="W549" s="39"/>
      <c r="X549" s="40"/>
      <c r="Y549" s="39"/>
      <c r="Z549" s="40"/>
      <c r="AA549" s="39"/>
      <c r="AB549" s="40"/>
      <c r="AC549" s="39"/>
      <c r="AD549" s="40"/>
      <c r="AE549" s="39"/>
      <c r="AF549" s="40"/>
      <c r="AG549" s="39"/>
      <c r="AH549" s="40"/>
      <c r="AI549" s="39"/>
      <c r="AJ549" s="40"/>
      <c r="AK549" s="39"/>
      <c r="AL549" s="40"/>
      <c r="AM549" s="39"/>
      <c r="AN549" s="40"/>
      <c r="AO549" s="39"/>
      <c r="AP549" s="40"/>
      <c r="AQ549" s="84">
        <f t="shared" si="84"/>
        <v>10</v>
      </c>
      <c r="AR549" s="80">
        <v>780</v>
      </c>
      <c r="AS549" s="178">
        <f t="shared" si="83"/>
        <v>7800</v>
      </c>
    </row>
    <row r="550" spans="1:45" ht="28.5" hidden="1">
      <c r="A550" s="71">
        <v>524</v>
      </c>
      <c r="B550" s="37" t="s">
        <v>737</v>
      </c>
      <c r="C550" s="53" t="s">
        <v>1250</v>
      </c>
      <c r="D550" s="37">
        <v>295</v>
      </c>
      <c r="E550" s="37" t="s">
        <v>736</v>
      </c>
      <c r="F550" s="110" t="s">
        <v>12</v>
      </c>
      <c r="G550" s="125"/>
      <c r="H550" s="125"/>
      <c r="I550" s="125"/>
      <c r="J550" s="125"/>
      <c r="K550" s="126"/>
      <c r="L550" s="127"/>
      <c r="M550" s="128"/>
      <c r="N550" s="125"/>
      <c r="O550" s="126"/>
      <c r="P550" s="125"/>
      <c r="Q550" s="128"/>
      <c r="R550" s="125"/>
      <c r="S550" s="110">
        <v>50</v>
      </c>
      <c r="T550" s="40">
        <f t="shared" si="82"/>
        <v>390522</v>
      </c>
      <c r="U550" s="39"/>
      <c r="V550" s="40"/>
      <c r="W550" s="39"/>
      <c r="X550" s="40"/>
      <c r="Y550" s="39"/>
      <c r="Z550" s="40"/>
      <c r="AA550" s="39"/>
      <c r="AB550" s="40"/>
      <c r="AC550" s="39"/>
      <c r="AD550" s="40"/>
      <c r="AE550" s="39"/>
      <c r="AF550" s="40"/>
      <c r="AG550" s="39"/>
      <c r="AH550" s="40"/>
      <c r="AI550" s="39"/>
      <c r="AJ550" s="40"/>
      <c r="AK550" s="39"/>
      <c r="AL550" s="40"/>
      <c r="AM550" s="39"/>
      <c r="AN550" s="40"/>
      <c r="AO550" s="39"/>
      <c r="AP550" s="40"/>
      <c r="AQ550" s="84">
        <f t="shared" si="84"/>
        <v>50</v>
      </c>
      <c r="AR550" s="80">
        <v>7810.44</v>
      </c>
      <c r="AS550" s="178">
        <f t="shared" si="83"/>
        <v>390522</v>
      </c>
    </row>
    <row r="551" spans="1:45" ht="28.5" hidden="1">
      <c r="A551" s="67">
        <v>525</v>
      </c>
      <c r="B551" s="37" t="s">
        <v>735</v>
      </c>
      <c r="C551" s="53" t="s">
        <v>1250</v>
      </c>
      <c r="D551" s="37">
        <v>295</v>
      </c>
      <c r="E551" s="37" t="s">
        <v>734</v>
      </c>
      <c r="F551" s="110" t="s">
        <v>12</v>
      </c>
      <c r="G551" s="125"/>
      <c r="H551" s="125"/>
      <c r="I551" s="125"/>
      <c r="J551" s="125"/>
      <c r="K551" s="126"/>
      <c r="L551" s="127"/>
      <c r="M551" s="128"/>
      <c r="N551" s="125"/>
      <c r="O551" s="126"/>
      <c r="P551" s="125"/>
      <c r="Q551" s="128"/>
      <c r="R551" s="125"/>
      <c r="S551" s="110">
        <v>20</v>
      </c>
      <c r="T551" s="40">
        <f t="shared" si="82"/>
        <v>5700</v>
      </c>
      <c r="U551" s="39"/>
      <c r="V551" s="40"/>
      <c r="W551" s="39"/>
      <c r="X551" s="40"/>
      <c r="Y551" s="39"/>
      <c r="Z551" s="40"/>
      <c r="AA551" s="39"/>
      <c r="AB551" s="40"/>
      <c r="AC551" s="39"/>
      <c r="AD551" s="40"/>
      <c r="AE551" s="39"/>
      <c r="AF551" s="40"/>
      <c r="AG551" s="39"/>
      <c r="AH551" s="40"/>
      <c r="AI551" s="39"/>
      <c r="AJ551" s="40"/>
      <c r="AK551" s="39"/>
      <c r="AL551" s="40"/>
      <c r="AM551" s="39"/>
      <c r="AN551" s="40"/>
      <c r="AO551" s="39"/>
      <c r="AP551" s="40"/>
      <c r="AQ551" s="84">
        <f t="shared" si="84"/>
        <v>20</v>
      </c>
      <c r="AR551" s="80">
        <v>285</v>
      </c>
      <c r="AS551" s="178">
        <f t="shared" si="83"/>
        <v>5700</v>
      </c>
    </row>
    <row r="552" spans="1:45" ht="28.5" hidden="1">
      <c r="A552" s="71">
        <v>526</v>
      </c>
      <c r="B552" s="37" t="s">
        <v>733</v>
      </c>
      <c r="C552" s="53" t="s">
        <v>1250</v>
      </c>
      <c r="D552" s="37">
        <v>295</v>
      </c>
      <c r="E552" s="37" t="s">
        <v>732</v>
      </c>
      <c r="F552" s="110" t="s">
        <v>12</v>
      </c>
      <c r="G552" s="125"/>
      <c r="H552" s="125"/>
      <c r="I552" s="125"/>
      <c r="J552" s="125"/>
      <c r="K552" s="126"/>
      <c r="L552" s="127"/>
      <c r="M552" s="128"/>
      <c r="N552" s="125"/>
      <c r="O552" s="126"/>
      <c r="P552" s="125"/>
      <c r="Q552" s="128"/>
      <c r="R552" s="125"/>
      <c r="S552" s="110">
        <v>50</v>
      </c>
      <c r="T552" s="40">
        <f t="shared" si="82"/>
        <v>15750</v>
      </c>
      <c r="U552" s="39"/>
      <c r="V552" s="40"/>
      <c r="W552" s="39"/>
      <c r="X552" s="40"/>
      <c r="Y552" s="39"/>
      <c r="Z552" s="40"/>
      <c r="AA552" s="39"/>
      <c r="AB552" s="40"/>
      <c r="AC552" s="39"/>
      <c r="AD552" s="40"/>
      <c r="AE552" s="39"/>
      <c r="AF552" s="40"/>
      <c r="AG552" s="39"/>
      <c r="AH552" s="40"/>
      <c r="AI552" s="39"/>
      <c r="AJ552" s="40"/>
      <c r="AK552" s="39"/>
      <c r="AL552" s="40"/>
      <c r="AM552" s="39"/>
      <c r="AN552" s="40"/>
      <c r="AO552" s="39"/>
      <c r="AP552" s="40"/>
      <c r="AQ552" s="84">
        <f t="shared" si="84"/>
        <v>50</v>
      </c>
      <c r="AR552" s="80">
        <v>315</v>
      </c>
      <c r="AS552" s="178">
        <f t="shared" si="83"/>
        <v>15750</v>
      </c>
    </row>
    <row r="553" spans="1:45" ht="28.5" hidden="1">
      <c r="A553" s="67">
        <v>527</v>
      </c>
      <c r="B553" s="37" t="s">
        <v>731</v>
      </c>
      <c r="C553" s="53" t="s">
        <v>1250</v>
      </c>
      <c r="D553" s="37">
        <v>295</v>
      </c>
      <c r="E553" s="37" t="s">
        <v>730</v>
      </c>
      <c r="F553" s="110" t="s">
        <v>12</v>
      </c>
      <c r="G553" s="125"/>
      <c r="H553" s="125"/>
      <c r="I553" s="125"/>
      <c r="J553" s="125"/>
      <c r="K553" s="126"/>
      <c r="L553" s="127"/>
      <c r="M553" s="128"/>
      <c r="N553" s="125"/>
      <c r="O553" s="126"/>
      <c r="P553" s="125"/>
      <c r="Q553" s="128"/>
      <c r="R553" s="125"/>
      <c r="S553" s="110">
        <v>20</v>
      </c>
      <c r="T553" s="40">
        <f t="shared" si="82"/>
        <v>37502.399999999994</v>
      </c>
      <c r="U553" s="39"/>
      <c r="V553" s="40"/>
      <c r="W553" s="39"/>
      <c r="X553" s="40"/>
      <c r="Y553" s="39"/>
      <c r="Z553" s="40"/>
      <c r="AA553" s="39"/>
      <c r="AB553" s="40"/>
      <c r="AC553" s="39"/>
      <c r="AD553" s="40"/>
      <c r="AE553" s="39"/>
      <c r="AF553" s="40"/>
      <c r="AG553" s="39"/>
      <c r="AH553" s="40"/>
      <c r="AI553" s="39"/>
      <c r="AJ553" s="40"/>
      <c r="AK553" s="39"/>
      <c r="AL553" s="40"/>
      <c r="AM553" s="39"/>
      <c r="AN553" s="40"/>
      <c r="AO553" s="39"/>
      <c r="AP553" s="40"/>
      <c r="AQ553" s="84">
        <f t="shared" si="84"/>
        <v>20</v>
      </c>
      <c r="AR553" s="80">
        <v>1875.12</v>
      </c>
      <c r="AS553" s="178">
        <f t="shared" si="83"/>
        <v>37502.399999999994</v>
      </c>
    </row>
    <row r="554" spans="1:45" ht="28.5" hidden="1">
      <c r="A554" s="71">
        <v>528</v>
      </c>
      <c r="B554" s="37" t="s">
        <v>729</v>
      </c>
      <c r="C554" s="53" t="s">
        <v>1250</v>
      </c>
      <c r="D554" s="37">
        <v>295</v>
      </c>
      <c r="E554" s="37" t="s">
        <v>728</v>
      </c>
      <c r="F554" s="110" t="s">
        <v>12</v>
      </c>
      <c r="G554" s="125"/>
      <c r="H554" s="125"/>
      <c r="I554" s="125"/>
      <c r="J554" s="125"/>
      <c r="K554" s="126"/>
      <c r="L554" s="127"/>
      <c r="M554" s="128"/>
      <c r="N554" s="125"/>
      <c r="O554" s="126"/>
      <c r="P554" s="125"/>
      <c r="Q554" s="128"/>
      <c r="R554" s="125"/>
      <c r="S554" s="110">
        <v>10</v>
      </c>
      <c r="T554" s="40">
        <f t="shared" si="82"/>
        <v>18751.199999999997</v>
      </c>
      <c r="U554" s="39"/>
      <c r="V554" s="40"/>
      <c r="W554" s="39"/>
      <c r="X554" s="40"/>
      <c r="Y554" s="39"/>
      <c r="Z554" s="40"/>
      <c r="AA554" s="39"/>
      <c r="AB554" s="40"/>
      <c r="AC554" s="39"/>
      <c r="AD554" s="40"/>
      <c r="AE554" s="39"/>
      <c r="AF554" s="40"/>
      <c r="AG554" s="39"/>
      <c r="AH554" s="40"/>
      <c r="AI554" s="39"/>
      <c r="AJ554" s="40"/>
      <c r="AK554" s="39"/>
      <c r="AL554" s="40"/>
      <c r="AM554" s="39"/>
      <c r="AN554" s="40"/>
      <c r="AO554" s="39"/>
      <c r="AP554" s="40"/>
      <c r="AQ554" s="84">
        <f t="shared" si="84"/>
        <v>10</v>
      </c>
      <c r="AR554" s="80">
        <v>1875.12</v>
      </c>
      <c r="AS554" s="178">
        <f t="shared" si="83"/>
        <v>18751.199999999997</v>
      </c>
    </row>
    <row r="555" spans="1:45" ht="28.5" hidden="1">
      <c r="A555" s="67">
        <v>529</v>
      </c>
      <c r="B555" s="37" t="s">
        <v>727</v>
      </c>
      <c r="C555" s="53" t="s">
        <v>1250</v>
      </c>
      <c r="D555" s="37">
        <v>295</v>
      </c>
      <c r="E555" s="37" t="s">
        <v>726</v>
      </c>
      <c r="F555" s="110" t="s">
        <v>12</v>
      </c>
      <c r="G555" s="125"/>
      <c r="H555" s="125"/>
      <c r="I555" s="125"/>
      <c r="J555" s="125"/>
      <c r="K555" s="126"/>
      <c r="L555" s="127"/>
      <c r="M555" s="128"/>
      <c r="N555" s="125"/>
      <c r="O555" s="126"/>
      <c r="P555" s="125"/>
      <c r="Q555" s="128"/>
      <c r="R555" s="125"/>
      <c r="S555" s="110">
        <v>30</v>
      </c>
      <c r="T555" s="40">
        <f t="shared" si="82"/>
        <v>23850</v>
      </c>
      <c r="U555" s="39"/>
      <c r="V555" s="40"/>
      <c r="W555" s="39"/>
      <c r="X555" s="40"/>
      <c r="Y555" s="39"/>
      <c r="Z555" s="40"/>
      <c r="AA555" s="39"/>
      <c r="AB555" s="40"/>
      <c r="AC555" s="39"/>
      <c r="AD555" s="40"/>
      <c r="AE555" s="39"/>
      <c r="AF555" s="40"/>
      <c r="AG555" s="39"/>
      <c r="AH555" s="40"/>
      <c r="AI555" s="39"/>
      <c r="AJ555" s="40"/>
      <c r="AK555" s="39"/>
      <c r="AL555" s="40"/>
      <c r="AM555" s="39"/>
      <c r="AN555" s="40"/>
      <c r="AO555" s="39"/>
      <c r="AP555" s="40"/>
      <c r="AQ555" s="84">
        <f t="shared" si="84"/>
        <v>30</v>
      </c>
      <c r="AR555" s="80">
        <v>795</v>
      </c>
      <c r="AS555" s="178">
        <f t="shared" si="83"/>
        <v>23850</v>
      </c>
    </row>
    <row r="556" spans="1:45" ht="28.5" hidden="1">
      <c r="A556" s="71">
        <v>530</v>
      </c>
      <c r="B556" s="37" t="s">
        <v>725</v>
      </c>
      <c r="C556" s="53" t="s">
        <v>1250</v>
      </c>
      <c r="D556" s="37">
        <v>295</v>
      </c>
      <c r="E556" s="37" t="s">
        <v>724</v>
      </c>
      <c r="F556" s="110" t="s">
        <v>12</v>
      </c>
      <c r="G556" s="125"/>
      <c r="H556" s="125"/>
      <c r="I556" s="125"/>
      <c r="J556" s="125"/>
      <c r="K556" s="126"/>
      <c r="L556" s="127"/>
      <c r="M556" s="128"/>
      <c r="N556" s="125"/>
      <c r="O556" s="126"/>
      <c r="P556" s="125"/>
      <c r="Q556" s="128"/>
      <c r="R556" s="125"/>
      <c r="S556" s="110">
        <v>30</v>
      </c>
      <c r="T556" s="40">
        <f t="shared" si="82"/>
        <v>3375</v>
      </c>
      <c r="U556" s="39"/>
      <c r="V556" s="40"/>
      <c r="W556" s="39"/>
      <c r="X556" s="40"/>
      <c r="Y556" s="39"/>
      <c r="Z556" s="40"/>
      <c r="AA556" s="39"/>
      <c r="AB556" s="40"/>
      <c r="AC556" s="39"/>
      <c r="AD556" s="40"/>
      <c r="AE556" s="39"/>
      <c r="AF556" s="40"/>
      <c r="AG556" s="39"/>
      <c r="AH556" s="40"/>
      <c r="AI556" s="39"/>
      <c r="AJ556" s="40"/>
      <c r="AK556" s="39"/>
      <c r="AL556" s="40"/>
      <c r="AM556" s="39"/>
      <c r="AN556" s="40"/>
      <c r="AO556" s="39"/>
      <c r="AP556" s="40"/>
      <c r="AQ556" s="84">
        <f t="shared" si="84"/>
        <v>30</v>
      </c>
      <c r="AR556" s="80">
        <v>112.5</v>
      </c>
      <c r="AS556" s="178">
        <f t="shared" si="83"/>
        <v>3375</v>
      </c>
    </row>
    <row r="557" spans="1:45" ht="28.5" hidden="1">
      <c r="A557" s="67">
        <v>531</v>
      </c>
      <c r="B557" s="37" t="s">
        <v>723</v>
      </c>
      <c r="C557" s="53" t="s">
        <v>1250</v>
      </c>
      <c r="D557" s="37">
        <v>295</v>
      </c>
      <c r="E557" s="37" t="s">
        <v>722</v>
      </c>
      <c r="F557" s="110" t="s">
        <v>12</v>
      </c>
      <c r="G557" s="125"/>
      <c r="H557" s="125"/>
      <c r="I557" s="125"/>
      <c r="J557" s="125"/>
      <c r="K557" s="126"/>
      <c r="L557" s="127"/>
      <c r="M557" s="128"/>
      <c r="N557" s="125"/>
      <c r="O557" s="126"/>
      <c r="P557" s="125"/>
      <c r="Q557" s="128"/>
      <c r="R557" s="125"/>
      <c r="S557" s="110">
        <v>20</v>
      </c>
      <c r="T557" s="40">
        <f t="shared" si="82"/>
        <v>94195</v>
      </c>
      <c r="U557" s="39"/>
      <c r="V557" s="40"/>
      <c r="W557" s="39"/>
      <c r="X557" s="40"/>
      <c r="Y557" s="39"/>
      <c r="Z557" s="40"/>
      <c r="AA557" s="39"/>
      <c r="AB557" s="40"/>
      <c r="AC557" s="39"/>
      <c r="AD557" s="40"/>
      <c r="AE557" s="39"/>
      <c r="AF557" s="40"/>
      <c r="AG557" s="39"/>
      <c r="AH557" s="40"/>
      <c r="AI557" s="39"/>
      <c r="AJ557" s="40"/>
      <c r="AK557" s="39"/>
      <c r="AL557" s="40"/>
      <c r="AM557" s="39"/>
      <c r="AN557" s="40"/>
      <c r="AO557" s="39"/>
      <c r="AP557" s="40"/>
      <c r="AQ557" s="84">
        <f t="shared" si="84"/>
        <v>20</v>
      </c>
      <c r="AR557" s="80">
        <v>4709.75</v>
      </c>
      <c r="AS557" s="178">
        <f t="shared" si="83"/>
        <v>94195</v>
      </c>
    </row>
    <row r="558" spans="1:45" ht="28.5" hidden="1">
      <c r="A558" s="71">
        <v>532</v>
      </c>
      <c r="B558" s="37" t="s">
        <v>721</v>
      </c>
      <c r="C558" s="53" t="s">
        <v>1250</v>
      </c>
      <c r="D558" s="37">
        <v>295</v>
      </c>
      <c r="E558" s="37" t="s">
        <v>720</v>
      </c>
      <c r="F558" s="110" t="s">
        <v>12</v>
      </c>
      <c r="G558" s="125"/>
      <c r="H558" s="125"/>
      <c r="I558" s="125"/>
      <c r="J558" s="125"/>
      <c r="K558" s="126"/>
      <c r="L558" s="127"/>
      <c r="M558" s="128"/>
      <c r="N558" s="125"/>
      <c r="O558" s="126"/>
      <c r="P558" s="125"/>
      <c r="Q558" s="128"/>
      <c r="R558" s="125"/>
      <c r="S558" s="110">
        <v>20</v>
      </c>
      <c r="T558" s="40">
        <f t="shared" si="82"/>
        <v>3300</v>
      </c>
      <c r="U558" s="39"/>
      <c r="V558" s="40"/>
      <c r="W558" s="39"/>
      <c r="X558" s="40"/>
      <c r="Y558" s="39"/>
      <c r="Z558" s="40"/>
      <c r="AA558" s="39"/>
      <c r="AB558" s="40"/>
      <c r="AC558" s="39"/>
      <c r="AD558" s="40"/>
      <c r="AE558" s="39"/>
      <c r="AF558" s="40"/>
      <c r="AG558" s="39"/>
      <c r="AH558" s="40"/>
      <c r="AI558" s="39"/>
      <c r="AJ558" s="40"/>
      <c r="AK558" s="39"/>
      <c r="AL558" s="40"/>
      <c r="AM558" s="39"/>
      <c r="AN558" s="40"/>
      <c r="AO558" s="39"/>
      <c r="AP558" s="40"/>
      <c r="AQ558" s="84">
        <f t="shared" si="84"/>
        <v>20</v>
      </c>
      <c r="AR558" s="80">
        <v>165</v>
      </c>
      <c r="AS558" s="178">
        <f t="shared" si="83"/>
        <v>3300</v>
      </c>
    </row>
    <row r="559" spans="1:45" ht="28.5" hidden="1">
      <c r="A559" s="67">
        <v>533</v>
      </c>
      <c r="B559" s="37" t="s">
        <v>719</v>
      </c>
      <c r="C559" s="53" t="s">
        <v>1250</v>
      </c>
      <c r="D559" s="37">
        <v>295</v>
      </c>
      <c r="E559" s="37" t="s">
        <v>718</v>
      </c>
      <c r="F559" s="110" t="s">
        <v>12</v>
      </c>
      <c r="G559" s="125"/>
      <c r="H559" s="125"/>
      <c r="I559" s="125"/>
      <c r="J559" s="125"/>
      <c r="K559" s="126"/>
      <c r="L559" s="127"/>
      <c r="M559" s="128"/>
      <c r="N559" s="125"/>
      <c r="O559" s="126"/>
      <c r="P559" s="125"/>
      <c r="Q559" s="128"/>
      <c r="R559" s="125"/>
      <c r="S559" s="110">
        <v>50</v>
      </c>
      <c r="T559" s="40">
        <f t="shared" si="82"/>
        <v>4725</v>
      </c>
      <c r="U559" s="39"/>
      <c r="V559" s="40"/>
      <c r="W559" s="39"/>
      <c r="X559" s="40"/>
      <c r="Y559" s="39"/>
      <c r="Z559" s="40"/>
      <c r="AA559" s="39"/>
      <c r="AB559" s="40"/>
      <c r="AC559" s="39"/>
      <c r="AD559" s="40"/>
      <c r="AE559" s="39"/>
      <c r="AF559" s="40"/>
      <c r="AG559" s="39"/>
      <c r="AH559" s="40"/>
      <c r="AI559" s="39"/>
      <c r="AJ559" s="40"/>
      <c r="AK559" s="39"/>
      <c r="AL559" s="40"/>
      <c r="AM559" s="39"/>
      <c r="AN559" s="40"/>
      <c r="AO559" s="39"/>
      <c r="AP559" s="40"/>
      <c r="AQ559" s="84">
        <f t="shared" si="84"/>
        <v>50</v>
      </c>
      <c r="AR559" s="80">
        <v>94.5</v>
      </c>
      <c r="AS559" s="178">
        <f t="shared" si="83"/>
        <v>4725</v>
      </c>
    </row>
    <row r="560" spans="1:45" ht="28.5" hidden="1">
      <c r="A560" s="71">
        <v>534</v>
      </c>
      <c r="B560" s="37" t="s">
        <v>717</v>
      </c>
      <c r="C560" s="53" t="s">
        <v>1250</v>
      </c>
      <c r="D560" s="37">
        <v>295</v>
      </c>
      <c r="E560" s="37" t="s">
        <v>716</v>
      </c>
      <c r="F560" s="110" t="s">
        <v>12</v>
      </c>
      <c r="G560" s="125"/>
      <c r="H560" s="125"/>
      <c r="I560" s="125"/>
      <c r="J560" s="125"/>
      <c r="K560" s="126"/>
      <c r="L560" s="127"/>
      <c r="M560" s="128"/>
      <c r="N560" s="125"/>
      <c r="O560" s="126"/>
      <c r="P560" s="125"/>
      <c r="Q560" s="128"/>
      <c r="R560" s="125"/>
      <c r="S560" s="110">
        <v>30</v>
      </c>
      <c r="T560" s="40">
        <f t="shared" si="82"/>
        <v>40870.799999999996</v>
      </c>
      <c r="U560" s="39"/>
      <c r="V560" s="40"/>
      <c r="W560" s="39"/>
      <c r="X560" s="40"/>
      <c r="Y560" s="39"/>
      <c r="Z560" s="40"/>
      <c r="AA560" s="39"/>
      <c r="AB560" s="40"/>
      <c r="AC560" s="39"/>
      <c r="AD560" s="40"/>
      <c r="AE560" s="39"/>
      <c r="AF560" s="40"/>
      <c r="AG560" s="39"/>
      <c r="AH560" s="40"/>
      <c r="AI560" s="39"/>
      <c r="AJ560" s="40"/>
      <c r="AK560" s="39"/>
      <c r="AL560" s="40"/>
      <c r="AM560" s="39"/>
      <c r="AN560" s="40"/>
      <c r="AO560" s="39"/>
      <c r="AP560" s="40"/>
      <c r="AQ560" s="84">
        <f t="shared" si="84"/>
        <v>30</v>
      </c>
      <c r="AR560" s="80">
        <v>1362.36</v>
      </c>
      <c r="AS560" s="178">
        <f t="shared" si="83"/>
        <v>40870.799999999996</v>
      </c>
    </row>
    <row r="561" spans="1:45" ht="28.5" hidden="1">
      <c r="A561" s="67">
        <v>535</v>
      </c>
      <c r="B561" s="37" t="s">
        <v>715</v>
      </c>
      <c r="C561" s="53" t="s">
        <v>1250</v>
      </c>
      <c r="D561" s="37">
        <v>295</v>
      </c>
      <c r="E561" s="37" t="s">
        <v>714</v>
      </c>
      <c r="F561" s="110" t="s">
        <v>12</v>
      </c>
      <c r="G561" s="125"/>
      <c r="H561" s="125"/>
      <c r="I561" s="125"/>
      <c r="J561" s="125"/>
      <c r="K561" s="126"/>
      <c r="L561" s="127"/>
      <c r="M561" s="128"/>
      <c r="N561" s="125"/>
      <c r="O561" s="126"/>
      <c r="P561" s="125"/>
      <c r="Q561" s="128"/>
      <c r="R561" s="125"/>
      <c r="S561" s="110">
        <v>30</v>
      </c>
      <c r="T561" s="40">
        <f t="shared" ref="T561:T624" si="85">+S561*AR561</f>
        <v>37835.100000000006</v>
      </c>
      <c r="U561" s="39"/>
      <c r="V561" s="40"/>
      <c r="W561" s="39"/>
      <c r="X561" s="40"/>
      <c r="Y561" s="39"/>
      <c r="Z561" s="40"/>
      <c r="AA561" s="39"/>
      <c r="AB561" s="40"/>
      <c r="AC561" s="39"/>
      <c r="AD561" s="40"/>
      <c r="AE561" s="39"/>
      <c r="AF561" s="40"/>
      <c r="AG561" s="39"/>
      <c r="AH561" s="40"/>
      <c r="AI561" s="39"/>
      <c r="AJ561" s="40"/>
      <c r="AK561" s="39"/>
      <c r="AL561" s="40"/>
      <c r="AM561" s="39"/>
      <c r="AN561" s="40"/>
      <c r="AO561" s="39"/>
      <c r="AP561" s="40"/>
      <c r="AQ561" s="84">
        <f t="shared" si="84"/>
        <v>30</v>
      </c>
      <c r="AR561" s="80">
        <v>1261.17</v>
      </c>
      <c r="AS561" s="178">
        <f t="shared" si="83"/>
        <v>37835.100000000006</v>
      </c>
    </row>
    <row r="562" spans="1:45" ht="28.5" hidden="1">
      <c r="A562" s="71">
        <v>536</v>
      </c>
      <c r="B562" s="37" t="s">
        <v>713</v>
      </c>
      <c r="C562" s="53" t="s">
        <v>1250</v>
      </c>
      <c r="D562" s="37">
        <v>295</v>
      </c>
      <c r="E562" s="37" t="s">
        <v>712</v>
      </c>
      <c r="F562" s="110" t="s">
        <v>12</v>
      </c>
      <c r="G562" s="125"/>
      <c r="H562" s="125"/>
      <c r="I562" s="125"/>
      <c r="J562" s="125"/>
      <c r="K562" s="126"/>
      <c r="L562" s="127"/>
      <c r="M562" s="128"/>
      <c r="N562" s="125"/>
      <c r="O562" s="126"/>
      <c r="P562" s="125"/>
      <c r="Q562" s="128"/>
      <c r="R562" s="125"/>
      <c r="S562" s="110">
        <v>100</v>
      </c>
      <c r="T562" s="40">
        <f t="shared" si="85"/>
        <v>31500</v>
      </c>
      <c r="U562" s="39"/>
      <c r="V562" s="40"/>
      <c r="W562" s="39"/>
      <c r="X562" s="40"/>
      <c r="Y562" s="39"/>
      <c r="Z562" s="40"/>
      <c r="AA562" s="39"/>
      <c r="AB562" s="40"/>
      <c r="AC562" s="39"/>
      <c r="AD562" s="40"/>
      <c r="AE562" s="39"/>
      <c r="AF562" s="40"/>
      <c r="AG562" s="39"/>
      <c r="AH562" s="40"/>
      <c r="AI562" s="39"/>
      <c r="AJ562" s="40"/>
      <c r="AK562" s="39"/>
      <c r="AL562" s="40"/>
      <c r="AM562" s="39"/>
      <c r="AN562" s="40"/>
      <c r="AO562" s="39"/>
      <c r="AP562" s="40"/>
      <c r="AQ562" s="84">
        <f t="shared" si="84"/>
        <v>100</v>
      </c>
      <c r="AR562" s="80">
        <v>315</v>
      </c>
      <c r="AS562" s="178">
        <f t="shared" ref="AS562:AS625" si="86">+AQ562*AR562</f>
        <v>31500</v>
      </c>
    </row>
    <row r="563" spans="1:45" ht="28.5" hidden="1">
      <c r="A563" s="67">
        <v>537</v>
      </c>
      <c r="B563" s="37" t="s">
        <v>711</v>
      </c>
      <c r="C563" s="53" t="s">
        <v>1250</v>
      </c>
      <c r="D563" s="37">
        <v>295</v>
      </c>
      <c r="E563" s="37" t="s">
        <v>710</v>
      </c>
      <c r="F563" s="110" t="s">
        <v>12</v>
      </c>
      <c r="G563" s="125"/>
      <c r="H563" s="125"/>
      <c r="I563" s="125"/>
      <c r="J563" s="125"/>
      <c r="K563" s="126"/>
      <c r="L563" s="127"/>
      <c r="M563" s="128"/>
      <c r="N563" s="125"/>
      <c r="O563" s="126"/>
      <c r="P563" s="125"/>
      <c r="Q563" s="128"/>
      <c r="R563" s="125"/>
      <c r="S563" s="110">
        <v>50</v>
      </c>
      <c r="T563" s="40">
        <f t="shared" si="85"/>
        <v>594750</v>
      </c>
      <c r="U563" s="39"/>
      <c r="V563" s="40"/>
      <c r="W563" s="39"/>
      <c r="X563" s="40"/>
      <c r="Y563" s="39"/>
      <c r="Z563" s="40"/>
      <c r="AA563" s="39"/>
      <c r="AB563" s="40"/>
      <c r="AC563" s="39"/>
      <c r="AD563" s="40"/>
      <c r="AE563" s="39"/>
      <c r="AF563" s="40"/>
      <c r="AG563" s="39"/>
      <c r="AH563" s="40"/>
      <c r="AI563" s="39"/>
      <c r="AJ563" s="40"/>
      <c r="AK563" s="39"/>
      <c r="AL563" s="40"/>
      <c r="AM563" s="39"/>
      <c r="AN563" s="40"/>
      <c r="AO563" s="39"/>
      <c r="AP563" s="40"/>
      <c r="AQ563" s="84">
        <f t="shared" si="84"/>
        <v>50</v>
      </c>
      <c r="AR563" s="80">
        <v>11895</v>
      </c>
      <c r="AS563" s="178">
        <f t="shared" si="86"/>
        <v>594750</v>
      </c>
    </row>
    <row r="564" spans="1:45" ht="28.5" hidden="1">
      <c r="A564" s="71">
        <v>538</v>
      </c>
      <c r="B564" s="37" t="s">
        <v>709</v>
      </c>
      <c r="C564" s="53" t="s">
        <v>1250</v>
      </c>
      <c r="D564" s="37">
        <v>295</v>
      </c>
      <c r="E564" s="37" t="s">
        <v>708</v>
      </c>
      <c r="F564" s="110" t="s">
        <v>12</v>
      </c>
      <c r="G564" s="125"/>
      <c r="H564" s="125"/>
      <c r="I564" s="125"/>
      <c r="J564" s="125"/>
      <c r="K564" s="126"/>
      <c r="L564" s="127"/>
      <c r="M564" s="128"/>
      <c r="N564" s="125"/>
      <c r="O564" s="126"/>
      <c r="P564" s="125"/>
      <c r="Q564" s="128"/>
      <c r="R564" s="125"/>
      <c r="S564" s="110">
        <v>30</v>
      </c>
      <c r="T564" s="40">
        <f t="shared" si="85"/>
        <v>29250</v>
      </c>
      <c r="U564" s="39"/>
      <c r="V564" s="40"/>
      <c r="W564" s="39"/>
      <c r="X564" s="40"/>
      <c r="Y564" s="39"/>
      <c r="Z564" s="40"/>
      <c r="AA564" s="39"/>
      <c r="AB564" s="40"/>
      <c r="AC564" s="39"/>
      <c r="AD564" s="40"/>
      <c r="AE564" s="39"/>
      <c r="AF564" s="40"/>
      <c r="AG564" s="39"/>
      <c r="AH564" s="40"/>
      <c r="AI564" s="39"/>
      <c r="AJ564" s="40"/>
      <c r="AK564" s="39"/>
      <c r="AL564" s="40"/>
      <c r="AM564" s="39"/>
      <c r="AN564" s="40"/>
      <c r="AO564" s="39"/>
      <c r="AP564" s="40"/>
      <c r="AQ564" s="84">
        <f t="shared" si="84"/>
        <v>30</v>
      </c>
      <c r="AR564" s="80">
        <v>975</v>
      </c>
      <c r="AS564" s="178">
        <f t="shared" si="86"/>
        <v>29250</v>
      </c>
    </row>
    <row r="565" spans="1:45" ht="28.5" hidden="1">
      <c r="A565" s="67">
        <v>539</v>
      </c>
      <c r="B565" s="37" t="s">
        <v>707</v>
      </c>
      <c r="C565" s="53" t="s">
        <v>1250</v>
      </c>
      <c r="D565" s="37">
        <v>295</v>
      </c>
      <c r="E565" s="37" t="s">
        <v>706</v>
      </c>
      <c r="F565" s="110" t="s">
        <v>12</v>
      </c>
      <c r="G565" s="125"/>
      <c r="H565" s="125"/>
      <c r="I565" s="125"/>
      <c r="J565" s="125"/>
      <c r="K565" s="126"/>
      <c r="L565" s="127"/>
      <c r="M565" s="128"/>
      <c r="N565" s="125"/>
      <c r="O565" s="126"/>
      <c r="P565" s="125"/>
      <c r="Q565" s="128"/>
      <c r="R565" s="125"/>
      <c r="S565" s="110">
        <v>30</v>
      </c>
      <c r="T565" s="40">
        <f t="shared" si="85"/>
        <v>15551.699999999999</v>
      </c>
      <c r="U565" s="39"/>
      <c r="V565" s="40"/>
      <c r="W565" s="39"/>
      <c r="X565" s="40"/>
      <c r="Y565" s="39"/>
      <c r="Z565" s="40"/>
      <c r="AA565" s="39"/>
      <c r="AB565" s="40"/>
      <c r="AC565" s="39"/>
      <c r="AD565" s="40"/>
      <c r="AE565" s="39"/>
      <c r="AF565" s="40"/>
      <c r="AG565" s="39"/>
      <c r="AH565" s="40"/>
      <c r="AI565" s="39"/>
      <c r="AJ565" s="40"/>
      <c r="AK565" s="39"/>
      <c r="AL565" s="40"/>
      <c r="AM565" s="39"/>
      <c r="AN565" s="40"/>
      <c r="AO565" s="39"/>
      <c r="AP565" s="40"/>
      <c r="AQ565" s="84">
        <f t="shared" si="84"/>
        <v>30</v>
      </c>
      <c r="AR565" s="80">
        <v>518.39</v>
      </c>
      <c r="AS565" s="178">
        <f t="shared" si="86"/>
        <v>15551.699999999999</v>
      </c>
    </row>
    <row r="566" spans="1:45" ht="28.5" hidden="1">
      <c r="A566" s="71">
        <v>540</v>
      </c>
      <c r="B566" s="37" t="s">
        <v>705</v>
      </c>
      <c r="C566" s="53" t="s">
        <v>1250</v>
      </c>
      <c r="D566" s="37">
        <v>295</v>
      </c>
      <c r="E566" s="37" t="s">
        <v>704</v>
      </c>
      <c r="F566" s="110" t="s">
        <v>12</v>
      </c>
      <c r="G566" s="125"/>
      <c r="H566" s="125"/>
      <c r="I566" s="125"/>
      <c r="J566" s="125"/>
      <c r="K566" s="126"/>
      <c r="L566" s="127"/>
      <c r="M566" s="128"/>
      <c r="N566" s="125"/>
      <c r="O566" s="126"/>
      <c r="P566" s="125"/>
      <c r="Q566" s="128"/>
      <c r="R566" s="125"/>
      <c r="S566" s="110">
        <v>100</v>
      </c>
      <c r="T566" s="40">
        <f t="shared" si="85"/>
        <v>39000</v>
      </c>
      <c r="U566" s="39"/>
      <c r="V566" s="40"/>
      <c r="W566" s="39"/>
      <c r="X566" s="40"/>
      <c r="Y566" s="39"/>
      <c r="Z566" s="40"/>
      <c r="AA566" s="39"/>
      <c r="AB566" s="40"/>
      <c r="AC566" s="39"/>
      <c r="AD566" s="40"/>
      <c r="AE566" s="39"/>
      <c r="AF566" s="40"/>
      <c r="AG566" s="39"/>
      <c r="AH566" s="40"/>
      <c r="AI566" s="39"/>
      <c r="AJ566" s="40"/>
      <c r="AK566" s="39"/>
      <c r="AL566" s="40"/>
      <c r="AM566" s="39"/>
      <c r="AN566" s="40"/>
      <c r="AO566" s="39"/>
      <c r="AP566" s="40"/>
      <c r="AQ566" s="84">
        <f t="shared" si="84"/>
        <v>100</v>
      </c>
      <c r="AR566" s="80">
        <v>390</v>
      </c>
      <c r="AS566" s="178">
        <f t="shared" si="86"/>
        <v>39000</v>
      </c>
    </row>
    <row r="567" spans="1:45" ht="28.5" hidden="1">
      <c r="A567" s="67">
        <v>541</v>
      </c>
      <c r="B567" s="37" t="s">
        <v>703</v>
      </c>
      <c r="C567" s="53" t="s">
        <v>1250</v>
      </c>
      <c r="D567" s="37">
        <v>295</v>
      </c>
      <c r="E567" s="37" t="s">
        <v>702</v>
      </c>
      <c r="F567" s="110" t="s">
        <v>12</v>
      </c>
      <c r="G567" s="125"/>
      <c r="H567" s="125"/>
      <c r="I567" s="125"/>
      <c r="J567" s="125"/>
      <c r="K567" s="126"/>
      <c r="L567" s="127"/>
      <c r="M567" s="128"/>
      <c r="N567" s="125"/>
      <c r="O567" s="126"/>
      <c r="P567" s="125"/>
      <c r="Q567" s="128"/>
      <c r="R567" s="125"/>
      <c r="S567" s="110">
        <v>20</v>
      </c>
      <c r="T567" s="40">
        <f t="shared" si="85"/>
        <v>6300</v>
      </c>
      <c r="U567" s="39"/>
      <c r="V567" s="40"/>
      <c r="W567" s="39"/>
      <c r="X567" s="40"/>
      <c r="Y567" s="39"/>
      <c r="Z567" s="40"/>
      <c r="AA567" s="39"/>
      <c r="AB567" s="40"/>
      <c r="AC567" s="39"/>
      <c r="AD567" s="40"/>
      <c r="AE567" s="39"/>
      <c r="AF567" s="40"/>
      <c r="AG567" s="39"/>
      <c r="AH567" s="40"/>
      <c r="AI567" s="39"/>
      <c r="AJ567" s="40"/>
      <c r="AK567" s="39"/>
      <c r="AL567" s="40"/>
      <c r="AM567" s="39"/>
      <c r="AN567" s="40"/>
      <c r="AO567" s="39"/>
      <c r="AP567" s="40"/>
      <c r="AQ567" s="84">
        <f t="shared" si="84"/>
        <v>20</v>
      </c>
      <c r="AR567" s="80">
        <v>315</v>
      </c>
      <c r="AS567" s="178">
        <f t="shared" si="86"/>
        <v>6300</v>
      </c>
    </row>
    <row r="568" spans="1:45" ht="28.5" hidden="1">
      <c r="A568" s="71">
        <v>542</v>
      </c>
      <c r="B568" s="37" t="s">
        <v>701</v>
      </c>
      <c r="C568" s="53" t="s">
        <v>1250</v>
      </c>
      <c r="D568" s="37">
        <v>295</v>
      </c>
      <c r="E568" s="37" t="s">
        <v>700</v>
      </c>
      <c r="F568" s="110" t="s">
        <v>12</v>
      </c>
      <c r="G568" s="125"/>
      <c r="H568" s="125"/>
      <c r="I568" s="125"/>
      <c r="J568" s="125"/>
      <c r="K568" s="126"/>
      <c r="L568" s="127"/>
      <c r="M568" s="128"/>
      <c r="N568" s="125"/>
      <c r="O568" s="126"/>
      <c r="P568" s="125"/>
      <c r="Q568" s="128"/>
      <c r="R568" s="125"/>
      <c r="S568" s="110">
        <v>20</v>
      </c>
      <c r="T568" s="40">
        <f t="shared" si="85"/>
        <v>57000</v>
      </c>
      <c r="U568" s="39"/>
      <c r="V568" s="40"/>
      <c r="W568" s="39"/>
      <c r="X568" s="40"/>
      <c r="Y568" s="39"/>
      <c r="Z568" s="40"/>
      <c r="AA568" s="39"/>
      <c r="AB568" s="40"/>
      <c r="AC568" s="39"/>
      <c r="AD568" s="40"/>
      <c r="AE568" s="39"/>
      <c r="AF568" s="40"/>
      <c r="AG568" s="39"/>
      <c r="AH568" s="40"/>
      <c r="AI568" s="39"/>
      <c r="AJ568" s="40"/>
      <c r="AK568" s="39"/>
      <c r="AL568" s="40"/>
      <c r="AM568" s="39"/>
      <c r="AN568" s="40"/>
      <c r="AO568" s="39"/>
      <c r="AP568" s="40"/>
      <c r="AQ568" s="84">
        <f t="shared" si="84"/>
        <v>20</v>
      </c>
      <c r="AR568" s="80">
        <v>2850</v>
      </c>
      <c r="AS568" s="178">
        <f t="shared" si="86"/>
        <v>57000</v>
      </c>
    </row>
    <row r="569" spans="1:45" ht="28.5" hidden="1">
      <c r="A569" s="67">
        <v>543</v>
      </c>
      <c r="B569" s="37" t="s">
        <v>699</v>
      </c>
      <c r="C569" s="53" t="s">
        <v>1250</v>
      </c>
      <c r="D569" s="37">
        <v>295</v>
      </c>
      <c r="E569" s="37" t="s">
        <v>698</v>
      </c>
      <c r="F569" s="110" t="s">
        <v>12</v>
      </c>
      <c r="G569" s="125"/>
      <c r="H569" s="125"/>
      <c r="I569" s="125"/>
      <c r="J569" s="125"/>
      <c r="K569" s="126"/>
      <c r="L569" s="127"/>
      <c r="M569" s="128"/>
      <c r="N569" s="125"/>
      <c r="O569" s="126"/>
      <c r="P569" s="125"/>
      <c r="Q569" s="128"/>
      <c r="R569" s="125"/>
      <c r="S569" s="110">
        <v>50</v>
      </c>
      <c r="T569" s="40">
        <f t="shared" si="85"/>
        <v>6600</v>
      </c>
      <c r="U569" s="39"/>
      <c r="V569" s="40"/>
      <c r="W569" s="39"/>
      <c r="X569" s="40"/>
      <c r="Y569" s="39"/>
      <c r="Z569" s="40"/>
      <c r="AA569" s="39"/>
      <c r="AB569" s="40"/>
      <c r="AC569" s="39"/>
      <c r="AD569" s="40"/>
      <c r="AE569" s="39"/>
      <c r="AF569" s="40"/>
      <c r="AG569" s="39"/>
      <c r="AH569" s="40"/>
      <c r="AI569" s="39"/>
      <c r="AJ569" s="40"/>
      <c r="AK569" s="39"/>
      <c r="AL569" s="40"/>
      <c r="AM569" s="39"/>
      <c r="AN569" s="40"/>
      <c r="AO569" s="39"/>
      <c r="AP569" s="40"/>
      <c r="AQ569" s="84">
        <f t="shared" si="84"/>
        <v>50</v>
      </c>
      <c r="AR569" s="80">
        <v>132</v>
      </c>
      <c r="AS569" s="178">
        <f t="shared" si="86"/>
        <v>6600</v>
      </c>
    </row>
    <row r="570" spans="1:45" ht="28.5" hidden="1">
      <c r="A570" s="71">
        <v>544</v>
      </c>
      <c r="B570" s="37" t="s">
        <v>697</v>
      </c>
      <c r="C570" s="53" t="s">
        <v>1250</v>
      </c>
      <c r="D570" s="37">
        <v>295</v>
      </c>
      <c r="E570" s="37" t="s">
        <v>696</v>
      </c>
      <c r="F570" s="110" t="s">
        <v>12</v>
      </c>
      <c r="G570" s="125"/>
      <c r="H570" s="125"/>
      <c r="I570" s="125"/>
      <c r="J570" s="125"/>
      <c r="K570" s="126"/>
      <c r="L570" s="127"/>
      <c r="M570" s="128"/>
      <c r="N570" s="125"/>
      <c r="O570" s="126"/>
      <c r="P570" s="125"/>
      <c r="Q570" s="128"/>
      <c r="R570" s="125"/>
      <c r="S570" s="110">
        <v>50</v>
      </c>
      <c r="T570" s="40">
        <f t="shared" si="85"/>
        <v>333675</v>
      </c>
      <c r="U570" s="39"/>
      <c r="V570" s="40"/>
      <c r="W570" s="39"/>
      <c r="X570" s="40"/>
      <c r="Y570" s="39"/>
      <c r="Z570" s="40"/>
      <c r="AA570" s="39"/>
      <c r="AB570" s="40"/>
      <c r="AC570" s="39"/>
      <c r="AD570" s="40"/>
      <c r="AE570" s="39"/>
      <c r="AF570" s="40"/>
      <c r="AG570" s="39"/>
      <c r="AH570" s="40"/>
      <c r="AI570" s="39"/>
      <c r="AJ570" s="40"/>
      <c r="AK570" s="39"/>
      <c r="AL570" s="40"/>
      <c r="AM570" s="39"/>
      <c r="AN570" s="40"/>
      <c r="AO570" s="39"/>
      <c r="AP570" s="40"/>
      <c r="AQ570" s="84">
        <f t="shared" si="84"/>
        <v>50</v>
      </c>
      <c r="AR570" s="80">
        <v>6673.5</v>
      </c>
      <c r="AS570" s="178">
        <f t="shared" si="86"/>
        <v>333675</v>
      </c>
    </row>
    <row r="571" spans="1:45" ht="28.5" hidden="1">
      <c r="A571" s="67">
        <v>545</v>
      </c>
      <c r="B571" s="37" t="s">
        <v>695</v>
      </c>
      <c r="C571" s="53" t="s">
        <v>1250</v>
      </c>
      <c r="D571" s="37">
        <v>295</v>
      </c>
      <c r="E571" s="37" t="s">
        <v>694</v>
      </c>
      <c r="F571" s="110" t="s">
        <v>12</v>
      </c>
      <c r="G571" s="125"/>
      <c r="H571" s="125"/>
      <c r="I571" s="125"/>
      <c r="J571" s="125"/>
      <c r="K571" s="126"/>
      <c r="L571" s="127"/>
      <c r="M571" s="128"/>
      <c r="N571" s="125"/>
      <c r="O571" s="126"/>
      <c r="P571" s="125"/>
      <c r="Q571" s="128"/>
      <c r="R571" s="125"/>
      <c r="S571" s="110">
        <v>50</v>
      </c>
      <c r="T571" s="40">
        <f t="shared" si="85"/>
        <v>3975</v>
      </c>
      <c r="U571" s="39"/>
      <c r="V571" s="40"/>
      <c r="W571" s="39"/>
      <c r="X571" s="40"/>
      <c r="Y571" s="39"/>
      <c r="Z571" s="40"/>
      <c r="AA571" s="39"/>
      <c r="AB571" s="40"/>
      <c r="AC571" s="39"/>
      <c r="AD571" s="40"/>
      <c r="AE571" s="39"/>
      <c r="AF571" s="40"/>
      <c r="AG571" s="39"/>
      <c r="AH571" s="40"/>
      <c r="AI571" s="39"/>
      <c r="AJ571" s="40"/>
      <c r="AK571" s="39"/>
      <c r="AL571" s="40"/>
      <c r="AM571" s="39"/>
      <c r="AN571" s="40"/>
      <c r="AO571" s="39"/>
      <c r="AP571" s="40"/>
      <c r="AQ571" s="84">
        <f t="shared" si="84"/>
        <v>50</v>
      </c>
      <c r="AR571" s="80">
        <v>79.5</v>
      </c>
      <c r="AS571" s="178">
        <f t="shared" si="86"/>
        <v>3975</v>
      </c>
    </row>
    <row r="572" spans="1:45" ht="28.5" hidden="1">
      <c r="A572" s="71">
        <v>546</v>
      </c>
      <c r="B572" s="37" t="s">
        <v>693</v>
      </c>
      <c r="C572" s="53" t="s">
        <v>1250</v>
      </c>
      <c r="D572" s="37">
        <v>295</v>
      </c>
      <c r="E572" s="37" t="s">
        <v>692</v>
      </c>
      <c r="F572" s="110" t="s">
        <v>17</v>
      </c>
      <c r="G572" s="125"/>
      <c r="H572" s="125"/>
      <c r="I572" s="125"/>
      <c r="J572" s="125"/>
      <c r="K572" s="126"/>
      <c r="L572" s="127"/>
      <c r="M572" s="128"/>
      <c r="N572" s="125"/>
      <c r="O572" s="126"/>
      <c r="P572" s="125"/>
      <c r="Q572" s="128"/>
      <c r="R572" s="125"/>
      <c r="S572" s="110">
        <v>30</v>
      </c>
      <c r="T572" s="40">
        <f t="shared" si="85"/>
        <v>2385</v>
      </c>
      <c r="U572" s="39"/>
      <c r="V572" s="40"/>
      <c r="W572" s="39"/>
      <c r="X572" s="40"/>
      <c r="Y572" s="39"/>
      <c r="Z572" s="40"/>
      <c r="AA572" s="39"/>
      <c r="AB572" s="40"/>
      <c r="AC572" s="39"/>
      <c r="AD572" s="40"/>
      <c r="AE572" s="39"/>
      <c r="AF572" s="40"/>
      <c r="AG572" s="39"/>
      <c r="AH572" s="40"/>
      <c r="AI572" s="39"/>
      <c r="AJ572" s="40"/>
      <c r="AK572" s="39"/>
      <c r="AL572" s="40"/>
      <c r="AM572" s="39"/>
      <c r="AN572" s="40"/>
      <c r="AO572" s="39"/>
      <c r="AP572" s="40"/>
      <c r="AQ572" s="84">
        <f t="shared" si="84"/>
        <v>30</v>
      </c>
      <c r="AR572" s="80">
        <v>79.5</v>
      </c>
      <c r="AS572" s="178">
        <f t="shared" si="86"/>
        <v>2385</v>
      </c>
    </row>
    <row r="573" spans="1:45" ht="28.5" hidden="1">
      <c r="A573" s="67">
        <v>547</v>
      </c>
      <c r="B573" s="37" t="s">
        <v>691</v>
      </c>
      <c r="C573" s="53" t="s">
        <v>1250</v>
      </c>
      <c r="D573" s="37">
        <v>295</v>
      </c>
      <c r="E573" s="37" t="s">
        <v>690</v>
      </c>
      <c r="F573" s="110" t="s">
        <v>12</v>
      </c>
      <c r="G573" s="125"/>
      <c r="H573" s="125"/>
      <c r="I573" s="125"/>
      <c r="J573" s="125"/>
      <c r="K573" s="126"/>
      <c r="L573" s="127"/>
      <c r="M573" s="128"/>
      <c r="N573" s="125"/>
      <c r="O573" s="126"/>
      <c r="P573" s="125"/>
      <c r="Q573" s="128"/>
      <c r="R573" s="125"/>
      <c r="S573" s="110">
        <v>50</v>
      </c>
      <c r="T573" s="40">
        <f t="shared" si="85"/>
        <v>10164</v>
      </c>
      <c r="U573" s="39"/>
      <c r="V573" s="40"/>
      <c r="W573" s="39"/>
      <c r="X573" s="40"/>
      <c r="Y573" s="39"/>
      <c r="Z573" s="40"/>
      <c r="AA573" s="39"/>
      <c r="AB573" s="40"/>
      <c r="AC573" s="39"/>
      <c r="AD573" s="40"/>
      <c r="AE573" s="39"/>
      <c r="AF573" s="40"/>
      <c r="AG573" s="39"/>
      <c r="AH573" s="40"/>
      <c r="AI573" s="39"/>
      <c r="AJ573" s="40"/>
      <c r="AK573" s="39"/>
      <c r="AL573" s="40"/>
      <c r="AM573" s="39"/>
      <c r="AN573" s="40"/>
      <c r="AO573" s="39"/>
      <c r="AP573" s="40"/>
      <c r="AQ573" s="84">
        <f t="shared" si="84"/>
        <v>50</v>
      </c>
      <c r="AR573" s="80">
        <v>203.28</v>
      </c>
      <c r="AS573" s="178">
        <f t="shared" si="86"/>
        <v>10164</v>
      </c>
    </row>
    <row r="574" spans="1:45" ht="28.5" hidden="1">
      <c r="A574" s="71">
        <v>548</v>
      </c>
      <c r="B574" s="37" t="s">
        <v>689</v>
      </c>
      <c r="C574" s="53" t="s">
        <v>1250</v>
      </c>
      <c r="D574" s="37">
        <v>295</v>
      </c>
      <c r="E574" s="37" t="s">
        <v>688</v>
      </c>
      <c r="F574" s="110" t="s">
        <v>12</v>
      </c>
      <c r="G574" s="125"/>
      <c r="H574" s="125"/>
      <c r="I574" s="125"/>
      <c r="J574" s="125"/>
      <c r="K574" s="126"/>
      <c r="L574" s="127"/>
      <c r="M574" s="128"/>
      <c r="N574" s="125"/>
      <c r="O574" s="126"/>
      <c r="P574" s="125"/>
      <c r="Q574" s="128"/>
      <c r="R574" s="125"/>
      <c r="S574" s="110">
        <v>10</v>
      </c>
      <c r="T574" s="40">
        <f t="shared" si="85"/>
        <v>39682.800000000003</v>
      </c>
      <c r="U574" s="39"/>
      <c r="V574" s="40"/>
      <c r="W574" s="39"/>
      <c r="X574" s="40"/>
      <c r="Y574" s="39"/>
      <c r="Z574" s="40"/>
      <c r="AA574" s="39"/>
      <c r="AB574" s="40"/>
      <c r="AC574" s="39"/>
      <c r="AD574" s="40"/>
      <c r="AE574" s="39"/>
      <c r="AF574" s="40"/>
      <c r="AG574" s="39"/>
      <c r="AH574" s="40"/>
      <c r="AI574" s="39"/>
      <c r="AJ574" s="40"/>
      <c r="AK574" s="39"/>
      <c r="AL574" s="40"/>
      <c r="AM574" s="39"/>
      <c r="AN574" s="40"/>
      <c r="AO574" s="39"/>
      <c r="AP574" s="40"/>
      <c r="AQ574" s="84">
        <f t="shared" si="84"/>
        <v>10</v>
      </c>
      <c r="AR574" s="80">
        <v>3968.28</v>
      </c>
      <c r="AS574" s="178">
        <f t="shared" si="86"/>
        <v>39682.800000000003</v>
      </c>
    </row>
    <row r="575" spans="1:45" ht="28.5" hidden="1">
      <c r="A575" s="67">
        <v>549</v>
      </c>
      <c r="B575" s="37" t="s">
        <v>687</v>
      </c>
      <c r="C575" s="53" t="s">
        <v>1250</v>
      </c>
      <c r="D575" s="37">
        <v>295</v>
      </c>
      <c r="E575" s="37" t="s">
        <v>686</v>
      </c>
      <c r="F575" s="110" t="s">
        <v>12</v>
      </c>
      <c r="G575" s="125"/>
      <c r="H575" s="125"/>
      <c r="I575" s="125"/>
      <c r="J575" s="125"/>
      <c r="K575" s="126"/>
      <c r="L575" s="127"/>
      <c r="M575" s="128"/>
      <c r="N575" s="125"/>
      <c r="O575" s="126"/>
      <c r="P575" s="125"/>
      <c r="Q575" s="128"/>
      <c r="R575" s="125"/>
      <c r="S575" s="110">
        <v>50</v>
      </c>
      <c r="T575" s="40">
        <f t="shared" si="85"/>
        <v>5670</v>
      </c>
      <c r="U575" s="39"/>
      <c r="V575" s="40"/>
      <c r="W575" s="39"/>
      <c r="X575" s="40"/>
      <c r="Y575" s="39"/>
      <c r="Z575" s="40"/>
      <c r="AA575" s="39"/>
      <c r="AB575" s="40"/>
      <c r="AC575" s="39"/>
      <c r="AD575" s="40"/>
      <c r="AE575" s="39"/>
      <c r="AF575" s="40"/>
      <c r="AG575" s="39"/>
      <c r="AH575" s="40"/>
      <c r="AI575" s="39"/>
      <c r="AJ575" s="40"/>
      <c r="AK575" s="39"/>
      <c r="AL575" s="40"/>
      <c r="AM575" s="39"/>
      <c r="AN575" s="40"/>
      <c r="AO575" s="39"/>
      <c r="AP575" s="40"/>
      <c r="AQ575" s="84">
        <f t="shared" si="84"/>
        <v>50</v>
      </c>
      <c r="AR575" s="80">
        <v>113.4</v>
      </c>
      <c r="AS575" s="178">
        <f t="shared" si="86"/>
        <v>5670</v>
      </c>
    </row>
    <row r="576" spans="1:45" ht="28.5" hidden="1">
      <c r="A576" s="71">
        <v>550</v>
      </c>
      <c r="B576" s="37" t="s">
        <v>685</v>
      </c>
      <c r="C576" s="53" t="s">
        <v>1250</v>
      </c>
      <c r="D576" s="37">
        <v>295</v>
      </c>
      <c r="E576" s="37" t="s">
        <v>684</v>
      </c>
      <c r="F576" s="110" t="s">
        <v>12</v>
      </c>
      <c r="G576" s="125"/>
      <c r="H576" s="125"/>
      <c r="I576" s="125"/>
      <c r="J576" s="125"/>
      <c r="K576" s="126"/>
      <c r="L576" s="127"/>
      <c r="M576" s="128"/>
      <c r="N576" s="125"/>
      <c r="O576" s="126"/>
      <c r="P576" s="125"/>
      <c r="Q576" s="128"/>
      <c r="R576" s="125"/>
      <c r="S576" s="110">
        <v>50</v>
      </c>
      <c r="T576" s="40">
        <f t="shared" si="85"/>
        <v>5250</v>
      </c>
      <c r="U576" s="39"/>
      <c r="V576" s="40"/>
      <c r="W576" s="39"/>
      <c r="X576" s="40"/>
      <c r="Y576" s="39"/>
      <c r="Z576" s="40"/>
      <c r="AA576" s="39"/>
      <c r="AB576" s="40"/>
      <c r="AC576" s="39"/>
      <c r="AD576" s="40"/>
      <c r="AE576" s="39"/>
      <c r="AF576" s="40"/>
      <c r="AG576" s="39"/>
      <c r="AH576" s="40"/>
      <c r="AI576" s="39"/>
      <c r="AJ576" s="40"/>
      <c r="AK576" s="39"/>
      <c r="AL576" s="40"/>
      <c r="AM576" s="39"/>
      <c r="AN576" s="40"/>
      <c r="AO576" s="39"/>
      <c r="AP576" s="40"/>
      <c r="AQ576" s="84">
        <f t="shared" si="84"/>
        <v>50</v>
      </c>
      <c r="AR576" s="80">
        <v>105</v>
      </c>
      <c r="AS576" s="178">
        <f t="shared" si="86"/>
        <v>5250</v>
      </c>
    </row>
    <row r="577" spans="1:45" ht="28.5" hidden="1">
      <c r="A577" s="67">
        <v>551</v>
      </c>
      <c r="B577" s="37" t="s">
        <v>683</v>
      </c>
      <c r="C577" s="53" t="s">
        <v>1250</v>
      </c>
      <c r="D577" s="37">
        <v>295</v>
      </c>
      <c r="E577" s="37" t="s">
        <v>682</v>
      </c>
      <c r="F577" s="110" t="s">
        <v>12</v>
      </c>
      <c r="G577" s="125"/>
      <c r="H577" s="125"/>
      <c r="I577" s="125"/>
      <c r="J577" s="125"/>
      <c r="K577" s="126"/>
      <c r="L577" s="127"/>
      <c r="M577" s="128"/>
      <c r="N577" s="125"/>
      <c r="O577" s="126"/>
      <c r="P577" s="125"/>
      <c r="Q577" s="128"/>
      <c r="R577" s="125"/>
      <c r="S577" s="110">
        <v>100</v>
      </c>
      <c r="T577" s="40">
        <f t="shared" si="85"/>
        <v>74850</v>
      </c>
      <c r="U577" s="39"/>
      <c r="V577" s="40"/>
      <c r="W577" s="39"/>
      <c r="X577" s="40"/>
      <c r="Y577" s="39"/>
      <c r="Z577" s="40"/>
      <c r="AA577" s="39"/>
      <c r="AB577" s="40"/>
      <c r="AC577" s="39"/>
      <c r="AD577" s="40"/>
      <c r="AE577" s="39"/>
      <c r="AF577" s="40"/>
      <c r="AG577" s="39"/>
      <c r="AH577" s="40"/>
      <c r="AI577" s="39"/>
      <c r="AJ577" s="40"/>
      <c r="AK577" s="39"/>
      <c r="AL577" s="40"/>
      <c r="AM577" s="39"/>
      <c r="AN577" s="40"/>
      <c r="AO577" s="39"/>
      <c r="AP577" s="40"/>
      <c r="AQ577" s="84">
        <f t="shared" si="84"/>
        <v>100</v>
      </c>
      <c r="AR577" s="80">
        <v>748.5</v>
      </c>
      <c r="AS577" s="178">
        <f t="shared" si="86"/>
        <v>74850</v>
      </c>
    </row>
    <row r="578" spans="1:45" ht="28.5" hidden="1">
      <c r="A578" s="71">
        <v>552</v>
      </c>
      <c r="B578" s="37" t="s">
        <v>681</v>
      </c>
      <c r="C578" s="53" t="s">
        <v>1250</v>
      </c>
      <c r="D578" s="37">
        <v>295</v>
      </c>
      <c r="E578" s="37" t="s">
        <v>680</v>
      </c>
      <c r="F578" s="110" t="s">
        <v>12</v>
      </c>
      <c r="G578" s="125"/>
      <c r="H578" s="125"/>
      <c r="I578" s="125"/>
      <c r="J578" s="125"/>
      <c r="K578" s="126"/>
      <c r="L578" s="127"/>
      <c r="M578" s="128"/>
      <c r="N578" s="125"/>
      <c r="O578" s="126"/>
      <c r="P578" s="125"/>
      <c r="Q578" s="128"/>
      <c r="R578" s="125"/>
      <c r="S578" s="110">
        <v>30</v>
      </c>
      <c r="T578" s="40">
        <f t="shared" si="85"/>
        <v>5159.7000000000007</v>
      </c>
      <c r="U578" s="39"/>
      <c r="V578" s="40"/>
      <c r="W578" s="39"/>
      <c r="X578" s="40"/>
      <c r="Y578" s="39"/>
      <c r="Z578" s="40"/>
      <c r="AA578" s="39"/>
      <c r="AB578" s="40"/>
      <c r="AC578" s="39"/>
      <c r="AD578" s="40"/>
      <c r="AE578" s="39"/>
      <c r="AF578" s="40"/>
      <c r="AG578" s="39"/>
      <c r="AH578" s="40"/>
      <c r="AI578" s="39"/>
      <c r="AJ578" s="40"/>
      <c r="AK578" s="39"/>
      <c r="AL578" s="40"/>
      <c r="AM578" s="39"/>
      <c r="AN578" s="40"/>
      <c r="AO578" s="39"/>
      <c r="AP578" s="40"/>
      <c r="AQ578" s="84">
        <f t="shared" si="84"/>
        <v>30</v>
      </c>
      <c r="AR578" s="80">
        <v>171.99</v>
      </c>
      <c r="AS578" s="178">
        <f t="shared" si="86"/>
        <v>5159.7000000000007</v>
      </c>
    </row>
    <row r="579" spans="1:45" ht="28.5" hidden="1">
      <c r="A579" s="67">
        <v>553</v>
      </c>
      <c r="B579" s="37" t="s">
        <v>679</v>
      </c>
      <c r="C579" s="53" t="s">
        <v>1250</v>
      </c>
      <c r="D579" s="37">
        <v>295</v>
      </c>
      <c r="E579" s="37" t="s">
        <v>678</v>
      </c>
      <c r="F579" s="110" t="s">
        <v>12</v>
      </c>
      <c r="G579" s="125"/>
      <c r="H579" s="125"/>
      <c r="I579" s="125"/>
      <c r="J579" s="125"/>
      <c r="K579" s="126"/>
      <c r="L579" s="127"/>
      <c r="M579" s="128"/>
      <c r="N579" s="125"/>
      <c r="O579" s="126"/>
      <c r="P579" s="125"/>
      <c r="Q579" s="128"/>
      <c r="R579" s="125"/>
      <c r="S579" s="110">
        <v>30</v>
      </c>
      <c r="T579" s="40">
        <f t="shared" si="85"/>
        <v>157950</v>
      </c>
      <c r="U579" s="39"/>
      <c r="V579" s="40"/>
      <c r="W579" s="39"/>
      <c r="X579" s="40"/>
      <c r="Y579" s="39"/>
      <c r="Z579" s="40"/>
      <c r="AA579" s="39"/>
      <c r="AB579" s="40"/>
      <c r="AC579" s="39"/>
      <c r="AD579" s="40"/>
      <c r="AE579" s="39"/>
      <c r="AF579" s="40"/>
      <c r="AG579" s="39"/>
      <c r="AH579" s="40"/>
      <c r="AI579" s="39"/>
      <c r="AJ579" s="40"/>
      <c r="AK579" s="39"/>
      <c r="AL579" s="40"/>
      <c r="AM579" s="39"/>
      <c r="AN579" s="40"/>
      <c r="AO579" s="39"/>
      <c r="AP579" s="40"/>
      <c r="AQ579" s="84">
        <f t="shared" si="84"/>
        <v>30</v>
      </c>
      <c r="AR579" s="80">
        <v>5265</v>
      </c>
      <c r="AS579" s="178">
        <f t="shared" si="86"/>
        <v>157950</v>
      </c>
    </row>
    <row r="580" spans="1:45" ht="28.5" hidden="1">
      <c r="A580" s="71">
        <v>554</v>
      </c>
      <c r="B580" s="37" t="s">
        <v>677</v>
      </c>
      <c r="C580" s="53" t="s">
        <v>1250</v>
      </c>
      <c r="D580" s="37">
        <v>295</v>
      </c>
      <c r="E580" s="37" t="s">
        <v>676</v>
      </c>
      <c r="F580" s="110" t="s">
        <v>12</v>
      </c>
      <c r="G580" s="125"/>
      <c r="H580" s="125"/>
      <c r="I580" s="125"/>
      <c r="J580" s="125"/>
      <c r="K580" s="126"/>
      <c r="L580" s="127"/>
      <c r="M580" s="128"/>
      <c r="N580" s="125"/>
      <c r="O580" s="126"/>
      <c r="P580" s="125"/>
      <c r="Q580" s="128"/>
      <c r="R580" s="125"/>
      <c r="S580" s="110">
        <v>20</v>
      </c>
      <c r="T580" s="40">
        <f t="shared" si="85"/>
        <v>46800</v>
      </c>
      <c r="U580" s="39"/>
      <c r="V580" s="40"/>
      <c r="W580" s="39"/>
      <c r="X580" s="40"/>
      <c r="Y580" s="39"/>
      <c r="Z580" s="40"/>
      <c r="AA580" s="39"/>
      <c r="AB580" s="40"/>
      <c r="AC580" s="39"/>
      <c r="AD580" s="40"/>
      <c r="AE580" s="39"/>
      <c r="AF580" s="40"/>
      <c r="AG580" s="39"/>
      <c r="AH580" s="40"/>
      <c r="AI580" s="39"/>
      <c r="AJ580" s="40"/>
      <c r="AK580" s="39"/>
      <c r="AL580" s="40"/>
      <c r="AM580" s="39"/>
      <c r="AN580" s="40"/>
      <c r="AO580" s="39"/>
      <c r="AP580" s="40"/>
      <c r="AQ580" s="84">
        <f t="shared" si="84"/>
        <v>20</v>
      </c>
      <c r="AR580" s="80">
        <v>2340</v>
      </c>
      <c r="AS580" s="178">
        <f t="shared" si="86"/>
        <v>46800</v>
      </c>
    </row>
    <row r="581" spans="1:45" ht="28.5" hidden="1">
      <c r="A581" s="67">
        <v>555</v>
      </c>
      <c r="B581" s="37" t="s">
        <v>675</v>
      </c>
      <c r="C581" s="53" t="s">
        <v>1250</v>
      </c>
      <c r="D581" s="37">
        <v>295</v>
      </c>
      <c r="E581" s="37" t="s">
        <v>674</v>
      </c>
      <c r="F581" s="110" t="s">
        <v>12</v>
      </c>
      <c r="G581" s="125"/>
      <c r="H581" s="125"/>
      <c r="I581" s="125"/>
      <c r="J581" s="125"/>
      <c r="K581" s="126"/>
      <c r="L581" s="127"/>
      <c r="M581" s="128"/>
      <c r="N581" s="125"/>
      <c r="O581" s="126"/>
      <c r="P581" s="125"/>
      <c r="Q581" s="128"/>
      <c r="R581" s="125"/>
      <c r="S581" s="110">
        <v>30</v>
      </c>
      <c r="T581" s="40">
        <f t="shared" si="85"/>
        <v>50400</v>
      </c>
      <c r="U581" s="39"/>
      <c r="V581" s="40"/>
      <c r="W581" s="39"/>
      <c r="X581" s="40"/>
      <c r="Y581" s="39"/>
      <c r="Z581" s="40"/>
      <c r="AA581" s="39"/>
      <c r="AB581" s="40"/>
      <c r="AC581" s="39"/>
      <c r="AD581" s="40"/>
      <c r="AE581" s="39"/>
      <c r="AF581" s="40"/>
      <c r="AG581" s="39"/>
      <c r="AH581" s="40"/>
      <c r="AI581" s="39"/>
      <c r="AJ581" s="40"/>
      <c r="AK581" s="39"/>
      <c r="AL581" s="40"/>
      <c r="AM581" s="39"/>
      <c r="AN581" s="40"/>
      <c r="AO581" s="39"/>
      <c r="AP581" s="40"/>
      <c r="AQ581" s="84">
        <f t="shared" si="84"/>
        <v>30</v>
      </c>
      <c r="AR581" s="80">
        <v>1680</v>
      </c>
      <c r="AS581" s="178">
        <f t="shared" si="86"/>
        <v>50400</v>
      </c>
    </row>
    <row r="582" spans="1:45" ht="28.5" hidden="1">
      <c r="A582" s="71">
        <v>556</v>
      </c>
      <c r="B582" s="37" t="s">
        <v>673</v>
      </c>
      <c r="C582" s="53" t="s">
        <v>1250</v>
      </c>
      <c r="D582" s="37">
        <v>295</v>
      </c>
      <c r="E582" s="37" t="s">
        <v>672</v>
      </c>
      <c r="F582" s="110" t="s">
        <v>12</v>
      </c>
      <c r="G582" s="125"/>
      <c r="H582" s="125"/>
      <c r="I582" s="125"/>
      <c r="J582" s="125"/>
      <c r="K582" s="126"/>
      <c r="L582" s="127"/>
      <c r="M582" s="128"/>
      <c r="N582" s="125"/>
      <c r="O582" s="126"/>
      <c r="P582" s="125"/>
      <c r="Q582" s="128"/>
      <c r="R582" s="125"/>
      <c r="S582" s="110">
        <v>20</v>
      </c>
      <c r="T582" s="40">
        <f t="shared" si="85"/>
        <v>33600</v>
      </c>
      <c r="U582" s="39"/>
      <c r="V582" s="40"/>
      <c r="W582" s="39"/>
      <c r="X582" s="40"/>
      <c r="Y582" s="39"/>
      <c r="Z582" s="40"/>
      <c r="AA582" s="39"/>
      <c r="AB582" s="40"/>
      <c r="AC582" s="39"/>
      <c r="AD582" s="40"/>
      <c r="AE582" s="39"/>
      <c r="AF582" s="40"/>
      <c r="AG582" s="39"/>
      <c r="AH582" s="40"/>
      <c r="AI582" s="39"/>
      <c r="AJ582" s="40"/>
      <c r="AK582" s="39"/>
      <c r="AL582" s="40"/>
      <c r="AM582" s="39"/>
      <c r="AN582" s="40"/>
      <c r="AO582" s="39"/>
      <c r="AP582" s="40"/>
      <c r="AQ582" s="84">
        <f t="shared" si="84"/>
        <v>20</v>
      </c>
      <c r="AR582" s="80">
        <v>1680</v>
      </c>
      <c r="AS582" s="178">
        <f t="shared" si="86"/>
        <v>33600</v>
      </c>
    </row>
    <row r="583" spans="1:45" ht="28.5" hidden="1">
      <c r="A583" s="67">
        <v>557</v>
      </c>
      <c r="B583" s="37" t="s">
        <v>671</v>
      </c>
      <c r="C583" s="53" t="s">
        <v>1250</v>
      </c>
      <c r="D583" s="37">
        <v>295</v>
      </c>
      <c r="E583" s="37" t="s">
        <v>670</v>
      </c>
      <c r="F583" s="110" t="s">
        <v>12</v>
      </c>
      <c r="G583" s="125"/>
      <c r="H583" s="125"/>
      <c r="I583" s="125"/>
      <c r="J583" s="125"/>
      <c r="K583" s="126"/>
      <c r="L583" s="127"/>
      <c r="M583" s="128"/>
      <c r="N583" s="125"/>
      <c r="O583" s="126"/>
      <c r="P583" s="125"/>
      <c r="Q583" s="128"/>
      <c r="R583" s="125"/>
      <c r="S583" s="110">
        <v>20</v>
      </c>
      <c r="T583" s="40">
        <f t="shared" si="85"/>
        <v>33600</v>
      </c>
      <c r="U583" s="39"/>
      <c r="V583" s="40"/>
      <c r="W583" s="39"/>
      <c r="X583" s="40"/>
      <c r="Y583" s="39"/>
      <c r="Z583" s="40"/>
      <c r="AA583" s="39"/>
      <c r="AB583" s="40"/>
      <c r="AC583" s="39"/>
      <c r="AD583" s="40"/>
      <c r="AE583" s="39"/>
      <c r="AF583" s="40"/>
      <c r="AG583" s="39"/>
      <c r="AH583" s="40"/>
      <c r="AI583" s="39"/>
      <c r="AJ583" s="40"/>
      <c r="AK583" s="39"/>
      <c r="AL583" s="40"/>
      <c r="AM583" s="39"/>
      <c r="AN583" s="40"/>
      <c r="AO583" s="39"/>
      <c r="AP583" s="40"/>
      <c r="AQ583" s="84">
        <f t="shared" si="84"/>
        <v>20</v>
      </c>
      <c r="AR583" s="80">
        <v>1680</v>
      </c>
      <c r="AS583" s="178">
        <f t="shared" si="86"/>
        <v>33600</v>
      </c>
    </row>
    <row r="584" spans="1:45" ht="28.5" hidden="1">
      <c r="A584" s="71">
        <v>558</v>
      </c>
      <c r="B584" s="37" t="s">
        <v>669</v>
      </c>
      <c r="C584" s="53" t="s">
        <v>1250</v>
      </c>
      <c r="D584" s="37">
        <v>295</v>
      </c>
      <c r="E584" s="37" t="s">
        <v>668</v>
      </c>
      <c r="F584" s="110" t="s">
        <v>12</v>
      </c>
      <c r="G584" s="125"/>
      <c r="H584" s="125"/>
      <c r="I584" s="125"/>
      <c r="J584" s="125"/>
      <c r="K584" s="126"/>
      <c r="L584" s="127"/>
      <c r="M584" s="128"/>
      <c r="N584" s="125"/>
      <c r="O584" s="126"/>
      <c r="P584" s="125"/>
      <c r="Q584" s="128"/>
      <c r="R584" s="125"/>
      <c r="S584" s="110">
        <v>20</v>
      </c>
      <c r="T584" s="40">
        <f t="shared" si="85"/>
        <v>5970</v>
      </c>
      <c r="U584" s="39"/>
      <c r="V584" s="40"/>
      <c r="W584" s="39"/>
      <c r="X584" s="40"/>
      <c r="Y584" s="39"/>
      <c r="Z584" s="40"/>
      <c r="AA584" s="39"/>
      <c r="AB584" s="40"/>
      <c r="AC584" s="39"/>
      <c r="AD584" s="40"/>
      <c r="AE584" s="39"/>
      <c r="AF584" s="40"/>
      <c r="AG584" s="39"/>
      <c r="AH584" s="40"/>
      <c r="AI584" s="39"/>
      <c r="AJ584" s="40"/>
      <c r="AK584" s="39"/>
      <c r="AL584" s="40"/>
      <c r="AM584" s="39"/>
      <c r="AN584" s="40"/>
      <c r="AO584" s="39"/>
      <c r="AP584" s="40"/>
      <c r="AQ584" s="84">
        <f t="shared" si="84"/>
        <v>20</v>
      </c>
      <c r="AR584" s="80">
        <v>298.5</v>
      </c>
      <c r="AS584" s="178">
        <f t="shared" si="86"/>
        <v>5970</v>
      </c>
    </row>
    <row r="585" spans="1:45" ht="28.5" hidden="1">
      <c r="A585" s="67">
        <v>559</v>
      </c>
      <c r="B585" s="37" t="s">
        <v>667</v>
      </c>
      <c r="C585" s="53" t="s">
        <v>1250</v>
      </c>
      <c r="D585" s="37">
        <v>295</v>
      </c>
      <c r="E585" s="37" t="s">
        <v>666</v>
      </c>
      <c r="F585" s="110" t="s">
        <v>12</v>
      </c>
      <c r="G585" s="125"/>
      <c r="H585" s="125"/>
      <c r="I585" s="125"/>
      <c r="J585" s="125"/>
      <c r="K585" s="126"/>
      <c r="L585" s="127"/>
      <c r="M585" s="128"/>
      <c r="N585" s="125"/>
      <c r="O585" s="126"/>
      <c r="P585" s="125"/>
      <c r="Q585" s="128"/>
      <c r="R585" s="125"/>
      <c r="S585" s="110">
        <v>30</v>
      </c>
      <c r="T585" s="40">
        <f t="shared" si="85"/>
        <v>495900</v>
      </c>
      <c r="U585" s="39"/>
      <c r="V585" s="40"/>
      <c r="W585" s="39"/>
      <c r="X585" s="40"/>
      <c r="Y585" s="39"/>
      <c r="Z585" s="40"/>
      <c r="AA585" s="39"/>
      <c r="AB585" s="40"/>
      <c r="AC585" s="39"/>
      <c r="AD585" s="40"/>
      <c r="AE585" s="39"/>
      <c r="AF585" s="40"/>
      <c r="AG585" s="39"/>
      <c r="AH585" s="40"/>
      <c r="AI585" s="39"/>
      <c r="AJ585" s="40"/>
      <c r="AK585" s="39"/>
      <c r="AL585" s="40"/>
      <c r="AM585" s="39"/>
      <c r="AN585" s="40"/>
      <c r="AO585" s="39"/>
      <c r="AP585" s="40"/>
      <c r="AQ585" s="84">
        <f t="shared" si="84"/>
        <v>30</v>
      </c>
      <c r="AR585" s="80">
        <v>16530</v>
      </c>
      <c r="AS585" s="178">
        <f t="shared" si="86"/>
        <v>495900</v>
      </c>
    </row>
    <row r="586" spans="1:45" ht="28.5" hidden="1">
      <c r="A586" s="71">
        <v>560</v>
      </c>
      <c r="B586" s="37" t="s">
        <v>665</v>
      </c>
      <c r="C586" s="53" t="s">
        <v>1250</v>
      </c>
      <c r="D586" s="37">
        <v>295</v>
      </c>
      <c r="E586" s="37" t="s">
        <v>664</v>
      </c>
      <c r="F586" s="110" t="s">
        <v>12</v>
      </c>
      <c r="G586" s="125"/>
      <c r="H586" s="125"/>
      <c r="I586" s="125"/>
      <c r="J586" s="125"/>
      <c r="K586" s="126"/>
      <c r="L586" s="127"/>
      <c r="M586" s="128"/>
      <c r="N586" s="125"/>
      <c r="O586" s="126"/>
      <c r="P586" s="125"/>
      <c r="Q586" s="128"/>
      <c r="R586" s="125"/>
      <c r="S586" s="110">
        <v>30</v>
      </c>
      <c r="T586" s="40">
        <f t="shared" si="85"/>
        <v>44550</v>
      </c>
      <c r="U586" s="39"/>
      <c r="V586" s="40"/>
      <c r="W586" s="39"/>
      <c r="X586" s="40"/>
      <c r="Y586" s="39"/>
      <c r="Z586" s="40"/>
      <c r="AA586" s="39"/>
      <c r="AB586" s="40"/>
      <c r="AC586" s="39"/>
      <c r="AD586" s="40"/>
      <c r="AE586" s="39"/>
      <c r="AF586" s="40"/>
      <c r="AG586" s="39"/>
      <c r="AH586" s="40"/>
      <c r="AI586" s="39"/>
      <c r="AJ586" s="40"/>
      <c r="AK586" s="39"/>
      <c r="AL586" s="40"/>
      <c r="AM586" s="39"/>
      <c r="AN586" s="40"/>
      <c r="AO586" s="39"/>
      <c r="AP586" s="40"/>
      <c r="AQ586" s="84">
        <f t="shared" si="84"/>
        <v>30</v>
      </c>
      <c r="AR586" s="80">
        <v>1485</v>
      </c>
      <c r="AS586" s="178">
        <f t="shared" si="86"/>
        <v>44550</v>
      </c>
    </row>
    <row r="587" spans="1:45" ht="28.5" hidden="1">
      <c r="A587" s="67">
        <v>561</v>
      </c>
      <c r="B587" s="37" t="s">
        <v>663</v>
      </c>
      <c r="C587" s="53" t="s">
        <v>1250</v>
      </c>
      <c r="D587" s="37">
        <v>295</v>
      </c>
      <c r="E587" s="37" t="s">
        <v>662</v>
      </c>
      <c r="F587" s="110" t="s">
        <v>12</v>
      </c>
      <c r="G587" s="125"/>
      <c r="H587" s="125"/>
      <c r="I587" s="125"/>
      <c r="J587" s="125"/>
      <c r="K587" s="126"/>
      <c r="L587" s="127"/>
      <c r="M587" s="128"/>
      <c r="N587" s="125"/>
      <c r="O587" s="126"/>
      <c r="P587" s="125"/>
      <c r="Q587" s="128"/>
      <c r="R587" s="125"/>
      <c r="S587" s="110">
        <v>30</v>
      </c>
      <c r="T587" s="40">
        <f t="shared" si="85"/>
        <v>219644.69999999998</v>
      </c>
      <c r="U587" s="39"/>
      <c r="V587" s="40"/>
      <c r="W587" s="39"/>
      <c r="X587" s="40"/>
      <c r="Y587" s="39"/>
      <c r="Z587" s="40"/>
      <c r="AA587" s="39"/>
      <c r="AB587" s="40"/>
      <c r="AC587" s="39"/>
      <c r="AD587" s="40"/>
      <c r="AE587" s="39"/>
      <c r="AF587" s="40"/>
      <c r="AG587" s="39"/>
      <c r="AH587" s="40"/>
      <c r="AI587" s="39"/>
      <c r="AJ587" s="40"/>
      <c r="AK587" s="39"/>
      <c r="AL587" s="40"/>
      <c r="AM587" s="39"/>
      <c r="AN587" s="40"/>
      <c r="AO587" s="39"/>
      <c r="AP587" s="40"/>
      <c r="AQ587" s="84">
        <f t="shared" si="84"/>
        <v>30</v>
      </c>
      <c r="AR587" s="80">
        <v>7321.49</v>
      </c>
      <c r="AS587" s="178">
        <f t="shared" si="86"/>
        <v>219644.69999999998</v>
      </c>
    </row>
    <row r="588" spans="1:45" ht="28.5" hidden="1">
      <c r="A588" s="71">
        <v>562</v>
      </c>
      <c r="B588" s="37" t="s">
        <v>661</v>
      </c>
      <c r="C588" s="53" t="s">
        <v>1250</v>
      </c>
      <c r="D588" s="37">
        <v>295</v>
      </c>
      <c r="E588" s="37" t="s">
        <v>660</v>
      </c>
      <c r="F588" s="110" t="s">
        <v>12</v>
      </c>
      <c r="G588" s="125"/>
      <c r="H588" s="125"/>
      <c r="I588" s="125"/>
      <c r="J588" s="125"/>
      <c r="K588" s="126"/>
      <c r="L588" s="127"/>
      <c r="M588" s="128"/>
      <c r="N588" s="125"/>
      <c r="O588" s="126"/>
      <c r="P588" s="125"/>
      <c r="Q588" s="128"/>
      <c r="R588" s="125"/>
      <c r="S588" s="110">
        <v>15</v>
      </c>
      <c r="T588" s="40">
        <f t="shared" si="85"/>
        <v>7775.8499999999995</v>
      </c>
      <c r="U588" s="39"/>
      <c r="V588" s="40"/>
      <c r="W588" s="39"/>
      <c r="X588" s="40"/>
      <c r="Y588" s="39"/>
      <c r="Z588" s="40"/>
      <c r="AA588" s="39"/>
      <c r="AB588" s="40"/>
      <c r="AC588" s="39"/>
      <c r="AD588" s="40"/>
      <c r="AE588" s="39"/>
      <c r="AF588" s="40"/>
      <c r="AG588" s="39"/>
      <c r="AH588" s="40"/>
      <c r="AI588" s="39"/>
      <c r="AJ588" s="40"/>
      <c r="AK588" s="39"/>
      <c r="AL588" s="40"/>
      <c r="AM588" s="39"/>
      <c r="AN588" s="40"/>
      <c r="AO588" s="39"/>
      <c r="AP588" s="40"/>
      <c r="AQ588" s="84">
        <f t="shared" si="84"/>
        <v>15</v>
      </c>
      <c r="AR588" s="80">
        <v>518.39</v>
      </c>
      <c r="AS588" s="178">
        <f t="shared" si="86"/>
        <v>7775.8499999999995</v>
      </c>
    </row>
    <row r="589" spans="1:45" ht="28.5" hidden="1">
      <c r="A589" s="67">
        <v>563</v>
      </c>
      <c r="B589" s="37" t="s">
        <v>659</v>
      </c>
      <c r="C589" s="53" t="s">
        <v>1250</v>
      </c>
      <c r="D589" s="37">
        <v>295</v>
      </c>
      <c r="E589" s="37" t="s">
        <v>658</v>
      </c>
      <c r="F589" s="110" t="s">
        <v>12</v>
      </c>
      <c r="G589" s="125"/>
      <c r="H589" s="125"/>
      <c r="I589" s="125"/>
      <c r="J589" s="125"/>
      <c r="K589" s="126"/>
      <c r="L589" s="127"/>
      <c r="M589" s="128"/>
      <c r="N589" s="125"/>
      <c r="O589" s="126"/>
      <c r="P589" s="125"/>
      <c r="Q589" s="128"/>
      <c r="R589" s="125"/>
      <c r="S589" s="110">
        <v>20</v>
      </c>
      <c r="T589" s="40">
        <f t="shared" si="85"/>
        <v>83400</v>
      </c>
      <c r="U589" s="39"/>
      <c r="V589" s="40"/>
      <c r="W589" s="39"/>
      <c r="X589" s="40"/>
      <c r="Y589" s="39"/>
      <c r="Z589" s="40"/>
      <c r="AA589" s="39"/>
      <c r="AB589" s="40"/>
      <c r="AC589" s="39"/>
      <c r="AD589" s="40"/>
      <c r="AE589" s="39"/>
      <c r="AF589" s="40"/>
      <c r="AG589" s="39"/>
      <c r="AH589" s="40"/>
      <c r="AI589" s="39"/>
      <c r="AJ589" s="40"/>
      <c r="AK589" s="39"/>
      <c r="AL589" s="40"/>
      <c r="AM589" s="39"/>
      <c r="AN589" s="40"/>
      <c r="AO589" s="39"/>
      <c r="AP589" s="40"/>
      <c r="AQ589" s="84">
        <f t="shared" si="84"/>
        <v>20</v>
      </c>
      <c r="AR589" s="80">
        <v>4170</v>
      </c>
      <c r="AS589" s="178">
        <f t="shared" si="86"/>
        <v>83400</v>
      </c>
    </row>
    <row r="590" spans="1:45" ht="28.5" hidden="1">
      <c r="A590" s="71">
        <v>564</v>
      </c>
      <c r="B590" s="37" t="s">
        <v>657</v>
      </c>
      <c r="C590" s="53" t="s">
        <v>1250</v>
      </c>
      <c r="D590" s="37">
        <v>295</v>
      </c>
      <c r="E590" s="37" t="s">
        <v>656</v>
      </c>
      <c r="F590" s="110" t="s">
        <v>12</v>
      </c>
      <c r="G590" s="125"/>
      <c r="H590" s="125"/>
      <c r="I590" s="125"/>
      <c r="J590" s="125"/>
      <c r="K590" s="126"/>
      <c r="L590" s="127"/>
      <c r="M590" s="128"/>
      <c r="N590" s="125"/>
      <c r="O590" s="126"/>
      <c r="P590" s="125"/>
      <c r="Q590" s="128"/>
      <c r="R590" s="125"/>
      <c r="S590" s="110">
        <v>10</v>
      </c>
      <c r="T590" s="40">
        <f t="shared" si="85"/>
        <v>41700</v>
      </c>
      <c r="U590" s="39"/>
      <c r="V590" s="40"/>
      <c r="W590" s="39"/>
      <c r="X590" s="40"/>
      <c r="Y590" s="39"/>
      <c r="Z590" s="40"/>
      <c r="AA590" s="39"/>
      <c r="AB590" s="40"/>
      <c r="AC590" s="39"/>
      <c r="AD590" s="40"/>
      <c r="AE590" s="39"/>
      <c r="AF590" s="40"/>
      <c r="AG590" s="39"/>
      <c r="AH590" s="40"/>
      <c r="AI590" s="39"/>
      <c r="AJ590" s="40"/>
      <c r="AK590" s="39"/>
      <c r="AL590" s="40"/>
      <c r="AM590" s="39"/>
      <c r="AN590" s="40"/>
      <c r="AO590" s="39"/>
      <c r="AP590" s="40"/>
      <c r="AQ590" s="84">
        <f t="shared" si="84"/>
        <v>10</v>
      </c>
      <c r="AR590" s="80">
        <v>4170</v>
      </c>
      <c r="AS590" s="178">
        <f t="shared" si="86"/>
        <v>41700</v>
      </c>
    </row>
    <row r="591" spans="1:45" ht="28.5" hidden="1">
      <c r="A591" s="67">
        <v>565</v>
      </c>
      <c r="B591" s="37" t="s">
        <v>655</v>
      </c>
      <c r="C591" s="53" t="s">
        <v>1250</v>
      </c>
      <c r="D591" s="37">
        <v>295</v>
      </c>
      <c r="E591" s="37" t="s">
        <v>654</v>
      </c>
      <c r="F591" s="110" t="s">
        <v>12</v>
      </c>
      <c r="G591" s="125"/>
      <c r="H591" s="125"/>
      <c r="I591" s="125"/>
      <c r="J591" s="125"/>
      <c r="K591" s="126"/>
      <c r="L591" s="127"/>
      <c r="M591" s="128"/>
      <c r="N591" s="125"/>
      <c r="O591" s="126"/>
      <c r="P591" s="125"/>
      <c r="Q591" s="128"/>
      <c r="R591" s="125"/>
      <c r="S591" s="110">
        <v>2</v>
      </c>
      <c r="T591" s="40">
        <f t="shared" si="85"/>
        <v>1741.78</v>
      </c>
      <c r="U591" s="39"/>
      <c r="V591" s="40"/>
      <c r="W591" s="39"/>
      <c r="X591" s="40"/>
      <c r="Y591" s="39"/>
      <c r="Z591" s="40"/>
      <c r="AA591" s="39"/>
      <c r="AB591" s="40"/>
      <c r="AC591" s="39"/>
      <c r="AD591" s="40"/>
      <c r="AE591" s="39"/>
      <c r="AF591" s="40"/>
      <c r="AG591" s="39"/>
      <c r="AH591" s="40"/>
      <c r="AI591" s="39"/>
      <c r="AJ591" s="40"/>
      <c r="AK591" s="39"/>
      <c r="AL591" s="40"/>
      <c r="AM591" s="39"/>
      <c r="AN591" s="40"/>
      <c r="AO591" s="39"/>
      <c r="AP591" s="40"/>
      <c r="AQ591" s="84">
        <f t="shared" si="84"/>
        <v>2</v>
      </c>
      <c r="AR591" s="80">
        <v>870.89</v>
      </c>
      <c r="AS591" s="178">
        <f t="shared" si="86"/>
        <v>1741.78</v>
      </c>
    </row>
    <row r="592" spans="1:45" ht="28.5" hidden="1">
      <c r="A592" s="71">
        <v>566</v>
      </c>
      <c r="B592" s="37" t="s">
        <v>653</v>
      </c>
      <c r="C592" s="53" t="s">
        <v>1250</v>
      </c>
      <c r="D592" s="37">
        <v>295</v>
      </c>
      <c r="E592" s="37" t="s">
        <v>652</v>
      </c>
      <c r="F592" s="110" t="s">
        <v>12</v>
      </c>
      <c r="G592" s="125"/>
      <c r="H592" s="125"/>
      <c r="I592" s="125"/>
      <c r="J592" s="125"/>
      <c r="K592" s="126"/>
      <c r="L592" s="127"/>
      <c r="M592" s="128"/>
      <c r="N592" s="125"/>
      <c r="O592" s="126"/>
      <c r="P592" s="125"/>
      <c r="Q592" s="128"/>
      <c r="R592" s="125"/>
      <c r="S592" s="110">
        <v>10</v>
      </c>
      <c r="T592" s="40">
        <f t="shared" si="85"/>
        <v>2250</v>
      </c>
      <c r="U592" s="39"/>
      <c r="V592" s="40"/>
      <c r="W592" s="39"/>
      <c r="X592" s="40"/>
      <c r="Y592" s="39"/>
      <c r="Z592" s="40"/>
      <c r="AA592" s="39"/>
      <c r="AB592" s="40"/>
      <c r="AC592" s="39"/>
      <c r="AD592" s="40"/>
      <c r="AE592" s="39"/>
      <c r="AF592" s="40"/>
      <c r="AG592" s="39"/>
      <c r="AH592" s="40"/>
      <c r="AI592" s="39"/>
      <c r="AJ592" s="40"/>
      <c r="AK592" s="39"/>
      <c r="AL592" s="40"/>
      <c r="AM592" s="39"/>
      <c r="AN592" s="40"/>
      <c r="AO592" s="39"/>
      <c r="AP592" s="40"/>
      <c r="AQ592" s="84">
        <f t="shared" si="84"/>
        <v>10</v>
      </c>
      <c r="AR592" s="80">
        <v>225</v>
      </c>
      <c r="AS592" s="178">
        <f t="shared" si="86"/>
        <v>2250</v>
      </c>
    </row>
    <row r="593" spans="1:45" ht="28.5" hidden="1">
      <c r="A593" s="67">
        <v>567</v>
      </c>
      <c r="B593" s="37" t="s">
        <v>651</v>
      </c>
      <c r="C593" s="53" t="s">
        <v>1250</v>
      </c>
      <c r="D593" s="37">
        <v>295</v>
      </c>
      <c r="E593" s="37" t="s">
        <v>650</v>
      </c>
      <c r="F593" s="110" t="s">
        <v>12</v>
      </c>
      <c r="G593" s="125"/>
      <c r="H593" s="125"/>
      <c r="I593" s="125"/>
      <c r="J593" s="125"/>
      <c r="K593" s="126"/>
      <c r="L593" s="127"/>
      <c r="M593" s="128"/>
      <c r="N593" s="125"/>
      <c r="O593" s="126"/>
      <c r="P593" s="125"/>
      <c r="Q593" s="128"/>
      <c r="R593" s="125"/>
      <c r="S593" s="110">
        <v>10</v>
      </c>
      <c r="T593" s="40">
        <f t="shared" si="85"/>
        <v>13800</v>
      </c>
      <c r="U593" s="39"/>
      <c r="V593" s="40"/>
      <c r="W593" s="39"/>
      <c r="X593" s="40"/>
      <c r="Y593" s="39"/>
      <c r="Z593" s="40"/>
      <c r="AA593" s="39"/>
      <c r="AB593" s="40"/>
      <c r="AC593" s="39"/>
      <c r="AD593" s="40"/>
      <c r="AE593" s="39"/>
      <c r="AF593" s="40"/>
      <c r="AG593" s="39"/>
      <c r="AH593" s="40"/>
      <c r="AI593" s="39"/>
      <c r="AJ593" s="40"/>
      <c r="AK593" s="39"/>
      <c r="AL593" s="40"/>
      <c r="AM593" s="39"/>
      <c r="AN593" s="40"/>
      <c r="AO593" s="39"/>
      <c r="AP593" s="40"/>
      <c r="AQ593" s="84">
        <f t="shared" si="84"/>
        <v>10</v>
      </c>
      <c r="AR593" s="80">
        <v>1380</v>
      </c>
      <c r="AS593" s="178">
        <f t="shared" si="86"/>
        <v>13800</v>
      </c>
    </row>
    <row r="594" spans="1:45" ht="28.5" hidden="1">
      <c r="A594" s="71">
        <v>568</v>
      </c>
      <c r="B594" s="37" t="s">
        <v>649</v>
      </c>
      <c r="C594" s="53" t="s">
        <v>1250</v>
      </c>
      <c r="D594" s="37">
        <v>295</v>
      </c>
      <c r="E594" s="37" t="s">
        <v>648</v>
      </c>
      <c r="F594" s="110" t="s">
        <v>12</v>
      </c>
      <c r="G594" s="125"/>
      <c r="H594" s="125"/>
      <c r="I594" s="125"/>
      <c r="J594" s="125"/>
      <c r="K594" s="126"/>
      <c r="L594" s="127"/>
      <c r="M594" s="128"/>
      <c r="N594" s="125"/>
      <c r="O594" s="126"/>
      <c r="P594" s="125"/>
      <c r="Q594" s="128"/>
      <c r="R594" s="125"/>
      <c r="S594" s="110">
        <v>10</v>
      </c>
      <c r="T594" s="40">
        <f t="shared" si="85"/>
        <v>6318</v>
      </c>
      <c r="U594" s="39"/>
      <c r="V594" s="40"/>
      <c r="W594" s="39"/>
      <c r="X594" s="40"/>
      <c r="Y594" s="39"/>
      <c r="Z594" s="40"/>
      <c r="AA594" s="39"/>
      <c r="AB594" s="40"/>
      <c r="AC594" s="39"/>
      <c r="AD594" s="40"/>
      <c r="AE594" s="39"/>
      <c r="AF594" s="40"/>
      <c r="AG594" s="39"/>
      <c r="AH594" s="40"/>
      <c r="AI594" s="39"/>
      <c r="AJ594" s="40"/>
      <c r="AK594" s="39"/>
      <c r="AL594" s="40"/>
      <c r="AM594" s="39"/>
      <c r="AN594" s="40"/>
      <c r="AO594" s="39"/>
      <c r="AP594" s="40"/>
      <c r="AQ594" s="84">
        <f t="shared" si="84"/>
        <v>10</v>
      </c>
      <c r="AR594" s="80">
        <v>631.79999999999995</v>
      </c>
      <c r="AS594" s="178">
        <f t="shared" si="86"/>
        <v>6318</v>
      </c>
    </row>
    <row r="595" spans="1:45" ht="28.5" hidden="1">
      <c r="A595" s="67">
        <v>569</v>
      </c>
      <c r="B595" s="37" t="s">
        <v>647</v>
      </c>
      <c r="C595" s="53" t="s">
        <v>1250</v>
      </c>
      <c r="D595" s="37">
        <v>295</v>
      </c>
      <c r="E595" s="37" t="s">
        <v>646</v>
      </c>
      <c r="F595" s="110" t="s">
        <v>12</v>
      </c>
      <c r="G595" s="125"/>
      <c r="H595" s="125"/>
      <c r="I595" s="125"/>
      <c r="J595" s="125"/>
      <c r="K595" s="126"/>
      <c r="L595" s="127"/>
      <c r="M595" s="128"/>
      <c r="N595" s="125"/>
      <c r="O595" s="126"/>
      <c r="P595" s="125"/>
      <c r="Q595" s="128"/>
      <c r="R595" s="125"/>
      <c r="S595" s="110">
        <v>20</v>
      </c>
      <c r="T595" s="40">
        <f t="shared" si="85"/>
        <v>4648</v>
      </c>
      <c r="U595" s="39"/>
      <c r="V595" s="40"/>
      <c r="W595" s="39"/>
      <c r="X595" s="40"/>
      <c r="Y595" s="39"/>
      <c r="Z595" s="40"/>
      <c r="AA595" s="39"/>
      <c r="AB595" s="40"/>
      <c r="AC595" s="39"/>
      <c r="AD595" s="40"/>
      <c r="AE595" s="39"/>
      <c r="AF595" s="40"/>
      <c r="AG595" s="39"/>
      <c r="AH595" s="40"/>
      <c r="AI595" s="39"/>
      <c r="AJ595" s="40"/>
      <c r="AK595" s="39"/>
      <c r="AL595" s="40"/>
      <c r="AM595" s="39"/>
      <c r="AN595" s="40"/>
      <c r="AO595" s="39"/>
      <c r="AP595" s="40"/>
      <c r="AQ595" s="84">
        <f t="shared" si="84"/>
        <v>20</v>
      </c>
      <c r="AR595" s="80">
        <v>232.4</v>
      </c>
      <c r="AS595" s="178">
        <f t="shared" si="86"/>
        <v>4648</v>
      </c>
    </row>
    <row r="596" spans="1:45" ht="28.5" hidden="1">
      <c r="A596" s="71">
        <v>570</v>
      </c>
      <c r="B596" s="37" t="s">
        <v>645</v>
      </c>
      <c r="C596" s="53" t="s">
        <v>1250</v>
      </c>
      <c r="D596" s="37">
        <v>295</v>
      </c>
      <c r="E596" s="37" t="s">
        <v>644</v>
      </c>
      <c r="F596" s="110" t="s">
        <v>12</v>
      </c>
      <c r="G596" s="125"/>
      <c r="H596" s="125"/>
      <c r="I596" s="125"/>
      <c r="J596" s="125"/>
      <c r="K596" s="126"/>
      <c r="L596" s="127"/>
      <c r="M596" s="128"/>
      <c r="N596" s="125"/>
      <c r="O596" s="126"/>
      <c r="P596" s="125"/>
      <c r="Q596" s="128"/>
      <c r="R596" s="125"/>
      <c r="S596" s="110">
        <v>20</v>
      </c>
      <c r="T596" s="40">
        <f t="shared" si="85"/>
        <v>360</v>
      </c>
      <c r="U596" s="39"/>
      <c r="V596" s="40"/>
      <c r="W596" s="39"/>
      <c r="X596" s="40"/>
      <c r="Y596" s="39"/>
      <c r="Z596" s="40"/>
      <c r="AA596" s="39"/>
      <c r="AB596" s="40"/>
      <c r="AC596" s="39"/>
      <c r="AD596" s="40"/>
      <c r="AE596" s="39"/>
      <c r="AF596" s="40"/>
      <c r="AG596" s="39"/>
      <c r="AH596" s="40"/>
      <c r="AI596" s="39"/>
      <c r="AJ596" s="40"/>
      <c r="AK596" s="39"/>
      <c r="AL596" s="40"/>
      <c r="AM596" s="39"/>
      <c r="AN596" s="40"/>
      <c r="AO596" s="39"/>
      <c r="AP596" s="40"/>
      <c r="AQ596" s="84">
        <f t="shared" si="84"/>
        <v>20</v>
      </c>
      <c r="AR596" s="80">
        <v>18</v>
      </c>
      <c r="AS596" s="178">
        <f t="shared" si="86"/>
        <v>360</v>
      </c>
    </row>
    <row r="597" spans="1:45" ht="28.5" hidden="1">
      <c r="A597" s="67">
        <v>571</v>
      </c>
      <c r="B597" s="37" t="s">
        <v>643</v>
      </c>
      <c r="C597" s="53" t="s">
        <v>1250</v>
      </c>
      <c r="D597" s="37">
        <v>295</v>
      </c>
      <c r="E597" s="37" t="s">
        <v>642</v>
      </c>
      <c r="F597" s="110" t="s">
        <v>12</v>
      </c>
      <c r="G597" s="125"/>
      <c r="H597" s="125"/>
      <c r="I597" s="125"/>
      <c r="J597" s="125"/>
      <c r="K597" s="126"/>
      <c r="L597" s="127"/>
      <c r="M597" s="128"/>
      <c r="N597" s="125"/>
      <c r="O597" s="126"/>
      <c r="P597" s="125"/>
      <c r="Q597" s="128"/>
      <c r="R597" s="125"/>
      <c r="S597" s="110">
        <v>5</v>
      </c>
      <c r="T597" s="40">
        <f t="shared" si="85"/>
        <v>3225</v>
      </c>
      <c r="U597" s="39"/>
      <c r="V597" s="40"/>
      <c r="W597" s="39"/>
      <c r="X597" s="40"/>
      <c r="Y597" s="39"/>
      <c r="Z597" s="40"/>
      <c r="AA597" s="39"/>
      <c r="AB597" s="40"/>
      <c r="AC597" s="39"/>
      <c r="AD597" s="40"/>
      <c r="AE597" s="39"/>
      <c r="AF597" s="40"/>
      <c r="AG597" s="39"/>
      <c r="AH597" s="40"/>
      <c r="AI597" s="39"/>
      <c r="AJ597" s="40"/>
      <c r="AK597" s="39"/>
      <c r="AL597" s="40"/>
      <c r="AM597" s="39"/>
      <c r="AN597" s="40"/>
      <c r="AO597" s="39"/>
      <c r="AP597" s="40"/>
      <c r="AQ597" s="84">
        <f t="shared" si="84"/>
        <v>5</v>
      </c>
      <c r="AR597" s="80">
        <v>645</v>
      </c>
      <c r="AS597" s="178">
        <f t="shared" si="86"/>
        <v>3225</v>
      </c>
    </row>
    <row r="598" spans="1:45" ht="28.5" hidden="1">
      <c r="A598" s="71">
        <v>572</v>
      </c>
      <c r="B598" s="37" t="s">
        <v>641</v>
      </c>
      <c r="C598" s="53" t="s">
        <v>1250</v>
      </c>
      <c r="D598" s="37">
        <v>295</v>
      </c>
      <c r="E598" s="37" t="s">
        <v>640</v>
      </c>
      <c r="F598" s="110" t="s">
        <v>12</v>
      </c>
      <c r="G598" s="125"/>
      <c r="H598" s="125"/>
      <c r="I598" s="125"/>
      <c r="J598" s="125"/>
      <c r="K598" s="126"/>
      <c r="L598" s="127"/>
      <c r="M598" s="128"/>
      <c r="N598" s="125"/>
      <c r="O598" s="126"/>
      <c r="P598" s="125"/>
      <c r="Q598" s="128"/>
      <c r="R598" s="125"/>
      <c r="S598" s="110">
        <v>5</v>
      </c>
      <c r="T598" s="40">
        <f t="shared" si="85"/>
        <v>1350</v>
      </c>
      <c r="U598" s="39"/>
      <c r="V598" s="40"/>
      <c r="W598" s="39"/>
      <c r="X598" s="40"/>
      <c r="Y598" s="39"/>
      <c r="Z598" s="40"/>
      <c r="AA598" s="39"/>
      <c r="AB598" s="40"/>
      <c r="AC598" s="39"/>
      <c r="AD598" s="40"/>
      <c r="AE598" s="39"/>
      <c r="AF598" s="40"/>
      <c r="AG598" s="39"/>
      <c r="AH598" s="40"/>
      <c r="AI598" s="39"/>
      <c r="AJ598" s="40"/>
      <c r="AK598" s="39"/>
      <c r="AL598" s="40"/>
      <c r="AM598" s="39"/>
      <c r="AN598" s="40"/>
      <c r="AO598" s="39"/>
      <c r="AP598" s="40"/>
      <c r="AQ598" s="84">
        <f t="shared" si="84"/>
        <v>5</v>
      </c>
      <c r="AR598" s="80">
        <v>270</v>
      </c>
      <c r="AS598" s="178">
        <f t="shared" si="86"/>
        <v>1350</v>
      </c>
    </row>
    <row r="599" spans="1:45" ht="28.5" hidden="1">
      <c r="A599" s="67">
        <v>573</v>
      </c>
      <c r="B599" s="37" t="s">
        <v>639</v>
      </c>
      <c r="C599" s="53" t="s">
        <v>1250</v>
      </c>
      <c r="D599" s="37">
        <v>295</v>
      </c>
      <c r="E599" s="37" t="s">
        <v>638</v>
      </c>
      <c r="F599" s="110" t="s">
        <v>12</v>
      </c>
      <c r="G599" s="125"/>
      <c r="H599" s="125"/>
      <c r="I599" s="125"/>
      <c r="J599" s="125"/>
      <c r="K599" s="126"/>
      <c r="L599" s="127"/>
      <c r="M599" s="128"/>
      <c r="N599" s="125"/>
      <c r="O599" s="126"/>
      <c r="P599" s="125"/>
      <c r="Q599" s="128"/>
      <c r="R599" s="125"/>
      <c r="S599" s="110">
        <v>15</v>
      </c>
      <c r="T599" s="40">
        <f t="shared" si="85"/>
        <v>3159</v>
      </c>
      <c r="U599" s="39"/>
      <c r="V599" s="40"/>
      <c r="W599" s="39"/>
      <c r="X599" s="40"/>
      <c r="Y599" s="39"/>
      <c r="Z599" s="40"/>
      <c r="AA599" s="39"/>
      <c r="AB599" s="40"/>
      <c r="AC599" s="39"/>
      <c r="AD599" s="40"/>
      <c r="AE599" s="39"/>
      <c r="AF599" s="40"/>
      <c r="AG599" s="39"/>
      <c r="AH599" s="40"/>
      <c r="AI599" s="39"/>
      <c r="AJ599" s="40"/>
      <c r="AK599" s="39"/>
      <c r="AL599" s="40"/>
      <c r="AM599" s="39"/>
      <c r="AN599" s="40"/>
      <c r="AO599" s="39"/>
      <c r="AP599" s="40"/>
      <c r="AQ599" s="84">
        <f t="shared" si="84"/>
        <v>15</v>
      </c>
      <c r="AR599" s="80">
        <v>210.6</v>
      </c>
      <c r="AS599" s="178">
        <f t="shared" si="86"/>
        <v>3159</v>
      </c>
    </row>
    <row r="600" spans="1:45" ht="28.5" hidden="1">
      <c r="A600" s="71">
        <v>574</v>
      </c>
      <c r="B600" s="37" t="s">
        <v>637</v>
      </c>
      <c r="C600" s="53" t="s">
        <v>1250</v>
      </c>
      <c r="D600" s="37">
        <v>295</v>
      </c>
      <c r="E600" s="37" t="s">
        <v>636</v>
      </c>
      <c r="F600" s="110" t="s">
        <v>12</v>
      </c>
      <c r="G600" s="125"/>
      <c r="H600" s="125"/>
      <c r="I600" s="125"/>
      <c r="J600" s="125"/>
      <c r="K600" s="126"/>
      <c r="L600" s="127"/>
      <c r="M600" s="128"/>
      <c r="N600" s="125"/>
      <c r="O600" s="126"/>
      <c r="P600" s="125"/>
      <c r="Q600" s="128"/>
      <c r="R600" s="125"/>
      <c r="S600" s="110">
        <v>30</v>
      </c>
      <c r="T600" s="40">
        <f t="shared" si="85"/>
        <v>1800</v>
      </c>
      <c r="U600" s="39"/>
      <c r="V600" s="40"/>
      <c r="W600" s="39"/>
      <c r="X600" s="40"/>
      <c r="Y600" s="39"/>
      <c r="Z600" s="40"/>
      <c r="AA600" s="39"/>
      <c r="AB600" s="40"/>
      <c r="AC600" s="39"/>
      <c r="AD600" s="40"/>
      <c r="AE600" s="39"/>
      <c r="AF600" s="40"/>
      <c r="AG600" s="39"/>
      <c r="AH600" s="40"/>
      <c r="AI600" s="39"/>
      <c r="AJ600" s="40"/>
      <c r="AK600" s="39"/>
      <c r="AL600" s="40"/>
      <c r="AM600" s="39"/>
      <c r="AN600" s="40"/>
      <c r="AO600" s="39"/>
      <c r="AP600" s="40"/>
      <c r="AQ600" s="84">
        <f t="shared" si="84"/>
        <v>30</v>
      </c>
      <c r="AR600" s="80">
        <v>60</v>
      </c>
      <c r="AS600" s="178">
        <f t="shared" si="86"/>
        <v>1800</v>
      </c>
    </row>
    <row r="601" spans="1:45" ht="28.5" hidden="1">
      <c r="A601" s="67">
        <v>575</v>
      </c>
      <c r="B601" s="37" t="s">
        <v>635</v>
      </c>
      <c r="C601" s="53" t="s">
        <v>1250</v>
      </c>
      <c r="D601" s="37">
        <v>295</v>
      </c>
      <c r="E601" s="37" t="s">
        <v>634</v>
      </c>
      <c r="F601" s="110" t="s">
        <v>12</v>
      </c>
      <c r="G601" s="125"/>
      <c r="H601" s="125"/>
      <c r="I601" s="125"/>
      <c r="J601" s="125"/>
      <c r="K601" s="126"/>
      <c r="L601" s="127"/>
      <c r="M601" s="128"/>
      <c r="N601" s="125"/>
      <c r="O601" s="126"/>
      <c r="P601" s="125"/>
      <c r="Q601" s="128"/>
      <c r="R601" s="125"/>
      <c r="S601" s="110">
        <v>30</v>
      </c>
      <c r="T601" s="40">
        <f t="shared" si="85"/>
        <v>1800</v>
      </c>
      <c r="U601" s="39"/>
      <c r="V601" s="40"/>
      <c r="W601" s="39"/>
      <c r="X601" s="40"/>
      <c r="Y601" s="39"/>
      <c r="Z601" s="40"/>
      <c r="AA601" s="39"/>
      <c r="AB601" s="40"/>
      <c r="AC601" s="39"/>
      <c r="AD601" s="40"/>
      <c r="AE601" s="39"/>
      <c r="AF601" s="40"/>
      <c r="AG601" s="39"/>
      <c r="AH601" s="40"/>
      <c r="AI601" s="39"/>
      <c r="AJ601" s="40"/>
      <c r="AK601" s="39"/>
      <c r="AL601" s="40"/>
      <c r="AM601" s="39"/>
      <c r="AN601" s="40"/>
      <c r="AO601" s="39"/>
      <c r="AP601" s="40"/>
      <c r="AQ601" s="84">
        <f t="shared" si="84"/>
        <v>30</v>
      </c>
      <c r="AR601" s="80">
        <v>60</v>
      </c>
      <c r="AS601" s="178">
        <f t="shared" si="86"/>
        <v>1800</v>
      </c>
    </row>
    <row r="602" spans="1:45" ht="28.5" hidden="1">
      <c r="A602" s="71">
        <v>576</v>
      </c>
      <c r="B602" s="37" t="s">
        <v>633</v>
      </c>
      <c r="C602" s="53" t="s">
        <v>1250</v>
      </c>
      <c r="D602" s="37">
        <v>295</v>
      </c>
      <c r="E602" s="37" t="s">
        <v>632</v>
      </c>
      <c r="F602" s="110" t="s">
        <v>12</v>
      </c>
      <c r="G602" s="125"/>
      <c r="H602" s="125"/>
      <c r="I602" s="125"/>
      <c r="J602" s="125"/>
      <c r="K602" s="126"/>
      <c r="L602" s="127"/>
      <c r="M602" s="128"/>
      <c r="N602" s="125"/>
      <c r="O602" s="126"/>
      <c r="P602" s="125"/>
      <c r="Q602" s="128"/>
      <c r="R602" s="125"/>
      <c r="S602" s="110">
        <v>50</v>
      </c>
      <c r="T602" s="40">
        <f t="shared" si="85"/>
        <v>3000</v>
      </c>
      <c r="U602" s="39"/>
      <c r="V602" s="40"/>
      <c r="W602" s="39"/>
      <c r="X602" s="40"/>
      <c r="Y602" s="39"/>
      <c r="Z602" s="40"/>
      <c r="AA602" s="39"/>
      <c r="AB602" s="40"/>
      <c r="AC602" s="39"/>
      <c r="AD602" s="40"/>
      <c r="AE602" s="39"/>
      <c r="AF602" s="40"/>
      <c r="AG602" s="39"/>
      <c r="AH602" s="40"/>
      <c r="AI602" s="39"/>
      <c r="AJ602" s="40"/>
      <c r="AK602" s="39"/>
      <c r="AL602" s="40"/>
      <c r="AM602" s="39"/>
      <c r="AN602" s="40"/>
      <c r="AO602" s="39"/>
      <c r="AP602" s="40"/>
      <c r="AQ602" s="84">
        <f t="shared" si="84"/>
        <v>50</v>
      </c>
      <c r="AR602" s="80">
        <v>60</v>
      </c>
      <c r="AS602" s="178">
        <f t="shared" si="86"/>
        <v>3000</v>
      </c>
    </row>
    <row r="603" spans="1:45" ht="28.5" hidden="1">
      <c r="A603" s="67">
        <v>577</v>
      </c>
      <c r="B603" s="37" t="s">
        <v>631</v>
      </c>
      <c r="C603" s="53" t="s">
        <v>1250</v>
      </c>
      <c r="D603" s="37">
        <v>295</v>
      </c>
      <c r="E603" s="37" t="s">
        <v>630</v>
      </c>
      <c r="F603" s="110" t="s">
        <v>12</v>
      </c>
      <c r="G603" s="125"/>
      <c r="H603" s="125"/>
      <c r="I603" s="125"/>
      <c r="J603" s="125"/>
      <c r="K603" s="126"/>
      <c r="L603" s="127"/>
      <c r="M603" s="128"/>
      <c r="N603" s="125"/>
      <c r="O603" s="126"/>
      <c r="P603" s="125"/>
      <c r="Q603" s="128"/>
      <c r="R603" s="125"/>
      <c r="S603" s="110">
        <v>50</v>
      </c>
      <c r="T603" s="40">
        <f t="shared" si="85"/>
        <v>6600</v>
      </c>
      <c r="U603" s="39"/>
      <c r="V603" s="40"/>
      <c r="W603" s="39"/>
      <c r="X603" s="40"/>
      <c r="Y603" s="39"/>
      <c r="Z603" s="40"/>
      <c r="AA603" s="39"/>
      <c r="AB603" s="40"/>
      <c r="AC603" s="39"/>
      <c r="AD603" s="40"/>
      <c r="AE603" s="39"/>
      <c r="AF603" s="40"/>
      <c r="AG603" s="39"/>
      <c r="AH603" s="40"/>
      <c r="AI603" s="39"/>
      <c r="AJ603" s="40"/>
      <c r="AK603" s="39"/>
      <c r="AL603" s="40"/>
      <c r="AM603" s="39"/>
      <c r="AN603" s="40"/>
      <c r="AO603" s="39"/>
      <c r="AP603" s="40"/>
      <c r="AQ603" s="84">
        <f t="shared" si="84"/>
        <v>50</v>
      </c>
      <c r="AR603" s="80">
        <v>132</v>
      </c>
      <c r="AS603" s="178">
        <f t="shared" si="86"/>
        <v>6600</v>
      </c>
    </row>
    <row r="604" spans="1:45" ht="28.5" hidden="1">
      <c r="A604" s="71">
        <v>578</v>
      </c>
      <c r="B604" s="37" t="s">
        <v>629</v>
      </c>
      <c r="C604" s="53" t="s">
        <v>1250</v>
      </c>
      <c r="D604" s="37">
        <v>295</v>
      </c>
      <c r="E604" s="37" t="s">
        <v>628</v>
      </c>
      <c r="F604" s="110" t="s">
        <v>12</v>
      </c>
      <c r="G604" s="125"/>
      <c r="H604" s="125"/>
      <c r="I604" s="125"/>
      <c r="J604" s="125"/>
      <c r="K604" s="126"/>
      <c r="L604" s="127"/>
      <c r="M604" s="128"/>
      <c r="N604" s="125"/>
      <c r="O604" s="126"/>
      <c r="P604" s="125"/>
      <c r="Q604" s="128"/>
      <c r="R604" s="125"/>
      <c r="S604" s="110">
        <v>50</v>
      </c>
      <c r="T604" s="40">
        <f t="shared" si="85"/>
        <v>6600</v>
      </c>
      <c r="U604" s="39"/>
      <c r="V604" s="40"/>
      <c r="W604" s="39"/>
      <c r="X604" s="40"/>
      <c r="Y604" s="39"/>
      <c r="Z604" s="40"/>
      <c r="AA604" s="39"/>
      <c r="AB604" s="40"/>
      <c r="AC604" s="39"/>
      <c r="AD604" s="40"/>
      <c r="AE604" s="39"/>
      <c r="AF604" s="40"/>
      <c r="AG604" s="39"/>
      <c r="AH604" s="40"/>
      <c r="AI604" s="39"/>
      <c r="AJ604" s="40"/>
      <c r="AK604" s="39"/>
      <c r="AL604" s="40"/>
      <c r="AM604" s="39"/>
      <c r="AN604" s="40"/>
      <c r="AO604" s="39"/>
      <c r="AP604" s="40"/>
      <c r="AQ604" s="84">
        <f t="shared" si="84"/>
        <v>50</v>
      </c>
      <c r="AR604" s="80">
        <v>132</v>
      </c>
      <c r="AS604" s="178">
        <f t="shared" si="86"/>
        <v>6600</v>
      </c>
    </row>
    <row r="605" spans="1:45" ht="28.5" hidden="1">
      <c r="A605" s="67">
        <v>579</v>
      </c>
      <c r="B605" s="37" t="s">
        <v>627</v>
      </c>
      <c r="C605" s="53" t="s">
        <v>1250</v>
      </c>
      <c r="D605" s="37">
        <v>295</v>
      </c>
      <c r="E605" s="37" t="s">
        <v>626</v>
      </c>
      <c r="F605" s="110" t="s">
        <v>12</v>
      </c>
      <c r="G605" s="125"/>
      <c r="H605" s="125"/>
      <c r="I605" s="125"/>
      <c r="J605" s="125"/>
      <c r="K605" s="126"/>
      <c r="L605" s="127"/>
      <c r="M605" s="128"/>
      <c r="N605" s="125"/>
      <c r="O605" s="126"/>
      <c r="P605" s="125"/>
      <c r="Q605" s="128"/>
      <c r="R605" s="125"/>
      <c r="S605" s="110">
        <v>50</v>
      </c>
      <c r="T605" s="40">
        <f t="shared" si="85"/>
        <v>6600</v>
      </c>
      <c r="U605" s="39"/>
      <c r="V605" s="40"/>
      <c r="W605" s="39"/>
      <c r="X605" s="40"/>
      <c r="Y605" s="39"/>
      <c r="Z605" s="40"/>
      <c r="AA605" s="39"/>
      <c r="AB605" s="40"/>
      <c r="AC605" s="39"/>
      <c r="AD605" s="40"/>
      <c r="AE605" s="39"/>
      <c r="AF605" s="40"/>
      <c r="AG605" s="39"/>
      <c r="AH605" s="40"/>
      <c r="AI605" s="39"/>
      <c r="AJ605" s="40"/>
      <c r="AK605" s="39"/>
      <c r="AL605" s="40"/>
      <c r="AM605" s="39"/>
      <c r="AN605" s="40"/>
      <c r="AO605" s="39"/>
      <c r="AP605" s="40"/>
      <c r="AQ605" s="84">
        <f t="shared" si="84"/>
        <v>50</v>
      </c>
      <c r="AR605" s="80">
        <v>132</v>
      </c>
      <c r="AS605" s="178">
        <f t="shared" si="86"/>
        <v>6600</v>
      </c>
    </row>
    <row r="606" spans="1:45" ht="28.5" hidden="1">
      <c r="A606" s="71">
        <v>580</v>
      </c>
      <c r="B606" s="37" t="s">
        <v>625</v>
      </c>
      <c r="C606" s="53" t="s">
        <v>1250</v>
      </c>
      <c r="D606" s="37">
        <v>295</v>
      </c>
      <c r="E606" s="37" t="s">
        <v>624</v>
      </c>
      <c r="F606" s="110" t="s">
        <v>12</v>
      </c>
      <c r="G606" s="125"/>
      <c r="H606" s="125"/>
      <c r="I606" s="125"/>
      <c r="J606" s="125"/>
      <c r="K606" s="126"/>
      <c r="L606" s="127"/>
      <c r="M606" s="128"/>
      <c r="N606" s="125"/>
      <c r="O606" s="126"/>
      <c r="P606" s="125"/>
      <c r="Q606" s="128"/>
      <c r="R606" s="125"/>
      <c r="S606" s="110">
        <v>50</v>
      </c>
      <c r="T606" s="40">
        <f t="shared" si="85"/>
        <v>87688.5</v>
      </c>
      <c r="U606" s="39"/>
      <c r="V606" s="40"/>
      <c r="W606" s="39"/>
      <c r="X606" s="40"/>
      <c r="Y606" s="39"/>
      <c r="Z606" s="40"/>
      <c r="AA606" s="39"/>
      <c r="AB606" s="40"/>
      <c r="AC606" s="39"/>
      <c r="AD606" s="40"/>
      <c r="AE606" s="39"/>
      <c r="AF606" s="40"/>
      <c r="AG606" s="39"/>
      <c r="AH606" s="40"/>
      <c r="AI606" s="39"/>
      <c r="AJ606" s="40"/>
      <c r="AK606" s="39"/>
      <c r="AL606" s="40"/>
      <c r="AM606" s="39"/>
      <c r="AN606" s="40"/>
      <c r="AO606" s="39"/>
      <c r="AP606" s="40"/>
      <c r="AQ606" s="84">
        <f t="shared" si="84"/>
        <v>50</v>
      </c>
      <c r="AR606" s="80">
        <v>1753.77</v>
      </c>
      <c r="AS606" s="178">
        <f t="shared" si="86"/>
        <v>87688.5</v>
      </c>
    </row>
    <row r="607" spans="1:45" ht="28.5" hidden="1">
      <c r="A607" s="67">
        <v>581</v>
      </c>
      <c r="B607" s="37" t="s">
        <v>623</v>
      </c>
      <c r="C607" s="53" t="s">
        <v>1250</v>
      </c>
      <c r="D607" s="37">
        <v>295</v>
      </c>
      <c r="E607" s="37" t="s">
        <v>622</v>
      </c>
      <c r="F607" s="110" t="s">
        <v>12</v>
      </c>
      <c r="G607" s="125"/>
      <c r="H607" s="125"/>
      <c r="I607" s="125"/>
      <c r="J607" s="125"/>
      <c r="K607" s="126"/>
      <c r="L607" s="127"/>
      <c r="M607" s="128"/>
      <c r="N607" s="125"/>
      <c r="O607" s="126"/>
      <c r="P607" s="125"/>
      <c r="Q607" s="128"/>
      <c r="R607" s="125"/>
      <c r="S607" s="110">
        <v>30</v>
      </c>
      <c r="T607" s="40">
        <f t="shared" si="85"/>
        <v>219644.69999999998</v>
      </c>
      <c r="U607" s="39"/>
      <c r="V607" s="40"/>
      <c r="W607" s="39"/>
      <c r="X607" s="40"/>
      <c r="Y607" s="39"/>
      <c r="Z607" s="40"/>
      <c r="AA607" s="39"/>
      <c r="AB607" s="40"/>
      <c r="AC607" s="39"/>
      <c r="AD607" s="40"/>
      <c r="AE607" s="39"/>
      <c r="AF607" s="40"/>
      <c r="AG607" s="39"/>
      <c r="AH607" s="40"/>
      <c r="AI607" s="39"/>
      <c r="AJ607" s="40"/>
      <c r="AK607" s="39"/>
      <c r="AL607" s="40"/>
      <c r="AM607" s="39"/>
      <c r="AN607" s="40"/>
      <c r="AO607" s="39"/>
      <c r="AP607" s="40"/>
      <c r="AQ607" s="84">
        <f t="shared" si="84"/>
        <v>30</v>
      </c>
      <c r="AR607" s="80">
        <v>7321.49</v>
      </c>
      <c r="AS607" s="178">
        <f t="shared" si="86"/>
        <v>219644.69999999998</v>
      </c>
    </row>
    <row r="608" spans="1:45" ht="28.5" hidden="1">
      <c r="A608" s="71">
        <v>582</v>
      </c>
      <c r="B608" s="37" t="s">
        <v>621</v>
      </c>
      <c r="C608" s="53" t="s">
        <v>1250</v>
      </c>
      <c r="D608" s="37">
        <v>295</v>
      </c>
      <c r="E608" s="37" t="s">
        <v>620</v>
      </c>
      <c r="F608" s="110" t="s">
        <v>12</v>
      </c>
      <c r="G608" s="125"/>
      <c r="H608" s="125"/>
      <c r="I608" s="125"/>
      <c r="J608" s="125"/>
      <c r="K608" s="126"/>
      <c r="L608" s="127"/>
      <c r="M608" s="128"/>
      <c r="N608" s="125"/>
      <c r="O608" s="126"/>
      <c r="P608" s="125"/>
      <c r="Q608" s="128"/>
      <c r="R608" s="125"/>
      <c r="S608" s="110">
        <v>30</v>
      </c>
      <c r="T608" s="40">
        <f t="shared" si="85"/>
        <v>26306.7</v>
      </c>
      <c r="U608" s="39"/>
      <c r="V608" s="40"/>
      <c r="W608" s="39"/>
      <c r="X608" s="40"/>
      <c r="Y608" s="39"/>
      <c r="Z608" s="40"/>
      <c r="AA608" s="39"/>
      <c r="AB608" s="40"/>
      <c r="AC608" s="39"/>
      <c r="AD608" s="40"/>
      <c r="AE608" s="39"/>
      <c r="AF608" s="40"/>
      <c r="AG608" s="39"/>
      <c r="AH608" s="40"/>
      <c r="AI608" s="39"/>
      <c r="AJ608" s="40"/>
      <c r="AK608" s="39"/>
      <c r="AL608" s="40"/>
      <c r="AM608" s="39"/>
      <c r="AN608" s="40"/>
      <c r="AO608" s="39"/>
      <c r="AP608" s="40"/>
      <c r="AQ608" s="84">
        <f t="shared" si="84"/>
        <v>30</v>
      </c>
      <c r="AR608" s="80">
        <v>876.89</v>
      </c>
      <c r="AS608" s="178">
        <f t="shared" si="86"/>
        <v>26306.7</v>
      </c>
    </row>
    <row r="609" spans="1:45" ht="28.5" hidden="1">
      <c r="A609" s="67">
        <v>583</v>
      </c>
      <c r="B609" s="37" t="s">
        <v>619</v>
      </c>
      <c r="C609" s="53" t="s">
        <v>1250</v>
      </c>
      <c r="D609" s="37">
        <v>295</v>
      </c>
      <c r="E609" s="37" t="s">
        <v>618</v>
      </c>
      <c r="F609" s="110" t="s">
        <v>12</v>
      </c>
      <c r="G609" s="125"/>
      <c r="H609" s="125"/>
      <c r="I609" s="125"/>
      <c r="J609" s="125"/>
      <c r="K609" s="126"/>
      <c r="L609" s="127"/>
      <c r="M609" s="128"/>
      <c r="N609" s="125"/>
      <c r="O609" s="126"/>
      <c r="P609" s="125"/>
      <c r="Q609" s="128"/>
      <c r="R609" s="125"/>
      <c r="S609" s="110">
        <v>30</v>
      </c>
      <c r="T609" s="40">
        <f t="shared" si="85"/>
        <v>23221.8</v>
      </c>
      <c r="U609" s="39"/>
      <c r="V609" s="40"/>
      <c r="W609" s="39"/>
      <c r="X609" s="40"/>
      <c r="Y609" s="39"/>
      <c r="Z609" s="40"/>
      <c r="AA609" s="39"/>
      <c r="AB609" s="40"/>
      <c r="AC609" s="39"/>
      <c r="AD609" s="40"/>
      <c r="AE609" s="39"/>
      <c r="AF609" s="40"/>
      <c r="AG609" s="39"/>
      <c r="AH609" s="40"/>
      <c r="AI609" s="39"/>
      <c r="AJ609" s="40"/>
      <c r="AK609" s="39"/>
      <c r="AL609" s="40"/>
      <c r="AM609" s="39"/>
      <c r="AN609" s="40"/>
      <c r="AO609" s="39"/>
      <c r="AP609" s="40"/>
      <c r="AQ609" s="84">
        <f t="shared" si="84"/>
        <v>30</v>
      </c>
      <c r="AR609" s="80">
        <v>774.06</v>
      </c>
      <c r="AS609" s="178">
        <f t="shared" si="86"/>
        <v>23221.8</v>
      </c>
    </row>
    <row r="610" spans="1:45" ht="28.5" hidden="1">
      <c r="A610" s="71">
        <v>584</v>
      </c>
      <c r="B610" s="37" t="s">
        <v>617</v>
      </c>
      <c r="C610" s="53" t="s">
        <v>1250</v>
      </c>
      <c r="D610" s="37">
        <v>295</v>
      </c>
      <c r="E610" s="37" t="s">
        <v>616</v>
      </c>
      <c r="F610" s="110" t="s">
        <v>12</v>
      </c>
      <c r="G610" s="125"/>
      <c r="H610" s="125"/>
      <c r="I610" s="125"/>
      <c r="J610" s="125"/>
      <c r="K610" s="126"/>
      <c r="L610" s="127"/>
      <c r="M610" s="128"/>
      <c r="N610" s="125"/>
      <c r="O610" s="126"/>
      <c r="P610" s="125"/>
      <c r="Q610" s="128"/>
      <c r="R610" s="125"/>
      <c r="S610" s="110">
        <v>2</v>
      </c>
      <c r="T610" s="40">
        <f t="shared" si="85"/>
        <v>842.44</v>
      </c>
      <c r="U610" s="39"/>
      <c r="V610" s="40"/>
      <c r="W610" s="39"/>
      <c r="X610" s="40"/>
      <c r="Y610" s="39"/>
      <c r="Z610" s="40"/>
      <c r="AA610" s="39"/>
      <c r="AB610" s="40"/>
      <c r="AC610" s="39"/>
      <c r="AD610" s="40"/>
      <c r="AE610" s="39"/>
      <c r="AF610" s="40"/>
      <c r="AG610" s="39"/>
      <c r="AH610" s="40"/>
      <c r="AI610" s="39"/>
      <c r="AJ610" s="40"/>
      <c r="AK610" s="39"/>
      <c r="AL610" s="40"/>
      <c r="AM610" s="39"/>
      <c r="AN610" s="40"/>
      <c r="AO610" s="39"/>
      <c r="AP610" s="40"/>
      <c r="AQ610" s="84">
        <f t="shared" si="84"/>
        <v>2</v>
      </c>
      <c r="AR610" s="80">
        <v>421.22</v>
      </c>
      <c r="AS610" s="178">
        <f t="shared" si="86"/>
        <v>842.44</v>
      </c>
    </row>
    <row r="611" spans="1:45" ht="28.5" hidden="1">
      <c r="A611" s="67">
        <v>585</v>
      </c>
      <c r="B611" s="37" t="s">
        <v>615</v>
      </c>
      <c r="C611" s="53" t="s">
        <v>1250</v>
      </c>
      <c r="D611" s="37">
        <v>295</v>
      </c>
      <c r="E611" s="37" t="s">
        <v>614</v>
      </c>
      <c r="F611" s="110" t="s">
        <v>12</v>
      </c>
      <c r="G611" s="125"/>
      <c r="H611" s="125"/>
      <c r="I611" s="125"/>
      <c r="J611" s="125"/>
      <c r="K611" s="126"/>
      <c r="L611" s="127"/>
      <c r="M611" s="128"/>
      <c r="N611" s="125"/>
      <c r="O611" s="126"/>
      <c r="P611" s="125"/>
      <c r="Q611" s="128"/>
      <c r="R611" s="125"/>
      <c r="S611" s="110">
        <v>2</v>
      </c>
      <c r="T611" s="40">
        <f t="shared" si="85"/>
        <v>1560</v>
      </c>
      <c r="U611" s="39"/>
      <c r="V611" s="40"/>
      <c r="W611" s="39"/>
      <c r="X611" s="40"/>
      <c r="Y611" s="39"/>
      <c r="Z611" s="40"/>
      <c r="AA611" s="39"/>
      <c r="AB611" s="40"/>
      <c r="AC611" s="39"/>
      <c r="AD611" s="40"/>
      <c r="AE611" s="39"/>
      <c r="AF611" s="40"/>
      <c r="AG611" s="39"/>
      <c r="AH611" s="40"/>
      <c r="AI611" s="39"/>
      <c r="AJ611" s="40"/>
      <c r="AK611" s="39"/>
      <c r="AL611" s="40"/>
      <c r="AM611" s="39"/>
      <c r="AN611" s="40"/>
      <c r="AO611" s="39"/>
      <c r="AP611" s="40"/>
      <c r="AQ611" s="84">
        <f t="shared" ref="AQ611:AQ674" si="87">+AO611+AM611+AK611+AI611+AG611+AE611+AC611+AA611+Y611+W611+U611+S611+Q611+O611+M611+K611+I611+G611</f>
        <v>2</v>
      </c>
      <c r="AR611" s="80">
        <v>780</v>
      </c>
      <c r="AS611" s="178">
        <f t="shared" si="86"/>
        <v>1560</v>
      </c>
    </row>
    <row r="612" spans="1:45" ht="28.5" hidden="1">
      <c r="A612" s="71">
        <v>586</v>
      </c>
      <c r="B612" s="37" t="s">
        <v>613</v>
      </c>
      <c r="C612" s="53" t="s">
        <v>1250</v>
      </c>
      <c r="D612" s="37">
        <v>295</v>
      </c>
      <c r="E612" s="37" t="s">
        <v>612</v>
      </c>
      <c r="F612" s="110" t="s">
        <v>12</v>
      </c>
      <c r="G612" s="125"/>
      <c r="H612" s="125"/>
      <c r="I612" s="125"/>
      <c r="J612" s="125"/>
      <c r="K612" s="126"/>
      <c r="L612" s="127"/>
      <c r="M612" s="128"/>
      <c r="N612" s="125"/>
      <c r="O612" s="126"/>
      <c r="P612" s="125"/>
      <c r="Q612" s="128"/>
      <c r="R612" s="125"/>
      <c r="S612" s="110">
        <v>1</v>
      </c>
      <c r="T612" s="40">
        <f t="shared" si="85"/>
        <v>120</v>
      </c>
      <c r="U612" s="39"/>
      <c r="V612" s="40"/>
      <c r="W612" s="39"/>
      <c r="X612" s="40"/>
      <c r="Y612" s="39"/>
      <c r="Z612" s="40"/>
      <c r="AA612" s="39"/>
      <c r="AB612" s="40"/>
      <c r="AC612" s="39"/>
      <c r="AD612" s="40"/>
      <c r="AE612" s="39"/>
      <c r="AF612" s="40"/>
      <c r="AG612" s="39"/>
      <c r="AH612" s="40"/>
      <c r="AI612" s="39"/>
      <c r="AJ612" s="40"/>
      <c r="AK612" s="39"/>
      <c r="AL612" s="40"/>
      <c r="AM612" s="39"/>
      <c r="AN612" s="40"/>
      <c r="AO612" s="39"/>
      <c r="AP612" s="40"/>
      <c r="AQ612" s="84">
        <f t="shared" si="87"/>
        <v>1</v>
      </c>
      <c r="AR612" s="80">
        <v>120</v>
      </c>
      <c r="AS612" s="178">
        <f t="shared" si="86"/>
        <v>120</v>
      </c>
    </row>
    <row r="613" spans="1:45" ht="28.5" hidden="1">
      <c r="A613" s="67">
        <v>587</v>
      </c>
      <c r="B613" s="37" t="s">
        <v>611</v>
      </c>
      <c r="C613" s="53" t="s">
        <v>1250</v>
      </c>
      <c r="D613" s="37">
        <v>295</v>
      </c>
      <c r="E613" s="37" t="s">
        <v>610</v>
      </c>
      <c r="F613" s="110" t="s">
        <v>12</v>
      </c>
      <c r="G613" s="125"/>
      <c r="H613" s="125"/>
      <c r="I613" s="125"/>
      <c r="J613" s="125"/>
      <c r="K613" s="126"/>
      <c r="L613" s="127"/>
      <c r="M613" s="128"/>
      <c r="N613" s="125"/>
      <c r="O613" s="126"/>
      <c r="P613" s="125"/>
      <c r="Q613" s="128"/>
      <c r="R613" s="125"/>
      <c r="S613" s="110">
        <v>30</v>
      </c>
      <c r="T613" s="40">
        <f t="shared" si="85"/>
        <v>382050</v>
      </c>
      <c r="U613" s="39"/>
      <c r="V613" s="40"/>
      <c r="W613" s="39"/>
      <c r="X613" s="40"/>
      <c r="Y613" s="39"/>
      <c r="Z613" s="40"/>
      <c r="AA613" s="39"/>
      <c r="AB613" s="40"/>
      <c r="AC613" s="39"/>
      <c r="AD613" s="40"/>
      <c r="AE613" s="39"/>
      <c r="AF613" s="40"/>
      <c r="AG613" s="39"/>
      <c r="AH613" s="40"/>
      <c r="AI613" s="39"/>
      <c r="AJ613" s="40"/>
      <c r="AK613" s="39"/>
      <c r="AL613" s="40"/>
      <c r="AM613" s="39"/>
      <c r="AN613" s="40"/>
      <c r="AO613" s="39"/>
      <c r="AP613" s="40"/>
      <c r="AQ613" s="84">
        <f t="shared" si="87"/>
        <v>30</v>
      </c>
      <c r="AR613" s="80">
        <v>12735</v>
      </c>
      <c r="AS613" s="178">
        <f t="shared" si="86"/>
        <v>382050</v>
      </c>
    </row>
    <row r="614" spans="1:45" ht="28.5" hidden="1">
      <c r="A614" s="71">
        <v>588</v>
      </c>
      <c r="B614" s="37" t="s">
        <v>609</v>
      </c>
      <c r="C614" s="53" t="s">
        <v>1250</v>
      </c>
      <c r="D614" s="37">
        <v>295</v>
      </c>
      <c r="E614" s="37" t="s">
        <v>608</v>
      </c>
      <c r="F614" s="110" t="s">
        <v>12</v>
      </c>
      <c r="G614" s="125"/>
      <c r="H614" s="125"/>
      <c r="I614" s="125"/>
      <c r="J614" s="125"/>
      <c r="K614" s="126"/>
      <c r="L614" s="127"/>
      <c r="M614" s="128"/>
      <c r="N614" s="125"/>
      <c r="O614" s="126"/>
      <c r="P614" s="125"/>
      <c r="Q614" s="128"/>
      <c r="R614" s="125"/>
      <c r="S614" s="110">
        <v>10</v>
      </c>
      <c r="T614" s="40">
        <f t="shared" si="85"/>
        <v>3525</v>
      </c>
      <c r="U614" s="39"/>
      <c r="V614" s="40"/>
      <c r="W614" s="39"/>
      <c r="X614" s="40"/>
      <c r="Y614" s="39"/>
      <c r="Z614" s="40"/>
      <c r="AA614" s="39"/>
      <c r="AB614" s="40"/>
      <c r="AC614" s="39"/>
      <c r="AD614" s="40"/>
      <c r="AE614" s="39"/>
      <c r="AF614" s="40"/>
      <c r="AG614" s="39"/>
      <c r="AH614" s="40"/>
      <c r="AI614" s="39"/>
      <c r="AJ614" s="40"/>
      <c r="AK614" s="39"/>
      <c r="AL614" s="40"/>
      <c r="AM614" s="39"/>
      <c r="AN614" s="40"/>
      <c r="AO614" s="39"/>
      <c r="AP614" s="40"/>
      <c r="AQ614" s="84">
        <f t="shared" si="87"/>
        <v>10</v>
      </c>
      <c r="AR614" s="80">
        <v>352.5</v>
      </c>
      <c r="AS614" s="178">
        <f t="shared" si="86"/>
        <v>3525</v>
      </c>
    </row>
    <row r="615" spans="1:45" ht="28.5" hidden="1">
      <c r="A615" s="67">
        <v>589</v>
      </c>
      <c r="B615" s="37" t="s">
        <v>607</v>
      </c>
      <c r="C615" s="53" t="s">
        <v>1250</v>
      </c>
      <c r="D615" s="37">
        <v>295</v>
      </c>
      <c r="E615" s="37" t="s">
        <v>606</v>
      </c>
      <c r="F615" s="110" t="s">
        <v>12</v>
      </c>
      <c r="G615" s="125"/>
      <c r="H615" s="125"/>
      <c r="I615" s="125"/>
      <c r="J615" s="125"/>
      <c r="K615" s="126"/>
      <c r="L615" s="127"/>
      <c r="M615" s="128"/>
      <c r="N615" s="125"/>
      <c r="O615" s="126"/>
      <c r="P615" s="125"/>
      <c r="Q615" s="128"/>
      <c r="R615" s="125"/>
      <c r="S615" s="110">
        <v>10</v>
      </c>
      <c r="T615" s="40">
        <f t="shared" si="85"/>
        <v>12450</v>
      </c>
      <c r="U615" s="39"/>
      <c r="V615" s="40"/>
      <c r="W615" s="39"/>
      <c r="X615" s="40"/>
      <c r="Y615" s="39"/>
      <c r="Z615" s="40"/>
      <c r="AA615" s="39"/>
      <c r="AB615" s="40"/>
      <c r="AC615" s="39"/>
      <c r="AD615" s="40"/>
      <c r="AE615" s="39"/>
      <c r="AF615" s="40"/>
      <c r="AG615" s="39"/>
      <c r="AH615" s="40"/>
      <c r="AI615" s="39"/>
      <c r="AJ615" s="40"/>
      <c r="AK615" s="39"/>
      <c r="AL615" s="40"/>
      <c r="AM615" s="39"/>
      <c r="AN615" s="40"/>
      <c r="AO615" s="39"/>
      <c r="AP615" s="40"/>
      <c r="AQ615" s="84">
        <f t="shared" si="87"/>
        <v>10</v>
      </c>
      <c r="AR615" s="80">
        <v>1245</v>
      </c>
      <c r="AS615" s="178">
        <f t="shared" si="86"/>
        <v>12450</v>
      </c>
    </row>
    <row r="616" spans="1:45" ht="28.5" hidden="1">
      <c r="A616" s="71">
        <v>590</v>
      </c>
      <c r="B616" s="37" t="s">
        <v>605</v>
      </c>
      <c r="C616" s="53" t="s">
        <v>1250</v>
      </c>
      <c r="D616" s="37">
        <v>295</v>
      </c>
      <c r="E616" s="37" t="s">
        <v>604</v>
      </c>
      <c r="F616" s="110" t="s">
        <v>12</v>
      </c>
      <c r="G616" s="125"/>
      <c r="H616" s="125"/>
      <c r="I616" s="125"/>
      <c r="J616" s="125"/>
      <c r="K616" s="126"/>
      <c r="L616" s="127"/>
      <c r="M616" s="128"/>
      <c r="N616" s="125"/>
      <c r="O616" s="126"/>
      <c r="P616" s="125"/>
      <c r="Q616" s="128"/>
      <c r="R616" s="125"/>
      <c r="S616" s="110">
        <v>15</v>
      </c>
      <c r="T616" s="40">
        <f t="shared" si="85"/>
        <v>211500</v>
      </c>
      <c r="U616" s="39"/>
      <c r="V616" s="40"/>
      <c r="W616" s="39"/>
      <c r="X616" s="40"/>
      <c r="Y616" s="39"/>
      <c r="Z616" s="40"/>
      <c r="AA616" s="39"/>
      <c r="AB616" s="40"/>
      <c r="AC616" s="39"/>
      <c r="AD616" s="40"/>
      <c r="AE616" s="39"/>
      <c r="AF616" s="40"/>
      <c r="AG616" s="39"/>
      <c r="AH616" s="40"/>
      <c r="AI616" s="39"/>
      <c r="AJ616" s="40"/>
      <c r="AK616" s="39"/>
      <c r="AL616" s="40"/>
      <c r="AM616" s="39"/>
      <c r="AN616" s="40"/>
      <c r="AO616" s="39"/>
      <c r="AP616" s="40"/>
      <c r="AQ616" s="84">
        <f t="shared" si="87"/>
        <v>15</v>
      </c>
      <c r="AR616" s="80">
        <v>14100</v>
      </c>
      <c r="AS616" s="178">
        <f t="shared" si="86"/>
        <v>211500</v>
      </c>
    </row>
    <row r="617" spans="1:45" ht="28.5" hidden="1">
      <c r="A617" s="67">
        <v>591</v>
      </c>
      <c r="B617" s="37" t="s">
        <v>603</v>
      </c>
      <c r="C617" s="53" t="s">
        <v>1250</v>
      </c>
      <c r="D617" s="37">
        <v>295</v>
      </c>
      <c r="E617" s="37" t="s">
        <v>602</v>
      </c>
      <c r="F617" s="110" t="s">
        <v>12</v>
      </c>
      <c r="G617" s="125"/>
      <c r="H617" s="125"/>
      <c r="I617" s="125"/>
      <c r="J617" s="125"/>
      <c r="K617" s="126"/>
      <c r="L617" s="127"/>
      <c r="M617" s="128"/>
      <c r="N617" s="125"/>
      <c r="O617" s="126"/>
      <c r="P617" s="125"/>
      <c r="Q617" s="128"/>
      <c r="R617" s="125"/>
      <c r="S617" s="110">
        <v>10</v>
      </c>
      <c r="T617" s="40">
        <f t="shared" si="85"/>
        <v>3870.5</v>
      </c>
      <c r="U617" s="39"/>
      <c r="V617" s="40"/>
      <c r="W617" s="39"/>
      <c r="X617" s="40"/>
      <c r="Y617" s="39"/>
      <c r="Z617" s="40"/>
      <c r="AA617" s="39"/>
      <c r="AB617" s="40"/>
      <c r="AC617" s="39"/>
      <c r="AD617" s="40"/>
      <c r="AE617" s="39"/>
      <c r="AF617" s="40"/>
      <c r="AG617" s="39"/>
      <c r="AH617" s="40"/>
      <c r="AI617" s="39"/>
      <c r="AJ617" s="40"/>
      <c r="AK617" s="39"/>
      <c r="AL617" s="40"/>
      <c r="AM617" s="39"/>
      <c r="AN617" s="40"/>
      <c r="AO617" s="39"/>
      <c r="AP617" s="40"/>
      <c r="AQ617" s="84">
        <f t="shared" si="87"/>
        <v>10</v>
      </c>
      <c r="AR617" s="80">
        <v>387.05</v>
      </c>
      <c r="AS617" s="178">
        <f t="shared" si="86"/>
        <v>3870.5</v>
      </c>
    </row>
    <row r="618" spans="1:45" ht="28.5" hidden="1">
      <c r="A618" s="71">
        <v>592</v>
      </c>
      <c r="B618" s="37" t="s">
        <v>601</v>
      </c>
      <c r="C618" s="53" t="s">
        <v>1250</v>
      </c>
      <c r="D618" s="37">
        <v>295</v>
      </c>
      <c r="E618" s="37" t="s">
        <v>600</v>
      </c>
      <c r="F618" s="110" t="s">
        <v>12</v>
      </c>
      <c r="G618" s="125"/>
      <c r="H618" s="125"/>
      <c r="I618" s="125"/>
      <c r="J618" s="125"/>
      <c r="K618" s="126"/>
      <c r="L618" s="127"/>
      <c r="M618" s="128"/>
      <c r="N618" s="125"/>
      <c r="O618" s="126"/>
      <c r="P618" s="125"/>
      <c r="Q618" s="128"/>
      <c r="R618" s="125"/>
      <c r="S618" s="110">
        <v>30</v>
      </c>
      <c r="T618" s="40">
        <f t="shared" si="85"/>
        <v>10555.800000000001</v>
      </c>
      <c r="U618" s="39"/>
      <c r="V618" s="40"/>
      <c r="W618" s="39"/>
      <c r="X618" s="40"/>
      <c r="Y618" s="39"/>
      <c r="Z618" s="40"/>
      <c r="AA618" s="39"/>
      <c r="AB618" s="40"/>
      <c r="AC618" s="39"/>
      <c r="AD618" s="40"/>
      <c r="AE618" s="39"/>
      <c r="AF618" s="40"/>
      <c r="AG618" s="39"/>
      <c r="AH618" s="40"/>
      <c r="AI618" s="39"/>
      <c r="AJ618" s="40"/>
      <c r="AK618" s="39"/>
      <c r="AL618" s="40"/>
      <c r="AM618" s="39"/>
      <c r="AN618" s="40"/>
      <c r="AO618" s="39"/>
      <c r="AP618" s="40"/>
      <c r="AQ618" s="84">
        <f t="shared" si="87"/>
        <v>30</v>
      </c>
      <c r="AR618" s="80">
        <v>351.86</v>
      </c>
      <c r="AS618" s="178">
        <f t="shared" si="86"/>
        <v>10555.800000000001</v>
      </c>
    </row>
    <row r="619" spans="1:45" ht="28.5" hidden="1">
      <c r="A619" s="67">
        <v>593</v>
      </c>
      <c r="B619" s="37" t="s">
        <v>599</v>
      </c>
      <c r="C619" s="53" t="s">
        <v>1250</v>
      </c>
      <c r="D619" s="37">
        <v>295</v>
      </c>
      <c r="E619" s="37" t="s">
        <v>598</v>
      </c>
      <c r="F619" s="110" t="s">
        <v>12</v>
      </c>
      <c r="G619" s="125"/>
      <c r="H619" s="125"/>
      <c r="I619" s="125"/>
      <c r="J619" s="125"/>
      <c r="K619" s="126"/>
      <c r="L619" s="127"/>
      <c r="M619" s="128"/>
      <c r="N619" s="125"/>
      <c r="O619" s="126"/>
      <c r="P619" s="125"/>
      <c r="Q619" s="128"/>
      <c r="R619" s="125"/>
      <c r="S619" s="110">
        <v>15</v>
      </c>
      <c r="T619" s="40">
        <f t="shared" si="85"/>
        <v>70646.25</v>
      </c>
      <c r="U619" s="39"/>
      <c r="V619" s="40"/>
      <c r="W619" s="39"/>
      <c r="X619" s="40"/>
      <c r="Y619" s="39"/>
      <c r="Z619" s="40"/>
      <c r="AA619" s="39"/>
      <c r="AB619" s="40"/>
      <c r="AC619" s="39"/>
      <c r="AD619" s="40"/>
      <c r="AE619" s="39"/>
      <c r="AF619" s="40"/>
      <c r="AG619" s="39"/>
      <c r="AH619" s="40"/>
      <c r="AI619" s="39"/>
      <c r="AJ619" s="40"/>
      <c r="AK619" s="39"/>
      <c r="AL619" s="40"/>
      <c r="AM619" s="39"/>
      <c r="AN619" s="40"/>
      <c r="AO619" s="39"/>
      <c r="AP619" s="40"/>
      <c r="AQ619" s="84">
        <f t="shared" si="87"/>
        <v>15</v>
      </c>
      <c r="AR619" s="80">
        <v>4709.75</v>
      </c>
      <c r="AS619" s="178">
        <f t="shared" si="86"/>
        <v>70646.25</v>
      </c>
    </row>
    <row r="620" spans="1:45" ht="28.5" hidden="1">
      <c r="A620" s="71">
        <v>594</v>
      </c>
      <c r="B620" s="37" t="s">
        <v>597</v>
      </c>
      <c r="C620" s="53" t="s">
        <v>1250</v>
      </c>
      <c r="D620" s="37">
        <v>295</v>
      </c>
      <c r="E620" s="37" t="s">
        <v>596</v>
      </c>
      <c r="F620" s="110" t="s">
        <v>12</v>
      </c>
      <c r="G620" s="125"/>
      <c r="H620" s="125"/>
      <c r="I620" s="125"/>
      <c r="J620" s="125"/>
      <c r="K620" s="126"/>
      <c r="L620" s="127"/>
      <c r="M620" s="128"/>
      <c r="N620" s="125"/>
      <c r="O620" s="126"/>
      <c r="P620" s="125"/>
      <c r="Q620" s="128"/>
      <c r="R620" s="125"/>
      <c r="S620" s="110">
        <v>5</v>
      </c>
      <c r="T620" s="40">
        <f t="shared" si="85"/>
        <v>1125</v>
      </c>
      <c r="U620" s="39"/>
      <c r="V620" s="40"/>
      <c r="W620" s="39"/>
      <c r="X620" s="40"/>
      <c r="Y620" s="39"/>
      <c r="Z620" s="40"/>
      <c r="AA620" s="39"/>
      <c r="AB620" s="40"/>
      <c r="AC620" s="39"/>
      <c r="AD620" s="40"/>
      <c r="AE620" s="39"/>
      <c r="AF620" s="40"/>
      <c r="AG620" s="39"/>
      <c r="AH620" s="40"/>
      <c r="AI620" s="39"/>
      <c r="AJ620" s="40"/>
      <c r="AK620" s="39"/>
      <c r="AL620" s="40"/>
      <c r="AM620" s="39"/>
      <c r="AN620" s="40"/>
      <c r="AO620" s="39"/>
      <c r="AP620" s="40"/>
      <c r="AQ620" s="84">
        <f t="shared" si="87"/>
        <v>5</v>
      </c>
      <c r="AR620" s="80">
        <v>225</v>
      </c>
      <c r="AS620" s="178">
        <f t="shared" si="86"/>
        <v>1125</v>
      </c>
    </row>
    <row r="621" spans="1:45" ht="28.5" hidden="1">
      <c r="A621" s="67">
        <v>595</v>
      </c>
      <c r="B621" s="37" t="s">
        <v>595</v>
      </c>
      <c r="C621" s="53" t="s">
        <v>1250</v>
      </c>
      <c r="D621" s="37">
        <v>295</v>
      </c>
      <c r="E621" s="37" t="s">
        <v>594</v>
      </c>
      <c r="F621" s="110" t="s">
        <v>12</v>
      </c>
      <c r="G621" s="125"/>
      <c r="H621" s="125"/>
      <c r="I621" s="125"/>
      <c r="J621" s="125"/>
      <c r="K621" s="126"/>
      <c r="L621" s="127"/>
      <c r="M621" s="128"/>
      <c r="N621" s="125"/>
      <c r="O621" s="126"/>
      <c r="P621" s="125"/>
      <c r="Q621" s="128"/>
      <c r="R621" s="125"/>
      <c r="S621" s="110">
        <v>20</v>
      </c>
      <c r="T621" s="40">
        <f t="shared" si="85"/>
        <v>13933.199999999999</v>
      </c>
      <c r="U621" s="39"/>
      <c r="V621" s="40"/>
      <c r="W621" s="39"/>
      <c r="X621" s="40"/>
      <c r="Y621" s="39"/>
      <c r="Z621" s="40"/>
      <c r="AA621" s="39"/>
      <c r="AB621" s="40"/>
      <c r="AC621" s="39"/>
      <c r="AD621" s="40"/>
      <c r="AE621" s="39"/>
      <c r="AF621" s="40"/>
      <c r="AG621" s="39"/>
      <c r="AH621" s="40"/>
      <c r="AI621" s="39"/>
      <c r="AJ621" s="40"/>
      <c r="AK621" s="39"/>
      <c r="AL621" s="40"/>
      <c r="AM621" s="39"/>
      <c r="AN621" s="40"/>
      <c r="AO621" s="39"/>
      <c r="AP621" s="40"/>
      <c r="AQ621" s="84">
        <f t="shared" si="87"/>
        <v>20</v>
      </c>
      <c r="AR621" s="80">
        <v>696.66</v>
      </c>
      <c r="AS621" s="178">
        <f t="shared" si="86"/>
        <v>13933.199999999999</v>
      </c>
    </row>
    <row r="622" spans="1:45" ht="28.5" hidden="1">
      <c r="A622" s="71">
        <v>596</v>
      </c>
      <c r="B622" s="37" t="s">
        <v>593</v>
      </c>
      <c r="C622" s="53" t="s">
        <v>1250</v>
      </c>
      <c r="D622" s="37">
        <v>295</v>
      </c>
      <c r="E622" s="37" t="s">
        <v>592</v>
      </c>
      <c r="F622" s="110" t="s">
        <v>12</v>
      </c>
      <c r="G622" s="125"/>
      <c r="H622" s="125"/>
      <c r="I622" s="125"/>
      <c r="J622" s="125"/>
      <c r="K622" s="126"/>
      <c r="L622" s="127"/>
      <c r="M622" s="128"/>
      <c r="N622" s="125"/>
      <c r="O622" s="126"/>
      <c r="P622" s="125"/>
      <c r="Q622" s="128"/>
      <c r="R622" s="125"/>
      <c r="S622" s="110">
        <v>20</v>
      </c>
      <c r="T622" s="40">
        <f t="shared" si="85"/>
        <v>13933.199999999999</v>
      </c>
      <c r="U622" s="39"/>
      <c r="V622" s="40"/>
      <c r="W622" s="39"/>
      <c r="X622" s="40"/>
      <c r="Y622" s="39"/>
      <c r="Z622" s="40"/>
      <c r="AA622" s="39"/>
      <c r="AB622" s="40"/>
      <c r="AC622" s="39"/>
      <c r="AD622" s="40"/>
      <c r="AE622" s="39"/>
      <c r="AF622" s="40"/>
      <c r="AG622" s="39"/>
      <c r="AH622" s="40"/>
      <c r="AI622" s="39"/>
      <c r="AJ622" s="40"/>
      <c r="AK622" s="39"/>
      <c r="AL622" s="40"/>
      <c r="AM622" s="39"/>
      <c r="AN622" s="40"/>
      <c r="AO622" s="39"/>
      <c r="AP622" s="40"/>
      <c r="AQ622" s="84">
        <f t="shared" si="87"/>
        <v>20</v>
      </c>
      <c r="AR622" s="80">
        <v>696.66</v>
      </c>
      <c r="AS622" s="178">
        <f t="shared" si="86"/>
        <v>13933.199999999999</v>
      </c>
    </row>
    <row r="623" spans="1:45" ht="28.5" hidden="1">
      <c r="A623" s="67">
        <v>597</v>
      </c>
      <c r="B623" s="37" t="s">
        <v>591</v>
      </c>
      <c r="C623" s="53" t="s">
        <v>1250</v>
      </c>
      <c r="D623" s="37">
        <v>295</v>
      </c>
      <c r="E623" s="37" t="s">
        <v>590</v>
      </c>
      <c r="F623" s="110" t="s">
        <v>12</v>
      </c>
      <c r="G623" s="125"/>
      <c r="H623" s="125"/>
      <c r="I623" s="125"/>
      <c r="J623" s="125"/>
      <c r="K623" s="126"/>
      <c r="L623" s="127"/>
      <c r="M623" s="128"/>
      <c r="N623" s="125"/>
      <c r="O623" s="126"/>
      <c r="P623" s="125"/>
      <c r="Q623" s="128"/>
      <c r="R623" s="125"/>
      <c r="S623" s="110">
        <v>10</v>
      </c>
      <c r="T623" s="40">
        <f t="shared" si="85"/>
        <v>6966.5999999999995</v>
      </c>
      <c r="U623" s="39"/>
      <c r="V623" s="40"/>
      <c r="W623" s="39"/>
      <c r="X623" s="40"/>
      <c r="Y623" s="39"/>
      <c r="Z623" s="40"/>
      <c r="AA623" s="39"/>
      <c r="AB623" s="40"/>
      <c r="AC623" s="39"/>
      <c r="AD623" s="40"/>
      <c r="AE623" s="39"/>
      <c r="AF623" s="40"/>
      <c r="AG623" s="39"/>
      <c r="AH623" s="40"/>
      <c r="AI623" s="39"/>
      <c r="AJ623" s="40"/>
      <c r="AK623" s="39"/>
      <c r="AL623" s="40"/>
      <c r="AM623" s="39"/>
      <c r="AN623" s="40"/>
      <c r="AO623" s="39"/>
      <c r="AP623" s="40"/>
      <c r="AQ623" s="84">
        <f t="shared" si="87"/>
        <v>10</v>
      </c>
      <c r="AR623" s="80">
        <v>696.66</v>
      </c>
      <c r="AS623" s="178">
        <f t="shared" si="86"/>
        <v>6966.5999999999995</v>
      </c>
    </row>
    <row r="624" spans="1:45" ht="28.5" hidden="1">
      <c r="A624" s="71">
        <v>598</v>
      </c>
      <c r="B624" s="37" t="s">
        <v>589</v>
      </c>
      <c r="C624" s="53" t="s">
        <v>1250</v>
      </c>
      <c r="D624" s="37">
        <v>295</v>
      </c>
      <c r="E624" s="37" t="s">
        <v>588</v>
      </c>
      <c r="F624" s="110" t="s">
        <v>12</v>
      </c>
      <c r="G624" s="125"/>
      <c r="H624" s="125"/>
      <c r="I624" s="125"/>
      <c r="J624" s="125"/>
      <c r="K624" s="126"/>
      <c r="L624" s="127"/>
      <c r="M624" s="128"/>
      <c r="N624" s="125"/>
      <c r="O624" s="126"/>
      <c r="P624" s="125"/>
      <c r="Q624" s="128"/>
      <c r="R624" s="125"/>
      <c r="S624" s="110">
        <v>30</v>
      </c>
      <c r="T624" s="40">
        <f t="shared" si="85"/>
        <v>20899.8</v>
      </c>
      <c r="U624" s="39"/>
      <c r="V624" s="40"/>
      <c r="W624" s="39"/>
      <c r="X624" s="40"/>
      <c r="Y624" s="39"/>
      <c r="Z624" s="40"/>
      <c r="AA624" s="39"/>
      <c r="AB624" s="40"/>
      <c r="AC624" s="39"/>
      <c r="AD624" s="40"/>
      <c r="AE624" s="39"/>
      <c r="AF624" s="40"/>
      <c r="AG624" s="39"/>
      <c r="AH624" s="40"/>
      <c r="AI624" s="39"/>
      <c r="AJ624" s="40"/>
      <c r="AK624" s="39"/>
      <c r="AL624" s="40"/>
      <c r="AM624" s="39"/>
      <c r="AN624" s="40"/>
      <c r="AO624" s="39"/>
      <c r="AP624" s="40"/>
      <c r="AQ624" s="84">
        <f t="shared" si="87"/>
        <v>30</v>
      </c>
      <c r="AR624" s="80">
        <v>696.66</v>
      </c>
      <c r="AS624" s="178">
        <f t="shared" si="86"/>
        <v>20899.8</v>
      </c>
    </row>
    <row r="625" spans="1:45" ht="28.5" hidden="1">
      <c r="A625" s="67">
        <v>599</v>
      </c>
      <c r="B625" s="37" t="s">
        <v>587</v>
      </c>
      <c r="C625" s="53" t="s">
        <v>1250</v>
      </c>
      <c r="D625" s="37">
        <v>295</v>
      </c>
      <c r="E625" s="37" t="s">
        <v>586</v>
      </c>
      <c r="F625" s="110" t="s">
        <v>12</v>
      </c>
      <c r="G625" s="125"/>
      <c r="H625" s="125"/>
      <c r="I625" s="125"/>
      <c r="J625" s="125"/>
      <c r="K625" s="126"/>
      <c r="L625" s="127"/>
      <c r="M625" s="128"/>
      <c r="N625" s="125"/>
      <c r="O625" s="126"/>
      <c r="P625" s="125"/>
      <c r="Q625" s="128"/>
      <c r="R625" s="125"/>
      <c r="S625" s="110">
        <v>30</v>
      </c>
      <c r="T625" s="40">
        <f t="shared" ref="T625:T688" si="88">+S625*AR625</f>
        <v>20899.8</v>
      </c>
      <c r="U625" s="39"/>
      <c r="V625" s="40"/>
      <c r="W625" s="39"/>
      <c r="X625" s="40"/>
      <c r="Y625" s="39"/>
      <c r="Z625" s="40"/>
      <c r="AA625" s="39"/>
      <c r="AB625" s="40"/>
      <c r="AC625" s="39"/>
      <c r="AD625" s="40"/>
      <c r="AE625" s="39"/>
      <c r="AF625" s="40"/>
      <c r="AG625" s="39"/>
      <c r="AH625" s="40"/>
      <c r="AI625" s="39"/>
      <c r="AJ625" s="40"/>
      <c r="AK625" s="39"/>
      <c r="AL625" s="40"/>
      <c r="AM625" s="39"/>
      <c r="AN625" s="40"/>
      <c r="AO625" s="39"/>
      <c r="AP625" s="40"/>
      <c r="AQ625" s="84">
        <f t="shared" si="87"/>
        <v>30</v>
      </c>
      <c r="AR625" s="80">
        <v>696.66</v>
      </c>
      <c r="AS625" s="178">
        <f t="shared" si="86"/>
        <v>20899.8</v>
      </c>
    </row>
    <row r="626" spans="1:45" ht="28.5" hidden="1">
      <c r="A626" s="71">
        <v>600</v>
      </c>
      <c r="B626" s="37" t="s">
        <v>585</v>
      </c>
      <c r="C626" s="53" t="s">
        <v>1250</v>
      </c>
      <c r="D626" s="37">
        <v>295</v>
      </c>
      <c r="E626" s="37" t="s">
        <v>584</v>
      </c>
      <c r="F626" s="110" t="s">
        <v>12</v>
      </c>
      <c r="G626" s="125"/>
      <c r="H626" s="125"/>
      <c r="I626" s="125"/>
      <c r="J626" s="125"/>
      <c r="K626" s="126"/>
      <c r="L626" s="127"/>
      <c r="M626" s="128"/>
      <c r="N626" s="125"/>
      <c r="O626" s="126"/>
      <c r="P626" s="125"/>
      <c r="Q626" s="128"/>
      <c r="R626" s="125"/>
      <c r="S626" s="110">
        <v>30</v>
      </c>
      <c r="T626" s="40">
        <f t="shared" si="88"/>
        <v>20899.8</v>
      </c>
      <c r="U626" s="39"/>
      <c r="V626" s="40"/>
      <c r="W626" s="39"/>
      <c r="X626" s="40"/>
      <c r="Y626" s="39"/>
      <c r="Z626" s="40"/>
      <c r="AA626" s="39"/>
      <c r="AB626" s="40"/>
      <c r="AC626" s="39"/>
      <c r="AD626" s="40"/>
      <c r="AE626" s="39"/>
      <c r="AF626" s="40"/>
      <c r="AG626" s="39"/>
      <c r="AH626" s="40"/>
      <c r="AI626" s="39"/>
      <c r="AJ626" s="40"/>
      <c r="AK626" s="39"/>
      <c r="AL626" s="40"/>
      <c r="AM626" s="39"/>
      <c r="AN626" s="40"/>
      <c r="AO626" s="39"/>
      <c r="AP626" s="40"/>
      <c r="AQ626" s="84">
        <f t="shared" si="87"/>
        <v>30</v>
      </c>
      <c r="AR626" s="80">
        <v>696.66</v>
      </c>
      <c r="AS626" s="178">
        <f t="shared" ref="AS626:AS689" si="89">+AQ626*AR626</f>
        <v>20899.8</v>
      </c>
    </row>
    <row r="627" spans="1:45" ht="28.5" hidden="1">
      <c r="A627" s="67">
        <v>601</v>
      </c>
      <c r="B627" s="37" t="s">
        <v>583</v>
      </c>
      <c r="C627" s="53" t="s">
        <v>1250</v>
      </c>
      <c r="D627" s="37">
        <v>295</v>
      </c>
      <c r="E627" s="37" t="s">
        <v>582</v>
      </c>
      <c r="F627" s="110" t="s">
        <v>12</v>
      </c>
      <c r="G627" s="125"/>
      <c r="H627" s="125"/>
      <c r="I627" s="125"/>
      <c r="J627" s="125"/>
      <c r="K627" s="126"/>
      <c r="L627" s="127"/>
      <c r="M627" s="128"/>
      <c r="N627" s="125"/>
      <c r="O627" s="126"/>
      <c r="P627" s="125"/>
      <c r="Q627" s="128"/>
      <c r="R627" s="125"/>
      <c r="S627" s="110">
        <v>30</v>
      </c>
      <c r="T627" s="40">
        <f t="shared" si="88"/>
        <v>20899.8</v>
      </c>
      <c r="U627" s="39"/>
      <c r="V627" s="40"/>
      <c r="W627" s="39"/>
      <c r="X627" s="40"/>
      <c r="Y627" s="39"/>
      <c r="Z627" s="40"/>
      <c r="AA627" s="39"/>
      <c r="AB627" s="40"/>
      <c r="AC627" s="39"/>
      <c r="AD627" s="40"/>
      <c r="AE627" s="39"/>
      <c r="AF627" s="40"/>
      <c r="AG627" s="39"/>
      <c r="AH627" s="40"/>
      <c r="AI627" s="39"/>
      <c r="AJ627" s="40"/>
      <c r="AK627" s="39"/>
      <c r="AL627" s="40"/>
      <c r="AM627" s="39"/>
      <c r="AN627" s="40"/>
      <c r="AO627" s="39"/>
      <c r="AP627" s="40"/>
      <c r="AQ627" s="84">
        <f t="shared" si="87"/>
        <v>30</v>
      </c>
      <c r="AR627" s="80">
        <v>696.66</v>
      </c>
      <c r="AS627" s="178">
        <f t="shared" si="89"/>
        <v>20899.8</v>
      </c>
    </row>
    <row r="628" spans="1:45" ht="28.5" hidden="1">
      <c r="A628" s="71">
        <v>602</v>
      </c>
      <c r="B628" s="37" t="s">
        <v>581</v>
      </c>
      <c r="C628" s="53" t="s">
        <v>1250</v>
      </c>
      <c r="D628" s="37">
        <v>295</v>
      </c>
      <c r="E628" s="37" t="s">
        <v>580</v>
      </c>
      <c r="F628" s="110" t="s">
        <v>12</v>
      </c>
      <c r="G628" s="125"/>
      <c r="H628" s="125"/>
      <c r="I628" s="125"/>
      <c r="J628" s="125"/>
      <c r="K628" s="126"/>
      <c r="L628" s="127"/>
      <c r="M628" s="128"/>
      <c r="N628" s="125"/>
      <c r="O628" s="126"/>
      <c r="P628" s="125"/>
      <c r="Q628" s="128"/>
      <c r="R628" s="125"/>
      <c r="S628" s="110">
        <v>30</v>
      </c>
      <c r="T628" s="40">
        <f t="shared" si="88"/>
        <v>20899.8</v>
      </c>
      <c r="U628" s="39"/>
      <c r="V628" s="40"/>
      <c r="W628" s="39"/>
      <c r="X628" s="40"/>
      <c r="Y628" s="39"/>
      <c r="Z628" s="40"/>
      <c r="AA628" s="39"/>
      <c r="AB628" s="40"/>
      <c r="AC628" s="39"/>
      <c r="AD628" s="40"/>
      <c r="AE628" s="39"/>
      <c r="AF628" s="40"/>
      <c r="AG628" s="39"/>
      <c r="AH628" s="40"/>
      <c r="AI628" s="39"/>
      <c r="AJ628" s="40"/>
      <c r="AK628" s="39"/>
      <c r="AL628" s="40"/>
      <c r="AM628" s="39"/>
      <c r="AN628" s="40"/>
      <c r="AO628" s="39"/>
      <c r="AP628" s="40"/>
      <c r="AQ628" s="84">
        <f t="shared" si="87"/>
        <v>30</v>
      </c>
      <c r="AR628" s="80">
        <v>696.66</v>
      </c>
      <c r="AS628" s="178">
        <f t="shared" si="89"/>
        <v>20899.8</v>
      </c>
    </row>
    <row r="629" spans="1:45" ht="28.5" hidden="1">
      <c r="A629" s="67">
        <v>603</v>
      </c>
      <c r="B629" s="37" t="s">
        <v>579</v>
      </c>
      <c r="C629" s="53" t="s">
        <v>1250</v>
      </c>
      <c r="D629" s="37">
        <v>295</v>
      </c>
      <c r="E629" s="37" t="s">
        <v>578</v>
      </c>
      <c r="F629" s="110" t="s">
        <v>12</v>
      </c>
      <c r="G629" s="125"/>
      <c r="H629" s="125"/>
      <c r="I629" s="125"/>
      <c r="J629" s="125"/>
      <c r="K629" s="126"/>
      <c r="L629" s="127"/>
      <c r="M629" s="128"/>
      <c r="N629" s="125"/>
      <c r="O629" s="126"/>
      <c r="P629" s="125"/>
      <c r="Q629" s="128"/>
      <c r="R629" s="125"/>
      <c r="S629" s="110">
        <v>30</v>
      </c>
      <c r="T629" s="40">
        <f t="shared" si="88"/>
        <v>20899.8</v>
      </c>
      <c r="U629" s="39"/>
      <c r="V629" s="40"/>
      <c r="W629" s="39"/>
      <c r="X629" s="40"/>
      <c r="Y629" s="39"/>
      <c r="Z629" s="40"/>
      <c r="AA629" s="39"/>
      <c r="AB629" s="40"/>
      <c r="AC629" s="39"/>
      <c r="AD629" s="40"/>
      <c r="AE629" s="39"/>
      <c r="AF629" s="40"/>
      <c r="AG629" s="39"/>
      <c r="AH629" s="40"/>
      <c r="AI629" s="39"/>
      <c r="AJ629" s="40"/>
      <c r="AK629" s="39"/>
      <c r="AL629" s="40"/>
      <c r="AM629" s="39"/>
      <c r="AN629" s="40"/>
      <c r="AO629" s="39"/>
      <c r="AP629" s="40"/>
      <c r="AQ629" s="84">
        <f t="shared" si="87"/>
        <v>30</v>
      </c>
      <c r="AR629" s="80">
        <v>696.66</v>
      </c>
      <c r="AS629" s="178">
        <f t="shared" si="89"/>
        <v>20899.8</v>
      </c>
    </row>
    <row r="630" spans="1:45" ht="28.5" hidden="1">
      <c r="A630" s="71">
        <v>604</v>
      </c>
      <c r="B630" s="37" t="s">
        <v>577</v>
      </c>
      <c r="C630" s="53" t="s">
        <v>1250</v>
      </c>
      <c r="D630" s="37">
        <v>295</v>
      </c>
      <c r="E630" s="37" t="s">
        <v>576</v>
      </c>
      <c r="F630" s="110" t="s">
        <v>12</v>
      </c>
      <c r="G630" s="125"/>
      <c r="H630" s="125"/>
      <c r="I630" s="125"/>
      <c r="J630" s="125"/>
      <c r="K630" s="126"/>
      <c r="L630" s="127"/>
      <c r="M630" s="128"/>
      <c r="N630" s="125"/>
      <c r="O630" s="126"/>
      <c r="P630" s="125"/>
      <c r="Q630" s="128"/>
      <c r="R630" s="125"/>
      <c r="S630" s="110">
        <v>30</v>
      </c>
      <c r="T630" s="40">
        <f t="shared" si="88"/>
        <v>20899.8</v>
      </c>
      <c r="U630" s="39"/>
      <c r="V630" s="40"/>
      <c r="W630" s="39"/>
      <c r="X630" s="40"/>
      <c r="Y630" s="39"/>
      <c r="Z630" s="40"/>
      <c r="AA630" s="39"/>
      <c r="AB630" s="40"/>
      <c r="AC630" s="39"/>
      <c r="AD630" s="40"/>
      <c r="AE630" s="39"/>
      <c r="AF630" s="40"/>
      <c r="AG630" s="39"/>
      <c r="AH630" s="40"/>
      <c r="AI630" s="39"/>
      <c r="AJ630" s="40"/>
      <c r="AK630" s="39"/>
      <c r="AL630" s="40"/>
      <c r="AM630" s="39"/>
      <c r="AN630" s="40"/>
      <c r="AO630" s="39"/>
      <c r="AP630" s="40"/>
      <c r="AQ630" s="84">
        <f t="shared" si="87"/>
        <v>30</v>
      </c>
      <c r="AR630" s="80">
        <v>696.66</v>
      </c>
      <c r="AS630" s="178">
        <f t="shared" si="89"/>
        <v>20899.8</v>
      </c>
    </row>
    <row r="631" spans="1:45" ht="28.5" hidden="1">
      <c r="A631" s="67">
        <v>605</v>
      </c>
      <c r="B631" s="37" t="s">
        <v>575</v>
      </c>
      <c r="C631" s="53" t="s">
        <v>1250</v>
      </c>
      <c r="D631" s="37">
        <v>295</v>
      </c>
      <c r="E631" s="37" t="s">
        <v>574</v>
      </c>
      <c r="F631" s="110" t="s">
        <v>12</v>
      </c>
      <c r="G631" s="125"/>
      <c r="H631" s="125"/>
      <c r="I631" s="125"/>
      <c r="J631" s="125"/>
      <c r="K631" s="126"/>
      <c r="L631" s="127"/>
      <c r="M631" s="128"/>
      <c r="N631" s="125"/>
      <c r="O631" s="126"/>
      <c r="P631" s="125"/>
      <c r="Q631" s="128"/>
      <c r="R631" s="125"/>
      <c r="S631" s="110">
        <v>30</v>
      </c>
      <c r="T631" s="40">
        <f t="shared" si="88"/>
        <v>16234.199999999999</v>
      </c>
      <c r="U631" s="39"/>
      <c r="V631" s="40"/>
      <c r="W631" s="39"/>
      <c r="X631" s="40"/>
      <c r="Y631" s="39"/>
      <c r="Z631" s="40"/>
      <c r="AA631" s="39"/>
      <c r="AB631" s="40"/>
      <c r="AC631" s="39"/>
      <c r="AD631" s="40"/>
      <c r="AE631" s="39"/>
      <c r="AF631" s="40"/>
      <c r="AG631" s="39"/>
      <c r="AH631" s="40"/>
      <c r="AI631" s="39"/>
      <c r="AJ631" s="40"/>
      <c r="AK631" s="39"/>
      <c r="AL631" s="40"/>
      <c r="AM631" s="39"/>
      <c r="AN631" s="40"/>
      <c r="AO631" s="39"/>
      <c r="AP631" s="40"/>
      <c r="AQ631" s="84">
        <f t="shared" si="87"/>
        <v>30</v>
      </c>
      <c r="AR631" s="80">
        <v>541.14</v>
      </c>
      <c r="AS631" s="178">
        <f t="shared" si="89"/>
        <v>16234.199999999999</v>
      </c>
    </row>
    <row r="632" spans="1:45" ht="28.5" hidden="1">
      <c r="A632" s="71">
        <v>606</v>
      </c>
      <c r="B632" s="37" t="s">
        <v>573</v>
      </c>
      <c r="C632" s="53" t="s">
        <v>1250</v>
      </c>
      <c r="D632" s="37">
        <v>295</v>
      </c>
      <c r="E632" s="37" t="s">
        <v>572</v>
      </c>
      <c r="F632" s="110" t="s">
        <v>12</v>
      </c>
      <c r="G632" s="125"/>
      <c r="H632" s="125"/>
      <c r="I632" s="125"/>
      <c r="J632" s="125"/>
      <c r="K632" s="126"/>
      <c r="L632" s="127"/>
      <c r="M632" s="128"/>
      <c r="N632" s="125"/>
      <c r="O632" s="126"/>
      <c r="P632" s="125"/>
      <c r="Q632" s="128"/>
      <c r="R632" s="125"/>
      <c r="S632" s="110">
        <v>30</v>
      </c>
      <c r="T632" s="40">
        <f t="shared" si="88"/>
        <v>16234.199999999999</v>
      </c>
      <c r="U632" s="39"/>
      <c r="V632" s="40"/>
      <c r="W632" s="39"/>
      <c r="X632" s="40"/>
      <c r="Y632" s="39"/>
      <c r="Z632" s="40"/>
      <c r="AA632" s="39"/>
      <c r="AB632" s="40"/>
      <c r="AC632" s="39"/>
      <c r="AD632" s="40"/>
      <c r="AE632" s="39"/>
      <c r="AF632" s="40"/>
      <c r="AG632" s="39"/>
      <c r="AH632" s="40"/>
      <c r="AI632" s="39"/>
      <c r="AJ632" s="40"/>
      <c r="AK632" s="39"/>
      <c r="AL632" s="40"/>
      <c r="AM632" s="39"/>
      <c r="AN632" s="40"/>
      <c r="AO632" s="39"/>
      <c r="AP632" s="40"/>
      <c r="AQ632" s="84">
        <f t="shared" si="87"/>
        <v>30</v>
      </c>
      <c r="AR632" s="80">
        <v>541.14</v>
      </c>
      <c r="AS632" s="178">
        <f t="shared" si="89"/>
        <v>16234.199999999999</v>
      </c>
    </row>
    <row r="633" spans="1:45" ht="28.5" hidden="1">
      <c r="A633" s="67">
        <v>607</v>
      </c>
      <c r="B633" s="37" t="s">
        <v>571</v>
      </c>
      <c r="C633" s="53" t="s">
        <v>1250</v>
      </c>
      <c r="D633" s="37">
        <v>295</v>
      </c>
      <c r="E633" s="37" t="s">
        <v>570</v>
      </c>
      <c r="F633" s="110" t="s">
        <v>12</v>
      </c>
      <c r="G633" s="125"/>
      <c r="H633" s="125"/>
      <c r="I633" s="125"/>
      <c r="J633" s="125"/>
      <c r="K633" s="126"/>
      <c r="L633" s="127"/>
      <c r="M633" s="128"/>
      <c r="N633" s="125"/>
      <c r="O633" s="126"/>
      <c r="P633" s="125"/>
      <c r="Q633" s="128"/>
      <c r="R633" s="125"/>
      <c r="S633" s="110">
        <v>30</v>
      </c>
      <c r="T633" s="40">
        <f t="shared" si="88"/>
        <v>380250</v>
      </c>
      <c r="U633" s="39"/>
      <c r="V633" s="40"/>
      <c r="W633" s="39"/>
      <c r="X633" s="40"/>
      <c r="Y633" s="39"/>
      <c r="Z633" s="40"/>
      <c r="AA633" s="39"/>
      <c r="AB633" s="40"/>
      <c r="AC633" s="39"/>
      <c r="AD633" s="40"/>
      <c r="AE633" s="39"/>
      <c r="AF633" s="40"/>
      <c r="AG633" s="39"/>
      <c r="AH633" s="40"/>
      <c r="AI633" s="39"/>
      <c r="AJ633" s="40"/>
      <c r="AK633" s="39"/>
      <c r="AL633" s="40"/>
      <c r="AM633" s="39"/>
      <c r="AN633" s="40"/>
      <c r="AO633" s="39"/>
      <c r="AP633" s="40"/>
      <c r="AQ633" s="84">
        <f t="shared" si="87"/>
        <v>30</v>
      </c>
      <c r="AR633" s="80">
        <v>12675</v>
      </c>
      <c r="AS633" s="178">
        <f t="shared" si="89"/>
        <v>380250</v>
      </c>
    </row>
    <row r="634" spans="1:45" ht="28.5" hidden="1">
      <c r="A634" s="71">
        <v>608</v>
      </c>
      <c r="B634" s="37" t="s">
        <v>569</v>
      </c>
      <c r="C634" s="53" t="s">
        <v>1250</v>
      </c>
      <c r="D634" s="37">
        <v>295</v>
      </c>
      <c r="E634" s="37" t="s">
        <v>568</v>
      </c>
      <c r="F634" s="110" t="s">
        <v>12</v>
      </c>
      <c r="G634" s="125"/>
      <c r="H634" s="125"/>
      <c r="I634" s="125"/>
      <c r="J634" s="125"/>
      <c r="K634" s="126"/>
      <c r="L634" s="127"/>
      <c r="M634" s="128"/>
      <c r="N634" s="125"/>
      <c r="O634" s="126"/>
      <c r="P634" s="125"/>
      <c r="Q634" s="128"/>
      <c r="R634" s="125"/>
      <c r="S634" s="110">
        <v>30</v>
      </c>
      <c r="T634" s="40">
        <f t="shared" si="88"/>
        <v>6750</v>
      </c>
      <c r="U634" s="39"/>
      <c r="V634" s="40"/>
      <c r="W634" s="39"/>
      <c r="X634" s="40"/>
      <c r="Y634" s="39"/>
      <c r="Z634" s="40"/>
      <c r="AA634" s="39"/>
      <c r="AB634" s="40"/>
      <c r="AC634" s="39"/>
      <c r="AD634" s="40"/>
      <c r="AE634" s="39"/>
      <c r="AF634" s="40"/>
      <c r="AG634" s="39"/>
      <c r="AH634" s="40"/>
      <c r="AI634" s="39"/>
      <c r="AJ634" s="40"/>
      <c r="AK634" s="39"/>
      <c r="AL634" s="40"/>
      <c r="AM634" s="39"/>
      <c r="AN634" s="40"/>
      <c r="AO634" s="39"/>
      <c r="AP634" s="40"/>
      <c r="AQ634" s="84">
        <f t="shared" si="87"/>
        <v>30</v>
      </c>
      <c r="AR634" s="80">
        <v>225</v>
      </c>
      <c r="AS634" s="178">
        <f t="shared" si="89"/>
        <v>6750</v>
      </c>
    </row>
    <row r="635" spans="1:45" ht="28.5" hidden="1">
      <c r="A635" s="67">
        <v>609</v>
      </c>
      <c r="B635" s="37" t="s">
        <v>567</v>
      </c>
      <c r="C635" s="53" t="s">
        <v>1250</v>
      </c>
      <c r="D635" s="37">
        <v>295</v>
      </c>
      <c r="E635" s="37" t="s">
        <v>566</v>
      </c>
      <c r="F635" s="110" t="s">
        <v>12</v>
      </c>
      <c r="G635" s="125"/>
      <c r="H635" s="125"/>
      <c r="I635" s="125"/>
      <c r="J635" s="125"/>
      <c r="K635" s="126"/>
      <c r="L635" s="127"/>
      <c r="M635" s="128"/>
      <c r="N635" s="125"/>
      <c r="O635" s="126"/>
      <c r="P635" s="125"/>
      <c r="Q635" s="128"/>
      <c r="R635" s="125"/>
      <c r="S635" s="110">
        <v>30</v>
      </c>
      <c r="T635" s="40">
        <f t="shared" si="88"/>
        <v>40870.799999999996</v>
      </c>
      <c r="U635" s="39"/>
      <c r="V635" s="40"/>
      <c r="W635" s="39"/>
      <c r="X635" s="40"/>
      <c r="Y635" s="39"/>
      <c r="Z635" s="40"/>
      <c r="AA635" s="39"/>
      <c r="AB635" s="40"/>
      <c r="AC635" s="39"/>
      <c r="AD635" s="40"/>
      <c r="AE635" s="39"/>
      <c r="AF635" s="40"/>
      <c r="AG635" s="39"/>
      <c r="AH635" s="40"/>
      <c r="AI635" s="39"/>
      <c r="AJ635" s="40"/>
      <c r="AK635" s="39"/>
      <c r="AL635" s="40"/>
      <c r="AM635" s="39"/>
      <c r="AN635" s="40"/>
      <c r="AO635" s="39"/>
      <c r="AP635" s="40"/>
      <c r="AQ635" s="84">
        <f t="shared" si="87"/>
        <v>30</v>
      </c>
      <c r="AR635" s="80">
        <v>1362.36</v>
      </c>
      <c r="AS635" s="178">
        <f t="shared" si="89"/>
        <v>40870.799999999996</v>
      </c>
    </row>
    <row r="636" spans="1:45" ht="28.5" hidden="1">
      <c r="A636" s="71">
        <v>610</v>
      </c>
      <c r="B636" s="37" t="s">
        <v>565</v>
      </c>
      <c r="C636" s="53" t="s">
        <v>1250</v>
      </c>
      <c r="D636" s="37">
        <v>295</v>
      </c>
      <c r="E636" s="37" t="s">
        <v>564</v>
      </c>
      <c r="F636" s="110" t="s">
        <v>12</v>
      </c>
      <c r="G636" s="125"/>
      <c r="H636" s="125"/>
      <c r="I636" s="125"/>
      <c r="J636" s="125"/>
      <c r="K636" s="126"/>
      <c r="L636" s="127"/>
      <c r="M636" s="128"/>
      <c r="N636" s="125"/>
      <c r="O636" s="126"/>
      <c r="P636" s="125"/>
      <c r="Q636" s="128"/>
      <c r="R636" s="125"/>
      <c r="S636" s="110">
        <v>30</v>
      </c>
      <c r="T636" s="40">
        <f t="shared" si="88"/>
        <v>6750</v>
      </c>
      <c r="U636" s="39"/>
      <c r="V636" s="40"/>
      <c r="W636" s="39"/>
      <c r="X636" s="40"/>
      <c r="Y636" s="39"/>
      <c r="Z636" s="40"/>
      <c r="AA636" s="39"/>
      <c r="AB636" s="40"/>
      <c r="AC636" s="39"/>
      <c r="AD636" s="40"/>
      <c r="AE636" s="39"/>
      <c r="AF636" s="40"/>
      <c r="AG636" s="39"/>
      <c r="AH636" s="40"/>
      <c r="AI636" s="39"/>
      <c r="AJ636" s="40"/>
      <c r="AK636" s="39"/>
      <c r="AL636" s="40"/>
      <c r="AM636" s="39"/>
      <c r="AN636" s="40"/>
      <c r="AO636" s="39"/>
      <c r="AP636" s="40"/>
      <c r="AQ636" s="84">
        <f t="shared" si="87"/>
        <v>30</v>
      </c>
      <c r="AR636" s="80">
        <v>225</v>
      </c>
      <c r="AS636" s="178">
        <f t="shared" si="89"/>
        <v>6750</v>
      </c>
    </row>
    <row r="637" spans="1:45" ht="28.5" hidden="1">
      <c r="A637" s="67">
        <v>611</v>
      </c>
      <c r="B637" s="37" t="s">
        <v>563</v>
      </c>
      <c r="C637" s="53" t="s">
        <v>1250</v>
      </c>
      <c r="D637" s="37">
        <v>295</v>
      </c>
      <c r="E637" s="37" t="s">
        <v>562</v>
      </c>
      <c r="F637" s="110" t="s">
        <v>12</v>
      </c>
      <c r="G637" s="125"/>
      <c r="H637" s="125"/>
      <c r="I637" s="125"/>
      <c r="J637" s="125"/>
      <c r="K637" s="126"/>
      <c r="L637" s="127"/>
      <c r="M637" s="128"/>
      <c r="N637" s="125"/>
      <c r="O637" s="126"/>
      <c r="P637" s="125"/>
      <c r="Q637" s="128"/>
      <c r="R637" s="125"/>
      <c r="S637" s="110">
        <v>5</v>
      </c>
      <c r="T637" s="40">
        <f t="shared" si="88"/>
        <v>1125</v>
      </c>
      <c r="U637" s="39"/>
      <c r="V637" s="40"/>
      <c r="W637" s="39"/>
      <c r="X637" s="40"/>
      <c r="Y637" s="39"/>
      <c r="Z637" s="40"/>
      <c r="AA637" s="39"/>
      <c r="AB637" s="40"/>
      <c r="AC637" s="39"/>
      <c r="AD637" s="40"/>
      <c r="AE637" s="39"/>
      <c r="AF637" s="40"/>
      <c r="AG637" s="39"/>
      <c r="AH637" s="40"/>
      <c r="AI637" s="39"/>
      <c r="AJ637" s="40"/>
      <c r="AK637" s="39"/>
      <c r="AL637" s="40"/>
      <c r="AM637" s="39"/>
      <c r="AN637" s="40"/>
      <c r="AO637" s="39"/>
      <c r="AP637" s="40"/>
      <c r="AQ637" s="84">
        <f t="shared" si="87"/>
        <v>5</v>
      </c>
      <c r="AR637" s="80">
        <v>225</v>
      </c>
      <c r="AS637" s="178">
        <f t="shared" si="89"/>
        <v>1125</v>
      </c>
    </row>
    <row r="638" spans="1:45" ht="28.5" hidden="1">
      <c r="A638" s="71">
        <v>612</v>
      </c>
      <c r="B638" s="37" t="s">
        <v>561</v>
      </c>
      <c r="C638" s="53" t="s">
        <v>1250</v>
      </c>
      <c r="D638" s="37">
        <v>295</v>
      </c>
      <c r="E638" s="37" t="s">
        <v>560</v>
      </c>
      <c r="F638" s="110" t="s">
        <v>12</v>
      </c>
      <c r="G638" s="125"/>
      <c r="H638" s="125"/>
      <c r="I638" s="125"/>
      <c r="J638" s="125"/>
      <c r="K638" s="126"/>
      <c r="L638" s="127"/>
      <c r="M638" s="128"/>
      <c r="N638" s="125"/>
      <c r="O638" s="126"/>
      <c r="P638" s="125"/>
      <c r="Q638" s="128"/>
      <c r="R638" s="125"/>
      <c r="S638" s="110">
        <v>30</v>
      </c>
      <c r="T638" s="40">
        <f t="shared" si="88"/>
        <v>6750</v>
      </c>
      <c r="U638" s="39"/>
      <c r="V638" s="40"/>
      <c r="W638" s="39"/>
      <c r="X638" s="40"/>
      <c r="Y638" s="39"/>
      <c r="Z638" s="40"/>
      <c r="AA638" s="39"/>
      <c r="AB638" s="40"/>
      <c r="AC638" s="39"/>
      <c r="AD638" s="40"/>
      <c r="AE638" s="39"/>
      <c r="AF638" s="40"/>
      <c r="AG638" s="39"/>
      <c r="AH638" s="40"/>
      <c r="AI638" s="39"/>
      <c r="AJ638" s="40"/>
      <c r="AK638" s="39"/>
      <c r="AL638" s="40"/>
      <c r="AM638" s="39"/>
      <c r="AN638" s="40"/>
      <c r="AO638" s="39"/>
      <c r="AP638" s="40"/>
      <c r="AQ638" s="84">
        <f t="shared" si="87"/>
        <v>30</v>
      </c>
      <c r="AR638" s="80">
        <v>225</v>
      </c>
      <c r="AS638" s="178">
        <f t="shared" si="89"/>
        <v>6750</v>
      </c>
    </row>
    <row r="639" spans="1:45" ht="28.5" hidden="1">
      <c r="A639" s="67">
        <v>613</v>
      </c>
      <c r="B639" s="37" t="s">
        <v>559</v>
      </c>
      <c r="C639" s="53" t="s">
        <v>1250</v>
      </c>
      <c r="D639" s="37">
        <v>295</v>
      </c>
      <c r="E639" s="37" t="s">
        <v>558</v>
      </c>
      <c r="F639" s="110" t="s">
        <v>12</v>
      </c>
      <c r="G639" s="125"/>
      <c r="H639" s="125"/>
      <c r="I639" s="125"/>
      <c r="J639" s="125"/>
      <c r="K639" s="126"/>
      <c r="L639" s="127"/>
      <c r="M639" s="128"/>
      <c r="N639" s="125"/>
      <c r="O639" s="126"/>
      <c r="P639" s="125"/>
      <c r="Q639" s="128"/>
      <c r="R639" s="125"/>
      <c r="S639" s="110">
        <v>15</v>
      </c>
      <c r="T639" s="40">
        <f t="shared" si="88"/>
        <v>3375</v>
      </c>
      <c r="U639" s="39"/>
      <c r="V639" s="40"/>
      <c r="W639" s="39"/>
      <c r="X639" s="40"/>
      <c r="Y639" s="39"/>
      <c r="Z639" s="40"/>
      <c r="AA639" s="39"/>
      <c r="AB639" s="40"/>
      <c r="AC639" s="39"/>
      <c r="AD639" s="40"/>
      <c r="AE639" s="39"/>
      <c r="AF639" s="40"/>
      <c r="AG639" s="39"/>
      <c r="AH639" s="40"/>
      <c r="AI639" s="39"/>
      <c r="AJ639" s="40"/>
      <c r="AK639" s="39"/>
      <c r="AL639" s="40"/>
      <c r="AM639" s="39"/>
      <c r="AN639" s="40"/>
      <c r="AO639" s="39"/>
      <c r="AP639" s="40"/>
      <c r="AQ639" s="84">
        <f t="shared" si="87"/>
        <v>15</v>
      </c>
      <c r="AR639" s="80">
        <v>225</v>
      </c>
      <c r="AS639" s="178">
        <f t="shared" si="89"/>
        <v>3375</v>
      </c>
    </row>
    <row r="640" spans="1:45" ht="28.5" hidden="1">
      <c r="A640" s="71">
        <v>614</v>
      </c>
      <c r="B640" s="37" t="s">
        <v>557</v>
      </c>
      <c r="C640" s="53" t="s">
        <v>1250</v>
      </c>
      <c r="D640" s="37">
        <v>295</v>
      </c>
      <c r="E640" s="37" t="s">
        <v>556</v>
      </c>
      <c r="F640" s="110" t="s">
        <v>12</v>
      </c>
      <c r="G640" s="125"/>
      <c r="H640" s="125"/>
      <c r="I640" s="125"/>
      <c r="J640" s="125"/>
      <c r="K640" s="126"/>
      <c r="L640" s="127"/>
      <c r="M640" s="128"/>
      <c r="N640" s="125"/>
      <c r="O640" s="126"/>
      <c r="P640" s="125"/>
      <c r="Q640" s="128"/>
      <c r="R640" s="125"/>
      <c r="S640" s="110">
        <v>30</v>
      </c>
      <c r="T640" s="40">
        <f t="shared" si="88"/>
        <v>6750</v>
      </c>
      <c r="U640" s="39"/>
      <c r="V640" s="40"/>
      <c r="W640" s="39"/>
      <c r="X640" s="40"/>
      <c r="Y640" s="39"/>
      <c r="Z640" s="40"/>
      <c r="AA640" s="39"/>
      <c r="AB640" s="40"/>
      <c r="AC640" s="39"/>
      <c r="AD640" s="40"/>
      <c r="AE640" s="39"/>
      <c r="AF640" s="40"/>
      <c r="AG640" s="39"/>
      <c r="AH640" s="40"/>
      <c r="AI640" s="39"/>
      <c r="AJ640" s="40"/>
      <c r="AK640" s="39"/>
      <c r="AL640" s="40"/>
      <c r="AM640" s="39"/>
      <c r="AN640" s="40"/>
      <c r="AO640" s="39"/>
      <c r="AP640" s="40"/>
      <c r="AQ640" s="84">
        <f t="shared" si="87"/>
        <v>30</v>
      </c>
      <c r="AR640" s="80">
        <v>225</v>
      </c>
      <c r="AS640" s="178">
        <f t="shared" si="89"/>
        <v>6750</v>
      </c>
    </row>
    <row r="641" spans="1:45" ht="28.5" hidden="1">
      <c r="A641" s="67">
        <v>615</v>
      </c>
      <c r="B641" s="37" t="s">
        <v>555</v>
      </c>
      <c r="C641" s="53" t="s">
        <v>1250</v>
      </c>
      <c r="D641" s="37">
        <v>295</v>
      </c>
      <c r="E641" s="37" t="s">
        <v>554</v>
      </c>
      <c r="F641" s="110" t="s">
        <v>12</v>
      </c>
      <c r="G641" s="125"/>
      <c r="H641" s="125"/>
      <c r="I641" s="125"/>
      <c r="J641" s="125"/>
      <c r="K641" s="126"/>
      <c r="L641" s="127"/>
      <c r="M641" s="128"/>
      <c r="N641" s="125"/>
      <c r="O641" s="126"/>
      <c r="P641" s="125"/>
      <c r="Q641" s="128"/>
      <c r="R641" s="125"/>
      <c r="S641" s="110">
        <v>30</v>
      </c>
      <c r="T641" s="40">
        <f t="shared" si="88"/>
        <v>6750</v>
      </c>
      <c r="U641" s="39"/>
      <c r="V641" s="40"/>
      <c r="W641" s="39"/>
      <c r="X641" s="40"/>
      <c r="Y641" s="39"/>
      <c r="Z641" s="40"/>
      <c r="AA641" s="39"/>
      <c r="AB641" s="40"/>
      <c r="AC641" s="39"/>
      <c r="AD641" s="40"/>
      <c r="AE641" s="39"/>
      <c r="AF641" s="40"/>
      <c r="AG641" s="39"/>
      <c r="AH641" s="40"/>
      <c r="AI641" s="39"/>
      <c r="AJ641" s="40"/>
      <c r="AK641" s="39"/>
      <c r="AL641" s="40"/>
      <c r="AM641" s="39"/>
      <c r="AN641" s="40"/>
      <c r="AO641" s="39"/>
      <c r="AP641" s="40"/>
      <c r="AQ641" s="84">
        <f t="shared" si="87"/>
        <v>30</v>
      </c>
      <c r="AR641" s="80">
        <v>225</v>
      </c>
      <c r="AS641" s="178">
        <f t="shared" si="89"/>
        <v>6750</v>
      </c>
    </row>
    <row r="642" spans="1:45" ht="28.5" hidden="1">
      <c r="A642" s="71">
        <v>616</v>
      </c>
      <c r="B642" s="37" t="s">
        <v>553</v>
      </c>
      <c r="C642" s="53" t="s">
        <v>1250</v>
      </c>
      <c r="D642" s="37">
        <v>295</v>
      </c>
      <c r="E642" s="37" t="s">
        <v>552</v>
      </c>
      <c r="F642" s="110" t="s">
        <v>12</v>
      </c>
      <c r="G642" s="125"/>
      <c r="H642" s="125"/>
      <c r="I642" s="125"/>
      <c r="J642" s="125"/>
      <c r="K642" s="126"/>
      <c r="L642" s="127"/>
      <c r="M642" s="128"/>
      <c r="N642" s="125"/>
      <c r="O642" s="126"/>
      <c r="P642" s="125"/>
      <c r="Q642" s="128"/>
      <c r="R642" s="125"/>
      <c r="S642" s="110">
        <v>30</v>
      </c>
      <c r="T642" s="40">
        <f t="shared" si="88"/>
        <v>6750</v>
      </c>
      <c r="U642" s="39"/>
      <c r="V642" s="40"/>
      <c r="W642" s="39"/>
      <c r="X642" s="40"/>
      <c r="Y642" s="39"/>
      <c r="Z642" s="40"/>
      <c r="AA642" s="39"/>
      <c r="AB642" s="40"/>
      <c r="AC642" s="39"/>
      <c r="AD642" s="40"/>
      <c r="AE642" s="39"/>
      <c r="AF642" s="40"/>
      <c r="AG642" s="39"/>
      <c r="AH642" s="40"/>
      <c r="AI642" s="39"/>
      <c r="AJ642" s="40"/>
      <c r="AK642" s="39"/>
      <c r="AL642" s="40"/>
      <c r="AM642" s="39"/>
      <c r="AN642" s="40"/>
      <c r="AO642" s="39"/>
      <c r="AP642" s="40"/>
      <c r="AQ642" s="84">
        <f t="shared" si="87"/>
        <v>30</v>
      </c>
      <c r="AR642" s="80">
        <v>225</v>
      </c>
      <c r="AS642" s="178">
        <f t="shared" si="89"/>
        <v>6750</v>
      </c>
    </row>
    <row r="643" spans="1:45" ht="28.5" hidden="1">
      <c r="A643" s="67">
        <v>617</v>
      </c>
      <c r="B643" s="37" t="s">
        <v>551</v>
      </c>
      <c r="C643" s="53" t="s">
        <v>1250</v>
      </c>
      <c r="D643" s="37">
        <v>295</v>
      </c>
      <c r="E643" s="37" t="s">
        <v>550</v>
      </c>
      <c r="F643" s="110" t="s">
        <v>12</v>
      </c>
      <c r="G643" s="125"/>
      <c r="H643" s="125"/>
      <c r="I643" s="125"/>
      <c r="J643" s="125"/>
      <c r="K643" s="126"/>
      <c r="L643" s="127"/>
      <c r="M643" s="128"/>
      <c r="N643" s="125"/>
      <c r="O643" s="126"/>
      <c r="P643" s="125"/>
      <c r="Q643" s="128"/>
      <c r="R643" s="125"/>
      <c r="S643" s="110">
        <v>30</v>
      </c>
      <c r="T643" s="40">
        <f t="shared" si="88"/>
        <v>67176</v>
      </c>
      <c r="U643" s="39"/>
      <c r="V643" s="40"/>
      <c r="W643" s="39"/>
      <c r="X643" s="40"/>
      <c r="Y643" s="39"/>
      <c r="Z643" s="40"/>
      <c r="AA643" s="39"/>
      <c r="AB643" s="40"/>
      <c r="AC643" s="39"/>
      <c r="AD643" s="40"/>
      <c r="AE643" s="39"/>
      <c r="AF643" s="40"/>
      <c r="AG643" s="39"/>
      <c r="AH643" s="40"/>
      <c r="AI643" s="39"/>
      <c r="AJ643" s="40"/>
      <c r="AK643" s="39"/>
      <c r="AL643" s="40"/>
      <c r="AM643" s="39"/>
      <c r="AN643" s="40"/>
      <c r="AO643" s="39"/>
      <c r="AP643" s="40"/>
      <c r="AQ643" s="84">
        <f t="shared" si="87"/>
        <v>30</v>
      </c>
      <c r="AR643" s="80">
        <v>2239.1999999999998</v>
      </c>
      <c r="AS643" s="178">
        <f t="shared" si="89"/>
        <v>67176</v>
      </c>
    </row>
    <row r="644" spans="1:45" ht="28.5" hidden="1">
      <c r="A644" s="71">
        <v>618</v>
      </c>
      <c r="B644" s="37" t="s">
        <v>549</v>
      </c>
      <c r="C644" s="53" t="s">
        <v>1250</v>
      </c>
      <c r="D644" s="37">
        <v>295</v>
      </c>
      <c r="E644" s="37" t="s">
        <v>548</v>
      </c>
      <c r="F644" s="110" t="s">
        <v>12</v>
      </c>
      <c r="G644" s="125"/>
      <c r="H644" s="125"/>
      <c r="I644" s="125"/>
      <c r="J644" s="125"/>
      <c r="K644" s="126"/>
      <c r="L644" s="127"/>
      <c r="M644" s="128"/>
      <c r="N644" s="125"/>
      <c r="O644" s="126"/>
      <c r="P644" s="125"/>
      <c r="Q644" s="128"/>
      <c r="R644" s="125"/>
      <c r="S644" s="110">
        <v>30</v>
      </c>
      <c r="T644" s="40">
        <f t="shared" si="88"/>
        <v>6075</v>
      </c>
      <c r="U644" s="39"/>
      <c r="V644" s="40"/>
      <c r="W644" s="39"/>
      <c r="X644" s="40"/>
      <c r="Y644" s="39"/>
      <c r="Z644" s="40"/>
      <c r="AA644" s="39"/>
      <c r="AB644" s="40"/>
      <c r="AC644" s="39"/>
      <c r="AD644" s="40"/>
      <c r="AE644" s="39"/>
      <c r="AF644" s="40"/>
      <c r="AG644" s="39"/>
      <c r="AH644" s="40"/>
      <c r="AI644" s="39"/>
      <c r="AJ644" s="40"/>
      <c r="AK644" s="39"/>
      <c r="AL644" s="40"/>
      <c r="AM644" s="39"/>
      <c r="AN644" s="40"/>
      <c r="AO644" s="39"/>
      <c r="AP644" s="40"/>
      <c r="AQ644" s="84">
        <f t="shared" si="87"/>
        <v>30</v>
      </c>
      <c r="AR644" s="80">
        <v>202.5</v>
      </c>
      <c r="AS644" s="178">
        <f t="shared" si="89"/>
        <v>6075</v>
      </c>
    </row>
    <row r="645" spans="1:45" ht="28.5" hidden="1">
      <c r="A645" s="67">
        <v>619</v>
      </c>
      <c r="B645" s="37" t="s">
        <v>547</v>
      </c>
      <c r="C645" s="53" t="s">
        <v>1250</v>
      </c>
      <c r="D645" s="37">
        <v>295</v>
      </c>
      <c r="E645" s="37" t="s">
        <v>546</v>
      </c>
      <c r="F645" s="110" t="s">
        <v>12</v>
      </c>
      <c r="G645" s="125"/>
      <c r="H645" s="125"/>
      <c r="I645" s="125"/>
      <c r="J645" s="125"/>
      <c r="K645" s="126"/>
      <c r="L645" s="127"/>
      <c r="M645" s="128"/>
      <c r="N645" s="125"/>
      <c r="O645" s="126"/>
      <c r="P645" s="125"/>
      <c r="Q645" s="128"/>
      <c r="R645" s="125"/>
      <c r="S645" s="110">
        <v>30</v>
      </c>
      <c r="T645" s="40">
        <f t="shared" si="88"/>
        <v>56250</v>
      </c>
      <c r="U645" s="39"/>
      <c r="V645" s="40"/>
      <c r="W645" s="39"/>
      <c r="X645" s="40"/>
      <c r="Y645" s="39"/>
      <c r="Z645" s="40"/>
      <c r="AA645" s="39"/>
      <c r="AB645" s="40"/>
      <c r="AC645" s="39"/>
      <c r="AD645" s="40"/>
      <c r="AE645" s="39"/>
      <c r="AF645" s="40"/>
      <c r="AG645" s="39"/>
      <c r="AH645" s="40"/>
      <c r="AI645" s="39"/>
      <c r="AJ645" s="40"/>
      <c r="AK645" s="39"/>
      <c r="AL645" s="40"/>
      <c r="AM645" s="39"/>
      <c r="AN645" s="40"/>
      <c r="AO645" s="39"/>
      <c r="AP645" s="40"/>
      <c r="AQ645" s="84">
        <f t="shared" si="87"/>
        <v>30</v>
      </c>
      <c r="AR645" s="80">
        <v>1875</v>
      </c>
      <c r="AS645" s="178">
        <f t="shared" si="89"/>
        <v>56250</v>
      </c>
    </row>
    <row r="646" spans="1:45" ht="28.5" hidden="1">
      <c r="A646" s="71">
        <v>620</v>
      </c>
      <c r="B646" s="37" t="s">
        <v>545</v>
      </c>
      <c r="C646" s="53" t="s">
        <v>1250</v>
      </c>
      <c r="D646" s="37">
        <v>295</v>
      </c>
      <c r="E646" s="37" t="s">
        <v>544</v>
      </c>
      <c r="F646" s="110" t="s">
        <v>12</v>
      </c>
      <c r="G646" s="125"/>
      <c r="H646" s="125"/>
      <c r="I646" s="125"/>
      <c r="J646" s="125"/>
      <c r="K646" s="126"/>
      <c r="L646" s="127"/>
      <c r="M646" s="128"/>
      <c r="N646" s="125"/>
      <c r="O646" s="126"/>
      <c r="P646" s="125"/>
      <c r="Q646" s="128"/>
      <c r="R646" s="125"/>
      <c r="S646" s="110">
        <v>30</v>
      </c>
      <c r="T646" s="40">
        <f t="shared" si="88"/>
        <v>56250</v>
      </c>
      <c r="U646" s="39"/>
      <c r="V646" s="40"/>
      <c r="W646" s="39"/>
      <c r="X646" s="40"/>
      <c r="Y646" s="39"/>
      <c r="Z646" s="40"/>
      <c r="AA646" s="39"/>
      <c r="AB646" s="40"/>
      <c r="AC646" s="39"/>
      <c r="AD646" s="40"/>
      <c r="AE646" s="39"/>
      <c r="AF646" s="40"/>
      <c r="AG646" s="39"/>
      <c r="AH646" s="40"/>
      <c r="AI646" s="39"/>
      <c r="AJ646" s="40"/>
      <c r="AK646" s="39"/>
      <c r="AL646" s="40"/>
      <c r="AM646" s="39"/>
      <c r="AN646" s="40"/>
      <c r="AO646" s="39"/>
      <c r="AP646" s="40"/>
      <c r="AQ646" s="84">
        <f t="shared" si="87"/>
        <v>30</v>
      </c>
      <c r="AR646" s="80">
        <v>1875</v>
      </c>
      <c r="AS646" s="178">
        <f t="shared" si="89"/>
        <v>56250</v>
      </c>
    </row>
    <row r="647" spans="1:45" ht="28.5" hidden="1">
      <c r="A647" s="67">
        <v>621</v>
      </c>
      <c r="B647" s="37" t="s">
        <v>543</v>
      </c>
      <c r="C647" s="53" t="s">
        <v>1250</v>
      </c>
      <c r="D647" s="37">
        <v>295</v>
      </c>
      <c r="E647" s="37" t="s">
        <v>542</v>
      </c>
      <c r="F647" s="110" t="s">
        <v>12</v>
      </c>
      <c r="G647" s="125"/>
      <c r="H647" s="125"/>
      <c r="I647" s="125"/>
      <c r="J647" s="125"/>
      <c r="K647" s="126"/>
      <c r="L647" s="127"/>
      <c r="M647" s="128"/>
      <c r="N647" s="125"/>
      <c r="O647" s="126"/>
      <c r="P647" s="125"/>
      <c r="Q647" s="128"/>
      <c r="R647" s="125"/>
      <c r="S647" s="110">
        <v>15</v>
      </c>
      <c r="T647" s="40">
        <f t="shared" si="88"/>
        <v>54225</v>
      </c>
      <c r="U647" s="39"/>
      <c r="V647" s="40"/>
      <c r="W647" s="39"/>
      <c r="X647" s="40"/>
      <c r="Y647" s="39"/>
      <c r="Z647" s="40"/>
      <c r="AA647" s="39"/>
      <c r="AB647" s="40"/>
      <c r="AC647" s="39"/>
      <c r="AD647" s="40"/>
      <c r="AE647" s="39"/>
      <c r="AF647" s="40"/>
      <c r="AG647" s="39"/>
      <c r="AH647" s="40"/>
      <c r="AI647" s="39"/>
      <c r="AJ647" s="40"/>
      <c r="AK647" s="39"/>
      <c r="AL647" s="40"/>
      <c r="AM647" s="39"/>
      <c r="AN647" s="40"/>
      <c r="AO647" s="39"/>
      <c r="AP647" s="40"/>
      <c r="AQ647" s="84">
        <f t="shared" si="87"/>
        <v>15</v>
      </c>
      <c r="AR647" s="80">
        <v>3615</v>
      </c>
      <c r="AS647" s="178">
        <f t="shared" si="89"/>
        <v>54225</v>
      </c>
    </row>
    <row r="648" spans="1:45" ht="28.5" hidden="1">
      <c r="A648" s="71">
        <v>622</v>
      </c>
      <c r="B648" s="37" t="s">
        <v>541</v>
      </c>
      <c r="C648" s="53" t="s">
        <v>1250</v>
      </c>
      <c r="D648" s="37">
        <v>295</v>
      </c>
      <c r="E648" s="37" t="s">
        <v>540</v>
      </c>
      <c r="F648" s="110" t="s">
        <v>12</v>
      </c>
      <c r="G648" s="125"/>
      <c r="H648" s="125"/>
      <c r="I648" s="125"/>
      <c r="J648" s="125"/>
      <c r="K648" s="126"/>
      <c r="L648" s="127"/>
      <c r="M648" s="128"/>
      <c r="N648" s="125"/>
      <c r="O648" s="126"/>
      <c r="P648" s="125"/>
      <c r="Q648" s="128"/>
      <c r="R648" s="125"/>
      <c r="S648" s="110">
        <v>20</v>
      </c>
      <c r="T648" s="40">
        <f t="shared" si="88"/>
        <v>68700</v>
      </c>
      <c r="U648" s="39"/>
      <c r="V648" s="40"/>
      <c r="W648" s="39"/>
      <c r="X648" s="40"/>
      <c r="Y648" s="39"/>
      <c r="Z648" s="40"/>
      <c r="AA648" s="39"/>
      <c r="AB648" s="40"/>
      <c r="AC648" s="39"/>
      <c r="AD648" s="40"/>
      <c r="AE648" s="39"/>
      <c r="AF648" s="40"/>
      <c r="AG648" s="39"/>
      <c r="AH648" s="40"/>
      <c r="AI648" s="39"/>
      <c r="AJ648" s="40"/>
      <c r="AK648" s="39"/>
      <c r="AL648" s="40"/>
      <c r="AM648" s="39"/>
      <c r="AN648" s="40"/>
      <c r="AO648" s="39"/>
      <c r="AP648" s="40"/>
      <c r="AQ648" s="84">
        <f t="shared" si="87"/>
        <v>20</v>
      </c>
      <c r="AR648" s="80">
        <v>3435</v>
      </c>
      <c r="AS648" s="178">
        <f t="shared" si="89"/>
        <v>68700</v>
      </c>
    </row>
    <row r="649" spans="1:45" ht="28.5" hidden="1">
      <c r="A649" s="67">
        <v>623</v>
      </c>
      <c r="B649" s="37" t="s">
        <v>539</v>
      </c>
      <c r="C649" s="53" t="s">
        <v>1250</v>
      </c>
      <c r="D649" s="37">
        <v>295</v>
      </c>
      <c r="E649" s="37" t="s">
        <v>538</v>
      </c>
      <c r="F649" s="110" t="s">
        <v>12</v>
      </c>
      <c r="G649" s="125"/>
      <c r="H649" s="125"/>
      <c r="I649" s="125"/>
      <c r="J649" s="125"/>
      <c r="K649" s="126"/>
      <c r="L649" s="127"/>
      <c r="M649" s="128"/>
      <c r="N649" s="125"/>
      <c r="O649" s="126"/>
      <c r="P649" s="125"/>
      <c r="Q649" s="128"/>
      <c r="R649" s="125"/>
      <c r="S649" s="110">
        <v>20</v>
      </c>
      <c r="T649" s="40">
        <f t="shared" si="88"/>
        <v>129876</v>
      </c>
      <c r="U649" s="39"/>
      <c r="V649" s="40"/>
      <c r="W649" s="39"/>
      <c r="X649" s="40"/>
      <c r="Y649" s="39"/>
      <c r="Z649" s="40"/>
      <c r="AA649" s="39"/>
      <c r="AB649" s="40"/>
      <c r="AC649" s="39"/>
      <c r="AD649" s="40"/>
      <c r="AE649" s="39"/>
      <c r="AF649" s="40"/>
      <c r="AG649" s="39"/>
      <c r="AH649" s="40"/>
      <c r="AI649" s="39"/>
      <c r="AJ649" s="40"/>
      <c r="AK649" s="39"/>
      <c r="AL649" s="40"/>
      <c r="AM649" s="39"/>
      <c r="AN649" s="40"/>
      <c r="AO649" s="39"/>
      <c r="AP649" s="40"/>
      <c r="AQ649" s="84">
        <f t="shared" si="87"/>
        <v>20</v>
      </c>
      <c r="AR649" s="80">
        <v>6493.8</v>
      </c>
      <c r="AS649" s="178">
        <f t="shared" si="89"/>
        <v>129876</v>
      </c>
    </row>
    <row r="650" spans="1:45" ht="28.5" hidden="1">
      <c r="A650" s="71">
        <v>624</v>
      </c>
      <c r="B650" s="37" t="s">
        <v>537</v>
      </c>
      <c r="C650" s="53" t="s">
        <v>1250</v>
      </c>
      <c r="D650" s="37">
        <v>295</v>
      </c>
      <c r="E650" s="37" t="s">
        <v>536</v>
      </c>
      <c r="F650" s="110" t="s">
        <v>12</v>
      </c>
      <c r="G650" s="125"/>
      <c r="H650" s="125"/>
      <c r="I650" s="125"/>
      <c r="J650" s="125"/>
      <c r="K650" s="126"/>
      <c r="L650" s="127"/>
      <c r="M650" s="128"/>
      <c r="N650" s="125"/>
      <c r="O650" s="126"/>
      <c r="P650" s="125"/>
      <c r="Q650" s="128"/>
      <c r="R650" s="125"/>
      <c r="S650" s="110">
        <v>20</v>
      </c>
      <c r="T650" s="40">
        <f t="shared" si="88"/>
        <v>27900</v>
      </c>
      <c r="U650" s="39"/>
      <c r="V650" s="40"/>
      <c r="W650" s="39"/>
      <c r="X650" s="40"/>
      <c r="Y650" s="39"/>
      <c r="Z650" s="40"/>
      <c r="AA650" s="39"/>
      <c r="AB650" s="40"/>
      <c r="AC650" s="39"/>
      <c r="AD650" s="40"/>
      <c r="AE650" s="39"/>
      <c r="AF650" s="40"/>
      <c r="AG650" s="39"/>
      <c r="AH650" s="40"/>
      <c r="AI650" s="39"/>
      <c r="AJ650" s="40"/>
      <c r="AK650" s="39"/>
      <c r="AL650" s="40"/>
      <c r="AM650" s="39"/>
      <c r="AN650" s="40"/>
      <c r="AO650" s="39"/>
      <c r="AP650" s="40"/>
      <c r="AQ650" s="84">
        <f t="shared" si="87"/>
        <v>20</v>
      </c>
      <c r="AR650" s="80">
        <v>1395</v>
      </c>
      <c r="AS650" s="178">
        <f t="shared" si="89"/>
        <v>27900</v>
      </c>
    </row>
    <row r="651" spans="1:45" ht="28.5" hidden="1">
      <c r="A651" s="67">
        <v>625</v>
      </c>
      <c r="B651" s="37" t="s">
        <v>535</v>
      </c>
      <c r="C651" s="53" t="s">
        <v>1250</v>
      </c>
      <c r="D651" s="37">
        <v>295</v>
      </c>
      <c r="E651" s="37" t="s">
        <v>534</v>
      </c>
      <c r="F651" s="110" t="s">
        <v>12</v>
      </c>
      <c r="G651" s="125"/>
      <c r="H651" s="125"/>
      <c r="I651" s="125"/>
      <c r="J651" s="125"/>
      <c r="K651" s="126"/>
      <c r="L651" s="127"/>
      <c r="M651" s="128"/>
      <c r="N651" s="125"/>
      <c r="O651" s="126"/>
      <c r="P651" s="125"/>
      <c r="Q651" s="128"/>
      <c r="R651" s="125"/>
      <c r="S651" s="110">
        <v>15</v>
      </c>
      <c r="T651" s="40">
        <f t="shared" si="88"/>
        <v>8100</v>
      </c>
      <c r="U651" s="39"/>
      <c r="V651" s="40"/>
      <c r="W651" s="39"/>
      <c r="X651" s="40"/>
      <c r="Y651" s="39"/>
      <c r="Z651" s="40"/>
      <c r="AA651" s="39"/>
      <c r="AB651" s="40"/>
      <c r="AC651" s="39"/>
      <c r="AD651" s="40"/>
      <c r="AE651" s="39"/>
      <c r="AF651" s="40"/>
      <c r="AG651" s="39"/>
      <c r="AH651" s="40"/>
      <c r="AI651" s="39"/>
      <c r="AJ651" s="40"/>
      <c r="AK651" s="39"/>
      <c r="AL651" s="40"/>
      <c r="AM651" s="39"/>
      <c r="AN651" s="40"/>
      <c r="AO651" s="39"/>
      <c r="AP651" s="40"/>
      <c r="AQ651" s="84">
        <f t="shared" si="87"/>
        <v>15</v>
      </c>
      <c r="AR651" s="80">
        <v>540</v>
      </c>
      <c r="AS651" s="178">
        <f t="shared" si="89"/>
        <v>8100</v>
      </c>
    </row>
    <row r="652" spans="1:45" ht="28.5" hidden="1">
      <c r="A652" s="71">
        <v>626</v>
      </c>
      <c r="B652" s="37" t="s">
        <v>533</v>
      </c>
      <c r="C652" s="53" t="s">
        <v>1250</v>
      </c>
      <c r="D652" s="37">
        <v>295</v>
      </c>
      <c r="E652" s="37" t="s">
        <v>532</v>
      </c>
      <c r="F652" s="110" t="s">
        <v>12</v>
      </c>
      <c r="G652" s="125"/>
      <c r="H652" s="125"/>
      <c r="I652" s="125"/>
      <c r="J652" s="125"/>
      <c r="K652" s="126"/>
      <c r="L652" s="127"/>
      <c r="M652" s="128"/>
      <c r="N652" s="125"/>
      <c r="O652" s="126"/>
      <c r="P652" s="125"/>
      <c r="Q652" s="128"/>
      <c r="R652" s="125"/>
      <c r="S652" s="110">
        <v>10</v>
      </c>
      <c r="T652" s="40">
        <f t="shared" si="88"/>
        <v>17643.2</v>
      </c>
      <c r="U652" s="39"/>
      <c r="V652" s="40"/>
      <c r="W652" s="39"/>
      <c r="X652" s="40"/>
      <c r="Y652" s="39"/>
      <c r="Z652" s="40"/>
      <c r="AA652" s="39"/>
      <c r="AB652" s="40"/>
      <c r="AC652" s="39"/>
      <c r="AD652" s="40"/>
      <c r="AE652" s="39"/>
      <c r="AF652" s="40"/>
      <c r="AG652" s="39"/>
      <c r="AH652" s="40"/>
      <c r="AI652" s="39"/>
      <c r="AJ652" s="40"/>
      <c r="AK652" s="39"/>
      <c r="AL652" s="40"/>
      <c r="AM652" s="39"/>
      <c r="AN652" s="40"/>
      <c r="AO652" s="39"/>
      <c r="AP652" s="40"/>
      <c r="AQ652" s="84">
        <f t="shared" si="87"/>
        <v>10</v>
      </c>
      <c r="AR652" s="80">
        <v>1764.32</v>
      </c>
      <c r="AS652" s="178">
        <f t="shared" si="89"/>
        <v>17643.2</v>
      </c>
    </row>
    <row r="653" spans="1:45" ht="28.5" hidden="1">
      <c r="A653" s="67">
        <v>627</v>
      </c>
      <c r="B653" s="37" t="s">
        <v>531</v>
      </c>
      <c r="C653" s="53" t="s">
        <v>1250</v>
      </c>
      <c r="D653" s="37">
        <v>295</v>
      </c>
      <c r="E653" s="37" t="s">
        <v>530</v>
      </c>
      <c r="F653" s="110" t="s">
        <v>12</v>
      </c>
      <c r="G653" s="125"/>
      <c r="H653" s="125"/>
      <c r="I653" s="125"/>
      <c r="J653" s="125"/>
      <c r="K653" s="126"/>
      <c r="L653" s="127"/>
      <c r="M653" s="128"/>
      <c r="N653" s="125"/>
      <c r="O653" s="126"/>
      <c r="P653" s="125"/>
      <c r="Q653" s="128"/>
      <c r="R653" s="125"/>
      <c r="S653" s="110">
        <v>5</v>
      </c>
      <c r="T653" s="40">
        <f t="shared" si="88"/>
        <v>1392.25</v>
      </c>
      <c r="U653" s="39"/>
      <c r="V653" s="40"/>
      <c r="W653" s="39"/>
      <c r="X653" s="40"/>
      <c r="Y653" s="39"/>
      <c r="Z653" s="40"/>
      <c r="AA653" s="39"/>
      <c r="AB653" s="40"/>
      <c r="AC653" s="39"/>
      <c r="AD653" s="40"/>
      <c r="AE653" s="39"/>
      <c r="AF653" s="40"/>
      <c r="AG653" s="39"/>
      <c r="AH653" s="40"/>
      <c r="AI653" s="39"/>
      <c r="AJ653" s="40"/>
      <c r="AK653" s="39"/>
      <c r="AL653" s="40"/>
      <c r="AM653" s="39"/>
      <c r="AN653" s="40"/>
      <c r="AO653" s="39"/>
      <c r="AP653" s="40"/>
      <c r="AQ653" s="84">
        <f t="shared" si="87"/>
        <v>5</v>
      </c>
      <c r="AR653" s="80">
        <v>278.45</v>
      </c>
      <c r="AS653" s="178">
        <f t="shared" si="89"/>
        <v>1392.25</v>
      </c>
    </row>
    <row r="654" spans="1:45" ht="28.5" hidden="1">
      <c r="A654" s="71">
        <v>628</v>
      </c>
      <c r="B654" s="37" t="s">
        <v>529</v>
      </c>
      <c r="C654" s="53" t="s">
        <v>1250</v>
      </c>
      <c r="D654" s="37">
        <v>295</v>
      </c>
      <c r="E654" s="37" t="s">
        <v>528</v>
      </c>
      <c r="F654" s="110" t="s">
        <v>12</v>
      </c>
      <c r="G654" s="125"/>
      <c r="H654" s="125"/>
      <c r="I654" s="125"/>
      <c r="J654" s="125"/>
      <c r="K654" s="126"/>
      <c r="L654" s="127"/>
      <c r="M654" s="128"/>
      <c r="N654" s="125"/>
      <c r="O654" s="126"/>
      <c r="P654" s="125"/>
      <c r="Q654" s="128"/>
      <c r="R654" s="125"/>
      <c r="S654" s="110">
        <v>10</v>
      </c>
      <c r="T654" s="40">
        <f t="shared" si="88"/>
        <v>6480</v>
      </c>
      <c r="U654" s="39"/>
      <c r="V654" s="40"/>
      <c r="W654" s="39"/>
      <c r="X654" s="40"/>
      <c r="Y654" s="39"/>
      <c r="Z654" s="40"/>
      <c r="AA654" s="39"/>
      <c r="AB654" s="40"/>
      <c r="AC654" s="39"/>
      <c r="AD654" s="40"/>
      <c r="AE654" s="39"/>
      <c r="AF654" s="40"/>
      <c r="AG654" s="39"/>
      <c r="AH654" s="40"/>
      <c r="AI654" s="39"/>
      <c r="AJ654" s="40"/>
      <c r="AK654" s="39"/>
      <c r="AL654" s="40"/>
      <c r="AM654" s="39"/>
      <c r="AN654" s="40"/>
      <c r="AO654" s="39"/>
      <c r="AP654" s="40"/>
      <c r="AQ654" s="84">
        <f t="shared" si="87"/>
        <v>10</v>
      </c>
      <c r="AR654" s="80">
        <v>648</v>
      </c>
      <c r="AS654" s="178">
        <f t="shared" si="89"/>
        <v>6480</v>
      </c>
    </row>
    <row r="655" spans="1:45" ht="28.5" hidden="1">
      <c r="A655" s="67">
        <v>629</v>
      </c>
      <c r="B655" s="37" t="s">
        <v>527</v>
      </c>
      <c r="C655" s="53" t="s">
        <v>1250</v>
      </c>
      <c r="D655" s="37">
        <v>295</v>
      </c>
      <c r="E655" s="37" t="s">
        <v>526</v>
      </c>
      <c r="F655" s="110" t="s">
        <v>12</v>
      </c>
      <c r="G655" s="125"/>
      <c r="H655" s="125"/>
      <c r="I655" s="125"/>
      <c r="J655" s="125"/>
      <c r="K655" s="126"/>
      <c r="L655" s="127"/>
      <c r="M655" s="128"/>
      <c r="N655" s="125"/>
      <c r="O655" s="126"/>
      <c r="P655" s="125"/>
      <c r="Q655" s="128"/>
      <c r="R655" s="125"/>
      <c r="S655" s="110">
        <v>100</v>
      </c>
      <c r="T655" s="40">
        <f t="shared" si="88"/>
        <v>72089</v>
      </c>
      <c r="U655" s="39"/>
      <c r="V655" s="40"/>
      <c r="W655" s="39"/>
      <c r="X655" s="40"/>
      <c r="Y655" s="39"/>
      <c r="Z655" s="40"/>
      <c r="AA655" s="39"/>
      <c r="AB655" s="40"/>
      <c r="AC655" s="39"/>
      <c r="AD655" s="40"/>
      <c r="AE655" s="39"/>
      <c r="AF655" s="40"/>
      <c r="AG655" s="39"/>
      <c r="AH655" s="40"/>
      <c r="AI655" s="39"/>
      <c r="AJ655" s="40"/>
      <c r="AK655" s="39"/>
      <c r="AL655" s="40"/>
      <c r="AM655" s="39"/>
      <c r="AN655" s="40"/>
      <c r="AO655" s="39"/>
      <c r="AP655" s="40"/>
      <c r="AQ655" s="84">
        <f t="shared" si="87"/>
        <v>100</v>
      </c>
      <c r="AR655" s="80">
        <v>720.89</v>
      </c>
      <c r="AS655" s="178">
        <f t="shared" si="89"/>
        <v>72089</v>
      </c>
    </row>
    <row r="656" spans="1:45" ht="28.5" hidden="1">
      <c r="A656" s="71">
        <v>630</v>
      </c>
      <c r="B656" s="37" t="s">
        <v>525</v>
      </c>
      <c r="C656" s="53" t="s">
        <v>1250</v>
      </c>
      <c r="D656" s="37">
        <v>295</v>
      </c>
      <c r="E656" s="37" t="s">
        <v>524</v>
      </c>
      <c r="F656" s="110" t="s">
        <v>12</v>
      </c>
      <c r="G656" s="125"/>
      <c r="H656" s="125"/>
      <c r="I656" s="125"/>
      <c r="J656" s="125"/>
      <c r="K656" s="126"/>
      <c r="L656" s="127"/>
      <c r="M656" s="128"/>
      <c r="N656" s="125"/>
      <c r="O656" s="126"/>
      <c r="P656" s="125"/>
      <c r="Q656" s="128"/>
      <c r="R656" s="125"/>
      <c r="S656" s="110">
        <v>10</v>
      </c>
      <c r="T656" s="40">
        <f t="shared" si="88"/>
        <v>7776</v>
      </c>
      <c r="U656" s="39"/>
      <c r="V656" s="40"/>
      <c r="W656" s="39"/>
      <c r="X656" s="40"/>
      <c r="Y656" s="39"/>
      <c r="Z656" s="40"/>
      <c r="AA656" s="39"/>
      <c r="AB656" s="40"/>
      <c r="AC656" s="39"/>
      <c r="AD656" s="40"/>
      <c r="AE656" s="39"/>
      <c r="AF656" s="40"/>
      <c r="AG656" s="39"/>
      <c r="AH656" s="40"/>
      <c r="AI656" s="39"/>
      <c r="AJ656" s="40"/>
      <c r="AK656" s="39"/>
      <c r="AL656" s="40"/>
      <c r="AM656" s="39"/>
      <c r="AN656" s="40"/>
      <c r="AO656" s="39"/>
      <c r="AP656" s="40"/>
      <c r="AQ656" s="84">
        <f t="shared" si="87"/>
        <v>10</v>
      </c>
      <c r="AR656" s="80">
        <v>777.6</v>
      </c>
      <c r="AS656" s="178">
        <f t="shared" si="89"/>
        <v>7776</v>
      </c>
    </row>
    <row r="657" spans="1:45" ht="28.5" hidden="1">
      <c r="A657" s="67">
        <v>631</v>
      </c>
      <c r="B657" s="37" t="s">
        <v>523</v>
      </c>
      <c r="C657" s="53" t="s">
        <v>1250</v>
      </c>
      <c r="D657" s="37">
        <v>295</v>
      </c>
      <c r="E657" s="37" t="s">
        <v>522</v>
      </c>
      <c r="F657" s="110" t="s">
        <v>12</v>
      </c>
      <c r="G657" s="125"/>
      <c r="H657" s="125"/>
      <c r="I657" s="125"/>
      <c r="J657" s="125"/>
      <c r="K657" s="126"/>
      <c r="L657" s="127"/>
      <c r="M657" s="128"/>
      <c r="N657" s="125"/>
      <c r="O657" s="126"/>
      <c r="P657" s="125"/>
      <c r="Q657" s="128"/>
      <c r="R657" s="125"/>
      <c r="S657" s="110">
        <v>20</v>
      </c>
      <c r="T657" s="40">
        <f t="shared" si="88"/>
        <v>10155.4</v>
      </c>
      <c r="U657" s="39"/>
      <c r="V657" s="40"/>
      <c r="W657" s="39"/>
      <c r="X657" s="40"/>
      <c r="Y657" s="39"/>
      <c r="Z657" s="40"/>
      <c r="AA657" s="39"/>
      <c r="AB657" s="40"/>
      <c r="AC657" s="39"/>
      <c r="AD657" s="40"/>
      <c r="AE657" s="39"/>
      <c r="AF657" s="40"/>
      <c r="AG657" s="39"/>
      <c r="AH657" s="40"/>
      <c r="AI657" s="39"/>
      <c r="AJ657" s="40"/>
      <c r="AK657" s="39"/>
      <c r="AL657" s="40"/>
      <c r="AM657" s="39"/>
      <c r="AN657" s="40"/>
      <c r="AO657" s="39"/>
      <c r="AP657" s="40"/>
      <c r="AQ657" s="84">
        <f t="shared" si="87"/>
        <v>20</v>
      </c>
      <c r="AR657" s="80">
        <v>507.77</v>
      </c>
      <c r="AS657" s="178">
        <f t="shared" si="89"/>
        <v>10155.4</v>
      </c>
    </row>
    <row r="658" spans="1:45" ht="28.5" hidden="1">
      <c r="A658" s="71">
        <v>632</v>
      </c>
      <c r="B658" s="37" t="s">
        <v>521</v>
      </c>
      <c r="C658" s="53" t="s">
        <v>1250</v>
      </c>
      <c r="D658" s="37">
        <v>295</v>
      </c>
      <c r="E658" s="37" t="s">
        <v>520</v>
      </c>
      <c r="F658" s="110" t="s">
        <v>12</v>
      </c>
      <c r="G658" s="125"/>
      <c r="H658" s="125"/>
      <c r="I658" s="125"/>
      <c r="J658" s="125"/>
      <c r="K658" s="126"/>
      <c r="L658" s="127"/>
      <c r="M658" s="128"/>
      <c r="N658" s="125"/>
      <c r="O658" s="126"/>
      <c r="P658" s="125"/>
      <c r="Q658" s="128"/>
      <c r="R658" s="125"/>
      <c r="S658" s="110">
        <v>10</v>
      </c>
      <c r="T658" s="40">
        <f t="shared" si="88"/>
        <v>33900</v>
      </c>
      <c r="U658" s="39"/>
      <c r="V658" s="40"/>
      <c r="W658" s="39"/>
      <c r="X658" s="40"/>
      <c r="Y658" s="39"/>
      <c r="Z658" s="40"/>
      <c r="AA658" s="39"/>
      <c r="AB658" s="40"/>
      <c r="AC658" s="39"/>
      <c r="AD658" s="40"/>
      <c r="AE658" s="39"/>
      <c r="AF658" s="40"/>
      <c r="AG658" s="39"/>
      <c r="AH658" s="40"/>
      <c r="AI658" s="39"/>
      <c r="AJ658" s="40"/>
      <c r="AK658" s="39"/>
      <c r="AL658" s="40"/>
      <c r="AM658" s="39"/>
      <c r="AN658" s="40"/>
      <c r="AO658" s="39"/>
      <c r="AP658" s="40"/>
      <c r="AQ658" s="84">
        <f t="shared" si="87"/>
        <v>10</v>
      </c>
      <c r="AR658" s="80">
        <v>3390</v>
      </c>
      <c r="AS658" s="178">
        <f t="shared" si="89"/>
        <v>33900</v>
      </c>
    </row>
    <row r="659" spans="1:45" ht="28.5" hidden="1">
      <c r="A659" s="67">
        <v>633</v>
      </c>
      <c r="B659" s="37" t="s">
        <v>519</v>
      </c>
      <c r="C659" s="53" t="s">
        <v>1250</v>
      </c>
      <c r="D659" s="37">
        <v>295</v>
      </c>
      <c r="E659" s="37" t="s">
        <v>518</v>
      </c>
      <c r="F659" s="110" t="s">
        <v>12</v>
      </c>
      <c r="G659" s="125"/>
      <c r="H659" s="125"/>
      <c r="I659" s="125"/>
      <c r="J659" s="125"/>
      <c r="K659" s="126"/>
      <c r="L659" s="127"/>
      <c r="M659" s="128"/>
      <c r="N659" s="125"/>
      <c r="O659" s="126"/>
      <c r="P659" s="125"/>
      <c r="Q659" s="128"/>
      <c r="R659" s="125"/>
      <c r="S659" s="110">
        <v>10</v>
      </c>
      <c r="T659" s="40">
        <f t="shared" si="88"/>
        <v>13623.599999999999</v>
      </c>
      <c r="U659" s="39"/>
      <c r="V659" s="40"/>
      <c r="W659" s="39"/>
      <c r="X659" s="40"/>
      <c r="Y659" s="39"/>
      <c r="Z659" s="40"/>
      <c r="AA659" s="39"/>
      <c r="AB659" s="40"/>
      <c r="AC659" s="39"/>
      <c r="AD659" s="40"/>
      <c r="AE659" s="39"/>
      <c r="AF659" s="40"/>
      <c r="AG659" s="39"/>
      <c r="AH659" s="40"/>
      <c r="AI659" s="39"/>
      <c r="AJ659" s="40"/>
      <c r="AK659" s="39"/>
      <c r="AL659" s="40"/>
      <c r="AM659" s="39"/>
      <c r="AN659" s="40"/>
      <c r="AO659" s="39"/>
      <c r="AP659" s="40"/>
      <c r="AQ659" s="84">
        <f t="shared" si="87"/>
        <v>10</v>
      </c>
      <c r="AR659" s="80">
        <v>1362.36</v>
      </c>
      <c r="AS659" s="178">
        <f t="shared" si="89"/>
        <v>13623.599999999999</v>
      </c>
    </row>
    <row r="660" spans="1:45" ht="28.5" hidden="1">
      <c r="A660" s="71">
        <v>634</v>
      </c>
      <c r="B660" s="37" t="s">
        <v>517</v>
      </c>
      <c r="C660" s="53" t="s">
        <v>1250</v>
      </c>
      <c r="D660" s="37">
        <v>295</v>
      </c>
      <c r="E660" s="37" t="s">
        <v>516</v>
      </c>
      <c r="F660" s="110" t="s">
        <v>12</v>
      </c>
      <c r="G660" s="125"/>
      <c r="H660" s="125"/>
      <c r="I660" s="125"/>
      <c r="J660" s="125"/>
      <c r="K660" s="126"/>
      <c r="L660" s="127"/>
      <c r="M660" s="128"/>
      <c r="N660" s="125"/>
      <c r="O660" s="126"/>
      <c r="P660" s="125"/>
      <c r="Q660" s="128"/>
      <c r="R660" s="125"/>
      <c r="S660" s="110">
        <v>10</v>
      </c>
      <c r="T660" s="40">
        <f t="shared" si="88"/>
        <v>13623.599999999999</v>
      </c>
      <c r="U660" s="39"/>
      <c r="V660" s="40"/>
      <c r="W660" s="39"/>
      <c r="X660" s="40"/>
      <c r="Y660" s="39"/>
      <c r="Z660" s="40"/>
      <c r="AA660" s="39"/>
      <c r="AB660" s="40"/>
      <c r="AC660" s="39"/>
      <c r="AD660" s="40"/>
      <c r="AE660" s="39"/>
      <c r="AF660" s="40"/>
      <c r="AG660" s="39"/>
      <c r="AH660" s="40"/>
      <c r="AI660" s="39"/>
      <c r="AJ660" s="40"/>
      <c r="AK660" s="39"/>
      <c r="AL660" s="40"/>
      <c r="AM660" s="39"/>
      <c r="AN660" s="40"/>
      <c r="AO660" s="39"/>
      <c r="AP660" s="40"/>
      <c r="AQ660" s="84">
        <f t="shared" si="87"/>
        <v>10</v>
      </c>
      <c r="AR660" s="80">
        <v>1362.36</v>
      </c>
      <c r="AS660" s="178">
        <f t="shared" si="89"/>
        <v>13623.599999999999</v>
      </c>
    </row>
    <row r="661" spans="1:45" ht="28.5" hidden="1">
      <c r="A661" s="67">
        <v>635</v>
      </c>
      <c r="B661" s="37" t="s">
        <v>515</v>
      </c>
      <c r="C661" s="53" t="s">
        <v>1250</v>
      </c>
      <c r="D661" s="37">
        <v>295</v>
      </c>
      <c r="E661" s="37" t="s">
        <v>514</v>
      </c>
      <c r="F661" s="110" t="s">
        <v>12</v>
      </c>
      <c r="G661" s="125"/>
      <c r="H661" s="125"/>
      <c r="I661" s="125"/>
      <c r="J661" s="125"/>
      <c r="K661" s="126"/>
      <c r="L661" s="127"/>
      <c r="M661" s="128"/>
      <c r="N661" s="125"/>
      <c r="O661" s="126"/>
      <c r="P661" s="125"/>
      <c r="Q661" s="128"/>
      <c r="R661" s="125"/>
      <c r="S661" s="110">
        <v>100</v>
      </c>
      <c r="T661" s="40">
        <f t="shared" si="88"/>
        <v>136236</v>
      </c>
      <c r="U661" s="39"/>
      <c r="V661" s="40"/>
      <c r="W661" s="39"/>
      <c r="X661" s="40"/>
      <c r="Y661" s="39"/>
      <c r="Z661" s="40"/>
      <c r="AA661" s="39"/>
      <c r="AB661" s="40"/>
      <c r="AC661" s="39"/>
      <c r="AD661" s="40"/>
      <c r="AE661" s="39"/>
      <c r="AF661" s="40"/>
      <c r="AG661" s="39"/>
      <c r="AH661" s="40"/>
      <c r="AI661" s="39"/>
      <c r="AJ661" s="40"/>
      <c r="AK661" s="39"/>
      <c r="AL661" s="40"/>
      <c r="AM661" s="39"/>
      <c r="AN661" s="40"/>
      <c r="AO661" s="39"/>
      <c r="AP661" s="40"/>
      <c r="AQ661" s="84">
        <f t="shared" si="87"/>
        <v>100</v>
      </c>
      <c r="AR661" s="80">
        <v>1362.36</v>
      </c>
      <c r="AS661" s="178">
        <f t="shared" si="89"/>
        <v>136236</v>
      </c>
    </row>
    <row r="662" spans="1:45" ht="28.5" hidden="1">
      <c r="A662" s="71">
        <v>636</v>
      </c>
      <c r="B662" s="37" t="s">
        <v>513</v>
      </c>
      <c r="C662" s="53" t="s">
        <v>1250</v>
      </c>
      <c r="D662" s="37">
        <v>295</v>
      </c>
      <c r="E662" s="37" t="s">
        <v>512</v>
      </c>
      <c r="F662" s="110" t="s">
        <v>12</v>
      </c>
      <c r="G662" s="125"/>
      <c r="H662" s="125"/>
      <c r="I662" s="125"/>
      <c r="J662" s="125"/>
      <c r="K662" s="126"/>
      <c r="L662" s="127"/>
      <c r="M662" s="128"/>
      <c r="N662" s="125"/>
      <c r="O662" s="126"/>
      <c r="P662" s="125"/>
      <c r="Q662" s="128"/>
      <c r="R662" s="125"/>
      <c r="S662" s="110">
        <v>5</v>
      </c>
      <c r="T662" s="40">
        <f t="shared" si="88"/>
        <v>6150</v>
      </c>
      <c r="U662" s="39"/>
      <c r="V662" s="40"/>
      <c r="W662" s="39"/>
      <c r="X662" s="40"/>
      <c r="Y662" s="39"/>
      <c r="Z662" s="40"/>
      <c r="AA662" s="39"/>
      <c r="AB662" s="40"/>
      <c r="AC662" s="39"/>
      <c r="AD662" s="40"/>
      <c r="AE662" s="39"/>
      <c r="AF662" s="40"/>
      <c r="AG662" s="39"/>
      <c r="AH662" s="40"/>
      <c r="AI662" s="39"/>
      <c r="AJ662" s="40"/>
      <c r="AK662" s="39"/>
      <c r="AL662" s="40"/>
      <c r="AM662" s="39"/>
      <c r="AN662" s="40"/>
      <c r="AO662" s="39"/>
      <c r="AP662" s="40"/>
      <c r="AQ662" s="84">
        <f t="shared" si="87"/>
        <v>5</v>
      </c>
      <c r="AR662" s="80">
        <v>1230</v>
      </c>
      <c r="AS662" s="178">
        <f t="shared" si="89"/>
        <v>6150</v>
      </c>
    </row>
    <row r="663" spans="1:45" ht="28.5" hidden="1">
      <c r="A663" s="67">
        <v>637</v>
      </c>
      <c r="B663" s="37" t="s">
        <v>511</v>
      </c>
      <c r="C663" s="53" t="s">
        <v>1250</v>
      </c>
      <c r="D663" s="37">
        <v>295</v>
      </c>
      <c r="E663" s="37" t="s">
        <v>510</v>
      </c>
      <c r="F663" s="110" t="s">
        <v>12</v>
      </c>
      <c r="G663" s="125"/>
      <c r="H663" s="125"/>
      <c r="I663" s="125"/>
      <c r="J663" s="125"/>
      <c r="K663" s="126"/>
      <c r="L663" s="127"/>
      <c r="M663" s="128"/>
      <c r="N663" s="125"/>
      <c r="O663" s="126"/>
      <c r="P663" s="125"/>
      <c r="Q663" s="128"/>
      <c r="R663" s="125"/>
      <c r="S663" s="110">
        <v>10</v>
      </c>
      <c r="T663" s="40">
        <f t="shared" si="88"/>
        <v>145137</v>
      </c>
      <c r="U663" s="39"/>
      <c r="V663" s="40"/>
      <c r="W663" s="39"/>
      <c r="X663" s="40"/>
      <c r="Y663" s="39"/>
      <c r="Z663" s="40"/>
      <c r="AA663" s="39"/>
      <c r="AB663" s="40"/>
      <c r="AC663" s="39"/>
      <c r="AD663" s="40"/>
      <c r="AE663" s="39"/>
      <c r="AF663" s="40"/>
      <c r="AG663" s="39"/>
      <c r="AH663" s="40"/>
      <c r="AI663" s="39"/>
      <c r="AJ663" s="40"/>
      <c r="AK663" s="39"/>
      <c r="AL663" s="40"/>
      <c r="AM663" s="39"/>
      <c r="AN663" s="40"/>
      <c r="AO663" s="39"/>
      <c r="AP663" s="40"/>
      <c r="AQ663" s="84">
        <f t="shared" si="87"/>
        <v>10</v>
      </c>
      <c r="AR663" s="80">
        <v>14513.7</v>
      </c>
      <c r="AS663" s="178">
        <f t="shared" si="89"/>
        <v>145137</v>
      </c>
    </row>
    <row r="664" spans="1:45" ht="28.5" hidden="1">
      <c r="A664" s="71">
        <v>638</v>
      </c>
      <c r="B664" s="37" t="s">
        <v>509</v>
      </c>
      <c r="C664" s="53" t="s">
        <v>1250</v>
      </c>
      <c r="D664" s="37">
        <v>295</v>
      </c>
      <c r="E664" s="37" t="s">
        <v>508</v>
      </c>
      <c r="F664" s="110" t="s">
        <v>12</v>
      </c>
      <c r="G664" s="125"/>
      <c r="H664" s="125"/>
      <c r="I664" s="125"/>
      <c r="J664" s="125"/>
      <c r="K664" s="126"/>
      <c r="L664" s="127"/>
      <c r="M664" s="128"/>
      <c r="N664" s="125"/>
      <c r="O664" s="126"/>
      <c r="P664" s="125"/>
      <c r="Q664" s="128"/>
      <c r="R664" s="125"/>
      <c r="S664" s="110">
        <v>10</v>
      </c>
      <c r="T664" s="40">
        <f t="shared" si="88"/>
        <v>300</v>
      </c>
      <c r="U664" s="39"/>
      <c r="V664" s="40"/>
      <c r="W664" s="39"/>
      <c r="X664" s="40"/>
      <c r="Y664" s="39"/>
      <c r="Z664" s="40"/>
      <c r="AA664" s="39"/>
      <c r="AB664" s="40"/>
      <c r="AC664" s="39"/>
      <c r="AD664" s="40"/>
      <c r="AE664" s="39"/>
      <c r="AF664" s="40"/>
      <c r="AG664" s="39"/>
      <c r="AH664" s="40"/>
      <c r="AI664" s="39"/>
      <c r="AJ664" s="40"/>
      <c r="AK664" s="39"/>
      <c r="AL664" s="40"/>
      <c r="AM664" s="39"/>
      <c r="AN664" s="40"/>
      <c r="AO664" s="39"/>
      <c r="AP664" s="40"/>
      <c r="AQ664" s="84">
        <f t="shared" si="87"/>
        <v>10</v>
      </c>
      <c r="AR664" s="80">
        <v>30</v>
      </c>
      <c r="AS664" s="178">
        <f t="shared" si="89"/>
        <v>300</v>
      </c>
    </row>
    <row r="665" spans="1:45" ht="28.5" hidden="1">
      <c r="A665" s="67">
        <v>639</v>
      </c>
      <c r="B665" s="37" t="s">
        <v>507</v>
      </c>
      <c r="C665" s="53" t="s">
        <v>1250</v>
      </c>
      <c r="D665" s="37">
        <v>295</v>
      </c>
      <c r="E665" s="37" t="s">
        <v>506</v>
      </c>
      <c r="F665" s="110" t="s">
        <v>12</v>
      </c>
      <c r="G665" s="125"/>
      <c r="H665" s="125"/>
      <c r="I665" s="125"/>
      <c r="J665" s="125"/>
      <c r="K665" s="126"/>
      <c r="L665" s="127"/>
      <c r="M665" s="128"/>
      <c r="N665" s="125"/>
      <c r="O665" s="126"/>
      <c r="P665" s="125"/>
      <c r="Q665" s="128"/>
      <c r="R665" s="125"/>
      <c r="S665" s="110">
        <v>10</v>
      </c>
      <c r="T665" s="40">
        <f t="shared" si="88"/>
        <v>30617.600000000002</v>
      </c>
      <c r="U665" s="39"/>
      <c r="V665" s="40"/>
      <c r="W665" s="39"/>
      <c r="X665" s="40"/>
      <c r="Y665" s="39"/>
      <c r="Z665" s="40"/>
      <c r="AA665" s="39"/>
      <c r="AB665" s="40"/>
      <c r="AC665" s="39"/>
      <c r="AD665" s="40"/>
      <c r="AE665" s="39"/>
      <c r="AF665" s="40"/>
      <c r="AG665" s="39"/>
      <c r="AH665" s="40"/>
      <c r="AI665" s="39"/>
      <c r="AJ665" s="40"/>
      <c r="AK665" s="39"/>
      <c r="AL665" s="40"/>
      <c r="AM665" s="39"/>
      <c r="AN665" s="40"/>
      <c r="AO665" s="39"/>
      <c r="AP665" s="40"/>
      <c r="AQ665" s="84">
        <f t="shared" si="87"/>
        <v>10</v>
      </c>
      <c r="AR665" s="80">
        <v>3061.76</v>
      </c>
      <c r="AS665" s="178">
        <f t="shared" si="89"/>
        <v>30617.600000000002</v>
      </c>
    </row>
    <row r="666" spans="1:45" ht="28.5" hidden="1">
      <c r="A666" s="71">
        <v>640</v>
      </c>
      <c r="B666" s="37" t="s">
        <v>505</v>
      </c>
      <c r="C666" s="53" t="s">
        <v>1250</v>
      </c>
      <c r="D666" s="37">
        <v>295</v>
      </c>
      <c r="E666" s="37" t="s">
        <v>504</v>
      </c>
      <c r="F666" s="110" t="s">
        <v>12</v>
      </c>
      <c r="G666" s="125"/>
      <c r="H666" s="125"/>
      <c r="I666" s="125"/>
      <c r="J666" s="125"/>
      <c r="K666" s="126"/>
      <c r="L666" s="127"/>
      <c r="M666" s="128"/>
      <c r="N666" s="125"/>
      <c r="O666" s="126"/>
      <c r="P666" s="125"/>
      <c r="Q666" s="128"/>
      <c r="R666" s="125"/>
      <c r="S666" s="110">
        <v>15</v>
      </c>
      <c r="T666" s="40">
        <f t="shared" si="88"/>
        <v>14400</v>
      </c>
      <c r="U666" s="39"/>
      <c r="V666" s="40"/>
      <c r="W666" s="39"/>
      <c r="X666" s="40"/>
      <c r="Y666" s="39"/>
      <c r="Z666" s="40"/>
      <c r="AA666" s="39"/>
      <c r="AB666" s="40"/>
      <c r="AC666" s="39"/>
      <c r="AD666" s="40"/>
      <c r="AE666" s="39"/>
      <c r="AF666" s="40"/>
      <c r="AG666" s="39"/>
      <c r="AH666" s="40"/>
      <c r="AI666" s="39"/>
      <c r="AJ666" s="40"/>
      <c r="AK666" s="39"/>
      <c r="AL666" s="40"/>
      <c r="AM666" s="39"/>
      <c r="AN666" s="40"/>
      <c r="AO666" s="39"/>
      <c r="AP666" s="40"/>
      <c r="AQ666" s="84">
        <f t="shared" si="87"/>
        <v>15</v>
      </c>
      <c r="AR666" s="80">
        <v>960</v>
      </c>
      <c r="AS666" s="178">
        <f t="shared" si="89"/>
        <v>14400</v>
      </c>
    </row>
    <row r="667" spans="1:45" ht="28.5" hidden="1">
      <c r="A667" s="67">
        <v>641</v>
      </c>
      <c r="B667" s="37" t="s">
        <v>503</v>
      </c>
      <c r="C667" s="53" t="s">
        <v>1250</v>
      </c>
      <c r="D667" s="37">
        <v>295</v>
      </c>
      <c r="E667" s="37" t="s">
        <v>502</v>
      </c>
      <c r="F667" s="110" t="s">
        <v>12</v>
      </c>
      <c r="G667" s="125"/>
      <c r="H667" s="125"/>
      <c r="I667" s="125"/>
      <c r="J667" s="125"/>
      <c r="K667" s="126"/>
      <c r="L667" s="127"/>
      <c r="M667" s="128"/>
      <c r="N667" s="125"/>
      <c r="O667" s="126"/>
      <c r="P667" s="125"/>
      <c r="Q667" s="128"/>
      <c r="R667" s="125"/>
      <c r="S667" s="110">
        <v>10</v>
      </c>
      <c r="T667" s="40">
        <f t="shared" si="88"/>
        <v>11850</v>
      </c>
      <c r="U667" s="39"/>
      <c r="V667" s="40"/>
      <c r="W667" s="39"/>
      <c r="X667" s="40"/>
      <c r="Y667" s="39"/>
      <c r="Z667" s="40"/>
      <c r="AA667" s="39"/>
      <c r="AB667" s="40"/>
      <c r="AC667" s="39"/>
      <c r="AD667" s="40"/>
      <c r="AE667" s="39"/>
      <c r="AF667" s="40"/>
      <c r="AG667" s="39"/>
      <c r="AH667" s="40"/>
      <c r="AI667" s="39"/>
      <c r="AJ667" s="40"/>
      <c r="AK667" s="39"/>
      <c r="AL667" s="40"/>
      <c r="AM667" s="39"/>
      <c r="AN667" s="40"/>
      <c r="AO667" s="39"/>
      <c r="AP667" s="40"/>
      <c r="AQ667" s="84">
        <f t="shared" si="87"/>
        <v>10</v>
      </c>
      <c r="AR667" s="80">
        <v>1185</v>
      </c>
      <c r="AS667" s="178">
        <f t="shared" si="89"/>
        <v>11850</v>
      </c>
    </row>
    <row r="668" spans="1:45" ht="28.5" hidden="1">
      <c r="A668" s="71">
        <v>642</v>
      </c>
      <c r="B668" s="37" t="s">
        <v>501</v>
      </c>
      <c r="C668" s="53" t="s">
        <v>1250</v>
      </c>
      <c r="D668" s="37">
        <v>295</v>
      </c>
      <c r="E668" s="37" t="s">
        <v>500</v>
      </c>
      <c r="F668" s="110" t="s">
        <v>12</v>
      </c>
      <c r="G668" s="125"/>
      <c r="H668" s="125"/>
      <c r="I668" s="125"/>
      <c r="J668" s="125"/>
      <c r="K668" s="126"/>
      <c r="L668" s="127"/>
      <c r="M668" s="128"/>
      <c r="N668" s="125"/>
      <c r="O668" s="126"/>
      <c r="P668" s="125"/>
      <c r="Q668" s="128"/>
      <c r="R668" s="125"/>
      <c r="S668" s="110">
        <v>30</v>
      </c>
      <c r="T668" s="40">
        <f t="shared" si="88"/>
        <v>15066.6</v>
      </c>
      <c r="U668" s="39"/>
      <c r="V668" s="40"/>
      <c r="W668" s="39"/>
      <c r="X668" s="40"/>
      <c r="Y668" s="39"/>
      <c r="Z668" s="40"/>
      <c r="AA668" s="39"/>
      <c r="AB668" s="40"/>
      <c r="AC668" s="39"/>
      <c r="AD668" s="40"/>
      <c r="AE668" s="39"/>
      <c r="AF668" s="40"/>
      <c r="AG668" s="39"/>
      <c r="AH668" s="40"/>
      <c r="AI668" s="39"/>
      <c r="AJ668" s="40"/>
      <c r="AK668" s="39"/>
      <c r="AL668" s="40"/>
      <c r="AM668" s="39"/>
      <c r="AN668" s="40"/>
      <c r="AO668" s="39"/>
      <c r="AP668" s="40"/>
      <c r="AQ668" s="84">
        <f t="shared" si="87"/>
        <v>30</v>
      </c>
      <c r="AR668" s="80">
        <v>502.22</v>
      </c>
      <c r="AS668" s="178">
        <f t="shared" si="89"/>
        <v>15066.6</v>
      </c>
    </row>
    <row r="669" spans="1:45" ht="28.5" hidden="1">
      <c r="A669" s="67">
        <v>643</v>
      </c>
      <c r="B669" s="37" t="s">
        <v>499</v>
      </c>
      <c r="C669" s="53" t="s">
        <v>1250</v>
      </c>
      <c r="D669" s="37">
        <v>295</v>
      </c>
      <c r="E669" s="37" t="s">
        <v>498</v>
      </c>
      <c r="F669" s="110" t="s">
        <v>12</v>
      </c>
      <c r="G669" s="125"/>
      <c r="H669" s="125"/>
      <c r="I669" s="125"/>
      <c r="J669" s="125"/>
      <c r="K669" s="126"/>
      <c r="L669" s="127"/>
      <c r="M669" s="128"/>
      <c r="N669" s="125"/>
      <c r="O669" s="126"/>
      <c r="P669" s="125"/>
      <c r="Q669" s="128"/>
      <c r="R669" s="125"/>
      <c r="S669" s="110">
        <v>10</v>
      </c>
      <c r="T669" s="40">
        <f t="shared" si="88"/>
        <v>15681.6</v>
      </c>
      <c r="U669" s="39"/>
      <c r="V669" s="40"/>
      <c r="W669" s="39"/>
      <c r="X669" s="40"/>
      <c r="Y669" s="39"/>
      <c r="Z669" s="40"/>
      <c r="AA669" s="39"/>
      <c r="AB669" s="40"/>
      <c r="AC669" s="39"/>
      <c r="AD669" s="40"/>
      <c r="AE669" s="39"/>
      <c r="AF669" s="40"/>
      <c r="AG669" s="39"/>
      <c r="AH669" s="40"/>
      <c r="AI669" s="39"/>
      <c r="AJ669" s="40"/>
      <c r="AK669" s="39"/>
      <c r="AL669" s="40"/>
      <c r="AM669" s="39"/>
      <c r="AN669" s="40"/>
      <c r="AO669" s="39"/>
      <c r="AP669" s="40"/>
      <c r="AQ669" s="84">
        <f t="shared" si="87"/>
        <v>10</v>
      </c>
      <c r="AR669" s="80">
        <v>1568.16</v>
      </c>
      <c r="AS669" s="178">
        <f t="shared" si="89"/>
        <v>15681.6</v>
      </c>
    </row>
    <row r="670" spans="1:45" ht="28.5" hidden="1">
      <c r="A670" s="71">
        <v>644</v>
      </c>
      <c r="B670" s="37" t="s">
        <v>497</v>
      </c>
      <c r="C670" s="53" t="s">
        <v>1250</v>
      </c>
      <c r="D670" s="37">
        <v>295</v>
      </c>
      <c r="E670" s="37" t="s">
        <v>496</v>
      </c>
      <c r="F670" s="110" t="s">
        <v>12</v>
      </c>
      <c r="G670" s="125"/>
      <c r="H670" s="125"/>
      <c r="I670" s="125"/>
      <c r="J670" s="125"/>
      <c r="K670" s="126"/>
      <c r="L670" s="127"/>
      <c r="M670" s="128"/>
      <c r="N670" s="125"/>
      <c r="O670" s="126"/>
      <c r="P670" s="125"/>
      <c r="Q670" s="128"/>
      <c r="R670" s="125"/>
      <c r="S670" s="110">
        <v>100</v>
      </c>
      <c r="T670" s="40">
        <f t="shared" si="88"/>
        <v>102150</v>
      </c>
      <c r="U670" s="39"/>
      <c r="V670" s="40"/>
      <c r="W670" s="39"/>
      <c r="X670" s="40"/>
      <c r="Y670" s="39"/>
      <c r="Z670" s="40"/>
      <c r="AA670" s="39"/>
      <c r="AB670" s="40"/>
      <c r="AC670" s="39"/>
      <c r="AD670" s="40"/>
      <c r="AE670" s="39"/>
      <c r="AF670" s="40"/>
      <c r="AG670" s="39"/>
      <c r="AH670" s="40"/>
      <c r="AI670" s="39"/>
      <c r="AJ670" s="40"/>
      <c r="AK670" s="39"/>
      <c r="AL670" s="40"/>
      <c r="AM670" s="39"/>
      <c r="AN670" s="40"/>
      <c r="AO670" s="39"/>
      <c r="AP670" s="40"/>
      <c r="AQ670" s="84">
        <f t="shared" si="87"/>
        <v>100</v>
      </c>
      <c r="AR670" s="80">
        <v>1021.5</v>
      </c>
      <c r="AS670" s="178">
        <f t="shared" si="89"/>
        <v>102150</v>
      </c>
    </row>
    <row r="671" spans="1:45" ht="28.5" hidden="1">
      <c r="A671" s="67">
        <v>645</v>
      </c>
      <c r="B671" s="37" t="s">
        <v>495</v>
      </c>
      <c r="C671" s="53" t="s">
        <v>1250</v>
      </c>
      <c r="D671" s="37">
        <v>295</v>
      </c>
      <c r="E671" s="37" t="s">
        <v>494</v>
      </c>
      <c r="F671" s="110" t="s">
        <v>12</v>
      </c>
      <c r="G671" s="125"/>
      <c r="H671" s="125"/>
      <c r="I671" s="125"/>
      <c r="J671" s="125"/>
      <c r="K671" s="126"/>
      <c r="L671" s="127"/>
      <c r="M671" s="128"/>
      <c r="N671" s="125"/>
      <c r="O671" s="126"/>
      <c r="P671" s="125"/>
      <c r="Q671" s="128"/>
      <c r="R671" s="125"/>
      <c r="S671" s="110">
        <v>10</v>
      </c>
      <c r="T671" s="40">
        <f t="shared" si="88"/>
        <v>30780</v>
      </c>
      <c r="U671" s="39"/>
      <c r="V671" s="40"/>
      <c r="W671" s="39"/>
      <c r="X671" s="40"/>
      <c r="Y671" s="39"/>
      <c r="Z671" s="40"/>
      <c r="AA671" s="39"/>
      <c r="AB671" s="40"/>
      <c r="AC671" s="39"/>
      <c r="AD671" s="40"/>
      <c r="AE671" s="39"/>
      <c r="AF671" s="40"/>
      <c r="AG671" s="39"/>
      <c r="AH671" s="40"/>
      <c r="AI671" s="39"/>
      <c r="AJ671" s="40"/>
      <c r="AK671" s="39"/>
      <c r="AL671" s="40"/>
      <c r="AM671" s="39"/>
      <c r="AN671" s="40"/>
      <c r="AO671" s="39"/>
      <c r="AP671" s="40"/>
      <c r="AQ671" s="84">
        <f t="shared" si="87"/>
        <v>10</v>
      </c>
      <c r="AR671" s="80">
        <v>3078</v>
      </c>
      <c r="AS671" s="178">
        <f t="shared" si="89"/>
        <v>30780</v>
      </c>
    </row>
    <row r="672" spans="1:45" ht="28.5" hidden="1">
      <c r="A672" s="71">
        <v>646</v>
      </c>
      <c r="B672" s="37" t="s">
        <v>493</v>
      </c>
      <c r="C672" s="53" t="s">
        <v>1250</v>
      </c>
      <c r="D672" s="37">
        <v>295</v>
      </c>
      <c r="E672" s="37" t="s">
        <v>492</v>
      </c>
      <c r="F672" s="110" t="s">
        <v>12</v>
      </c>
      <c r="G672" s="125"/>
      <c r="H672" s="125"/>
      <c r="I672" s="125"/>
      <c r="J672" s="125"/>
      <c r="K672" s="126"/>
      <c r="L672" s="127"/>
      <c r="M672" s="128"/>
      <c r="N672" s="125"/>
      <c r="O672" s="126"/>
      <c r="P672" s="125"/>
      <c r="Q672" s="128"/>
      <c r="R672" s="125"/>
      <c r="S672" s="110">
        <v>10</v>
      </c>
      <c r="T672" s="40">
        <f t="shared" si="88"/>
        <v>120750</v>
      </c>
      <c r="U672" s="39"/>
      <c r="V672" s="40"/>
      <c r="W672" s="39"/>
      <c r="X672" s="40"/>
      <c r="Y672" s="39"/>
      <c r="Z672" s="40"/>
      <c r="AA672" s="39"/>
      <c r="AB672" s="40"/>
      <c r="AC672" s="39"/>
      <c r="AD672" s="40"/>
      <c r="AE672" s="39"/>
      <c r="AF672" s="40"/>
      <c r="AG672" s="39"/>
      <c r="AH672" s="40"/>
      <c r="AI672" s="39"/>
      <c r="AJ672" s="40"/>
      <c r="AK672" s="39"/>
      <c r="AL672" s="40"/>
      <c r="AM672" s="39"/>
      <c r="AN672" s="40"/>
      <c r="AO672" s="39"/>
      <c r="AP672" s="40"/>
      <c r="AQ672" s="84">
        <f t="shared" si="87"/>
        <v>10</v>
      </c>
      <c r="AR672" s="80">
        <v>12075</v>
      </c>
      <c r="AS672" s="178">
        <f t="shared" si="89"/>
        <v>120750</v>
      </c>
    </row>
    <row r="673" spans="1:45" ht="28.5" hidden="1">
      <c r="A673" s="67">
        <v>647</v>
      </c>
      <c r="B673" s="37" t="s">
        <v>491</v>
      </c>
      <c r="C673" s="53" t="s">
        <v>1250</v>
      </c>
      <c r="D673" s="37">
        <v>295</v>
      </c>
      <c r="E673" s="37" t="s">
        <v>490</v>
      </c>
      <c r="F673" s="110" t="s">
        <v>12</v>
      </c>
      <c r="G673" s="125"/>
      <c r="H673" s="125"/>
      <c r="I673" s="125"/>
      <c r="J673" s="125"/>
      <c r="K673" s="126"/>
      <c r="L673" s="127"/>
      <c r="M673" s="128"/>
      <c r="N673" s="125"/>
      <c r="O673" s="126"/>
      <c r="P673" s="125"/>
      <c r="Q673" s="128"/>
      <c r="R673" s="125"/>
      <c r="S673" s="110">
        <v>3</v>
      </c>
      <c r="T673" s="40">
        <f t="shared" si="88"/>
        <v>8775</v>
      </c>
      <c r="U673" s="39"/>
      <c r="V673" s="40"/>
      <c r="W673" s="39"/>
      <c r="X673" s="40"/>
      <c r="Y673" s="39"/>
      <c r="Z673" s="40"/>
      <c r="AA673" s="39"/>
      <c r="AB673" s="40"/>
      <c r="AC673" s="39"/>
      <c r="AD673" s="40"/>
      <c r="AE673" s="39"/>
      <c r="AF673" s="40"/>
      <c r="AG673" s="39"/>
      <c r="AH673" s="40"/>
      <c r="AI673" s="39"/>
      <c r="AJ673" s="40"/>
      <c r="AK673" s="39"/>
      <c r="AL673" s="40"/>
      <c r="AM673" s="39"/>
      <c r="AN673" s="40"/>
      <c r="AO673" s="39"/>
      <c r="AP673" s="40"/>
      <c r="AQ673" s="84">
        <f t="shared" si="87"/>
        <v>3</v>
      </c>
      <c r="AR673" s="80">
        <v>2925</v>
      </c>
      <c r="AS673" s="178">
        <f t="shared" si="89"/>
        <v>8775</v>
      </c>
    </row>
    <row r="674" spans="1:45" ht="28.5" hidden="1">
      <c r="A674" s="71">
        <v>648</v>
      </c>
      <c r="B674" s="37" t="s">
        <v>489</v>
      </c>
      <c r="C674" s="53" t="s">
        <v>1250</v>
      </c>
      <c r="D674" s="37">
        <v>295</v>
      </c>
      <c r="E674" s="37" t="s">
        <v>488</v>
      </c>
      <c r="F674" s="110" t="s">
        <v>12</v>
      </c>
      <c r="G674" s="125"/>
      <c r="H674" s="125"/>
      <c r="I674" s="125"/>
      <c r="J674" s="125"/>
      <c r="K674" s="126"/>
      <c r="L674" s="127"/>
      <c r="M674" s="128"/>
      <c r="N674" s="125"/>
      <c r="O674" s="126"/>
      <c r="P674" s="125"/>
      <c r="Q674" s="128"/>
      <c r="R674" s="125"/>
      <c r="S674" s="110">
        <v>5</v>
      </c>
      <c r="T674" s="40">
        <f t="shared" si="88"/>
        <v>7398</v>
      </c>
      <c r="U674" s="39"/>
      <c r="V674" s="40"/>
      <c r="W674" s="39"/>
      <c r="X674" s="40"/>
      <c r="Y674" s="39"/>
      <c r="Z674" s="40"/>
      <c r="AA674" s="39"/>
      <c r="AB674" s="40"/>
      <c r="AC674" s="39"/>
      <c r="AD674" s="40"/>
      <c r="AE674" s="39"/>
      <c r="AF674" s="40"/>
      <c r="AG674" s="39"/>
      <c r="AH674" s="40"/>
      <c r="AI674" s="39"/>
      <c r="AJ674" s="40"/>
      <c r="AK674" s="39"/>
      <c r="AL674" s="40"/>
      <c r="AM674" s="39"/>
      <c r="AN674" s="40"/>
      <c r="AO674" s="39"/>
      <c r="AP674" s="40"/>
      <c r="AQ674" s="84">
        <f t="shared" si="87"/>
        <v>5</v>
      </c>
      <c r="AR674" s="80">
        <v>1479.6</v>
      </c>
      <c r="AS674" s="178">
        <f t="shared" si="89"/>
        <v>7398</v>
      </c>
    </row>
    <row r="675" spans="1:45" ht="28.5" hidden="1">
      <c r="A675" s="67">
        <v>649</v>
      </c>
      <c r="B675" s="37" t="s">
        <v>487</v>
      </c>
      <c r="C675" s="53" t="s">
        <v>1250</v>
      </c>
      <c r="D675" s="37">
        <v>295</v>
      </c>
      <c r="E675" s="37" t="s">
        <v>486</v>
      </c>
      <c r="F675" s="110" t="s">
        <v>17</v>
      </c>
      <c r="G675" s="125"/>
      <c r="H675" s="125"/>
      <c r="I675" s="125"/>
      <c r="J675" s="125"/>
      <c r="K675" s="126"/>
      <c r="L675" s="127"/>
      <c r="M675" s="128"/>
      <c r="N675" s="125"/>
      <c r="O675" s="126"/>
      <c r="P675" s="125"/>
      <c r="Q675" s="128"/>
      <c r="R675" s="125"/>
      <c r="S675" s="110">
        <v>1</v>
      </c>
      <c r="T675" s="40">
        <f t="shared" si="88"/>
        <v>1053</v>
      </c>
      <c r="U675" s="39"/>
      <c r="V675" s="40"/>
      <c r="W675" s="39"/>
      <c r="X675" s="40"/>
      <c r="Y675" s="39"/>
      <c r="Z675" s="40"/>
      <c r="AA675" s="39"/>
      <c r="AB675" s="40"/>
      <c r="AC675" s="39"/>
      <c r="AD675" s="40"/>
      <c r="AE675" s="39"/>
      <c r="AF675" s="40"/>
      <c r="AG675" s="39"/>
      <c r="AH675" s="40"/>
      <c r="AI675" s="39"/>
      <c r="AJ675" s="40"/>
      <c r="AK675" s="39"/>
      <c r="AL675" s="40"/>
      <c r="AM675" s="39"/>
      <c r="AN675" s="40"/>
      <c r="AO675" s="39"/>
      <c r="AP675" s="40"/>
      <c r="AQ675" s="84">
        <f t="shared" ref="AQ675:AQ701" si="90">+AO675+AM675+AK675+AI675+AG675+AE675+AC675+AA675+Y675+W675+U675+S675+Q675+O675+M675+K675+I675+G675</f>
        <v>1</v>
      </c>
      <c r="AR675" s="80">
        <v>1053</v>
      </c>
      <c r="AS675" s="178">
        <f t="shared" si="89"/>
        <v>1053</v>
      </c>
    </row>
    <row r="676" spans="1:45" ht="28.5" hidden="1">
      <c r="A676" s="71">
        <v>650</v>
      </c>
      <c r="B676" s="37" t="s">
        <v>485</v>
      </c>
      <c r="C676" s="53" t="s">
        <v>1250</v>
      </c>
      <c r="D676" s="37">
        <v>295</v>
      </c>
      <c r="E676" s="37" t="s">
        <v>484</v>
      </c>
      <c r="F676" s="110" t="s">
        <v>17</v>
      </c>
      <c r="G676" s="125"/>
      <c r="H676" s="125"/>
      <c r="I676" s="125"/>
      <c r="J676" s="125"/>
      <c r="K676" s="126"/>
      <c r="L676" s="127"/>
      <c r="M676" s="128"/>
      <c r="N676" s="125"/>
      <c r="O676" s="126"/>
      <c r="P676" s="125"/>
      <c r="Q676" s="128"/>
      <c r="R676" s="125"/>
      <c r="S676" s="110">
        <v>6</v>
      </c>
      <c r="T676" s="40">
        <f t="shared" si="88"/>
        <v>1845</v>
      </c>
      <c r="U676" s="39"/>
      <c r="V676" s="40"/>
      <c r="W676" s="39"/>
      <c r="X676" s="40"/>
      <c r="Y676" s="39"/>
      <c r="Z676" s="40"/>
      <c r="AA676" s="39"/>
      <c r="AB676" s="40"/>
      <c r="AC676" s="39"/>
      <c r="AD676" s="40"/>
      <c r="AE676" s="39"/>
      <c r="AF676" s="40"/>
      <c r="AG676" s="39"/>
      <c r="AH676" s="40"/>
      <c r="AI676" s="39"/>
      <c r="AJ676" s="40"/>
      <c r="AK676" s="39"/>
      <c r="AL676" s="40"/>
      <c r="AM676" s="39"/>
      <c r="AN676" s="40"/>
      <c r="AO676" s="39"/>
      <c r="AP676" s="40"/>
      <c r="AQ676" s="84">
        <f t="shared" si="90"/>
        <v>6</v>
      </c>
      <c r="AR676" s="80">
        <v>307.5</v>
      </c>
      <c r="AS676" s="178">
        <f t="shared" si="89"/>
        <v>1845</v>
      </c>
    </row>
    <row r="677" spans="1:45" ht="28.5" hidden="1">
      <c r="A677" s="67">
        <v>651</v>
      </c>
      <c r="B677" s="37" t="s">
        <v>483</v>
      </c>
      <c r="C677" s="53" t="s">
        <v>1250</v>
      </c>
      <c r="D677" s="37">
        <v>295</v>
      </c>
      <c r="E677" s="37" t="s">
        <v>482</v>
      </c>
      <c r="F677" s="110" t="s">
        <v>17</v>
      </c>
      <c r="G677" s="125"/>
      <c r="H677" s="125"/>
      <c r="I677" s="125"/>
      <c r="J677" s="125"/>
      <c r="K677" s="126"/>
      <c r="L677" s="127"/>
      <c r="M677" s="128"/>
      <c r="N677" s="125"/>
      <c r="O677" s="126"/>
      <c r="P677" s="125"/>
      <c r="Q677" s="128"/>
      <c r="R677" s="125"/>
      <c r="S677" s="110">
        <v>20</v>
      </c>
      <c r="T677" s="40">
        <f t="shared" si="88"/>
        <v>12600</v>
      </c>
      <c r="U677" s="39"/>
      <c r="V677" s="40"/>
      <c r="W677" s="39"/>
      <c r="X677" s="40"/>
      <c r="Y677" s="39"/>
      <c r="Z677" s="40"/>
      <c r="AA677" s="39"/>
      <c r="AB677" s="40"/>
      <c r="AC677" s="39"/>
      <c r="AD677" s="40"/>
      <c r="AE677" s="39"/>
      <c r="AF677" s="40"/>
      <c r="AG677" s="39"/>
      <c r="AH677" s="40"/>
      <c r="AI677" s="39"/>
      <c r="AJ677" s="40"/>
      <c r="AK677" s="39"/>
      <c r="AL677" s="40"/>
      <c r="AM677" s="39"/>
      <c r="AN677" s="40"/>
      <c r="AO677" s="39"/>
      <c r="AP677" s="40"/>
      <c r="AQ677" s="84">
        <f t="shared" si="90"/>
        <v>20</v>
      </c>
      <c r="AR677" s="80">
        <v>630</v>
      </c>
      <c r="AS677" s="178">
        <f t="shared" si="89"/>
        <v>12600</v>
      </c>
    </row>
    <row r="678" spans="1:45" ht="28.5" hidden="1">
      <c r="A678" s="71">
        <v>652</v>
      </c>
      <c r="B678" s="37" t="s">
        <v>481</v>
      </c>
      <c r="C678" s="53" t="s">
        <v>1250</v>
      </c>
      <c r="D678" s="37">
        <v>295</v>
      </c>
      <c r="E678" s="37" t="s">
        <v>480</v>
      </c>
      <c r="F678" s="110" t="s">
        <v>17</v>
      </c>
      <c r="G678" s="125"/>
      <c r="H678" s="125"/>
      <c r="I678" s="125"/>
      <c r="J678" s="125"/>
      <c r="K678" s="126"/>
      <c r="L678" s="127"/>
      <c r="M678" s="128"/>
      <c r="N678" s="125"/>
      <c r="O678" s="126"/>
      <c r="P678" s="125"/>
      <c r="Q678" s="128"/>
      <c r="R678" s="125"/>
      <c r="S678" s="110">
        <v>50</v>
      </c>
      <c r="T678" s="40">
        <f t="shared" si="88"/>
        <v>43404</v>
      </c>
      <c r="U678" s="39"/>
      <c r="V678" s="40"/>
      <c r="W678" s="39"/>
      <c r="X678" s="40"/>
      <c r="Y678" s="39"/>
      <c r="Z678" s="40"/>
      <c r="AA678" s="39"/>
      <c r="AB678" s="40"/>
      <c r="AC678" s="39"/>
      <c r="AD678" s="40"/>
      <c r="AE678" s="39"/>
      <c r="AF678" s="40"/>
      <c r="AG678" s="39"/>
      <c r="AH678" s="40"/>
      <c r="AI678" s="39"/>
      <c r="AJ678" s="40"/>
      <c r="AK678" s="39"/>
      <c r="AL678" s="40"/>
      <c r="AM678" s="39"/>
      <c r="AN678" s="40"/>
      <c r="AO678" s="39"/>
      <c r="AP678" s="40"/>
      <c r="AQ678" s="84">
        <f t="shared" si="90"/>
        <v>50</v>
      </c>
      <c r="AR678" s="80">
        <v>868.08</v>
      </c>
      <c r="AS678" s="178">
        <f t="shared" si="89"/>
        <v>43404</v>
      </c>
    </row>
    <row r="679" spans="1:45" ht="28.5" hidden="1">
      <c r="A679" s="67">
        <v>653</v>
      </c>
      <c r="B679" s="37" t="s">
        <v>479</v>
      </c>
      <c r="C679" s="53" t="s">
        <v>1250</v>
      </c>
      <c r="D679" s="37">
        <v>295</v>
      </c>
      <c r="E679" s="37" t="s">
        <v>478</v>
      </c>
      <c r="F679" s="110" t="s">
        <v>12</v>
      </c>
      <c r="G679" s="125"/>
      <c r="H679" s="125"/>
      <c r="I679" s="125"/>
      <c r="J679" s="125"/>
      <c r="K679" s="126"/>
      <c r="L679" s="127"/>
      <c r="M679" s="128"/>
      <c r="N679" s="125"/>
      <c r="O679" s="126"/>
      <c r="P679" s="125"/>
      <c r="Q679" s="128"/>
      <c r="R679" s="125"/>
      <c r="S679" s="110">
        <v>15</v>
      </c>
      <c r="T679" s="40">
        <f t="shared" si="88"/>
        <v>6727.5</v>
      </c>
      <c r="U679" s="39"/>
      <c r="V679" s="40"/>
      <c r="W679" s="39"/>
      <c r="X679" s="40"/>
      <c r="Y679" s="39"/>
      <c r="Z679" s="40"/>
      <c r="AA679" s="39"/>
      <c r="AB679" s="40"/>
      <c r="AC679" s="39"/>
      <c r="AD679" s="40"/>
      <c r="AE679" s="39"/>
      <c r="AF679" s="40"/>
      <c r="AG679" s="39"/>
      <c r="AH679" s="40"/>
      <c r="AI679" s="39"/>
      <c r="AJ679" s="40"/>
      <c r="AK679" s="39"/>
      <c r="AL679" s="40"/>
      <c r="AM679" s="39"/>
      <c r="AN679" s="40"/>
      <c r="AO679" s="39"/>
      <c r="AP679" s="40"/>
      <c r="AQ679" s="84">
        <f t="shared" si="90"/>
        <v>15</v>
      </c>
      <c r="AR679" s="80">
        <v>448.5</v>
      </c>
      <c r="AS679" s="178">
        <f t="shared" si="89"/>
        <v>6727.5</v>
      </c>
    </row>
    <row r="680" spans="1:45" ht="28.5" hidden="1">
      <c r="A680" s="71">
        <v>654</v>
      </c>
      <c r="B680" s="37" t="s">
        <v>477</v>
      </c>
      <c r="C680" s="53" t="s">
        <v>1250</v>
      </c>
      <c r="D680" s="37">
        <v>295</v>
      </c>
      <c r="E680" s="37" t="s">
        <v>476</v>
      </c>
      <c r="F680" s="110" t="s">
        <v>12</v>
      </c>
      <c r="G680" s="125"/>
      <c r="H680" s="125"/>
      <c r="I680" s="125"/>
      <c r="J680" s="125"/>
      <c r="K680" s="126"/>
      <c r="L680" s="127"/>
      <c r="M680" s="128"/>
      <c r="N680" s="125"/>
      <c r="O680" s="126"/>
      <c r="P680" s="125"/>
      <c r="Q680" s="128"/>
      <c r="R680" s="125"/>
      <c r="S680" s="110">
        <v>20</v>
      </c>
      <c r="T680" s="40">
        <f t="shared" si="88"/>
        <v>13350</v>
      </c>
      <c r="U680" s="39"/>
      <c r="V680" s="40"/>
      <c r="W680" s="39"/>
      <c r="X680" s="40"/>
      <c r="Y680" s="39"/>
      <c r="Z680" s="40"/>
      <c r="AA680" s="39"/>
      <c r="AB680" s="40"/>
      <c r="AC680" s="39"/>
      <c r="AD680" s="40"/>
      <c r="AE680" s="39"/>
      <c r="AF680" s="40"/>
      <c r="AG680" s="39"/>
      <c r="AH680" s="40"/>
      <c r="AI680" s="39"/>
      <c r="AJ680" s="40"/>
      <c r="AK680" s="39"/>
      <c r="AL680" s="40"/>
      <c r="AM680" s="39"/>
      <c r="AN680" s="40"/>
      <c r="AO680" s="39"/>
      <c r="AP680" s="40"/>
      <c r="AQ680" s="84">
        <f t="shared" si="90"/>
        <v>20</v>
      </c>
      <c r="AR680" s="80">
        <v>667.5</v>
      </c>
      <c r="AS680" s="178">
        <f t="shared" si="89"/>
        <v>13350</v>
      </c>
    </row>
    <row r="681" spans="1:45" ht="28.5" hidden="1">
      <c r="A681" s="67">
        <v>655</v>
      </c>
      <c r="B681" s="37" t="s">
        <v>475</v>
      </c>
      <c r="C681" s="53" t="s">
        <v>1250</v>
      </c>
      <c r="D681" s="37">
        <v>295</v>
      </c>
      <c r="E681" s="37" t="s">
        <v>474</v>
      </c>
      <c r="F681" s="110" t="s">
        <v>12</v>
      </c>
      <c r="G681" s="125"/>
      <c r="H681" s="125"/>
      <c r="I681" s="125"/>
      <c r="J681" s="125"/>
      <c r="K681" s="126"/>
      <c r="L681" s="127"/>
      <c r="M681" s="128"/>
      <c r="N681" s="125"/>
      <c r="O681" s="126"/>
      <c r="P681" s="125"/>
      <c r="Q681" s="128"/>
      <c r="R681" s="125"/>
      <c r="S681" s="110">
        <v>30</v>
      </c>
      <c r="T681" s="40">
        <f t="shared" si="88"/>
        <v>56253.599999999999</v>
      </c>
      <c r="U681" s="39"/>
      <c r="V681" s="40"/>
      <c r="W681" s="39"/>
      <c r="X681" s="40"/>
      <c r="Y681" s="39"/>
      <c r="Z681" s="40"/>
      <c r="AA681" s="39"/>
      <c r="AB681" s="40"/>
      <c r="AC681" s="39"/>
      <c r="AD681" s="40"/>
      <c r="AE681" s="39"/>
      <c r="AF681" s="40"/>
      <c r="AG681" s="39"/>
      <c r="AH681" s="40"/>
      <c r="AI681" s="39"/>
      <c r="AJ681" s="40"/>
      <c r="AK681" s="39"/>
      <c r="AL681" s="40"/>
      <c r="AM681" s="39"/>
      <c r="AN681" s="40"/>
      <c r="AO681" s="39"/>
      <c r="AP681" s="40"/>
      <c r="AQ681" s="84">
        <f t="shared" si="90"/>
        <v>30</v>
      </c>
      <c r="AR681" s="80">
        <v>1875.12</v>
      </c>
      <c r="AS681" s="178">
        <f t="shared" si="89"/>
        <v>56253.599999999999</v>
      </c>
    </row>
    <row r="682" spans="1:45" ht="28.5" hidden="1">
      <c r="A682" s="71">
        <v>656</v>
      </c>
      <c r="B682" s="37" t="s">
        <v>473</v>
      </c>
      <c r="C682" s="53" t="s">
        <v>1250</v>
      </c>
      <c r="D682" s="37">
        <v>295</v>
      </c>
      <c r="E682" s="37" t="s">
        <v>472</v>
      </c>
      <c r="F682" s="110" t="s">
        <v>12</v>
      </c>
      <c r="G682" s="125"/>
      <c r="H682" s="125"/>
      <c r="I682" s="125"/>
      <c r="J682" s="125"/>
      <c r="K682" s="126"/>
      <c r="L682" s="127"/>
      <c r="M682" s="128"/>
      <c r="N682" s="125"/>
      <c r="O682" s="126"/>
      <c r="P682" s="125"/>
      <c r="Q682" s="128"/>
      <c r="R682" s="125"/>
      <c r="S682" s="110">
        <v>10</v>
      </c>
      <c r="T682" s="40">
        <f t="shared" si="88"/>
        <v>2250</v>
      </c>
      <c r="U682" s="39"/>
      <c r="V682" s="40"/>
      <c r="W682" s="39"/>
      <c r="X682" s="40"/>
      <c r="Y682" s="39"/>
      <c r="Z682" s="40"/>
      <c r="AA682" s="39"/>
      <c r="AB682" s="40"/>
      <c r="AC682" s="39"/>
      <c r="AD682" s="40"/>
      <c r="AE682" s="39"/>
      <c r="AF682" s="40"/>
      <c r="AG682" s="39"/>
      <c r="AH682" s="40"/>
      <c r="AI682" s="39"/>
      <c r="AJ682" s="40"/>
      <c r="AK682" s="39"/>
      <c r="AL682" s="40"/>
      <c r="AM682" s="39"/>
      <c r="AN682" s="40"/>
      <c r="AO682" s="39"/>
      <c r="AP682" s="40"/>
      <c r="AQ682" s="84">
        <f t="shared" si="90"/>
        <v>10</v>
      </c>
      <c r="AR682" s="80">
        <v>225</v>
      </c>
      <c r="AS682" s="178">
        <f t="shared" si="89"/>
        <v>2250</v>
      </c>
    </row>
    <row r="683" spans="1:45" ht="28.5" hidden="1">
      <c r="A683" s="67">
        <v>657</v>
      </c>
      <c r="B683" s="37" t="s">
        <v>471</v>
      </c>
      <c r="C683" s="53" t="s">
        <v>1250</v>
      </c>
      <c r="D683" s="37">
        <v>295</v>
      </c>
      <c r="E683" s="37" t="s">
        <v>470</v>
      </c>
      <c r="F683" s="110" t="s">
        <v>12</v>
      </c>
      <c r="G683" s="125"/>
      <c r="H683" s="125"/>
      <c r="I683" s="125"/>
      <c r="J683" s="125"/>
      <c r="K683" s="126"/>
      <c r="L683" s="127"/>
      <c r="M683" s="128"/>
      <c r="N683" s="125"/>
      <c r="O683" s="126"/>
      <c r="P683" s="125"/>
      <c r="Q683" s="128"/>
      <c r="R683" s="125"/>
      <c r="S683" s="110">
        <v>30</v>
      </c>
      <c r="T683" s="40">
        <f t="shared" si="88"/>
        <v>1864.5</v>
      </c>
      <c r="U683" s="39"/>
      <c r="V683" s="40"/>
      <c r="W683" s="39"/>
      <c r="X683" s="40"/>
      <c r="Y683" s="39"/>
      <c r="Z683" s="40"/>
      <c r="AA683" s="39"/>
      <c r="AB683" s="40"/>
      <c r="AC683" s="39"/>
      <c r="AD683" s="40"/>
      <c r="AE683" s="39"/>
      <c r="AF683" s="40"/>
      <c r="AG683" s="39"/>
      <c r="AH683" s="40"/>
      <c r="AI683" s="39"/>
      <c r="AJ683" s="40"/>
      <c r="AK683" s="39"/>
      <c r="AL683" s="40"/>
      <c r="AM683" s="39"/>
      <c r="AN683" s="40"/>
      <c r="AO683" s="39"/>
      <c r="AP683" s="40"/>
      <c r="AQ683" s="84">
        <f t="shared" si="90"/>
        <v>30</v>
      </c>
      <c r="AR683" s="80">
        <v>62.15</v>
      </c>
      <c r="AS683" s="178">
        <f t="shared" si="89"/>
        <v>1864.5</v>
      </c>
    </row>
    <row r="684" spans="1:45" ht="28.5" hidden="1">
      <c r="A684" s="71">
        <v>658</v>
      </c>
      <c r="B684" s="37" t="s">
        <v>469</v>
      </c>
      <c r="C684" s="53" t="s">
        <v>1250</v>
      </c>
      <c r="D684" s="37">
        <v>295</v>
      </c>
      <c r="E684" s="37" t="s">
        <v>468</v>
      </c>
      <c r="F684" s="110" t="s">
        <v>12</v>
      </c>
      <c r="G684" s="125"/>
      <c r="H684" s="125"/>
      <c r="I684" s="125"/>
      <c r="J684" s="125"/>
      <c r="K684" s="126"/>
      <c r="L684" s="127"/>
      <c r="M684" s="128"/>
      <c r="N684" s="125"/>
      <c r="O684" s="126"/>
      <c r="P684" s="125"/>
      <c r="Q684" s="128"/>
      <c r="R684" s="125"/>
      <c r="S684" s="110">
        <v>30</v>
      </c>
      <c r="T684" s="40">
        <f t="shared" si="88"/>
        <v>9450</v>
      </c>
      <c r="U684" s="39"/>
      <c r="V684" s="40"/>
      <c r="W684" s="39"/>
      <c r="X684" s="40"/>
      <c r="Y684" s="39"/>
      <c r="Z684" s="40"/>
      <c r="AA684" s="39"/>
      <c r="AB684" s="40"/>
      <c r="AC684" s="39"/>
      <c r="AD684" s="40"/>
      <c r="AE684" s="39"/>
      <c r="AF684" s="40"/>
      <c r="AG684" s="39"/>
      <c r="AH684" s="40"/>
      <c r="AI684" s="39"/>
      <c r="AJ684" s="40"/>
      <c r="AK684" s="39"/>
      <c r="AL684" s="40"/>
      <c r="AM684" s="39"/>
      <c r="AN684" s="40"/>
      <c r="AO684" s="39"/>
      <c r="AP684" s="40"/>
      <c r="AQ684" s="84">
        <f t="shared" si="90"/>
        <v>30</v>
      </c>
      <c r="AR684" s="80">
        <v>315</v>
      </c>
      <c r="AS684" s="178">
        <f t="shared" si="89"/>
        <v>9450</v>
      </c>
    </row>
    <row r="685" spans="1:45" ht="28.5" hidden="1">
      <c r="A685" s="67">
        <v>659</v>
      </c>
      <c r="B685" s="37" t="s">
        <v>467</v>
      </c>
      <c r="C685" s="53" t="s">
        <v>1250</v>
      </c>
      <c r="D685" s="37">
        <v>295</v>
      </c>
      <c r="E685" s="37" t="s">
        <v>466</v>
      </c>
      <c r="F685" s="110" t="s">
        <v>12</v>
      </c>
      <c r="G685" s="125"/>
      <c r="H685" s="125"/>
      <c r="I685" s="125"/>
      <c r="J685" s="125"/>
      <c r="K685" s="126"/>
      <c r="L685" s="127"/>
      <c r="M685" s="128"/>
      <c r="N685" s="125"/>
      <c r="O685" s="126"/>
      <c r="P685" s="125"/>
      <c r="Q685" s="128"/>
      <c r="R685" s="125"/>
      <c r="S685" s="110">
        <v>20</v>
      </c>
      <c r="T685" s="40">
        <f t="shared" si="88"/>
        <v>6300</v>
      </c>
      <c r="U685" s="39"/>
      <c r="V685" s="40"/>
      <c r="W685" s="39"/>
      <c r="X685" s="40"/>
      <c r="Y685" s="39"/>
      <c r="Z685" s="40"/>
      <c r="AA685" s="39"/>
      <c r="AB685" s="40"/>
      <c r="AC685" s="39"/>
      <c r="AD685" s="40"/>
      <c r="AE685" s="39"/>
      <c r="AF685" s="40"/>
      <c r="AG685" s="39"/>
      <c r="AH685" s="40"/>
      <c r="AI685" s="39"/>
      <c r="AJ685" s="40"/>
      <c r="AK685" s="39"/>
      <c r="AL685" s="40"/>
      <c r="AM685" s="39"/>
      <c r="AN685" s="40"/>
      <c r="AO685" s="39"/>
      <c r="AP685" s="40"/>
      <c r="AQ685" s="84">
        <f t="shared" si="90"/>
        <v>20</v>
      </c>
      <c r="AR685" s="80">
        <v>315</v>
      </c>
      <c r="AS685" s="178">
        <f t="shared" si="89"/>
        <v>6300</v>
      </c>
    </row>
    <row r="686" spans="1:45" ht="28.5" hidden="1">
      <c r="A686" s="71">
        <v>660</v>
      </c>
      <c r="B686" s="37" t="s">
        <v>465</v>
      </c>
      <c r="C686" s="53" t="s">
        <v>1250</v>
      </c>
      <c r="D686" s="37">
        <v>295</v>
      </c>
      <c r="E686" s="37" t="s">
        <v>464</v>
      </c>
      <c r="F686" s="110" t="s">
        <v>12</v>
      </c>
      <c r="G686" s="125"/>
      <c r="H686" s="125"/>
      <c r="I686" s="125"/>
      <c r="J686" s="125"/>
      <c r="K686" s="126"/>
      <c r="L686" s="127"/>
      <c r="M686" s="128"/>
      <c r="N686" s="125"/>
      <c r="O686" s="126"/>
      <c r="P686" s="125"/>
      <c r="Q686" s="128"/>
      <c r="R686" s="125"/>
      <c r="S686" s="110">
        <v>100</v>
      </c>
      <c r="T686" s="40">
        <f t="shared" si="88"/>
        <v>81000</v>
      </c>
      <c r="U686" s="39"/>
      <c r="V686" s="40"/>
      <c r="W686" s="39"/>
      <c r="X686" s="40"/>
      <c r="Y686" s="39"/>
      <c r="Z686" s="40"/>
      <c r="AA686" s="39"/>
      <c r="AB686" s="40"/>
      <c r="AC686" s="39"/>
      <c r="AD686" s="40"/>
      <c r="AE686" s="39"/>
      <c r="AF686" s="40"/>
      <c r="AG686" s="39"/>
      <c r="AH686" s="40"/>
      <c r="AI686" s="39"/>
      <c r="AJ686" s="40"/>
      <c r="AK686" s="39"/>
      <c r="AL686" s="40"/>
      <c r="AM686" s="39"/>
      <c r="AN686" s="40"/>
      <c r="AO686" s="39"/>
      <c r="AP686" s="40"/>
      <c r="AQ686" s="84">
        <f t="shared" si="90"/>
        <v>100</v>
      </c>
      <c r="AR686" s="80">
        <v>810</v>
      </c>
      <c r="AS686" s="178">
        <f t="shared" si="89"/>
        <v>81000</v>
      </c>
    </row>
    <row r="687" spans="1:45" ht="14.25" hidden="1">
      <c r="A687" s="67">
        <v>661</v>
      </c>
      <c r="B687" s="37" t="s">
        <v>463</v>
      </c>
      <c r="C687" s="53" t="s">
        <v>1250</v>
      </c>
      <c r="D687" s="37">
        <v>295</v>
      </c>
      <c r="E687" s="37" t="s">
        <v>462</v>
      </c>
      <c r="F687" s="110" t="s">
        <v>12</v>
      </c>
      <c r="G687" s="125"/>
      <c r="H687" s="125"/>
      <c r="I687" s="125"/>
      <c r="J687" s="125"/>
      <c r="K687" s="126"/>
      <c r="L687" s="127"/>
      <c r="M687" s="128"/>
      <c r="N687" s="125"/>
      <c r="O687" s="126"/>
      <c r="P687" s="125"/>
      <c r="Q687" s="128"/>
      <c r="R687" s="125"/>
      <c r="S687" s="110">
        <v>50</v>
      </c>
      <c r="T687" s="40">
        <f t="shared" si="88"/>
        <v>10179</v>
      </c>
      <c r="U687" s="39"/>
      <c r="V687" s="40"/>
      <c r="W687" s="39"/>
      <c r="X687" s="40"/>
      <c r="Y687" s="39"/>
      <c r="Z687" s="40"/>
      <c r="AA687" s="39"/>
      <c r="AB687" s="40"/>
      <c r="AC687" s="39"/>
      <c r="AD687" s="40"/>
      <c r="AE687" s="39"/>
      <c r="AF687" s="40"/>
      <c r="AG687" s="39"/>
      <c r="AH687" s="40"/>
      <c r="AI687" s="39"/>
      <c r="AJ687" s="40"/>
      <c r="AK687" s="39"/>
      <c r="AL687" s="40"/>
      <c r="AM687" s="39"/>
      <c r="AN687" s="40"/>
      <c r="AO687" s="39"/>
      <c r="AP687" s="40"/>
      <c r="AQ687" s="84">
        <f t="shared" si="90"/>
        <v>50</v>
      </c>
      <c r="AR687" s="80">
        <v>203.58</v>
      </c>
      <c r="AS687" s="178">
        <f t="shared" si="89"/>
        <v>10179</v>
      </c>
    </row>
    <row r="688" spans="1:45" ht="28.5" hidden="1">
      <c r="A688" s="71">
        <v>662</v>
      </c>
      <c r="B688" s="37" t="s">
        <v>461</v>
      </c>
      <c r="C688" s="53" t="s">
        <v>1250</v>
      </c>
      <c r="D688" s="37">
        <v>295</v>
      </c>
      <c r="E688" s="37" t="s">
        <v>460</v>
      </c>
      <c r="F688" s="110" t="s">
        <v>12</v>
      </c>
      <c r="G688" s="125"/>
      <c r="H688" s="125"/>
      <c r="I688" s="125"/>
      <c r="J688" s="125"/>
      <c r="K688" s="126"/>
      <c r="L688" s="127"/>
      <c r="M688" s="128"/>
      <c r="N688" s="125"/>
      <c r="O688" s="126"/>
      <c r="P688" s="125"/>
      <c r="Q688" s="128"/>
      <c r="R688" s="125"/>
      <c r="S688" s="110">
        <v>20</v>
      </c>
      <c r="T688" s="40">
        <f t="shared" si="88"/>
        <v>32075.8</v>
      </c>
      <c r="U688" s="39"/>
      <c r="V688" s="40"/>
      <c r="W688" s="39"/>
      <c r="X688" s="40"/>
      <c r="Y688" s="39"/>
      <c r="Z688" s="40"/>
      <c r="AA688" s="39"/>
      <c r="AB688" s="40"/>
      <c r="AC688" s="39"/>
      <c r="AD688" s="40"/>
      <c r="AE688" s="39"/>
      <c r="AF688" s="40"/>
      <c r="AG688" s="39"/>
      <c r="AH688" s="40"/>
      <c r="AI688" s="39"/>
      <c r="AJ688" s="40"/>
      <c r="AK688" s="39"/>
      <c r="AL688" s="40"/>
      <c r="AM688" s="39"/>
      <c r="AN688" s="40"/>
      <c r="AO688" s="39"/>
      <c r="AP688" s="40"/>
      <c r="AQ688" s="84">
        <f t="shared" si="90"/>
        <v>20</v>
      </c>
      <c r="AR688" s="80">
        <v>1603.79</v>
      </c>
      <c r="AS688" s="178">
        <f t="shared" si="89"/>
        <v>32075.8</v>
      </c>
    </row>
    <row r="689" spans="1:45" ht="28.5" hidden="1">
      <c r="A689" s="67">
        <v>663</v>
      </c>
      <c r="B689" s="37" t="s">
        <v>459</v>
      </c>
      <c r="C689" s="53" t="s">
        <v>1250</v>
      </c>
      <c r="D689" s="37">
        <v>295</v>
      </c>
      <c r="E689" s="37" t="s">
        <v>458</v>
      </c>
      <c r="F689" s="110" t="s">
        <v>12</v>
      </c>
      <c r="G689" s="125"/>
      <c r="H689" s="125"/>
      <c r="I689" s="125"/>
      <c r="J689" s="125"/>
      <c r="K689" s="126"/>
      <c r="L689" s="127"/>
      <c r="M689" s="128"/>
      <c r="N689" s="125"/>
      <c r="O689" s="126"/>
      <c r="P689" s="125"/>
      <c r="Q689" s="128"/>
      <c r="R689" s="125"/>
      <c r="S689" s="110">
        <v>20</v>
      </c>
      <c r="T689" s="40">
        <f t="shared" ref="T689:T693" si="91">+S689*AR689</f>
        <v>3800.2</v>
      </c>
      <c r="U689" s="39"/>
      <c r="V689" s="40"/>
      <c r="W689" s="39"/>
      <c r="X689" s="40"/>
      <c r="Y689" s="39"/>
      <c r="Z689" s="40"/>
      <c r="AA689" s="39"/>
      <c r="AB689" s="40"/>
      <c r="AC689" s="39"/>
      <c r="AD689" s="40"/>
      <c r="AE689" s="39"/>
      <c r="AF689" s="40"/>
      <c r="AG689" s="39"/>
      <c r="AH689" s="40"/>
      <c r="AI689" s="39"/>
      <c r="AJ689" s="40"/>
      <c r="AK689" s="39"/>
      <c r="AL689" s="40"/>
      <c r="AM689" s="39"/>
      <c r="AN689" s="40"/>
      <c r="AO689" s="39"/>
      <c r="AP689" s="40"/>
      <c r="AQ689" s="84">
        <f t="shared" si="90"/>
        <v>20</v>
      </c>
      <c r="AR689" s="80">
        <v>190.01</v>
      </c>
      <c r="AS689" s="178">
        <f t="shared" si="89"/>
        <v>3800.2</v>
      </c>
    </row>
    <row r="690" spans="1:45" ht="28.5" hidden="1">
      <c r="A690" s="71">
        <v>664</v>
      </c>
      <c r="B690" s="37" t="s">
        <v>457</v>
      </c>
      <c r="C690" s="53" t="s">
        <v>1250</v>
      </c>
      <c r="D690" s="37">
        <v>295</v>
      </c>
      <c r="E690" s="37" t="s">
        <v>456</v>
      </c>
      <c r="F690" s="110" t="s">
        <v>12</v>
      </c>
      <c r="G690" s="125"/>
      <c r="H690" s="125"/>
      <c r="I690" s="125"/>
      <c r="J690" s="125"/>
      <c r="K690" s="126"/>
      <c r="L690" s="127"/>
      <c r="M690" s="128"/>
      <c r="N690" s="125"/>
      <c r="O690" s="126"/>
      <c r="P690" s="125"/>
      <c r="Q690" s="128"/>
      <c r="R690" s="125"/>
      <c r="S690" s="110">
        <v>50</v>
      </c>
      <c r="T690" s="40">
        <f t="shared" si="91"/>
        <v>78750</v>
      </c>
      <c r="U690" s="39"/>
      <c r="V690" s="40"/>
      <c r="W690" s="39"/>
      <c r="X690" s="40"/>
      <c r="Y690" s="39"/>
      <c r="Z690" s="40"/>
      <c r="AA690" s="39"/>
      <c r="AB690" s="40"/>
      <c r="AC690" s="39"/>
      <c r="AD690" s="40"/>
      <c r="AE690" s="39"/>
      <c r="AF690" s="40"/>
      <c r="AG690" s="39"/>
      <c r="AH690" s="40"/>
      <c r="AI690" s="39"/>
      <c r="AJ690" s="40"/>
      <c r="AK690" s="39"/>
      <c r="AL690" s="40"/>
      <c r="AM690" s="39"/>
      <c r="AN690" s="40"/>
      <c r="AO690" s="39"/>
      <c r="AP690" s="40"/>
      <c r="AQ690" s="84">
        <f t="shared" si="90"/>
        <v>50</v>
      </c>
      <c r="AR690" s="80">
        <v>1575</v>
      </c>
      <c r="AS690" s="178">
        <f t="shared" ref="AS690:AS693" si="92">+AQ690*AR690</f>
        <v>78750</v>
      </c>
    </row>
    <row r="691" spans="1:45" ht="14.25" hidden="1">
      <c r="A691" s="67">
        <v>665</v>
      </c>
      <c r="B691" s="53" t="s">
        <v>455</v>
      </c>
      <c r="C691" s="53" t="s">
        <v>1250</v>
      </c>
      <c r="D691" s="37">
        <v>295</v>
      </c>
      <c r="E691" s="53" t="s">
        <v>454</v>
      </c>
      <c r="F691" s="71" t="s">
        <v>12</v>
      </c>
      <c r="G691" s="125"/>
      <c r="H691" s="125"/>
      <c r="I691" s="125"/>
      <c r="J691" s="125"/>
      <c r="K691" s="126"/>
      <c r="L691" s="127"/>
      <c r="M691" s="128"/>
      <c r="N691" s="125"/>
      <c r="O691" s="126"/>
      <c r="P691" s="125"/>
      <c r="Q691" s="128"/>
      <c r="R691" s="125"/>
      <c r="S691" s="126">
        <v>2</v>
      </c>
      <c r="T691" s="40">
        <f t="shared" si="91"/>
        <v>1555.18</v>
      </c>
      <c r="U691" s="39"/>
      <c r="V691" s="40"/>
      <c r="W691" s="39"/>
      <c r="X691" s="40"/>
      <c r="Y691" s="39"/>
      <c r="Z691" s="40"/>
      <c r="AA691" s="39"/>
      <c r="AB691" s="40"/>
      <c r="AC691" s="39"/>
      <c r="AD691" s="40"/>
      <c r="AE691" s="39"/>
      <c r="AF691" s="40"/>
      <c r="AG691" s="39"/>
      <c r="AH691" s="40"/>
      <c r="AI691" s="39"/>
      <c r="AJ691" s="40"/>
      <c r="AK691" s="39"/>
      <c r="AL691" s="40"/>
      <c r="AM691" s="39"/>
      <c r="AN691" s="40"/>
      <c r="AO691" s="39"/>
      <c r="AP691" s="40"/>
      <c r="AQ691" s="84">
        <f t="shared" si="90"/>
        <v>2</v>
      </c>
      <c r="AR691" s="179">
        <v>777.59</v>
      </c>
      <c r="AS691" s="178">
        <f t="shared" si="92"/>
        <v>1555.18</v>
      </c>
    </row>
    <row r="692" spans="1:45" ht="14.25" hidden="1">
      <c r="A692" s="71">
        <v>666</v>
      </c>
      <c r="B692" s="53" t="s">
        <v>453</v>
      </c>
      <c r="C692" s="53" t="s">
        <v>1250</v>
      </c>
      <c r="D692" s="37">
        <v>295</v>
      </c>
      <c r="E692" s="53" t="s">
        <v>452</v>
      </c>
      <c r="F692" s="71" t="s">
        <v>12</v>
      </c>
      <c r="G692" s="125"/>
      <c r="H692" s="125"/>
      <c r="I692" s="125"/>
      <c r="J692" s="125"/>
      <c r="K692" s="126"/>
      <c r="L692" s="127"/>
      <c r="M692" s="128"/>
      <c r="N692" s="125"/>
      <c r="O692" s="126"/>
      <c r="P692" s="125"/>
      <c r="Q692" s="128"/>
      <c r="R692" s="125"/>
      <c r="S692" s="126">
        <v>2</v>
      </c>
      <c r="T692" s="40">
        <f t="shared" si="91"/>
        <v>3142.78</v>
      </c>
      <c r="U692" s="39"/>
      <c r="V692" s="40"/>
      <c r="W692" s="39"/>
      <c r="X692" s="40"/>
      <c r="Y692" s="39"/>
      <c r="Z692" s="40"/>
      <c r="AA692" s="39"/>
      <c r="AB692" s="40"/>
      <c r="AC692" s="39"/>
      <c r="AD692" s="40"/>
      <c r="AE692" s="39"/>
      <c r="AF692" s="40"/>
      <c r="AG692" s="39"/>
      <c r="AH692" s="40"/>
      <c r="AI692" s="39"/>
      <c r="AJ692" s="40"/>
      <c r="AK692" s="39"/>
      <c r="AL692" s="40"/>
      <c r="AM692" s="39"/>
      <c r="AN692" s="40"/>
      <c r="AO692" s="39"/>
      <c r="AP692" s="40"/>
      <c r="AQ692" s="84">
        <f t="shared" si="90"/>
        <v>2</v>
      </c>
      <c r="AR692" s="179">
        <v>1571.39</v>
      </c>
      <c r="AS692" s="178">
        <f t="shared" si="92"/>
        <v>3142.78</v>
      </c>
    </row>
    <row r="693" spans="1:45" ht="14.25" hidden="1">
      <c r="A693" s="67">
        <v>667</v>
      </c>
      <c r="B693" s="53" t="s">
        <v>451</v>
      </c>
      <c r="C693" s="53" t="s">
        <v>1250</v>
      </c>
      <c r="D693" s="37">
        <v>295</v>
      </c>
      <c r="E693" s="53" t="s">
        <v>450</v>
      </c>
      <c r="F693" s="71" t="s">
        <v>12</v>
      </c>
      <c r="G693" s="125"/>
      <c r="H693" s="125"/>
      <c r="I693" s="125"/>
      <c r="J693" s="125"/>
      <c r="K693" s="126"/>
      <c r="L693" s="127"/>
      <c r="M693" s="128"/>
      <c r="N693" s="125"/>
      <c r="O693" s="126"/>
      <c r="P693" s="125"/>
      <c r="Q693" s="128"/>
      <c r="R693" s="125"/>
      <c r="S693" s="126">
        <v>2</v>
      </c>
      <c r="T693" s="40">
        <f t="shared" si="91"/>
        <v>690</v>
      </c>
      <c r="U693" s="39"/>
      <c r="V693" s="40"/>
      <c r="W693" s="39"/>
      <c r="X693" s="40"/>
      <c r="Y693" s="39"/>
      <c r="Z693" s="40"/>
      <c r="AA693" s="39"/>
      <c r="AB693" s="40"/>
      <c r="AC693" s="39"/>
      <c r="AD693" s="40"/>
      <c r="AE693" s="39"/>
      <c r="AF693" s="40"/>
      <c r="AG693" s="39"/>
      <c r="AH693" s="40"/>
      <c r="AI693" s="39"/>
      <c r="AJ693" s="40"/>
      <c r="AK693" s="39"/>
      <c r="AL693" s="40"/>
      <c r="AM693" s="39"/>
      <c r="AN693" s="40"/>
      <c r="AO693" s="39"/>
      <c r="AP693" s="40"/>
      <c r="AQ693" s="84">
        <f t="shared" si="90"/>
        <v>2</v>
      </c>
      <c r="AR693" s="179">
        <v>345</v>
      </c>
      <c r="AS693" s="178">
        <f t="shared" si="92"/>
        <v>690</v>
      </c>
    </row>
    <row r="694" spans="1:45" ht="15.75" hidden="1">
      <c r="A694" s="71"/>
      <c r="B694" s="46"/>
      <c r="C694" s="50"/>
      <c r="D694" s="46"/>
      <c r="E694" s="254" t="s">
        <v>1251</v>
      </c>
      <c r="F694" s="125"/>
      <c r="G694" s="125"/>
      <c r="H694" s="125"/>
      <c r="I694" s="125"/>
      <c r="J694" s="125"/>
      <c r="K694" s="126"/>
      <c r="L694" s="127"/>
      <c r="M694" s="128"/>
      <c r="N694" s="125"/>
      <c r="O694" s="126"/>
      <c r="P694" s="125"/>
      <c r="Q694" s="128"/>
      <c r="R694" s="125"/>
      <c r="S694" s="126"/>
      <c r="T694" s="125"/>
      <c r="U694" s="128"/>
      <c r="V694" s="125"/>
      <c r="W694" s="128"/>
      <c r="X694" s="125"/>
      <c r="Y694" s="128"/>
      <c r="Z694" s="125"/>
      <c r="AA694" s="128"/>
      <c r="AB694" s="125"/>
      <c r="AC694" s="128"/>
      <c r="AD694" s="125"/>
      <c r="AE694" s="128"/>
      <c r="AF694" s="125"/>
      <c r="AG694" s="128"/>
      <c r="AH694" s="125"/>
      <c r="AI694" s="128"/>
      <c r="AJ694" s="125"/>
      <c r="AK694" s="128"/>
      <c r="AL694" s="125"/>
      <c r="AM694" s="128"/>
      <c r="AN694" s="125"/>
      <c r="AO694" s="128"/>
      <c r="AP694" s="125"/>
      <c r="AQ694" s="68"/>
      <c r="AR694" s="179"/>
      <c r="AS694" s="221">
        <f>SUM(AS303:AS693)</f>
        <v>37136165.439999998</v>
      </c>
    </row>
    <row r="695" spans="1:45" ht="14.25" hidden="1">
      <c r="A695" s="71">
        <v>668</v>
      </c>
      <c r="B695" s="125"/>
      <c r="C695" s="54" t="s">
        <v>1239</v>
      </c>
      <c r="D695" s="33" t="s">
        <v>430</v>
      </c>
      <c r="E695" s="88" t="s">
        <v>443</v>
      </c>
      <c r="F695" s="37" t="s">
        <v>17</v>
      </c>
      <c r="G695" s="125"/>
      <c r="H695" s="125"/>
      <c r="I695" s="125"/>
      <c r="J695" s="125"/>
      <c r="K695" s="126"/>
      <c r="L695" s="127"/>
      <c r="M695" s="128"/>
      <c r="N695" s="125"/>
      <c r="O695" s="126"/>
      <c r="P695" s="125"/>
      <c r="Q695" s="68">
        <v>150</v>
      </c>
      <c r="R695" s="136">
        <f>+Q695*AR695</f>
        <v>1875000</v>
      </c>
      <c r="S695" s="126"/>
      <c r="T695" s="125"/>
      <c r="U695" s="128"/>
      <c r="V695" s="125"/>
      <c r="W695" s="128"/>
      <c r="X695" s="125"/>
      <c r="Y695" s="128"/>
      <c r="Z695" s="125"/>
      <c r="AA695" s="128"/>
      <c r="AB695" s="125"/>
      <c r="AC695" s="128"/>
      <c r="AD695" s="125"/>
      <c r="AE695" s="128"/>
      <c r="AF695" s="125"/>
      <c r="AG695" s="128"/>
      <c r="AH695" s="125"/>
      <c r="AI695" s="128"/>
      <c r="AJ695" s="125"/>
      <c r="AK695" s="128"/>
      <c r="AL695" s="125"/>
      <c r="AM695" s="128"/>
      <c r="AN695" s="125"/>
      <c r="AO695" s="128"/>
      <c r="AP695" s="125"/>
      <c r="AQ695" s="84">
        <f t="shared" si="90"/>
        <v>150</v>
      </c>
      <c r="AR695" s="167">
        <v>12500</v>
      </c>
      <c r="AS695" s="180">
        <f>+AQ695*AR695</f>
        <v>1875000</v>
      </c>
    </row>
    <row r="696" spans="1:45" ht="14.25" hidden="1">
      <c r="A696" s="71">
        <v>669</v>
      </c>
      <c r="B696" s="125"/>
      <c r="C696" s="54" t="s">
        <v>1239</v>
      </c>
      <c r="D696" s="33" t="s">
        <v>430</v>
      </c>
      <c r="E696" s="37" t="s">
        <v>444</v>
      </c>
      <c r="F696" s="37" t="s">
        <v>17</v>
      </c>
      <c r="G696" s="125"/>
      <c r="H696" s="125"/>
      <c r="I696" s="125"/>
      <c r="J696" s="125"/>
      <c r="K696" s="126"/>
      <c r="L696" s="127"/>
      <c r="M696" s="128"/>
      <c r="N696" s="125"/>
      <c r="O696" s="126"/>
      <c r="P696" s="125"/>
      <c r="Q696" s="68">
        <v>180</v>
      </c>
      <c r="R696" s="136">
        <f t="shared" ref="R696:R701" si="93">+Q696*AR696</f>
        <v>1286640</v>
      </c>
      <c r="S696" s="126"/>
      <c r="T696" s="125"/>
      <c r="U696" s="128"/>
      <c r="V696" s="125"/>
      <c r="W696" s="128"/>
      <c r="X696" s="125"/>
      <c r="Y696" s="128"/>
      <c r="Z696" s="125"/>
      <c r="AA696" s="128"/>
      <c r="AB696" s="125"/>
      <c r="AC696" s="128"/>
      <c r="AD696" s="125"/>
      <c r="AE696" s="128"/>
      <c r="AF696" s="125"/>
      <c r="AG696" s="128"/>
      <c r="AH696" s="125"/>
      <c r="AI696" s="128"/>
      <c r="AJ696" s="125"/>
      <c r="AK696" s="128"/>
      <c r="AL696" s="125"/>
      <c r="AM696" s="128"/>
      <c r="AN696" s="125"/>
      <c r="AO696" s="128"/>
      <c r="AP696" s="125"/>
      <c r="AQ696" s="84">
        <f t="shared" si="90"/>
        <v>180</v>
      </c>
      <c r="AR696" s="167">
        <v>7148</v>
      </c>
      <c r="AS696" s="180">
        <f t="shared" ref="AS696:AS701" si="94">+AQ696*AR696</f>
        <v>1286640</v>
      </c>
    </row>
    <row r="697" spans="1:45" ht="14.25" hidden="1">
      <c r="A697" s="71">
        <v>670</v>
      </c>
      <c r="B697" s="125"/>
      <c r="C697" s="54" t="s">
        <v>1239</v>
      </c>
      <c r="D697" s="33" t="s">
        <v>430</v>
      </c>
      <c r="E697" s="37" t="s">
        <v>445</v>
      </c>
      <c r="F697" s="37" t="s">
        <v>17</v>
      </c>
      <c r="G697" s="125"/>
      <c r="H697" s="125"/>
      <c r="I697" s="125"/>
      <c r="J697" s="125"/>
      <c r="K697" s="126"/>
      <c r="L697" s="127"/>
      <c r="M697" s="128"/>
      <c r="N697" s="125"/>
      <c r="O697" s="126"/>
      <c r="P697" s="125"/>
      <c r="Q697" s="68">
        <v>120</v>
      </c>
      <c r="R697" s="136">
        <f t="shared" si="93"/>
        <v>576000</v>
      </c>
      <c r="S697" s="126"/>
      <c r="T697" s="125"/>
      <c r="U697" s="128"/>
      <c r="V697" s="125"/>
      <c r="W697" s="128"/>
      <c r="X697" s="125"/>
      <c r="Y697" s="128"/>
      <c r="Z697" s="125"/>
      <c r="AA697" s="128"/>
      <c r="AB697" s="125"/>
      <c r="AC697" s="128"/>
      <c r="AD697" s="125"/>
      <c r="AE697" s="128"/>
      <c r="AF697" s="125"/>
      <c r="AG697" s="128"/>
      <c r="AH697" s="125"/>
      <c r="AI697" s="128"/>
      <c r="AJ697" s="125"/>
      <c r="AK697" s="128"/>
      <c r="AL697" s="125"/>
      <c r="AM697" s="128"/>
      <c r="AN697" s="125"/>
      <c r="AO697" s="128"/>
      <c r="AP697" s="125"/>
      <c r="AQ697" s="84">
        <f t="shared" si="90"/>
        <v>120</v>
      </c>
      <c r="AR697" s="167">
        <v>4800</v>
      </c>
      <c r="AS697" s="180">
        <f t="shared" si="94"/>
        <v>576000</v>
      </c>
    </row>
    <row r="698" spans="1:45" ht="14.25" hidden="1">
      <c r="A698" s="71">
        <v>671</v>
      </c>
      <c r="B698" s="125"/>
      <c r="C698" s="54" t="s">
        <v>1239</v>
      </c>
      <c r="D698" s="33" t="s">
        <v>430</v>
      </c>
      <c r="E698" s="53" t="s">
        <v>446</v>
      </c>
      <c r="F698" s="37" t="s">
        <v>12</v>
      </c>
      <c r="G698" s="125"/>
      <c r="H698" s="125"/>
      <c r="I698" s="125"/>
      <c r="J698" s="125"/>
      <c r="K698" s="126"/>
      <c r="L698" s="127"/>
      <c r="M698" s="128"/>
      <c r="N698" s="125"/>
      <c r="O698" s="126"/>
      <c r="P698" s="125"/>
      <c r="Q698" s="68">
        <v>240</v>
      </c>
      <c r="R698" s="136">
        <f t="shared" si="93"/>
        <v>768000</v>
      </c>
      <c r="S698" s="126"/>
      <c r="T698" s="125"/>
      <c r="U698" s="128"/>
      <c r="V698" s="125"/>
      <c r="W698" s="128"/>
      <c r="X698" s="125"/>
      <c r="Y698" s="128"/>
      <c r="Z698" s="125"/>
      <c r="AA698" s="128"/>
      <c r="AB698" s="125"/>
      <c r="AC698" s="128"/>
      <c r="AD698" s="125"/>
      <c r="AE698" s="128"/>
      <c r="AF698" s="125"/>
      <c r="AG698" s="128"/>
      <c r="AH698" s="125"/>
      <c r="AI698" s="128"/>
      <c r="AJ698" s="125"/>
      <c r="AK698" s="128"/>
      <c r="AL698" s="125"/>
      <c r="AM698" s="128"/>
      <c r="AN698" s="125"/>
      <c r="AO698" s="128"/>
      <c r="AP698" s="125"/>
      <c r="AQ698" s="84">
        <f t="shared" si="90"/>
        <v>240</v>
      </c>
      <c r="AR698" s="167">
        <v>3200</v>
      </c>
      <c r="AS698" s="180">
        <f t="shared" si="94"/>
        <v>768000</v>
      </c>
    </row>
    <row r="699" spans="1:45" ht="14.25" hidden="1">
      <c r="A699" s="71">
        <v>672</v>
      </c>
      <c r="B699" s="125"/>
      <c r="C699" s="54" t="s">
        <v>1239</v>
      </c>
      <c r="D699" s="33" t="s">
        <v>430</v>
      </c>
      <c r="E699" s="53" t="s">
        <v>447</v>
      </c>
      <c r="F699" s="37" t="s">
        <v>12</v>
      </c>
      <c r="G699" s="125"/>
      <c r="H699" s="125"/>
      <c r="I699" s="125"/>
      <c r="J699" s="125"/>
      <c r="K699" s="126"/>
      <c r="L699" s="127"/>
      <c r="M699" s="128"/>
      <c r="N699" s="125"/>
      <c r="O699" s="126"/>
      <c r="P699" s="125"/>
      <c r="Q699" s="68">
        <v>120</v>
      </c>
      <c r="R699" s="136">
        <f t="shared" si="93"/>
        <v>300000</v>
      </c>
      <c r="S699" s="126"/>
      <c r="T699" s="125"/>
      <c r="U699" s="128"/>
      <c r="V699" s="125"/>
      <c r="W699" s="128"/>
      <c r="X699" s="125"/>
      <c r="Y699" s="128"/>
      <c r="Z699" s="125"/>
      <c r="AA699" s="128"/>
      <c r="AB699" s="125"/>
      <c r="AC699" s="128"/>
      <c r="AD699" s="125"/>
      <c r="AE699" s="128"/>
      <c r="AF699" s="125"/>
      <c r="AG699" s="128"/>
      <c r="AH699" s="125"/>
      <c r="AI699" s="128"/>
      <c r="AJ699" s="125"/>
      <c r="AK699" s="128"/>
      <c r="AL699" s="125"/>
      <c r="AM699" s="128"/>
      <c r="AN699" s="125"/>
      <c r="AO699" s="128"/>
      <c r="AP699" s="125"/>
      <c r="AQ699" s="84">
        <f t="shared" si="90"/>
        <v>120</v>
      </c>
      <c r="AR699" s="167">
        <v>2500</v>
      </c>
      <c r="AS699" s="180">
        <f t="shared" si="94"/>
        <v>300000</v>
      </c>
    </row>
    <row r="700" spans="1:45" ht="14.25" hidden="1">
      <c r="A700" s="71">
        <v>673</v>
      </c>
      <c r="B700" s="125"/>
      <c r="C700" s="54" t="s">
        <v>1239</v>
      </c>
      <c r="D700" s="33" t="s">
        <v>430</v>
      </c>
      <c r="E700" s="53" t="s">
        <v>448</v>
      </c>
      <c r="F700" s="37" t="s">
        <v>12</v>
      </c>
      <c r="G700" s="125"/>
      <c r="H700" s="125"/>
      <c r="I700" s="125"/>
      <c r="J700" s="125"/>
      <c r="K700" s="126"/>
      <c r="L700" s="127"/>
      <c r="M700" s="128"/>
      <c r="N700" s="125"/>
      <c r="O700" s="126"/>
      <c r="P700" s="125"/>
      <c r="Q700" s="68">
        <v>48</v>
      </c>
      <c r="R700" s="136">
        <f t="shared" si="93"/>
        <v>192000</v>
      </c>
      <c r="S700" s="126"/>
      <c r="T700" s="125"/>
      <c r="U700" s="128"/>
      <c r="V700" s="125"/>
      <c r="W700" s="128"/>
      <c r="X700" s="125"/>
      <c r="Y700" s="128"/>
      <c r="Z700" s="125"/>
      <c r="AA700" s="128"/>
      <c r="AB700" s="125"/>
      <c r="AC700" s="128"/>
      <c r="AD700" s="125"/>
      <c r="AE700" s="128"/>
      <c r="AF700" s="125"/>
      <c r="AG700" s="128"/>
      <c r="AH700" s="125"/>
      <c r="AI700" s="128"/>
      <c r="AJ700" s="125"/>
      <c r="AK700" s="128"/>
      <c r="AL700" s="125"/>
      <c r="AM700" s="128"/>
      <c r="AN700" s="125"/>
      <c r="AO700" s="128"/>
      <c r="AP700" s="125"/>
      <c r="AQ700" s="84">
        <f t="shared" si="90"/>
        <v>48</v>
      </c>
      <c r="AR700" s="167">
        <v>4000</v>
      </c>
      <c r="AS700" s="180">
        <f t="shared" si="94"/>
        <v>192000</v>
      </c>
    </row>
    <row r="701" spans="1:45" ht="14.25" hidden="1">
      <c r="A701" s="71">
        <v>674</v>
      </c>
      <c r="B701" s="125"/>
      <c r="C701" s="54" t="s">
        <v>1239</v>
      </c>
      <c r="D701" s="33" t="s">
        <v>430</v>
      </c>
      <c r="E701" s="53" t="s">
        <v>449</v>
      </c>
      <c r="F701" s="37" t="s">
        <v>12</v>
      </c>
      <c r="G701" s="125"/>
      <c r="H701" s="125"/>
      <c r="I701" s="125"/>
      <c r="J701" s="125"/>
      <c r="K701" s="126"/>
      <c r="L701" s="127"/>
      <c r="M701" s="128"/>
      <c r="N701" s="125"/>
      <c r="O701" s="126"/>
      <c r="P701" s="125"/>
      <c r="Q701" s="68">
        <v>96</v>
      </c>
      <c r="R701" s="136">
        <f t="shared" si="93"/>
        <v>278400</v>
      </c>
      <c r="S701" s="126"/>
      <c r="T701" s="125"/>
      <c r="U701" s="128"/>
      <c r="V701" s="125"/>
      <c r="W701" s="128"/>
      <c r="X701" s="125"/>
      <c r="Y701" s="128"/>
      <c r="Z701" s="125"/>
      <c r="AA701" s="128"/>
      <c r="AB701" s="125"/>
      <c r="AC701" s="128"/>
      <c r="AD701" s="125"/>
      <c r="AE701" s="128"/>
      <c r="AF701" s="125"/>
      <c r="AG701" s="128"/>
      <c r="AH701" s="125"/>
      <c r="AI701" s="128"/>
      <c r="AJ701" s="125"/>
      <c r="AK701" s="128"/>
      <c r="AL701" s="125"/>
      <c r="AM701" s="128"/>
      <c r="AN701" s="125"/>
      <c r="AO701" s="128"/>
      <c r="AP701" s="125"/>
      <c r="AQ701" s="84">
        <f t="shared" si="90"/>
        <v>96</v>
      </c>
      <c r="AR701" s="167">
        <v>2900</v>
      </c>
      <c r="AS701" s="180">
        <f t="shared" si="94"/>
        <v>278400</v>
      </c>
    </row>
    <row r="702" spans="1:45" ht="15.75" hidden="1">
      <c r="A702" s="71"/>
      <c r="B702" s="125"/>
      <c r="C702" s="72"/>
      <c r="D702" s="54"/>
      <c r="E702" s="254" t="s">
        <v>1240</v>
      </c>
      <c r="F702" s="37"/>
      <c r="G702" s="125"/>
      <c r="H702" s="125"/>
      <c r="I702" s="125"/>
      <c r="J702" s="125"/>
      <c r="K702" s="126"/>
      <c r="L702" s="127"/>
      <c r="M702" s="128"/>
      <c r="N702" s="125"/>
      <c r="O702" s="126"/>
      <c r="P702" s="125"/>
      <c r="Q702" s="128"/>
      <c r="R702" s="136">
        <f>SUM(R695:R701)</f>
        <v>5276040</v>
      </c>
      <c r="S702" s="126"/>
      <c r="T702" s="125"/>
      <c r="U702" s="128"/>
      <c r="V702" s="125"/>
      <c r="W702" s="128"/>
      <c r="X702" s="125"/>
      <c r="Y702" s="128"/>
      <c r="Z702" s="125"/>
      <c r="AA702" s="128"/>
      <c r="AB702" s="125"/>
      <c r="AC702" s="128"/>
      <c r="AD702" s="125"/>
      <c r="AE702" s="128"/>
      <c r="AF702" s="125"/>
      <c r="AG702" s="128"/>
      <c r="AH702" s="125"/>
      <c r="AI702" s="128"/>
      <c r="AJ702" s="125"/>
      <c r="AK702" s="128"/>
      <c r="AL702" s="125"/>
      <c r="AM702" s="128"/>
      <c r="AN702" s="125"/>
      <c r="AO702" s="128"/>
      <c r="AP702" s="125"/>
      <c r="AQ702" s="68"/>
      <c r="AR702" s="179"/>
      <c r="AS702" s="221">
        <f>SUM(AS695:AS701)</f>
        <v>5276040</v>
      </c>
    </row>
    <row r="703" spans="1:45" ht="14.25" hidden="1">
      <c r="A703" s="45">
        <v>675</v>
      </c>
      <c r="B703" s="110"/>
      <c r="C703" s="60" t="s">
        <v>269</v>
      </c>
      <c r="D703" s="117" t="s">
        <v>1404</v>
      </c>
      <c r="E703" s="33" t="s">
        <v>268</v>
      </c>
      <c r="F703" s="55" t="s">
        <v>270</v>
      </c>
      <c r="G703" s="37"/>
      <c r="H703" s="37"/>
      <c r="I703" s="55">
        <v>5</v>
      </c>
      <c r="J703" s="136">
        <f t="shared" si="44"/>
        <v>38260</v>
      </c>
      <c r="K703" s="126"/>
      <c r="L703" s="127">
        <f t="shared" si="45"/>
        <v>0</v>
      </c>
      <c r="M703" s="128"/>
      <c r="N703" s="136"/>
      <c r="O703" s="126"/>
      <c r="P703" s="136"/>
      <c r="Q703" s="128"/>
      <c r="R703" s="136"/>
      <c r="S703" s="126"/>
      <c r="T703" s="136"/>
      <c r="U703" s="128"/>
      <c r="V703" s="136"/>
      <c r="W703" s="128"/>
      <c r="X703" s="136"/>
      <c r="Y703" s="128"/>
      <c r="Z703" s="136"/>
      <c r="AA703" s="128"/>
      <c r="AB703" s="136"/>
      <c r="AC703" s="128"/>
      <c r="AD703" s="136"/>
      <c r="AE703" s="128"/>
      <c r="AF703" s="136"/>
      <c r="AG703" s="128"/>
      <c r="AH703" s="136"/>
      <c r="AI703" s="128"/>
      <c r="AJ703" s="136"/>
      <c r="AK703" s="128"/>
      <c r="AL703" s="136"/>
      <c r="AM703" s="128"/>
      <c r="AN703" s="136"/>
      <c r="AO703" s="128"/>
      <c r="AP703" s="136"/>
      <c r="AQ703" s="84">
        <f t="shared" si="46"/>
        <v>5</v>
      </c>
      <c r="AR703" s="171">
        <v>7652</v>
      </c>
      <c r="AS703" s="164">
        <f>+AQ703*AR703</f>
        <v>38260</v>
      </c>
    </row>
    <row r="704" spans="1:45" ht="14.25" hidden="1">
      <c r="A704" s="45">
        <v>676</v>
      </c>
      <c r="B704" s="57"/>
      <c r="C704" s="60" t="s">
        <v>269</v>
      </c>
      <c r="D704" s="117" t="s">
        <v>1404</v>
      </c>
      <c r="E704" s="33" t="s">
        <v>267</v>
      </c>
      <c r="F704" s="55" t="s">
        <v>270</v>
      </c>
      <c r="G704" s="34"/>
      <c r="H704" s="34"/>
      <c r="I704" s="55">
        <v>5</v>
      </c>
      <c r="J704" s="136">
        <f t="shared" si="44"/>
        <v>33315</v>
      </c>
      <c r="K704" s="126"/>
      <c r="L704" s="127">
        <f t="shared" si="45"/>
        <v>0</v>
      </c>
      <c r="M704" s="128"/>
      <c r="N704" s="136"/>
      <c r="O704" s="126"/>
      <c r="P704" s="136"/>
      <c r="Q704" s="128"/>
      <c r="R704" s="136"/>
      <c r="S704" s="126"/>
      <c r="T704" s="136"/>
      <c r="U704" s="128"/>
      <c r="V704" s="136"/>
      <c r="W704" s="128"/>
      <c r="X704" s="136"/>
      <c r="Y704" s="128"/>
      <c r="Z704" s="136"/>
      <c r="AA704" s="128"/>
      <c r="AB704" s="136"/>
      <c r="AC704" s="128"/>
      <c r="AD704" s="136"/>
      <c r="AE704" s="128"/>
      <c r="AF704" s="136"/>
      <c r="AG704" s="128"/>
      <c r="AH704" s="136"/>
      <c r="AI704" s="128"/>
      <c r="AJ704" s="136"/>
      <c r="AK704" s="128"/>
      <c r="AL704" s="136"/>
      <c r="AM704" s="128"/>
      <c r="AN704" s="136"/>
      <c r="AO704" s="128"/>
      <c r="AP704" s="136"/>
      <c r="AQ704" s="84">
        <f t="shared" si="46"/>
        <v>5</v>
      </c>
      <c r="AR704" s="171">
        <v>6663</v>
      </c>
      <c r="AS704" s="164">
        <f t="shared" ref="AS704:AS767" si="95">+AQ704*AR704</f>
        <v>33315</v>
      </c>
    </row>
    <row r="705" spans="1:49" ht="14.25" hidden="1">
      <c r="A705" s="45">
        <v>677</v>
      </c>
      <c r="B705" s="37"/>
      <c r="C705" s="60" t="s">
        <v>269</v>
      </c>
      <c r="D705" s="117" t="s">
        <v>1404</v>
      </c>
      <c r="E705" s="33" t="s">
        <v>266</v>
      </c>
      <c r="F705" s="55" t="s">
        <v>270</v>
      </c>
      <c r="G705" s="34"/>
      <c r="H705" s="34"/>
      <c r="I705" s="55">
        <v>10</v>
      </c>
      <c r="J705" s="136">
        <f t="shared" si="44"/>
        <v>29850</v>
      </c>
      <c r="K705" s="126"/>
      <c r="L705" s="127">
        <f t="shared" si="45"/>
        <v>0</v>
      </c>
      <c r="M705" s="128"/>
      <c r="N705" s="136"/>
      <c r="O705" s="126"/>
      <c r="P705" s="136"/>
      <c r="Q705" s="128"/>
      <c r="R705" s="136"/>
      <c r="S705" s="126"/>
      <c r="T705" s="136"/>
      <c r="U705" s="128"/>
      <c r="V705" s="136"/>
      <c r="W705" s="128"/>
      <c r="X705" s="136"/>
      <c r="Y705" s="128"/>
      <c r="Z705" s="136"/>
      <c r="AA705" s="128"/>
      <c r="AB705" s="136"/>
      <c r="AC705" s="128"/>
      <c r="AD705" s="136"/>
      <c r="AE705" s="128"/>
      <c r="AF705" s="136"/>
      <c r="AG705" s="128"/>
      <c r="AH705" s="136"/>
      <c r="AI705" s="128"/>
      <c r="AJ705" s="136"/>
      <c r="AK705" s="128"/>
      <c r="AL705" s="136"/>
      <c r="AM705" s="128"/>
      <c r="AN705" s="136"/>
      <c r="AO705" s="128"/>
      <c r="AP705" s="136"/>
      <c r="AQ705" s="84">
        <f t="shared" si="46"/>
        <v>10</v>
      </c>
      <c r="AR705" s="171">
        <v>2985</v>
      </c>
      <c r="AS705" s="164">
        <f t="shared" si="95"/>
        <v>29850</v>
      </c>
    </row>
    <row r="706" spans="1:49" ht="14.25" hidden="1">
      <c r="A706" s="45">
        <v>678</v>
      </c>
      <c r="B706" s="37"/>
      <c r="C706" s="60" t="s">
        <v>269</v>
      </c>
      <c r="D706" s="117" t="s">
        <v>1404</v>
      </c>
      <c r="E706" s="33" t="s">
        <v>265</v>
      </c>
      <c r="F706" s="55" t="s">
        <v>270</v>
      </c>
      <c r="G706" s="37"/>
      <c r="H706" s="37"/>
      <c r="I706" s="55">
        <v>300</v>
      </c>
      <c r="J706" s="136">
        <f t="shared" si="44"/>
        <v>642900</v>
      </c>
      <c r="K706" s="126"/>
      <c r="L706" s="127">
        <f t="shared" si="45"/>
        <v>0</v>
      </c>
      <c r="M706" s="128"/>
      <c r="N706" s="136"/>
      <c r="O706" s="126"/>
      <c r="P706" s="136"/>
      <c r="Q706" s="128"/>
      <c r="R706" s="136"/>
      <c r="S706" s="126"/>
      <c r="T706" s="136"/>
      <c r="U706" s="128"/>
      <c r="V706" s="136"/>
      <c r="W706" s="128"/>
      <c r="X706" s="136"/>
      <c r="Y706" s="128"/>
      <c r="Z706" s="136"/>
      <c r="AA706" s="128"/>
      <c r="AB706" s="136"/>
      <c r="AC706" s="128"/>
      <c r="AD706" s="136"/>
      <c r="AE706" s="128"/>
      <c r="AF706" s="136"/>
      <c r="AG706" s="128"/>
      <c r="AH706" s="136"/>
      <c r="AI706" s="128"/>
      <c r="AJ706" s="136"/>
      <c r="AK706" s="128"/>
      <c r="AL706" s="136"/>
      <c r="AM706" s="128"/>
      <c r="AN706" s="136"/>
      <c r="AO706" s="128"/>
      <c r="AP706" s="136"/>
      <c r="AQ706" s="84">
        <f t="shared" si="46"/>
        <v>300</v>
      </c>
      <c r="AR706" s="171">
        <v>2143</v>
      </c>
      <c r="AS706" s="164">
        <f t="shared" si="95"/>
        <v>642900</v>
      </c>
    </row>
    <row r="707" spans="1:49" ht="14.25" hidden="1">
      <c r="A707" s="45">
        <v>679</v>
      </c>
      <c r="B707" s="110"/>
      <c r="C707" s="60" t="s">
        <v>269</v>
      </c>
      <c r="D707" s="117" t="s">
        <v>1404</v>
      </c>
      <c r="E707" s="33" t="s">
        <v>264</v>
      </c>
      <c r="F707" s="55" t="s">
        <v>270</v>
      </c>
      <c r="G707" s="34"/>
      <c r="H707" s="34"/>
      <c r="I707" s="55">
        <v>20</v>
      </c>
      <c r="J707" s="136">
        <f t="shared" si="44"/>
        <v>39760</v>
      </c>
      <c r="K707" s="126"/>
      <c r="L707" s="127">
        <f t="shared" si="45"/>
        <v>0</v>
      </c>
      <c r="M707" s="128"/>
      <c r="N707" s="136"/>
      <c r="O707" s="126"/>
      <c r="P707" s="136"/>
      <c r="Q707" s="128"/>
      <c r="R707" s="136"/>
      <c r="S707" s="126"/>
      <c r="T707" s="136"/>
      <c r="U707" s="128"/>
      <c r="V707" s="136"/>
      <c r="W707" s="128"/>
      <c r="X707" s="136"/>
      <c r="Y707" s="128"/>
      <c r="Z707" s="136"/>
      <c r="AA707" s="128"/>
      <c r="AB707" s="136"/>
      <c r="AC707" s="128"/>
      <c r="AD707" s="136"/>
      <c r="AE707" s="128"/>
      <c r="AF707" s="136"/>
      <c r="AG707" s="128"/>
      <c r="AH707" s="136"/>
      <c r="AI707" s="128"/>
      <c r="AJ707" s="136"/>
      <c r="AK707" s="128"/>
      <c r="AL707" s="136"/>
      <c r="AM707" s="128"/>
      <c r="AN707" s="136"/>
      <c r="AO707" s="128"/>
      <c r="AP707" s="136"/>
      <c r="AQ707" s="84">
        <f t="shared" si="46"/>
        <v>20</v>
      </c>
      <c r="AR707" s="171">
        <v>1988</v>
      </c>
      <c r="AS707" s="164">
        <f t="shared" si="95"/>
        <v>39760</v>
      </c>
    </row>
    <row r="708" spans="1:49" ht="14.25" hidden="1">
      <c r="A708" s="45">
        <v>680</v>
      </c>
      <c r="B708" s="110"/>
      <c r="C708" s="60" t="s">
        <v>269</v>
      </c>
      <c r="D708" s="117" t="s">
        <v>1404</v>
      </c>
      <c r="E708" s="33" t="s">
        <v>263</v>
      </c>
      <c r="F708" s="55" t="s">
        <v>271</v>
      </c>
      <c r="G708" s="34"/>
      <c r="H708" s="34"/>
      <c r="I708" s="55">
        <v>20</v>
      </c>
      <c r="J708" s="136">
        <f t="shared" si="44"/>
        <v>92260</v>
      </c>
      <c r="K708" s="126"/>
      <c r="L708" s="127">
        <f t="shared" si="45"/>
        <v>0</v>
      </c>
      <c r="M708" s="128"/>
      <c r="N708" s="136"/>
      <c r="O708" s="126"/>
      <c r="P708" s="136"/>
      <c r="Q708" s="128"/>
      <c r="R708" s="136"/>
      <c r="S708" s="126"/>
      <c r="T708" s="136"/>
      <c r="U708" s="128"/>
      <c r="V708" s="136"/>
      <c r="W708" s="128"/>
      <c r="X708" s="136"/>
      <c r="Y708" s="128"/>
      <c r="Z708" s="136"/>
      <c r="AA708" s="128"/>
      <c r="AB708" s="136"/>
      <c r="AC708" s="128"/>
      <c r="AD708" s="136"/>
      <c r="AE708" s="128"/>
      <c r="AF708" s="136"/>
      <c r="AG708" s="128"/>
      <c r="AH708" s="136"/>
      <c r="AI708" s="128"/>
      <c r="AJ708" s="136"/>
      <c r="AK708" s="128"/>
      <c r="AL708" s="136"/>
      <c r="AM708" s="128"/>
      <c r="AN708" s="136"/>
      <c r="AO708" s="128"/>
      <c r="AP708" s="136"/>
      <c r="AQ708" s="84">
        <f t="shared" si="46"/>
        <v>20</v>
      </c>
      <c r="AR708" s="171">
        <v>4613</v>
      </c>
      <c r="AS708" s="164">
        <f t="shared" si="95"/>
        <v>92260</v>
      </c>
    </row>
    <row r="709" spans="1:49" ht="14.25" hidden="1">
      <c r="A709" s="45">
        <v>681</v>
      </c>
      <c r="B709" s="65"/>
      <c r="C709" s="60" t="s">
        <v>269</v>
      </c>
      <c r="D709" s="117" t="s">
        <v>1404</v>
      </c>
      <c r="E709" s="33" t="s">
        <v>262</v>
      </c>
      <c r="F709" s="55" t="s">
        <v>270</v>
      </c>
      <c r="G709" s="34"/>
      <c r="H709" s="34"/>
      <c r="I709" s="55">
        <v>20</v>
      </c>
      <c r="J709" s="136">
        <f t="shared" si="44"/>
        <v>80180</v>
      </c>
      <c r="K709" s="126"/>
      <c r="L709" s="127">
        <f t="shared" si="45"/>
        <v>0</v>
      </c>
      <c r="M709" s="128"/>
      <c r="N709" s="136"/>
      <c r="O709" s="126"/>
      <c r="P709" s="136"/>
      <c r="Q709" s="128"/>
      <c r="R709" s="136"/>
      <c r="S709" s="126"/>
      <c r="T709" s="136"/>
      <c r="U709" s="128"/>
      <c r="V709" s="136"/>
      <c r="W709" s="128"/>
      <c r="X709" s="136"/>
      <c r="Y709" s="128"/>
      <c r="Z709" s="136"/>
      <c r="AA709" s="128"/>
      <c r="AB709" s="136"/>
      <c r="AC709" s="128"/>
      <c r="AD709" s="136"/>
      <c r="AE709" s="128"/>
      <c r="AF709" s="136"/>
      <c r="AG709" s="128"/>
      <c r="AH709" s="136"/>
      <c r="AI709" s="128"/>
      <c r="AJ709" s="136"/>
      <c r="AK709" s="128"/>
      <c r="AL709" s="136"/>
      <c r="AM709" s="128"/>
      <c r="AN709" s="136"/>
      <c r="AO709" s="128"/>
      <c r="AP709" s="136"/>
      <c r="AQ709" s="84">
        <f t="shared" si="46"/>
        <v>20</v>
      </c>
      <c r="AR709" s="171">
        <v>4009</v>
      </c>
      <c r="AS709" s="164">
        <f t="shared" si="95"/>
        <v>80180</v>
      </c>
    </row>
    <row r="710" spans="1:49" ht="14.25" hidden="1">
      <c r="A710" s="45">
        <v>682</v>
      </c>
      <c r="B710" s="110"/>
      <c r="C710" s="60" t="s">
        <v>269</v>
      </c>
      <c r="D710" s="117" t="s">
        <v>1404</v>
      </c>
      <c r="E710" s="33" t="s">
        <v>261</v>
      </c>
      <c r="F710" s="55" t="s">
        <v>270</v>
      </c>
      <c r="G710" s="37"/>
      <c r="H710" s="37"/>
      <c r="I710" s="55">
        <v>20</v>
      </c>
      <c r="J710" s="136">
        <f t="shared" si="44"/>
        <v>35220</v>
      </c>
      <c r="K710" s="126"/>
      <c r="L710" s="127">
        <f t="shared" si="45"/>
        <v>0</v>
      </c>
      <c r="M710" s="128"/>
      <c r="N710" s="136"/>
      <c r="O710" s="126"/>
      <c r="P710" s="136"/>
      <c r="Q710" s="128"/>
      <c r="R710" s="136"/>
      <c r="S710" s="126"/>
      <c r="T710" s="136"/>
      <c r="U710" s="128"/>
      <c r="V710" s="136"/>
      <c r="W710" s="128"/>
      <c r="X710" s="136"/>
      <c r="Y710" s="128"/>
      <c r="Z710" s="136"/>
      <c r="AA710" s="128"/>
      <c r="AB710" s="136"/>
      <c r="AC710" s="128"/>
      <c r="AD710" s="136"/>
      <c r="AE710" s="128"/>
      <c r="AF710" s="136"/>
      <c r="AG710" s="128"/>
      <c r="AH710" s="136"/>
      <c r="AI710" s="128"/>
      <c r="AJ710" s="136"/>
      <c r="AK710" s="128"/>
      <c r="AL710" s="136"/>
      <c r="AM710" s="128"/>
      <c r="AN710" s="136"/>
      <c r="AO710" s="128"/>
      <c r="AP710" s="136"/>
      <c r="AQ710" s="84">
        <f t="shared" si="46"/>
        <v>20</v>
      </c>
      <c r="AR710" s="171">
        <v>1761</v>
      </c>
      <c r="AS710" s="164">
        <f t="shared" si="95"/>
        <v>35220</v>
      </c>
    </row>
    <row r="711" spans="1:49" ht="14.25" hidden="1">
      <c r="A711" s="45">
        <v>683</v>
      </c>
      <c r="B711" s="71"/>
      <c r="C711" s="60" t="s">
        <v>269</v>
      </c>
      <c r="D711" s="117" t="s">
        <v>1404</v>
      </c>
      <c r="E711" s="33" t="s">
        <v>260</v>
      </c>
      <c r="F711" s="55" t="s">
        <v>270</v>
      </c>
      <c r="G711" s="61"/>
      <c r="H711" s="61"/>
      <c r="I711" s="55">
        <v>5</v>
      </c>
      <c r="J711" s="136">
        <f t="shared" si="44"/>
        <v>17635</v>
      </c>
      <c r="K711" s="126"/>
      <c r="L711" s="127">
        <f t="shared" si="45"/>
        <v>0</v>
      </c>
      <c r="M711" s="128"/>
      <c r="N711" s="136"/>
      <c r="O711" s="126"/>
      <c r="P711" s="136"/>
      <c r="Q711" s="128"/>
      <c r="R711" s="136"/>
      <c r="S711" s="126"/>
      <c r="T711" s="136"/>
      <c r="U711" s="128"/>
      <c r="V711" s="136"/>
      <c r="W711" s="128"/>
      <c r="X711" s="136"/>
      <c r="Y711" s="128"/>
      <c r="Z711" s="136"/>
      <c r="AA711" s="128"/>
      <c r="AB711" s="136"/>
      <c r="AC711" s="128"/>
      <c r="AD711" s="136"/>
      <c r="AE711" s="128"/>
      <c r="AF711" s="136"/>
      <c r="AG711" s="128"/>
      <c r="AH711" s="136"/>
      <c r="AI711" s="128"/>
      <c r="AJ711" s="136"/>
      <c r="AK711" s="128"/>
      <c r="AL711" s="136"/>
      <c r="AM711" s="128"/>
      <c r="AN711" s="136"/>
      <c r="AO711" s="128"/>
      <c r="AP711" s="136"/>
      <c r="AQ711" s="84">
        <f t="shared" si="46"/>
        <v>5</v>
      </c>
      <c r="AR711" s="171">
        <v>3527</v>
      </c>
      <c r="AS711" s="164">
        <f t="shared" si="95"/>
        <v>17635</v>
      </c>
    </row>
    <row r="712" spans="1:49" ht="14.25" hidden="1">
      <c r="A712" s="45">
        <v>684</v>
      </c>
      <c r="B712" s="110"/>
      <c r="C712" s="60" t="s">
        <v>269</v>
      </c>
      <c r="D712" s="117" t="s">
        <v>1404</v>
      </c>
      <c r="E712" s="33" t="s">
        <v>259</v>
      </c>
      <c r="F712" s="55" t="s">
        <v>270</v>
      </c>
      <c r="G712" s="34"/>
      <c r="H712" s="34"/>
      <c r="I712" s="55">
        <v>10</v>
      </c>
      <c r="J712" s="136">
        <f t="shared" si="44"/>
        <v>43080</v>
      </c>
      <c r="K712" s="126"/>
      <c r="L712" s="127">
        <f t="shared" si="45"/>
        <v>0</v>
      </c>
      <c r="M712" s="128"/>
      <c r="N712" s="136"/>
      <c r="O712" s="126"/>
      <c r="P712" s="136"/>
      <c r="Q712" s="128"/>
      <c r="R712" s="136"/>
      <c r="S712" s="126"/>
      <c r="T712" s="136"/>
      <c r="U712" s="128"/>
      <c r="V712" s="136"/>
      <c r="W712" s="128"/>
      <c r="X712" s="136"/>
      <c r="Y712" s="128"/>
      <c r="Z712" s="136"/>
      <c r="AA712" s="128"/>
      <c r="AB712" s="136"/>
      <c r="AC712" s="128"/>
      <c r="AD712" s="136"/>
      <c r="AE712" s="128"/>
      <c r="AF712" s="136"/>
      <c r="AG712" s="128"/>
      <c r="AH712" s="136"/>
      <c r="AI712" s="128"/>
      <c r="AJ712" s="136"/>
      <c r="AK712" s="128"/>
      <c r="AL712" s="136"/>
      <c r="AM712" s="128"/>
      <c r="AN712" s="136"/>
      <c r="AO712" s="128"/>
      <c r="AP712" s="136"/>
      <c r="AQ712" s="84">
        <f t="shared" si="46"/>
        <v>10</v>
      </c>
      <c r="AR712" s="171">
        <v>4308</v>
      </c>
      <c r="AS712" s="164">
        <f t="shared" si="95"/>
        <v>43080</v>
      </c>
    </row>
    <row r="713" spans="1:49" ht="14.25" hidden="1">
      <c r="A713" s="45">
        <v>685</v>
      </c>
      <c r="B713" s="71"/>
      <c r="C713" s="60" t="s">
        <v>269</v>
      </c>
      <c r="D713" s="117" t="s">
        <v>1404</v>
      </c>
      <c r="E713" s="33" t="s">
        <v>258</v>
      </c>
      <c r="F713" s="55" t="s">
        <v>271</v>
      </c>
      <c r="G713" s="37"/>
      <c r="H713" s="37"/>
      <c r="I713" s="55">
        <v>2</v>
      </c>
      <c r="J713" s="136">
        <f t="shared" si="44"/>
        <v>7316</v>
      </c>
      <c r="K713" s="126"/>
      <c r="L713" s="127">
        <f t="shared" si="45"/>
        <v>0</v>
      </c>
      <c r="M713" s="128"/>
      <c r="N713" s="136"/>
      <c r="O713" s="126"/>
      <c r="P713" s="136"/>
      <c r="Q713" s="128"/>
      <c r="R713" s="136"/>
      <c r="S713" s="126"/>
      <c r="T713" s="136"/>
      <c r="U713" s="128"/>
      <c r="V713" s="136"/>
      <c r="W713" s="128"/>
      <c r="X713" s="136"/>
      <c r="Y713" s="128"/>
      <c r="Z713" s="136"/>
      <c r="AA713" s="128"/>
      <c r="AB713" s="136"/>
      <c r="AC713" s="128"/>
      <c r="AD713" s="136"/>
      <c r="AE713" s="128"/>
      <c r="AF713" s="136"/>
      <c r="AG713" s="128"/>
      <c r="AH713" s="136"/>
      <c r="AI713" s="128"/>
      <c r="AJ713" s="136"/>
      <c r="AK713" s="128"/>
      <c r="AL713" s="136"/>
      <c r="AM713" s="128"/>
      <c r="AN713" s="136"/>
      <c r="AO713" s="128"/>
      <c r="AP713" s="136"/>
      <c r="AQ713" s="84">
        <f t="shared" si="46"/>
        <v>2</v>
      </c>
      <c r="AR713" s="171">
        <v>3658</v>
      </c>
      <c r="AS713" s="164">
        <f t="shared" si="95"/>
        <v>7316</v>
      </c>
    </row>
    <row r="714" spans="1:49" ht="14.25" hidden="1">
      <c r="A714" s="45">
        <v>686</v>
      </c>
      <c r="B714" s="71"/>
      <c r="C714" s="60" t="s">
        <v>269</v>
      </c>
      <c r="D714" s="117" t="s">
        <v>1404</v>
      </c>
      <c r="E714" s="33" t="s">
        <v>257</v>
      </c>
      <c r="F714" s="55" t="s">
        <v>270</v>
      </c>
      <c r="G714" s="34"/>
      <c r="H714" s="34"/>
      <c r="I714" s="55">
        <v>2</v>
      </c>
      <c r="J714" s="136">
        <f t="shared" si="44"/>
        <v>24220</v>
      </c>
      <c r="K714" s="126"/>
      <c r="L714" s="127">
        <f t="shared" si="45"/>
        <v>0</v>
      </c>
      <c r="M714" s="128"/>
      <c r="N714" s="136"/>
      <c r="O714" s="126"/>
      <c r="P714" s="136"/>
      <c r="Q714" s="128"/>
      <c r="R714" s="136"/>
      <c r="S714" s="126"/>
      <c r="T714" s="136"/>
      <c r="U714" s="128"/>
      <c r="V714" s="136"/>
      <c r="W714" s="128"/>
      <c r="X714" s="136"/>
      <c r="Y714" s="128"/>
      <c r="Z714" s="136"/>
      <c r="AA714" s="128"/>
      <c r="AB714" s="136"/>
      <c r="AC714" s="128"/>
      <c r="AD714" s="136"/>
      <c r="AE714" s="128"/>
      <c r="AF714" s="136"/>
      <c r="AG714" s="128"/>
      <c r="AH714" s="136"/>
      <c r="AI714" s="128"/>
      <c r="AJ714" s="136"/>
      <c r="AK714" s="128"/>
      <c r="AL714" s="136"/>
      <c r="AM714" s="128"/>
      <c r="AN714" s="136"/>
      <c r="AO714" s="128"/>
      <c r="AP714" s="136"/>
      <c r="AQ714" s="84">
        <f t="shared" si="46"/>
        <v>2</v>
      </c>
      <c r="AR714" s="171">
        <v>12110</v>
      </c>
      <c r="AS714" s="164">
        <f t="shared" si="95"/>
        <v>24220</v>
      </c>
    </row>
    <row r="715" spans="1:49" s="6" customFormat="1" ht="14.25" hidden="1">
      <c r="A715" s="45">
        <v>687</v>
      </c>
      <c r="B715" s="110"/>
      <c r="C715" s="60" t="s">
        <v>269</v>
      </c>
      <c r="D715" s="117" t="s">
        <v>1404</v>
      </c>
      <c r="E715" s="33" t="s">
        <v>256</v>
      </c>
      <c r="F715" s="55" t="s">
        <v>270</v>
      </c>
      <c r="G715" s="37"/>
      <c r="H715" s="37"/>
      <c r="I715" s="55">
        <v>2</v>
      </c>
      <c r="J715" s="136">
        <f t="shared" si="44"/>
        <v>18718</v>
      </c>
      <c r="K715" s="126"/>
      <c r="L715" s="127">
        <f t="shared" si="45"/>
        <v>0</v>
      </c>
      <c r="M715" s="128"/>
      <c r="N715" s="136"/>
      <c r="O715" s="126"/>
      <c r="P715" s="136"/>
      <c r="Q715" s="128"/>
      <c r="R715" s="136"/>
      <c r="S715" s="126"/>
      <c r="T715" s="136"/>
      <c r="U715" s="128"/>
      <c r="V715" s="136"/>
      <c r="W715" s="128"/>
      <c r="X715" s="136"/>
      <c r="Y715" s="128"/>
      <c r="Z715" s="136"/>
      <c r="AA715" s="128"/>
      <c r="AB715" s="136"/>
      <c r="AC715" s="128"/>
      <c r="AD715" s="136"/>
      <c r="AE715" s="128"/>
      <c r="AF715" s="136"/>
      <c r="AG715" s="128"/>
      <c r="AH715" s="136"/>
      <c r="AI715" s="128"/>
      <c r="AJ715" s="136"/>
      <c r="AK715" s="128"/>
      <c r="AL715" s="136"/>
      <c r="AM715" s="128"/>
      <c r="AN715" s="136"/>
      <c r="AO715" s="128"/>
      <c r="AP715" s="136"/>
      <c r="AQ715" s="84">
        <f t="shared" si="46"/>
        <v>2</v>
      </c>
      <c r="AR715" s="171">
        <v>9359</v>
      </c>
      <c r="AS715" s="164">
        <f t="shared" si="95"/>
        <v>18718</v>
      </c>
      <c r="AW715" s="1"/>
    </row>
    <row r="716" spans="1:49" ht="14.25" hidden="1">
      <c r="A716" s="45">
        <v>688</v>
      </c>
      <c r="B716" s="110"/>
      <c r="C716" s="60" t="s">
        <v>269</v>
      </c>
      <c r="D716" s="117" t="s">
        <v>1404</v>
      </c>
      <c r="E716" s="33" t="s">
        <v>255</v>
      </c>
      <c r="F716" s="55" t="s">
        <v>271</v>
      </c>
      <c r="G716" s="34"/>
      <c r="H716" s="34"/>
      <c r="I716" s="55">
        <v>2</v>
      </c>
      <c r="J716" s="136">
        <f t="shared" si="44"/>
        <v>11344</v>
      </c>
      <c r="K716" s="126"/>
      <c r="L716" s="127">
        <f t="shared" si="45"/>
        <v>0</v>
      </c>
      <c r="M716" s="128"/>
      <c r="N716" s="136"/>
      <c r="O716" s="126"/>
      <c r="P716" s="136"/>
      <c r="Q716" s="128"/>
      <c r="R716" s="136"/>
      <c r="S716" s="126"/>
      <c r="T716" s="136"/>
      <c r="U716" s="128"/>
      <c r="V716" s="136"/>
      <c r="W716" s="128"/>
      <c r="X716" s="136"/>
      <c r="Y716" s="128"/>
      <c r="Z716" s="136"/>
      <c r="AA716" s="128"/>
      <c r="AB716" s="136"/>
      <c r="AC716" s="128"/>
      <c r="AD716" s="136"/>
      <c r="AE716" s="128"/>
      <c r="AF716" s="136"/>
      <c r="AG716" s="128"/>
      <c r="AH716" s="136"/>
      <c r="AI716" s="128"/>
      <c r="AJ716" s="136"/>
      <c r="AK716" s="128"/>
      <c r="AL716" s="136"/>
      <c r="AM716" s="128"/>
      <c r="AN716" s="136"/>
      <c r="AO716" s="128"/>
      <c r="AP716" s="136"/>
      <c r="AQ716" s="84">
        <f t="shared" si="46"/>
        <v>2</v>
      </c>
      <c r="AR716" s="171">
        <v>5672</v>
      </c>
      <c r="AS716" s="164">
        <f t="shared" si="95"/>
        <v>11344</v>
      </c>
    </row>
    <row r="717" spans="1:49" ht="14.25" hidden="1">
      <c r="A717" s="45">
        <v>689</v>
      </c>
      <c r="B717" s="110"/>
      <c r="C717" s="60" t="s">
        <v>269</v>
      </c>
      <c r="D717" s="117" t="s">
        <v>1404</v>
      </c>
      <c r="E717" s="33" t="s">
        <v>254</v>
      </c>
      <c r="F717" s="55" t="s">
        <v>271</v>
      </c>
      <c r="G717" s="34"/>
      <c r="H717" s="34"/>
      <c r="I717" s="55">
        <v>20</v>
      </c>
      <c r="J717" s="136">
        <f t="shared" si="44"/>
        <v>74400</v>
      </c>
      <c r="K717" s="126"/>
      <c r="L717" s="127">
        <f t="shared" si="45"/>
        <v>0</v>
      </c>
      <c r="M717" s="128"/>
      <c r="N717" s="136"/>
      <c r="O717" s="126"/>
      <c r="P717" s="136"/>
      <c r="Q717" s="128"/>
      <c r="R717" s="136"/>
      <c r="S717" s="126"/>
      <c r="T717" s="136"/>
      <c r="U717" s="128"/>
      <c r="V717" s="136"/>
      <c r="W717" s="128"/>
      <c r="X717" s="136"/>
      <c r="Y717" s="128"/>
      <c r="Z717" s="136"/>
      <c r="AA717" s="128"/>
      <c r="AB717" s="136"/>
      <c r="AC717" s="128"/>
      <c r="AD717" s="136"/>
      <c r="AE717" s="128"/>
      <c r="AF717" s="136"/>
      <c r="AG717" s="128"/>
      <c r="AH717" s="136"/>
      <c r="AI717" s="128"/>
      <c r="AJ717" s="136"/>
      <c r="AK717" s="128"/>
      <c r="AL717" s="136"/>
      <c r="AM717" s="128"/>
      <c r="AN717" s="136"/>
      <c r="AO717" s="128"/>
      <c r="AP717" s="136"/>
      <c r="AQ717" s="84">
        <f t="shared" si="46"/>
        <v>20</v>
      </c>
      <c r="AR717" s="171">
        <v>3720</v>
      </c>
      <c r="AS717" s="164">
        <f t="shared" si="95"/>
        <v>74400</v>
      </c>
    </row>
    <row r="718" spans="1:49" ht="14.25" hidden="1">
      <c r="A718" s="45">
        <v>690</v>
      </c>
      <c r="B718" s="65"/>
      <c r="C718" s="60" t="s">
        <v>269</v>
      </c>
      <c r="D718" s="117" t="s">
        <v>1404</v>
      </c>
      <c r="E718" s="33" t="s">
        <v>253</v>
      </c>
      <c r="F718" s="55" t="s">
        <v>271</v>
      </c>
      <c r="G718" s="34"/>
      <c r="H718" s="34"/>
      <c r="I718" s="55">
        <v>10</v>
      </c>
      <c r="J718" s="136">
        <f t="shared" si="44"/>
        <v>70520</v>
      </c>
      <c r="K718" s="126"/>
      <c r="L718" s="127">
        <f t="shared" si="45"/>
        <v>0</v>
      </c>
      <c r="M718" s="128"/>
      <c r="N718" s="136"/>
      <c r="O718" s="126"/>
      <c r="P718" s="136"/>
      <c r="Q718" s="128"/>
      <c r="R718" s="136"/>
      <c r="S718" s="126"/>
      <c r="T718" s="136"/>
      <c r="U718" s="128"/>
      <c r="V718" s="136"/>
      <c r="W718" s="128"/>
      <c r="X718" s="136"/>
      <c r="Y718" s="128"/>
      <c r="Z718" s="136"/>
      <c r="AA718" s="128"/>
      <c r="AB718" s="136"/>
      <c r="AC718" s="128"/>
      <c r="AD718" s="136"/>
      <c r="AE718" s="128"/>
      <c r="AF718" s="136"/>
      <c r="AG718" s="128"/>
      <c r="AH718" s="136"/>
      <c r="AI718" s="128"/>
      <c r="AJ718" s="136"/>
      <c r="AK718" s="128"/>
      <c r="AL718" s="136"/>
      <c r="AM718" s="128"/>
      <c r="AN718" s="136"/>
      <c r="AO718" s="128"/>
      <c r="AP718" s="136"/>
      <c r="AQ718" s="84">
        <f t="shared" si="46"/>
        <v>10</v>
      </c>
      <c r="AR718" s="171">
        <v>7052</v>
      </c>
      <c r="AS718" s="164">
        <f t="shared" si="95"/>
        <v>70520</v>
      </c>
    </row>
    <row r="719" spans="1:49" ht="14.25" hidden="1">
      <c r="A719" s="45">
        <v>691</v>
      </c>
      <c r="B719" s="110"/>
      <c r="C719" s="60" t="s">
        <v>269</v>
      </c>
      <c r="D719" s="117" t="s">
        <v>1404</v>
      </c>
      <c r="E719" s="33" t="s">
        <v>252</v>
      </c>
      <c r="F719" s="55" t="s">
        <v>270</v>
      </c>
      <c r="G719" s="37"/>
      <c r="H719" s="37"/>
      <c r="I719" s="55">
        <v>20</v>
      </c>
      <c r="J719" s="136">
        <f t="shared" si="44"/>
        <v>60340</v>
      </c>
      <c r="K719" s="126"/>
      <c r="L719" s="127">
        <f t="shared" si="45"/>
        <v>0</v>
      </c>
      <c r="M719" s="128"/>
      <c r="N719" s="136"/>
      <c r="O719" s="126"/>
      <c r="P719" s="136"/>
      <c r="Q719" s="128"/>
      <c r="R719" s="136"/>
      <c r="S719" s="126"/>
      <c r="T719" s="136"/>
      <c r="U719" s="128"/>
      <c r="V719" s="136"/>
      <c r="W719" s="128"/>
      <c r="X719" s="136"/>
      <c r="Y719" s="128"/>
      <c r="Z719" s="136"/>
      <c r="AA719" s="128"/>
      <c r="AB719" s="136"/>
      <c r="AC719" s="128"/>
      <c r="AD719" s="136"/>
      <c r="AE719" s="128"/>
      <c r="AF719" s="136"/>
      <c r="AG719" s="128"/>
      <c r="AH719" s="136"/>
      <c r="AI719" s="128"/>
      <c r="AJ719" s="136"/>
      <c r="AK719" s="128"/>
      <c r="AL719" s="136"/>
      <c r="AM719" s="128"/>
      <c r="AN719" s="136"/>
      <c r="AO719" s="128"/>
      <c r="AP719" s="136"/>
      <c r="AQ719" s="84">
        <f t="shared" si="46"/>
        <v>20</v>
      </c>
      <c r="AR719" s="171">
        <v>3017</v>
      </c>
      <c r="AS719" s="164">
        <f t="shared" si="95"/>
        <v>60340</v>
      </c>
    </row>
    <row r="720" spans="1:49" ht="14.25" hidden="1">
      <c r="A720" s="45">
        <v>692</v>
      </c>
      <c r="B720" s="71"/>
      <c r="C720" s="60" t="s">
        <v>269</v>
      </c>
      <c r="D720" s="117" t="s">
        <v>1404</v>
      </c>
      <c r="E720" s="33" t="s">
        <v>251</v>
      </c>
      <c r="F720" s="55" t="s">
        <v>270</v>
      </c>
      <c r="G720" s="61"/>
      <c r="H720" s="61"/>
      <c r="I720" s="55">
        <v>10</v>
      </c>
      <c r="J720" s="136">
        <f t="shared" si="44"/>
        <v>29620</v>
      </c>
      <c r="K720" s="126"/>
      <c r="L720" s="127">
        <f t="shared" si="45"/>
        <v>0</v>
      </c>
      <c r="M720" s="128"/>
      <c r="N720" s="136"/>
      <c r="O720" s="126"/>
      <c r="P720" s="136"/>
      <c r="Q720" s="128"/>
      <c r="R720" s="136"/>
      <c r="S720" s="126"/>
      <c r="T720" s="136"/>
      <c r="U720" s="128"/>
      <c r="V720" s="136"/>
      <c r="W720" s="128"/>
      <c r="X720" s="136"/>
      <c r="Y720" s="128"/>
      <c r="Z720" s="136"/>
      <c r="AA720" s="128"/>
      <c r="AB720" s="136"/>
      <c r="AC720" s="128"/>
      <c r="AD720" s="136"/>
      <c r="AE720" s="128"/>
      <c r="AF720" s="136"/>
      <c r="AG720" s="128"/>
      <c r="AH720" s="136"/>
      <c r="AI720" s="128"/>
      <c r="AJ720" s="136"/>
      <c r="AK720" s="128"/>
      <c r="AL720" s="136"/>
      <c r="AM720" s="128"/>
      <c r="AN720" s="136"/>
      <c r="AO720" s="128"/>
      <c r="AP720" s="136"/>
      <c r="AQ720" s="84">
        <f t="shared" si="46"/>
        <v>10</v>
      </c>
      <c r="AR720" s="171">
        <v>2962</v>
      </c>
      <c r="AS720" s="164">
        <f t="shared" si="95"/>
        <v>29620</v>
      </c>
    </row>
    <row r="721" spans="1:49" ht="14.25" hidden="1">
      <c r="A721" s="45">
        <v>693</v>
      </c>
      <c r="B721" s="110"/>
      <c r="C721" s="60" t="s">
        <v>269</v>
      </c>
      <c r="D721" s="117" t="s">
        <v>1404</v>
      </c>
      <c r="E721" s="33" t="s">
        <v>250</v>
      </c>
      <c r="F721" s="55" t="s">
        <v>270</v>
      </c>
      <c r="G721" s="34"/>
      <c r="H721" s="34"/>
      <c r="I721" s="55">
        <v>20</v>
      </c>
      <c r="J721" s="136">
        <f t="shared" si="44"/>
        <v>128880</v>
      </c>
      <c r="K721" s="126"/>
      <c r="L721" s="127">
        <f t="shared" si="45"/>
        <v>0</v>
      </c>
      <c r="M721" s="128"/>
      <c r="N721" s="136"/>
      <c r="O721" s="126"/>
      <c r="P721" s="136"/>
      <c r="Q721" s="128"/>
      <c r="R721" s="136"/>
      <c r="S721" s="126"/>
      <c r="T721" s="136"/>
      <c r="U721" s="128"/>
      <c r="V721" s="136"/>
      <c r="W721" s="128"/>
      <c r="X721" s="136"/>
      <c r="Y721" s="128"/>
      <c r="Z721" s="136"/>
      <c r="AA721" s="128"/>
      <c r="AB721" s="136"/>
      <c r="AC721" s="128"/>
      <c r="AD721" s="136"/>
      <c r="AE721" s="128"/>
      <c r="AF721" s="136"/>
      <c r="AG721" s="128"/>
      <c r="AH721" s="136"/>
      <c r="AI721" s="128"/>
      <c r="AJ721" s="136"/>
      <c r="AK721" s="128"/>
      <c r="AL721" s="136"/>
      <c r="AM721" s="128"/>
      <c r="AN721" s="136"/>
      <c r="AO721" s="128"/>
      <c r="AP721" s="136"/>
      <c r="AQ721" s="84">
        <f t="shared" si="46"/>
        <v>20</v>
      </c>
      <c r="AR721" s="171">
        <v>6444</v>
      </c>
      <c r="AS721" s="164">
        <f t="shared" si="95"/>
        <v>128880</v>
      </c>
    </row>
    <row r="722" spans="1:49" ht="14.25" hidden="1">
      <c r="A722" s="45">
        <v>694</v>
      </c>
      <c r="B722" s="71"/>
      <c r="C722" s="60" t="s">
        <v>269</v>
      </c>
      <c r="D722" s="117" t="s">
        <v>1404</v>
      </c>
      <c r="E722" s="33" t="s">
        <v>249</v>
      </c>
      <c r="F722" s="55" t="s">
        <v>270</v>
      </c>
      <c r="G722" s="37"/>
      <c r="H722" s="37"/>
      <c r="I722" s="55">
        <v>10</v>
      </c>
      <c r="J722" s="136">
        <f t="shared" si="44"/>
        <v>73220</v>
      </c>
      <c r="K722" s="126"/>
      <c r="L722" s="127">
        <f t="shared" si="45"/>
        <v>0</v>
      </c>
      <c r="M722" s="128"/>
      <c r="N722" s="136"/>
      <c r="O722" s="126"/>
      <c r="P722" s="136"/>
      <c r="Q722" s="128"/>
      <c r="R722" s="136"/>
      <c r="S722" s="126"/>
      <c r="T722" s="136"/>
      <c r="U722" s="128"/>
      <c r="V722" s="136"/>
      <c r="W722" s="128"/>
      <c r="X722" s="136"/>
      <c r="Y722" s="128"/>
      <c r="Z722" s="136"/>
      <c r="AA722" s="128"/>
      <c r="AB722" s="136"/>
      <c r="AC722" s="128"/>
      <c r="AD722" s="136"/>
      <c r="AE722" s="128"/>
      <c r="AF722" s="136"/>
      <c r="AG722" s="128"/>
      <c r="AH722" s="136"/>
      <c r="AI722" s="128"/>
      <c r="AJ722" s="136"/>
      <c r="AK722" s="128"/>
      <c r="AL722" s="136"/>
      <c r="AM722" s="128"/>
      <c r="AN722" s="136"/>
      <c r="AO722" s="128"/>
      <c r="AP722" s="136"/>
      <c r="AQ722" s="84">
        <f t="shared" si="46"/>
        <v>10</v>
      </c>
      <c r="AR722" s="171">
        <v>7322</v>
      </c>
      <c r="AS722" s="164">
        <f t="shared" si="95"/>
        <v>73220</v>
      </c>
    </row>
    <row r="723" spans="1:49" ht="14.25" hidden="1">
      <c r="A723" s="45">
        <v>695</v>
      </c>
      <c r="B723" s="71"/>
      <c r="C723" s="60" t="s">
        <v>269</v>
      </c>
      <c r="D723" s="117" t="s">
        <v>1404</v>
      </c>
      <c r="E723" s="33" t="s">
        <v>248</v>
      </c>
      <c r="F723" s="55" t="s">
        <v>270</v>
      </c>
      <c r="G723" s="34"/>
      <c r="H723" s="34"/>
      <c r="I723" s="55">
        <v>100</v>
      </c>
      <c r="J723" s="136">
        <f t="shared" si="44"/>
        <v>161100</v>
      </c>
      <c r="K723" s="126"/>
      <c r="L723" s="127">
        <f t="shared" si="45"/>
        <v>0</v>
      </c>
      <c r="M723" s="128"/>
      <c r="N723" s="136"/>
      <c r="O723" s="126"/>
      <c r="P723" s="136"/>
      <c r="Q723" s="128"/>
      <c r="R723" s="136"/>
      <c r="S723" s="126"/>
      <c r="T723" s="136"/>
      <c r="U723" s="128"/>
      <c r="V723" s="136"/>
      <c r="W723" s="128"/>
      <c r="X723" s="136"/>
      <c r="Y723" s="128"/>
      <c r="Z723" s="136"/>
      <c r="AA723" s="128"/>
      <c r="AB723" s="136"/>
      <c r="AC723" s="128"/>
      <c r="AD723" s="136"/>
      <c r="AE723" s="128"/>
      <c r="AF723" s="136"/>
      <c r="AG723" s="128"/>
      <c r="AH723" s="136"/>
      <c r="AI723" s="128"/>
      <c r="AJ723" s="136"/>
      <c r="AK723" s="128"/>
      <c r="AL723" s="136"/>
      <c r="AM723" s="128"/>
      <c r="AN723" s="136"/>
      <c r="AO723" s="128"/>
      <c r="AP723" s="136"/>
      <c r="AQ723" s="84">
        <f t="shared" si="46"/>
        <v>100</v>
      </c>
      <c r="AR723" s="171">
        <v>1611</v>
      </c>
      <c r="AS723" s="164">
        <f t="shared" si="95"/>
        <v>161100</v>
      </c>
      <c r="AW723" s="6"/>
    </row>
    <row r="724" spans="1:49" ht="14.25" hidden="1">
      <c r="A724" s="45">
        <v>696</v>
      </c>
      <c r="B724" s="110"/>
      <c r="C724" s="60" t="s">
        <v>269</v>
      </c>
      <c r="D724" s="117" t="s">
        <v>1404</v>
      </c>
      <c r="E724" s="33" t="s">
        <v>247</v>
      </c>
      <c r="F724" s="55" t="s">
        <v>270</v>
      </c>
      <c r="G724" s="34"/>
      <c r="H724" s="34"/>
      <c r="I724" s="55">
        <v>5</v>
      </c>
      <c r="J724" s="136">
        <f t="shared" si="44"/>
        <v>21740</v>
      </c>
      <c r="K724" s="126"/>
      <c r="L724" s="127">
        <f t="shared" si="45"/>
        <v>0</v>
      </c>
      <c r="M724" s="128"/>
      <c r="N724" s="136"/>
      <c r="O724" s="126"/>
      <c r="P724" s="136"/>
      <c r="Q724" s="128"/>
      <c r="R724" s="136"/>
      <c r="S724" s="126"/>
      <c r="T724" s="136"/>
      <c r="U724" s="128"/>
      <c r="V724" s="136"/>
      <c r="W724" s="128"/>
      <c r="X724" s="136"/>
      <c r="Y724" s="128"/>
      <c r="Z724" s="136"/>
      <c r="AA724" s="128"/>
      <c r="AB724" s="136"/>
      <c r="AC724" s="128"/>
      <c r="AD724" s="136"/>
      <c r="AE724" s="128"/>
      <c r="AF724" s="136"/>
      <c r="AG724" s="128"/>
      <c r="AH724" s="136"/>
      <c r="AI724" s="128"/>
      <c r="AJ724" s="136"/>
      <c r="AK724" s="128"/>
      <c r="AL724" s="136"/>
      <c r="AM724" s="128"/>
      <c r="AN724" s="136"/>
      <c r="AO724" s="128"/>
      <c r="AP724" s="136"/>
      <c r="AQ724" s="84">
        <f t="shared" si="46"/>
        <v>5</v>
      </c>
      <c r="AR724" s="171">
        <v>4348</v>
      </c>
      <c r="AS724" s="164">
        <f t="shared" si="95"/>
        <v>21740</v>
      </c>
    </row>
    <row r="725" spans="1:49" ht="14.25" hidden="1">
      <c r="A725" s="45">
        <v>697</v>
      </c>
      <c r="B725" s="110"/>
      <c r="C725" s="60" t="s">
        <v>269</v>
      </c>
      <c r="D725" s="117" t="s">
        <v>1404</v>
      </c>
      <c r="E725" s="33" t="s">
        <v>246</v>
      </c>
      <c r="F725" s="55" t="s">
        <v>272</v>
      </c>
      <c r="G725" s="37"/>
      <c r="H725" s="37"/>
      <c r="I725" s="55">
        <v>20</v>
      </c>
      <c r="J725" s="136">
        <f t="shared" si="44"/>
        <v>29960</v>
      </c>
      <c r="K725" s="126"/>
      <c r="L725" s="127">
        <f t="shared" si="45"/>
        <v>0</v>
      </c>
      <c r="M725" s="128"/>
      <c r="N725" s="136"/>
      <c r="O725" s="126"/>
      <c r="P725" s="136"/>
      <c r="Q725" s="128"/>
      <c r="R725" s="136"/>
      <c r="S725" s="126"/>
      <c r="T725" s="136"/>
      <c r="U725" s="128"/>
      <c r="V725" s="136"/>
      <c r="W725" s="128"/>
      <c r="X725" s="136"/>
      <c r="Y725" s="128"/>
      <c r="Z725" s="136"/>
      <c r="AA725" s="128"/>
      <c r="AB725" s="136"/>
      <c r="AC725" s="128"/>
      <c r="AD725" s="136"/>
      <c r="AE725" s="128"/>
      <c r="AF725" s="136"/>
      <c r="AG725" s="128"/>
      <c r="AH725" s="136"/>
      <c r="AI725" s="128"/>
      <c r="AJ725" s="136"/>
      <c r="AK725" s="128"/>
      <c r="AL725" s="136"/>
      <c r="AM725" s="128"/>
      <c r="AN725" s="136"/>
      <c r="AO725" s="128"/>
      <c r="AP725" s="136"/>
      <c r="AQ725" s="84">
        <f t="shared" si="46"/>
        <v>20</v>
      </c>
      <c r="AR725" s="171">
        <v>1498</v>
      </c>
      <c r="AS725" s="164">
        <f t="shared" si="95"/>
        <v>29960</v>
      </c>
    </row>
    <row r="726" spans="1:49" ht="14.25" hidden="1">
      <c r="A726" s="45">
        <v>698</v>
      </c>
      <c r="B726" s="110"/>
      <c r="C726" s="60" t="s">
        <v>269</v>
      </c>
      <c r="D726" s="117" t="s">
        <v>1404</v>
      </c>
      <c r="E726" s="33" t="s">
        <v>245</v>
      </c>
      <c r="F726" s="55" t="s">
        <v>270</v>
      </c>
      <c r="G726" s="34"/>
      <c r="H726" s="34"/>
      <c r="I726" s="55">
        <v>10</v>
      </c>
      <c r="J726" s="136">
        <f t="shared" si="44"/>
        <v>44590</v>
      </c>
      <c r="K726" s="126"/>
      <c r="L726" s="127">
        <f t="shared" si="45"/>
        <v>0</v>
      </c>
      <c r="M726" s="128"/>
      <c r="N726" s="136"/>
      <c r="O726" s="126"/>
      <c r="P726" s="136"/>
      <c r="Q726" s="128"/>
      <c r="R726" s="136"/>
      <c r="S726" s="126"/>
      <c r="T726" s="136"/>
      <c r="U726" s="128"/>
      <c r="V726" s="136"/>
      <c r="W726" s="128"/>
      <c r="X726" s="136"/>
      <c r="Y726" s="128"/>
      <c r="Z726" s="136"/>
      <c r="AA726" s="128"/>
      <c r="AB726" s="136"/>
      <c r="AC726" s="128"/>
      <c r="AD726" s="136"/>
      <c r="AE726" s="128"/>
      <c r="AF726" s="136"/>
      <c r="AG726" s="128"/>
      <c r="AH726" s="136"/>
      <c r="AI726" s="128"/>
      <c r="AJ726" s="136"/>
      <c r="AK726" s="128"/>
      <c r="AL726" s="136"/>
      <c r="AM726" s="128"/>
      <c r="AN726" s="136"/>
      <c r="AO726" s="128"/>
      <c r="AP726" s="136"/>
      <c r="AQ726" s="84">
        <f t="shared" si="46"/>
        <v>10</v>
      </c>
      <c r="AR726" s="171">
        <v>4459</v>
      </c>
      <c r="AS726" s="164">
        <f t="shared" si="95"/>
        <v>44590</v>
      </c>
    </row>
    <row r="727" spans="1:49" ht="14.25" hidden="1">
      <c r="A727" s="45">
        <v>699</v>
      </c>
      <c r="B727" s="110"/>
      <c r="C727" s="60" t="s">
        <v>269</v>
      </c>
      <c r="D727" s="117" t="s">
        <v>1404</v>
      </c>
      <c r="E727" s="33" t="s">
        <v>244</v>
      </c>
      <c r="F727" s="55" t="s">
        <v>270</v>
      </c>
      <c r="G727" s="34"/>
      <c r="H727" s="34"/>
      <c r="I727" s="55">
        <v>4</v>
      </c>
      <c r="J727" s="136">
        <f t="shared" si="44"/>
        <v>12088</v>
      </c>
      <c r="K727" s="126"/>
      <c r="L727" s="127">
        <f t="shared" si="45"/>
        <v>0</v>
      </c>
      <c r="M727" s="128"/>
      <c r="N727" s="136"/>
      <c r="O727" s="126"/>
      <c r="P727" s="136"/>
      <c r="Q727" s="128"/>
      <c r="R727" s="136"/>
      <c r="S727" s="126"/>
      <c r="T727" s="136"/>
      <c r="U727" s="128"/>
      <c r="V727" s="136"/>
      <c r="W727" s="128"/>
      <c r="X727" s="136"/>
      <c r="Y727" s="128"/>
      <c r="Z727" s="136"/>
      <c r="AA727" s="128"/>
      <c r="AB727" s="136"/>
      <c r="AC727" s="128"/>
      <c r="AD727" s="136"/>
      <c r="AE727" s="128"/>
      <c r="AF727" s="136"/>
      <c r="AG727" s="128"/>
      <c r="AH727" s="136"/>
      <c r="AI727" s="128"/>
      <c r="AJ727" s="136"/>
      <c r="AK727" s="128"/>
      <c r="AL727" s="136"/>
      <c r="AM727" s="128"/>
      <c r="AN727" s="136"/>
      <c r="AO727" s="128"/>
      <c r="AP727" s="136"/>
      <c r="AQ727" s="84">
        <f t="shared" si="46"/>
        <v>4</v>
      </c>
      <c r="AR727" s="171">
        <v>3022</v>
      </c>
      <c r="AS727" s="164">
        <f t="shared" si="95"/>
        <v>12088</v>
      </c>
    </row>
    <row r="728" spans="1:49" ht="14.25" hidden="1">
      <c r="A728" s="45">
        <v>700</v>
      </c>
      <c r="B728" s="65"/>
      <c r="C728" s="60" t="s">
        <v>269</v>
      </c>
      <c r="D728" s="117" t="s">
        <v>1404</v>
      </c>
      <c r="E728" s="33" t="s">
        <v>243</v>
      </c>
      <c r="F728" s="55" t="s">
        <v>270</v>
      </c>
      <c r="G728" s="34"/>
      <c r="H728" s="34"/>
      <c r="I728" s="55">
        <v>20</v>
      </c>
      <c r="J728" s="136">
        <f t="shared" si="44"/>
        <v>96420</v>
      </c>
      <c r="K728" s="126"/>
      <c r="L728" s="127">
        <f t="shared" si="45"/>
        <v>0</v>
      </c>
      <c r="M728" s="128"/>
      <c r="N728" s="136"/>
      <c r="O728" s="126"/>
      <c r="P728" s="136"/>
      <c r="Q728" s="128"/>
      <c r="R728" s="136"/>
      <c r="S728" s="126"/>
      <c r="T728" s="136"/>
      <c r="U728" s="128"/>
      <c r="V728" s="136"/>
      <c r="W728" s="128"/>
      <c r="X728" s="136"/>
      <c r="Y728" s="128"/>
      <c r="Z728" s="136"/>
      <c r="AA728" s="128"/>
      <c r="AB728" s="136"/>
      <c r="AC728" s="128"/>
      <c r="AD728" s="136"/>
      <c r="AE728" s="128"/>
      <c r="AF728" s="136"/>
      <c r="AG728" s="128"/>
      <c r="AH728" s="136"/>
      <c r="AI728" s="128"/>
      <c r="AJ728" s="136"/>
      <c r="AK728" s="128"/>
      <c r="AL728" s="136"/>
      <c r="AM728" s="128"/>
      <c r="AN728" s="136"/>
      <c r="AO728" s="128"/>
      <c r="AP728" s="136"/>
      <c r="AQ728" s="84">
        <f t="shared" si="46"/>
        <v>20</v>
      </c>
      <c r="AR728" s="171">
        <v>4821</v>
      </c>
      <c r="AS728" s="164">
        <f t="shared" si="95"/>
        <v>96420</v>
      </c>
    </row>
    <row r="729" spans="1:49" ht="14.25" hidden="1">
      <c r="A729" s="45">
        <v>701</v>
      </c>
      <c r="B729" s="110"/>
      <c r="C729" s="60" t="s">
        <v>269</v>
      </c>
      <c r="D729" s="117" t="s">
        <v>1404</v>
      </c>
      <c r="E729" s="33" t="s">
        <v>242</v>
      </c>
      <c r="F729" s="55" t="s">
        <v>270</v>
      </c>
      <c r="G729" s="37"/>
      <c r="H729" s="37"/>
      <c r="I729" s="55">
        <v>10</v>
      </c>
      <c r="J729" s="136">
        <f t="shared" si="44"/>
        <v>64050</v>
      </c>
      <c r="K729" s="126"/>
      <c r="L729" s="127">
        <f t="shared" si="45"/>
        <v>0</v>
      </c>
      <c r="M729" s="128"/>
      <c r="N729" s="136"/>
      <c r="O729" s="126"/>
      <c r="P729" s="136"/>
      <c r="Q729" s="128"/>
      <c r="R729" s="136"/>
      <c r="S729" s="126"/>
      <c r="T729" s="136"/>
      <c r="U729" s="128"/>
      <c r="V729" s="136"/>
      <c r="W729" s="128"/>
      <c r="X729" s="136"/>
      <c r="Y729" s="128"/>
      <c r="Z729" s="136"/>
      <c r="AA729" s="128"/>
      <c r="AB729" s="136"/>
      <c r="AC729" s="128"/>
      <c r="AD729" s="136"/>
      <c r="AE729" s="128"/>
      <c r="AF729" s="136"/>
      <c r="AG729" s="128"/>
      <c r="AH729" s="136"/>
      <c r="AI729" s="128"/>
      <c r="AJ729" s="136"/>
      <c r="AK729" s="128"/>
      <c r="AL729" s="136"/>
      <c r="AM729" s="128"/>
      <c r="AN729" s="136"/>
      <c r="AO729" s="128"/>
      <c r="AP729" s="136"/>
      <c r="AQ729" s="84">
        <f t="shared" si="46"/>
        <v>10</v>
      </c>
      <c r="AR729" s="171">
        <v>6405</v>
      </c>
      <c r="AS729" s="164">
        <f t="shared" si="95"/>
        <v>64050</v>
      </c>
    </row>
    <row r="730" spans="1:49" ht="14.25" hidden="1">
      <c r="A730" s="45">
        <v>702</v>
      </c>
      <c r="B730" s="71"/>
      <c r="C730" s="60" t="s">
        <v>269</v>
      </c>
      <c r="D730" s="117" t="s">
        <v>1404</v>
      </c>
      <c r="E730" s="33" t="s">
        <v>241</v>
      </c>
      <c r="F730" s="55" t="s">
        <v>270</v>
      </c>
      <c r="G730" s="61"/>
      <c r="H730" s="61"/>
      <c r="I730" s="55">
        <v>10</v>
      </c>
      <c r="J730" s="136">
        <f t="shared" si="44"/>
        <v>64050</v>
      </c>
      <c r="K730" s="126"/>
      <c r="L730" s="127">
        <f t="shared" si="45"/>
        <v>0</v>
      </c>
      <c r="M730" s="128"/>
      <c r="N730" s="136"/>
      <c r="O730" s="126"/>
      <c r="P730" s="136"/>
      <c r="Q730" s="128"/>
      <c r="R730" s="136"/>
      <c r="S730" s="126"/>
      <c r="T730" s="136"/>
      <c r="U730" s="128"/>
      <c r="V730" s="136"/>
      <c r="W730" s="128"/>
      <c r="X730" s="136"/>
      <c r="Y730" s="128"/>
      <c r="Z730" s="136"/>
      <c r="AA730" s="128"/>
      <c r="AB730" s="136"/>
      <c r="AC730" s="128"/>
      <c r="AD730" s="136"/>
      <c r="AE730" s="128"/>
      <c r="AF730" s="136"/>
      <c r="AG730" s="128"/>
      <c r="AH730" s="136"/>
      <c r="AI730" s="128"/>
      <c r="AJ730" s="136"/>
      <c r="AK730" s="128"/>
      <c r="AL730" s="136"/>
      <c r="AM730" s="128"/>
      <c r="AN730" s="136"/>
      <c r="AO730" s="128"/>
      <c r="AP730" s="136"/>
      <c r="AQ730" s="84">
        <f t="shared" si="46"/>
        <v>10</v>
      </c>
      <c r="AR730" s="171">
        <v>6405</v>
      </c>
      <c r="AS730" s="164">
        <f t="shared" si="95"/>
        <v>64050</v>
      </c>
    </row>
    <row r="731" spans="1:49" ht="14.25" hidden="1">
      <c r="A731" s="45">
        <v>703</v>
      </c>
      <c r="B731" s="110"/>
      <c r="C731" s="60" t="s">
        <v>269</v>
      </c>
      <c r="D731" s="117" t="s">
        <v>1404</v>
      </c>
      <c r="E731" s="33" t="s">
        <v>240</v>
      </c>
      <c r="F731" s="55" t="s">
        <v>270</v>
      </c>
      <c r="G731" s="34"/>
      <c r="H731" s="34"/>
      <c r="I731" s="55">
        <v>10</v>
      </c>
      <c r="J731" s="136">
        <f t="shared" ref="J731:J762" si="96">+I731*AR731</f>
        <v>44400</v>
      </c>
      <c r="K731" s="126"/>
      <c r="L731" s="127">
        <f t="shared" ref="L731:L762" si="97">+K731*AR731</f>
        <v>0</v>
      </c>
      <c r="M731" s="128"/>
      <c r="N731" s="136"/>
      <c r="O731" s="126"/>
      <c r="P731" s="136"/>
      <c r="Q731" s="128"/>
      <c r="R731" s="136"/>
      <c r="S731" s="126"/>
      <c r="T731" s="136"/>
      <c r="U731" s="128"/>
      <c r="V731" s="136"/>
      <c r="W731" s="128"/>
      <c r="X731" s="136"/>
      <c r="Y731" s="128"/>
      <c r="Z731" s="136"/>
      <c r="AA731" s="128"/>
      <c r="AB731" s="136"/>
      <c r="AC731" s="128"/>
      <c r="AD731" s="136"/>
      <c r="AE731" s="128"/>
      <c r="AF731" s="136"/>
      <c r="AG731" s="128"/>
      <c r="AH731" s="136"/>
      <c r="AI731" s="128"/>
      <c r="AJ731" s="136"/>
      <c r="AK731" s="128"/>
      <c r="AL731" s="136"/>
      <c r="AM731" s="128"/>
      <c r="AN731" s="136"/>
      <c r="AO731" s="128"/>
      <c r="AP731" s="136"/>
      <c r="AQ731" s="84">
        <f t="shared" si="46"/>
        <v>10</v>
      </c>
      <c r="AR731" s="171">
        <v>4440</v>
      </c>
      <c r="AS731" s="164">
        <f t="shared" si="95"/>
        <v>44400</v>
      </c>
    </row>
    <row r="732" spans="1:49" ht="14.25" hidden="1">
      <c r="A732" s="45">
        <v>704</v>
      </c>
      <c r="B732" s="71"/>
      <c r="C732" s="60" t="s">
        <v>269</v>
      </c>
      <c r="D732" s="117" t="s">
        <v>1404</v>
      </c>
      <c r="E732" s="33" t="s">
        <v>239</v>
      </c>
      <c r="F732" s="55" t="s">
        <v>270</v>
      </c>
      <c r="G732" s="37"/>
      <c r="H732" s="37"/>
      <c r="I732" s="55">
        <v>10</v>
      </c>
      <c r="J732" s="136">
        <f t="shared" si="96"/>
        <v>44400</v>
      </c>
      <c r="K732" s="126"/>
      <c r="L732" s="127">
        <f t="shared" si="97"/>
        <v>0</v>
      </c>
      <c r="M732" s="128"/>
      <c r="N732" s="136"/>
      <c r="O732" s="126"/>
      <c r="P732" s="136"/>
      <c r="Q732" s="128"/>
      <c r="R732" s="136"/>
      <c r="S732" s="126"/>
      <c r="T732" s="136"/>
      <c r="U732" s="128"/>
      <c r="V732" s="136"/>
      <c r="W732" s="128"/>
      <c r="X732" s="136"/>
      <c r="Y732" s="128"/>
      <c r="Z732" s="136"/>
      <c r="AA732" s="128"/>
      <c r="AB732" s="136"/>
      <c r="AC732" s="128"/>
      <c r="AD732" s="136"/>
      <c r="AE732" s="128"/>
      <c r="AF732" s="136"/>
      <c r="AG732" s="128"/>
      <c r="AH732" s="136"/>
      <c r="AI732" s="128"/>
      <c r="AJ732" s="136"/>
      <c r="AK732" s="128"/>
      <c r="AL732" s="136"/>
      <c r="AM732" s="128"/>
      <c r="AN732" s="136"/>
      <c r="AO732" s="128"/>
      <c r="AP732" s="136"/>
      <c r="AQ732" s="84">
        <f t="shared" si="46"/>
        <v>10</v>
      </c>
      <c r="AR732" s="171">
        <v>4440</v>
      </c>
      <c r="AS732" s="164">
        <f t="shared" si="95"/>
        <v>44400</v>
      </c>
    </row>
    <row r="733" spans="1:49" ht="14.25" hidden="1">
      <c r="A733" s="45">
        <v>705</v>
      </c>
      <c r="B733" s="71"/>
      <c r="C733" s="60" t="s">
        <v>269</v>
      </c>
      <c r="D733" s="117" t="s">
        <v>1404</v>
      </c>
      <c r="E733" s="33" t="s">
        <v>238</v>
      </c>
      <c r="F733" s="55" t="s">
        <v>270</v>
      </c>
      <c r="G733" s="62"/>
      <c r="H733" s="62"/>
      <c r="I733" s="55">
        <v>10</v>
      </c>
      <c r="J733" s="136">
        <f t="shared" si="96"/>
        <v>181780</v>
      </c>
      <c r="K733" s="126"/>
      <c r="L733" s="127">
        <f t="shared" si="97"/>
        <v>0</v>
      </c>
      <c r="M733" s="128"/>
      <c r="N733" s="136"/>
      <c r="O733" s="126"/>
      <c r="P733" s="136"/>
      <c r="Q733" s="128"/>
      <c r="R733" s="136"/>
      <c r="S733" s="126"/>
      <c r="T733" s="136"/>
      <c r="U733" s="128"/>
      <c r="V733" s="136"/>
      <c r="W733" s="128"/>
      <c r="X733" s="136"/>
      <c r="Y733" s="128"/>
      <c r="Z733" s="136"/>
      <c r="AA733" s="128"/>
      <c r="AB733" s="136"/>
      <c r="AC733" s="128"/>
      <c r="AD733" s="136"/>
      <c r="AE733" s="128"/>
      <c r="AF733" s="136"/>
      <c r="AG733" s="128"/>
      <c r="AH733" s="136"/>
      <c r="AI733" s="128"/>
      <c r="AJ733" s="136"/>
      <c r="AK733" s="128"/>
      <c r="AL733" s="136"/>
      <c r="AM733" s="128"/>
      <c r="AN733" s="136"/>
      <c r="AO733" s="128"/>
      <c r="AP733" s="136"/>
      <c r="AQ733" s="84">
        <f t="shared" si="46"/>
        <v>10</v>
      </c>
      <c r="AR733" s="171">
        <v>18178</v>
      </c>
      <c r="AS733" s="164">
        <f t="shared" si="95"/>
        <v>181780</v>
      </c>
    </row>
    <row r="734" spans="1:49" ht="14.25" hidden="1">
      <c r="A734" s="45">
        <v>706</v>
      </c>
      <c r="B734" s="110"/>
      <c r="C734" s="60" t="s">
        <v>269</v>
      </c>
      <c r="D734" s="117" t="s">
        <v>1404</v>
      </c>
      <c r="E734" s="33" t="s">
        <v>237</v>
      </c>
      <c r="F734" s="55" t="s">
        <v>270</v>
      </c>
      <c r="G734" s="34"/>
      <c r="H734" s="34"/>
      <c r="I734" s="55">
        <v>10</v>
      </c>
      <c r="J734" s="136">
        <f t="shared" si="96"/>
        <v>73830</v>
      </c>
      <c r="K734" s="126"/>
      <c r="L734" s="127">
        <f t="shared" si="97"/>
        <v>0</v>
      </c>
      <c r="M734" s="128"/>
      <c r="N734" s="136"/>
      <c r="O734" s="126"/>
      <c r="P734" s="136"/>
      <c r="Q734" s="128"/>
      <c r="R734" s="136"/>
      <c r="S734" s="126"/>
      <c r="T734" s="136"/>
      <c r="U734" s="128"/>
      <c r="V734" s="136"/>
      <c r="W734" s="128"/>
      <c r="X734" s="136"/>
      <c r="Y734" s="128"/>
      <c r="Z734" s="136"/>
      <c r="AA734" s="128"/>
      <c r="AB734" s="136"/>
      <c r="AC734" s="128"/>
      <c r="AD734" s="136"/>
      <c r="AE734" s="128"/>
      <c r="AF734" s="136"/>
      <c r="AG734" s="128"/>
      <c r="AH734" s="136"/>
      <c r="AI734" s="128"/>
      <c r="AJ734" s="136"/>
      <c r="AK734" s="128"/>
      <c r="AL734" s="136"/>
      <c r="AM734" s="128"/>
      <c r="AN734" s="136"/>
      <c r="AO734" s="128"/>
      <c r="AP734" s="136"/>
      <c r="AQ734" s="84">
        <f t="shared" si="46"/>
        <v>10</v>
      </c>
      <c r="AR734" s="171">
        <v>7383</v>
      </c>
      <c r="AS734" s="164">
        <f t="shared" si="95"/>
        <v>73830</v>
      </c>
    </row>
    <row r="735" spans="1:49" ht="14.25" hidden="1">
      <c r="A735" s="45">
        <v>707</v>
      </c>
      <c r="B735" s="110"/>
      <c r="C735" s="60" t="s">
        <v>269</v>
      </c>
      <c r="D735" s="117" t="s">
        <v>1404</v>
      </c>
      <c r="E735" s="33" t="s">
        <v>236</v>
      </c>
      <c r="F735" s="55" t="s">
        <v>270</v>
      </c>
      <c r="G735" s="33"/>
      <c r="H735" s="33"/>
      <c r="I735" s="55">
        <v>10</v>
      </c>
      <c r="J735" s="136">
        <f t="shared" si="96"/>
        <v>86560</v>
      </c>
      <c r="K735" s="126"/>
      <c r="L735" s="127">
        <f t="shared" si="97"/>
        <v>0</v>
      </c>
      <c r="M735" s="128"/>
      <c r="N735" s="136"/>
      <c r="O735" s="126"/>
      <c r="P735" s="136"/>
      <c r="Q735" s="128"/>
      <c r="R735" s="136"/>
      <c r="S735" s="126"/>
      <c r="T735" s="136"/>
      <c r="U735" s="128"/>
      <c r="V735" s="136"/>
      <c r="W735" s="128"/>
      <c r="X735" s="136"/>
      <c r="Y735" s="128"/>
      <c r="Z735" s="136"/>
      <c r="AA735" s="128"/>
      <c r="AB735" s="136"/>
      <c r="AC735" s="128"/>
      <c r="AD735" s="136"/>
      <c r="AE735" s="128"/>
      <c r="AF735" s="136"/>
      <c r="AG735" s="128"/>
      <c r="AH735" s="136"/>
      <c r="AI735" s="128"/>
      <c r="AJ735" s="136"/>
      <c r="AK735" s="128"/>
      <c r="AL735" s="136"/>
      <c r="AM735" s="128"/>
      <c r="AN735" s="136"/>
      <c r="AO735" s="128"/>
      <c r="AP735" s="136"/>
      <c r="AQ735" s="84">
        <f t="shared" si="46"/>
        <v>10</v>
      </c>
      <c r="AR735" s="171">
        <v>8656</v>
      </c>
      <c r="AS735" s="164">
        <f t="shared" si="95"/>
        <v>86560</v>
      </c>
    </row>
    <row r="736" spans="1:49" ht="14.25" hidden="1">
      <c r="A736" s="45">
        <v>708</v>
      </c>
      <c r="B736" s="110"/>
      <c r="C736" s="60" t="s">
        <v>269</v>
      </c>
      <c r="D736" s="117" t="s">
        <v>1404</v>
      </c>
      <c r="E736" s="33" t="s">
        <v>235</v>
      </c>
      <c r="F736" s="55" t="s">
        <v>270</v>
      </c>
      <c r="G736" s="55"/>
      <c r="H736" s="55"/>
      <c r="I736" s="55">
        <v>2</v>
      </c>
      <c r="J736" s="136">
        <f t="shared" si="96"/>
        <v>21736</v>
      </c>
      <c r="K736" s="126"/>
      <c r="L736" s="127">
        <f t="shared" si="97"/>
        <v>0</v>
      </c>
      <c r="M736" s="128"/>
      <c r="N736" s="136"/>
      <c r="O736" s="126"/>
      <c r="P736" s="136"/>
      <c r="Q736" s="128"/>
      <c r="R736" s="136"/>
      <c r="S736" s="126"/>
      <c r="T736" s="136"/>
      <c r="U736" s="128"/>
      <c r="V736" s="136"/>
      <c r="W736" s="128"/>
      <c r="X736" s="136"/>
      <c r="Y736" s="128"/>
      <c r="Z736" s="136"/>
      <c r="AA736" s="128"/>
      <c r="AB736" s="136"/>
      <c r="AC736" s="128"/>
      <c r="AD736" s="136"/>
      <c r="AE736" s="128"/>
      <c r="AF736" s="136"/>
      <c r="AG736" s="128"/>
      <c r="AH736" s="136"/>
      <c r="AI736" s="128"/>
      <c r="AJ736" s="136"/>
      <c r="AK736" s="128"/>
      <c r="AL736" s="136"/>
      <c r="AM736" s="128"/>
      <c r="AN736" s="136"/>
      <c r="AO736" s="128"/>
      <c r="AP736" s="136"/>
      <c r="AQ736" s="84">
        <f t="shared" si="46"/>
        <v>2</v>
      </c>
      <c r="AR736" s="171">
        <v>10868</v>
      </c>
      <c r="AS736" s="164">
        <f t="shared" si="95"/>
        <v>21736</v>
      </c>
    </row>
    <row r="737" spans="1:48" ht="14.25" hidden="1">
      <c r="A737" s="45">
        <v>709</v>
      </c>
      <c r="B737" s="71"/>
      <c r="C737" s="60" t="s">
        <v>269</v>
      </c>
      <c r="D737" s="117" t="s">
        <v>1404</v>
      </c>
      <c r="E737" s="33" t="s">
        <v>234</v>
      </c>
      <c r="F737" s="55" t="s">
        <v>270</v>
      </c>
      <c r="G737" s="33"/>
      <c r="H737" s="33"/>
      <c r="I737" s="55">
        <v>10</v>
      </c>
      <c r="J737" s="136">
        <f t="shared" si="96"/>
        <v>14770</v>
      </c>
      <c r="K737" s="126"/>
      <c r="L737" s="127">
        <f t="shared" si="97"/>
        <v>0</v>
      </c>
      <c r="M737" s="128"/>
      <c r="N737" s="136"/>
      <c r="O737" s="126"/>
      <c r="P737" s="136"/>
      <c r="Q737" s="128"/>
      <c r="R737" s="136"/>
      <c r="S737" s="126"/>
      <c r="T737" s="136"/>
      <c r="U737" s="128"/>
      <c r="V737" s="136"/>
      <c r="W737" s="128"/>
      <c r="X737" s="136"/>
      <c r="Y737" s="128"/>
      <c r="Z737" s="136"/>
      <c r="AA737" s="128"/>
      <c r="AB737" s="136"/>
      <c r="AC737" s="128"/>
      <c r="AD737" s="136"/>
      <c r="AE737" s="128"/>
      <c r="AF737" s="136"/>
      <c r="AG737" s="128"/>
      <c r="AH737" s="136"/>
      <c r="AI737" s="128"/>
      <c r="AJ737" s="136"/>
      <c r="AK737" s="128"/>
      <c r="AL737" s="136"/>
      <c r="AM737" s="128"/>
      <c r="AN737" s="136"/>
      <c r="AO737" s="128"/>
      <c r="AP737" s="136"/>
      <c r="AQ737" s="84">
        <f t="shared" si="46"/>
        <v>10</v>
      </c>
      <c r="AR737" s="171">
        <v>1477</v>
      </c>
      <c r="AS737" s="164">
        <f t="shared" si="95"/>
        <v>14770</v>
      </c>
    </row>
    <row r="738" spans="1:48" ht="28.5" hidden="1">
      <c r="A738" s="45">
        <v>710</v>
      </c>
      <c r="B738" s="46"/>
      <c r="C738" s="60" t="s">
        <v>269</v>
      </c>
      <c r="D738" s="117" t="s">
        <v>1404</v>
      </c>
      <c r="E738" s="33" t="s">
        <v>233</v>
      </c>
      <c r="F738" s="55" t="s">
        <v>270</v>
      </c>
      <c r="G738" s="55"/>
      <c r="H738" s="55"/>
      <c r="I738" s="55">
        <v>10</v>
      </c>
      <c r="J738" s="136">
        <f t="shared" si="96"/>
        <v>110180</v>
      </c>
      <c r="K738" s="126"/>
      <c r="L738" s="127">
        <f t="shared" si="97"/>
        <v>0</v>
      </c>
      <c r="M738" s="128"/>
      <c r="N738" s="136"/>
      <c r="O738" s="126"/>
      <c r="P738" s="136"/>
      <c r="Q738" s="128"/>
      <c r="R738" s="136"/>
      <c r="S738" s="126"/>
      <c r="T738" s="136"/>
      <c r="U738" s="128"/>
      <c r="V738" s="136"/>
      <c r="W738" s="128"/>
      <c r="X738" s="136"/>
      <c r="Y738" s="128"/>
      <c r="Z738" s="136"/>
      <c r="AA738" s="128"/>
      <c r="AB738" s="136"/>
      <c r="AC738" s="128"/>
      <c r="AD738" s="136"/>
      <c r="AE738" s="128"/>
      <c r="AF738" s="136"/>
      <c r="AG738" s="128"/>
      <c r="AH738" s="136"/>
      <c r="AI738" s="128"/>
      <c r="AJ738" s="136"/>
      <c r="AK738" s="128"/>
      <c r="AL738" s="136"/>
      <c r="AM738" s="128"/>
      <c r="AN738" s="136"/>
      <c r="AO738" s="128"/>
      <c r="AP738" s="136"/>
      <c r="AQ738" s="84">
        <f t="shared" si="46"/>
        <v>10</v>
      </c>
      <c r="AR738" s="171">
        <v>11018</v>
      </c>
      <c r="AS738" s="164">
        <f t="shared" si="95"/>
        <v>110180</v>
      </c>
    </row>
    <row r="739" spans="1:48" ht="14.25" hidden="1">
      <c r="A739" s="45">
        <v>711</v>
      </c>
      <c r="B739" s="110"/>
      <c r="C739" s="60" t="s">
        <v>269</v>
      </c>
      <c r="D739" s="117" t="s">
        <v>1404</v>
      </c>
      <c r="E739" s="33" t="s">
        <v>232</v>
      </c>
      <c r="F739" s="55" t="s">
        <v>270</v>
      </c>
      <c r="G739" s="55"/>
      <c r="H739" s="55"/>
      <c r="I739" s="55">
        <v>2</v>
      </c>
      <c r="J739" s="136">
        <f t="shared" si="96"/>
        <v>11696</v>
      </c>
      <c r="K739" s="126"/>
      <c r="L739" s="127">
        <f t="shared" si="97"/>
        <v>0</v>
      </c>
      <c r="M739" s="128"/>
      <c r="N739" s="136"/>
      <c r="O739" s="126"/>
      <c r="P739" s="136"/>
      <c r="Q739" s="128"/>
      <c r="R739" s="136"/>
      <c r="S739" s="126"/>
      <c r="T739" s="136"/>
      <c r="U739" s="128"/>
      <c r="V739" s="136"/>
      <c r="W739" s="128"/>
      <c r="X739" s="136"/>
      <c r="Y739" s="128"/>
      <c r="Z739" s="136"/>
      <c r="AA739" s="128"/>
      <c r="AB739" s="136"/>
      <c r="AC739" s="128"/>
      <c r="AD739" s="136"/>
      <c r="AE739" s="128"/>
      <c r="AF739" s="136"/>
      <c r="AG739" s="128"/>
      <c r="AH739" s="136"/>
      <c r="AI739" s="128"/>
      <c r="AJ739" s="136"/>
      <c r="AK739" s="128"/>
      <c r="AL739" s="136"/>
      <c r="AM739" s="128"/>
      <c r="AN739" s="136"/>
      <c r="AO739" s="128"/>
      <c r="AP739" s="136"/>
      <c r="AQ739" s="84">
        <f t="shared" si="46"/>
        <v>2</v>
      </c>
      <c r="AR739" s="171">
        <v>5848</v>
      </c>
      <c r="AS739" s="164">
        <f t="shared" si="95"/>
        <v>11696</v>
      </c>
    </row>
    <row r="740" spans="1:48" ht="14.25" hidden="1">
      <c r="A740" s="45">
        <v>712</v>
      </c>
      <c r="B740" s="195"/>
      <c r="C740" s="60" t="s">
        <v>269</v>
      </c>
      <c r="D740" s="117" t="s">
        <v>1404</v>
      </c>
      <c r="E740" s="33" t="s">
        <v>231</v>
      </c>
      <c r="F740" s="55" t="s">
        <v>270</v>
      </c>
      <c r="G740" s="37"/>
      <c r="H740" s="37"/>
      <c r="I740" s="55">
        <v>20</v>
      </c>
      <c r="J740" s="136">
        <f t="shared" si="96"/>
        <v>471660</v>
      </c>
      <c r="K740" s="126"/>
      <c r="L740" s="127">
        <f t="shared" si="97"/>
        <v>0</v>
      </c>
      <c r="M740" s="128"/>
      <c r="N740" s="136"/>
      <c r="O740" s="126"/>
      <c r="P740" s="136"/>
      <c r="Q740" s="128"/>
      <c r="R740" s="136"/>
      <c r="S740" s="126"/>
      <c r="T740" s="136"/>
      <c r="U740" s="128"/>
      <c r="V740" s="136"/>
      <c r="W740" s="128"/>
      <c r="X740" s="136"/>
      <c r="Y740" s="128"/>
      <c r="Z740" s="136"/>
      <c r="AA740" s="128"/>
      <c r="AB740" s="136"/>
      <c r="AC740" s="128"/>
      <c r="AD740" s="136"/>
      <c r="AE740" s="128"/>
      <c r="AF740" s="136"/>
      <c r="AG740" s="128"/>
      <c r="AH740" s="136"/>
      <c r="AI740" s="128"/>
      <c r="AJ740" s="136"/>
      <c r="AK740" s="128"/>
      <c r="AL740" s="136"/>
      <c r="AM740" s="128"/>
      <c r="AN740" s="136"/>
      <c r="AO740" s="128"/>
      <c r="AP740" s="136"/>
      <c r="AQ740" s="84">
        <f t="shared" si="46"/>
        <v>20</v>
      </c>
      <c r="AR740" s="171">
        <v>23583</v>
      </c>
      <c r="AS740" s="164">
        <f t="shared" si="95"/>
        <v>471660</v>
      </c>
    </row>
    <row r="741" spans="1:48" ht="14.25" hidden="1">
      <c r="A741" s="45">
        <v>713</v>
      </c>
      <c r="B741" s="88"/>
      <c r="C741" s="60" t="s">
        <v>269</v>
      </c>
      <c r="D741" s="117" t="s">
        <v>1404</v>
      </c>
      <c r="E741" s="33" t="s">
        <v>230</v>
      </c>
      <c r="F741" s="55" t="s">
        <v>270</v>
      </c>
      <c r="G741" s="37"/>
      <c r="H741" s="37"/>
      <c r="I741" s="55">
        <v>3</v>
      </c>
      <c r="J741" s="136">
        <f t="shared" si="96"/>
        <v>9444</v>
      </c>
      <c r="K741" s="126"/>
      <c r="L741" s="127">
        <f t="shared" si="97"/>
        <v>0</v>
      </c>
      <c r="M741" s="128"/>
      <c r="N741" s="136"/>
      <c r="O741" s="126"/>
      <c r="P741" s="136"/>
      <c r="Q741" s="128"/>
      <c r="R741" s="136"/>
      <c r="S741" s="126"/>
      <c r="T741" s="136"/>
      <c r="U741" s="128"/>
      <c r="V741" s="136"/>
      <c r="W741" s="128"/>
      <c r="X741" s="136"/>
      <c r="Y741" s="128"/>
      <c r="Z741" s="136"/>
      <c r="AA741" s="128"/>
      <c r="AB741" s="136"/>
      <c r="AC741" s="128"/>
      <c r="AD741" s="136"/>
      <c r="AE741" s="128"/>
      <c r="AF741" s="136"/>
      <c r="AG741" s="128"/>
      <c r="AH741" s="136"/>
      <c r="AI741" s="128"/>
      <c r="AJ741" s="136"/>
      <c r="AK741" s="128"/>
      <c r="AL741" s="136"/>
      <c r="AM741" s="128"/>
      <c r="AN741" s="136"/>
      <c r="AO741" s="128"/>
      <c r="AP741" s="136"/>
      <c r="AQ741" s="84">
        <f t="shared" si="46"/>
        <v>3</v>
      </c>
      <c r="AR741" s="171">
        <v>3148</v>
      </c>
      <c r="AS741" s="164">
        <f t="shared" si="95"/>
        <v>9444</v>
      </c>
    </row>
    <row r="742" spans="1:48" ht="14.25" hidden="1">
      <c r="A742" s="45">
        <v>714</v>
      </c>
      <c r="B742" s="88"/>
      <c r="C742" s="60" t="s">
        <v>269</v>
      </c>
      <c r="D742" s="117" t="s">
        <v>1404</v>
      </c>
      <c r="E742" s="33" t="s">
        <v>229</v>
      </c>
      <c r="F742" s="55" t="s">
        <v>270</v>
      </c>
      <c r="G742" s="33"/>
      <c r="H742" s="33"/>
      <c r="I742" s="55">
        <v>10</v>
      </c>
      <c r="J742" s="136">
        <f t="shared" si="96"/>
        <v>242910</v>
      </c>
      <c r="K742" s="126"/>
      <c r="L742" s="127">
        <f t="shared" si="97"/>
        <v>0</v>
      </c>
      <c r="M742" s="128"/>
      <c r="N742" s="136"/>
      <c r="O742" s="126"/>
      <c r="P742" s="136"/>
      <c r="Q742" s="128"/>
      <c r="R742" s="136"/>
      <c r="S742" s="126"/>
      <c r="T742" s="136"/>
      <c r="U742" s="128"/>
      <c r="V742" s="136"/>
      <c r="W742" s="128"/>
      <c r="X742" s="136"/>
      <c r="Y742" s="128"/>
      <c r="Z742" s="136"/>
      <c r="AA742" s="128"/>
      <c r="AB742" s="136"/>
      <c r="AC742" s="128"/>
      <c r="AD742" s="136"/>
      <c r="AE742" s="128"/>
      <c r="AF742" s="136"/>
      <c r="AG742" s="128"/>
      <c r="AH742" s="136"/>
      <c r="AI742" s="128"/>
      <c r="AJ742" s="136"/>
      <c r="AK742" s="128"/>
      <c r="AL742" s="136"/>
      <c r="AM742" s="128"/>
      <c r="AN742" s="136"/>
      <c r="AO742" s="128"/>
      <c r="AP742" s="136"/>
      <c r="AQ742" s="84">
        <f t="shared" si="46"/>
        <v>10</v>
      </c>
      <c r="AR742" s="171">
        <v>24291</v>
      </c>
      <c r="AS742" s="164">
        <f t="shared" si="95"/>
        <v>242910</v>
      </c>
    </row>
    <row r="743" spans="1:48" ht="14.25" hidden="1">
      <c r="A743" s="45">
        <v>715</v>
      </c>
      <c r="B743" s="88"/>
      <c r="C743" s="60" t="s">
        <v>269</v>
      </c>
      <c r="D743" s="117" t="s">
        <v>1404</v>
      </c>
      <c r="E743" s="33" t="s">
        <v>228</v>
      </c>
      <c r="F743" s="55" t="s">
        <v>270</v>
      </c>
      <c r="G743" s="33"/>
      <c r="H743" s="33"/>
      <c r="I743" s="55">
        <v>20</v>
      </c>
      <c r="J743" s="136">
        <f t="shared" si="96"/>
        <v>107740</v>
      </c>
      <c r="K743" s="126"/>
      <c r="L743" s="127">
        <f t="shared" si="97"/>
        <v>0</v>
      </c>
      <c r="M743" s="128"/>
      <c r="N743" s="136"/>
      <c r="O743" s="126"/>
      <c r="P743" s="136"/>
      <c r="Q743" s="128"/>
      <c r="R743" s="136"/>
      <c r="S743" s="126"/>
      <c r="T743" s="136"/>
      <c r="U743" s="128"/>
      <c r="V743" s="136"/>
      <c r="W743" s="128"/>
      <c r="X743" s="136"/>
      <c r="Y743" s="128"/>
      <c r="Z743" s="136"/>
      <c r="AA743" s="128"/>
      <c r="AB743" s="136"/>
      <c r="AC743" s="128"/>
      <c r="AD743" s="136"/>
      <c r="AE743" s="128"/>
      <c r="AF743" s="136"/>
      <c r="AG743" s="128"/>
      <c r="AH743" s="136"/>
      <c r="AI743" s="128"/>
      <c r="AJ743" s="136"/>
      <c r="AK743" s="128"/>
      <c r="AL743" s="136"/>
      <c r="AM743" s="128"/>
      <c r="AN743" s="136"/>
      <c r="AO743" s="128"/>
      <c r="AP743" s="136"/>
      <c r="AQ743" s="84">
        <f t="shared" si="46"/>
        <v>20</v>
      </c>
      <c r="AR743" s="171">
        <v>5387</v>
      </c>
      <c r="AS743" s="164">
        <f t="shared" si="95"/>
        <v>107740</v>
      </c>
    </row>
    <row r="744" spans="1:48" ht="14.25" hidden="1">
      <c r="A744" s="45">
        <v>716</v>
      </c>
      <c r="B744" s="110"/>
      <c r="C744" s="60" t="s">
        <v>269</v>
      </c>
      <c r="D744" s="117" t="s">
        <v>1404</v>
      </c>
      <c r="E744" s="33" t="s">
        <v>227</v>
      </c>
      <c r="F744" s="55" t="s">
        <v>270</v>
      </c>
      <c r="G744" s="61"/>
      <c r="H744" s="61"/>
      <c r="I744" s="55">
        <v>5</v>
      </c>
      <c r="J744" s="136">
        <f t="shared" si="96"/>
        <v>13615</v>
      </c>
      <c r="K744" s="126"/>
      <c r="L744" s="127">
        <f t="shared" si="97"/>
        <v>0</v>
      </c>
      <c r="M744" s="128"/>
      <c r="N744" s="136"/>
      <c r="O744" s="126"/>
      <c r="P744" s="136"/>
      <c r="Q744" s="128"/>
      <c r="R744" s="136"/>
      <c r="S744" s="126"/>
      <c r="T744" s="136"/>
      <c r="U744" s="128"/>
      <c r="V744" s="136"/>
      <c r="W744" s="128"/>
      <c r="X744" s="136"/>
      <c r="Y744" s="128"/>
      <c r="Z744" s="136"/>
      <c r="AA744" s="128"/>
      <c r="AB744" s="136"/>
      <c r="AC744" s="128"/>
      <c r="AD744" s="136"/>
      <c r="AE744" s="128"/>
      <c r="AF744" s="136"/>
      <c r="AG744" s="128"/>
      <c r="AH744" s="136"/>
      <c r="AI744" s="128"/>
      <c r="AJ744" s="136"/>
      <c r="AK744" s="128"/>
      <c r="AL744" s="136"/>
      <c r="AM744" s="128"/>
      <c r="AN744" s="136"/>
      <c r="AO744" s="128"/>
      <c r="AP744" s="136"/>
      <c r="AQ744" s="84">
        <f t="shared" si="46"/>
        <v>5</v>
      </c>
      <c r="AR744" s="171">
        <v>2723</v>
      </c>
      <c r="AS744" s="164">
        <f t="shared" si="95"/>
        <v>13615</v>
      </c>
    </row>
    <row r="745" spans="1:48" ht="14.25" hidden="1">
      <c r="A745" s="45">
        <v>717</v>
      </c>
      <c r="B745" s="110"/>
      <c r="C745" s="60" t="s">
        <v>269</v>
      </c>
      <c r="D745" s="117" t="s">
        <v>1404</v>
      </c>
      <c r="E745" s="33" t="s">
        <v>226</v>
      </c>
      <c r="F745" s="55" t="s">
        <v>270</v>
      </c>
      <c r="G745" s="61"/>
      <c r="H745" s="61"/>
      <c r="I745" s="55">
        <v>30</v>
      </c>
      <c r="J745" s="136">
        <f t="shared" si="96"/>
        <v>48300</v>
      </c>
      <c r="K745" s="126"/>
      <c r="L745" s="127">
        <f t="shared" si="97"/>
        <v>0</v>
      </c>
      <c r="M745" s="128"/>
      <c r="N745" s="136"/>
      <c r="O745" s="126"/>
      <c r="P745" s="136"/>
      <c r="Q745" s="128"/>
      <c r="R745" s="136"/>
      <c r="S745" s="126"/>
      <c r="T745" s="136"/>
      <c r="U745" s="128"/>
      <c r="V745" s="136"/>
      <c r="W745" s="128"/>
      <c r="X745" s="136"/>
      <c r="Y745" s="128"/>
      <c r="Z745" s="136"/>
      <c r="AA745" s="128"/>
      <c r="AB745" s="136"/>
      <c r="AC745" s="128"/>
      <c r="AD745" s="136"/>
      <c r="AE745" s="128"/>
      <c r="AF745" s="136"/>
      <c r="AG745" s="128"/>
      <c r="AH745" s="136"/>
      <c r="AI745" s="128"/>
      <c r="AJ745" s="136"/>
      <c r="AK745" s="128"/>
      <c r="AL745" s="136"/>
      <c r="AM745" s="128"/>
      <c r="AN745" s="136"/>
      <c r="AO745" s="128"/>
      <c r="AP745" s="136"/>
      <c r="AQ745" s="84">
        <f t="shared" si="46"/>
        <v>30</v>
      </c>
      <c r="AR745" s="171">
        <v>1610</v>
      </c>
      <c r="AS745" s="164">
        <f t="shared" si="95"/>
        <v>48300</v>
      </c>
    </row>
    <row r="746" spans="1:48" ht="14.25" hidden="1">
      <c r="A746" s="45">
        <v>718</v>
      </c>
      <c r="B746" s="37"/>
      <c r="C746" s="60" t="s">
        <v>269</v>
      </c>
      <c r="D746" s="117" t="s">
        <v>1404</v>
      </c>
      <c r="E746" s="33" t="s">
        <v>225</v>
      </c>
      <c r="F746" s="55" t="s">
        <v>270</v>
      </c>
      <c r="G746" s="34"/>
      <c r="H746" s="34"/>
      <c r="I746" s="55">
        <v>20</v>
      </c>
      <c r="J746" s="136">
        <f t="shared" si="96"/>
        <v>60060</v>
      </c>
      <c r="K746" s="126"/>
      <c r="L746" s="127">
        <f t="shared" si="97"/>
        <v>0</v>
      </c>
      <c r="M746" s="128"/>
      <c r="N746" s="136"/>
      <c r="O746" s="126"/>
      <c r="P746" s="136"/>
      <c r="Q746" s="128"/>
      <c r="R746" s="136"/>
      <c r="S746" s="126"/>
      <c r="T746" s="136"/>
      <c r="U746" s="128"/>
      <c r="V746" s="136"/>
      <c r="W746" s="128"/>
      <c r="X746" s="136"/>
      <c r="Y746" s="128"/>
      <c r="Z746" s="136"/>
      <c r="AA746" s="128"/>
      <c r="AB746" s="136"/>
      <c r="AC746" s="128"/>
      <c r="AD746" s="136"/>
      <c r="AE746" s="128"/>
      <c r="AF746" s="136"/>
      <c r="AG746" s="128"/>
      <c r="AH746" s="136"/>
      <c r="AI746" s="128"/>
      <c r="AJ746" s="136"/>
      <c r="AK746" s="128"/>
      <c r="AL746" s="136"/>
      <c r="AM746" s="128"/>
      <c r="AN746" s="136"/>
      <c r="AO746" s="128"/>
      <c r="AP746" s="136"/>
      <c r="AQ746" s="84">
        <f t="shared" si="46"/>
        <v>20</v>
      </c>
      <c r="AR746" s="171">
        <v>3003</v>
      </c>
      <c r="AS746" s="164">
        <f t="shared" si="95"/>
        <v>60060</v>
      </c>
      <c r="AT746" s="6"/>
      <c r="AU746" s="6"/>
      <c r="AV746" s="6"/>
    </row>
    <row r="747" spans="1:48" ht="14.25" hidden="1">
      <c r="A747" s="45">
        <v>719</v>
      </c>
      <c r="B747" s="88"/>
      <c r="C747" s="60" t="s">
        <v>269</v>
      </c>
      <c r="D747" s="117" t="s">
        <v>1404</v>
      </c>
      <c r="E747" s="33" t="s">
        <v>224</v>
      </c>
      <c r="F747" s="55" t="s">
        <v>270</v>
      </c>
      <c r="G747" s="37"/>
      <c r="H747" s="37"/>
      <c r="I747" s="55">
        <v>20</v>
      </c>
      <c r="J747" s="136">
        <f t="shared" si="96"/>
        <v>12060</v>
      </c>
      <c r="K747" s="126"/>
      <c r="L747" s="127">
        <f t="shared" si="97"/>
        <v>0</v>
      </c>
      <c r="M747" s="128"/>
      <c r="N747" s="136"/>
      <c r="O747" s="126"/>
      <c r="P747" s="136"/>
      <c r="Q747" s="128"/>
      <c r="R747" s="136"/>
      <c r="S747" s="126"/>
      <c r="T747" s="136"/>
      <c r="U747" s="128"/>
      <c r="V747" s="136"/>
      <c r="W747" s="128"/>
      <c r="X747" s="136"/>
      <c r="Y747" s="128"/>
      <c r="Z747" s="136"/>
      <c r="AA747" s="128"/>
      <c r="AB747" s="136"/>
      <c r="AC747" s="128"/>
      <c r="AD747" s="136"/>
      <c r="AE747" s="128"/>
      <c r="AF747" s="136"/>
      <c r="AG747" s="128"/>
      <c r="AH747" s="136"/>
      <c r="AI747" s="128"/>
      <c r="AJ747" s="136"/>
      <c r="AK747" s="128"/>
      <c r="AL747" s="136"/>
      <c r="AM747" s="128"/>
      <c r="AN747" s="136"/>
      <c r="AO747" s="128"/>
      <c r="AP747" s="136"/>
      <c r="AQ747" s="84">
        <f t="shared" si="46"/>
        <v>20</v>
      </c>
      <c r="AR747" s="171">
        <v>603</v>
      </c>
      <c r="AS747" s="164">
        <f t="shared" si="95"/>
        <v>12060</v>
      </c>
    </row>
    <row r="748" spans="1:48" ht="14.25" hidden="1">
      <c r="A748" s="45">
        <v>720</v>
      </c>
      <c r="B748" s="110"/>
      <c r="C748" s="60" t="s">
        <v>269</v>
      </c>
      <c r="D748" s="117" t="s">
        <v>1404</v>
      </c>
      <c r="E748" s="33" t="s">
        <v>223</v>
      </c>
      <c r="F748" s="55" t="s">
        <v>270</v>
      </c>
      <c r="G748" s="34"/>
      <c r="H748" s="34"/>
      <c r="I748" s="55">
        <v>10</v>
      </c>
      <c r="J748" s="136">
        <f t="shared" si="96"/>
        <v>4150</v>
      </c>
      <c r="K748" s="126"/>
      <c r="L748" s="127">
        <f t="shared" si="97"/>
        <v>0</v>
      </c>
      <c r="M748" s="128"/>
      <c r="N748" s="136"/>
      <c r="O748" s="126"/>
      <c r="P748" s="136"/>
      <c r="Q748" s="128"/>
      <c r="R748" s="136"/>
      <c r="S748" s="126"/>
      <c r="T748" s="136"/>
      <c r="U748" s="128"/>
      <c r="V748" s="136"/>
      <c r="W748" s="128"/>
      <c r="X748" s="136"/>
      <c r="Y748" s="128"/>
      <c r="Z748" s="136"/>
      <c r="AA748" s="128"/>
      <c r="AB748" s="136"/>
      <c r="AC748" s="128"/>
      <c r="AD748" s="136"/>
      <c r="AE748" s="128"/>
      <c r="AF748" s="136"/>
      <c r="AG748" s="128"/>
      <c r="AH748" s="136"/>
      <c r="AI748" s="128"/>
      <c r="AJ748" s="136"/>
      <c r="AK748" s="128"/>
      <c r="AL748" s="136"/>
      <c r="AM748" s="128"/>
      <c r="AN748" s="136"/>
      <c r="AO748" s="128"/>
      <c r="AP748" s="136"/>
      <c r="AQ748" s="84">
        <f t="shared" si="46"/>
        <v>10</v>
      </c>
      <c r="AR748" s="171">
        <v>415</v>
      </c>
      <c r="AS748" s="164">
        <f t="shared" si="95"/>
        <v>4150</v>
      </c>
    </row>
    <row r="749" spans="1:48" ht="14.25" hidden="1">
      <c r="A749" s="45">
        <v>721</v>
      </c>
      <c r="B749" s="110"/>
      <c r="C749" s="60" t="s">
        <v>269</v>
      </c>
      <c r="D749" s="117" t="s">
        <v>1404</v>
      </c>
      <c r="E749" s="33" t="s">
        <v>222</v>
      </c>
      <c r="F749" s="55" t="s">
        <v>270</v>
      </c>
      <c r="G749" s="34"/>
      <c r="H749" s="34"/>
      <c r="I749" s="55">
        <v>5</v>
      </c>
      <c r="J749" s="136">
        <f t="shared" si="96"/>
        <v>12600</v>
      </c>
      <c r="K749" s="126"/>
      <c r="L749" s="127">
        <f t="shared" si="97"/>
        <v>0</v>
      </c>
      <c r="M749" s="128"/>
      <c r="N749" s="136"/>
      <c r="O749" s="126"/>
      <c r="P749" s="136"/>
      <c r="Q749" s="128"/>
      <c r="R749" s="136"/>
      <c r="S749" s="126"/>
      <c r="T749" s="136"/>
      <c r="U749" s="128"/>
      <c r="V749" s="136"/>
      <c r="W749" s="128"/>
      <c r="X749" s="136"/>
      <c r="Y749" s="128"/>
      <c r="Z749" s="136"/>
      <c r="AA749" s="128"/>
      <c r="AB749" s="136"/>
      <c r="AC749" s="128"/>
      <c r="AD749" s="136"/>
      <c r="AE749" s="128"/>
      <c r="AF749" s="136"/>
      <c r="AG749" s="128"/>
      <c r="AH749" s="136"/>
      <c r="AI749" s="128"/>
      <c r="AJ749" s="136"/>
      <c r="AK749" s="128"/>
      <c r="AL749" s="136"/>
      <c r="AM749" s="128"/>
      <c r="AN749" s="136"/>
      <c r="AO749" s="128"/>
      <c r="AP749" s="136"/>
      <c r="AQ749" s="84">
        <f t="shared" si="46"/>
        <v>5</v>
      </c>
      <c r="AR749" s="171">
        <v>2520</v>
      </c>
      <c r="AS749" s="164">
        <f t="shared" si="95"/>
        <v>12600</v>
      </c>
    </row>
    <row r="750" spans="1:48" ht="14.25" hidden="1">
      <c r="A750" s="45">
        <v>722</v>
      </c>
      <c r="B750" s="71"/>
      <c r="C750" s="60" t="s">
        <v>269</v>
      </c>
      <c r="D750" s="117" t="s">
        <v>1404</v>
      </c>
      <c r="E750" s="33" t="s">
        <v>221</v>
      </c>
      <c r="F750" s="55" t="s">
        <v>270</v>
      </c>
      <c r="G750" s="33"/>
      <c r="H750" s="33"/>
      <c r="I750" s="55">
        <v>5</v>
      </c>
      <c r="J750" s="136">
        <f t="shared" si="96"/>
        <v>13840</v>
      </c>
      <c r="K750" s="126"/>
      <c r="L750" s="127">
        <f t="shared" si="97"/>
        <v>0</v>
      </c>
      <c r="M750" s="128"/>
      <c r="N750" s="136"/>
      <c r="O750" s="126"/>
      <c r="P750" s="136"/>
      <c r="Q750" s="128"/>
      <c r="R750" s="136"/>
      <c r="S750" s="126"/>
      <c r="T750" s="136"/>
      <c r="U750" s="128"/>
      <c r="V750" s="136"/>
      <c r="W750" s="128"/>
      <c r="X750" s="136"/>
      <c r="Y750" s="128"/>
      <c r="Z750" s="136"/>
      <c r="AA750" s="128"/>
      <c r="AB750" s="136"/>
      <c r="AC750" s="128"/>
      <c r="AD750" s="136"/>
      <c r="AE750" s="128"/>
      <c r="AF750" s="136"/>
      <c r="AG750" s="128"/>
      <c r="AH750" s="136"/>
      <c r="AI750" s="128"/>
      <c r="AJ750" s="136"/>
      <c r="AK750" s="128"/>
      <c r="AL750" s="136"/>
      <c r="AM750" s="128"/>
      <c r="AN750" s="136"/>
      <c r="AO750" s="128"/>
      <c r="AP750" s="136"/>
      <c r="AQ750" s="84">
        <f t="shared" si="46"/>
        <v>5</v>
      </c>
      <c r="AR750" s="171">
        <v>2768</v>
      </c>
      <c r="AS750" s="164">
        <f t="shared" si="95"/>
        <v>13840</v>
      </c>
    </row>
    <row r="751" spans="1:48" ht="14.25" hidden="1">
      <c r="A751" s="45">
        <v>723</v>
      </c>
      <c r="B751" s="71"/>
      <c r="C751" s="60" t="s">
        <v>269</v>
      </c>
      <c r="D751" s="117" t="s">
        <v>1404</v>
      </c>
      <c r="E751" s="33" t="s">
        <v>220</v>
      </c>
      <c r="F751" s="55" t="s">
        <v>271</v>
      </c>
      <c r="G751" s="63"/>
      <c r="H751" s="63"/>
      <c r="I751" s="55">
        <v>3</v>
      </c>
      <c r="J751" s="136">
        <f t="shared" si="96"/>
        <v>3138</v>
      </c>
      <c r="K751" s="126"/>
      <c r="L751" s="127">
        <f t="shared" si="97"/>
        <v>0</v>
      </c>
      <c r="M751" s="128"/>
      <c r="N751" s="136"/>
      <c r="O751" s="126"/>
      <c r="P751" s="136"/>
      <c r="Q751" s="128"/>
      <c r="R751" s="136"/>
      <c r="S751" s="126"/>
      <c r="T751" s="136"/>
      <c r="U751" s="128"/>
      <c r="V751" s="136"/>
      <c r="W751" s="128"/>
      <c r="X751" s="136"/>
      <c r="Y751" s="128"/>
      <c r="Z751" s="136"/>
      <c r="AA751" s="128"/>
      <c r="AB751" s="136"/>
      <c r="AC751" s="128"/>
      <c r="AD751" s="136"/>
      <c r="AE751" s="128"/>
      <c r="AF751" s="136"/>
      <c r="AG751" s="128"/>
      <c r="AH751" s="136"/>
      <c r="AI751" s="128"/>
      <c r="AJ751" s="136"/>
      <c r="AK751" s="128"/>
      <c r="AL751" s="136"/>
      <c r="AM751" s="128"/>
      <c r="AN751" s="136"/>
      <c r="AO751" s="128"/>
      <c r="AP751" s="136"/>
      <c r="AQ751" s="84">
        <f t="shared" si="46"/>
        <v>3</v>
      </c>
      <c r="AR751" s="171">
        <v>1046</v>
      </c>
      <c r="AS751" s="164">
        <f t="shared" si="95"/>
        <v>3138</v>
      </c>
    </row>
    <row r="752" spans="1:48" ht="14.25" hidden="1">
      <c r="A752" s="45">
        <v>724</v>
      </c>
      <c r="B752" s="71"/>
      <c r="C752" s="60" t="s">
        <v>269</v>
      </c>
      <c r="D752" s="117" t="s">
        <v>1404</v>
      </c>
      <c r="E752" s="33" t="s">
        <v>219</v>
      </c>
      <c r="F752" s="55" t="s">
        <v>271</v>
      </c>
      <c r="G752" s="34"/>
      <c r="H752" s="34"/>
      <c r="I752" s="55">
        <v>10</v>
      </c>
      <c r="J752" s="136">
        <f t="shared" si="96"/>
        <v>96320</v>
      </c>
      <c r="K752" s="126"/>
      <c r="L752" s="127">
        <f t="shared" si="97"/>
        <v>0</v>
      </c>
      <c r="M752" s="128"/>
      <c r="N752" s="136"/>
      <c r="O752" s="126"/>
      <c r="P752" s="136"/>
      <c r="Q752" s="128"/>
      <c r="R752" s="136"/>
      <c r="S752" s="126"/>
      <c r="T752" s="136"/>
      <c r="U752" s="128"/>
      <c r="V752" s="136"/>
      <c r="W752" s="128"/>
      <c r="X752" s="136"/>
      <c r="Y752" s="128"/>
      <c r="Z752" s="136"/>
      <c r="AA752" s="128"/>
      <c r="AB752" s="136"/>
      <c r="AC752" s="128"/>
      <c r="AD752" s="136"/>
      <c r="AE752" s="128"/>
      <c r="AF752" s="136"/>
      <c r="AG752" s="128"/>
      <c r="AH752" s="136"/>
      <c r="AI752" s="128"/>
      <c r="AJ752" s="136"/>
      <c r="AK752" s="128"/>
      <c r="AL752" s="136"/>
      <c r="AM752" s="128"/>
      <c r="AN752" s="136"/>
      <c r="AO752" s="128"/>
      <c r="AP752" s="136"/>
      <c r="AQ752" s="84">
        <f t="shared" si="46"/>
        <v>10</v>
      </c>
      <c r="AR752" s="171">
        <v>9632</v>
      </c>
      <c r="AS752" s="164">
        <f t="shared" si="95"/>
        <v>96320</v>
      </c>
    </row>
    <row r="753" spans="1:45" ht="14.25" hidden="1">
      <c r="A753" s="45">
        <v>725</v>
      </c>
      <c r="B753" s="110"/>
      <c r="C753" s="60" t="s">
        <v>269</v>
      </c>
      <c r="D753" s="117" t="s">
        <v>1404</v>
      </c>
      <c r="E753" s="33" t="s">
        <v>218</v>
      </c>
      <c r="F753" s="55" t="s">
        <v>271</v>
      </c>
      <c r="G753" s="34"/>
      <c r="H753" s="34"/>
      <c r="I753" s="55">
        <v>10</v>
      </c>
      <c r="J753" s="136">
        <f t="shared" si="96"/>
        <v>42360</v>
      </c>
      <c r="K753" s="126"/>
      <c r="L753" s="127">
        <f t="shared" si="97"/>
        <v>0</v>
      </c>
      <c r="M753" s="128"/>
      <c r="N753" s="136"/>
      <c r="O753" s="126"/>
      <c r="P753" s="136"/>
      <c r="Q753" s="128"/>
      <c r="R753" s="136"/>
      <c r="S753" s="126"/>
      <c r="T753" s="136"/>
      <c r="U753" s="128"/>
      <c r="V753" s="136"/>
      <c r="W753" s="128"/>
      <c r="X753" s="136"/>
      <c r="Y753" s="128"/>
      <c r="Z753" s="136"/>
      <c r="AA753" s="128"/>
      <c r="AB753" s="136"/>
      <c r="AC753" s="128"/>
      <c r="AD753" s="136"/>
      <c r="AE753" s="128"/>
      <c r="AF753" s="136"/>
      <c r="AG753" s="128"/>
      <c r="AH753" s="136"/>
      <c r="AI753" s="128"/>
      <c r="AJ753" s="136"/>
      <c r="AK753" s="128"/>
      <c r="AL753" s="136"/>
      <c r="AM753" s="128"/>
      <c r="AN753" s="136"/>
      <c r="AO753" s="128"/>
      <c r="AP753" s="136"/>
      <c r="AQ753" s="84">
        <f t="shared" si="46"/>
        <v>10</v>
      </c>
      <c r="AR753" s="171">
        <v>4236</v>
      </c>
      <c r="AS753" s="164">
        <f t="shared" si="95"/>
        <v>42360</v>
      </c>
    </row>
    <row r="754" spans="1:45" ht="14.25" hidden="1">
      <c r="A754" s="45">
        <v>726</v>
      </c>
      <c r="B754" s="195"/>
      <c r="C754" s="60" t="s">
        <v>269</v>
      </c>
      <c r="D754" s="117" t="s">
        <v>1404</v>
      </c>
      <c r="E754" s="33" t="s">
        <v>217</v>
      </c>
      <c r="F754" s="55" t="s">
        <v>271</v>
      </c>
      <c r="G754" s="37"/>
      <c r="H754" s="37"/>
      <c r="I754" s="55">
        <v>300</v>
      </c>
      <c r="J754" s="136">
        <f t="shared" si="96"/>
        <v>442800</v>
      </c>
      <c r="K754" s="126"/>
      <c r="L754" s="127">
        <f t="shared" si="97"/>
        <v>0</v>
      </c>
      <c r="M754" s="128"/>
      <c r="N754" s="136"/>
      <c r="O754" s="126"/>
      <c r="P754" s="136"/>
      <c r="Q754" s="128"/>
      <c r="R754" s="136"/>
      <c r="S754" s="126"/>
      <c r="T754" s="136"/>
      <c r="U754" s="128"/>
      <c r="V754" s="136"/>
      <c r="W754" s="128"/>
      <c r="X754" s="136"/>
      <c r="Y754" s="128"/>
      <c r="Z754" s="136"/>
      <c r="AA754" s="128"/>
      <c r="AB754" s="136"/>
      <c r="AC754" s="128"/>
      <c r="AD754" s="136"/>
      <c r="AE754" s="128"/>
      <c r="AF754" s="136"/>
      <c r="AG754" s="128"/>
      <c r="AH754" s="136"/>
      <c r="AI754" s="128"/>
      <c r="AJ754" s="136"/>
      <c r="AK754" s="128"/>
      <c r="AL754" s="136"/>
      <c r="AM754" s="128"/>
      <c r="AN754" s="136"/>
      <c r="AO754" s="128"/>
      <c r="AP754" s="136"/>
      <c r="AQ754" s="84">
        <f t="shared" ref="AQ754:AQ817" si="98">+AO754+AM754+AK754+AI754+AG754+AE754+AC754+AA754+Y754+W754+U754+S754+Q754+O754+M754+K754+I754+G754</f>
        <v>300</v>
      </c>
      <c r="AR754" s="171">
        <v>1476</v>
      </c>
      <c r="AS754" s="164">
        <f t="shared" si="95"/>
        <v>442800</v>
      </c>
    </row>
    <row r="755" spans="1:45" ht="14.25" hidden="1">
      <c r="A755" s="45">
        <v>727</v>
      </c>
      <c r="B755" s="110"/>
      <c r="C755" s="60" t="s">
        <v>269</v>
      </c>
      <c r="D755" s="117" t="s">
        <v>1404</v>
      </c>
      <c r="E755" s="33" t="s">
        <v>216</v>
      </c>
      <c r="F755" s="55" t="s">
        <v>270</v>
      </c>
      <c r="G755" s="33"/>
      <c r="H755" s="33"/>
      <c r="I755" s="55">
        <v>30</v>
      </c>
      <c r="J755" s="136">
        <f t="shared" si="96"/>
        <v>264450</v>
      </c>
      <c r="K755" s="126"/>
      <c r="L755" s="127">
        <f t="shared" si="97"/>
        <v>0</v>
      </c>
      <c r="M755" s="128"/>
      <c r="N755" s="136"/>
      <c r="O755" s="126"/>
      <c r="P755" s="136"/>
      <c r="Q755" s="128"/>
      <c r="R755" s="136"/>
      <c r="S755" s="126"/>
      <c r="T755" s="136"/>
      <c r="U755" s="128"/>
      <c r="V755" s="136"/>
      <c r="W755" s="128"/>
      <c r="X755" s="136"/>
      <c r="Y755" s="128"/>
      <c r="Z755" s="136"/>
      <c r="AA755" s="128"/>
      <c r="AB755" s="136"/>
      <c r="AC755" s="128"/>
      <c r="AD755" s="136"/>
      <c r="AE755" s="128"/>
      <c r="AF755" s="136"/>
      <c r="AG755" s="128"/>
      <c r="AH755" s="136"/>
      <c r="AI755" s="128"/>
      <c r="AJ755" s="136"/>
      <c r="AK755" s="128"/>
      <c r="AL755" s="136"/>
      <c r="AM755" s="128"/>
      <c r="AN755" s="136"/>
      <c r="AO755" s="128"/>
      <c r="AP755" s="136"/>
      <c r="AQ755" s="84">
        <f t="shared" si="98"/>
        <v>30</v>
      </c>
      <c r="AR755" s="171">
        <v>8815</v>
      </c>
      <c r="AS755" s="164">
        <f t="shared" si="95"/>
        <v>264450</v>
      </c>
    </row>
    <row r="756" spans="1:45" ht="14.25" hidden="1">
      <c r="A756" s="45">
        <v>728</v>
      </c>
      <c r="B756" s="110"/>
      <c r="C756" s="60" t="s">
        <v>269</v>
      </c>
      <c r="D756" s="117" t="s">
        <v>1404</v>
      </c>
      <c r="E756" s="33" t="s">
        <v>215</v>
      </c>
      <c r="F756" s="55" t="s">
        <v>270</v>
      </c>
      <c r="G756" s="33"/>
      <c r="H756" s="33"/>
      <c r="I756" s="55">
        <v>50</v>
      </c>
      <c r="J756" s="136">
        <f t="shared" si="96"/>
        <v>254550</v>
      </c>
      <c r="K756" s="126"/>
      <c r="L756" s="127">
        <f t="shared" si="97"/>
        <v>0</v>
      </c>
      <c r="M756" s="128"/>
      <c r="N756" s="136"/>
      <c r="O756" s="126"/>
      <c r="P756" s="136"/>
      <c r="Q756" s="128"/>
      <c r="R756" s="136"/>
      <c r="S756" s="126"/>
      <c r="T756" s="136"/>
      <c r="U756" s="128"/>
      <c r="V756" s="136"/>
      <c r="W756" s="128"/>
      <c r="X756" s="136"/>
      <c r="Y756" s="128"/>
      <c r="Z756" s="136"/>
      <c r="AA756" s="128"/>
      <c r="AB756" s="136"/>
      <c r="AC756" s="128"/>
      <c r="AD756" s="136"/>
      <c r="AE756" s="128"/>
      <c r="AF756" s="136"/>
      <c r="AG756" s="128"/>
      <c r="AH756" s="136"/>
      <c r="AI756" s="128"/>
      <c r="AJ756" s="136"/>
      <c r="AK756" s="128"/>
      <c r="AL756" s="136"/>
      <c r="AM756" s="128"/>
      <c r="AN756" s="136"/>
      <c r="AO756" s="128"/>
      <c r="AP756" s="136"/>
      <c r="AQ756" s="84">
        <f t="shared" si="98"/>
        <v>50</v>
      </c>
      <c r="AR756" s="171">
        <v>5091</v>
      </c>
      <c r="AS756" s="164">
        <f t="shared" si="95"/>
        <v>254550</v>
      </c>
    </row>
    <row r="757" spans="1:45" ht="14.25" hidden="1">
      <c r="A757" s="45">
        <v>729</v>
      </c>
      <c r="B757" s="110"/>
      <c r="C757" s="60" t="s">
        <v>269</v>
      </c>
      <c r="D757" s="117" t="s">
        <v>1404</v>
      </c>
      <c r="E757" s="33" t="s">
        <v>214</v>
      </c>
      <c r="F757" s="55" t="s">
        <v>270</v>
      </c>
      <c r="G757" s="33"/>
      <c r="H757" s="33"/>
      <c r="I757" s="55">
        <v>30</v>
      </c>
      <c r="J757" s="136">
        <f t="shared" si="96"/>
        <v>91110</v>
      </c>
      <c r="K757" s="126"/>
      <c r="L757" s="127">
        <f t="shared" si="97"/>
        <v>0</v>
      </c>
      <c r="M757" s="128"/>
      <c r="N757" s="136"/>
      <c r="O757" s="126"/>
      <c r="P757" s="136"/>
      <c r="Q757" s="128"/>
      <c r="R757" s="136"/>
      <c r="S757" s="126"/>
      <c r="T757" s="136"/>
      <c r="U757" s="128"/>
      <c r="V757" s="136"/>
      <c r="W757" s="128"/>
      <c r="X757" s="136"/>
      <c r="Y757" s="128"/>
      <c r="Z757" s="136"/>
      <c r="AA757" s="128"/>
      <c r="AB757" s="136"/>
      <c r="AC757" s="128"/>
      <c r="AD757" s="136"/>
      <c r="AE757" s="128"/>
      <c r="AF757" s="136"/>
      <c r="AG757" s="128"/>
      <c r="AH757" s="136"/>
      <c r="AI757" s="128"/>
      <c r="AJ757" s="136"/>
      <c r="AK757" s="128"/>
      <c r="AL757" s="136"/>
      <c r="AM757" s="128"/>
      <c r="AN757" s="136"/>
      <c r="AO757" s="128"/>
      <c r="AP757" s="136"/>
      <c r="AQ757" s="84">
        <f t="shared" si="98"/>
        <v>30</v>
      </c>
      <c r="AR757" s="171">
        <v>3037</v>
      </c>
      <c r="AS757" s="164">
        <f t="shared" si="95"/>
        <v>91110</v>
      </c>
    </row>
    <row r="758" spans="1:45" ht="14.25" hidden="1">
      <c r="A758" s="45">
        <v>730</v>
      </c>
      <c r="B758" s="37"/>
      <c r="C758" s="60" t="s">
        <v>269</v>
      </c>
      <c r="D758" s="117" t="s">
        <v>1404</v>
      </c>
      <c r="E758" s="54" t="s">
        <v>213</v>
      </c>
      <c r="F758" s="139" t="s">
        <v>270</v>
      </c>
      <c r="G758" s="33"/>
      <c r="H758" s="33"/>
      <c r="I758" s="139">
        <v>30</v>
      </c>
      <c r="J758" s="136">
        <f t="shared" si="96"/>
        <v>48990</v>
      </c>
      <c r="K758" s="126"/>
      <c r="L758" s="127">
        <f t="shared" si="97"/>
        <v>0</v>
      </c>
      <c r="M758" s="128"/>
      <c r="N758" s="136"/>
      <c r="O758" s="126"/>
      <c r="P758" s="136"/>
      <c r="Q758" s="128"/>
      <c r="R758" s="136"/>
      <c r="S758" s="126"/>
      <c r="T758" s="136"/>
      <c r="U758" s="128"/>
      <c r="V758" s="136"/>
      <c r="W758" s="128"/>
      <c r="X758" s="136"/>
      <c r="Y758" s="128"/>
      <c r="Z758" s="136"/>
      <c r="AA758" s="128"/>
      <c r="AB758" s="136"/>
      <c r="AC758" s="128"/>
      <c r="AD758" s="136"/>
      <c r="AE758" s="128"/>
      <c r="AF758" s="136"/>
      <c r="AG758" s="128"/>
      <c r="AH758" s="136"/>
      <c r="AI758" s="128"/>
      <c r="AJ758" s="136"/>
      <c r="AK758" s="128"/>
      <c r="AL758" s="136"/>
      <c r="AM758" s="128"/>
      <c r="AN758" s="136"/>
      <c r="AO758" s="128"/>
      <c r="AP758" s="136"/>
      <c r="AQ758" s="84">
        <f t="shared" si="98"/>
        <v>30</v>
      </c>
      <c r="AR758" s="171">
        <v>1633</v>
      </c>
      <c r="AS758" s="164">
        <f t="shared" si="95"/>
        <v>48990</v>
      </c>
    </row>
    <row r="759" spans="1:45" ht="14.25" hidden="1">
      <c r="A759" s="45">
        <v>731</v>
      </c>
      <c r="B759" s="37"/>
      <c r="C759" s="60" t="s">
        <v>269</v>
      </c>
      <c r="D759" s="117" t="s">
        <v>1404</v>
      </c>
      <c r="E759" s="54" t="s">
        <v>212</v>
      </c>
      <c r="F759" s="139" t="s">
        <v>270</v>
      </c>
      <c r="G759" s="37"/>
      <c r="H759" s="37"/>
      <c r="I759" s="139">
        <v>9</v>
      </c>
      <c r="J759" s="136">
        <f t="shared" si="96"/>
        <v>76779</v>
      </c>
      <c r="K759" s="126"/>
      <c r="L759" s="127">
        <f t="shared" si="97"/>
        <v>0</v>
      </c>
      <c r="M759" s="128"/>
      <c r="N759" s="136"/>
      <c r="O759" s="126"/>
      <c r="P759" s="136"/>
      <c r="Q759" s="128"/>
      <c r="R759" s="136"/>
      <c r="S759" s="126"/>
      <c r="T759" s="136"/>
      <c r="U759" s="128"/>
      <c r="V759" s="136"/>
      <c r="W759" s="128"/>
      <c r="X759" s="136"/>
      <c r="Y759" s="128"/>
      <c r="Z759" s="136"/>
      <c r="AA759" s="128"/>
      <c r="AB759" s="136"/>
      <c r="AC759" s="128"/>
      <c r="AD759" s="136"/>
      <c r="AE759" s="128"/>
      <c r="AF759" s="136"/>
      <c r="AG759" s="128"/>
      <c r="AH759" s="136"/>
      <c r="AI759" s="128"/>
      <c r="AJ759" s="136"/>
      <c r="AK759" s="128"/>
      <c r="AL759" s="136"/>
      <c r="AM759" s="128"/>
      <c r="AN759" s="136"/>
      <c r="AO759" s="128"/>
      <c r="AP759" s="136"/>
      <c r="AQ759" s="84">
        <f t="shared" si="98"/>
        <v>9</v>
      </c>
      <c r="AR759" s="171">
        <v>8531</v>
      </c>
      <c r="AS759" s="164">
        <f t="shared" si="95"/>
        <v>76779</v>
      </c>
    </row>
    <row r="760" spans="1:45" ht="14.25" hidden="1">
      <c r="A760" s="45">
        <v>732</v>
      </c>
      <c r="B760" s="37"/>
      <c r="C760" s="60" t="s">
        <v>269</v>
      </c>
      <c r="D760" s="117" t="s">
        <v>1404</v>
      </c>
      <c r="E760" s="54" t="s">
        <v>275</v>
      </c>
      <c r="F760" s="139" t="s">
        <v>270</v>
      </c>
      <c r="G760" s="33"/>
      <c r="H760" s="33"/>
      <c r="I760" s="139">
        <v>40</v>
      </c>
      <c r="J760" s="136">
        <f t="shared" si="96"/>
        <v>5590320</v>
      </c>
      <c r="K760" s="126"/>
      <c r="L760" s="127">
        <f t="shared" si="97"/>
        <v>0</v>
      </c>
      <c r="M760" s="128"/>
      <c r="N760" s="136"/>
      <c r="O760" s="126"/>
      <c r="P760" s="136"/>
      <c r="Q760" s="128"/>
      <c r="R760" s="136"/>
      <c r="S760" s="126"/>
      <c r="T760" s="136"/>
      <c r="U760" s="128"/>
      <c r="V760" s="136"/>
      <c r="W760" s="128"/>
      <c r="X760" s="136"/>
      <c r="Y760" s="128"/>
      <c r="Z760" s="136"/>
      <c r="AA760" s="128"/>
      <c r="AB760" s="136"/>
      <c r="AC760" s="128"/>
      <c r="AD760" s="136"/>
      <c r="AE760" s="128"/>
      <c r="AF760" s="136"/>
      <c r="AG760" s="128"/>
      <c r="AH760" s="136"/>
      <c r="AI760" s="128"/>
      <c r="AJ760" s="136"/>
      <c r="AK760" s="128"/>
      <c r="AL760" s="136"/>
      <c r="AM760" s="128"/>
      <c r="AN760" s="136"/>
      <c r="AO760" s="128"/>
      <c r="AP760" s="136"/>
      <c r="AQ760" s="84">
        <f t="shared" si="98"/>
        <v>40</v>
      </c>
      <c r="AR760" s="171">
        <v>139758</v>
      </c>
      <c r="AS760" s="164">
        <f t="shared" si="95"/>
        <v>5590320</v>
      </c>
    </row>
    <row r="761" spans="1:45" ht="14.25" hidden="1">
      <c r="A761" s="45">
        <v>733</v>
      </c>
      <c r="B761" s="37"/>
      <c r="C761" s="60" t="s">
        <v>269</v>
      </c>
      <c r="D761" s="117" t="s">
        <v>1404</v>
      </c>
      <c r="E761" s="54" t="s">
        <v>282</v>
      </c>
      <c r="F761" s="139" t="s">
        <v>270</v>
      </c>
      <c r="G761" s="37"/>
      <c r="H761" s="37"/>
      <c r="I761" s="139">
        <v>8</v>
      </c>
      <c r="J761" s="136">
        <f t="shared" si="96"/>
        <v>100720</v>
      </c>
      <c r="K761" s="126"/>
      <c r="L761" s="127">
        <f t="shared" si="97"/>
        <v>0</v>
      </c>
      <c r="M761" s="128"/>
      <c r="N761" s="136"/>
      <c r="O761" s="126"/>
      <c r="P761" s="136"/>
      <c r="Q761" s="128"/>
      <c r="R761" s="136"/>
      <c r="S761" s="126"/>
      <c r="T761" s="136"/>
      <c r="U761" s="128"/>
      <c r="V761" s="136"/>
      <c r="W761" s="128"/>
      <c r="X761" s="136"/>
      <c r="Y761" s="128"/>
      <c r="Z761" s="136"/>
      <c r="AA761" s="128"/>
      <c r="AB761" s="136"/>
      <c r="AC761" s="128"/>
      <c r="AD761" s="136"/>
      <c r="AE761" s="128"/>
      <c r="AF761" s="136"/>
      <c r="AG761" s="128"/>
      <c r="AH761" s="136"/>
      <c r="AI761" s="128"/>
      <c r="AJ761" s="136"/>
      <c r="AK761" s="128"/>
      <c r="AL761" s="136"/>
      <c r="AM761" s="128"/>
      <c r="AN761" s="136"/>
      <c r="AO761" s="128"/>
      <c r="AP761" s="136"/>
      <c r="AQ761" s="84">
        <f t="shared" si="98"/>
        <v>8</v>
      </c>
      <c r="AR761" s="171">
        <v>12590</v>
      </c>
      <c r="AS761" s="164">
        <f t="shared" si="95"/>
        <v>100720</v>
      </c>
    </row>
    <row r="762" spans="1:45" ht="14.25" hidden="1">
      <c r="A762" s="45">
        <v>734</v>
      </c>
      <c r="B762" s="37"/>
      <c r="C762" s="60" t="s">
        <v>269</v>
      </c>
      <c r="D762" s="117" t="s">
        <v>1404</v>
      </c>
      <c r="E762" s="54" t="s">
        <v>281</v>
      </c>
      <c r="F762" s="139" t="s">
        <v>270</v>
      </c>
      <c r="G762" s="37"/>
      <c r="H762" s="37"/>
      <c r="I762" s="139">
        <v>40</v>
      </c>
      <c r="J762" s="136">
        <f t="shared" si="96"/>
        <v>247200</v>
      </c>
      <c r="K762" s="126"/>
      <c r="L762" s="127">
        <f t="shared" si="97"/>
        <v>0</v>
      </c>
      <c r="M762" s="128"/>
      <c r="N762" s="136"/>
      <c r="O762" s="126"/>
      <c r="P762" s="136"/>
      <c r="Q762" s="128"/>
      <c r="R762" s="136"/>
      <c r="S762" s="126"/>
      <c r="T762" s="136"/>
      <c r="U762" s="128"/>
      <c r="V762" s="136"/>
      <c r="W762" s="128"/>
      <c r="X762" s="136"/>
      <c r="Y762" s="128"/>
      <c r="Z762" s="136"/>
      <c r="AA762" s="128"/>
      <c r="AB762" s="136"/>
      <c r="AC762" s="128"/>
      <c r="AD762" s="136"/>
      <c r="AE762" s="128"/>
      <c r="AF762" s="136"/>
      <c r="AG762" s="128"/>
      <c r="AH762" s="136"/>
      <c r="AI762" s="128"/>
      <c r="AJ762" s="136"/>
      <c r="AK762" s="128"/>
      <c r="AL762" s="136"/>
      <c r="AM762" s="128"/>
      <c r="AN762" s="136"/>
      <c r="AO762" s="128"/>
      <c r="AP762" s="136"/>
      <c r="AQ762" s="84">
        <f t="shared" si="98"/>
        <v>40</v>
      </c>
      <c r="AR762" s="171">
        <v>6180</v>
      </c>
      <c r="AS762" s="164">
        <f t="shared" si="95"/>
        <v>247200</v>
      </c>
    </row>
    <row r="763" spans="1:45" ht="14.25" hidden="1">
      <c r="A763" s="45">
        <v>735</v>
      </c>
      <c r="B763" s="195"/>
      <c r="C763" s="60" t="s">
        <v>269</v>
      </c>
      <c r="D763" s="117" t="s">
        <v>1404</v>
      </c>
      <c r="E763" s="54" t="s">
        <v>280</v>
      </c>
      <c r="F763" s="139" t="s">
        <v>270</v>
      </c>
      <c r="G763" s="33"/>
      <c r="H763" s="33"/>
      <c r="I763" s="139">
        <v>30</v>
      </c>
      <c r="J763" s="136">
        <f t="shared" ref="J763:J767" si="99">+I763*AR763</f>
        <v>292710</v>
      </c>
      <c r="K763" s="126"/>
      <c r="L763" s="127">
        <f t="shared" ref="L763:L768" si="100">+K763*AR763</f>
        <v>0</v>
      </c>
      <c r="M763" s="128"/>
      <c r="N763" s="136"/>
      <c r="O763" s="126"/>
      <c r="P763" s="136"/>
      <c r="Q763" s="128"/>
      <c r="R763" s="136"/>
      <c r="S763" s="126"/>
      <c r="T763" s="136"/>
      <c r="U763" s="128"/>
      <c r="V763" s="136"/>
      <c r="W763" s="128"/>
      <c r="X763" s="136"/>
      <c r="Y763" s="128"/>
      <c r="Z763" s="136"/>
      <c r="AA763" s="128"/>
      <c r="AB763" s="136"/>
      <c r="AC763" s="128"/>
      <c r="AD763" s="136"/>
      <c r="AE763" s="128"/>
      <c r="AF763" s="136"/>
      <c r="AG763" s="128"/>
      <c r="AH763" s="136"/>
      <c r="AI763" s="128"/>
      <c r="AJ763" s="136"/>
      <c r="AK763" s="128"/>
      <c r="AL763" s="136"/>
      <c r="AM763" s="128"/>
      <c r="AN763" s="136"/>
      <c r="AO763" s="128"/>
      <c r="AP763" s="136"/>
      <c r="AQ763" s="84">
        <f t="shared" si="98"/>
        <v>30</v>
      </c>
      <c r="AR763" s="171">
        <v>9757</v>
      </c>
      <c r="AS763" s="164">
        <f t="shared" si="95"/>
        <v>292710</v>
      </c>
    </row>
    <row r="764" spans="1:45" ht="14.25" hidden="1">
      <c r="A764" s="45">
        <v>736</v>
      </c>
      <c r="B764" s="37"/>
      <c r="C764" s="60" t="s">
        <v>269</v>
      </c>
      <c r="D764" s="117" t="s">
        <v>1404</v>
      </c>
      <c r="E764" s="54" t="s">
        <v>279</v>
      </c>
      <c r="F764" s="139" t="s">
        <v>270</v>
      </c>
      <c r="G764" s="37"/>
      <c r="H764" s="37"/>
      <c r="I764" s="139">
        <v>20</v>
      </c>
      <c r="J764" s="136">
        <f t="shared" si="99"/>
        <v>94920</v>
      </c>
      <c r="K764" s="126"/>
      <c r="L764" s="127">
        <f t="shared" si="100"/>
        <v>0</v>
      </c>
      <c r="M764" s="128"/>
      <c r="N764" s="136"/>
      <c r="O764" s="126"/>
      <c r="P764" s="136"/>
      <c r="Q764" s="128"/>
      <c r="R764" s="136"/>
      <c r="S764" s="126"/>
      <c r="T764" s="136"/>
      <c r="U764" s="128"/>
      <c r="V764" s="136"/>
      <c r="W764" s="128"/>
      <c r="X764" s="136"/>
      <c r="Y764" s="128"/>
      <c r="Z764" s="136"/>
      <c r="AA764" s="128"/>
      <c r="AB764" s="136"/>
      <c r="AC764" s="128"/>
      <c r="AD764" s="136"/>
      <c r="AE764" s="128"/>
      <c r="AF764" s="136"/>
      <c r="AG764" s="128"/>
      <c r="AH764" s="136"/>
      <c r="AI764" s="128"/>
      <c r="AJ764" s="136"/>
      <c r="AK764" s="128"/>
      <c r="AL764" s="136"/>
      <c r="AM764" s="128"/>
      <c r="AN764" s="136"/>
      <c r="AO764" s="128"/>
      <c r="AP764" s="136"/>
      <c r="AQ764" s="84">
        <f t="shared" si="98"/>
        <v>20</v>
      </c>
      <c r="AR764" s="171">
        <v>4746</v>
      </c>
      <c r="AS764" s="164">
        <f t="shared" si="95"/>
        <v>94920</v>
      </c>
    </row>
    <row r="765" spans="1:45" ht="14.25" hidden="1">
      <c r="A765" s="45">
        <v>737</v>
      </c>
      <c r="B765" s="37"/>
      <c r="C765" s="60" t="s">
        <v>269</v>
      </c>
      <c r="D765" s="117" t="s">
        <v>1404</v>
      </c>
      <c r="E765" s="54" t="s">
        <v>278</v>
      </c>
      <c r="F765" s="139" t="s">
        <v>270</v>
      </c>
      <c r="G765" s="37"/>
      <c r="H765" s="37"/>
      <c r="I765" s="139">
        <v>10</v>
      </c>
      <c r="J765" s="136">
        <f t="shared" si="99"/>
        <v>38680</v>
      </c>
      <c r="K765" s="126"/>
      <c r="L765" s="127">
        <f t="shared" si="100"/>
        <v>0</v>
      </c>
      <c r="M765" s="128"/>
      <c r="N765" s="136"/>
      <c r="O765" s="126"/>
      <c r="P765" s="136"/>
      <c r="Q765" s="128"/>
      <c r="R765" s="136"/>
      <c r="S765" s="126"/>
      <c r="T765" s="136"/>
      <c r="U765" s="128"/>
      <c r="V765" s="136"/>
      <c r="W765" s="128"/>
      <c r="X765" s="136"/>
      <c r="Y765" s="128"/>
      <c r="Z765" s="136"/>
      <c r="AA765" s="128"/>
      <c r="AB765" s="136"/>
      <c r="AC765" s="128"/>
      <c r="AD765" s="136"/>
      <c r="AE765" s="128"/>
      <c r="AF765" s="136"/>
      <c r="AG765" s="128"/>
      <c r="AH765" s="136"/>
      <c r="AI765" s="128"/>
      <c r="AJ765" s="136"/>
      <c r="AK765" s="128"/>
      <c r="AL765" s="136"/>
      <c r="AM765" s="128"/>
      <c r="AN765" s="136"/>
      <c r="AO765" s="128"/>
      <c r="AP765" s="136"/>
      <c r="AQ765" s="84">
        <f t="shared" si="98"/>
        <v>10</v>
      </c>
      <c r="AR765" s="171">
        <v>3868</v>
      </c>
      <c r="AS765" s="164">
        <f t="shared" si="95"/>
        <v>38680</v>
      </c>
    </row>
    <row r="766" spans="1:45" ht="14.25" hidden="1">
      <c r="A766" s="45">
        <v>738</v>
      </c>
      <c r="B766" s="37"/>
      <c r="C766" s="60" t="s">
        <v>269</v>
      </c>
      <c r="D766" s="117" t="s">
        <v>1404</v>
      </c>
      <c r="E766" s="54" t="s">
        <v>277</v>
      </c>
      <c r="F766" s="139" t="s">
        <v>270</v>
      </c>
      <c r="G766" s="37"/>
      <c r="H766" s="37"/>
      <c r="I766" s="139">
        <v>20</v>
      </c>
      <c r="J766" s="136">
        <f t="shared" si="99"/>
        <v>105320</v>
      </c>
      <c r="K766" s="126"/>
      <c r="L766" s="127">
        <f t="shared" si="100"/>
        <v>0</v>
      </c>
      <c r="M766" s="128"/>
      <c r="N766" s="136"/>
      <c r="O766" s="126"/>
      <c r="P766" s="136"/>
      <c r="Q766" s="128"/>
      <c r="R766" s="136"/>
      <c r="S766" s="126"/>
      <c r="T766" s="136"/>
      <c r="U766" s="128"/>
      <c r="V766" s="136"/>
      <c r="W766" s="128"/>
      <c r="X766" s="136"/>
      <c r="Y766" s="128"/>
      <c r="Z766" s="136"/>
      <c r="AA766" s="128"/>
      <c r="AB766" s="136"/>
      <c r="AC766" s="128"/>
      <c r="AD766" s="136"/>
      <c r="AE766" s="128"/>
      <c r="AF766" s="136"/>
      <c r="AG766" s="128"/>
      <c r="AH766" s="136"/>
      <c r="AI766" s="128"/>
      <c r="AJ766" s="136"/>
      <c r="AK766" s="128"/>
      <c r="AL766" s="136"/>
      <c r="AM766" s="128"/>
      <c r="AN766" s="136"/>
      <c r="AO766" s="128"/>
      <c r="AP766" s="136"/>
      <c r="AQ766" s="84">
        <f t="shared" si="98"/>
        <v>20</v>
      </c>
      <c r="AR766" s="171">
        <v>5266</v>
      </c>
      <c r="AS766" s="164">
        <f t="shared" si="95"/>
        <v>105320</v>
      </c>
    </row>
    <row r="767" spans="1:45" ht="14.25" hidden="1">
      <c r="A767" s="45">
        <v>739</v>
      </c>
      <c r="B767" s="195"/>
      <c r="C767" s="60" t="s">
        <v>269</v>
      </c>
      <c r="D767" s="117" t="s">
        <v>1404</v>
      </c>
      <c r="E767" s="54" t="s">
        <v>276</v>
      </c>
      <c r="F767" s="139" t="s">
        <v>270</v>
      </c>
      <c r="G767" s="37"/>
      <c r="H767" s="37"/>
      <c r="I767" s="139">
        <v>500</v>
      </c>
      <c r="J767" s="136">
        <f t="shared" si="99"/>
        <v>427000</v>
      </c>
      <c r="K767" s="126"/>
      <c r="L767" s="127">
        <f t="shared" si="100"/>
        <v>0</v>
      </c>
      <c r="M767" s="128"/>
      <c r="N767" s="136"/>
      <c r="O767" s="126"/>
      <c r="P767" s="136"/>
      <c r="Q767" s="128"/>
      <c r="R767" s="136"/>
      <c r="S767" s="126"/>
      <c r="T767" s="136"/>
      <c r="U767" s="128"/>
      <c r="V767" s="136"/>
      <c r="W767" s="128"/>
      <c r="X767" s="136"/>
      <c r="Y767" s="128"/>
      <c r="Z767" s="136"/>
      <c r="AA767" s="128"/>
      <c r="AB767" s="136"/>
      <c r="AC767" s="128"/>
      <c r="AD767" s="136"/>
      <c r="AE767" s="128"/>
      <c r="AF767" s="136"/>
      <c r="AG767" s="128"/>
      <c r="AH767" s="136"/>
      <c r="AI767" s="128"/>
      <c r="AJ767" s="136"/>
      <c r="AK767" s="128"/>
      <c r="AL767" s="136"/>
      <c r="AM767" s="128"/>
      <c r="AN767" s="136"/>
      <c r="AO767" s="128"/>
      <c r="AP767" s="136"/>
      <c r="AQ767" s="84">
        <f t="shared" si="98"/>
        <v>500</v>
      </c>
      <c r="AR767" s="171">
        <v>854</v>
      </c>
      <c r="AS767" s="164">
        <f t="shared" si="95"/>
        <v>427000</v>
      </c>
    </row>
    <row r="768" spans="1:45" ht="28.5" hidden="1">
      <c r="A768" s="45">
        <v>740</v>
      </c>
      <c r="B768" s="37"/>
      <c r="C768" s="60" t="s">
        <v>269</v>
      </c>
      <c r="D768" s="117" t="s">
        <v>1404</v>
      </c>
      <c r="E768" s="37" t="s">
        <v>285</v>
      </c>
      <c r="F768" s="53" t="s">
        <v>288</v>
      </c>
      <c r="G768" s="61"/>
      <c r="H768" s="61"/>
      <c r="I768" s="64">
        <v>144</v>
      </c>
      <c r="J768" s="136">
        <f>+I768*AR768</f>
        <v>30143232</v>
      </c>
      <c r="K768" s="126"/>
      <c r="L768" s="127">
        <f t="shared" si="100"/>
        <v>0</v>
      </c>
      <c r="M768" s="128"/>
      <c r="N768" s="136"/>
      <c r="O768" s="126"/>
      <c r="P768" s="136"/>
      <c r="Q768" s="128"/>
      <c r="R768" s="136"/>
      <c r="S768" s="126"/>
      <c r="T768" s="136"/>
      <c r="U768" s="128"/>
      <c r="V768" s="136"/>
      <c r="W768" s="128"/>
      <c r="X768" s="136"/>
      <c r="Y768" s="128"/>
      <c r="Z768" s="136"/>
      <c r="AA768" s="128"/>
      <c r="AB768" s="136"/>
      <c r="AC768" s="128"/>
      <c r="AD768" s="136"/>
      <c r="AE768" s="128"/>
      <c r="AF768" s="136"/>
      <c r="AG768" s="128"/>
      <c r="AH768" s="136"/>
      <c r="AI768" s="128"/>
      <c r="AJ768" s="136"/>
      <c r="AK768" s="128"/>
      <c r="AL768" s="136"/>
      <c r="AM768" s="128"/>
      <c r="AN768" s="136"/>
      <c r="AO768" s="128"/>
      <c r="AP768" s="136"/>
      <c r="AQ768" s="84">
        <f t="shared" si="98"/>
        <v>144</v>
      </c>
      <c r="AR768" s="167">
        <v>209328</v>
      </c>
      <c r="AS768" s="164">
        <f t="shared" ref="AS768:AS830" si="101">+AQ768*AR768</f>
        <v>30143232</v>
      </c>
    </row>
    <row r="769" spans="1:50" ht="28.5" hidden="1">
      <c r="A769" s="45">
        <v>741</v>
      </c>
      <c r="B769" s="37"/>
      <c r="C769" s="60" t="s">
        <v>269</v>
      </c>
      <c r="D769" s="117" t="s">
        <v>1404</v>
      </c>
      <c r="E769" s="37" t="s">
        <v>284</v>
      </c>
      <c r="F769" s="53" t="s">
        <v>288</v>
      </c>
      <c r="G769" s="61"/>
      <c r="H769" s="61"/>
      <c r="I769" s="64">
        <v>45</v>
      </c>
      <c r="J769" s="136">
        <f t="shared" ref="J769:J772" si="102">+I769*AR769</f>
        <v>4539420</v>
      </c>
      <c r="K769" s="126"/>
      <c r="L769" s="127"/>
      <c r="M769" s="128"/>
      <c r="N769" s="136"/>
      <c r="O769" s="126"/>
      <c r="P769" s="136"/>
      <c r="Q769" s="128"/>
      <c r="R769" s="136"/>
      <c r="S769" s="126"/>
      <c r="T769" s="136"/>
      <c r="U769" s="128"/>
      <c r="V769" s="136"/>
      <c r="W769" s="128"/>
      <c r="X769" s="136"/>
      <c r="Y769" s="128"/>
      <c r="Z769" s="136"/>
      <c r="AA769" s="128"/>
      <c r="AB769" s="136"/>
      <c r="AC769" s="128"/>
      <c r="AD769" s="136"/>
      <c r="AE769" s="128"/>
      <c r="AF769" s="136"/>
      <c r="AG769" s="128"/>
      <c r="AH769" s="136"/>
      <c r="AI769" s="128"/>
      <c r="AJ769" s="136"/>
      <c r="AK769" s="128"/>
      <c r="AL769" s="136"/>
      <c r="AM769" s="128"/>
      <c r="AN769" s="136"/>
      <c r="AO769" s="128"/>
      <c r="AP769" s="136"/>
      <c r="AQ769" s="84">
        <f t="shared" si="98"/>
        <v>45</v>
      </c>
      <c r="AR769" s="167">
        <v>100876</v>
      </c>
      <c r="AS769" s="164">
        <f t="shared" si="101"/>
        <v>4539420</v>
      </c>
      <c r="AT769" s="363"/>
      <c r="AU769" s="364" t="s">
        <v>366</v>
      </c>
      <c r="AV769" s="364" t="s">
        <v>366</v>
      </c>
      <c r="AW769" s="364" t="s">
        <v>366</v>
      </c>
      <c r="AX769" s="364" t="s">
        <v>366</v>
      </c>
    </row>
    <row r="770" spans="1:50" ht="28.5" hidden="1">
      <c r="A770" s="45">
        <v>742</v>
      </c>
      <c r="B770" s="195"/>
      <c r="C770" s="60" t="s">
        <v>269</v>
      </c>
      <c r="D770" s="117" t="s">
        <v>1404</v>
      </c>
      <c r="E770" s="196" t="s">
        <v>283</v>
      </c>
      <c r="F770" s="53" t="s">
        <v>288</v>
      </c>
      <c r="G770" s="61"/>
      <c r="H770" s="61"/>
      <c r="I770" s="64">
        <v>18</v>
      </c>
      <c r="J770" s="136">
        <f t="shared" si="102"/>
        <v>23563782</v>
      </c>
      <c r="K770" s="126"/>
      <c r="L770" s="127"/>
      <c r="M770" s="128"/>
      <c r="N770" s="136"/>
      <c r="O770" s="126"/>
      <c r="P770" s="136"/>
      <c r="Q770" s="128"/>
      <c r="R770" s="136"/>
      <c r="S770" s="126"/>
      <c r="T770" s="136"/>
      <c r="U770" s="128"/>
      <c r="V770" s="136"/>
      <c r="W770" s="128"/>
      <c r="X770" s="136"/>
      <c r="Y770" s="128"/>
      <c r="Z770" s="136"/>
      <c r="AA770" s="128"/>
      <c r="AB770" s="136"/>
      <c r="AC770" s="128"/>
      <c r="AD770" s="136"/>
      <c r="AE770" s="128"/>
      <c r="AF770" s="136"/>
      <c r="AG770" s="128"/>
      <c r="AH770" s="136"/>
      <c r="AI770" s="128"/>
      <c r="AJ770" s="136"/>
      <c r="AK770" s="128"/>
      <c r="AL770" s="136"/>
      <c r="AM770" s="128"/>
      <c r="AN770" s="136"/>
      <c r="AO770" s="128"/>
      <c r="AP770" s="136"/>
      <c r="AQ770" s="84">
        <f t="shared" si="98"/>
        <v>18</v>
      </c>
      <c r="AR770" s="167">
        <v>1309099</v>
      </c>
      <c r="AS770" s="164">
        <f t="shared" si="101"/>
        <v>23563782</v>
      </c>
      <c r="AT770" s="360"/>
      <c r="AU770" s="361"/>
      <c r="AV770" s="361"/>
      <c r="AW770" s="361"/>
      <c r="AX770" s="362"/>
    </row>
    <row r="771" spans="1:50" ht="28.5" hidden="1">
      <c r="A771" s="45">
        <v>743</v>
      </c>
      <c r="B771" s="195"/>
      <c r="C771" s="60" t="s">
        <v>269</v>
      </c>
      <c r="D771" s="117" t="s">
        <v>1404</v>
      </c>
      <c r="E771" s="196" t="s">
        <v>286</v>
      </c>
      <c r="F771" s="53" t="s">
        <v>290</v>
      </c>
      <c r="G771" s="61"/>
      <c r="H771" s="61"/>
      <c r="I771" s="64">
        <v>150</v>
      </c>
      <c r="J771" s="136">
        <f t="shared" si="102"/>
        <v>251100</v>
      </c>
      <c r="K771" s="126"/>
      <c r="L771" s="127"/>
      <c r="M771" s="128"/>
      <c r="N771" s="136"/>
      <c r="O771" s="126"/>
      <c r="P771" s="136"/>
      <c r="Q771" s="128"/>
      <c r="R771" s="136"/>
      <c r="S771" s="126"/>
      <c r="T771" s="136"/>
      <c r="U771" s="128"/>
      <c r="V771" s="136"/>
      <c r="W771" s="128"/>
      <c r="X771" s="136"/>
      <c r="Y771" s="128"/>
      <c r="Z771" s="136"/>
      <c r="AA771" s="128"/>
      <c r="AB771" s="136"/>
      <c r="AC771" s="128"/>
      <c r="AD771" s="136"/>
      <c r="AE771" s="128"/>
      <c r="AF771" s="136"/>
      <c r="AG771" s="128"/>
      <c r="AH771" s="136"/>
      <c r="AI771" s="128"/>
      <c r="AJ771" s="136"/>
      <c r="AK771" s="128"/>
      <c r="AL771" s="136"/>
      <c r="AM771" s="128"/>
      <c r="AN771" s="136"/>
      <c r="AO771" s="128"/>
      <c r="AP771" s="136"/>
      <c r="AQ771" s="84">
        <f t="shared" si="98"/>
        <v>150</v>
      </c>
      <c r="AR771" s="167">
        <v>1674</v>
      </c>
      <c r="AS771" s="164">
        <f t="shared" si="101"/>
        <v>251100</v>
      </c>
      <c r="AT771" s="363"/>
      <c r="AU771" s="364" t="s">
        <v>367</v>
      </c>
      <c r="AV771" s="364" t="s">
        <v>367</v>
      </c>
      <c r="AW771" s="364" t="s">
        <v>367</v>
      </c>
      <c r="AX771" s="364" t="s">
        <v>367</v>
      </c>
    </row>
    <row r="772" spans="1:50" ht="28.5" hidden="1">
      <c r="A772" s="45">
        <v>744</v>
      </c>
      <c r="B772" s="199"/>
      <c r="C772" s="60" t="s">
        <v>269</v>
      </c>
      <c r="D772" s="117" t="s">
        <v>1404</v>
      </c>
      <c r="E772" s="60" t="s">
        <v>287</v>
      </c>
      <c r="F772" s="54" t="s">
        <v>289</v>
      </c>
      <c r="G772" s="61"/>
      <c r="H772" s="61"/>
      <c r="I772" s="64">
        <v>150</v>
      </c>
      <c r="J772" s="136">
        <f t="shared" si="102"/>
        <v>35772300</v>
      </c>
      <c r="K772" s="126"/>
      <c r="L772" s="127"/>
      <c r="M772" s="128"/>
      <c r="N772" s="136"/>
      <c r="O772" s="126"/>
      <c r="P772" s="136"/>
      <c r="Q772" s="128"/>
      <c r="R772" s="136"/>
      <c r="S772" s="126"/>
      <c r="T772" s="136"/>
      <c r="U772" s="128"/>
      <c r="V772" s="136"/>
      <c r="W772" s="128"/>
      <c r="X772" s="136"/>
      <c r="Y772" s="128"/>
      <c r="Z772" s="136"/>
      <c r="AA772" s="128"/>
      <c r="AB772" s="136"/>
      <c r="AC772" s="128"/>
      <c r="AD772" s="136"/>
      <c r="AE772" s="128"/>
      <c r="AF772" s="136"/>
      <c r="AG772" s="128"/>
      <c r="AH772" s="136"/>
      <c r="AI772" s="128"/>
      <c r="AJ772" s="136"/>
      <c r="AK772" s="128"/>
      <c r="AL772" s="136"/>
      <c r="AM772" s="128"/>
      <c r="AN772" s="136"/>
      <c r="AO772" s="128"/>
      <c r="AP772" s="136"/>
      <c r="AQ772" s="84">
        <f t="shared" si="98"/>
        <v>150</v>
      </c>
      <c r="AR772" s="167">
        <v>238482</v>
      </c>
      <c r="AS772" s="164">
        <f t="shared" si="101"/>
        <v>35772300</v>
      </c>
      <c r="AT772" s="373"/>
      <c r="AU772" s="374" t="s">
        <v>368</v>
      </c>
      <c r="AV772" s="374" t="s">
        <v>368</v>
      </c>
      <c r="AW772" s="374" t="s">
        <v>368</v>
      </c>
      <c r="AX772" s="374" t="s">
        <v>368</v>
      </c>
    </row>
    <row r="773" spans="1:50" ht="14.25" hidden="1">
      <c r="A773" s="45">
        <v>745</v>
      </c>
      <c r="B773" s="199"/>
      <c r="C773" s="60" t="s">
        <v>269</v>
      </c>
      <c r="D773" s="117" t="s">
        <v>1404</v>
      </c>
      <c r="E773" s="60" t="s">
        <v>117</v>
      </c>
      <c r="F773" s="140" t="s">
        <v>14</v>
      </c>
      <c r="G773" s="61"/>
      <c r="H773" s="61"/>
      <c r="I773" s="64"/>
      <c r="J773" s="136"/>
      <c r="K773" s="141">
        <v>72</v>
      </c>
      <c r="L773" s="127">
        <f>+K773*AR773</f>
        <v>2570040</v>
      </c>
      <c r="M773" s="128"/>
      <c r="N773" s="136"/>
      <c r="O773" s="126"/>
      <c r="P773" s="136"/>
      <c r="Q773" s="128"/>
      <c r="R773" s="136"/>
      <c r="S773" s="126"/>
      <c r="T773" s="136"/>
      <c r="U773" s="128"/>
      <c r="V773" s="136"/>
      <c r="W773" s="128"/>
      <c r="X773" s="136"/>
      <c r="Y773" s="128"/>
      <c r="Z773" s="136"/>
      <c r="AA773" s="128"/>
      <c r="AB773" s="136"/>
      <c r="AC773" s="128"/>
      <c r="AD773" s="136"/>
      <c r="AE773" s="128"/>
      <c r="AF773" s="136"/>
      <c r="AG773" s="128"/>
      <c r="AH773" s="136"/>
      <c r="AI773" s="128"/>
      <c r="AJ773" s="136"/>
      <c r="AK773" s="128"/>
      <c r="AL773" s="136"/>
      <c r="AM773" s="128"/>
      <c r="AN773" s="136"/>
      <c r="AO773" s="128"/>
      <c r="AP773" s="136"/>
      <c r="AQ773" s="84">
        <f t="shared" si="98"/>
        <v>72</v>
      </c>
      <c r="AR773" s="142">
        <v>35695</v>
      </c>
      <c r="AS773" s="164">
        <f t="shared" si="101"/>
        <v>2570040</v>
      </c>
      <c r="AT773" s="370"/>
      <c r="AU773" s="371"/>
      <c r="AV773" s="371"/>
      <c r="AW773" s="371"/>
      <c r="AX773" s="372"/>
    </row>
    <row r="774" spans="1:50" ht="14.25" hidden="1">
      <c r="A774" s="45">
        <v>746</v>
      </c>
      <c r="B774" s="199"/>
      <c r="C774" s="60" t="s">
        <v>269</v>
      </c>
      <c r="D774" s="117" t="s">
        <v>1404</v>
      </c>
      <c r="E774" s="60" t="s">
        <v>118</v>
      </c>
      <c r="F774" s="140" t="s">
        <v>12</v>
      </c>
      <c r="G774" s="61"/>
      <c r="H774" s="61"/>
      <c r="I774" s="64"/>
      <c r="J774" s="136"/>
      <c r="K774" s="141">
        <v>24</v>
      </c>
      <c r="L774" s="127">
        <f t="shared" ref="L774:L810" si="103">+K774*AR774</f>
        <v>842160</v>
      </c>
      <c r="M774" s="128"/>
      <c r="N774" s="136"/>
      <c r="O774" s="126"/>
      <c r="P774" s="136"/>
      <c r="Q774" s="128"/>
      <c r="R774" s="136"/>
      <c r="S774" s="126"/>
      <c r="T774" s="136"/>
      <c r="U774" s="128"/>
      <c r="V774" s="136"/>
      <c r="W774" s="128"/>
      <c r="X774" s="136"/>
      <c r="Y774" s="128"/>
      <c r="Z774" s="136"/>
      <c r="AA774" s="128"/>
      <c r="AB774" s="136"/>
      <c r="AC774" s="128"/>
      <c r="AD774" s="136"/>
      <c r="AE774" s="128"/>
      <c r="AF774" s="136"/>
      <c r="AG774" s="128"/>
      <c r="AH774" s="136"/>
      <c r="AI774" s="128"/>
      <c r="AJ774" s="136"/>
      <c r="AK774" s="128"/>
      <c r="AL774" s="136"/>
      <c r="AM774" s="128"/>
      <c r="AN774" s="136"/>
      <c r="AO774" s="128"/>
      <c r="AP774" s="136"/>
      <c r="AQ774" s="84">
        <f t="shared" si="98"/>
        <v>24</v>
      </c>
      <c r="AR774" s="142">
        <v>35090</v>
      </c>
      <c r="AS774" s="164">
        <f t="shared" si="101"/>
        <v>842160</v>
      </c>
      <c r="AT774" s="370"/>
      <c r="AU774" s="371"/>
      <c r="AV774" s="371"/>
      <c r="AW774" s="371"/>
      <c r="AX774" s="372"/>
    </row>
    <row r="775" spans="1:50" ht="14.25" hidden="1">
      <c r="A775" s="45">
        <v>747</v>
      </c>
      <c r="B775" s="199"/>
      <c r="C775" s="60" t="s">
        <v>269</v>
      </c>
      <c r="D775" s="117" t="s">
        <v>1404</v>
      </c>
      <c r="E775" s="60" t="s">
        <v>119</v>
      </c>
      <c r="F775" s="140" t="s">
        <v>14</v>
      </c>
      <c r="G775" s="61"/>
      <c r="H775" s="61"/>
      <c r="I775" s="64"/>
      <c r="J775" s="136"/>
      <c r="K775" s="141">
        <v>1500</v>
      </c>
      <c r="L775" s="127">
        <f t="shared" si="103"/>
        <v>998250</v>
      </c>
      <c r="M775" s="128"/>
      <c r="N775" s="136"/>
      <c r="O775" s="126"/>
      <c r="P775" s="136"/>
      <c r="Q775" s="128"/>
      <c r="R775" s="136"/>
      <c r="S775" s="126"/>
      <c r="T775" s="136"/>
      <c r="U775" s="128"/>
      <c r="V775" s="136"/>
      <c r="W775" s="128"/>
      <c r="X775" s="136"/>
      <c r="Y775" s="128"/>
      <c r="Z775" s="136"/>
      <c r="AA775" s="128"/>
      <c r="AB775" s="136"/>
      <c r="AC775" s="128"/>
      <c r="AD775" s="136"/>
      <c r="AE775" s="128"/>
      <c r="AF775" s="136"/>
      <c r="AG775" s="128"/>
      <c r="AH775" s="136"/>
      <c r="AI775" s="128"/>
      <c r="AJ775" s="136"/>
      <c r="AK775" s="128"/>
      <c r="AL775" s="136"/>
      <c r="AM775" s="128"/>
      <c r="AN775" s="136"/>
      <c r="AO775" s="128"/>
      <c r="AP775" s="136"/>
      <c r="AQ775" s="84">
        <f t="shared" si="98"/>
        <v>1500</v>
      </c>
      <c r="AR775" s="142">
        <v>665.5</v>
      </c>
      <c r="AS775" s="164">
        <f t="shared" si="101"/>
        <v>998250</v>
      </c>
      <c r="AT775" s="370"/>
      <c r="AU775" s="371"/>
      <c r="AV775" s="371"/>
      <c r="AW775" s="371"/>
      <c r="AX775" s="372"/>
    </row>
    <row r="776" spans="1:50" ht="14.25" hidden="1">
      <c r="A776" s="45">
        <v>748</v>
      </c>
      <c r="B776" s="199"/>
      <c r="C776" s="60" t="s">
        <v>269</v>
      </c>
      <c r="D776" s="117" t="s">
        <v>1404</v>
      </c>
      <c r="E776" s="60" t="s">
        <v>120</v>
      </c>
      <c r="F776" s="140" t="s">
        <v>14</v>
      </c>
      <c r="G776" s="61"/>
      <c r="H776" s="61"/>
      <c r="I776" s="64"/>
      <c r="J776" s="136"/>
      <c r="K776" s="141">
        <v>900</v>
      </c>
      <c r="L776" s="127">
        <f t="shared" si="103"/>
        <v>784080</v>
      </c>
      <c r="M776" s="128"/>
      <c r="N776" s="127"/>
      <c r="O776" s="126"/>
      <c r="P776" s="127"/>
      <c r="Q776" s="128"/>
      <c r="R776" s="127"/>
      <c r="S776" s="126"/>
      <c r="T776" s="127"/>
      <c r="U776" s="128"/>
      <c r="V776" s="127"/>
      <c r="W776" s="128"/>
      <c r="X776" s="127"/>
      <c r="Y776" s="128"/>
      <c r="Z776" s="127"/>
      <c r="AA776" s="128"/>
      <c r="AB776" s="127"/>
      <c r="AC776" s="128"/>
      <c r="AD776" s="127"/>
      <c r="AE776" s="128"/>
      <c r="AF776" s="127"/>
      <c r="AG776" s="128"/>
      <c r="AH776" s="127"/>
      <c r="AI776" s="128"/>
      <c r="AJ776" s="127"/>
      <c r="AK776" s="128"/>
      <c r="AL776" s="127"/>
      <c r="AM776" s="128"/>
      <c r="AN776" s="127"/>
      <c r="AO776" s="128"/>
      <c r="AP776" s="127"/>
      <c r="AQ776" s="84">
        <f t="shared" si="98"/>
        <v>900</v>
      </c>
      <c r="AR776" s="142">
        <v>871.2</v>
      </c>
      <c r="AS776" s="164">
        <f t="shared" si="101"/>
        <v>784080</v>
      </c>
      <c r="AT776" s="388"/>
      <c r="AU776" s="389" t="s">
        <v>369</v>
      </c>
      <c r="AV776" s="389" t="s">
        <v>369</v>
      </c>
      <c r="AW776" s="389" t="s">
        <v>369</v>
      </c>
      <c r="AX776" s="389" t="s">
        <v>369</v>
      </c>
    </row>
    <row r="777" spans="1:50" ht="14.25" hidden="1">
      <c r="A777" s="45">
        <v>749</v>
      </c>
      <c r="B777" s="199"/>
      <c r="C777" s="60" t="s">
        <v>269</v>
      </c>
      <c r="D777" s="117" t="s">
        <v>1404</v>
      </c>
      <c r="E777" s="60" t="s">
        <v>121</v>
      </c>
      <c r="F777" s="140" t="s">
        <v>12</v>
      </c>
      <c r="G777" s="61"/>
      <c r="H777" s="61"/>
      <c r="I777" s="64"/>
      <c r="J777" s="136"/>
      <c r="K777" s="141">
        <v>900</v>
      </c>
      <c r="L777" s="127">
        <f t="shared" si="103"/>
        <v>858600</v>
      </c>
      <c r="M777" s="128"/>
      <c r="N777" s="136"/>
      <c r="O777" s="126"/>
      <c r="P777" s="136"/>
      <c r="Q777" s="128"/>
      <c r="R777" s="136"/>
      <c r="S777" s="126"/>
      <c r="T777" s="136"/>
      <c r="U777" s="128"/>
      <c r="V777" s="136"/>
      <c r="W777" s="128"/>
      <c r="X777" s="136"/>
      <c r="Y777" s="128"/>
      <c r="Z777" s="136"/>
      <c r="AA777" s="128"/>
      <c r="AB777" s="136"/>
      <c r="AC777" s="128"/>
      <c r="AD777" s="136"/>
      <c r="AE777" s="128"/>
      <c r="AF777" s="136"/>
      <c r="AG777" s="128"/>
      <c r="AH777" s="136"/>
      <c r="AI777" s="128"/>
      <c r="AJ777" s="136"/>
      <c r="AK777" s="128"/>
      <c r="AL777" s="136"/>
      <c r="AM777" s="128"/>
      <c r="AN777" s="136"/>
      <c r="AO777" s="128"/>
      <c r="AP777" s="136"/>
      <c r="AQ777" s="84">
        <f t="shared" si="98"/>
        <v>900</v>
      </c>
      <c r="AR777" s="142">
        <v>954</v>
      </c>
      <c r="AS777" s="164">
        <f t="shared" si="101"/>
        <v>858600</v>
      </c>
      <c r="AT777" s="373"/>
      <c r="AU777" s="374" t="s">
        <v>370</v>
      </c>
      <c r="AV777" s="374" t="s">
        <v>370</v>
      </c>
      <c r="AW777" s="374" t="s">
        <v>370</v>
      </c>
      <c r="AX777" s="374" t="s">
        <v>370</v>
      </c>
    </row>
    <row r="778" spans="1:50" ht="14.25" hidden="1">
      <c r="A778" s="45">
        <v>750</v>
      </c>
      <c r="B778" s="199"/>
      <c r="C778" s="60" t="s">
        <v>269</v>
      </c>
      <c r="D778" s="117" t="s">
        <v>1404</v>
      </c>
      <c r="E778" s="60" t="s">
        <v>122</v>
      </c>
      <c r="F778" s="140" t="s">
        <v>12</v>
      </c>
      <c r="G778" s="61"/>
      <c r="H778" s="61"/>
      <c r="I778" s="64"/>
      <c r="J778" s="136"/>
      <c r="K778" s="141">
        <v>9</v>
      </c>
      <c r="L778" s="127">
        <f t="shared" si="103"/>
        <v>262440</v>
      </c>
      <c r="M778" s="128"/>
      <c r="N778" s="136"/>
      <c r="O778" s="126"/>
      <c r="P778" s="136"/>
      <c r="Q778" s="128"/>
      <c r="R778" s="136"/>
      <c r="S778" s="126"/>
      <c r="T778" s="136"/>
      <c r="U778" s="128"/>
      <c r="V778" s="136"/>
      <c r="W778" s="128"/>
      <c r="X778" s="136"/>
      <c r="Y778" s="128"/>
      <c r="Z778" s="136"/>
      <c r="AA778" s="128"/>
      <c r="AB778" s="136"/>
      <c r="AC778" s="128"/>
      <c r="AD778" s="136"/>
      <c r="AE778" s="128"/>
      <c r="AF778" s="136"/>
      <c r="AG778" s="128"/>
      <c r="AH778" s="136"/>
      <c r="AI778" s="128"/>
      <c r="AJ778" s="136"/>
      <c r="AK778" s="128"/>
      <c r="AL778" s="136"/>
      <c r="AM778" s="128"/>
      <c r="AN778" s="136"/>
      <c r="AO778" s="128"/>
      <c r="AP778" s="136"/>
      <c r="AQ778" s="84">
        <f t="shared" si="98"/>
        <v>9</v>
      </c>
      <c r="AR778" s="142">
        <v>29160</v>
      </c>
      <c r="AS778" s="164">
        <f t="shared" si="101"/>
        <v>262440</v>
      </c>
      <c r="AT778" s="390"/>
      <c r="AU778" s="391"/>
      <c r="AV778" s="391"/>
      <c r="AW778" s="391"/>
      <c r="AX778" s="392"/>
    </row>
    <row r="779" spans="1:50" ht="14.25" hidden="1">
      <c r="A779" s="45">
        <v>751</v>
      </c>
      <c r="B779" s="199"/>
      <c r="C779" s="60" t="s">
        <v>269</v>
      </c>
      <c r="D779" s="117" t="s">
        <v>1404</v>
      </c>
      <c r="E779" s="60" t="s">
        <v>123</v>
      </c>
      <c r="F779" s="140" t="s">
        <v>12</v>
      </c>
      <c r="G779" s="61"/>
      <c r="H779" s="61"/>
      <c r="I779" s="64"/>
      <c r="J779" s="136"/>
      <c r="K779" s="141">
        <v>9</v>
      </c>
      <c r="L779" s="127">
        <f t="shared" si="103"/>
        <v>202500</v>
      </c>
      <c r="M779" s="128"/>
      <c r="N779" s="136"/>
      <c r="O779" s="126"/>
      <c r="P779" s="136"/>
      <c r="Q779" s="128"/>
      <c r="R779" s="136"/>
      <c r="S779" s="126"/>
      <c r="T779" s="136"/>
      <c r="U779" s="128"/>
      <c r="V779" s="136"/>
      <c r="W779" s="128"/>
      <c r="X779" s="136"/>
      <c r="Y779" s="128"/>
      <c r="Z779" s="136"/>
      <c r="AA779" s="128"/>
      <c r="AB779" s="136"/>
      <c r="AC779" s="128"/>
      <c r="AD779" s="136"/>
      <c r="AE779" s="128"/>
      <c r="AF779" s="136"/>
      <c r="AG779" s="128"/>
      <c r="AH779" s="136"/>
      <c r="AI779" s="128"/>
      <c r="AJ779" s="136"/>
      <c r="AK779" s="128"/>
      <c r="AL779" s="136"/>
      <c r="AM779" s="128"/>
      <c r="AN779" s="136"/>
      <c r="AO779" s="128"/>
      <c r="AP779" s="136"/>
      <c r="AQ779" s="84">
        <f t="shared" si="98"/>
        <v>9</v>
      </c>
      <c r="AR779" s="142">
        <v>22500</v>
      </c>
      <c r="AS779" s="164">
        <f t="shared" si="101"/>
        <v>202500</v>
      </c>
      <c r="AT779" s="373"/>
      <c r="AU779" s="374" t="s">
        <v>371</v>
      </c>
      <c r="AV779" s="374" t="s">
        <v>371</v>
      </c>
      <c r="AW779" s="374" t="s">
        <v>371</v>
      </c>
      <c r="AX779" s="374" t="s">
        <v>371</v>
      </c>
    </row>
    <row r="780" spans="1:50" ht="14.25" hidden="1">
      <c r="A780" s="45">
        <v>752</v>
      </c>
      <c r="B780" s="199"/>
      <c r="C780" s="60" t="s">
        <v>269</v>
      </c>
      <c r="D780" s="117" t="s">
        <v>1404</v>
      </c>
      <c r="E780" s="60" t="s">
        <v>124</v>
      </c>
      <c r="F780" s="140" t="s">
        <v>14</v>
      </c>
      <c r="G780" s="61"/>
      <c r="H780" s="61"/>
      <c r="I780" s="64"/>
      <c r="J780" s="136"/>
      <c r="K780" s="141">
        <v>9</v>
      </c>
      <c r="L780" s="127">
        <f>+K780*AR780</f>
        <v>148500</v>
      </c>
      <c r="M780" s="128"/>
      <c r="N780" s="136"/>
      <c r="O780" s="126"/>
      <c r="P780" s="136"/>
      <c r="Q780" s="128"/>
      <c r="R780" s="136"/>
      <c r="S780" s="126"/>
      <c r="T780" s="136"/>
      <c r="U780" s="128"/>
      <c r="V780" s="136"/>
      <c r="W780" s="128"/>
      <c r="X780" s="136"/>
      <c r="Y780" s="128"/>
      <c r="Z780" s="136"/>
      <c r="AA780" s="128"/>
      <c r="AB780" s="136"/>
      <c r="AC780" s="128"/>
      <c r="AD780" s="136"/>
      <c r="AE780" s="128"/>
      <c r="AF780" s="136"/>
      <c r="AG780" s="128"/>
      <c r="AH780" s="136"/>
      <c r="AI780" s="128"/>
      <c r="AJ780" s="136"/>
      <c r="AK780" s="128"/>
      <c r="AL780" s="136"/>
      <c r="AM780" s="128"/>
      <c r="AN780" s="136"/>
      <c r="AO780" s="128"/>
      <c r="AP780" s="136"/>
      <c r="AQ780" s="84">
        <f t="shared" si="98"/>
        <v>9</v>
      </c>
      <c r="AR780" s="142">
        <v>16500</v>
      </c>
      <c r="AS780" s="164">
        <f t="shared" si="101"/>
        <v>148500</v>
      </c>
      <c r="AT780" s="349"/>
      <c r="AU780" s="350"/>
      <c r="AV780" s="350"/>
      <c r="AW780" s="350"/>
      <c r="AX780" s="351"/>
    </row>
    <row r="781" spans="1:50" hidden="1" thickBot="1">
      <c r="A781" s="45">
        <v>753</v>
      </c>
      <c r="B781" s="199"/>
      <c r="C781" s="60" t="s">
        <v>269</v>
      </c>
      <c r="D781" s="117" t="s">
        <v>1404</v>
      </c>
      <c r="E781" s="60" t="s">
        <v>125</v>
      </c>
      <c r="F781" s="140" t="s">
        <v>14</v>
      </c>
      <c r="G781" s="61"/>
      <c r="H781" s="61"/>
      <c r="I781" s="64"/>
      <c r="J781" s="136"/>
      <c r="K781" s="141">
        <v>9</v>
      </c>
      <c r="L781" s="127">
        <f t="shared" si="103"/>
        <v>140292</v>
      </c>
      <c r="M781" s="128"/>
      <c r="N781" s="136"/>
      <c r="O781" s="126"/>
      <c r="P781" s="136"/>
      <c r="Q781" s="128"/>
      <c r="R781" s="136"/>
      <c r="S781" s="126"/>
      <c r="T781" s="136"/>
      <c r="U781" s="128"/>
      <c r="V781" s="136"/>
      <c r="W781" s="128"/>
      <c r="X781" s="136"/>
      <c r="Y781" s="128"/>
      <c r="Z781" s="136"/>
      <c r="AA781" s="128"/>
      <c r="AB781" s="136"/>
      <c r="AC781" s="128"/>
      <c r="AD781" s="136"/>
      <c r="AE781" s="128"/>
      <c r="AF781" s="136"/>
      <c r="AG781" s="128"/>
      <c r="AH781" s="136"/>
      <c r="AI781" s="128"/>
      <c r="AJ781" s="136"/>
      <c r="AK781" s="128"/>
      <c r="AL781" s="136"/>
      <c r="AM781" s="128"/>
      <c r="AN781" s="136"/>
      <c r="AO781" s="128"/>
      <c r="AP781" s="136"/>
      <c r="AQ781" s="84">
        <f t="shared" si="98"/>
        <v>9</v>
      </c>
      <c r="AR781" s="142">
        <v>15588</v>
      </c>
      <c r="AS781" s="164">
        <f t="shared" si="101"/>
        <v>140292</v>
      </c>
      <c r="AT781" s="368"/>
      <c r="AU781" s="368"/>
      <c r="AV781" s="368"/>
      <c r="AW781" s="368"/>
      <c r="AX781" s="369"/>
    </row>
    <row r="782" spans="1:50" ht="14.25" hidden="1">
      <c r="A782" s="45">
        <v>754</v>
      </c>
      <c r="B782" s="199"/>
      <c r="C782" s="60" t="s">
        <v>269</v>
      </c>
      <c r="D782" s="117" t="s">
        <v>1404</v>
      </c>
      <c r="E782" s="60" t="s">
        <v>126</v>
      </c>
      <c r="F782" s="140" t="s">
        <v>12</v>
      </c>
      <c r="G782" s="61"/>
      <c r="H782" s="61"/>
      <c r="I782" s="64"/>
      <c r="J782" s="136"/>
      <c r="K782" s="141">
        <v>81</v>
      </c>
      <c r="L782" s="127">
        <f t="shared" si="103"/>
        <v>352350</v>
      </c>
      <c r="M782" s="128"/>
      <c r="N782" s="136"/>
      <c r="O782" s="126"/>
      <c r="P782" s="136"/>
      <c r="Q782" s="128"/>
      <c r="R782" s="136"/>
      <c r="S782" s="126"/>
      <c r="T782" s="136"/>
      <c r="U782" s="128"/>
      <c r="V782" s="136"/>
      <c r="W782" s="128"/>
      <c r="X782" s="136"/>
      <c r="Y782" s="128"/>
      <c r="Z782" s="136"/>
      <c r="AA782" s="128"/>
      <c r="AB782" s="136"/>
      <c r="AC782" s="128"/>
      <c r="AD782" s="136"/>
      <c r="AE782" s="128"/>
      <c r="AF782" s="136"/>
      <c r="AG782" s="128"/>
      <c r="AH782" s="136"/>
      <c r="AI782" s="128"/>
      <c r="AJ782" s="136"/>
      <c r="AK782" s="128"/>
      <c r="AL782" s="136"/>
      <c r="AM782" s="128"/>
      <c r="AN782" s="136"/>
      <c r="AO782" s="128"/>
      <c r="AP782" s="136"/>
      <c r="AQ782" s="84">
        <f t="shared" si="98"/>
        <v>81</v>
      </c>
      <c r="AR782" s="142">
        <v>4350</v>
      </c>
      <c r="AS782" s="164">
        <f t="shared" si="101"/>
        <v>352350</v>
      </c>
      <c r="AT782" s="360"/>
      <c r="AU782" s="361" t="s">
        <v>135</v>
      </c>
      <c r="AV782" s="361" t="s">
        <v>135</v>
      </c>
      <c r="AW782" s="361" t="s">
        <v>135</v>
      </c>
      <c r="AX782" s="362" t="s">
        <v>135</v>
      </c>
    </row>
    <row r="783" spans="1:50" ht="14.25" hidden="1">
      <c r="A783" s="45">
        <v>755</v>
      </c>
      <c r="B783" s="199"/>
      <c r="C783" s="60" t="s">
        <v>269</v>
      </c>
      <c r="D783" s="117" t="s">
        <v>1404</v>
      </c>
      <c r="E783" s="60" t="s">
        <v>127</v>
      </c>
      <c r="F783" s="140" t="s">
        <v>14</v>
      </c>
      <c r="G783" s="61"/>
      <c r="H783" s="61"/>
      <c r="I783" s="64"/>
      <c r="J783" s="136"/>
      <c r="K783" s="141">
        <v>42</v>
      </c>
      <c r="L783" s="127">
        <f t="shared" si="103"/>
        <v>279279</v>
      </c>
      <c r="M783" s="128"/>
      <c r="N783" s="136"/>
      <c r="O783" s="126"/>
      <c r="P783" s="136"/>
      <c r="Q783" s="128"/>
      <c r="R783" s="136"/>
      <c r="S783" s="126"/>
      <c r="T783" s="136"/>
      <c r="U783" s="128"/>
      <c r="V783" s="136"/>
      <c r="W783" s="128"/>
      <c r="X783" s="136"/>
      <c r="Y783" s="128"/>
      <c r="Z783" s="136"/>
      <c r="AA783" s="128"/>
      <c r="AB783" s="136"/>
      <c r="AC783" s="128"/>
      <c r="AD783" s="136"/>
      <c r="AE783" s="128"/>
      <c r="AF783" s="136"/>
      <c r="AG783" s="128"/>
      <c r="AH783" s="136"/>
      <c r="AI783" s="128"/>
      <c r="AJ783" s="136"/>
      <c r="AK783" s="128"/>
      <c r="AL783" s="136"/>
      <c r="AM783" s="128"/>
      <c r="AN783" s="136"/>
      <c r="AO783" s="128"/>
      <c r="AP783" s="136"/>
      <c r="AQ783" s="84">
        <f t="shared" si="98"/>
        <v>42</v>
      </c>
      <c r="AR783" s="142">
        <v>6649.5</v>
      </c>
      <c r="AS783" s="164">
        <f t="shared" si="101"/>
        <v>279279</v>
      </c>
      <c r="AT783" s="360"/>
      <c r="AU783" s="361" t="s">
        <v>136</v>
      </c>
      <c r="AV783" s="361" t="s">
        <v>136</v>
      </c>
      <c r="AW783" s="361" t="s">
        <v>136</v>
      </c>
      <c r="AX783" s="362" t="s">
        <v>136</v>
      </c>
    </row>
    <row r="784" spans="1:50" ht="14.25" hidden="1">
      <c r="A784" s="45">
        <v>756</v>
      </c>
      <c r="B784" s="199"/>
      <c r="C784" s="60" t="s">
        <v>269</v>
      </c>
      <c r="D784" s="117" t="s">
        <v>1404</v>
      </c>
      <c r="E784" s="60" t="s">
        <v>128</v>
      </c>
      <c r="F784" s="140" t="s">
        <v>12</v>
      </c>
      <c r="G784" s="61"/>
      <c r="H784" s="61"/>
      <c r="I784" s="64"/>
      <c r="J784" s="136"/>
      <c r="K784" s="141">
        <v>90</v>
      </c>
      <c r="L784" s="127">
        <f t="shared" si="103"/>
        <v>16650</v>
      </c>
      <c r="M784" s="128"/>
      <c r="N784" s="136"/>
      <c r="O784" s="126"/>
      <c r="P784" s="136"/>
      <c r="Q784" s="128"/>
      <c r="R784" s="136"/>
      <c r="S784" s="126"/>
      <c r="T784" s="136"/>
      <c r="U784" s="128"/>
      <c r="V784" s="136"/>
      <c r="W784" s="128"/>
      <c r="X784" s="136"/>
      <c r="Y784" s="128"/>
      <c r="Z784" s="136"/>
      <c r="AA784" s="128"/>
      <c r="AB784" s="136"/>
      <c r="AC784" s="128"/>
      <c r="AD784" s="136"/>
      <c r="AE784" s="128"/>
      <c r="AF784" s="136"/>
      <c r="AG784" s="128"/>
      <c r="AH784" s="136"/>
      <c r="AI784" s="128"/>
      <c r="AJ784" s="136"/>
      <c r="AK784" s="128"/>
      <c r="AL784" s="136"/>
      <c r="AM784" s="128"/>
      <c r="AN784" s="136"/>
      <c r="AO784" s="128"/>
      <c r="AP784" s="136"/>
      <c r="AQ784" s="84">
        <f t="shared" si="98"/>
        <v>90</v>
      </c>
      <c r="AR784" s="142">
        <v>185</v>
      </c>
      <c r="AS784" s="164">
        <f t="shared" si="101"/>
        <v>16650</v>
      </c>
      <c r="AT784" s="349"/>
      <c r="AU784" s="350" t="s">
        <v>137</v>
      </c>
      <c r="AV784" s="350" t="s">
        <v>137</v>
      </c>
      <c r="AW784" s="350" t="s">
        <v>137</v>
      </c>
      <c r="AX784" s="351" t="s">
        <v>137</v>
      </c>
    </row>
    <row r="785" spans="1:50" ht="14.25" hidden="1">
      <c r="A785" s="45">
        <v>757</v>
      </c>
      <c r="B785" s="199"/>
      <c r="C785" s="60" t="s">
        <v>269</v>
      </c>
      <c r="D785" s="117" t="s">
        <v>1404</v>
      </c>
      <c r="E785" s="60" t="s">
        <v>133</v>
      </c>
      <c r="F785" s="140" t="s">
        <v>134</v>
      </c>
      <c r="G785" s="61"/>
      <c r="H785" s="61"/>
      <c r="I785" s="64"/>
      <c r="J785" s="136"/>
      <c r="K785" s="141">
        <v>48</v>
      </c>
      <c r="L785" s="127">
        <f t="shared" si="103"/>
        <v>1111056</v>
      </c>
      <c r="M785" s="128"/>
      <c r="N785" s="136"/>
      <c r="O785" s="126"/>
      <c r="P785" s="136"/>
      <c r="Q785" s="128"/>
      <c r="R785" s="136"/>
      <c r="S785" s="126"/>
      <c r="T785" s="136"/>
      <c r="U785" s="128"/>
      <c r="V785" s="136"/>
      <c r="W785" s="128"/>
      <c r="X785" s="136"/>
      <c r="Y785" s="128"/>
      <c r="Z785" s="136"/>
      <c r="AA785" s="128"/>
      <c r="AB785" s="136"/>
      <c r="AC785" s="128"/>
      <c r="AD785" s="136"/>
      <c r="AE785" s="128"/>
      <c r="AF785" s="136"/>
      <c r="AG785" s="128"/>
      <c r="AH785" s="136"/>
      <c r="AI785" s="128"/>
      <c r="AJ785" s="136"/>
      <c r="AK785" s="128"/>
      <c r="AL785" s="136"/>
      <c r="AM785" s="128"/>
      <c r="AN785" s="136"/>
      <c r="AO785" s="128"/>
      <c r="AP785" s="136"/>
      <c r="AQ785" s="84">
        <f t="shared" si="98"/>
        <v>48</v>
      </c>
      <c r="AR785" s="106">
        <v>23147</v>
      </c>
      <c r="AS785" s="164">
        <f t="shared" si="101"/>
        <v>1111056</v>
      </c>
      <c r="AT785" s="352"/>
      <c r="AU785" s="353"/>
      <c r="AV785" s="353"/>
      <c r="AW785" s="353"/>
      <c r="AX785" s="354"/>
    </row>
    <row r="786" spans="1:50" ht="14.25" hidden="1">
      <c r="A786" s="45">
        <v>758</v>
      </c>
      <c r="B786" s="199"/>
      <c r="C786" s="60" t="s">
        <v>269</v>
      </c>
      <c r="D786" s="117" t="s">
        <v>1404</v>
      </c>
      <c r="E786" s="60" t="s">
        <v>135</v>
      </c>
      <c r="F786" s="129" t="s">
        <v>12</v>
      </c>
      <c r="G786" s="61"/>
      <c r="H786" s="61"/>
      <c r="I786" s="64"/>
      <c r="J786" s="136"/>
      <c r="K786" s="108">
        <v>12</v>
      </c>
      <c r="L786" s="127">
        <f t="shared" si="103"/>
        <v>135540</v>
      </c>
      <c r="M786" s="128"/>
      <c r="N786" s="136"/>
      <c r="O786" s="126"/>
      <c r="P786" s="136"/>
      <c r="Q786" s="128"/>
      <c r="R786" s="136"/>
      <c r="S786" s="126"/>
      <c r="T786" s="136"/>
      <c r="U786" s="128"/>
      <c r="V786" s="136"/>
      <c r="W786" s="128"/>
      <c r="X786" s="136"/>
      <c r="Y786" s="128"/>
      <c r="Z786" s="136"/>
      <c r="AA786" s="128"/>
      <c r="AB786" s="136"/>
      <c r="AC786" s="128"/>
      <c r="AD786" s="136"/>
      <c r="AE786" s="128"/>
      <c r="AF786" s="136"/>
      <c r="AG786" s="128"/>
      <c r="AH786" s="136"/>
      <c r="AI786" s="128"/>
      <c r="AJ786" s="136"/>
      <c r="AK786" s="128"/>
      <c r="AL786" s="136"/>
      <c r="AM786" s="128"/>
      <c r="AN786" s="136"/>
      <c r="AO786" s="128"/>
      <c r="AP786" s="136"/>
      <c r="AQ786" s="84">
        <f t="shared" si="98"/>
        <v>12</v>
      </c>
      <c r="AR786" s="142">
        <v>11295</v>
      </c>
      <c r="AS786" s="164">
        <f t="shared" si="101"/>
        <v>135540</v>
      </c>
      <c r="AT786" s="352"/>
      <c r="AU786" s="353"/>
      <c r="AV786" s="353"/>
      <c r="AW786" s="353"/>
      <c r="AX786" s="354"/>
    </row>
    <row r="787" spans="1:50" ht="14.25" hidden="1">
      <c r="A787" s="45">
        <v>759</v>
      </c>
      <c r="B787" s="199"/>
      <c r="C787" s="60" t="s">
        <v>269</v>
      </c>
      <c r="D787" s="117" t="s">
        <v>1404</v>
      </c>
      <c r="E787" s="60" t="s">
        <v>136</v>
      </c>
      <c r="F787" s="129" t="s">
        <v>12</v>
      </c>
      <c r="G787" s="61"/>
      <c r="H787" s="61"/>
      <c r="I787" s="64"/>
      <c r="J787" s="136"/>
      <c r="K787" s="108">
        <v>12</v>
      </c>
      <c r="L787" s="127">
        <f t="shared" si="103"/>
        <v>122472</v>
      </c>
      <c r="M787" s="128"/>
      <c r="N787" s="136"/>
      <c r="O787" s="126"/>
      <c r="P787" s="136"/>
      <c r="Q787" s="128"/>
      <c r="R787" s="136"/>
      <c r="S787" s="126"/>
      <c r="T787" s="136"/>
      <c r="U787" s="128"/>
      <c r="V787" s="136"/>
      <c r="W787" s="128"/>
      <c r="X787" s="136"/>
      <c r="Y787" s="128"/>
      <c r="Z787" s="136"/>
      <c r="AA787" s="128"/>
      <c r="AB787" s="136"/>
      <c r="AC787" s="128"/>
      <c r="AD787" s="136"/>
      <c r="AE787" s="128"/>
      <c r="AF787" s="136"/>
      <c r="AG787" s="128"/>
      <c r="AH787" s="136"/>
      <c r="AI787" s="128"/>
      <c r="AJ787" s="136"/>
      <c r="AK787" s="128"/>
      <c r="AL787" s="136"/>
      <c r="AM787" s="128"/>
      <c r="AN787" s="136"/>
      <c r="AO787" s="128"/>
      <c r="AP787" s="136"/>
      <c r="AQ787" s="84">
        <f t="shared" si="98"/>
        <v>12</v>
      </c>
      <c r="AR787" s="142">
        <v>10206</v>
      </c>
      <c r="AS787" s="164">
        <f t="shared" si="101"/>
        <v>122472</v>
      </c>
      <c r="AT787" s="352"/>
      <c r="AU787" s="353"/>
      <c r="AV787" s="353"/>
      <c r="AW787" s="353"/>
      <c r="AX787" s="354"/>
    </row>
    <row r="788" spans="1:50" ht="14.25" hidden="1">
      <c r="A788" s="45">
        <v>760</v>
      </c>
      <c r="B788" s="199"/>
      <c r="C788" s="60" t="s">
        <v>269</v>
      </c>
      <c r="D788" s="117" t="s">
        <v>1404</v>
      </c>
      <c r="E788" s="60" t="s">
        <v>137</v>
      </c>
      <c r="F788" s="129" t="s">
        <v>12</v>
      </c>
      <c r="G788" s="61"/>
      <c r="H788" s="61"/>
      <c r="I788" s="64"/>
      <c r="J788" s="136"/>
      <c r="K788" s="108">
        <v>12</v>
      </c>
      <c r="L788" s="127">
        <f t="shared" si="103"/>
        <v>308964</v>
      </c>
      <c r="M788" s="128"/>
      <c r="N788" s="136"/>
      <c r="O788" s="126"/>
      <c r="P788" s="136"/>
      <c r="Q788" s="128"/>
      <c r="R788" s="136"/>
      <c r="S788" s="126"/>
      <c r="T788" s="136"/>
      <c r="U788" s="128"/>
      <c r="V788" s="136"/>
      <c r="W788" s="128"/>
      <c r="X788" s="136"/>
      <c r="Y788" s="128"/>
      <c r="Z788" s="136"/>
      <c r="AA788" s="128"/>
      <c r="AB788" s="136"/>
      <c r="AC788" s="128"/>
      <c r="AD788" s="136"/>
      <c r="AE788" s="128"/>
      <c r="AF788" s="136"/>
      <c r="AG788" s="128"/>
      <c r="AH788" s="136"/>
      <c r="AI788" s="128"/>
      <c r="AJ788" s="136"/>
      <c r="AK788" s="128"/>
      <c r="AL788" s="136"/>
      <c r="AM788" s="128"/>
      <c r="AN788" s="136"/>
      <c r="AO788" s="128"/>
      <c r="AP788" s="136"/>
      <c r="AQ788" s="84">
        <f t="shared" si="98"/>
        <v>12</v>
      </c>
      <c r="AR788" s="142">
        <v>25747</v>
      </c>
      <c r="AS788" s="164">
        <f t="shared" si="101"/>
        <v>308964</v>
      </c>
      <c r="AT788" s="42"/>
      <c r="AU788" s="15"/>
      <c r="AV788" s="15"/>
      <c r="AW788" s="15"/>
      <c r="AX788" s="16"/>
    </row>
    <row r="789" spans="1:50" ht="14.25" hidden="1">
      <c r="A789" s="45">
        <v>761</v>
      </c>
      <c r="B789" s="199"/>
      <c r="C789" s="60" t="s">
        <v>269</v>
      </c>
      <c r="D789" s="117" t="s">
        <v>1404</v>
      </c>
      <c r="E789" s="60" t="s">
        <v>138</v>
      </c>
      <c r="F789" s="129" t="s">
        <v>17</v>
      </c>
      <c r="G789" s="61"/>
      <c r="H789" s="61"/>
      <c r="I789" s="64"/>
      <c r="J789" s="136"/>
      <c r="K789" s="108">
        <v>3</v>
      </c>
      <c r="L789" s="127">
        <f t="shared" si="103"/>
        <v>151635</v>
      </c>
      <c r="M789" s="128"/>
      <c r="N789" s="136"/>
      <c r="O789" s="126"/>
      <c r="P789" s="136"/>
      <c r="Q789" s="128"/>
      <c r="R789" s="136"/>
      <c r="S789" s="126"/>
      <c r="T789" s="136"/>
      <c r="U789" s="128"/>
      <c r="V789" s="136"/>
      <c r="W789" s="128"/>
      <c r="X789" s="136"/>
      <c r="Y789" s="128"/>
      <c r="Z789" s="136"/>
      <c r="AA789" s="128"/>
      <c r="AB789" s="136"/>
      <c r="AC789" s="128"/>
      <c r="AD789" s="136"/>
      <c r="AE789" s="128"/>
      <c r="AF789" s="136"/>
      <c r="AG789" s="128"/>
      <c r="AH789" s="136"/>
      <c r="AI789" s="128"/>
      <c r="AJ789" s="136"/>
      <c r="AK789" s="128"/>
      <c r="AL789" s="136"/>
      <c r="AM789" s="128"/>
      <c r="AN789" s="136"/>
      <c r="AO789" s="128"/>
      <c r="AP789" s="136"/>
      <c r="AQ789" s="84">
        <f t="shared" si="98"/>
        <v>3</v>
      </c>
      <c r="AR789" s="142">
        <v>50545</v>
      </c>
      <c r="AS789" s="164">
        <f t="shared" si="101"/>
        <v>151635</v>
      </c>
      <c r="AT789" s="42"/>
      <c r="AU789" s="15"/>
      <c r="AV789" s="15"/>
      <c r="AW789" s="15"/>
      <c r="AX789" s="16"/>
    </row>
    <row r="790" spans="1:50" ht="14.25" hidden="1">
      <c r="A790" s="45">
        <v>762</v>
      </c>
      <c r="B790" s="199"/>
      <c r="C790" s="60" t="s">
        <v>269</v>
      </c>
      <c r="D790" s="117" t="s">
        <v>1404</v>
      </c>
      <c r="E790" s="60" t="s">
        <v>139</v>
      </c>
      <c r="F790" s="129" t="s">
        <v>17</v>
      </c>
      <c r="G790" s="61"/>
      <c r="H790" s="61"/>
      <c r="I790" s="64"/>
      <c r="J790" s="136"/>
      <c r="K790" s="108">
        <v>15</v>
      </c>
      <c r="L790" s="127">
        <f t="shared" si="103"/>
        <v>970500</v>
      </c>
      <c r="M790" s="128"/>
      <c r="N790" s="136"/>
      <c r="O790" s="126"/>
      <c r="P790" s="136"/>
      <c r="Q790" s="128"/>
      <c r="R790" s="136"/>
      <c r="S790" s="126"/>
      <c r="T790" s="136"/>
      <c r="U790" s="128"/>
      <c r="V790" s="136"/>
      <c r="W790" s="128"/>
      <c r="X790" s="136"/>
      <c r="Y790" s="128"/>
      <c r="Z790" s="136"/>
      <c r="AA790" s="128"/>
      <c r="AB790" s="136"/>
      <c r="AC790" s="128"/>
      <c r="AD790" s="136"/>
      <c r="AE790" s="128"/>
      <c r="AF790" s="136"/>
      <c r="AG790" s="128"/>
      <c r="AH790" s="136"/>
      <c r="AI790" s="128"/>
      <c r="AJ790" s="136"/>
      <c r="AK790" s="128"/>
      <c r="AL790" s="136"/>
      <c r="AM790" s="128"/>
      <c r="AN790" s="136"/>
      <c r="AO790" s="128"/>
      <c r="AP790" s="136"/>
      <c r="AQ790" s="84">
        <f t="shared" si="98"/>
        <v>15</v>
      </c>
      <c r="AR790" s="142">
        <v>64700</v>
      </c>
      <c r="AS790" s="164">
        <f t="shared" si="101"/>
        <v>970500</v>
      </c>
      <c r="AT790" s="42"/>
      <c r="AU790" s="15"/>
      <c r="AV790" s="15"/>
      <c r="AW790" s="15"/>
      <c r="AX790" s="16"/>
    </row>
    <row r="791" spans="1:50" ht="14.25" hidden="1">
      <c r="A791" s="45">
        <v>763</v>
      </c>
      <c r="B791" s="199"/>
      <c r="C791" s="60" t="s">
        <v>269</v>
      </c>
      <c r="D791" s="117" t="s">
        <v>1404</v>
      </c>
      <c r="E791" s="60" t="s">
        <v>140</v>
      </c>
      <c r="F791" s="129" t="s">
        <v>17</v>
      </c>
      <c r="G791" s="61"/>
      <c r="H791" s="61"/>
      <c r="I791" s="64"/>
      <c r="J791" s="136"/>
      <c r="K791" s="108">
        <v>1</v>
      </c>
      <c r="L791" s="127">
        <f t="shared" si="103"/>
        <v>12540</v>
      </c>
      <c r="M791" s="128"/>
      <c r="N791" s="136"/>
      <c r="O791" s="126"/>
      <c r="P791" s="136"/>
      <c r="Q791" s="128"/>
      <c r="R791" s="136"/>
      <c r="S791" s="126"/>
      <c r="T791" s="136"/>
      <c r="U791" s="128"/>
      <c r="V791" s="136"/>
      <c r="W791" s="128"/>
      <c r="X791" s="136"/>
      <c r="Y791" s="128"/>
      <c r="Z791" s="136"/>
      <c r="AA791" s="128"/>
      <c r="AB791" s="136"/>
      <c r="AC791" s="128"/>
      <c r="AD791" s="136"/>
      <c r="AE791" s="128"/>
      <c r="AF791" s="136"/>
      <c r="AG791" s="128"/>
      <c r="AH791" s="136"/>
      <c r="AI791" s="128"/>
      <c r="AJ791" s="136"/>
      <c r="AK791" s="128"/>
      <c r="AL791" s="136"/>
      <c r="AM791" s="128"/>
      <c r="AN791" s="136"/>
      <c r="AO791" s="128"/>
      <c r="AP791" s="136"/>
      <c r="AQ791" s="84">
        <f t="shared" si="98"/>
        <v>1</v>
      </c>
      <c r="AR791" s="142">
        <v>12540</v>
      </c>
      <c r="AS791" s="164">
        <f t="shared" si="101"/>
        <v>12540</v>
      </c>
      <c r="AT791" s="42"/>
      <c r="AU791" s="15"/>
      <c r="AV791" s="15"/>
      <c r="AW791" s="15"/>
      <c r="AX791" s="16"/>
    </row>
    <row r="792" spans="1:50" ht="14.25" hidden="1">
      <c r="A792" s="45">
        <v>764</v>
      </c>
      <c r="B792" s="199"/>
      <c r="C792" s="60" t="s">
        <v>269</v>
      </c>
      <c r="D792" s="117" t="s">
        <v>1404</v>
      </c>
      <c r="E792" s="60" t="s">
        <v>141</v>
      </c>
      <c r="F792" s="129" t="s">
        <v>17</v>
      </c>
      <c r="G792" s="61"/>
      <c r="H792" s="61"/>
      <c r="I792" s="64"/>
      <c r="J792" s="136"/>
      <c r="K792" s="108">
        <v>1</v>
      </c>
      <c r="L792" s="127">
        <f t="shared" si="103"/>
        <v>17788</v>
      </c>
      <c r="M792" s="128"/>
      <c r="N792" s="136"/>
      <c r="O792" s="126"/>
      <c r="P792" s="136"/>
      <c r="Q792" s="128"/>
      <c r="R792" s="136"/>
      <c r="S792" s="126"/>
      <c r="T792" s="136"/>
      <c r="U792" s="128"/>
      <c r="V792" s="136"/>
      <c r="W792" s="128"/>
      <c r="X792" s="136"/>
      <c r="Y792" s="128"/>
      <c r="Z792" s="136"/>
      <c r="AA792" s="128"/>
      <c r="AB792" s="136"/>
      <c r="AC792" s="128"/>
      <c r="AD792" s="136"/>
      <c r="AE792" s="128"/>
      <c r="AF792" s="136"/>
      <c r="AG792" s="128"/>
      <c r="AH792" s="136"/>
      <c r="AI792" s="128"/>
      <c r="AJ792" s="136"/>
      <c r="AK792" s="128"/>
      <c r="AL792" s="136"/>
      <c r="AM792" s="128"/>
      <c r="AN792" s="136"/>
      <c r="AO792" s="128"/>
      <c r="AP792" s="136"/>
      <c r="AQ792" s="84">
        <f t="shared" si="98"/>
        <v>1</v>
      </c>
      <c r="AR792" s="142">
        <v>17788</v>
      </c>
      <c r="AS792" s="164">
        <f t="shared" si="101"/>
        <v>17788</v>
      </c>
      <c r="AT792" s="42"/>
      <c r="AU792" s="15"/>
      <c r="AV792" s="15"/>
      <c r="AW792" s="15"/>
      <c r="AX792" s="16"/>
    </row>
    <row r="793" spans="1:50" ht="14.25" hidden="1">
      <c r="A793" s="45">
        <v>765</v>
      </c>
      <c r="B793" s="199"/>
      <c r="C793" s="60" t="s">
        <v>269</v>
      </c>
      <c r="D793" s="117" t="s">
        <v>1404</v>
      </c>
      <c r="E793" s="60" t="s">
        <v>142</v>
      </c>
      <c r="F793" s="129" t="s">
        <v>17</v>
      </c>
      <c r="G793" s="61"/>
      <c r="H793" s="61"/>
      <c r="I793" s="64"/>
      <c r="J793" s="136"/>
      <c r="K793" s="108">
        <v>4</v>
      </c>
      <c r="L793" s="127">
        <f t="shared" si="103"/>
        <v>29580</v>
      </c>
      <c r="M793" s="128"/>
      <c r="N793" s="136"/>
      <c r="O793" s="126"/>
      <c r="P793" s="136"/>
      <c r="Q793" s="128"/>
      <c r="R793" s="136"/>
      <c r="S793" s="126"/>
      <c r="T793" s="136"/>
      <c r="U793" s="128"/>
      <c r="V793" s="136"/>
      <c r="W793" s="128"/>
      <c r="X793" s="136"/>
      <c r="Y793" s="128"/>
      <c r="Z793" s="136"/>
      <c r="AA793" s="128"/>
      <c r="AB793" s="136"/>
      <c r="AC793" s="128"/>
      <c r="AD793" s="136"/>
      <c r="AE793" s="128"/>
      <c r="AF793" s="136"/>
      <c r="AG793" s="128"/>
      <c r="AH793" s="136"/>
      <c r="AI793" s="128"/>
      <c r="AJ793" s="136"/>
      <c r="AK793" s="128"/>
      <c r="AL793" s="136"/>
      <c r="AM793" s="128"/>
      <c r="AN793" s="136"/>
      <c r="AO793" s="128"/>
      <c r="AP793" s="136"/>
      <c r="AQ793" s="84">
        <f t="shared" si="98"/>
        <v>4</v>
      </c>
      <c r="AR793" s="142">
        <v>7395</v>
      </c>
      <c r="AS793" s="164">
        <f t="shared" si="101"/>
        <v>29580</v>
      </c>
      <c r="AT793" s="42"/>
      <c r="AU793" s="15"/>
      <c r="AV793" s="15"/>
      <c r="AW793" s="15"/>
      <c r="AX793" s="16"/>
    </row>
    <row r="794" spans="1:50" ht="14.25" hidden="1">
      <c r="A794" s="45">
        <v>766</v>
      </c>
      <c r="B794" s="199"/>
      <c r="C794" s="60" t="s">
        <v>269</v>
      </c>
      <c r="D794" s="117" t="s">
        <v>1404</v>
      </c>
      <c r="E794" s="60" t="s">
        <v>143</v>
      </c>
      <c r="F794" s="129" t="s">
        <v>17</v>
      </c>
      <c r="G794" s="61"/>
      <c r="H794" s="61"/>
      <c r="I794" s="64"/>
      <c r="J794" s="136"/>
      <c r="K794" s="108">
        <v>3</v>
      </c>
      <c r="L794" s="127">
        <f t="shared" si="103"/>
        <v>50940</v>
      </c>
      <c r="M794" s="128"/>
      <c r="N794" s="136"/>
      <c r="O794" s="126"/>
      <c r="P794" s="136"/>
      <c r="Q794" s="128"/>
      <c r="R794" s="136"/>
      <c r="S794" s="126"/>
      <c r="T794" s="136"/>
      <c r="U794" s="128"/>
      <c r="V794" s="136"/>
      <c r="W794" s="128"/>
      <c r="X794" s="136"/>
      <c r="Y794" s="128"/>
      <c r="Z794" s="136"/>
      <c r="AA794" s="128"/>
      <c r="AB794" s="136"/>
      <c r="AC794" s="128"/>
      <c r="AD794" s="136"/>
      <c r="AE794" s="128"/>
      <c r="AF794" s="136"/>
      <c r="AG794" s="128"/>
      <c r="AH794" s="136"/>
      <c r="AI794" s="128"/>
      <c r="AJ794" s="136"/>
      <c r="AK794" s="128"/>
      <c r="AL794" s="136"/>
      <c r="AM794" s="128"/>
      <c r="AN794" s="136"/>
      <c r="AO794" s="128"/>
      <c r="AP794" s="136"/>
      <c r="AQ794" s="84">
        <f t="shared" si="98"/>
        <v>3</v>
      </c>
      <c r="AR794" s="142">
        <v>16980</v>
      </c>
      <c r="AS794" s="164">
        <f t="shared" si="101"/>
        <v>50940</v>
      </c>
      <c r="AT794" s="42"/>
      <c r="AU794" s="15"/>
      <c r="AV794" s="15"/>
      <c r="AW794" s="15"/>
      <c r="AX794" s="16"/>
    </row>
    <row r="795" spans="1:50" ht="14.25" hidden="1">
      <c r="A795" s="45">
        <v>767</v>
      </c>
      <c r="B795" s="199"/>
      <c r="C795" s="60" t="s">
        <v>269</v>
      </c>
      <c r="D795" s="117" t="s">
        <v>1404</v>
      </c>
      <c r="E795" s="60" t="s">
        <v>144</v>
      </c>
      <c r="F795" s="129" t="s">
        <v>17</v>
      </c>
      <c r="G795" s="61"/>
      <c r="H795" s="61"/>
      <c r="I795" s="64"/>
      <c r="J795" s="136"/>
      <c r="K795" s="108">
        <v>14</v>
      </c>
      <c r="L795" s="127">
        <f t="shared" si="103"/>
        <v>116200</v>
      </c>
      <c r="M795" s="128"/>
      <c r="N795" s="136"/>
      <c r="O795" s="126"/>
      <c r="P795" s="136"/>
      <c r="Q795" s="128"/>
      <c r="R795" s="136"/>
      <c r="S795" s="126"/>
      <c r="T795" s="136"/>
      <c r="U795" s="128"/>
      <c r="V795" s="136"/>
      <c r="W795" s="128"/>
      <c r="X795" s="136"/>
      <c r="Y795" s="128"/>
      <c r="Z795" s="136"/>
      <c r="AA795" s="128"/>
      <c r="AB795" s="136"/>
      <c r="AC795" s="128"/>
      <c r="AD795" s="136"/>
      <c r="AE795" s="128"/>
      <c r="AF795" s="136"/>
      <c r="AG795" s="128"/>
      <c r="AH795" s="136"/>
      <c r="AI795" s="128"/>
      <c r="AJ795" s="136"/>
      <c r="AK795" s="128"/>
      <c r="AL795" s="136"/>
      <c r="AM795" s="128"/>
      <c r="AN795" s="136"/>
      <c r="AO795" s="128"/>
      <c r="AP795" s="136"/>
      <c r="AQ795" s="84">
        <f t="shared" si="98"/>
        <v>14</v>
      </c>
      <c r="AR795" s="142">
        <v>8300</v>
      </c>
      <c r="AS795" s="164">
        <f t="shared" si="101"/>
        <v>116200</v>
      </c>
      <c r="AT795" s="43"/>
      <c r="AU795" s="17" t="s">
        <v>148</v>
      </c>
      <c r="AV795" s="17" t="s">
        <v>148</v>
      </c>
      <c r="AW795" s="17" t="s">
        <v>148</v>
      </c>
      <c r="AX795" s="18" t="s">
        <v>148</v>
      </c>
    </row>
    <row r="796" spans="1:50" ht="14.25" hidden="1">
      <c r="A796" s="45">
        <v>768</v>
      </c>
      <c r="B796" s="199"/>
      <c r="C796" s="60" t="s">
        <v>269</v>
      </c>
      <c r="D796" s="117" t="s">
        <v>1404</v>
      </c>
      <c r="E796" s="60" t="s">
        <v>145</v>
      </c>
      <c r="F796" s="129" t="s">
        <v>17</v>
      </c>
      <c r="G796" s="61"/>
      <c r="H796" s="61"/>
      <c r="I796" s="64"/>
      <c r="J796" s="136"/>
      <c r="K796" s="108">
        <v>1</v>
      </c>
      <c r="L796" s="127">
        <f t="shared" si="103"/>
        <v>11685</v>
      </c>
      <c r="M796" s="128"/>
      <c r="N796" s="136"/>
      <c r="O796" s="126"/>
      <c r="P796" s="136"/>
      <c r="Q796" s="128"/>
      <c r="R796" s="136"/>
      <c r="S796" s="126"/>
      <c r="T796" s="136"/>
      <c r="U796" s="128"/>
      <c r="V796" s="136"/>
      <c r="W796" s="128"/>
      <c r="X796" s="136"/>
      <c r="Y796" s="128"/>
      <c r="Z796" s="136"/>
      <c r="AA796" s="128"/>
      <c r="AB796" s="136"/>
      <c r="AC796" s="128"/>
      <c r="AD796" s="136"/>
      <c r="AE796" s="128"/>
      <c r="AF796" s="136"/>
      <c r="AG796" s="128"/>
      <c r="AH796" s="136"/>
      <c r="AI796" s="128"/>
      <c r="AJ796" s="136"/>
      <c r="AK796" s="128"/>
      <c r="AL796" s="136"/>
      <c r="AM796" s="128"/>
      <c r="AN796" s="136"/>
      <c r="AO796" s="128"/>
      <c r="AP796" s="136"/>
      <c r="AQ796" s="84">
        <f t="shared" si="98"/>
        <v>1</v>
      </c>
      <c r="AR796" s="142">
        <v>11685</v>
      </c>
      <c r="AS796" s="164">
        <f t="shared" si="101"/>
        <v>11685</v>
      </c>
      <c r="AT796" s="43"/>
      <c r="AU796" s="17" t="s">
        <v>149</v>
      </c>
      <c r="AV796" s="17" t="s">
        <v>149</v>
      </c>
      <c r="AW796" s="17" t="s">
        <v>149</v>
      </c>
      <c r="AX796" s="18" t="s">
        <v>149</v>
      </c>
    </row>
    <row r="797" spans="1:50" ht="14.25" hidden="1">
      <c r="A797" s="45">
        <v>769</v>
      </c>
      <c r="B797" s="199"/>
      <c r="C797" s="60" t="s">
        <v>269</v>
      </c>
      <c r="D797" s="117" t="s">
        <v>1404</v>
      </c>
      <c r="E797" s="60" t="s">
        <v>146</v>
      </c>
      <c r="F797" s="129" t="s">
        <v>12</v>
      </c>
      <c r="G797" s="61"/>
      <c r="H797" s="61"/>
      <c r="I797" s="64"/>
      <c r="J797" s="136"/>
      <c r="K797" s="108">
        <v>12</v>
      </c>
      <c r="L797" s="127">
        <f t="shared" si="103"/>
        <v>175032</v>
      </c>
      <c r="M797" s="128"/>
      <c r="N797" s="136"/>
      <c r="O797" s="126"/>
      <c r="P797" s="136"/>
      <c r="Q797" s="128"/>
      <c r="R797" s="136"/>
      <c r="S797" s="126"/>
      <c r="T797" s="136"/>
      <c r="U797" s="128"/>
      <c r="V797" s="136"/>
      <c r="W797" s="128"/>
      <c r="X797" s="136"/>
      <c r="Y797" s="128"/>
      <c r="Z797" s="136"/>
      <c r="AA797" s="128"/>
      <c r="AB797" s="136"/>
      <c r="AC797" s="128"/>
      <c r="AD797" s="136"/>
      <c r="AE797" s="128"/>
      <c r="AF797" s="136"/>
      <c r="AG797" s="128"/>
      <c r="AH797" s="136"/>
      <c r="AI797" s="128"/>
      <c r="AJ797" s="136"/>
      <c r="AK797" s="128"/>
      <c r="AL797" s="136"/>
      <c r="AM797" s="128"/>
      <c r="AN797" s="136"/>
      <c r="AO797" s="128"/>
      <c r="AP797" s="136"/>
      <c r="AQ797" s="84">
        <f t="shared" si="98"/>
        <v>12</v>
      </c>
      <c r="AR797" s="142">
        <v>14586</v>
      </c>
      <c r="AS797" s="164">
        <f t="shared" si="101"/>
        <v>175032</v>
      </c>
      <c r="AT797" s="44"/>
      <c r="AU797" s="19"/>
      <c r="AV797" s="19"/>
      <c r="AW797" s="19"/>
      <c r="AX797" s="20"/>
    </row>
    <row r="798" spans="1:50" ht="14.25" hidden="1">
      <c r="A798" s="45">
        <v>770</v>
      </c>
      <c r="B798" s="199"/>
      <c r="C798" s="60" t="s">
        <v>269</v>
      </c>
      <c r="D798" s="117" t="s">
        <v>1404</v>
      </c>
      <c r="E798" s="60" t="s">
        <v>147</v>
      </c>
      <c r="F798" s="129" t="s">
        <v>12</v>
      </c>
      <c r="G798" s="61"/>
      <c r="H798" s="61"/>
      <c r="I798" s="64"/>
      <c r="J798" s="136"/>
      <c r="K798" s="108">
        <v>12</v>
      </c>
      <c r="L798" s="127">
        <f t="shared" si="103"/>
        <v>477672</v>
      </c>
      <c r="M798" s="128"/>
      <c r="N798" s="136"/>
      <c r="O798" s="126"/>
      <c r="P798" s="136"/>
      <c r="Q798" s="128"/>
      <c r="R798" s="136"/>
      <c r="S798" s="126"/>
      <c r="T798" s="136"/>
      <c r="U798" s="128"/>
      <c r="V798" s="136"/>
      <c r="W798" s="128"/>
      <c r="X798" s="136"/>
      <c r="Y798" s="128"/>
      <c r="Z798" s="136"/>
      <c r="AA798" s="128"/>
      <c r="AB798" s="136"/>
      <c r="AC798" s="128"/>
      <c r="AD798" s="136"/>
      <c r="AE798" s="128"/>
      <c r="AF798" s="136"/>
      <c r="AG798" s="128"/>
      <c r="AH798" s="136"/>
      <c r="AI798" s="128"/>
      <c r="AJ798" s="136"/>
      <c r="AK798" s="128"/>
      <c r="AL798" s="136"/>
      <c r="AM798" s="128"/>
      <c r="AN798" s="136"/>
      <c r="AO798" s="128"/>
      <c r="AP798" s="136"/>
      <c r="AQ798" s="84">
        <f t="shared" si="98"/>
        <v>12</v>
      </c>
      <c r="AR798" s="142">
        <v>39806</v>
      </c>
      <c r="AS798" s="164">
        <f t="shared" si="101"/>
        <v>477672</v>
      </c>
      <c r="AT798" s="44"/>
      <c r="AU798" s="19"/>
      <c r="AV798" s="19"/>
      <c r="AW798" s="19"/>
      <c r="AX798" s="20"/>
    </row>
    <row r="799" spans="1:50" ht="14.25" hidden="1">
      <c r="A799" s="45">
        <v>771</v>
      </c>
      <c r="B799" s="199"/>
      <c r="C799" s="60" t="s">
        <v>269</v>
      </c>
      <c r="D799" s="117" t="s">
        <v>1404</v>
      </c>
      <c r="E799" s="60" t="s">
        <v>148</v>
      </c>
      <c r="F799" s="129" t="s">
        <v>12</v>
      </c>
      <c r="G799" s="61"/>
      <c r="H799" s="61"/>
      <c r="I799" s="64"/>
      <c r="J799" s="136"/>
      <c r="K799" s="108">
        <v>12</v>
      </c>
      <c r="L799" s="127">
        <f t="shared" si="103"/>
        <v>19596</v>
      </c>
      <c r="M799" s="128"/>
      <c r="N799" s="136"/>
      <c r="O799" s="126"/>
      <c r="P799" s="136"/>
      <c r="Q799" s="128"/>
      <c r="R799" s="136"/>
      <c r="S799" s="126"/>
      <c r="T799" s="136"/>
      <c r="U799" s="128"/>
      <c r="V799" s="136"/>
      <c r="W799" s="128"/>
      <c r="X799" s="136"/>
      <c r="Y799" s="128"/>
      <c r="Z799" s="136"/>
      <c r="AA799" s="128"/>
      <c r="AB799" s="136"/>
      <c r="AC799" s="128"/>
      <c r="AD799" s="136"/>
      <c r="AE799" s="128"/>
      <c r="AF799" s="136"/>
      <c r="AG799" s="128"/>
      <c r="AH799" s="136"/>
      <c r="AI799" s="128"/>
      <c r="AJ799" s="136"/>
      <c r="AK799" s="128"/>
      <c r="AL799" s="136"/>
      <c r="AM799" s="128"/>
      <c r="AN799" s="136"/>
      <c r="AO799" s="128"/>
      <c r="AP799" s="136"/>
      <c r="AQ799" s="84">
        <f t="shared" si="98"/>
        <v>12</v>
      </c>
      <c r="AR799" s="142">
        <v>1633</v>
      </c>
      <c r="AS799" s="164">
        <f t="shared" si="101"/>
        <v>19596</v>
      </c>
      <c r="AT799" s="43"/>
      <c r="AU799" s="17" t="s">
        <v>152</v>
      </c>
      <c r="AV799" s="17" t="s">
        <v>152</v>
      </c>
      <c r="AW799" s="17" t="s">
        <v>152</v>
      </c>
      <c r="AX799" s="18" t="s">
        <v>152</v>
      </c>
    </row>
    <row r="800" spans="1:50" ht="14.25" hidden="1">
      <c r="A800" s="45">
        <v>772</v>
      </c>
      <c r="B800" s="199"/>
      <c r="C800" s="60" t="s">
        <v>269</v>
      </c>
      <c r="D800" s="117" t="s">
        <v>1404</v>
      </c>
      <c r="E800" s="60" t="s">
        <v>149</v>
      </c>
      <c r="F800" s="129" t="s">
        <v>12</v>
      </c>
      <c r="G800" s="61"/>
      <c r="H800" s="61"/>
      <c r="I800" s="64"/>
      <c r="J800" s="136"/>
      <c r="K800" s="108">
        <v>12</v>
      </c>
      <c r="L800" s="127">
        <f t="shared" si="103"/>
        <v>14208</v>
      </c>
      <c r="M800" s="128"/>
      <c r="N800" s="136"/>
      <c r="O800" s="126"/>
      <c r="P800" s="136"/>
      <c r="Q800" s="128"/>
      <c r="R800" s="136"/>
      <c r="S800" s="126"/>
      <c r="T800" s="136"/>
      <c r="U800" s="128"/>
      <c r="V800" s="136"/>
      <c r="W800" s="128"/>
      <c r="X800" s="136"/>
      <c r="Y800" s="128"/>
      <c r="Z800" s="136"/>
      <c r="AA800" s="128"/>
      <c r="AB800" s="136"/>
      <c r="AC800" s="128"/>
      <c r="AD800" s="136"/>
      <c r="AE800" s="128"/>
      <c r="AF800" s="136"/>
      <c r="AG800" s="128"/>
      <c r="AH800" s="136"/>
      <c r="AI800" s="128"/>
      <c r="AJ800" s="136"/>
      <c r="AK800" s="128"/>
      <c r="AL800" s="136"/>
      <c r="AM800" s="128"/>
      <c r="AN800" s="136"/>
      <c r="AO800" s="128"/>
      <c r="AP800" s="136"/>
      <c r="AQ800" s="84">
        <f t="shared" si="98"/>
        <v>12</v>
      </c>
      <c r="AR800" s="142">
        <v>1184</v>
      </c>
      <c r="AS800" s="164">
        <f t="shared" si="101"/>
        <v>14208</v>
      </c>
      <c r="AT800" s="43"/>
      <c r="AU800" s="17" t="s">
        <v>153</v>
      </c>
      <c r="AV800" s="17" t="s">
        <v>153</v>
      </c>
      <c r="AW800" s="17" t="s">
        <v>153</v>
      </c>
      <c r="AX800" s="18" t="s">
        <v>153</v>
      </c>
    </row>
    <row r="801" spans="1:50" ht="14.25" hidden="1">
      <c r="A801" s="45">
        <v>773</v>
      </c>
      <c r="B801" s="199"/>
      <c r="C801" s="60" t="s">
        <v>269</v>
      </c>
      <c r="D801" s="117" t="s">
        <v>1404</v>
      </c>
      <c r="E801" s="60" t="s">
        <v>150</v>
      </c>
      <c r="F801" s="129" t="s">
        <v>12</v>
      </c>
      <c r="G801" s="61"/>
      <c r="H801" s="61"/>
      <c r="I801" s="64"/>
      <c r="J801" s="136"/>
      <c r="K801" s="108">
        <v>12</v>
      </c>
      <c r="L801" s="127">
        <f t="shared" si="103"/>
        <v>15900</v>
      </c>
      <c r="M801" s="128"/>
      <c r="N801" s="136"/>
      <c r="O801" s="126"/>
      <c r="P801" s="136"/>
      <c r="Q801" s="128"/>
      <c r="R801" s="136"/>
      <c r="S801" s="126"/>
      <c r="T801" s="136"/>
      <c r="U801" s="128"/>
      <c r="V801" s="136"/>
      <c r="W801" s="128"/>
      <c r="X801" s="136"/>
      <c r="Y801" s="128"/>
      <c r="Z801" s="136"/>
      <c r="AA801" s="128"/>
      <c r="AB801" s="136"/>
      <c r="AC801" s="128"/>
      <c r="AD801" s="136"/>
      <c r="AE801" s="128"/>
      <c r="AF801" s="136"/>
      <c r="AG801" s="128"/>
      <c r="AH801" s="136"/>
      <c r="AI801" s="128"/>
      <c r="AJ801" s="136"/>
      <c r="AK801" s="128"/>
      <c r="AL801" s="136"/>
      <c r="AM801" s="128"/>
      <c r="AN801" s="136"/>
      <c r="AO801" s="128"/>
      <c r="AP801" s="136"/>
      <c r="AQ801" s="84">
        <f t="shared" si="98"/>
        <v>12</v>
      </c>
      <c r="AR801" s="142">
        <v>1325</v>
      </c>
      <c r="AS801" s="164">
        <f t="shared" si="101"/>
        <v>15900</v>
      </c>
      <c r="AT801" s="43"/>
      <c r="AU801" s="17" t="s">
        <v>154</v>
      </c>
      <c r="AV801" s="17" t="s">
        <v>154</v>
      </c>
      <c r="AW801" s="17" t="s">
        <v>154</v>
      </c>
      <c r="AX801" s="18" t="s">
        <v>154</v>
      </c>
    </row>
    <row r="802" spans="1:50" ht="14.25" hidden="1">
      <c r="A802" s="45">
        <v>774</v>
      </c>
      <c r="B802" s="199"/>
      <c r="C802" s="60" t="s">
        <v>269</v>
      </c>
      <c r="D802" s="117" t="s">
        <v>1404</v>
      </c>
      <c r="E802" s="60" t="s">
        <v>151</v>
      </c>
      <c r="F802" s="129" t="s">
        <v>12</v>
      </c>
      <c r="G802" s="61"/>
      <c r="H802" s="61"/>
      <c r="I802" s="64"/>
      <c r="J802" s="136"/>
      <c r="K802" s="108">
        <v>12</v>
      </c>
      <c r="L802" s="127">
        <f t="shared" si="103"/>
        <v>15012</v>
      </c>
      <c r="M802" s="128"/>
      <c r="N802" s="136"/>
      <c r="O802" s="126"/>
      <c r="P802" s="136"/>
      <c r="Q802" s="128"/>
      <c r="R802" s="136"/>
      <c r="S802" s="126"/>
      <c r="T802" s="136"/>
      <c r="U802" s="128"/>
      <c r="V802" s="136"/>
      <c r="W802" s="128"/>
      <c r="X802" s="136"/>
      <c r="Y802" s="128"/>
      <c r="Z802" s="136"/>
      <c r="AA802" s="128"/>
      <c r="AB802" s="136"/>
      <c r="AC802" s="128"/>
      <c r="AD802" s="136"/>
      <c r="AE802" s="128"/>
      <c r="AF802" s="136"/>
      <c r="AG802" s="128"/>
      <c r="AH802" s="136"/>
      <c r="AI802" s="128"/>
      <c r="AJ802" s="136"/>
      <c r="AK802" s="128"/>
      <c r="AL802" s="136"/>
      <c r="AM802" s="128"/>
      <c r="AN802" s="136"/>
      <c r="AO802" s="128"/>
      <c r="AP802" s="136"/>
      <c r="AQ802" s="84">
        <f t="shared" si="98"/>
        <v>12</v>
      </c>
      <c r="AR802" s="142">
        <v>1251</v>
      </c>
      <c r="AS802" s="164">
        <f t="shared" si="101"/>
        <v>15012</v>
      </c>
      <c r="AT802" s="349"/>
      <c r="AU802" s="350" t="s">
        <v>155</v>
      </c>
      <c r="AV802" s="350" t="s">
        <v>155</v>
      </c>
      <c r="AW802" s="350" t="s">
        <v>155</v>
      </c>
      <c r="AX802" s="351" t="s">
        <v>155</v>
      </c>
    </row>
    <row r="803" spans="1:50" ht="14.25" hidden="1">
      <c r="A803" s="45">
        <v>775</v>
      </c>
      <c r="B803" s="199"/>
      <c r="C803" s="60" t="s">
        <v>269</v>
      </c>
      <c r="D803" s="117" t="s">
        <v>1404</v>
      </c>
      <c r="E803" s="60" t="s">
        <v>152</v>
      </c>
      <c r="F803" s="129" t="s">
        <v>12</v>
      </c>
      <c r="G803" s="61"/>
      <c r="H803" s="61"/>
      <c r="I803" s="64"/>
      <c r="J803" s="136"/>
      <c r="K803" s="108">
        <v>12</v>
      </c>
      <c r="L803" s="127">
        <f t="shared" si="103"/>
        <v>236988</v>
      </c>
      <c r="M803" s="128"/>
      <c r="N803" s="136"/>
      <c r="O803" s="126"/>
      <c r="P803" s="136"/>
      <c r="Q803" s="128"/>
      <c r="R803" s="136"/>
      <c r="S803" s="126"/>
      <c r="T803" s="136"/>
      <c r="U803" s="128"/>
      <c r="V803" s="136"/>
      <c r="W803" s="128"/>
      <c r="X803" s="136"/>
      <c r="Y803" s="128"/>
      <c r="Z803" s="136"/>
      <c r="AA803" s="128"/>
      <c r="AB803" s="136"/>
      <c r="AC803" s="128"/>
      <c r="AD803" s="136"/>
      <c r="AE803" s="128"/>
      <c r="AF803" s="136"/>
      <c r="AG803" s="128"/>
      <c r="AH803" s="136"/>
      <c r="AI803" s="128"/>
      <c r="AJ803" s="136"/>
      <c r="AK803" s="128"/>
      <c r="AL803" s="136"/>
      <c r="AM803" s="128"/>
      <c r="AN803" s="136"/>
      <c r="AO803" s="128"/>
      <c r="AP803" s="136"/>
      <c r="AQ803" s="84">
        <f t="shared" si="98"/>
        <v>12</v>
      </c>
      <c r="AR803" s="142">
        <v>19749</v>
      </c>
      <c r="AS803" s="164">
        <f t="shared" si="101"/>
        <v>236988</v>
      </c>
      <c r="AT803" s="43"/>
      <c r="AU803" s="17"/>
      <c r="AV803" s="17"/>
      <c r="AW803" s="17"/>
      <c r="AX803" s="18"/>
    </row>
    <row r="804" spans="1:50" ht="14.25" hidden="1">
      <c r="A804" s="45">
        <v>776</v>
      </c>
      <c r="B804" s="199"/>
      <c r="C804" s="60" t="s">
        <v>269</v>
      </c>
      <c r="D804" s="117" t="s">
        <v>1404</v>
      </c>
      <c r="E804" s="60" t="s">
        <v>153</v>
      </c>
      <c r="F804" s="129" t="s">
        <v>12</v>
      </c>
      <c r="G804" s="61"/>
      <c r="H804" s="61"/>
      <c r="I804" s="64"/>
      <c r="J804" s="136"/>
      <c r="K804" s="108">
        <v>12</v>
      </c>
      <c r="L804" s="127">
        <f t="shared" si="103"/>
        <v>199740</v>
      </c>
      <c r="M804" s="128"/>
      <c r="N804" s="136"/>
      <c r="O804" s="126"/>
      <c r="P804" s="136"/>
      <c r="Q804" s="128"/>
      <c r="R804" s="136"/>
      <c r="S804" s="126"/>
      <c r="T804" s="136"/>
      <c r="U804" s="128"/>
      <c r="V804" s="136"/>
      <c r="W804" s="128"/>
      <c r="X804" s="136"/>
      <c r="Y804" s="128"/>
      <c r="Z804" s="136"/>
      <c r="AA804" s="128"/>
      <c r="AB804" s="136"/>
      <c r="AC804" s="128"/>
      <c r="AD804" s="136"/>
      <c r="AE804" s="128"/>
      <c r="AF804" s="136"/>
      <c r="AG804" s="128"/>
      <c r="AH804" s="136"/>
      <c r="AI804" s="128"/>
      <c r="AJ804" s="136"/>
      <c r="AK804" s="128"/>
      <c r="AL804" s="136"/>
      <c r="AM804" s="128"/>
      <c r="AN804" s="136"/>
      <c r="AO804" s="128"/>
      <c r="AP804" s="136"/>
      <c r="AQ804" s="84">
        <f t="shared" si="98"/>
        <v>12</v>
      </c>
      <c r="AR804" s="142">
        <v>16645</v>
      </c>
      <c r="AS804" s="164">
        <f t="shared" si="101"/>
        <v>199740</v>
      </c>
      <c r="AT804" s="43"/>
      <c r="AU804" s="17"/>
      <c r="AV804" s="17"/>
      <c r="AW804" s="17"/>
      <c r="AX804" s="18"/>
    </row>
    <row r="805" spans="1:50" ht="14.25" hidden="1">
      <c r="A805" s="45">
        <v>777</v>
      </c>
      <c r="B805" s="199"/>
      <c r="C805" s="60" t="s">
        <v>269</v>
      </c>
      <c r="D805" s="117" t="s">
        <v>1404</v>
      </c>
      <c r="E805" s="60" t="s">
        <v>154</v>
      </c>
      <c r="F805" s="129" t="s">
        <v>12</v>
      </c>
      <c r="G805" s="61"/>
      <c r="H805" s="61"/>
      <c r="I805" s="64"/>
      <c r="J805" s="136"/>
      <c r="K805" s="116">
        <v>100</v>
      </c>
      <c r="L805" s="127">
        <f t="shared" si="103"/>
        <v>87600</v>
      </c>
      <c r="M805" s="128"/>
      <c r="N805" s="136"/>
      <c r="O805" s="126"/>
      <c r="P805" s="136"/>
      <c r="Q805" s="128"/>
      <c r="R805" s="136"/>
      <c r="S805" s="126"/>
      <c r="T805" s="136"/>
      <c r="U805" s="128"/>
      <c r="V805" s="136"/>
      <c r="W805" s="128"/>
      <c r="X805" s="136"/>
      <c r="Y805" s="128"/>
      <c r="Z805" s="136"/>
      <c r="AA805" s="128"/>
      <c r="AB805" s="136"/>
      <c r="AC805" s="128"/>
      <c r="AD805" s="136"/>
      <c r="AE805" s="128"/>
      <c r="AF805" s="136"/>
      <c r="AG805" s="128"/>
      <c r="AH805" s="136"/>
      <c r="AI805" s="128"/>
      <c r="AJ805" s="136"/>
      <c r="AK805" s="128"/>
      <c r="AL805" s="136"/>
      <c r="AM805" s="128"/>
      <c r="AN805" s="136"/>
      <c r="AO805" s="128"/>
      <c r="AP805" s="136"/>
      <c r="AQ805" s="84">
        <f t="shared" si="98"/>
        <v>100</v>
      </c>
      <c r="AR805" s="142">
        <v>876</v>
      </c>
      <c r="AS805" s="164">
        <f t="shared" si="101"/>
        <v>87600</v>
      </c>
      <c r="AT805" s="43"/>
      <c r="AU805" s="17"/>
      <c r="AV805" s="17"/>
      <c r="AW805" s="17"/>
      <c r="AX805" s="18"/>
    </row>
    <row r="806" spans="1:50" ht="14.25" hidden="1">
      <c r="A806" s="45">
        <v>778</v>
      </c>
      <c r="B806" s="199"/>
      <c r="C806" s="60" t="s">
        <v>269</v>
      </c>
      <c r="D806" s="117" t="s">
        <v>1404</v>
      </c>
      <c r="E806" s="60" t="s">
        <v>155</v>
      </c>
      <c r="F806" s="129" t="s">
        <v>12</v>
      </c>
      <c r="G806" s="61"/>
      <c r="H806" s="61"/>
      <c r="I806" s="64"/>
      <c r="J806" s="136"/>
      <c r="K806" s="116">
        <v>100</v>
      </c>
      <c r="L806" s="127">
        <f t="shared" si="103"/>
        <v>87600</v>
      </c>
      <c r="M806" s="128"/>
      <c r="N806" s="136"/>
      <c r="O806" s="126"/>
      <c r="P806" s="136"/>
      <c r="Q806" s="128"/>
      <c r="R806" s="136"/>
      <c r="S806" s="126"/>
      <c r="T806" s="136"/>
      <c r="U806" s="128"/>
      <c r="V806" s="136"/>
      <c r="W806" s="128"/>
      <c r="X806" s="136"/>
      <c r="Y806" s="128"/>
      <c r="Z806" s="136"/>
      <c r="AA806" s="128"/>
      <c r="AB806" s="136"/>
      <c r="AC806" s="128"/>
      <c r="AD806" s="136"/>
      <c r="AE806" s="128"/>
      <c r="AF806" s="136"/>
      <c r="AG806" s="128"/>
      <c r="AH806" s="136"/>
      <c r="AI806" s="128"/>
      <c r="AJ806" s="136"/>
      <c r="AK806" s="128"/>
      <c r="AL806" s="136"/>
      <c r="AM806" s="128"/>
      <c r="AN806" s="136"/>
      <c r="AO806" s="128"/>
      <c r="AP806" s="136"/>
      <c r="AQ806" s="84">
        <f t="shared" si="98"/>
        <v>100</v>
      </c>
      <c r="AR806" s="142">
        <v>876</v>
      </c>
      <c r="AS806" s="164">
        <f t="shared" si="101"/>
        <v>87600</v>
      </c>
      <c r="AT806" s="349"/>
      <c r="AU806" s="350" t="s">
        <v>156</v>
      </c>
      <c r="AV806" s="350" t="s">
        <v>156</v>
      </c>
      <c r="AW806" s="350" t="s">
        <v>156</v>
      </c>
      <c r="AX806" s="351" t="s">
        <v>156</v>
      </c>
    </row>
    <row r="807" spans="1:50" ht="14.25" hidden="1">
      <c r="A807" s="45">
        <v>779</v>
      </c>
      <c r="B807" s="199"/>
      <c r="C807" s="60" t="s">
        <v>269</v>
      </c>
      <c r="D807" s="117" t="s">
        <v>1404</v>
      </c>
      <c r="E807" s="60" t="s">
        <v>156</v>
      </c>
      <c r="F807" s="129" t="s">
        <v>12</v>
      </c>
      <c r="G807" s="61"/>
      <c r="H807" s="61"/>
      <c r="I807" s="64"/>
      <c r="J807" s="136"/>
      <c r="K807" s="116">
        <v>100</v>
      </c>
      <c r="L807" s="127">
        <f t="shared" si="103"/>
        <v>88800</v>
      </c>
      <c r="M807" s="128"/>
      <c r="N807" s="136"/>
      <c r="O807" s="126"/>
      <c r="P807" s="136"/>
      <c r="Q807" s="128"/>
      <c r="R807" s="136"/>
      <c r="S807" s="126"/>
      <c r="T807" s="136"/>
      <c r="U807" s="128"/>
      <c r="V807" s="136"/>
      <c r="W807" s="128"/>
      <c r="X807" s="136"/>
      <c r="Y807" s="128"/>
      <c r="Z807" s="136"/>
      <c r="AA807" s="128"/>
      <c r="AB807" s="136"/>
      <c r="AC807" s="128"/>
      <c r="AD807" s="136"/>
      <c r="AE807" s="128"/>
      <c r="AF807" s="136"/>
      <c r="AG807" s="128"/>
      <c r="AH807" s="136"/>
      <c r="AI807" s="128"/>
      <c r="AJ807" s="136"/>
      <c r="AK807" s="128"/>
      <c r="AL807" s="136"/>
      <c r="AM807" s="128"/>
      <c r="AN807" s="136"/>
      <c r="AO807" s="128"/>
      <c r="AP807" s="136"/>
      <c r="AQ807" s="84">
        <f t="shared" si="98"/>
        <v>100</v>
      </c>
      <c r="AR807" s="142">
        <v>888</v>
      </c>
      <c r="AS807" s="164">
        <f t="shared" si="101"/>
        <v>88800</v>
      </c>
      <c r="AT807" s="43"/>
      <c r="AU807" s="13"/>
      <c r="AV807" s="13"/>
      <c r="AW807" s="13"/>
      <c r="AX807" s="14"/>
    </row>
    <row r="808" spans="1:50" ht="14.25" hidden="1">
      <c r="A808" s="45">
        <v>780</v>
      </c>
      <c r="B808" s="199"/>
      <c r="C808" s="60" t="s">
        <v>269</v>
      </c>
      <c r="D808" s="117" t="s">
        <v>1404</v>
      </c>
      <c r="E808" s="60" t="s">
        <v>157</v>
      </c>
      <c r="F808" s="129" t="s">
        <v>12</v>
      </c>
      <c r="G808" s="61"/>
      <c r="H808" s="61"/>
      <c r="I808" s="64"/>
      <c r="J808" s="136"/>
      <c r="K808" s="116">
        <v>100</v>
      </c>
      <c r="L808" s="127">
        <f t="shared" si="103"/>
        <v>165700</v>
      </c>
      <c r="M808" s="128"/>
      <c r="N808" s="136"/>
      <c r="O808" s="126"/>
      <c r="P808" s="136"/>
      <c r="Q808" s="128"/>
      <c r="R808" s="136"/>
      <c r="S808" s="126"/>
      <c r="T808" s="136"/>
      <c r="U808" s="128"/>
      <c r="V808" s="136"/>
      <c r="W808" s="128"/>
      <c r="X808" s="136"/>
      <c r="Y808" s="128"/>
      <c r="Z808" s="136"/>
      <c r="AA808" s="128"/>
      <c r="AB808" s="136"/>
      <c r="AC808" s="128"/>
      <c r="AD808" s="136"/>
      <c r="AE808" s="128"/>
      <c r="AF808" s="136"/>
      <c r="AG808" s="128"/>
      <c r="AH808" s="136"/>
      <c r="AI808" s="128"/>
      <c r="AJ808" s="136"/>
      <c r="AK808" s="128"/>
      <c r="AL808" s="136"/>
      <c r="AM808" s="128"/>
      <c r="AN808" s="136"/>
      <c r="AO808" s="128"/>
      <c r="AP808" s="136"/>
      <c r="AQ808" s="84">
        <f t="shared" si="98"/>
        <v>100</v>
      </c>
      <c r="AR808" s="142">
        <v>1657</v>
      </c>
      <c r="AS808" s="164">
        <f t="shared" si="101"/>
        <v>165700</v>
      </c>
      <c r="AT808" s="43"/>
      <c r="AU808" s="13"/>
      <c r="AV808" s="13"/>
      <c r="AW808" s="13"/>
      <c r="AX808" s="14"/>
    </row>
    <row r="809" spans="1:50" ht="128.25" hidden="1">
      <c r="A809" s="45">
        <v>781</v>
      </c>
      <c r="B809" s="199"/>
      <c r="C809" s="60" t="s">
        <v>269</v>
      </c>
      <c r="D809" s="117" t="s">
        <v>1404</v>
      </c>
      <c r="E809" s="60" t="s">
        <v>372</v>
      </c>
      <c r="F809" s="54" t="s">
        <v>17</v>
      </c>
      <c r="G809" s="61"/>
      <c r="H809" s="61"/>
      <c r="I809" s="64"/>
      <c r="J809" s="136"/>
      <c r="K809" s="126">
        <v>16</v>
      </c>
      <c r="L809" s="127">
        <f t="shared" si="103"/>
        <v>580800</v>
      </c>
      <c r="M809" s="128"/>
      <c r="N809" s="136"/>
      <c r="O809" s="126"/>
      <c r="P809" s="136"/>
      <c r="Q809" s="128"/>
      <c r="R809" s="136"/>
      <c r="S809" s="126"/>
      <c r="T809" s="136"/>
      <c r="U809" s="128"/>
      <c r="V809" s="136"/>
      <c r="W809" s="128"/>
      <c r="X809" s="136"/>
      <c r="Y809" s="128"/>
      <c r="Z809" s="136"/>
      <c r="AA809" s="128"/>
      <c r="AB809" s="136"/>
      <c r="AC809" s="128"/>
      <c r="AD809" s="136"/>
      <c r="AE809" s="128"/>
      <c r="AF809" s="136"/>
      <c r="AG809" s="128"/>
      <c r="AH809" s="136"/>
      <c r="AI809" s="128"/>
      <c r="AJ809" s="136"/>
      <c r="AK809" s="128"/>
      <c r="AL809" s="136"/>
      <c r="AM809" s="128"/>
      <c r="AN809" s="136"/>
      <c r="AO809" s="128"/>
      <c r="AP809" s="136"/>
      <c r="AQ809" s="84">
        <f t="shared" si="98"/>
        <v>16</v>
      </c>
      <c r="AR809" s="143">
        <v>36300</v>
      </c>
      <c r="AS809" s="164">
        <f t="shared" si="101"/>
        <v>580800</v>
      </c>
      <c r="AT809" s="43"/>
      <c r="AU809" s="13"/>
      <c r="AV809" s="13"/>
      <c r="AW809" s="13"/>
      <c r="AX809" s="14"/>
    </row>
    <row r="810" spans="1:50" ht="28.5" hidden="1">
      <c r="A810" s="45">
        <v>782</v>
      </c>
      <c r="B810" s="199"/>
      <c r="C810" s="60" t="s">
        <v>269</v>
      </c>
      <c r="D810" s="117" t="s">
        <v>1404</v>
      </c>
      <c r="E810" s="60" t="s">
        <v>373</v>
      </c>
      <c r="F810" s="54" t="s">
        <v>17</v>
      </c>
      <c r="G810" s="61"/>
      <c r="H810" s="61"/>
      <c r="I810" s="64"/>
      <c r="J810" s="136"/>
      <c r="K810" s="126">
        <v>16</v>
      </c>
      <c r="L810" s="127">
        <f t="shared" si="103"/>
        <v>322560</v>
      </c>
      <c r="M810" s="128"/>
      <c r="N810" s="136"/>
      <c r="O810" s="126"/>
      <c r="P810" s="136"/>
      <c r="Q810" s="128"/>
      <c r="R810" s="136"/>
      <c r="S810" s="126"/>
      <c r="T810" s="136"/>
      <c r="U810" s="128"/>
      <c r="V810" s="136"/>
      <c r="W810" s="128"/>
      <c r="X810" s="136"/>
      <c r="Y810" s="128"/>
      <c r="Z810" s="136"/>
      <c r="AA810" s="128"/>
      <c r="AB810" s="136"/>
      <c r="AC810" s="128"/>
      <c r="AD810" s="136"/>
      <c r="AE810" s="128"/>
      <c r="AF810" s="136"/>
      <c r="AG810" s="128"/>
      <c r="AH810" s="136"/>
      <c r="AI810" s="128"/>
      <c r="AJ810" s="136"/>
      <c r="AK810" s="128"/>
      <c r="AL810" s="136"/>
      <c r="AM810" s="128"/>
      <c r="AN810" s="136"/>
      <c r="AO810" s="128"/>
      <c r="AP810" s="136"/>
      <c r="AQ810" s="84">
        <f t="shared" si="98"/>
        <v>16</v>
      </c>
      <c r="AR810" s="143">
        <v>20160</v>
      </c>
      <c r="AS810" s="164">
        <f t="shared" si="101"/>
        <v>322560</v>
      </c>
      <c r="AT810" s="43"/>
      <c r="AU810" s="13"/>
      <c r="AV810" s="13"/>
      <c r="AW810" s="13"/>
      <c r="AX810" s="14"/>
    </row>
    <row r="811" spans="1:50" ht="42.75" hidden="1">
      <c r="A811" s="45">
        <v>783</v>
      </c>
      <c r="B811" s="107" t="s">
        <v>1368</v>
      </c>
      <c r="C811" s="107" t="s">
        <v>1284</v>
      </c>
      <c r="D811" s="117" t="s">
        <v>1404</v>
      </c>
      <c r="E811" s="57" t="s">
        <v>1369</v>
      </c>
      <c r="F811" s="67" t="s">
        <v>1370</v>
      </c>
      <c r="G811" s="61"/>
      <c r="H811" s="61"/>
      <c r="I811" s="64"/>
      <c r="J811" s="136"/>
      <c r="K811" s="126"/>
      <c r="L811" s="127"/>
      <c r="M811" s="128"/>
      <c r="N811" s="136"/>
      <c r="O811" s="126"/>
      <c r="P811" s="136"/>
      <c r="Q811" s="128"/>
      <c r="R811" s="136"/>
      <c r="S811" s="126"/>
      <c r="T811" s="136"/>
      <c r="U811" s="128"/>
      <c r="V811" s="136"/>
      <c r="W811" s="128"/>
      <c r="X811" s="136"/>
      <c r="Y811" s="128"/>
      <c r="Z811" s="136"/>
      <c r="AA811" s="128"/>
      <c r="AB811" s="136"/>
      <c r="AC811" s="128"/>
      <c r="AD811" s="136"/>
      <c r="AE811" s="128">
        <v>5</v>
      </c>
      <c r="AF811" s="136">
        <f>+AE811*AR811</f>
        <v>57990</v>
      </c>
      <c r="AG811" s="128"/>
      <c r="AH811" s="136"/>
      <c r="AI811" s="128"/>
      <c r="AJ811" s="136"/>
      <c r="AK811" s="128"/>
      <c r="AL811" s="136"/>
      <c r="AM811" s="128"/>
      <c r="AN811" s="136"/>
      <c r="AO811" s="128"/>
      <c r="AP811" s="136"/>
      <c r="AQ811" s="84">
        <f t="shared" si="98"/>
        <v>5</v>
      </c>
      <c r="AR811" s="143">
        <v>11598</v>
      </c>
      <c r="AS811" s="164">
        <f t="shared" si="101"/>
        <v>57990</v>
      </c>
      <c r="AT811" s="43"/>
      <c r="AU811" s="13"/>
      <c r="AV811" s="13"/>
      <c r="AW811" s="13"/>
      <c r="AX811" s="14"/>
    </row>
    <row r="812" spans="1:50" ht="28.5" hidden="1">
      <c r="A812" s="45">
        <v>784</v>
      </c>
      <c r="B812" s="107" t="s">
        <v>1371</v>
      </c>
      <c r="C812" s="107" t="s">
        <v>1284</v>
      </c>
      <c r="D812" s="117" t="s">
        <v>1404</v>
      </c>
      <c r="E812" s="57" t="s">
        <v>1372</v>
      </c>
      <c r="F812" s="67" t="s">
        <v>1370</v>
      </c>
      <c r="G812" s="65"/>
      <c r="H812" s="65"/>
      <c r="I812" s="65"/>
      <c r="J812" s="104"/>
      <c r="K812" s="158"/>
      <c r="L812" s="104"/>
      <c r="M812" s="105"/>
      <c r="N812" s="104"/>
      <c r="O812" s="158"/>
      <c r="P812" s="104"/>
      <c r="Q812" s="105"/>
      <c r="R812" s="104"/>
      <c r="S812" s="158"/>
      <c r="T812" s="104"/>
      <c r="U812" s="105"/>
      <c r="V812" s="104"/>
      <c r="W812" s="105"/>
      <c r="X812" s="104"/>
      <c r="Y812" s="105"/>
      <c r="Z812" s="104"/>
      <c r="AA812" s="105"/>
      <c r="AB812" s="104"/>
      <c r="AC812" s="105"/>
      <c r="AD812" s="104"/>
      <c r="AE812" s="105">
        <v>5</v>
      </c>
      <c r="AF812" s="136">
        <f>+AE812*AR812</f>
        <v>54605</v>
      </c>
      <c r="AG812" s="128"/>
      <c r="AH812" s="136"/>
      <c r="AI812" s="128"/>
      <c r="AJ812" s="136"/>
      <c r="AK812" s="128"/>
      <c r="AL812" s="136"/>
      <c r="AM812" s="128"/>
      <c r="AN812" s="136"/>
      <c r="AO812" s="128"/>
      <c r="AP812" s="136"/>
      <c r="AQ812" s="84">
        <f t="shared" si="98"/>
        <v>5</v>
      </c>
      <c r="AR812" s="143">
        <v>10921</v>
      </c>
      <c r="AS812" s="164">
        <f t="shared" si="101"/>
        <v>54605</v>
      </c>
      <c r="AT812" s="349"/>
      <c r="AU812" s="350" t="s">
        <v>157</v>
      </c>
      <c r="AV812" s="350" t="s">
        <v>157</v>
      </c>
      <c r="AW812" s="350" t="s">
        <v>157</v>
      </c>
      <c r="AX812" s="351" t="s">
        <v>157</v>
      </c>
    </row>
    <row r="813" spans="1:50" ht="14.25" hidden="1">
      <c r="A813" s="45">
        <v>785</v>
      </c>
      <c r="B813" s="199"/>
      <c r="C813" s="117" t="s">
        <v>1403</v>
      </c>
      <c r="D813" s="117" t="s">
        <v>1404</v>
      </c>
      <c r="E813" s="117" t="s">
        <v>1405</v>
      </c>
      <c r="F813" s="117" t="s">
        <v>288</v>
      </c>
      <c r="G813" s="65"/>
      <c r="H813" s="65"/>
      <c r="I813" s="65"/>
      <c r="J813" s="104"/>
      <c r="K813" s="158"/>
      <c r="L813" s="104"/>
      <c r="M813" s="105"/>
      <c r="N813" s="104"/>
      <c r="O813" s="158"/>
      <c r="P813" s="104"/>
      <c r="Q813" s="105"/>
      <c r="R813" s="104"/>
      <c r="S813" s="158"/>
      <c r="T813" s="104"/>
      <c r="U813" s="105"/>
      <c r="V813" s="104"/>
      <c r="W813" s="105"/>
      <c r="X813" s="104"/>
      <c r="Y813" s="105"/>
      <c r="Z813" s="104"/>
      <c r="AA813" s="105"/>
      <c r="AB813" s="104"/>
      <c r="AC813" s="105"/>
      <c r="AD813" s="104"/>
      <c r="AE813" s="105"/>
      <c r="AF813" s="104"/>
      <c r="AG813" s="105"/>
      <c r="AH813" s="104"/>
      <c r="AI813" s="117">
        <v>4</v>
      </c>
      <c r="AJ813" s="104">
        <f>+AI813*AR813</f>
        <v>168956</v>
      </c>
      <c r="AK813" s="105"/>
      <c r="AL813" s="104"/>
      <c r="AM813" s="105"/>
      <c r="AN813" s="104"/>
      <c r="AO813" s="105"/>
      <c r="AP813" s="104"/>
      <c r="AQ813" s="84">
        <f t="shared" si="98"/>
        <v>4</v>
      </c>
      <c r="AR813" s="172">
        <v>42239</v>
      </c>
      <c r="AS813" s="164">
        <f t="shared" si="101"/>
        <v>168956</v>
      </c>
      <c r="AT813" s="21"/>
      <c r="AU813" s="21"/>
      <c r="AV813" s="21"/>
      <c r="AW813" s="21"/>
      <c r="AX813" s="22"/>
    </row>
    <row r="814" spans="1:50" ht="14.25" hidden="1">
      <c r="A814" s="45">
        <v>786</v>
      </c>
      <c r="B814" s="199"/>
      <c r="C814" s="117" t="s">
        <v>1403</v>
      </c>
      <c r="D814" s="117" t="s">
        <v>1404</v>
      </c>
      <c r="E814" s="117" t="s">
        <v>1406</v>
      </c>
      <c r="F814" s="117" t="s">
        <v>288</v>
      </c>
      <c r="G814" s="65"/>
      <c r="H814" s="65"/>
      <c r="I814" s="65"/>
      <c r="J814" s="104"/>
      <c r="K814" s="158"/>
      <c r="L814" s="104"/>
      <c r="M814" s="105"/>
      <c r="N814" s="104"/>
      <c r="O814" s="158"/>
      <c r="P814" s="104"/>
      <c r="Q814" s="105"/>
      <c r="R814" s="104"/>
      <c r="S814" s="158"/>
      <c r="T814" s="104"/>
      <c r="U814" s="105"/>
      <c r="V814" s="104"/>
      <c r="W814" s="105"/>
      <c r="X814" s="104"/>
      <c r="Y814" s="105"/>
      <c r="Z814" s="104"/>
      <c r="AA814" s="105"/>
      <c r="AB814" s="104"/>
      <c r="AC814" s="105"/>
      <c r="AD814" s="104"/>
      <c r="AE814" s="105"/>
      <c r="AF814" s="104"/>
      <c r="AG814" s="105"/>
      <c r="AH814" s="104"/>
      <c r="AI814" s="117">
        <v>2</v>
      </c>
      <c r="AJ814" s="104">
        <f t="shared" ref="AJ814:AJ830" si="104">+AI814*AR814</f>
        <v>48560</v>
      </c>
      <c r="AK814" s="105"/>
      <c r="AL814" s="104"/>
      <c r="AM814" s="105"/>
      <c r="AN814" s="104"/>
      <c r="AO814" s="105"/>
      <c r="AP814" s="104"/>
      <c r="AQ814" s="84">
        <f t="shared" si="98"/>
        <v>2</v>
      </c>
      <c r="AR814" s="172">
        <v>24280</v>
      </c>
      <c r="AS814" s="164">
        <f t="shared" si="101"/>
        <v>48560</v>
      </c>
      <c r="AT814" s="21"/>
      <c r="AU814" s="21"/>
      <c r="AV814" s="21"/>
      <c r="AW814" s="21"/>
      <c r="AX814" s="22"/>
    </row>
    <row r="815" spans="1:50" ht="14.25" hidden="1">
      <c r="A815" s="45">
        <v>787</v>
      </c>
      <c r="B815" s="199"/>
      <c r="C815" s="117" t="s">
        <v>1403</v>
      </c>
      <c r="D815" s="117" t="s">
        <v>1404</v>
      </c>
      <c r="E815" s="117" t="s">
        <v>1407</v>
      </c>
      <c r="F815" s="117" t="s">
        <v>288</v>
      </c>
      <c r="G815" s="65"/>
      <c r="H815" s="65"/>
      <c r="I815" s="65"/>
      <c r="J815" s="104"/>
      <c r="K815" s="158"/>
      <c r="L815" s="104"/>
      <c r="M815" s="105"/>
      <c r="N815" s="104"/>
      <c r="O815" s="158"/>
      <c r="P815" s="104"/>
      <c r="Q815" s="105"/>
      <c r="R815" s="104"/>
      <c r="S815" s="158"/>
      <c r="T815" s="104"/>
      <c r="U815" s="105"/>
      <c r="V815" s="104"/>
      <c r="W815" s="105"/>
      <c r="X815" s="104"/>
      <c r="Y815" s="105"/>
      <c r="Z815" s="104"/>
      <c r="AA815" s="105"/>
      <c r="AB815" s="104"/>
      <c r="AC815" s="105"/>
      <c r="AD815" s="104"/>
      <c r="AE815" s="105"/>
      <c r="AF815" s="104"/>
      <c r="AG815" s="105"/>
      <c r="AH815" s="104"/>
      <c r="AI815" s="117">
        <v>2</v>
      </c>
      <c r="AJ815" s="104">
        <f t="shared" si="104"/>
        <v>73500</v>
      </c>
      <c r="AK815" s="105"/>
      <c r="AL815" s="104"/>
      <c r="AM815" s="105"/>
      <c r="AN815" s="104"/>
      <c r="AO815" s="105"/>
      <c r="AP815" s="104"/>
      <c r="AQ815" s="84">
        <f t="shared" si="98"/>
        <v>2</v>
      </c>
      <c r="AR815" s="172">
        <v>36750</v>
      </c>
      <c r="AS815" s="164">
        <f t="shared" si="101"/>
        <v>73500</v>
      </c>
      <c r="AT815" s="21"/>
      <c r="AU815" s="21"/>
      <c r="AV815" s="21"/>
      <c r="AW815" s="21"/>
      <c r="AX815" s="22"/>
    </row>
    <row r="816" spans="1:50" ht="14.25" hidden="1">
      <c r="A816" s="45">
        <v>788</v>
      </c>
      <c r="B816" s="199"/>
      <c r="C816" s="117" t="s">
        <v>1403</v>
      </c>
      <c r="D816" s="117" t="s">
        <v>1404</v>
      </c>
      <c r="E816" s="117" t="s">
        <v>1408</v>
      </c>
      <c r="F816" s="117" t="s">
        <v>288</v>
      </c>
      <c r="G816" s="65"/>
      <c r="H816" s="65"/>
      <c r="I816" s="65"/>
      <c r="J816" s="104"/>
      <c r="K816" s="158"/>
      <c r="L816" s="104"/>
      <c r="M816" s="105"/>
      <c r="N816" s="104"/>
      <c r="O816" s="158"/>
      <c r="P816" s="104"/>
      <c r="Q816" s="105"/>
      <c r="R816" s="104"/>
      <c r="S816" s="158"/>
      <c r="T816" s="104"/>
      <c r="U816" s="105"/>
      <c r="V816" s="104"/>
      <c r="W816" s="105"/>
      <c r="X816" s="104"/>
      <c r="Y816" s="105"/>
      <c r="Z816" s="104"/>
      <c r="AA816" s="105"/>
      <c r="AB816" s="104"/>
      <c r="AC816" s="105"/>
      <c r="AD816" s="104"/>
      <c r="AE816" s="105"/>
      <c r="AF816" s="104"/>
      <c r="AG816" s="105"/>
      <c r="AH816" s="104"/>
      <c r="AI816" s="117">
        <v>2</v>
      </c>
      <c r="AJ816" s="104">
        <f t="shared" si="104"/>
        <v>104000</v>
      </c>
      <c r="AK816" s="105"/>
      <c r="AL816" s="104"/>
      <c r="AM816" s="105"/>
      <c r="AN816" s="104"/>
      <c r="AO816" s="105"/>
      <c r="AP816" s="104"/>
      <c r="AQ816" s="84">
        <f t="shared" si="98"/>
        <v>2</v>
      </c>
      <c r="AR816" s="172">
        <v>52000</v>
      </c>
      <c r="AS816" s="164">
        <f t="shared" si="101"/>
        <v>104000</v>
      </c>
      <c r="AT816" s="21"/>
      <c r="AU816" s="21"/>
      <c r="AV816" s="21"/>
      <c r="AW816" s="21"/>
      <c r="AX816" s="22"/>
    </row>
    <row r="817" spans="1:50" ht="14.25" hidden="1">
      <c r="A817" s="45">
        <v>789</v>
      </c>
      <c r="B817" s="199"/>
      <c r="C817" s="117" t="s">
        <v>1403</v>
      </c>
      <c r="D817" s="117" t="s">
        <v>1404</v>
      </c>
      <c r="E817" s="117" t="s">
        <v>1409</v>
      </c>
      <c r="F817" s="117" t="s">
        <v>288</v>
      </c>
      <c r="G817" s="65"/>
      <c r="H817" s="65"/>
      <c r="I817" s="65"/>
      <c r="J817" s="104"/>
      <c r="K817" s="158"/>
      <c r="L817" s="104"/>
      <c r="M817" s="105"/>
      <c r="N817" s="104"/>
      <c r="O817" s="158"/>
      <c r="P817" s="104"/>
      <c r="Q817" s="105"/>
      <c r="R817" s="104"/>
      <c r="S817" s="158"/>
      <c r="T817" s="104"/>
      <c r="U817" s="105"/>
      <c r="V817" s="104"/>
      <c r="W817" s="105"/>
      <c r="X817" s="104"/>
      <c r="Y817" s="105"/>
      <c r="Z817" s="104"/>
      <c r="AA817" s="105"/>
      <c r="AB817" s="104"/>
      <c r="AC817" s="105"/>
      <c r="AD817" s="104"/>
      <c r="AE817" s="105"/>
      <c r="AF817" s="104"/>
      <c r="AG817" s="105"/>
      <c r="AH817" s="104"/>
      <c r="AI817" s="117">
        <v>2</v>
      </c>
      <c r="AJ817" s="104">
        <f t="shared" si="104"/>
        <v>143000</v>
      </c>
      <c r="AK817" s="105"/>
      <c r="AL817" s="104"/>
      <c r="AM817" s="105"/>
      <c r="AN817" s="104"/>
      <c r="AO817" s="105"/>
      <c r="AP817" s="104"/>
      <c r="AQ817" s="84">
        <f t="shared" si="98"/>
        <v>2</v>
      </c>
      <c r="AR817" s="172">
        <v>71500</v>
      </c>
      <c r="AS817" s="164">
        <f t="shared" si="101"/>
        <v>143000</v>
      </c>
      <c r="AT817" s="21"/>
      <c r="AU817" s="21"/>
      <c r="AV817" s="21"/>
      <c r="AW817" s="21"/>
      <c r="AX817" s="22"/>
    </row>
    <row r="818" spans="1:50" ht="14.25" hidden="1">
      <c r="A818" s="45">
        <v>790</v>
      </c>
      <c r="B818" s="199"/>
      <c r="C818" s="117" t="s">
        <v>1403</v>
      </c>
      <c r="D818" s="117" t="s">
        <v>1404</v>
      </c>
      <c r="E818" s="117" t="s">
        <v>1410</v>
      </c>
      <c r="F818" s="117" t="s">
        <v>288</v>
      </c>
      <c r="G818" s="65"/>
      <c r="H818" s="65"/>
      <c r="I818" s="65"/>
      <c r="J818" s="104"/>
      <c r="K818" s="158"/>
      <c r="L818" s="104"/>
      <c r="M818" s="105"/>
      <c r="N818" s="104"/>
      <c r="O818" s="158"/>
      <c r="P818" s="104"/>
      <c r="Q818" s="105"/>
      <c r="R818" s="104"/>
      <c r="S818" s="158"/>
      <c r="T818" s="104"/>
      <c r="U818" s="105"/>
      <c r="V818" s="104"/>
      <c r="W818" s="105"/>
      <c r="X818" s="104"/>
      <c r="Y818" s="105"/>
      <c r="Z818" s="104"/>
      <c r="AA818" s="105"/>
      <c r="AB818" s="104"/>
      <c r="AC818" s="105"/>
      <c r="AD818" s="104"/>
      <c r="AE818" s="105"/>
      <c r="AF818" s="104"/>
      <c r="AG818" s="105"/>
      <c r="AH818" s="104"/>
      <c r="AI818" s="117">
        <v>2</v>
      </c>
      <c r="AJ818" s="104">
        <f t="shared" si="104"/>
        <v>168000</v>
      </c>
      <c r="AK818" s="105"/>
      <c r="AL818" s="104"/>
      <c r="AM818" s="105"/>
      <c r="AN818" s="104"/>
      <c r="AO818" s="105"/>
      <c r="AP818" s="104"/>
      <c r="AQ818" s="84">
        <f t="shared" ref="AQ818:AQ876" si="105">+AO818+AM818+AK818+AI818+AG818+AE818+AC818+AA818+Y818+W818+U818+S818+Q818+O818+M818+K818+I818+G818</f>
        <v>2</v>
      </c>
      <c r="AR818" s="172">
        <v>84000</v>
      </c>
      <c r="AS818" s="164">
        <f t="shared" si="101"/>
        <v>168000</v>
      </c>
      <c r="AT818" s="21"/>
      <c r="AU818" s="21"/>
      <c r="AV818" s="21"/>
      <c r="AW818" s="21"/>
      <c r="AX818" s="22"/>
    </row>
    <row r="819" spans="1:50" ht="14.25" hidden="1">
      <c r="A819" s="45">
        <v>791</v>
      </c>
      <c r="B819" s="199"/>
      <c r="C819" s="117" t="s">
        <v>1403</v>
      </c>
      <c r="D819" s="117" t="s">
        <v>1404</v>
      </c>
      <c r="E819" s="117" t="s">
        <v>1411</v>
      </c>
      <c r="F819" s="117" t="s">
        <v>288</v>
      </c>
      <c r="G819" s="65"/>
      <c r="H819" s="65"/>
      <c r="I819" s="65"/>
      <c r="J819" s="104"/>
      <c r="K819" s="158"/>
      <c r="L819" s="104"/>
      <c r="M819" s="105"/>
      <c r="N819" s="104"/>
      <c r="O819" s="158"/>
      <c r="P819" s="104"/>
      <c r="Q819" s="105"/>
      <c r="R819" s="104"/>
      <c r="S819" s="158"/>
      <c r="T819" s="104"/>
      <c r="U819" s="105"/>
      <c r="V819" s="104"/>
      <c r="W819" s="105"/>
      <c r="X819" s="104"/>
      <c r="Y819" s="105"/>
      <c r="Z819" s="104"/>
      <c r="AA819" s="105"/>
      <c r="AB819" s="104"/>
      <c r="AC819" s="105"/>
      <c r="AD819" s="104"/>
      <c r="AE819" s="105"/>
      <c r="AF819" s="104"/>
      <c r="AG819" s="105"/>
      <c r="AH819" s="104"/>
      <c r="AI819" s="117">
        <v>2</v>
      </c>
      <c r="AJ819" s="104">
        <f t="shared" si="104"/>
        <v>64700</v>
      </c>
      <c r="AK819" s="105"/>
      <c r="AL819" s="104"/>
      <c r="AM819" s="105"/>
      <c r="AN819" s="104"/>
      <c r="AO819" s="105"/>
      <c r="AP819" s="104"/>
      <c r="AQ819" s="84">
        <f t="shared" si="105"/>
        <v>2</v>
      </c>
      <c r="AR819" s="172">
        <v>32350</v>
      </c>
      <c r="AS819" s="164">
        <f t="shared" si="101"/>
        <v>64700</v>
      </c>
      <c r="AT819" s="21"/>
      <c r="AU819" s="21"/>
      <c r="AV819" s="21"/>
      <c r="AW819" s="21"/>
      <c r="AX819" s="22"/>
    </row>
    <row r="820" spans="1:50" ht="14.25" hidden="1">
      <c r="A820" s="45">
        <v>792</v>
      </c>
      <c r="B820" s="199"/>
      <c r="C820" s="117" t="s">
        <v>1403</v>
      </c>
      <c r="D820" s="117" t="s">
        <v>1404</v>
      </c>
      <c r="E820" s="117" t="s">
        <v>1412</v>
      </c>
      <c r="F820" s="117" t="s">
        <v>177</v>
      </c>
      <c r="G820" s="65"/>
      <c r="H820" s="65"/>
      <c r="I820" s="65"/>
      <c r="J820" s="104"/>
      <c r="K820" s="158"/>
      <c r="L820" s="104"/>
      <c r="M820" s="105"/>
      <c r="N820" s="104"/>
      <c r="O820" s="158"/>
      <c r="P820" s="104"/>
      <c r="Q820" s="105"/>
      <c r="R820" s="104"/>
      <c r="S820" s="158"/>
      <c r="T820" s="104"/>
      <c r="U820" s="105"/>
      <c r="V820" s="104"/>
      <c r="W820" s="105"/>
      <c r="X820" s="104"/>
      <c r="Y820" s="105"/>
      <c r="Z820" s="104"/>
      <c r="AA820" s="105"/>
      <c r="AB820" s="104"/>
      <c r="AC820" s="105"/>
      <c r="AD820" s="104"/>
      <c r="AE820" s="105"/>
      <c r="AF820" s="104"/>
      <c r="AG820" s="105"/>
      <c r="AH820" s="104"/>
      <c r="AI820" s="117">
        <v>2</v>
      </c>
      <c r="AJ820" s="104">
        <f t="shared" si="104"/>
        <v>25100</v>
      </c>
      <c r="AK820" s="105"/>
      <c r="AL820" s="104"/>
      <c r="AM820" s="105"/>
      <c r="AN820" s="104"/>
      <c r="AO820" s="105"/>
      <c r="AP820" s="104"/>
      <c r="AQ820" s="84">
        <f t="shared" si="105"/>
        <v>2</v>
      </c>
      <c r="AR820" s="172">
        <v>12550</v>
      </c>
      <c r="AS820" s="164">
        <f t="shared" si="101"/>
        <v>25100</v>
      </c>
      <c r="AT820" s="21"/>
      <c r="AU820" s="21"/>
      <c r="AV820" s="21"/>
      <c r="AW820" s="21"/>
      <c r="AX820" s="22"/>
    </row>
    <row r="821" spans="1:50" ht="14.25" hidden="1">
      <c r="A821" s="45">
        <v>793</v>
      </c>
      <c r="B821" s="199"/>
      <c r="C821" s="117" t="s">
        <v>1403</v>
      </c>
      <c r="D821" s="117" t="s">
        <v>1404</v>
      </c>
      <c r="E821" s="117" t="s">
        <v>1413</v>
      </c>
      <c r="F821" s="117" t="s">
        <v>1414</v>
      </c>
      <c r="G821" s="65"/>
      <c r="H821" s="65"/>
      <c r="I821" s="65"/>
      <c r="J821" s="104"/>
      <c r="K821" s="158"/>
      <c r="L821" s="104"/>
      <c r="M821" s="105"/>
      <c r="N821" s="104"/>
      <c r="O821" s="158"/>
      <c r="P821" s="104"/>
      <c r="Q821" s="105"/>
      <c r="R821" s="104"/>
      <c r="S821" s="158"/>
      <c r="T821" s="104"/>
      <c r="U821" s="105"/>
      <c r="V821" s="104"/>
      <c r="W821" s="105"/>
      <c r="X821" s="104"/>
      <c r="Y821" s="105"/>
      <c r="Z821" s="104"/>
      <c r="AA821" s="105"/>
      <c r="AB821" s="104"/>
      <c r="AC821" s="105"/>
      <c r="AD821" s="104"/>
      <c r="AE821" s="105"/>
      <c r="AF821" s="104"/>
      <c r="AG821" s="105"/>
      <c r="AH821" s="104"/>
      <c r="AI821" s="117">
        <v>2</v>
      </c>
      <c r="AJ821" s="104">
        <f t="shared" si="104"/>
        <v>28448</v>
      </c>
      <c r="AK821" s="105"/>
      <c r="AL821" s="104"/>
      <c r="AM821" s="105"/>
      <c r="AN821" s="104"/>
      <c r="AO821" s="105"/>
      <c r="AP821" s="104"/>
      <c r="AQ821" s="84">
        <f t="shared" si="105"/>
        <v>2</v>
      </c>
      <c r="AR821" s="172">
        <v>14224</v>
      </c>
      <c r="AS821" s="164">
        <f t="shared" si="101"/>
        <v>28448</v>
      </c>
      <c r="AT821" s="21"/>
      <c r="AU821" s="21"/>
      <c r="AV821" s="21"/>
      <c r="AW821" s="21"/>
      <c r="AX821" s="22"/>
    </row>
    <row r="822" spans="1:50" ht="14.25" hidden="1">
      <c r="A822" s="45">
        <v>794</v>
      </c>
      <c r="B822" s="199"/>
      <c r="C822" s="117" t="s">
        <v>1403</v>
      </c>
      <c r="D822" s="117" t="s">
        <v>1404</v>
      </c>
      <c r="E822" s="117" t="s">
        <v>1415</v>
      </c>
      <c r="F822" s="117" t="s">
        <v>177</v>
      </c>
      <c r="G822" s="65"/>
      <c r="H822" s="65"/>
      <c r="I822" s="65"/>
      <c r="J822" s="104"/>
      <c r="K822" s="158"/>
      <c r="L822" s="104"/>
      <c r="M822" s="105"/>
      <c r="N822" s="104"/>
      <c r="O822" s="158"/>
      <c r="P822" s="104"/>
      <c r="Q822" s="105"/>
      <c r="R822" s="104"/>
      <c r="S822" s="158"/>
      <c r="T822" s="104"/>
      <c r="U822" s="105"/>
      <c r="V822" s="104"/>
      <c r="W822" s="105"/>
      <c r="X822" s="104"/>
      <c r="Y822" s="105"/>
      <c r="Z822" s="104"/>
      <c r="AA822" s="105"/>
      <c r="AB822" s="104"/>
      <c r="AC822" s="105"/>
      <c r="AD822" s="104"/>
      <c r="AE822" s="105"/>
      <c r="AF822" s="104"/>
      <c r="AG822" s="105"/>
      <c r="AH822" s="104"/>
      <c r="AI822" s="117">
        <v>2</v>
      </c>
      <c r="AJ822" s="104">
        <f t="shared" si="104"/>
        <v>22000</v>
      </c>
      <c r="AK822" s="105"/>
      <c r="AL822" s="104"/>
      <c r="AM822" s="105"/>
      <c r="AN822" s="104"/>
      <c r="AO822" s="105"/>
      <c r="AP822" s="104"/>
      <c r="AQ822" s="84">
        <f t="shared" si="105"/>
        <v>2</v>
      </c>
      <c r="AR822" s="172">
        <v>11000</v>
      </c>
      <c r="AS822" s="164">
        <f t="shared" si="101"/>
        <v>22000</v>
      </c>
      <c r="AT822" s="21"/>
      <c r="AU822" s="21"/>
      <c r="AV822" s="21"/>
      <c r="AW822" s="21"/>
      <c r="AX822" s="22"/>
    </row>
    <row r="823" spans="1:50" ht="14.25" hidden="1">
      <c r="A823" s="45">
        <v>795</v>
      </c>
      <c r="B823" s="199"/>
      <c r="C823" s="117" t="s">
        <v>1403</v>
      </c>
      <c r="D823" s="117" t="s">
        <v>1404</v>
      </c>
      <c r="E823" s="117" t="s">
        <v>1416</v>
      </c>
      <c r="F823" s="117" t="s">
        <v>177</v>
      </c>
      <c r="G823" s="65"/>
      <c r="H823" s="65"/>
      <c r="I823" s="65"/>
      <c r="J823" s="104"/>
      <c r="K823" s="158"/>
      <c r="L823" s="104"/>
      <c r="M823" s="105"/>
      <c r="N823" s="104"/>
      <c r="O823" s="158"/>
      <c r="P823" s="104"/>
      <c r="Q823" s="105"/>
      <c r="R823" s="104"/>
      <c r="S823" s="158"/>
      <c r="T823" s="104"/>
      <c r="U823" s="105"/>
      <c r="V823" s="104"/>
      <c r="W823" s="105"/>
      <c r="X823" s="104"/>
      <c r="Y823" s="105"/>
      <c r="Z823" s="104"/>
      <c r="AA823" s="105"/>
      <c r="AB823" s="104"/>
      <c r="AC823" s="105"/>
      <c r="AD823" s="104"/>
      <c r="AE823" s="105"/>
      <c r="AF823" s="104"/>
      <c r="AG823" s="105"/>
      <c r="AH823" s="104"/>
      <c r="AI823" s="117">
        <v>2</v>
      </c>
      <c r="AJ823" s="104">
        <f t="shared" si="104"/>
        <v>51000</v>
      </c>
      <c r="AK823" s="105"/>
      <c r="AL823" s="104"/>
      <c r="AM823" s="105"/>
      <c r="AN823" s="104"/>
      <c r="AO823" s="105"/>
      <c r="AP823" s="104"/>
      <c r="AQ823" s="84">
        <f t="shared" si="105"/>
        <v>2</v>
      </c>
      <c r="AR823" s="172">
        <v>25500</v>
      </c>
      <c r="AS823" s="164">
        <f t="shared" si="101"/>
        <v>51000</v>
      </c>
      <c r="AT823" s="21"/>
      <c r="AU823" s="21"/>
      <c r="AV823" s="21"/>
      <c r="AW823" s="21"/>
      <c r="AX823" s="22"/>
    </row>
    <row r="824" spans="1:50" ht="14.25" hidden="1">
      <c r="A824" s="45">
        <v>796</v>
      </c>
      <c r="B824" s="199"/>
      <c r="C824" s="117" t="s">
        <v>1403</v>
      </c>
      <c r="D824" s="117" t="s">
        <v>1404</v>
      </c>
      <c r="E824" s="117" t="s">
        <v>1417</v>
      </c>
      <c r="F824" s="117" t="s">
        <v>130</v>
      </c>
      <c r="G824" s="65"/>
      <c r="H824" s="65"/>
      <c r="I824" s="65"/>
      <c r="J824" s="104"/>
      <c r="K824" s="158"/>
      <c r="L824" s="104"/>
      <c r="M824" s="105"/>
      <c r="N824" s="104"/>
      <c r="O824" s="158"/>
      <c r="P824" s="104"/>
      <c r="Q824" s="105"/>
      <c r="R824" s="104"/>
      <c r="S824" s="158"/>
      <c r="T824" s="104"/>
      <c r="U824" s="105"/>
      <c r="V824" s="104"/>
      <c r="W824" s="105"/>
      <c r="X824" s="104"/>
      <c r="Y824" s="105"/>
      <c r="Z824" s="104"/>
      <c r="AA824" s="105"/>
      <c r="AB824" s="104"/>
      <c r="AC824" s="105"/>
      <c r="AD824" s="104"/>
      <c r="AE824" s="105"/>
      <c r="AF824" s="104"/>
      <c r="AG824" s="105"/>
      <c r="AH824" s="104"/>
      <c r="AI824" s="117">
        <v>4</v>
      </c>
      <c r="AJ824" s="104">
        <f t="shared" si="104"/>
        <v>37800</v>
      </c>
      <c r="AK824" s="105"/>
      <c r="AL824" s="104"/>
      <c r="AM824" s="105"/>
      <c r="AN824" s="104"/>
      <c r="AO824" s="105"/>
      <c r="AP824" s="104"/>
      <c r="AQ824" s="84">
        <f t="shared" si="105"/>
        <v>4</v>
      </c>
      <c r="AR824" s="172">
        <v>9450</v>
      </c>
      <c r="AS824" s="164">
        <f t="shared" si="101"/>
        <v>37800</v>
      </c>
      <c r="AT824" s="21"/>
      <c r="AU824" s="21"/>
      <c r="AV824" s="21"/>
      <c r="AW824" s="21"/>
      <c r="AX824" s="22"/>
    </row>
    <row r="825" spans="1:50" ht="14.25" hidden="1">
      <c r="A825" s="45">
        <v>797</v>
      </c>
      <c r="B825" s="199"/>
      <c r="C825" s="117" t="s">
        <v>1403</v>
      </c>
      <c r="D825" s="117" t="s">
        <v>1404</v>
      </c>
      <c r="E825" s="117" t="s">
        <v>1418</v>
      </c>
      <c r="F825" s="117" t="s">
        <v>17</v>
      </c>
      <c r="G825" s="65"/>
      <c r="H825" s="65"/>
      <c r="I825" s="65"/>
      <c r="J825" s="104"/>
      <c r="K825" s="158"/>
      <c r="L825" s="104"/>
      <c r="M825" s="105"/>
      <c r="N825" s="104"/>
      <c r="O825" s="158"/>
      <c r="P825" s="104"/>
      <c r="Q825" s="105"/>
      <c r="R825" s="104"/>
      <c r="S825" s="158"/>
      <c r="T825" s="104"/>
      <c r="U825" s="105"/>
      <c r="V825" s="104"/>
      <c r="W825" s="105"/>
      <c r="X825" s="104"/>
      <c r="Y825" s="105"/>
      <c r="Z825" s="104"/>
      <c r="AA825" s="105"/>
      <c r="AB825" s="104"/>
      <c r="AC825" s="105"/>
      <c r="AD825" s="104"/>
      <c r="AE825" s="105"/>
      <c r="AF825" s="104"/>
      <c r="AG825" s="105"/>
      <c r="AH825" s="104"/>
      <c r="AI825" s="117">
        <v>2</v>
      </c>
      <c r="AJ825" s="104">
        <f t="shared" si="104"/>
        <v>41000</v>
      </c>
      <c r="AK825" s="105"/>
      <c r="AL825" s="104"/>
      <c r="AM825" s="105"/>
      <c r="AN825" s="104"/>
      <c r="AO825" s="105"/>
      <c r="AP825" s="104"/>
      <c r="AQ825" s="84">
        <f t="shared" si="105"/>
        <v>2</v>
      </c>
      <c r="AR825" s="172">
        <v>20500</v>
      </c>
      <c r="AS825" s="164">
        <f t="shared" si="101"/>
        <v>41000</v>
      </c>
      <c r="AT825" s="21"/>
      <c r="AU825" s="21"/>
      <c r="AV825" s="21"/>
      <c r="AW825" s="21"/>
      <c r="AX825" s="22"/>
    </row>
    <row r="826" spans="1:50" ht="14.25" hidden="1">
      <c r="A826" s="45">
        <v>798</v>
      </c>
      <c r="B826" s="199"/>
      <c r="C826" s="117" t="s">
        <v>1403</v>
      </c>
      <c r="D826" s="117" t="s">
        <v>1404</v>
      </c>
      <c r="E826" s="117" t="s">
        <v>1419</v>
      </c>
      <c r="F826" s="117" t="s">
        <v>177</v>
      </c>
      <c r="G826" s="65"/>
      <c r="H826" s="65"/>
      <c r="I826" s="65"/>
      <c r="J826" s="104"/>
      <c r="K826" s="158"/>
      <c r="L826" s="104"/>
      <c r="M826" s="105"/>
      <c r="N826" s="104"/>
      <c r="O826" s="158"/>
      <c r="P826" s="104"/>
      <c r="Q826" s="105"/>
      <c r="R826" s="104"/>
      <c r="S826" s="158"/>
      <c r="T826" s="104"/>
      <c r="U826" s="105"/>
      <c r="V826" s="104"/>
      <c r="W826" s="105"/>
      <c r="X826" s="104"/>
      <c r="Y826" s="105"/>
      <c r="Z826" s="104"/>
      <c r="AA826" s="105"/>
      <c r="AB826" s="104"/>
      <c r="AC826" s="105"/>
      <c r="AD826" s="104"/>
      <c r="AE826" s="105"/>
      <c r="AF826" s="104"/>
      <c r="AG826" s="105"/>
      <c r="AH826" s="104"/>
      <c r="AI826" s="117">
        <v>40</v>
      </c>
      <c r="AJ826" s="104">
        <f t="shared" si="104"/>
        <v>22960</v>
      </c>
      <c r="AK826" s="105"/>
      <c r="AL826" s="104"/>
      <c r="AM826" s="105"/>
      <c r="AN826" s="104"/>
      <c r="AO826" s="105"/>
      <c r="AP826" s="104"/>
      <c r="AQ826" s="84">
        <f t="shared" si="105"/>
        <v>40</v>
      </c>
      <c r="AR826" s="172">
        <v>574</v>
      </c>
      <c r="AS826" s="164">
        <f t="shared" si="101"/>
        <v>22960</v>
      </c>
      <c r="AT826" s="21"/>
      <c r="AU826" s="21"/>
      <c r="AV826" s="21"/>
      <c r="AW826" s="21"/>
      <c r="AX826" s="22"/>
    </row>
    <row r="827" spans="1:50" ht="14.25" hidden="1">
      <c r="A827" s="45">
        <v>799</v>
      </c>
      <c r="B827" s="199"/>
      <c r="C827" s="117" t="s">
        <v>1403</v>
      </c>
      <c r="D827" s="117" t="s">
        <v>1404</v>
      </c>
      <c r="E827" s="117" t="s">
        <v>1420</v>
      </c>
      <c r="F827" s="117" t="s">
        <v>288</v>
      </c>
      <c r="G827" s="65"/>
      <c r="H827" s="65"/>
      <c r="I827" s="65"/>
      <c r="J827" s="104"/>
      <c r="K827" s="158"/>
      <c r="L827" s="104"/>
      <c r="M827" s="105"/>
      <c r="N827" s="104"/>
      <c r="O827" s="158"/>
      <c r="P827" s="104"/>
      <c r="Q827" s="105"/>
      <c r="R827" s="104"/>
      <c r="S827" s="158"/>
      <c r="T827" s="104"/>
      <c r="U827" s="105"/>
      <c r="V827" s="104"/>
      <c r="W827" s="105"/>
      <c r="X827" s="104"/>
      <c r="Y827" s="105"/>
      <c r="Z827" s="104"/>
      <c r="AA827" s="105"/>
      <c r="AB827" s="104"/>
      <c r="AC827" s="105"/>
      <c r="AD827" s="104"/>
      <c r="AE827" s="105"/>
      <c r="AF827" s="104"/>
      <c r="AG827" s="105"/>
      <c r="AH827" s="104"/>
      <c r="AI827" s="117">
        <v>20</v>
      </c>
      <c r="AJ827" s="104">
        <f t="shared" si="104"/>
        <v>441000</v>
      </c>
      <c r="AK827" s="105"/>
      <c r="AL827" s="104"/>
      <c r="AM827" s="105"/>
      <c r="AN827" s="104"/>
      <c r="AO827" s="105"/>
      <c r="AP827" s="104"/>
      <c r="AQ827" s="84">
        <f t="shared" si="105"/>
        <v>20</v>
      </c>
      <c r="AR827" s="172">
        <v>22050</v>
      </c>
      <c r="AS827" s="164">
        <f t="shared" si="101"/>
        <v>441000</v>
      </c>
      <c r="AT827" s="21"/>
      <c r="AU827" s="21"/>
      <c r="AV827" s="21"/>
      <c r="AW827" s="21"/>
      <c r="AX827" s="22"/>
    </row>
    <row r="828" spans="1:50" ht="14.25" hidden="1">
      <c r="A828" s="45">
        <v>800</v>
      </c>
      <c r="B828" s="199"/>
      <c r="C828" s="117" t="s">
        <v>1403</v>
      </c>
      <c r="D828" s="117" t="s">
        <v>1404</v>
      </c>
      <c r="E828" s="117" t="s">
        <v>1421</v>
      </c>
      <c r="F828" s="117" t="s">
        <v>288</v>
      </c>
      <c r="G828" s="65"/>
      <c r="H828" s="65"/>
      <c r="I828" s="65"/>
      <c r="J828" s="104"/>
      <c r="K828" s="158"/>
      <c r="L828" s="104"/>
      <c r="M828" s="105"/>
      <c r="N828" s="104"/>
      <c r="O828" s="158"/>
      <c r="P828" s="104"/>
      <c r="Q828" s="105"/>
      <c r="R828" s="104"/>
      <c r="S828" s="158"/>
      <c r="T828" s="104"/>
      <c r="U828" s="105"/>
      <c r="V828" s="104"/>
      <c r="W828" s="105"/>
      <c r="X828" s="104"/>
      <c r="Y828" s="105"/>
      <c r="Z828" s="104"/>
      <c r="AA828" s="105"/>
      <c r="AB828" s="104"/>
      <c r="AC828" s="105"/>
      <c r="AD828" s="104"/>
      <c r="AE828" s="105"/>
      <c r="AF828" s="104"/>
      <c r="AG828" s="105"/>
      <c r="AH828" s="104"/>
      <c r="AI828" s="117">
        <v>16</v>
      </c>
      <c r="AJ828" s="104">
        <f t="shared" si="104"/>
        <v>48160</v>
      </c>
      <c r="AK828" s="105"/>
      <c r="AL828" s="104"/>
      <c r="AM828" s="105"/>
      <c r="AN828" s="104"/>
      <c r="AO828" s="105"/>
      <c r="AP828" s="104"/>
      <c r="AQ828" s="84">
        <f t="shared" si="105"/>
        <v>16</v>
      </c>
      <c r="AR828" s="172">
        <v>3010</v>
      </c>
      <c r="AS828" s="164">
        <f t="shared" si="101"/>
        <v>48160</v>
      </c>
      <c r="AT828" s="21"/>
      <c r="AU828" s="21"/>
      <c r="AV828" s="21"/>
      <c r="AW828" s="21"/>
      <c r="AX828" s="22"/>
    </row>
    <row r="829" spans="1:50" ht="14.25" hidden="1">
      <c r="A829" s="45">
        <v>801</v>
      </c>
      <c r="B829" s="199"/>
      <c r="C829" s="117" t="s">
        <v>1403</v>
      </c>
      <c r="D829" s="117" t="s">
        <v>1404</v>
      </c>
      <c r="E829" s="117" t="s">
        <v>1422</v>
      </c>
      <c r="F829" s="117" t="s">
        <v>288</v>
      </c>
      <c r="G829" s="65"/>
      <c r="H829" s="65"/>
      <c r="I829" s="65"/>
      <c r="J829" s="104"/>
      <c r="K829" s="158"/>
      <c r="L829" s="104"/>
      <c r="M829" s="105"/>
      <c r="N829" s="104"/>
      <c r="O829" s="158"/>
      <c r="P829" s="104"/>
      <c r="Q829" s="105"/>
      <c r="R829" s="104"/>
      <c r="S829" s="158"/>
      <c r="T829" s="104"/>
      <c r="U829" s="105"/>
      <c r="V829" s="104"/>
      <c r="W829" s="105"/>
      <c r="X829" s="104"/>
      <c r="Y829" s="105"/>
      <c r="Z829" s="104"/>
      <c r="AA829" s="105"/>
      <c r="AB829" s="104"/>
      <c r="AC829" s="105"/>
      <c r="AD829" s="104"/>
      <c r="AE829" s="105"/>
      <c r="AF829" s="104"/>
      <c r="AG829" s="105"/>
      <c r="AH829" s="104"/>
      <c r="AI829" s="117">
        <v>20</v>
      </c>
      <c r="AJ829" s="104">
        <f t="shared" si="104"/>
        <v>18000</v>
      </c>
      <c r="AK829" s="105"/>
      <c r="AL829" s="104"/>
      <c r="AM829" s="105"/>
      <c r="AN829" s="104"/>
      <c r="AO829" s="105"/>
      <c r="AP829" s="104"/>
      <c r="AQ829" s="84">
        <f t="shared" si="105"/>
        <v>20</v>
      </c>
      <c r="AR829" s="172">
        <v>900</v>
      </c>
      <c r="AS829" s="164">
        <f t="shared" si="101"/>
        <v>18000</v>
      </c>
      <c r="AT829" s="21"/>
      <c r="AU829" s="21"/>
      <c r="AV829" s="21"/>
      <c r="AW829" s="21"/>
      <c r="AX829" s="22"/>
    </row>
    <row r="830" spans="1:50" ht="14.25" hidden="1">
      <c r="A830" s="45">
        <v>802</v>
      </c>
      <c r="B830" s="199"/>
      <c r="C830" s="117" t="s">
        <v>1403</v>
      </c>
      <c r="D830" s="117" t="s">
        <v>1404</v>
      </c>
      <c r="E830" s="117" t="s">
        <v>1423</v>
      </c>
      <c r="F830" s="117" t="s">
        <v>1370</v>
      </c>
      <c r="G830" s="65"/>
      <c r="H830" s="65"/>
      <c r="I830" s="65"/>
      <c r="J830" s="104"/>
      <c r="K830" s="158"/>
      <c r="L830" s="104"/>
      <c r="M830" s="105"/>
      <c r="N830" s="104"/>
      <c r="O830" s="158"/>
      <c r="P830" s="104"/>
      <c r="Q830" s="105"/>
      <c r="R830" s="104"/>
      <c r="S830" s="158"/>
      <c r="T830" s="104"/>
      <c r="U830" s="105"/>
      <c r="V830" s="104"/>
      <c r="W830" s="105"/>
      <c r="X830" s="104"/>
      <c r="Y830" s="105"/>
      <c r="Z830" s="104"/>
      <c r="AA830" s="105"/>
      <c r="AB830" s="104"/>
      <c r="AC830" s="105"/>
      <c r="AD830" s="104"/>
      <c r="AE830" s="105"/>
      <c r="AF830" s="104"/>
      <c r="AG830" s="105"/>
      <c r="AH830" s="104"/>
      <c r="AI830" s="117">
        <v>70</v>
      </c>
      <c r="AJ830" s="104">
        <f t="shared" si="104"/>
        <v>130900</v>
      </c>
      <c r="AK830" s="105"/>
      <c r="AL830" s="104"/>
      <c r="AM830" s="105"/>
      <c r="AN830" s="104"/>
      <c r="AO830" s="105"/>
      <c r="AP830" s="104"/>
      <c r="AQ830" s="84">
        <f t="shared" si="105"/>
        <v>70</v>
      </c>
      <c r="AR830" s="172">
        <v>1870</v>
      </c>
      <c r="AS830" s="164">
        <f t="shared" si="101"/>
        <v>130900</v>
      </c>
      <c r="AT830" s="21"/>
      <c r="AU830" s="21"/>
      <c r="AV830" s="21"/>
      <c r="AW830" s="21"/>
      <c r="AX830" s="22"/>
    </row>
    <row r="831" spans="1:50" ht="15.75" hidden="1">
      <c r="A831" s="60"/>
      <c r="B831" s="195"/>
      <c r="C831" s="132"/>
      <c r="D831" s="65"/>
      <c r="E831" s="256" t="s">
        <v>291</v>
      </c>
      <c r="F831" s="65"/>
      <c r="G831" s="37"/>
      <c r="H831" s="37"/>
      <c r="I831" s="37"/>
      <c r="J831" s="35"/>
      <c r="K831" s="36"/>
      <c r="L831" s="35"/>
      <c r="M831" s="39"/>
      <c r="N831" s="35"/>
      <c r="O831" s="36"/>
      <c r="P831" s="35"/>
      <c r="Q831" s="39"/>
      <c r="R831" s="35"/>
      <c r="S831" s="36"/>
      <c r="T831" s="35"/>
      <c r="U831" s="39"/>
      <c r="V831" s="35"/>
      <c r="W831" s="39"/>
      <c r="X831" s="35"/>
      <c r="Y831" s="39"/>
      <c r="Z831" s="35"/>
      <c r="AA831" s="39"/>
      <c r="AB831" s="35"/>
      <c r="AC831" s="39"/>
      <c r="AD831" s="35"/>
      <c r="AE831" s="39"/>
      <c r="AF831" s="35"/>
      <c r="AG831" s="39"/>
      <c r="AH831" s="35"/>
      <c r="AI831" s="39"/>
      <c r="AJ831" s="35"/>
      <c r="AK831" s="39"/>
      <c r="AL831" s="35"/>
      <c r="AM831" s="39"/>
      <c r="AN831" s="35"/>
      <c r="AO831" s="39"/>
      <c r="AP831" s="35"/>
      <c r="AQ831" s="84"/>
      <c r="AR831" s="143"/>
      <c r="AS831" s="219">
        <f>SUM(AS703:AS830)</f>
        <v>120848896</v>
      </c>
      <c r="AT831" s="21"/>
      <c r="AU831" s="21"/>
      <c r="AV831" s="21"/>
      <c r="AW831" s="21"/>
      <c r="AX831" s="22"/>
    </row>
    <row r="832" spans="1:50" ht="14.25" hidden="1">
      <c r="A832" s="60">
        <v>803</v>
      </c>
      <c r="B832" s="195"/>
      <c r="C832" s="60" t="s">
        <v>292</v>
      </c>
      <c r="D832" s="33">
        <v>295</v>
      </c>
      <c r="E832" s="33" t="s">
        <v>293</v>
      </c>
      <c r="F832" s="33" t="s">
        <v>17</v>
      </c>
      <c r="G832" s="33"/>
      <c r="H832" s="33"/>
      <c r="I832" s="33">
        <v>20</v>
      </c>
      <c r="J832" s="136">
        <f>+I832*AR832</f>
        <v>225600</v>
      </c>
      <c r="K832" s="126"/>
      <c r="L832" s="127"/>
      <c r="M832" s="128"/>
      <c r="N832" s="136"/>
      <c r="O832" s="126"/>
      <c r="P832" s="136"/>
      <c r="Q832" s="128"/>
      <c r="R832" s="136"/>
      <c r="S832" s="126"/>
      <c r="T832" s="136"/>
      <c r="U832" s="128"/>
      <c r="V832" s="136"/>
      <c r="W832" s="128"/>
      <c r="X832" s="136"/>
      <c r="Y832" s="128"/>
      <c r="Z832" s="136"/>
      <c r="AA832" s="128"/>
      <c r="AB832" s="136"/>
      <c r="AC832" s="128"/>
      <c r="AD832" s="136"/>
      <c r="AE832" s="128"/>
      <c r="AF832" s="136"/>
      <c r="AG832" s="128"/>
      <c r="AH832" s="136"/>
      <c r="AI832" s="128"/>
      <c r="AJ832" s="136"/>
      <c r="AK832" s="128"/>
      <c r="AL832" s="136"/>
      <c r="AM832" s="128"/>
      <c r="AN832" s="136"/>
      <c r="AO832" s="128"/>
      <c r="AP832" s="136"/>
      <c r="AQ832" s="84">
        <f t="shared" si="105"/>
        <v>20</v>
      </c>
      <c r="AR832" s="171">
        <v>11280</v>
      </c>
      <c r="AS832" s="164">
        <f>+AQ832*AR832</f>
        <v>225600</v>
      </c>
      <c r="AT832" s="90"/>
      <c r="AU832" s="91"/>
      <c r="AV832" s="91"/>
      <c r="AW832" s="91"/>
      <c r="AX832" s="92"/>
    </row>
    <row r="833" spans="1:50" ht="14.25" hidden="1">
      <c r="A833" s="60">
        <v>804</v>
      </c>
      <c r="B833" s="199"/>
      <c r="C833" s="60" t="s">
        <v>292</v>
      </c>
      <c r="D833" s="33">
        <v>295</v>
      </c>
      <c r="E833" s="54" t="s">
        <v>306</v>
      </c>
      <c r="F833" s="139" t="s">
        <v>270</v>
      </c>
      <c r="G833" s="37"/>
      <c r="H833" s="37"/>
      <c r="I833" s="139">
        <v>80000</v>
      </c>
      <c r="J833" s="136">
        <f t="shared" ref="J833:J853" si="106">+I833*AR833</f>
        <v>2320000</v>
      </c>
      <c r="K833" s="126"/>
      <c r="L833" s="127"/>
      <c r="M833" s="128"/>
      <c r="N833" s="136"/>
      <c r="O833" s="126"/>
      <c r="P833" s="136"/>
      <c r="Q833" s="128"/>
      <c r="R833" s="136"/>
      <c r="S833" s="126"/>
      <c r="T833" s="136"/>
      <c r="U833" s="128"/>
      <c r="V833" s="136"/>
      <c r="W833" s="128"/>
      <c r="X833" s="136"/>
      <c r="Y833" s="128"/>
      <c r="Z833" s="136"/>
      <c r="AA833" s="128"/>
      <c r="AB833" s="136"/>
      <c r="AC833" s="128"/>
      <c r="AD833" s="136"/>
      <c r="AE833" s="128"/>
      <c r="AF833" s="136"/>
      <c r="AG833" s="128"/>
      <c r="AH833" s="136"/>
      <c r="AI833" s="128"/>
      <c r="AJ833" s="136"/>
      <c r="AK833" s="128"/>
      <c r="AL833" s="136"/>
      <c r="AM833" s="128"/>
      <c r="AN833" s="136"/>
      <c r="AO833" s="128"/>
      <c r="AP833" s="136"/>
      <c r="AQ833" s="84">
        <f t="shared" si="105"/>
        <v>80000</v>
      </c>
      <c r="AR833" s="171">
        <v>29</v>
      </c>
      <c r="AS833" s="164">
        <f t="shared" ref="AS833:AS876" si="107">+AQ833*AR833</f>
        <v>2320000</v>
      </c>
      <c r="AT833" s="90"/>
      <c r="AU833" s="91"/>
      <c r="AV833" s="91"/>
      <c r="AW833" s="91"/>
      <c r="AX833" s="92"/>
    </row>
    <row r="834" spans="1:50" ht="14.25" hidden="1">
      <c r="A834" s="60">
        <v>805</v>
      </c>
      <c r="B834" s="34"/>
      <c r="C834" s="60" t="s">
        <v>292</v>
      </c>
      <c r="D834" s="33">
        <v>295</v>
      </c>
      <c r="E834" s="54" t="s">
        <v>305</v>
      </c>
      <c r="F834" s="139" t="s">
        <v>309</v>
      </c>
      <c r="G834" s="37"/>
      <c r="H834" s="37"/>
      <c r="I834" s="139">
        <v>500</v>
      </c>
      <c r="J834" s="136">
        <f t="shared" si="106"/>
        <v>792000</v>
      </c>
      <c r="K834" s="126"/>
      <c r="L834" s="127"/>
      <c r="M834" s="128"/>
      <c r="N834" s="136"/>
      <c r="O834" s="126"/>
      <c r="P834" s="136"/>
      <c r="Q834" s="128"/>
      <c r="R834" s="136"/>
      <c r="S834" s="126"/>
      <c r="T834" s="136"/>
      <c r="U834" s="128"/>
      <c r="V834" s="136"/>
      <c r="W834" s="128"/>
      <c r="X834" s="136"/>
      <c r="Y834" s="128"/>
      <c r="Z834" s="136"/>
      <c r="AA834" s="128"/>
      <c r="AB834" s="136"/>
      <c r="AC834" s="128"/>
      <c r="AD834" s="136"/>
      <c r="AE834" s="128"/>
      <c r="AF834" s="136"/>
      <c r="AG834" s="128"/>
      <c r="AH834" s="136"/>
      <c r="AI834" s="128"/>
      <c r="AJ834" s="136"/>
      <c r="AK834" s="128"/>
      <c r="AL834" s="136"/>
      <c r="AM834" s="128"/>
      <c r="AN834" s="136"/>
      <c r="AO834" s="128"/>
      <c r="AP834" s="136"/>
      <c r="AQ834" s="84">
        <f t="shared" si="105"/>
        <v>500</v>
      </c>
      <c r="AR834" s="171">
        <v>1584</v>
      </c>
      <c r="AS834" s="164">
        <f t="shared" si="107"/>
        <v>792000</v>
      </c>
      <c r="AT834" s="90"/>
      <c r="AU834" s="91"/>
      <c r="AV834" s="91"/>
      <c r="AW834" s="91"/>
      <c r="AX834" s="92"/>
    </row>
    <row r="835" spans="1:50" ht="14.25" hidden="1">
      <c r="A835" s="60">
        <v>806</v>
      </c>
      <c r="B835" s="88"/>
      <c r="C835" s="60" t="s">
        <v>292</v>
      </c>
      <c r="D835" s="33">
        <v>295</v>
      </c>
      <c r="E835" s="54" t="s">
        <v>304</v>
      </c>
      <c r="F835" s="139" t="s">
        <v>270</v>
      </c>
      <c r="G835" s="34"/>
      <c r="H835" s="34"/>
      <c r="I835" s="139">
        <v>20</v>
      </c>
      <c r="J835" s="136">
        <f t="shared" si="106"/>
        <v>6120</v>
      </c>
      <c r="K835" s="126"/>
      <c r="L835" s="127"/>
      <c r="M835" s="128"/>
      <c r="N835" s="136"/>
      <c r="O835" s="126"/>
      <c r="P835" s="136"/>
      <c r="Q835" s="128"/>
      <c r="R835" s="136"/>
      <c r="S835" s="126"/>
      <c r="T835" s="136"/>
      <c r="U835" s="128"/>
      <c r="V835" s="136"/>
      <c r="W835" s="128"/>
      <c r="X835" s="136"/>
      <c r="Y835" s="128"/>
      <c r="Z835" s="136"/>
      <c r="AA835" s="128"/>
      <c r="AB835" s="136"/>
      <c r="AC835" s="128"/>
      <c r="AD835" s="136"/>
      <c r="AE835" s="128"/>
      <c r="AF835" s="136"/>
      <c r="AG835" s="128"/>
      <c r="AH835" s="136"/>
      <c r="AI835" s="128"/>
      <c r="AJ835" s="136"/>
      <c r="AK835" s="128"/>
      <c r="AL835" s="136"/>
      <c r="AM835" s="128"/>
      <c r="AN835" s="136"/>
      <c r="AO835" s="128"/>
      <c r="AP835" s="136"/>
      <c r="AQ835" s="84">
        <f t="shared" si="105"/>
        <v>20</v>
      </c>
      <c r="AR835" s="171">
        <v>306</v>
      </c>
      <c r="AS835" s="164">
        <f t="shared" si="107"/>
        <v>6120</v>
      </c>
      <c r="AT835" s="90"/>
      <c r="AU835" s="91"/>
      <c r="AV835" s="91"/>
      <c r="AW835" s="91"/>
      <c r="AX835" s="92"/>
    </row>
    <row r="836" spans="1:50" ht="14.25" hidden="1">
      <c r="A836" s="60">
        <v>807</v>
      </c>
      <c r="B836" s="88"/>
      <c r="C836" s="60" t="s">
        <v>292</v>
      </c>
      <c r="D836" s="33">
        <v>295</v>
      </c>
      <c r="E836" s="54" t="s">
        <v>303</v>
      </c>
      <c r="F836" s="139" t="s">
        <v>270</v>
      </c>
      <c r="G836" s="37"/>
      <c r="H836" s="37"/>
      <c r="I836" s="139">
        <v>50</v>
      </c>
      <c r="J836" s="136">
        <f t="shared" si="106"/>
        <v>11600</v>
      </c>
      <c r="K836" s="126"/>
      <c r="L836" s="127"/>
      <c r="M836" s="128"/>
      <c r="N836" s="136"/>
      <c r="O836" s="126"/>
      <c r="P836" s="136"/>
      <c r="Q836" s="128"/>
      <c r="R836" s="136"/>
      <c r="S836" s="126"/>
      <c r="T836" s="136"/>
      <c r="U836" s="128"/>
      <c r="V836" s="136"/>
      <c r="W836" s="128"/>
      <c r="X836" s="136"/>
      <c r="Y836" s="128"/>
      <c r="Z836" s="136"/>
      <c r="AA836" s="128"/>
      <c r="AB836" s="136"/>
      <c r="AC836" s="128"/>
      <c r="AD836" s="136"/>
      <c r="AE836" s="128"/>
      <c r="AF836" s="136"/>
      <c r="AG836" s="128"/>
      <c r="AH836" s="136"/>
      <c r="AI836" s="128"/>
      <c r="AJ836" s="136"/>
      <c r="AK836" s="128"/>
      <c r="AL836" s="136"/>
      <c r="AM836" s="128"/>
      <c r="AN836" s="136"/>
      <c r="AO836" s="128"/>
      <c r="AP836" s="136"/>
      <c r="AQ836" s="84">
        <f t="shared" si="105"/>
        <v>50</v>
      </c>
      <c r="AR836" s="171">
        <v>232</v>
      </c>
      <c r="AS836" s="164">
        <f t="shared" si="107"/>
        <v>11600</v>
      </c>
      <c r="AT836" s="93"/>
      <c r="AU836" s="93"/>
      <c r="AV836" s="93"/>
      <c r="AW836" s="93"/>
      <c r="AX836" s="94"/>
    </row>
    <row r="837" spans="1:50" ht="14.25" hidden="1">
      <c r="A837" s="60">
        <v>808</v>
      </c>
      <c r="B837" s="37"/>
      <c r="C837" s="60" t="s">
        <v>292</v>
      </c>
      <c r="D837" s="33">
        <v>295</v>
      </c>
      <c r="E837" s="54" t="s">
        <v>302</v>
      </c>
      <c r="F837" s="139" t="s">
        <v>308</v>
      </c>
      <c r="G837" s="37"/>
      <c r="H837" s="37"/>
      <c r="I837" s="139">
        <v>400</v>
      </c>
      <c r="J837" s="136">
        <f t="shared" si="106"/>
        <v>49200</v>
      </c>
      <c r="K837" s="126"/>
      <c r="L837" s="127"/>
      <c r="M837" s="128"/>
      <c r="N837" s="136"/>
      <c r="O837" s="126"/>
      <c r="P837" s="136"/>
      <c r="Q837" s="128"/>
      <c r="R837" s="136"/>
      <c r="S837" s="126"/>
      <c r="T837" s="136"/>
      <c r="U837" s="128"/>
      <c r="V837" s="136"/>
      <c r="W837" s="128"/>
      <c r="X837" s="136"/>
      <c r="Y837" s="128"/>
      <c r="Z837" s="136"/>
      <c r="AA837" s="128"/>
      <c r="AB837" s="136"/>
      <c r="AC837" s="128"/>
      <c r="AD837" s="136"/>
      <c r="AE837" s="128"/>
      <c r="AF837" s="136"/>
      <c r="AG837" s="128"/>
      <c r="AH837" s="136"/>
      <c r="AI837" s="128"/>
      <c r="AJ837" s="136"/>
      <c r="AK837" s="128"/>
      <c r="AL837" s="136"/>
      <c r="AM837" s="128"/>
      <c r="AN837" s="136"/>
      <c r="AO837" s="128"/>
      <c r="AP837" s="136"/>
      <c r="AQ837" s="84">
        <f t="shared" si="105"/>
        <v>400</v>
      </c>
      <c r="AR837" s="171">
        <v>123</v>
      </c>
      <c r="AS837" s="164">
        <f t="shared" si="107"/>
        <v>49200</v>
      </c>
      <c r="AT837" s="384"/>
      <c r="AU837" s="384"/>
      <c r="AV837" s="384"/>
      <c r="AW837" s="384"/>
      <c r="AX837" s="385"/>
    </row>
    <row r="838" spans="1:50" ht="14.25" hidden="1">
      <c r="A838" s="60">
        <v>809</v>
      </c>
      <c r="B838" s="37"/>
      <c r="C838" s="60" t="s">
        <v>292</v>
      </c>
      <c r="D838" s="33">
        <v>295</v>
      </c>
      <c r="E838" s="54" t="s">
        <v>301</v>
      </c>
      <c r="F838" s="139" t="s">
        <v>270</v>
      </c>
      <c r="G838" s="33"/>
      <c r="H838" s="33"/>
      <c r="I838" s="139">
        <v>500</v>
      </c>
      <c r="J838" s="136">
        <f t="shared" si="106"/>
        <v>114500</v>
      </c>
      <c r="K838" s="126"/>
      <c r="L838" s="127"/>
      <c r="M838" s="128"/>
      <c r="N838" s="136"/>
      <c r="O838" s="126"/>
      <c r="P838" s="136"/>
      <c r="Q838" s="128"/>
      <c r="R838" s="136"/>
      <c r="S838" s="126"/>
      <c r="T838" s="136"/>
      <c r="U838" s="128"/>
      <c r="V838" s="136"/>
      <c r="W838" s="128"/>
      <c r="X838" s="136"/>
      <c r="Y838" s="128"/>
      <c r="Z838" s="136"/>
      <c r="AA838" s="128"/>
      <c r="AB838" s="136"/>
      <c r="AC838" s="128"/>
      <c r="AD838" s="136"/>
      <c r="AE838" s="128"/>
      <c r="AF838" s="136"/>
      <c r="AG838" s="128"/>
      <c r="AH838" s="136"/>
      <c r="AI838" s="128"/>
      <c r="AJ838" s="136"/>
      <c r="AK838" s="128"/>
      <c r="AL838" s="136"/>
      <c r="AM838" s="128"/>
      <c r="AN838" s="136"/>
      <c r="AO838" s="128"/>
      <c r="AP838" s="136"/>
      <c r="AQ838" s="84">
        <f t="shared" si="105"/>
        <v>500</v>
      </c>
      <c r="AR838" s="171">
        <v>229</v>
      </c>
      <c r="AS838" s="164">
        <f t="shared" si="107"/>
        <v>114500</v>
      </c>
      <c r="AT838" s="386"/>
      <c r="AU838" s="386"/>
      <c r="AV838" s="386"/>
      <c r="AW838" s="386"/>
      <c r="AX838" s="387"/>
    </row>
    <row r="839" spans="1:50" ht="14.25" hidden="1">
      <c r="A839" s="60">
        <v>810</v>
      </c>
      <c r="B839" s="195"/>
      <c r="C839" s="60" t="s">
        <v>292</v>
      </c>
      <c r="D839" s="33">
        <v>295</v>
      </c>
      <c r="E839" s="54" t="s">
        <v>300</v>
      </c>
      <c r="F839" s="139" t="s">
        <v>307</v>
      </c>
      <c r="G839" s="33"/>
      <c r="H839" s="33"/>
      <c r="I839" s="139">
        <v>50</v>
      </c>
      <c r="J839" s="136">
        <f t="shared" si="106"/>
        <v>176500</v>
      </c>
      <c r="K839" s="126"/>
      <c r="L839" s="127"/>
      <c r="M839" s="128"/>
      <c r="N839" s="136"/>
      <c r="O839" s="126"/>
      <c r="P839" s="136"/>
      <c r="Q839" s="128"/>
      <c r="R839" s="136"/>
      <c r="S839" s="126"/>
      <c r="T839" s="136"/>
      <c r="U839" s="128"/>
      <c r="V839" s="136"/>
      <c r="W839" s="128"/>
      <c r="X839" s="136"/>
      <c r="Y839" s="128"/>
      <c r="Z839" s="136"/>
      <c r="AA839" s="128"/>
      <c r="AB839" s="136"/>
      <c r="AC839" s="128"/>
      <c r="AD839" s="136"/>
      <c r="AE839" s="128"/>
      <c r="AF839" s="136"/>
      <c r="AG839" s="128"/>
      <c r="AH839" s="136"/>
      <c r="AI839" s="128"/>
      <c r="AJ839" s="136"/>
      <c r="AK839" s="128"/>
      <c r="AL839" s="136"/>
      <c r="AM839" s="128"/>
      <c r="AN839" s="136"/>
      <c r="AO839" s="128"/>
      <c r="AP839" s="136"/>
      <c r="AQ839" s="84">
        <f t="shared" si="105"/>
        <v>50</v>
      </c>
      <c r="AR839" s="171">
        <v>3530</v>
      </c>
      <c r="AS839" s="164">
        <f t="shared" si="107"/>
        <v>176500</v>
      </c>
    </row>
    <row r="840" spans="1:50" ht="14.25" hidden="1">
      <c r="A840" s="60">
        <v>811</v>
      </c>
      <c r="B840" s="37"/>
      <c r="C840" s="60" t="s">
        <v>292</v>
      </c>
      <c r="D840" s="33">
        <v>295</v>
      </c>
      <c r="E840" s="54" t="s">
        <v>299</v>
      </c>
      <c r="F840" s="139" t="s">
        <v>270</v>
      </c>
      <c r="G840" s="34"/>
      <c r="H840" s="34"/>
      <c r="I840" s="139">
        <v>100</v>
      </c>
      <c r="J840" s="136">
        <f t="shared" si="106"/>
        <v>75000</v>
      </c>
      <c r="K840" s="126"/>
      <c r="L840" s="127"/>
      <c r="M840" s="128"/>
      <c r="N840" s="136"/>
      <c r="O840" s="126"/>
      <c r="P840" s="136"/>
      <c r="Q840" s="128"/>
      <c r="R840" s="136"/>
      <c r="S840" s="126"/>
      <c r="T840" s="136"/>
      <c r="U840" s="128"/>
      <c r="V840" s="136"/>
      <c r="W840" s="128"/>
      <c r="X840" s="136"/>
      <c r="Y840" s="128"/>
      <c r="Z840" s="136"/>
      <c r="AA840" s="128"/>
      <c r="AB840" s="136"/>
      <c r="AC840" s="128"/>
      <c r="AD840" s="136"/>
      <c r="AE840" s="128"/>
      <c r="AF840" s="136"/>
      <c r="AG840" s="128"/>
      <c r="AH840" s="136"/>
      <c r="AI840" s="128"/>
      <c r="AJ840" s="136"/>
      <c r="AK840" s="128"/>
      <c r="AL840" s="136"/>
      <c r="AM840" s="128"/>
      <c r="AN840" s="136"/>
      <c r="AO840" s="128"/>
      <c r="AP840" s="136"/>
      <c r="AQ840" s="84">
        <f t="shared" si="105"/>
        <v>100</v>
      </c>
      <c r="AR840" s="171">
        <v>750</v>
      </c>
      <c r="AS840" s="164">
        <f t="shared" si="107"/>
        <v>75000</v>
      </c>
    </row>
    <row r="841" spans="1:50" ht="14.25" hidden="1">
      <c r="A841" s="60">
        <v>812</v>
      </c>
      <c r="B841" s="37"/>
      <c r="C841" s="60" t="s">
        <v>292</v>
      </c>
      <c r="D841" s="33">
        <v>295</v>
      </c>
      <c r="E841" s="54" t="s">
        <v>298</v>
      </c>
      <c r="F841" s="139" t="s">
        <v>270</v>
      </c>
      <c r="G841" s="37"/>
      <c r="H841" s="37"/>
      <c r="I841" s="139">
        <v>20</v>
      </c>
      <c r="J841" s="136">
        <f t="shared" si="106"/>
        <v>48840</v>
      </c>
      <c r="K841" s="126"/>
      <c r="L841" s="127"/>
      <c r="M841" s="128"/>
      <c r="N841" s="127"/>
      <c r="O841" s="126"/>
      <c r="P841" s="127"/>
      <c r="Q841" s="128"/>
      <c r="R841" s="127"/>
      <c r="S841" s="126"/>
      <c r="T841" s="127"/>
      <c r="U841" s="128"/>
      <c r="V841" s="127"/>
      <c r="W841" s="128"/>
      <c r="X841" s="127"/>
      <c r="Y841" s="128"/>
      <c r="Z841" s="127"/>
      <c r="AA841" s="128"/>
      <c r="AB841" s="127"/>
      <c r="AC841" s="128"/>
      <c r="AD841" s="127"/>
      <c r="AE841" s="128"/>
      <c r="AF841" s="127"/>
      <c r="AG841" s="128"/>
      <c r="AH841" s="127"/>
      <c r="AI841" s="128"/>
      <c r="AJ841" s="127"/>
      <c r="AK841" s="128"/>
      <c r="AL841" s="127"/>
      <c r="AM841" s="128"/>
      <c r="AN841" s="127"/>
      <c r="AO841" s="128"/>
      <c r="AP841" s="127"/>
      <c r="AQ841" s="84">
        <f t="shared" si="105"/>
        <v>20</v>
      </c>
      <c r="AR841" s="171">
        <v>2442</v>
      </c>
      <c r="AS841" s="164">
        <f t="shared" si="107"/>
        <v>48840</v>
      </c>
    </row>
    <row r="842" spans="1:50" ht="14.25" hidden="1">
      <c r="A842" s="60">
        <v>813</v>
      </c>
      <c r="B842" s="71"/>
      <c r="C842" s="60" t="s">
        <v>292</v>
      </c>
      <c r="D842" s="33">
        <v>295</v>
      </c>
      <c r="E842" s="54" t="s">
        <v>297</v>
      </c>
      <c r="F842" s="139" t="s">
        <v>270</v>
      </c>
      <c r="G842" s="37"/>
      <c r="H842" s="37"/>
      <c r="I842" s="139">
        <v>20</v>
      </c>
      <c r="J842" s="136">
        <f t="shared" si="106"/>
        <v>74540</v>
      </c>
      <c r="K842" s="36"/>
      <c r="L842" s="35"/>
      <c r="M842" s="39"/>
      <c r="N842" s="35"/>
      <c r="O842" s="36"/>
      <c r="P842" s="35"/>
      <c r="Q842" s="39"/>
      <c r="R842" s="35"/>
      <c r="S842" s="36"/>
      <c r="T842" s="35"/>
      <c r="U842" s="39"/>
      <c r="V842" s="35"/>
      <c r="W842" s="39"/>
      <c r="X842" s="35"/>
      <c r="Y842" s="39"/>
      <c r="Z842" s="35"/>
      <c r="AA842" s="39"/>
      <c r="AB842" s="35"/>
      <c r="AC842" s="39"/>
      <c r="AD842" s="35"/>
      <c r="AE842" s="39"/>
      <c r="AF842" s="35"/>
      <c r="AG842" s="39"/>
      <c r="AH842" s="35"/>
      <c r="AI842" s="39"/>
      <c r="AJ842" s="35"/>
      <c r="AK842" s="39"/>
      <c r="AL842" s="35"/>
      <c r="AM842" s="39"/>
      <c r="AN842" s="35"/>
      <c r="AO842" s="39"/>
      <c r="AP842" s="35"/>
      <c r="AQ842" s="84">
        <f t="shared" si="105"/>
        <v>20</v>
      </c>
      <c r="AR842" s="171">
        <v>3727</v>
      </c>
      <c r="AS842" s="164">
        <f t="shared" si="107"/>
        <v>74540</v>
      </c>
    </row>
    <row r="843" spans="1:50" ht="14.25" hidden="1">
      <c r="A843" s="60">
        <v>814</v>
      </c>
      <c r="B843" s="88"/>
      <c r="C843" s="60" t="s">
        <v>292</v>
      </c>
      <c r="D843" s="33">
        <v>295</v>
      </c>
      <c r="E843" s="54" t="s">
        <v>296</v>
      </c>
      <c r="F843" s="139" t="s">
        <v>270</v>
      </c>
      <c r="G843" s="33"/>
      <c r="H843" s="33"/>
      <c r="I843" s="139">
        <v>500</v>
      </c>
      <c r="J843" s="136">
        <f t="shared" si="106"/>
        <v>76500</v>
      </c>
      <c r="K843" s="36"/>
      <c r="L843" s="35"/>
      <c r="M843" s="39"/>
      <c r="N843" s="35"/>
      <c r="O843" s="36"/>
      <c r="P843" s="35"/>
      <c r="Q843" s="39"/>
      <c r="R843" s="35"/>
      <c r="S843" s="36"/>
      <c r="T843" s="35"/>
      <c r="U843" s="39"/>
      <c r="V843" s="35"/>
      <c r="W843" s="39"/>
      <c r="X843" s="35"/>
      <c r="Y843" s="39"/>
      <c r="Z843" s="35"/>
      <c r="AA843" s="39"/>
      <c r="AB843" s="35"/>
      <c r="AC843" s="39"/>
      <c r="AD843" s="35"/>
      <c r="AE843" s="39"/>
      <c r="AF843" s="35"/>
      <c r="AG843" s="39"/>
      <c r="AH843" s="35"/>
      <c r="AI843" s="39"/>
      <c r="AJ843" s="35"/>
      <c r="AK843" s="39"/>
      <c r="AL843" s="35"/>
      <c r="AM843" s="39"/>
      <c r="AN843" s="35"/>
      <c r="AO843" s="39"/>
      <c r="AP843" s="35"/>
      <c r="AQ843" s="84">
        <f t="shared" si="105"/>
        <v>500</v>
      </c>
      <c r="AR843" s="171">
        <v>153</v>
      </c>
      <c r="AS843" s="164">
        <f t="shared" si="107"/>
        <v>76500</v>
      </c>
    </row>
    <row r="844" spans="1:50" ht="14.25" hidden="1">
      <c r="A844" s="60">
        <v>815</v>
      </c>
      <c r="B844" s="195"/>
      <c r="C844" s="60" t="s">
        <v>292</v>
      </c>
      <c r="D844" s="33">
        <v>295</v>
      </c>
      <c r="E844" s="54" t="s">
        <v>295</v>
      </c>
      <c r="F844" s="139" t="s">
        <v>270</v>
      </c>
      <c r="G844" s="34"/>
      <c r="H844" s="34"/>
      <c r="I844" s="139">
        <v>30</v>
      </c>
      <c r="J844" s="136">
        <f t="shared" si="106"/>
        <v>11250</v>
      </c>
      <c r="K844" s="36"/>
      <c r="L844" s="35"/>
      <c r="M844" s="39"/>
      <c r="N844" s="35"/>
      <c r="O844" s="36"/>
      <c r="P844" s="35"/>
      <c r="Q844" s="39"/>
      <c r="R844" s="35"/>
      <c r="S844" s="36"/>
      <c r="T844" s="35"/>
      <c r="U844" s="39"/>
      <c r="V844" s="35"/>
      <c r="W844" s="39"/>
      <c r="X844" s="35"/>
      <c r="Y844" s="39"/>
      <c r="Z844" s="35"/>
      <c r="AA844" s="39"/>
      <c r="AB844" s="35"/>
      <c r="AC844" s="39"/>
      <c r="AD844" s="35"/>
      <c r="AE844" s="39"/>
      <c r="AF844" s="35"/>
      <c r="AG844" s="39"/>
      <c r="AH844" s="35"/>
      <c r="AI844" s="39"/>
      <c r="AJ844" s="35"/>
      <c r="AK844" s="39"/>
      <c r="AL844" s="35"/>
      <c r="AM844" s="39"/>
      <c r="AN844" s="35"/>
      <c r="AO844" s="39"/>
      <c r="AP844" s="35"/>
      <c r="AQ844" s="84">
        <f t="shared" si="105"/>
        <v>30</v>
      </c>
      <c r="AR844" s="171">
        <v>375</v>
      </c>
      <c r="AS844" s="164">
        <f t="shared" si="107"/>
        <v>11250</v>
      </c>
    </row>
    <row r="845" spans="1:50" ht="14.25" hidden="1">
      <c r="A845" s="60">
        <v>816</v>
      </c>
      <c r="B845" s="37"/>
      <c r="C845" s="60" t="s">
        <v>292</v>
      </c>
      <c r="D845" s="33">
        <v>295</v>
      </c>
      <c r="E845" s="54" t="s">
        <v>294</v>
      </c>
      <c r="F845" s="139" t="s">
        <v>270</v>
      </c>
      <c r="G845" s="37"/>
      <c r="H845" s="37"/>
      <c r="I845" s="139">
        <v>40000</v>
      </c>
      <c r="J845" s="136">
        <f t="shared" si="106"/>
        <v>2040000</v>
      </c>
      <c r="K845" s="36"/>
      <c r="L845" s="35"/>
      <c r="M845" s="39"/>
      <c r="N845" s="35"/>
      <c r="O845" s="36"/>
      <c r="P845" s="35"/>
      <c r="Q845" s="39"/>
      <c r="R845" s="35"/>
      <c r="S845" s="36"/>
      <c r="T845" s="35"/>
      <c r="U845" s="39"/>
      <c r="V845" s="35"/>
      <c r="W845" s="39"/>
      <c r="X845" s="35"/>
      <c r="Y845" s="39"/>
      <c r="Z845" s="35"/>
      <c r="AA845" s="39"/>
      <c r="AB845" s="35"/>
      <c r="AC845" s="39"/>
      <c r="AD845" s="35"/>
      <c r="AE845" s="39"/>
      <c r="AF845" s="35"/>
      <c r="AG845" s="39"/>
      <c r="AH845" s="35"/>
      <c r="AI845" s="39"/>
      <c r="AJ845" s="35"/>
      <c r="AK845" s="39"/>
      <c r="AL845" s="35"/>
      <c r="AM845" s="39"/>
      <c r="AN845" s="35"/>
      <c r="AO845" s="39"/>
      <c r="AP845" s="35"/>
      <c r="AQ845" s="84">
        <f t="shared" si="105"/>
        <v>40000</v>
      </c>
      <c r="AR845" s="171">
        <v>51</v>
      </c>
      <c r="AS845" s="164">
        <f t="shared" si="107"/>
        <v>2040000</v>
      </c>
    </row>
    <row r="846" spans="1:50" ht="14.25" hidden="1">
      <c r="A846" s="60">
        <v>817</v>
      </c>
      <c r="B846" s="37"/>
      <c r="C846" s="60" t="s">
        <v>292</v>
      </c>
      <c r="D846" s="33">
        <v>295</v>
      </c>
      <c r="E846" s="54" t="s">
        <v>310</v>
      </c>
      <c r="F846" s="139" t="s">
        <v>270</v>
      </c>
      <c r="G846" s="34"/>
      <c r="H846" s="34"/>
      <c r="I846" s="139">
        <v>100</v>
      </c>
      <c r="J846" s="136">
        <f t="shared" si="106"/>
        <v>448000</v>
      </c>
      <c r="K846" s="36"/>
      <c r="L846" s="35"/>
      <c r="M846" s="39"/>
      <c r="N846" s="35"/>
      <c r="O846" s="36"/>
      <c r="P846" s="35"/>
      <c r="Q846" s="39"/>
      <c r="R846" s="35"/>
      <c r="S846" s="36"/>
      <c r="T846" s="35"/>
      <c r="U846" s="39"/>
      <c r="V846" s="35"/>
      <c r="W846" s="39"/>
      <c r="X846" s="35"/>
      <c r="Y846" s="39"/>
      <c r="Z846" s="35"/>
      <c r="AA846" s="39"/>
      <c r="AB846" s="35"/>
      <c r="AC846" s="39"/>
      <c r="AD846" s="35"/>
      <c r="AE846" s="39"/>
      <c r="AF846" s="35"/>
      <c r="AG846" s="39"/>
      <c r="AH846" s="35"/>
      <c r="AI846" s="39"/>
      <c r="AJ846" s="35"/>
      <c r="AK846" s="39"/>
      <c r="AL846" s="35"/>
      <c r="AM846" s="39"/>
      <c r="AN846" s="35"/>
      <c r="AO846" s="39"/>
      <c r="AP846" s="35"/>
      <c r="AQ846" s="84">
        <f t="shared" si="105"/>
        <v>100</v>
      </c>
      <c r="AR846" s="171">
        <v>4480</v>
      </c>
      <c r="AS846" s="164">
        <f t="shared" si="107"/>
        <v>448000</v>
      </c>
    </row>
    <row r="847" spans="1:50" ht="28.5" hidden="1">
      <c r="A847" s="60">
        <v>818</v>
      </c>
      <c r="B847" s="88"/>
      <c r="C847" s="60" t="s">
        <v>292</v>
      </c>
      <c r="D847" s="33">
        <v>295</v>
      </c>
      <c r="E847" s="88" t="s">
        <v>311</v>
      </c>
      <c r="F847" s="37" t="s">
        <v>288</v>
      </c>
      <c r="G847" s="37"/>
      <c r="H847" s="37"/>
      <c r="I847" s="36">
        <v>90</v>
      </c>
      <c r="J847" s="136">
        <f t="shared" si="106"/>
        <v>3033270</v>
      </c>
      <c r="K847" s="36"/>
      <c r="L847" s="35"/>
      <c r="M847" s="39"/>
      <c r="N847" s="35"/>
      <c r="O847" s="36"/>
      <c r="P847" s="35"/>
      <c r="Q847" s="39"/>
      <c r="R847" s="35"/>
      <c r="S847" s="36"/>
      <c r="T847" s="35"/>
      <c r="U847" s="39"/>
      <c r="V847" s="35"/>
      <c r="W847" s="39"/>
      <c r="X847" s="35"/>
      <c r="Y847" s="39"/>
      <c r="Z847" s="35"/>
      <c r="AA847" s="39"/>
      <c r="AB847" s="35"/>
      <c r="AC847" s="39"/>
      <c r="AD847" s="35"/>
      <c r="AE847" s="39"/>
      <c r="AF847" s="35"/>
      <c r="AG847" s="39"/>
      <c r="AH847" s="35"/>
      <c r="AI847" s="39"/>
      <c r="AJ847" s="35"/>
      <c r="AK847" s="39"/>
      <c r="AL847" s="35"/>
      <c r="AM847" s="39"/>
      <c r="AN847" s="35"/>
      <c r="AO847" s="39"/>
      <c r="AP847" s="35"/>
      <c r="AQ847" s="84">
        <f t="shared" si="105"/>
        <v>90</v>
      </c>
      <c r="AR847" s="174">
        <v>33703</v>
      </c>
      <c r="AS847" s="164">
        <f t="shared" si="107"/>
        <v>3033270</v>
      </c>
    </row>
    <row r="848" spans="1:50" ht="14.25" hidden="1">
      <c r="A848" s="60">
        <v>819</v>
      </c>
      <c r="B848" s="195"/>
      <c r="C848" s="60" t="s">
        <v>292</v>
      </c>
      <c r="D848" s="33">
        <v>295</v>
      </c>
      <c r="E848" s="37" t="s">
        <v>312</v>
      </c>
      <c r="F848" s="37" t="s">
        <v>12</v>
      </c>
      <c r="G848" s="33"/>
      <c r="H848" s="33"/>
      <c r="I848" s="36">
        <v>90000</v>
      </c>
      <c r="J848" s="136">
        <f t="shared" si="106"/>
        <v>279000</v>
      </c>
      <c r="K848" s="36"/>
      <c r="L848" s="35"/>
      <c r="M848" s="39"/>
      <c r="N848" s="35"/>
      <c r="O848" s="36"/>
      <c r="P848" s="35"/>
      <c r="Q848" s="39"/>
      <c r="R848" s="35"/>
      <c r="S848" s="36"/>
      <c r="T848" s="35"/>
      <c r="U848" s="39"/>
      <c r="V848" s="35"/>
      <c r="W848" s="39"/>
      <c r="X848" s="35"/>
      <c r="Y848" s="39"/>
      <c r="Z848" s="35"/>
      <c r="AA848" s="39"/>
      <c r="AB848" s="35"/>
      <c r="AC848" s="39"/>
      <c r="AD848" s="35"/>
      <c r="AE848" s="39"/>
      <c r="AF848" s="35"/>
      <c r="AG848" s="39"/>
      <c r="AH848" s="35"/>
      <c r="AI848" s="39"/>
      <c r="AJ848" s="35"/>
      <c r="AK848" s="39"/>
      <c r="AL848" s="35"/>
      <c r="AM848" s="39"/>
      <c r="AN848" s="35"/>
      <c r="AO848" s="39"/>
      <c r="AP848" s="35"/>
      <c r="AQ848" s="84">
        <f t="shared" si="105"/>
        <v>90000</v>
      </c>
      <c r="AR848" s="174">
        <v>3.1</v>
      </c>
      <c r="AS848" s="164">
        <f t="shared" si="107"/>
        <v>279000</v>
      </c>
    </row>
    <row r="849" spans="1:50" ht="28.5" hidden="1">
      <c r="A849" s="60">
        <v>820</v>
      </c>
      <c r="B849" s="37"/>
      <c r="C849" s="60" t="s">
        <v>292</v>
      </c>
      <c r="D849" s="33">
        <v>295</v>
      </c>
      <c r="E849" s="37" t="s">
        <v>313</v>
      </c>
      <c r="F849" s="37" t="s">
        <v>12</v>
      </c>
      <c r="G849" s="34"/>
      <c r="H849" s="34"/>
      <c r="I849" s="36">
        <v>36000</v>
      </c>
      <c r="J849" s="136">
        <f t="shared" si="106"/>
        <v>4572000</v>
      </c>
      <c r="K849" s="36"/>
      <c r="L849" s="35"/>
      <c r="M849" s="39"/>
      <c r="N849" s="35"/>
      <c r="O849" s="36"/>
      <c r="P849" s="35"/>
      <c r="Q849" s="39"/>
      <c r="R849" s="35"/>
      <c r="S849" s="36"/>
      <c r="T849" s="35"/>
      <c r="U849" s="39"/>
      <c r="V849" s="35"/>
      <c r="W849" s="39"/>
      <c r="X849" s="35"/>
      <c r="Y849" s="39"/>
      <c r="Z849" s="35"/>
      <c r="AA849" s="39"/>
      <c r="AB849" s="35"/>
      <c r="AC849" s="39"/>
      <c r="AD849" s="35"/>
      <c r="AE849" s="39"/>
      <c r="AF849" s="35"/>
      <c r="AG849" s="39"/>
      <c r="AH849" s="35"/>
      <c r="AI849" s="39"/>
      <c r="AJ849" s="35"/>
      <c r="AK849" s="39"/>
      <c r="AL849" s="35"/>
      <c r="AM849" s="39"/>
      <c r="AN849" s="35"/>
      <c r="AO849" s="39"/>
      <c r="AP849" s="35"/>
      <c r="AQ849" s="84">
        <f t="shared" si="105"/>
        <v>36000</v>
      </c>
      <c r="AR849" s="174">
        <v>127</v>
      </c>
      <c r="AS849" s="164">
        <f t="shared" si="107"/>
        <v>4572000</v>
      </c>
    </row>
    <row r="850" spans="1:50" ht="14.25" hidden="1">
      <c r="A850" s="60">
        <v>821</v>
      </c>
      <c r="B850" s="195"/>
      <c r="C850" s="60" t="s">
        <v>292</v>
      </c>
      <c r="D850" s="33">
        <v>295</v>
      </c>
      <c r="E850" s="37" t="s">
        <v>314</v>
      </c>
      <c r="F850" s="37" t="s">
        <v>317</v>
      </c>
      <c r="G850" s="61"/>
      <c r="H850" s="61"/>
      <c r="I850" s="36">
        <v>36000</v>
      </c>
      <c r="J850" s="136">
        <f t="shared" si="106"/>
        <v>784080</v>
      </c>
      <c r="K850" s="126"/>
      <c r="L850" s="127"/>
      <c r="M850" s="128"/>
      <c r="N850" s="136"/>
      <c r="O850" s="126"/>
      <c r="P850" s="136"/>
      <c r="Q850" s="128"/>
      <c r="R850" s="136"/>
      <c r="S850" s="126"/>
      <c r="T850" s="136"/>
      <c r="U850" s="128"/>
      <c r="V850" s="136"/>
      <c r="W850" s="128"/>
      <c r="X850" s="136"/>
      <c r="Y850" s="128"/>
      <c r="Z850" s="136"/>
      <c r="AA850" s="128"/>
      <c r="AB850" s="136"/>
      <c r="AC850" s="128"/>
      <c r="AD850" s="136"/>
      <c r="AE850" s="128"/>
      <c r="AF850" s="136"/>
      <c r="AG850" s="128"/>
      <c r="AH850" s="136"/>
      <c r="AI850" s="128"/>
      <c r="AJ850" s="136"/>
      <c r="AK850" s="128"/>
      <c r="AL850" s="136"/>
      <c r="AM850" s="128"/>
      <c r="AN850" s="136"/>
      <c r="AO850" s="128"/>
      <c r="AP850" s="136"/>
      <c r="AQ850" s="84">
        <f t="shared" si="105"/>
        <v>36000</v>
      </c>
      <c r="AR850" s="174">
        <v>21.78</v>
      </c>
      <c r="AS850" s="164">
        <f t="shared" si="107"/>
        <v>784080</v>
      </c>
      <c r="AT850" s="382"/>
      <c r="AU850" s="383" t="s">
        <v>365</v>
      </c>
      <c r="AV850" s="383" t="s">
        <v>365</v>
      </c>
      <c r="AW850" s="383" t="s">
        <v>365</v>
      </c>
      <c r="AX850" s="383" t="s">
        <v>365</v>
      </c>
    </row>
    <row r="851" spans="1:50" ht="14.25" hidden="1">
      <c r="A851" s="60">
        <v>822</v>
      </c>
      <c r="B851" s="37"/>
      <c r="C851" s="60" t="s">
        <v>292</v>
      </c>
      <c r="D851" s="33">
        <v>295</v>
      </c>
      <c r="E851" s="37" t="s">
        <v>316</v>
      </c>
      <c r="F851" s="37" t="s">
        <v>317</v>
      </c>
      <c r="G851" s="118"/>
      <c r="H851" s="202"/>
      <c r="I851" s="36">
        <v>1125</v>
      </c>
      <c r="J851" s="136">
        <f t="shared" si="106"/>
        <v>2688750</v>
      </c>
      <c r="K851" s="126"/>
      <c r="L851" s="127"/>
      <c r="M851" s="128"/>
      <c r="N851" s="136"/>
      <c r="O851" s="126"/>
      <c r="P851" s="136"/>
      <c r="Q851" s="128"/>
      <c r="R851" s="136"/>
      <c r="S851" s="126"/>
      <c r="T851" s="136"/>
      <c r="U851" s="128"/>
      <c r="V851" s="136"/>
      <c r="W851" s="128"/>
      <c r="X851" s="136"/>
      <c r="Y851" s="128"/>
      <c r="Z851" s="136"/>
      <c r="AA851" s="128"/>
      <c r="AB851" s="136"/>
      <c r="AC851" s="128"/>
      <c r="AD851" s="136"/>
      <c r="AE851" s="128"/>
      <c r="AF851" s="136"/>
      <c r="AG851" s="128"/>
      <c r="AH851" s="136"/>
      <c r="AI851" s="128"/>
      <c r="AJ851" s="136"/>
      <c r="AK851" s="128"/>
      <c r="AL851" s="136"/>
      <c r="AM851" s="128"/>
      <c r="AN851" s="136"/>
      <c r="AO851" s="128"/>
      <c r="AP851" s="136"/>
      <c r="AQ851" s="84">
        <f t="shared" si="105"/>
        <v>1125</v>
      </c>
      <c r="AR851" s="174">
        <v>2390</v>
      </c>
      <c r="AS851" s="164">
        <f t="shared" si="107"/>
        <v>2688750</v>
      </c>
    </row>
    <row r="852" spans="1:50" ht="14.25" hidden="1">
      <c r="A852" s="60">
        <v>823</v>
      </c>
      <c r="B852" s="88"/>
      <c r="C852" s="60" t="s">
        <v>292</v>
      </c>
      <c r="D852" s="33">
        <v>295</v>
      </c>
      <c r="E852" s="88" t="s">
        <v>315</v>
      </c>
      <c r="F852" s="37" t="s">
        <v>317</v>
      </c>
      <c r="G852" s="145"/>
      <c r="H852" s="129"/>
      <c r="I852" s="36">
        <v>750</v>
      </c>
      <c r="J852" s="136">
        <f t="shared" si="106"/>
        <v>1792500</v>
      </c>
      <c r="K852" s="126"/>
      <c r="L852" s="127"/>
      <c r="M852" s="128"/>
      <c r="N852" s="136"/>
      <c r="O852" s="126"/>
      <c r="P852" s="136"/>
      <c r="Q852" s="128"/>
      <c r="R852" s="136"/>
      <c r="S852" s="126"/>
      <c r="T852" s="136"/>
      <c r="U852" s="128"/>
      <c r="V852" s="136"/>
      <c r="W852" s="128"/>
      <c r="X852" s="136"/>
      <c r="Y852" s="128"/>
      <c r="Z852" s="136"/>
      <c r="AA852" s="128"/>
      <c r="AB852" s="136"/>
      <c r="AC852" s="128"/>
      <c r="AD852" s="136"/>
      <c r="AE852" s="128"/>
      <c r="AF852" s="136"/>
      <c r="AG852" s="128"/>
      <c r="AH852" s="136"/>
      <c r="AI852" s="128"/>
      <c r="AJ852" s="136"/>
      <c r="AK852" s="128"/>
      <c r="AL852" s="136"/>
      <c r="AM852" s="128"/>
      <c r="AN852" s="136"/>
      <c r="AO852" s="128"/>
      <c r="AP852" s="136"/>
      <c r="AQ852" s="84">
        <f t="shared" si="105"/>
        <v>750</v>
      </c>
      <c r="AR852" s="174">
        <v>2390</v>
      </c>
      <c r="AS852" s="164">
        <f t="shared" si="107"/>
        <v>1792500</v>
      </c>
    </row>
    <row r="853" spans="1:50" ht="14.25" hidden="1">
      <c r="A853" s="60">
        <v>824</v>
      </c>
      <c r="B853" s="195"/>
      <c r="C853" s="60" t="s">
        <v>292</v>
      </c>
      <c r="D853" s="33">
        <v>295</v>
      </c>
      <c r="E853" s="37" t="s">
        <v>318</v>
      </c>
      <c r="F853" s="34" t="s">
        <v>319</v>
      </c>
      <c r="G853" s="145"/>
      <c r="H853" s="129"/>
      <c r="I853" s="66">
        <v>3</v>
      </c>
      <c r="J853" s="136">
        <f t="shared" si="106"/>
        <v>2304945</v>
      </c>
      <c r="K853" s="126"/>
      <c r="L853" s="127"/>
      <c r="M853" s="128"/>
      <c r="N853" s="136"/>
      <c r="O853" s="126"/>
      <c r="P853" s="136"/>
      <c r="Q853" s="128"/>
      <c r="R853" s="136"/>
      <c r="S853" s="126"/>
      <c r="T853" s="136"/>
      <c r="U853" s="128"/>
      <c r="V853" s="136"/>
      <c r="W853" s="128"/>
      <c r="X853" s="136"/>
      <c r="Y853" s="128"/>
      <c r="Z853" s="136"/>
      <c r="AA853" s="128"/>
      <c r="AB853" s="136"/>
      <c r="AC853" s="128"/>
      <c r="AD853" s="136"/>
      <c r="AE853" s="128"/>
      <c r="AF853" s="136"/>
      <c r="AG853" s="128"/>
      <c r="AH853" s="136"/>
      <c r="AI853" s="128"/>
      <c r="AJ853" s="136"/>
      <c r="AK853" s="128"/>
      <c r="AL853" s="136"/>
      <c r="AM853" s="128"/>
      <c r="AN853" s="136"/>
      <c r="AO853" s="128"/>
      <c r="AP853" s="136"/>
      <c r="AQ853" s="84">
        <f t="shared" si="105"/>
        <v>3</v>
      </c>
      <c r="AR853" s="174">
        <v>768315</v>
      </c>
      <c r="AS853" s="164">
        <f t="shared" si="107"/>
        <v>2304945</v>
      </c>
    </row>
    <row r="854" spans="1:50" ht="14.25" hidden="1">
      <c r="A854" s="60">
        <v>825</v>
      </c>
      <c r="B854" s="199"/>
      <c r="C854" s="60" t="s">
        <v>292</v>
      </c>
      <c r="D854" s="33">
        <v>295</v>
      </c>
      <c r="E854" s="60" t="s">
        <v>116</v>
      </c>
      <c r="F854" s="140" t="s">
        <v>14</v>
      </c>
      <c r="G854" s="145"/>
      <c r="H854" s="129"/>
      <c r="I854" s="129"/>
      <c r="J854" s="35"/>
      <c r="K854" s="146">
        <v>1794</v>
      </c>
      <c r="L854" s="127">
        <f>+K854*AR854</f>
        <v>1964430</v>
      </c>
      <c r="M854" s="128"/>
      <c r="N854" s="136"/>
      <c r="O854" s="126"/>
      <c r="P854" s="136"/>
      <c r="Q854" s="128"/>
      <c r="R854" s="136"/>
      <c r="S854" s="126"/>
      <c r="T854" s="136"/>
      <c r="U854" s="128"/>
      <c r="V854" s="136"/>
      <c r="W854" s="128"/>
      <c r="X854" s="136"/>
      <c r="Y854" s="128"/>
      <c r="Z854" s="136"/>
      <c r="AA854" s="128"/>
      <c r="AB854" s="136"/>
      <c r="AC854" s="128"/>
      <c r="AD854" s="136"/>
      <c r="AE854" s="128"/>
      <c r="AF854" s="136"/>
      <c r="AG854" s="128"/>
      <c r="AH854" s="136"/>
      <c r="AI854" s="128"/>
      <c r="AJ854" s="136"/>
      <c r="AK854" s="128"/>
      <c r="AL854" s="136"/>
      <c r="AM854" s="128"/>
      <c r="AN854" s="136"/>
      <c r="AO854" s="128"/>
      <c r="AP854" s="136"/>
      <c r="AQ854" s="84">
        <f t="shared" si="105"/>
        <v>1794</v>
      </c>
      <c r="AR854" s="142">
        <v>1095</v>
      </c>
      <c r="AS854" s="164">
        <f t="shared" si="107"/>
        <v>1964430</v>
      </c>
    </row>
    <row r="855" spans="1:50" ht="14.25" hidden="1">
      <c r="A855" s="60">
        <v>826</v>
      </c>
      <c r="B855" s="195"/>
      <c r="C855" s="60" t="s">
        <v>292</v>
      </c>
      <c r="D855" s="33">
        <v>295</v>
      </c>
      <c r="E855" s="222" t="s">
        <v>158</v>
      </c>
      <c r="F855" s="118" t="s">
        <v>14</v>
      </c>
      <c r="G855" s="67"/>
      <c r="H855" s="45"/>
      <c r="I855" s="45"/>
      <c r="J855" s="35"/>
      <c r="K855" s="116">
        <v>600</v>
      </c>
      <c r="L855" s="127">
        <f t="shared" ref="L855:L870" si="108">+K855*AR855</f>
        <v>55200</v>
      </c>
      <c r="M855" s="128"/>
      <c r="N855" s="136"/>
      <c r="O855" s="126"/>
      <c r="P855" s="136"/>
      <c r="Q855" s="128"/>
      <c r="R855" s="136"/>
      <c r="S855" s="126"/>
      <c r="T855" s="136"/>
      <c r="U855" s="128"/>
      <c r="V855" s="136"/>
      <c r="W855" s="128"/>
      <c r="X855" s="136"/>
      <c r="Y855" s="128"/>
      <c r="Z855" s="136"/>
      <c r="AA855" s="128"/>
      <c r="AB855" s="136"/>
      <c r="AC855" s="128"/>
      <c r="AD855" s="136"/>
      <c r="AE855" s="128"/>
      <c r="AF855" s="136"/>
      <c r="AG855" s="128"/>
      <c r="AH855" s="136"/>
      <c r="AI855" s="128"/>
      <c r="AJ855" s="136"/>
      <c r="AK855" s="128"/>
      <c r="AL855" s="136"/>
      <c r="AM855" s="128"/>
      <c r="AN855" s="136"/>
      <c r="AO855" s="128"/>
      <c r="AP855" s="136"/>
      <c r="AQ855" s="84">
        <f t="shared" si="105"/>
        <v>600</v>
      </c>
      <c r="AR855" s="142">
        <v>92</v>
      </c>
      <c r="AS855" s="164">
        <f t="shared" si="107"/>
        <v>55200</v>
      </c>
    </row>
    <row r="856" spans="1:50" ht="14.25" hidden="1">
      <c r="A856" s="60">
        <v>827</v>
      </c>
      <c r="B856" s="195"/>
      <c r="C856" s="60" t="s">
        <v>292</v>
      </c>
      <c r="D856" s="33">
        <v>295</v>
      </c>
      <c r="E856" s="193" t="s">
        <v>129</v>
      </c>
      <c r="F856" s="140" t="s">
        <v>130</v>
      </c>
      <c r="G856" s="45"/>
      <c r="H856" s="45"/>
      <c r="I856" s="45"/>
      <c r="J856" s="35"/>
      <c r="K856" s="141">
        <v>2</v>
      </c>
      <c r="L856" s="127">
        <f t="shared" si="108"/>
        <v>3080</v>
      </c>
      <c r="M856" s="39"/>
      <c r="N856" s="35"/>
      <c r="O856" s="36"/>
      <c r="P856" s="35"/>
      <c r="Q856" s="39"/>
      <c r="R856" s="35"/>
      <c r="S856" s="36"/>
      <c r="T856" s="35"/>
      <c r="U856" s="39"/>
      <c r="V856" s="35"/>
      <c r="W856" s="39"/>
      <c r="X856" s="35"/>
      <c r="Y856" s="39"/>
      <c r="Z856" s="35"/>
      <c r="AA856" s="39"/>
      <c r="AB856" s="35"/>
      <c r="AC856" s="39"/>
      <c r="AD856" s="35"/>
      <c r="AE856" s="39"/>
      <c r="AF856" s="35"/>
      <c r="AG856" s="39"/>
      <c r="AH856" s="35"/>
      <c r="AI856" s="39"/>
      <c r="AJ856" s="35"/>
      <c r="AK856" s="39"/>
      <c r="AL856" s="35"/>
      <c r="AM856" s="39"/>
      <c r="AN856" s="35"/>
      <c r="AO856" s="39"/>
      <c r="AP856" s="35"/>
      <c r="AQ856" s="84">
        <f t="shared" si="105"/>
        <v>2</v>
      </c>
      <c r="AR856" s="142">
        <v>1540</v>
      </c>
      <c r="AS856" s="164">
        <f t="shared" si="107"/>
        <v>3080</v>
      </c>
    </row>
    <row r="857" spans="1:50" ht="14.25" hidden="1">
      <c r="A857" s="60">
        <v>828</v>
      </c>
      <c r="B857" s="195"/>
      <c r="C857" s="60" t="s">
        <v>292</v>
      </c>
      <c r="D857" s="33">
        <v>295</v>
      </c>
      <c r="E857" s="193" t="s">
        <v>131</v>
      </c>
      <c r="F857" s="140" t="s">
        <v>130</v>
      </c>
      <c r="G857" s="45"/>
      <c r="H857" s="45"/>
      <c r="I857" s="45"/>
      <c r="J857" s="35"/>
      <c r="K857" s="141">
        <v>2</v>
      </c>
      <c r="L857" s="127">
        <f t="shared" si="108"/>
        <v>4408</v>
      </c>
      <c r="M857" s="39"/>
      <c r="N857" s="35"/>
      <c r="O857" s="36"/>
      <c r="P857" s="35"/>
      <c r="Q857" s="39"/>
      <c r="R857" s="35"/>
      <c r="S857" s="36"/>
      <c r="T857" s="35"/>
      <c r="U857" s="39"/>
      <c r="V857" s="35"/>
      <c r="W857" s="39"/>
      <c r="X857" s="35"/>
      <c r="Y857" s="39"/>
      <c r="Z857" s="35"/>
      <c r="AA857" s="39"/>
      <c r="AB857" s="35"/>
      <c r="AC857" s="39"/>
      <c r="AD857" s="35"/>
      <c r="AE857" s="39"/>
      <c r="AF857" s="35"/>
      <c r="AG857" s="39"/>
      <c r="AH857" s="35"/>
      <c r="AI857" s="39"/>
      <c r="AJ857" s="35"/>
      <c r="AK857" s="39"/>
      <c r="AL857" s="35"/>
      <c r="AM857" s="39"/>
      <c r="AN857" s="35"/>
      <c r="AO857" s="39"/>
      <c r="AP857" s="35"/>
      <c r="AQ857" s="84">
        <f t="shared" si="105"/>
        <v>2</v>
      </c>
      <c r="AR857" s="142">
        <v>2204</v>
      </c>
      <c r="AS857" s="164">
        <f t="shared" si="107"/>
        <v>4408</v>
      </c>
    </row>
    <row r="858" spans="1:50" ht="14.25" hidden="1">
      <c r="A858" s="60">
        <v>829</v>
      </c>
      <c r="B858" s="195"/>
      <c r="C858" s="60" t="s">
        <v>292</v>
      </c>
      <c r="D858" s="33">
        <v>295</v>
      </c>
      <c r="E858" s="193" t="s">
        <v>132</v>
      </c>
      <c r="F858" s="140" t="s">
        <v>130</v>
      </c>
      <c r="G858" s="45"/>
      <c r="H858" s="45"/>
      <c r="I858" s="45"/>
      <c r="J858" s="35"/>
      <c r="K858" s="141">
        <v>2</v>
      </c>
      <c r="L858" s="127">
        <f t="shared" si="108"/>
        <v>3080</v>
      </c>
      <c r="M858" s="39"/>
      <c r="N858" s="35"/>
      <c r="O858" s="36"/>
      <c r="P858" s="35"/>
      <c r="Q858" s="39"/>
      <c r="R858" s="35"/>
      <c r="S858" s="36"/>
      <c r="T858" s="35"/>
      <c r="U858" s="39"/>
      <c r="V858" s="35"/>
      <c r="W858" s="39"/>
      <c r="X858" s="35"/>
      <c r="Y858" s="39"/>
      <c r="Z858" s="35"/>
      <c r="AA858" s="39"/>
      <c r="AB858" s="35"/>
      <c r="AC858" s="39"/>
      <c r="AD858" s="35"/>
      <c r="AE858" s="39"/>
      <c r="AF858" s="35"/>
      <c r="AG858" s="39"/>
      <c r="AH858" s="35"/>
      <c r="AI858" s="39"/>
      <c r="AJ858" s="35"/>
      <c r="AK858" s="39"/>
      <c r="AL858" s="35"/>
      <c r="AM858" s="39"/>
      <c r="AN858" s="35"/>
      <c r="AO858" s="39"/>
      <c r="AP858" s="35"/>
      <c r="AQ858" s="84">
        <f t="shared" si="105"/>
        <v>2</v>
      </c>
      <c r="AR858" s="142">
        <v>1540</v>
      </c>
      <c r="AS858" s="164">
        <f t="shared" si="107"/>
        <v>3080</v>
      </c>
    </row>
    <row r="859" spans="1:50" ht="14.25" hidden="1">
      <c r="A859" s="60">
        <v>830</v>
      </c>
      <c r="B859" s="195"/>
      <c r="C859" s="60" t="s">
        <v>292</v>
      </c>
      <c r="D859" s="33">
        <v>295</v>
      </c>
      <c r="E859" s="45" t="s">
        <v>159</v>
      </c>
      <c r="F859" s="129" t="s">
        <v>17</v>
      </c>
      <c r="G859" s="34"/>
      <c r="H859" s="34"/>
      <c r="I859" s="66"/>
      <c r="J859" s="35"/>
      <c r="K859" s="108">
        <v>50</v>
      </c>
      <c r="L859" s="127">
        <f t="shared" si="108"/>
        <v>35100</v>
      </c>
      <c r="M859" s="39"/>
      <c r="N859" s="35"/>
      <c r="O859" s="36"/>
      <c r="P859" s="35"/>
      <c r="Q859" s="39"/>
      <c r="R859" s="35"/>
      <c r="S859" s="36"/>
      <c r="T859" s="35"/>
      <c r="U859" s="39"/>
      <c r="V859" s="35"/>
      <c r="W859" s="39"/>
      <c r="X859" s="35"/>
      <c r="Y859" s="39"/>
      <c r="Z859" s="35"/>
      <c r="AA859" s="39"/>
      <c r="AB859" s="35"/>
      <c r="AC859" s="39"/>
      <c r="AD859" s="35"/>
      <c r="AE859" s="39"/>
      <c r="AF859" s="35"/>
      <c r="AG859" s="39"/>
      <c r="AH859" s="35"/>
      <c r="AI859" s="39"/>
      <c r="AJ859" s="35"/>
      <c r="AK859" s="39"/>
      <c r="AL859" s="35"/>
      <c r="AM859" s="39"/>
      <c r="AN859" s="35"/>
      <c r="AO859" s="39"/>
      <c r="AP859" s="35"/>
      <c r="AQ859" s="84">
        <f t="shared" si="105"/>
        <v>50</v>
      </c>
      <c r="AR859" s="163">
        <v>702</v>
      </c>
      <c r="AS859" s="164">
        <f t="shared" si="107"/>
        <v>35100</v>
      </c>
    </row>
    <row r="860" spans="1:50" ht="14.25" hidden="1">
      <c r="A860" s="60">
        <v>831</v>
      </c>
      <c r="B860" s="195"/>
      <c r="C860" s="60" t="s">
        <v>292</v>
      </c>
      <c r="D860" s="33">
        <v>295</v>
      </c>
      <c r="E860" s="45" t="s">
        <v>160</v>
      </c>
      <c r="F860" s="45" t="s">
        <v>12</v>
      </c>
      <c r="G860" s="34"/>
      <c r="H860" s="34"/>
      <c r="I860" s="66"/>
      <c r="J860" s="35"/>
      <c r="K860" s="36">
        <v>200</v>
      </c>
      <c r="L860" s="127">
        <f t="shared" si="108"/>
        <v>39000</v>
      </c>
      <c r="M860" s="39"/>
      <c r="N860" s="35"/>
      <c r="O860" s="36"/>
      <c r="P860" s="35"/>
      <c r="Q860" s="39"/>
      <c r="R860" s="35"/>
      <c r="S860" s="36"/>
      <c r="T860" s="35"/>
      <c r="U860" s="39"/>
      <c r="V860" s="35"/>
      <c r="W860" s="39"/>
      <c r="X860" s="35"/>
      <c r="Y860" s="39"/>
      <c r="Z860" s="35"/>
      <c r="AA860" s="39"/>
      <c r="AB860" s="35"/>
      <c r="AC860" s="39"/>
      <c r="AD860" s="35"/>
      <c r="AE860" s="39"/>
      <c r="AF860" s="35"/>
      <c r="AG860" s="39"/>
      <c r="AH860" s="35"/>
      <c r="AI860" s="39"/>
      <c r="AJ860" s="35"/>
      <c r="AK860" s="39"/>
      <c r="AL860" s="35"/>
      <c r="AM860" s="39"/>
      <c r="AN860" s="35"/>
      <c r="AO860" s="39"/>
      <c r="AP860" s="35"/>
      <c r="AQ860" s="84">
        <f t="shared" si="105"/>
        <v>200</v>
      </c>
      <c r="AR860" s="163">
        <v>195</v>
      </c>
      <c r="AS860" s="164">
        <f t="shared" si="107"/>
        <v>39000</v>
      </c>
    </row>
    <row r="861" spans="1:50" ht="28.5" hidden="1">
      <c r="A861" s="60">
        <v>832</v>
      </c>
      <c r="B861" s="195"/>
      <c r="C861" s="60" t="s">
        <v>292</v>
      </c>
      <c r="D861" s="33">
        <v>295</v>
      </c>
      <c r="E861" s="45" t="s">
        <v>161</v>
      </c>
      <c r="F861" s="140" t="s">
        <v>17</v>
      </c>
      <c r="G861" s="34"/>
      <c r="H861" s="34"/>
      <c r="I861" s="66"/>
      <c r="J861" s="35"/>
      <c r="K861" s="36">
        <v>2</v>
      </c>
      <c r="L861" s="127">
        <f t="shared" si="108"/>
        <v>26000</v>
      </c>
      <c r="M861" s="39"/>
      <c r="N861" s="35"/>
      <c r="O861" s="36"/>
      <c r="P861" s="35"/>
      <c r="Q861" s="39"/>
      <c r="R861" s="35"/>
      <c r="S861" s="36"/>
      <c r="T861" s="35"/>
      <c r="U861" s="39"/>
      <c r="V861" s="35"/>
      <c r="W861" s="39"/>
      <c r="X861" s="35"/>
      <c r="Y861" s="39"/>
      <c r="Z861" s="35"/>
      <c r="AA861" s="39"/>
      <c r="AB861" s="35"/>
      <c r="AC861" s="39"/>
      <c r="AD861" s="35"/>
      <c r="AE861" s="39"/>
      <c r="AF861" s="35"/>
      <c r="AG861" s="39"/>
      <c r="AH861" s="35"/>
      <c r="AI861" s="39"/>
      <c r="AJ861" s="35"/>
      <c r="AK861" s="39"/>
      <c r="AL861" s="35"/>
      <c r="AM861" s="39"/>
      <c r="AN861" s="35"/>
      <c r="AO861" s="39"/>
      <c r="AP861" s="35"/>
      <c r="AQ861" s="84">
        <f t="shared" si="105"/>
        <v>2</v>
      </c>
      <c r="AR861" s="163">
        <v>13000</v>
      </c>
      <c r="AS861" s="164">
        <f t="shared" si="107"/>
        <v>26000</v>
      </c>
    </row>
    <row r="862" spans="1:50" ht="42.75" hidden="1">
      <c r="A862" s="60">
        <v>833</v>
      </c>
      <c r="B862" s="195"/>
      <c r="C862" s="60" t="s">
        <v>292</v>
      </c>
      <c r="D862" s="33">
        <v>295</v>
      </c>
      <c r="E862" s="45" t="s">
        <v>374</v>
      </c>
      <c r="F862" s="140" t="s">
        <v>130</v>
      </c>
      <c r="G862" s="34"/>
      <c r="H862" s="34"/>
      <c r="I862" s="66"/>
      <c r="J862" s="35"/>
      <c r="K862" s="36">
        <v>2</v>
      </c>
      <c r="L862" s="127">
        <f t="shared" si="108"/>
        <v>27400</v>
      </c>
      <c r="M862" s="39"/>
      <c r="N862" s="35"/>
      <c r="O862" s="36"/>
      <c r="P862" s="35"/>
      <c r="Q862" s="39"/>
      <c r="R862" s="35"/>
      <c r="S862" s="36"/>
      <c r="T862" s="35"/>
      <c r="U862" s="39"/>
      <c r="V862" s="35"/>
      <c r="W862" s="39"/>
      <c r="X862" s="35"/>
      <c r="Y862" s="39"/>
      <c r="Z862" s="35"/>
      <c r="AA862" s="39"/>
      <c r="AB862" s="35"/>
      <c r="AC862" s="39"/>
      <c r="AD862" s="35"/>
      <c r="AE862" s="39"/>
      <c r="AF862" s="35"/>
      <c r="AG862" s="39"/>
      <c r="AH862" s="35"/>
      <c r="AI862" s="39"/>
      <c r="AJ862" s="35"/>
      <c r="AK862" s="39"/>
      <c r="AL862" s="35"/>
      <c r="AM862" s="39"/>
      <c r="AN862" s="35"/>
      <c r="AO862" s="39"/>
      <c r="AP862" s="35"/>
      <c r="AQ862" s="84">
        <f t="shared" si="105"/>
        <v>2</v>
      </c>
      <c r="AR862" s="163">
        <v>13700</v>
      </c>
      <c r="AS862" s="164">
        <f t="shared" si="107"/>
        <v>27400</v>
      </c>
    </row>
    <row r="863" spans="1:50" ht="28.5" hidden="1">
      <c r="A863" s="60">
        <v>834</v>
      </c>
      <c r="B863" s="195"/>
      <c r="C863" s="60" t="s">
        <v>292</v>
      </c>
      <c r="D863" s="33">
        <v>295</v>
      </c>
      <c r="E863" s="37" t="s">
        <v>162</v>
      </c>
      <c r="F863" s="140" t="s">
        <v>130</v>
      </c>
      <c r="G863" s="34"/>
      <c r="H863" s="34"/>
      <c r="I863" s="66"/>
      <c r="J863" s="35"/>
      <c r="K863" s="36">
        <v>10</v>
      </c>
      <c r="L863" s="127">
        <f t="shared" si="108"/>
        <v>53530</v>
      </c>
      <c r="M863" s="39"/>
      <c r="N863" s="35"/>
      <c r="O863" s="36"/>
      <c r="P863" s="35"/>
      <c r="Q863" s="39"/>
      <c r="R863" s="35"/>
      <c r="S863" s="36"/>
      <c r="T863" s="35"/>
      <c r="U863" s="39"/>
      <c r="V863" s="35"/>
      <c r="W863" s="39"/>
      <c r="X863" s="35"/>
      <c r="Y863" s="39"/>
      <c r="Z863" s="35"/>
      <c r="AA863" s="39"/>
      <c r="AB863" s="35"/>
      <c r="AC863" s="39"/>
      <c r="AD863" s="35"/>
      <c r="AE863" s="39"/>
      <c r="AF863" s="35"/>
      <c r="AG863" s="39"/>
      <c r="AH863" s="35"/>
      <c r="AI863" s="39"/>
      <c r="AJ863" s="35"/>
      <c r="AK863" s="39"/>
      <c r="AL863" s="35"/>
      <c r="AM863" s="39"/>
      <c r="AN863" s="35"/>
      <c r="AO863" s="39"/>
      <c r="AP863" s="35"/>
      <c r="AQ863" s="84">
        <f t="shared" si="105"/>
        <v>10</v>
      </c>
      <c r="AR863" s="163">
        <v>5353</v>
      </c>
      <c r="AS863" s="164">
        <f t="shared" si="107"/>
        <v>53530</v>
      </c>
    </row>
    <row r="864" spans="1:50" ht="28.5" hidden="1">
      <c r="A864" s="60">
        <v>835</v>
      </c>
      <c r="B864" s="195"/>
      <c r="C864" s="60" t="s">
        <v>292</v>
      </c>
      <c r="D864" s="33">
        <v>295</v>
      </c>
      <c r="E864" s="37" t="s">
        <v>169</v>
      </c>
      <c r="F864" s="140" t="s">
        <v>12</v>
      </c>
      <c r="G864" s="34"/>
      <c r="H864" s="34"/>
      <c r="I864" s="66"/>
      <c r="J864" s="35"/>
      <c r="K864" s="67">
        <v>10</v>
      </c>
      <c r="L864" s="127">
        <f t="shared" si="108"/>
        <v>35580</v>
      </c>
      <c r="M864" s="39"/>
      <c r="N864" s="35"/>
      <c r="O864" s="36"/>
      <c r="P864" s="35"/>
      <c r="Q864" s="39"/>
      <c r="R864" s="35"/>
      <c r="S864" s="36"/>
      <c r="T864" s="35"/>
      <c r="U864" s="39"/>
      <c r="V864" s="35"/>
      <c r="W864" s="39"/>
      <c r="X864" s="35"/>
      <c r="Y864" s="39"/>
      <c r="Z864" s="35"/>
      <c r="AA864" s="39"/>
      <c r="AB864" s="35"/>
      <c r="AC864" s="39"/>
      <c r="AD864" s="35"/>
      <c r="AE864" s="39"/>
      <c r="AF864" s="35"/>
      <c r="AG864" s="39"/>
      <c r="AH864" s="35"/>
      <c r="AI864" s="39"/>
      <c r="AJ864" s="35"/>
      <c r="AK864" s="39"/>
      <c r="AL864" s="35"/>
      <c r="AM864" s="39"/>
      <c r="AN864" s="35"/>
      <c r="AO864" s="39"/>
      <c r="AP864" s="35"/>
      <c r="AQ864" s="84">
        <f t="shared" si="105"/>
        <v>10</v>
      </c>
      <c r="AR864" s="142">
        <v>3558</v>
      </c>
      <c r="AS864" s="164">
        <f t="shared" si="107"/>
        <v>35580</v>
      </c>
    </row>
    <row r="865" spans="1:45" ht="14.25" hidden="1">
      <c r="A865" s="60">
        <v>836</v>
      </c>
      <c r="B865" s="195"/>
      <c r="C865" s="60" t="s">
        <v>292</v>
      </c>
      <c r="D865" s="33">
        <v>295</v>
      </c>
      <c r="E865" s="37" t="s">
        <v>163</v>
      </c>
      <c r="F865" s="140" t="s">
        <v>12</v>
      </c>
      <c r="G865" s="34"/>
      <c r="H865" s="34"/>
      <c r="I865" s="66"/>
      <c r="J865" s="35"/>
      <c r="K865" s="67">
        <v>5</v>
      </c>
      <c r="L865" s="127">
        <f t="shared" si="108"/>
        <v>6100</v>
      </c>
      <c r="M865" s="39"/>
      <c r="N865" s="35"/>
      <c r="O865" s="36"/>
      <c r="P865" s="35"/>
      <c r="Q865" s="39"/>
      <c r="R865" s="35"/>
      <c r="S865" s="36"/>
      <c r="T865" s="35"/>
      <c r="U865" s="39"/>
      <c r="V865" s="35"/>
      <c r="W865" s="39"/>
      <c r="X865" s="35"/>
      <c r="Y865" s="39"/>
      <c r="Z865" s="35"/>
      <c r="AA865" s="39"/>
      <c r="AB865" s="35"/>
      <c r="AC865" s="39"/>
      <c r="AD865" s="35"/>
      <c r="AE865" s="39"/>
      <c r="AF865" s="35"/>
      <c r="AG865" s="39"/>
      <c r="AH865" s="35"/>
      <c r="AI865" s="39"/>
      <c r="AJ865" s="35"/>
      <c r="AK865" s="39"/>
      <c r="AL865" s="35"/>
      <c r="AM865" s="39"/>
      <c r="AN865" s="35"/>
      <c r="AO865" s="39"/>
      <c r="AP865" s="35"/>
      <c r="AQ865" s="84">
        <f t="shared" si="105"/>
        <v>5</v>
      </c>
      <c r="AR865" s="142">
        <v>1220</v>
      </c>
      <c r="AS865" s="164">
        <f t="shared" si="107"/>
        <v>6100</v>
      </c>
    </row>
    <row r="866" spans="1:45" ht="14.25" hidden="1">
      <c r="A866" s="60">
        <v>837</v>
      </c>
      <c r="B866" s="195"/>
      <c r="C866" s="60" t="s">
        <v>292</v>
      </c>
      <c r="D866" s="33">
        <v>295</v>
      </c>
      <c r="E866" s="37" t="s">
        <v>164</v>
      </c>
      <c r="F866" s="140" t="s">
        <v>12</v>
      </c>
      <c r="G866" s="34"/>
      <c r="H866" s="34"/>
      <c r="I866" s="66"/>
      <c r="J866" s="35"/>
      <c r="K866" s="67">
        <v>5</v>
      </c>
      <c r="L866" s="127">
        <f t="shared" si="108"/>
        <v>14325</v>
      </c>
      <c r="M866" s="39"/>
      <c r="N866" s="35"/>
      <c r="O866" s="36"/>
      <c r="P866" s="35"/>
      <c r="Q866" s="39"/>
      <c r="R866" s="35"/>
      <c r="S866" s="36"/>
      <c r="T866" s="35"/>
      <c r="U866" s="39"/>
      <c r="V866" s="35"/>
      <c r="W866" s="39"/>
      <c r="X866" s="35"/>
      <c r="Y866" s="39"/>
      <c r="Z866" s="35"/>
      <c r="AA866" s="39"/>
      <c r="AB866" s="35"/>
      <c r="AC866" s="39"/>
      <c r="AD866" s="35"/>
      <c r="AE866" s="39"/>
      <c r="AF866" s="35"/>
      <c r="AG866" s="39"/>
      <c r="AH866" s="35"/>
      <c r="AI866" s="39"/>
      <c r="AJ866" s="35"/>
      <c r="AK866" s="39"/>
      <c r="AL866" s="35"/>
      <c r="AM866" s="39"/>
      <c r="AN866" s="35"/>
      <c r="AO866" s="39"/>
      <c r="AP866" s="35"/>
      <c r="AQ866" s="84">
        <f t="shared" si="105"/>
        <v>5</v>
      </c>
      <c r="AR866" s="142">
        <v>2865</v>
      </c>
      <c r="AS866" s="164">
        <f t="shared" si="107"/>
        <v>14325</v>
      </c>
    </row>
    <row r="867" spans="1:45" ht="42.75" hidden="1">
      <c r="A867" s="60">
        <v>838</v>
      </c>
      <c r="B867" s="195"/>
      <c r="C867" s="60" t="s">
        <v>292</v>
      </c>
      <c r="D867" s="33">
        <v>295</v>
      </c>
      <c r="E867" s="37" t="s">
        <v>165</v>
      </c>
      <c r="F867" s="140" t="s">
        <v>12</v>
      </c>
      <c r="G867" s="34"/>
      <c r="H867" s="34"/>
      <c r="I867" s="66"/>
      <c r="J867" s="35"/>
      <c r="K867" s="67">
        <v>1000</v>
      </c>
      <c r="L867" s="127">
        <f t="shared" si="108"/>
        <v>72000</v>
      </c>
      <c r="M867" s="39"/>
      <c r="N867" s="35"/>
      <c r="O867" s="36"/>
      <c r="P867" s="35"/>
      <c r="Q867" s="39"/>
      <c r="R867" s="35"/>
      <c r="S867" s="36"/>
      <c r="T867" s="35"/>
      <c r="U867" s="39"/>
      <c r="V867" s="35"/>
      <c r="W867" s="39"/>
      <c r="X867" s="35"/>
      <c r="Y867" s="39"/>
      <c r="Z867" s="35"/>
      <c r="AA867" s="39"/>
      <c r="AB867" s="35"/>
      <c r="AC867" s="39"/>
      <c r="AD867" s="35"/>
      <c r="AE867" s="39"/>
      <c r="AF867" s="35"/>
      <c r="AG867" s="39"/>
      <c r="AH867" s="35"/>
      <c r="AI867" s="39"/>
      <c r="AJ867" s="35"/>
      <c r="AK867" s="39"/>
      <c r="AL867" s="35"/>
      <c r="AM867" s="39"/>
      <c r="AN867" s="35"/>
      <c r="AO867" s="39"/>
      <c r="AP867" s="35"/>
      <c r="AQ867" s="84">
        <f t="shared" si="105"/>
        <v>1000</v>
      </c>
      <c r="AR867" s="142">
        <v>72</v>
      </c>
      <c r="AS867" s="164">
        <f t="shared" si="107"/>
        <v>72000</v>
      </c>
    </row>
    <row r="868" spans="1:45" ht="14.25" hidden="1">
      <c r="A868" s="60">
        <v>839</v>
      </c>
      <c r="B868" s="195"/>
      <c r="C868" s="60" t="s">
        <v>292</v>
      </c>
      <c r="D868" s="33">
        <v>295</v>
      </c>
      <c r="E868" s="37" t="s">
        <v>166</v>
      </c>
      <c r="F868" s="140" t="s">
        <v>12</v>
      </c>
      <c r="G868" s="37"/>
      <c r="H868" s="37"/>
      <c r="I868" s="37"/>
      <c r="J868" s="38"/>
      <c r="K868" s="67">
        <v>10</v>
      </c>
      <c r="L868" s="127">
        <f t="shared" si="108"/>
        <v>1250</v>
      </c>
      <c r="M868" s="39"/>
      <c r="N868" s="38"/>
      <c r="O868" s="36"/>
      <c r="P868" s="38"/>
      <c r="Q868" s="39"/>
      <c r="R868" s="38"/>
      <c r="S868" s="36"/>
      <c r="T868" s="38"/>
      <c r="U868" s="39"/>
      <c r="V868" s="38"/>
      <c r="W868" s="39"/>
      <c r="X868" s="38"/>
      <c r="Y868" s="39"/>
      <c r="Z868" s="38"/>
      <c r="AA868" s="39"/>
      <c r="AB868" s="38"/>
      <c r="AC868" s="39"/>
      <c r="AD868" s="38"/>
      <c r="AE868" s="39"/>
      <c r="AF868" s="38"/>
      <c r="AG868" s="39"/>
      <c r="AH868" s="38"/>
      <c r="AI868" s="39"/>
      <c r="AJ868" s="38"/>
      <c r="AK868" s="39"/>
      <c r="AL868" s="38"/>
      <c r="AM868" s="39"/>
      <c r="AN868" s="38"/>
      <c r="AO868" s="39"/>
      <c r="AP868" s="38"/>
      <c r="AQ868" s="84">
        <f t="shared" si="105"/>
        <v>10</v>
      </c>
      <c r="AR868" s="142">
        <v>125</v>
      </c>
      <c r="AS868" s="164">
        <f t="shared" si="107"/>
        <v>1250</v>
      </c>
    </row>
    <row r="869" spans="1:45" ht="28.5" hidden="1">
      <c r="A869" s="60">
        <v>840</v>
      </c>
      <c r="B869" s="195"/>
      <c r="C869" s="60" t="s">
        <v>292</v>
      </c>
      <c r="D869" s="33">
        <v>295</v>
      </c>
      <c r="E869" s="37" t="s">
        <v>167</v>
      </c>
      <c r="F869" s="140" t="s">
        <v>12</v>
      </c>
      <c r="G869" s="33"/>
      <c r="H869" s="33"/>
      <c r="I869" s="139"/>
      <c r="J869" s="136"/>
      <c r="K869" s="67">
        <v>2</v>
      </c>
      <c r="L869" s="127">
        <f t="shared" si="108"/>
        <v>100700</v>
      </c>
      <c r="M869" s="39"/>
      <c r="N869" s="35"/>
      <c r="O869" s="36"/>
      <c r="P869" s="35"/>
      <c r="Q869" s="39"/>
      <c r="R869" s="35"/>
      <c r="S869" s="36"/>
      <c r="T869" s="35"/>
      <c r="U869" s="39"/>
      <c r="V869" s="35"/>
      <c r="W869" s="39"/>
      <c r="X869" s="35"/>
      <c r="Y869" s="39"/>
      <c r="Z869" s="35"/>
      <c r="AA869" s="39"/>
      <c r="AB869" s="35"/>
      <c r="AC869" s="39"/>
      <c r="AD869" s="35"/>
      <c r="AE869" s="39"/>
      <c r="AF869" s="35"/>
      <c r="AG869" s="39"/>
      <c r="AH869" s="35"/>
      <c r="AI869" s="39"/>
      <c r="AJ869" s="35"/>
      <c r="AK869" s="39"/>
      <c r="AL869" s="35"/>
      <c r="AM869" s="39"/>
      <c r="AN869" s="35"/>
      <c r="AO869" s="39"/>
      <c r="AP869" s="35"/>
      <c r="AQ869" s="84">
        <f t="shared" si="105"/>
        <v>2</v>
      </c>
      <c r="AR869" s="142">
        <v>50350</v>
      </c>
      <c r="AS869" s="164">
        <f t="shared" si="107"/>
        <v>100700</v>
      </c>
    </row>
    <row r="870" spans="1:45" ht="28.5" hidden="1">
      <c r="A870" s="60">
        <v>841</v>
      </c>
      <c r="B870" s="195"/>
      <c r="C870" s="60" t="s">
        <v>292</v>
      </c>
      <c r="D870" s="33">
        <v>295</v>
      </c>
      <c r="E870" s="37" t="s">
        <v>168</v>
      </c>
      <c r="F870" s="140" t="s">
        <v>12</v>
      </c>
      <c r="G870" s="37"/>
      <c r="H870" s="37"/>
      <c r="I870" s="37"/>
      <c r="J870" s="38"/>
      <c r="K870" s="67">
        <v>2</v>
      </c>
      <c r="L870" s="127">
        <f t="shared" si="108"/>
        <v>104700</v>
      </c>
      <c r="M870" s="39"/>
      <c r="N870" s="35"/>
      <c r="O870" s="36"/>
      <c r="P870" s="35"/>
      <c r="Q870" s="39"/>
      <c r="R870" s="35"/>
      <c r="S870" s="36"/>
      <c r="T870" s="35"/>
      <c r="U870" s="39"/>
      <c r="V870" s="35"/>
      <c r="W870" s="39"/>
      <c r="X870" s="35"/>
      <c r="Y870" s="39"/>
      <c r="Z870" s="35"/>
      <c r="AA870" s="39"/>
      <c r="AB870" s="35"/>
      <c r="AC870" s="39"/>
      <c r="AD870" s="35"/>
      <c r="AE870" s="39"/>
      <c r="AF870" s="35"/>
      <c r="AG870" s="39"/>
      <c r="AH870" s="35"/>
      <c r="AI870" s="39"/>
      <c r="AJ870" s="35"/>
      <c r="AK870" s="39"/>
      <c r="AL870" s="35"/>
      <c r="AM870" s="39"/>
      <c r="AN870" s="35"/>
      <c r="AO870" s="39"/>
      <c r="AP870" s="35"/>
      <c r="AQ870" s="84">
        <f t="shared" si="105"/>
        <v>2</v>
      </c>
      <c r="AR870" s="142">
        <v>52350</v>
      </c>
      <c r="AS870" s="164">
        <f t="shared" si="107"/>
        <v>104700</v>
      </c>
    </row>
    <row r="871" spans="1:45" ht="28.5" hidden="1">
      <c r="A871" s="60">
        <v>842</v>
      </c>
      <c r="B871" s="107" t="s">
        <v>1383</v>
      </c>
      <c r="C871" s="57" t="s">
        <v>1384</v>
      </c>
      <c r="D871" s="54">
        <v>295</v>
      </c>
      <c r="E871" s="57" t="s">
        <v>1385</v>
      </c>
      <c r="F871" s="67" t="s">
        <v>71</v>
      </c>
      <c r="G871" s="37"/>
      <c r="H871" s="37"/>
      <c r="I871" s="37"/>
      <c r="J871" s="38"/>
      <c r="K871" s="67"/>
      <c r="L871" s="127"/>
      <c r="M871" s="39"/>
      <c r="N871" s="35"/>
      <c r="O871" s="36"/>
      <c r="P871" s="35"/>
      <c r="Q871" s="39"/>
      <c r="R871" s="35"/>
      <c r="S871" s="36"/>
      <c r="T871" s="35"/>
      <c r="U871" s="39"/>
      <c r="V871" s="35"/>
      <c r="W871" s="39"/>
      <c r="X871" s="35"/>
      <c r="Y871" s="39"/>
      <c r="Z871" s="35"/>
      <c r="AA871" s="39"/>
      <c r="AB871" s="35"/>
      <c r="AC871" s="39"/>
      <c r="AD871" s="35"/>
      <c r="AE871" s="54">
        <v>2</v>
      </c>
      <c r="AF871" s="35">
        <f>+AE871*AR871</f>
        <v>3400</v>
      </c>
      <c r="AG871" s="39"/>
      <c r="AH871" s="35"/>
      <c r="AI871" s="39"/>
      <c r="AJ871" s="35"/>
      <c r="AK871" s="39"/>
      <c r="AL871" s="35"/>
      <c r="AM871" s="39"/>
      <c r="AN871" s="35"/>
      <c r="AO871" s="39"/>
      <c r="AP871" s="35"/>
      <c r="AQ871" s="84">
        <f t="shared" si="105"/>
        <v>2</v>
      </c>
      <c r="AR871" s="176">
        <v>1700</v>
      </c>
      <c r="AS871" s="164">
        <f t="shared" si="107"/>
        <v>3400</v>
      </c>
    </row>
    <row r="872" spans="1:45" ht="42.75" hidden="1">
      <c r="A872" s="60">
        <v>843</v>
      </c>
      <c r="B872" s="107" t="s">
        <v>1386</v>
      </c>
      <c r="C872" s="57" t="s">
        <v>1384</v>
      </c>
      <c r="D872" s="54">
        <v>295</v>
      </c>
      <c r="E872" s="57" t="s">
        <v>1387</v>
      </c>
      <c r="F872" s="67" t="s">
        <v>12</v>
      </c>
      <c r="G872" s="37"/>
      <c r="H872" s="37"/>
      <c r="I872" s="37"/>
      <c r="J872" s="38"/>
      <c r="K872" s="67"/>
      <c r="L872" s="127"/>
      <c r="M872" s="39"/>
      <c r="N872" s="35"/>
      <c r="O872" s="36"/>
      <c r="P872" s="35"/>
      <c r="Q872" s="39"/>
      <c r="R872" s="35"/>
      <c r="S872" s="36"/>
      <c r="T872" s="35"/>
      <c r="U872" s="39"/>
      <c r="V872" s="35"/>
      <c r="W872" s="39"/>
      <c r="X872" s="35"/>
      <c r="Y872" s="39"/>
      <c r="Z872" s="35"/>
      <c r="AA872" s="39"/>
      <c r="AB872" s="35"/>
      <c r="AC872" s="39"/>
      <c r="AD872" s="35"/>
      <c r="AE872" s="54">
        <v>2</v>
      </c>
      <c r="AF872" s="35">
        <f t="shared" ref="AF872:AF874" si="109">+AE872*AR872</f>
        <v>3800</v>
      </c>
      <c r="AG872" s="39"/>
      <c r="AH872" s="35"/>
      <c r="AI872" s="39"/>
      <c r="AJ872" s="35"/>
      <c r="AK872" s="39"/>
      <c r="AL872" s="35"/>
      <c r="AM872" s="39"/>
      <c r="AN872" s="35"/>
      <c r="AO872" s="39"/>
      <c r="AP872" s="35"/>
      <c r="AQ872" s="84">
        <f t="shared" si="105"/>
        <v>2</v>
      </c>
      <c r="AR872" s="176">
        <v>1900</v>
      </c>
      <c r="AS872" s="164">
        <f t="shared" si="107"/>
        <v>3800</v>
      </c>
    </row>
    <row r="873" spans="1:45" ht="28.5" hidden="1">
      <c r="A873" s="60">
        <v>844</v>
      </c>
      <c r="B873" s="107" t="s">
        <v>1388</v>
      </c>
      <c r="C873" s="57" t="s">
        <v>1384</v>
      </c>
      <c r="D873" s="54">
        <v>295</v>
      </c>
      <c r="E873" s="57" t="s">
        <v>1389</v>
      </c>
      <c r="F873" s="67" t="s">
        <v>12</v>
      </c>
      <c r="G873" s="37"/>
      <c r="H873" s="37"/>
      <c r="I873" s="37"/>
      <c r="J873" s="38"/>
      <c r="K873" s="67"/>
      <c r="L873" s="127"/>
      <c r="M873" s="39"/>
      <c r="N873" s="35"/>
      <c r="O873" s="36"/>
      <c r="P873" s="35"/>
      <c r="Q873" s="39"/>
      <c r="R873" s="35"/>
      <c r="S873" s="36"/>
      <c r="T873" s="35"/>
      <c r="U873" s="39"/>
      <c r="V873" s="35"/>
      <c r="W873" s="39"/>
      <c r="X873" s="35"/>
      <c r="Y873" s="39"/>
      <c r="Z873" s="35"/>
      <c r="AA873" s="39"/>
      <c r="AB873" s="35"/>
      <c r="AC873" s="39"/>
      <c r="AD873" s="35"/>
      <c r="AE873" s="54">
        <v>2</v>
      </c>
      <c r="AF873" s="35">
        <f t="shared" si="109"/>
        <v>1400</v>
      </c>
      <c r="AG873" s="39"/>
      <c r="AH873" s="35"/>
      <c r="AI873" s="39"/>
      <c r="AJ873" s="35"/>
      <c r="AK873" s="39"/>
      <c r="AL873" s="35"/>
      <c r="AM873" s="39"/>
      <c r="AN873" s="35"/>
      <c r="AO873" s="39"/>
      <c r="AP873" s="35"/>
      <c r="AQ873" s="84">
        <f t="shared" si="105"/>
        <v>2</v>
      </c>
      <c r="AR873" s="176">
        <v>700</v>
      </c>
      <c r="AS873" s="164">
        <f t="shared" si="107"/>
        <v>1400</v>
      </c>
    </row>
    <row r="874" spans="1:45" ht="28.5" hidden="1">
      <c r="A874" s="60">
        <v>845</v>
      </c>
      <c r="B874" s="107" t="s">
        <v>1390</v>
      </c>
      <c r="C874" s="57" t="s">
        <v>1384</v>
      </c>
      <c r="D874" s="54">
        <v>295</v>
      </c>
      <c r="E874" s="57" t="s">
        <v>1391</v>
      </c>
      <c r="F874" s="67" t="s">
        <v>12</v>
      </c>
      <c r="G874" s="37"/>
      <c r="H874" s="37"/>
      <c r="I874" s="37"/>
      <c r="J874" s="38"/>
      <c r="K874" s="67"/>
      <c r="L874" s="127"/>
      <c r="M874" s="39"/>
      <c r="N874" s="35"/>
      <c r="O874" s="36"/>
      <c r="P874" s="35"/>
      <c r="Q874" s="39"/>
      <c r="R874" s="35"/>
      <c r="S874" s="36"/>
      <c r="T874" s="35"/>
      <c r="U874" s="39"/>
      <c r="V874" s="35"/>
      <c r="W874" s="39"/>
      <c r="X874" s="35"/>
      <c r="Y874" s="39"/>
      <c r="Z874" s="35"/>
      <c r="AA874" s="39"/>
      <c r="AB874" s="35"/>
      <c r="AC874" s="39"/>
      <c r="AD874" s="35"/>
      <c r="AE874" s="54">
        <v>1</v>
      </c>
      <c r="AF874" s="35">
        <f t="shared" si="109"/>
        <v>850</v>
      </c>
      <c r="AG874" s="39"/>
      <c r="AH874" s="35"/>
      <c r="AI874" s="39"/>
      <c r="AJ874" s="35"/>
      <c r="AK874" s="39"/>
      <c r="AL874" s="35"/>
      <c r="AM874" s="39"/>
      <c r="AN874" s="35"/>
      <c r="AO874" s="39"/>
      <c r="AP874" s="35"/>
      <c r="AQ874" s="84">
        <f t="shared" si="105"/>
        <v>1</v>
      </c>
      <c r="AR874" s="176">
        <v>850</v>
      </c>
      <c r="AS874" s="164">
        <f t="shared" si="107"/>
        <v>850</v>
      </c>
    </row>
    <row r="875" spans="1:45" ht="28.5" hidden="1">
      <c r="A875" s="60">
        <v>846</v>
      </c>
      <c r="B875" s="107"/>
      <c r="C875" s="117" t="s">
        <v>1424</v>
      </c>
      <c r="D875" s="117" t="s">
        <v>430</v>
      </c>
      <c r="E875" s="69" t="s">
        <v>1425</v>
      </c>
      <c r="F875" s="69" t="s">
        <v>130</v>
      </c>
      <c r="G875" s="37"/>
      <c r="H875" s="37"/>
      <c r="I875" s="37"/>
      <c r="J875" s="38"/>
      <c r="K875" s="67"/>
      <c r="L875" s="127"/>
      <c r="M875" s="39"/>
      <c r="N875" s="35"/>
      <c r="O875" s="36"/>
      <c r="P875" s="35"/>
      <c r="Q875" s="39"/>
      <c r="R875" s="35"/>
      <c r="S875" s="36"/>
      <c r="T875" s="35"/>
      <c r="U875" s="39"/>
      <c r="V875" s="35"/>
      <c r="W875" s="39"/>
      <c r="X875" s="35"/>
      <c r="Y875" s="39"/>
      <c r="Z875" s="35"/>
      <c r="AA875" s="39"/>
      <c r="AB875" s="35"/>
      <c r="AC875" s="39"/>
      <c r="AD875" s="35"/>
      <c r="AE875" s="54"/>
      <c r="AF875" s="35"/>
      <c r="AG875" s="39"/>
      <c r="AH875" s="35"/>
      <c r="AI875" s="39">
        <v>15</v>
      </c>
      <c r="AJ875" s="35">
        <f>+AI875*AR875</f>
        <v>8250</v>
      </c>
      <c r="AK875" s="39"/>
      <c r="AL875" s="35"/>
      <c r="AM875" s="39"/>
      <c r="AN875" s="35"/>
      <c r="AO875" s="39"/>
      <c r="AP875" s="35"/>
      <c r="AQ875" s="84">
        <f t="shared" si="105"/>
        <v>15</v>
      </c>
      <c r="AR875" s="177">
        <v>550</v>
      </c>
      <c r="AS875" s="164">
        <f t="shared" si="107"/>
        <v>8250</v>
      </c>
    </row>
    <row r="876" spans="1:45" ht="28.5" hidden="1">
      <c r="A876" s="60">
        <v>847</v>
      </c>
      <c r="B876" s="107"/>
      <c r="C876" s="117" t="s">
        <v>1424</v>
      </c>
      <c r="D876" s="117" t="s">
        <v>430</v>
      </c>
      <c r="E876" s="69" t="s">
        <v>1426</v>
      </c>
      <c r="F876" s="69" t="s">
        <v>130</v>
      </c>
      <c r="G876" s="37"/>
      <c r="H876" s="37"/>
      <c r="I876" s="37"/>
      <c r="J876" s="38"/>
      <c r="K876" s="67"/>
      <c r="L876" s="127"/>
      <c r="M876" s="39"/>
      <c r="N876" s="35"/>
      <c r="O876" s="36"/>
      <c r="P876" s="35"/>
      <c r="Q876" s="39"/>
      <c r="R876" s="35"/>
      <c r="S876" s="36"/>
      <c r="T876" s="35"/>
      <c r="U876" s="39"/>
      <c r="V876" s="35"/>
      <c r="W876" s="39"/>
      <c r="X876" s="35"/>
      <c r="Y876" s="39"/>
      <c r="Z876" s="35"/>
      <c r="AA876" s="39"/>
      <c r="AB876" s="35"/>
      <c r="AC876" s="39"/>
      <c r="AD876" s="35"/>
      <c r="AE876" s="54"/>
      <c r="AF876" s="35"/>
      <c r="AG876" s="39"/>
      <c r="AH876" s="35"/>
      <c r="AI876" s="39">
        <v>1</v>
      </c>
      <c r="AJ876" s="35">
        <f>+AI876*AR876</f>
        <v>7780</v>
      </c>
      <c r="AK876" s="39"/>
      <c r="AL876" s="35"/>
      <c r="AM876" s="39"/>
      <c r="AN876" s="35"/>
      <c r="AO876" s="39"/>
      <c r="AP876" s="35"/>
      <c r="AQ876" s="84">
        <f t="shared" si="105"/>
        <v>1</v>
      </c>
      <c r="AR876" s="119">
        <v>7780</v>
      </c>
      <c r="AS876" s="164">
        <f t="shared" si="107"/>
        <v>7780</v>
      </c>
    </row>
    <row r="877" spans="1:45" ht="15.75" hidden="1">
      <c r="A877" s="71"/>
      <c r="B877" s="37"/>
      <c r="C877" s="60"/>
      <c r="D877" s="33"/>
      <c r="E877" s="257" t="s">
        <v>320</v>
      </c>
      <c r="F877" s="37"/>
      <c r="G877" s="37"/>
      <c r="H877" s="37"/>
      <c r="I877" s="37"/>
      <c r="J877" s="38"/>
      <c r="K877" s="108"/>
      <c r="L877" s="35"/>
      <c r="M877" s="39"/>
      <c r="N877" s="35"/>
      <c r="O877" s="36"/>
      <c r="P877" s="35"/>
      <c r="Q877" s="39"/>
      <c r="R877" s="35"/>
      <c r="S877" s="36"/>
      <c r="T877" s="35"/>
      <c r="U877" s="39"/>
      <c r="V877" s="35"/>
      <c r="W877" s="39"/>
      <c r="X877" s="35"/>
      <c r="Y877" s="39"/>
      <c r="Z877" s="35"/>
      <c r="AA877" s="39"/>
      <c r="AB877" s="35"/>
      <c r="AC877" s="39"/>
      <c r="AD877" s="35"/>
      <c r="AE877" s="39"/>
      <c r="AF877" s="35"/>
      <c r="AG877" s="39"/>
      <c r="AH877" s="35"/>
      <c r="AI877" s="39"/>
      <c r="AJ877" s="35"/>
      <c r="AK877" s="39"/>
      <c r="AL877" s="35"/>
      <c r="AM877" s="39"/>
      <c r="AN877" s="35"/>
      <c r="AO877" s="39"/>
      <c r="AP877" s="35"/>
      <c r="AQ877" s="39"/>
      <c r="AR877" s="142"/>
      <c r="AS877" s="207">
        <f>SUM(AS832:AS876)</f>
        <v>24495558</v>
      </c>
    </row>
    <row r="878" spans="1:45">
      <c r="A878" s="228">
        <v>1</v>
      </c>
      <c r="B878" s="229"/>
      <c r="C878" s="249" t="s">
        <v>1669</v>
      </c>
      <c r="D878" s="230">
        <v>295</v>
      </c>
      <c r="E878" s="227" t="s">
        <v>1668</v>
      </c>
      <c r="F878" s="230" t="s">
        <v>12</v>
      </c>
      <c r="G878" s="230"/>
      <c r="H878" s="230"/>
      <c r="I878" s="230"/>
      <c r="J878" s="230"/>
      <c r="K878" s="231"/>
      <c r="L878" s="232"/>
      <c r="M878" s="233"/>
      <c r="N878" s="230"/>
      <c r="O878" s="231"/>
      <c r="P878" s="230"/>
      <c r="Q878" s="233">
        <v>50</v>
      </c>
      <c r="R878" s="230"/>
      <c r="S878" s="231"/>
      <c r="T878" s="230"/>
      <c r="U878" s="233"/>
      <c r="V878" s="230"/>
      <c r="W878" s="233"/>
      <c r="X878" s="230"/>
      <c r="Y878" s="233"/>
      <c r="Z878" s="230"/>
      <c r="AA878" s="233"/>
      <c r="AB878" s="230"/>
      <c r="AC878" s="233"/>
      <c r="AD878" s="230"/>
      <c r="AE878" s="233"/>
      <c r="AF878" s="230"/>
      <c r="AG878" s="233"/>
      <c r="AH878" s="230"/>
      <c r="AI878" s="233"/>
      <c r="AJ878" s="230"/>
      <c r="AK878" s="233"/>
      <c r="AL878" s="230"/>
      <c r="AM878" s="233"/>
      <c r="AN878" s="230"/>
      <c r="AO878" s="233"/>
      <c r="AP878" s="230"/>
      <c r="AQ878" s="233">
        <v>50</v>
      </c>
      <c r="AR878" s="245">
        <v>230</v>
      </c>
      <c r="AS878" s="246">
        <f>+AR878*AQ878</f>
        <v>11500</v>
      </c>
    </row>
    <row r="879" spans="1:45">
      <c r="A879" s="228">
        <v>2</v>
      </c>
      <c r="B879" s="229"/>
      <c r="C879" s="250" t="s">
        <v>1669</v>
      </c>
      <c r="D879" s="230">
        <v>295</v>
      </c>
      <c r="E879" s="227" t="s">
        <v>1670</v>
      </c>
      <c r="F879" s="230" t="s">
        <v>12</v>
      </c>
      <c r="G879" s="230"/>
      <c r="H879" s="230"/>
      <c r="I879" s="230"/>
      <c r="J879" s="230"/>
      <c r="K879" s="231"/>
      <c r="L879" s="232"/>
      <c r="M879" s="233"/>
      <c r="N879" s="230"/>
      <c r="O879" s="231"/>
      <c r="P879" s="230"/>
      <c r="Q879" s="233">
        <v>100</v>
      </c>
      <c r="R879" s="230"/>
      <c r="S879" s="231"/>
      <c r="T879" s="230"/>
      <c r="U879" s="233"/>
      <c r="V879" s="230"/>
      <c r="W879" s="233"/>
      <c r="X879" s="230"/>
      <c r="Y879" s="233"/>
      <c r="Z879" s="230"/>
      <c r="AA879" s="233"/>
      <c r="AB879" s="230"/>
      <c r="AC879" s="233"/>
      <c r="AD879" s="230"/>
      <c r="AE879" s="233"/>
      <c r="AF879" s="230"/>
      <c r="AG879" s="233"/>
      <c r="AH879" s="230"/>
      <c r="AI879" s="233"/>
      <c r="AJ879" s="230"/>
      <c r="AK879" s="233"/>
      <c r="AL879" s="230"/>
      <c r="AM879" s="233"/>
      <c r="AN879" s="230"/>
      <c r="AO879" s="233"/>
      <c r="AP879" s="230"/>
      <c r="AQ879" s="233">
        <v>100</v>
      </c>
      <c r="AR879" s="245">
        <v>650</v>
      </c>
      <c r="AS879" s="246">
        <f t="shared" ref="AS879:AS889" si="110">+AR879*AQ879</f>
        <v>65000</v>
      </c>
    </row>
    <row r="880" spans="1:45">
      <c r="A880" s="228">
        <v>3</v>
      </c>
      <c r="B880" s="229"/>
      <c r="C880" s="250" t="s">
        <v>1669</v>
      </c>
      <c r="D880" s="230">
        <v>295</v>
      </c>
      <c r="E880" s="227" t="s">
        <v>1671</v>
      </c>
      <c r="F880" s="230" t="s">
        <v>12</v>
      </c>
      <c r="G880" s="230"/>
      <c r="H880" s="230"/>
      <c r="I880" s="230"/>
      <c r="J880" s="230"/>
      <c r="K880" s="231"/>
      <c r="L880" s="232"/>
      <c r="M880" s="233"/>
      <c r="N880" s="230"/>
      <c r="O880" s="231"/>
      <c r="P880" s="230"/>
      <c r="Q880" s="233">
        <v>100</v>
      </c>
      <c r="R880" s="230"/>
      <c r="S880" s="231"/>
      <c r="T880" s="230"/>
      <c r="U880" s="233"/>
      <c r="V880" s="230"/>
      <c r="W880" s="233"/>
      <c r="X880" s="230"/>
      <c r="Y880" s="233"/>
      <c r="Z880" s="230"/>
      <c r="AA880" s="233"/>
      <c r="AB880" s="230"/>
      <c r="AC880" s="233"/>
      <c r="AD880" s="230"/>
      <c r="AE880" s="233"/>
      <c r="AF880" s="230"/>
      <c r="AG880" s="233"/>
      <c r="AH880" s="230"/>
      <c r="AI880" s="233"/>
      <c r="AJ880" s="230"/>
      <c r="AK880" s="233"/>
      <c r="AL880" s="230"/>
      <c r="AM880" s="233"/>
      <c r="AN880" s="230"/>
      <c r="AO880" s="233"/>
      <c r="AP880" s="230"/>
      <c r="AQ880" s="233">
        <v>100</v>
      </c>
      <c r="AR880" s="245">
        <v>230</v>
      </c>
      <c r="AS880" s="246">
        <f t="shared" si="110"/>
        <v>23000</v>
      </c>
    </row>
    <row r="881" spans="1:45">
      <c r="A881" s="228">
        <v>4</v>
      </c>
      <c r="B881" s="229"/>
      <c r="C881" s="243" t="s">
        <v>1669</v>
      </c>
      <c r="D881" s="230">
        <v>295</v>
      </c>
      <c r="E881" s="235" t="s">
        <v>1672</v>
      </c>
      <c r="F881" s="230" t="s">
        <v>12</v>
      </c>
      <c r="G881" s="230"/>
      <c r="H881" s="230"/>
      <c r="I881" s="230"/>
      <c r="J881" s="230"/>
      <c r="K881" s="231"/>
      <c r="L881" s="232"/>
      <c r="M881" s="233"/>
      <c r="N881" s="230"/>
      <c r="O881" s="231"/>
      <c r="P881" s="230"/>
      <c r="Q881" s="240">
        <v>50</v>
      </c>
      <c r="R881" s="230"/>
      <c r="S881" s="231"/>
      <c r="T881" s="230"/>
      <c r="U881" s="233"/>
      <c r="V881" s="230"/>
      <c r="W881" s="233"/>
      <c r="X881" s="230"/>
      <c r="Y881" s="233"/>
      <c r="Z881" s="230"/>
      <c r="AA881" s="233"/>
      <c r="AB881" s="230"/>
      <c r="AC881" s="233"/>
      <c r="AD881" s="230"/>
      <c r="AE881" s="233"/>
      <c r="AF881" s="230"/>
      <c r="AG881" s="233"/>
      <c r="AH881" s="230"/>
      <c r="AI881" s="233"/>
      <c r="AJ881" s="230"/>
      <c r="AK881" s="233"/>
      <c r="AL881" s="230"/>
      <c r="AM881" s="233"/>
      <c r="AN881" s="230"/>
      <c r="AO881" s="233"/>
      <c r="AP881" s="230"/>
      <c r="AQ881" s="240">
        <v>50</v>
      </c>
      <c r="AR881" s="245">
        <v>420</v>
      </c>
      <c r="AS881" s="246">
        <f t="shared" si="110"/>
        <v>21000</v>
      </c>
    </row>
    <row r="882" spans="1:45">
      <c r="A882" s="228">
        <v>5</v>
      </c>
      <c r="B882" s="229"/>
      <c r="C882" s="243" t="s">
        <v>1669</v>
      </c>
      <c r="D882" s="230">
        <v>295</v>
      </c>
      <c r="E882" s="227" t="s">
        <v>1673</v>
      </c>
      <c r="F882" s="230" t="s">
        <v>12</v>
      </c>
      <c r="G882" s="230"/>
      <c r="H882" s="230"/>
      <c r="I882" s="230"/>
      <c r="J882" s="230"/>
      <c r="K882" s="231"/>
      <c r="L882" s="232"/>
      <c r="M882" s="233"/>
      <c r="N882" s="230"/>
      <c r="O882" s="231"/>
      <c r="P882" s="230"/>
      <c r="Q882" s="240">
        <v>200</v>
      </c>
      <c r="R882" s="230"/>
      <c r="S882" s="231"/>
      <c r="T882" s="230"/>
      <c r="U882" s="233"/>
      <c r="V882" s="230"/>
      <c r="W882" s="233"/>
      <c r="X882" s="230"/>
      <c r="Y882" s="233"/>
      <c r="Z882" s="230"/>
      <c r="AA882" s="233"/>
      <c r="AB882" s="230"/>
      <c r="AC882" s="233"/>
      <c r="AD882" s="230"/>
      <c r="AE882" s="233"/>
      <c r="AF882" s="230"/>
      <c r="AG882" s="233"/>
      <c r="AH882" s="230"/>
      <c r="AI882" s="233"/>
      <c r="AJ882" s="230"/>
      <c r="AK882" s="233"/>
      <c r="AL882" s="230"/>
      <c r="AM882" s="233"/>
      <c r="AN882" s="230"/>
      <c r="AO882" s="233"/>
      <c r="AP882" s="230"/>
      <c r="AQ882" s="240">
        <v>200</v>
      </c>
      <c r="AR882" s="245">
        <v>80</v>
      </c>
      <c r="AS882" s="246">
        <f t="shared" si="110"/>
        <v>16000</v>
      </c>
    </row>
    <row r="883" spans="1:45">
      <c r="A883" s="228">
        <v>6</v>
      </c>
      <c r="B883" s="229"/>
      <c r="C883" s="243" t="s">
        <v>1669</v>
      </c>
      <c r="D883" s="230">
        <v>259</v>
      </c>
      <c r="E883" s="258" t="s">
        <v>443</v>
      </c>
      <c r="F883" s="230" t="s">
        <v>12</v>
      </c>
      <c r="G883" s="230"/>
      <c r="H883" s="230"/>
      <c r="I883" s="230"/>
      <c r="J883" s="230"/>
      <c r="K883" s="231"/>
      <c r="L883" s="232"/>
      <c r="M883" s="233"/>
      <c r="N883" s="230"/>
      <c r="O883" s="231"/>
      <c r="P883" s="230"/>
      <c r="Q883" s="241">
        <v>150</v>
      </c>
      <c r="R883" s="230"/>
      <c r="S883" s="231"/>
      <c r="T883" s="230"/>
      <c r="U883" s="233"/>
      <c r="V883" s="230"/>
      <c r="W883" s="233"/>
      <c r="X883" s="230"/>
      <c r="Y883" s="233"/>
      <c r="Z883" s="230"/>
      <c r="AA883" s="233"/>
      <c r="AB883" s="230"/>
      <c r="AC883" s="233"/>
      <c r="AD883" s="230"/>
      <c r="AE883" s="233"/>
      <c r="AF883" s="230"/>
      <c r="AG883" s="233"/>
      <c r="AH883" s="230"/>
      <c r="AI883" s="233"/>
      <c r="AJ883" s="230"/>
      <c r="AK883" s="233"/>
      <c r="AL883" s="230"/>
      <c r="AM883" s="233"/>
      <c r="AN883" s="230"/>
      <c r="AO883" s="233"/>
      <c r="AP883" s="230"/>
      <c r="AQ883" s="474">
        <v>75</v>
      </c>
      <c r="AR883" s="247">
        <v>12500</v>
      </c>
      <c r="AS883" s="246">
        <f t="shared" si="110"/>
        <v>937500</v>
      </c>
    </row>
    <row r="884" spans="1:45">
      <c r="A884" s="228">
        <v>7</v>
      </c>
      <c r="B884" s="229"/>
      <c r="C884" s="243" t="s">
        <v>1669</v>
      </c>
      <c r="D884" s="230">
        <v>259</v>
      </c>
      <c r="E884" s="258" t="s">
        <v>444</v>
      </c>
      <c r="F884" s="230" t="s">
        <v>12</v>
      </c>
      <c r="G884" s="230"/>
      <c r="H884" s="230"/>
      <c r="I884" s="230"/>
      <c r="J884" s="230"/>
      <c r="K884" s="231"/>
      <c r="L884" s="232"/>
      <c r="M884" s="233"/>
      <c r="N884" s="230"/>
      <c r="O884" s="231"/>
      <c r="P884" s="230"/>
      <c r="Q884" s="242">
        <v>180</v>
      </c>
      <c r="R884" s="230"/>
      <c r="S884" s="231"/>
      <c r="T884" s="230"/>
      <c r="U884" s="233"/>
      <c r="V884" s="230"/>
      <c r="W884" s="233"/>
      <c r="X884" s="230"/>
      <c r="Y884" s="233"/>
      <c r="Z884" s="230"/>
      <c r="AA884" s="233"/>
      <c r="AB884" s="230"/>
      <c r="AC884" s="233"/>
      <c r="AD884" s="230"/>
      <c r="AE884" s="233"/>
      <c r="AF884" s="230"/>
      <c r="AG884" s="233"/>
      <c r="AH884" s="230"/>
      <c r="AI884" s="233"/>
      <c r="AJ884" s="230"/>
      <c r="AK884" s="233"/>
      <c r="AL884" s="230"/>
      <c r="AM884" s="233"/>
      <c r="AN884" s="230"/>
      <c r="AO884" s="233"/>
      <c r="AP884" s="230"/>
      <c r="AQ884" s="475">
        <v>90</v>
      </c>
      <c r="AR884" s="248">
        <v>7148</v>
      </c>
      <c r="AS884" s="246">
        <f t="shared" si="110"/>
        <v>643320</v>
      </c>
    </row>
    <row r="885" spans="1:45" ht="15.75" thickBot="1">
      <c r="A885" s="228">
        <v>8</v>
      </c>
      <c r="B885" s="229"/>
      <c r="C885" s="243" t="s">
        <v>1669</v>
      </c>
      <c r="D885" s="230">
        <v>259</v>
      </c>
      <c r="E885" s="258" t="s">
        <v>445</v>
      </c>
      <c r="F885" s="238" t="s">
        <v>12</v>
      </c>
      <c r="G885" s="230"/>
      <c r="H885" s="230"/>
      <c r="I885" s="230"/>
      <c r="J885" s="230"/>
      <c r="K885" s="231"/>
      <c r="L885" s="232"/>
      <c r="M885" s="233"/>
      <c r="N885" s="230"/>
      <c r="O885" s="231"/>
      <c r="P885" s="230"/>
      <c r="Q885" s="242">
        <v>120</v>
      </c>
      <c r="R885" s="230"/>
      <c r="S885" s="231"/>
      <c r="T885" s="230"/>
      <c r="U885" s="233"/>
      <c r="V885" s="230"/>
      <c r="W885" s="233"/>
      <c r="X885" s="230"/>
      <c r="Y885" s="233"/>
      <c r="Z885" s="230"/>
      <c r="AA885" s="233"/>
      <c r="AB885" s="230"/>
      <c r="AC885" s="233"/>
      <c r="AD885" s="230"/>
      <c r="AE885" s="233"/>
      <c r="AF885" s="230"/>
      <c r="AG885" s="233"/>
      <c r="AH885" s="230"/>
      <c r="AI885" s="233"/>
      <c r="AJ885" s="230"/>
      <c r="AK885" s="233"/>
      <c r="AL885" s="230"/>
      <c r="AM885" s="233"/>
      <c r="AN885" s="230"/>
      <c r="AO885" s="233"/>
      <c r="AP885" s="230"/>
      <c r="AQ885" s="475">
        <v>120</v>
      </c>
      <c r="AR885" s="248">
        <v>4800</v>
      </c>
      <c r="AS885" s="246">
        <f t="shared" si="110"/>
        <v>576000</v>
      </c>
    </row>
    <row r="886" spans="1:45" ht="18.75" customHeight="1" thickBot="1">
      <c r="A886" s="228">
        <v>9</v>
      </c>
      <c r="B886" s="229"/>
      <c r="C886" s="243" t="s">
        <v>1669</v>
      </c>
      <c r="D886" s="230">
        <v>259</v>
      </c>
      <c r="E886" s="259" t="s">
        <v>446</v>
      </c>
      <c r="F886" s="238" t="s">
        <v>12</v>
      </c>
      <c r="G886" s="225"/>
      <c r="H886" s="225"/>
      <c r="I886" s="226"/>
      <c r="J886" s="230"/>
      <c r="K886" s="231"/>
      <c r="L886" s="232"/>
      <c r="M886" s="233"/>
      <c r="N886" s="230"/>
      <c r="O886" s="231"/>
      <c r="P886" s="230"/>
      <c r="Q886" s="242">
        <v>240</v>
      </c>
      <c r="R886" s="230"/>
      <c r="S886" s="231"/>
      <c r="T886" s="230"/>
      <c r="U886" s="233"/>
      <c r="V886" s="230"/>
      <c r="W886" s="233"/>
      <c r="X886" s="230"/>
      <c r="Y886" s="233"/>
      <c r="Z886" s="230"/>
      <c r="AA886" s="233"/>
      <c r="AB886" s="230"/>
      <c r="AC886" s="233"/>
      <c r="AD886" s="230"/>
      <c r="AE886" s="233"/>
      <c r="AF886" s="230"/>
      <c r="AG886" s="233"/>
      <c r="AH886" s="230"/>
      <c r="AI886" s="233"/>
      <c r="AJ886" s="230"/>
      <c r="AK886" s="233"/>
      <c r="AL886" s="230"/>
      <c r="AM886" s="233"/>
      <c r="AN886" s="230"/>
      <c r="AO886" s="233"/>
      <c r="AP886" s="230"/>
      <c r="AQ886" s="475">
        <v>120</v>
      </c>
      <c r="AR886" s="248">
        <v>3200</v>
      </c>
      <c r="AS886" s="246">
        <f t="shared" si="110"/>
        <v>384000</v>
      </c>
    </row>
    <row r="887" spans="1:45" ht="18.75" customHeight="1" thickBot="1">
      <c r="A887" s="228">
        <v>10</v>
      </c>
      <c r="B887" s="229"/>
      <c r="C887" s="243" t="s">
        <v>1669</v>
      </c>
      <c r="D887" s="230">
        <v>259</v>
      </c>
      <c r="E887" s="259" t="s">
        <v>447</v>
      </c>
      <c r="F887" s="238" t="s">
        <v>12</v>
      </c>
      <c r="G887" s="225"/>
      <c r="H887" s="225"/>
      <c r="I887" s="226"/>
      <c r="J887" s="230"/>
      <c r="K887" s="231"/>
      <c r="L887" s="232"/>
      <c r="M887" s="233"/>
      <c r="N887" s="230"/>
      <c r="O887" s="231"/>
      <c r="P887" s="230"/>
      <c r="Q887" s="242">
        <v>120</v>
      </c>
      <c r="R887" s="230"/>
      <c r="S887" s="231"/>
      <c r="T887" s="230"/>
      <c r="U887" s="233"/>
      <c r="V887" s="230"/>
      <c r="W887" s="233"/>
      <c r="X887" s="230"/>
      <c r="Y887" s="233"/>
      <c r="Z887" s="230"/>
      <c r="AA887" s="233"/>
      <c r="AB887" s="230"/>
      <c r="AC887" s="233"/>
      <c r="AD887" s="230"/>
      <c r="AE887" s="233"/>
      <c r="AF887" s="230"/>
      <c r="AG887" s="233"/>
      <c r="AH887" s="230"/>
      <c r="AI887" s="233"/>
      <c r="AJ887" s="230"/>
      <c r="AK887" s="233"/>
      <c r="AL887" s="230"/>
      <c r="AM887" s="233"/>
      <c r="AN887" s="230"/>
      <c r="AO887" s="233"/>
      <c r="AP887" s="230"/>
      <c r="AQ887" s="475">
        <v>60</v>
      </c>
      <c r="AR887" s="248">
        <v>2500</v>
      </c>
      <c r="AS887" s="246">
        <f t="shared" si="110"/>
        <v>150000</v>
      </c>
    </row>
    <row r="888" spans="1:45" ht="18.75" customHeight="1" thickBot="1">
      <c r="A888" s="228">
        <v>11</v>
      </c>
      <c r="B888" s="229"/>
      <c r="C888" s="243" t="s">
        <v>1669</v>
      </c>
      <c r="D888" s="230">
        <v>259</v>
      </c>
      <c r="E888" s="259" t="s">
        <v>448</v>
      </c>
      <c r="F888" s="238" t="s">
        <v>12</v>
      </c>
      <c r="G888" s="225"/>
      <c r="H888" s="225"/>
      <c r="I888" s="226"/>
      <c r="J888" s="230"/>
      <c r="K888" s="231"/>
      <c r="L888" s="232"/>
      <c r="M888" s="233"/>
      <c r="N888" s="230"/>
      <c r="O888" s="231"/>
      <c r="P888" s="230"/>
      <c r="Q888" s="242">
        <v>48</v>
      </c>
      <c r="R888" s="230"/>
      <c r="S888" s="231"/>
      <c r="T888" s="230"/>
      <c r="U888" s="233"/>
      <c r="V888" s="230"/>
      <c r="W888" s="233"/>
      <c r="X888" s="230"/>
      <c r="Y888" s="233"/>
      <c r="Z888" s="230"/>
      <c r="AA888" s="233"/>
      <c r="AB888" s="230"/>
      <c r="AC888" s="233"/>
      <c r="AD888" s="230"/>
      <c r="AE888" s="233"/>
      <c r="AF888" s="230"/>
      <c r="AG888" s="233"/>
      <c r="AH888" s="230"/>
      <c r="AI888" s="233"/>
      <c r="AJ888" s="230"/>
      <c r="AK888" s="233"/>
      <c r="AL888" s="230"/>
      <c r="AM888" s="233"/>
      <c r="AN888" s="230"/>
      <c r="AO888" s="233"/>
      <c r="AP888" s="230"/>
      <c r="AQ888" s="475">
        <v>24</v>
      </c>
      <c r="AR888" s="248">
        <v>4000</v>
      </c>
      <c r="AS888" s="246">
        <f t="shared" si="110"/>
        <v>96000</v>
      </c>
    </row>
    <row r="889" spans="1:45" ht="18" customHeight="1">
      <c r="A889" s="228">
        <v>12</v>
      </c>
      <c r="B889" s="229"/>
      <c r="C889" s="243" t="s">
        <v>1669</v>
      </c>
      <c r="D889" s="230">
        <v>259</v>
      </c>
      <c r="E889" s="260" t="s">
        <v>449</v>
      </c>
      <c r="F889" s="238" t="s">
        <v>12</v>
      </c>
      <c r="G889" s="236"/>
      <c r="H889" s="236"/>
      <c r="I889" s="237"/>
      <c r="J889" s="230"/>
      <c r="K889" s="231"/>
      <c r="L889" s="232"/>
      <c r="M889" s="233"/>
      <c r="N889" s="230"/>
      <c r="O889" s="231"/>
      <c r="P889" s="230"/>
      <c r="Q889" s="242">
        <v>96</v>
      </c>
      <c r="R889" s="230"/>
      <c r="S889" s="231"/>
      <c r="T889" s="230"/>
      <c r="U889" s="233"/>
      <c r="V889" s="230"/>
      <c r="W889" s="233"/>
      <c r="X889" s="230"/>
      <c r="Y889" s="233"/>
      <c r="Z889" s="230"/>
      <c r="AA889" s="233"/>
      <c r="AB889" s="230"/>
      <c r="AC889" s="233"/>
      <c r="AD889" s="230"/>
      <c r="AE889" s="233"/>
      <c r="AF889" s="230"/>
      <c r="AG889" s="233"/>
      <c r="AH889" s="230"/>
      <c r="AI889" s="233"/>
      <c r="AJ889" s="230"/>
      <c r="AK889" s="233"/>
      <c r="AL889" s="230"/>
      <c r="AM889" s="233"/>
      <c r="AN889" s="230"/>
      <c r="AO889" s="233"/>
      <c r="AP889" s="230"/>
      <c r="AQ889" s="475">
        <v>48</v>
      </c>
      <c r="AR889" s="248">
        <v>2900</v>
      </c>
      <c r="AS889" s="246">
        <f t="shared" si="110"/>
        <v>139200</v>
      </c>
    </row>
    <row r="890" spans="1:45">
      <c r="A890" s="228"/>
      <c r="B890" s="229"/>
      <c r="C890" s="228"/>
      <c r="D890" s="230"/>
      <c r="E890" s="251" t="s">
        <v>1674</v>
      </c>
      <c r="F890" s="230"/>
      <c r="G890" s="239"/>
      <c r="H890" s="230"/>
      <c r="I890" s="230"/>
      <c r="J890" s="230"/>
      <c r="K890" s="231"/>
      <c r="L890" s="232"/>
      <c r="M890" s="233"/>
      <c r="N890" s="230"/>
      <c r="O890" s="231"/>
      <c r="P890" s="230"/>
      <c r="Q890" s="233"/>
      <c r="R890" s="230"/>
      <c r="S890" s="231"/>
      <c r="T890" s="230"/>
      <c r="U890" s="233"/>
      <c r="V890" s="230"/>
      <c r="W890" s="233"/>
      <c r="X890" s="230"/>
      <c r="Y890" s="233"/>
      <c r="Z890" s="230"/>
      <c r="AA890" s="233"/>
      <c r="AB890" s="230"/>
      <c r="AC890" s="233"/>
      <c r="AD890" s="230"/>
      <c r="AE890" s="233"/>
      <c r="AF890" s="230"/>
      <c r="AG890" s="233"/>
      <c r="AH890" s="230"/>
      <c r="AI890" s="233"/>
      <c r="AJ890" s="230"/>
      <c r="AK890" s="233"/>
      <c r="AL890" s="230"/>
      <c r="AM890" s="233"/>
      <c r="AN890" s="230"/>
      <c r="AO890" s="233"/>
      <c r="AP890" s="230"/>
      <c r="AQ890" s="234"/>
      <c r="AR890" s="244"/>
      <c r="AS890" s="252">
        <f>SUM(AS878:AS889)</f>
        <v>3062520</v>
      </c>
    </row>
    <row r="892" spans="1:45" ht="150" customHeight="1">
      <c r="B892" s="473" t="s">
        <v>1675</v>
      </c>
      <c r="C892" s="472" t="s">
        <v>1734</v>
      </c>
      <c r="D892" s="472"/>
      <c r="E892" s="472"/>
    </row>
    <row r="894" spans="1:45" ht="30">
      <c r="B894" s="186" t="s">
        <v>1676</v>
      </c>
    </row>
    <row r="896" spans="1:45">
      <c r="B896" s="186" t="s">
        <v>1677</v>
      </c>
      <c r="C896" s="187" t="s">
        <v>1678</v>
      </c>
    </row>
    <row r="898" spans="2:31" ht="30">
      <c r="B898" s="186" t="s">
        <v>1679</v>
      </c>
      <c r="C898" s="333" t="s">
        <v>1733</v>
      </c>
      <c r="D898" s="333"/>
      <c r="E898" s="333"/>
      <c r="F898" s="333"/>
      <c r="G898" s="333"/>
      <c r="H898" s="333"/>
      <c r="I898" s="333"/>
      <c r="J898" s="333"/>
      <c r="K898" s="333"/>
      <c r="L898" s="333"/>
      <c r="M898" s="333"/>
      <c r="N898" s="333"/>
      <c r="O898" s="333"/>
      <c r="P898" s="333"/>
      <c r="Q898" s="333"/>
      <c r="R898" s="333"/>
      <c r="S898" s="333"/>
      <c r="T898" s="333"/>
      <c r="U898" s="333"/>
      <c r="V898" s="333"/>
      <c r="W898" s="333"/>
      <c r="X898" s="333"/>
      <c r="Y898" s="333"/>
      <c r="Z898" s="333"/>
      <c r="AA898" s="333"/>
      <c r="AB898" s="333"/>
      <c r="AC898" s="333"/>
      <c r="AD898" s="333"/>
      <c r="AE898" s="333"/>
    </row>
    <row r="899" spans="2:31">
      <c r="C899" s="333"/>
      <c r="D899" s="333"/>
      <c r="E899" s="333"/>
      <c r="F899" s="333"/>
      <c r="G899" s="333"/>
      <c r="H899" s="333"/>
      <c r="I899" s="333"/>
      <c r="J899" s="333"/>
      <c r="K899" s="333"/>
      <c r="L899" s="333"/>
      <c r="M899" s="333"/>
      <c r="N899" s="333"/>
      <c r="O899" s="333"/>
      <c r="P899" s="333"/>
      <c r="Q899" s="333"/>
      <c r="R899" s="333"/>
      <c r="S899" s="333"/>
      <c r="T899" s="333"/>
      <c r="U899" s="333"/>
      <c r="V899" s="333"/>
      <c r="W899" s="333"/>
      <c r="X899" s="333"/>
      <c r="Y899" s="333"/>
      <c r="Z899" s="333"/>
      <c r="AA899" s="333"/>
      <c r="AB899" s="333"/>
      <c r="AC899" s="333"/>
      <c r="AD899" s="333"/>
      <c r="AE899" s="333"/>
    </row>
    <row r="900" spans="2:31">
      <c r="C900" s="333"/>
      <c r="D900" s="333"/>
      <c r="E900" s="333"/>
      <c r="F900" s="333"/>
      <c r="G900" s="333"/>
      <c r="H900" s="333"/>
      <c r="I900" s="333"/>
      <c r="J900" s="333"/>
      <c r="K900" s="333"/>
      <c r="L900" s="333"/>
      <c r="M900" s="333"/>
      <c r="N900" s="333"/>
      <c r="O900" s="333"/>
      <c r="P900" s="333"/>
      <c r="Q900" s="333"/>
      <c r="R900" s="333"/>
      <c r="S900" s="333"/>
      <c r="T900" s="333"/>
      <c r="U900" s="333"/>
      <c r="V900" s="333"/>
      <c r="W900" s="333"/>
      <c r="X900" s="333"/>
      <c r="Y900" s="333"/>
      <c r="Z900" s="333"/>
      <c r="AA900" s="333"/>
      <c r="AB900" s="333"/>
      <c r="AC900" s="333"/>
      <c r="AD900" s="333"/>
      <c r="AE900" s="333"/>
    </row>
    <row r="901" spans="2:31">
      <c r="C901" s="333"/>
      <c r="D901" s="333"/>
      <c r="E901" s="333"/>
      <c r="F901" s="333"/>
      <c r="G901" s="333"/>
      <c r="H901" s="333"/>
      <c r="I901" s="333"/>
      <c r="J901" s="333"/>
      <c r="K901" s="333"/>
      <c r="L901" s="333"/>
      <c r="M901" s="333"/>
      <c r="N901" s="333"/>
      <c r="O901" s="333"/>
      <c r="P901" s="333"/>
      <c r="Q901" s="333"/>
      <c r="R901" s="333"/>
      <c r="S901" s="333"/>
      <c r="T901" s="333"/>
      <c r="U901" s="333"/>
      <c r="V901" s="333"/>
      <c r="W901" s="333"/>
      <c r="X901" s="333"/>
      <c r="Y901" s="333"/>
      <c r="Z901" s="333"/>
      <c r="AA901" s="333"/>
      <c r="AB901" s="333"/>
      <c r="AC901" s="333"/>
      <c r="AD901" s="333"/>
      <c r="AE901" s="333"/>
    </row>
    <row r="902" spans="2:31" ht="30">
      <c r="B902" s="186" t="s">
        <v>1680</v>
      </c>
    </row>
    <row r="904" spans="2:31">
      <c r="B904" s="186" t="s">
        <v>1681</v>
      </c>
      <c r="C904" s="187" t="s">
        <v>1682</v>
      </c>
    </row>
    <row r="905" spans="2:31">
      <c r="R905" s="253"/>
    </row>
  </sheetData>
  <autoFilter ref="A9:AS877"/>
  <mergeCells count="75">
    <mergeCell ref="C892:E892"/>
    <mergeCell ref="AT130:AX130"/>
    <mergeCell ref="AT122:AX122"/>
    <mergeCell ref="AT124:AX124"/>
    <mergeCell ref="AT125:AX125"/>
    <mergeCell ref="AT126:AX126"/>
    <mergeCell ref="AT127:AX127"/>
    <mergeCell ref="AT123:AX123"/>
    <mergeCell ref="AT850:AX850"/>
    <mergeCell ref="AT769:AX769"/>
    <mergeCell ref="AT773:AX773"/>
    <mergeCell ref="AT837:AX838"/>
    <mergeCell ref="AT802:AX802"/>
    <mergeCell ref="AT774:AX774"/>
    <mergeCell ref="AT783:AX783"/>
    <mergeCell ref="AT776:AX776"/>
    <mergeCell ref="AT777:AX777"/>
    <mergeCell ref="AT778:AX778"/>
    <mergeCell ref="AT779:AX779"/>
    <mergeCell ref="AT812:AX812"/>
    <mergeCell ref="AT786:AX786"/>
    <mergeCell ref="AT787:AX787"/>
    <mergeCell ref="AT780:AX780"/>
    <mergeCell ref="AT781:AX781"/>
    <mergeCell ref="AT806:AX806"/>
    <mergeCell ref="AT775:AX775"/>
    <mergeCell ref="A7:B7"/>
    <mergeCell ref="AT782:AX782"/>
    <mergeCell ref="AT772:AX772"/>
    <mergeCell ref="AT86:AX86"/>
    <mergeCell ref="AT88:AX88"/>
    <mergeCell ref="AT66:AX66"/>
    <mergeCell ref="AT67:AX67"/>
    <mergeCell ref="AT68:AX68"/>
    <mergeCell ref="AT69:AX69"/>
    <mergeCell ref="AT70:AX70"/>
    <mergeCell ref="AT73:AX73"/>
    <mergeCell ref="AT76:AX76"/>
    <mergeCell ref="AT770:AX770"/>
    <mergeCell ref="AT771:AX771"/>
    <mergeCell ref="AT128:AX128"/>
    <mergeCell ref="AT51:AX51"/>
    <mergeCell ref="A6:B6"/>
    <mergeCell ref="AT131:AX131"/>
    <mergeCell ref="AT132:AX132"/>
    <mergeCell ref="AT78:AX78"/>
    <mergeCell ref="AT133:AX133"/>
    <mergeCell ref="AT89:AX89"/>
    <mergeCell ref="AT135:AX135"/>
    <mergeCell ref="AT49:AX49"/>
    <mergeCell ref="AT91:AX91"/>
    <mergeCell ref="AT121:AW121"/>
    <mergeCell ref="AT134:AW134"/>
    <mergeCell ref="AT129:AX129"/>
    <mergeCell ref="B2:AR2"/>
    <mergeCell ref="A4:B4"/>
    <mergeCell ref="C4:E4"/>
    <mergeCell ref="A5:B5"/>
    <mergeCell ref="C5:E5"/>
    <mergeCell ref="C898:AE898"/>
    <mergeCell ref="C899:AE899"/>
    <mergeCell ref="C900:AE900"/>
    <mergeCell ref="C901:AE901"/>
    <mergeCell ref="AT52:AX52"/>
    <mergeCell ref="AT85:AX85"/>
    <mergeCell ref="AT80:AX80"/>
    <mergeCell ref="AT87:AX87"/>
    <mergeCell ref="AT77:AX77"/>
    <mergeCell ref="AT81:AX81"/>
    <mergeCell ref="AT82:AX82"/>
    <mergeCell ref="AT83:AX83"/>
    <mergeCell ref="AT84:AX84"/>
    <mergeCell ref="AT79:AX79"/>
    <mergeCell ref="AT784:AX784"/>
    <mergeCell ref="AT785:AX785"/>
  </mergeCells>
  <conditionalFormatting sqref="E752">
    <cfRule type="duplicateValues" dxfId="238" priority="514"/>
  </conditionalFormatting>
  <conditionalFormatting sqref="B268:B269">
    <cfRule type="duplicateValues" dxfId="237" priority="508"/>
  </conditionalFormatting>
  <conditionalFormatting sqref="B849:B850 E849:E850">
    <cfRule type="duplicateValues" dxfId="236" priority="1510"/>
  </conditionalFormatting>
  <conditionalFormatting sqref="B17:B19 E17:E19">
    <cfRule type="duplicateValues" dxfId="235" priority="486"/>
  </conditionalFormatting>
  <conditionalFormatting sqref="B17:B19">
    <cfRule type="duplicateValues" dxfId="234" priority="487"/>
  </conditionalFormatting>
  <conditionalFormatting sqref="B26:B28 E26:E28">
    <cfRule type="duplicateValues" dxfId="233" priority="480"/>
  </conditionalFormatting>
  <conditionalFormatting sqref="B26:B28 E26:E28">
    <cfRule type="duplicateValues" dxfId="232" priority="481"/>
  </conditionalFormatting>
  <conditionalFormatting sqref="B20:B21 E20:E21">
    <cfRule type="duplicateValues" dxfId="231" priority="1637"/>
  </conditionalFormatting>
  <conditionalFormatting sqref="B63 E65 E63 B65">
    <cfRule type="duplicateValues" dxfId="230" priority="468"/>
  </conditionalFormatting>
  <conditionalFormatting sqref="B63 B65">
    <cfRule type="duplicateValues" dxfId="229" priority="469"/>
  </conditionalFormatting>
  <conditionalFormatting sqref="B63">
    <cfRule type="duplicateValues" dxfId="228" priority="470"/>
  </conditionalFormatting>
  <conditionalFormatting sqref="B66:B67 E66:E67">
    <cfRule type="duplicateValues" dxfId="227" priority="465"/>
  </conditionalFormatting>
  <conditionalFormatting sqref="B66:B67">
    <cfRule type="duplicateValues" dxfId="226" priority="466"/>
  </conditionalFormatting>
  <conditionalFormatting sqref="B70:B75 E70:E75">
    <cfRule type="duplicateValues" dxfId="225" priority="459"/>
  </conditionalFormatting>
  <conditionalFormatting sqref="B70:B75">
    <cfRule type="duplicateValues" dxfId="224" priority="460"/>
  </conditionalFormatting>
  <conditionalFormatting sqref="B76:B77 E76:E77">
    <cfRule type="duplicateValues" dxfId="223" priority="456"/>
  </conditionalFormatting>
  <conditionalFormatting sqref="B76:B77">
    <cfRule type="duplicateValues" dxfId="222" priority="457"/>
  </conditionalFormatting>
  <conditionalFormatting sqref="B78:B79 E78:E79">
    <cfRule type="duplicateValues" dxfId="221" priority="453"/>
  </conditionalFormatting>
  <conditionalFormatting sqref="B78:B79">
    <cfRule type="duplicateValues" dxfId="220" priority="454"/>
  </conditionalFormatting>
  <conditionalFormatting sqref="B80:B81 E80:E81">
    <cfRule type="duplicateValues" dxfId="219" priority="450"/>
  </conditionalFormatting>
  <conditionalFormatting sqref="B80:B81">
    <cfRule type="duplicateValues" dxfId="218" priority="451"/>
  </conditionalFormatting>
  <conditionalFormatting sqref="B82:B83 E82:E83">
    <cfRule type="duplicateValues" dxfId="217" priority="447"/>
  </conditionalFormatting>
  <conditionalFormatting sqref="B82:B83">
    <cfRule type="duplicateValues" dxfId="216" priority="448"/>
  </conditionalFormatting>
  <conditionalFormatting sqref="B84 B51 E84 E51">
    <cfRule type="duplicateValues" dxfId="215" priority="444"/>
  </conditionalFormatting>
  <conditionalFormatting sqref="B84 B51">
    <cfRule type="duplicateValues" dxfId="214" priority="445"/>
  </conditionalFormatting>
  <conditionalFormatting sqref="B86 E86 E88 B88">
    <cfRule type="duplicateValues" dxfId="213" priority="438"/>
  </conditionalFormatting>
  <conditionalFormatting sqref="B86 B88">
    <cfRule type="duplicateValues" dxfId="212" priority="439"/>
  </conditionalFormatting>
  <conditionalFormatting sqref="B89:B90 E89:E90">
    <cfRule type="duplicateValues" dxfId="211" priority="435"/>
  </conditionalFormatting>
  <conditionalFormatting sqref="B89:B90">
    <cfRule type="duplicateValues" dxfId="210" priority="436"/>
  </conditionalFormatting>
  <conditionalFormatting sqref="B92:B93 E92:E93">
    <cfRule type="duplicateValues" dxfId="209" priority="430"/>
  </conditionalFormatting>
  <conditionalFormatting sqref="B92:B93">
    <cfRule type="duplicateValues" dxfId="208" priority="431"/>
  </conditionalFormatting>
  <conditionalFormatting sqref="E62">
    <cfRule type="duplicateValues" dxfId="207" priority="417"/>
  </conditionalFormatting>
  <conditionalFormatting sqref="B91 B49:B50">
    <cfRule type="duplicateValues" dxfId="206" priority="1806"/>
  </conditionalFormatting>
  <conditionalFormatting sqref="B85 B52:B55 E85 E52:E55 E57:E58 B57:B58">
    <cfRule type="duplicateValues" dxfId="205" priority="1980"/>
  </conditionalFormatting>
  <conditionalFormatting sqref="B85 B52:B55 B57:B58">
    <cfRule type="duplicateValues" dxfId="204" priority="1986"/>
  </conditionalFormatting>
  <conditionalFormatting sqref="B127:B128">
    <cfRule type="duplicateValues" dxfId="203" priority="407"/>
  </conditionalFormatting>
  <conditionalFormatting sqref="E127:E128">
    <cfRule type="duplicateValues" dxfId="202" priority="412"/>
  </conditionalFormatting>
  <conditionalFormatting sqref="B127:B128">
    <cfRule type="duplicateValues" dxfId="201" priority="413"/>
  </conditionalFormatting>
  <conditionalFormatting sqref="B129:B130">
    <cfRule type="duplicateValues" dxfId="200" priority="398"/>
  </conditionalFormatting>
  <conditionalFormatting sqref="E129:E130">
    <cfRule type="duplicateValues" dxfId="199" priority="403"/>
  </conditionalFormatting>
  <conditionalFormatting sqref="B129:B130">
    <cfRule type="duplicateValues" dxfId="198" priority="404"/>
  </conditionalFormatting>
  <conditionalFormatting sqref="B131:B132">
    <cfRule type="duplicateValues" dxfId="197" priority="389"/>
  </conditionalFormatting>
  <conditionalFormatting sqref="E131:E132">
    <cfRule type="duplicateValues" dxfId="196" priority="394"/>
  </conditionalFormatting>
  <conditionalFormatting sqref="B131:B132">
    <cfRule type="duplicateValues" dxfId="195" priority="395"/>
  </conditionalFormatting>
  <conditionalFormatting sqref="B133:B134">
    <cfRule type="duplicateValues" dxfId="194" priority="380"/>
  </conditionalFormatting>
  <conditionalFormatting sqref="E133:E134">
    <cfRule type="duplicateValues" dxfId="193" priority="385"/>
  </conditionalFormatting>
  <conditionalFormatting sqref="B133:B134">
    <cfRule type="duplicateValues" dxfId="192" priority="386"/>
  </conditionalFormatting>
  <conditionalFormatting sqref="B135:B136">
    <cfRule type="duplicateValues" dxfId="191" priority="371"/>
  </conditionalFormatting>
  <conditionalFormatting sqref="E135:E136">
    <cfRule type="duplicateValues" dxfId="190" priority="376"/>
  </conditionalFormatting>
  <conditionalFormatting sqref="B135:B136">
    <cfRule type="duplicateValues" dxfId="189" priority="377"/>
  </conditionalFormatting>
  <conditionalFormatting sqref="B147:B149">
    <cfRule type="duplicateValues" dxfId="188" priority="362"/>
  </conditionalFormatting>
  <conditionalFormatting sqref="B147:B149">
    <cfRule type="duplicateValues" dxfId="187" priority="361"/>
  </conditionalFormatting>
  <conditionalFormatting sqref="E147:E149">
    <cfRule type="duplicateValues" dxfId="186" priority="367"/>
  </conditionalFormatting>
  <conditionalFormatting sqref="B147:B149">
    <cfRule type="duplicateValues" dxfId="185" priority="368"/>
  </conditionalFormatting>
  <conditionalFormatting sqref="B143">
    <cfRule type="duplicateValues" dxfId="184" priority="353"/>
  </conditionalFormatting>
  <conditionalFormatting sqref="B143">
    <cfRule type="duplicateValues" dxfId="183" priority="352"/>
  </conditionalFormatting>
  <conditionalFormatting sqref="E143">
    <cfRule type="duplicateValues" dxfId="182" priority="358"/>
  </conditionalFormatting>
  <conditionalFormatting sqref="B143">
    <cfRule type="duplicateValues" dxfId="181" priority="359"/>
  </conditionalFormatting>
  <conditionalFormatting sqref="B775:B776 B801 E801 E775:E776">
    <cfRule type="duplicateValues" dxfId="180" priority="339"/>
  </conditionalFormatting>
  <conditionalFormatting sqref="B777:B779">
    <cfRule type="duplicateValues" dxfId="179" priority="336"/>
  </conditionalFormatting>
  <conditionalFormatting sqref="B780:B781 E780:E781">
    <cfRule type="duplicateValues" dxfId="178" priority="333"/>
  </conditionalFormatting>
  <conditionalFormatting sqref="B782:B784">
    <cfRule type="duplicateValues" dxfId="177" priority="330"/>
  </conditionalFormatting>
  <conditionalFormatting sqref="B785:B786 E785:E786">
    <cfRule type="duplicateValues" dxfId="176" priority="327"/>
  </conditionalFormatting>
  <conditionalFormatting sqref="B787:B789">
    <cfRule type="duplicateValues" dxfId="175" priority="324"/>
  </conditionalFormatting>
  <conditionalFormatting sqref="B790:B800 E790:E800">
    <cfRule type="duplicateValues" dxfId="174" priority="321"/>
  </conditionalFormatting>
  <conditionalFormatting sqref="E810:E814 B810:B814 E829 B829">
    <cfRule type="duplicateValues" dxfId="173" priority="318"/>
  </conditionalFormatting>
  <conditionalFormatting sqref="B805:B809 E805:E809">
    <cfRule type="duplicateValues" dxfId="172" priority="315"/>
  </conditionalFormatting>
  <conditionalFormatting sqref="B804 E804">
    <cfRule type="duplicateValues" dxfId="171" priority="312"/>
  </conditionalFormatting>
  <conditionalFormatting sqref="B802:B803 E802:E803">
    <cfRule type="duplicateValues" dxfId="170" priority="309"/>
  </conditionalFormatting>
  <conditionalFormatting sqref="B68:B69 E68:E69">
    <cfRule type="duplicateValues" dxfId="169" priority="2559"/>
  </conditionalFormatting>
  <conditionalFormatting sqref="B68:B69">
    <cfRule type="duplicateValues" dxfId="168" priority="2565"/>
  </conditionalFormatting>
  <conditionalFormatting sqref="B64 E64">
    <cfRule type="duplicateValues" dxfId="167" priority="281"/>
  </conditionalFormatting>
  <conditionalFormatting sqref="B64">
    <cfRule type="duplicateValues" dxfId="166" priority="282"/>
  </conditionalFormatting>
  <conditionalFormatting sqref="E64">
    <cfRule type="duplicateValues" dxfId="165" priority="276"/>
    <cfRule type="duplicateValues" dxfId="164" priority="277"/>
  </conditionalFormatting>
  <conditionalFormatting sqref="B22:B25 E22:E25">
    <cfRule type="duplicateValues" dxfId="163" priority="2675"/>
  </conditionalFormatting>
  <conditionalFormatting sqref="B107">
    <cfRule type="duplicateValues" dxfId="162" priority="269"/>
  </conditionalFormatting>
  <conditionalFormatting sqref="B107">
    <cfRule type="duplicateValues" dxfId="161" priority="268"/>
  </conditionalFormatting>
  <conditionalFormatting sqref="E107">
    <cfRule type="duplicateValues" dxfId="160" priority="270"/>
  </conditionalFormatting>
  <conditionalFormatting sqref="E107">
    <cfRule type="duplicateValues" dxfId="159" priority="271"/>
  </conditionalFormatting>
  <conditionalFormatting sqref="B107 E107">
    <cfRule type="duplicateValues" dxfId="158" priority="272"/>
  </conditionalFormatting>
  <conditionalFormatting sqref="E107">
    <cfRule type="duplicateValues" dxfId="157" priority="266"/>
    <cfRule type="duplicateValues" dxfId="156" priority="267"/>
  </conditionalFormatting>
  <conditionalFormatting sqref="B107">
    <cfRule type="duplicateValues" dxfId="155" priority="275"/>
  </conditionalFormatting>
  <conditionalFormatting sqref="B91 B49:B50 E91 E49:E50">
    <cfRule type="duplicateValues" dxfId="154" priority="6592"/>
  </conditionalFormatting>
  <conditionalFormatting sqref="B38 E38">
    <cfRule type="duplicateValues" dxfId="153" priority="204"/>
  </conditionalFormatting>
  <conditionalFormatting sqref="B38 E38">
    <cfRule type="duplicateValues" dxfId="152" priority="205"/>
  </conditionalFormatting>
  <conditionalFormatting sqref="E38">
    <cfRule type="duplicateValues" dxfId="151" priority="206"/>
    <cfRule type="duplicateValues" dxfId="150" priority="207"/>
  </conditionalFormatting>
  <conditionalFormatting sqref="B199 B181:B182">
    <cfRule type="duplicateValues" dxfId="149" priority="200"/>
  </conditionalFormatting>
  <conditionalFormatting sqref="E199 E181:E183">
    <cfRule type="duplicateValues" dxfId="148" priority="201"/>
    <cfRule type="duplicateValues" dxfId="147" priority="202"/>
  </conditionalFormatting>
  <conditionalFormatting sqref="B41 E41">
    <cfRule type="duplicateValues" dxfId="146" priority="191"/>
  </conditionalFormatting>
  <conditionalFormatting sqref="E41">
    <cfRule type="duplicateValues" dxfId="145" priority="192"/>
    <cfRule type="duplicateValues" dxfId="144" priority="193"/>
  </conditionalFormatting>
  <conditionalFormatting sqref="B42 E42">
    <cfRule type="duplicateValues" dxfId="143" priority="185"/>
  </conditionalFormatting>
  <conditionalFormatting sqref="B42 E42">
    <cfRule type="duplicateValues" dxfId="142" priority="186"/>
  </conditionalFormatting>
  <conditionalFormatting sqref="E42">
    <cfRule type="duplicateValues" dxfId="141" priority="187"/>
    <cfRule type="duplicateValues" dxfId="140" priority="188"/>
  </conditionalFormatting>
  <conditionalFormatting sqref="B43 E43">
    <cfRule type="duplicateValues" dxfId="139" priority="180"/>
  </conditionalFormatting>
  <conditionalFormatting sqref="B43 E43">
    <cfRule type="duplicateValues" dxfId="138" priority="181"/>
  </conditionalFormatting>
  <conditionalFormatting sqref="E43">
    <cfRule type="duplicateValues" dxfId="137" priority="182"/>
    <cfRule type="duplicateValues" dxfId="136" priority="183"/>
  </conditionalFormatting>
  <conditionalFormatting sqref="B150">
    <cfRule type="duplicateValues" dxfId="135" priority="164"/>
  </conditionalFormatting>
  <conditionalFormatting sqref="B150">
    <cfRule type="duplicateValues" dxfId="134" priority="163"/>
  </conditionalFormatting>
  <conditionalFormatting sqref="B150 E150">
    <cfRule type="duplicateValues" dxfId="133" priority="165"/>
  </conditionalFormatting>
  <conditionalFormatting sqref="E150">
    <cfRule type="duplicateValues" dxfId="132" priority="166"/>
  </conditionalFormatting>
  <conditionalFormatting sqref="E150">
    <cfRule type="duplicateValues" dxfId="131" priority="167"/>
  </conditionalFormatting>
  <conditionalFormatting sqref="B150">
    <cfRule type="duplicateValues" dxfId="130" priority="168"/>
  </conditionalFormatting>
  <conditionalFormatting sqref="E150">
    <cfRule type="duplicateValues" dxfId="129" priority="175"/>
    <cfRule type="duplicateValues" dxfId="128" priority="176"/>
  </conditionalFormatting>
  <conditionalFormatting sqref="B282:B283 E282:E283">
    <cfRule type="duplicateValues" dxfId="127" priority="157"/>
  </conditionalFormatting>
  <conditionalFormatting sqref="B282:B283">
    <cfRule type="duplicateValues" dxfId="126" priority="158"/>
  </conditionalFormatting>
  <conditionalFormatting sqref="E282:E283">
    <cfRule type="duplicateValues" dxfId="125" priority="159"/>
    <cfRule type="duplicateValues" dxfId="124" priority="160"/>
  </conditionalFormatting>
  <conditionalFormatting sqref="B87 E87">
    <cfRule type="duplicateValues" dxfId="123" priority="141"/>
  </conditionalFormatting>
  <conditionalFormatting sqref="B87">
    <cfRule type="duplicateValues" dxfId="122" priority="142"/>
  </conditionalFormatting>
  <conditionalFormatting sqref="E87">
    <cfRule type="duplicateValues" dxfId="121" priority="147"/>
    <cfRule type="duplicateValues" dxfId="120" priority="148"/>
  </conditionalFormatting>
  <conditionalFormatting sqref="B815:B816 E815:E816">
    <cfRule type="duplicateValues" dxfId="119" priority="130"/>
  </conditionalFormatting>
  <conditionalFormatting sqref="B815:B816">
    <cfRule type="duplicateValues" dxfId="118" priority="131"/>
  </conditionalFormatting>
  <conditionalFormatting sqref="B815:B816">
    <cfRule type="duplicateValues" dxfId="117" priority="132"/>
  </conditionalFormatting>
  <conditionalFormatting sqref="E815:E816">
    <cfRule type="duplicateValues" dxfId="116" priority="136"/>
    <cfRule type="duplicateValues" dxfId="115" priority="137"/>
  </conditionalFormatting>
  <conditionalFormatting sqref="B817:B818 E817:E818">
    <cfRule type="duplicateValues" dxfId="114" priority="122"/>
  </conditionalFormatting>
  <conditionalFormatting sqref="B817:B818">
    <cfRule type="duplicateValues" dxfId="113" priority="123"/>
  </conditionalFormatting>
  <conditionalFormatting sqref="B817:B818">
    <cfRule type="duplicateValues" dxfId="112" priority="124"/>
  </conditionalFormatting>
  <conditionalFormatting sqref="E817:E818">
    <cfRule type="duplicateValues" dxfId="111" priority="128"/>
    <cfRule type="duplicateValues" dxfId="110" priority="129"/>
  </conditionalFormatting>
  <conditionalFormatting sqref="B819:B820 E819:E820">
    <cfRule type="duplicateValues" dxfId="109" priority="114"/>
  </conditionalFormatting>
  <conditionalFormatting sqref="B819:B820">
    <cfRule type="duplicateValues" dxfId="108" priority="115"/>
  </conditionalFormatting>
  <conditionalFormatting sqref="B819:B820">
    <cfRule type="duplicateValues" dxfId="107" priority="116"/>
  </conditionalFormatting>
  <conditionalFormatting sqref="E819:E820">
    <cfRule type="duplicateValues" dxfId="106" priority="120"/>
    <cfRule type="duplicateValues" dxfId="105" priority="121"/>
  </conditionalFormatting>
  <conditionalFormatting sqref="B821:B822 E821:E822">
    <cfRule type="duplicateValues" dxfId="104" priority="106"/>
  </conditionalFormatting>
  <conditionalFormatting sqref="B821:B822">
    <cfRule type="duplicateValues" dxfId="103" priority="107"/>
  </conditionalFormatting>
  <conditionalFormatting sqref="B821:B822">
    <cfRule type="duplicateValues" dxfId="102" priority="108"/>
  </conditionalFormatting>
  <conditionalFormatting sqref="E821:E822">
    <cfRule type="duplicateValues" dxfId="101" priority="112"/>
    <cfRule type="duplicateValues" dxfId="100" priority="113"/>
  </conditionalFormatting>
  <conditionalFormatting sqref="B823:B824 E823:E824">
    <cfRule type="duplicateValues" dxfId="99" priority="98"/>
  </conditionalFormatting>
  <conditionalFormatting sqref="B823:B824">
    <cfRule type="duplicateValues" dxfId="98" priority="99"/>
  </conditionalFormatting>
  <conditionalFormatting sqref="B823:B824">
    <cfRule type="duplicateValues" dxfId="97" priority="100"/>
  </conditionalFormatting>
  <conditionalFormatting sqref="E823:E824">
    <cfRule type="duplicateValues" dxfId="96" priority="104"/>
    <cfRule type="duplicateValues" dxfId="95" priority="105"/>
  </conditionalFormatting>
  <conditionalFormatting sqref="B825:B826 E825:E826">
    <cfRule type="duplicateValues" dxfId="94" priority="90"/>
  </conditionalFormatting>
  <conditionalFormatting sqref="B825:B826">
    <cfRule type="duplicateValues" dxfId="93" priority="91"/>
  </conditionalFormatting>
  <conditionalFormatting sqref="B825:B826">
    <cfRule type="duplicateValues" dxfId="92" priority="92"/>
  </conditionalFormatting>
  <conditionalFormatting sqref="E825:E826">
    <cfRule type="duplicateValues" dxfId="91" priority="96"/>
    <cfRule type="duplicateValues" dxfId="90" priority="97"/>
  </conditionalFormatting>
  <conditionalFormatting sqref="B827:B828 E827:E828">
    <cfRule type="duplicateValues" dxfId="89" priority="82"/>
  </conditionalFormatting>
  <conditionalFormatting sqref="B827:B828">
    <cfRule type="duplicateValues" dxfId="88" priority="83"/>
  </conditionalFormatting>
  <conditionalFormatting sqref="B827:B828">
    <cfRule type="duplicateValues" dxfId="87" priority="84"/>
  </conditionalFormatting>
  <conditionalFormatting sqref="E827:E828">
    <cfRule type="duplicateValues" dxfId="86" priority="88"/>
    <cfRule type="duplicateValues" dxfId="85" priority="89"/>
  </conditionalFormatting>
  <conditionalFormatting sqref="B906:B1048576 B1:B891">
    <cfRule type="duplicateValues" dxfId="84" priority="40"/>
  </conditionalFormatting>
  <conditionalFormatting sqref="B94:B106 B56 E94:E106 E56 E108:E114 B108:B114">
    <cfRule type="duplicateValues" dxfId="83" priority="7011"/>
  </conditionalFormatting>
  <conditionalFormatting sqref="B94:B106 B56 B108:B114">
    <cfRule type="duplicateValues" dxfId="82" priority="7021"/>
  </conditionalFormatting>
  <conditionalFormatting sqref="B830 E830">
    <cfRule type="duplicateValues" dxfId="81" priority="7474"/>
  </conditionalFormatting>
  <conditionalFormatting sqref="B830">
    <cfRule type="duplicateValues" dxfId="80" priority="7476"/>
  </conditionalFormatting>
  <conditionalFormatting sqref="E830">
    <cfRule type="duplicateValues" dxfId="79" priority="7479"/>
    <cfRule type="duplicateValues" dxfId="78" priority="7480"/>
  </conditionalFormatting>
  <conditionalFormatting sqref="E174:E176">
    <cfRule type="duplicateValues" dxfId="77" priority="7870"/>
    <cfRule type="duplicateValues" dxfId="76" priority="7871"/>
  </conditionalFormatting>
  <conditionalFormatting sqref="B851:B853 E855:E876 B855:B876 E851:E853">
    <cfRule type="duplicateValues" dxfId="75" priority="8255"/>
  </conditionalFormatting>
  <conditionalFormatting sqref="B851:B853 B855:B876">
    <cfRule type="duplicateValues" dxfId="74" priority="8259"/>
  </conditionalFormatting>
  <conditionalFormatting sqref="B305:B693 B270 B264:B266 B256:B261 B737 B117:B126 B137:B142 B144:B146">
    <cfRule type="duplicateValues" dxfId="73" priority="8799"/>
  </conditionalFormatting>
  <conditionalFormatting sqref="B305:B693 B264:B266 B256:B261 B737 B117:B126 B137:B142 B144:B146">
    <cfRule type="duplicateValues" dxfId="72" priority="8807"/>
  </conditionalFormatting>
  <conditionalFormatting sqref="E890:E891 E65:E86 E1:E37 E39:E40 E88:E106 E829 E831:E877 E44:E63 E108:E149 E151:E173 E184:E198 E177:E180 E200:E281 E284:E693 E695:E814 E906:E1048576">
    <cfRule type="duplicateValues" dxfId="71" priority="8916"/>
    <cfRule type="duplicateValues" dxfId="70" priority="8917"/>
  </conditionalFormatting>
  <conditionalFormatting sqref="E890:E891 E1:E877 E906:E1048576">
    <cfRule type="duplicateValues" dxfId="69" priority="9082"/>
  </conditionalFormatting>
  <conditionalFormatting sqref="E268:E269">
    <cfRule type="duplicateValues" dxfId="68" priority="9083"/>
  </conditionalFormatting>
  <conditionalFormatting sqref="B269 E269">
    <cfRule type="duplicateValues" dxfId="67" priority="9084"/>
  </conditionalFormatting>
  <conditionalFormatting sqref="B717:B736 E717:E736">
    <cfRule type="duplicateValues" dxfId="66" priority="9086"/>
  </conditionalFormatting>
  <conditionalFormatting sqref="B92:B93 E92:E93">
    <cfRule type="duplicateValues" dxfId="65" priority="9088"/>
  </conditionalFormatting>
  <conditionalFormatting sqref="B127:B128 E127:E128">
    <cfRule type="duplicateValues" dxfId="64" priority="9090"/>
  </conditionalFormatting>
  <conditionalFormatting sqref="E127:E128">
    <cfRule type="duplicateValues" dxfId="63" priority="9092"/>
  </conditionalFormatting>
  <conditionalFormatting sqref="B129:B130 E129:E130">
    <cfRule type="duplicateValues" dxfId="62" priority="9093"/>
  </conditionalFormatting>
  <conditionalFormatting sqref="E129:E130">
    <cfRule type="duplicateValues" dxfId="61" priority="9095"/>
  </conditionalFormatting>
  <conditionalFormatting sqref="B131:B132 E131:E132">
    <cfRule type="duplicateValues" dxfId="60" priority="9096"/>
  </conditionalFormatting>
  <conditionalFormatting sqref="E131:E132">
    <cfRule type="duplicateValues" dxfId="59" priority="9098"/>
  </conditionalFormatting>
  <conditionalFormatting sqref="B133:B134 E133:E134">
    <cfRule type="duplicateValues" dxfId="58" priority="9099"/>
  </conditionalFormatting>
  <conditionalFormatting sqref="E133:E134">
    <cfRule type="duplicateValues" dxfId="57" priority="9101"/>
  </conditionalFormatting>
  <conditionalFormatting sqref="B135:B136 E135:E136">
    <cfRule type="duplicateValues" dxfId="56" priority="9102"/>
  </conditionalFormatting>
  <conditionalFormatting sqref="E135:E136">
    <cfRule type="duplicateValues" dxfId="55" priority="9104"/>
  </conditionalFormatting>
  <conditionalFormatting sqref="B147:B149 E147:E149">
    <cfRule type="duplicateValues" dxfId="54" priority="9105"/>
  </conditionalFormatting>
  <conditionalFormatting sqref="E147:E149">
    <cfRule type="duplicateValues" dxfId="53" priority="9107"/>
  </conditionalFormatting>
  <conditionalFormatting sqref="B143 E143">
    <cfRule type="duplicateValues" dxfId="52" priority="9108"/>
  </conditionalFormatting>
  <conditionalFormatting sqref="E143">
    <cfRule type="duplicateValues" dxfId="51" priority="9110"/>
  </conditionalFormatting>
  <conditionalFormatting sqref="B775:B776 B801 E801 E775:E776">
    <cfRule type="duplicateValues" dxfId="50" priority="9111"/>
  </conditionalFormatting>
  <conditionalFormatting sqref="B775:B776 B801 E801 E775:E776">
    <cfRule type="duplicateValues" dxfId="49" priority="9115"/>
  </conditionalFormatting>
  <conditionalFormatting sqref="B777:B779 E777:E779">
    <cfRule type="duplicateValues" dxfId="48" priority="9119"/>
  </conditionalFormatting>
  <conditionalFormatting sqref="B777:B779 E777:E779">
    <cfRule type="duplicateValues" dxfId="47" priority="9121"/>
  </conditionalFormatting>
  <conditionalFormatting sqref="B780:B781 E780:E781">
    <cfRule type="duplicateValues" dxfId="46" priority="9123"/>
  </conditionalFormatting>
  <conditionalFormatting sqref="B780:B781 E780:E781">
    <cfRule type="duplicateValues" dxfId="45" priority="9125"/>
  </conditionalFormatting>
  <conditionalFormatting sqref="B782:B784 E782:E784">
    <cfRule type="duplicateValues" dxfId="44" priority="9127"/>
  </conditionalFormatting>
  <conditionalFormatting sqref="B782:B784 E782:E784">
    <cfRule type="duplicateValues" dxfId="43" priority="9129"/>
  </conditionalFormatting>
  <conditionalFormatting sqref="B785:B786 E785:E786">
    <cfRule type="duplicateValues" dxfId="42" priority="9131"/>
  </conditionalFormatting>
  <conditionalFormatting sqref="B785:B786 E785:E786">
    <cfRule type="duplicateValues" dxfId="41" priority="9133"/>
  </conditionalFormatting>
  <conditionalFormatting sqref="B787:B789 E787:E789">
    <cfRule type="duplicateValues" dxfId="40" priority="9135"/>
  </conditionalFormatting>
  <conditionalFormatting sqref="B787:B789 E787:E789">
    <cfRule type="duplicateValues" dxfId="39" priority="9137"/>
  </conditionalFormatting>
  <conditionalFormatting sqref="B790:B800 E790:E800">
    <cfRule type="duplicateValues" dxfId="38" priority="9139"/>
  </conditionalFormatting>
  <conditionalFormatting sqref="B790:B800 E790:E800">
    <cfRule type="duplicateValues" dxfId="37" priority="9141"/>
  </conditionalFormatting>
  <conditionalFormatting sqref="E810:E814 B810:B814 E829 B829">
    <cfRule type="duplicateValues" dxfId="36" priority="9143"/>
  </conditionalFormatting>
  <conditionalFormatting sqref="B805:B809 E805:E809">
    <cfRule type="duplicateValues" dxfId="35" priority="9147"/>
  </conditionalFormatting>
  <conditionalFormatting sqref="B805:B809 E805:E809">
    <cfRule type="duplicateValues" dxfId="34" priority="9149"/>
  </conditionalFormatting>
  <conditionalFormatting sqref="B804 E804">
    <cfRule type="duplicateValues" dxfId="33" priority="9151"/>
  </conditionalFormatting>
  <conditionalFormatting sqref="B804 E804">
    <cfRule type="duplicateValues" dxfId="32" priority="9153"/>
  </conditionalFormatting>
  <conditionalFormatting sqref="B802:B803 E802:E803">
    <cfRule type="duplicateValues" dxfId="31" priority="9155"/>
  </conditionalFormatting>
  <conditionalFormatting sqref="B802:B803 E802:E803">
    <cfRule type="duplicateValues" dxfId="30" priority="9157"/>
  </conditionalFormatting>
  <conditionalFormatting sqref="B38 E38">
    <cfRule type="duplicateValues" dxfId="29" priority="9159"/>
  </conditionalFormatting>
  <conditionalFormatting sqref="B199 B181:B182 E181:E183 E199">
    <cfRule type="duplicateValues" dxfId="28" priority="9161"/>
  </conditionalFormatting>
  <conditionalFormatting sqref="B41 E41">
    <cfRule type="duplicateValues" dxfId="27" priority="9165"/>
  </conditionalFormatting>
  <conditionalFormatting sqref="B42 E42">
    <cfRule type="duplicateValues" dxfId="26" priority="9169"/>
  </conditionalFormatting>
  <conditionalFormatting sqref="B43 E43">
    <cfRule type="duplicateValues" dxfId="25" priority="9171"/>
  </conditionalFormatting>
  <conditionalFormatting sqref="B282:B283 E282:E283">
    <cfRule type="duplicateValues" dxfId="24" priority="9173"/>
  </conditionalFormatting>
  <conditionalFormatting sqref="B94:B106 B56 E94:E106 E56 E108:E114 B108:B114">
    <cfRule type="duplicateValues" dxfId="23" priority="9175"/>
  </conditionalFormatting>
  <conditionalFormatting sqref="E174:E176 B174:B175">
    <cfRule type="duplicateValues" dxfId="22" priority="9181"/>
  </conditionalFormatting>
  <conditionalFormatting sqref="B174:B175 E174:E176">
    <cfRule type="duplicateValues" dxfId="21" priority="9183"/>
  </conditionalFormatting>
  <conditionalFormatting sqref="E190:E198 E177:E180 E233:E255 E200:E231">
    <cfRule type="duplicateValues" dxfId="20" priority="9185"/>
  </conditionalFormatting>
  <conditionalFormatting sqref="E305:E693 E270 E264:E266 E256:E261 E737 E117:E126 E137:E142 E144:E146">
    <cfRule type="duplicateValues" dxfId="19" priority="9189"/>
  </conditionalFormatting>
  <conditionalFormatting sqref="E305:E693 E264:E266 E256:E261 E737 E117:E126 E137:E142 E144:E146">
    <cfRule type="duplicateValues" dxfId="18" priority="9197"/>
  </conditionalFormatting>
  <conditionalFormatting sqref="B305:B693 B264:B266 B256:B261 B737 B117:B126 B137:B142 E137:E142 E305:E693 E117:E126 E737 E256:E261 E264:E266 E144:E146 B144:B146">
    <cfRule type="duplicateValues" dxfId="17" priority="9204"/>
  </conditionalFormatting>
  <conditionalFormatting sqref="E890:E891 B854 B29:B30 B59:B62 E854 B115:B126 B32:B37 E29:E30 B137:B142 B39:B40 B831:B848 B1:B16 B44:B48 E44:E48 E1:E16 E831:E848 E39:E40 E137:E142 E32:E37 B877:B891 E115:E126 E59:E61 E877 E144:E146 B144:B146 E151:E173 B151:B173 B184:B198 B177:B180 E184:E198 E177:E180 E200:E281 B200:B281 E284:E693 B284:B774 E695:E774 B906:B1048576 E906:E1048576">
    <cfRule type="duplicateValues" dxfId="16" priority="9218"/>
  </conditionalFormatting>
  <conditionalFormatting sqref="E890:E891 B854 B267 B29:B30 B59:B62 B738:B774 E854 B115:B116 B262:B263 B32:B37 E29:E30 B39:B40 B831:B848 B877:B891 B184:B189 E184:E189 B1:B16 B44:B48 E44:E48 E1:E16 E831:E848 E39:E40 E32:E37 E262:E263 E267 E115:E116 E738:E774 E59:E61 E877 B151:B173 E151:E173 E271:E281 B271:B281 E284:E304 B284:B304 B694:B716 E695:E716 B906:B1048576 E906:E1048576">
    <cfRule type="duplicateValues" dxfId="15" priority="9254"/>
  </conditionalFormatting>
  <conditionalFormatting sqref="E890:E891 B854 B267 B29:B30 B59:B62 B738:B774 E854 B115:B116 B262:B263 B32:B37 E29:E30 B39:B40 B831:B848 B877:B891 B184:B189 E184:E189 B1:B16 B44:B48 E44:E48 E1:E16 E831:E848 E39:E40 E32:E37 E262:E263 E267 E115:E116 E738:E774 E59:E61 E877 B151:B173 E151:E173 E271:E281 B271:B281 E284:E304 B284:B304 B694:B736 E695:E736 B906:B1048576 E906:E1048576">
    <cfRule type="duplicateValues" dxfId="14" priority="9291"/>
  </conditionalFormatting>
  <conditionalFormatting sqref="B905">
    <cfRule type="duplicateValues" dxfId="13" priority="8"/>
  </conditionalFormatting>
  <conditionalFormatting sqref="E905">
    <cfRule type="duplicateValues" dxfId="12" priority="9"/>
    <cfRule type="duplicateValues" dxfId="11" priority="10"/>
  </conditionalFormatting>
  <conditionalFormatting sqref="E905">
    <cfRule type="duplicateValues" dxfId="10" priority="11"/>
  </conditionalFormatting>
  <conditionalFormatting sqref="E905">
    <cfRule type="duplicateValues" dxfId="9" priority="12"/>
  </conditionalFormatting>
  <conditionalFormatting sqref="B905 E905">
    <cfRule type="duplicateValues" dxfId="8" priority="13"/>
  </conditionalFormatting>
  <conditionalFormatting sqref="B905">
    <cfRule type="duplicateValues" dxfId="7" priority="14"/>
  </conditionalFormatting>
  <conditionalFormatting sqref="B892:B904">
    <cfRule type="duplicateValues" dxfId="6" priority="2"/>
  </conditionalFormatting>
  <conditionalFormatting sqref="E902:E904 E893:E897">
    <cfRule type="duplicateValues" dxfId="5" priority="1"/>
  </conditionalFormatting>
  <conditionalFormatting sqref="B892:B904 E902:E904 E893:E897">
    <cfRule type="duplicateValues" dxfId="4" priority="3"/>
  </conditionalFormatting>
  <conditionalFormatting sqref="B892:B904">
    <cfRule type="duplicateValues" dxfId="3" priority="4"/>
  </conditionalFormatting>
  <conditionalFormatting sqref="E902:E904 B892:B904 E893:E897">
    <cfRule type="duplicateValues" dxfId="2" priority="5"/>
  </conditionalFormatting>
  <conditionalFormatting sqref="E902:E904 E893:E897">
    <cfRule type="duplicateValues" dxfId="1" priority="6"/>
    <cfRule type="duplicateValues" dxfId="0" priority="7"/>
  </conditionalFormatting>
  <pageMargins left="0.70866141732283472" right="0.70866141732283472" top="0.74803149606299213" bottom="0.74803149606299213" header="0.51181102362204722" footer="0.51181102362204722"/>
  <pageSetup paperSize="5" scale="8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AMJ80"/>
  <sheetViews>
    <sheetView zoomScale="80" zoomScaleNormal="80" workbookViewId="0">
      <selection activeCell="D25" sqref="D25"/>
    </sheetView>
  </sheetViews>
  <sheetFormatPr baseColWidth="10" defaultColWidth="9.140625" defaultRowHeight="12.75"/>
  <cols>
    <col min="1" max="1" width="5.5703125" style="264" customWidth="1"/>
    <col min="2" max="2" width="15.140625" style="264" customWidth="1"/>
    <col min="3" max="3" width="14.140625" style="264" customWidth="1"/>
    <col min="4" max="4" width="26" style="264" customWidth="1"/>
    <col min="5" max="5" width="8" style="264" customWidth="1"/>
    <col min="6" max="6" width="7.85546875" style="264" customWidth="1"/>
    <col min="7" max="7" width="42" style="264" customWidth="1"/>
    <col min="8" max="8" width="9.28515625" style="264" customWidth="1"/>
    <col min="9" max="9" width="14.5703125" style="264" customWidth="1"/>
    <col min="10" max="10" width="16" style="264" customWidth="1"/>
    <col min="11" max="11" width="15.5703125" style="264" customWidth="1"/>
    <col min="12" max="12" width="5.85546875" style="264" customWidth="1"/>
    <col min="13" max="13" width="15.7109375" style="264" customWidth="1"/>
    <col min="14" max="14" width="5.85546875" style="264" customWidth="1"/>
    <col min="15" max="15" width="12.5703125" style="264" customWidth="1"/>
    <col min="16" max="1024" width="9.140625" style="264"/>
    <col min="1025" max="16384" width="9.140625" style="261"/>
  </cols>
  <sheetData>
    <row r="1" spans="1:13" ht="18" customHeight="1" thickBot="1">
      <c r="A1" s="440" t="s">
        <v>1683</v>
      </c>
      <c r="B1" s="440"/>
      <c r="C1" s="440"/>
      <c r="D1" s="440"/>
      <c r="E1" s="440"/>
      <c r="F1" s="440"/>
      <c r="G1" s="440"/>
      <c r="H1" s="440"/>
      <c r="I1" s="440"/>
      <c r="J1" s="262" t="s">
        <v>1684</v>
      </c>
      <c r="K1" s="263" t="s">
        <v>1730</v>
      </c>
    </row>
    <row r="2" spans="1:13" ht="18.75" customHeight="1" thickBot="1">
      <c r="A2" s="265"/>
      <c r="B2" s="265"/>
      <c r="C2" s="265"/>
      <c r="D2" s="266"/>
      <c r="E2" s="266"/>
      <c r="F2" s="266"/>
      <c r="G2" s="266"/>
      <c r="H2" s="266"/>
      <c r="I2" s="266"/>
      <c r="J2" s="266"/>
      <c r="K2" s="266"/>
    </row>
    <row r="3" spans="1:13" ht="18.75" customHeight="1" thickBot="1">
      <c r="A3" s="435" t="s">
        <v>1685</v>
      </c>
      <c r="B3" s="435"/>
      <c r="C3" s="435"/>
      <c r="D3" s="436" t="s">
        <v>1686</v>
      </c>
      <c r="E3" s="436"/>
      <c r="F3" s="436"/>
      <c r="G3" s="436"/>
      <c r="H3" s="436"/>
      <c r="I3" s="436"/>
      <c r="J3" s="436"/>
      <c r="K3" s="436"/>
    </row>
    <row r="4" spans="1:13" ht="18.75" customHeight="1" thickBot="1">
      <c r="A4" s="437" t="s">
        <v>1687</v>
      </c>
      <c r="B4" s="437"/>
      <c r="C4" s="437"/>
      <c r="D4" s="436" t="s">
        <v>1688</v>
      </c>
      <c r="E4" s="436"/>
      <c r="F4" s="436"/>
      <c r="G4" s="436"/>
      <c r="H4" s="436"/>
      <c r="I4" s="436"/>
      <c r="J4" s="436"/>
      <c r="K4" s="436"/>
    </row>
    <row r="5" spans="1:13" ht="18.75" customHeight="1" thickBot="1">
      <c r="A5" s="437" t="s">
        <v>1689</v>
      </c>
      <c r="B5" s="437"/>
      <c r="C5" s="437"/>
      <c r="D5" s="436" t="s">
        <v>1705</v>
      </c>
      <c r="E5" s="436"/>
      <c r="F5" s="436"/>
      <c r="G5" s="436"/>
      <c r="H5" s="436"/>
      <c r="I5" s="436"/>
      <c r="J5" s="436"/>
      <c r="K5" s="436"/>
    </row>
    <row r="6" spans="1:13" ht="16.5" customHeight="1" thickBot="1">
      <c r="A6" s="435" t="s">
        <v>1690</v>
      </c>
      <c r="B6" s="435"/>
      <c r="C6" s="435"/>
      <c r="D6" s="436" t="s">
        <v>1705</v>
      </c>
      <c r="E6" s="436"/>
      <c r="F6" s="436"/>
      <c r="G6" s="436"/>
      <c r="H6" s="436"/>
      <c r="I6" s="436"/>
      <c r="J6" s="436"/>
      <c r="K6" s="436"/>
    </row>
    <row r="7" spans="1:13" ht="16.5" customHeight="1" thickBot="1">
      <c r="A7" s="437" t="s">
        <v>1691</v>
      </c>
      <c r="B7" s="437"/>
      <c r="C7" s="437"/>
      <c r="D7" s="436" t="s">
        <v>1692</v>
      </c>
      <c r="E7" s="436"/>
      <c r="F7" s="436"/>
      <c r="G7" s="436"/>
      <c r="H7" s="436"/>
      <c r="I7" s="436"/>
      <c r="J7" s="436"/>
      <c r="K7" s="436"/>
    </row>
    <row r="8" spans="1:13" ht="16.5" customHeight="1" thickBot="1">
      <c r="A8" s="438" t="s">
        <v>1693</v>
      </c>
      <c r="B8" s="438"/>
      <c r="C8" s="438"/>
      <c r="D8" s="439" t="s">
        <v>1727</v>
      </c>
      <c r="E8" s="439"/>
      <c r="F8" s="439"/>
      <c r="G8" s="439"/>
      <c r="H8" s="439"/>
      <c r="I8" s="439"/>
      <c r="J8" s="439"/>
      <c r="K8" s="439"/>
    </row>
    <row r="9" spans="1:13" ht="16.5" thickBot="1">
      <c r="A9" s="267"/>
      <c r="B9" s="267"/>
      <c r="C9" s="267"/>
      <c r="D9" s="268"/>
      <c r="E9" s="268"/>
      <c r="F9" s="268"/>
      <c r="G9" s="268"/>
      <c r="H9" s="268"/>
      <c r="I9" s="268"/>
      <c r="J9" s="268"/>
      <c r="K9" s="268"/>
    </row>
    <row r="10" spans="1:13" ht="18.75" customHeight="1" thickBot="1">
      <c r="A10" s="434" t="s">
        <v>1694</v>
      </c>
      <c r="B10" s="427" t="s">
        <v>1695</v>
      </c>
      <c r="C10" s="427" t="s">
        <v>1696</v>
      </c>
      <c r="D10" s="427"/>
      <c r="E10" s="427"/>
      <c r="F10" s="427"/>
      <c r="G10" s="427"/>
      <c r="H10" s="427" t="s">
        <v>1697</v>
      </c>
      <c r="I10" s="427" t="s">
        <v>1698</v>
      </c>
      <c r="J10" s="427" t="s">
        <v>1699</v>
      </c>
      <c r="K10" s="411" t="s">
        <v>1700</v>
      </c>
    </row>
    <row r="11" spans="1:13" ht="24" customHeight="1" thickBot="1">
      <c r="A11" s="434"/>
      <c r="B11" s="427"/>
      <c r="C11" s="427"/>
      <c r="D11" s="427"/>
      <c r="E11" s="427"/>
      <c r="F11" s="427"/>
      <c r="G11" s="427"/>
      <c r="H11" s="427"/>
      <c r="I11" s="427"/>
      <c r="J11" s="427"/>
      <c r="K11" s="411"/>
    </row>
    <row r="12" spans="1:13" s="264" customFormat="1" ht="32.25" customHeight="1" thickBot="1">
      <c r="A12" s="269">
        <v>1</v>
      </c>
      <c r="B12" s="270"/>
      <c r="C12" s="412" t="s">
        <v>1668</v>
      </c>
      <c r="D12" s="413"/>
      <c r="E12" s="413"/>
      <c r="F12" s="413"/>
      <c r="G12" s="414"/>
      <c r="H12" s="271" t="s">
        <v>1701</v>
      </c>
      <c r="I12" s="230" t="s">
        <v>12</v>
      </c>
      <c r="J12" s="245">
        <v>230</v>
      </c>
      <c r="K12" s="233">
        <v>50</v>
      </c>
      <c r="M12" s="273">
        <f>+K12*J12</f>
        <v>11500</v>
      </c>
    </row>
    <row r="13" spans="1:13" s="264" customFormat="1" ht="32.25" customHeight="1" thickBot="1">
      <c r="A13" s="274">
        <v>2</v>
      </c>
      <c r="B13" s="275"/>
      <c r="C13" s="415" t="s">
        <v>1670</v>
      </c>
      <c r="D13" s="416"/>
      <c r="E13" s="416"/>
      <c r="F13" s="416"/>
      <c r="G13" s="417"/>
      <c r="H13" s="271" t="s">
        <v>1701</v>
      </c>
      <c r="I13" s="230" t="s">
        <v>12</v>
      </c>
      <c r="J13" s="245">
        <v>650</v>
      </c>
      <c r="K13" s="233">
        <v>100</v>
      </c>
      <c r="M13" s="273">
        <f t="shared" ref="M13:M24" si="0">+K13*J13</f>
        <v>65000</v>
      </c>
    </row>
    <row r="14" spans="1:13" s="264" customFormat="1" ht="32.25" customHeight="1" thickBot="1">
      <c r="A14" s="269">
        <v>3</v>
      </c>
      <c r="B14" s="275"/>
      <c r="C14" s="415" t="s">
        <v>1671</v>
      </c>
      <c r="D14" s="416"/>
      <c r="E14" s="416"/>
      <c r="F14" s="416"/>
      <c r="G14" s="417"/>
      <c r="H14" s="271" t="s">
        <v>1701</v>
      </c>
      <c r="I14" s="230" t="s">
        <v>12</v>
      </c>
      <c r="J14" s="245">
        <v>230</v>
      </c>
      <c r="K14" s="233">
        <v>100</v>
      </c>
      <c r="M14" s="273">
        <f t="shared" si="0"/>
        <v>23000</v>
      </c>
    </row>
    <row r="15" spans="1:13" s="264" customFormat="1" ht="32.25" customHeight="1" thickBot="1">
      <c r="A15" s="274">
        <v>4</v>
      </c>
      <c r="B15" s="275"/>
      <c r="C15" s="428" t="s">
        <v>1672</v>
      </c>
      <c r="D15" s="429"/>
      <c r="E15" s="429"/>
      <c r="F15" s="429"/>
      <c r="G15" s="430"/>
      <c r="H15" s="271" t="s">
        <v>1701</v>
      </c>
      <c r="I15" s="230" t="s">
        <v>12</v>
      </c>
      <c r="J15" s="245">
        <v>420</v>
      </c>
      <c r="K15" s="240">
        <v>50</v>
      </c>
      <c r="M15" s="273">
        <f t="shared" si="0"/>
        <v>21000</v>
      </c>
    </row>
    <row r="16" spans="1:13" s="264" customFormat="1" ht="32.25" customHeight="1" thickBot="1">
      <c r="A16" s="269">
        <v>5</v>
      </c>
      <c r="B16" s="275"/>
      <c r="C16" s="415" t="s">
        <v>1673</v>
      </c>
      <c r="D16" s="416"/>
      <c r="E16" s="416"/>
      <c r="F16" s="416"/>
      <c r="G16" s="417"/>
      <c r="H16" s="271" t="s">
        <v>1701</v>
      </c>
      <c r="I16" s="230" t="s">
        <v>12</v>
      </c>
      <c r="J16" s="245">
        <v>80</v>
      </c>
      <c r="K16" s="240">
        <v>200</v>
      </c>
      <c r="M16" s="273">
        <f t="shared" si="0"/>
        <v>16000</v>
      </c>
    </row>
    <row r="17" spans="1:13" s="264" customFormat="1" ht="32.25" customHeight="1" thickBot="1">
      <c r="A17" s="274">
        <v>6</v>
      </c>
      <c r="B17" s="275"/>
      <c r="C17" s="408" t="s">
        <v>443</v>
      </c>
      <c r="D17" s="409"/>
      <c r="E17" s="409"/>
      <c r="F17" s="409"/>
      <c r="G17" s="410"/>
      <c r="H17" s="271" t="s">
        <v>1701</v>
      </c>
      <c r="I17" s="230" t="s">
        <v>12</v>
      </c>
      <c r="J17" s="247">
        <v>12500</v>
      </c>
      <c r="K17" s="474">
        <v>75</v>
      </c>
      <c r="M17" s="273">
        <f t="shared" si="0"/>
        <v>937500</v>
      </c>
    </row>
    <row r="18" spans="1:13" s="264" customFormat="1" ht="32.25" customHeight="1" thickBot="1">
      <c r="A18" s="269">
        <v>7</v>
      </c>
      <c r="B18" s="275"/>
      <c r="C18" s="408" t="s">
        <v>444</v>
      </c>
      <c r="D18" s="409"/>
      <c r="E18" s="409"/>
      <c r="F18" s="409"/>
      <c r="G18" s="410"/>
      <c r="H18" s="271" t="s">
        <v>1701</v>
      </c>
      <c r="I18" s="230" t="s">
        <v>12</v>
      </c>
      <c r="J18" s="248">
        <v>7148</v>
      </c>
      <c r="K18" s="475">
        <v>90</v>
      </c>
      <c r="M18" s="273">
        <f t="shared" si="0"/>
        <v>643320</v>
      </c>
    </row>
    <row r="19" spans="1:13" s="264" customFormat="1" ht="32.25" customHeight="1" thickBot="1">
      <c r="A19" s="274">
        <v>8</v>
      </c>
      <c r="B19" s="275"/>
      <c r="C19" s="421" t="s">
        <v>445</v>
      </c>
      <c r="D19" s="422"/>
      <c r="E19" s="422"/>
      <c r="F19" s="422"/>
      <c r="G19" s="423"/>
      <c r="H19" s="271" t="s">
        <v>1701</v>
      </c>
      <c r="I19" s="230" t="s">
        <v>12</v>
      </c>
      <c r="J19" s="248">
        <v>4800</v>
      </c>
      <c r="K19" s="475">
        <v>120</v>
      </c>
      <c r="M19" s="273">
        <f t="shared" si="0"/>
        <v>576000</v>
      </c>
    </row>
    <row r="20" spans="1:13" s="264" customFormat="1" ht="32.25" customHeight="1" thickBot="1">
      <c r="A20" s="269">
        <v>9</v>
      </c>
      <c r="B20" s="275"/>
      <c r="C20" s="424" t="s">
        <v>446</v>
      </c>
      <c r="D20" s="425"/>
      <c r="E20" s="425"/>
      <c r="F20" s="425"/>
      <c r="G20" s="426"/>
      <c r="H20" s="271" t="s">
        <v>1701</v>
      </c>
      <c r="I20" s="238" t="s">
        <v>12</v>
      </c>
      <c r="J20" s="248">
        <v>3200</v>
      </c>
      <c r="K20" s="475">
        <v>120</v>
      </c>
      <c r="M20" s="273">
        <f t="shared" si="0"/>
        <v>384000</v>
      </c>
    </row>
    <row r="21" spans="1:13" s="264" customFormat="1" ht="32.25" customHeight="1" thickBot="1">
      <c r="A21" s="274">
        <v>10</v>
      </c>
      <c r="B21" s="275"/>
      <c r="C21" s="424" t="s">
        <v>447</v>
      </c>
      <c r="D21" s="425"/>
      <c r="E21" s="425"/>
      <c r="F21" s="425"/>
      <c r="G21" s="426"/>
      <c r="H21" s="271" t="s">
        <v>1701</v>
      </c>
      <c r="I21" s="238" t="s">
        <v>12</v>
      </c>
      <c r="J21" s="248">
        <v>2500</v>
      </c>
      <c r="K21" s="475">
        <v>60</v>
      </c>
      <c r="M21" s="273">
        <f t="shared" si="0"/>
        <v>150000</v>
      </c>
    </row>
    <row r="22" spans="1:13" s="264" customFormat="1" ht="32.25" customHeight="1" thickBot="1">
      <c r="A22" s="269">
        <v>11</v>
      </c>
      <c r="B22" s="275"/>
      <c r="C22" s="424" t="s">
        <v>448</v>
      </c>
      <c r="D22" s="425"/>
      <c r="E22" s="425"/>
      <c r="F22" s="425"/>
      <c r="G22" s="426"/>
      <c r="H22" s="271" t="s">
        <v>1701</v>
      </c>
      <c r="I22" s="238" t="s">
        <v>12</v>
      </c>
      <c r="J22" s="248">
        <v>4000</v>
      </c>
      <c r="K22" s="475">
        <v>24</v>
      </c>
      <c r="M22" s="273">
        <f t="shared" si="0"/>
        <v>96000</v>
      </c>
    </row>
    <row r="23" spans="1:13" s="264" customFormat="1" ht="32.25" customHeight="1" thickBot="1">
      <c r="A23" s="274">
        <v>12</v>
      </c>
      <c r="B23" s="275"/>
      <c r="C23" s="424" t="s">
        <v>449</v>
      </c>
      <c r="D23" s="425"/>
      <c r="E23" s="425"/>
      <c r="F23" s="425"/>
      <c r="G23" s="426"/>
      <c r="H23" s="271" t="s">
        <v>1701</v>
      </c>
      <c r="I23" s="238" t="s">
        <v>12</v>
      </c>
      <c r="J23" s="248">
        <v>2900</v>
      </c>
      <c r="K23" s="475">
        <v>48</v>
      </c>
      <c r="M23" s="273">
        <f t="shared" si="0"/>
        <v>139200</v>
      </c>
    </row>
    <row r="24" spans="1:13" s="264" customFormat="1" ht="32.25" customHeight="1">
      <c r="A24" s="269"/>
      <c r="B24" s="275"/>
      <c r="C24" s="431"/>
      <c r="D24" s="432"/>
      <c r="E24" s="432"/>
      <c r="F24" s="432"/>
      <c r="G24" s="433"/>
      <c r="H24" s="271"/>
      <c r="I24" s="238"/>
      <c r="J24" s="248"/>
      <c r="K24" s="242"/>
      <c r="M24" s="273">
        <f t="shared" si="0"/>
        <v>0</v>
      </c>
    </row>
    <row r="25" spans="1:13" s="264" customFormat="1" ht="32.25" customHeight="1">
      <c r="A25" s="274"/>
      <c r="B25" s="275"/>
      <c r="C25" s="278"/>
      <c r="D25" s="279"/>
      <c r="E25" s="279"/>
      <c r="F25" s="279"/>
      <c r="G25" s="280"/>
      <c r="H25" s="281"/>
      <c r="I25" s="272"/>
      <c r="J25" s="276"/>
      <c r="K25" s="277"/>
      <c r="M25" s="282"/>
    </row>
    <row r="26" spans="1:13" s="264" customFormat="1" ht="32.25" customHeight="1">
      <c r="A26" s="274"/>
      <c r="B26" s="275"/>
      <c r="C26" s="278"/>
      <c r="D26" s="279"/>
      <c r="E26" s="279"/>
      <c r="F26" s="279"/>
      <c r="G26" s="280"/>
      <c r="H26" s="281"/>
      <c r="I26" s="272"/>
      <c r="J26" s="276"/>
      <c r="K26" s="277"/>
      <c r="M26" s="282"/>
    </row>
    <row r="27" spans="1:13" s="264" customFormat="1" ht="15.95" customHeight="1">
      <c r="A27" s="283"/>
      <c r="B27" s="284"/>
      <c r="C27" s="418"/>
      <c r="D27" s="419"/>
      <c r="E27" s="419"/>
      <c r="F27" s="419"/>
      <c r="G27" s="420"/>
      <c r="H27" s="285"/>
      <c r="I27" s="272"/>
      <c r="J27" s="286"/>
      <c r="K27" s="287"/>
      <c r="M27" s="282"/>
    </row>
    <row r="28" spans="1:13" s="264" customFormat="1" ht="15.95" customHeight="1">
      <c r="A28" s="288"/>
      <c r="B28" s="289"/>
      <c r="C28" s="402"/>
      <c r="D28" s="403"/>
      <c r="E28" s="403"/>
      <c r="F28" s="403"/>
      <c r="G28" s="404"/>
      <c r="H28" s="290"/>
      <c r="I28" s="291"/>
      <c r="J28" s="292"/>
      <c r="K28" s="293"/>
      <c r="M28" s="282"/>
    </row>
    <row r="29" spans="1:13" s="264" customFormat="1" ht="15.95" customHeight="1" thickBot="1">
      <c r="A29" s="294"/>
      <c r="B29" s="295"/>
      <c r="C29" s="405"/>
      <c r="D29" s="406"/>
      <c r="E29" s="406"/>
      <c r="F29" s="406"/>
      <c r="G29" s="407"/>
      <c r="H29" s="290"/>
      <c r="I29" s="291"/>
      <c r="J29" s="292"/>
      <c r="K29" s="293"/>
      <c r="M29" s="282"/>
    </row>
    <row r="30" spans="1:13" s="264" customFormat="1" ht="15.95" customHeight="1" thickBot="1">
      <c r="A30" s="395" t="s">
        <v>1735</v>
      </c>
      <c r="B30" s="396"/>
      <c r="C30" s="396"/>
      <c r="D30" s="396"/>
      <c r="E30" s="396"/>
      <c r="F30" s="396"/>
      <c r="G30" s="396"/>
      <c r="H30" s="396"/>
      <c r="I30" s="397"/>
      <c r="J30" s="398">
        <f>SUM(M12:M24)</f>
        <v>3062520</v>
      </c>
      <c r="K30" s="399"/>
      <c r="M30" s="282"/>
    </row>
    <row r="31" spans="1:13" s="264" customFormat="1" ht="15.95" customHeight="1">
      <c r="A31" s="400"/>
      <c r="B31" s="400"/>
      <c r="C31" s="400"/>
      <c r="D31" s="400"/>
      <c r="E31" s="400"/>
      <c r="F31" s="400"/>
      <c r="G31" s="400"/>
      <c r="H31" s="400"/>
      <c r="I31" s="400"/>
      <c r="J31" s="401"/>
      <c r="K31" s="401"/>
      <c r="M31" s="282"/>
    </row>
    <row r="32" spans="1:13" s="264" customFormat="1" ht="15.95" customHeight="1">
      <c r="M32" s="282"/>
    </row>
    <row r="33" spans="13:13" s="264" customFormat="1" ht="15.95" customHeight="1">
      <c r="M33" s="282"/>
    </row>
    <row r="34" spans="13:13" s="264" customFormat="1" ht="15.95" customHeight="1">
      <c r="M34" s="282"/>
    </row>
    <row r="35" spans="13:13" s="264" customFormat="1" ht="15.95" customHeight="1">
      <c r="M35" s="282"/>
    </row>
    <row r="36" spans="13:13" s="264" customFormat="1" ht="15.95" customHeight="1">
      <c r="M36" s="282"/>
    </row>
    <row r="37" spans="13:13" s="264" customFormat="1" ht="15.95" customHeight="1">
      <c r="M37" s="282"/>
    </row>
    <row r="38" spans="13:13" s="264" customFormat="1" ht="15.95" customHeight="1">
      <c r="M38" s="282"/>
    </row>
    <row r="39" spans="13:13" s="264" customFormat="1" ht="15.95" customHeight="1">
      <c r="M39" s="282"/>
    </row>
    <row r="40" spans="13:13" s="264" customFormat="1" ht="15.95" customHeight="1">
      <c r="M40" s="282"/>
    </row>
    <row r="41" spans="13:13" s="264" customFormat="1" ht="15.95" customHeight="1">
      <c r="M41" s="282"/>
    </row>
    <row r="42" spans="13:13" s="264" customFormat="1" ht="15.95" customHeight="1">
      <c r="M42" s="282"/>
    </row>
    <row r="43" spans="13:13" s="264" customFormat="1" ht="15.95" customHeight="1">
      <c r="M43" s="282"/>
    </row>
    <row r="44" spans="13:13" s="264" customFormat="1" ht="15.95" customHeight="1">
      <c r="M44" s="282"/>
    </row>
    <row r="45" spans="13:13" s="264" customFormat="1" ht="15.95" customHeight="1">
      <c r="M45" s="282"/>
    </row>
    <row r="46" spans="13:13" s="264" customFormat="1" ht="15.95" customHeight="1">
      <c r="M46" s="282"/>
    </row>
    <row r="47" spans="13:13" s="264" customFormat="1" ht="15.95" customHeight="1">
      <c r="M47" s="282"/>
    </row>
    <row r="48" spans="13:13" s="264" customFormat="1" ht="15.95" customHeight="1">
      <c r="M48" s="282"/>
    </row>
    <row r="49" spans="13:13" s="264" customFormat="1" ht="15.95" customHeight="1">
      <c r="M49" s="282"/>
    </row>
    <row r="50" spans="13:13" s="264" customFormat="1" ht="15.95" customHeight="1">
      <c r="M50" s="282"/>
    </row>
    <row r="51" spans="13:13" s="264" customFormat="1" ht="15.95" customHeight="1">
      <c r="M51" s="282"/>
    </row>
    <row r="52" spans="13:13" s="264" customFormat="1" ht="15.95" customHeight="1">
      <c r="M52" s="282"/>
    </row>
    <row r="53" spans="13:13" s="264" customFormat="1" ht="15.95" customHeight="1">
      <c r="M53" s="282"/>
    </row>
    <row r="54" spans="13:13" s="264" customFormat="1" ht="15.95" customHeight="1">
      <c r="M54" s="282"/>
    </row>
    <row r="55" spans="13:13" s="264" customFormat="1" ht="15.95" customHeight="1">
      <c r="M55" s="282"/>
    </row>
    <row r="56" spans="13:13" s="264" customFormat="1" ht="15.95" customHeight="1">
      <c r="M56" s="282"/>
    </row>
    <row r="57" spans="13:13" s="264" customFormat="1" ht="15.95" customHeight="1">
      <c r="M57" s="282"/>
    </row>
    <row r="58" spans="13:13" s="264" customFormat="1" ht="15.95" customHeight="1">
      <c r="M58" s="282"/>
    </row>
    <row r="59" spans="13:13" s="264" customFormat="1" ht="15.95" customHeight="1">
      <c r="M59" s="282"/>
    </row>
    <row r="60" spans="13:13" s="264" customFormat="1" ht="15.95" customHeight="1">
      <c r="M60" s="282"/>
    </row>
    <row r="61" spans="13:13" s="264" customFormat="1" ht="15.95" customHeight="1">
      <c r="M61" s="282"/>
    </row>
    <row r="62" spans="13:13" s="264" customFormat="1" ht="15.95" customHeight="1">
      <c r="M62" s="282"/>
    </row>
    <row r="63" spans="13:13" ht="15.95" customHeight="1">
      <c r="M63" s="282"/>
    </row>
    <row r="64" spans="13:13" ht="15.95" customHeight="1">
      <c r="M64" s="282"/>
    </row>
    <row r="65" spans="12:1024" ht="15.95" customHeight="1">
      <c r="M65" s="282"/>
    </row>
    <row r="66" spans="12:1024" ht="15.95" customHeight="1">
      <c r="M66" s="282"/>
    </row>
    <row r="67" spans="12:1024" ht="15.95" customHeight="1">
      <c r="M67" s="282"/>
    </row>
    <row r="68" spans="12:1024" ht="15.95" customHeight="1">
      <c r="L68" s="261"/>
      <c r="M68" s="296"/>
      <c r="N68" s="261"/>
      <c r="O68" s="261"/>
      <c r="P68" s="261"/>
      <c r="Q68" s="261"/>
      <c r="R68" s="261"/>
      <c r="S68" s="261"/>
      <c r="T68" s="261"/>
      <c r="U68" s="261"/>
      <c r="V68" s="261"/>
      <c r="W68" s="261"/>
      <c r="X68" s="261"/>
      <c r="Y68" s="261"/>
      <c r="Z68" s="261"/>
      <c r="AA68" s="261"/>
      <c r="AB68" s="261"/>
      <c r="AC68" s="261"/>
      <c r="AD68" s="261"/>
      <c r="AE68" s="261"/>
      <c r="AF68" s="261"/>
      <c r="AG68" s="261"/>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1"/>
      <c r="CD68" s="261"/>
      <c r="CE68" s="261"/>
      <c r="CF68" s="261"/>
      <c r="CG68" s="261"/>
      <c r="CH68" s="261"/>
      <c r="CI68" s="261"/>
      <c r="CJ68" s="261"/>
      <c r="CK68" s="261"/>
      <c r="CL68" s="261"/>
      <c r="CM68" s="261"/>
      <c r="CN68" s="261"/>
      <c r="CO68" s="261"/>
      <c r="CP68" s="261"/>
      <c r="CQ68" s="261"/>
      <c r="CR68" s="261"/>
      <c r="CS68" s="261"/>
      <c r="CT68" s="261"/>
      <c r="CU68" s="261"/>
      <c r="CV68" s="261"/>
      <c r="CW68" s="261"/>
      <c r="CX68" s="261"/>
      <c r="CY68" s="261"/>
      <c r="CZ68" s="261"/>
      <c r="DA68" s="261"/>
      <c r="DB68" s="261"/>
      <c r="DC68" s="261"/>
      <c r="DD68" s="261"/>
      <c r="DE68" s="261"/>
      <c r="DF68" s="261"/>
      <c r="DG68" s="261"/>
      <c r="DH68" s="261"/>
      <c r="DI68" s="261"/>
      <c r="DJ68" s="261"/>
      <c r="DK68" s="261"/>
      <c r="DL68" s="261"/>
      <c r="DM68" s="261"/>
      <c r="DN68" s="261"/>
      <c r="DO68" s="261"/>
      <c r="DP68" s="261"/>
      <c r="DQ68" s="261"/>
      <c r="DR68" s="261"/>
      <c r="DS68" s="261"/>
      <c r="DT68" s="261"/>
      <c r="DU68" s="261"/>
      <c r="DV68" s="261"/>
      <c r="DW68" s="261"/>
      <c r="DX68" s="261"/>
      <c r="DY68" s="261"/>
      <c r="DZ68" s="261"/>
      <c r="EA68" s="261"/>
      <c r="EB68" s="261"/>
      <c r="EC68" s="261"/>
      <c r="ED68" s="261"/>
      <c r="EE68" s="261"/>
      <c r="EF68" s="261"/>
      <c r="EG68" s="261"/>
      <c r="EH68" s="261"/>
      <c r="EI68" s="261"/>
      <c r="EJ68" s="261"/>
      <c r="EK68" s="261"/>
      <c r="EL68" s="261"/>
      <c r="EM68" s="261"/>
      <c r="EN68" s="261"/>
      <c r="EO68" s="261"/>
      <c r="EP68" s="261"/>
      <c r="EQ68" s="261"/>
      <c r="ER68" s="261"/>
      <c r="ES68" s="261"/>
      <c r="ET68" s="261"/>
      <c r="EU68" s="261"/>
      <c r="EV68" s="261"/>
      <c r="EW68" s="261"/>
      <c r="EX68" s="261"/>
      <c r="EY68" s="261"/>
      <c r="EZ68" s="261"/>
      <c r="FA68" s="261"/>
      <c r="FB68" s="261"/>
      <c r="FC68" s="261"/>
      <c r="FD68" s="261"/>
      <c r="FE68" s="261"/>
      <c r="FF68" s="261"/>
      <c r="FG68" s="261"/>
      <c r="FH68" s="261"/>
      <c r="FI68" s="261"/>
      <c r="FJ68" s="261"/>
      <c r="FK68" s="261"/>
      <c r="FL68" s="261"/>
      <c r="FM68" s="261"/>
      <c r="FN68" s="261"/>
      <c r="FO68" s="261"/>
      <c r="FP68" s="261"/>
      <c r="FQ68" s="261"/>
      <c r="FR68" s="261"/>
      <c r="FS68" s="261"/>
      <c r="FT68" s="261"/>
      <c r="FU68" s="261"/>
      <c r="FV68" s="261"/>
      <c r="FW68" s="261"/>
      <c r="FX68" s="261"/>
      <c r="FY68" s="261"/>
      <c r="FZ68" s="261"/>
      <c r="GA68" s="261"/>
      <c r="GB68" s="261"/>
      <c r="GC68" s="261"/>
      <c r="GD68" s="261"/>
      <c r="GE68" s="261"/>
      <c r="GF68" s="261"/>
      <c r="GG68" s="261"/>
      <c r="GH68" s="261"/>
      <c r="GI68" s="261"/>
      <c r="GJ68" s="261"/>
      <c r="GK68" s="261"/>
      <c r="GL68" s="261"/>
      <c r="GM68" s="261"/>
      <c r="GN68" s="261"/>
      <c r="GO68" s="261"/>
      <c r="GP68" s="261"/>
      <c r="GQ68" s="261"/>
      <c r="GR68" s="261"/>
      <c r="GS68" s="261"/>
      <c r="GT68" s="261"/>
      <c r="GU68" s="261"/>
      <c r="GV68" s="261"/>
      <c r="GW68" s="261"/>
      <c r="GX68" s="261"/>
      <c r="GY68" s="261"/>
      <c r="GZ68" s="261"/>
      <c r="HA68" s="261"/>
      <c r="HB68" s="261"/>
      <c r="HC68" s="261"/>
      <c r="HD68" s="261"/>
      <c r="HE68" s="261"/>
      <c r="HF68" s="261"/>
      <c r="HG68" s="261"/>
      <c r="HH68" s="261"/>
      <c r="HI68" s="261"/>
      <c r="HJ68" s="261"/>
      <c r="HK68" s="261"/>
      <c r="HL68" s="261"/>
      <c r="HM68" s="261"/>
      <c r="HN68" s="261"/>
      <c r="HO68" s="261"/>
      <c r="HP68" s="261"/>
      <c r="HQ68" s="261"/>
      <c r="HR68" s="261"/>
      <c r="HS68" s="261"/>
      <c r="HT68" s="261"/>
      <c r="HU68" s="261"/>
      <c r="HV68" s="261"/>
      <c r="HW68" s="261"/>
      <c r="HX68" s="261"/>
      <c r="HY68" s="261"/>
      <c r="HZ68" s="261"/>
      <c r="IA68" s="261"/>
      <c r="IB68" s="261"/>
      <c r="IC68" s="261"/>
      <c r="ID68" s="261"/>
      <c r="IE68" s="261"/>
      <c r="IF68" s="261"/>
      <c r="IG68" s="261"/>
      <c r="IH68" s="261"/>
      <c r="II68" s="261"/>
      <c r="IJ68" s="261"/>
      <c r="IK68" s="261"/>
      <c r="IL68" s="261"/>
      <c r="IM68" s="261"/>
      <c r="IN68" s="261"/>
      <c r="IO68" s="261"/>
      <c r="IP68" s="261"/>
      <c r="IQ68" s="261"/>
      <c r="IR68" s="261"/>
      <c r="IS68" s="261"/>
      <c r="IT68" s="261"/>
      <c r="IU68" s="261"/>
      <c r="IV68" s="261"/>
      <c r="IW68" s="261"/>
      <c r="IX68" s="261"/>
      <c r="IY68" s="261"/>
      <c r="IZ68" s="261"/>
      <c r="JA68" s="261"/>
      <c r="JB68" s="261"/>
      <c r="JC68" s="261"/>
      <c r="JD68" s="261"/>
      <c r="JE68" s="261"/>
      <c r="JF68" s="261"/>
      <c r="JG68" s="261"/>
      <c r="JH68" s="261"/>
      <c r="JI68" s="261"/>
      <c r="JJ68" s="261"/>
      <c r="JK68" s="261"/>
      <c r="JL68" s="261"/>
      <c r="JM68" s="261"/>
      <c r="JN68" s="261"/>
      <c r="JO68" s="261"/>
      <c r="JP68" s="261"/>
      <c r="JQ68" s="261"/>
      <c r="JR68" s="261"/>
      <c r="JS68" s="261"/>
      <c r="JT68" s="261"/>
      <c r="JU68" s="261"/>
      <c r="JV68" s="261"/>
      <c r="JW68" s="261"/>
      <c r="JX68" s="261"/>
      <c r="JY68" s="261"/>
      <c r="JZ68" s="261"/>
      <c r="KA68" s="261"/>
      <c r="KB68" s="261"/>
      <c r="KC68" s="261"/>
      <c r="KD68" s="261"/>
      <c r="KE68" s="261"/>
      <c r="KF68" s="261"/>
      <c r="KG68" s="261"/>
      <c r="KH68" s="261"/>
      <c r="KI68" s="261"/>
      <c r="KJ68" s="261"/>
      <c r="KK68" s="261"/>
      <c r="KL68" s="261"/>
      <c r="KM68" s="261"/>
      <c r="KN68" s="261"/>
      <c r="KO68" s="261"/>
      <c r="KP68" s="261"/>
      <c r="KQ68" s="261"/>
      <c r="KR68" s="261"/>
      <c r="KS68" s="261"/>
      <c r="KT68" s="261"/>
      <c r="KU68" s="261"/>
      <c r="KV68" s="261"/>
      <c r="KW68" s="261"/>
      <c r="KX68" s="261"/>
      <c r="KY68" s="261"/>
      <c r="KZ68" s="261"/>
      <c r="LA68" s="261"/>
      <c r="LB68" s="261"/>
      <c r="LC68" s="261"/>
      <c r="LD68" s="261"/>
      <c r="LE68" s="261"/>
      <c r="LF68" s="261"/>
      <c r="LG68" s="261"/>
      <c r="LH68" s="261"/>
      <c r="LI68" s="261"/>
      <c r="LJ68" s="261"/>
      <c r="LK68" s="261"/>
      <c r="LL68" s="261"/>
      <c r="LM68" s="261"/>
      <c r="LN68" s="261"/>
      <c r="LO68" s="261"/>
      <c r="LP68" s="261"/>
      <c r="LQ68" s="261"/>
      <c r="LR68" s="261"/>
      <c r="LS68" s="261"/>
      <c r="LT68" s="261"/>
      <c r="LU68" s="261"/>
      <c r="LV68" s="261"/>
      <c r="LW68" s="261"/>
      <c r="LX68" s="261"/>
      <c r="LY68" s="261"/>
      <c r="LZ68" s="261"/>
      <c r="MA68" s="261"/>
      <c r="MB68" s="261"/>
      <c r="MC68" s="261"/>
      <c r="MD68" s="261"/>
      <c r="ME68" s="261"/>
      <c r="MF68" s="261"/>
      <c r="MG68" s="261"/>
      <c r="MH68" s="261"/>
      <c r="MI68" s="261"/>
      <c r="MJ68" s="261"/>
      <c r="MK68" s="261"/>
      <c r="ML68" s="261"/>
      <c r="MM68" s="261"/>
      <c r="MN68" s="261"/>
      <c r="MO68" s="261"/>
      <c r="MP68" s="261"/>
      <c r="MQ68" s="261"/>
      <c r="MR68" s="261"/>
      <c r="MS68" s="261"/>
      <c r="MT68" s="261"/>
      <c r="MU68" s="261"/>
      <c r="MV68" s="261"/>
      <c r="MW68" s="261"/>
      <c r="MX68" s="261"/>
      <c r="MY68" s="261"/>
      <c r="MZ68" s="261"/>
      <c r="NA68" s="261"/>
      <c r="NB68" s="261"/>
      <c r="NC68" s="261"/>
      <c r="ND68" s="261"/>
      <c r="NE68" s="261"/>
      <c r="NF68" s="261"/>
      <c r="NG68" s="261"/>
      <c r="NH68" s="261"/>
      <c r="NI68" s="261"/>
      <c r="NJ68" s="261"/>
      <c r="NK68" s="261"/>
      <c r="NL68" s="261"/>
      <c r="NM68" s="261"/>
      <c r="NN68" s="261"/>
      <c r="NO68" s="261"/>
      <c r="NP68" s="261"/>
      <c r="NQ68" s="261"/>
      <c r="NR68" s="261"/>
      <c r="NS68" s="261"/>
      <c r="NT68" s="261"/>
      <c r="NU68" s="261"/>
      <c r="NV68" s="261"/>
      <c r="NW68" s="261"/>
      <c r="NX68" s="261"/>
      <c r="NY68" s="261"/>
      <c r="NZ68" s="261"/>
      <c r="OA68" s="261"/>
      <c r="OB68" s="261"/>
      <c r="OC68" s="261"/>
      <c r="OD68" s="261"/>
      <c r="OE68" s="261"/>
      <c r="OF68" s="261"/>
      <c r="OG68" s="261"/>
      <c r="OH68" s="261"/>
      <c r="OI68" s="261"/>
      <c r="OJ68" s="261"/>
      <c r="OK68" s="261"/>
      <c r="OL68" s="261"/>
      <c r="OM68" s="261"/>
      <c r="ON68" s="261"/>
      <c r="OO68" s="261"/>
      <c r="OP68" s="261"/>
      <c r="OQ68" s="261"/>
      <c r="OR68" s="261"/>
      <c r="OS68" s="261"/>
      <c r="OT68" s="261"/>
      <c r="OU68" s="261"/>
      <c r="OV68" s="261"/>
      <c r="OW68" s="261"/>
      <c r="OX68" s="261"/>
      <c r="OY68" s="261"/>
      <c r="OZ68" s="261"/>
      <c r="PA68" s="261"/>
      <c r="PB68" s="261"/>
      <c r="PC68" s="261"/>
      <c r="PD68" s="261"/>
      <c r="PE68" s="261"/>
      <c r="PF68" s="261"/>
      <c r="PG68" s="261"/>
      <c r="PH68" s="261"/>
      <c r="PI68" s="261"/>
      <c r="PJ68" s="261"/>
      <c r="PK68" s="261"/>
      <c r="PL68" s="261"/>
      <c r="PM68" s="261"/>
      <c r="PN68" s="261"/>
      <c r="PO68" s="261"/>
      <c r="PP68" s="261"/>
      <c r="PQ68" s="261"/>
      <c r="PR68" s="261"/>
      <c r="PS68" s="261"/>
      <c r="PT68" s="261"/>
      <c r="PU68" s="261"/>
      <c r="PV68" s="261"/>
      <c r="PW68" s="261"/>
      <c r="PX68" s="261"/>
      <c r="PY68" s="261"/>
      <c r="PZ68" s="261"/>
      <c r="QA68" s="261"/>
      <c r="QB68" s="261"/>
      <c r="QC68" s="261"/>
      <c r="QD68" s="261"/>
      <c r="QE68" s="261"/>
      <c r="QF68" s="261"/>
      <c r="QG68" s="261"/>
      <c r="QH68" s="261"/>
      <c r="QI68" s="261"/>
      <c r="QJ68" s="261"/>
      <c r="QK68" s="261"/>
      <c r="QL68" s="261"/>
      <c r="QM68" s="261"/>
      <c r="QN68" s="261"/>
      <c r="QO68" s="261"/>
      <c r="QP68" s="261"/>
      <c r="QQ68" s="261"/>
      <c r="QR68" s="261"/>
      <c r="QS68" s="261"/>
      <c r="QT68" s="261"/>
      <c r="QU68" s="261"/>
      <c r="QV68" s="261"/>
      <c r="QW68" s="261"/>
      <c r="QX68" s="261"/>
      <c r="QY68" s="261"/>
      <c r="QZ68" s="261"/>
      <c r="RA68" s="261"/>
      <c r="RB68" s="261"/>
      <c r="RC68" s="261"/>
      <c r="RD68" s="261"/>
      <c r="RE68" s="261"/>
      <c r="RF68" s="261"/>
      <c r="RG68" s="261"/>
      <c r="RH68" s="261"/>
      <c r="RI68" s="261"/>
      <c r="RJ68" s="261"/>
      <c r="RK68" s="261"/>
      <c r="RL68" s="261"/>
      <c r="RM68" s="261"/>
      <c r="RN68" s="261"/>
      <c r="RO68" s="261"/>
      <c r="RP68" s="261"/>
      <c r="RQ68" s="261"/>
      <c r="RR68" s="261"/>
      <c r="RS68" s="261"/>
      <c r="RT68" s="261"/>
      <c r="RU68" s="261"/>
      <c r="RV68" s="261"/>
      <c r="RW68" s="261"/>
      <c r="RX68" s="261"/>
      <c r="RY68" s="261"/>
      <c r="RZ68" s="261"/>
      <c r="SA68" s="261"/>
      <c r="SB68" s="261"/>
      <c r="SC68" s="261"/>
      <c r="SD68" s="261"/>
      <c r="SE68" s="261"/>
      <c r="SF68" s="261"/>
      <c r="SG68" s="261"/>
      <c r="SH68" s="261"/>
      <c r="SI68" s="261"/>
      <c r="SJ68" s="261"/>
      <c r="SK68" s="261"/>
      <c r="SL68" s="261"/>
      <c r="SM68" s="261"/>
      <c r="SN68" s="261"/>
      <c r="SO68" s="261"/>
      <c r="SP68" s="261"/>
      <c r="SQ68" s="261"/>
      <c r="SR68" s="261"/>
      <c r="SS68" s="261"/>
      <c r="ST68" s="261"/>
      <c r="SU68" s="261"/>
      <c r="SV68" s="261"/>
      <c r="SW68" s="261"/>
      <c r="SX68" s="261"/>
      <c r="SY68" s="261"/>
      <c r="SZ68" s="261"/>
      <c r="TA68" s="261"/>
      <c r="TB68" s="261"/>
      <c r="TC68" s="261"/>
      <c r="TD68" s="261"/>
      <c r="TE68" s="261"/>
      <c r="TF68" s="261"/>
      <c r="TG68" s="261"/>
      <c r="TH68" s="261"/>
      <c r="TI68" s="261"/>
      <c r="TJ68" s="261"/>
      <c r="TK68" s="261"/>
      <c r="TL68" s="261"/>
      <c r="TM68" s="261"/>
      <c r="TN68" s="261"/>
      <c r="TO68" s="261"/>
      <c r="TP68" s="261"/>
      <c r="TQ68" s="261"/>
      <c r="TR68" s="261"/>
      <c r="TS68" s="261"/>
      <c r="TT68" s="261"/>
      <c r="TU68" s="261"/>
      <c r="TV68" s="261"/>
      <c r="TW68" s="261"/>
      <c r="TX68" s="261"/>
      <c r="TY68" s="261"/>
      <c r="TZ68" s="261"/>
      <c r="UA68" s="261"/>
      <c r="UB68" s="261"/>
      <c r="UC68" s="261"/>
      <c r="UD68" s="261"/>
      <c r="UE68" s="261"/>
      <c r="UF68" s="261"/>
      <c r="UG68" s="261"/>
      <c r="UH68" s="261"/>
      <c r="UI68" s="261"/>
      <c r="UJ68" s="261"/>
      <c r="UK68" s="261"/>
      <c r="UL68" s="261"/>
      <c r="UM68" s="261"/>
      <c r="UN68" s="261"/>
      <c r="UO68" s="261"/>
      <c r="UP68" s="261"/>
      <c r="UQ68" s="261"/>
      <c r="UR68" s="261"/>
      <c r="US68" s="261"/>
      <c r="UT68" s="261"/>
      <c r="UU68" s="261"/>
      <c r="UV68" s="261"/>
      <c r="UW68" s="261"/>
      <c r="UX68" s="261"/>
      <c r="UY68" s="261"/>
      <c r="UZ68" s="261"/>
      <c r="VA68" s="261"/>
      <c r="VB68" s="261"/>
      <c r="VC68" s="261"/>
      <c r="VD68" s="261"/>
      <c r="VE68" s="261"/>
      <c r="VF68" s="261"/>
      <c r="VG68" s="261"/>
      <c r="VH68" s="261"/>
      <c r="VI68" s="261"/>
      <c r="VJ68" s="261"/>
      <c r="VK68" s="261"/>
      <c r="VL68" s="261"/>
      <c r="VM68" s="261"/>
      <c r="VN68" s="261"/>
      <c r="VO68" s="261"/>
      <c r="VP68" s="261"/>
      <c r="VQ68" s="261"/>
      <c r="VR68" s="261"/>
      <c r="VS68" s="261"/>
      <c r="VT68" s="261"/>
      <c r="VU68" s="261"/>
      <c r="VV68" s="261"/>
      <c r="VW68" s="261"/>
      <c r="VX68" s="261"/>
      <c r="VY68" s="261"/>
      <c r="VZ68" s="261"/>
      <c r="WA68" s="261"/>
      <c r="WB68" s="261"/>
      <c r="WC68" s="261"/>
      <c r="WD68" s="261"/>
      <c r="WE68" s="261"/>
      <c r="WF68" s="261"/>
      <c r="WG68" s="261"/>
      <c r="WH68" s="261"/>
      <c r="WI68" s="261"/>
      <c r="WJ68" s="261"/>
      <c r="WK68" s="261"/>
      <c r="WL68" s="261"/>
      <c r="WM68" s="261"/>
      <c r="WN68" s="261"/>
      <c r="WO68" s="261"/>
      <c r="WP68" s="261"/>
      <c r="WQ68" s="261"/>
      <c r="WR68" s="261"/>
      <c r="WS68" s="261"/>
      <c r="WT68" s="261"/>
      <c r="WU68" s="261"/>
      <c r="WV68" s="261"/>
      <c r="WW68" s="261"/>
      <c r="WX68" s="261"/>
      <c r="WY68" s="261"/>
      <c r="WZ68" s="261"/>
      <c r="XA68" s="261"/>
      <c r="XB68" s="261"/>
      <c r="XC68" s="261"/>
      <c r="XD68" s="261"/>
      <c r="XE68" s="261"/>
      <c r="XF68" s="261"/>
      <c r="XG68" s="261"/>
      <c r="XH68" s="261"/>
      <c r="XI68" s="261"/>
      <c r="XJ68" s="261"/>
      <c r="XK68" s="261"/>
      <c r="XL68" s="261"/>
      <c r="XM68" s="261"/>
      <c r="XN68" s="261"/>
      <c r="XO68" s="261"/>
      <c r="XP68" s="261"/>
      <c r="XQ68" s="261"/>
      <c r="XR68" s="261"/>
      <c r="XS68" s="261"/>
      <c r="XT68" s="261"/>
      <c r="XU68" s="261"/>
      <c r="XV68" s="261"/>
      <c r="XW68" s="261"/>
      <c r="XX68" s="261"/>
      <c r="XY68" s="261"/>
      <c r="XZ68" s="261"/>
      <c r="YA68" s="261"/>
      <c r="YB68" s="261"/>
      <c r="YC68" s="261"/>
      <c r="YD68" s="261"/>
      <c r="YE68" s="261"/>
      <c r="YF68" s="261"/>
      <c r="YG68" s="261"/>
      <c r="YH68" s="261"/>
      <c r="YI68" s="261"/>
      <c r="YJ68" s="261"/>
      <c r="YK68" s="261"/>
      <c r="YL68" s="261"/>
      <c r="YM68" s="261"/>
      <c r="YN68" s="261"/>
      <c r="YO68" s="261"/>
      <c r="YP68" s="261"/>
      <c r="YQ68" s="261"/>
      <c r="YR68" s="261"/>
      <c r="YS68" s="261"/>
      <c r="YT68" s="261"/>
      <c r="YU68" s="261"/>
      <c r="YV68" s="261"/>
      <c r="YW68" s="261"/>
      <c r="YX68" s="261"/>
      <c r="YY68" s="261"/>
      <c r="YZ68" s="261"/>
      <c r="ZA68" s="261"/>
      <c r="ZB68" s="261"/>
      <c r="ZC68" s="261"/>
      <c r="ZD68" s="261"/>
      <c r="ZE68" s="261"/>
      <c r="ZF68" s="261"/>
      <c r="ZG68" s="261"/>
      <c r="ZH68" s="261"/>
      <c r="ZI68" s="261"/>
      <c r="ZJ68" s="261"/>
      <c r="ZK68" s="261"/>
      <c r="ZL68" s="261"/>
      <c r="ZM68" s="261"/>
      <c r="ZN68" s="261"/>
      <c r="ZO68" s="261"/>
      <c r="ZP68" s="261"/>
      <c r="ZQ68" s="261"/>
      <c r="ZR68" s="261"/>
      <c r="ZS68" s="261"/>
      <c r="ZT68" s="261"/>
      <c r="ZU68" s="261"/>
      <c r="ZV68" s="261"/>
      <c r="ZW68" s="261"/>
      <c r="ZX68" s="261"/>
      <c r="ZY68" s="261"/>
      <c r="ZZ68" s="261"/>
      <c r="AAA68" s="261"/>
      <c r="AAB68" s="261"/>
      <c r="AAC68" s="261"/>
      <c r="AAD68" s="261"/>
      <c r="AAE68" s="261"/>
      <c r="AAF68" s="261"/>
      <c r="AAG68" s="261"/>
      <c r="AAH68" s="261"/>
      <c r="AAI68" s="261"/>
      <c r="AAJ68" s="261"/>
      <c r="AAK68" s="261"/>
      <c r="AAL68" s="261"/>
      <c r="AAM68" s="261"/>
      <c r="AAN68" s="261"/>
      <c r="AAO68" s="261"/>
      <c r="AAP68" s="261"/>
      <c r="AAQ68" s="261"/>
      <c r="AAR68" s="261"/>
      <c r="AAS68" s="261"/>
      <c r="AAT68" s="261"/>
      <c r="AAU68" s="261"/>
      <c r="AAV68" s="261"/>
      <c r="AAW68" s="261"/>
      <c r="AAX68" s="261"/>
      <c r="AAY68" s="261"/>
      <c r="AAZ68" s="261"/>
      <c r="ABA68" s="261"/>
      <c r="ABB68" s="261"/>
      <c r="ABC68" s="261"/>
      <c r="ABD68" s="261"/>
      <c r="ABE68" s="261"/>
      <c r="ABF68" s="261"/>
      <c r="ABG68" s="261"/>
      <c r="ABH68" s="261"/>
      <c r="ABI68" s="261"/>
      <c r="ABJ68" s="261"/>
      <c r="ABK68" s="261"/>
      <c r="ABL68" s="261"/>
      <c r="ABM68" s="261"/>
      <c r="ABN68" s="261"/>
      <c r="ABO68" s="261"/>
      <c r="ABP68" s="261"/>
      <c r="ABQ68" s="261"/>
      <c r="ABR68" s="261"/>
      <c r="ABS68" s="261"/>
      <c r="ABT68" s="261"/>
      <c r="ABU68" s="261"/>
      <c r="ABV68" s="261"/>
      <c r="ABW68" s="261"/>
      <c r="ABX68" s="261"/>
      <c r="ABY68" s="261"/>
      <c r="ABZ68" s="261"/>
      <c r="ACA68" s="261"/>
      <c r="ACB68" s="261"/>
      <c r="ACC68" s="261"/>
      <c r="ACD68" s="261"/>
      <c r="ACE68" s="261"/>
      <c r="ACF68" s="261"/>
      <c r="ACG68" s="261"/>
      <c r="ACH68" s="261"/>
      <c r="ACI68" s="261"/>
      <c r="ACJ68" s="261"/>
      <c r="ACK68" s="261"/>
      <c r="ACL68" s="261"/>
      <c r="ACM68" s="261"/>
      <c r="ACN68" s="261"/>
      <c r="ACO68" s="261"/>
      <c r="ACP68" s="261"/>
      <c r="ACQ68" s="261"/>
      <c r="ACR68" s="261"/>
      <c r="ACS68" s="261"/>
      <c r="ACT68" s="261"/>
      <c r="ACU68" s="261"/>
      <c r="ACV68" s="261"/>
      <c r="ACW68" s="261"/>
      <c r="ACX68" s="261"/>
      <c r="ACY68" s="261"/>
      <c r="ACZ68" s="261"/>
      <c r="ADA68" s="261"/>
      <c r="ADB68" s="261"/>
      <c r="ADC68" s="261"/>
      <c r="ADD68" s="261"/>
      <c r="ADE68" s="261"/>
      <c r="ADF68" s="261"/>
      <c r="ADG68" s="261"/>
      <c r="ADH68" s="261"/>
      <c r="ADI68" s="261"/>
      <c r="ADJ68" s="261"/>
      <c r="ADK68" s="261"/>
      <c r="ADL68" s="261"/>
      <c r="ADM68" s="261"/>
      <c r="ADN68" s="261"/>
      <c r="ADO68" s="261"/>
      <c r="ADP68" s="261"/>
      <c r="ADQ68" s="261"/>
      <c r="ADR68" s="261"/>
      <c r="ADS68" s="261"/>
      <c r="ADT68" s="261"/>
      <c r="ADU68" s="261"/>
      <c r="ADV68" s="261"/>
      <c r="ADW68" s="261"/>
      <c r="ADX68" s="261"/>
      <c r="ADY68" s="261"/>
      <c r="ADZ68" s="261"/>
      <c r="AEA68" s="261"/>
      <c r="AEB68" s="261"/>
      <c r="AEC68" s="261"/>
      <c r="AED68" s="261"/>
      <c r="AEE68" s="261"/>
      <c r="AEF68" s="261"/>
      <c r="AEG68" s="261"/>
      <c r="AEH68" s="261"/>
      <c r="AEI68" s="261"/>
      <c r="AEJ68" s="261"/>
      <c r="AEK68" s="261"/>
      <c r="AEL68" s="261"/>
      <c r="AEM68" s="261"/>
      <c r="AEN68" s="261"/>
      <c r="AEO68" s="261"/>
      <c r="AEP68" s="261"/>
      <c r="AEQ68" s="261"/>
      <c r="AER68" s="261"/>
      <c r="AES68" s="261"/>
      <c r="AET68" s="261"/>
      <c r="AEU68" s="261"/>
      <c r="AEV68" s="261"/>
      <c r="AEW68" s="261"/>
      <c r="AEX68" s="261"/>
      <c r="AEY68" s="261"/>
      <c r="AEZ68" s="261"/>
      <c r="AFA68" s="261"/>
      <c r="AFB68" s="261"/>
      <c r="AFC68" s="261"/>
      <c r="AFD68" s="261"/>
      <c r="AFE68" s="261"/>
      <c r="AFF68" s="261"/>
      <c r="AFG68" s="261"/>
      <c r="AFH68" s="261"/>
      <c r="AFI68" s="261"/>
      <c r="AFJ68" s="261"/>
      <c r="AFK68" s="261"/>
      <c r="AFL68" s="261"/>
      <c r="AFM68" s="261"/>
      <c r="AFN68" s="261"/>
      <c r="AFO68" s="261"/>
      <c r="AFP68" s="261"/>
      <c r="AFQ68" s="261"/>
      <c r="AFR68" s="261"/>
      <c r="AFS68" s="261"/>
      <c r="AFT68" s="261"/>
      <c r="AFU68" s="261"/>
      <c r="AFV68" s="261"/>
      <c r="AFW68" s="261"/>
      <c r="AFX68" s="261"/>
      <c r="AFY68" s="261"/>
      <c r="AFZ68" s="261"/>
      <c r="AGA68" s="261"/>
      <c r="AGB68" s="261"/>
      <c r="AGC68" s="261"/>
      <c r="AGD68" s="261"/>
      <c r="AGE68" s="261"/>
      <c r="AGF68" s="261"/>
      <c r="AGG68" s="261"/>
      <c r="AGH68" s="261"/>
      <c r="AGI68" s="261"/>
      <c r="AGJ68" s="261"/>
      <c r="AGK68" s="261"/>
      <c r="AGL68" s="261"/>
      <c r="AGM68" s="261"/>
      <c r="AGN68" s="261"/>
      <c r="AGO68" s="261"/>
      <c r="AGP68" s="261"/>
      <c r="AGQ68" s="261"/>
      <c r="AGR68" s="261"/>
      <c r="AGS68" s="261"/>
      <c r="AGT68" s="261"/>
      <c r="AGU68" s="261"/>
      <c r="AGV68" s="261"/>
      <c r="AGW68" s="261"/>
      <c r="AGX68" s="261"/>
      <c r="AGY68" s="261"/>
      <c r="AGZ68" s="261"/>
      <c r="AHA68" s="261"/>
      <c r="AHB68" s="261"/>
      <c r="AHC68" s="261"/>
      <c r="AHD68" s="261"/>
      <c r="AHE68" s="261"/>
      <c r="AHF68" s="261"/>
      <c r="AHG68" s="261"/>
      <c r="AHH68" s="261"/>
      <c r="AHI68" s="261"/>
      <c r="AHJ68" s="261"/>
      <c r="AHK68" s="261"/>
      <c r="AHL68" s="261"/>
      <c r="AHM68" s="261"/>
      <c r="AHN68" s="261"/>
      <c r="AHO68" s="261"/>
      <c r="AHP68" s="261"/>
      <c r="AHQ68" s="261"/>
      <c r="AHR68" s="261"/>
      <c r="AHS68" s="261"/>
      <c r="AHT68" s="261"/>
      <c r="AHU68" s="261"/>
      <c r="AHV68" s="261"/>
      <c r="AHW68" s="261"/>
      <c r="AHX68" s="261"/>
      <c r="AHY68" s="261"/>
      <c r="AHZ68" s="261"/>
      <c r="AIA68" s="261"/>
      <c r="AIB68" s="261"/>
      <c r="AIC68" s="261"/>
      <c r="AID68" s="261"/>
      <c r="AIE68" s="261"/>
      <c r="AIF68" s="261"/>
      <c r="AIG68" s="261"/>
      <c r="AIH68" s="261"/>
      <c r="AII68" s="261"/>
      <c r="AIJ68" s="261"/>
      <c r="AIK68" s="261"/>
      <c r="AIL68" s="261"/>
      <c r="AIM68" s="261"/>
      <c r="AIN68" s="261"/>
      <c r="AIO68" s="261"/>
      <c r="AIP68" s="261"/>
      <c r="AIQ68" s="261"/>
      <c r="AIR68" s="261"/>
      <c r="AIS68" s="261"/>
      <c r="AIT68" s="261"/>
      <c r="AIU68" s="261"/>
      <c r="AIV68" s="261"/>
      <c r="AIW68" s="261"/>
      <c r="AIX68" s="261"/>
      <c r="AIY68" s="261"/>
      <c r="AIZ68" s="261"/>
      <c r="AJA68" s="261"/>
      <c r="AJB68" s="261"/>
      <c r="AJC68" s="261"/>
      <c r="AJD68" s="261"/>
      <c r="AJE68" s="261"/>
      <c r="AJF68" s="261"/>
      <c r="AJG68" s="261"/>
      <c r="AJH68" s="261"/>
      <c r="AJI68" s="261"/>
      <c r="AJJ68" s="261"/>
      <c r="AJK68" s="261"/>
      <c r="AJL68" s="261"/>
      <c r="AJM68" s="261"/>
      <c r="AJN68" s="261"/>
      <c r="AJO68" s="261"/>
      <c r="AJP68" s="261"/>
      <c r="AJQ68" s="261"/>
      <c r="AJR68" s="261"/>
      <c r="AJS68" s="261"/>
      <c r="AJT68" s="261"/>
      <c r="AJU68" s="261"/>
      <c r="AJV68" s="261"/>
      <c r="AJW68" s="261"/>
      <c r="AJX68" s="261"/>
      <c r="AJY68" s="261"/>
      <c r="AJZ68" s="261"/>
      <c r="AKA68" s="261"/>
      <c r="AKB68" s="261"/>
      <c r="AKC68" s="261"/>
      <c r="AKD68" s="261"/>
      <c r="AKE68" s="261"/>
      <c r="AKF68" s="261"/>
      <c r="AKG68" s="261"/>
      <c r="AKH68" s="261"/>
      <c r="AKI68" s="261"/>
      <c r="AKJ68" s="261"/>
      <c r="AKK68" s="261"/>
      <c r="AKL68" s="261"/>
      <c r="AKM68" s="261"/>
      <c r="AKN68" s="261"/>
      <c r="AKO68" s="261"/>
      <c r="AKP68" s="261"/>
      <c r="AKQ68" s="261"/>
      <c r="AKR68" s="261"/>
      <c r="AKS68" s="261"/>
      <c r="AKT68" s="261"/>
      <c r="AKU68" s="261"/>
      <c r="AKV68" s="261"/>
      <c r="AKW68" s="261"/>
      <c r="AKX68" s="261"/>
      <c r="AKY68" s="261"/>
      <c r="AKZ68" s="261"/>
      <c r="ALA68" s="261"/>
      <c r="ALB68" s="261"/>
      <c r="ALC68" s="261"/>
      <c r="ALD68" s="261"/>
      <c r="ALE68" s="261"/>
      <c r="ALF68" s="261"/>
      <c r="ALG68" s="261"/>
      <c r="ALH68" s="261"/>
      <c r="ALI68" s="261"/>
      <c r="ALJ68" s="261"/>
      <c r="ALK68" s="261"/>
      <c r="ALL68" s="261"/>
      <c r="ALM68" s="261"/>
      <c r="ALN68" s="261"/>
      <c r="ALO68" s="261"/>
      <c r="ALP68" s="261"/>
      <c r="ALQ68" s="261"/>
      <c r="ALR68" s="261"/>
      <c r="ALS68" s="261"/>
      <c r="ALT68" s="261"/>
      <c r="ALU68" s="261"/>
      <c r="ALV68" s="261"/>
      <c r="ALW68" s="261"/>
      <c r="ALX68" s="261"/>
      <c r="ALY68" s="261"/>
      <c r="ALZ68" s="261"/>
      <c r="AMA68" s="261"/>
      <c r="AMB68" s="261"/>
      <c r="AMC68" s="261"/>
      <c r="AMD68" s="261"/>
      <c r="AME68" s="261"/>
      <c r="AMF68" s="261"/>
      <c r="AMG68" s="261"/>
      <c r="AMH68" s="261"/>
      <c r="AMI68" s="261"/>
      <c r="AMJ68" s="261"/>
    </row>
    <row r="69" spans="12:1024" ht="15.95" customHeight="1">
      <c r="L69" s="261"/>
      <c r="M69" s="296"/>
      <c r="N69" s="261"/>
      <c r="O69" s="261"/>
      <c r="P69" s="261"/>
      <c r="Q69" s="261"/>
      <c r="R69" s="261"/>
      <c r="S69" s="261"/>
      <c r="T69" s="261"/>
      <c r="U69" s="261"/>
      <c r="V69" s="261"/>
      <c r="W69" s="261"/>
      <c r="X69" s="261"/>
      <c r="Y69" s="261"/>
      <c r="Z69" s="261"/>
      <c r="AA69" s="261"/>
      <c r="AB69" s="261"/>
      <c r="AC69" s="261"/>
      <c r="AD69" s="261"/>
      <c r="AE69" s="261"/>
      <c r="AF69" s="261"/>
      <c r="AG69" s="261"/>
      <c r="AH69" s="261"/>
      <c r="AI69" s="261"/>
      <c r="AJ69" s="261"/>
      <c r="AK69" s="261"/>
      <c r="AL69" s="261"/>
      <c r="AM69" s="261"/>
      <c r="AN69" s="261"/>
      <c r="AO69" s="261"/>
      <c r="AP69" s="261"/>
      <c r="AQ69" s="261"/>
      <c r="AR69" s="261"/>
      <c r="AS69" s="261"/>
      <c r="AT69" s="261"/>
      <c r="AU69" s="261"/>
      <c r="AV69" s="261"/>
      <c r="AW69" s="261"/>
      <c r="AX69" s="261"/>
      <c r="AY69" s="261"/>
      <c r="AZ69" s="261"/>
      <c r="BA69" s="261"/>
      <c r="BB69" s="261"/>
      <c r="BC69" s="261"/>
      <c r="BD69" s="261"/>
      <c r="BE69" s="261"/>
      <c r="BF69" s="261"/>
      <c r="BG69" s="261"/>
      <c r="BH69" s="261"/>
      <c r="BI69" s="261"/>
      <c r="BJ69" s="261"/>
      <c r="BK69" s="261"/>
      <c r="BL69" s="261"/>
      <c r="BM69" s="261"/>
      <c r="BN69" s="261"/>
      <c r="BO69" s="261"/>
      <c r="BP69" s="261"/>
      <c r="BQ69" s="261"/>
      <c r="BR69" s="261"/>
      <c r="BS69" s="261"/>
      <c r="BT69" s="261"/>
      <c r="BU69" s="261"/>
      <c r="BV69" s="261"/>
      <c r="BW69" s="261"/>
      <c r="BX69" s="261"/>
      <c r="BY69" s="261"/>
      <c r="BZ69" s="261"/>
      <c r="CA69" s="261"/>
      <c r="CB69" s="261"/>
      <c r="CC69" s="261"/>
      <c r="CD69" s="261"/>
      <c r="CE69" s="261"/>
      <c r="CF69" s="261"/>
      <c r="CG69" s="261"/>
      <c r="CH69" s="261"/>
      <c r="CI69" s="261"/>
      <c r="CJ69" s="261"/>
      <c r="CK69" s="261"/>
      <c r="CL69" s="261"/>
      <c r="CM69" s="261"/>
      <c r="CN69" s="261"/>
      <c r="CO69" s="261"/>
      <c r="CP69" s="261"/>
      <c r="CQ69" s="261"/>
      <c r="CR69" s="261"/>
      <c r="CS69" s="261"/>
      <c r="CT69" s="261"/>
      <c r="CU69" s="261"/>
      <c r="CV69" s="261"/>
      <c r="CW69" s="261"/>
      <c r="CX69" s="261"/>
      <c r="CY69" s="261"/>
      <c r="CZ69" s="261"/>
      <c r="DA69" s="261"/>
      <c r="DB69" s="261"/>
      <c r="DC69" s="261"/>
      <c r="DD69" s="261"/>
      <c r="DE69" s="261"/>
      <c r="DF69" s="261"/>
      <c r="DG69" s="261"/>
      <c r="DH69" s="261"/>
      <c r="DI69" s="261"/>
      <c r="DJ69" s="261"/>
      <c r="DK69" s="261"/>
      <c r="DL69" s="261"/>
      <c r="DM69" s="261"/>
      <c r="DN69" s="261"/>
      <c r="DO69" s="261"/>
      <c r="DP69" s="261"/>
      <c r="DQ69" s="261"/>
      <c r="DR69" s="261"/>
      <c r="DS69" s="261"/>
      <c r="DT69" s="261"/>
      <c r="DU69" s="261"/>
      <c r="DV69" s="261"/>
      <c r="DW69" s="261"/>
      <c r="DX69" s="261"/>
      <c r="DY69" s="261"/>
      <c r="DZ69" s="261"/>
      <c r="EA69" s="261"/>
      <c r="EB69" s="261"/>
      <c r="EC69" s="261"/>
      <c r="ED69" s="261"/>
      <c r="EE69" s="261"/>
      <c r="EF69" s="261"/>
      <c r="EG69" s="261"/>
      <c r="EH69" s="261"/>
      <c r="EI69" s="261"/>
      <c r="EJ69" s="261"/>
      <c r="EK69" s="261"/>
      <c r="EL69" s="261"/>
      <c r="EM69" s="261"/>
      <c r="EN69" s="261"/>
      <c r="EO69" s="261"/>
      <c r="EP69" s="261"/>
      <c r="EQ69" s="261"/>
      <c r="ER69" s="261"/>
      <c r="ES69" s="261"/>
      <c r="ET69" s="261"/>
      <c r="EU69" s="261"/>
      <c r="EV69" s="261"/>
      <c r="EW69" s="261"/>
      <c r="EX69" s="261"/>
      <c r="EY69" s="261"/>
      <c r="EZ69" s="261"/>
      <c r="FA69" s="261"/>
      <c r="FB69" s="261"/>
      <c r="FC69" s="261"/>
      <c r="FD69" s="261"/>
      <c r="FE69" s="261"/>
      <c r="FF69" s="261"/>
      <c r="FG69" s="261"/>
      <c r="FH69" s="261"/>
      <c r="FI69" s="261"/>
      <c r="FJ69" s="261"/>
      <c r="FK69" s="261"/>
      <c r="FL69" s="261"/>
      <c r="FM69" s="261"/>
      <c r="FN69" s="261"/>
      <c r="FO69" s="261"/>
      <c r="FP69" s="261"/>
      <c r="FQ69" s="261"/>
      <c r="FR69" s="261"/>
      <c r="FS69" s="261"/>
      <c r="FT69" s="261"/>
      <c r="FU69" s="261"/>
      <c r="FV69" s="261"/>
      <c r="FW69" s="261"/>
      <c r="FX69" s="261"/>
      <c r="FY69" s="261"/>
      <c r="FZ69" s="261"/>
      <c r="GA69" s="261"/>
      <c r="GB69" s="261"/>
      <c r="GC69" s="261"/>
      <c r="GD69" s="261"/>
      <c r="GE69" s="261"/>
      <c r="GF69" s="261"/>
      <c r="GG69" s="261"/>
      <c r="GH69" s="261"/>
      <c r="GI69" s="261"/>
      <c r="GJ69" s="261"/>
      <c r="GK69" s="261"/>
      <c r="GL69" s="261"/>
      <c r="GM69" s="261"/>
      <c r="GN69" s="261"/>
      <c r="GO69" s="261"/>
      <c r="GP69" s="261"/>
      <c r="GQ69" s="261"/>
      <c r="GR69" s="261"/>
      <c r="GS69" s="261"/>
      <c r="GT69" s="261"/>
      <c r="GU69" s="261"/>
      <c r="GV69" s="261"/>
      <c r="GW69" s="261"/>
      <c r="GX69" s="261"/>
      <c r="GY69" s="261"/>
      <c r="GZ69" s="261"/>
      <c r="HA69" s="261"/>
      <c r="HB69" s="261"/>
      <c r="HC69" s="261"/>
      <c r="HD69" s="261"/>
      <c r="HE69" s="261"/>
      <c r="HF69" s="261"/>
      <c r="HG69" s="261"/>
      <c r="HH69" s="261"/>
      <c r="HI69" s="261"/>
      <c r="HJ69" s="261"/>
      <c r="HK69" s="261"/>
      <c r="HL69" s="261"/>
      <c r="HM69" s="261"/>
      <c r="HN69" s="261"/>
      <c r="HO69" s="261"/>
      <c r="HP69" s="261"/>
      <c r="HQ69" s="261"/>
      <c r="HR69" s="261"/>
      <c r="HS69" s="261"/>
      <c r="HT69" s="261"/>
      <c r="HU69" s="261"/>
      <c r="HV69" s="261"/>
      <c r="HW69" s="261"/>
      <c r="HX69" s="261"/>
      <c r="HY69" s="261"/>
      <c r="HZ69" s="261"/>
      <c r="IA69" s="261"/>
      <c r="IB69" s="261"/>
      <c r="IC69" s="261"/>
      <c r="ID69" s="261"/>
      <c r="IE69" s="261"/>
      <c r="IF69" s="261"/>
      <c r="IG69" s="261"/>
      <c r="IH69" s="261"/>
      <c r="II69" s="261"/>
      <c r="IJ69" s="261"/>
      <c r="IK69" s="261"/>
      <c r="IL69" s="261"/>
      <c r="IM69" s="261"/>
      <c r="IN69" s="261"/>
      <c r="IO69" s="261"/>
      <c r="IP69" s="261"/>
      <c r="IQ69" s="261"/>
      <c r="IR69" s="261"/>
      <c r="IS69" s="261"/>
      <c r="IT69" s="261"/>
      <c r="IU69" s="261"/>
      <c r="IV69" s="261"/>
      <c r="IW69" s="261"/>
      <c r="IX69" s="261"/>
      <c r="IY69" s="261"/>
      <c r="IZ69" s="261"/>
      <c r="JA69" s="261"/>
      <c r="JB69" s="261"/>
      <c r="JC69" s="261"/>
      <c r="JD69" s="261"/>
      <c r="JE69" s="261"/>
      <c r="JF69" s="261"/>
      <c r="JG69" s="261"/>
      <c r="JH69" s="261"/>
      <c r="JI69" s="261"/>
      <c r="JJ69" s="261"/>
      <c r="JK69" s="261"/>
      <c r="JL69" s="261"/>
      <c r="JM69" s="261"/>
      <c r="JN69" s="261"/>
      <c r="JO69" s="261"/>
      <c r="JP69" s="261"/>
      <c r="JQ69" s="261"/>
      <c r="JR69" s="261"/>
      <c r="JS69" s="261"/>
      <c r="JT69" s="261"/>
      <c r="JU69" s="261"/>
      <c r="JV69" s="261"/>
      <c r="JW69" s="261"/>
      <c r="JX69" s="261"/>
      <c r="JY69" s="261"/>
      <c r="JZ69" s="261"/>
      <c r="KA69" s="261"/>
      <c r="KB69" s="261"/>
      <c r="KC69" s="261"/>
      <c r="KD69" s="261"/>
      <c r="KE69" s="261"/>
      <c r="KF69" s="261"/>
      <c r="KG69" s="261"/>
      <c r="KH69" s="261"/>
      <c r="KI69" s="261"/>
      <c r="KJ69" s="261"/>
      <c r="KK69" s="261"/>
      <c r="KL69" s="261"/>
      <c r="KM69" s="261"/>
      <c r="KN69" s="261"/>
      <c r="KO69" s="261"/>
      <c r="KP69" s="261"/>
      <c r="KQ69" s="261"/>
      <c r="KR69" s="261"/>
      <c r="KS69" s="261"/>
      <c r="KT69" s="261"/>
      <c r="KU69" s="261"/>
      <c r="KV69" s="261"/>
      <c r="KW69" s="261"/>
      <c r="KX69" s="261"/>
      <c r="KY69" s="261"/>
      <c r="KZ69" s="261"/>
      <c r="LA69" s="261"/>
      <c r="LB69" s="261"/>
      <c r="LC69" s="261"/>
      <c r="LD69" s="261"/>
      <c r="LE69" s="261"/>
      <c r="LF69" s="261"/>
      <c r="LG69" s="261"/>
      <c r="LH69" s="261"/>
      <c r="LI69" s="261"/>
      <c r="LJ69" s="261"/>
      <c r="LK69" s="261"/>
      <c r="LL69" s="261"/>
      <c r="LM69" s="261"/>
      <c r="LN69" s="261"/>
      <c r="LO69" s="261"/>
      <c r="LP69" s="261"/>
      <c r="LQ69" s="261"/>
      <c r="LR69" s="261"/>
      <c r="LS69" s="261"/>
      <c r="LT69" s="261"/>
      <c r="LU69" s="261"/>
      <c r="LV69" s="261"/>
      <c r="LW69" s="261"/>
      <c r="LX69" s="261"/>
      <c r="LY69" s="261"/>
      <c r="LZ69" s="261"/>
      <c r="MA69" s="261"/>
      <c r="MB69" s="261"/>
      <c r="MC69" s="261"/>
      <c r="MD69" s="261"/>
      <c r="ME69" s="261"/>
      <c r="MF69" s="261"/>
      <c r="MG69" s="261"/>
      <c r="MH69" s="261"/>
      <c r="MI69" s="261"/>
      <c r="MJ69" s="261"/>
      <c r="MK69" s="261"/>
      <c r="ML69" s="261"/>
      <c r="MM69" s="261"/>
      <c r="MN69" s="261"/>
      <c r="MO69" s="261"/>
      <c r="MP69" s="261"/>
      <c r="MQ69" s="261"/>
      <c r="MR69" s="261"/>
      <c r="MS69" s="261"/>
      <c r="MT69" s="261"/>
      <c r="MU69" s="261"/>
      <c r="MV69" s="261"/>
      <c r="MW69" s="261"/>
      <c r="MX69" s="261"/>
      <c r="MY69" s="261"/>
      <c r="MZ69" s="261"/>
      <c r="NA69" s="261"/>
      <c r="NB69" s="261"/>
      <c r="NC69" s="261"/>
      <c r="ND69" s="261"/>
      <c r="NE69" s="261"/>
      <c r="NF69" s="261"/>
      <c r="NG69" s="261"/>
      <c r="NH69" s="261"/>
      <c r="NI69" s="261"/>
      <c r="NJ69" s="261"/>
      <c r="NK69" s="261"/>
      <c r="NL69" s="261"/>
      <c r="NM69" s="261"/>
      <c r="NN69" s="261"/>
      <c r="NO69" s="261"/>
      <c r="NP69" s="261"/>
      <c r="NQ69" s="261"/>
      <c r="NR69" s="261"/>
      <c r="NS69" s="261"/>
      <c r="NT69" s="261"/>
      <c r="NU69" s="261"/>
      <c r="NV69" s="261"/>
      <c r="NW69" s="261"/>
      <c r="NX69" s="261"/>
      <c r="NY69" s="261"/>
      <c r="NZ69" s="261"/>
      <c r="OA69" s="261"/>
      <c r="OB69" s="261"/>
      <c r="OC69" s="261"/>
      <c r="OD69" s="261"/>
      <c r="OE69" s="261"/>
      <c r="OF69" s="261"/>
      <c r="OG69" s="261"/>
      <c r="OH69" s="261"/>
      <c r="OI69" s="261"/>
      <c r="OJ69" s="261"/>
      <c r="OK69" s="261"/>
      <c r="OL69" s="261"/>
      <c r="OM69" s="261"/>
      <c r="ON69" s="261"/>
      <c r="OO69" s="261"/>
      <c r="OP69" s="261"/>
      <c r="OQ69" s="261"/>
      <c r="OR69" s="261"/>
      <c r="OS69" s="261"/>
      <c r="OT69" s="261"/>
      <c r="OU69" s="261"/>
      <c r="OV69" s="261"/>
      <c r="OW69" s="261"/>
      <c r="OX69" s="261"/>
      <c r="OY69" s="261"/>
      <c r="OZ69" s="261"/>
      <c r="PA69" s="261"/>
      <c r="PB69" s="261"/>
      <c r="PC69" s="261"/>
      <c r="PD69" s="261"/>
      <c r="PE69" s="261"/>
      <c r="PF69" s="261"/>
      <c r="PG69" s="261"/>
      <c r="PH69" s="261"/>
      <c r="PI69" s="261"/>
      <c r="PJ69" s="261"/>
      <c r="PK69" s="261"/>
      <c r="PL69" s="261"/>
      <c r="PM69" s="261"/>
      <c r="PN69" s="261"/>
      <c r="PO69" s="261"/>
      <c r="PP69" s="261"/>
      <c r="PQ69" s="261"/>
      <c r="PR69" s="261"/>
      <c r="PS69" s="261"/>
      <c r="PT69" s="261"/>
      <c r="PU69" s="261"/>
      <c r="PV69" s="261"/>
      <c r="PW69" s="261"/>
      <c r="PX69" s="261"/>
      <c r="PY69" s="261"/>
      <c r="PZ69" s="261"/>
      <c r="QA69" s="261"/>
      <c r="QB69" s="261"/>
      <c r="QC69" s="261"/>
      <c r="QD69" s="261"/>
      <c r="QE69" s="261"/>
      <c r="QF69" s="261"/>
      <c r="QG69" s="261"/>
      <c r="QH69" s="261"/>
      <c r="QI69" s="261"/>
      <c r="QJ69" s="261"/>
      <c r="QK69" s="261"/>
      <c r="QL69" s="261"/>
      <c r="QM69" s="261"/>
      <c r="QN69" s="261"/>
      <c r="QO69" s="261"/>
      <c r="QP69" s="261"/>
      <c r="QQ69" s="261"/>
      <c r="QR69" s="261"/>
      <c r="QS69" s="261"/>
      <c r="QT69" s="261"/>
      <c r="QU69" s="261"/>
      <c r="QV69" s="261"/>
      <c r="QW69" s="261"/>
      <c r="QX69" s="261"/>
      <c r="QY69" s="261"/>
      <c r="QZ69" s="261"/>
      <c r="RA69" s="261"/>
      <c r="RB69" s="261"/>
      <c r="RC69" s="261"/>
      <c r="RD69" s="261"/>
      <c r="RE69" s="261"/>
      <c r="RF69" s="261"/>
      <c r="RG69" s="261"/>
      <c r="RH69" s="261"/>
      <c r="RI69" s="261"/>
      <c r="RJ69" s="261"/>
      <c r="RK69" s="261"/>
      <c r="RL69" s="261"/>
      <c r="RM69" s="261"/>
      <c r="RN69" s="261"/>
      <c r="RO69" s="261"/>
      <c r="RP69" s="261"/>
      <c r="RQ69" s="261"/>
      <c r="RR69" s="261"/>
      <c r="RS69" s="261"/>
      <c r="RT69" s="261"/>
      <c r="RU69" s="261"/>
      <c r="RV69" s="261"/>
      <c r="RW69" s="261"/>
      <c r="RX69" s="261"/>
      <c r="RY69" s="261"/>
      <c r="RZ69" s="261"/>
      <c r="SA69" s="261"/>
      <c r="SB69" s="261"/>
      <c r="SC69" s="261"/>
      <c r="SD69" s="261"/>
      <c r="SE69" s="261"/>
      <c r="SF69" s="261"/>
      <c r="SG69" s="261"/>
      <c r="SH69" s="261"/>
      <c r="SI69" s="261"/>
      <c r="SJ69" s="261"/>
      <c r="SK69" s="261"/>
      <c r="SL69" s="261"/>
      <c r="SM69" s="261"/>
      <c r="SN69" s="261"/>
      <c r="SO69" s="261"/>
      <c r="SP69" s="261"/>
      <c r="SQ69" s="261"/>
      <c r="SR69" s="261"/>
      <c r="SS69" s="261"/>
      <c r="ST69" s="261"/>
      <c r="SU69" s="261"/>
      <c r="SV69" s="261"/>
      <c r="SW69" s="261"/>
      <c r="SX69" s="261"/>
      <c r="SY69" s="261"/>
      <c r="SZ69" s="261"/>
      <c r="TA69" s="261"/>
      <c r="TB69" s="261"/>
      <c r="TC69" s="261"/>
      <c r="TD69" s="261"/>
      <c r="TE69" s="261"/>
      <c r="TF69" s="261"/>
      <c r="TG69" s="261"/>
      <c r="TH69" s="261"/>
      <c r="TI69" s="261"/>
      <c r="TJ69" s="261"/>
      <c r="TK69" s="261"/>
      <c r="TL69" s="261"/>
      <c r="TM69" s="261"/>
      <c r="TN69" s="261"/>
      <c r="TO69" s="261"/>
      <c r="TP69" s="261"/>
      <c r="TQ69" s="261"/>
      <c r="TR69" s="261"/>
      <c r="TS69" s="261"/>
      <c r="TT69" s="261"/>
      <c r="TU69" s="261"/>
      <c r="TV69" s="261"/>
      <c r="TW69" s="261"/>
      <c r="TX69" s="261"/>
      <c r="TY69" s="261"/>
      <c r="TZ69" s="261"/>
      <c r="UA69" s="261"/>
      <c r="UB69" s="261"/>
      <c r="UC69" s="261"/>
      <c r="UD69" s="261"/>
      <c r="UE69" s="261"/>
      <c r="UF69" s="261"/>
      <c r="UG69" s="261"/>
      <c r="UH69" s="261"/>
      <c r="UI69" s="261"/>
      <c r="UJ69" s="261"/>
      <c r="UK69" s="261"/>
      <c r="UL69" s="261"/>
      <c r="UM69" s="261"/>
      <c r="UN69" s="261"/>
      <c r="UO69" s="261"/>
      <c r="UP69" s="261"/>
      <c r="UQ69" s="261"/>
      <c r="UR69" s="261"/>
      <c r="US69" s="261"/>
      <c r="UT69" s="261"/>
      <c r="UU69" s="261"/>
      <c r="UV69" s="261"/>
      <c r="UW69" s="261"/>
      <c r="UX69" s="261"/>
      <c r="UY69" s="261"/>
      <c r="UZ69" s="261"/>
      <c r="VA69" s="261"/>
      <c r="VB69" s="261"/>
      <c r="VC69" s="261"/>
      <c r="VD69" s="261"/>
      <c r="VE69" s="261"/>
      <c r="VF69" s="261"/>
      <c r="VG69" s="261"/>
      <c r="VH69" s="261"/>
      <c r="VI69" s="261"/>
      <c r="VJ69" s="261"/>
      <c r="VK69" s="261"/>
      <c r="VL69" s="261"/>
      <c r="VM69" s="261"/>
      <c r="VN69" s="261"/>
      <c r="VO69" s="261"/>
      <c r="VP69" s="261"/>
      <c r="VQ69" s="261"/>
      <c r="VR69" s="261"/>
      <c r="VS69" s="261"/>
      <c r="VT69" s="261"/>
      <c r="VU69" s="261"/>
      <c r="VV69" s="261"/>
      <c r="VW69" s="261"/>
      <c r="VX69" s="261"/>
      <c r="VY69" s="261"/>
      <c r="VZ69" s="261"/>
      <c r="WA69" s="261"/>
      <c r="WB69" s="261"/>
      <c r="WC69" s="261"/>
      <c r="WD69" s="261"/>
      <c r="WE69" s="261"/>
      <c r="WF69" s="261"/>
      <c r="WG69" s="261"/>
      <c r="WH69" s="261"/>
      <c r="WI69" s="261"/>
      <c r="WJ69" s="261"/>
      <c r="WK69" s="261"/>
      <c r="WL69" s="261"/>
      <c r="WM69" s="261"/>
      <c r="WN69" s="261"/>
      <c r="WO69" s="261"/>
      <c r="WP69" s="261"/>
      <c r="WQ69" s="261"/>
      <c r="WR69" s="261"/>
      <c r="WS69" s="261"/>
      <c r="WT69" s="261"/>
      <c r="WU69" s="261"/>
      <c r="WV69" s="261"/>
      <c r="WW69" s="261"/>
      <c r="WX69" s="261"/>
      <c r="WY69" s="261"/>
      <c r="WZ69" s="261"/>
      <c r="XA69" s="261"/>
      <c r="XB69" s="261"/>
      <c r="XC69" s="261"/>
      <c r="XD69" s="261"/>
      <c r="XE69" s="261"/>
      <c r="XF69" s="261"/>
      <c r="XG69" s="261"/>
      <c r="XH69" s="261"/>
      <c r="XI69" s="261"/>
      <c r="XJ69" s="261"/>
      <c r="XK69" s="261"/>
      <c r="XL69" s="261"/>
      <c r="XM69" s="261"/>
      <c r="XN69" s="261"/>
      <c r="XO69" s="261"/>
      <c r="XP69" s="261"/>
      <c r="XQ69" s="261"/>
      <c r="XR69" s="261"/>
      <c r="XS69" s="261"/>
      <c r="XT69" s="261"/>
      <c r="XU69" s="261"/>
      <c r="XV69" s="261"/>
      <c r="XW69" s="261"/>
      <c r="XX69" s="261"/>
      <c r="XY69" s="261"/>
      <c r="XZ69" s="261"/>
      <c r="YA69" s="261"/>
      <c r="YB69" s="261"/>
      <c r="YC69" s="261"/>
      <c r="YD69" s="261"/>
      <c r="YE69" s="261"/>
      <c r="YF69" s="261"/>
      <c r="YG69" s="261"/>
      <c r="YH69" s="261"/>
      <c r="YI69" s="261"/>
      <c r="YJ69" s="261"/>
      <c r="YK69" s="261"/>
      <c r="YL69" s="261"/>
      <c r="YM69" s="261"/>
      <c r="YN69" s="261"/>
      <c r="YO69" s="261"/>
      <c r="YP69" s="261"/>
      <c r="YQ69" s="261"/>
      <c r="YR69" s="261"/>
      <c r="YS69" s="261"/>
      <c r="YT69" s="261"/>
      <c r="YU69" s="261"/>
      <c r="YV69" s="261"/>
      <c r="YW69" s="261"/>
      <c r="YX69" s="261"/>
      <c r="YY69" s="261"/>
      <c r="YZ69" s="261"/>
      <c r="ZA69" s="261"/>
      <c r="ZB69" s="261"/>
      <c r="ZC69" s="261"/>
      <c r="ZD69" s="261"/>
      <c r="ZE69" s="261"/>
      <c r="ZF69" s="261"/>
      <c r="ZG69" s="261"/>
      <c r="ZH69" s="261"/>
      <c r="ZI69" s="261"/>
      <c r="ZJ69" s="261"/>
      <c r="ZK69" s="261"/>
      <c r="ZL69" s="261"/>
      <c r="ZM69" s="261"/>
      <c r="ZN69" s="261"/>
      <c r="ZO69" s="261"/>
      <c r="ZP69" s="261"/>
      <c r="ZQ69" s="261"/>
      <c r="ZR69" s="261"/>
      <c r="ZS69" s="261"/>
      <c r="ZT69" s="261"/>
      <c r="ZU69" s="261"/>
      <c r="ZV69" s="261"/>
      <c r="ZW69" s="261"/>
      <c r="ZX69" s="261"/>
      <c r="ZY69" s="261"/>
      <c r="ZZ69" s="261"/>
      <c r="AAA69" s="261"/>
      <c r="AAB69" s="261"/>
      <c r="AAC69" s="261"/>
      <c r="AAD69" s="261"/>
      <c r="AAE69" s="261"/>
      <c r="AAF69" s="261"/>
      <c r="AAG69" s="261"/>
      <c r="AAH69" s="261"/>
      <c r="AAI69" s="261"/>
      <c r="AAJ69" s="261"/>
      <c r="AAK69" s="261"/>
      <c r="AAL69" s="261"/>
      <c r="AAM69" s="261"/>
      <c r="AAN69" s="261"/>
      <c r="AAO69" s="261"/>
      <c r="AAP69" s="261"/>
      <c r="AAQ69" s="261"/>
      <c r="AAR69" s="261"/>
      <c r="AAS69" s="261"/>
      <c r="AAT69" s="261"/>
      <c r="AAU69" s="261"/>
      <c r="AAV69" s="261"/>
      <c r="AAW69" s="261"/>
      <c r="AAX69" s="261"/>
      <c r="AAY69" s="261"/>
      <c r="AAZ69" s="261"/>
      <c r="ABA69" s="261"/>
      <c r="ABB69" s="261"/>
      <c r="ABC69" s="261"/>
      <c r="ABD69" s="261"/>
      <c r="ABE69" s="261"/>
      <c r="ABF69" s="261"/>
      <c r="ABG69" s="261"/>
      <c r="ABH69" s="261"/>
      <c r="ABI69" s="261"/>
      <c r="ABJ69" s="261"/>
      <c r="ABK69" s="261"/>
      <c r="ABL69" s="261"/>
      <c r="ABM69" s="261"/>
      <c r="ABN69" s="261"/>
      <c r="ABO69" s="261"/>
      <c r="ABP69" s="261"/>
      <c r="ABQ69" s="261"/>
      <c r="ABR69" s="261"/>
      <c r="ABS69" s="261"/>
      <c r="ABT69" s="261"/>
      <c r="ABU69" s="261"/>
      <c r="ABV69" s="261"/>
      <c r="ABW69" s="261"/>
      <c r="ABX69" s="261"/>
      <c r="ABY69" s="261"/>
      <c r="ABZ69" s="261"/>
      <c r="ACA69" s="261"/>
      <c r="ACB69" s="261"/>
      <c r="ACC69" s="261"/>
      <c r="ACD69" s="261"/>
      <c r="ACE69" s="261"/>
      <c r="ACF69" s="261"/>
      <c r="ACG69" s="261"/>
      <c r="ACH69" s="261"/>
      <c r="ACI69" s="261"/>
      <c r="ACJ69" s="261"/>
      <c r="ACK69" s="261"/>
      <c r="ACL69" s="261"/>
      <c r="ACM69" s="261"/>
      <c r="ACN69" s="261"/>
      <c r="ACO69" s="261"/>
      <c r="ACP69" s="261"/>
      <c r="ACQ69" s="261"/>
      <c r="ACR69" s="261"/>
      <c r="ACS69" s="261"/>
      <c r="ACT69" s="261"/>
      <c r="ACU69" s="261"/>
      <c r="ACV69" s="261"/>
      <c r="ACW69" s="261"/>
      <c r="ACX69" s="261"/>
      <c r="ACY69" s="261"/>
      <c r="ACZ69" s="261"/>
      <c r="ADA69" s="261"/>
      <c r="ADB69" s="261"/>
      <c r="ADC69" s="261"/>
      <c r="ADD69" s="261"/>
      <c r="ADE69" s="261"/>
      <c r="ADF69" s="261"/>
      <c r="ADG69" s="261"/>
      <c r="ADH69" s="261"/>
      <c r="ADI69" s="261"/>
      <c r="ADJ69" s="261"/>
      <c r="ADK69" s="261"/>
      <c r="ADL69" s="261"/>
      <c r="ADM69" s="261"/>
      <c r="ADN69" s="261"/>
      <c r="ADO69" s="261"/>
      <c r="ADP69" s="261"/>
      <c r="ADQ69" s="261"/>
      <c r="ADR69" s="261"/>
      <c r="ADS69" s="261"/>
      <c r="ADT69" s="261"/>
      <c r="ADU69" s="261"/>
      <c r="ADV69" s="261"/>
      <c r="ADW69" s="261"/>
      <c r="ADX69" s="261"/>
      <c r="ADY69" s="261"/>
      <c r="ADZ69" s="261"/>
      <c r="AEA69" s="261"/>
      <c r="AEB69" s="261"/>
      <c r="AEC69" s="261"/>
      <c r="AED69" s="261"/>
      <c r="AEE69" s="261"/>
      <c r="AEF69" s="261"/>
      <c r="AEG69" s="261"/>
      <c r="AEH69" s="261"/>
      <c r="AEI69" s="261"/>
      <c r="AEJ69" s="261"/>
      <c r="AEK69" s="261"/>
      <c r="AEL69" s="261"/>
      <c r="AEM69" s="261"/>
      <c r="AEN69" s="261"/>
      <c r="AEO69" s="261"/>
      <c r="AEP69" s="261"/>
      <c r="AEQ69" s="261"/>
      <c r="AER69" s="261"/>
      <c r="AES69" s="261"/>
      <c r="AET69" s="261"/>
      <c r="AEU69" s="261"/>
      <c r="AEV69" s="261"/>
      <c r="AEW69" s="261"/>
      <c r="AEX69" s="261"/>
      <c r="AEY69" s="261"/>
      <c r="AEZ69" s="261"/>
      <c r="AFA69" s="261"/>
      <c r="AFB69" s="261"/>
      <c r="AFC69" s="261"/>
      <c r="AFD69" s="261"/>
      <c r="AFE69" s="261"/>
      <c r="AFF69" s="261"/>
      <c r="AFG69" s="261"/>
      <c r="AFH69" s="261"/>
      <c r="AFI69" s="261"/>
      <c r="AFJ69" s="261"/>
      <c r="AFK69" s="261"/>
      <c r="AFL69" s="261"/>
      <c r="AFM69" s="261"/>
      <c r="AFN69" s="261"/>
      <c r="AFO69" s="261"/>
      <c r="AFP69" s="261"/>
      <c r="AFQ69" s="261"/>
      <c r="AFR69" s="261"/>
      <c r="AFS69" s="261"/>
      <c r="AFT69" s="261"/>
      <c r="AFU69" s="261"/>
      <c r="AFV69" s="261"/>
      <c r="AFW69" s="261"/>
      <c r="AFX69" s="261"/>
      <c r="AFY69" s="261"/>
      <c r="AFZ69" s="261"/>
      <c r="AGA69" s="261"/>
      <c r="AGB69" s="261"/>
      <c r="AGC69" s="261"/>
      <c r="AGD69" s="261"/>
      <c r="AGE69" s="261"/>
      <c r="AGF69" s="261"/>
      <c r="AGG69" s="261"/>
      <c r="AGH69" s="261"/>
      <c r="AGI69" s="261"/>
      <c r="AGJ69" s="261"/>
      <c r="AGK69" s="261"/>
      <c r="AGL69" s="261"/>
      <c r="AGM69" s="261"/>
      <c r="AGN69" s="261"/>
      <c r="AGO69" s="261"/>
      <c r="AGP69" s="261"/>
      <c r="AGQ69" s="261"/>
      <c r="AGR69" s="261"/>
      <c r="AGS69" s="261"/>
      <c r="AGT69" s="261"/>
      <c r="AGU69" s="261"/>
      <c r="AGV69" s="261"/>
      <c r="AGW69" s="261"/>
      <c r="AGX69" s="261"/>
      <c r="AGY69" s="261"/>
      <c r="AGZ69" s="261"/>
      <c r="AHA69" s="261"/>
      <c r="AHB69" s="261"/>
      <c r="AHC69" s="261"/>
      <c r="AHD69" s="261"/>
      <c r="AHE69" s="261"/>
      <c r="AHF69" s="261"/>
      <c r="AHG69" s="261"/>
      <c r="AHH69" s="261"/>
      <c r="AHI69" s="261"/>
      <c r="AHJ69" s="261"/>
      <c r="AHK69" s="261"/>
      <c r="AHL69" s="261"/>
      <c r="AHM69" s="261"/>
      <c r="AHN69" s="261"/>
      <c r="AHO69" s="261"/>
      <c r="AHP69" s="261"/>
      <c r="AHQ69" s="261"/>
      <c r="AHR69" s="261"/>
      <c r="AHS69" s="261"/>
      <c r="AHT69" s="261"/>
      <c r="AHU69" s="261"/>
      <c r="AHV69" s="261"/>
      <c r="AHW69" s="261"/>
      <c r="AHX69" s="261"/>
      <c r="AHY69" s="261"/>
      <c r="AHZ69" s="261"/>
      <c r="AIA69" s="261"/>
      <c r="AIB69" s="261"/>
      <c r="AIC69" s="261"/>
      <c r="AID69" s="261"/>
      <c r="AIE69" s="261"/>
      <c r="AIF69" s="261"/>
      <c r="AIG69" s="261"/>
      <c r="AIH69" s="261"/>
      <c r="AII69" s="261"/>
      <c r="AIJ69" s="261"/>
      <c r="AIK69" s="261"/>
      <c r="AIL69" s="261"/>
      <c r="AIM69" s="261"/>
      <c r="AIN69" s="261"/>
      <c r="AIO69" s="261"/>
      <c r="AIP69" s="261"/>
      <c r="AIQ69" s="261"/>
      <c r="AIR69" s="261"/>
      <c r="AIS69" s="261"/>
      <c r="AIT69" s="261"/>
      <c r="AIU69" s="261"/>
      <c r="AIV69" s="261"/>
      <c r="AIW69" s="261"/>
      <c r="AIX69" s="261"/>
      <c r="AIY69" s="261"/>
      <c r="AIZ69" s="261"/>
      <c r="AJA69" s="261"/>
      <c r="AJB69" s="261"/>
      <c r="AJC69" s="261"/>
      <c r="AJD69" s="261"/>
      <c r="AJE69" s="261"/>
      <c r="AJF69" s="261"/>
      <c r="AJG69" s="261"/>
      <c r="AJH69" s="261"/>
      <c r="AJI69" s="261"/>
      <c r="AJJ69" s="261"/>
      <c r="AJK69" s="261"/>
      <c r="AJL69" s="261"/>
      <c r="AJM69" s="261"/>
      <c r="AJN69" s="261"/>
      <c r="AJO69" s="261"/>
      <c r="AJP69" s="261"/>
      <c r="AJQ69" s="261"/>
      <c r="AJR69" s="261"/>
      <c r="AJS69" s="261"/>
      <c r="AJT69" s="261"/>
      <c r="AJU69" s="261"/>
      <c r="AJV69" s="261"/>
      <c r="AJW69" s="261"/>
      <c r="AJX69" s="261"/>
      <c r="AJY69" s="261"/>
      <c r="AJZ69" s="261"/>
      <c r="AKA69" s="261"/>
      <c r="AKB69" s="261"/>
      <c r="AKC69" s="261"/>
      <c r="AKD69" s="261"/>
      <c r="AKE69" s="261"/>
      <c r="AKF69" s="261"/>
      <c r="AKG69" s="261"/>
      <c r="AKH69" s="261"/>
      <c r="AKI69" s="261"/>
      <c r="AKJ69" s="261"/>
      <c r="AKK69" s="261"/>
      <c r="AKL69" s="261"/>
      <c r="AKM69" s="261"/>
      <c r="AKN69" s="261"/>
      <c r="AKO69" s="261"/>
      <c r="AKP69" s="261"/>
      <c r="AKQ69" s="261"/>
      <c r="AKR69" s="261"/>
      <c r="AKS69" s="261"/>
      <c r="AKT69" s="261"/>
      <c r="AKU69" s="261"/>
      <c r="AKV69" s="261"/>
      <c r="AKW69" s="261"/>
      <c r="AKX69" s="261"/>
      <c r="AKY69" s="261"/>
      <c r="AKZ69" s="261"/>
      <c r="ALA69" s="261"/>
      <c r="ALB69" s="261"/>
      <c r="ALC69" s="261"/>
      <c r="ALD69" s="261"/>
      <c r="ALE69" s="261"/>
      <c r="ALF69" s="261"/>
      <c r="ALG69" s="261"/>
      <c r="ALH69" s="261"/>
      <c r="ALI69" s="261"/>
      <c r="ALJ69" s="261"/>
      <c r="ALK69" s="261"/>
      <c r="ALL69" s="261"/>
      <c r="ALM69" s="261"/>
      <c r="ALN69" s="261"/>
      <c r="ALO69" s="261"/>
      <c r="ALP69" s="261"/>
      <c r="ALQ69" s="261"/>
      <c r="ALR69" s="261"/>
      <c r="ALS69" s="261"/>
      <c r="ALT69" s="261"/>
      <c r="ALU69" s="261"/>
      <c r="ALV69" s="261"/>
      <c r="ALW69" s="261"/>
      <c r="ALX69" s="261"/>
      <c r="ALY69" s="261"/>
      <c r="ALZ69" s="261"/>
      <c r="AMA69" s="261"/>
      <c r="AMB69" s="261"/>
      <c r="AMC69" s="261"/>
      <c r="AMD69" s="261"/>
      <c r="AME69" s="261"/>
      <c r="AMF69" s="261"/>
      <c r="AMG69" s="261"/>
      <c r="AMH69" s="261"/>
      <c r="AMI69" s="261"/>
      <c r="AMJ69" s="261"/>
    </row>
    <row r="70" spans="12:1024" ht="15.95" customHeight="1">
      <c r="L70" s="261"/>
      <c r="M70" s="296"/>
      <c r="N70" s="261"/>
      <c r="O70" s="261"/>
      <c r="P70" s="261"/>
      <c r="Q70" s="261"/>
      <c r="R70" s="261"/>
      <c r="S70" s="261"/>
      <c r="T70" s="261"/>
      <c r="U70" s="261"/>
      <c r="V70" s="261"/>
      <c r="W70" s="261"/>
      <c r="X70" s="261"/>
      <c r="Y70" s="261"/>
      <c r="Z70" s="261"/>
      <c r="AA70" s="261"/>
      <c r="AB70" s="261"/>
      <c r="AC70" s="261"/>
      <c r="AD70" s="261"/>
      <c r="AE70" s="261"/>
      <c r="AF70" s="261"/>
      <c r="AG70" s="261"/>
      <c r="AH70" s="261"/>
      <c r="AI70" s="261"/>
      <c r="AJ70" s="261"/>
      <c r="AK70" s="261"/>
      <c r="AL70" s="261"/>
      <c r="AM70" s="261"/>
      <c r="AN70" s="261"/>
      <c r="AO70" s="261"/>
      <c r="AP70" s="261"/>
      <c r="AQ70" s="261"/>
      <c r="AR70" s="261"/>
      <c r="AS70" s="261"/>
      <c r="AT70" s="261"/>
      <c r="AU70" s="261"/>
      <c r="AV70" s="261"/>
      <c r="AW70" s="261"/>
      <c r="AX70" s="261"/>
      <c r="AY70" s="261"/>
      <c r="AZ70" s="261"/>
      <c r="BA70" s="261"/>
      <c r="BB70" s="261"/>
      <c r="BC70" s="261"/>
      <c r="BD70" s="261"/>
      <c r="BE70" s="261"/>
      <c r="BF70" s="261"/>
      <c r="BG70" s="261"/>
      <c r="BH70" s="261"/>
      <c r="BI70" s="261"/>
      <c r="BJ70" s="261"/>
      <c r="BK70" s="261"/>
      <c r="BL70" s="261"/>
      <c r="BM70" s="261"/>
      <c r="BN70" s="261"/>
      <c r="BO70" s="261"/>
      <c r="BP70" s="261"/>
      <c r="BQ70" s="261"/>
      <c r="BR70" s="261"/>
      <c r="BS70" s="261"/>
      <c r="BT70" s="261"/>
      <c r="BU70" s="261"/>
      <c r="BV70" s="261"/>
      <c r="BW70" s="261"/>
      <c r="BX70" s="261"/>
      <c r="BY70" s="261"/>
      <c r="BZ70" s="261"/>
      <c r="CA70" s="261"/>
      <c r="CB70" s="261"/>
      <c r="CC70" s="261"/>
      <c r="CD70" s="261"/>
      <c r="CE70" s="261"/>
      <c r="CF70" s="261"/>
      <c r="CG70" s="261"/>
      <c r="CH70" s="261"/>
      <c r="CI70" s="261"/>
      <c r="CJ70" s="261"/>
      <c r="CK70" s="261"/>
      <c r="CL70" s="261"/>
      <c r="CM70" s="261"/>
      <c r="CN70" s="261"/>
      <c r="CO70" s="261"/>
      <c r="CP70" s="261"/>
      <c r="CQ70" s="261"/>
      <c r="CR70" s="261"/>
      <c r="CS70" s="261"/>
      <c r="CT70" s="261"/>
      <c r="CU70" s="261"/>
      <c r="CV70" s="261"/>
      <c r="CW70" s="261"/>
      <c r="CX70" s="261"/>
      <c r="CY70" s="261"/>
      <c r="CZ70" s="261"/>
      <c r="DA70" s="261"/>
      <c r="DB70" s="261"/>
      <c r="DC70" s="261"/>
      <c r="DD70" s="261"/>
      <c r="DE70" s="261"/>
      <c r="DF70" s="261"/>
      <c r="DG70" s="261"/>
      <c r="DH70" s="261"/>
      <c r="DI70" s="261"/>
      <c r="DJ70" s="261"/>
      <c r="DK70" s="261"/>
      <c r="DL70" s="261"/>
      <c r="DM70" s="261"/>
      <c r="DN70" s="261"/>
      <c r="DO70" s="261"/>
      <c r="DP70" s="261"/>
      <c r="DQ70" s="261"/>
      <c r="DR70" s="261"/>
      <c r="DS70" s="261"/>
      <c r="DT70" s="261"/>
      <c r="DU70" s="261"/>
      <c r="DV70" s="261"/>
      <c r="DW70" s="261"/>
      <c r="DX70" s="261"/>
      <c r="DY70" s="261"/>
      <c r="DZ70" s="261"/>
      <c r="EA70" s="261"/>
      <c r="EB70" s="261"/>
      <c r="EC70" s="261"/>
      <c r="ED70" s="261"/>
      <c r="EE70" s="261"/>
      <c r="EF70" s="261"/>
      <c r="EG70" s="261"/>
      <c r="EH70" s="261"/>
      <c r="EI70" s="261"/>
      <c r="EJ70" s="261"/>
      <c r="EK70" s="261"/>
      <c r="EL70" s="261"/>
      <c r="EM70" s="261"/>
      <c r="EN70" s="261"/>
      <c r="EO70" s="261"/>
      <c r="EP70" s="261"/>
      <c r="EQ70" s="261"/>
      <c r="ER70" s="261"/>
      <c r="ES70" s="261"/>
      <c r="ET70" s="261"/>
      <c r="EU70" s="261"/>
      <c r="EV70" s="261"/>
      <c r="EW70" s="261"/>
      <c r="EX70" s="261"/>
      <c r="EY70" s="261"/>
      <c r="EZ70" s="261"/>
      <c r="FA70" s="261"/>
      <c r="FB70" s="261"/>
      <c r="FC70" s="261"/>
      <c r="FD70" s="261"/>
      <c r="FE70" s="261"/>
      <c r="FF70" s="261"/>
      <c r="FG70" s="261"/>
      <c r="FH70" s="261"/>
      <c r="FI70" s="261"/>
      <c r="FJ70" s="261"/>
      <c r="FK70" s="261"/>
      <c r="FL70" s="261"/>
      <c r="FM70" s="261"/>
      <c r="FN70" s="261"/>
      <c r="FO70" s="261"/>
      <c r="FP70" s="261"/>
      <c r="FQ70" s="261"/>
      <c r="FR70" s="261"/>
      <c r="FS70" s="261"/>
      <c r="FT70" s="261"/>
      <c r="FU70" s="261"/>
      <c r="FV70" s="261"/>
      <c r="FW70" s="261"/>
      <c r="FX70" s="261"/>
      <c r="FY70" s="261"/>
      <c r="FZ70" s="261"/>
      <c r="GA70" s="261"/>
      <c r="GB70" s="261"/>
      <c r="GC70" s="261"/>
      <c r="GD70" s="261"/>
      <c r="GE70" s="261"/>
      <c r="GF70" s="261"/>
      <c r="GG70" s="261"/>
      <c r="GH70" s="261"/>
      <c r="GI70" s="261"/>
      <c r="GJ70" s="261"/>
      <c r="GK70" s="261"/>
      <c r="GL70" s="261"/>
      <c r="GM70" s="261"/>
      <c r="GN70" s="261"/>
      <c r="GO70" s="261"/>
      <c r="GP70" s="261"/>
      <c r="GQ70" s="261"/>
      <c r="GR70" s="261"/>
      <c r="GS70" s="261"/>
      <c r="GT70" s="261"/>
      <c r="GU70" s="261"/>
      <c r="GV70" s="261"/>
      <c r="GW70" s="261"/>
      <c r="GX70" s="261"/>
      <c r="GY70" s="261"/>
      <c r="GZ70" s="261"/>
      <c r="HA70" s="261"/>
      <c r="HB70" s="261"/>
      <c r="HC70" s="261"/>
      <c r="HD70" s="261"/>
      <c r="HE70" s="261"/>
      <c r="HF70" s="261"/>
      <c r="HG70" s="261"/>
      <c r="HH70" s="261"/>
      <c r="HI70" s="261"/>
      <c r="HJ70" s="261"/>
      <c r="HK70" s="261"/>
      <c r="HL70" s="261"/>
      <c r="HM70" s="261"/>
      <c r="HN70" s="261"/>
      <c r="HO70" s="261"/>
      <c r="HP70" s="261"/>
      <c r="HQ70" s="261"/>
      <c r="HR70" s="261"/>
      <c r="HS70" s="261"/>
      <c r="HT70" s="261"/>
      <c r="HU70" s="261"/>
      <c r="HV70" s="261"/>
      <c r="HW70" s="261"/>
      <c r="HX70" s="261"/>
      <c r="HY70" s="261"/>
      <c r="HZ70" s="261"/>
      <c r="IA70" s="261"/>
      <c r="IB70" s="261"/>
      <c r="IC70" s="261"/>
      <c r="ID70" s="261"/>
      <c r="IE70" s="261"/>
      <c r="IF70" s="261"/>
      <c r="IG70" s="261"/>
      <c r="IH70" s="261"/>
      <c r="II70" s="261"/>
      <c r="IJ70" s="261"/>
      <c r="IK70" s="261"/>
      <c r="IL70" s="261"/>
      <c r="IM70" s="261"/>
      <c r="IN70" s="261"/>
      <c r="IO70" s="261"/>
      <c r="IP70" s="261"/>
      <c r="IQ70" s="261"/>
      <c r="IR70" s="261"/>
      <c r="IS70" s="261"/>
      <c r="IT70" s="261"/>
      <c r="IU70" s="261"/>
      <c r="IV70" s="261"/>
      <c r="IW70" s="261"/>
      <c r="IX70" s="261"/>
      <c r="IY70" s="261"/>
      <c r="IZ70" s="261"/>
      <c r="JA70" s="261"/>
      <c r="JB70" s="261"/>
      <c r="JC70" s="261"/>
      <c r="JD70" s="261"/>
      <c r="JE70" s="261"/>
      <c r="JF70" s="261"/>
      <c r="JG70" s="261"/>
      <c r="JH70" s="261"/>
      <c r="JI70" s="261"/>
      <c r="JJ70" s="261"/>
      <c r="JK70" s="261"/>
      <c r="JL70" s="261"/>
      <c r="JM70" s="261"/>
      <c r="JN70" s="261"/>
      <c r="JO70" s="261"/>
      <c r="JP70" s="261"/>
      <c r="JQ70" s="261"/>
      <c r="JR70" s="261"/>
      <c r="JS70" s="261"/>
      <c r="JT70" s="261"/>
      <c r="JU70" s="261"/>
      <c r="JV70" s="261"/>
      <c r="JW70" s="261"/>
      <c r="JX70" s="261"/>
      <c r="JY70" s="261"/>
      <c r="JZ70" s="261"/>
      <c r="KA70" s="261"/>
      <c r="KB70" s="261"/>
      <c r="KC70" s="261"/>
      <c r="KD70" s="261"/>
      <c r="KE70" s="261"/>
      <c r="KF70" s="261"/>
      <c r="KG70" s="261"/>
      <c r="KH70" s="261"/>
      <c r="KI70" s="261"/>
      <c r="KJ70" s="261"/>
      <c r="KK70" s="261"/>
      <c r="KL70" s="261"/>
      <c r="KM70" s="261"/>
      <c r="KN70" s="261"/>
      <c r="KO70" s="261"/>
      <c r="KP70" s="261"/>
      <c r="KQ70" s="261"/>
      <c r="KR70" s="261"/>
      <c r="KS70" s="261"/>
      <c r="KT70" s="261"/>
      <c r="KU70" s="261"/>
      <c r="KV70" s="261"/>
      <c r="KW70" s="261"/>
      <c r="KX70" s="261"/>
      <c r="KY70" s="261"/>
      <c r="KZ70" s="261"/>
      <c r="LA70" s="261"/>
      <c r="LB70" s="261"/>
      <c r="LC70" s="261"/>
      <c r="LD70" s="261"/>
      <c r="LE70" s="261"/>
      <c r="LF70" s="261"/>
      <c r="LG70" s="261"/>
      <c r="LH70" s="261"/>
      <c r="LI70" s="261"/>
      <c r="LJ70" s="261"/>
      <c r="LK70" s="261"/>
      <c r="LL70" s="261"/>
      <c r="LM70" s="261"/>
      <c r="LN70" s="261"/>
      <c r="LO70" s="261"/>
      <c r="LP70" s="261"/>
      <c r="LQ70" s="261"/>
      <c r="LR70" s="261"/>
      <c r="LS70" s="261"/>
      <c r="LT70" s="261"/>
      <c r="LU70" s="261"/>
      <c r="LV70" s="261"/>
      <c r="LW70" s="261"/>
      <c r="LX70" s="261"/>
      <c r="LY70" s="261"/>
      <c r="LZ70" s="261"/>
      <c r="MA70" s="261"/>
      <c r="MB70" s="261"/>
      <c r="MC70" s="261"/>
      <c r="MD70" s="261"/>
      <c r="ME70" s="261"/>
      <c r="MF70" s="261"/>
      <c r="MG70" s="261"/>
      <c r="MH70" s="261"/>
      <c r="MI70" s="261"/>
      <c r="MJ70" s="261"/>
      <c r="MK70" s="261"/>
      <c r="ML70" s="261"/>
      <c r="MM70" s="261"/>
      <c r="MN70" s="261"/>
      <c r="MO70" s="261"/>
      <c r="MP70" s="261"/>
      <c r="MQ70" s="261"/>
      <c r="MR70" s="261"/>
      <c r="MS70" s="261"/>
      <c r="MT70" s="261"/>
      <c r="MU70" s="261"/>
      <c r="MV70" s="261"/>
      <c r="MW70" s="261"/>
      <c r="MX70" s="261"/>
      <c r="MY70" s="261"/>
      <c r="MZ70" s="261"/>
      <c r="NA70" s="261"/>
      <c r="NB70" s="261"/>
      <c r="NC70" s="261"/>
      <c r="ND70" s="261"/>
      <c r="NE70" s="261"/>
      <c r="NF70" s="261"/>
      <c r="NG70" s="261"/>
      <c r="NH70" s="261"/>
      <c r="NI70" s="261"/>
      <c r="NJ70" s="261"/>
      <c r="NK70" s="261"/>
      <c r="NL70" s="261"/>
      <c r="NM70" s="261"/>
      <c r="NN70" s="261"/>
      <c r="NO70" s="261"/>
      <c r="NP70" s="261"/>
      <c r="NQ70" s="261"/>
      <c r="NR70" s="261"/>
      <c r="NS70" s="261"/>
      <c r="NT70" s="261"/>
      <c r="NU70" s="261"/>
      <c r="NV70" s="261"/>
      <c r="NW70" s="261"/>
      <c r="NX70" s="261"/>
      <c r="NY70" s="261"/>
      <c r="NZ70" s="261"/>
      <c r="OA70" s="261"/>
      <c r="OB70" s="261"/>
      <c r="OC70" s="261"/>
      <c r="OD70" s="261"/>
      <c r="OE70" s="261"/>
      <c r="OF70" s="261"/>
      <c r="OG70" s="261"/>
      <c r="OH70" s="261"/>
      <c r="OI70" s="261"/>
      <c r="OJ70" s="261"/>
      <c r="OK70" s="261"/>
      <c r="OL70" s="261"/>
      <c r="OM70" s="261"/>
      <c r="ON70" s="261"/>
      <c r="OO70" s="261"/>
      <c r="OP70" s="261"/>
      <c r="OQ70" s="261"/>
      <c r="OR70" s="261"/>
      <c r="OS70" s="261"/>
      <c r="OT70" s="261"/>
      <c r="OU70" s="261"/>
      <c r="OV70" s="261"/>
      <c r="OW70" s="261"/>
      <c r="OX70" s="261"/>
      <c r="OY70" s="261"/>
      <c r="OZ70" s="261"/>
      <c r="PA70" s="261"/>
      <c r="PB70" s="261"/>
      <c r="PC70" s="261"/>
      <c r="PD70" s="261"/>
      <c r="PE70" s="261"/>
      <c r="PF70" s="261"/>
      <c r="PG70" s="261"/>
      <c r="PH70" s="261"/>
      <c r="PI70" s="261"/>
      <c r="PJ70" s="261"/>
      <c r="PK70" s="261"/>
      <c r="PL70" s="261"/>
      <c r="PM70" s="261"/>
      <c r="PN70" s="261"/>
      <c r="PO70" s="261"/>
      <c r="PP70" s="261"/>
      <c r="PQ70" s="261"/>
      <c r="PR70" s="261"/>
      <c r="PS70" s="261"/>
      <c r="PT70" s="261"/>
      <c r="PU70" s="261"/>
      <c r="PV70" s="261"/>
      <c r="PW70" s="261"/>
      <c r="PX70" s="261"/>
      <c r="PY70" s="261"/>
      <c r="PZ70" s="261"/>
      <c r="QA70" s="261"/>
      <c r="QB70" s="261"/>
      <c r="QC70" s="261"/>
      <c r="QD70" s="261"/>
      <c r="QE70" s="261"/>
      <c r="QF70" s="261"/>
      <c r="QG70" s="261"/>
      <c r="QH70" s="261"/>
      <c r="QI70" s="261"/>
      <c r="QJ70" s="261"/>
      <c r="QK70" s="261"/>
      <c r="QL70" s="261"/>
      <c r="QM70" s="261"/>
      <c r="QN70" s="261"/>
      <c r="QO70" s="261"/>
      <c r="QP70" s="261"/>
      <c r="QQ70" s="261"/>
      <c r="QR70" s="261"/>
      <c r="QS70" s="261"/>
      <c r="QT70" s="261"/>
      <c r="QU70" s="261"/>
      <c r="QV70" s="261"/>
      <c r="QW70" s="261"/>
      <c r="QX70" s="261"/>
      <c r="QY70" s="261"/>
      <c r="QZ70" s="261"/>
      <c r="RA70" s="261"/>
      <c r="RB70" s="261"/>
      <c r="RC70" s="261"/>
      <c r="RD70" s="261"/>
      <c r="RE70" s="261"/>
      <c r="RF70" s="261"/>
      <c r="RG70" s="261"/>
      <c r="RH70" s="261"/>
      <c r="RI70" s="261"/>
      <c r="RJ70" s="261"/>
      <c r="RK70" s="261"/>
      <c r="RL70" s="261"/>
      <c r="RM70" s="261"/>
      <c r="RN70" s="261"/>
      <c r="RO70" s="261"/>
      <c r="RP70" s="261"/>
      <c r="RQ70" s="261"/>
      <c r="RR70" s="261"/>
      <c r="RS70" s="261"/>
      <c r="RT70" s="261"/>
      <c r="RU70" s="261"/>
      <c r="RV70" s="261"/>
      <c r="RW70" s="261"/>
      <c r="RX70" s="261"/>
      <c r="RY70" s="261"/>
      <c r="RZ70" s="261"/>
      <c r="SA70" s="261"/>
      <c r="SB70" s="261"/>
      <c r="SC70" s="261"/>
      <c r="SD70" s="261"/>
      <c r="SE70" s="261"/>
      <c r="SF70" s="261"/>
      <c r="SG70" s="261"/>
      <c r="SH70" s="261"/>
      <c r="SI70" s="261"/>
      <c r="SJ70" s="261"/>
      <c r="SK70" s="261"/>
      <c r="SL70" s="261"/>
      <c r="SM70" s="261"/>
      <c r="SN70" s="261"/>
      <c r="SO70" s="261"/>
      <c r="SP70" s="261"/>
      <c r="SQ70" s="261"/>
      <c r="SR70" s="261"/>
      <c r="SS70" s="261"/>
      <c r="ST70" s="261"/>
      <c r="SU70" s="261"/>
      <c r="SV70" s="261"/>
      <c r="SW70" s="261"/>
      <c r="SX70" s="261"/>
      <c r="SY70" s="261"/>
      <c r="SZ70" s="261"/>
      <c r="TA70" s="261"/>
      <c r="TB70" s="261"/>
      <c r="TC70" s="261"/>
      <c r="TD70" s="261"/>
      <c r="TE70" s="261"/>
      <c r="TF70" s="261"/>
      <c r="TG70" s="261"/>
      <c r="TH70" s="261"/>
      <c r="TI70" s="261"/>
      <c r="TJ70" s="261"/>
      <c r="TK70" s="261"/>
      <c r="TL70" s="261"/>
      <c r="TM70" s="261"/>
      <c r="TN70" s="261"/>
      <c r="TO70" s="261"/>
      <c r="TP70" s="261"/>
      <c r="TQ70" s="261"/>
      <c r="TR70" s="261"/>
      <c r="TS70" s="261"/>
      <c r="TT70" s="261"/>
      <c r="TU70" s="261"/>
      <c r="TV70" s="261"/>
      <c r="TW70" s="261"/>
      <c r="TX70" s="261"/>
      <c r="TY70" s="261"/>
      <c r="TZ70" s="261"/>
      <c r="UA70" s="261"/>
      <c r="UB70" s="261"/>
      <c r="UC70" s="261"/>
      <c r="UD70" s="261"/>
      <c r="UE70" s="261"/>
      <c r="UF70" s="261"/>
      <c r="UG70" s="261"/>
      <c r="UH70" s="261"/>
      <c r="UI70" s="261"/>
      <c r="UJ70" s="261"/>
      <c r="UK70" s="261"/>
      <c r="UL70" s="261"/>
      <c r="UM70" s="261"/>
      <c r="UN70" s="261"/>
      <c r="UO70" s="261"/>
      <c r="UP70" s="261"/>
      <c r="UQ70" s="261"/>
      <c r="UR70" s="261"/>
      <c r="US70" s="261"/>
      <c r="UT70" s="261"/>
      <c r="UU70" s="261"/>
      <c r="UV70" s="261"/>
      <c r="UW70" s="261"/>
      <c r="UX70" s="261"/>
      <c r="UY70" s="261"/>
      <c r="UZ70" s="261"/>
      <c r="VA70" s="261"/>
      <c r="VB70" s="261"/>
      <c r="VC70" s="261"/>
      <c r="VD70" s="261"/>
      <c r="VE70" s="261"/>
      <c r="VF70" s="261"/>
      <c r="VG70" s="261"/>
      <c r="VH70" s="261"/>
      <c r="VI70" s="261"/>
      <c r="VJ70" s="261"/>
      <c r="VK70" s="261"/>
      <c r="VL70" s="261"/>
      <c r="VM70" s="261"/>
      <c r="VN70" s="261"/>
      <c r="VO70" s="261"/>
      <c r="VP70" s="261"/>
      <c r="VQ70" s="261"/>
      <c r="VR70" s="261"/>
      <c r="VS70" s="261"/>
      <c r="VT70" s="261"/>
      <c r="VU70" s="261"/>
      <c r="VV70" s="261"/>
      <c r="VW70" s="261"/>
      <c r="VX70" s="261"/>
      <c r="VY70" s="261"/>
      <c r="VZ70" s="261"/>
      <c r="WA70" s="261"/>
      <c r="WB70" s="261"/>
      <c r="WC70" s="261"/>
      <c r="WD70" s="261"/>
      <c r="WE70" s="261"/>
      <c r="WF70" s="261"/>
      <c r="WG70" s="261"/>
      <c r="WH70" s="261"/>
      <c r="WI70" s="261"/>
      <c r="WJ70" s="261"/>
      <c r="WK70" s="261"/>
      <c r="WL70" s="261"/>
      <c r="WM70" s="261"/>
      <c r="WN70" s="261"/>
      <c r="WO70" s="261"/>
      <c r="WP70" s="261"/>
      <c r="WQ70" s="261"/>
      <c r="WR70" s="261"/>
      <c r="WS70" s="261"/>
      <c r="WT70" s="261"/>
      <c r="WU70" s="261"/>
      <c r="WV70" s="261"/>
      <c r="WW70" s="261"/>
      <c r="WX70" s="261"/>
      <c r="WY70" s="261"/>
      <c r="WZ70" s="261"/>
      <c r="XA70" s="261"/>
      <c r="XB70" s="261"/>
      <c r="XC70" s="261"/>
      <c r="XD70" s="261"/>
      <c r="XE70" s="261"/>
      <c r="XF70" s="261"/>
      <c r="XG70" s="261"/>
      <c r="XH70" s="261"/>
      <c r="XI70" s="261"/>
      <c r="XJ70" s="261"/>
      <c r="XK70" s="261"/>
      <c r="XL70" s="261"/>
      <c r="XM70" s="261"/>
      <c r="XN70" s="261"/>
      <c r="XO70" s="261"/>
      <c r="XP70" s="261"/>
      <c r="XQ70" s="261"/>
      <c r="XR70" s="261"/>
      <c r="XS70" s="261"/>
      <c r="XT70" s="261"/>
      <c r="XU70" s="261"/>
      <c r="XV70" s="261"/>
      <c r="XW70" s="261"/>
      <c r="XX70" s="261"/>
      <c r="XY70" s="261"/>
      <c r="XZ70" s="261"/>
      <c r="YA70" s="261"/>
      <c r="YB70" s="261"/>
      <c r="YC70" s="261"/>
      <c r="YD70" s="261"/>
      <c r="YE70" s="261"/>
      <c r="YF70" s="261"/>
      <c r="YG70" s="261"/>
      <c r="YH70" s="261"/>
      <c r="YI70" s="261"/>
      <c r="YJ70" s="261"/>
      <c r="YK70" s="261"/>
      <c r="YL70" s="261"/>
      <c r="YM70" s="261"/>
      <c r="YN70" s="261"/>
      <c r="YO70" s="261"/>
      <c r="YP70" s="261"/>
      <c r="YQ70" s="261"/>
      <c r="YR70" s="261"/>
      <c r="YS70" s="261"/>
      <c r="YT70" s="261"/>
      <c r="YU70" s="261"/>
      <c r="YV70" s="261"/>
      <c r="YW70" s="261"/>
      <c r="YX70" s="261"/>
      <c r="YY70" s="261"/>
      <c r="YZ70" s="261"/>
      <c r="ZA70" s="261"/>
      <c r="ZB70" s="261"/>
      <c r="ZC70" s="261"/>
      <c r="ZD70" s="261"/>
      <c r="ZE70" s="261"/>
      <c r="ZF70" s="261"/>
      <c r="ZG70" s="261"/>
      <c r="ZH70" s="261"/>
      <c r="ZI70" s="261"/>
      <c r="ZJ70" s="261"/>
      <c r="ZK70" s="261"/>
      <c r="ZL70" s="261"/>
      <c r="ZM70" s="261"/>
      <c r="ZN70" s="261"/>
      <c r="ZO70" s="261"/>
      <c r="ZP70" s="261"/>
      <c r="ZQ70" s="261"/>
      <c r="ZR70" s="261"/>
      <c r="ZS70" s="261"/>
      <c r="ZT70" s="261"/>
      <c r="ZU70" s="261"/>
      <c r="ZV70" s="261"/>
      <c r="ZW70" s="261"/>
      <c r="ZX70" s="261"/>
      <c r="ZY70" s="261"/>
      <c r="ZZ70" s="261"/>
      <c r="AAA70" s="261"/>
      <c r="AAB70" s="261"/>
      <c r="AAC70" s="261"/>
      <c r="AAD70" s="261"/>
      <c r="AAE70" s="261"/>
      <c r="AAF70" s="261"/>
      <c r="AAG70" s="261"/>
      <c r="AAH70" s="261"/>
      <c r="AAI70" s="261"/>
      <c r="AAJ70" s="261"/>
      <c r="AAK70" s="261"/>
      <c r="AAL70" s="261"/>
      <c r="AAM70" s="261"/>
      <c r="AAN70" s="261"/>
      <c r="AAO70" s="261"/>
      <c r="AAP70" s="261"/>
      <c r="AAQ70" s="261"/>
      <c r="AAR70" s="261"/>
      <c r="AAS70" s="261"/>
      <c r="AAT70" s="261"/>
      <c r="AAU70" s="261"/>
      <c r="AAV70" s="261"/>
      <c r="AAW70" s="261"/>
      <c r="AAX70" s="261"/>
      <c r="AAY70" s="261"/>
      <c r="AAZ70" s="261"/>
      <c r="ABA70" s="261"/>
      <c r="ABB70" s="261"/>
      <c r="ABC70" s="261"/>
      <c r="ABD70" s="261"/>
      <c r="ABE70" s="261"/>
      <c r="ABF70" s="261"/>
      <c r="ABG70" s="261"/>
      <c r="ABH70" s="261"/>
      <c r="ABI70" s="261"/>
      <c r="ABJ70" s="261"/>
      <c r="ABK70" s="261"/>
      <c r="ABL70" s="261"/>
      <c r="ABM70" s="261"/>
      <c r="ABN70" s="261"/>
      <c r="ABO70" s="261"/>
      <c r="ABP70" s="261"/>
      <c r="ABQ70" s="261"/>
      <c r="ABR70" s="261"/>
      <c r="ABS70" s="261"/>
      <c r="ABT70" s="261"/>
      <c r="ABU70" s="261"/>
      <c r="ABV70" s="261"/>
      <c r="ABW70" s="261"/>
      <c r="ABX70" s="261"/>
      <c r="ABY70" s="261"/>
      <c r="ABZ70" s="261"/>
      <c r="ACA70" s="261"/>
      <c r="ACB70" s="261"/>
      <c r="ACC70" s="261"/>
      <c r="ACD70" s="261"/>
      <c r="ACE70" s="261"/>
      <c r="ACF70" s="261"/>
      <c r="ACG70" s="261"/>
      <c r="ACH70" s="261"/>
      <c r="ACI70" s="261"/>
      <c r="ACJ70" s="261"/>
      <c r="ACK70" s="261"/>
      <c r="ACL70" s="261"/>
      <c r="ACM70" s="261"/>
      <c r="ACN70" s="261"/>
      <c r="ACO70" s="261"/>
      <c r="ACP70" s="261"/>
      <c r="ACQ70" s="261"/>
      <c r="ACR70" s="261"/>
      <c r="ACS70" s="261"/>
      <c r="ACT70" s="261"/>
      <c r="ACU70" s="261"/>
      <c r="ACV70" s="261"/>
      <c r="ACW70" s="261"/>
      <c r="ACX70" s="261"/>
      <c r="ACY70" s="261"/>
      <c r="ACZ70" s="261"/>
      <c r="ADA70" s="261"/>
      <c r="ADB70" s="261"/>
      <c r="ADC70" s="261"/>
      <c r="ADD70" s="261"/>
      <c r="ADE70" s="261"/>
      <c r="ADF70" s="261"/>
      <c r="ADG70" s="261"/>
      <c r="ADH70" s="261"/>
      <c r="ADI70" s="261"/>
      <c r="ADJ70" s="261"/>
      <c r="ADK70" s="261"/>
      <c r="ADL70" s="261"/>
      <c r="ADM70" s="261"/>
      <c r="ADN70" s="261"/>
      <c r="ADO70" s="261"/>
      <c r="ADP70" s="261"/>
      <c r="ADQ70" s="261"/>
      <c r="ADR70" s="261"/>
      <c r="ADS70" s="261"/>
      <c r="ADT70" s="261"/>
      <c r="ADU70" s="261"/>
      <c r="ADV70" s="261"/>
      <c r="ADW70" s="261"/>
      <c r="ADX70" s="261"/>
      <c r="ADY70" s="261"/>
      <c r="ADZ70" s="261"/>
      <c r="AEA70" s="261"/>
      <c r="AEB70" s="261"/>
      <c r="AEC70" s="261"/>
      <c r="AED70" s="261"/>
      <c r="AEE70" s="261"/>
      <c r="AEF70" s="261"/>
      <c r="AEG70" s="261"/>
      <c r="AEH70" s="261"/>
      <c r="AEI70" s="261"/>
      <c r="AEJ70" s="261"/>
      <c r="AEK70" s="261"/>
      <c r="AEL70" s="261"/>
      <c r="AEM70" s="261"/>
      <c r="AEN70" s="261"/>
      <c r="AEO70" s="261"/>
      <c r="AEP70" s="261"/>
      <c r="AEQ70" s="261"/>
      <c r="AER70" s="261"/>
      <c r="AES70" s="261"/>
      <c r="AET70" s="261"/>
      <c r="AEU70" s="261"/>
      <c r="AEV70" s="261"/>
      <c r="AEW70" s="261"/>
      <c r="AEX70" s="261"/>
      <c r="AEY70" s="261"/>
      <c r="AEZ70" s="261"/>
      <c r="AFA70" s="261"/>
      <c r="AFB70" s="261"/>
      <c r="AFC70" s="261"/>
      <c r="AFD70" s="261"/>
      <c r="AFE70" s="261"/>
      <c r="AFF70" s="261"/>
      <c r="AFG70" s="261"/>
      <c r="AFH70" s="261"/>
      <c r="AFI70" s="261"/>
      <c r="AFJ70" s="261"/>
      <c r="AFK70" s="261"/>
      <c r="AFL70" s="261"/>
      <c r="AFM70" s="261"/>
      <c r="AFN70" s="261"/>
      <c r="AFO70" s="261"/>
      <c r="AFP70" s="261"/>
      <c r="AFQ70" s="261"/>
      <c r="AFR70" s="261"/>
      <c r="AFS70" s="261"/>
      <c r="AFT70" s="261"/>
      <c r="AFU70" s="261"/>
      <c r="AFV70" s="261"/>
      <c r="AFW70" s="261"/>
      <c r="AFX70" s="261"/>
      <c r="AFY70" s="261"/>
      <c r="AFZ70" s="261"/>
      <c r="AGA70" s="261"/>
      <c r="AGB70" s="261"/>
      <c r="AGC70" s="261"/>
      <c r="AGD70" s="261"/>
      <c r="AGE70" s="261"/>
      <c r="AGF70" s="261"/>
      <c r="AGG70" s="261"/>
      <c r="AGH70" s="261"/>
      <c r="AGI70" s="261"/>
      <c r="AGJ70" s="261"/>
      <c r="AGK70" s="261"/>
      <c r="AGL70" s="261"/>
      <c r="AGM70" s="261"/>
      <c r="AGN70" s="261"/>
      <c r="AGO70" s="261"/>
      <c r="AGP70" s="261"/>
      <c r="AGQ70" s="261"/>
      <c r="AGR70" s="261"/>
      <c r="AGS70" s="261"/>
      <c r="AGT70" s="261"/>
      <c r="AGU70" s="261"/>
      <c r="AGV70" s="261"/>
      <c r="AGW70" s="261"/>
      <c r="AGX70" s="261"/>
      <c r="AGY70" s="261"/>
      <c r="AGZ70" s="261"/>
      <c r="AHA70" s="261"/>
      <c r="AHB70" s="261"/>
      <c r="AHC70" s="261"/>
      <c r="AHD70" s="261"/>
      <c r="AHE70" s="261"/>
      <c r="AHF70" s="261"/>
      <c r="AHG70" s="261"/>
      <c r="AHH70" s="261"/>
      <c r="AHI70" s="261"/>
      <c r="AHJ70" s="261"/>
      <c r="AHK70" s="261"/>
      <c r="AHL70" s="261"/>
      <c r="AHM70" s="261"/>
      <c r="AHN70" s="261"/>
      <c r="AHO70" s="261"/>
      <c r="AHP70" s="261"/>
      <c r="AHQ70" s="261"/>
      <c r="AHR70" s="261"/>
      <c r="AHS70" s="261"/>
      <c r="AHT70" s="261"/>
      <c r="AHU70" s="261"/>
      <c r="AHV70" s="261"/>
      <c r="AHW70" s="261"/>
      <c r="AHX70" s="261"/>
      <c r="AHY70" s="261"/>
      <c r="AHZ70" s="261"/>
      <c r="AIA70" s="261"/>
      <c r="AIB70" s="261"/>
      <c r="AIC70" s="261"/>
      <c r="AID70" s="261"/>
      <c r="AIE70" s="261"/>
      <c r="AIF70" s="261"/>
      <c r="AIG70" s="261"/>
      <c r="AIH70" s="261"/>
      <c r="AII70" s="261"/>
      <c r="AIJ70" s="261"/>
      <c r="AIK70" s="261"/>
      <c r="AIL70" s="261"/>
      <c r="AIM70" s="261"/>
      <c r="AIN70" s="261"/>
      <c r="AIO70" s="261"/>
      <c r="AIP70" s="261"/>
      <c r="AIQ70" s="261"/>
      <c r="AIR70" s="261"/>
      <c r="AIS70" s="261"/>
      <c r="AIT70" s="261"/>
      <c r="AIU70" s="261"/>
      <c r="AIV70" s="261"/>
      <c r="AIW70" s="261"/>
      <c r="AIX70" s="261"/>
      <c r="AIY70" s="261"/>
      <c r="AIZ70" s="261"/>
      <c r="AJA70" s="261"/>
      <c r="AJB70" s="261"/>
      <c r="AJC70" s="261"/>
      <c r="AJD70" s="261"/>
      <c r="AJE70" s="261"/>
      <c r="AJF70" s="261"/>
      <c r="AJG70" s="261"/>
      <c r="AJH70" s="261"/>
      <c r="AJI70" s="261"/>
      <c r="AJJ70" s="261"/>
      <c r="AJK70" s="261"/>
      <c r="AJL70" s="261"/>
      <c r="AJM70" s="261"/>
      <c r="AJN70" s="261"/>
      <c r="AJO70" s="261"/>
      <c r="AJP70" s="261"/>
      <c r="AJQ70" s="261"/>
      <c r="AJR70" s="261"/>
      <c r="AJS70" s="261"/>
      <c r="AJT70" s="261"/>
      <c r="AJU70" s="261"/>
      <c r="AJV70" s="261"/>
      <c r="AJW70" s="261"/>
      <c r="AJX70" s="261"/>
      <c r="AJY70" s="261"/>
      <c r="AJZ70" s="261"/>
      <c r="AKA70" s="261"/>
      <c r="AKB70" s="261"/>
      <c r="AKC70" s="261"/>
      <c r="AKD70" s="261"/>
      <c r="AKE70" s="261"/>
      <c r="AKF70" s="261"/>
      <c r="AKG70" s="261"/>
      <c r="AKH70" s="261"/>
      <c r="AKI70" s="261"/>
      <c r="AKJ70" s="261"/>
      <c r="AKK70" s="261"/>
      <c r="AKL70" s="261"/>
      <c r="AKM70" s="261"/>
      <c r="AKN70" s="261"/>
      <c r="AKO70" s="261"/>
      <c r="AKP70" s="261"/>
      <c r="AKQ70" s="261"/>
      <c r="AKR70" s="261"/>
      <c r="AKS70" s="261"/>
      <c r="AKT70" s="261"/>
      <c r="AKU70" s="261"/>
      <c r="AKV70" s="261"/>
      <c r="AKW70" s="261"/>
      <c r="AKX70" s="261"/>
      <c r="AKY70" s="261"/>
      <c r="AKZ70" s="261"/>
      <c r="ALA70" s="261"/>
      <c r="ALB70" s="261"/>
      <c r="ALC70" s="261"/>
      <c r="ALD70" s="261"/>
      <c r="ALE70" s="261"/>
      <c r="ALF70" s="261"/>
      <c r="ALG70" s="261"/>
      <c r="ALH70" s="261"/>
      <c r="ALI70" s="261"/>
      <c r="ALJ70" s="261"/>
      <c r="ALK70" s="261"/>
      <c r="ALL70" s="261"/>
      <c r="ALM70" s="261"/>
      <c r="ALN70" s="261"/>
      <c r="ALO70" s="261"/>
      <c r="ALP70" s="261"/>
      <c r="ALQ70" s="261"/>
      <c r="ALR70" s="261"/>
      <c r="ALS70" s="261"/>
      <c r="ALT70" s="261"/>
      <c r="ALU70" s="261"/>
      <c r="ALV70" s="261"/>
      <c r="ALW70" s="261"/>
      <c r="ALX70" s="261"/>
      <c r="ALY70" s="261"/>
      <c r="ALZ70" s="261"/>
      <c r="AMA70" s="261"/>
      <c r="AMB70" s="261"/>
      <c r="AMC70" s="261"/>
      <c r="AMD70" s="261"/>
      <c r="AME70" s="261"/>
      <c r="AMF70" s="261"/>
      <c r="AMG70" s="261"/>
      <c r="AMH70" s="261"/>
      <c r="AMI70" s="261"/>
      <c r="AMJ70" s="261"/>
    </row>
    <row r="71" spans="12:1024" ht="15.95" customHeight="1">
      <c r="L71" s="261"/>
      <c r="M71" s="296"/>
      <c r="N71" s="261"/>
      <c r="O71" s="261"/>
      <c r="P71" s="261"/>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1"/>
      <c r="CD71" s="261"/>
      <c r="CE71" s="261"/>
      <c r="CF71" s="261"/>
      <c r="CG71" s="261"/>
      <c r="CH71" s="261"/>
      <c r="CI71" s="261"/>
      <c r="CJ71" s="261"/>
      <c r="CK71" s="261"/>
      <c r="CL71" s="261"/>
      <c r="CM71" s="261"/>
      <c r="CN71" s="261"/>
      <c r="CO71" s="261"/>
      <c r="CP71" s="261"/>
      <c r="CQ71" s="261"/>
      <c r="CR71" s="261"/>
      <c r="CS71" s="261"/>
      <c r="CT71" s="261"/>
      <c r="CU71" s="261"/>
      <c r="CV71" s="261"/>
      <c r="CW71" s="261"/>
      <c r="CX71" s="261"/>
      <c r="CY71" s="261"/>
      <c r="CZ71" s="261"/>
      <c r="DA71" s="261"/>
      <c r="DB71" s="261"/>
      <c r="DC71" s="261"/>
      <c r="DD71" s="261"/>
      <c r="DE71" s="261"/>
      <c r="DF71" s="261"/>
      <c r="DG71" s="261"/>
      <c r="DH71" s="261"/>
      <c r="DI71" s="261"/>
      <c r="DJ71" s="261"/>
      <c r="DK71" s="261"/>
      <c r="DL71" s="261"/>
      <c r="DM71" s="261"/>
      <c r="DN71" s="261"/>
      <c r="DO71" s="261"/>
      <c r="DP71" s="261"/>
      <c r="DQ71" s="261"/>
      <c r="DR71" s="261"/>
      <c r="DS71" s="261"/>
      <c r="DT71" s="261"/>
      <c r="DU71" s="261"/>
      <c r="DV71" s="261"/>
      <c r="DW71" s="261"/>
      <c r="DX71" s="261"/>
      <c r="DY71" s="261"/>
      <c r="DZ71" s="261"/>
      <c r="EA71" s="261"/>
      <c r="EB71" s="261"/>
      <c r="EC71" s="261"/>
      <c r="ED71" s="261"/>
      <c r="EE71" s="261"/>
      <c r="EF71" s="261"/>
      <c r="EG71" s="261"/>
      <c r="EH71" s="261"/>
      <c r="EI71" s="261"/>
      <c r="EJ71" s="261"/>
      <c r="EK71" s="261"/>
      <c r="EL71" s="261"/>
      <c r="EM71" s="261"/>
      <c r="EN71" s="261"/>
      <c r="EO71" s="261"/>
      <c r="EP71" s="261"/>
      <c r="EQ71" s="261"/>
      <c r="ER71" s="261"/>
      <c r="ES71" s="261"/>
      <c r="ET71" s="261"/>
      <c r="EU71" s="261"/>
      <c r="EV71" s="261"/>
      <c r="EW71" s="261"/>
      <c r="EX71" s="261"/>
      <c r="EY71" s="261"/>
      <c r="EZ71" s="261"/>
      <c r="FA71" s="261"/>
      <c r="FB71" s="261"/>
      <c r="FC71" s="261"/>
      <c r="FD71" s="261"/>
      <c r="FE71" s="261"/>
      <c r="FF71" s="261"/>
      <c r="FG71" s="261"/>
      <c r="FH71" s="261"/>
      <c r="FI71" s="261"/>
      <c r="FJ71" s="261"/>
      <c r="FK71" s="261"/>
      <c r="FL71" s="261"/>
      <c r="FM71" s="261"/>
      <c r="FN71" s="261"/>
      <c r="FO71" s="261"/>
      <c r="FP71" s="261"/>
      <c r="FQ71" s="261"/>
      <c r="FR71" s="261"/>
      <c r="FS71" s="261"/>
      <c r="FT71" s="261"/>
      <c r="FU71" s="261"/>
      <c r="FV71" s="261"/>
      <c r="FW71" s="261"/>
      <c r="FX71" s="261"/>
      <c r="FY71" s="261"/>
      <c r="FZ71" s="261"/>
      <c r="GA71" s="261"/>
      <c r="GB71" s="261"/>
      <c r="GC71" s="261"/>
      <c r="GD71" s="261"/>
      <c r="GE71" s="261"/>
      <c r="GF71" s="261"/>
      <c r="GG71" s="261"/>
      <c r="GH71" s="261"/>
      <c r="GI71" s="261"/>
      <c r="GJ71" s="261"/>
      <c r="GK71" s="261"/>
      <c r="GL71" s="261"/>
      <c r="GM71" s="261"/>
      <c r="GN71" s="261"/>
      <c r="GO71" s="261"/>
      <c r="GP71" s="261"/>
      <c r="GQ71" s="261"/>
      <c r="GR71" s="261"/>
      <c r="GS71" s="261"/>
      <c r="GT71" s="261"/>
      <c r="GU71" s="261"/>
      <c r="GV71" s="261"/>
      <c r="GW71" s="261"/>
      <c r="GX71" s="261"/>
      <c r="GY71" s="261"/>
      <c r="GZ71" s="261"/>
      <c r="HA71" s="261"/>
      <c r="HB71" s="261"/>
      <c r="HC71" s="261"/>
      <c r="HD71" s="261"/>
      <c r="HE71" s="261"/>
      <c r="HF71" s="261"/>
      <c r="HG71" s="261"/>
      <c r="HH71" s="261"/>
      <c r="HI71" s="261"/>
      <c r="HJ71" s="261"/>
      <c r="HK71" s="261"/>
      <c r="HL71" s="261"/>
      <c r="HM71" s="261"/>
      <c r="HN71" s="261"/>
      <c r="HO71" s="261"/>
      <c r="HP71" s="261"/>
      <c r="HQ71" s="261"/>
      <c r="HR71" s="261"/>
      <c r="HS71" s="261"/>
      <c r="HT71" s="261"/>
      <c r="HU71" s="261"/>
      <c r="HV71" s="261"/>
      <c r="HW71" s="261"/>
      <c r="HX71" s="261"/>
      <c r="HY71" s="261"/>
      <c r="HZ71" s="261"/>
      <c r="IA71" s="261"/>
      <c r="IB71" s="261"/>
      <c r="IC71" s="261"/>
      <c r="ID71" s="261"/>
      <c r="IE71" s="261"/>
      <c r="IF71" s="261"/>
      <c r="IG71" s="261"/>
      <c r="IH71" s="261"/>
      <c r="II71" s="261"/>
      <c r="IJ71" s="261"/>
      <c r="IK71" s="261"/>
      <c r="IL71" s="261"/>
      <c r="IM71" s="261"/>
      <c r="IN71" s="261"/>
      <c r="IO71" s="261"/>
      <c r="IP71" s="261"/>
      <c r="IQ71" s="261"/>
      <c r="IR71" s="261"/>
      <c r="IS71" s="261"/>
      <c r="IT71" s="261"/>
      <c r="IU71" s="261"/>
      <c r="IV71" s="261"/>
      <c r="IW71" s="261"/>
      <c r="IX71" s="261"/>
      <c r="IY71" s="261"/>
      <c r="IZ71" s="261"/>
      <c r="JA71" s="261"/>
      <c r="JB71" s="261"/>
      <c r="JC71" s="261"/>
      <c r="JD71" s="261"/>
      <c r="JE71" s="261"/>
      <c r="JF71" s="261"/>
      <c r="JG71" s="261"/>
      <c r="JH71" s="261"/>
      <c r="JI71" s="261"/>
      <c r="JJ71" s="261"/>
      <c r="JK71" s="261"/>
      <c r="JL71" s="261"/>
      <c r="JM71" s="261"/>
      <c r="JN71" s="261"/>
      <c r="JO71" s="261"/>
      <c r="JP71" s="261"/>
      <c r="JQ71" s="261"/>
      <c r="JR71" s="261"/>
      <c r="JS71" s="261"/>
      <c r="JT71" s="261"/>
      <c r="JU71" s="261"/>
      <c r="JV71" s="261"/>
      <c r="JW71" s="261"/>
      <c r="JX71" s="261"/>
      <c r="JY71" s="261"/>
      <c r="JZ71" s="261"/>
      <c r="KA71" s="261"/>
      <c r="KB71" s="261"/>
      <c r="KC71" s="261"/>
      <c r="KD71" s="261"/>
      <c r="KE71" s="261"/>
      <c r="KF71" s="261"/>
      <c r="KG71" s="261"/>
      <c r="KH71" s="261"/>
      <c r="KI71" s="261"/>
      <c r="KJ71" s="261"/>
      <c r="KK71" s="261"/>
      <c r="KL71" s="261"/>
      <c r="KM71" s="261"/>
      <c r="KN71" s="261"/>
      <c r="KO71" s="261"/>
      <c r="KP71" s="261"/>
      <c r="KQ71" s="261"/>
      <c r="KR71" s="261"/>
      <c r="KS71" s="261"/>
      <c r="KT71" s="261"/>
      <c r="KU71" s="261"/>
      <c r="KV71" s="261"/>
      <c r="KW71" s="261"/>
      <c r="KX71" s="261"/>
      <c r="KY71" s="261"/>
      <c r="KZ71" s="261"/>
      <c r="LA71" s="261"/>
      <c r="LB71" s="261"/>
      <c r="LC71" s="261"/>
      <c r="LD71" s="261"/>
      <c r="LE71" s="261"/>
      <c r="LF71" s="261"/>
      <c r="LG71" s="261"/>
      <c r="LH71" s="261"/>
      <c r="LI71" s="261"/>
      <c r="LJ71" s="261"/>
      <c r="LK71" s="261"/>
      <c r="LL71" s="261"/>
      <c r="LM71" s="261"/>
      <c r="LN71" s="261"/>
      <c r="LO71" s="261"/>
      <c r="LP71" s="261"/>
      <c r="LQ71" s="261"/>
      <c r="LR71" s="261"/>
      <c r="LS71" s="261"/>
      <c r="LT71" s="261"/>
      <c r="LU71" s="261"/>
      <c r="LV71" s="261"/>
      <c r="LW71" s="261"/>
      <c r="LX71" s="261"/>
      <c r="LY71" s="261"/>
      <c r="LZ71" s="261"/>
      <c r="MA71" s="261"/>
      <c r="MB71" s="261"/>
      <c r="MC71" s="261"/>
      <c r="MD71" s="261"/>
      <c r="ME71" s="261"/>
      <c r="MF71" s="261"/>
      <c r="MG71" s="261"/>
      <c r="MH71" s="261"/>
      <c r="MI71" s="261"/>
      <c r="MJ71" s="261"/>
      <c r="MK71" s="261"/>
      <c r="ML71" s="261"/>
      <c r="MM71" s="261"/>
      <c r="MN71" s="261"/>
      <c r="MO71" s="261"/>
      <c r="MP71" s="261"/>
      <c r="MQ71" s="261"/>
      <c r="MR71" s="261"/>
      <c r="MS71" s="261"/>
      <c r="MT71" s="261"/>
      <c r="MU71" s="261"/>
      <c r="MV71" s="261"/>
      <c r="MW71" s="261"/>
      <c r="MX71" s="261"/>
      <c r="MY71" s="261"/>
      <c r="MZ71" s="261"/>
      <c r="NA71" s="261"/>
      <c r="NB71" s="261"/>
      <c r="NC71" s="261"/>
      <c r="ND71" s="261"/>
      <c r="NE71" s="261"/>
      <c r="NF71" s="261"/>
      <c r="NG71" s="261"/>
      <c r="NH71" s="261"/>
      <c r="NI71" s="261"/>
      <c r="NJ71" s="261"/>
      <c r="NK71" s="261"/>
      <c r="NL71" s="261"/>
      <c r="NM71" s="261"/>
      <c r="NN71" s="261"/>
      <c r="NO71" s="261"/>
      <c r="NP71" s="261"/>
      <c r="NQ71" s="261"/>
      <c r="NR71" s="261"/>
      <c r="NS71" s="261"/>
      <c r="NT71" s="261"/>
      <c r="NU71" s="261"/>
      <c r="NV71" s="261"/>
      <c r="NW71" s="261"/>
      <c r="NX71" s="261"/>
      <c r="NY71" s="261"/>
      <c r="NZ71" s="261"/>
      <c r="OA71" s="261"/>
      <c r="OB71" s="261"/>
      <c r="OC71" s="261"/>
      <c r="OD71" s="261"/>
      <c r="OE71" s="261"/>
      <c r="OF71" s="261"/>
      <c r="OG71" s="261"/>
      <c r="OH71" s="261"/>
      <c r="OI71" s="261"/>
      <c r="OJ71" s="261"/>
      <c r="OK71" s="261"/>
      <c r="OL71" s="261"/>
      <c r="OM71" s="261"/>
      <c r="ON71" s="261"/>
      <c r="OO71" s="261"/>
      <c r="OP71" s="261"/>
      <c r="OQ71" s="261"/>
      <c r="OR71" s="261"/>
      <c r="OS71" s="261"/>
      <c r="OT71" s="261"/>
      <c r="OU71" s="261"/>
      <c r="OV71" s="261"/>
      <c r="OW71" s="261"/>
      <c r="OX71" s="261"/>
      <c r="OY71" s="261"/>
      <c r="OZ71" s="261"/>
      <c r="PA71" s="261"/>
      <c r="PB71" s="261"/>
      <c r="PC71" s="261"/>
      <c r="PD71" s="261"/>
      <c r="PE71" s="261"/>
      <c r="PF71" s="261"/>
      <c r="PG71" s="261"/>
      <c r="PH71" s="261"/>
      <c r="PI71" s="261"/>
      <c r="PJ71" s="261"/>
      <c r="PK71" s="261"/>
      <c r="PL71" s="261"/>
      <c r="PM71" s="261"/>
      <c r="PN71" s="261"/>
      <c r="PO71" s="261"/>
      <c r="PP71" s="261"/>
      <c r="PQ71" s="261"/>
      <c r="PR71" s="261"/>
      <c r="PS71" s="261"/>
      <c r="PT71" s="261"/>
      <c r="PU71" s="261"/>
      <c r="PV71" s="261"/>
      <c r="PW71" s="261"/>
      <c r="PX71" s="261"/>
      <c r="PY71" s="261"/>
      <c r="PZ71" s="261"/>
      <c r="QA71" s="261"/>
      <c r="QB71" s="261"/>
      <c r="QC71" s="261"/>
      <c r="QD71" s="261"/>
      <c r="QE71" s="261"/>
      <c r="QF71" s="261"/>
      <c r="QG71" s="261"/>
      <c r="QH71" s="261"/>
      <c r="QI71" s="261"/>
      <c r="QJ71" s="261"/>
      <c r="QK71" s="261"/>
      <c r="QL71" s="261"/>
      <c r="QM71" s="261"/>
      <c r="QN71" s="261"/>
      <c r="QO71" s="261"/>
      <c r="QP71" s="261"/>
      <c r="QQ71" s="261"/>
      <c r="QR71" s="261"/>
      <c r="QS71" s="261"/>
      <c r="QT71" s="261"/>
      <c r="QU71" s="261"/>
      <c r="QV71" s="261"/>
      <c r="QW71" s="261"/>
      <c r="QX71" s="261"/>
      <c r="QY71" s="261"/>
      <c r="QZ71" s="261"/>
      <c r="RA71" s="261"/>
      <c r="RB71" s="261"/>
      <c r="RC71" s="261"/>
      <c r="RD71" s="261"/>
      <c r="RE71" s="261"/>
      <c r="RF71" s="261"/>
      <c r="RG71" s="261"/>
      <c r="RH71" s="261"/>
      <c r="RI71" s="261"/>
      <c r="RJ71" s="261"/>
      <c r="RK71" s="261"/>
      <c r="RL71" s="261"/>
      <c r="RM71" s="261"/>
      <c r="RN71" s="261"/>
      <c r="RO71" s="261"/>
      <c r="RP71" s="261"/>
      <c r="RQ71" s="261"/>
      <c r="RR71" s="261"/>
      <c r="RS71" s="261"/>
      <c r="RT71" s="261"/>
      <c r="RU71" s="261"/>
      <c r="RV71" s="261"/>
      <c r="RW71" s="261"/>
      <c r="RX71" s="261"/>
      <c r="RY71" s="261"/>
      <c r="RZ71" s="261"/>
      <c r="SA71" s="261"/>
      <c r="SB71" s="261"/>
      <c r="SC71" s="261"/>
      <c r="SD71" s="261"/>
      <c r="SE71" s="261"/>
      <c r="SF71" s="261"/>
      <c r="SG71" s="261"/>
      <c r="SH71" s="261"/>
      <c r="SI71" s="261"/>
      <c r="SJ71" s="261"/>
      <c r="SK71" s="261"/>
      <c r="SL71" s="261"/>
      <c r="SM71" s="261"/>
      <c r="SN71" s="261"/>
      <c r="SO71" s="261"/>
      <c r="SP71" s="261"/>
      <c r="SQ71" s="261"/>
      <c r="SR71" s="261"/>
      <c r="SS71" s="261"/>
      <c r="ST71" s="261"/>
      <c r="SU71" s="261"/>
      <c r="SV71" s="261"/>
      <c r="SW71" s="261"/>
      <c r="SX71" s="261"/>
      <c r="SY71" s="261"/>
      <c r="SZ71" s="261"/>
      <c r="TA71" s="261"/>
      <c r="TB71" s="261"/>
      <c r="TC71" s="261"/>
      <c r="TD71" s="261"/>
      <c r="TE71" s="261"/>
      <c r="TF71" s="261"/>
      <c r="TG71" s="261"/>
      <c r="TH71" s="261"/>
      <c r="TI71" s="261"/>
      <c r="TJ71" s="261"/>
      <c r="TK71" s="261"/>
      <c r="TL71" s="261"/>
      <c r="TM71" s="261"/>
      <c r="TN71" s="261"/>
      <c r="TO71" s="261"/>
      <c r="TP71" s="261"/>
      <c r="TQ71" s="261"/>
      <c r="TR71" s="261"/>
      <c r="TS71" s="261"/>
      <c r="TT71" s="261"/>
      <c r="TU71" s="261"/>
      <c r="TV71" s="261"/>
      <c r="TW71" s="261"/>
      <c r="TX71" s="261"/>
      <c r="TY71" s="261"/>
      <c r="TZ71" s="261"/>
      <c r="UA71" s="261"/>
      <c r="UB71" s="261"/>
      <c r="UC71" s="261"/>
      <c r="UD71" s="261"/>
      <c r="UE71" s="261"/>
      <c r="UF71" s="261"/>
      <c r="UG71" s="261"/>
      <c r="UH71" s="261"/>
      <c r="UI71" s="261"/>
      <c r="UJ71" s="261"/>
      <c r="UK71" s="261"/>
      <c r="UL71" s="261"/>
      <c r="UM71" s="261"/>
      <c r="UN71" s="261"/>
      <c r="UO71" s="261"/>
      <c r="UP71" s="261"/>
      <c r="UQ71" s="261"/>
      <c r="UR71" s="261"/>
      <c r="US71" s="261"/>
      <c r="UT71" s="261"/>
      <c r="UU71" s="261"/>
      <c r="UV71" s="261"/>
      <c r="UW71" s="261"/>
      <c r="UX71" s="261"/>
      <c r="UY71" s="261"/>
      <c r="UZ71" s="261"/>
      <c r="VA71" s="261"/>
      <c r="VB71" s="261"/>
      <c r="VC71" s="261"/>
      <c r="VD71" s="261"/>
      <c r="VE71" s="261"/>
      <c r="VF71" s="261"/>
      <c r="VG71" s="261"/>
      <c r="VH71" s="261"/>
      <c r="VI71" s="261"/>
      <c r="VJ71" s="261"/>
      <c r="VK71" s="261"/>
      <c r="VL71" s="261"/>
      <c r="VM71" s="261"/>
      <c r="VN71" s="261"/>
      <c r="VO71" s="261"/>
      <c r="VP71" s="261"/>
      <c r="VQ71" s="261"/>
      <c r="VR71" s="261"/>
      <c r="VS71" s="261"/>
      <c r="VT71" s="261"/>
      <c r="VU71" s="261"/>
      <c r="VV71" s="261"/>
      <c r="VW71" s="261"/>
      <c r="VX71" s="261"/>
      <c r="VY71" s="261"/>
      <c r="VZ71" s="261"/>
      <c r="WA71" s="261"/>
      <c r="WB71" s="261"/>
      <c r="WC71" s="261"/>
      <c r="WD71" s="261"/>
      <c r="WE71" s="261"/>
      <c r="WF71" s="261"/>
      <c r="WG71" s="261"/>
      <c r="WH71" s="261"/>
      <c r="WI71" s="261"/>
      <c r="WJ71" s="261"/>
      <c r="WK71" s="261"/>
      <c r="WL71" s="261"/>
      <c r="WM71" s="261"/>
      <c r="WN71" s="261"/>
      <c r="WO71" s="261"/>
      <c r="WP71" s="261"/>
      <c r="WQ71" s="261"/>
      <c r="WR71" s="261"/>
      <c r="WS71" s="261"/>
      <c r="WT71" s="261"/>
      <c r="WU71" s="261"/>
      <c r="WV71" s="261"/>
      <c r="WW71" s="261"/>
      <c r="WX71" s="261"/>
      <c r="WY71" s="261"/>
      <c r="WZ71" s="261"/>
      <c r="XA71" s="261"/>
      <c r="XB71" s="261"/>
      <c r="XC71" s="261"/>
      <c r="XD71" s="261"/>
      <c r="XE71" s="261"/>
      <c r="XF71" s="261"/>
      <c r="XG71" s="261"/>
      <c r="XH71" s="261"/>
      <c r="XI71" s="261"/>
      <c r="XJ71" s="261"/>
      <c r="XK71" s="261"/>
      <c r="XL71" s="261"/>
      <c r="XM71" s="261"/>
      <c r="XN71" s="261"/>
      <c r="XO71" s="261"/>
      <c r="XP71" s="261"/>
      <c r="XQ71" s="261"/>
      <c r="XR71" s="261"/>
      <c r="XS71" s="261"/>
      <c r="XT71" s="261"/>
      <c r="XU71" s="261"/>
      <c r="XV71" s="261"/>
      <c r="XW71" s="261"/>
      <c r="XX71" s="261"/>
      <c r="XY71" s="261"/>
      <c r="XZ71" s="261"/>
      <c r="YA71" s="261"/>
      <c r="YB71" s="261"/>
      <c r="YC71" s="261"/>
      <c r="YD71" s="261"/>
      <c r="YE71" s="261"/>
      <c r="YF71" s="261"/>
      <c r="YG71" s="261"/>
      <c r="YH71" s="261"/>
      <c r="YI71" s="261"/>
      <c r="YJ71" s="261"/>
      <c r="YK71" s="261"/>
      <c r="YL71" s="261"/>
      <c r="YM71" s="261"/>
      <c r="YN71" s="261"/>
      <c r="YO71" s="261"/>
      <c r="YP71" s="261"/>
      <c r="YQ71" s="261"/>
      <c r="YR71" s="261"/>
      <c r="YS71" s="261"/>
      <c r="YT71" s="261"/>
      <c r="YU71" s="261"/>
      <c r="YV71" s="261"/>
      <c r="YW71" s="261"/>
      <c r="YX71" s="261"/>
      <c r="YY71" s="261"/>
      <c r="YZ71" s="261"/>
      <c r="ZA71" s="261"/>
      <c r="ZB71" s="261"/>
      <c r="ZC71" s="261"/>
      <c r="ZD71" s="261"/>
      <c r="ZE71" s="261"/>
      <c r="ZF71" s="261"/>
      <c r="ZG71" s="261"/>
      <c r="ZH71" s="261"/>
      <c r="ZI71" s="261"/>
      <c r="ZJ71" s="261"/>
      <c r="ZK71" s="261"/>
      <c r="ZL71" s="261"/>
      <c r="ZM71" s="261"/>
      <c r="ZN71" s="261"/>
      <c r="ZO71" s="261"/>
      <c r="ZP71" s="261"/>
      <c r="ZQ71" s="261"/>
      <c r="ZR71" s="261"/>
      <c r="ZS71" s="261"/>
      <c r="ZT71" s="261"/>
      <c r="ZU71" s="261"/>
      <c r="ZV71" s="261"/>
      <c r="ZW71" s="261"/>
      <c r="ZX71" s="261"/>
      <c r="ZY71" s="261"/>
      <c r="ZZ71" s="261"/>
      <c r="AAA71" s="261"/>
      <c r="AAB71" s="261"/>
      <c r="AAC71" s="261"/>
      <c r="AAD71" s="261"/>
      <c r="AAE71" s="261"/>
      <c r="AAF71" s="261"/>
      <c r="AAG71" s="261"/>
      <c r="AAH71" s="261"/>
      <c r="AAI71" s="261"/>
      <c r="AAJ71" s="261"/>
      <c r="AAK71" s="261"/>
      <c r="AAL71" s="261"/>
      <c r="AAM71" s="261"/>
      <c r="AAN71" s="261"/>
      <c r="AAO71" s="261"/>
      <c r="AAP71" s="261"/>
      <c r="AAQ71" s="261"/>
      <c r="AAR71" s="261"/>
      <c r="AAS71" s="261"/>
      <c r="AAT71" s="261"/>
      <c r="AAU71" s="261"/>
      <c r="AAV71" s="261"/>
      <c r="AAW71" s="261"/>
      <c r="AAX71" s="261"/>
      <c r="AAY71" s="261"/>
      <c r="AAZ71" s="261"/>
      <c r="ABA71" s="261"/>
      <c r="ABB71" s="261"/>
      <c r="ABC71" s="261"/>
      <c r="ABD71" s="261"/>
      <c r="ABE71" s="261"/>
      <c r="ABF71" s="261"/>
      <c r="ABG71" s="261"/>
      <c r="ABH71" s="261"/>
      <c r="ABI71" s="261"/>
      <c r="ABJ71" s="261"/>
      <c r="ABK71" s="261"/>
      <c r="ABL71" s="261"/>
      <c r="ABM71" s="261"/>
      <c r="ABN71" s="261"/>
      <c r="ABO71" s="261"/>
      <c r="ABP71" s="261"/>
      <c r="ABQ71" s="261"/>
      <c r="ABR71" s="261"/>
      <c r="ABS71" s="261"/>
      <c r="ABT71" s="261"/>
      <c r="ABU71" s="261"/>
      <c r="ABV71" s="261"/>
      <c r="ABW71" s="261"/>
      <c r="ABX71" s="261"/>
      <c r="ABY71" s="261"/>
      <c r="ABZ71" s="261"/>
      <c r="ACA71" s="261"/>
      <c r="ACB71" s="261"/>
      <c r="ACC71" s="261"/>
      <c r="ACD71" s="261"/>
      <c r="ACE71" s="261"/>
      <c r="ACF71" s="261"/>
      <c r="ACG71" s="261"/>
      <c r="ACH71" s="261"/>
      <c r="ACI71" s="261"/>
      <c r="ACJ71" s="261"/>
      <c r="ACK71" s="261"/>
      <c r="ACL71" s="261"/>
      <c r="ACM71" s="261"/>
      <c r="ACN71" s="261"/>
      <c r="ACO71" s="261"/>
      <c r="ACP71" s="261"/>
      <c r="ACQ71" s="261"/>
      <c r="ACR71" s="261"/>
      <c r="ACS71" s="261"/>
      <c r="ACT71" s="261"/>
      <c r="ACU71" s="261"/>
      <c r="ACV71" s="261"/>
      <c r="ACW71" s="261"/>
      <c r="ACX71" s="261"/>
      <c r="ACY71" s="261"/>
      <c r="ACZ71" s="261"/>
      <c r="ADA71" s="261"/>
      <c r="ADB71" s="261"/>
      <c r="ADC71" s="261"/>
      <c r="ADD71" s="261"/>
      <c r="ADE71" s="261"/>
      <c r="ADF71" s="261"/>
      <c r="ADG71" s="261"/>
      <c r="ADH71" s="261"/>
      <c r="ADI71" s="261"/>
      <c r="ADJ71" s="261"/>
      <c r="ADK71" s="261"/>
      <c r="ADL71" s="261"/>
      <c r="ADM71" s="261"/>
      <c r="ADN71" s="261"/>
      <c r="ADO71" s="261"/>
      <c r="ADP71" s="261"/>
      <c r="ADQ71" s="261"/>
      <c r="ADR71" s="261"/>
      <c r="ADS71" s="261"/>
      <c r="ADT71" s="261"/>
      <c r="ADU71" s="261"/>
      <c r="ADV71" s="261"/>
      <c r="ADW71" s="261"/>
      <c r="ADX71" s="261"/>
      <c r="ADY71" s="261"/>
      <c r="ADZ71" s="261"/>
      <c r="AEA71" s="261"/>
      <c r="AEB71" s="261"/>
      <c r="AEC71" s="261"/>
      <c r="AED71" s="261"/>
      <c r="AEE71" s="261"/>
      <c r="AEF71" s="261"/>
      <c r="AEG71" s="261"/>
      <c r="AEH71" s="261"/>
      <c r="AEI71" s="261"/>
      <c r="AEJ71" s="261"/>
      <c r="AEK71" s="261"/>
      <c r="AEL71" s="261"/>
      <c r="AEM71" s="261"/>
      <c r="AEN71" s="261"/>
      <c r="AEO71" s="261"/>
      <c r="AEP71" s="261"/>
      <c r="AEQ71" s="261"/>
      <c r="AER71" s="261"/>
      <c r="AES71" s="261"/>
      <c r="AET71" s="261"/>
      <c r="AEU71" s="261"/>
      <c r="AEV71" s="261"/>
      <c r="AEW71" s="261"/>
      <c r="AEX71" s="261"/>
      <c r="AEY71" s="261"/>
      <c r="AEZ71" s="261"/>
      <c r="AFA71" s="261"/>
      <c r="AFB71" s="261"/>
      <c r="AFC71" s="261"/>
      <c r="AFD71" s="261"/>
      <c r="AFE71" s="261"/>
      <c r="AFF71" s="261"/>
      <c r="AFG71" s="261"/>
      <c r="AFH71" s="261"/>
      <c r="AFI71" s="261"/>
      <c r="AFJ71" s="261"/>
      <c r="AFK71" s="261"/>
      <c r="AFL71" s="261"/>
      <c r="AFM71" s="261"/>
      <c r="AFN71" s="261"/>
      <c r="AFO71" s="261"/>
      <c r="AFP71" s="261"/>
      <c r="AFQ71" s="261"/>
      <c r="AFR71" s="261"/>
      <c r="AFS71" s="261"/>
      <c r="AFT71" s="261"/>
      <c r="AFU71" s="261"/>
      <c r="AFV71" s="261"/>
      <c r="AFW71" s="261"/>
      <c r="AFX71" s="261"/>
      <c r="AFY71" s="261"/>
      <c r="AFZ71" s="261"/>
      <c r="AGA71" s="261"/>
      <c r="AGB71" s="261"/>
      <c r="AGC71" s="261"/>
      <c r="AGD71" s="261"/>
      <c r="AGE71" s="261"/>
      <c r="AGF71" s="261"/>
      <c r="AGG71" s="261"/>
      <c r="AGH71" s="261"/>
      <c r="AGI71" s="261"/>
      <c r="AGJ71" s="261"/>
      <c r="AGK71" s="261"/>
      <c r="AGL71" s="261"/>
      <c r="AGM71" s="261"/>
      <c r="AGN71" s="261"/>
      <c r="AGO71" s="261"/>
      <c r="AGP71" s="261"/>
      <c r="AGQ71" s="261"/>
      <c r="AGR71" s="261"/>
      <c r="AGS71" s="261"/>
      <c r="AGT71" s="261"/>
      <c r="AGU71" s="261"/>
      <c r="AGV71" s="261"/>
      <c r="AGW71" s="261"/>
      <c r="AGX71" s="261"/>
      <c r="AGY71" s="261"/>
      <c r="AGZ71" s="261"/>
      <c r="AHA71" s="261"/>
      <c r="AHB71" s="261"/>
      <c r="AHC71" s="261"/>
      <c r="AHD71" s="261"/>
      <c r="AHE71" s="261"/>
      <c r="AHF71" s="261"/>
      <c r="AHG71" s="261"/>
      <c r="AHH71" s="261"/>
      <c r="AHI71" s="261"/>
      <c r="AHJ71" s="261"/>
      <c r="AHK71" s="261"/>
      <c r="AHL71" s="261"/>
      <c r="AHM71" s="261"/>
      <c r="AHN71" s="261"/>
      <c r="AHO71" s="261"/>
      <c r="AHP71" s="261"/>
      <c r="AHQ71" s="261"/>
      <c r="AHR71" s="261"/>
      <c r="AHS71" s="261"/>
      <c r="AHT71" s="261"/>
      <c r="AHU71" s="261"/>
      <c r="AHV71" s="261"/>
      <c r="AHW71" s="261"/>
      <c r="AHX71" s="261"/>
      <c r="AHY71" s="261"/>
      <c r="AHZ71" s="261"/>
      <c r="AIA71" s="261"/>
      <c r="AIB71" s="261"/>
      <c r="AIC71" s="261"/>
      <c r="AID71" s="261"/>
      <c r="AIE71" s="261"/>
      <c r="AIF71" s="261"/>
      <c r="AIG71" s="261"/>
      <c r="AIH71" s="261"/>
      <c r="AII71" s="261"/>
      <c r="AIJ71" s="261"/>
      <c r="AIK71" s="261"/>
      <c r="AIL71" s="261"/>
      <c r="AIM71" s="261"/>
      <c r="AIN71" s="261"/>
      <c r="AIO71" s="261"/>
      <c r="AIP71" s="261"/>
      <c r="AIQ71" s="261"/>
      <c r="AIR71" s="261"/>
      <c r="AIS71" s="261"/>
      <c r="AIT71" s="261"/>
      <c r="AIU71" s="261"/>
      <c r="AIV71" s="261"/>
      <c r="AIW71" s="261"/>
      <c r="AIX71" s="261"/>
      <c r="AIY71" s="261"/>
      <c r="AIZ71" s="261"/>
      <c r="AJA71" s="261"/>
      <c r="AJB71" s="261"/>
      <c r="AJC71" s="261"/>
      <c r="AJD71" s="261"/>
      <c r="AJE71" s="261"/>
      <c r="AJF71" s="261"/>
      <c r="AJG71" s="261"/>
      <c r="AJH71" s="261"/>
      <c r="AJI71" s="261"/>
      <c r="AJJ71" s="261"/>
      <c r="AJK71" s="261"/>
      <c r="AJL71" s="261"/>
      <c r="AJM71" s="261"/>
      <c r="AJN71" s="261"/>
      <c r="AJO71" s="261"/>
      <c r="AJP71" s="261"/>
      <c r="AJQ71" s="261"/>
      <c r="AJR71" s="261"/>
      <c r="AJS71" s="261"/>
      <c r="AJT71" s="261"/>
      <c r="AJU71" s="261"/>
      <c r="AJV71" s="261"/>
      <c r="AJW71" s="261"/>
      <c r="AJX71" s="261"/>
      <c r="AJY71" s="261"/>
      <c r="AJZ71" s="261"/>
      <c r="AKA71" s="261"/>
      <c r="AKB71" s="261"/>
      <c r="AKC71" s="261"/>
      <c r="AKD71" s="261"/>
      <c r="AKE71" s="261"/>
      <c r="AKF71" s="261"/>
      <c r="AKG71" s="261"/>
      <c r="AKH71" s="261"/>
      <c r="AKI71" s="261"/>
      <c r="AKJ71" s="261"/>
      <c r="AKK71" s="261"/>
      <c r="AKL71" s="261"/>
      <c r="AKM71" s="261"/>
      <c r="AKN71" s="261"/>
      <c r="AKO71" s="261"/>
      <c r="AKP71" s="261"/>
      <c r="AKQ71" s="261"/>
      <c r="AKR71" s="261"/>
      <c r="AKS71" s="261"/>
      <c r="AKT71" s="261"/>
      <c r="AKU71" s="261"/>
      <c r="AKV71" s="261"/>
      <c r="AKW71" s="261"/>
      <c r="AKX71" s="261"/>
      <c r="AKY71" s="261"/>
      <c r="AKZ71" s="261"/>
      <c r="ALA71" s="261"/>
      <c r="ALB71" s="261"/>
      <c r="ALC71" s="261"/>
      <c r="ALD71" s="261"/>
      <c r="ALE71" s="261"/>
      <c r="ALF71" s="261"/>
      <c r="ALG71" s="261"/>
      <c r="ALH71" s="261"/>
      <c r="ALI71" s="261"/>
      <c r="ALJ71" s="261"/>
      <c r="ALK71" s="261"/>
      <c r="ALL71" s="261"/>
      <c r="ALM71" s="261"/>
      <c r="ALN71" s="261"/>
      <c r="ALO71" s="261"/>
      <c r="ALP71" s="261"/>
      <c r="ALQ71" s="261"/>
      <c r="ALR71" s="261"/>
      <c r="ALS71" s="261"/>
      <c r="ALT71" s="261"/>
      <c r="ALU71" s="261"/>
      <c r="ALV71" s="261"/>
      <c r="ALW71" s="261"/>
      <c r="ALX71" s="261"/>
      <c r="ALY71" s="261"/>
      <c r="ALZ71" s="261"/>
      <c r="AMA71" s="261"/>
      <c r="AMB71" s="261"/>
      <c r="AMC71" s="261"/>
      <c r="AMD71" s="261"/>
      <c r="AME71" s="261"/>
      <c r="AMF71" s="261"/>
      <c r="AMG71" s="261"/>
      <c r="AMH71" s="261"/>
      <c r="AMI71" s="261"/>
      <c r="AMJ71" s="261"/>
    </row>
    <row r="72" spans="12:1024" ht="15.95" customHeight="1">
      <c r="L72" s="261"/>
      <c r="M72" s="296"/>
      <c r="N72" s="261"/>
      <c r="O72" s="261"/>
      <c r="P72" s="261"/>
      <c r="Q72" s="261"/>
      <c r="R72" s="261"/>
      <c r="S72" s="261"/>
      <c r="T72" s="261"/>
      <c r="U72" s="261"/>
      <c r="V72" s="261"/>
      <c r="W72" s="261"/>
      <c r="X72" s="261"/>
      <c r="Y72" s="261"/>
      <c r="Z72" s="261"/>
      <c r="AA72" s="261"/>
      <c r="AB72" s="261"/>
      <c r="AC72" s="261"/>
      <c r="AD72" s="261"/>
      <c r="AE72" s="261"/>
      <c r="AF72" s="261"/>
      <c r="AG72" s="261"/>
      <c r="AH72" s="261"/>
      <c r="AI72" s="261"/>
      <c r="AJ72" s="261"/>
      <c r="AK72" s="261"/>
      <c r="AL72" s="261"/>
      <c r="AM72" s="261"/>
      <c r="AN72" s="261"/>
      <c r="AO72" s="261"/>
      <c r="AP72" s="261"/>
      <c r="AQ72" s="261"/>
      <c r="AR72" s="261"/>
      <c r="AS72" s="261"/>
      <c r="AT72" s="261"/>
      <c r="AU72" s="261"/>
      <c r="AV72" s="261"/>
      <c r="AW72" s="261"/>
      <c r="AX72" s="261"/>
      <c r="AY72" s="261"/>
      <c r="AZ72" s="261"/>
      <c r="BA72" s="261"/>
      <c r="BB72" s="261"/>
      <c r="BC72" s="261"/>
      <c r="BD72" s="261"/>
      <c r="BE72" s="261"/>
      <c r="BF72" s="261"/>
      <c r="BG72" s="261"/>
      <c r="BH72" s="261"/>
      <c r="BI72" s="261"/>
      <c r="BJ72" s="261"/>
      <c r="BK72" s="261"/>
      <c r="BL72" s="261"/>
      <c r="BM72" s="261"/>
      <c r="BN72" s="261"/>
      <c r="BO72" s="261"/>
      <c r="BP72" s="261"/>
      <c r="BQ72" s="261"/>
      <c r="BR72" s="261"/>
      <c r="BS72" s="261"/>
      <c r="BT72" s="261"/>
      <c r="BU72" s="261"/>
      <c r="BV72" s="261"/>
      <c r="BW72" s="261"/>
      <c r="BX72" s="261"/>
      <c r="BY72" s="261"/>
      <c r="BZ72" s="261"/>
      <c r="CA72" s="261"/>
      <c r="CB72" s="261"/>
      <c r="CC72" s="261"/>
      <c r="CD72" s="261"/>
      <c r="CE72" s="261"/>
      <c r="CF72" s="261"/>
      <c r="CG72" s="261"/>
      <c r="CH72" s="261"/>
      <c r="CI72" s="261"/>
      <c r="CJ72" s="261"/>
      <c r="CK72" s="261"/>
      <c r="CL72" s="261"/>
      <c r="CM72" s="261"/>
      <c r="CN72" s="261"/>
      <c r="CO72" s="261"/>
      <c r="CP72" s="261"/>
      <c r="CQ72" s="261"/>
      <c r="CR72" s="261"/>
      <c r="CS72" s="261"/>
      <c r="CT72" s="261"/>
      <c r="CU72" s="261"/>
      <c r="CV72" s="261"/>
      <c r="CW72" s="261"/>
      <c r="CX72" s="261"/>
      <c r="CY72" s="261"/>
      <c r="CZ72" s="261"/>
      <c r="DA72" s="261"/>
      <c r="DB72" s="261"/>
      <c r="DC72" s="261"/>
      <c r="DD72" s="261"/>
      <c r="DE72" s="261"/>
      <c r="DF72" s="261"/>
      <c r="DG72" s="261"/>
      <c r="DH72" s="261"/>
      <c r="DI72" s="261"/>
      <c r="DJ72" s="261"/>
      <c r="DK72" s="261"/>
      <c r="DL72" s="261"/>
      <c r="DM72" s="261"/>
      <c r="DN72" s="261"/>
      <c r="DO72" s="261"/>
      <c r="DP72" s="261"/>
      <c r="DQ72" s="261"/>
      <c r="DR72" s="261"/>
      <c r="DS72" s="261"/>
      <c r="DT72" s="261"/>
      <c r="DU72" s="261"/>
      <c r="DV72" s="261"/>
      <c r="DW72" s="261"/>
      <c r="DX72" s="261"/>
      <c r="DY72" s="261"/>
      <c r="DZ72" s="261"/>
      <c r="EA72" s="261"/>
      <c r="EB72" s="261"/>
      <c r="EC72" s="261"/>
      <c r="ED72" s="261"/>
      <c r="EE72" s="261"/>
      <c r="EF72" s="261"/>
      <c r="EG72" s="261"/>
      <c r="EH72" s="261"/>
      <c r="EI72" s="261"/>
      <c r="EJ72" s="261"/>
      <c r="EK72" s="261"/>
      <c r="EL72" s="261"/>
      <c r="EM72" s="261"/>
      <c r="EN72" s="261"/>
      <c r="EO72" s="261"/>
      <c r="EP72" s="261"/>
      <c r="EQ72" s="261"/>
      <c r="ER72" s="261"/>
      <c r="ES72" s="261"/>
      <c r="ET72" s="261"/>
      <c r="EU72" s="261"/>
      <c r="EV72" s="261"/>
      <c r="EW72" s="261"/>
      <c r="EX72" s="261"/>
      <c r="EY72" s="261"/>
      <c r="EZ72" s="261"/>
      <c r="FA72" s="261"/>
      <c r="FB72" s="261"/>
      <c r="FC72" s="261"/>
      <c r="FD72" s="261"/>
      <c r="FE72" s="261"/>
      <c r="FF72" s="261"/>
      <c r="FG72" s="261"/>
      <c r="FH72" s="261"/>
      <c r="FI72" s="261"/>
      <c r="FJ72" s="261"/>
      <c r="FK72" s="261"/>
      <c r="FL72" s="261"/>
      <c r="FM72" s="261"/>
      <c r="FN72" s="261"/>
      <c r="FO72" s="261"/>
      <c r="FP72" s="261"/>
      <c r="FQ72" s="261"/>
      <c r="FR72" s="261"/>
      <c r="FS72" s="261"/>
      <c r="FT72" s="261"/>
      <c r="FU72" s="261"/>
      <c r="FV72" s="261"/>
      <c r="FW72" s="261"/>
      <c r="FX72" s="261"/>
      <c r="FY72" s="261"/>
      <c r="FZ72" s="261"/>
      <c r="GA72" s="261"/>
      <c r="GB72" s="261"/>
      <c r="GC72" s="261"/>
      <c r="GD72" s="261"/>
      <c r="GE72" s="261"/>
      <c r="GF72" s="261"/>
      <c r="GG72" s="261"/>
      <c r="GH72" s="261"/>
      <c r="GI72" s="261"/>
      <c r="GJ72" s="261"/>
      <c r="GK72" s="261"/>
      <c r="GL72" s="261"/>
      <c r="GM72" s="261"/>
      <c r="GN72" s="261"/>
      <c r="GO72" s="261"/>
      <c r="GP72" s="261"/>
      <c r="GQ72" s="261"/>
      <c r="GR72" s="261"/>
      <c r="GS72" s="261"/>
      <c r="GT72" s="261"/>
      <c r="GU72" s="261"/>
      <c r="GV72" s="261"/>
      <c r="GW72" s="261"/>
      <c r="GX72" s="261"/>
      <c r="GY72" s="261"/>
      <c r="GZ72" s="261"/>
      <c r="HA72" s="261"/>
      <c r="HB72" s="261"/>
      <c r="HC72" s="261"/>
      <c r="HD72" s="261"/>
      <c r="HE72" s="261"/>
      <c r="HF72" s="261"/>
      <c r="HG72" s="261"/>
      <c r="HH72" s="261"/>
      <c r="HI72" s="261"/>
      <c r="HJ72" s="261"/>
      <c r="HK72" s="261"/>
      <c r="HL72" s="261"/>
      <c r="HM72" s="261"/>
      <c r="HN72" s="261"/>
      <c r="HO72" s="261"/>
      <c r="HP72" s="261"/>
      <c r="HQ72" s="261"/>
      <c r="HR72" s="261"/>
      <c r="HS72" s="261"/>
      <c r="HT72" s="261"/>
      <c r="HU72" s="261"/>
      <c r="HV72" s="261"/>
      <c r="HW72" s="261"/>
      <c r="HX72" s="261"/>
      <c r="HY72" s="261"/>
      <c r="HZ72" s="261"/>
      <c r="IA72" s="261"/>
      <c r="IB72" s="261"/>
      <c r="IC72" s="261"/>
      <c r="ID72" s="261"/>
      <c r="IE72" s="261"/>
      <c r="IF72" s="261"/>
      <c r="IG72" s="261"/>
      <c r="IH72" s="261"/>
      <c r="II72" s="261"/>
      <c r="IJ72" s="261"/>
      <c r="IK72" s="261"/>
      <c r="IL72" s="261"/>
      <c r="IM72" s="261"/>
      <c r="IN72" s="261"/>
      <c r="IO72" s="261"/>
      <c r="IP72" s="261"/>
      <c r="IQ72" s="261"/>
      <c r="IR72" s="261"/>
      <c r="IS72" s="261"/>
      <c r="IT72" s="261"/>
      <c r="IU72" s="261"/>
      <c r="IV72" s="261"/>
      <c r="IW72" s="261"/>
      <c r="IX72" s="261"/>
      <c r="IY72" s="261"/>
      <c r="IZ72" s="261"/>
      <c r="JA72" s="261"/>
      <c r="JB72" s="261"/>
      <c r="JC72" s="261"/>
      <c r="JD72" s="261"/>
      <c r="JE72" s="261"/>
      <c r="JF72" s="261"/>
      <c r="JG72" s="261"/>
      <c r="JH72" s="261"/>
      <c r="JI72" s="261"/>
      <c r="JJ72" s="261"/>
      <c r="JK72" s="261"/>
      <c r="JL72" s="261"/>
      <c r="JM72" s="261"/>
      <c r="JN72" s="261"/>
      <c r="JO72" s="261"/>
      <c r="JP72" s="261"/>
      <c r="JQ72" s="261"/>
      <c r="JR72" s="261"/>
      <c r="JS72" s="261"/>
      <c r="JT72" s="261"/>
      <c r="JU72" s="261"/>
      <c r="JV72" s="261"/>
      <c r="JW72" s="261"/>
      <c r="JX72" s="261"/>
      <c r="JY72" s="261"/>
      <c r="JZ72" s="261"/>
      <c r="KA72" s="261"/>
      <c r="KB72" s="261"/>
      <c r="KC72" s="261"/>
      <c r="KD72" s="261"/>
      <c r="KE72" s="261"/>
      <c r="KF72" s="261"/>
      <c r="KG72" s="261"/>
      <c r="KH72" s="261"/>
      <c r="KI72" s="261"/>
      <c r="KJ72" s="261"/>
      <c r="KK72" s="261"/>
      <c r="KL72" s="261"/>
      <c r="KM72" s="261"/>
      <c r="KN72" s="261"/>
      <c r="KO72" s="261"/>
      <c r="KP72" s="261"/>
      <c r="KQ72" s="261"/>
      <c r="KR72" s="261"/>
      <c r="KS72" s="261"/>
      <c r="KT72" s="261"/>
      <c r="KU72" s="261"/>
      <c r="KV72" s="261"/>
      <c r="KW72" s="261"/>
      <c r="KX72" s="261"/>
      <c r="KY72" s="261"/>
      <c r="KZ72" s="261"/>
      <c r="LA72" s="261"/>
      <c r="LB72" s="261"/>
      <c r="LC72" s="261"/>
      <c r="LD72" s="261"/>
      <c r="LE72" s="261"/>
      <c r="LF72" s="261"/>
      <c r="LG72" s="261"/>
      <c r="LH72" s="261"/>
      <c r="LI72" s="261"/>
      <c r="LJ72" s="261"/>
      <c r="LK72" s="261"/>
      <c r="LL72" s="261"/>
      <c r="LM72" s="261"/>
      <c r="LN72" s="261"/>
      <c r="LO72" s="261"/>
      <c r="LP72" s="261"/>
      <c r="LQ72" s="261"/>
      <c r="LR72" s="261"/>
      <c r="LS72" s="261"/>
      <c r="LT72" s="261"/>
      <c r="LU72" s="261"/>
      <c r="LV72" s="261"/>
      <c r="LW72" s="261"/>
      <c r="LX72" s="261"/>
      <c r="LY72" s="261"/>
      <c r="LZ72" s="261"/>
      <c r="MA72" s="261"/>
      <c r="MB72" s="261"/>
      <c r="MC72" s="261"/>
      <c r="MD72" s="261"/>
      <c r="ME72" s="261"/>
      <c r="MF72" s="261"/>
      <c r="MG72" s="261"/>
      <c r="MH72" s="261"/>
      <c r="MI72" s="261"/>
      <c r="MJ72" s="261"/>
      <c r="MK72" s="261"/>
      <c r="ML72" s="261"/>
      <c r="MM72" s="261"/>
      <c r="MN72" s="261"/>
      <c r="MO72" s="261"/>
      <c r="MP72" s="261"/>
      <c r="MQ72" s="261"/>
      <c r="MR72" s="261"/>
      <c r="MS72" s="261"/>
      <c r="MT72" s="261"/>
      <c r="MU72" s="261"/>
      <c r="MV72" s="261"/>
      <c r="MW72" s="261"/>
      <c r="MX72" s="261"/>
      <c r="MY72" s="261"/>
      <c r="MZ72" s="261"/>
      <c r="NA72" s="261"/>
      <c r="NB72" s="261"/>
      <c r="NC72" s="261"/>
      <c r="ND72" s="261"/>
      <c r="NE72" s="261"/>
      <c r="NF72" s="261"/>
      <c r="NG72" s="261"/>
      <c r="NH72" s="261"/>
      <c r="NI72" s="261"/>
      <c r="NJ72" s="261"/>
      <c r="NK72" s="261"/>
      <c r="NL72" s="261"/>
      <c r="NM72" s="261"/>
      <c r="NN72" s="261"/>
      <c r="NO72" s="261"/>
      <c r="NP72" s="261"/>
      <c r="NQ72" s="261"/>
      <c r="NR72" s="261"/>
      <c r="NS72" s="261"/>
      <c r="NT72" s="261"/>
      <c r="NU72" s="261"/>
      <c r="NV72" s="261"/>
      <c r="NW72" s="261"/>
      <c r="NX72" s="261"/>
      <c r="NY72" s="261"/>
      <c r="NZ72" s="261"/>
      <c r="OA72" s="261"/>
      <c r="OB72" s="261"/>
      <c r="OC72" s="261"/>
      <c r="OD72" s="261"/>
      <c r="OE72" s="261"/>
      <c r="OF72" s="261"/>
      <c r="OG72" s="261"/>
      <c r="OH72" s="261"/>
      <c r="OI72" s="261"/>
      <c r="OJ72" s="261"/>
      <c r="OK72" s="261"/>
      <c r="OL72" s="261"/>
      <c r="OM72" s="261"/>
      <c r="ON72" s="261"/>
      <c r="OO72" s="261"/>
      <c r="OP72" s="261"/>
      <c r="OQ72" s="261"/>
      <c r="OR72" s="261"/>
      <c r="OS72" s="261"/>
      <c r="OT72" s="261"/>
      <c r="OU72" s="261"/>
      <c r="OV72" s="261"/>
      <c r="OW72" s="261"/>
      <c r="OX72" s="261"/>
      <c r="OY72" s="261"/>
      <c r="OZ72" s="261"/>
      <c r="PA72" s="261"/>
      <c r="PB72" s="261"/>
      <c r="PC72" s="261"/>
      <c r="PD72" s="261"/>
      <c r="PE72" s="261"/>
      <c r="PF72" s="261"/>
      <c r="PG72" s="261"/>
      <c r="PH72" s="261"/>
      <c r="PI72" s="261"/>
      <c r="PJ72" s="261"/>
      <c r="PK72" s="261"/>
      <c r="PL72" s="261"/>
      <c r="PM72" s="261"/>
      <c r="PN72" s="261"/>
      <c r="PO72" s="261"/>
      <c r="PP72" s="261"/>
      <c r="PQ72" s="261"/>
      <c r="PR72" s="261"/>
      <c r="PS72" s="261"/>
      <c r="PT72" s="261"/>
      <c r="PU72" s="261"/>
      <c r="PV72" s="261"/>
      <c r="PW72" s="261"/>
      <c r="PX72" s="261"/>
      <c r="PY72" s="261"/>
      <c r="PZ72" s="261"/>
      <c r="QA72" s="261"/>
      <c r="QB72" s="261"/>
      <c r="QC72" s="261"/>
      <c r="QD72" s="261"/>
      <c r="QE72" s="261"/>
      <c r="QF72" s="261"/>
      <c r="QG72" s="261"/>
      <c r="QH72" s="261"/>
      <c r="QI72" s="261"/>
      <c r="QJ72" s="261"/>
      <c r="QK72" s="261"/>
      <c r="QL72" s="261"/>
      <c r="QM72" s="261"/>
      <c r="QN72" s="261"/>
      <c r="QO72" s="261"/>
      <c r="QP72" s="261"/>
      <c r="QQ72" s="261"/>
      <c r="QR72" s="261"/>
      <c r="QS72" s="261"/>
      <c r="QT72" s="261"/>
      <c r="QU72" s="261"/>
      <c r="QV72" s="261"/>
      <c r="QW72" s="261"/>
      <c r="QX72" s="261"/>
      <c r="QY72" s="261"/>
      <c r="QZ72" s="261"/>
      <c r="RA72" s="261"/>
      <c r="RB72" s="261"/>
      <c r="RC72" s="261"/>
      <c r="RD72" s="261"/>
      <c r="RE72" s="261"/>
      <c r="RF72" s="261"/>
      <c r="RG72" s="261"/>
      <c r="RH72" s="261"/>
      <c r="RI72" s="261"/>
      <c r="RJ72" s="261"/>
      <c r="RK72" s="261"/>
      <c r="RL72" s="261"/>
      <c r="RM72" s="261"/>
      <c r="RN72" s="261"/>
      <c r="RO72" s="261"/>
      <c r="RP72" s="261"/>
      <c r="RQ72" s="261"/>
      <c r="RR72" s="261"/>
      <c r="RS72" s="261"/>
      <c r="RT72" s="261"/>
      <c r="RU72" s="261"/>
      <c r="RV72" s="261"/>
      <c r="RW72" s="261"/>
      <c r="RX72" s="261"/>
      <c r="RY72" s="261"/>
      <c r="RZ72" s="261"/>
      <c r="SA72" s="261"/>
      <c r="SB72" s="261"/>
      <c r="SC72" s="261"/>
      <c r="SD72" s="261"/>
      <c r="SE72" s="261"/>
      <c r="SF72" s="261"/>
      <c r="SG72" s="261"/>
      <c r="SH72" s="261"/>
      <c r="SI72" s="261"/>
      <c r="SJ72" s="261"/>
      <c r="SK72" s="261"/>
      <c r="SL72" s="261"/>
      <c r="SM72" s="261"/>
      <c r="SN72" s="261"/>
      <c r="SO72" s="261"/>
      <c r="SP72" s="261"/>
      <c r="SQ72" s="261"/>
      <c r="SR72" s="261"/>
      <c r="SS72" s="261"/>
      <c r="ST72" s="261"/>
      <c r="SU72" s="261"/>
      <c r="SV72" s="261"/>
      <c r="SW72" s="261"/>
      <c r="SX72" s="261"/>
      <c r="SY72" s="261"/>
      <c r="SZ72" s="261"/>
      <c r="TA72" s="261"/>
      <c r="TB72" s="261"/>
      <c r="TC72" s="261"/>
      <c r="TD72" s="261"/>
      <c r="TE72" s="261"/>
      <c r="TF72" s="261"/>
      <c r="TG72" s="261"/>
      <c r="TH72" s="261"/>
      <c r="TI72" s="261"/>
      <c r="TJ72" s="261"/>
      <c r="TK72" s="261"/>
      <c r="TL72" s="261"/>
      <c r="TM72" s="261"/>
      <c r="TN72" s="261"/>
      <c r="TO72" s="261"/>
      <c r="TP72" s="261"/>
      <c r="TQ72" s="261"/>
      <c r="TR72" s="261"/>
      <c r="TS72" s="261"/>
      <c r="TT72" s="261"/>
      <c r="TU72" s="261"/>
      <c r="TV72" s="261"/>
      <c r="TW72" s="261"/>
      <c r="TX72" s="261"/>
      <c r="TY72" s="261"/>
      <c r="TZ72" s="261"/>
      <c r="UA72" s="261"/>
      <c r="UB72" s="261"/>
      <c r="UC72" s="261"/>
      <c r="UD72" s="261"/>
      <c r="UE72" s="261"/>
      <c r="UF72" s="261"/>
      <c r="UG72" s="261"/>
      <c r="UH72" s="261"/>
      <c r="UI72" s="261"/>
      <c r="UJ72" s="261"/>
      <c r="UK72" s="261"/>
      <c r="UL72" s="261"/>
      <c r="UM72" s="261"/>
      <c r="UN72" s="261"/>
      <c r="UO72" s="261"/>
      <c r="UP72" s="261"/>
      <c r="UQ72" s="261"/>
      <c r="UR72" s="261"/>
      <c r="US72" s="261"/>
      <c r="UT72" s="261"/>
      <c r="UU72" s="261"/>
      <c r="UV72" s="261"/>
      <c r="UW72" s="261"/>
      <c r="UX72" s="261"/>
      <c r="UY72" s="261"/>
      <c r="UZ72" s="261"/>
      <c r="VA72" s="261"/>
      <c r="VB72" s="261"/>
      <c r="VC72" s="261"/>
      <c r="VD72" s="261"/>
      <c r="VE72" s="261"/>
      <c r="VF72" s="261"/>
      <c r="VG72" s="261"/>
      <c r="VH72" s="261"/>
      <c r="VI72" s="261"/>
      <c r="VJ72" s="261"/>
      <c r="VK72" s="261"/>
      <c r="VL72" s="261"/>
      <c r="VM72" s="261"/>
      <c r="VN72" s="261"/>
      <c r="VO72" s="261"/>
      <c r="VP72" s="261"/>
      <c r="VQ72" s="261"/>
      <c r="VR72" s="261"/>
      <c r="VS72" s="261"/>
      <c r="VT72" s="261"/>
      <c r="VU72" s="261"/>
      <c r="VV72" s="261"/>
      <c r="VW72" s="261"/>
      <c r="VX72" s="261"/>
      <c r="VY72" s="261"/>
      <c r="VZ72" s="261"/>
      <c r="WA72" s="261"/>
      <c r="WB72" s="261"/>
      <c r="WC72" s="261"/>
      <c r="WD72" s="261"/>
      <c r="WE72" s="261"/>
      <c r="WF72" s="261"/>
      <c r="WG72" s="261"/>
      <c r="WH72" s="261"/>
      <c r="WI72" s="261"/>
      <c r="WJ72" s="261"/>
      <c r="WK72" s="261"/>
      <c r="WL72" s="261"/>
      <c r="WM72" s="261"/>
      <c r="WN72" s="261"/>
      <c r="WO72" s="261"/>
      <c r="WP72" s="261"/>
      <c r="WQ72" s="261"/>
      <c r="WR72" s="261"/>
      <c r="WS72" s="261"/>
      <c r="WT72" s="261"/>
      <c r="WU72" s="261"/>
      <c r="WV72" s="261"/>
      <c r="WW72" s="261"/>
      <c r="WX72" s="261"/>
      <c r="WY72" s="261"/>
      <c r="WZ72" s="261"/>
      <c r="XA72" s="261"/>
      <c r="XB72" s="261"/>
      <c r="XC72" s="261"/>
      <c r="XD72" s="261"/>
      <c r="XE72" s="261"/>
      <c r="XF72" s="261"/>
      <c r="XG72" s="261"/>
      <c r="XH72" s="261"/>
      <c r="XI72" s="261"/>
      <c r="XJ72" s="261"/>
      <c r="XK72" s="261"/>
      <c r="XL72" s="261"/>
      <c r="XM72" s="261"/>
      <c r="XN72" s="261"/>
      <c r="XO72" s="261"/>
      <c r="XP72" s="261"/>
      <c r="XQ72" s="261"/>
      <c r="XR72" s="261"/>
      <c r="XS72" s="261"/>
      <c r="XT72" s="261"/>
      <c r="XU72" s="261"/>
      <c r="XV72" s="261"/>
      <c r="XW72" s="261"/>
      <c r="XX72" s="261"/>
      <c r="XY72" s="261"/>
      <c r="XZ72" s="261"/>
      <c r="YA72" s="261"/>
      <c r="YB72" s="261"/>
      <c r="YC72" s="261"/>
      <c r="YD72" s="261"/>
      <c r="YE72" s="261"/>
      <c r="YF72" s="261"/>
      <c r="YG72" s="261"/>
      <c r="YH72" s="261"/>
      <c r="YI72" s="261"/>
      <c r="YJ72" s="261"/>
      <c r="YK72" s="261"/>
      <c r="YL72" s="261"/>
      <c r="YM72" s="261"/>
      <c r="YN72" s="261"/>
      <c r="YO72" s="261"/>
      <c r="YP72" s="261"/>
      <c r="YQ72" s="261"/>
      <c r="YR72" s="261"/>
      <c r="YS72" s="261"/>
      <c r="YT72" s="261"/>
      <c r="YU72" s="261"/>
      <c r="YV72" s="261"/>
      <c r="YW72" s="261"/>
      <c r="YX72" s="261"/>
      <c r="YY72" s="261"/>
      <c r="YZ72" s="261"/>
      <c r="ZA72" s="261"/>
      <c r="ZB72" s="261"/>
      <c r="ZC72" s="261"/>
      <c r="ZD72" s="261"/>
      <c r="ZE72" s="261"/>
      <c r="ZF72" s="261"/>
      <c r="ZG72" s="261"/>
      <c r="ZH72" s="261"/>
      <c r="ZI72" s="261"/>
      <c r="ZJ72" s="261"/>
      <c r="ZK72" s="261"/>
      <c r="ZL72" s="261"/>
      <c r="ZM72" s="261"/>
      <c r="ZN72" s="261"/>
      <c r="ZO72" s="261"/>
      <c r="ZP72" s="261"/>
      <c r="ZQ72" s="261"/>
      <c r="ZR72" s="261"/>
      <c r="ZS72" s="261"/>
      <c r="ZT72" s="261"/>
      <c r="ZU72" s="261"/>
      <c r="ZV72" s="261"/>
      <c r="ZW72" s="261"/>
      <c r="ZX72" s="261"/>
      <c r="ZY72" s="261"/>
      <c r="ZZ72" s="261"/>
      <c r="AAA72" s="261"/>
      <c r="AAB72" s="261"/>
      <c r="AAC72" s="261"/>
      <c r="AAD72" s="261"/>
      <c r="AAE72" s="261"/>
      <c r="AAF72" s="261"/>
      <c r="AAG72" s="261"/>
      <c r="AAH72" s="261"/>
      <c r="AAI72" s="261"/>
      <c r="AAJ72" s="261"/>
      <c r="AAK72" s="261"/>
      <c r="AAL72" s="261"/>
      <c r="AAM72" s="261"/>
      <c r="AAN72" s="261"/>
      <c r="AAO72" s="261"/>
      <c r="AAP72" s="261"/>
      <c r="AAQ72" s="261"/>
      <c r="AAR72" s="261"/>
      <c r="AAS72" s="261"/>
      <c r="AAT72" s="261"/>
      <c r="AAU72" s="261"/>
      <c r="AAV72" s="261"/>
      <c r="AAW72" s="261"/>
      <c r="AAX72" s="261"/>
      <c r="AAY72" s="261"/>
      <c r="AAZ72" s="261"/>
      <c r="ABA72" s="261"/>
      <c r="ABB72" s="261"/>
      <c r="ABC72" s="261"/>
      <c r="ABD72" s="261"/>
      <c r="ABE72" s="261"/>
      <c r="ABF72" s="261"/>
      <c r="ABG72" s="261"/>
      <c r="ABH72" s="261"/>
      <c r="ABI72" s="261"/>
      <c r="ABJ72" s="261"/>
      <c r="ABK72" s="261"/>
      <c r="ABL72" s="261"/>
      <c r="ABM72" s="261"/>
      <c r="ABN72" s="261"/>
      <c r="ABO72" s="261"/>
      <c r="ABP72" s="261"/>
      <c r="ABQ72" s="261"/>
      <c r="ABR72" s="261"/>
      <c r="ABS72" s="261"/>
      <c r="ABT72" s="261"/>
      <c r="ABU72" s="261"/>
      <c r="ABV72" s="261"/>
      <c r="ABW72" s="261"/>
      <c r="ABX72" s="261"/>
      <c r="ABY72" s="261"/>
      <c r="ABZ72" s="261"/>
      <c r="ACA72" s="261"/>
      <c r="ACB72" s="261"/>
      <c r="ACC72" s="261"/>
      <c r="ACD72" s="261"/>
      <c r="ACE72" s="261"/>
      <c r="ACF72" s="261"/>
      <c r="ACG72" s="261"/>
      <c r="ACH72" s="261"/>
      <c r="ACI72" s="261"/>
      <c r="ACJ72" s="261"/>
      <c r="ACK72" s="261"/>
      <c r="ACL72" s="261"/>
      <c r="ACM72" s="261"/>
      <c r="ACN72" s="261"/>
      <c r="ACO72" s="261"/>
      <c r="ACP72" s="261"/>
      <c r="ACQ72" s="261"/>
      <c r="ACR72" s="261"/>
      <c r="ACS72" s="261"/>
      <c r="ACT72" s="261"/>
      <c r="ACU72" s="261"/>
      <c r="ACV72" s="261"/>
      <c r="ACW72" s="261"/>
      <c r="ACX72" s="261"/>
      <c r="ACY72" s="261"/>
      <c r="ACZ72" s="261"/>
      <c r="ADA72" s="261"/>
      <c r="ADB72" s="261"/>
      <c r="ADC72" s="261"/>
      <c r="ADD72" s="261"/>
      <c r="ADE72" s="261"/>
      <c r="ADF72" s="261"/>
      <c r="ADG72" s="261"/>
      <c r="ADH72" s="261"/>
      <c r="ADI72" s="261"/>
      <c r="ADJ72" s="261"/>
      <c r="ADK72" s="261"/>
      <c r="ADL72" s="261"/>
      <c r="ADM72" s="261"/>
      <c r="ADN72" s="261"/>
      <c r="ADO72" s="261"/>
      <c r="ADP72" s="261"/>
      <c r="ADQ72" s="261"/>
      <c r="ADR72" s="261"/>
      <c r="ADS72" s="261"/>
      <c r="ADT72" s="261"/>
      <c r="ADU72" s="261"/>
      <c r="ADV72" s="261"/>
      <c r="ADW72" s="261"/>
      <c r="ADX72" s="261"/>
      <c r="ADY72" s="261"/>
      <c r="ADZ72" s="261"/>
      <c r="AEA72" s="261"/>
      <c r="AEB72" s="261"/>
      <c r="AEC72" s="261"/>
      <c r="AED72" s="261"/>
      <c r="AEE72" s="261"/>
      <c r="AEF72" s="261"/>
      <c r="AEG72" s="261"/>
      <c r="AEH72" s="261"/>
      <c r="AEI72" s="261"/>
      <c r="AEJ72" s="261"/>
      <c r="AEK72" s="261"/>
      <c r="AEL72" s="261"/>
      <c r="AEM72" s="261"/>
      <c r="AEN72" s="261"/>
      <c r="AEO72" s="261"/>
      <c r="AEP72" s="261"/>
      <c r="AEQ72" s="261"/>
      <c r="AER72" s="261"/>
      <c r="AES72" s="261"/>
      <c r="AET72" s="261"/>
      <c r="AEU72" s="261"/>
      <c r="AEV72" s="261"/>
      <c r="AEW72" s="261"/>
      <c r="AEX72" s="261"/>
      <c r="AEY72" s="261"/>
      <c r="AEZ72" s="261"/>
      <c r="AFA72" s="261"/>
      <c r="AFB72" s="261"/>
      <c r="AFC72" s="261"/>
      <c r="AFD72" s="261"/>
      <c r="AFE72" s="261"/>
      <c r="AFF72" s="261"/>
      <c r="AFG72" s="261"/>
      <c r="AFH72" s="261"/>
      <c r="AFI72" s="261"/>
      <c r="AFJ72" s="261"/>
      <c r="AFK72" s="261"/>
      <c r="AFL72" s="261"/>
      <c r="AFM72" s="261"/>
      <c r="AFN72" s="261"/>
      <c r="AFO72" s="261"/>
      <c r="AFP72" s="261"/>
      <c r="AFQ72" s="261"/>
      <c r="AFR72" s="261"/>
      <c r="AFS72" s="261"/>
      <c r="AFT72" s="261"/>
      <c r="AFU72" s="261"/>
      <c r="AFV72" s="261"/>
      <c r="AFW72" s="261"/>
      <c r="AFX72" s="261"/>
      <c r="AFY72" s="261"/>
      <c r="AFZ72" s="261"/>
      <c r="AGA72" s="261"/>
      <c r="AGB72" s="261"/>
      <c r="AGC72" s="261"/>
      <c r="AGD72" s="261"/>
      <c r="AGE72" s="261"/>
      <c r="AGF72" s="261"/>
      <c r="AGG72" s="261"/>
      <c r="AGH72" s="261"/>
      <c r="AGI72" s="261"/>
      <c r="AGJ72" s="261"/>
      <c r="AGK72" s="261"/>
      <c r="AGL72" s="261"/>
      <c r="AGM72" s="261"/>
      <c r="AGN72" s="261"/>
      <c r="AGO72" s="261"/>
      <c r="AGP72" s="261"/>
      <c r="AGQ72" s="261"/>
      <c r="AGR72" s="261"/>
      <c r="AGS72" s="261"/>
      <c r="AGT72" s="261"/>
      <c r="AGU72" s="261"/>
      <c r="AGV72" s="261"/>
      <c r="AGW72" s="261"/>
      <c r="AGX72" s="261"/>
      <c r="AGY72" s="261"/>
      <c r="AGZ72" s="261"/>
      <c r="AHA72" s="261"/>
      <c r="AHB72" s="261"/>
      <c r="AHC72" s="261"/>
      <c r="AHD72" s="261"/>
      <c r="AHE72" s="261"/>
      <c r="AHF72" s="261"/>
      <c r="AHG72" s="261"/>
      <c r="AHH72" s="261"/>
      <c r="AHI72" s="261"/>
      <c r="AHJ72" s="261"/>
      <c r="AHK72" s="261"/>
      <c r="AHL72" s="261"/>
      <c r="AHM72" s="261"/>
      <c r="AHN72" s="261"/>
      <c r="AHO72" s="261"/>
      <c r="AHP72" s="261"/>
      <c r="AHQ72" s="261"/>
      <c r="AHR72" s="261"/>
      <c r="AHS72" s="261"/>
      <c r="AHT72" s="261"/>
      <c r="AHU72" s="261"/>
      <c r="AHV72" s="261"/>
      <c r="AHW72" s="261"/>
      <c r="AHX72" s="261"/>
      <c r="AHY72" s="261"/>
      <c r="AHZ72" s="261"/>
      <c r="AIA72" s="261"/>
      <c r="AIB72" s="261"/>
      <c r="AIC72" s="261"/>
      <c r="AID72" s="261"/>
      <c r="AIE72" s="261"/>
      <c r="AIF72" s="261"/>
      <c r="AIG72" s="261"/>
      <c r="AIH72" s="261"/>
      <c r="AII72" s="261"/>
      <c r="AIJ72" s="261"/>
      <c r="AIK72" s="261"/>
      <c r="AIL72" s="261"/>
      <c r="AIM72" s="261"/>
      <c r="AIN72" s="261"/>
      <c r="AIO72" s="261"/>
      <c r="AIP72" s="261"/>
      <c r="AIQ72" s="261"/>
      <c r="AIR72" s="261"/>
      <c r="AIS72" s="261"/>
      <c r="AIT72" s="261"/>
      <c r="AIU72" s="261"/>
      <c r="AIV72" s="261"/>
      <c r="AIW72" s="261"/>
      <c r="AIX72" s="261"/>
      <c r="AIY72" s="261"/>
      <c r="AIZ72" s="261"/>
      <c r="AJA72" s="261"/>
      <c r="AJB72" s="261"/>
      <c r="AJC72" s="261"/>
      <c r="AJD72" s="261"/>
      <c r="AJE72" s="261"/>
      <c r="AJF72" s="261"/>
      <c r="AJG72" s="261"/>
      <c r="AJH72" s="261"/>
      <c r="AJI72" s="261"/>
      <c r="AJJ72" s="261"/>
      <c r="AJK72" s="261"/>
      <c r="AJL72" s="261"/>
      <c r="AJM72" s="261"/>
      <c r="AJN72" s="261"/>
      <c r="AJO72" s="261"/>
      <c r="AJP72" s="261"/>
      <c r="AJQ72" s="261"/>
      <c r="AJR72" s="261"/>
      <c r="AJS72" s="261"/>
      <c r="AJT72" s="261"/>
      <c r="AJU72" s="261"/>
      <c r="AJV72" s="261"/>
      <c r="AJW72" s="261"/>
      <c r="AJX72" s="261"/>
      <c r="AJY72" s="261"/>
      <c r="AJZ72" s="261"/>
      <c r="AKA72" s="261"/>
      <c r="AKB72" s="261"/>
      <c r="AKC72" s="261"/>
      <c r="AKD72" s="261"/>
      <c r="AKE72" s="261"/>
      <c r="AKF72" s="261"/>
      <c r="AKG72" s="261"/>
      <c r="AKH72" s="261"/>
      <c r="AKI72" s="261"/>
      <c r="AKJ72" s="261"/>
      <c r="AKK72" s="261"/>
      <c r="AKL72" s="261"/>
      <c r="AKM72" s="261"/>
      <c r="AKN72" s="261"/>
      <c r="AKO72" s="261"/>
      <c r="AKP72" s="261"/>
      <c r="AKQ72" s="261"/>
      <c r="AKR72" s="261"/>
      <c r="AKS72" s="261"/>
      <c r="AKT72" s="261"/>
      <c r="AKU72" s="261"/>
      <c r="AKV72" s="261"/>
      <c r="AKW72" s="261"/>
      <c r="AKX72" s="261"/>
      <c r="AKY72" s="261"/>
      <c r="AKZ72" s="261"/>
      <c r="ALA72" s="261"/>
      <c r="ALB72" s="261"/>
      <c r="ALC72" s="261"/>
      <c r="ALD72" s="261"/>
      <c r="ALE72" s="261"/>
      <c r="ALF72" s="261"/>
      <c r="ALG72" s="261"/>
      <c r="ALH72" s="261"/>
      <c r="ALI72" s="261"/>
      <c r="ALJ72" s="261"/>
      <c r="ALK72" s="261"/>
      <c r="ALL72" s="261"/>
      <c r="ALM72" s="261"/>
      <c r="ALN72" s="261"/>
      <c r="ALO72" s="261"/>
      <c r="ALP72" s="261"/>
      <c r="ALQ72" s="261"/>
      <c r="ALR72" s="261"/>
      <c r="ALS72" s="261"/>
      <c r="ALT72" s="261"/>
      <c r="ALU72" s="261"/>
      <c r="ALV72" s="261"/>
      <c r="ALW72" s="261"/>
      <c r="ALX72" s="261"/>
      <c r="ALY72" s="261"/>
      <c r="ALZ72" s="261"/>
      <c r="AMA72" s="261"/>
      <c r="AMB72" s="261"/>
      <c r="AMC72" s="261"/>
      <c r="AMD72" s="261"/>
      <c r="AME72" s="261"/>
      <c r="AMF72" s="261"/>
      <c r="AMG72" s="261"/>
      <c r="AMH72" s="261"/>
      <c r="AMI72" s="261"/>
      <c r="AMJ72" s="261"/>
    </row>
    <row r="73" spans="12:1024" ht="15.95" customHeight="1">
      <c r="L73" s="261"/>
      <c r="M73" s="296"/>
      <c r="N73" s="261"/>
      <c r="O73" s="261"/>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1"/>
      <c r="AU73" s="261"/>
      <c r="AV73" s="261"/>
      <c r="AW73" s="261"/>
      <c r="AX73" s="261"/>
      <c r="AY73" s="261"/>
      <c r="AZ73" s="261"/>
      <c r="BA73" s="261"/>
      <c r="BB73" s="261"/>
      <c r="BC73" s="261"/>
      <c r="BD73" s="261"/>
      <c r="BE73" s="261"/>
      <c r="BF73" s="261"/>
      <c r="BG73" s="261"/>
      <c r="BH73" s="261"/>
      <c r="BI73" s="261"/>
      <c r="BJ73" s="261"/>
      <c r="BK73" s="261"/>
      <c r="BL73" s="261"/>
      <c r="BM73" s="261"/>
      <c r="BN73" s="261"/>
      <c r="BO73" s="261"/>
      <c r="BP73" s="261"/>
      <c r="BQ73" s="261"/>
      <c r="BR73" s="261"/>
      <c r="BS73" s="261"/>
      <c r="BT73" s="261"/>
      <c r="BU73" s="261"/>
      <c r="BV73" s="261"/>
      <c r="BW73" s="261"/>
      <c r="BX73" s="261"/>
      <c r="BY73" s="261"/>
      <c r="BZ73" s="261"/>
      <c r="CA73" s="261"/>
      <c r="CB73" s="261"/>
      <c r="CC73" s="261"/>
      <c r="CD73" s="261"/>
      <c r="CE73" s="261"/>
      <c r="CF73" s="261"/>
      <c r="CG73" s="261"/>
      <c r="CH73" s="261"/>
      <c r="CI73" s="261"/>
      <c r="CJ73" s="261"/>
      <c r="CK73" s="261"/>
      <c r="CL73" s="261"/>
      <c r="CM73" s="261"/>
      <c r="CN73" s="261"/>
      <c r="CO73" s="261"/>
      <c r="CP73" s="261"/>
      <c r="CQ73" s="261"/>
      <c r="CR73" s="261"/>
      <c r="CS73" s="261"/>
      <c r="CT73" s="261"/>
      <c r="CU73" s="261"/>
      <c r="CV73" s="261"/>
      <c r="CW73" s="261"/>
      <c r="CX73" s="261"/>
      <c r="CY73" s="261"/>
      <c r="CZ73" s="261"/>
      <c r="DA73" s="261"/>
      <c r="DB73" s="261"/>
      <c r="DC73" s="261"/>
      <c r="DD73" s="261"/>
      <c r="DE73" s="261"/>
      <c r="DF73" s="261"/>
      <c r="DG73" s="261"/>
      <c r="DH73" s="261"/>
      <c r="DI73" s="261"/>
      <c r="DJ73" s="261"/>
      <c r="DK73" s="261"/>
      <c r="DL73" s="261"/>
      <c r="DM73" s="261"/>
      <c r="DN73" s="261"/>
      <c r="DO73" s="261"/>
      <c r="DP73" s="261"/>
      <c r="DQ73" s="261"/>
      <c r="DR73" s="261"/>
      <c r="DS73" s="261"/>
      <c r="DT73" s="261"/>
      <c r="DU73" s="261"/>
      <c r="DV73" s="261"/>
      <c r="DW73" s="261"/>
      <c r="DX73" s="261"/>
      <c r="DY73" s="261"/>
      <c r="DZ73" s="261"/>
      <c r="EA73" s="261"/>
      <c r="EB73" s="261"/>
      <c r="EC73" s="261"/>
      <c r="ED73" s="261"/>
      <c r="EE73" s="261"/>
      <c r="EF73" s="261"/>
      <c r="EG73" s="261"/>
      <c r="EH73" s="261"/>
      <c r="EI73" s="261"/>
      <c r="EJ73" s="261"/>
      <c r="EK73" s="261"/>
      <c r="EL73" s="261"/>
      <c r="EM73" s="261"/>
      <c r="EN73" s="261"/>
      <c r="EO73" s="261"/>
      <c r="EP73" s="261"/>
      <c r="EQ73" s="261"/>
      <c r="ER73" s="261"/>
      <c r="ES73" s="261"/>
      <c r="ET73" s="261"/>
      <c r="EU73" s="261"/>
      <c r="EV73" s="261"/>
      <c r="EW73" s="261"/>
      <c r="EX73" s="261"/>
      <c r="EY73" s="261"/>
      <c r="EZ73" s="261"/>
      <c r="FA73" s="261"/>
      <c r="FB73" s="261"/>
      <c r="FC73" s="261"/>
      <c r="FD73" s="261"/>
      <c r="FE73" s="261"/>
      <c r="FF73" s="261"/>
      <c r="FG73" s="261"/>
      <c r="FH73" s="261"/>
      <c r="FI73" s="261"/>
      <c r="FJ73" s="261"/>
      <c r="FK73" s="261"/>
      <c r="FL73" s="261"/>
      <c r="FM73" s="261"/>
      <c r="FN73" s="261"/>
      <c r="FO73" s="261"/>
      <c r="FP73" s="261"/>
      <c r="FQ73" s="261"/>
      <c r="FR73" s="261"/>
      <c r="FS73" s="261"/>
      <c r="FT73" s="261"/>
      <c r="FU73" s="261"/>
      <c r="FV73" s="261"/>
      <c r="FW73" s="261"/>
      <c r="FX73" s="261"/>
      <c r="FY73" s="261"/>
      <c r="FZ73" s="261"/>
      <c r="GA73" s="261"/>
      <c r="GB73" s="261"/>
      <c r="GC73" s="261"/>
      <c r="GD73" s="261"/>
      <c r="GE73" s="261"/>
      <c r="GF73" s="261"/>
      <c r="GG73" s="261"/>
      <c r="GH73" s="261"/>
      <c r="GI73" s="261"/>
      <c r="GJ73" s="261"/>
      <c r="GK73" s="261"/>
      <c r="GL73" s="261"/>
      <c r="GM73" s="261"/>
      <c r="GN73" s="261"/>
      <c r="GO73" s="261"/>
      <c r="GP73" s="261"/>
      <c r="GQ73" s="261"/>
      <c r="GR73" s="261"/>
      <c r="GS73" s="261"/>
      <c r="GT73" s="261"/>
      <c r="GU73" s="261"/>
      <c r="GV73" s="261"/>
      <c r="GW73" s="261"/>
      <c r="GX73" s="261"/>
      <c r="GY73" s="261"/>
      <c r="GZ73" s="261"/>
      <c r="HA73" s="261"/>
      <c r="HB73" s="261"/>
      <c r="HC73" s="261"/>
      <c r="HD73" s="261"/>
      <c r="HE73" s="261"/>
      <c r="HF73" s="261"/>
      <c r="HG73" s="261"/>
      <c r="HH73" s="261"/>
      <c r="HI73" s="261"/>
      <c r="HJ73" s="261"/>
      <c r="HK73" s="261"/>
      <c r="HL73" s="261"/>
      <c r="HM73" s="261"/>
      <c r="HN73" s="261"/>
      <c r="HO73" s="261"/>
      <c r="HP73" s="261"/>
      <c r="HQ73" s="261"/>
      <c r="HR73" s="261"/>
      <c r="HS73" s="261"/>
      <c r="HT73" s="261"/>
      <c r="HU73" s="261"/>
      <c r="HV73" s="261"/>
      <c r="HW73" s="261"/>
      <c r="HX73" s="261"/>
      <c r="HY73" s="261"/>
      <c r="HZ73" s="261"/>
      <c r="IA73" s="261"/>
      <c r="IB73" s="261"/>
      <c r="IC73" s="261"/>
      <c r="ID73" s="261"/>
      <c r="IE73" s="261"/>
      <c r="IF73" s="261"/>
      <c r="IG73" s="261"/>
      <c r="IH73" s="261"/>
      <c r="II73" s="261"/>
      <c r="IJ73" s="261"/>
      <c r="IK73" s="261"/>
      <c r="IL73" s="261"/>
      <c r="IM73" s="261"/>
      <c r="IN73" s="261"/>
      <c r="IO73" s="261"/>
      <c r="IP73" s="261"/>
      <c r="IQ73" s="261"/>
      <c r="IR73" s="261"/>
      <c r="IS73" s="261"/>
      <c r="IT73" s="261"/>
      <c r="IU73" s="261"/>
      <c r="IV73" s="261"/>
      <c r="IW73" s="261"/>
      <c r="IX73" s="261"/>
      <c r="IY73" s="261"/>
      <c r="IZ73" s="261"/>
      <c r="JA73" s="261"/>
      <c r="JB73" s="261"/>
      <c r="JC73" s="261"/>
      <c r="JD73" s="261"/>
      <c r="JE73" s="261"/>
      <c r="JF73" s="261"/>
      <c r="JG73" s="261"/>
      <c r="JH73" s="261"/>
      <c r="JI73" s="261"/>
      <c r="JJ73" s="261"/>
      <c r="JK73" s="261"/>
      <c r="JL73" s="261"/>
      <c r="JM73" s="261"/>
      <c r="JN73" s="261"/>
      <c r="JO73" s="261"/>
      <c r="JP73" s="261"/>
      <c r="JQ73" s="261"/>
      <c r="JR73" s="261"/>
      <c r="JS73" s="261"/>
      <c r="JT73" s="261"/>
      <c r="JU73" s="261"/>
      <c r="JV73" s="261"/>
      <c r="JW73" s="261"/>
      <c r="JX73" s="261"/>
      <c r="JY73" s="261"/>
      <c r="JZ73" s="261"/>
      <c r="KA73" s="261"/>
      <c r="KB73" s="261"/>
      <c r="KC73" s="261"/>
      <c r="KD73" s="261"/>
      <c r="KE73" s="261"/>
      <c r="KF73" s="261"/>
      <c r="KG73" s="261"/>
      <c r="KH73" s="261"/>
      <c r="KI73" s="261"/>
      <c r="KJ73" s="261"/>
      <c r="KK73" s="261"/>
      <c r="KL73" s="261"/>
      <c r="KM73" s="261"/>
      <c r="KN73" s="261"/>
      <c r="KO73" s="261"/>
      <c r="KP73" s="261"/>
      <c r="KQ73" s="261"/>
      <c r="KR73" s="261"/>
      <c r="KS73" s="261"/>
      <c r="KT73" s="261"/>
      <c r="KU73" s="261"/>
      <c r="KV73" s="261"/>
      <c r="KW73" s="261"/>
      <c r="KX73" s="261"/>
      <c r="KY73" s="261"/>
      <c r="KZ73" s="261"/>
      <c r="LA73" s="261"/>
      <c r="LB73" s="261"/>
      <c r="LC73" s="261"/>
      <c r="LD73" s="261"/>
      <c r="LE73" s="261"/>
      <c r="LF73" s="261"/>
      <c r="LG73" s="261"/>
      <c r="LH73" s="261"/>
      <c r="LI73" s="261"/>
      <c r="LJ73" s="261"/>
      <c r="LK73" s="261"/>
      <c r="LL73" s="261"/>
      <c r="LM73" s="261"/>
      <c r="LN73" s="261"/>
      <c r="LO73" s="261"/>
      <c r="LP73" s="261"/>
      <c r="LQ73" s="261"/>
      <c r="LR73" s="261"/>
      <c r="LS73" s="261"/>
      <c r="LT73" s="261"/>
      <c r="LU73" s="261"/>
      <c r="LV73" s="261"/>
      <c r="LW73" s="261"/>
      <c r="LX73" s="261"/>
      <c r="LY73" s="261"/>
      <c r="LZ73" s="261"/>
      <c r="MA73" s="261"/>
      <c r="MB73" s="261"/>
      <c r="MC73" s="261"/>
      <c r="MD73" s="261"/>
      <c r="ME73" s="261"/>
      <c r="MF73" s="261"/>
      <c r="MG73" s="261"/>
      <c r="MH73" s="261"/>
      <c r="MI73" s="261"/>
      <c r="MJ73" s="261"/>
      <c r="MK73" s="261"/>
      <c r="ML73" s="261"/>
      <c r="MM73" s="261"/>
      <c r="MN73" s="261"/>
      <c r="MO73" s="261"/>
      <c r="MP73" s="261"/>
      <c r="MQ73" s="261"/>
      <c r="MR73" s="261"/>
      <c r="MS73" s="261"/>
      <c r="MT73" s="261"/>
      <c r="MU73" s="261"/>
      <c r="MV73" s="261"/>
      <c r="MW73" s="261"/>
      <c r="MX73" s="261"/>
      <c r="MY73" s="261"/>
      <c r="MZ73" s="261"/>
      <c r="NA73" s="261"/>
      <c r="NB73" s="261"/>
      <c r="NC73" s="261"/>
      <c r="ND73" s="261"/>
      <c r="NE73" s="261"/>
      <c r="NF73" s="261"/>
      <c r="NG73" s="261"/>
      <c r="NH73" s="261"/>
      <c r="NI73" s="261"/>
      <c r="NJ73" s="261"/>
      <c r="NK73" s="261"/>
      <c r="NL73" s="261"/>
      <c r="NM73" s="261"/>
      <c r="NN73" s="261"/>
      <c r="NO73" s="261"/>
      <c r="NP73" s="261"/>
      <c r="NQ73" s="261"/>
      <c r="NR73" s="261"/>
      <c r="NS73" s="261"/>
      <c r="NT73" s="261"/>
      <c r="NU73" s="261"/>
      <c r="NV73" s="261"/>
      <c r="NW73" s="261"/>
      <c r="NX73" s="261"/>
      <c r="NY73" s="261"/>
      <c r="NZ73" s="261"/>
      <c r="OA73" s="261"/>
      <c r="OB73" s="261"/>
      <c r="OC73" s="261"/>
      <c r="OD73" s="261"/>
      <c r="OE73" s="261"/>
      <c r="OF73" s="261"/>
      <c r="OG73" s="261"/>
      <c r="OH73" s="261"/>
      <c r="OI73" s="261"/>
      <c r="OJ73" s="261"/>
      <c r="OK73" s="261"/>
      <c r="OL73" s="261"/>
      <c r="OM73" s="261"/>
      <c r="ON73" s="261"/>
      <c r="OO73" s="261"/>
      <c r="OP73" s="261"/>
      <c r="OQ73" s="261"/>
      <c r="OR73" s="261"/>
      <c r="OS73" s="261"/>
      <c r="OT73" s="261"/>
      <c r="OU73" s="261"/>
      <c r="OV73" s="261"/>
      <c r="OW73" s="261"/>
      <c r="OX73" s="261"/>
      <c r="OY73" s="261"/>
      <c r="OZ73" s="261"/>
      <c r="PA73" s="261"/>
      <c r="PB73" s="261"/>
      <c r="PC73" s="261"/>
      <c r="PD73" s="261"/>
      <c r="PE73" s="261"/>
      <c r="PF73" s="261"/>
      <c r="PG73" s="261"/>
      <c r="PH73" s="261"/>
      <c r="PI73" s="261"/>
      <c r="PJ73" s="261"/>
      <c r="PK73" s="261"/>
      <c r="PL73" s="261"/>
      <c r="PM73" s="261"/>
      <c r="PN73" s="261"/>
      <c r="PO73" s="261"/>
      <c r="PP73" s="261"/>
      <c r="PQ73" s="261"/>
      <c r="PR73" s="261"/>
      <c r="PS73" s="261"/>
      <c r="PT73" s="261"/>
      <c r="PU73" s="261"/>
      <c r="PV73" s="261"/>
      <c r="PW73" s="261"/>
      <c r="PX73" s="261"/>
      <c r="PY73" s="261"/>
      <c r="PZ73" s="261"/>
      <c r="QA73" s="261"/>
      <c r="QB73" s="261"/>
      <c r="QC73" s="261"/>
      <c r="QD73" s="261"/>
      <c r="QE73" s="261"/>
      <c r="QF73" s="261"/>
      <c r="QG73" s="261"/>
      <c r="QH73" s="261"/>
      <c r="QI73" s="261"/>
      <c r="QJ73" s="261"/>
      <c r="QK73" s="261"/>
      <c r="QL73" s="261"/>
      <c r="QM73" s="261"/>
      <c r="QN73" s="261"/>
      <c r="QO73" s="261"/>
      <c r="QP73" s="261"/>
      <c r="QQ73" s="261"/>
      <c r="QR73" s="261"/>
      <c r="QS73" s="261"/>
      <c r="QT73" s="261"/>
      <c r="QU73" s="261"/>
      <c r="QV73" s="261"/>
      <c r="QW73" s="261"/>
      <c r="QX73" s="261"/>
      <c r="QY73" s="261"/>
      <c r="QZ73" s="261"/>
      <c r="RA73" s="261"/>
      <c r="RB73" s="261"/>
      <c r="RC73" s="261"/>
      <c r="RD73" s="261"/>
      <c r="RE73" s="261"/>
      <c r="RF73" s="261"/>
      <c r="RG73" s="261"/>
      <c r="RH73" s="261"/>
      <c r="RI73" s="261"/>
      <c r="RJ73" s="261"/>
      <c r="RK73" s="261"/>
      <c r="RL73" s="261"/>
      <c r="RM73" s="261"/>
      <c r="RN73" s="261"/>
      <c r="RO73" s="261"/>
      <c r="RP73" s="261"/>
      <c r="RQ73" s="261"/>
      <c r="RR73" s="261"/>
      <c r="RS73" s="261"/>
      <c r="RT73" s="261"/>
      <c r="RU73" s="261"/>
      <c r="RV73" s="261"/>
      <c r="RW73" s="261"/>
      <c r="RX73" s="261"/>
      <c r="RY73" s="261"/>
      <c r="RZ73" s="261"/>
      <c r="SA73" s="261"/>
      <c r="SB73" s="261"/>
      <c r="SC73" s="261"/>
      <c r="SD73" s="261"/>
      <c r="SE73" s="261"/>
      <c r="SF73" s="261"/>
      <c r="SG73" s="261"/>
      <c r="SH73" s="261"/>
      <c r="SI73" s="261"/>
      <c r="SJ73" s="261"/>
      <c r="SK73" s="261"/>
      <c r="SL73" s="261"/>
      <c r="SM73" s="261"/>
      <c r="SN73" s="261"/>
      <c r="SO73" s="261"/>
      <c r="SP73" s="261"/>
      <c r="SQ73" s="261"/>
      <c r="SR73" s="261"/>
      <c r="SS73" s="261"/>
      <c r="ST73" s="261"/>
      <c r="SU73" s="261"/>
      <c r="SV73" s="261"/>
      <c r="SW73" s="261"/>
      <c r="SX73" s="261"/>
      <c r="SY73" s="261"/>
      <c r="SZ73" s="261"/>
      <c r="TA73" s="261"/>
      <c r="TB73" s="261"/>
      <c r="TC73" s="261"/>
      <c r="TD73" s="261"/>
      <c r="TE73" s="261"/>
      <c r="TF73" s="261"/>
      <c r="TG73" s="261"/>
      <c r="TH73" s="261"/>
      <c r="TI73" s="261"/>
      <c r="TJ73" s="261"/>
      <c r="TK73" s="261"/>
      <c r="TL73" s="261"/>
      <c r="TM73" s="261"/>
      <c r="TN73" s="261"/>
      <c r="TO73" s="261"/>
      <c r="TP73" s="261"/>
      <c r="TQ73" s="261"/>
      <c r="TR73" s="261"/>
      <c r="TS73" s="261"/>
      <c r="TT73" s="261"/>
      <c r="TU73" s="261"/>
      <c r="TV73" s="261"/>
      <c r="TW73" s="261"/>
      <c r="TX73" s="261"/>
      <c r="TY73" s="261"/>
      <c r="TZ73" s="261"/>
      <c r="UA73" s="261"/>
      <c r="UB73" s="261"/>
      <c r="UC73" s="261"/>
      <c r="UD73" s="261"/>
      <c r="UE73" s="261"/>
      <c r="UF73" s="261"/>
      <c r="UG73" s="261"/>
      <c r="UH73" s="261"/>
      <c r="UI73" s="261"/>
      <c r="UJ73" s="261"/>
      <c r="UK73" s="261"/>
      <c r="UL73" s="261"/>
      <c r="UM73" s="261"/>
      <c r="UN73" s="261"/>
      <c r="UO73" s="261"/>
      <c r="UP73" s="261"/>
      <c r="UQ73" s="261"/>
      <c r="UR73" s="261"/>
      <c r="US73" s="261"/>
      <c r="UT73" s="261"/>
      <c r="UU73" s="261"/>
      <c r="UV73" s="261"/>
      <c r="UW73" s="261"/>
      <c r="UX73" s="261"/>
      <c r="UY73" s="261"/>
      <c r="UZ73" s="261"/>
      <c r="VA73" s="261"/>
      <c r="VB73" s="261"/>
      <c r="VC73" s="261"/>
      <c r="VD73" s="261"/>
      <c r="VE73" s="261"/>
      <c r="VF73" s="261"/>
      <c r="VG73" s="261"/>
      <c r="VH73" s="261"/>
      <c r="VI73" s="261"/>
      <c r="VJ73" s="261"/>
      <c r="VK73" s="261"/>
      <c r="VL73" s="261"/>
      <c r="VM73" s="261"/>
      <c r="VN73" s="261"/>
      <c r="VO73" s="261"/>
      <c r="VP73" s="261"/>
      <c r="VQ73" s="261"/>
      <c r="VR73" s="261"/>
      <c r="VS73" s="261"/>
      <c r="VT73" s="261"/>
      <c r="VU73" s="261"/>
      <c r="VV73" s="261"/>
      <c r="VW73" s="261"/>
      <c r="VX73" s="261"/>
      <c r="VY73" s="261"/>
      <c r="VZ73" s="261"/>
      <c r="WA73" s="261"/>
      <c r="WB73" s="261"/>
      <c r="WC73" s="261"/>
      <c r="WD73" s="261"/>
      <c r="WE73" s="261"/>
      <c r="WF73" s="261"/>
      <c r="WG73" s="261"/>
      <c r="WH73" s="261"/>
      <c r="WI73" s="261"/>
      <c r="WJ73" s="261"/>
      <c r="WK73" s="261"/>
      <c r="WL73" s="261"/>
      <c r="WM73" s="261"/>
      <c r="WN73" s="261"/>
      <c r="WO73" s="261"/>
      <c r="WP73" s="261"/>
      <c r="WQ73" s="261"/>
      <c r="WR73" s="261"/>
      <c r="WS73" s="261"/>
      <c r="WT73" s="261"/>
      <c r="WU73" s="261"/>
      <c r="WV73" s="261"/>
      <c r="WW73" s="261"/>
      <c r="WX73" s="261"/>
      <c r="WY73" s="261"/>
      <c r="WZ73" s="261"/>
      <c r="XA73" s="261"/>
      <c r="XB73" s="261"/>
      <c r="XC73" s="261"/>
      <c r="XD73" s="261"/>
      <c r="XE73" s="261"/>
      <c r="XF73" s="261"/>
      <c r="XG73" s="261"/>
      <c r="XH73" s="261"/>
      <c r="XI73" s="261"/>
      <c r="XJ73" s="261"/>
      <c r="XK73" s="261"/>
      <c r="XL73" s="261"/>
      <c r="XM73" s="261"/>
      <c r="XN73" s="261"/>
      <c r="XO73" s="261"/>
      <c r="XP73" s="261"/>
      <c r="XQ73" s="261"/>
      <c r="XR73" s="261"/>
      <c r="XS73" s="261"/>
      <c r="XT73" s="261"/>
      <c r="XU73" s="261"/>
      <c r="XV73" s="261"/>
      <c r="XW73" s="261"/>
      <c r="XX73" s="261"/>
      <c r="XY73" s="261"/>
      <c r="XZ73" s="261"/>
      <c r="YA73" s="261"/>
      <c r="YB73" s="261"/>
      <c r="YC73" s="261"/>
      <c r="YD73" s="261"/>
      <c r="YE73" s="261"/>
      <c r="YF73" s="261"/>
      <c r="YG73" s="261"/>
      <c r="YH73" s="261"/>
      <c r="YI73" s="261"/>
      <c r="YJ73" s="261"/>
      <c r="YK73" s="261"/>
      <c r="YL73" s="261"/>
      <c r="YM73" s="261"/>
      <c r="YN73" s="261"/>
      <c r="YO73" s="261"/>
      <c r="YP73" s="261"/>
      <c r="YQ73" s="261"/>
      <c r="YR73" s="261"/>
      <c r="YS73" s="261"/>
      <c r="YT73" s="261"/>
      <c r="YU73" s="261"/>
      <c r="YV73" s="261"/>
      <c r="YW73" s="261"/>
      <c r="YX73" s="261"/>
      <c r="YY73" s="261"/>
      <c r="YZ73" s="261"/>
      <c r="ZA73" s="261"/>
      <c r="ZB73" s="261"/>
      <c r="ZC73" s="261"/>
      <c r="ZD73" s="261"/>
      <c r="ZE73" s="261"/>
      <c r="ZF73" s="261"/>
      <c r="ZG73" s="261"/>
      <c r="ZH73" s="261"/>
      <c r="ZI73" s="261"/>
      <c r="ZJ73" s="261"/>
      <c r="ZK73" s="261"/>
      <c r="ZL73" s="261"/>
      <c r="ZM73" s="261"/>
      <c r="ZN73" s="261"/>
      <c r="ZO73" s="261"/>
      <c r="ZP73" s="261"/>
      <c r="ZQ73" s="261"/>
      <c r="ZR73" s="261"/>
      <c r="ZS73" s="261"/>
      <c r="ZT73" s="261"/>
      <c r="ZU73" s="261"/>
      <c r="ZV73" s="261"/>
      <c r="ZW73" s="261"/>
      <c r="ZX73" s="261"/>
      <c r="ZY73" s="261"/>
      <c r="ZZ73" s="261"/>
      <c r="AAA73" s="261"/>
      <c r="AAB73" s="261"/>
      <c r="AAC73" s="261"/>
      <c r="AAD73" s="261"/>
      <c r="AAE73" s="261"/>
      <c r="AAF73" s="261"/>
      <c r="AAG73" s="261"/>
      <c r="AAH73" s="261"/>
      <c r="AAI73" s="261"/>
      <c r="AAJ73" s="261"/>
      <c r="AAK73" s="261"/>
      <c r="AAL73" s="261"/>
      <c r="AAM73" s="261"/>
      <c r="AAN73" s="261"/>
      <c r="AAO73" s="261"/>
      <c r="AAP73" s="261"/>
      <c r="AAQ73" s="261"/>
      <c r="AAR73" s="261"/>
      <c r="AAS73" s="261"/>
      <c r="AAT73" s="261"/>
      <c r="AAU73" s="261"/>
      <c r="AAV73" s="261"/>
      <c r="AAW73" s="261"/>
      <c r="AAX73" s="261"/>
      <c r="AAY73" s="261"/>
      <c r="AAZ73" s="261"/>
      <c r="ABA73" s="261"/>
      <c r="ABB73" s="261"/>
      <c r="ABC73" s="261"/>
      <c r="ABD73" s="261"/>
      <c r="ABE73" s="261"/>
      <c r="ABF73" s="261"/>
      <c r="ABG73" s="261"/>
      <c r="ABH73" s="261"/>
      <c r="ABI73" s="261"/>
      <c r="ABJ73" s="261"/>
      <c r="ABK73" s="261"/>
      <c r="ABL73" s="261"/>
      <c r="ABM73" s="261"/>
      <c r="ABN73" s="261"/>
      <c r="ABO73" s="261"/>
      <c r="ABP73" s="261"/>
      <c r="ABQ73" s="261"/>
      <c r="ABR73" s="261"/>
      <c r="ABS73" s="261"/>
      <c r="ABT73" s="261"/>
      <c r="ABU73" s="261"/>
      <c r="ABV73" s="261"/>
      <c r="ABW73" s="261"/>
      <c r="ABX73" s="261"/>
      <c r="ABY73" s="261"/>
      <c r="ABZ73" s="261"/>
      <c r="ACA73" s="261"/>
      <c r="ACB73" s="261"/>
      <c r="ACC73" s="261"/>
      <c r="ACD73" s="261"/>
      <c r="ACE73" s="261"/>
      <c r="ACF73" s="261"/>
      <c r="ACG73" s="261"/>
      <c r="ACH73" s="261"/>
      <c r="ACI73" s="261"/>
      <c r="ACJ73" s="261"/>
      <c r="ACK73" s="261"/>
      <c r="ACL73" s="261"/>
      <c r="ACM73" s="261"/>
      <c r="ACN73" s="261"/>
      <c r="ACO73" s="261"/>
      <c r="ACP73" s="261"/>
      <c r="ACQ73" s="261"/>
      <c r="ACR73" s="261"/>
      <c r="ACS73" s="261"/>
      <c r="ACT73" s="261"/>
      <c r="ACU73" s="261"/>
      <c r="ACV73" s="261"/>
      <c r="ACW73" s="261"/>
      <c r="ACX73" s="261"/>
      <c r="ACY73" s="261"/>
      <c r="ACZ73" s="261"/>
      <c r="ADA73" s="261"/>
      <c r="ADB73" s="261"/>
      <c r="ADC73" s="261"/>
      <c r="ADD73" s="261"/>
      <c r="ADE73" s="261"/>
      <c r="ADF73" s="261"/>
      <c r="ADG73" s="261"/>
      <c r="ADH73" s="261"/>
      <c r="ADI73" s="261"/>
      <c r="ADJ73" s="261"/>
      <c r="ADK73" s="261"/>
      <c r="ADL73" s="261"/>
      <c r="ADM73" s="261"/>
      <c r="ADN73" s="261"/>
      <c r="ADO73" s="261"/>
      <c r="ADP73" s="261"/>
      <c r="ADQ73" s="261"/>
      <c r="ADR73" s="261"/>
      <c r="ADS73" s="261"/>
      <c r="ADT73" s="261"/>
      <c r="ADU73" s="261"/>
      <c r="ADV73" s="261"/>
      <c r="ADW73" s="261"/>
      <c r="ADX73" s="261"/>
      <c r="ADY73" s="261"/>
      <c r="ADZ73" s="261"/>
      <c r="AEA73" s="261"/>
      <c r="AEB73" s="261"/>
      <c r="AEC73" s="261"/>
      <c r="AED73" s="261"/>
      <c r="AEE73" s="261"/>
      <c r="AEF73" s="261"/>
      <c r="AEG73" s="261"/>
      <c r="AEH73" s="261"/>
      <c r="AEI73" s="261"/>
      <c r="AEJ73" s="261"/>
      <c r="AEK73" s="261"/>
      <c r="AEL73" s="261"/>
      <c r="AEM73" s="261"/>
      <c r="AEN73" s="261"/>
      <c r="AEO73" s="261"/>
      <c r="AEP73" s="261"/>
      <c r="AEQ73" s="261"/>
      <c r="AER73" s="261"/>
      <c r="AES73" s="261"/>
      <c r="AET73" s="261"/>
      <c r="AEU73" s="261"/>
      <c r="AEV73" s="261"/>
      <c r="AEW73" s="261"/>
      <c r="AEX73" s="261"/>
      <c r="AEY73" s="261"/>
      <c r="AEZ73" s="261"/>
      <c r="AFA73" s="261"/>
      <c r="AFB73" s="261"/>
      <c r="AFC73" s="261"/>
      <c r="AFD73" s="261"/>
      <c r="AFE73" s="261"/>
      <c r="AFF73" s="261"/>
      <c r="AFG73" s="261"/>
      <c r="AFH73" s="261"/>
      <c r="AFI73" s="261"/>
      <c r="AFJ73" s="261"/>
      <c r="AFK73" s="261"/>
      <c r="AFL73" s="261"/>
      <c r="AFM73" s="261"/>
      <c r="AFN73" s="261"/>
      <c r="AFO73" s="261"/>
      <c r="AFP73" s="261"/>
      <c r="AFQ73" s="261"/>
      <c r="AFR73" s="261"/>
      <c r="AFS73" s="261"/>
      <c r="AFT73" s="261"/>
      <c r="AFU73" s="261"/>
      <c r="AFV73" s="261"/>
      <c r="AFW73" s="261"/>
      <c r="AFX73" s="261"/>
      <c r="AFY73" s="261"/>
      <c r="AFZ73" s="261"/>
      <c r="AGA73" s="261"/>
      <c r="AGB73" s="261"/>
      <c r="AGC73" s="261"/>
      <c r="AGD73" s="261"/>
      <c r="AGE73" s="261"/>
      <c r="AGF73" s="261"/>
      <c r="AGG73" s="261"/>
      <c r="AGH73" s="261"/>
      <c r="AGI73" s="261"/>
      <c r="AGJ73" s="261"/>
      <c r="AGK73" s="261"/>
      <c r="AGL73" s="261"/>
      <c r="AGM73" s="261"/>
      <c r="AGN73" s="261"/>
      <c r="AGO73" s="261"/>
      <c r="AGP73" s="261"/>
      <c r="AGQ73" s="261"/>
      <c r="AGR73" s="261"/>
      <c r="AGS73" s="261"/>
      <c r="AGT73" s="261"/>
      <c r="AGU73" s="261"/>
      <c r="AGV73" s="261"/>
      <c r="AGW73" s="261"/>
      <c r="AGX73" s="261"/>
      <c r="AGY73" s="261"/>
      <c r="AGZ73" s="261"/>
      <c r="AHA73" s="261"/>
      <c r="AHB73" s="261"/>
      <c r="AHC73" s="261"/>
      <c r="AHD73" s="261"/>
      <c r="AHE73" s="261"/>
      <c r="AHF73" s="261"/>
      <c r="AHG73" s="261"/>
      <c r="AHH73" s="261"/>
      <c r="AHI73" s="261"/>
      <c r="AHJ73" s="261"/>
      <c r="AHK73" s="261"/>
      <c r="AHL73" s="261"/>
      <c r="AHM73" s="261"/>
      <c r="AHN73" s="261"/>
      <c r="AHO73" s="261"/>
      <c r="AHP73" s="261"/>
      <c r="AHQ73" s="261"/>
      <c r="AHR73" s="261"/>
      <c r="AHS73" s="261"/>
      <c r="AHT73" s="261"/>
      <c r="AHU73" s="261"/>
      <c r="AHV73" s="261"/>
      <c r="AHW73" s="261"/>
      <c r="AHX73" s="261"/>
      <c r="AHY73" s="261"/>
      <c r="AHZ73" s="261"/>
      <c r="AIA73" s="261"/>
      <c r="AIB73" s="261"/>
      <c r="AIC73" s="261"/>
      <c r="AID73" s="261"/>
      <c r="AIE73" s="261"/>
      <c r="AIF73" s="261"/>
      <c r="AIG73" s="261"/>
      <c r="AIH73" s="261"/>
      <c r="AII73" s="261"/>
      <c r="AIJ73" s="261"/>
      <c r="AIK73" s="261"/>
      <c r="AIL73" s="261"/>
      <c r="AIM73" s="261"/>
      <c r="AIN73" s="261"/>
      <c r="AIO73" s="261"/>
      <c r="AIP73" s="261"/>
      <c r="AIQ73" s="261"/>
      <c r="AIR73" s="261"/>
      <c r="AIS73" s="261"/>
      <c r="AIT73" s="261"/>
      <c r="AIU73" s="261"/>
      <c r="AIV73" s="261"/>
      <c r="AIW73" s="261"/>
      <c r="AIX73" s="261"/>
      <c r="AIY73" s="261"/>
      <c r="AIZ73" s="261"/>
      <c r="AJA73" s="261"/>
      <c r="AJB73" s="261"/>
      <c r="AJC73" s="261"/>
      <c r="AJD73" s="261"/>
      <c r="AJE73" s="261"/>
      <c r="AJF73" s="261"/>
      <c r="AJG73" s="261"/>
      <c r="AJH73" s="261"/>
      <c r="AJI73" s="261"/>
      <c r="AJJ73" s="261"/>
      <c r="AJK73" s="261"/>
      <c r="AJL73" s="261"/>
      <c r="AJM73" s="261"/>
      <c r="AJN73" s="261"/>
      <c r="AJO73" s="261"/>
      <c r="AJP73" s="261"/>
      <c r="AJQ73" s="261"/>
      <c r="AJR73" s="261"/>
      <c r="AJS73" s="261"/>
      <c r="AJT73" s="261"/>
      <c r="AJU73" s="261"/>
      <c r="AJV73" s="261"/>
      <c r="AJW73" s="261"/>
      <c r="AJX73" s="261"/>
      <c r="AJY73" s="261"/>
      <c r="AJZ73" s="261"/>
      <c r="AKA73" s="261"/>
      <c r="AKB73" s="261"/>
      <c r="AKC73" s="261"/>
      <c r="AKD73" s="261"/>
      <c r="AKE73" s="261"/>
      <c r="AKF73" s="261"/>
      <c r="AKG73" s="261"/>
      <c r="AKH73" s="261"/>
      <c r="AKI73" s="261"/>
      <c r="AKJ73" s="261"/>
      <c r="AKK73" s="261"/>
      <c r="AKL73" s="261"/>
      <c r="AKM73" s="261"/>
      <c r="AKN73" s="261"/>
      <c r="AKO73" s="261"/>
      <c r="AKP73" s="261"/>
      <c r="AKQ73" s="261"/>
      <c r="AKR73" s="261"/>
      <c r="AKS73" s="261"/>
      <c r="AKT73" s="261"/>
      <c r="AKU73" s="261"/>
      <c r="AKV73" s="261"/>
      <c r="AKW73" s="261"/>
      <c r="AKX73" s="261"/>
      <c r="AKY73" s="261"/>
      <c r="AKZ73" s="261"/>
      <c r="ALA73" s="261"/>
      <c r="ALB73" s="261"/>
      <c r="ALC73" s="261"/>
      <c r="ALD73" s="261"/>
      <c r="ALE73" s="261"/>
      <c r="ALF73" s="261"/>
      <c r="ALG73" s="261"/>
      <c r="ALH73" s="261"/>
      <c r="ALI73" s="261"/>
      <c r="ALJ73" s="261"/>
      <c r="ALK73" s="261"/>
      <c r="ALL73" s="261"/>
      <c r="ALM73" s="261"/>
      <c r="ALN73" s="261"/>
      <c r="ALO73" s="261"/>
      <c r="ALP73" s="261"/>
      <c r="ALQ73" s="261"/>
      <c r="ALR73" s="261"/>
      <c r="ALS73" s="261"/>
      <c r="ALT73" s="261"/>
      <c r="ALU73" s="261"/>
      <c r="ALV73" s="261"/>
      <c r="ALW73" s="261"/>
      <c r="ALX73" s="261"/>
      <c r="ALY73" s="261"/>
      <c r="ALZ73" s="261"/>
      <c r="AMA73" s="261"/>
      <c r="AMB73" s="261"/>
      <c r="AMC73" s="261"/>
      <c r="AMD73" s="261"/>
      <c r="AME73" s="261"/>
      <c r="AMF73" s="261"/>
      <c r="AMG73" s="261"/>
      <c r="AMH73" s="261"/>
      <c r="AMI73" s="261"/>
      <c r="AMJ73" s="261"/>
    </row>
    <row r="74" spans="12:1024" ht="15.95" customHeight="1">
      <c r="L74" s="261"/>
      <c r="M74" s="296"/>
      <c r="N74" s="261"/>
      <c r="O74" s="261"/>
      <c r="P74" s="261"/>
      <c r="Q74" s="261"/>
      <c r="R74" s="261"/>
      <c r="S74" s="261"/>
      <c r="T74" s="261"/>
      <c r="U74" s="261"/>
      <c r="V74" s="261"/>
      <c r="W74" s="261"/>
      <c r="X74" s="261"/>
      <c r="Y74" s="261"/>
      <c r="Z74" s="261"/>
      <c r="AA74" s="261"/>
      <c r="AB74" s="261"/>
      <c r="AC74" s="261"/>
      <c r="AD74" s="261"/>
      <c r="AE74" s="261"/>
      <c r="AF74" s="261"/>
      <c r="AG74" s="261"/>
      <c r="AH74" s="261"/>
      <c r="AI74" s="261"/>
      <c r="AJ74" s="261"/>
      <c r="AK74" s="261"/>
      <c r="AL74" s="261"/>
      <c r="AM74" s="261"/>
      <c r="AN74" s="261"/>
      <c r="AO74" s="261"/>
      <c r="AP74" s="261"/>
      <c r="AQ74" s="261"/>
      <c r="AR74" s="261"/>
      <c r="AS74" s="261"/>
      <c r="AT74" s="261"/>
      <c r="AU74" s="261"/>
      <c r="AV74" s="261"/>
      <c r="AW74" s="261"/>
      <c r="AX74" s="261"/>
      <c r="AY74" s="261"/>
      <c r="AZ74" s="261"/>
      <c r="BA74" s="261"/>
      <c r="BB74" s="261"/>
      <c r="BC74" s="261"/>
      <c r="BD74" s="261"/>
      <c r="BE74" s="261"/>
      <c r="BF74" s="261"/>
      <c r="BG74" s="261"/>
      <c r="BH74" s="261"/>
      <c r="BI74" s="261"/>
      <c r="BJ74" s="261"/>
      <c r="BK74" s="261"/>
      <c r="BL74" s="261"/>
      <c r="BM74" s="261"/>
      <c r="BN74" s="261"/>
      <c r="BO74" s="261"/>
      <c r="BP74" s="261"/>
      <c r="BQ74" s="261"/>
      <c r="BR74" s="261"/>
      <c r="BS74" s="261"/>
      <c r="BT74" s="261"/>
      <c r="BU74" s="261"/>
      <c r="BV74" s="261"/>
      <c r="BW74" s="261"/>
      <c r="BX74" s="261"/>
      <c r="BY74" s="261"/>
      <c r="BZ74" s="261"/>
      <c r="CA74" s="261"/>
      <c r="CB74" s="261"/>
      <c r="CC74" s="261"/>
      <c r="CD74" s="261"/>
      <c r="CE74" s="261"/>
      <c r="CF74" s="261"/>
      <c r="CG74" s="261"/>
      <c r="CH74" s="261"/>
      <c r="CI74" s="261"/>
      <c r="CJ74" s="261"/>
      <c r="CK74" s="261"/>
      <c r="CL74" s="261"/>
      <c r="CM74" s="261"/>
      <c r="CN74" s="261"/>
      <c r="CO74" s="261"/>
      <c r="CP74" s="261"/>
      <c r="CQ74" s="261"/>
      <c r="CR74" s="261"/>
      <c r="CS74" s="261"/>
      <c r="CT74" s="261"/>
      <c r="CU74" s="261"/>
      <c r="CV74" s="261"/>
      <c r="CW74" s="261"/>
      <c r="CX74" s="261"/>
      <c r="CY74" s="261"/>
      <c r="CZ74" s="261"/>
      <c r="DA74" s="261"/>
      <c r="DB74" s="261"/>
      <c r="DC74" s="261"/>
      <c r="DD74" s="261"/>
      <c r="DE74" s="261"/>
      <c r="DF74" s="261"/>
      <c r="DG74" s="261"/>
      <c r="DH74" s="261"/>
      <c r="DI74" s="261"/>
      <c r="DJ74" s="261"/>
      <c r="DK74" s="261"/>
      <c r="DL74" s="261"/>
      <c r="DM74" s="261"/>
      <c r="DN74" s="261"/>
      <c r="DO74" s="261"/>
      <c r="DP74" s="261"/>
      <c r="DQ74" s="261"/>
      <c r="DR74" s="261"/>
      <c r="DS74" s="261"/>
      <c r="DT74" s="261"/>
      <c r="DU74" s="261"/>
      <c r="DV74" s="261"/>
      <c r="DW74" s="261"/>
      <c r="DX74" s="261"/>
      <c r="DY74" s="261"/>
      <c r="DZ74" s="261"/>
      <c r="EA74" s="261"/>
      <c r="EB74" s="261"/>
      <c r="EC74" s="261"/>
      <c r="ED74" s="261"/>
      <c r="EE74" s="261"/>
      <c r="EF74" s="261"/>
      <c r="EG74" s="261"/>
      <c r="EH74" s="261"/>
      <c r="EI74" s="261"/>
      <c r="EJ74" s="261"/>
      <c r="EK74" s="261"/>
      <c r="EL74" s="261"/>
      <c r="EM74" s="261"/>
      <c r="EN74" s="261"/>
      <c r="EO74" s="261"/>
      <c r="EP74" s="261"/>
      <c r="EQ74" s="261"/>
      <c r="ER74" s="261"/>
      <c r="ES74" s="261"/>
      <c r="ET74" s="261"/>
      <c r="EU74" s="261"/>
      <c r="EV74" s="261"/>
      <c r="EW74" s="261"/>
      <c r="EX74" s="261"/>
      <c r="EY74" s="261"/>
      <c r="EZ74" s="261"/>
      <c r="FA74" s="261"/>
      <c r="FB74" s="261"/>
      <c r="FC74" s="261"/>
      <c r="FD74" s="261"/>
      <c r="FE74" s="261"/>
      <c r="FF74" s="261"/>
      <c r="FG74" s="261"/>
      <c r="FH74" s="261"/>
      <c r="FI74" s="261"/>
      <c r="FJ74" s="261"/>
      <c r="FK74" s="261"/>
      <c r="FL74" s="261"/>
      <c r="FM74" s="261"/>
      <c r="FN74" s="261"/>
      <c r="FO74" s="261"/>
      <c r="FP74" s="261"/>
      <c r="FQ74" s="261"/>
      <c r="FR74" s="261"/>
      <c r="FS74" s="261"/>
      <c r="FT74" s="261"/>
      <c r="FU74" s="261"/>
      <c r="FV74" s="261"/>
      <c r="FW74" s="261"/>
      <c r="FX74" s="261"/>
      <c r="FY74" s="261"/>
      <c r="FZ74" s="261"/>
      <c r="GA74" s="261"/>
      <c r="GB74" s="261"/>
      <c r="GC74" s="261"/>
      <c r="GD74" s="261"/>
      <c r="GE74" s="261"/>
      <c r="GF74" s="261"/>
      <c r="GG74" s="261"/>
      <c r="GH74" s="261"/>
      <c r="GI74" s="261"/>
      <c r="GJ74" s="261"/>
      <c r="GK74" s="261"/>
      <c r="GL74" s="261"/>
      <c r="GM74" s="261"/>
      <c r="GN74" s="261"/>
      <c r="GO74" s="261"/>
      <c r="GP74" s="261"/>
      <c r="GQ74" s="261"/>
      <c r="GR74" s="261"/>
      <c r="GS74" s="261"/>
      <c r="GT74" s="261"/>
      <c r="GU74" s="261"/>
      <c r="GV74" s="261"/>
      <c r="GW74" s="261"/>
      <c r="GX74" s="261"/>
      <c r="GY74" s="261"/>
      <c r="GZ74" s="261"/>
      <c r="HA74" s="261"/>
      <c r="HB74" s="261"/>
      <c r="HC74" s="261"/>
      <c r="HD74" s="261"/>
      <c r="HE74" s="261"/>
      <c r="HF74" s="261"/>
      <c r="HG74" s="261"/>
      <c r="HH74" s="261"/>
      <c r="HI74" s="261"/>
      <c r="HJ74" s="261"/>
      <c r="HK74" s="261"/>
      <c r="HL74" s="261"/>
      <c r="HM74" s="261"/>
      <c r="HN74" s="261"/>
      <c r="HO74" s="261"/>
      <c r="HP74" s="261"/>
      <c r="HQ74" s="261"/>
      <c r="HR74" s="261"/>
      <c r="HS74" s="261"/>
      <c r="HT74" s="261"/>
      <c r="HU74" s="261"/>
      <c r="HV74" s="261"/>
      <c r="HW74" s="261"/>
      <c r="HX74" s="261"/>
      <c r="HY74" s="261"/>
      <c r="HZ74" s="261"/>
      <c r="IA74" s="261"/>
      <c r="IB74" s="261"/>
      <c r="IC74" s="261"/>
      <c r="ID74" s="261"/>
      <c r="IE74" s="261"/>
      <c r="IF74" s="261"/>
      <c r="IG74" s="261"/>
      <c r="IH74" s="261"/>
      <c r="II74" s="261"/>
      <c r="IJ74" s="261"/>
      <c r="IK74" s="261"/>
      <c r="IL74" s="261"/>
      <c r="IM74" s="261"/>
      <c r="IN74" s="261"/>
      <c r="IO74" s="261"/>
      <c r="IP74" s="261"/>
      <c r="IQ74" s="261"/>
      <c r="IR74" s="261"/>
      <c r="IS74" s="261"/>
      <c r="IT74" s="261"/>
      <c r="IU74" s="261"/>
      <c r="IV74" s="261"/>
      <c r="IW74" s="261"/>
      <c r="IX74" s="261"/>
      <c r="IY74" s="261"/>
      <c r="IZ74" s="261"/>
      <c r="JA74" s="261"/>
      <c r="JB74" s="261"/>
      <c r="JC74" s="261"/>
      <c r="JD74" s="261"/>
      <c r="JE74" s="261"/>
      <c r="JF74" s="261"/>
      <c r="JG74" s="261"/>
      <c r="JH74" s="261"/>
      <c r="JI74" s="261"/>
      <c r="JJ74" s="261"/>
      <c r="JK74" s="261"/>
      <c r="JL74" s="261"/>
      <c r="JM74" s="261"/>
      <c r="JN74" s="261"/>
      <c r="JO74" s="261"/>
      <c r="JP74" s="261"/>
      <c r="JQ74" s="261"/>
      <c r="JR74" s="261"/>
      <c r="JS74" s="261"/>
      <c r="JT74" s="261"/>
      <c r="JU74" s="261"/>
      <c r="JV74" s="261"/>
      <c r="JW74" s="261"/>
      <c r="JX74" s="261"/>
      <c r="JY74" s="261"/>
      <c r="JZ74" s="261"/>
      <c r="KA74" s="261"/>
      <c r="KB74" s="261"/>
      <c r="KC74" s="261"/>
      <c r="KD74" s="261"/>
      <c r="KE74" s="261"/>
      <c r="KF74" s="261"/>
      <c r="KG74" s="261"/>
      <c r="KH74" s="261"/>
      <c r="KI74" s="261"/>
      <c r="KJ74" s="261"/>
      <c r="KK74" s="261"/>
      <c r="KL74" s="261"/>
      <c r="KM74" s="261"/>
      <c r="KN74" s="261"/>
      <c r="KO74" s="261"/>
      <c r="KP74" s="261"/>
      <c r="KQ74" s="261"/>
      <c r="KR74" s="261"/>
      <c r="KS74" s="261"/>
      <c r="KT74" s="261"/>
      <c r="KU74" s="261"/>
      <c r="KV74" s="261"/>
      <c r="KW74" s="261"/>
      <c r="KX74" s="261"/>
      <c r="KY74" s="261"/>
      <c r="KZ74" s="261"/>
      <c r="LA74" s="261"/>
      <c r="LB74" s="261"/>
      <c r="LC74" s="261"/>
      <c r="LD74" s="261"/>
      <c r="LE74" s="261"/>
      <c r="LF74" s="261"/>
      <c r="LG74" s="261"/>
      <c r="LH74" s="261"/>
      <c r="LI74" s="261"/>
      <c r="LJ74" s="261"/>
      <c r="LK74" s="261"/>
      <c r="LL74" s="261"/>
      <c r="LM74" s="261"/>
      <c r="LN74" s="261"/>
      <c r="LO74" s="261"/>
      <c r="LP74" s="261"/>
      <c r="LQ74" s="261"/>
      <c r="LR74" s="261"/>
      <c r="LS74" s="261"/>
      <c r="LT74" s="261"/>
      <c r="LU74" s="261"/>
      <c r="LV74" s="261"/>
      <c r="LW74" s="261"/>
      <c r="LX74" s="261"/>
      <c r="LY74" s="261"/>
      <c r="LZ74" s="261"/>
      <c r="MA74" s="261"/>
      <c r="MB74" s="261"/>
      <c r="MC74" s="261"/>
      <c r="MD74" s="261"/>
      <c r="ME74" s="261"/>
      <c r="MF74" s="261"/>
      <c r="MG74" s="261"/>
      <c r="MH74" s="261"/>
      <c r="MI74" s="261"/>
      <c r="MJ74" s="261"/>
      <c r="MK74" s="261"/>
      <c r="ML74" s="261"/>
      <c r="MM74" s="261"/>
      <c r="MN74" s="261"/>
      <c r="MO74" s="261"/>
      <c r="MP74" s="261"/>
      <c r="MQ74" s="261"/>
      <c r="MR74" s="261"/>
      <c r="MS74" s="261"/>
      <c r="MT74" s="261"/>
      <c r="MU74" s="261"/>
      <c r="MV74" s="261"/>
      <c r="MW74" s="261"/>
      <c r="MX74" s="261"/>
      <c r="MY74" s="261"/>
      <c r="MZ74" s="261"/>
      <c r="NA74" s="261"/>
      <c r="NB74" s="261"/>
      <c r="NC74" s="261"/>
      <c r="ND74" s="261"/>
      <c r="NE74" s="261"/>
      <c r="NF74" s="261"/>
      <c r="NG74" s="261"/>
      <c r="NH74" s="261"/>
      <c r="NI74" s="261"/>
      <c r="NJ74" s="261"/>
      <c r="NK74" s="261"/>
      <c r="NL74" s="261"/>
      <c r="NM74" s="261"/>
      <c r="NN74" s="261"/>
      <c r="NO74" s="261"/>
      <c r="NP74" s="261"/>
      <c r="NQ74" s="261"/>
      <c r="NR74" s="261"/>
      <c r="NS74" s="261"/>
      <c r="NT74" s="261"/>
      <c r="NU74" s="261"/>
      <c r="NV74" s="261"/>
      <c r="NW74" s="261"/>
      <c r="NX74" s="261"/>
      <c r="NY74" s="261"/>
      <c r="NZ74" s="261"/>
      <c r="OA74" s="261"/>
      <c r="OB74" s="261"/>
      <c r="OC74" s="261"/>
      <c r="OD74" s="261"/>
      <c r="OE74" s="261"/>
      <c r="OF74" s="261"/>
      <c r="OG74" s="261"/>
      <c r="OH74" s="261"/>
      <c r="OI74" s="261"/>
      <c r="OJ74" s="261"/>
      <c r="OK74" s="261"/>
      <c r="OL74" s="261"/>
      <c r="OM74" s="261"/>
      <c r="ON74" s="261"/>
      <c r="OO74" s="261"/>
      <c r="OP74" s="261"/>
      <c r="OQ74" s="261"/>
      <c r="OR74" s="261"/>
      <c r="OS74" s="261"/>
      <c r="OT74" s="261"/>
      <c r="OU74" s="261"/>
      <c r="OV74" s="261"/>
      <c r="OW74" s="261"/>
      <c r="OX74" s="261"/>
      <c r="OY74" s="261"/>
      <c r="OZ74" s="261"/>
      <c r="PA74" s="261"/>
      <c r="PB74" s="261"/>
      <c r="PC74" s="261"/>
      <c r="PD74" s="261"/>
      <c r="PE74" s="261"/>
      <c r="PF74" s="261"/>
      <c r="PG74" s="261"/>
      <c r="PH74" s="261"/>
      <c r="PI74" s="261"/>
      <c r="PJ74" s="261"/>
      <c r="PK74" s="261"/>
      <c r="PL74" s="261"/>
      <c r="PM74" s="261"/>
      <c r="PN74" s="261"/>
      <c r="PO74" s="261"/>
      <c r="PP74" s="261"/>
      <c r="PQ74" s="261"/>
      <c r="PR74" s="261"/>
      <c r="PS74" s="261"/>
      <c r="PT74" s="261"/>
      <c r="PU74" s="261"/>
      <c r="PV74" s="261"/>
      <c r="PW74" s="261"/>
      <c r="PX74" s="261"/>
      <c r="PY74" s="261"/>
      <c r="PZ74" s="261"/>
      <c r="QA74" s="261"/>
      <c r="QB74" s="261"/>
      <c r="QC74" s="261"/>
      <c r="QD74" s="261"/>
      <c r="QE74" s="261"/>
      <c r="QF74" s="261"/>
      <c r="QG74" s="261"/>
      <c r="QH74" s="261"/>
      <c r="QI74" s="261"/>
      <c r="QJ74" s="261"/>
      <c r="QK74" s="261"/>
      <c r="QL74" s="261"/>
      <c r="QM74" s="261"/>
      <c r="QN74" s="261"/>
      <c r="QO74" s="261"/>
      <c r="QP74" s="261"/>
      <c r="QQ74" s="261"/>
      <c r="QR74" s="261"/>
      <c r="QS74" s="261"/>
      <c r="QT74" s="261"/>
      <c r="QU74" s="261"/>
      <c r="QV74" s="261"/>
      <c r="QW74" s="261"/>
      <c r="QX74" s="261"/>
      <c r="QY74" s="261"/>
      <c r="QZ74" s="261"/>
      <c r="RA74" s="261"/>
      <c r="RB74" s="261"/>
      <c r="RC74" s="261"/>
      <c r="RD74" s="261"/>
      <c r="RE74" s="261"/>
      <c r="RF74" s="261"/>
      <c r="RG74" s="261"/>
      <c r="RH74" s="261"/>
      <c r="RI74" s="261"/>
      <c r="RJ74" s="261"/>
      <c r="RK74" s="261"/>
      <c r="RL74" s="261"/>
      <c r="RM74" s="261"/>
      <c r="RN74" s="261"/>
      <c r="RO74" s="261"/>
      <c r="RP74" s="261"/>
      <c r="RQ74" s="261"/>
      <c r="RR74" s="261"/>
      <c r="RS74" s="261"/>
      <c r="RT74" s="261"/>
      <c r="RU74" s="261"/>
      <c r="RV74" s="261"/>
      <c r="RW74" s="261"/>
      <c r="RX74" s="261"/>
      <c r="RY74" s="261"/>
      <c r="RZ74" s="261"/>
      <c r="SA74" s="261"/>
      <c r="SB74" s="261"/>
      <c r="SC74" s="261"/>
      <c r="SD74" s="261"/>
      <c r="SE74" s="261"/>
      <c r="SF74" s="261"/>
      <c r="SG74" s="261"/>
      <c r="SH74" s="261"/>
      <c r="SI74" s="261"/>
      <c r="SJ74" s="261"/>
      <c r="SK74" s="261"/>
      <c r="SL74" s="261"/>
      <c r="SM74" s="261"/>
      <c r="SN74" s="261"/>
      <c r="SO74" s="261"/>
      <c r="SP74" s="261"/>
      <c r="SQ74" s="261"/>
      <c r="SR74" s="261"/>
      <c r="SS74" s="261"/>
      <c r="ST74" s="261"/>
      <c r="SU74" s="261"/>
      <c r="SV74" s="261"/>
      <c r="SW74" s="261"/>
      <c r="SX74" s="261"/>
      <c r="SY74" s="261"/>
      <c r="SZ74" s="261"/>
      <c r="TA74" s="261"/>
      <c r="TB74" s="261"/>
      <c r="TC74" s="261"/>
      <c r="TD74" s="261"/>
      <c r="TE74" s="261"/>
      <c r="TF74" s="261"/>
      <c r="TG74" s="261"/>
      <c r="TH74" s="261"/>
      <c r="TI74" s="261"/>
      <c r="TJ74" s="261"/>
      <c r="TK74" s="261"/>
      <c r="TL74" s="261"/>
      <c r="TM74" s="261"/>
      <c r="TN74" s="261"/>
      <c r="TO74" s="261"/>
      <c r="TP74" s="261"/>
      <c r="TQ74" s="261"/>
      <c r="TR74" s="261"/>
      <c r="TS74" s="261"/>
      <c r="TT74" s="261"/>
      <c r="TU74" s="261"/>
      <c r="TV74" s="261"/>
      <c r="TW74" s="261"/>
      <c r="TX74" s="261"/>
      <c r="TY74" s="261"/>
      <c r="TZ74" s="261"/>
      <c r="UA74" s="261"/>
      <c r="UB74" s="261"/>
      <c r="UC74" s="261"/>
      <c r="UD74" s="261"/>
      <c r="UE74" s="261"/>
      <c r="UF74" s="261"/>
      <c r="UG74" s="261"/>
      <c r="UH74" s="261"/>
      <c r="UI74" s="261"/>
      <c r="UJ74" s="261"/>
      <c r="UK74" s="261"/>
      <c r="UL74" s="261"/>
      <c r="UM74" s="261"/>
      <c r="UN74" s="261"/>
      <c r="UO74" s="261"/>
      <c r="UP74" s="261"/>
      <c r="UQ74" s="261"/>
      <c r="UR74" s="261"/>
      <c r="US74" s="261"/>
      <c r="UT74" s="261"/>
      <c r="UU74" s="261"/>
      <c r="UV74" s="261"/>
      <c r="UW74" s="261"/>
      <c r="UX74" s="261"/>
      <c r="UY74" s="261"/>
      <c r="UZ74" s="261"/>
      <c r="VA74" s="261"/>
      <c r="VB74" s="261"/>
      <c r="VC74" s="261"/>
      <c r="VD74" s="261"/>
      <c r="VE74" s="261"/>
      <c r="VF74" s="261"/>
      <c r="VG74" s="261"/>
      <c r="VH74" s="261"/>
      <c r="VI74" s="261"/>
      <c r="VJ74" s="261"/>
      <c r="VK74" s="261"/>
      <c r="VL74" s="261"/>
      <c r="VM74" s="261"/>
      <c r="VN74" s="261"/>
      <c r="VO74" s="261"/>
      <c r="VP74" s="261"/>
      <c r="VQ74" s="261"/>
      <c r="VR74" s="261"/>
      <c r="VS74" s="261"/>
      <c r="VT74" s="261"/>
      <c r="VU74" s="261"/>
      <c r="VV74" s="261"/>
      <c r="VW74" s="261"/>
      <c r="VX74" s="261"/>
      <c r="VY74" s="261"/>
      <c r="VZ74" s="261"/>
      <c r="WA74" s="261"/>
      <c r="WB74" s="261"/>
      <c r="WC74" s="261"/>
      <c r="WD74" s="261"/>
      <c r="WE74" s="261"/>
      <c r="WF74" s="261"/>
      <c r="WG74" s="261"/>
      <c r="WH74" s="261"/>
      <c r="WI74" s="261"/>
      <c r="WJ74" s="261"/>
      <c r="WK74" s="261"/>
      <c r="WL74" s="261"/>
      <c r="WM74" s="261"/>
      <c r="WN74" s="261"/>
      <c r="WO74" s="261"/>
      <c r="WP74" s="261"/>
      <c r="WQ74" s="261"/>
      <c r="WR74" s="261"/>
      <c r="WS74" s="261"/>
      <c r="WT74" s="261"/>
      <c r="WU74" s="261"/>
      <c r="WV74" s="261"/>
      <c r="WW74" s="261"/>
      <c r="WX74" s="261"/>
      <c r="WY74" s="261"/>
      <c r="WZ74" s="261"/>
      <c r="XA74" s="261"/>
      <c r="XB74" s="261"/>
      <c r="XC74" s="261"/>
      <c r="XD74" s="261"/>
      <c r="XE74" s="261"/>
      <c r="XF74" s="261"/>
      <c r="XG74" s="261"/>
      <c r="XH74" s="261"/>
      <c r="XI74" s="261"/>
      <c r="XJ74" s="261"/>
      <c r="XK74" s="261"/>
      <c r="XL74" s="261"/>
      <c r="XM74" s="261"/>
      <c r="XN74" s="261"/>
      <c r="XO74" s="261"/>
      <c r="XP74" s="261"/>
      <c r="XQ74" s="261"/>
      <c r="XR74" s="261"/>
      <c r="XS74" s="261"/>
      <c r="XT74" s="261"/>
      <c r="XU74" s="261"/>
      <c r="XV74" s="261"/>
      <c r="XW74" s="261"/>
      <c r="XX74" s="261"/>
      <c r="XY74" s="261"/>
      <c r="XZ74" s="261"/>
      <c r="YA74" s="261"/>
      <c r="YB74" s="261"/>
      <c r="YC74" s="261"/>
      <c r="YD74" s="261"/>
      <c r="YE74" s="261"/>
      <c r="YF74" s="261"/>
      <c r="YG74" s="261"/>
      <c r="YH74" s="261"/>
      <c r="YI74" s="261"/>
      <c r="YJ74" s="261"/>
      <c r="YK74" s="261"/>
      <c r="YL74" s="261"/>
      <c r="YM74" s="261"/>
      <c r="YN74" s="261"/>
      <c r="YO74" s="261"/>
      <c r="YP74" s="261"/>
      <c r="YQ74" s="261"/>
      <c r="YR74" s="261"/>
      <c r="YS74" s="261"/>
      <c r="YT74" s="261"/>
      <c r="YU74" s="261"/>
      <c r="YV74" s="261"/>
      <c r="YW74" s="261"/>
      <c r="YX74" s="261"/>
      <c r="YY74" s="261"/>
      <c r="YZ74" s="261"/>
      <c r="ZA74" s="261"/>
      <c r="ZB74" s="261"/>
      <c r="ZC74" s="261"/>
      <c r="ZD74" s="261"/>
      <c r="ZE74" s="261"/>
      <c r="ZF74" s="261"/>
      <c r="ZG74" s="261"/>
      <c r="ZH74" s="261"/>
      <c r="ZI74" s="261"/>
      <c r="ZJ74" s="261"/>
      <c r="ZK74" s="261"/>
      <c r="ZL74" s="261"/>
      <c r="ZM74" s="261"/>
      <c r="ZN74" s="261"/>
      <c r="ZO74" s="261"/>
      <c r="ZP74" s="261"/>
      <c r="ZQ74" s="261"/>
      <c r="ZR74" s="261"/>
      <c r="ZS74" s="261"/>
      <c r="ZT74" s="261"/>
      <c r="ZU74" s="261"/>
      <c r="ZV74" s="261"/>
      <c r="ZW74" s="261"/>
      <c r="ZX74" s="261"/>
      <c r="ZY74" s="261"/>
      <c r="ZZ74" s="261"/>
      <c r="AAA74" s="261"/>
      <c r="AAB74" s="261"/>
      <c r="AAC74" s="261"/>
      <c r="AAD74" s="261"/>
      <c r="AAE74" s="261"/>
      <c r="AAF74" s="261"/>
      <c r="AAG74" s="261"/>
      <c r="AAH74" s="261"/>
      <c r="AAI74" s="261"/>
      <c r="AAJ74" s="261"/>
      <c r="AAK74" s="261"/>
      <c r="AAL74" s="261"/>
      <c r="AAM74" s="261"/>
      <c r="AAN74" s="261"/>
      <c r="AAO74" s="261"/>
      <c r="AAP74" s="261"/>
      <c r="AAQ74" s="261"/>
      <c r="AAR74" s="261"/>
      <c r="AAS74" s="261"/>
      <c r="AAT74" s="261"/>
      <c r="AAU74" s="261"/>
      <c r="AAV74" s="261"/>
      <c r="AAW74" s="261"/>
      <c r="AAX74" s="261"/>
      <c r="AAY74" s="261"/>
      <c r="AAZ74" s="261"/>
      <c r="ABA74" s="261"/>
      <c r="ABB74" s="261"/>
      <c r="ABC74" s="261"/>
      <c r="ABD74" s="261"/>
      <c r="ABE74" s="261"/>
      <c r="ABF74" s="261"/>
      <c r="ABG74" s="261"/>
      <c r="ABH74" s="261"/>
      <c r="ABI74" s="261"/>
      <c r="ABJ74" s="261"/>
      <c r="ABK74" s="261"/>
      <c r="ABL74" s="261"/>
      <c r="ABM74" s="261"/>
      <c r="ABN74" s="261"/>
      <c r="ABO74" s="261"/>
      <c r="ABP74" s="261"/>
      <c r="ABQ74" s="261"/>
      <c r="ABR74" s="261"/>
      <c r="ABS74" s="261"/>
      <c r="ABT74" s="261"/>
      <c r="ABU74" s="261"/>
      <c r="ABV74" s="261"/>
      <c r="ABW74" s="261"/>
      <c r="ABX74" s="261"/>
      <c r="ABY74" s="261"/>
      <c r="ABZ74" s="261"/>
      <c r="ACA74" s="261"/>
      <c r="ACB74" s="261"/>
      <c r="ACC74" s="261"/>
      <c r="ACD74" s="261"/>
      <c r="ACE74" s="261"/>
      <c r="ACF74" s="261"/>
      <c r="ACG74" s="261"/>
      <c r="ACH74" s="261"/>
      <c r="ACI74" s="261"/>
      <c r="ACJ74" s="261"/>
      <c r="ACK74" s="261"/>
      <c r="ACL74" s="261"/>
      <c r="ACM74" s="261"/>
      <c r="ACN74" s="261"/>
      <c r="ACO74" s="261"/>
      <c r="ACP74" s="261"/>
      <c r="ACQ74" s="261"/>
      <c r="ACR74" s="261"/>
      <c r="ACS74" s="261"/>
      <c r="ACT74" s="261"/>
      <c r="ACU74" s="261"/>
      <c r="ACV74" s="261"/>
      <c r="ACW74" s="261"/>
      <c r="ACX74" s="261"/>
      <c r="ACY74" s="261"/>
      <c r="ACZ74" s="261"/>
      <c r="ADA74" s="261"/>
      <c r="ADB74" s="261"/>
      <c r="ADC74" s="261"/>
      <c r="ADD74" s="261"/>
      <c r="ADE74" s="261"/>
      <c r="ADF74" s="261"/>
      <c r="ADG74" s="261"/>
      <c r="ADH74" s="261"/>
      <c r="ADI74" s="261"/>
      <c r="ADJ74" s="261"/>
      <c r="ADK74" s="261"/>
      <c r="ADL74" s="261"/>
      <c r="ADM74" s="261"/>
      <c r="ADN74" s="261"/>
      <c r="ADO74" s="261"/>
      <c r="ADP74" s="261"/>
      <c r="ADQ74" s="261"/>
      <c r="ADR74" s="261"/>
      <c r="ADS74" s="261"/>
      <c r="ADT74" s="261"/>
      <c r="ADU74" s="261"/>
      <c r="ADV74" s="261"/>
      <c r="ADW74" s="261"/>
      <c r="ADX74" s="261"/>
      <c r="ADY74" s="261"/>
      <c r="ADZ74" s="261"/>
      <c r="AEA74" s="261"/>
      <c r="AEB74" s="261"/>
      <c r="AEC74" s="261"/>
      <c r="AED74" s="261"/>
      <c r="AEE74" s="261"/>
      <c r="AEF74" s="261"/>
      <c r="AEG74" s="261"/>
      <c r="AEH74" s="261"/>
      <c r="AEI74" s="261"/>
      <c r="AEJ74" s="261"/>
      <c r="AEK74" s="261"/>
      <c r="AEL74" s="261"/>
      <c r="AEM74" s="261"/>
      <c r="AEN74" s="261"/>
      <c r="AEO74" s="261"/>
      <c r="AEP74" s="261"/>
      <c r="AEQ74" s="261"/>
      <c r="AER74" s="261"/>
      <c r="AES74" s="261"/>
      <c r="AET74" s="261"/>
      <c r="AEU74" s="261"/>
      <c r="AEV74" s="261"/>
      <c r="AEW74" s="261"/>
      <c r="AEX74" s="261"/>
      <c r="AEY74" s="261"/>
      <c r="AEZ74" s="261"/>
      <c r="AFA74" s="261"/>
      <c r="AFB74" s="261"/>
      <c r="AFC74" s="261"/>
      <c r="AFD74" s="261"/>
      <c r="AFE74" s="261"/>
      <c r="AFF74" s="261"/>
      <c r="AFG74" s="261"/>
      <c r="AFH74" s="261"/>
      <c r="AFI74" s="261"/>
      <c r="AFJ74" s="261"/>
      <c r="AFK74" s="261"/>
      <c r="AFL74" s="261"/>
      <c r="AFM74" s="261"/>
      <c r="AFN74" s="261"/>
      <c r="AFO74" s="261"/>
      <c r="AFP74" s="261"/>
      <c r="AFQ74" s="261"/>
      <c r="AFR74" s="261"/>
      <c r="AFS74" s="261"/>
      <c r="AFT74" s="261"/>
      <c r="AFU74" s="261"/>
      <c r="AFV74" s="261"/>
      <c r="AFW74" s="261"/>
      <c r="AFX74" s="261"/>
      <c r="AFY74" s="261"/>
      <c r="AFZ74" s="261"/>
      <c r="AGA74" s="261"/>
      <c r="AGB74" s="261"/>
      <c r="AGC74" s="261"/>
      <c r="AGD74" s="261"/>
      <c r="AGE74" s="261"/>
      <c r="AGF74" s="261"/>
      <c r="AGG74" s="261"/>
      <c r="AGH74" s="261"/>
      <c r="AGI74" s="261"/>
      <c r="AGJ74" s="261"/>
      <c r="AGK74" s="261"/>
      <c r="AGL74" s="261"/>
      <c r="AGM74" s="261"/>
      <c r="AGN74" s="261"/>
      <c r="AGO74" s="261"/>
      <c r="AGP74" s="261"/>
      <c r="AGQ74" s="261"/>
      <c r="AGR74" s="261"/>
      <c r="AGS74" s="261"/>
      <c r="AGT74" s="261"/>
      <c r="AGU74" s="261"/>
      <c r="AGV74" s="261"/>
      <c r="AGW74" s="261"/>
      <c r="AGX74" s="261"/>
      <c r="AGY74" s="261"/>
      <c r="AGZ74" s="261"/>
      <c r="AHA74" s="261"/>
      <c r="AHB74" s="261"/>
      <c r="AHC74" s="261"/>
      <c r="AHD74" s="261"/>
      <c r="AHE74" s="261"/>
      <c r="AHF74" s="261"/>
      <c r="AHG74" s="261"/>
      <c r="AHH74" s="261"/>
      <c r="AHI74" s="261"/>
      <c r="AHJ74" s="261"/>
      <c r="AHK74" s="261"/>
      <c r="AHL74" s="261"/>
      <c r="AHM74" s="261"/>
      <c r="AHN74" s="261"/>
      <c r="AHO74" s="261"/>
      <c r="AHP74" s="261"/>
      <c r="AHQ74" s="261"/>
      <c r="AHR74" s="261"/>
      <c r="AHS74" s="261"/>
      <c r="AHT74" s="261"/>
      <c r="AHU74" s="261"/>
      <c r="AHV74" s="261"/>
      <c r="AHW74" s="261"/>
      <c r="AHX74" s="261"/>
      <c r="AHY74" s="261"/>
      <c r="AHZ74" s="261"/>
      <c r="AIA74" s="261"/>
      <c r="AIB74" s="261"/>
      <c r="AIC74" s="261"/>
      <c r="AID74" s="261"/>
      <c r="AIE74" s="261"/>
      <c r="AIF74" s="261"/>
      <c r="AIG74" s="261"/>
      <c r="AIH74" s="261"/>
      <c r="AII74" s="261"/>
      <c r="AIJ74" s="261"/>
      <c r="AIK74" s="261"/>
      <c r="AIL74" s="261"/>
      <c r="AIM74" s="261"/>
      <c r="AIN74" s="261"/>
      <c r="AIO74" s="261"/>
      <c r="AIP74" s="261"/>
      <c r="AIQ74" s="261"/>
      <c r="AIR74" s="261"/>
      <c r="AIS74" s="261"/>
      <c r="AIT74" s="261"/>
      <c r="AIU74" s="261"/>
      <c r="AIV74" s="261"/>
      <c r="AIW74" s="261"/>
      <c r="AIX74" s="261"/>
      <c r="AIY74" s="261"/>
      <c r="AIZ74" s="261"/>
      <c r="AJA74" s="261"/>
      <c r="AJB74" s="261"/>
      <c r="AJC74" s="261"/>
      <c r="AJD74" s="261"/>
      <c r="AJE74" s="261"/>
      <c r="AJF74" s="261"/>
      <c r="AJG74" s="261"/>
      <c r="AJH74" s="261"/>
      <c r="AJI74" s="261"/>
      <c r="AJJ74" s="261"/>
      <c r="AJK74" s="261"/>
      <c r="AJL74" s="261"/>
      <c r="AJM74" s="261"/>
      <c r="AJN74" s="261"/>
      <c r="AJO74" s="261"/>
      <c r="AJP74" s="261"/>
      <c r="AJQ74" s="261"/>
      <c r="AJR74" s="261"/>
      <c r="AJS74" s="261"/>
      <c r="AJT74" s="261"/>
      <c r="AJU74" s="261"/>
      <c r="AJV74" s="261"/>
      <c r="AJW74" s="261"/>
      <c r="AJX74" s="261"/>
      <c r="AJY74" s="261"/>
      <c r="AJZ74" s="261"/>
      <c r="AKA74" s="261"/>
      <c r="AKB74" s="261"/>
      <c r="AKC74" s="261"/>
      <c r="AKD74" s="261"/>
      <c r="AKE74" s="261"/>
      <c r="AKF74" s="261"/>
      <c r="AKG74" s="261"/>
      <c r="AKH74" s="261"/>
      <c r="AKI74" s="261"/>
      <c r="AKJ74" s="261"/>
      <c r="AKK74" s="261"/>
      <c r="AKL74" s="261"/>
      <c r="AKM74" s="261"/>
      <c r="AKN74" s="261"/>
      <c r="AKO74" s="261"/>
      <c r="AKP74" s="261"/>
      <c r="AKQ74" s="261"/>
      <c r="AKR74" s="261"/>
      <c r="AKS74" s="261"/>
      <c r="AKT74" s="261"/>
      <c r="AKU74" s="261"/>
      <c r="AKV74" s="261"/>
      <c r="AKW74" s="261"/>
      <c r="AKX74" s="261"/>
      <c r="AKY74" s="261"/>
      <c r="AKZ74" s="261"/>
      <c r="ALA74" s="261"/>
      <c r="ALB74" s="261"/>
      <c r="ALC74" s="261"/>
      <c r="ALD74" s="261"/>
      <c r="ALE74" s="261"/>
      <c r="ALF74" s="261"/>
      <c r="ALG74" s="261"/>
      <c r="ALH74" s="261"/>
      <c r="ALI74" s="261"/>
      <c r="ALJ74" s="261"/>
      <c r="ALK74" s="261"/>
      <c r="ALL74" s="261"/>
      <c r="ALM74" s="261"/>
      <c r="ALN74" s="261"/>
      <c r="ALO74" s="261"/>
      <c r="ALP74" s="261"/>
      <c r="ALQ74" s="261"/>
      <c r="ALR74" s="261"/>
      <c r="ALS74" s="261"/>
      <c r="ALT74" s="261"/>
      <c r="ALU74" s="261"/>
      <c r="ALV74" s="261"/>
      <c r="ALW74" s="261"/>
      <c r="ALX74" s="261"/>
      <c r="ALY74" s="261"/>
      <c r="ALZ74" s="261"/>
      <c r="AMA74" s="261"/>
      <c r="AMB74" s="261"/>
      <c r="AMC74" s="261"/>
      <c r="AMD74" s="261"/>
      <c r="AME74" s="261"/>
      <c r="AMF74" s="261"/>
      <c r="AMG74" s="261"/>
      <c r="AMH74" s="261"/>
      <c r="AMI74" s="261"/>
      <c r="AMJ74" s="261"/>
    </row>
    <row r="75" spans="12:1024" ht="15.95" customHeight="1">
      <c r="L75" s="261"/>
      <c r="M75" s="296"/>
      <c r="N75" s="261"/>
      <c r="O75" s="261"/>
      <c r="P75" s="261"/>
      <c r="Q75" s="261"/>
      <c r="R75" s="261"/>
      <c r="S75" s="261"/>
      <c r="T75" s="261"/>
      <c r="U75" s="261"/>
      <c r="V75" s="261"/>
      <c r="W75" s="261"/>
      <c r="X75" s="261"/>
      <c r="Y75" s="261"/>
      <c r="Z75" s="261"/>
      <c r="AA75" s="261"/>
      <c r="AB75" s="261"/>
      <c r="AC75" s="261"/>
      <c r="AD75" s="261"/>
      <c r="AE75" s="261"/>
      <c r="AF75" s="261"/>
      <c r="AG75" s="261"/>
      <c r="AH75" s="261"/>
      <c r="AI75" s="261"/>
      <c r="AJ75" s="261"/>
      <c r="AK75" s="261"/>
      <c r="AL75" s="261"/>
      <c r="AM75" s="261"/>
      <c r="AN75" s="261"/>
      <c r="AO75" s="261"/>
      <c r="AP75" s="261"/>
      <c r="AQ75" s="261"/>
      <c r="AR75" s="261"/>
      <c r="AS75" s="261"/>
      <c r="AT75" s="261"/>
      <c r="AU75" s="261"/>
      <c r="AV75" s="261"/>
      <c r="AW75" s="261"/>
      <c r="AX75" s="261"/>
      <c r="AY75" s="261"/>
      <c r="AZ75" s="261"/>
      <c r="BA75" s="261"/>
      <c r="BB75" s="261"/>
      <c r="BC75" s="261"/>
      <c r="BD75" s="261"/>
      <c r="BE75" s="261"/>
      <c r="BF75" s="261"/>
      <c r="BG75" s="261"/>
      <c r="BH75" s="261"/>
      <c r="BI75" s="261"/>
      <c r="BJ75" s="261"/>
      <c r="BK75" s="261"/>
      <c r="BL75" s="261"/>
      <c r="BM75" s="261"/>
      <c r="BN75" s="261"/>
      <c r="BO75" s="261"/>
      <c r="BP75" s="261"/>
      <c r="BQ75" s="261"/>
      <c r="BR75" s="261"/>
      <c r="BS75" s="261"/>
      <c r="BT75" s="261"/>
      <c r="BU75" s="261"/>
      <c r="BV75" s="261"/>
      <c r="BW75" s="261"/>
      <c r="BX75" s="261"/>
      <c r="BY75" s="261"/>
      <c r="BZ75" s="261"/>
      <c r="CA75" s="261"/>
      <c r="CB75" s="261"/>
      <c r="CC75" s="261"/>
      <c r="CD75" s="261"/>
      <c r="CE75" s="261"/>
      <c r="CF75" s="261"/>
      <c r="CG75" s="261"/>
      <c r="CH75" s="261"/>
      <c r="CI75" s="261"/>
      <c r="CJ75" s="261"/>
      <c r="CK75" s="261"/>
      <c r="CL75" s="261"/>
      <c r="CM75" s="261"/>
      <c r="CN75" s="261"/>
      <c r="CO75" s="261"/>
      <c r="CP75" s="261"/>
      <c r="CQ75" s="261"/>
      <c r="CR75" s="261"/>
      <c r="CS75" s="261"/>
      <c r="CT75" s="261"/>
      <c r="CU75" s="261"/>
      <c r="CV75" s="261"/>
      <c r="CW75" s="261"/>
      <c r="CX75" s="261"/>
      <c r="CY75" s="261"/>
      <c r="CZ75" s="261"/>
      <c r="DA75" s="261"/>
      <c r="DB75" s="261"/>
      <c r="DC75" s="261"/>
      <c r="DD75" s="261"/>
      <c r="DE75" s="261"/>
      <c r="DF75" s="261"/>
      <c r="DG75" s="261"/>
      <c r="DH75" s="261"/>
      <c r="DI75" s="261"/>
      <c r="DJ75" s="261"/>
      <c r="DK75" s="261"/>
      <c r="DL75" s="261"/>
      <c r="DM75" s="261"/>
      <c r="DN75" s="261"/>
      <c r="DO75" s="261"/>
      <c r="DP75" s="261"/>
      <c r="DQ75" s="261"/>
      <c r="DR75" s="261"/>
      <c r="DS75" s="261"/>
      <c r="DT75" s="261"/>
      <c r="DU75" s="261"/>
      <c r="DV75" s="261"/>
      <c r="DW75" s="261"/>
      <c r="DX75" s="261"/>
      <c r="DY75" s="261"/>
      <c r="DZ75" s="261"/>
      <c r="EA75" s="261"/>
      <c r="EB75" s="261"/>
      <c r="EC75" s="261"/>
      <c r="ED75" s="261"/>
      <c r="EE75" s="261"/>
      <c r="EF75" s="261"/>
      <c r="EG75" s="261"/>
      <c r="EH75" s="261"/>
      <c r="EI75" s="261"/>
      <c r="EJ75" s="261"/>
      <c r="EK75" s="261"/>
      <c r="EL75" s="261"/>
      <c r="EM75" s="261"/>
      <c r="EN75" s="261"/>
      <c r="EO75" s="261"/>
      <c r="EP75" s="261"/>
      <c r="EQ75" s="261"/>
      <c r="ER75" s="261"/>
      <c r="ES75" s="261"/>
      <c r="ET75" s="261"/>
      <c r="EU75" s="261"/>
      <c r="EV75" s="261"/>
      <c r="EW75" s="261"/>
      <c r="EX75" s="261"/>
      <c r="EY75" s="261"/>
      <c r="EZ75" s="261"/>
      <c r="FA75" s="261"/>
      <c r="FB75" s="261"/>
      <c r="FC75" s="261"/>
      <c r="FD75" s="261"/>
      <c r="FE75" s="261"/>
      <c r="FF75" s="261"/>
      <c r="FG75" s="261"/>
      <c r="FH75" s="261"/>
      <c r="FI75" s="261"/>
      <c r="FJ75" s="261"/>
      <c r="FK75" s="261"/>
      <c r="FL75" s="261"/>
      <c r="FM75" s="261"/>
      <c r="FN75" s="261"/>
      <c r="FO75" s="261"/>
      <c r="FP75" s="261"/>
      <c r="FQ75" s="261"/>
      <c r="FR75" s="261"/>
      <c r="FS75" s="261"/>
      <c r="FT75" s="261"/>
      <c r="FU75" s="261"/>
      <c r="FV75" s="261"/>
      <c r="FW75" s="261"/>
      <c r="FX75" s="261"/>
      <c r="FY75" s="261"/>
      <c r="FZ75" s="261"/>
      <c r="GA75" s="261"/>
      <c r="GB75" s="261"/>
      <c r="GC75" s="261"/>
      <c r="GD75" s="261"/>
      <c r="GE75" s="261"/>
      <c r="GF75" s="261"/>
      <c r="GG75" s="261"/>
      <c r="GH75" s="261"/>
      <c r="GI75" s="261"/>
      <c r="GJ75" s="261"/>
      <c r="GK75" s="261"/>
      <c r="GL75" s="261"/>
      <c r="GM75" s="261"/>
      <c r="GN75" s="261"/>
      <c r="GO75" s="261"/>
      <c r="GP75" s="261"/>
      <c r="GQ75" s="261"/>
      <c r="GR75" s="261"/>
      <c r="GS75" s="261"/>
      <c r="GT75" s="261"/>
      <c r="GU75" s="261"/>
      <c r="GV75" s="261"/>
      <c r="GW75" s="261"/>
      <c r="GX75" s="261"/>
      <c r="GY75" s="261"/>
      <c r="GZ75" s="261"/>
      <c r="HA75" s="261"/>
      <c r="HB75" s="261"/>
      <c r="HC75" s="261"/>
      <c r="HD75" s="261"/>
      <c r="HE75" s="261"/>
      <c r="HF75" s="261"/>
      <c r="HG75" s="261"/>
      <c r="HH75" s="261"/>
      <c r="HI75" s="261"/>
      <c r="HJ75" s="261"/>
      <c r="HK75" s="261"/>
      <c r="HL75" s="261"/>
      <c r="HM75" s="261"/>
      <c r="HN75" s="261"/>
      <c r="HO75" s="261"/>
      <c r="HP75" s="261"/>
      <c r="HQ75" s="261"/>
      <c r="HR75" s="261"/>
      <c r="HS75" s="261"/>
      <c r="HT75" s="261"/>
      <c r="HU75" s="261"/>
      <c r="HV75" s="261"/>
      <c r="HW75" s="261"/>
      <c r="HX75" s="261"/>
      <c r="HY75" s="261"/>
      <c r="HZ75" s="261"/>
      <c r="IA75" s="261"/>
      <c r="IB75" s="261"/>
      <c r="IC75" s="261"/>
      <c r="ID75" s="261"/>
      <c r="IE75" s="261"/>
      <c r="IF75" s="261"/>
      <c r="IG75" s="261"/>
      <c r="IH75" s="261"/>
      <c r="II75" s="261"/>
      <c r="IJ75" s="261"/>
      <c r="IK75" s="261"/>
      <c r="IL75" s="261"/>
      <c r="IM75" s="261"/>
      <c r="IN75" s="261"/>
      <c r="IO75" s="261"/>
      <c r="IP75" s="261"/>
      <c r="IQ75" s="261"/>
      <c r="IR75" s="261"/>
      <c r="IS75" s="261"/>
      <c r="IT75" s="261"/>
      <c r="IU75" s="261"/>
      <c r="IV75" s="261"/>
      <c r="IW75" s="261"/>
      <c r="IX75" s="261"/>
      <c r="IY75" s="261"/>
      <c r="IZ75" s="261"/>
      <c r="JA75" s="261"/>
      <c r="JB75" s="261"/>
      <c r="JC75" s="261"/>
      <c r="JD75" s="261"/>
      <c r="JE75" s="261"/>
      <c r="JF75" s="261"/>
      <c r="JG75" s="261"/>
      <c r="JH75" s="261"/>
      <c r="JI75" s="261"/>
      <c r="JJ75" s="261"/>
      <c r="JK75" s="261"/>
      <c r="JL75" s="261"/>
      <c r="JM75" s="261"/>
      <c r="JN75" s="261"/>
      <c r="JO75" s="261"/>
      <c r="JP75" s="261"/>
      <c r="JQ75" s="261"/>
      <c r="JR75" s="261"/>
      <c r="JS75" s="261"/>
      <c r="JT75" s="261"/>
      <c r="JU75" s="261"/>
      <c r="JV75" s="261"/>
      <c r="JW75" s="261"/>
      <c r="JX75" s="261"/>
      <c r="JY75" s="261"/>
      <c r="JZ75" s="261"/>
      <c r="KA75" s="261"/>
      <c r="KB75" s="261"/>
      <c r="KC75" s="261"/>
      <c r="KD75" s="261"/>
      <c r="KE75" s="261"/>
      <c r="KF75" s="261"/>
      <c r="KG75" s="261"/>
      <c r="KH75" s="261"/>
      <c r="KI75" s="261"/>
      <c r="KJ75" s="261"/>
      <c r="KK75" s="261"/>
      <c r="KL75" s="261"/>
      <c r="KM75" s="261"/>
      <c r="KN75" s="261"/>
      <c r="KO75" s="261"/>
      <c r="KP75" s="261"/>
      <c r="KQ75" s="261"/>
      <c r="KR75" s="261"/>
      <c r="KS75" s="261"/>
      <c r="KT75" s="261"/>
      <c r="KU75" s="261"/>
      <c r="KV75" s="261"/>
      <c r="KW75" s="261"/>
      <c r="KX75" s="261"/>
      <c r="KY75" s="261"/>
      <c r="KZ75" s="261"/>
      <c r="LA75" s="261"/>
      <c r="LB75" s="261"/>
      <c r="LC75" s="261"/>
      <c r="LD75" s="261"/>
      <c r="LE75" s="261"/>
      <c r="LF75" s="261"/>
      <c r="LG75" s="261"/>
      <c r="LH75" s="261"/>
      <c r="LI75" s="261"/>
      <c r="LJ75" s="261"/>
      <c r="LK75" s="261"/>
      <c r="LL75" s="261"/>
      <c r="LM75" s="261"/>
      <c r="LN75" s="261"/>
      <c r="LO75" s="261"/>
      <c r="LP75" s="261"/>
      <c r="LQ75" s="261"/>
      <c r="LR75" s="261"/>
      <c r="LS75" s="261"/>
      <c r="LT75" s="261"/>
      <c r="LU75" s="261"/>
      <c r="LV75" s="261"/>
      <c r="LW75" s="261"/>
      <c r="LX75" s="261"/>
      <c r="LY75" s="261"/>
      <c r="LZ75" s="261"/>
      <c r="MA75" s="261"/>
      <c r="MB75" s="261"/>
      <c r="MC75" s="261"/>
      <c r="MD75" s="261"/>
      <c r="ME75" s="261"/>
      <c r="MF75" s="261"/>
      <c r="MG75" s="261"/>
      <c r="MH75" s="261"/>
      <c r="MI75" s="261"/>
      <c r="MJ75" s="261"/>
      <c r="MK75" s="261"/>
      <c r="ML75" s="261"/>
      <c r="MM75" s="261"/>
      <c r="MN75" s="261"/>
      <c r="MO75" s="261"/>
      <c r="MP75" s="261"/>
      <c r="MQ75" s="261"/>
      <c r="MR75" s="261"/>
      <c r="MS75" s="261"/>
      <c r="MT75" s="261"/>
      <c r="MU75" s="261"/>
      <c r="MV75" s="261"/>
      <c r="MW75" s="261"/>
      <c r="MX75" s="261"/>
      <c r="MY75" s="261"/>
      <c r="MZ75" s="261"/>
      <c r="NA75" s="261"/>
      <c r="NB75" s="261"/>
      <c r="NC75" s="261"/>
      <c r="ND75" s="261"/>
      <c r="NE75" s="261"/>
      <c r="NF75" s="261"/>
      <c r="NG75" s="261"/>
      <c r="NH75" s="261"/>
      <c r="NI75" s="261"/>
      <c r="NJ75" s="261"/>
      <c r="NK75" s="261"/>
      <c r="NL75" s="261"/>
      <c r="NM75" s="261"/>
      <c r="NN75" s="261"/>
      <c r="NO75" s="261"/>
      <c r="NP75" s="261"/>
      <c r="NQ75" s="261"/>
      <c r="NR75" s="261"/>
      <c r="NS75" s="261"/>
      <c r="NT75" s="261"/>
      <c r="NU75" s="261"/>
      <c r="NV75" s="261"/>
      <c r="NW75" s="261"/>
      <c r="NX75" s="261"/>
      <c r="NY75" s="261"/>
      <c r="NZ75" s="261"/>
      <c r="OA75" s="261"/>
      <c r="OB75" s="261"/>
      <c r="OC75" s="261"/>
      <c r="OD75" s="261"/>
      <c r="OE75" s="261"/>
      <c r="OF75" s="261"/>
      <c r="OG75" s="261"/>
      <c r="OH75" s="261"/>
      <c r="OI75" s="261"/>
      <c r="OJ75" s="261"/>
      <c r="OK75" s="261"/>
      <c r="OL75" s="261"/>
      <c r="OM75" s="261"/>
      <c r="ON75" s="261"/>
      <c r="OO75" s="261"/>
      <c r="OP75" s="261"/>
      <c r="OQ75" s="261"/>
      <c r="OR75" s="261"/>
      <c r="OS75" s="261"/>
      <c r="OT75" s="261"/>
      <c r="OU75" s="261"/>
      <c r="OV75" s="261"/>
      <c r="OW75" s="261"/>
      <c r="OX75" s="261"/>
      <c r="OY75" s="261"/>
      <c r="OZ75" s="261"/>
      <c r="PA75" s="261"/>
      <c r="PB75" s="261"/>
      <c r="PC75" s="261"/>
      <c r="PD75" s="261"/>
      <c r="PE75" s="261"/>
      <c r="PF75" s="261"/>
      <c r="PG75" s="261"/>
      <c r="PH75" s="261"/>
      <c r="PI75" s="261"/>
      <c r="PJ75" s="261"/>
      <c r="PK75" s="261"/>
      <c r="PL75" s="261"/>
      <c r="PM75" s="261"/>
      <c r="PN75" s="261"/>
      <c r="PO75" s="261"/>
      <c r="PP75" s="261"/>
      <c r="PQ75" s="261"/>
      <c r="PR75" s="261"/>
      <c r="PS75" s="261"/>
      <c r="PT75" s="261"/>
      <c r="PU75" s="261"/>
      <c r="PV75" s="261"/>
      <c r="PW75" s="261"/>
      <c r="PX75" s="261"/>
      <c r="PY75" s="261"/>
      <c r="PZ75" s="261"/>
      <c r="QA75" s="261"/>
      <c r="QB75" s="261"/>
      <c r="QC75" s="261"/>
      <c r="QD75" s="261"/>
      <c r="QE75" s="261"/>
      <c r="QF75" s="261"/>
      <c r="QG75" s="261"/>
      <c r="QH75" s="261"/>
      <c r="QI75" s="261"/>
      <c r="QJ75" s="261"/>
      <c r="QK75" s="261"/>
      <c r="QL75" s="261"/>
      <c r="QM75" s="261"/>
      <c r="QN75" s="261"/>
      <c r="QO75" s="261"/>
      <c r="QP75" s="261"/>
      <c r="QQ75" s="261"/>
      <c r="QR75" s="261"/>
      <c r="QS75" s="261"/>
      <c r="QT75" s="261"/>
      <c r="QU75" s="261"/>
      <c r="QV75" s="261"/>
      <c r="QW75" s="261"/>
      <c r="QX75" s="261"/>
      <c r="QY75" s="261"/>
      <c r="QZ75" s="261"/>
      <c r="RA75" s="261"/>
      <c r="RB75" s="261"/>
      <c r="RC75" s="261"/>
      <c r="RD75" s="261"/>
      <c r="RE75" s="261"/>
      <c r="RF75" s="261"/>
      <c r="RG75" s="261"/>
      <c r="RH75" s="261"/>
      <c r="RI75" s="261"/>
      <c r="RJ75" s="261"/>
      <c r="RK75" s="261"/>
      <c r="RL75" s="261"/>
      <c r="RM75" s="261"/>
      <c r="RN75" s="261"/>
      <c r="RO75" s="261"/>
      <c r="RP75" s="261"/>
      <c r="RQ75" s="261"/>
      <c r="RR75" s="261"/>
      <c r="RS75" s="261"/>
      <c r="RT75" s="261"/>
      <c r="RU75" s="261"/>
      <c r="RV75" s="261"/>
      <c r="RW75" s="261"/>
      <c r="RX75" s="261"/>
      <c r="RY75" s="261"/>
      <c r="RZ75" s="261"/>
      <c r="SA75" s="261"/>
      <c r="SB75" s="261"/>
      <c r="SC75" s="261"/>
      <c r="SD75" s="261"/>
      <c r="SE75" s="261"/>
      <c r="SF75" s="261"/>
      <c r="SG75" s="261"/>
      <c r="SH75" s="261"/>
      <c r="SI75" s="261"/>
      <c r="SJ75" s="261"/>
      <c r="SK75" s="261"/>
      <c r="SL75" s="261"/>
      <c r="SM75" s="261"/>
      <c r="SN75" s="261"/>
      <c r="SO75" s="261"/>
      <c r="SP75" s="261"/>
      <c r="SQ75" s="261"/>
      <c r="SR75" s="261"/>
      <c r="SS75" s="261"/>
      <c r="ST75" s="261"/>
      <c r="SU75" s="261"/>
      <c r="SV75" s="261"/>
      <c r="SW75" s="261"/>
      <c r="SX75" s="261"/>
      <c r="SY75" s="261"/>
      <c r="SZ75" s="261"/>
      <c r="TA75" s="261"/>
      <c r="TB75" s="261"/>
      <c r="TC75" s="261"/>
      <c r="TD75" s="261"/>
      <c r="TE75" s="261"/>
      <c r="TF75" s="261"/>
      <c r="TG75" s="261"/>
      <c r="TH75" s="261"/>
      <c r="TI75" s="261"/>
      <c r="TJ75" s="261"/>
      <c r="TK75" s="261"/>
      <c r="TL75" s="261"/>
      <c r="TM75" s="261"/>
      <c r="TN75" s="261"/>
      <c r="TO75" s="261"/>
      <c r="TP75" s="261"/>
      <c r="TQ75" s="261"/>
      <c r="TR75" s="261"/>
      <c r="TS75" s="261"/>
      <c r="TT75" s="261"/>
      <c r="TU75" s="261"/>
      <c r="TV75" s="261"/>
      <c r="TW75" s="261"/>
      <c r="TX75" s="261"/>
      <c r="TY75" s="261"/>
      <c r="TZ75" s="261"/>
      <c r="UA75" s="261"/>
      <c r="UB75" s="261"/>
      <c r="UC75" s="261"/>
      <c r="UD75" s="261"/>
      <c r="UE75" s="261"/>
      <c r="UF75" s="261"/>
      <c r="UG75" s="261"/>
      <c r="UH75" s="261"/>
      <c r="UI75" s="261"/>
      <c r="UJ75" s="261"/>
      <c r="UK75" s="261"/>
      <c r="UL75" s="261"/>
      <c r="UM75" s="261"/>
      <c r="UN75" s="261"/>
      <c r="UO75" s="261"/>
      <c r="UP75" s="261"/>
      <c r="UQ75" s="261"/>
      <c r="UR75" s="261"/>
      <c r="US75" s="261"/>
      <c r="UT75" s="261"/>
      <c r="UU75" s="261"/>
      <c r="UV75" s="261"/>
      <c r="UW75" s="261"/>
      <c r="UX75" s="261"/>
      <c r="UY75" s="261"/>
      <c r="UZ75" s="261"/>
      <c r="VA75" s="261"/>
      <c r="VB75" s="261"/>
      <c r="VC75" s="261"/>
      <c r="VD75" s="261"/>
      <c r="VE75" s="261"/>
      <c r="VF75" s="261"/>
      <c r="VG75" s="261"/>
      <c r="VH75" s="261"/>
      <c r="VI75" s="261"/>
      <c r="VJ75" s="261"/>
      <c r="VK75" s="261"/>
      <c r="VL75" s="261"/>
      <c r="VM75" s="261"/>
      <c r="VN75" s="261"/>
      <c r="VO75" s="261"/>
      <c r="VP75" s="261"/>
      <c r="VQ75" s="261"/>
      <c r="VR75" s="261"/>
      <c r="VS75" s="261"/>
      <c r="VT75" s="261"/>
      <c r="VU75" s="261"/>
      <c r="VV75" s="261"/>
      <c r="VW75" s="261"/>
      <c r="VX75" s="261"/>
      <c r="VY75" s="261"/>
      <c r="VZ75" s="261"/>
      <c r="WA75" s="261"/>
      <c r="WB75" s="261"/>
      <c r="WC75" s="261"/>
      <c r="WD75" s="261"/>
      <c r="WE75" s="261"/>
      <c r="WF75" s="261"/>
      <c r="WG75" s="261"/>
      <c r="WH75" s="261"/>
      <c r="WI75" s="261"/>
      <c r="WJ75" s="261"/>
      <c r="WK75" s="261"/>
      <c r="WL75" s="261"/>
      <c r="WM75" s="261"/>
      <c r="WN75" s="261"/>
      <c r="WO75" s="261"/>
      <c r="WP75" s="261"/>
      <c r="WQ75" s="261"/>
      <c r="WR75" s="261"/>
      <c r="WS75" s="261"/>
      <c r="WT75" s="261"/>
      <c r="WU75" s="261"/>
      <c r="WV75" s="261"/>
      <c r="WW75" s="261"/>
      <c r="WX75" s="261"/>
      <c r="WY75" s="261"/>
      <c r="WZ75" s="261"/>
      <c r="XA75" s="261"/>
      <c r="XB75" s="261"/>
      <c r="XC75" s="261"/>
      <c r="XD75" s="261"/>
      <c r="XE75" s="261"/>
      <c r="XF75" s="261"/>
      <c r="XG75" s="261"/>
      <c r="XH75" s="261"/>
      <c r="XI75" s="261"/>
      <c r="XJ75" s="261"/>
      <c r="XK75" s="261"/>
      <c r="XL75" s="261"/>
      <c r="XM75" s="261"/>
      <c r="XN75" s="261"/>
      <c r="XO75" s="261"/>
      <c r="XP75" s="261"/>
      <c r="XQ75" s="261"/>
      <c r="XR75" s="261"/>
      <c r="XS75" s="261"/>
      <c r="XT75" s="261"/>
      <c r="XU75" s="261"/>
      <c r="XV75" s="261"/>
      <c r="XW75" s="261"/>
      <c r="XX75" s="261"/>
      <c r="XY75" s="261"/>
      <c r="XZ75" s="261"/>
      <c r="YA75" s="261"/>
      <c r="YB75" s="261"/>
      <c r="YC75" s="261"/>
      <c r="YD75" s="261"/>
      <c r="YE75" s="261"/>
      <c r="YF75" s="261"/>
      <c r="YG75" s="261"/>
      <c r="YH75" s="261"/>
      <c r="YI75" s="261"/>
      <c r="YJ75" s="261"/>
      <c r="YK75" s="261"/>
      <c r="YL75" s="261"/>
      <c r="YM75" s="261"/>
      <c r="YN75" s="261"/>
      <c r="YO75" s="261"/>
      <c r="YP75" s="261"/>
      <c r="YQ75" s="261"/>
      <c r="YR75" s="261"/>
      <c r="YS75" s="261"/>
      <c r="YT75" s="261"/>
      <c r="YU75" s="261"/>
      <c r="YV75" s="261"/>
      <c r="YW75" s="261"/>
      <c r="YX75" s="261"/>
      <c r="YY75" s="261"/>
      <c r="YZ75" s="261"/>
      <c r="ZA75" s="261"/>
      <c r="ZB75" s="261"/>
      <c r="ZC75" s="261"/>
      <c r="ZD75" s="261"/>
      <c r="ZE75" s="261"/>
      <c r="ZF75" s="261"/>
      <c r="ZG75" s="261"/>
      <c r="ZH75" s="261"/>
      <c r="ZI75" s="261"/>
      <c r="ZJ75" s="261"/>
      <c r="ZK75" s="261"/>
      <c r="ZL75" s="261"/>
      <c r="ZM75" s="261"/>
      <c r="ZN75" s="261"/>
      <c r="ZO75" s="261"/>
      <c r="ZP75" s="261"/>
      <c r="ZQ75" s="261"/>
      <c r="ZR75" s="261"/>
      <c r="ZS75" s="261"/>
      <c r="ZT75" s="261"/>
      <c r="ZU75" s="261"/>
      <c r="ZV75" s="261"/>
      <c r="ZW75" s="261"/>
      <c r="ZX75" s="261"/>
      <c r="ZY75" s="261"/>
      <c r="ZZ75" s="261"/>
      <c r="AAA75" s="261"/>
      <c r="AAB75" s="261"/>
      <c r="AAC75" s="261"/>
      <c r="AAD75" s="261"/>
      <c r="AAE75" s="261"/>
      <c r="AAF75" s="261"/>
      <c r="AAG75" s="261"/>
      <c r="AAH75" s="261"/>
      <c r="AAI75" s="261"/>
      <c r="AAJ75" s="261"/>
      <c r="AAK75" s="261"/>
      <c r="AAL75" s="261"/>
      <c r="AAM75" s="261"/>
      <c r="AAN75" s="261"/>
      <c r="AAO75" s="261"/>
      <c r="AAP75" s="261"/>
      <c r="AAQ75" s="261"/>
      <c r="AAR75" s="261"/>
      <c r="AAS75" s="261"/>
      <c r="AAT75" s="261"/>
      <c r="AAU75" s="261"/>
      <c r="AAV75" s="261"/>
      <c r="AAW75" s="261"/>
      <c r="AAX75" s="261"/>
      <c r="AAY75" s="261"/>
      <c r="AAZ75" s="261"/>
      <c r="ABA75" s="261"/>
      <c r="ABB75" s="261"/>
      <c r="ABC75" s="261"/>
      <c r="ABD75" s="261"/>
      <c r="ABE75" s="261"/>
      <c r="ABF75" s="261"/>
      <c r="ABG75" s="261"/>
      <c r="ABH75" s="261"/>
      <c r="ABI75" s="261"/>
      <c r="ABJ75" s="261"/>
      <c r="ABK75" s="261"/>
      <c r="ABL75" s="261"/>
      <c r="ABM75" s="261"/>
      <c r="ABN75" s="261"/>
      <c r="ABO75" s="261"/>
      <c r="ABP75" s="261"/>
      <c r="ABQ75" s="261"/>
      <c r="ABR75" s="261"/>
      <c r="ABS75" s="261"/>
      <c r="ABT75" s="261"/>
      <c r="ABU75" s="261"/>
      <c r="ABV75" s="261"/>
      <c r="ABW75" s="261"/>
      <c r="ABX75" s="261"/>
      <c r="ABY75" s="261"/>
      <c r="ABZ75" s="261"/>
      <c r="ACA75" s="261"/>
      <c r="ACB75" s="261"/>
      <c r="ACC75" s="261"/>
      <c r="ACD75" s="261"/>
      <c r="ACE75" s="261"/>
      <c r="ACF75" s="261"/>
      <c r="ACG75" s="261"/>
      <c r="ACH75" s="261"/>
      <c r="ACI75" s="261"/>
      <c r="ACJ75" s="261"/>
      <c r="ACK75" s="261"/>
      <c r="ACL75" s="261"/>
      <c r="ACM75" s="261"/>
      <c r="ACN75" s="261"/>
      <c r="ACO75" s="261"/>
      <c r="ACP75" s="261"/>
      <c r="ACQ75" s="261"/>
      <c r="ACR75" s="261"/>
      <c r="ACS75" s="261"/>
      <c r="ACT75" s="261"/>
      <c r="ACU75" s="261"/>
      <c r="ACV75" s="261"/>
      <c r="ACW75" s="261"/>
      <c r="ACX75" s="261"/>
      <c r="ACY75" s="261"/>
      <c r="ACZ75" s="261"/>
      <c r="ADA75" s="261"/>
      <c r="ADB75" s="261"/>
      <c r="ADC75" s="261"/>
      <c r="ADD75" s="261"/>
      <c r="ADE75" s="261"/>
      <c r="ADF75" s="261"/>
      <c r="ADG75" s="261"/>
      <c r="ADH75" s="261"/>
      <c r="ADI75" s="261"/>
      <c r="ADJ75" s="261"/>
      <c r="ADK75" s="261"/>
      <c r="ADL75" s="261"/>
      <c r="ADM75" s="261"/>
      <c r="ADN75" s="261"/>
      <c r="ADO75" s="261"/>
      <c r="ADP75" s="261"/>
      <c r="ADQ75" s="261"/>
      <c r="ADR75" s="261"/>
      <c r="ADS75" s="261"/>
      <c r="ADT75" s="261"/>
      <c r="ADU75" s="261"/>
      <c r="ADV75" s="261"/>
      <c r="ADW75" s="261"/>
      <c r="ADX75" s="261"/>
      <c r="ADY75" s="261"/>
      <c r="ADZ75" s="261"/>
      <c r="AEA75" s="261"/>
      <c r="AEB75" s="261"/>
      <c r="AEC75" s="261"/>
      <c r="AED75" s="261"/>
      <c r="AEE75" s="261"/>
      <c r="AEF75" s="261"/>
      <c r="AEG75" s="261"/>
      <c r="AEH75" s="261"/>
      <c r="AEI75" s="261"/>
      <c r="AEJ75" s="261"/>
      <c r="AEK75" s="261"/>
      <c r="AEL75" s="261"/>
      <c r="AEM75" s="261"/>
      <c r="AEN75" s="261"/>
      <c r="AEO75" s="261"/>
      <c r="AEP75" s="261"/>
      <c r="AEQ75" s="261"/>
      <c r="AER75" s="261"/>
      <c r="AES75" s="261"/>
      <c r="AET75" s="261"/>
      <c r="AEU75" s="261"/>
      <c r="AEV75" s="261"/>
      <c r="AEW75" s="261"/>
      <c r="AEX75" s="261"/>
      <c r="AEY75" s="261"/>
      <c r="AEZ75" s="261"/>
      <c r="AFA75" s="261"/>
      <c r="AFB75" s="261"/>
      <c r="AFC75" s="261"/>
      <c r="AFD75" s="261"/>
      <c r="AFE75" s="261"/>
      <c r="AFF75" s="261"/>
      <c r="AFG75" s="261"/>
      <c r="AFH75" s="261"/>
      <c r="AFI75" s="261"/>
      <c r="AFJ75" s="261"/>
      <c r="AFK75" s="261"/>
      <c r="AFL75" s="261"/>
      <c r="AFM75" s="261"/>
      <c r="AFN75" s="261"/>
      <c r="AFO75" s="261"/>
      <c r="AFP75" s="261"/>
      <c r="AFQ75" s="261"/>
      <c r="AFR75" s="261"/>
      <c r="AFS75" s="261"/>
      <c r="AFT75" s="261"/>
      <c r="AFU75" s="261"/>
      <c r="AFV75" s="261"/>
      <c r="AFW75" s="261"/>
      <c r="AFX75" s="261"/>
      <c r="AFY75" s="261"/>
      <c r="AFZ75" s="261"/>
      <c r="AGA75" s="261"/>
      <c r="AGB75" s="261"/>
      <c r="AGC75" s="261"/>
      <c r="AGD75" s="261"/>
      <c r="AGE75" s="261"/>
      <c r="AGF75" s="261"/>
      <c r="AGG75" s="261"/>
      <c r="AGH75" s="261"/>
      <c r="AGI75" s="261"/>
      <c r="AGJ75" s="261"/>
      <c r="AGK75" s="261"/>
      <c r="AGL75" s="261"/>
      <c r="AGM75" s="261"/>
      <c r="AGN75" s="261"/>
      <c r="AGO75" s="261"/>
      <c r="AGP75" s="261"/>
      <c r="AGQ75" s="261"/>
      <c r="AGR75" s="261"/>
      <c r="AGS75" s="261"/>
      <c r="AGT75" s="261"/>
      <c r="AGU75" s="261"/>
      <c r="AGV75" s="261"/>
      <c r="AGW75" s="261"/>
      <c r="AGX75" s="261"/>
      <c r="AGY75" s="261"/>
      <c r="AGZ75" s="261"/>
      <c r="AHA75" s="261"/>
      <c r="AHB75" s="261"/>
      <c r="AHC75" s="261"/>
      <c r="AHD75" s="261"/>
      <c r="AHE75" s="261"/>
      <c r="AHF75" s="261"/>
      <c r="AHG75" s="261"/>
      <c r="AHH75" s="261"/>
      <c r="AHI75" s="261"/>
      <c r="AHJ75" s="261"/>
      <c r="AHK75" s="261"/>
      <c r="AHL75" s="261"/>
      <c r="AHM75" s="261"/>
      <c r="AHN75" s="261"/>
      <c r="AHO75" s="261"/>
      <c r="AHP75" s="261"/>
      <c r="AHQ75" s="261"/>
      <c r="AHR75" s="261"/>
      <c r="AHS75" s="261"/>
      <c r="AHT75" s="261"/>
      <c r="AHU75" s="261"/>
      <c r="AHV75" s="261"/>
      <c r="AHW75" s="261"/>
      <c r="AHX75" s="261"/>
      <c r="AHY75" s="261"/>
      <c r="AHZ75" s="261"/>
      <c r="AIA75" s="261"/>
      <c r="AIB75" s="261"/>
      <c r="AIC75" s="261"/>
      <c r="AID75" s="261"/>
      <c r="AIE75" s="261"/>
      <c r="AIF75" s="261"/>
      <c r="AIG75" s="261"/>
      <c r="AIH75" s="261"/>
      <c r="AII75" s="261"/>
      <c r="AIJ75" s="261"/>
      <c r="AIK75" s="261"/>
      <c r="AIL75" s="261"/>
      <c r="AIM75" s="261"/>
      <c r="AIN75" s="261"/>
      <c r="AIO75" s="261"/>
      <c r="AIP75" s="261"/>
      <c r="AIQ75" s="261"/>
      <c r="AIR75" s="261"/>
      <c r="AIS75" s="261"/>
      <c r="AIT75" s="261"/>
      <c r="AIU75" s="261"/>
      <c r="AIV75" s="261"/>
      <c r="AIW75" s="261"/>
      <c r="AIX75" s="261"/>
      <c r="AIY75" s="261"/>
      <c r="AIZ75" s="261"/>
      <c r="AJA75" s="261"/>
      <c r="AJB75" s="261"/>
      <c r="AJC75" s="261"/>
      <c r="AJD75" s="261"/>
      <c r="AJE75" s="261"/>
      <c r="AJF75" s="261"/>
      <c r="AJG75" s="261"/>
      <c r="AJH75" s="261"/>
      <c r="AJI75" s="261"/>
      <c r="AJJ75" s="261"/>
      <c r="AJK75" s="261"/>
      <c r="AJL75" s="261"/>
      <c r="AJM75" s="261"/>
      <c r="AJN75" s="261"/>
      <c r="AJO75" s="261"/>
      <c r="AJP75" s="261"/>
      <c r="AJQ75" s="261"/>
      <c r="AJR75" s="261"/>
      <c r="AJS75" s="261"/>
      <c r="AJT75" s="261"/>
      <c r="AJU75" s="261"/>
      <c r="AJV75" s="261"/>
      <c r="AJW75" s="261"/>
      <c r="AJX75" s="261"/>
      <c r="AJY75" s="261"/>
      <c r="AJZ75" s="261"/>
      <c r="AKA75" s="261"/>
      <c r="AKB75" s="261"/>
      <c r="AKC75" s="261"/>
      <c r="AKD75" s="261"/>
      <c r="AKE75" s="261"/>
      <c r="AKF75" s="261"/>
      <c r="AKG75" s="261"/>
      <c r="AKH75" s="261"/>
      <c r="AKI75" s="261"/>
      <c r="AKJ75" s="261"/>
      <c r="AKK75" s="261"/>
      <c r="AKL75" s="261"/>
      <c r="AKM75" s="261"/>
      <c r="AKN75" s="261"/>
      <c r="AKO75" s="261"/>
      <c r="AKP75" s="261"/>
      <c r="AKQ75" s="261"/>
      <c r="AKR75" s="261"/>
      <c r="AKS75" s="261"/>
      <c r="AKT75" s="261"/>
      <c r="AKU75" s="261"/>
      <c r="AKV75" s="261"/>
      <c r="AKW75" s="261"/>
      <c r="AKX75" s="261"/>
      <c r="AKY75" s="261"/>
      <c r="AKZ75" s="261"/>
      <c r="ALA75" s="261"/>
      <c r="ALB75" s="261"/>
      <c r="ALC75" s="261"/>
      <c r="ALD75" s="261"/>
      <c r="ALE75" s="261"/>
      <c r="ALF75" s="261"/>
      <c r="ALG75" s="261"/>
      <c r="ALH75" s="261"/>
      <c r="ALI75" s="261"/>
      <c r="ALJ75" s="261"/>
      <c r="ALK75" s="261"/>
      <c r="ALL75" s="261"/>
      <c r="ALM75" s="261"/>
      <c r="ALN75" s="261"/>
      <c r="ALO75" s="261"/>
      <c r="ALP75" s="261"/>
      <c r="ALQ75" s="261"/>
      <c r="ALR75" s="261"/>
      <c r="ALS75" s="261"/>
      <c r="ALT75" s="261"/>
      <c r="ALU75" s="261"/>
      <c r="ALV75" s="261"/>
      <c r="ALW75" s="261"/>
      <c r="ALX75" s="261"/>
      <c r="ALY75" s="261"/>
      <c r="ALZ75" s="261"/>
      <c r="AMA75" s="261"/>
      <c r="AMB75" s="261"/>
      <c r="AMC75" s="261"/>
      <c r="AMD75" s="261"/>
      <c r="AME75" s="261"/>
      <c r="AMF75" s="261"/>
      <c r="AMG75" s="261"/>
      <c r="AMH75" s="261"/>
      <c r="AMI75" s="261"/>
      <c r="AMJ75" s="261"/>
    </row>
    <row r="76" spans="12:1024" ht="15.95" customHeight="1">
      <c r="L76" s="261"/>
      <c r="M76" s="296"/>
      <c r="N76" s="261"/>
      <c r="O76" s="261"/>
      <c r="P76" s="261"/>
      <c r="Q76" s="261"/>
      <c r="R76" s="261"/>
      <c r="S76" s="261"/>
      <c r="T76" s="261"/>
      <c r="U76" s="261"/>
      <c r="V76" s="261"/>
      <c r="W76" s="261"/>
      <c r="X76" s="261"/>
      <c r="Y76" s="261"/>
      <c r="Z76" s="261"/>
      <c r="AA76" s="261"/>
      <c r="AB76" s="261"/>
      <c r="AC76" s="261"/>
      <c r="AD76" s="261"/>
      <c r="AE76" s="261"/>
      <c r="AF76" s="261"/>
      <c r="AG76" s="261"/>
      <c r="AH76" s="261"/>
      <c r="AI76" s="261"/>
      <c r="AJ76" s="261"/>
      <c r="AK76" s="261"/>
      <c r="AL76" s="261"/>
      <c r="AM76" s="261"/>
      <c r="AN76" s="261"/>
      <c r="AO76" s="261"/>
      <c r="AP76" s="261"/>
      <c r="AQ76" s="261"/>
      <c r="AR76" s="261"/>
      <c r="AS76" s="261"/>
      <c r="AT76" s="261"/>
      <c r="AU76" s="261"/>
      <c r="AV76" s="261"/>
      <c r="AW76" s="261"/>
      <c r="AX76" s="261"/>
      <c r="AY76" s="261"/>
      <c r="AZ76" s="261"/>
      <c r="BA76" s="261"/>
      <c r="BB76" s="261"/>
      <c r="BC76" s="261"/>
      <c r="BD76" s="261"/>
      <c r="BE76" s="261"/>
      <c r="BF76" s="261"/>
      <c r="BG76" s="261"/>
      <c r="BH76" s="261"/>
      <c r="BI76" s="261"/>
      <c r="BJ76" s="261"/>
      <c r="BK76" s="261"/>
      <c r="BL76" s="261"/>
      <c r="BM76" s="261"/>
      <c r="BN76" s="261"/>
      <c r="BO76" s="261"/>
      <c r="BP76" s="261"/>
      <c r="BQ76" s="261"/>
      <c r="BR76" s="261"/>
      <c r="BS76" s="261"/>
      <c r="BT76" s="261"/>
      <c r="BU76" s="261"/>
      <c r="BV76" s="261"/>
      <c r="BW76" s="261"/>
      <c r="BX76" s="261"/>
      <c r="BY76" s="261"/>
      <c r="BZ76" s="261"/>
      <c r="CA76" s="261"/>
      <c r="CB76" s="261"/>
      <c r="CC76" s="261"/>
      <c r="CD76" s="261"/>
      <c r="CE76" s="261"/>
      <c r="CF76" s="261"/>
      <c r="CG76" s="261"/>
      <c r="CH76" s="261"/>
      <c r="CI76" s="261"/>
      <c r="CJ76" s="261"/>
      <c r="CK76" s="261"/>
      <c r="CL76" s="261"/>
      <c r="CM76" s="261"/>
      <c r="CN76" s="261"/>
      <c r="CO76" s="261"/>
      <c r="CP76" s="261"/>
      <c r="CQ76" s="261"/>
      <c r="CR76" s="261"/>
      <c r="CS76" s="261"/>
      <c r="CT76" s="261"/>
      <c r="CU76" s="261"/>
      <c r="CV76" s="261"/>
      <c r="CW76" s="261"/>
      <c r="CX76" s="261"/>
      <c r="CY76" s="261"/>
      <c r="CZ76" s="261"/>
      <c r="DA76" s="261"/>
      <c r="DB76" s="261"/>
      <c r="DC76" s="261"/>
      <c r="DD76" s="261"/>
      <c r="DE76" s="261"/>
      <c r="DF76" s="261"/>
      <c r="DG76" s="261"/>
      <c r="DH76" s="261"/>
      <c r="DI76" s="261"/>
      <c r="DJ76" s="261"/>
      <c r="DK76" s="261"/>
      <c r="DL76" s="261"/>
      <c r="DM76" s="261"/>
      <c r="DN76" s="261"/>
      <c r="DO76" s="261"/>
      <c r="DP76" s="261"/>
      <c r="DQ76" s="261"/>
      <c r="DR76" s="261"/>
      <c r="DS76" s="261"/>
      <c r="DT76" s="261"/>
      <c r="DU76" s="261"/>
      <c r="DV76" s="261"/>
      <c r="DW76" s="261"/>
      <c r="DX76" s="261"/>
      <c r="DY76" s="261"/>
      <c r="DZ76" s="261"/>
      <c r="EA76" s="261"/>
      <c r="EB76" s="261"/>
      <c r="EC76" s="261"/>
      <c r="ED76" s="261"/>
      <c r="EE76" s="261"/>
      <c r="EF76" s="261"/>
      <c r="EG76" s="261"/>
      <c r="EH76" s="261"/>
      <c r="EI76" s="261"/>
      <c r="EJ76" s="261"/>
      <c r="EK76" s="261"/>
      <c r="EL76" s="261"/>
      <c r="EM76" s="261"/>
      <c r="EN76" s="261"/>
      <c r="EO76" s="261"/>
      <c r="EP76" s="261"/>
      <c r="EQ76" s="261"/>
      <c r="ER76" s="261"/>
      <c r="ES76" s="261"/>
      <c r="ET76" s="261"/>
      <c r="EU76" s="261"/>
      <c r="EV76" s="261"/>
      <c r="EW76" s="261"/>
      <c r="EX76" s="261"/>
      <c r="EY76" s="261"/>
      <c r="EZ76" s="261"/>
      <c r="FA76" s="261"/>
      <c r="FB76" s="261"/>
      <c r="FC76" s="261"/>
      <c r="FD76" s="261"/>
      <c r="FE76" s="261"/>
      <c r="FF76" s="261"/>
      <c r="FG76" s="261"/>
      <c r="FH76" s="261"/>
      <c r="FI76" s="261"/>
      <c r="FJ76" s="261"/>
      <c r="FK76" s="261"/>
      <c r="FL76" s="261"/>
      <c r="FM76" s="261"/>
      <c r="FN76" s="261"/>
      <c r="FO76" s="261"/>
      <c r="FP76" s="261"/>
      <c r="FQ76" s="261"/>
      <c r="FR76" s="261"/>
      <c r="FS76" s="261"/>
      <c r="FT76" s="261"/>
      <c r="FU76" s="261"/>
      <c r="FV76" s="261"/>
      <c r="FW76" s="261"/>
      <c r="FX76" s="261"/>
      <c r="FY76" s="261"/>
      <c r="FZ76" s="261"/>
      <c r="GA76" s="261"/>
      <c r="GB76" s="261"/>
      <c r="GC76" s="261"/>
      <c r="GD76" s="261"/>
      <c r="GE76" s="261"/>
      <c r="GF76" s="261"/>
      <c r="GG76" s="261"/>
      <c r="GH76" s="261"/>
      <c r="GI76" s="261"/>
      <c r="GJ76" s="261"/>
      <c r="GK76" s="261"/>
      <c r="GL76" s="261"/>
      <c r="GM76" s="261"/>
      <c r="GN76" s="261"/>
      <c r="GO76" s="261"/>
      <c r="GP76" s="261"/>
      <c r="GQ76" s="261"/>
      <c r="GR76" s="261"/>
      <c r="GS76" s="261"/>
      <c r="GT76" s="261"/>
      <c r="GU76" s="261"/>
      <c r="GV76" s="261"/>
      <c r="GW76" s="261"/>
      <c r="GX76" s="261"/>
      <c r="GY76" s="261"/>
      <c r="GZ76" s="261"/>
      <c r="HA76" s="261"/>
      <c r="HB76" s="261"/>
      <c r="HC76" s="261"/>
      <c r="HD76" s="261"/>
      <c r="HE76" s="261"/>
      <c r="HF76" s="261"/>
      <c r="HG76" s="261"/>
      <c r="HH76" s="261"/>
      <c r="HI76" s="261"/>
      <c r="HJ76" s="261"/>
      <c r="HK76" s="261"/>
      <c r="HL76" s="261"/>
      <c r="HM76" s="261"/>
      <c r="HN76" s="261"/>
      <c r="HO76" s="261"/>
      <c r="HP76" s="261"/>
      <c r="HQ76" s="261"/>
      <c r="HR76" s="261"/>
      <c r="HS76" s="261"/>
      <c r="HT76" s="261"/>
      <c r="HU76" s="261"/>
      <c r="HV76" s="261"/>
      <c r="HW76" s="261"/>
      <c r="HX76" s="261"/>
      <c r="HY76" s="261"/>
      <c r="HZ76" s="261"/>
      <c r="IA76" s="261"/>
      <c r="IB76" s="261"/>
      <c r="IC76" s="261"/>
      <c r="ID76" s="261"/>
      <c r="IE76" s="261"/>
      <c r="IF76" s="261"/>
      <c r="IG76" s="261"/>
      <c r="IH76" s="261"/>
      <c r="II76" s="261"/>
      <c r="IJ76" s="261"/>
      <c r="IK76" s="261"/>
      <c r="IL76" s="261"/>
      <c r="IM76" s="261"/>
      <c r="IN76" s="261"/>
      <c r="IO76" s="261"/>
      <c r="IP76" s="261"/>
      <c r="IQ76" s="261"/>
      <c r="IR76" s="261"/>
      <c r="IS76" s="261"/>
      <c r="IT76" s="261"/>
      <c r="IU76" s="261"/>
      <c r="IV76" s="261"/>
      <c r="IW76" s="261"/>
      <c r="IX76" s="261"/>
      <c r="IY76" s="261"/>
      <c r="IZ76" s="261"/>
      <c r="JA76" s="261"/>
      <c r="JB76" s="261"/>
      <c r="JC76" s="261"/>
      <c r="JD76" s="261"/>
      <c r="JE76" s="261"/>
      <c r="JF76" s="261"/>
      <c r="JG76" s="261"/>
      <c r="JH76" s="261"/>
      <c r="JI76" s="261"/>
      <c r="JJ76" s="261"/>
      <c r="JK76" s="261"/>
      <c r="JL76" s="261"/>
      <c r="JM76" s="261"/>
      <c r="JN76" s="261"/>
      <c r="JO76" s="261"/>
      <c r="JP76" s="261"/>
      <c r="JQ76" s="261"/>
      <c r="JR76" s="261"/>
      <c r="JS76" s="261"/>
      <c r="JT76" s="261"/>
      <c r="JU76" s="261"/>
      <c r="JV76" s="261"/>
      <c r="JW76" s="261"/>
      <c r="JX76" s="261"/>
      <c r="JY76" s="261"/>
      <c r="JZ76" s="261"/>
      <c r="KA76" s="261"/>
      <c r="KB76" s="261"/>
      <c r="KC76" s="261"/>
      <c r="KD76" s="261"/>
      <c r="KE76" s="261"/>
      <c r="KF76" s="261"/>
      <c r="KG76" s="261"/>
      <c r="KH76" s="261"/>
      <c r="KI76" s="261"/>
      <c r="KJ76" s="261"/>
      <c r="KK76" s="261"/>
      <c r="KL76" s="261"/>
      <c r="KM76" s="261"/>
      <c r="KN76" s="261"/>
      <c r="KO76" s="261"/>
      <c r="KP76" s="261"/>
      <c r="KQ76" s="261"/>
      <c r="KR76" s="261"/>
      <c r="KS76" s="261"/>
      <c r="KT76" s="261"/>
      <c r="KU76" s="261"/>
      <c r="KV76" s="261"/>
      <c r="KW76" s="261"/>
      <c r="KX76" s="261"/>
      <c r="KY76" s="261"/>
      <c r="KZ76" s="261"/>
      <c r="LA76" s="261"/>
      <c r="LB76" s="261"/>
      <c r="LC76" s="261"/>
      <c r="LD76" s="261"/>
      <c r="LE76" s="261"/>
      <c r="LF76" s="261"/>
      <c r="LG76" s="261"/>
      <c r="LH76" s="261"/>
      <c r="LI76" s="261"/>
      <c r="LJ76" s="261"/>
      <c r="LK76" s="261"/>
      <c r="LL76" s="261"/>
      <c r="LM76" s="261"/>
      <c r="LN76" s="261"/>
      <c r="LO76" s="261"/>
      <c r="LP76" s="261"/>
      <c r="LQ76" s="261"/>
      <c r="LR76" s="261"/>
      <c r="LS76" s="261"/>
      <c r="LT76" s="261"/>
      <c r="LU76" s="261"/>
      <c r="LV76" s="261"/>
      <c r="LW76" s="261"/>
      <c r="LX76" s="261"/>
      <c r="LY76" s="261"/>
      <c r="LZ76" s="261"/>
      <c r="MA76" s="261"/>
      <c r="MB76" s="261"/>
      <c r="MC76" s="261"/>
      <c r="MD76" s="261"/>
      <c r="ME76" s="261"/>
      <c r="MF76" s="261"/>
      <c r="MG76" s="261"/>
      <c r="MH76" s="261"/>
      <c r="MI76" s="261"/>
      <c r="MJ76" s="261"/>
      <c r="MK76" s="261"/>
      <c r="ML76" s="261"/>
      <c r="MM76" s="261"/>
      <c r="MN76" s="261"/>
      <c r="MO76" s="261"/>
      <c r="MP76" s="261"/>
      <c r="MQ76" s="261"/>
      <c r="MR76" s="261"/>
      <c r="MS76" s="261"/>
      <c r="MT76" s="261"/>
      <c r="MU76" s="261"/>
      <c r="MV76" s="261"/>
      <c r="MW76" s="261"/>
      <c r="MX76" s="261"/>
      <c r="MY76" s="261"/>
      <c r="MZ76" s="261"/>
      <c r="NA76" s="261"/>
      <c r="NB76" s="261"/>
      <c r="NC76" s="261"/>
      <c r="ND76" s="261"/>
      <c r="NE76" s="261"/>
      <c r="NF76" s="261"/>
      <c r="NG76" s="261"/>
      <c r="NH76" s="261"/>
      <c r="NI76" s="261"/>
      <c r="NJ76" s="261"/>
      <c r="NK76" s="261"/>
      <c r="NL76" s="261"/>
      <c r="NM76" s="261"/>
      <c r="NN76" s="261"/>
      <c r="NO76" s="261"/>
      <c r="NP76" s="261"/>
      <c r="NQ76" s="261"/>
      <c r="NR76" s="261"/>
      <c r="NS76" s="261"/>
      <c r="NT76" s="261"/>
      <c r="NU76" s="261"/>
      <c r="NV76" s="261"/>
      <c r="NW76" s="261"/>
      <c r="NX76" s="261"/>
      <c r="NY76" s="261"/>
      <c r="NZ76" s="261"/>
      <c r="OA76" s="261"/>
      <c r="OB76" s="261"/>
      <c r="OC76" s="261"/>
      <c r="OD76" s="261"/>
      <c r="OE76" s="261"/>
      <c r="OF76" s="261"/>
      <c r="OG76" s="261"/>
      <c r="OH76" s="261"/>
      <c r="OI76" s="261"/>
      <c r="OJ76" s="261"/>
      <c r="OK76" s="261"/>
      <c r="OL76" s="261"/>
      <c r="OM76" s="261"/>
      <c r="ON76" s="261"/>
      <c r="OO76" s="261"/>
      <c r="OP76" s="261"/>
      <c r="OQ76" s="261"/>
      <c r="OR76" s="261"/>
      <c r="OS76" s="261"/>
      <c r="OT76" s="261"/>
      <c r="OU76" s="261"/>
      <c r="OV76" s="261"/>
      <c r="OW76" s="261"/>
      <c r="OX76" s="261"/>
      <c r="OY76" s="261"/>
      <c r="OZ76" s="261"/>
      <c r="PA76" s="261"/>
      <c r="PB76" s="261"/>
      <c r="PC76" s="261"/>
      <c r="PD76" s="261"/>
      <c r="PE76" s="261"/>
      <c r="PF76" s="261"/>
      <c r="PG76" s="261"/>
      <c r="PH76" s="261"/>
      <c r="PI76" s="261"/>
      <c r="PJ76" s="261"/>
      <c r="PK76" s="261"/>
      <c r="PL76" s="261"/>
      <c r="PM76" s="261"/>
      <c r="PN76" s="261"/>
      <c r="PO76" s="261"/>
      <c r="PP76" s="261"/>
      <c r="PQ76" s="261"/>
      <c r="PR76" s="261"/>
      <c r="PS76" s="261"/>
      <c r="PT76" s="261"/>
      <c r="PU76" s="261"/>
      <c r="PV76" s="261"/>
      <c r="PW76" s="261"/>
      <c r="PX76" s="261"/>
      <c r="PY76" s="261"/>
      <c r="PZ76" s="261"/>
      <c r="QA76" s="261"/>
      <c r="QB76" s="261"/>
      <c r="QC76" s="261"/>
      <c r="QD76" s="261"/>
      <c r="QE76" s="261"/>
      <c r="QF76" s="261"/>
      <c r="QG76" s="261"/>
      <c r="QH76" s="261"/>
      <c r="QI76" s="261"/>
      <c r="QJ76" s="261"/>
      <c r="QK76" s="261"/>
      <c r="QL76" s="261"/>
      <c r="QM76" s="261"/>
      <c r="QN76" s="261"/>
      <c r="QO76" s="261"/>
      <c r="QP76" s="261"/>
      <c r="QQ76" s="261"/>
      <c r="QR76" s="261"/>
      <c r="QS76" s="261"/>
      <c r="QT76" s="261"/>
      <c r="QU76" s="261"/>
      <c r="QV76" s="261"/>
      <c r="QW76" s="261"/>
      <c r="QX76" s="261"/>
      <c r="QY76" s="261"/>
      <c r="QZ76" s="261"/>
      <c r="RA76" s="261"/>
      <c r="RB76" s="261"/>
      <c r="RC76" s="261"/>
      <c r="RD76" s="261"/>
      <c r="RE76" s="261"/>
      <c r="RF76" s="261"/>
      <c r="RG76" s="261"/>
      <c r="RH76" s="261"/>
      <c r="RI76" s="261"/>
      <c r="RJ76" s="261"/>
      <c r="RK76" s="261"/>
      <c r="RL76" s="261"/>
      <c r="RM76" s="261"/>
      <c r="RN76" s="261"/>
      <c r="RO76" s="261"/>
      <c r="RP76" s="261"/>
      <c r="RQ76" s="261"/>
      <c r="RR76" s="261"/>
      <c r="RS76" s="261"/>
      <c r="RT76" s="261"/>
      <c r="RU76" s="261"/>
      <c r="RV76" s="261"/>
      <c r="RW76" s="261"/>
      <c r="RX76" s="261"/>
      <c r="RY76" s="261"/>
      <c r="RZ76" s="261"/>
      <c r="SA76" s="261"/>
      <c r="SB76" s="261"/>
      <c r="SC76" s="261"/>
      <c r="SD76" s="261"/>
      <c r="SE76" s="261"/>
      <c r="SF76" s="261"/>
      <c r="SG76" s="261"/>
      <c r="SH76" s="261"/>
      <c r="SI76" s="261"/>
      <c r="SJ76" s="261"/>
      <c r="SK76" s="261"/>
      <c r="SL76" s="261"/>
      <c r="SM76" s="261"/>
      <c r="SN76" s="261"/>
      <c r="SO76" s="261"/>
      <c r="SP76" s="261"/>
      <c r="SQ76" s="261"/>
      <c r="SR76" s="261"/>
      <c r="SS76" s="261"/>
      <c r="ST76" s="261"/>
      <c r="SU76" s="261"/>
      <c r="SV76" s="261"/>
      <c r="SW76" s="261"/>
      <c r="SX76" s="261"/>
      <c r="SY76" s="261"/>
      <c r="SZ76" s="261"/>
      <c r="TA76" s="261"/>
      <c r="TB76" s="261"/>
      <c r="TC76" s="261"/>
      <c r="TD76" s="261"/>
      <c r="TE76" s="261"/>
      <c r="TF76" s="261"/>
      <c r="TG76" s="261"/>
      <c r="TH76" s="261"/>
      <c r="TI76" s="261"/>
      <c r="TJ76" s="261"/>
      <c r="TK76" s="261"/>
      <c r="TL76" s="261"/>
      <c r="TM76" s="261"/>
      <c r="TN76" s="261"/>
      <c r="TO76" s="261"/>
      <c r="TP76" s="261"/>
      <c r="TQ76" s="261"/>
      <c r="TR76" s="261"/>
      <c r="TS76" s="261"/>
      <c r="TT76" s="261"/>
      <c r="TU76" s="261"/>
      <c r="TV76" s="261"/>
      <c r="TW76" s="261"/>
      <c r="TX76" s="261"/>
      <c r="TY76" s="261"/>
      <c r="TZ76" s="261"/>
      <c r="UA76" s="261"/>
      <c r="UB76" s="261"/>
      <c r="UC76" s="261"/>
      <c r="UD76" s="261"/>
      <c r="UE76" s="261"/>
      <c r="UF76" s="261"/>
      <c r="UG76" s="261"/>
      <c r="UH76" s="261"/>
      <c r="UI76" s="261"/>
      <c r="UJ76" s="261"/>
      <c r="UK76" s="261"/>
      <c r="UL76" s="261"/>
      <c r="UM76" s="261"/>
      <c r="UN76" s="261"/>
      <c r="UO76" s="261"/>
      <c r="UP76" s="261"/>
      <c r="UQ76" s="261"/>
      <c r="UR76" s="261"/>
      <c r="US76" s="261"/>
      <c r="UT76" s="261"/>
      <c r="UU76" s="261"/>
      <c r="UV76" s="261"/>
      <c r="UW76" s="261"/>
      <c r="UX76" s="261"/>
      <c r="UY76" s="261"/>
      <c r="UZ76" s="261"/>
      <c r="VA76" s="261"/>
      <c r="VB76" s="261"/>
      <c r="VC76" s="261"/>
      <c r="VD76" s="261"/>
      <c r="VE76" s="261"/>
      <c r="VF76" s="261"/>
      <c r="VG76" s="261"/>
      <c r="VH76" s="261"/>
      <c r="VI76" s="261"/>
      <c r="VJ76" s="261"/>
      <c r="VK76" s="261"/>
      <c r="VL76" s="261"/>
      <c r="VM76" s="261"/>
      <c r="VN76" s="261"/>
      <c r="VO76" s="261"/>
      <c r="VP76" s="261"/>
      <c r="VQ76" s="261"/>
      <c r="VR76" s="261"/>
      <c r="VS76" s="261"/>
      <c r="VT76" s="261"/>
      <c r="VU76" s="261"/>
      <c r="VV76" s="261"/>
      <c r="VW76" s="261"/>
      <c r="VX76" s="261"/>
      <c r="VY76" s="261"/>
      <c r="VZ76" s="261"/>
      <c r="WA76" s="261"/>
      <c r="WB76" s="261"/>
      <c r="WC76" s="261"/>
      <c r="WD76" s="261"/>
      <c r="WE76" s="261"/>
      <c r="WF76" s="261"/>
      <c r="WG76" s="261"/>
      <c r="WH76" s="261"/>
      <c r="WI76" s="261"/>
      <c r="WJ76" s="261"/>
      <c r="WK76" s="261"/>
      <c r="WL76" s="261"/>
      <c r="WM76" s="261"/>
      <c r="WN76" s="261"/>
      <c r="WO76" s="261"/>
      <c r="WP76" s="261"/>
      <c r="WQ76" s="261"/>
      <c r="WR76" s="261"/>
      <c r="WS76" s="261"/>
      <c r="WT76" s="261"/>
      <c r="WU76" s="261"/>
      <c r="WV76" s="261"/>
      <c r="WW76" s="261"/>
      <c r="WX76" s="261"/>
      <c r="WY76" s="261"/>
      <c r="WZ76" s="261"/>
      <c r="XA76" s="261"/>
      <c r="XB76" s="261"/>
      <c r="XC76" s="261"/>
      <c r="XD76" s="261"/>
      <c r="XE76" s="261"/>
      <c r="XF76" s="261"/>
      <c r="XG76" s="261"/>
      <c r="XH76" s="261"/>
      <c r="XI76" s="261"/>
      <c r="XJ76" s="261"/>
      <c r="XK76" s="261"/>
      <c r="XL76" s="261"/>
      <c r="XM76" s="261"/>
      <c r="XN76" s="261"/>
      <c r="XO76" s="261"/>
      <c r="XP76" s="261"/>
      <c r="XQ76" s="261"/>
      <c r="XR76" s="261"/>
      <c r="XS76" s="261"/>
      <c r="XT76" s="261"/>
      <c r="XU76" s="261"/>
      <c r="XV76" s="261"/>
      <c r="XW76" s="261"/>
      <c r="XX76" s="261"/>
      <c r="XY76" s="261"/>
      <c r="XZ76" s="261"/>
      <c r="YA76" s="261"/>
      <c r="YB76" s="261"/>
      <c r="YC76" s="261"/>
      <c r="YD76" s="261"/>
      <c r="YE76" s="261"/>
      <c r="YF76" s="261"/>
      <c r="YG76" s="261"/>
      <c r="YH76" s="261"/>
      <c r="YI76" s="261"/>
      <c r="YJ76" s="261"/>
      <c r="YK76" s="261"/>
      <c r="YL76" s="261"/>
      <c r="YM76" s="261"/>
      <c r="YN76" s="261"/>
      <c r="YO76" s="261"/>
      <c r="YP76" s="261"/>
      <c r="YQ76" s="261"/>
      <c r="YR76" s="261"/>
      <c r="YS76" s="261"/>
      <c r="YT76" s="261"/>
      <c r="YU76" s="261"/>
      <c r="YV76" s="261"/>
      <c r="YW76" s="261"/>
      <c r="YX76" s="261"/>
      <c r="YY76" s="261"/>
      <c r="YZ76" s="261"/>
      <c r="ZA76" s="261"/>
      <c r="ZB76" s="261"/>
      <c r="ZC76" s="261"/>
      <c r="ZD76" s="261"/>
      <c r="ZE76" s="261"/>
      <c r="ZF76" s="261"/>
      <c r="ZG76" s="261"/>
      <c r="ZH76" s="261"/>
      <c r="ZI76" s="261"/>
      <c r="ZJ76" s="261"/>
      <c r="ZK76" s="261"/>
      <c r="ZL76" s="261"/>
      <c r="ZM76" s="261"/>
      <c r="ZN76" s="261"/>
      <c r="ZO76" s="261"/>
      <c r="ZP76" s="261"/>
      <c r="ZQ76" s="261"/>
      <c r="ZR76" s="261"/>
      <c r="ZS76" s="261"/>
      <c r="ZT76" s="261"/>
      <c r="ZU76" s="261"/>
      <c r="ZV76" s="261"/>
      <c r="ZW76" s="261"/>
      <c r="ZX76" s="261"/>
      <c r="ZY76" s="261"/>
      <c r="ZZ76" s="261"/>
      <c r="AAA76" s="261"/>
      <c r="AAB76" s="261"/>
      <c r="AAC76" s="261"/>
      <c r="AAD76" s="261"/>
      <c r="AAE76" s="261"/>
      <c r="AAF76" s="261"/>
      <c r="AAG76" s="261"/>
      <c r="AAH76" s="261"/>
      <c r="AAI76" s="261"/>
      <c r="AAJ76" s="261"/>
      <c r="AAK76" s="261"/>
      <c r="AAL76" s="261"/>
      <c r="AAM76" s="261"/>
      <c r="AAN76" s="261"/>
      <c r="AAO76" s="261"/>
      <c r="AAP76" s="261"/>
      <c r="AAQ76" s="261"/>
      <c r="AAR76" s="261"/>
      <c r="AAS76" s="261"/>
      <c r="AAT76" s="261"/>
      <c r="AAU76" s="261"/>
      <c r="AAV76" s="261"/>
      <c r="AAW76" s="261"/>
      <c r="AAX76" s="261"/>
      <c r="AAY76" s="261"/>
      <c r="AAZ76" s="261"/>
      <c r="ABA76" s="261"/>
      <c r="ABB76" s="261"/>
      <c r="ABC76" s="261"/>
      <c r="ABD76" s="261"/>
      <c r="ABE76" s="261"/>
      <c r="ABF76" s="261"/>
      <c r="ABG76" s="261"/>
      <c r="ABH76" s="261"/>
      <c r="ABI76" s="261"/>
      <c r="ABJ76" s="261"/>
      <c r="ABK76" s="261"/>
      <c r="ABL76" s="261"/>
      <c r="ABM76" s="261"/>
      <c r="ABN76" s="261"/>
      <c r="ABO76" s="261"/>
      <c r="ABP76" s="261"/>
      <c r="ABQ76" s="261"/>
      <c r="ABR76" s="261"/>
      <c r="ABS76" s="261"/>
      <c r="ABT76" s="261"/>
      <c r="ABU76" s="261"/>
      <c r="ABV76" s="261"/>
      <c r="ABW76" s="261"/>
      <c r="ABX76" s="261"/>
      <c r="ABY76" s="261"/>
      <c r="ABZ76" s="261"/>
      <c r="ACA76" s="261"/>
      <c r="ACB76" s="261"/>
      <c r="ACC76" s="261"/>
      <c r="ACD76" s="261"/>
      <c r="ACE76" s="261"/>
      <c r="ACF76" s="261"/>
      <c r="ACG76" s="261"/>
      <c r="ACH76" s="261"/>
      <c r="ACI76" s="261"/>
      <c r="ACJ76" s="261"/>
      <c r="ACK76" s="261"/>
      <c r="ACL76" s="261"/>
      <c r="ACM76" s="261"/>
      <c r="ACN76" s="261"/>
      <c r="ACO76" s="261"/>
      <c r="ACP76" s="261"/>
      <c r="ACQ76" s="261"/>
      <c r="ACR76" s="261"/>
      <c r="ACS76" s="261"/>
      <c r="ACT76" s="261"/>
      <c r="ACU76" s="261"/>
      <c r="ACV76" s="261"/>
      <c r="ACW76" s="261"/>
      <c r="ACX76" s="261"/>
      <c r="ACY76" s="261"/>
      <c r="ACZ76" s="261"/>
      <c r="ADA76" s="261"/>
      <c r="ADB76" s="261"/>
      <c r="ADC76" s="261"/>
      <c r="ADD76" s="261"/>
      <c r="ADE76" s="261"/>
      <c r="ADF76" s="261"/>
      <c r="ADG76" s="261"/>
      <c r="ADH76" s="261"/>
      <c r="ADI76" s="261"/>
      <c r="ADJ76" s="261"/>
      <c r="ADK76" s="261"/>
      <c r="ADL76" s="261"/>
      <c r="ADM76" s="261"/>
      <c r="ADN76" s="261"/>
      <c r="ADO76" s="261"/>
      <c r="ADP76" s="261"/>
      <c r="ADQ76" s="261"/>
      <c r="ADR76" s="261"/>
      <c r="ADS76" s="261"/>
      <c r="ADT76" s="261"/>
      <c r="ADU76" s="261"/>
      <c r="ADV76" s="261"/>
      <c r="ADW76" s="261"/>
      <c r="ADX76" s="261"/>
      <c r="ADY76" s="261"/>
      <c r="ADZ76" s="261"/>
      <c r="AEA76" s="261"/>
      <c r="AEB76" s="261"/>
      <c r="AEC76" s="261"/>
      <c r="AED76" s="261"/>
      <c r="AEE76" s="261"/>
      <c r="AEF76" s="261"/>
      <c r="AEG76" s="261"/>
      <c r="AEH76" s="261"/>
      <c r="AEI76" s="261"/>
      <c r="AEJ76" s="261"/>
      <c r="AEK76" s="261"/>
      <c r="AEL76" s="261"/>
      <c r="AEM76" s="261"/>
      <c r="AEN76" s="261"/>
      <c r="AEO76" s="261"/>
      <c r="AEP76" s="261"/>
      <c r="AEQ76" s="261"/>
      <c r="AER76" s="261"/>
      <c r="AES76" s="261"/>
      <c r="AET76" s="261"/>
      <c r="AEU76" s="261"/>
      <c r="AEV76" s="261"/>
      <c r="AEW76" s="261"/>
      <c r="AEX76" s="261"/>
      <c r="AEY76" s="261"/>
      <c r="AEZ76" s="261"/>
      <c r="AFA76" s="261"/>
      <c r="AFB76" s="261"/>
      <c r="AFC76" s="261"/>
      <c r="AFD76" s="261"/>
      <c r="AFE76" s="261"/>
      <c r="AFF76" s="261"/>
      <c r="AFG76" s="261"/>
      <c r="AFH76" s="261"/>
      <c r="AFI76" s="261"/>
      <c r="AFJ76" s="261"/>
      <c r="AFK76" s="261"/>
      <c r="AFL76" s="261"/>
      <c r="AFM76" s="261"/>
      <c r="AFN76" s="261"/>
      <c r="AFO76" s="261"/>
      <c r="AFP76" s="261"/>
      <c r="AFQ76" s="261"/>
      <c r="AFR76" s="261"/>
      <c r="AFS76" s="261"/>
      <c r="AFT76" s="261"/>
      <c r="AFU76" s="261"/>
      <c r="AFV76" s="261"/>
      <c r="AFW76" s="261"/>
      <c r="AFX76" s="261"/>
      <c r="AFY76" s="261"/>
      <c r="AFZ76" s="261"/>
      <c r="AGA76" s="261"/>
      <c r="AGB76" s="261"/>
      <c r="AGC76" s="261"/>
      <c r="AGD76" s="261"/>
      <c r="AGE76" s="261"/>
      <c r="AGF76" s="261"/>
      <c r="AGG76" s="261"/>
      <c r="AGH76" s="261"/>
      <c r="AGI76" s="261"/>
      <c r="AGJ76" s="261"/>
      <c r="AGK76" s="261"/>
      <c r="AGL76" s="261"/>
      <c r="AGM76" s="261"/>
      <c r="AGN76" s="261"/>
      <c r="AGO76" s="261"/>
      <c r="AGP76" s="261"/>
      <c r="AGQ76" s="261"/>
      <c r="AGR76" s="261"/>
      <c r="AGS76" s="261"/>
      <c r="AGT76" s="261"/>
      <c r="AGU76" s="261"/>
      <c r="AGV76" s="261"/>
      <c r="AGW76" s="261"/>
      <c r="AGX76" s="261"/>
      <c r="AGY76" s="261"/>
      <c r="AGZ76" s="261"/>
      <c r="AHA76" s="261"/>
      <c r="AHB76" s="261"/>
      <c r="AHC76" s="261"/>
      <c r="AHD76" s="261"/>
      <c r="AHE76" s="261"/>
      <c r="AHF76" s="261"/>
      <c r="AHG76" s="261"/>
      <c r="AHH76" s="261"/>
      <c r="AHI76" s="261"/>
      <c r="AHJ76" s="261"/>
      <c r="AHK76" s="261"/>
      <c r="AHL76" s="261"/>
      <c r="AHM76" s="261"/>
      <c r="AHN76" s="261"/>
      <c r="AHO76" s="261"/>
      <c r="AHP76" s="261"/>
      <c r="AHQ76" s="261"/>
      <c r="AHR76" s="261"/>
      <c r="AHS76" s="261"/>
      <c r="AHT76" s="261"/>
      <c r="AHU76" s="261"/>
      <c r="AHV76" s="261"/>
      <c r="AHW76" s="261"/>
      <c r="AHX76" s="261"/>
      <c r="AHY76" s="261"/>
      <c r="AHZ76" s="261"/>
      <c r="AIA76" s="261"/>
      <c r="AIB76" s="261"/>
      <c r="AIC76" s="261"/>
      <c r="AID76" s="261"/>
      <c r="AIE76" s="261"/>
      <c r="AIF76" s="261"/>
      <c r="AIG76" s="261"/>
      <c r="AIH76" s="261"/>
      <c r="AII76" s="261"/>
      <c r="AIJ76" s="261"/>
      <c r="AIK76" s="261"/>
      <c r="AIL76" s="261"/>
      <c r="AIM76" s="261"/>
      <c r="AIN76" s="261"/>
      <c r="AIO76" s="261"/>
      <c r="AIP76" s="261"/>
      <c r="AIQ76" s="261"/>
      <c r="AIR76" s="261"/>
      <c r="AIS76" s="261"/>
      <c r="AIT76" s="261"/>
      <c r="AIU76" s="261"/>
      <c r="AIV76" s="261"/>
      <c r="AIW76" s="261"/>
      <c r="AIX76" s="261"/>
      <c r="AIY76" s="261"/>
      <c r="AIZ76" s="261"/>
      <c r="AJA76" s="261"/>
      <c r="AJB76" s="261"/>
      <c r="AJC76" s="261"/>
      <c r="AJD76" s="261"/>
      <c r="AJE76" s="261"/>
      <c r="AJF76" s="261"/>
      <c r="AJG76" s="261"/>
      <c r="AJH76" s="261"/>
      <c r="AJI76" s="261"/>
      <c r="AJJ76" s="261"/>
      <c r="AJK76" s="261"/>
      <c r="AJL76" s="261"/>
      <c r="AJM76" s="261"/>
      <c r="AJN76" s="261"/>
      <c r="AJO76" s="261"/>
      <c r="AJP76" s="261"/>
      <c r="AJQ76" s="261"/>
      <c r="AJR76" s="261"/>
      <c r="AJS76" s="261"/>
      <c r="AJT76" s="261"/>
      <c r="AJU76" s="261"/>
      <c r="AJV76" s="261"/>
      <c r="AJW76" s="261"/>
      <c r="AJX76" s="261"/>
      <c r="AJY76" s="261"/>
      <c r="AJZ76" s="261"/>
      <c r="AKA76" s="261"/>
      <c r="AKB76" s="261"/>
      <c r="AKC76" s="261"/>
      <c r="AKD76" s="261"/>
      <c r="AKE76" s="261"/>
      <c r="AKF76" s="261"/>
      <c r="AKG76" s="261"/>
      <c r="AKH76" s="261"/>
      <c r="AKI76" s="261"/>
      <c r="AKJ76" s="261"/>
      <c r="AKK76" s="261"/>
      <c r="AKL76" s="261"/>
      <c r="AKM76" s="261"/>
      <c r="AKN76" s="261"/>
      <c r="AKO76" s="261"/>
      <c r="AKP76" s="261"/>
      <c r="AKQ76" s="261"/>
      <c r="AKR76" s="261"/>
      <c r="AKS76" s="261"/>
      <c r="AKT76" s="261"/>
      <c r="AKU76" s="261"/>
      <c r="AKV76" s="261"/>
      <c r="AKW76" s="261"/>
      <c r="AKX76" s="261"/>
      <c r="AKY76" s="261"/>
      <c r="AKZ76" s="261"/>
      <c r="ALA76" s="261"/>
      <c r="ALB76" s="261"/>
      <c r="ALC76" s="261"/>
      <c r="ALD76" s="261"/>
      <c r="ALE76" s="261"/>
      <c r="ALF76" s="261"/>
      <c r="ALG76" s="261"/>
      <c r="ALH76" s="261"/>
      <c r="ALI76" s="261"/>
      <c r="ALJ76" s="261"/>
      <c r="ALK76" s="261"/>
      <c r="ALL76" s="261"/>
      <c r="ALM76" s="261"/>
      <c r="ALN76" s="261"/>
      <c r="ALO76" s="261"/>
      <c r="ALP76" s="261"/>
      <c r="ALQ76" s="261"/>
      <c r="ALR76" s="261"/>
      <c r="ALS76" s="261"/>
      <c r="ALT76" s="261"/>
      <c r="ALU76" s="261"/>
      <c r="ALV76" s="261"/>
      <c r="ALW76" s="261"/>
      <c r="ALX76" s="261"/>
      <c r="ALY76" s="261"/>
      <c r="ALZ76" s="261"/>
      <c r="AMA76" s="261"/>
      <c r="AMB76" s="261"/>
      <c r="AMC76" s="261"/>
      <c r="AMD76" s="261"/>
      <c r="AME76" s="261"/>
      <c r="AMF76" s="261"/>
      <c r="AMG76" s="261"/>
      <c r="AMH76" s="261"/>
      <c r="AMI76" s="261"/>
      <c r="AMJ76" s="261"/>
    </row>
    <row r="77" spans="12:1024" ht="15.95" customHeight="1">
      <c r="L77" s="261"/>
      <c r="M77" s="296"/>
      <c r="N77" s="261"/>
      <c r="O77" s="26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c r="AO77" s="261"/>
      <c r="AP77" s="261"/>
      <c r="AQ77" s="261"/>
      <c r="AR77" s="261"/>
      <c r="AS77" s="261"/>
      <c r="AT77" s="261"/>
      <c r="AU77" s="261"/>
      <c r="AV77" s="261"/>
      <c r="AW77" s="261"/>
      <c r="AX77" s="261"/>
      <c r="AY77" s="261"/>
      <c r="AZ77" s="261"/>
      <c r="BA77" s="261"/>
      <c r="BB77" s="261"/>
      <c r="BC77" s="261"/>
      <c r="BD77" s="261"/>
      <c r="BE77" s="261"/>
      <c r="BF77" s="261"/>
      <c r="BG77" s="261"/>
      <c r="BH77" s="261"/>
      <c r="BI77" s="261"/>
      <c r="BJ77" s="261"/>
      <c r="BK77" s="261"/>
      <c r="BL77" s="261"/>
      <c r="BM77" s="261"/>
      <c r="BN77" s="261"/>
      <c r="BO77" s="261"/>
      <c r="BP77" s="261"/>
      <c r="BQ77" s="261"/>
      <c r="BR77" s="261"/>
      <c r="BS77" s="261"/>
      <c r="BT77" s="261"/>
      <c r="BU77" s="261"/>
      <c r="BV77" s="261"/>
      <c r="BW77" s="261"/>
      <c r="BX77" s="261"/>
      <c r="BY77" s="261"/>
      <c r="BZ77" s="261"/>
      <c r="CA77" s="261"/>
      <c r="CB77" s="261"/>
      <c r="CC77" s="261"/>
      <c r="CD77" s="261"/>
      <c r="CE77" s="261"/>
      <c r="CF77" s="261"/>
      <c r="CG77" s="261"/>
      <c r="CH77" s="261"/>
      <c r="CI77" s="261"/>
      <c r="CJ77" s="261"/>
      <c r="CK77" s="261"/>
      <c r="CL77" s="261"/>
      <c r="CM77" s="261"/>
      <c r="CN77" s="261"/>
      <c r="CO77" s="261"/>
      <c r="CP77" s="261"/>
      <c r="CQ77" s="261"/>
      <c r="CR77" s="261"/>
      <c r="CS77" s="261"/>
      <c r="CT77" s="261"/>
      <c r="CU77" s="261"/>
      <c r="CV77" s="261"/>
      <c r="CW77" s="261"/>
      <c r="CX77" s="261"/>
      <c r="CY77" s="261"/>
      <c r="CZ77" s="261"/>
      <c r="DA77" s="261"/>
      <c r="DB77" s="261"/>
      <c r="DC77" s="261"/>
      <c r="DD77" s="261"/>
      <c r="DE77" s="261"/>
      <c r="DF77" s="261"/>
      <c r="DG77" s="261"/>
      <c r="DH77" s="261"/>
      <c r="DI77" s="261"/>
      <c r="DJ77" s="261"/>
      <c r="DK77" s="261"/>
      <c r="DL77" s="261"/>
      <c r="DM77" s="261"/>
      <c r="DN77" s="261"/>
      <c r="DO77" s="261"/>
      <c r="DP77" s="261"/>
      <c r="DQ77" s="261"/>
      <c r="DR77" s="261"/>
      <c r="DS77" s="261"/>
      <c r="DT77" s="261"/>
      <c r="DU77" s="261"/>
      <c r="DV77" s="261"/>
      <c r="DW77" s="261"/>
      <c r="DX77" s="261"/>
      <c r="DY77" s="261"/>
      <c r="DZ77" s="261"/>
      <c r="EA77" s="261"/>
      <c r="EB77" s="261"/>
      <c r="EC77" s="261"/>
      <c r="ED77" s="261"/>
      <c r="EE77" s="261"/>
      <c r="EF77" s="261"/>
      <c r="EG77" s="261"/>
      <c r="EH77" s="261"/>
      <c r="EI77" s="261"/>
      <c r="EJ77" s="261"/>
      <c r="EK77" s="261"/>
      <c r="EL77" s="261"/>
      <c r="EM77" s="261"/>
      <c r="EN77" s="261"/>
      <c r="EO77" s="261"/>
      <c r="EP77" s="261"/>
      <c r="EQ77" s="261"/>
      <c r="ER77" s="261"/>
      <c r="ES77" s="261"/>
      <c r="ET77" s="261"/>
      <c r="EU77" s="261"/>
      <c r="EV77" s="261"/>
      <c r="EW77" s="261"/>
      <c r="EX77" s="261"/>
      <c r="EY77" s="261"/>
      <c r="EZ77" s="261"/>
      <c r="FA77" s="261"/>
      <c r="FB77" s="261"/>
      <c r="FC77" s="261"/>
      <c r="FD77" s="261"/>
      <c r="FE77" s="261"/>
      <c r="FF77" s="261"/>
      <c r="FG77" s="261"/>
      <c r="FH77" s="261"/>
      <c r="FI77" s="261"/>
      <c r="FJ77" s="261"/>
      <c r="FK77" s="261"/>
      <c r="FL77" s="261"/>
      <c r="FM77" s="261"/>
      <c r="FN77" s="261"/>
      <c r="FO77" s="261"/>
      <c r="FP77" s="261"/>
      <c r="FQ77" s="261"/>
      <c r="FR77" s="261"/>
      <c r="FS77" s="261"/>
      <c r="FT77" s="261"/>
      <c r="FU77" s="261"/>
      <c r="FV77" s="261"/>
      <c r="FW77" s="261"/>
      <c r="FX77" s="261"/>
      <c r="FY77" s="261"/>
      <c r="FZ77" s="261"/>
      <c r="GA77" s="261"/>
      <c r="GB77" s="261"/>
      <c r="GC77" s="261"/>
      <c r="GD77" s="261"/>
      <c r="GE77" s="261"/>
      <c r="GF77" s="261"/>
      <c r="GG77" s="261"/>
      <c r="GH77" s="261"/>
      <c r="GI77" s="261"/>
      <c r="GJ77" s="261"/>
      <c r="GK77" s="261"/>
      <c r="GL77" s="261"/>
      <c r="GM77" s="261"/>
      <c r="GN77" s="261"/>
      <c r="GO77" s="261"/>
      <c r="GP77" s="261"/>
      <c r="GQ77" s="261"/>
      <c r="GR77" s="261"/>
      <c r="GS77" s="261"/>
      <c r="GT77" s="261"/>
      <c r="GU77" s="261"/>
      <c r="GV77" s="261"/>
      <c r="GW77" s="261"/>
      <c r="GX77" s="261"/>
      <c r="GY77" s="261"/>
      <c r="GZ77" s="261"/>
      <c r="HA77" s="261"/>
      <c r="HB77" s="261"/>
      <c r="HC77" s="261"/>
      <c r="HD77" s="261"/>
      <c r="HE77" s="261"/>
      <c r="HF77" s="261"/>
      <c r="HG77" s="261"/>
      <c r="HH77" s="261"/>
      <c r="HI77" s="261"/>
      <c r="HJ77" s="261"/>
      <c r="HK77" s="261"/>
      <c r="HL77" s="261"/>
      <c r="HM77" s="261"/>
      <c r="HN77" s="261"/>
      <c r="HO77" s="261"/>
      <c r="HP77" s="261"/>
      <c r="HQ77" s="261"/>
      <c r="HR77" s="261"/>
      <c r="HS77" s="261"/>
      <c r="HT77" s="261"/>
      <c r="HU77" s="261"/>
      <c r="HV77" s="261"/>
      <c r="HW77" s="261"/>
      <c r="HX77" s="261"/>
      <c r="HY77" s="261"/>
      <c r="HZ77" s="261"/>
      <c r="IA77" s="261"/>
      <c r="IB77" s="261"/>
      <c r="IC77" s="261"/>
      <c r="ID77" s="261"/>
      <c r="IE77" s="261"/>
      <c r="IF77" s="261"/>
      <c r="IG77" s="261"/>
      <c r="IH77" s="261"/>
      <c r="II77" s="261"/>
      <c r="IJ77" s="261"/>
      <c r="IK77" s="261"/>
      <c r="IL77" s="261"/>
      <c r="IM77" s="261"/>
      <c r="IN77" s="261"/>
      <c r="IO77" s="261"/>
      <c r="IP77" s="261"/>
      <c r="IQ77" s="261"/>
      <c r="IR77" s="261"/>
      <c r="IS77" s="261"/>
      <c r="IT77" s="261"/>
      <c r="IU77" s="261"/>
      <c r="IV77" s="261"/>
      <c r="IW77" s="261"/>
      <c r="IX77" s="261"/>
      <c r="IY77" s="261"/>
      <c r="IZ77" s="261"/>
      <c r="JA77" s="261"/>
      <c r="JB77" s="261"/>
      <c r="JC77" s="261"/>
      <c r="JD77" s="261"/>
      <c r="JE77" s="261"/>
      <c r="JF77" s="261"/>
      <c r="JG77" s="261"/>
      <c r="JH77" s="261"/>
      <c r="JI77" s="261"/>
      <c r="JJ77" s="261"/>
      <c r="JK77" s="261"/>
      <c r="JL77" s="261"/>
      <c r="JM77" s="261"/>
      <c r="JN77" s="261"/>
      <c r="JO77" s="261"/>
      <c r="JP77" s="261"/>
      <c r="JQ77" s="261"/>
      <c r="JR77" s="261"/>
      <c r="JS77" s="261"/>
      <c r="JT77" s="261"/>
      <c r="JU77" s="261"/>
      <c r="JV77" s="261"/>
      <c r="JW77" s="261"/>
      <c r="JX77" s="261"/>
      <c r="JY77" s="261"/>
      <c r="JZ77" s="261"/>
      <c r="KA77" s="261"/>
      <c r="KB77" s="261"/>
      <c r="KC77" s="261"/>
      <c r="KD77" s="261"/>
      <c r="KE77" s="261"/>
      <c r="KF77" s="261"/>
      <c r="KG77" s="261"/>
      <c r="KH77" s="261"/>
      <c r="KI77" s="261"/>
      <c r="KJ77" s="261"/>
      <c r="KK77" s="261"/>
      <c r="KL77" s="261"/>
      <c r="KM77" s="261"/>
      <c r="KN77" s="261"/>
      <c r="KO77" s="261"/>
      <c r="KP77" s="261"/>
      <c r="KQ77" s="261"/>
      <c r="KR77" s="261"/>
      <c r="KS77" s="261"/>
      <c r="KT77" s="261"/>
      <c r="KU77" s="261"/>
      <c r="KV77" s="261"/>
      <c r="KW77" s="261"/>
      <c r="KX77" s="261"/>
      <c r="KY77" s="261"/>
      <c r="KZ77" s="261"/>
      <c r="LA77" s="261"/>
      <c r="LB77" s="261"/>
      <c r="LC77" s="261"/>
      <c r="LD77" s="261"/>
      <c r="LE77" s="261"/>
      <c r="LF77" s="261"/>
      <c r="LG77" s="261"/>
      <c r="LH77" s="261"/>
      <c r="LI77" s="261"/>
      <c r="LJ77" s="261"/>
      <c r="LK77" s="261"/>
      <c r="LL77" s="261"/>
      <c r="LM77" s="261"/>
      <c r="LN77" s="261"/>
      <c r="LO77" s="261"/>
      <c r="LP77" s="261"/>
      <c r="LQ77" s="261"/>
      <c r="LR77" s="261"/>
      <c r="LS77" s="261"/>
      <c r="LT77" s="261"/>
      <c r="LU77" s="261"/>
      <c r="LV77" s="261"/>
      <c r="LW77" s="261"/>
      <c r="LX77" s="261"/>
      <c r="LY77" s="261"/>
      <c r="LZ77" s="261"/>
      <c r="MA77" s="261"/>
      <c r="MB77" s="261"/>
      <c r="MC77" s="261"/>
      <c r="MD77" s="261"/>
      <c r="ME77" s="261"/>
      <c r="MF77" s="261"/>
      <c r="MG77" s="261"/>
      <c r="MH77" s="261"/>
      <c r="MI77" s="261"/>
      <c r="MJ77" s="261"/>
      <c r="MK77" s="261"/>
      <c r="ML77" s="261"/>
      <c r="MM77" s="261"/>
      <c r="MN77" s="261"/>
      <c r="MO77" s="261"/>
      <c r="MP77" s="261"/>
      <c r="MQ77" s="261"/>
      <c r="MR77" s="261"/>
      <c r="MS77" s="261"/>
      <c r="MT77" s="261"/>
      <c r="MU77" s="261"/>
      <c r="MV77" s="261"/>
      <c r="MW77" s="261"/>
      <c r="MX77" s="261"/>
      <c r="MY77" s="261"/>
      <c r="MZ77" s="261"/>
      <c r="NA77" s="261"/>
      <c r="NB77" s="261"/>
      <c r="NC77" s="261"/>
      <c r="ND77" s="261"/>
      <c r="NE77" s="261"/>
      <c r="NF77" s="261"/>
      <c r="NG77" s="261"/>
      <c r="NH77" s="261"/>
      <c r="NI77" s="261"/>
      <c r="NJ77" s="261"/>
      <c r="NK77" s="261"/>
      <c r="NL77" s="261"/>
      <c r="NM77" s="261"/>
      <c r="NN77" s="261"/>
      <c r="NO77" s="261"/>
      <c r="NP77" s="261"/>
      <c r="NQ77" s="261"/>
      <c r="NR77" s="261"/>
      <c r="NS77" s="261"/>
      <c r="NT77" s="261"/>
      <c r="NU77" s="261"/>
      <c r="NV77" s="261"/>
      <c r="NW77" s="261"/>
      <c r="NX77" s="261"/>
      <c r="NY77" s="261"/>
      <c r="NZ77" s="261"/>
      <c r="OA77" s="261"/>
      <c r="OB77" s="261"/>
      <c r="OC77" s="261"/>
      <c r="OD77" s="261"/>
      <c r="OE77" s="261"/>
      <c r="OF77" s="261"/>
      <c r="OG77" s="261"/>
      <c r="OH77" s="261"/>
      <c r="OI77" s="261"/>
      <c r="OJ77" s="261"/>
      <c r="OK77" s="261"/>
      <c r="OL77" s="261"/>
      <c r="OM77" s="261"/>
      <c r="ON77" s="261"/>
      <c r="OO77" s="261"/>
      <c r="OP77" s="261"/>
      <c r="OQ77" s="261"/>
      <c r="OR77" s="261"/>
      <c r="OS77" s="261"/>
      <c r="OT77" s="261"/>
      <c r="OU77" s="261"/>
      <c r="OV77" s="261"/>
      <c r="OW77" s="261"/>
      <c r="OX77" s="261"/>
      <c r="OY77" s="261"/>
      <c r="OZ77" s="261"/>
      <c r="PA77" s="261"/>
      <c r="PB77" s="261"/>
      <c r="PC77" s="261"/>
      <c r="PD77" s="261"/>
      <c r="PE77" s="261"/>
      <c r="PF77" s="261"/>
      <c r="PG77" s="261"/>
      <c r="PH77" s="261"/>
      <c r="PI77" s="261"/>
      <c r="PJ77" s="261"/>
      <c r="PK77" s="261"/>
      <c r="PL77" s="261"/>
      <c r="PM77" s="261"/>
      <c r="PN77" s="261"/>
      <c r="PO77" s="261"/>
      <c r="PP77" s="261"/>
      <c r="PQ77" s="261"/>
      <c r="PR77" s="261"/>
      <c r="PS77" s="261"/>
      <c r="PT77" s="261"/>
      <c r="PU77" s="261"/>
      <c r="PV77" s="261"/>
      <c r="PW77" s="261"/>
      <c r="PX77" s="261"/>
      <c r="PY77" s="261"/>
      <c r="PZ77" s="261"/>
      <c r="QA77" s="261"/>
      <c r="QB77" s="261"/>
      <c r="QC77" s="261"/>
      <c r="QD77" s="261"/>
      <c r="QE77" s="261"/>
      <c r="QF77" s="261"/>
      <c r="QG77" s="261"/>
      <c r="QH77" s="261"/>
      <c r="QI77" s="261"/>
      <c r="QJ77" s="261"/>
      <c r="QK77" s="261"/>
      <c r="QL77" s="261"/>
      <c r="QM77" s="261"/>
      <c r="QN77" s="261"/>
      <c r="QO77" s="261"/>
      <c r="QP77" s="261"/>
      <c r="QQ77" s="261"/>
      <c r="QR77" s="261"/>
      <c r="QS77" s="261"/>
      <c r="QT77" s="261"/>
      <c r="QU77" s="261"/>
      <c r="QV77" s="261"/>
      <c r="QW77" s="261"/>
      <c r="QX77" s="261"/>
      <c r="QY77" s="261"/>
      <c r="QZ77" s="261"/>
      <c r="RA77" s="261"/>
      <c r="RB77" s="261"/>
      <c r="RC77" s="261"/>
      <c r="RD77" s="261"/>
      <c r="RE77" s="261"/>
      <c r="RF77" s="261"/>
      <c r="RG77" s="261"/>
      <c r="RH77" s="261"/>
      <c r="RI77" s="261"/>
      <c r="RJ77" s="261"/>
      <c r="RK77" s="261"/>
      <c r="RL77" s="261"/>
      <c r="RM77" s="261"/>
      <c r="RN77" s="261"/>
      <c r="RO77" s="261"/>
      <c r="RP77" s="261"/>
      <c r="RQ77" s="261"/>
      <c r="RR77" s="261"/>
      <c r="RS77" s="261"/>
      <c r="RT77" s="261"/>
      <c r="RU77" s="261"/>
      <c r="RV77" s="261"/>
      <c r="RW77" s="261"/>
      <c r="RX77" s="261"/>
      <c r="RY77" s="261"/>
      <c r="RZ77" s="261"/>
      <c r="SA77" s="261"/>
      <c r="SB77" s="261"/>
      <c r="SC77" s="261"/>
      <c r="SD77" s="261"/>
      <c r="SE77" s="261"/>
      <c r="SF77" s="261"/>
      <c r="SG77" s="261"/>
      <c r="SH77" s="261"/>
      <c r="SI77" s="261"/>
      <c r="SJ77" s="261"/>
      <c r="SK77" s="261"/>
      <c r="SL77" s="261"/>
      <c r="SM77" s="261"/>
      <c r="SN77" s="261"/>
      <c r="SO77" s="261"/>
      <c r="SP77" s="261"/>
      <c r="SQ77" s="261"/>
      <c r="SR77" s="261"/>
      <c r="SS77" s="261"/>
      <c r="ST77" s="261"/>
      <c r="SU77" s="261"/>
      <c r="SV77" s="261"/>
      <c r="SW77" s="261"/>
      <c r="SX77" s="261"/>
      <c r="SY77" s="261"/>
      <c r="SZ77" s="261"/>
      <c r="TA77" s="261"/>
      <c r="TB77" s="261"/>
      <c r="TC77" s="261"/>
      <c r="TD77" s="261"/>
      <c r="TE77" s="261"/>
      <c r="TF77" s="261"/>
      <c r="TG77" s="261"/>
      <c r="TH77" s="261"/>
      <c r="TI77" s="261"/>
      <c r="TJ77" s="261"/>
      <c r="TK77" s="261"/>
      <c r="TL77" s="261"/>
      <c r="TM77" s="261"/>
      <c r="TN77" s="261"/>
      <c r="TO77" s="261"/>
      <c r="TP77" s="261"/>
      <c r="TQ77" s="261"/>
      <c r="TR77" s="261"/>
      <c r="TS77" s="261"/>
      <c r="TT77" s="261"/>
      <c r="TU77" s="261"/>
      <c r="TV77" s="261"/>
      <c r="TW77" s="261"/>
      <c r="TX77" s="261"/>
      <c r="TY77" s="261"/>
      <c r="TZ77" s="261"/>
      <c r="UA77" s="261"/>
      <c r="UB77" s="261"/>
      <c r="UC77" s="261"/>
      <c r="UD77" s="261"/>
      <c r="UE77" s="261"/>
      <c r="UF77" s="261"/>
      <c r="UG77" s="261"/>
      <c r="UH77" s="261"/>
      <c r="UI77" s="261"/>
      <c r="UJ77" s="261"/>
      <c r="UK77" s="261"/>
      <c r="UL77" s="261"/>
      <c r="UM77" s="261"/>
      <c r="UN77" s="261"/>
      <c r="UO77" s="261"/>
      <c r="UP77" s="261"/>
      <c r="UQ77" s="261"/>
      <c r="UR77" s="261"/>
      <c r="US77" s="261"/>
      <c r="UT77" s="261"/>
      <c r="UU77" s="261"/>
      <c r="UV77" s="261"/>
      <c r="UW77" s="261"/>
      <c r="UX77" s="261"/>
      <c r="UY77" s="261"/>
      <c r="UZ77" s="261"/>
      <c r="VA77" s="261"/>
      <c r="VB77" s="261"/>
      <c r="VC77" s="261"/>
      <c r="VD77" s="261"/>
      <c r="VE77" s="261"/>
      <c r="VF77" s="261"/>
      <c r="VG77" s="261"/>
      <c r="VH77" s="261"/>
      <c r="VI77" s="261"/>
      <c r="VJ77" s="261"/>
      <c r="VK77" s="261"/>
      <c r="VL77" s="261"/>
      <c r="VM77" s="261"/>
      <c r="VN77" s="261"/>
      <c r="VO77" s="261"/>
      <c r="VP77" s="261"/>
      <c r="VQ77" s="261"/>
      <c r="VR77" s="261"/>
      <c r="VS77" s="261"/>
      <c r="VT77" s="261"/>
      <c r="VU77" s="261"/>
      <c r="VV77" s="261"/>
      <c r="VW77" s="261"/>
      <c r="VX77" s="261"/>
      <c r="VY77" s="261"/>
      <c r="VZ77" s="261"/>
      <c r="WA77" s="261"/>
      <c r="WB77" s="261"/>
      <c r="WC77" s="261"/>
      <c r="WD77" s="261"/>
      <c r="WE77" s="261"/>
      <c r="WF77" s="261"/>
      <c r="WG77" s="261"/>
      <c r="WH77" s="261"/>
      <c r="WI77" s="261"/>
      <c r="WJ77" s="261"/>
      <c r="WK77" s="261"/>
      <c r="WL77" s="261"/>
      <c r="WM77" s="261"/>
      <c r="WN77" s="261"/>
      <c r="WO77" s="261"/>
      <c r="WP77" s="261"/>
      <c r="WQ77" s="261"/>
      <c r="WR77" s="261"/>
      <c r="WS77" s="261"/>
      <c r="WT77" s="261"/>
      <c r="WU77" s="261"/>
      <c r="WV77" s="261"/>
      <c r="WW77" s="261"/>
      <c r="WX77" s="261"/>
      <c r="WY77" s="261"/>
      <c r="WZ77" s="261"/>
      <c r="XA77" s="261"/>
      <c r="XB77" s="261"/>
      <c r="XC77" s="261"/>
      <c r="XD77" s="261"/>
      <c r="XE77" s="261"/>
      <c r="XF77" s="261"/>
      <c r="XG77" s="261"/>
      <c r="XH77" s="261"/>
      <c r="XI77" s="261"/>
      <c r="XJ77" s="261"/>
      <c r="XK77" s="261"/>
      <c r="XL77" s="261"/>
      <c r="XM77" s="261"/>
      <c r="XN77" s="261"/>
      <c r="XO77" s="261"/>
      <c r="XP77" s="261"/>
      <c r="XQ77" s="261"/>
      <c r="XR77" s="261"/>
      <c r="XS77" s="261"/>
      <c r="XT77" s="261"/>
      <c r="XU77" s="261"/>
      <c r="XV77" s="261"/>
      <c r="XW77" s="261"/>
      <c r="XX77" s="261"/>
      <c r="XY77" s="261"/>
      <c r="XZ77" s="261"/>
      <c r="YA77" s="261"/>
      <c r="YB77" s="261"/>
      <c r="YC77" s="261"/>
      <c r="YD77" s="261"/>
      <c r="YE77" s="261"/>
      <c r="YF77" s="261"/>
      <c r="YG77" s="261"/>
      <c r="YH77" s="261"/>
      <c r="YI77" s="261"/>
      <c r="YJ77" s="261"/>
      <c r="YK77" s="261"/>
      <c r="YL77" s="261"/>
      <c r="YM77" s="261"/>
      <c r="YN77" s="261"/>
      <c r="YO77" s="261"/>
      <c r="YP77" s="261"/>
      <c r="YQ77" s="261"/>
      <c r="YR77" s="261"/>
      <c r="YS77" s="261"/>
      <c r="YT77" s="261"/>
      <c r="YU77" s="261"/>
      <c r="YV77" s="261"/>
      <c r="YW77" s="261"/>
      <c r="YX77" s="261"/>
      <c r="YY77" s="261"/>
      <c r="YZ77" s="261"/>
      <c r="ZA77" s="261"/>
      <c r="ZB77" s="261"/>
      <c r="ZC77" s="261"/>
      <c r="ZD77" s="261"/>
      <c r="ZE77" s="261"/>
      <c r="ZF77" s="261"/>
      <c r="ZG77" s="261"/>
      <c r="ZH77" s="261"/>
      <c r="ZI77" s="261"/>
      <c r="ZJ77" s="261"/>
      <c r="ZK77" s="261"/>
      <c r="ZL77" s="261"/>
      <c r="ZM77" s="261"/>
      <c r="ZN77" s="261"/>
      <c r="ZO77" s="261"/>
      <c r="ZP77" s="261"/>
      <c r="ZQ77" s="261"/>
      <c r="ZR77" s="261"/>
      <c r="ZS77" s="261"/>
      <c r="ZT77" s="261"/>
      <c r="ZU77" s="261"/>
      <c r="ZV77" s="261"/>
      <c r="ZW77" s="261"/>
      <c r="ZX77" s="261"/>
      <c r="ZY77" s="261"/>
      <c r="ZZ77" s="261"/>
      <c r="AAA77" s="261"/>
      <c r="AAB77" s="261"/>
      <c r="AAC77" s="261"/>
      <c r="AAD77" s="261"/>
      <c r="AAE77" s="261"/>
      <c r="AAF77" s="261"/>
      <c r="AAG77" s="261"/>
      <c r="AAH77" s="261"/>
      <c r="AAI77" s="261"/>
      <c r="AAJ77" s="261"/>
      <c r="AAK77" s="261"/>
      <c r="AAL77" s="261"/>
      <c r="AAM77" s="261"/>
      <c r="AAN77" s="261"/>
      <c r="AAO77" s="261"/>
      <c r="AAP77" s="261"/>
      <c r="AAQ77" s="261"/>
      <c r="AAR77" s="261"/>
      <c r="AAS77" s="261"/>
      <c r="AAT77" s="261"/>
      <c r="AAU77" s="261"/>
      <c r="AAV77" s="261"/>
      <c r="AAW77" s="261"/>
      <c r="AAX77" s="261"/>
      <c r="AAY77" s="261"/>
      <c r="AAZ77" s="261"/>
      <c r="ABA77" s="261"/>
      <c r="ABB77" s="261"/>
      <c r="ABC77" s="261"/>
      <c r="ABD77" s="261"/>
      <c r="ABE77" s="261"/>
      <c r="ABF77" s="261"/>
      <c r="ABG77" s="261"/>
      <c r="ABH77" s="261"/>
      <c r="ABI77" s="261"/>
      <c r="ABJ77" s="261"/>
      <c r="ABK77" s="261"/>
      <c r="ABL77" s="261"/>
      <c r="ABM77" s="261"/>
      <c r="ABN77" s="261"/>
      <c r="ABO77" s="261"/>
      <c r="ABP77" s="261"/>
      <c r="ABQ77" s="261"/>
      <c r="ABR77" s="261"/>
      <c r="ABS77" s="261"/>
      <c r="ABT77" s="261"/>
      <c r="ABU77" s="261"/>
      <c r="ABV77" s="261"/>
      <c r="ABW77" s="261"/>
      <c r="ABX77" s="261"/>
      <c r="ABY77" s="261"/>
      <c r="ABZ77" s="261"/>
      <c r="ACA77" s="261"/>
      <c r="ACB77" s="261"/>
      <c r="ACC77" s="261"/>
      <c r="ACD77" s="261"/>
      <c r="ACE77" s="261"/>
      <c r="ACF77" s="261"/>
      <c r="ACG77" s="261"/>
      <c r="ACH77" s="261"/>
      <c r="ACI77" s="261"/>
      <c r="ACJ77" s="261"/>
      <c r="ACK77" s="261"/>
      <c r="ACL77" s="261"/>
      <c r="ACM77" s="261"/>
      <c r="ACN77" s="261"/>
      <c r="ACO77" s="261"/>
      <c r="ACP77" s="261"/>
      <c r="ACQ77" s="261"/>
      <c r="ACR77" s="261"/>
      <c r="ACS77" s="261"/>
      <c r="ACT77" s="261"/>
      <c r="ACU77" s="261"/>
      <c r="ACV77" s="261"/>
      <c r="ACW77" s="261"/>
      <c r="ACX77" s="261"/>
      <c r="ACY77" s="261"/>
      <c r="ACZ77" s="261"/>
      <c r="ADA77" s="261"/>
      <c r="ADB77" s="261"/>
      <c r="ADC77" s="261"/>
      <c r="ADD77" s="261"/>
      <c r="ADE77" s="261"/>
      <c r="ADF77" s="261"/>
      <c r="ADG77" s="261"/>
      <c r="ADH77" s="261"/>
      <c r="ADI77" s="261"/>
      <c r="ADJ77" s="261"/>
      <c r="ADK77" s="261"/>
      <c r="ADL77" s="261"/>
      <c r="ADM77" s="261"/>
      <c r="ADN77" s="261"/>
      <c r="ADO77" s="261"/>
      <c r="ADP77" s="261"/>
      <c r="ADQ77" s="261"/>
      <c r="ADR77" s="261"/>
      <c r="ADS77" s="261"/>
      <c r="ADT77" s="261"/>
      <c r="ADU77" s="261"/>
      <c r="ADV77" s="261"/>
      <c r="ADW77" s="261"/>
      <c r="ADX77" s="261"/>
      <c r="ADY77" s="261"/>
      <c r="ADZ77" s="261"/>
      <c r="AEA77" s="261"/>
      <c r="AEB77" s="261"/>
      <c r="AEC77" s="261"/>
      <c r="AED77" s="261"/>
      <c r="AEE77" s="261"/>
      <c r="AEF77" s="261"/>
      <c r="AEG77" s="261"/>
      <c r="AEH77" s="261"/>
      <c r="AEI77" s="261"/>
      <c r="AEJ77" s="261"/>
      <c r="AEK77" s="261"/>
      <c r="AEL77" s="261"/>
      <c r="AEM77" s="261"/>
      <c r="AEN77" s="261"/>
      <c r="AEO77" s="261"/>
      <c r="AEP77" s="261"/>
      <c r="AEQ77" s="261"/>
      <c r="AER77" s="261"/>
      <c r="AES77" s="261"/>
      <c r="AET77" s="261"/>
      <c r="AEU77" s="261"/>
      <c r="AEV77" s="261"/>
      <c r="AEW77" s="261"/>
      <c r="AEX77" s="261"/>
      <c r="AEY77" s="261"/>
      <c r="AEZ77" s="261"/>
      <c r="AFA77" s="261"/>
      <c r="AFB77" s="261"/>
      <c r="AFC77" s="261"/>
      <c r="AFD77" s="261"/>
      <c r="AFE77" s="261"/>
      <c r="AFF77" s="261"/>
      <c r="AFG77" s="261"/>
      <c r="AFH77" s="261"/>
      <c r="AFI77" s="261"/>
      <c r="AFJ77" s="261"/>
      <c r="AFK77" s="261"/>
      <c r="AFL77" s="261"/>
      <c r="AFM77" s="261"/>
      <c r="AFN77" s="261"/>
      <c r="AFO77" s="261"/>
      <c r="AFP77" s="261"/>
      <c r="AFQ77" s="261"/>
      <c r="AFR77" s="261"/>
      <c r="AFS77" s="261"/>
      <c r="AFT77" s="261"/>
      <c r="AFU77" s="261"/>
      <c r="AFV77" s="261"/>
      <c r="AFW77" s="261"/>
      <c r="AFX77" s="261"/>
      <c r="AFY77" s="261"/>
      <c r="AFZ77" s="261"/>
      <c r="AGA77" s="261"/>
      <c r="AGB77" s="261"/>
      <c r="AGC77" s="261"/>
      <c r="AGD77" s="261"/>
      <c r="AGE77" s="261"/>
      <c r="AGF77" s="261"/>
      <c r="AGG77" s="261"/>
      <c r="AGH77" s="261"/>
      <c r="AGI77" s="261"/>
      <c r="AGJ77" s="261"/>
      <c r="AGK77" s="261"/>
      <c r="AGL77" s="261"/>
      <c r="AGM77" s="261"/>
      <c r="AGN77" s="261"/>
      <c r="AGO77" s="261"/>
      <c r="AGP77" s="261"/>
      <c r="AGQ77" s="261"/>
      <c r="AGR77" s="261"/>
      <c r="AGS77" s="261"/>
      <c r="AGT77" s="261"/>
      <c r="AGU77" s="261"/>
      <c r="AGV77" s="261"/>
      <c r="AGW77" s="261"/>
      <c r="AGX77" s="261"/>
      <c r="AGY77" s="261"/>
      <c r="AGZ77" s="261"/>
      <c r="AHA77" s="261"/>
      <c r="AHB77" s="261"/>
      <c r="AHC77" s="261"/>
      <c r="AHD77" s="261"/>
      <c r="AHE77" s="261"/>
      <c r="AHF77" s="261"/>
      <c r="AHG77" s="261"/>
      <c r="AHH77" s="261"/>
      <c r="AHI77" s="261"/>
      <c r="AHJ77" s="261"/>
      <c r="AHK77" s="261"/>
      <c r="AHL77" s="261"/>
      <c r="AHM77" s="261"/>
      <c r="AHN77" s="261"/>
      <c r="AHO77" s="261"/>
      <c r="AHP77" s="261"/>
      <c r="AHQ77" s="261"/>
      <c r="AHR77" s="261"/>
      <c r="AHS77" s="261"/>
      <c r="AHT77" s="261"/>
      <c r="AHU77" s="261"/>
      <c r="AHV77" s="261"/>
      <c r="AHW77" s="261"/>
      <c r="AHX77" s="261"/>
      <c r="AHY77" s="261"/>
      <c r="AHZ77" s="261"/>
      <c r="AIA77" s="261"/>
      <c r="AIB77" s="261"/>
      <c r="AIC77" s="261"/>
      <c r="AID77" s="261"/>
      <c r="AIE77" s="261"/>
      <c r="AIF77" s="261"/>
      <c r="AIG77" s="261"/>
      <c r="AIH77" s="261"/>
      <c r="AII77" s="261"/>
      <c r="AIJ77" s="261"/>
      <c r="AIK77" s="261"/>
      <c r="AIL77" s="261"/>
      <c r="AIM77" s="261"/>
      <c r="AIN77" s="261"/>
      <c r="AIO77" s="261"/>
      <c r="AIP77" s="261"/>
      <c r="AIQ77" s="261"/>
      <c r="AIR77" s="261"/>
      <c r="AIS77" s="261"/>
      <c r="AIT77" s="261"/>
      <c r="AIU77" s="261"/>
      <c r="AIV77" s="261"/>
      <c r="AIW77" s="261"/>
      <c r="AIX77" s="261"/>
      <c r="AIY77" s="261"/>
      <c r="AIZ77" s="261"/>
      <c r="AJA77" s="261"/>
      <c r="AJB77" s="261"/>
      <c r="AJC77" s="261"/>
      <c r="AJD77" s="261"/>
      <c r="AJE77" s="261"/>
      <c r="AJF77" s="261"/>
      <c r="AJG77" s="261"/>
      <c r="AJH77" s="261"/>
      <c r="AJI77" s="261"/>
      <c r="AJJ77" s="261"/>
      <c r="AJK77" s="261"/>
      <c r="AJL77" s="261"/>
      <c r="AJM77" s="261"/>
      <c r="AJN77" s="261"/>
      <c r="AJO77" s="261"/>
      <c r="AJP77" s="261"/>
      <c r="AJQ77" s="261"/>
      <c r="AJR77" s="261"/>
      <c r="AJS77" s="261"/>
      <c r="AJT77" s="261"/>
      <c r="AJU77" s="261"/>
      <c r="AJV77" s="261"/>
      <c r="AJW77" s="261"/>
      <c r="AJX77" s="261"/>
      <c r="AJY77" s="261"/>
      <c r="AJZ77" s="261"/>
      <c r="AKA77" s="261"/>
      <c r="AKB77" s="261"/>
      <c r="AKC77" s="261"/>
      <c r="AKD77" s="261"/>
      <c r="AKE77" s="261"/>
      <c r="AKF77" s="261"/>
      <c r="AKG77" s="261"/>
      <c r="AKH77" s="261"/>
      <c r="AKI77" s="261"/>
      <c r="AKJ77" s="261"/>
      <c r="AKK77" s="261"/>
      <c r="AKL77" s="261"/>
      <c r="AKM77" s="261"/>
      <c r="AKN77" s="261"/>
      <c r="AKO77" s="261"/>
      <c r="AKP77" s="261"/>
      <c r="AKQ77" s="261"/>
      <c r="AKR77" s="261"/>
      <c r="AKS77" s="261"/>
      <c r="AKT77" s="261"/>
      <c r="AKU77" s="261"/>
      <c r="AKV77" s="261"/>
      <c r="AKW77" s="261"/>
      <c r="AKX77" s="261"/>
      <c r="AKY77" s="261"/>
      <c r="AKZ77" s="261"/>
      <c r="ALA77" s="261"/>
      <c r="ALB77" s="261"/>
      <c r="ALC77" s="261"/>
      <c r="ALD77" s="261"/>
      <c r="ALE77" s="261"/>
      <c r="ALF77" s="261"/>
      <c r="ALG77" s="261"/>
      <c r="ALH77" s="261"/>
      <c r="ALI77" s="261"/>
      <c r="ALJ77" s="261"/>
      <c r="ALK77" s="261"/>
      <c r="ALL77" s="261"/>
      <c r="ALM77" s="261"/>
      <c r="ALN77" s="261"/>
      <c r="ALO77" s="261"/>
      <c r="ALP77" s="261"/>
      <c r="ALQ77" s="261"/>
      <c r="ALR77" s="261"/>
      <c r="ALS77" s="261"/>
      <c r="ALT77" s="261"/>
      <c r="ALU77" s="261"/>
      <c r="ALV77" s="261"/>
      <c r="ALW77" s="261"/>
      <c r="ALX77" s="261"/>
      <c r="ALY77" s="261"/>
      <c r="ALZ77" s="261"/>
      <c r="AMA77" s="261"/>
      <c r="AMB77" s="261"/>
      <c r="AMC77" s="261"/>
      <c r="AMD77" s="261"/>
      <c r="AME77" s="261"/>
      <c r="AMF77" s="261"/>
      <c r="AMG77" s="261"/>
      <c r="AMH77" s="261"/>
      <c r="AMI77" s="261"/>
      <c r="AMJ77" s="261"/>
    </row>
    <row r="78" spans="12:1024" ht="15.95" customHeight="1">
      <c r="L78" s="261"/>
      <c r="M78" s="296"/>
      <c r="N78" s="261"/>
      <c r="O78" s="261"/>
      <c r="P78" s="261"/>
      <c r="Q78" s="261"/>
      <c r="R78" s="261"/>
      <c r="S78" s="261"/>
      <c r="T78" s="261"/>
      <c r="U78" s="261"/>
      <c r="V78" s="261"/>
      <c r="W78" s="261"/>
      <c r="X78" s="261"/>
      <c r="Y78" s="261"/>
      <c r="Z78" s="261"/>
      <c r="AA78" s="261"/>
      <c r="AB78" s="261"/>
      <c r="AC78" s="261"/>
      <c r="AD78" s="261"/>
      <c r="AE78" s="261"/>
      <c r="AF78" s="261"/>
      <c r="AG78" s="261"/>
      <c r="AH78" s="261"/>
      <c r="AI78" s="261"/>
      <c r="AJ78" s="261"/>
      <c r="AK78" s="261"/>
      <c r="AL78" s="261"/>
      <c r="AM78" s="261"/>
      <c r="AN78" s="261"/>
      <c r="AO78" s="261"/>
      <c r="AP78" s="261"/>
      <c r="AQ78" s="261"/>
      <c r="AR78" s="261"/>
      <c r="AS78" s="261"/>
      <c r="AT78" s="261"/>
      <c r="AU78" s="261"/>
      <c r="AV78" s="261"/>
      <c r="AW78" s="261"/>
      <c r="AX78" s="261"/>
      <c r="AY78" s="261"/>
      <c r="AZ78" s="261"/>
      <c r="BA78" s="261"/>
      <c r="BB78" s="261"/>
      <c r="BC78" s="261"/>
      <c r="BD78" s="261"/>
      <c r="BE78" s="261"/>
      <c r="BF78" s="261"/>
      <c r="BG78" s="261"/>
      <c r="BH78" s="261"/>
      <c r="BI78" s="261"/>
      <c r="BJ78" s="261"/>
      <c r="BK78" s="261"/>
      <c r="BL78" s="261"/>
      <c r="BM78" s="261"/>
      <c r="BN78" s="261"/>
      <c r="BO78" s="261"/>
      <c r="BP78" s="261"/>
      <c r="BQ78" s="261"/>
      <c r="BR78" s="261"/>
      <c r="BS78" s="261"/>
      <c r="BT78" s="261"/>
      <c r="BU78" s="261"/>
      <c r="BV78" s="261"/>
      <c r="BW78" s="261"/>
      <c r="BX78" s="261"/>
      <c r="BY78" s="261"/>
      <c r="BZ78" s="261"/>
      <c r="CA78" s="261"/>
      <c r="CB78" s="261"/>
      <c r="CC78" s="261"/>
      <c r="CD78" s="261"/>
      <c r="CE78" s="261"/>
      <c r="CF78" s="261"/>
      <c r="CG78" s="261"/>
      <c r="CH78" s="261"/>
      <c r="CI78" s="261"/>
      <c r="CJ78" s="261"/>
      <c r="CK78" s="261"/>
      <c r="CL78" s="261"/>
      <c r="CM78" s="261"/>
      <c r="CN78" s="261"/>
      <c r="CO78" s="261"/>
      <c r="CP78" s="261"/>
      <c r="CQ78" s="261"/>
      <c r="CR78" s="261"/>
      <c r="CS78" s="261"/>
      <c r="CT78" s="261"/>
      <c r="CU78" s="261"/>
      <c r="CV78" s="261"/>
      <c r="CW78" s="261"/>
      <c r="CX78" s="261"/>
      <c r="CY78" s="261"/>
      <c r="CZ78" s="261"/>
      <c r="DA78" s="261"/>
      <c r="DB78" s="261"/>
      <c r="DC78" s="261"/>
      <c r="DD78" s="261"/>
      <c r="DE78" s="261"/>
      <c r="DF78" s="261"/>
      <c r="DG78" s="261"/>
      <c r="DH78" s="261"/>
      <c r="DI78" s="261"/>
      <c r="DJ78" s="261"/>
      <c r="DK78" s="261"/>
      <c r="DL78" s="261"/>
      <c r="DM78" s="261"/>
      <c r="DN78" s="261"/>
      <c r="DO78" s="261"/>
      <c r="DP78" s="261"/>
      <c r="DQ78" s="261"/>
      <c r="DR78" s="261"/>
      <c r="DS78" s="261"/>
      <c r="DT78" s="261"/>
      <c r="DU78" s="261"/>
      <c r="DV78" s="261"/>
      <c r="DW78" s="261"/>
      <c r="DX78" s="261"/>
      <c r="DY78" s="261"/>
      <c r="DZ78" s="261"/>
      <c r="EA78" s="261"/>
      <c r="EB78" s="261"/>
      <c r="EC78" s="261"/>
      <c r="ED78" s="261"/>
      <c r="EE78" s="261"/>
      <c r="EF78" s="261"/>
      <c r="EG78" s="261"/>
      <c r="EH78" s="261"/>
      <c r="EI78" s="261"/>
      <c r="EJ78" s="261"/>
      <c r="EK78" s="261"/>
      <c r="EL78" s="261"/>
      <c r="EM78" s="261"/>
      <c r="EN78" s="261"/>
      <c r="EO78" s="261"/>
      <c r="EP78" s="261"/>
      <c r="EQ78" s="261"/>
      <c r="ER78" s="261"/>
      <c r="ES78" s="261"/>
      <c r="ET78" s="261"/>
      <c r="EU78" s="261"/>
      <c r="EV78" s="261"/>
      <c r="EW78" s="261"/>
      <c r="EX78" s="261"/>
      <c r="EY78" s="261"/>
      <c r="EZ78" s="261"/>
      <c r="FA78" s="261"/>
      <c r="FB78" s="261"/>
      <c r="FC78" s="261"/>
      <c r="FD78" s="261"/>
      <c r="FE78" s="261"/>
      <c r="FF78" s="261"/>
      <c r="FG78" s="261"/>
      <c r="FH78" s="261"/>
      <c r="FI78" s="261"/>
      <c r="FJ78" s="261"/>
      <c r="FK78" s="261"/>
      <c r="FL78" s="261"/>
      <c r="FM78" s="261"/>
      <c r="FN78" s="261"/>
      <c r="FO78" s="261"/>
      <c r="FP78" s="261"/>
      <c r="FQ78" s="261"/>
      <c r="FR78" s="261"/>
      <c r="FS78" s="261"/>
      <c r="FT78" s="261"/>
      <c r="FU78" s="261"/>
      <c r="FV78" s="261"/>
      <c r="FW78" s="261"/>
      <c r="FX78" s="261"/>
      <c r="FY78" s="261"/>
      <c r="FZ78" s="261"/>
      <c r="GA78" s="261"/>
      <c r="GB78" s="261"/>
      <c r="GC78" s="261"/>
      <c r="GD78" s="261"/>
      <c r="GE78" s="261"/>
      <c r="GF78" s="261"/>
      <c r="GG78" s="261"/>
      <c r="GH78" s="261"/>
      <c r="GI78" s="261"/>
      <c r="GJ78" s="261"/>
      <c r="GK78" s="261"/>
      <c r="GL78" s="261"/>
      <c r="GM78" s="261"/>
      <c r="GN78" s="261"/>
      <c r="GO78" s="261"/>
      <c r="GP78" s="261"/>
      <c r="GQ78" s="261"/>
      <c r="GR78" s="261"/>
      <c r="GS78" s="261"/>
      <c r="GT78" s="261"/>
      <c r="GU78" s="261"/>
      <c r="GV78" s="261"/>
      <c r="GW78" s="261"/>
      <c r="GX78" s="261"/>
      <c r="GY78" s="261"/>
      <c r="GZ78" s="261"/>
      <c r="HA78" s="261"/>
      <c r="HB78" s="261"/>
      <c r="HC78" s="261"/>
      <c r="HD78" s="261"/>
      <c r="HE78" s="261"/>
      <c r="HF78" s="261"/>
      <c r="HG78" s="261"/>
      <c r="HH78" s="261"/>
      <c r="HI78" s="261"/>
      <c r="HJ78" s="261"/>
      <c r="HK78" s="261"/>
      <c r="HL78" s="261"/>
      <c r="HM78" s="261"/>
      <c r="HN78" s="261"/>
      <c r="HO78" s="261"/>
      <c r="HP78" s="261"/>
      <c r="HQ78" s="261"/>
      <c r="HR78" s="261"/>
      <c r="HS78" s="261"/>
      <c r="HT78" s="261"/>
      <c r="HU78" s="261"/>
      <c r="HV78" s="261"/>
      <c r="HW78" s="261"/>
      <c r="HX78" s="261"/>
      <c r="HY78" s="261"/>
      <c r="HZ78" s="261"/>
      <c r="IA78" s="261"/>
      <c r="IB78" s="261"/>
      <c r="IC78" s="261"/>
      <c r="ID78" s="261"/>
      <c r="IE78" s="261"/>
      <c r="IF78" s="261"/>
      <c r="IG78" s="261"/>
      <c r="IH78" s="261"/>
      <c r="II78" s="261"/>
      <c r="IJ78" s="261"/>
      <c r="IK78" s="261"/>
      <c r="IL78" s="261"/>
      <c r="IM78" s="261"/>
      <c r="IN78" s="261"/>
      <c r="IO78" s="261"/>
      <c r="IP78" s="261"/>
      <c r="IQ78" s="261"/>
      <c r="IR78" s="261"/>
      <c r="IS78" s="261"/>
      <c r="IT78" s="261"/>
      <c r="IU78" s="261"/>
      <c r="IV78" s="261"/>
      <c r="IW78" s="261"/>
      <c r="IX78" s="261"/>
      <c r="IY78" s="261"/>
      <c r="IZ78" s="261"/>
      <c r="JA78" s="261"/>
      <c r="JB78" s="261"/>
      <c r="JC78" s="261"/>
      <c r="JD78" s="261"/>
      <c r="JE78" s="261"/>
      <c r="JF78" s="261"/>
      <c r="JG78" s="261"/>
      <c r="JH78" s="261"/>
      <c r="JI78" s="261"/>
      <c r="JJ78" s="261"/>
      <c r="JK78" s="261"/>
      <c r="JL78" s="261"/>
      <c r="JM78" s="261"/>
      <c r="JN78" s="261"/>
      <c r="JO78" s="261"/>
      <c r="JP78" s="261"/>
      <c r="JQ78" s="261"/>
      <c r="JR78" s="261"/>
      <c r="JS78" s="261"/>
      <c r="JT78" s="261"/>
      <c r="JU78" s="261"/>
      <c r="JV78" s="261"/>
      <c r="JW78" s="261"/>
      <c r="JX78" s="261"/>
      <c r="JY78" s="261"/>
      <c r="JZ78" s="261"/>
      <c r="KA78" s="261"/>
      <c r="KB78" s="261"/>
      <c r="KC78" s="261"/>
      <c r="KD78" s="261"/>
      <c r="KE78" s="261"/>
      <c r="KF78" s="261"/>
      <c r="KG78" s="261"/>
      <c r="KH78" s="261"/>
      <c r="KI78" s="261"/>
      <c r="KJ78" s="261"/>
      <c r="KK78" s="261"/>
      <c r="KL78" s="261"/>
      <c r="KM78" s="261"/>
      <c r="KN78" s="261"/>
      <c r="KO78" s="261"/>
      <c r="KP78" s="261"/>
      <c r="KQ78" s="261"/>
      <c r="KR78" s="261"/>
      <c r="KS78" s="261"/>
      <c r="KT78" s="261"/>
      <c r="KU78" s="261"/>
      <c r="KV78" s="261"/>
      <c r="KW78" s="261"/>
      <c r="KX78" s="261"/>
      <c r="KY78" s="261"/>
      <c r="KZ78" s="261"/>
      <c r="LA78" s="261"/>
      <c r="LB78" s="261"/>
      <c r="LC78" s="261"/>
      <c r="LD78" s="261"/>
      <c r="LE78" s="261"/>
      <c r="LF78" s="261"/>
      <c r="LG78" s="261"/>
      <c r="LH78" s="261"/>
      <c r="LI78" s="261"/>
      <c r="LJ78" s="261"/>
      <c r="LK78" s="261"/>
      <c r="LL78" s="261"/>
      <c r="LM78" s="261"/>
      <c r="LN78" s="261"/>
      <c r="LO78" s="261"/>
      <c r="LP78" s="261"/>
      <c r="LQ78" s="261"/>
      <c r="LR78" s="261"/>
      <c r="LS78" s="261"/>
      <c r="LT78" s="261"/>
      <c r="LU78" s="261"/>
      <c r="LV78" s="261"/>
      <c r="LW78" s="261"/>
      <c r="LX78" s="261"/>
      <c r="LY78" s="261"/>
      <c r="LZ78" s="261"/>
      <c r="MA78" s="261"/>
      <c r="MB78" s="261"/>
      <c r="MC78" s="261"/>
      <c r="MD78" s="261"/>
      <c r="ME78" s="261"/>
      <c r="MF78" s="261"/>
      <c r="MG78" s="261"/>
      <c r="MH78" s="261"/>
      <c r="MI78" s="261"/>
      <c r="MJ78" s="261"/>
      <c r="MK78" s="261"/>
      <c r="ML78" s="261"/>
      <c r="MM78" s="261"/>
      <c r="MN78" s="261"/>
      <c r="MO78" s="261"/>
      <c r="MP78" s="261"/>
      <c r="MQ78" s="261"/>
      <c r="MR78" s="261"/>
      <c r="MS78" s="261"/>
      <c r="MT78" s="261"/>
      <c r="MU78" s="261"/>
      <c r="MV78" s="261"/>
      <c r="MW78" s="261"/>
      <c r="MX78" s="261"/>
      <c r="MY78" s="261"/>
      <c r="MZ78" s="261"/>
      <c r="NA78" s="261"/>
      <c r="NB78" s="261"/>
      <c r="NC78" s="261"/>
      <c r="ND78" s="261"/>
      <c r="NE78" s="261"/>
      <c r="NF78" s="261"/>
      <c r="NG78" s="261"/>
      <c r="NH78" s="261"/>
      <c r="NI78" s="261"/>
      <c r="NJ78" s="261"/>
      <c r="NK78" s="261"/>
      <c r="NL78" s="261"/>
      <c r="NM78" s="261"/>
      <c r="NN78" s="261"/>
      <c r="NO78" s="261"/>
      <c r="NP78" s="261"/>
      <c r="NQ78" s="261"/>
      <c r="NR78" s="261"/>
      <c r="NS78" s="261"/>
      <c r="NT78" s="261"/>
      <c r="NU78" s="261"/>
      <c r="NV78" s="261"/>
      <c r="NW78" s="261"/>
      <c r="NX78" s="261"/>
      <c r="NY78" s="261"/>
      <c r="NZ78" s="261"/>
      <c r="OA78" s="261"/>
      <c r="OB78" s="261"/>
      <c r="OC78" s="261"/>
      <c r="OD78" s="261"/>
      <c r="OE78" s="261"/>
      <c r="OF78" s="261"/>
      <c r="OG78" s="261"/>
      <c r="OH78" s="261"/>
      <c r="OI78" s="261"/>
      <c r="OJ78" s="261"/>
      <c r="OK78" s="261"/>
      <c r="OL78" s="261"/>
      <c r="OM78" s="261"/>
      <c r="ON78" s="261"/>
      <c r="OO78" s="261"/>
      <c r="OP78" s="261"/>
      <c r="OQ78" s="261"/>
      <c r="OR78" s="261"/>
      <c r="OS78" s="261"/>
      <c r="OT78" s="261"/>
      <c r="OU78" s="261"/>
      <c r="OV78" s="261"/>
      <c r="OW78" s="261"/>
      <c r="OX78" s="261"/>
      <c r="OY78" s="261"/>
      <c r="OZ78" s="261"/>
      <c r="PA78" s="261"/>
      <c r="PB78" s="261"/>
      <c r="PC78" s="261"/>
      <c r="PD78" s="261"/>
      <c r="PE78" s="261"/>
      <c r="PF78" s="261"/>
      <c r="PG78" s="261"/>
      <c r="PH78" s="261"/>
      <c r="PI78" s="261"/>
      <c r="PJ78" s="261"/>
      <c r="PK78" s="261"/>
      <c r="PL78" s="261"/>
      <c r="PM78" s="261"/>
      <c r="PN78" s="261"/>
      <c r="PO78" s="261"/>
      <c r="PP78" s="261"/>
      <c r="PQ78" s="261"/>
      <c r="PR78" s="261"/>
      <c r="PS78" s="261"/>
      <c r="PT78" s="261"/>
      <c r="PU78" s="261"/>
      <c r="PV78" s="261"/>
      <c r="PW78" s="261"/>
      <c r="PX78" s="261"/>
      <c r="PY78" s="261"/>
      <c r="PZ78" s="261"/>
      <c r="QA78" s="261"/>
      <c r="QB78" s="261"/>
      <c r="QC78" s="261"/>
      <c r="QD78" s="261"/>
      <c r="QE78" s="261"/>
      <c r="QF78" s="261"/>
      <c r="QG78" s="261"/>
      <c r="QH78" s="261"/>
      <c r="QI78" s="261"/>
      <c r="QJ78" s="261"/>
      <c r="QK78" s="261"/>
      <c r="QL78" s="261"/>
      <c r="QM78" s="261"/>
      <c r="QN78" s="261"/>
      <c r="QO78" s="261"/>
      <c r="QP78" s="261"/>
      <c r="QQ78" s="261"/>
      <c r="QR78" s="261"/>
      <c r="QS78" s="261"/>
      <c r="QT78" s="261"/>
      <c r="QU78" s="261"/>
      <c r="QV78" s="261"/>
      <c r="QW78" s="261"/>
      <c r="QX78" s="261"/>
      <c r="QY78" s="261"/>
      <c r="QZ78" s="261"/>
      <c r="RA78" s="261"/>
      <c r="RB78" s="261"/>
      <c r="RC78" s="261"/>
      <c r="RD78" s="261"/>
      <c r="RE78" s="261"/>
      <c r="RF78" s="261"/>
      <c r="RG78" s="261"/>
      <c r="RH78" s="261"/>
      <c r="RI78" s="261"/>
      <c r="RJ78" s="261"/>
      <c r="RK78" s="261"/>
      <c r="RL78" s="261"/>
      <c r="RM78" s="261"/>
      <c r="RN78" s="261"/>
      <c r="RO78" s="261"/>
      <c r="RP78" s="261"/>
      <c r="RQ78" s="261"/>
      <c r="RR78" s="261"/>
      <c r="RS78" s="261"/>
      <c r="RT78" s="261"/>
      <c r="RU78" s="261"/>
      <c r="RV78" s="261"/>
      <c r="RW78" s="261"/>
      <c r="RX78" s="261"/>
      <c r="RY78" s="261"/>
      <c r="RZ78" s="261"/>
      <c r="SA78" s="261"/>
      <c r="SB78" s="261"/>
      <c r="SC78" s="261"/>
      <c r="SD78" s="261"/>
      <c r="SE78" s="261"/>
      <c r="SF78" s="261"/>
      <c r="SG78" s="261"/>
      <c r="SH78" s="261"/>
      <c r="SI78" s="261"/>
      <c r="SJ78" s="261"/>
      <c r="SK78" s="261"/>
      <c r="SL78" s="261"/>
      <c r="SM78" s="261"/>
      <c r="SN78" s="261"/>
      <c r="SO78" s="261"/>
      <c r="SP78" s="261"/>
      <c r="SQ78" s="261"/>
      <c r="SR78" s="261"/>
      <c r="SS78" s="261"/>
      <c r="ST78" s="261"/>
      <c r="SU78" s="261"/>
      <c r="SV78" s="261"/>
      <c r="SW78" s="261"/>
      <c r="SX78" s="261"/>
      <c r="SY78" s="261"/>
      <c r="SZ78" s="261"/>
      <c r="TA78" s="261"/>
      <c r="TB78" s="261"/>
      <c r="TC78" s="261"/>
      <c r="TD78" s="261"/>
      <c r="TE78" s="261"/>
      <c r="TF78" s="261"/>
      <c r="TG78" s="261"/>
      <c r="TH78" s="261"/>
      <c r="TI78" s="261"/>
      <c r="TJ78" s="261"/>
      <c r="TK78" s="261"/>
      <c r="TL78" s="261"/>
      <c r="TM78" s="261"/>
      <c r="TN78" s="261"/>
      <c r="TO78" s="261"/>
      <c r="TP78" s="261"/>
      <c r="TQ78" s="261"/>
      <c r="TR78" s="261"/>
      <c r="TS78" s="261"/>
      <c r="TT78" s="261"/>
      <c r="TU78" s="261"/>
      <c r="TV78" s="261"/>
      <c r="TW78" s="261"/>
      <c r="TX78" s="261"/>
      <c r="TY78" s="261"/>
      <c r="TZ78" s="261"/>
      <c r="UA78" s="261"/>
      <c r="UB78" s="261"/>
      <c r="UC78" s="261"/>
      <c r="UD78" s="261"/>
      <c r="UE78" s="261"/>
      <c r="UF78" s="261"/>
      <c r="UG78" s="261"/>
      <c r="UH78" s="261"/>
      <c r="UI78" s="261"/>
      <c r="UJ78" s="261"/>
      <c r="UK78" s="261"/>
      <c r="UL78" s="261"/>
      <c r="UM78" s="261"/>
      <c r="UN78" s="261"/>
      <c r="UO78" s="261"/>
      <c r="UP78" s="261"/>
      <c r="UQ78" s="261"/>
      <c r="UR78" s="261"/>
      <c r="US78" s="261"/>
      <c r="UT78" s="261"/>
      <c r="UU78" s="261"/>
      <c r="UV78" s="261"/>
      <c r="UW78" s="261"/>
      <c r="UX78" s="261"/>
      <c r="UY78" s="261"/>
      <c r="UZ78" s="261"/>
      <c r="VA78" s="261"/>
      <c r="VB78" s="261"/>
      <c r="VC78" s="261"/>
      <c r="VD78" s="261"/>
      <c r="VE78" s="261"/>
      <c r="VF78" s="261"/>
      <c r="VG78" s="261"/>
      <c r="VH78" s="261"/>
      <c r="VI78" s="261"/>
      <c r="VJ78" s="261"/>
      <c r="VK78" s="261"/>
      <c r="VL78" s="261"/>
      <c r="VM78" s="261"/>
      <c r="VN78" s="261"/>
      <c r="VO78" s="261"/>
      <c r="VP78" s="261"/>
      <c r="VQ78" s="261"/>
      <c r="VR78" s="261"/>
      <c r="VS78" s="261"/>
      <c r="VT78" s="261"/>
      <c r="VU78" s="261"/>
      <c r="VV78" s="261"/>
      <c r="VW78" s="261"/>
      <c r="VX78" s="261"/>
      <c r="VY78" s="261"/>
      <c r="VZ78" s="261"/>
      <c r="WA78" s="261"/>
      <c r="WB78" s="261"/>
      <c r="WC78" s="261"/>
      <c r="WD78" s="261"/>
      <c r="WE78" s="261"/>
      <c r="WF78" s="261"/>
      <c r="WG78" s="261"/>
      <c r="WH78" s="261"/>
      <c r="WI78" s="261"/>
      <c r="WJ78" s="261"/>
      <c r="WK78" s="261"/>
      <c r="WL78" s="261"/>
      <c r="WM78" s="261"/>
      <c r="WN78" s="261"/>
      <c r="WO78" s="261"/>
      <c r="WP78" s="261"/>
      <c r="WQ78" s="261"/>
      <c r="WR78" s="261"/>
      <c r="WS78" s="261"/>
      <c r="WT78" s="261"/>
      <c r="WU78" s="261"/>
      <c r="WV78" s="261"/>
      <c r="WW78" s="261"/>
      <c r="WX78" s="261"/>
      <c r="WY78" s="261"/>
      <c r="WZ78" s="261"/>
      <c r="XA78" s="261"/>
      <c r="XB78" s="261"/>
      <c r="XC78" s="261"/>
      <c r="XD78" s="261"/>
      <c r="XE78" s="261"/>
      <c r="XF78" s="261"/>
      <c r="XG78" s="261"/>
      <c r="XH78" s="261"/>
      <c r="XI78" s="261"/>
      <c r="XJ78" s="261"/>
      <c r="XK78" s="261"/>
      <c r="XL78" s="261"/>
      <c r="XM78" s="261"/>
      <c r="XN78" s="261"/>
      <c r="XO78" s="261"/>
      <c r="XP78" s="261"/>
      <c r="XQ78" s="261"/>
      <c r="XR78" s="261"/>
      <c r="XS78" s="261"/>
      <c r="XT78" s="261"/>
      <c r="XU78" s="261"/>
      <c r="XV78" s="261"/>
      <c r="XW78" s="261"/>
      <c r="XX78" s="261"/>
      <c r="XY78" s="261"/>
      <c r="XZ78" s="261"/>
      <c r="YA78" s="261"/>
      <c r="YB78" s="261"/>
      <c r="YC78" s="261"/>
      <c r="YD78" s="261"/>
      <c r="YE78" s="261"/>
      <c r="YF78" s="261"/>
      <c r="YG78" s="261"/>
      <c r="YH78" s="261"/>
      <c r="YI78" s="261"/>
      <c r="YJ78" s="261"/>
      <c r="YK78" s="261"/>
      <c r="YL78" s="261"/>
      <c r="YM78" s="261"/>
      <c r="YN78" s="261"/>
      <c r="YO78" s="261"/>
      <c r="YP78" s="261"/>
      <c r="YQ78" s="261"/>
      <c r="YR78" s="261"/>
      <c r="YS78" s="261"/>
      <c r="YT78" s="261"/>
      <c r="YU78" s="261"/>
      <c r="YV78" s="261"/>
      <c r="YW78" s="261"/>
      <c r="YX78" s="261"/>
      <c r="YY78" s="261"/>
      <c r="YZ78" s="261"/>
      <c r="ZA78" s="261"/>
      <c r="ZB78" s="261"/>
      <c r="ZC78" s="261"/>
      <c r="ZD78" s="261"/>
      <c r="ZE78" s="261"/>
      <c r="ZF78" s="261"/>
      <c r="ZG78" s="261"/>
      <c r="ZH78" s="261"/>
      <c r="ZI78" s="261"/>
      <c r="ZJ78" s="261"/>
      <c r="ZK78" s="261"/>
      <c r="ZL78" s="261"/>
      <c r="ZM78" s="261"/>
      <c r="ZN78" s="261"/>
      <c r="ZO78" s="261"/>
      <c r="ZP78" s="261"/>
      <c r="ZQ78" s="261"/>
      <c r="ZR78" s="261"/>
      <c r="ZS78" s="261"/>
      <c r="ZT78" s="261"/>
      <c r="ZU78" s="261"/>
      <c r="ZV78" s="261"/>
      <c r="ZW78" s="261"/>
      <c r="ZX78" s="261"/>
      <c r="ZY78" s="261"/>
      <c r="ZZ78" s="261"/>
      <c r="AAA78" s="261"/>
      <c r="AAB78" s="261"/>
      <c r="AAC78" s="261"/>
      <c r="AAD78" s="261"/>
      <c r="AAE78" s="261"/>
      <c r="AAF78" s="261"/>
      <c r="AAG78" s="261"/>
      <c r="AAH78" s="261"/>
      <c r="AAI78" s="261"/>
      <c r="AAJ78" s="261"/>
      <c r="AAK78" s="261"/>
      <c r="AAL78" s="261"/>
      <c r="AAM78" s="261"/>
      <c r="AAN78" s="261"/>
      <c r="AAO78" s="261"/>
      <c r="AAP78" s="261"/>
      <c r="AAQ78" s="261"/>
      <c r="AAR78" s="261"/>
      <c r="AAS78" s="261"/>
      <c r="AAT78" s="261"/>
      <c r="AAU78" s="261"/>
      <c r="AAV78" s="261"/>
      <c r="AAW78" s="261"/>
      <c r="AAX78" s="261"/>
      <c r="AAY78" s="261"/>
      <c r="AAZ78" s="261"/>
      <c r="ABA78" s="261"/>
      <c r="ABB78" s="261"/>
      <c r="ABC78" s="261"/>
      <c r="ABD78" s="261"/>
      <c r="ABE78" s="261"/>
      <c r="ABF78" s="261"/>
      <c r="ABG78" s="261"/>
      <c r="ABH78" s="261"/>
      <c r="ABI78" s="261"/>
      <c r="ABJ78" s="261"/>
      <c r="ABK78" s="261"/>
      <c r="ABL78" s="261"/>
      <c r="ABM78" s="261"/>
      <c r="ABN78" s="261"/>
      <c r="ABO78" s="261"/>
      <c r="ABP78" s="261"/>
      <c r="ABQ78" s="261"/>
      <c r="ABR78" s="261"/>
      <c r="ABS78" s="261"/>
      <c r="ABT78" s="261"/>
      <c r="ABU78" s="261"/>
      <c r="ABV78" s="261"/>
      <c r="ABW78" s="261"/>
      <c r="ABX78" s="261"/>
      <c r="ABY78" s="261"/>
      <c r="ABZ78" s="261"/>
      <c r="ACA78" s="261"/>
      <c r="ACB78" s="261"/>
      <c r="ACC78" s="261"/>
      <c r="ACD78" s="261"/>
      <c r="ACE78" s="261"/>
      <c r="ACF78" s="261"/>
      <c r="ACG78" s="261"/>
      <c r="ACH78" s="261"/>
      <c r="ACI78" s="261"/>
      <c r="ACJ78" s="261"/>
      <c r="ACK78" s="261"/>
      <c r="ACL78" s="261"/>
      <c r="ACM78" s="261"/>
      <c r="ACN78" s="261"/>
      <c r="ACO78" s="261"/>
      <c r="ACP78" s="261"/>
      <c r="ACQ78" s="261"/>
      <c r="ACR78" s="261"/>
      <c r="ACS78" s="261"/>
      <c r="ACT78" s="261"/>
      <c r="ACU78" s="261"/>
      <c r="ACV78" s="261"/>
      <c r="ACW78" s="261"/>
      <c r="ACX78" s="261"/>
      <c r="ACY78" s="261"/>
      <c r="ACZ78" s="261"/>
      <c r="ADA78" s="261"/>
      <c r="ADB78" s="261"/>
      <c r="ADC78" s="261"/>
      <c r="ADD78" s="261"/>
      <c r="ADE78" s="261"/>
      <c r="ADF78" s="261"/>
      <c r="ADG78" s="261"/>
      <c r="ADH78" s="261"/>
      <c r="ADI78" s="261"/>
      <c r="ADJ78" s="261"/>
      <c r="ADK78" s="261"/>
      <c r="ADL78" s="261"/>
      <c r="ADM78" s="261"/>
      <c r="ADN78" s="261"/>
      <c r="ADO78" s="261"/>
      <c r="ADP78" s="261"/>
      <c r="ADQ78" s="261"/>
      <c r="ADR78" s="261"/>
      <c r="ADS78" s="261"/>
      <c r="ADT78" s="261"/>
      <c r="ADU78" s="261"/>
      <c r="ADV78" s="261"/>
      <c r="ADW78" s="261"/>
      <c r="ADX78" s="261"/>
      <c r="ADY78" s="261"/>
      <c r="ADZ78" s="261"/>
      <c r="AEA78" s="261"/>
      <c r="AEB78" s="261"/>
      <c r="AEC78" s="261"/>
      <c r="AED78" s="261"/>
      <c r="AEE78" s="261"/>
      <c r="AEF78" s="261"/>
      <c r="AEG78" s="261"/>
      <c r="AEH78" s="261"/>
      <c r="AEI78" s="261"/>
      <c r="AEJ78" s="261"/>
      <c r="AEK78" s="261"/>
      <c r="AEL78" s="261"/>
      <c r="AEM78" s="261"/>
      <c r="AEN78" s="261"/>
      <c r="AEO78" s="261"/>
      <c r="AEP78" s="261"/>
      <c r="AEQ78" s="261"/>
      <c r="AER78" s="261"/>
      <c r="AES78" s="261"/>
      <c r="AET78" s="261"/>
      <c r="AEU78" s="261"/>
      <c r="AEV78" s="261"/>
      <c r="AEW78" s="261"/>
      <c r="AEX78" s="261"/>
      <c r="AEY78" s="261"/>
      <c r="AEZ78" s="261"/>
      <c r="AFA78" s="261"/>
      <c r="AFB78" s="261"/>
      <c r="AFC78" s="261"/>
      <c r="AFD78" s="261"/>
      <c r="AFE78" s="261"/>
      <c r="AFF78" s="261"/>
      <c r="AFG78" s="261"/>
      <c r="AFH78" s="261"/>
      <c r="AFI78" s="261"/>
      <c r="AFJ78" s="261"/>
      <c r="AFK78" s="261"/>
      <c r="AFL78" s="261"/>
      <c r="AFM78" s="261"/>
      <c r="AFN78" s="261"/>
      <c r="AFO78" s="261"/>
      <c r="AFP78" s="261"/>
      <c r="AFQ78" s="261"/>
      <c r="AFR78" s="261"/>
      <c r="AFS78" s="261"/>
      <c r="AFT78" s="261"/>
      <c r="AFU78" s="261"/>
      <c r="AFV78" s="261"/>
      <c r="AFW78" s="261"/>
      <c r="AFX78" s="261"/>
      <c r="AFY78" s="261"/>
      <c r="AFZ78" s="261"/>
      <c r="AGA78" s="261"/>
      <c r="AGB78" s="261"/>
      <c r="AGC78" s="261"/>
      <c r="AGD78" s="261"/>
      <c r="AGE78" s="261"/>
      <c r="AGF78" s="261"/>
      <c r="AGG78" s="261"/>
      <c r="AGH78" s="261"/>
      <c r="AGI78" s="261"/>
      <c r="AGJ78" s="261"/>
      <c r="AGK78" s="261"/>
      <c r="AGL78" s="261"/>
      <c r="AGM78" s="261"/>
      <c r="AGN78" s="261"/>
      <c r="AGO78" s="261"/>
      <c r="AGP78" s="261"/>
      <c r="AGQ78" s="261"/>
      <c r="AGR78" s="261"/>
      <c r="AGS78" s="261"/>
      <c r="AGT78" s="261"/>
      <c r="AGU78" s="261"/>
      <c r="AGV78" s="261"/>
      <c r="AGW78" s="261"/>
      <c r="AGX78" s="261"/>
      <c r="AGY78" s="261"/>
      <c r="AGZ78" s="261"/>
      <c r="AHA78" s="261"/>
      <c r="AHB78" s="261"/>
      <c r="AHC78" s="261"/>
      <c r="AHD78" s="261"/>
      <c r="AHE78" s="261"/>
      <c r="AHF78" s="261"/>
      <c r="AHG78" s="261"/>
      <c r="AHH78" s="261"/>
      <c r="AHI78" s="261"/>
      <c r="AHJ78" s="261"/>
      <c r="AHK78" s="261"/>
      <c r="AHL78" s="261"/>
      <c r="AHM78" s="261"/>
      <c r="AHN78" s="261"/>
      <c r="AHO78" s="261"/>
      <c r="AHP78" s="261"/>
      <c r="AHQ78" s="261"/>
      <c r="AHR78" s="261"/>
      <c r="AHS78" s="261"/>
      <c r="AHT78" s="261"/>
      <c r="AHU78" s="261"/>
      <c r="AHV78" s="261"/>
      <c r="AHW78" s="261"/>
      <c r="AHX78" s="261"/>
      <c r="AHY78" s="261"/>
      <c r="AHZ78" s="261"/>
      <c r="AIA78" s="261"/>
      <c r="AIB78" s="261"/>
      <c r="AIC78" s="261"/>
      <c r="AID78" s="261"/>
      <c r="AIE78" s="261"/>
      <c r="AIF78" s="261"/>
      <c r="AIG78" s="261"/>
      <c r="AIH78" s="261"/>
      <c r="AII78" s="261"/>
      <c r="AIJ78" s="261"/>
      <c r="AIK78" s="261"/>
      <c r="AIL78" s="261"/>
      <c r="AIM78" s="261"/>
      <c r="AIN78" s="261"/>
      <c r="AIO78" s="261"/>
      <c r="AIP78" s="261"/>
      <c r="AIQ78" s="261"/>
      <c r="AIR78" s="261"/>
      <c r="AIS78" s="261"/>
      <c r="AIT78" s="261"/>
      <c r="AIU78" s="261"/>
      <c r="AIV78" s="261"/>
      <c r="AIW78" s="261"/>
      <c r="AIX78" s="261"/>
      <c r="AIY78" s="261"/>
      <c r="AIZ78" s="261"/>
      <c r="AJA78" s="261"/>
      <c r="AJB78" s="261"/>
      <c r="AJC78" s="261"/>
      <c r="AJD78" s="261"/>
      <c r="AJE78" s="261"/>
      <c r="AJF78" s="261"/>
      <c r="AJG78" s="261"/>
      <c r="AJH78" s="261"/>
      <c r="AJI78" s="261"/>
      <c r="AJJ78" s="261"/>
      <c r="AJK78" s="261"/>
      <c r="AJL78" s="261"/>
      <c r="AJM78" s="261"/>
      <c r="AJN78" s="261"/>
      <c r="AJO78" s="261"/>
      <c r="AJP78" s="261"/>
      <c r="AJQ78" s="261"/>
      <c r="AJR78" s="261"/>
      <c r="AJS78" s="261"/>
      <c r="AJT78" s="261"/>
      <c r="AJU78" s="261"/>
      <c r="AJV78" s="261"/>
      <c r="AJW78" s="261"/>
      <c r="AJX78" s="261"/>
      <c r="AJY78" s="261"/>
      <c r="AJZ78" s="261"/>
      <c r="AKA78" s="261"/>
      <c r="AKB78" s="261"/>
      <c r="AKC78" s="261"/>
      <c r="AKD78" s="261"/>
      <c r="AKE78" s="261"/>
      <c r="AKF78" s="261"/>
      <c r="AKG78" s="261"/>
      <c r="AKH78" s="261"/>
      <c r="AKI78" s="261"/>
      <c r="AKJ78" s="261"/>
      <c r="AKK78" s="261"/>
      <c r="AKL78" s="261"/>
      <c r="AKM78" s="261"/>
      <c r="AKN78" s="261"/>
      <c r="AKO78" s="261"/>
      <c r="AKP78" s="261"/>
      <c r="AKQ78" s="261"/>
      <c r="AKR78" s="261"/>
      <c r="AKS78" s="261"/>
      <c r="AKT78" s="261"/>
      <c r="AKU78" s="261"/>
      <c r="AKV78" s="261"/>
      <c r="AKW78" s="261"/>
      <c r="AKX78" s="261"/>
      <c r="AKY78" s="261"/>
      <c r="AKZ78" s="261"/>
      <c r="ALA78" s="261"/>
      <c r="ALB78" s="261"/>
      <c r="ALC78" s="261"/>
      <c r="ALD78" s="261"/>
      <c r="ALE78" s="261"/>
      <c r="ALF78" s="261"/>
      <c r="ALG78" s="261"/>
      <c r="ALH78" s="261"/>
      <c r="ALI78" s="261"/>
      <c r="ALJ78" s="261"/>
      <c r="ALK78" s="261"/>
      <c r="ALL78" s="261"/>
      <c r="ALM78" s="261"/>
      <c r="ALN78" s="261"/>
      <c r="ALO78" s="261"/>
      <c r="ALP78" s="261"/>
      <c r="ALQ78" s="261"/>
      <c r="ALR78" s="261"/>
      <c r="ALS78" s="261"/>
      <c r="ALT78" s="261"/>
      <c r="ALU78" s="261"/>
      <c r="ALV78" s="261"/>
      <c r="ALW78" s="261"/>
      <c r="ALX78" s="261"/>
      <c r="ALY78" s="261"/>
      <c r="ALZ78" s="261"/>
      <c r="AMA78" s="261"/>
      <c r="AMB78" s="261"/>
      <c r="AMC78" s="261"/>
      <c r="AMD78" s="261"/>
      <c r="AME78" s="261"/>
      <c r="AMF78" s="261"/>
      <c r="AMG78" s="261"/>
      <c r="AMH78" s="261"/>
      <c r="AMI78" s="261"/>
      <c r="AMJ78" s="261"/>
    </row>
    <row r="79" spans="12:1024" ht="15.95" customHeight="1">
      <c r="L79" s="261"/>
      <c r="M79" s="296"/>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1"/>
      <c r="AY79" s="261"/>
      <c r="AZ79" s="261"/>
      <c r="BA79" s="261"/>
      <c r="BB79" s="261"/>
      <c r="BC79" s="261"/>
      <c r="BD79" s="261"/>
      <c r="BE79" s="261"/>
      <c r="BF79" s="261"/>
      <c r="BG79" s="261"/>
      <c r="BH79" s="261"/>
      <c r="BI79" s="261"/>
      <c r="BJ79" s="261"/>
      <c r="BK79" s="261"/>
      <c r="BL79" s="261"/>
      <c r="BM79" s="261"/>
      <c r="BN79" s="261"/>
      <c r="BO79" s="261"/>
      <c r="BP79" s="261"/>
      <c r="BQ79" s="261"/>
      <c r="BR79" s="261"/>
      <c r="BS79" s="261"/>
      <c r="BT79" s="261"/>
      <c r="BU79" s="261"/>
      <c r="BV79" s="261"/>
      <c r="BW79" s="261"/>
      <c r="BX79" s="261"/>
      <c r="BY79" s="261"/>
      <c r="BZ79" s="261"/>
      <c r="CA79" s="261"/>
      <c r="CB79" s="261"/>
      <c r="CC79" s="261"/>
      <c r="CD79" s="261"/>
      <c r="CE79" s="261"/>
      <c r="CF79" s="261"/>
      <c r="CG79" s="261"/>
      <c r="CH79" s="261"/>
      <c r="CI79" s="261"/>
      <c r="CJ79" s="261"/>
      <c r="CK79" s="261"/>
      <c r="CL79" s="261"/>
      <c r="CM79" s="261"/>
      <c r="CN79" s="261"/>
      <c r="CO79" s="261"/>
      <c r="CP79" s="261"/>
      <c r="CQ79" s="261"/>
      <c r="CR79" s="261"/>
      <c r="CS79" s="261"/>
      <c r="CT79" s="261"/>
      <c r="CU79" s="261"/>
      <c r="CV79" s="261"/>
      <c r="CW79" s="261"/>
      <c r="CX79" s="261"/>
      <c r="CY79" s="261"/>
      <c r="CZ79" s="261"/>
      <c r="DA79" s="261"/>
      <c r="DB79" s="261"/>
      <c r="DC79" s="261"/>
      <c r="DD79" s="261"/>
      <c r="DE79" s="261"/>
      <c r="DF79" s="261"/>
      <c r="DG79" s="261"/>
      <c r="DH79" s="261"/>
      <c r="DI79" s="261"/>
      <c r="DJ79" s="261"/>
      <c r="DK79" s="261"/>
      <c r="DL79" s="261"/>
      <c r="DM79" s="261"/>
      <c r="DN79" s="261"/>
      <c r="DO79" s="261"/>
      <c r="DP79" s="261"/>
      <c r="DQ79" s="261"/>
      <c r="DR79" s="261"/>
      <c r="DS79" s="261"/>
      <c r="DT79" s="261"/>
      <c r="DU79" s="261"/>
      <c r="DV79" s="261"/>
      <c r="DW79" s="261"/>
      <c r="DX79" s="261"/>
      <c r="DY79" s="261"/>
      <c r="DZ79" s="261"/>
      <c r="EA79" s="261"/>
      <c r="EB79" s="261"/>
      <c r="EC79" s="261"/>
      <c r="ED79" s="261"/>
      <c r="EE79" s="261"/>
      <c r="EF79" s="261"/>
      <c r="EG79" s="261"/>
      <c r="EH79" s="261"/>
      <c r="EI79" s="261"/>
      <c r="EJ79" s="261"/>
      <c r="EK79" s="261"/>
      <c r="EL79" s="261"/>
      <c r="EM79" s="261"/>
      <c r="EN79" s="261"/>
      <c r="EO79" s="261"/>
      <c r="EP79" s="261"/>
      <c r="EQ79" s="261"/>
      <c r="ER79" s="261"/>
      <c r="ES79" s="261"/>
      <c r="ET79" s="261"/>
      <c r="EU79" s="261"/>
      <c r="EV79" s="261"/>
      <c r="EW79" s="261"/>
      <c r="EX79" s="261"/>
      <c r="EY79" s="261"/>
      <c r="EZ79" s="261"/>
      <c r="FA79" s="261"/>
      <c r="FB79" s="261"/>
      <c r="FC79" s="261"/>
      <c r="FD79" s="261"/>
      <c r="FE79" s="261"/>
      <c r="FF79" s="261"/>
      <c r="FG79" s="261"/>
      <c r="FH79" s="261"/>
      <c r="FI79" s="261"/>
      <c r="FJ79" s="261"/>
      <c r="FK79" s="261"/>
      <c r="FL79" s="261"/>
      <c r="FM79" s="261"/>
      <c r="FN79" s="261"/>
      <c r="FO79" s="261"/>
      <c r="FP79" s="261"/>
      <c r="FQ79" s="261"/>
      <c r="FR79" s="261"/>
      <c r="FS79" s="261"/>
      <c r="FT79" s="261"/>
      <c r="FU79" s="261"/>
      <c r="FV79" s="261"/>
      <c r="FW79" s="261"/>
      <c r="FX79" s="261"/>
      <c r="FY79" s="261"/>
      <c r="FZ79" s="261"/>
      <c r="GA79" s="261"/>
      <c r="GB79" s="261"/>
      <c r="GC79" s="261"/>
      <c r="GD79" s="261"/>
      <c r="GE79" s="261"/>
      <c r="GF79" s="261"/>
      <c r="GG79" s="261"/>
      <c r="GH79" s="261"/>
      <c r="GI79" s="261"/>
      <c r="GJ79" s="261"/>
      <c r="GK79" s="261"/>
      <c r="GL79" s="261"/>
      <c r="GM79" s="261"/>
      <c r="GN79" s="261"/>
      <c r="GO79" s="261"/>
      <c r="GP79" s="261"/>
      <c r="GQ79" s="261"/>
      <c r="GR79" s="261"/>
      <c r="GS79" s="261"/>
      <c r="GT79" s="261"/>
      <c r="GU79" s="261"/>
      <c r="GV79" s="261"/>
      <c r="GW79" s="261"/>
      <c r="GX79" s="261"/>
      <c r="GY79" s="261"/>
      <c r="GZ79" s="261"/>
      <c r="HA79" s="261"/>
      <c r="HB79" s="261"/>
      <c r="HC79" s="261"/>
      <c r="HD79" s="261"/>
      <c r="HE79" s="261"/>
      <c r="HF79" s="261"/>
      <c r="HG79" s="261"/>
      <c r="HH79" s="261"/>
      <c r="HI79" s="261"/>
      <c r="HJ79" s="261"/>
      <c r="HK79" s="261"/>
      <c r="HL79" s="261"/>
      <c r="HM79" s="261"/>
      <c r="HN79" s="261"/>
      <c r="HO79" s="261"/>
      <c r="HP79" s="261"/>
      <c r="HQ79" s="261"/>
      <c r="HR79" s="261"/>
      <c r="HS79" s="261"/>
      <c r="HT79" s="261"/>
      <c r="HU79" s="261"/>
      <c r="HV79" s="261"/>
      <c r="HW79" s="261"/>
      <c r="HX79" s="261"/>
      <c r="HY79" s="261"/>
      <c r="HZ79" s="261"/>
      <c r="IA79" s="261"/>
      <c r="IB79" s="261"/>
      <c r="IC79" s="261"/>
      <c r="ID79" s="261"/>
      <c r="IE79" s="261"/>
      <c r="IF79" s="261"/>
      <c r="IG79" s="261"/>
      <c r="IH79" s="261"/>
      <c r="II79" s="261"/>
      <c r="IJ79" s="261"/>
      <c r="IK79" s="261"/>
      <c r="IL79" s="261"/>
      <c r="IM79" s="261"/>
      <c r="IN79" s="261"/>
      <c r="IO79" s="261"/>
      <c r="IP79" s="261"/>
      <c r="IQ79" s="261"/>
      <c r="IR79" s="261"/>
      <c r="IS79" s="261"/>
      <c r="IT79" s="261"/>
      <c r="IU79" s="261"/>
      <c r="IV79" s="261"/>
      <c r="IW79" s="261"/>
      <c r="IX79" s="261"/>
      <c r="IY79" s="261"/>
      <c r="IZ79" s="261"/>
      <c r="JA79" s="261"/>
      <c r="JB79" s="261"/>
      <c r="JC79" s="261"/>
      <c r="JD79" s="261"/>
      <c r="JE79" s="261"/>
      <c r="JF79" s="261"/>
      <c r="JG79" s="261"/>
      <c r="JH79" s="261"/>
      <c r="JI79" s="261"/>
      <c r="JJ79" s="261"/>
      <c r="JK79" s="261"/>
      <c r="JL79" s="261"/>
      <c r="JM79" s="261"/>
      <c r="JN79" s="261"/>
      <c r="JO79" s="261"/>
      <c r="JP79" s="261"/>
      <c r="JQ79" s="261"/>
      <c r="JR79" s="261"/>
      <c r="JS79" s="261"/>
      <c r="JT79" s="261"/>
      <c r="JU79" s="261"/>
      <c r="JV79" s="261"/>
      <c r="JW79" s="261"/>
      <c r="JX79" s="261"/>
      <c r="JY79" s="261"/>
      <c r="JZ79" s="261"/>
      <c r="KA79" s="261"/>
      <c r="KB79" s="261"/>
      <c r="KC79" s="261"/>
      <c r="KD79" s="261"/>
      <c r="KE79" s="261"/>
      <c r="KF79" s="261"/>
      <c r="KG79" s="261"/>
      <c r="KH79" s="261"/>
      <c r="KI79" s="261"/>
      <c r="KJ79" s="261"/>
      <c r="KK79" s="261"/>
      <c r="KL79" s="261"/>
      <c r="KM79" s="261"/>
      <c r="KN79" s="261"/>
      <c r="KO79" s="261"/>
      <c r="KP79" s="261"/>
      <c r="KQ79" s="261"/>
      <c r="KR79" s="261"/>
      <c r="KS79" s="261"/>
      <c r="KT79" s="261"/>
      <c r="KU79" s="261"/>
      <c r="KV79" s="261"/>
      <c r="KW79" s="261"/>
      <c r="KX79" s="261"/>
      <c r="KY79" s="261"/>
      <c r="KZ79" s="261"/>
      <c r="LA79" s="261"/>
      <c r="LB79" s="261"/>
      <c r="LC79" s="261"/>
      <c r="LD79" s="261"/>
      <c r="LE79" s="261"/>
      <c r="LF79" s="261"/>
      <c r="LG79" s="261"/>
      <c r="LH79" s="261"/>
      <c r="LI79" s="261"/>
      <c r="LJ79" s="261"/>
      <c r="LK79" s="261"/>
      <c r="LL79" s="261"/>
      <c r="LM79" s="261"/>
      <c r="LN79" s="261"/>
      <c r="LO79" s="261"/>
      <c r="LP79" s="261"/>
      <c r="LQ79" s="261"/>
      <c r="LR79" s="261"/>
      <c r="LS79" s="261"/>
      <c r="LT79" s="261"/>
      <c r="LU79" s="261"/>
      <c r="LV79" s="261"/>
      <c r="LW79" s="261"/>
      <c r="LX79" s="261"/>
      <c r="LY79" s="261"/>
      <c r="LZ79" s="261"/>
      <c r="MA79" s="261"/>
      <c r="MB79" s="261"/>
      <c r="MC79" s="261"/>
      <c r="MD79" s="261"/>
      <c r="ME79" s="261"/>
      <c r="MF79" s="261"/>
      <c r="MG79" s="261"/>
      <c r="MH79" s="261"/>
      <c r="MI79" s="261"/>
      <c r="MJ79" s="261"/>
      <c r="MK79" s="261"/>
      <c r="ML79" s="261"/>
      <c r="MM79" s="261"/>
      <c r="MN79" s="261"/>
      <c r="MO79" s="261"/>
      <c r="MP79" s="261"/>
      <c r="MQ79" s="261"/>
      <c r="MR79" s="261"/>
      <c r="MS79" s="261"/>
      <c r="MT79" s="261"/>
      <c r="MU79" s="261"/>
      <c r="MV79" s="261"/>
      <c r="MW79" s="261"/>
      <c r="MX79" s="261"/>
      <c r="MY79" s="261"/>
      <c r="MZ79" s="261"/>
      <c r="NA79" s="261"/>
      <c r="NB79" s="261"/>
      <c r="NC79" s="261"/>
      <c r="ND79" s="261"/>
      <c r="NE79" s="261"/>
      <c r="NF79" s="261"/>
      <c r="NG79" s="261"/>
      <c r="NH79" s="261"/>
      <c r="NI79" s="261"/>
      <c r="NJ79" s="261"/>
      <c r="NK79" s="261"/>
      <c r="NL79" s="261"/>
      <c r="NM79" s="261"/>
      <c r="NN79" s="261"/>
      <c r="NO79" s="261"/>
      <c r="NP79" s="261"/>
      <c r="NQ79" s="261"/>
      <c r="NR79" s="261"/>
      <c r="NS79" s="261"/>
      <c r="NT79" s="261"/>
      <c r="NU79" s="261"/>
      <c r="NV79" s="261"/>
      <c r="NW79" s="261"/>
      <c r="NX79" s="261"/>
      <c r="NY79" s="261"/>
      <c r="NZ79" s="261"/>
      <c r="OA79" s="261"/>
      <c r="OB79" s="261"/>
      <c r="OC79" s="261"/>
      <c r="OD79" s="261"/>
      <c r="OE79" s="261"/>
      <c r="OF79" s="261"/>
      <c r="OG79" s="261"/>
      <c r="OH79" s="261"/>
      <c r="OI79" s="261"/>
      <c r="OJ79" s="261"/>
      <c r="OK79" s="261"/>
      <c r="OL79" s="261"/>
      <c r="OM79" s="261"/>
      <c r="ON79" s="261"/>
      <c r="OO79" s="261"/>
      <c r="OP79" s="261"/>
      <c r="OQ79" s="261"/>
      <c r="OR79" s="261"/>
      <c r="OS79" s="261"/>
      <c r="OT79" s="261"/>
      <c r="OU79" s="261"/>
      <c r="OV79" s="261"/>
      <c r="OW79" s="261"/>
      <c r="OX79" s="261"/>
      <c r="OY79" s="261"/>
      <c r="OZ79" s="261"/>
      <c r="PA79" s="261"/>
      <c r="PB79" s="261"/>
      <c r="PC79" s="261"/>
      <c r="PD79" s="261"/>
      <c r="PE79" s="261"/>
      <c r="PF79" s="261"/>
      <c r="PG79" s="261"/>
      <c r="PH79" s="261"/>
      <c r="PI79" s="261"/>
      <c r="PJ79" s="261"/>
      <c r="PK79" s="261"/>
      <c r="PL79" s="261"/>
      <c r="PM79" s="261"/>
      <c r="PN79" s="261"/>
      <c r="PO79" s="261"/>
      <c r="PP79" s="261"/>
      <c r="PQ79" s="261"/>
      <c r="PR79" s="261"/>
      <c r="PS79" s="261"/>
      <c r="PT79" s="261"/>
      <c r="PU79" s="261"/>
      <c r="PV79" s="261"/>
      <c r="PW79" s="261"/>
      <c r="PX79" s="261"/>
      <c r="PY79" s="261"/>
      <c r="PZ79" s="261"/>
      <c r="QA79" s="261"/>
      <c r="QB79" s="261"/>
      <c r="QC79" s="261"/>
      <c r="QD79" s="261"/>
      <c r="QE79" s="261"/>
      <c r="QF79" s="261"/>
      <c r="QG79" s="261"/>
      <c r="QH79" s="261"/>
      <c r="QI79" s="261"/>
      <c r="QJ79" s="261"/>
      <c r="QK79" s="261"/>
      <c r="QL79" s="261"/>
      <c r="QM79" s="261"/>
      <c r="QN79" s="261"/>
      <c r="QO79" s="261"/>
      <c r="QP79" s="261"/>
      <c r="QQ79" s="261"/>
      <c r="QR79" s="261"/>
      <c r="QS79" s="261"/>
      <c r="QT79" s="261"/>
      <c r="QU79" s="261"/>
      <c r="QV79" s="261"/>
      <c r="QW79" s="261"/>
      <c r="QX79" s="261"/>
      <c r="QY79" s="261"/>
      <c r="QZ79" s="261"/>
      <c r="RA79" s="261"/>
      <c r="RB79" s="261"/>
      <c r="RC79" s="261"/>
      <c r="RD79" s="261"/>
      <c r="RE79" s="261"/>
      <c r="RF79" s="261"/>
      <c r="RG79" s="261"/>
      <c r="RH79" s="261"/>
      <c r="RI79" s="261"/>
      <c r="RJ79" s="261"/>
      <c r="RK79" s="261"/>
      <c r="RL79" s="261"/>
      <c r="RM79" s="261"/>
      <c r="RN79" s="261"/>
      <c r="RO79" s="261"/>
      <c r="RP79" s="261"/>
      <c r="RQ79" s="261"/>
      <c r="RR79" s="261"/>
      <c r="RS79" s="261"/>
      <c r="RT79" s="261"/>
      <c r="RU79" s="261"/>
      <c r="RV79" s="261"/>
      <c r="RW79" s="261"/>
      <c r="RX79" s="261"/>
      <c r="RY79" s="261"/>
      <c r="RZ79" s="261"/>
      <c r="SA79" s="261"/>
      <c r="SB79" s="261"/>
      <c r="SC79" s="261"/>
      <c r="SD79" s="261"/>
      <c r="SE79" s="261"/>
      <c r="SF79" s="261"/>
      <c r="SG79" s="261"/>
      <c r="SH79" s="261"/>
      <c r="SI79" s="261"/>
      <c r="SJ79" s="261"/>
      <c r="SK79" s="261"/>
      <c r="SL79" s="261"/>
      <c r="SM79" s="261"/>
      <c r="SN79" s="261"/>
      <c r="SO79" s="261"/>
      <c r="SP79" s="261"/>
      <c r="SQ79" s="261"/>
      <c r="SR79" s="261"/>
      <c r="SS79" s="261"/>
      <c r="ST79" s="261"/>
      <c r="SU79" s="261"/>
      <c r="SV79" s="261"/>
      <c r="SW79" s="261"/>
      <c r="SX79" s="261"/>
      <c r="SY79" s="261"/>
      <c r="SZ79" s="261"/>
      <c r="TA79" s="261"/>
      <c r="TB79" s="261"/>
      <c r="TC79" s="261"/>
      <c r="TD79" s="261"/>
      <c r="TE79" s="261"/>
      <c r="TF79" s="261"/>
      <c r="TG79" s="261"/>
      <c r="TH79" s="261"/>
      <c r="TI79" s="261"/>
      <c r="TJ79" s="261"/>
      <c r="TK79" s="261"/>
      <c r="TL79" s="261"/>
      <c r="TM79" s="261"/>
      <c r="TN79" s="261"/>
      <c r="TO79" s="261"/>
      <c r="TP79" s="261"/>
      <c r="TQ79" s="261"/>
      <c r="TR79" s="261"/>
      <c r="TS79" s="261"/>
      <c r="TT79" s="261"/>
      <c r="TU79" s="261"/>
      <c r="TV79" s="261"/>
      <c r="TW79" s="261"/>
      <c r="TX79" s="261"/>
      <c r="TY79" s="261"/>
      <c r="TZ79" s="261"/>
      <c r="UA79" s="261"/>
      <c r="UB79" s="261"/>
      <c r="UC79" s="261"/>
      <c r="UD79" s="261"/>
      <c r="UE79" s="261"/>
      <c r="UF79" s="261"/>
      <c r="UG79" s="261"/>
      <c r="UH79" s="261"/>
      <c r="UI79" s="261"/>
      <c r="UJ79" s="261"/>
      <c r="UK79" s="261"/>
      <c r="UL79" s="261"/>
      <c r="UM79" s="261"/>
      <c r="UN79" s="261"/>
      <c r="UO79" s="261"/>
      <c r="UP79" s="261"/>
      <c r="UQ79" s="261"/>
      <c r="UR79" s="261"/>
      <c r="US79" s="261"/>
      <c r="UT79" s="261"/>
      <c r="UU79" s="261"/>
      <c r="UV79" s="261"/>
      <c r="UW79" s="261"/>
      <c r="UX79" s="261"/>
      <c r="UY79" s="261"/>
      <c r="UZ79" s="261"/>
      <c r="VA79" s="261"/>
      <c r="VB79" s="261"/>
      <c r="VC79" s="261"/>
      <c r="VD79" s="261"/>
      <c r="VE79" s="261"/>
      <c r="VF79" s="261"/>
      <c r="VG79" s="261"/>
      <c r="VH79" s="261"/>
      <c r="VI79" s="261"/>
      <c r="VJ79" s="261"/>
      <c r="VK79" s="261"/>
      <c r="VL79" s="261"/>
      <c r="VM79" s="261"/>
      <c r="VN79" s="261"/>
      <c r="VO79" s="261"/>
      <c r="VP79" s="261"/>
      <c r="VQ79" s="261"/>
      <c r="VR79" s="261"/>
      <c r="VS79" s="261"/>
      <c r="VT79" s="261"/>
      <c r="VU79" s="261"/>
      <c r="VV79" s="261"/>
      <c r="VW79" s="261"/>
      <c r="VX79" s="261"/>
      <c r="VY79" s="261"/>
      <c r="VZ79" s="261"/>
      <c r="WA79" s="261"/>
      <c r="WB79" s="261"/>
      <c r="WC79" s="261"/>
      <c r="WD79" s="261"/>
      <c r="WE79" s="261"/>
      <c r="WF79" s="261"/>
      <c r="WG79" s="261"/>
      <c r="WH79" s="261"/>
      <c r="WI79" s="261"/>
      <c r="WJ79" s="261"/>
      <c r="WK79" s="261"/>
      <c r="WL79" s="261"/>
      <c r="WM79" s="261"/>
      <c r="WN79" s="261"/>
      <c r="WO79" s="261"/>
      <c r="WP79" s="261"/>
      <c r="WQ79" s="261"/>
      <c r="WR79" s="261"/>
      <c r="WS79" s="261"/>
      <c r="WT79" s="261"/>
      <c r="WU79" s="261"/>
      <c r="WV79" s="261"/>
      <c r="WW79" s="261"/>
      <c r="WX79" s="261"/>
      <c r="WY79" s="261"/>
      <c r="WZ79" s="261"/>
      <c r="XA79" s="261"/>
      <c r="XB79" s="261"/>
      <c r="XC79" s="261"/>
      <c r="XD79" s="261"/>
      <c r="XE79" s="261"/>
      <c r="XF79" s="261"/>
      <c r="XG79" s="261"/>
      <c r="XH79" s="261"/>
      <c r="XI79" s="261"/>
      <c r="XJ79" s="261"/>
      <c r="XK79" s="261"/>
      <c r="XL79" s="261"/>
      <c r="XM79" s="261"/>
      <c r="XN79" s="261"/>
      <c r="XO79" s="261"/>
      <c r="XP79" s="261"/>
      <c r="XQ79" s="261"/>
      <c r="XR79" s="261"/>
      <c r="XS79" s="261"/>
      <c r="XT79" s="261"/>
      <c r="XU79" s="261"/>
      <c r="XV79" s="261"/>
      <c r="XW79" s="261"/>
      <c r="XX79" s="261"/>
      <c r="XY79" s="261"/>
      <c r="XZ79" s="261"/>
      <c r="YA79" s="261"/>
      <c r="YB79" s="261"/>
      <c r="YC79" s="261"/>
      <c r="YD79" s="261"/>
      <c r="YE79" s="261"/>
      <c r="YF79" s="261"/>
      <c r="YG79" s="261"/>
      <c r="YH79" s="261"/>
      <c r="YI79" s="261"/>
      <c r="YJ79" s="261"/>
      <c r="YK79" s="261"/>
      <c r="YL79" s="261"/>
      <c r="YM79" s="261"/>
      <c r="YN79" s="261"/>
      <c r="YO79" s="261"/>
      <c r="YP79" s="261"/>
      <c r="YQ79" s="261"/>
      <c r="YR79" s="261"/>
      <c r="YS79" s="261"/>
      <c r="YT79" s="261"/>
      <c r="YU79" s="261"/>
      <c r="YV79" s="261"/>
      <c r="YW79" s="261"/>
      <c r="YX79" s="261"/>
      <c r="YY79" s="261"/>
      <c r="YZ79" s="261"/>
      <c r="ZA79" s="261"/>
      <c r="ZB79" s="261"/>
      <c r="ZC79" s="261"/>
      <c r="ZD79" s="261"/>
      <c r="ZE79" s="261"/>
      <c r="ZF79" s="261"/>
      <c r="ZG79" s="261"/>
      <c r="ZH79" s="261"/>
      <c r="ZI79" s="261"/>
      <c r="ZJ79" s="261"/>
      <c r="ZK79" s="261"/>
      <c r="ZL79" s="261"/>
      <c r="ZM79" s="261"/>
      <c r="ZN79" s="261"/>
      <c r="ZO79" s="261"/>
      <c r="ZP79" s="261"/>
      <c r="ZQ79" s="261"/>
      <c r="ZR79" s="261"/>
      <c r="ZS79" s="261"/>
      <c r="ZT79" s="261"/>
      <c r="ZU79" s="261"/>
      <c r="ZV79" s="261"/>
      <c r="ZW79" s="261"/>
      <c r="ZX79" s="261"/>
      <c r="ZY79" s="261"/>
      <c r="ZZ79" s="261"/>
      <c r="AAA79" s="261"/>
      <c r="AAB79" s="261"/>
      <c r="AAC79" s="261"/>
      <c r="AAD79" s="261"/>
      <c r="AAE79" s="261"/>
      <c r="AAF79" s="261"/>
      <c r="AAG79" s="261"/>
      <c r="AAH79" s="261"/>
      <c r="AAI79" s="261"/>
      <c r="AAJ79" s="261"/>
      <c r="AAK79" s="261"/>
      <c r="AAL79" s="261"/>
      <c r="AAM79" s="261"/>
      <c r="AAN79" s="261"/>
      <c r="AAO79" s="261"/>
      <c r="AAP79" s="261"/>
      <c r="AAQ79" s="261"/>
      <c r="AAR79" s="261"/>
      <c r="AAS79" s="261"/>
      <c r="AAT79" s="261"/>
      <c r="AAU79" s="261"/>
      <c r="AAV79" s="261"/>
      <c r="AAW79" s="261"/>
      <c r="AAX79" s="261"/>
      <c r="AAY79" s="261"/>
      <c r="AAZ79" s="261"/>
      <c r="ABA79" s="261"/>
      <c r="ABB79" s="261"/>
      <c r="ABC79" s="261"/>
      <c r="ABD79" s="261"/>
      <c r="ABE79" s="261"/>
      <c r="ABF79" s="261"/>
      <c r="ABG79" s="261"/>
      <c r="ABH79" s="261"/>
      <c r="ABI79" s="261"/>
      <c r="ABJ79" s="261"/>
      <c r="ABK79" s="261"/>
      <c r="ABL79" s="261"/>
      <c r="ABM79" s="261"/>
      <c r="ABN79" s="261"/>
      <c r="ABO79" s="261"/>
      <c r="ABP79" s="261"/>
      <c r="ABQ79" s="261"/>
      <c r="ABR79" s="261"/>
      <c r="ABS79" s="261"/>
      <c r="ABT79" s="261"/>
      <c r="ABU79" s="261"/>
      <c r="ABV79" s="261"/>
      <c r="ABW79" s="261"/>
      <c r="ABX79" s="261"/>
      <c r="ABY79" s="261"/>
      <c r="ABZ79" s="261"/>
      <c r="ACA79" s="261"/>
      <c r="ACB79" s="261"/>
      <c r="ACC79" s="261"/>
      <c r="ACD79" s="261"/>
      <c r="ACE79" s="261"/>
      <c r="ACF79" s="261"/>
      <c r="ACG79" s="261"/>
      <c r="ACH79" s="261"/>
      <c r="ACI79" s="261"/>
      <c r="ACJ79" s="261"/>
      <c r="ACK79" s="261"/>
      <c r="ACL79" s="261"/>
      <c r="ACM79" s="261"/>
      <c r="ACN79" s="261"/>
      <c r="ACO79" s="261"/>
      <c r="ACP79" s="261"/>
      <c r="ACQ79" s="261"/>
      <c r="ACR79" s="261"/>
      <c r="ACS79" s="261"/>
      <c r="ACT79" s="261"/>
      <c r="ACU79" s="261"/>
      <c r="ACV79" s="261"/>
      <c r="ACW79" s="261"/>
      <c r="ACX79" s="261"/>
      <c r="ACY79" s="261"/>
      <c r="ACZ79" s="261"/>
      <c r="ADA79" s="261"/>
      <c r="ADB79" s="261"/>
      <c r="ADC79" s="261"/>
      <c r="ADD79" s="261"/>
      <c r="ADE79" s="261"/>
      <c r="ADF79" s="261"/>
      <c r="ADG79" s="261"/>
      <c r="ADH79" s="261"/>
      <c r="ADI79" s="261"/>
      <c r="ADJ79" s="261"/>
      <c r="ADK79" s="261"/>
      <c r="ADL79" s="261"/>
      <c r="ADM79" s="261"/>
      <c r="ADN79" s="261"/>
      <c r="ADO79" s="261"/>
      <c r="ADP79" s="261"/>
      <c r="ADQ79" s="261"/>
      <c r="ADR79" s="261"/>
      <c r="ADS79" s="261"/>
      <c r="ADT79" s="261"/>
      <c r="ADU79" s="261"/>
      <c r="ADV79" s="261"/>
      <c r="ADW79" s="261"/>
      <c r="ADX79" s="261"/>
      <c r="ADY79" s="261"/>
      <c r="ADZ79" s="261"/>
      <c r="AEA79" s="261"/>
      <c r="AEB79" s="261"/>
      <c r="AEC79" s="261"/>
      <c r="AED79" s="261"/>
      <c r="AEE79" s="261"/>
      <c r="AEF79" s="261"/>
      <c r="AEG79" s="261"/>
      <c r="AEH79" s="261"/>
      <c r="AEI79" s="261"/>
      <c r="AEJ79" s="261"/>
      <c r="AEK79" s="261"/>
      <c r="AEL79" s="261"/>
      <c r="AEM79" s="261"/>
      <c r="AEN79" s="261"/>
      <c r="AEO79" s="261"/>
      <c r="AEP79" s="261"/>
      <c r="AEQ79" s="261"/>
      <c r="AER79" s="261"/>
      <c r="AES79" s="261"/>
      <c r="AET79" s="261"/>
      <c r="AEU79" s="261"/>
      <c r="AEV79" s="261"/>
      <c r="AEW79" s="261"/>
      <c r="AEX79" s="261"/>
      <c r="AEY79" s="261"/>
      <c r="AEZ79" s="261"/>
      <c r="AFA79" s="261"/>
      <c r="AFB79" s="261"/>
      <c r="AFC79" s="261"/>
      <c r="AFD79" s="261"/>
      <c r="AFE79" s="261"/>
      <c r="AFF79" s="261"/>
      <c r="AFG79" s="261"/>
      <c r="AFH79" s="261"/>
      <c r="AFI79" s="261"/>
      <c r="AFJ79" s="261"/>
      <c r="AFK79" s="261"/>
      <c r="AFL79" s="261"/>
      <c r="AFM79" s="261"/>
      <c r="AFN79" s="261"/>
      <c r="AFO79" s="261"/>
      <c r="AFP79" s="261"/>
      <c r="AFQ79" s="261"/>
      <c r="AFR79" s="261"/>
      <c r="AFS79" s="261"/>
      <c r="AFT79" s="261"/>
      <c r="AFU79" s="261"/>
      <c r="AFV79" s="261"/>
      <c r="AFW79" s="261"/>
      <c r="AFX79" s="261"/>
      <c r="AFY79" s="261"/>
      <c r="AFZ79" s="261"/>
      <c r="AGA79" s="261"/>
      <c r="AGB79" s="261"/>
      <c r="AGC79" s="261"/>
      <c r="AGD79" s="261"/>
      <c r="AGE79" s="261"/>
      <c r="AGF79" s="261"/>
      <c r="AGG79" s="261"/>
      <c r="AGH79" s="261"/>
      <c r="AGI79" s="261"/>
      <c r="AGJ79" s="261"/>
      <c r="AGK79" s="261"/>
      <c r="AGL79" s="261"/>
      <c r="AGM79" s="261"/>
      <c r="AGN79" s="261"/>
      <c r="AGO79" s="261"/>
      <c r="AGP79" s="261"/>
      <c r="AGQ79" s="261"/>
      <c r="AGR79" s="261"/>
      <c r="AGS79" s="261"/>
      <c r="AGT79" s="261"/>
      <c r="AGU79" s="261"/>
      <c r="AGV79" s="261"/>
      <c r="AGW79" s="261"/>
      <c r="AGX79" s="261"/>
      <c r="AGY79" s="261"/>
      <c r="AGZ79" s="261"/>
      <c r="AHA79" s="261"/>
      <c r="AHB79" s="261"/>
      <c r="AHC79" s="261"/>
      <c r="AHD79" s="261"/>
      <c r="AHE79" s="261"/>
      <c r="AHF79" s="261"/>
      <c r="AHG79" s="261"/>
      <c r="AHH79" s="261"/>
      <c r="AHI79" s="261"/>
      <c r="AHJ79" s="261"/>
      <c r="AHK79" s="261"/>
      <c r="AHL79" s="261"/>
      <c r="AHM79" s="261"/>
      <c r="AHN79" s="261"/>
      <c r="AHO79" s="261"/>
      <c r="AHP79" s="261"/>
      <c r="AHQ79" s="261"/>
      <c r="AHR79" s="261"/>
      <c r="AHS79" s="261"/>
      <c r="AHT79" s="261"/>
      <c r="AHU79" s="261"/>
      <c r="AHV79" s="261"/>
      <c r="AHW79" s="261"/>
      <c r="AHX79" s="261"/>
      <c r="AHY79" s="261"/>
      <c r="AHZ79" s="261"/>
      <c r="AIA79" s="261"/>
      <c r="AIB79" s="261"/>
      <c r="AIC79" s="261"/>
      <c r="AID79" s="261"/>
      <c r="AIE79" s="261"/>
      <c r="AIF79" s="261"/>
      <c r="AIG79" s="261"/>
      <c r="AIH79" s="261"/>
      <c r="AII79" s="261"/>
      <c r="AIJ79" s="261"/>
      <c r="AIK79" s="261"/>
      <c r="AIL79" s="261"/>
      <c r="AIM79" s="261"/>
      <c r="AIN79" s="261"/>
      <c r="AIO79" s="261"/>
      <c r="AIP79" s="261"/>
      <c r="AIQ79" s="261"/>
      <c r="AIR79" s="261"/>
      <c r="AIS79" s="261"/>
      <c r="AIT79" s="261"/>
      <c r="AIU79" s="261"/>
      <c r="AIV79" s="261"/>
      <c r="AIW79" s="261"/>
      <c r="AIX79" s="261"/>
      <c r="AIY79" s="261"/>
      <c r="AIZ79" s="261"/>
      <c r="AJA79" s="261"/>
      <c r="AJB79" s="261"/>
      <c r="AJC79" s="261"/>
      <c r="AJD79" s="261"/>
      <c r="AJE79" s="261"/>
      <c r="AJF79" s="261"/>
      <c r="AJG79" s="261"/>
      <c r="AJH79" s="261"/>
      <c r="AJI79" s="261"/>
      <c r="AJJ79" s="261"/>
      <c r="AJK79" s="261"/>
      <c r="AJL79" s="261"/>
      <c r="AJM79" s="261"/>
      <c r="AJN79" s="261"/>
      <c r="AJO79" s="261"/>
      <c r="AJP79" s="261"/>
      <c r="AJQ79" s="261"/>
      <c r="AJR79" s="261"/>
      <c r="AJS79" s="261"/>
      <c r="AJT79" s="261"/>
      <c r="AJU79" s="261"/>
      <c r="AJV79" s="261"/>
      <c r="AJW79" s="261"/>
      <c r="AJX79" s="261"/>
      <c r="AJY79" s="261"/>
      <c r="AJZ79" s="261"/>
      <c r="AKA79" s="261"/>
      <c r="AKB79" s="261"/>
      <c r="AKC79" s="261"/>
      <c r="AKD79" s="261"/>
      <c r="AKE79" s="261"/>
      <c r="AKF79" s="261"/>
      <c r="AKG79" s="261"/>
      <c r="AKH79" s="261"/>
      <c r="AKI79" s="261"/>
      <c r="AKJ79" s="261"/>
      <c r="AKK79" s="261"/>
      <c r="AKL79" s="261"/>
      <c r="AKM79" s="261"/>
      <c r="AKN79" s="261"/>
      <c r="AKO79" s="261"/>
      <c r="AKP79" s="261"/>
      <c r="AKQ79" s="261"/>
      <c r="AKR79" s="261"/>
      <c r="AKS79" s="261"/>
      <c r="AKT79" s="261"/>
      <c r="AKU79" s="261"/>
      <c r="AKV79" s="261"/>
      <c r="AKW79" s="261"/>
      <c r="AKX79" s="261"/>
      <c r="AKY79" s="261"/>
      <c r="AKZ79" s="261"/>
      <c r="ALA79" s="261"/>
      <c r="ALB79" s="261"/>
      <c r="ALC79" s="261"/>
      <c r="ALD79" s="261"/>
      <c r="ALE79" s="261"/>
      <c r="ALF79" s="261"/>
      <c r="ALG79" s="261"/>
      <c r="ALH79" s="261"/>
      <c r="ALI79" s="261"/>
      <c r="ALJ79" s="261"/>
      <c r="ALK79" s="261"/>
      <c r="ALL79" s="261"/>
      <c r="ALM79" s="261"/>
      <c r="ALN79" s="261"/>
      <c r="ALO79" s="261"/>
      <c r="ALP79" s="261"/>
      <c r="ALQ79" s="261"/>
      <c r="ALR79" s="261"/>
      <c r="ALS79" s="261"/>
      <c r="ALT79" s="261"/>
      <c r="ALU79" s="261"/>
      <c r="ALV79" s="261"/>
      <c r="ALW79" s="261"/>
      <c r="ALX79" s="261"/>
      <c r="ALY79" s="261"/>
      <c r="ALZ79" s="261"/>
      <c r="AMA79" s="261"/>
      <c r="AMB79" s="261"/>
      <c r="AMC79" s="261"/>
      <c r="AMD79" s="261"/>
      <c r="AME79" s="261"/>
      <c r="AMF79" s="261"/>
      <c r="AMG79" s="261"/>
      <c r="AMH79" s="261"/>
      <c r="AMI79" s="261"/>
      <c r="AMJ79" s="261"/>
    </row>
    <row r="80" spans="12:1024" ht="20.25" customHeight="1">
      <c r="L80" s="261"/>
      <c r="M80" s="296"/>
      <c r="N80" s="261"/>
      <c r="O80" s="261"/>
      <c r="P80" s="261"/>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N80" s="261"/>
      <c r="AO80" s="261"/>
      <c r="AP80" s="261"/>
      <c r="AQ80" s="261"/>
      <c r="AR80" s="261"/>
      <c r="AS80" s="261"/>
      <c r="AT80" s="261"/>
      <c r="AU80" s="261"/>
      <c r="AV80" s="261"/>
      <c r="AW80" s="261"/>
      <c r="AX80" s="261"/>
      <c r="AY80" s="261"/>
      <c r="AZ80" s="261"/>
      <c r="BA80" s="261"/>
      <c r="BB80" s="261"/>
      <c r="BC80" s="261"/>
      <c r="BD80" s="261"/>
      <c r="BE80" s="261"/>
      <c r="BF80" s="261"/>
      <c r="BG80" s="261"/>
      <c r="BH80" s="261"/>
      <c r="BI80" s="261"/>
      <c r="BJ80" s="261"/>
      <c r="BK80" s="261"/>
      <c r="BL80" s="261"/>
      <c r="BM80" s="261"/>
      <c r="BN80" s="261"/>
      <c r="BO80" s="261"/>
      <c r="BP80" s="261"/>
      <c r="BQ80" s="261"/>
      <c r="BR80" s="261"/>
      <c r="BS80" s="261"/>
      <c r="BT80" s="261"/>
      <c r="BU80" s="261"/>
      <c r="BV80" s="261"/>
      <c r="BW80" s="261"/>
      <c r="BX80" s="261"/>
      <c r="BY80" s="261"/>
      <c r="BZ80" s="261"/>
      <c r="CA80" s="261"/>
      <c r="CB80" s="261"/>
      <c r="CC80" s="261"/>
      <c r="CD80" s="261"/>
      <c r="CE80" s="261"/>
      <c r="CF80" s="261"/>
      <c r="CG80" s="261"/>
      <c r="CH80" s="261"/>
      <c r="CI80" s="261"/>
      <c r="CJ80" s="261"/>
      <c r="CK80" s="261"/>
      <c r="CL80" s="261"/>
      <c r="CM80" s="261"/>
      <c r="CN80" s="261"/>
      <c r="CO80" s="261"/>
      <c r="CP80" s="261"/>
      <c r="CQ80" s="261"/>
      <c r="CR80" s="261"/>
      <c r="CS80" s="261"/>
      <c r="CT80" s="261"/>
      <c r="CU80" s="261"/>
      <c r="CV80" s="261"/>
      <c r="CW80" s="261"/>
      <c r="CX80" s="261"/>
      <c r="CY80" s="261"/>
      <c r="CZ80" s="261"/>
      <c r="DA80" s="261"/>
      <c r="DB80" s="261"/>
      <c r="DC80" s="261"/>
      <c r="DD80" s="261"/>
      <c r="DE80" s="261"/>
      <c r="DF80" s="261"/>
      <c r="DG80" s="261"/>
      <c r="DH80" s="261"/>
      <c r="DI80" s="261"/>
      <c r="DJ80" s="261"/>
      <c r="DK80" s="261"/>
      <c r="DL80" s="261"/>
      <c r="DM80" s="261"/>
      <c r="DN80" s="261"/>
      <c r="DO80" s="261"/>
      <c r="DP80" s="261"/>
      <c r="DQ80" s="261"/>
      <c r="DR80" s="261"/>
      <c r="DS80" s="261"/>
      <c r="DT80" s="261"/>
      <c r="DU80" s="261"/>
      <c r="DV80" s="261"/>
      <c r="DW80" s="261"/>
      <c r="DX80" s="261"/>
      <c r="DY80" s="261"/>
      <c r="DZ80" s="261"/>
      <c r="EA80" s="261"/>
      <c r="EB80" s="261"/>
      <c r="EC80" s="261"/>
      <c r="ED80" s="261"/>
      <c r="EE80" s="261"/>
      <c r="EF80" s="261"/>
      <c r="EG80" s="261"/>
      <c r="EH80" s="261"/>
      <c r="EI80" s="261"/>
      <c r="EJ80" s="261"/>
      <c r="EK80" s="261"/>
      <c r="EL80" s="261"/>
      <c r="EM80" s="261"/>
      <c r="EN80" s="261"/>
      <c r="EO80" s="261"/>
      <c r="EP80" s="261"/>
      <c r="EQ80" s="261"/>
      <c r="ER80" s="261"/>
      <c r="ES80" s="261"/>
      <c r="ET80" s="261"/>
      <c r="EU80" s="261"/>
      <c r="EV80" s="261"/>
      <c r="EW80" s="261"/>
      <c r="EX80" s="261"/>
      <c r="EY80" s="261"/>
      <c r="EZ80" s="261"/>
      <c r="FA80" s="261"/>
      <c r="FB80" s="261"/>
      <c r="FC80" s="261"/>
      <c r="FD80" s="261"/>
      <c r="FE80" s="261"/>
      <c r="FF80" s="261"/>
      <c r="FG80" s="261"/>
      <c r="FH80" s="261"/>
      <c r="FI80" s="261"/>
      <c r="FJ80" s="261"/>
      <c r="FK80" s="261"/>
      <c r="FL80" s="261"/>
      <c r="FM80" s="261"/>
      <c r="FN80" s="261"/>
      <c r="FO80" s="261"/>
      <c r="FP80" s="261"/>
      <c r="FQ80" s="261"/>
      <c r="FR80" s="261"/>
      <c r="FS80" s="261"/>
      <c r="FT80" s="261"/>
      <c r="FU80" s="261"/>
      <c r="FV80" s="261"/>
      <c r="FW80" s="261"/>
      <c r="FX80" s="261"/>
      <c r="FY80" s="261"/>
      <c r="FZ80" s="261"/>
      <c r="GA80" s="261"/>
      <c r="GB80" s="261"/>
      <c r="GC80" s="261"/>
      <c r="GD80" s="261"/>
      <c r="GE80" s="261"/>
      <c r="GF80" s="261"/>
      <c r="GG80" s="261"/>
      <c r="GH80" s="261"/>
      <c r="GI80" s="261"/>
      <c r="GJ80" s="261"/>
      <c r="GK80" s="261"/>
      <c r="GL80" s="261"/>
      <c r="GM80" s="261"/>
      <c r="GN80" s="261"/>
      <c r="GO80" s="261"/>
      <c r="GP80" s="261"/>
      <c r="GQ80" s="261"/>
      <c r="GR80" s="261"/>
      <c r="GS80" s="261"/>
      <c r="GT80" s="261"/>
      <c r="GU80" s="261"/>
      <c r="GV80" s="261"/>
      <c r="GW80" s="261"/>
      <c r="GX80" s="261"/>
      <c r="GY80" s="261"/>
      <c r="GZ80" s="261"/>
      <c r="HA80" s="261"/>
      <c r="HB80" s="261"/>
      <c r="HC80" s="261"/>
      <c r="HD80" s="261"/>
      <c r="HE80" s="261"/>
      <c r="HF80" s="261"/>
      <c r="HG80" s="261"/>
      <c r="HH80" s="261"/>
      <c r="HI80" s="261"/>
      <c r="HJ80" s="261"/>
      <c r="HK80" s="261"/>
      <c r="HL80" s="261"/>
      <c r="HM80" s="261"/>
      <c r="HN80" s="261"/>
      <c r="HO80" s="261"/>
      <c r="HP80" s="261"/>
      <c r="HQ80" s="261"/>
      <c r="HR80" s="261"/>
      <c r="HS80" s="261"/>
      <c r="HT80" s="261"/>
      <c r="HU80" s="261"/>
      <c r="HV80" s="261"/>
      <c r="HW80" s="261"/>
      <c r="HX80" s="261"/>
      <c r="HY80" s="261"/>
      <c r="HZ80" s="261"/>
      <c r="IA80" s="261"/>
      <c r="IB80" s="261"/>
      <c r="IC80" s="261"/>
      <c r="ID80" s="261"/>
      <c r="IE80" s="261"/>
      <c r="IF80" s="261"/>
      <c r="IG80" s="261"/>
      <c r="IH80" s="261"/>
      <c r="II80" s="261"/>
      <c r="IJ80" s="261"/>
      <c r="IK80" s="261"/>
      <c r="IL80" s="261"/>
      <c r="IM80" s="261"/>
      <c r="IN80" s="261"/>
      <c r="IO80" s="261"/>
      <c r="IP80" s="261"/>
      <c r="IQ80" s="261"/>
      <c r="IR80" s="261"/>
      <c r="IS80" s="261"/>
      <c r="IT80" s="261"/>
      <c r="IU80" s="261"/>
      <c r="IV80" s="261"/>
      <c r="IW80" s="261"/>
      <c r="IX80" s="261"/>
      <c r="IY80" s="261"/>
      <c r="IZ80" s="261"/>
      <c r="JA80" s="261"/>
      <c r="JB80" s="261"/>
      <c r="JC80" s="261"/>
      <c r="JD80" s="261"/>
      <c r="JE80" s="261"/>
      <c r="JF80" s="261"/>
      <c r="JG80" s="261"/>
      <c r="JH80" s="261"/>
      <c r="JI80" s="261"/>
      <c r="JJ80" s="261"/>
      <c r="JK80" s="261"/>
      <c r="JL80" s="261"/>
      <c r="JM80" s="261"/>
      <c r="JN80" s="261"/>
      <c r="JO80" s="261"/>
      <c r="JP80" s="261"/>
      <c r="JQ80" s="261"/>
      <c r="JR80" s="261"/>
      <c r="JS80" s="261"/>
      <c r="JT80" s="261"/>
      <c r="JU80" s="261"/>
      <c r="JV80" s="261"/>
      <c r="JW80" s="261"/>
      <c r="JX80" s="261"/>
      <c r="JY80" s="261"/>
      <c r="JZ80" s="261"/>
      <c r="KA80" s="261"/>
      <c r="KB80" s="261"/>
      <c r="KC80" s="261"/>
      <c r="KD80" s="261"/>
      <c r="KE80" s="261"/>
      <c r="KF80" s="261"/>
      <c r="KG80" s="261"/>
      <c r="KH80" s="261"/>
      <c r="KI80" s="261"/>
      <c r="KJ80" s="261"/>
      <c r="KK80" s="261"/>
      <c r="KL80" s="261"/>
      <c r="KM80" s="261"/>
      <c r="KN80" s="261"/>
      <c r="KO80" s="261"/>
      <c r="KP80" s="261"/>
      <c r="KQ80" s="261"/>
      <c r="KR80" s="261"/>
      <c r="KS80" s="261"/>
      <c r="KT80" s="261"/>
      <c r="KU80" s="261"/>
      <c r="KV80" s="261"/>
      <c r="KW80" s="261"/>
      <c r="KX80" s="261"/>
      <c r="KY80" s="261"/>
      <c r="KZ80" s="261"/>
      <c r="LA80" s="261"/>
      <c r="LB80" s="261"/>
      <c r="LC80" s="261"/>
      <c r="LD80" s="261"/>
      <c r="LE80" s="261"/>
      <c r="LF80" s="261"/>
      <c r="LG80" s="261"/>
      <c r="LH80" s="261"/>
      <c r="LI80" s="261"/>
      <c r="LJ80" s="261"/>
      <c r="LK80" s="261"/>
      <c r="LL80" s="261"/>
      <c r="LM80" s="261"/>
      <c r="LN80" s="261"/>
      <c r="LO80" s="261"/>
      <c r="LP80" s="261"/>
      <c r="LQ80" s="261"/>
      <c r="LR80" s="261"/>
      <c r="LS80" s="261"/>
      <c r="LT80" s="261"/>
      <c r="LU80" s="261"/>
      <c r="LV80" s="261"/>
      <c r="LW80" s="261"/>
      <c r="LX80" s="261"/>
      <c r="LY80" s="261"/>
      <c r="LZ80" s="261"/>
      <c r="MA80" s="261"/>
      <c r="MB80" s="261"/>
      <c r="MC80" s="261"/>
      <c r="MD80" s="261"/>
      <c r="ME80" s="261"/>
      <c r="MF80" s="261"/>
      <c r="MG80" s="261"/>
      <c r="MH80" s="261"/>
      <c r="MI80" s="261"/>
      <c r="MJ80" s="261"/>
      <c r="MK80" s="261"/>
      <c r="ML80" s="261"/>
      <c r="MM80" s="261"/>
      <c r="MN80" s="261"/>
      <c r="MO80" s="261"/>
      <c r="MP80" s="261"/>
      <c r="MQ80" s="261"/>
      <c r="MR80" s="261"/>
      <c r="MS80" s="261"/>
      <c r="MT80" s="261"/>
      <c r="MU80" s="261"/>
      <c r="MV80" s="261"/>
      <c r="MW80" s="261"/>
      <c r="MX80" s="261"/>
      <c r="MY80" s="261"/>
      <c r="MZ80" s="261"/>
      <c r="NA80" s="261"/>
      <c r="NB80" s="261"/>
      <c r="NC80" s="261"/>
      <c r="ND80" s="261"/>
      <c r="NE80" s="261"/>
      <c r="NF80" s="261"/>
      <c r="NG80" s="261"/>
      <c r="NH80" s="261"/>
      <c r="NI80" s="261"/>
      <c r="NJ80" s="261"/>
      <c r="NK80" s="261"/>
      <c r="NL80" s="261"/>
      <c r="NM80" s="261"/>
      <c r="NN80" s="261"/>
      <c r="NO80" s="261"/>
      <c r="NP80" s="261"/>
      <c r="NQ80" s="261"/>
      <c r="NR80" s="261"/>
      <c r="NS80" s="261"/>
      <c r="NT80" s="261"/>
      <c r="NU80" s="261"/>
      <c r="NV80" s="261"/>
      <c r="NW80" s="261"/>
      <c r="NX80" s="261"/>
      <c r="NY80" s="261"/>
      <c r="NZ80" s="261"/>
      <c r="OA80" s="261"/>
      <c r="OB80" s="261"/>
      <c r="OC80" s="261"/>
      <c r="OD80" s="261"/>
      <c r="OE80" s="261"/>
      <c r="OF80" s="261"/>
      <c r="OG80" s="261"/>
      <c r="OH80" s="261"/>
      <c r="OI80" s="261"/>
      <c r="OJ80" s="261"/>
      <c r="OK80" s="261"/>
      <c r="OL80" s="261"/>
      <c r="OM80" s="261"/>
      <c r="ON80" s="261"/>
      <c r="OO80" s="261"/>
      <c r="OP80" s="261"/>
      <c r="OQ80" s="261"/>
      <c r="OR80" s="261"/>
      <c r="OS80" s="261"/>
      <c r="OT80" s="261"/>
      <c r="OU80" s="261"/>
      <c r="OV80" s="261"/>
      <c r="OW80" s="261"/>
      <c r="OX80" s="261"/>
      <c r="OY80" s="261"/>
      <c r="OZ80" s="261"/>
      <c r="PA80" s="261"/>
      <c r="PB80" s="261"/>
      <c r="PC80" s="261"/>
      <c r="PD80" s="261"/>
      <c r="PE80" s="261"/>
      <c r="PF80" s="261"/>
      <c r="PG80" s="261"/>
      <c r="PH80" s="261"/>
      <c r="PI80" s="261"/>
      <c r="PJ80" s="261"/>
      <c r="PK80" s="261"/>
      <c r="PL80" s="261"/>
      <c r="PM80" s="261"/>
      <c r="PN80" s="261"/>
      <c r="PO80" s="261"/>
      <c r="PP80" s="261"/>
      <c r="PQ80" s="261"/>
      <c r="PR80" s="261"/>
      <c r="PS80" s="261"/>
      <c r="PT80" s="261"/>
      <c r="PU80" s="261"/>
      <c r="PV80" s="261"/>
      <c r="PW80" s="261"/>
      <c r="PX80" s="261"/>
      <c r="PY80" s="261"/>
      <c r="PZ80" s="261"/>
      <c r="QA80" s="261"/>
      <c r="QB80" s="261"/>
      <c r="QC80" s="261"/>
      <c r="QD80" s="261"/>
      <c r="QE80" s="261"/>
      <c r="QF80" s="261"/>
      <c r="QG80" s="261"/>
      <c r="QH80" s="261"/>
      <c r="QI80" s="261"/>
      <c r="QJ80" s="261"/>
      <c r="QK80" s="261"/>
      <c r="QL80" s="261"/>
      <c r="QM80" s="261"/>
      <c r="QN80" s="261"/>
      <c r="QO80" s="261"/>
      <c r="QP80" s="261"/>
      <c r="QQ80" s="261"/>
      <c r="QR80" s="261"/>
      <c r="QS80" s="261"/>
      <c r="QT80" s="261"/>
      <c r="QU80" s="261"/>
      <c r="QV80" s="261"/>
      <c r="QW80" s="261"/>
      <c r="QX80" s="261"/>
      <c r="QY80" s="261"/>
      <c r="QZ80" s="261"/>
      <c r="RA80" s="261"/>
      <c r="RB80" s="261"/>
      <c r="RC80" s="261"/>
      <c r="RD80" s="261"/>
      <c r="RE80" s="261"/>
      <c r="RF80" s="261"/>
      <c r="RG80" s="261"/>
      <c r="RH80" s="261"/>
      <c r="RI80" s="261"/>
      <c r="RJ80" s="261"/>
      <c r="RK80" s="261"/>
      <c r="RL80" s="261"/>
      <c r="RM80" s="261"/>
      <c r="RN80" s="261"/>
      <c r="RO80" s="261"/>
      <c r="RP80" s="261"/>
      <c r="RQ80" s="261"/>
      <c r="RR80" s="261"/>
      <c r="RS80" s="261"/>
      <c r="RT80" s="261"/>
      <c r="RU80" s="261"/>
      <c r="RV80" s="261"/>
      <c r="RW80" s="261"/>
      <c r="RX80" s="261"/>
      <c r="RY80" s="261"/>
      <c r="RZ80" s="261"/>
      <c r="SA80" s="261"/>
      <c r="SB80" s="261"/>
      <c r="SC80" s="261"/>
      <c r="SD80" s="261"/>
      <c r="SE80" s="261"/>
      <c r="SF80" s="261"/>
      <c r="SG80" s="261"/>
      <c r="SH80" s="261"/>
      <c r="SI80" s="261"/>
      <c r="SJ80" s="261"/>
      <c r="SK80" s="261"/>
      <c r="SL80" s="261"/>
      <c r="SM80" s="261"/>
      <c r="SN80" s="261"/>
      <c r="SO80" s="261"/>
      <c r="SP80" s="261"/>
      <c r="SQ80" s="261"/>
      <c r="SR80" s="261"/>
      <c r="SS80" s="261"/>
      <c r="ST80" s="261"/>
      <c r="SU80" s="261"/>
      <c r="SV80" s="261"/>
      <c r="SW80" s="261"/>
      <c r="SX80" s="261"/>
      <c r="SY80" s="261"/>
      <c r="SZ80" s="261"/>
      <c r="TA80" s="261"/>
      <c r="TB80" s="261"/>
      <c r="TC80" s="261"/>
      <c r="TD80" s="261"/>
      <c r="TE80" s="261"/>
      <c r="TF80" s="261"/>
      <c r="TG80" s="261"/>
      <c r="TH80" s="261"/>
      <c r="TI80" s="261"/>
      <c r="TJ80" s="261"/>
      <c r="TK80" s="261"/>
      <c r="TL80" s="261"/>
      <c r="TM80" s="261"/>
      <c r="TN80" s="261"/>
      <c r="TO80" s="261"/>
      <c r="TP80" s="261"/>
      <c r="TQ80" s="261"/>
      <c r="TR80" s="261"/>
      <c r="TS80" s="261"/>
      <c r="TT80" s="261"/>
      <c r="TU80" s="261"/>
      <c r="TV80" s="261"/>
      <c r="TW80" s="261"/>
      <c r="TX80" s="261"/>
      <c r="TY80" s="261"/>
      <c r="TZ80" s="261"/>
      <c r="UA80" s="261"/>
      <c r="UB80" s="261"/>
      <c r="UC80" s="261"/>
      <c r="UD80" s="261"/>
      <c r="UE80" s="261"/>
      <c r="UF80" s="261"/>
      <c r="UG80" s="261"/>
      <c r="UH80" s="261"/>
      <c r="UI80" s="261"/>
      <c r="UJ80" s="261"/>
      <c r="UK80" s="261"/>
      <c r="UL80" s="261"/>
      <c r="UM80" s="261"/>
      <c r="UN80" s="261"/>
      <c r="UO80" s="261"/>
      <c r="UP80" s="261"/>
      <c r="UQ80" s="261"/>
      <c r="UR80" s="261"/>
      <c r="US80" s="261"/>
      <c r="UT80" s="261"/>
      <c r="UU80" s="261"/>
      <c r="UV80" s="261"/>
      <c r="UW80" s="261"/>
      <c r="UX80" s="261"/>
      <c r="UY80" s="261"/>
      <c r="UZ80" s="261"/>
      <c r="VA80" s="261"/>
      <c r="VB80" s="261"/>
      <c r="VC80" s="261"/>
      <c r="VD80" s="261"/>
      <c r="VE80" s="261"/>
      <c r="VF80" s="261"/>
      <c r="VG80" s="261"/>
      <c r="VH80" s="261"/>
      <c r="VI80" s="261"/>
      <c r="VJ80" s="261"/>
      <c r="VK80" s="261"/>
      <c r="VL80" s="261"/>
      <c r="VM80" s="261"/>
      <c r="VN80" s="261"/>
      <c r="VO80" s="261"/>
      <c r="VP80" s="261"/>
      <c r="VQ80" s="261"/>
      <c r="VR80" s="261"/>
      <c r="VS80" s="261"/>
      <c r="VT80" s="261"/>
      <c r="VU80" s="261"/>
      <c r="VV80" s="261"/>
      <c r="VW80" s="261"/>
      <c r="VX80" s="261"/>
      <c r="VY80" s="261"/>
      <c r="VZ80" s="261"/>
      <c r="WA80" s="261"/>
      <c r="WB80" s="261"/>
      <c r="WC80" s="261"/>
      <c r="WD80" s="261"/>
      <c r="WE80" s="261"/>
      <c r="WF80" s="261"/>
      <c r="WG80" s="261"/>
      <c r="WH80" s="261"/>
      <c r="WI80" s="261"/>
      <c r="WJ80" s="261"/>
      <c r="WK80" s="261"/>
      <c r="WL80" s="261"/>
      <c r="WM80" s="261"/>
      <c r="WN80" s="261"/>
      <c r="WO80" s="261"/>
      <c r="WP80" s="261"/>
      <c r="WQ80" s="261"/>
      <c r="WR80" s="261"/>
      <c r="WS80" s="261"/>
      <c r="WT80" s="261"/>
      <c r="WU80" s="261"/>
      <c r="WV80" s="261"/>
      <c r="WW80" s="261"/>
      <c r="WX80" s="261"/>
      <c r="WY80" s="261"/>
      <c r="WZ80" s="261"/>
      <c r="XA80" s="261"/>
      <c r="XB80" s="261"/>
      <c r="XC80" s="261"/>
      <c r="XD80" s="261"/>
      <c r="XE80" s="261"/>
      <c r="XF80" s="261"/>
      <c r="XG80" s="261"/>
      <c r="XH80" s="261"/>
      <c r="XI80" s="261"/>
      <c r="XJ80" s="261"/>
      <c r="XK80" s="261"/>
      <c r="XL80" s="261"/>
      <c r="XM80" s="261"/>
      <c r="XN80" s="261"/>
      <c r="XO80" s="261"/>
      <c r="XP80" s="261"/>
      <c r="XQ80" s="261"/>
      <c r="XR80" s="261"/>
      <c r="XS80" s="261"/>
      <c r="XT80" s="261"/>
      <c r="XU80" s="261"/>
      <c r="XV80" s="261"/>
      <c r="XW80" s="261"/>
      <c r="XX80" s="261"/>
      <c r="XY80" s="261"/>
      <c r="XZ80" s="261"/>
      <c r="YA80" s="261"/>
      <c r="YB80" s="261"/>
      <c r="YC80" s="261"/>
      <c r="YD80" s="261"/>
      <c r="YE80" s="261"/>
      <c r="YF80" s="261"/>
      <c r="YG80" s="261"/>
      <c r="YH80" s="261"/>
      <c r="YI80" s="261"/>
      <c r="YJ80" s="261"/>
      <c r="YK80" s="261"/>
      <c r="YL80" s="261"/>
      <c r="YM80" s="261"/>
      <c r="YN80" s="261"/>
      <c r="YO80" s="261"/>
      <c r="YP80" s="261"/>
      <c r="YQ80" s="261"/>
      <c r="YR80" s="261"/>
      <c r="YS80" s="261"/>
      <c r="YT80" s="261"/>
      <c r="YU80" s="261"/>
      <c r="YV80" s="261"/>
      <c r="YW80" s="261"/>
      <c r="YX80" s="261"/>
      <c r="YY80" s="261"/>
      <c r="YZ80" s="261"/>
      <c r="ZA80" s="261"/>
      <c r="ZB80" s="261"/>
      <c r="ZC80" s="261"/>
      <c r="ZD80" s="261"/>
      <c r="ZE80" s="261"/>
      <c r="ZF80" s="261"/>
      <c r="ZG80" s="261"/>
      <c r="ZH80" s="261"/>
      <c r="ZI80" s="261"/>
      <c r="ZJ80" s="261"/>
      <c r="ZK80" s="261"/>
      <c r="ZL80" s="261"/>
      <c r="ZM80" s="261"/>
      <c r="ZN80" s="261"/>
      <c r="ZO80" s="261"/>
      <c r="ZP80" s="261"/>
      <c r="ZQ80" s="261"/>
      <c r="ZR80" s="261"/>
      <c r="ZS80" s="261"/>
      <c r="ZT80" s="261"/>
      <c r="ZU80" s="261"/>
      <c r="ZV80" s="261"/>
      <c r="ZW80" s="261"/>
      <c r="ZX80" s="261"/>
      <c r="ZY80" s="261"/>
      <c r="ZZ80" s="261"/>
      <c r="AAA80" s="261"/>
      <c r="AAB80" s="261"/>
      <c r="AAC80" s="261"/>
      <c r="AAD80" s="261"/>
      <c r="AAE80" s="261"/>
      <c r="AAF80" s="261"/>
      <c r="AAG80" s="261"/>
      <c r="AAH80" s="261"/>
      <c r="AAI80" s="261"/>
      <c r="AAJ80" s="261"/>
      <c r="AAK80" s="261"/>
      <c r="AAL80" s="261"/>
      <c r="AAM80" s="261"/>
      <c r="AAN80" s="261"/>
      <c r="AAO80" s="261"/>
      <c r="AAP80" s="261"/>
      <c r="AAQ80" s="261"/>
      <c r="AAR80" s="261"/>
      <c r="AAS80" s="261"/>
      <c r="AAT80" s="261"/>
      <c r="AAU80" s="261"/>
      <c r="AAV80" s="261"/>
      <c r="AAW80" s="261"/>
      <c r="AAX80" s="261"/>
      <c r="AAY80" s="261"/>
      <c r="AAZ80" s="261"/>
      <c r="ABA80" s="261"/>
      <c r="ABB80" s="261"/>
      <c r="ABC80" s="261"/>
      <c r="ABD80" s="261"/>
      <c r="ABE80" s="261"/>
      <c r="ABF80" s="261"/>
      <c r="ABG80" s="261"/>
      <c r="ABH80" s="261"/>
      <c r="ABI80" s="261"/>
      <c r="ABJ80" s="261"/>
      <c r="ABK80" s="261"/>
      <c r="ABL80" s="261"/>
      <c r="ABM80" s="261"/>
      <c r="ABN80" s="261"/>
      <c r="ABO80" s="261"/>
      <c r="ABP80" s="261"/>
      <c r="ABQ80" s="261"/>
      <c r="ABR80" s="261"/>
      <c r="ABS80" s="261"/>
      <c r="ABT80" s="261"/>
      <c r="ABU80" s="261"/>
      <c r="ABV80" s="261"/>
      <c r="ABW80" s="261"/>
      <c r="ABX80" s="261"/>
      <c r="ABY80" s="261"/>
      <c r="ABZ80" s="261"/>
      <c r="ACA80" s="261"/>
      <c r="ACB80" s="261"/>
      <c r="ACC80" s="261"/>
      <c r="ACD80" s="261"/>
      <c r="ACE80" s="261"/>
      <c r="ACF80" s="261"/>
      <c r="ACG80" s="261"/>
      <c r="ACH80" s="261"/>
      <c r="ACI80" s="261"/>
      <c r="ACJ80" s="261"/>
      <c r="ACK80" s="261"/>
      <c r="ACL80" s="261"/>
      <c r="ACM80" s="261"/>
      <c r="ACN80" s="261"/>
      <c r="ACO80" s="261"/>
      <c r="ACP80" s="261"/>
      <c r="ACQ80" s="261"/>
      <c r="ACR80" s="261"/>
      <c r="ACS80" s="261"/>
      <c r="ACT80" s="261"/>
      <c r="ACU80" s="261"/>
      <c r="ACV80" s="261"/>
      <c r="ACW80" s="261"/>
      <c r="ACX80" s="261"/>
      <c r="ACY80" s="261"/>
      <c r="ACZ80" s="261"/>
      <c r="ADA80" s="261"/>
      <c r="ADB80" s="261"/>
      <c r="ADC80" s="261"/>
      <c r="ADD80" s="261"/>
      <c r="ADE80" s="261"/>
      <c r="ADF80" s="261"/>
      <c r="ADG80" s="261"/>
      <c r="ADH80" s="261"/>
      <c r="ADI80" s="261"/>
      <c r="ADJ80" s="261"/>
      <c r="ADK80" s="261"/>
      <c r="ADL80" s="261"/>
      <c r="ADM80" s="261"/>
      <c r="ADN80" s="261"/>
      <c r="ADO80" s="261"/>
      <c r="ADP80" s="261"/>
      <c r="ADQ80" s="261"/>
      <c r="ADR80" s="261"/>
      <c r="ADS80" s="261"/>
      <c r="ADT80" s="261"/>
      <c r="ADU80" s="261"/>
      <c r="ADV80" s="261"/>
      <c r="ADW80" s="261"/>
      <c r="ADX80" s="261"/>
      <c r="ADY80" s="261"/>
      <c r="ADZ80" s="261"/>
      <c r="AEA80" s="261"/>
      <c r="AEB80" s="261"/>
      <c r="AEC80" s="261"/>
      <c r="AED80" s="261"/>
      <c r="AEE80" s="261"/>
      <c r="AEF80" s="261"/>
      <c r="AEG80" s="261"/>
      <c r="AEH80" s="261"/>
      <c r="AEI80" s="261"/>
      <c r="AEJ80" s="261"/>
      <c r="AEK80" s="261"/>
      <c r="AEL80" s="261"/>
      <c r="AEM80" s="261"/>
      <c r="AEN80" s="261"/>
      <c r="AEO80" s="261"/>
      <c r="AEP80" s="261"/>
      <c r="AEQ80" s="261"/>
      <c r="AER80" s="261"/>
      <c r="AES80" s="261"/>
      <c r="AET80" s="261"/>
      <c r="AEU80" s="261"/>
      <c r="AEV80" s="261"/>
      <c r="AEW80" s="261"/>
      <c r="AEX80" s="261"/>
      <c r="AEY80" s="261"/>
      <c r="AEZ80" s="261"/>
      <c r="AFA80" s="261"/>
      <c r="AFB80" s="261"/>
      <c r="AFC80" s="261"/>
      <c r="AFD80" s="261"/>
      <c r="AFE80" s="261"/>
      <c r="AFF80" s="261"/>
      <c r="AFG80" s="261"/>
      <c r="AFH80" s="261"/>
      <c r="AFI80" s="261"/>
      <c r="AFJ80" s="261"/>
      <c r="AFK80" s="261"/>
      <c r="AFL80" s="261"/>
      <c r="AFM80" s="261"/>
      <c r="AFN80" s="261"/>
      <c r="AFO80" s="261"/>
      <c r="AFP80" s="261"/>
      <c r="AFQ80" s="261"/>
      <c r="AFR80" s="261"/>
      <c r="AFS80" s="261"/>
      <c r="AFT80" s="261"/>
      <c r="AFU80" s="261"/>
      <c r="AFV80" s="261"/>
      <c r="AFW80" s="261"/>
      <c r="AFX80" s="261"/>
      <c r="AFY80" s="261"/>
      <c r="AFZ80" s="261"/>
      <c r="AGA80" s="261"/>
      <c r="AGB80" s="261"/>
      <c r="AGC80" s="261"/>
      <c r="AGD80" s="261"/>
      <c r="AGE80" s="261"/>
      <c r="AGF80" s="261"/>
      <c r="AGG80" s="261"/>
      <c r="AGH80" s="261"/>
      <c r="AGI80" s="261"/>
      <c r="AGJ80" s="261"/>
      <c r="AGK80" s="261"/>
      <c r="AGL80" s="261"/>
      <c r="AGM80" s="261"/>
      <c r="AGN80" s="261"/>
      <c r="AGO80" s="261"/>
      <c r="AGP80" s="261"/>
      <c r="AGQ80" s="261"/>
      <c r="AGR80" s="261"/>
      <c r="AGS80" s="261"/>
      <c r="AGT80" s="261"/>
      <c r="AGU80" s="261"/>
      <c r="AGV80" s="261"/>
      <c r="AGW80" s="261"/>
      <c r="AGX80" s="261"/>
      <c r="AGY80" s="261"/>
      <c r="AGZ80" s="261"/>
      <c r="AHA80" s="261"/>
      <c r="AHB80" s="261"/>
      <c r="AHC80" s="261"/>
      <c r="AHD80" s="261"/>
      <c r="AHE80" s="261"/>
      <c r="AHF80" s="261"/>
      <c r="AHG80" s="261"/>
      <c r="AHH80" s="261"/>
      <c r="AHI80" s="261"/>
      <c r="AHJ80" s="261"/>
      <c r="AHK80" s="261"/>
      <c r="AHL80" s="261"/>
      <c r="AHM80" s="261"/>
      <c r="AHN80" s="261"/>
      <c r="AHO80" s="261"/>
      <c r="AHP80" s="261"/>
      <c r="AHQ80" s="261"/>
      <c r="AHR80" s="261"/>
      <c r="AHS80" s="261"/>
      <c r="AHT80" s="261"/>
      <c r="AHU80" s="261"/>
      <c r="AHV80" s="261"/>
      <c r="AHW80" s="261"/>
      <c r="AHX80" s="261"/>
      <c r="AHY80" s="261"/>
      <c r="AHZ80" s="261"/>
      <c r="AIA80" s="261"/>
      <c r="AIB80" s="261"/>
      <c r="AIC80" s="261"/>
      <c r="AID80" s="261"/>
      <c r="AIE80" s="261"/>
      <c r="AIF80" s="261"/>
      <c r="AIG80" s="261"/>
      <c r="AIH80" s="261"/>
      <c r="AII80" s="261"/>
      <c r="AIJ80" s="261"/>
      <c r="AIK80" s="261"/>
      <c r="AIL80" s="261"/>
      <c r="AIM80" s="261"/>
      <c r="AIN80" s="261"/>
      <c r="AIO80" s="261"/>
      <c r="AIP80" s="261"/>
      <c r="AIQ80" s="261"/>
      <c r="AIR80" s="261"/>
      <c r="AIS80" s="261"/>
      <c r="AIT80" s="261"/>
      <c r="AIU80" s="261"/>
      <c r="AIV80" s="261"/>
      <c r="AIW80" s="261"/>
      <c r="AIX80" s="261"/>
      <c r="AIY80" s="261"/>
      <c r="AIZ80" s="261"/>
      <c r="AJA80" s="261"/>
      <c r="AJB80" s="261"/>
      <c r="AJC80" s="261"/>
      <c r="AJD80" s="261"/>
      <c r="AJE80" s="261"/>
      <c r="AJF80" s="261"/>
      <c r="AJG80" s="261"/>
      <c r="AJH80" s="261"/>
      <c r="AJI80" s="261"/>
      <c r="AJJ80" s="261"/>
      <c r="AJK80" s="261"/>
      <c r="AJL80" s="261"/>
      <c r="AJM80" s="261"/>
      <c r="AJN80" s="261"/>
      <c r="AJO80" s="261"/>
      <c r="AJP80" s="261"/>
      <c r="AJQ80" s="261"/>
      <c r="AJR80" s="261"/>
      <c r="AJS80" s="261"/>
      <c r="AJT80" s="261"/>
      <c r="AJU80" s="261"/>
      <c r="AJV80" s="261"/>
      <c r="AJW80" s="261"/>
      <c r="AJX80" s="261"/>
      <c r="AJY80" s="261"/>
      <c r="AJZ80" s="261"/>
      <c r="AKA80" s="261"/>
      <c r="AKB80" s="261"/>
      <c r="AKC80" s="261"/>
      <c r="AKD80" s="261"/>
      <c r="AKE80" s="261"/>
      <c r="AKF80" s="261"/>
      <c r="AKG80" s="261"/>
      <c r="AKH80" s="261"/>
      <c r="AKI80" s="261"/>
      <c r="AKJ80" s="261"/>
      <c r="AKK80" s="261"/>
      <c r="AKL80" s="261"/>
      <c r="AKM80" s="261"/>
      <c r="AKN80" s="261"/>
      <c r="AKO80" s="261"/>
      <c r="AKP80" s="261"/>
      <c r="AKQ80" s="261"/>
      <c r="AKR80" s="261"/>
      <c r="AKS80" s="261"/>
      <c r="AKT80" s="261"/>
      <c r="AKU80" s="261"/>
      <c r="AKV80" s="261"/>
      <c r="AKW80" s="261"/>
      <c r="AKX80" s="261"/>
      <c r="AKY80" s="261"/>
      <c r="AKZ80" s="261"/>
      <c r="ALA80" s="261"/>
      <c r="ALB80" s="261"/>
      <c r="ALC80" s="261"/>
      <c r="ALD80" s="261"/>
      <c r="ALE80" s="261"/>
      <c r="ALF80" s="261"/>
      <c r="ALG80" s="261"/>
      <c r="ALH80" s="261"/>
      <c r="ALI80" s="261"/>
      <c r="ALJ80" s="261"/>
      <c r="ALK80" s="261"/>
      <c r="ALL80" s="261"/>
      <c r="ALM80" s="261"/>
      <c r="ALN80" s="261"/>
      <c r="ALO80" s="261"/>
      <c r="ALP80" s="261"/>
      <c r="ALQ80" s="261"/>
      <c r="ALR80" s="261"/>
      <c r="ALS80" s="261"/>
      <c r="ALT80" s="261"/>
      <c r="ALU80" s="261"/>
      <c r="ALV80" s="261"/>
      <c r="ALW80" s="261"/>
      <c r="ALX80" s="261"/>
      <c r="ALY80" s="261"/>
      <c r="ALZ80" s="261"/>
      <c r="AMA80" s="261"/>
      <c r="AMB80" s="261"/>
      <c r="AMC80" s="261"/>
      <c r="AMD80" s="261"/>
      <c r="AME80" s="261"/>
      <c r="AMF80" s="261"/>
      <c r="AMG80" s="261"/>
      <c r="AMH80" s="261"/>
      <c r="AMI80" s="261"/>
      <c r="AMJ80" s="261"/>
    </row>
  </sheetData>
  <mergeCells count="40">
    <mergeCell ref="A5:C5"/>
    <mergeCell ref="D5:K5"/>
    <mergeCell ref="A1:I1"/>
    <mergeCell ref="A3:C3"/>
    <mergeCell ref="D3:K3"/>
    <mergeCell ref="A4:C4"/>
    <mergeCell ref="D4:K4"/>
    <mergeCell ref="A6:C6"/>
    <mergeCell ref="D6:K6"/>
    <mergeCell ref="A7:C7"/>
    <mergeCell ref="D7:K7"/>
    <mergeCell ref="A8:C8"/>
    <mergeCell ref="D8:K8"/>
    <mergeCell ref="A10:A11"/>
    <mergeCell ref="B10:B11"/>
    <mergeCell ref="C10:G11"/>
    <mergeCell ref="H10:H11"/>
    <mergeCell ref="I10:I11"/>
    <mergeCell ref="C19:G19"/>
    <mergeCell ref="K10:K11"/>
    <mergeCell ref="C12:G12"/>
    <mergeCell ref="C13:G13"/>
    <mergeCell ref="C27:G27"/>
    <mergeCell ref="C20:G20"/>
    <mergeCell ref="C21:G21"/>
    <mergeCell ref="C22:G22"/>
    <mergeCell ref="C23:G23"/>
    <mergeCell ref="J10:J11"/>
    <mergeCell ref="C14:G14"/>
    <mergeCell ref="C15:G15"/>
    <mergeCell ref="C16:G16"/>
    <mergeCell ref="C17:G17"/>
    <mergeCell ref="C18:G18"/>
    <mergeCell ref="C24:G24"/>
    <mergeCell ref="A30:I30"/>
    <mergeCell ref="J30:K30"/>
    <mergeCell ref="A31:I31"/>
    <mergeCell ref="J31:K31"/>
    <mergeCell ref="C28:G28"/>
    <mergeCell ref="C29:G29"/>
  </mergeCells>
  <printOptions horizontalCentered="1"/>
  <pageMargins left="0.19685039370078741" right="0.19685039370078741" top="0.39370078740157483" bottom="0.59055118110236227" header="0.51181102362204722" footer="0.51181102362204722"/>
  <pageSetup paperSize="5"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dimension ref="A1:R27"/>
  <sheetViews>
    <sheetView workbookViewId="0">
      <selection activeCell="A23" sqref="A23:P23"/>
    </sheetView>
  </sheetViews>
  <sheetFormatPr baseColWidth="10" defaultColWidth="11" defaultRowHeight="12.75"/>
  <cols>
    <col min="1" max="5" width="4.42578125" style="261" customWidth="1"/>
    <col min="6" max="6" width="5.5703125" style="261" customWidth="1"/>
    <col min="7" max="7" width="4.42578125" style="299" customWidth="1"/>
    <col min="8" max="14" width="4.42578125" style="261" customWidth="1"/>
    <col min="15" max="16" width="14.85546875" style="261" customWidth="1"/>
    <col min="17" max="17" width="14.7109375" style="261" customWidth="1"/>
    <col min="18" max="16384" width="11" style="261"/>
  </cols>
  <sheetData>
    <row r="1" spans="1:17" ht="15.75" customHeight="1" thickBot="1">
      <c r="A1" s="468" t="s">
        <v>2</v>
      </c>
      <c r="B1" s="468"/>
      <c r="C1" s="468"/>
      <c r="D1" s="469">
        <v>2021</v>
      </c>
      <c r="E1" s="469"/>
      <c r="F1" s="297"/>
      <c r="G1" s="297"/>
      <c r="H1" s="298"/>
      <c r="I1" s="298"/>
      <c r="J1" s="298"/>
      <c r="K1" s="298"/>
      <c r="L1" s="298"/>
      <c r="M1" s="298"/>
      <c r="N1" s="298"/>
      <c r="P1" s="470" t="s">
        <v>1702</v>
      </c>
      <c r="Q1" s="470"/>
    </row>
    <row r="2" spans="1:17" ht="15.75" customHeight="1" thickBot="1">
      <c r="H2" s="298"/>
      <c r="I2" s="298"/>
      <c r="J2" s="298"/>
      <c r="K2" s="298"/>
      <c r="L2" s="298"/>
      <c r="M2" s="298"/>
      <c r="N2" s="298"/>
      <c r="P2" s="470"/>
      <c r="Q2" s="470"/>
    </row>
    <row r="4" spans="1:17" s="300" customFormat="1" ht="18" customHeight="1" thickBot="1">
      <c r="A4" s="471" t="s">
        <v>1703</v>
      </c>
      <c r="B4" s="471"/>
      <c r="C4" s="471"/>
      <c r="D4" s="471"/>
      <c r="E4" s="471"/>
      <c r="F4" s="471"/>
      <c r="G4" s="458" t="s">
        <v>1686</v>
      </c>
      <c r="H4" s="458"/>
      <c r="I4" s="458"/>
      <c r="J4" s="458"/>
      <c r="K4" s="458"/>
      <c r="L4" s="458"/>
      <c r="M4" s="458"/>
      <c r="N4" s="458"/>
      <c r="O4" s="458"/>
      <c r="P4" s="458"/>
      <c r="Q4" s="458"/>
    </row>
    <row r="5" spans="1:17" s="300" customFormat="1" ht="18" customHeight="1" thickBot="1">
      <c r="A5" s="455" t="s">
        <v>1687</v>
      </c>
      <c r="B5" s="456"/>
      <c r="C5" s="456"/>
      <c r="D5" s="456"/>
      <c r="E5" s="456"/>
      <c r="F5" s="457"/>
      <c r="G5" s="458" t="s">
        <v>1704</v>
      </c>
      <c r="H5" s="458"/>
      <c r="I5" s="458"/>
      <c r="J5" s="458"/>
      <c r="K5" s="458"/>
      <c r="L5" s="458"/>
      <c r="M5" s="458"/>
      <c r="N5" s="458"/>
      <c r="O5" s="458"/>
      <c r="P5" s="458"/>
      <c r="Q5" s="458"/>
    </row>
    <row r="6" spans="1:17" s="300" customFormat="1" ht="18" customHeight="1" thickBot="1">
      <c r="A6" s="455" t="s">
        <v>1689</v>
      </c>
      <c r="B6" s="456"/>
      <c r="C6" s="456"/>
      <c r="D6" s="456"/>
      <c r="E6" s="456"/>
      <c r="F6" s="457"/>
      <c r="G6" s="458" t="s">
        <v>1705</v>
      </c>
      <c r="H6" s="458"/>
      <c r="I6" s="458"/>
      <c r="J6" s="458"/>
      <c r="K6" s="458"/>
      <c r="L6" s="458"/>
      <c r="M6" s="458"/>
      <c r="N6" s="458"/>
      <c r="O6" s="458"/>
      <c r="P6" s="458"/>
      <c r="Q6" s="458"/>
    </row>
    <row r="7" spans="1:17" s="300" customFormat="1" ht="18" customHeight="1" thickBot="1">
      <c r="A7" s="455" t="s">
        <v>1690</v>
      </c>
      <c r="B7" s="456"/>
      <c r="C7" s="456"/>
      <c r="D7" s="456"/>
      <c r="E7" s="456"/>
      <c r="F7" s="457"/>
      <c r="G7" s="458" t="s">
        <v>1705</v>
      </c>
      <c r="H7" s="458"/>
      <c r="I7" s="458"/>
      <c r="J7" s="458"/>
      <c r="K7" s="458"/>
      <c r="L7" s="458"/>
      <c r="M7" s="458"/>
      <c r="N7" s="458"/>
      <c r="O7" s="458"/>
      <c r="P7" s="458"/>
      <c r="Q7" s="458"/>
    </row>
    <row r="8" spans="1:17" ht="18" customHeight="1" thickBot="1">
      <c r="A8" s="459" t="s">
        <v>1706</v>
      </c>
      <c r="B8" s="459"/>
      <c r="C8" s="459"/>
      <c r="D8" s="459"/>
      <c r="E8" s="459"/>
      <c r="F8" s="459"/>
      <c r="G8" s="459"/>
      <c r="H8" s="459"/>
      <c r="I8" s="459"/>
      <c r="J8" s="459"/>
      <c r="K8" s="459"/>
      <c r="L8" s="459"/>
      <c r="M8" s="459"/>
      <c r="N8" s="459"/>
      <c r="O8" s="459"/>
      <c r="P8" s="459"/>
      <c r="Q8" s="459"/>
    </row>
    <row r="9" spans="1:17" ht="18" customHeight="1">
      <c r="A9" s="460" t="s">
        <v>1707</v>
      </c>
      <c r="B9" s="460"/>
      <c r="C9" s="460"/>
      <c r="D9" s="460"/>
      <c r="E9" s="460"/>
      <c r="F9" s="460"/>
      <c r="G9" s="460"/>
      <c r="H9" s="460"/>
      <c r="I9" s="460"/>
      <c r="J9" s="460"/>
      <c r="K9" s="460"/>
      <c r="L9" s="460"/>
      <c r="M9" s="460"/>
      <c r="N9" s="460"/>
      <c r="O9" s="301"/>
      <c r="P9" s="301"/>
      <c r="Q9" s="302"/>
    </row>
    <row r="10" spans="1:17" ht="57" customHeight="1">
      <c r="A10" s="461" t="s">
        <v>1729</v>
      </c>
      <c r="B10" s="462"/>
      <c r="C10" s="462"/>
      <c r="D10" s="462"/>
      <c r="E10" s="462"/>
      <c r="F10" s="462"/>
      <c r="G10" s="462"/>
      <c r="H10" s="462"/>
      <c r="I10" s="462"/>
      <c r="J10" s="462"/>
      <c r="K10" s="462"/>
      <c r="L10" s="462"/>
      <c r="M10" s="462"/>
      <c r="N10" s="462"/>
      <c r="O10" s="462"/>
      <c r="P10" s="462"/>
      <c r="Q10" s="463"/>
    </row>
    <row r="11" spans="1:17" ht="9" customHeight="1" thickBot="1">
      <c r="A11" s="303"/>
      <c r="B11" s="304"/>
      <c r="C11" s="304"/>
      <c r="D11" s="304"/>
      <c r="E11" s="304"/>
      <c r="F11" s="304"/>
      <c r="G11" s="305"/>
      <c r="H11" s="304"/>
      <c r="I11" s="304"/>
      <c r="J11" s="304"/>
      <c r="K11" s="304"/>
      <c r="L11" s="304"/>
      <c r="M11" s="304"/>
      <c r="N11" s="304"/>
      <c r="O11" s="304"/>
      <c r="P11" s="304"/>
      <c r="Q11" s="306"/>
    </row>
    <row r="12" spans="1:17" ht="15.75" customHeight="1" thickBot="1">
      <c r="A12" s="464" t="s">
        <v>1708</v>
      </c>
      <c r="B12" s="464"/>
      <c r="C12" s="464"/>
      <c r="D12" s="464"/>
      <c r="E12" s="464"/>
      <c r="F12" s="464"/>
      <c r="G12" s="464"/>
      <c r="H12" s="464"/>
      <c r="I12" s="464"/>
      <c r="J12" s="464"/>
      <c r="K12" s="464"/>
      <c r="L12" s="464"/>
      <c r="M12" s="464"/>
      <c r="N12" s="464"/>
      <c r="O12" s="464"/>
      <c r="P12" s="464"/>
      <c r="Q12" s="464"/>
    </row>
    <row r="13" spans="1:17" ht="15.75" customHeight="1" thickBot="1">
      <c r="A13" s="465" t="s">
        <v>1709</v>
      </c>
      <c r="B13" s="465"/>
      <c r="C13" s="465"/>
      <c r="D13" s="465"/>
      <c r="E13" s="465"/>
      <c r="F13" s="465"/>
      <c r="G13" s="465"/>
      <c r="H13" s="465"/>
      <c r="I13" s="465"/>
      <c r="J13" s="465"/>
      <c r="K13" s="465"/>
      <c r="L13" s="465"/>
      <c r="M13" s="465"/>
      <c r="N13" s="465"/>
      <c r="O13" s="466" t="s">
        <v>1710</v>
      </c>
      <c r="P13" s="466"/>
      <c r="Q13" s="467" t="s">
        <v>1711</v>
      </c>
    </row>
    <row r="14" spans="1:17" ht="15.75" customHeight="1" thickBot="1">
      <c r="A14" s="307" t="s">
        <v>1712</v>
      </c>
      <c r="B14" s="308" t="s">
        <v>1713</v>
      </c>
      <c r="C14" s="308" t="s">
        <v>1714</v>
      </c>
      <c r="D14" s="308" t="s">
        <v>1715</v>
      </c>
      <c r="E14" s="308" t="s">
        <v>1716</v>
      </c>
      <c r="F14" s="308" t="s">
        <v>1717</v>
      </c>
      <c r="G14" s="309" t="s">
        <v>1718</v>
      </c>
      <c r="H14" s="308" t="s">
        <v>1719</v>
      </c>
      <c r="I14" s="308" t="s">
        <v>1720</v>
      </c>
      <c r="J14" s="308" t="s">
        <v>1721</v>
      </c>
      <c r="K14" s="308" t="s">
        <v>1721</v>
      </c>
      <c r="L14" s="308" t="s">
        <v>1722</v>
      </c>
      <c r="M14" s="310" t="s">
        <v>1254</v>
      </c>
      <c r="N14" s="311" t="s">
        <v>1723</v>
      </c>
      <c r="O14" s="466"/>
      <c r="P14" s="466"/>
      <c r="Q14" s="467"/>
    </row>
    <row r="15" spans="1:17" ht="33.75" customHeight="1">
      <c r="A15" s="312">
        <v>30</v>
      </c>
      <c r="B15" s="313"/>
      <c r="C15" s="313"/>
      <c r="D15" s="313">
        <v>1</v>
      </c>
      <c r="E15" s="313"/>
      <c r="F15" s="313">
        <v>4901</v>
      </c>
      <c r="G15" s="313">
        <v>3</v>
      </c>
      <c r="H15" s="313">
        <v>1</v>
      </c>
      <c r="I15" s="314">
        <v>2</v>
      </c>
      <c r="J15" s="314">
        <v>9</v>
      </c>
      <c r="K15" s="314">
        <v>5</v>
      </c>
      <c r="L15" s="313"/>
      <c r="M15" s="315">
        <v>1</v>
      </c>
      <c r="N15" s="316" t="s">
        <v>1724</v>
      </c>
      <c r="O15" s="453" t="s">
        <v>1725</v>
      </c>
      <c r="P15" s="454"/>
      <c r="Q15" s="317">
        <f>SUM('Necesidades Trimestrales '!AS878:AS882)</f>
        <v>136500</v>
      </c>
    </row>
    <row r="16" spans="1:17" ht="29.25" customHeight="1">
      <c r="A16" s="318">
        <v>30</v>
      </c>
      <c r="B16" s="319"/>
      <c r="C16" s="319"/>
      <c r="D16" s="319">
        <v>1</v>
      </c>
      <c r="E16" s="319"/>
      <c r="F16" s="319">
        <v>4901</v>
      </c>
      <c r="G16" s="319">
        <v>3</v>
      </c>
      <c r="H16" s="319">
        <v>1</v>
      </c>
      <c r="I16" s="319">
        <v>2</v>
      </c>
      <c r="J16" s="319">
        <v>5</v>
      </c>
      <c r="K16" s="319">
        <v>9</v>
      </c>
      <c r="L16" s="319"/>
      <c r="M16" s="320">
        <v>1</v>
      </c>
      <c r="N16" s="321" t="s">
        <v>1724</v>
      </c>
      <c r="O16" s="442" t="s">
        <v>1731</v>
      </c>
      <c r="P16" s="443"/>
      <c r="Q16" s="322">
        <f>SUM('Necesidades Trimestrales '!AS883:AS889)</f>
        <v>2926020</v>
      </c>
    </row>
    <row r="17" spans="1:18" ht="17.25" customHeight="1">
      <c r="A17" s="318"/>
      <c r="B17" s="319"/>
      <c r="C17" s="319"/>
      <c r="D17" s="319"/>
      <c r="E17" s="319"/>
      <c r="F17" s="321"/>
      <c r="G17" s="319"/>
      <c r="H17" s="319"/>
      <c r="I17" s="319"/>
      <c r="J17" s="319"/>
      <c r="K17" s="319"/>
      <c r="L17" s="319"/>
      <c r="M17" s="320"/>
      <c r="N17" s="321"/>
      <c r="O17" s="444"/>
      <c r="P17" s="445"/>
      <c r="Q17" s="322"/>
    </row>
    <row r="18" spans="1:18" ht="17.25" customHeight="1">
      <c r="A18" s="318"/>
      <c r="B18" s="319"/>
      <c r="C18" s="319"/>
      <c r="D18" s="319"/>
      <c r="E18" s="319"/>
      <c r="F18" s="319"/>
      <c r="G18" s="319"/>
      <c r="H18" s="319"/>
      <c r="I18" s="319"/>
      <c r="J18" s="319"/>
      <c r="K18" s="319"/>
      <c r="L18" s="319"/>
      <c r="M18" s="320"/>
      <c r="N18" s="321"/>
      <c r="O18" s="445"/>
      <c r="P18" s="445"/>
      <c r="Q18" s="322"/>
    </row>
    <row r="19" spans="1:18" ht="17.25" customHeight="1">
      <c r="A19" s="318"/>
      <c r="B19" s="319"/>
      <c r="C19" s="319"/>
      <c r="D19" s="319"/>
      <c r="E19" s="319"/>
      <c r="F19" s="321"/>
      <c r="G19" s="319"/>
      <c r="H19" s="319"/>
      <c r="I19" s="319"/>
      <c r="J19" s="319"/>
      <c r="K19" s="319"/>
      <c r="L19" s="319"/>
      <c r="M19" s="320"/>
      <c r="N19" s="321"/>
      <c r="O19" s="445"/>
      <c r="P19" s="445"/>
      <c r="Q19" s="322"/>
    </row>
    <row r="20" spans="1:18" ht="17.25" customHeight="1">
      <c r="A20" s="318"/>
      <c r="B20" s="319"/>
      <c r="C20" s="319"/>
      <c r="D20" s="319"/>
      <c r="E20" s="319"/>
      <c r="F20" s="321"/>
      <c r="G20" s="319"/>
      <c r="H20" s="319"/>
      <c r="I20" s="319"/>
      <c r="J20" s="319"/>
      <c r="K20" s="319"/>
      <c r="L20" s="319"/>
      <c r="M20" s="320"/>
      <c r="N20" s="321"/>
      <c r="O20" s="445"/>
      <c r="P20" s="445"/>
      <c r="Q20" s="322"/>
    </row>
    <row r="21" spans="1:18" ht="17.25" customHeight="1">
      <c r="A21" s="323"/>
      <c r="B21" s="324"/>
      <c r="C21" s="324"/>
      <c r="D21" s="324"/>
      <c r="E21" s="324"/>
      <c r="F21" s="325"/>
      <c r="G21" s="324"/>
      <c r="H21" s="324"/>
      <c r="I21" s="324"/>
      <c r="J21" s="324"/>
      <c r="K21" s="324"/>
      <c r="L21" s="324"/>
      <c r="M21" s="326"/>
      <c r="N21" s="327"/>
      <c r="O21" s="444"/>
      <c r="P21" s="444"/>
      <c r="Q21" s="322"/>
      <c r="R21" s="301"/>
    </row>
    <row r="22" spans="1:18" ht="17.25" customHeight="1" thickBot="1">
      <c r="A22" s="328"/>
      <c r="B22" s="329"/>
      <c r="C22" s="329"/>
      <c r="D22" s="329"/>
      <c r="E22" s="329"/>
      <c r="F22" s="329"/>
      <c r="G22" s="329"/>
      <c r="H22" s="329"/>
      <c r="I22" s="329"/>
      <c r="J22" s="329"/>
      <c r="K22" s="329"/>
      <c r="L22" s="329"/>
      <c r="M22" s="330"/>
      <c r="N22" s="329"/>
      <c r="O22" s="446"/>
      <c r="P22" s="446"/>
      <c r="Q22" s="331"/>
    </row>
    <row r="23" spans="1:18" ht="36" customHeight="1" thickBot="1">
      <c r="A23" s="447" t="s">
        <v>1732</v>
      </c>
      <c r="B23" s="447"/>
      <c r="C23" s="447"/>
      <c r="D23" s="447"/>
      <c r="E23" s="447"/>
      <c r="F23" s="447"/>
      <c r="G23" s="447"/>
      <c r="H23" s="447"/>
      <c r="I23" s="447"/>
      <c r="J23" s="447"/>
      <c r="K23" s="447"/>
      <c r="L23" s="447"/>
      <c r="M23" s="447"/>
      <c r="N23" s="447"/>
      <c r="O23" s="447"/>
      <c r="P23" s="447"/>
      <c r="Q23" s="332">
        <f>+'Necesidades Trimestrales '!AS890</f>
        <v>3062520</v>
      </c>
    </row>
    <row r="24" spans="1:18" ht="18" customHeight="1" thickBot="1">
      <c r="A24" s="448"/>
      <c r="B24" s="448"/>
      <c r="C24" s="448"/>
      <c r="D24" s="448"/>
      <c r="E24" s="448"/>
      <c r="F24" s="448"/>
      <c r="G24" s="448"/>
      <c r="H24" s="448"/>
      <c r="I24" s="448"/>
      <c r="J24" s="448"/>
      <c r="K24" s="448"/>
      <c r="L24" s="448"/>
      <c r="M24" s="448"/>
      <c r="N24" s="448"/>
      <c r="O24" s="448"/>
      <c r="P24" s="448"/>
      <c r="Q24" s="448"/>
    </row>
    <row r="25" spans="1:18" ht="17.25" customHeight="1" thickBot="1">
      <c r="A25" s="449" t="s">
        <v>1726</v>
      </c>
      <c r="B25" s="450"/>
      <c r="C25" s="450"/>
      <c r="D25" s="450"/>
      <c r="E25" s="450"/>
      <c r="F25" s="451"/>
      <c r="G25" s="452"/>
      <c r="H25" s="452"/>
      <c r="I25" s="452"/>
      <c r="J25" s="452"/>
      <c r="K25" s="452"/>
      <c r="L25" s="452"/>
      <c r="M25" s="452"/>
      <c r="N25" s="452"/>
      <c r="O25" s="452"/>
      <c r="P25" s="452"/>
      <c r="Q25" s="452"/>
    </row>
    <row r="26" spans="1:18" ht="18" customHeight="1" thickBot="1">
      <c r="A26" s="441" t="s">
        <v>1728</v>
      </c>
      <c r="B26" s="441"/>
      <c r="C26" s="441"/>
      <c r="D26" s="441"/>
      <c r="E26" s="441"/>
      <c r="F26" s="441"/>
      <c r="G26" s="441"/>
      <c r="H26" s="441"/>
      <c r="I26" s="441"/>
      <c r="J26" s="441"/>
      <c r="K26" s="441"/>
      <c r="L26" s="441"/>
      <c r="M26" s="441"/>
      <c r="N26" s="441"/>
      <c r="O26" s="441"/>
      <c r="P26" s="441"/>
      <c r="Q26" s="441"/>
    </row>
    <row r="27" spans="1:18" ht="28.5" customHeight="1" thickBot="1">
      <c r="A27" s="441"/>
      <c r="B27" s="441"/>
      <c r="C27" s="441"/>
      <c r="D27" s="441"/>
      <c r="E27" s="441"/>
      <c r="F27" s="441"/>
      <c r="G27" s="441"/>
      <c r="H27" s="441"/>
      <c r="I27" s="441"/>
      <c r="J27" s="441"/>
      <c r="K27" s="441"/>
      <c r="L27" s="441"/>
      <c r="M27" s="441"/>
      <c r="N27" s="441"/>
      <c r="O27" s="441"/>
      <c r="P27" s="441"/>
      <c r="Q27" s="441"/>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rintOptions horizontalCentered="1"/>
  <pageMargins left="0.39370078740157483" right="0.39370078740157483" top="0.98425196850393704" bottom="0.98425196850393704" header="0.51181102362204722" footer="0.51181102362204722"/>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 </vt:lpstr>
      <vt:lpstr> NotaPedido FARMACIA</vt:lpstr>
      <vt:lpstr>APG FARMACIA </vt:lpstr>
      <vt:lpstr>' NotaPedido FARMACIA'!Área_de_impresión</vt:lpstr>
      <vt:lpstr>'APG FARMACIA '!Área_de_impresión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claudia</cp:lastModifiedBy>
  <cp:revision>2</cp:revision>
  <cp:lastPrinted>2021-02-22T15:06:37Z</cp:lastPrinted>
  <dcterms:created xsi:type="dcterms:W3CDTF">2020-07-17T23:44:49Z</dcterms:created>
  <dcterms:modified xsi:type="dcterms:W3CDTF">2021-03-28T18:08:19Z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