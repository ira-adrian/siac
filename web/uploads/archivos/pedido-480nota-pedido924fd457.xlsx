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compartida PATRIMONIO-ASESORIA CONTABLE\pedidos 2022\72- ALIMENTOS NO PERECEDEROS\"/>
    </mc:Choice>
  </mc:AlternateContent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7" i="1" l="1"/>
  <c r="I46" i="1"/>
  <c r="I19" i="1"/>
  <c r="I11" i="1"/>
  <c r="I12" i="1"/>
  <c r="I13" i="1"/>
  <c r="I14" i="1"/>
  <c r="I15" i="1"/>
  <c r="I16" i="1"/>
  <c r="I17" i="1"/>
  <c r="I18" i="1"/>
  <c r="I20" i="1"/>
  <c r="I21" i="1"/>
  <c r="I22" i="1"/>
  <c r="I44" i="1"/>
  <c r="I23" i="1"/>
  <c r="I24" i="1"/>
  <c r="I25" i="1"/>
  <c r="I26" i="1"/>
  <c r="I27" i="1"/>
  <c r="I28" i="1"/>
  <c r="I29" i="1"/>
  <c r="I30" i="1"/>
  <c r="I31" i="1"/>
  <c r="I32" i="1"/>
  <c r="I45" i="1"/>
  <c r="I33" i="1"/>
  <c r="I34" i="1"/>
  <c r="I35" i="1"/>
  <c r="I36" i="1"/>
  <c r="I37" i="1"/>
  <c r="I38" i="1"/>
  <c r="I39" i="1"/>
  <c r="I40" i="1"/>
  <c r="I41" i="1"/>
  <c r="I42" i="1"/>
  <c r="I43" i="1"/>
  <c r="I10" i="1" l="1"/>
  <c r="I48" i="1" s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<sst xmlns="http://schemas.openxmlformats.org/spreadsheetml/2006/main" count="271" uniqueCount="153">
  <si>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</si>
  <si>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</si>
  <si>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</si>
  <si>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</si>
  <si>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</si>
  <si>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</si>
  <si>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</si>
  <si>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</si>
  <si>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</si>
  <si>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</si>
  <si>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</si>
  <si>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</si>
  <si>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</si>
  <si>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</si>
  <si>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</si>
  <si>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</si>
  <si>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2.1.1-481.38</t>
  </si>
  <si>
    <t>ALIMENTOS</t>
  </si>
  <si>
    <t>2.1.1</t>
  </si>
  <si>
    <t>UNIDAD</t>
  </si>
  <si>
    <t>2.1.1-454.25</t>
  </si>
  <si>
    <t>2.1.1-439.67</t>
  </si>
  <si>
    <t>2.1.1-708.23</t>
  </si>
  <si>
    <t>2.1.1-6546.5</t>
  </si>
  <si>
    <t>2.1.1-6547.84</t>
  </si>
  <si>
    <t>2.1.1-2868.78</t>
  </si>
  <si>
    <t>2.1.1-2868.76</t>
  </si>
  <si>
    <t>2.1.1-2868.77</t>
  </si>
  <si>
    <t>2.1.1-435.60</t>
  </si>
  <si>
    <t>2.1.1-514.2</t>
  </si>
  <si>
    <t>2.1.1-514.14</t>
  </si>
  <si>
    <t>2.1.1-482.81</t>
  </si>
  <si>
    <t>2.1.1-2431.13</t>
  </si>
  <si>
    <t>2.1.1-511.8</t>
  </si>
  <si>
    <t>2.1.1-709.25</t>
  </si>
  <si>
    <t>2.1.1-6546.269</t>
  </si>
  <si>
    <t>2.1.1-6547.70</t>
  </si>
  <si>
    <t>2.1.1-705.93</t>
  </si>
  <si>
    <t>2.1.1-709.9</t>
  </si>
  <si>
    <t>2.1.1-510.3</t>
  </si>
  <si>
    <t>2.1.1-482.80</t>
  </si>
  <si>
    <t>2.1.1-2616.9</t>
  </si>
  <si>
    <t>2.1.1-6547.56</t>
  </si>
  <si>
    <t>2.1.1-3438.2</t>
  </si>
  <si>
    <t>2.1.1-489.163</t>
  </si>
  <si>
    <t>2.1.1-489.125</t>
  </si>
  <si>
    <t>2.1.1-489.119</t>
  </si>
  <si>
    <t>2.1.1-489.66</t>
  </si>
  <si>
    <t>2.1.1-489.67</t>
  </si>
  <si>
    <t>2.1.1-489.132</t>
  </si>
  <si>
    <t>2.1.1-489.109</t>
  </si>
  <si>
    <t>2.1.1-708.22</t>
  </si>
  <si>
    <t>2.1.1-509.14</t>
  </si>
  <si>
    <t>2.1.1-482.90</t>
  </si>
  <si>
    <t>2.1.1-706.8</t>
  </si>
  <si>
    <t>MATE COCIDO; ENVASE: CAJA CARTON, PRESENTACION: SEGÚN PLIEGO, SAQUITOS P/CAJA: 100 UN, PESO X SAQ.: 3 GR</t>
  </si>
  <si>
    <t>2.1.1-2615.16</t>
  </si>
  <si>
    <t>2.1.1-489.68</t>
  </si>
  <si>
    <t>Especificidades:</t>
  </si>
  <si>
    <t>DESCRIPCION ITEM 35: ENVASE  BOLSA</t>
  </si>
  <si>
    <t>DESCRIPCION ITEM 36: PRESENTACION SAQUITOS</t>
  </si>
  <si>
    <t>ITEM 1 AL 38 : Se requieren las siguientes consideraciones en los alimentos no perecederos: 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</si>
  <si>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</si>
  <si>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Las entregas se realizarán a requerimiento de acuerdo, a las Solicitudes de Provisión que se realicen. Se estima emitir una cantidad aproximada de 2 (Dos) Solicitudes de Provisión de 1/2 aprox. de la cantidad solicitada, en un plazo de 2 (Dos) meses: 1° Solic.de Provisión: aprox.a los 2 (Dos) dias hábiles de la firma del instrumento contractual, 2° Solic.de Provisión: al mes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</si>
  <si>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</si>
  <si>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>Que cumpla con lo solicitado en forma íntegra. Presentar muestras para los ítems 1 al 38, en su envase original, en el cual se pueda observar de forma clara la marca del mismo y sus características. La recepción de las muestras se realizará en el Departamento Logística (D-4) de la Policía de Catamarca, hasta el  momentos de la apertura, sito en Ruta Provincial N° 33-sumalao-Valle Viejo. Provincia de Catamarca. Las muestras deben estar debidamente rotuladas por ítems e identificando claramente el oferente cotizante. No se aceptan muestras distinto a lo cotizado.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</si>
  <si>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</si>
  <si>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</si>
  <si>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</si>
  <si>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</si>
  <si>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</si>
  <si>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</si>
  <si>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</si>
  <si>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</si>
  <si>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</si>
  <si>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</si>
  <si>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</si>
  <si>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</si>
  <si>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</si>
  <si>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</si>
  <si>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</si>
  <si>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</si>
  <si>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</si>
  <si>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</si>
  <si>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</si>
  <si>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</si>
  <si>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</si>
  <si>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</si>
  <si>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</si>
  <si>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</si>
  <si>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</si>
  <si>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</si>
  <si>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</si>
  <si>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</si>
  <si>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</si>
  <si>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</si>
  <si>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</si>
  <si>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</si>
  <si>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</si>
  <si>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</si>
  <si>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</si>
  <si>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</si>
  <si>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</si>
  <si>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</si>
  <si>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</si>
  <si>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</si>
  <si>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</si>
  <si>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</si>
  <si>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</si>
  <si>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</si>
  <si>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</si>
  <si>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</si>
  <si>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</si>
  <si>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</si>
  <si>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</si>
  <si>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</si>
  <si>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r>
      <rPr>
        <b/>
        <sz val="11"/>
        <color theme="1"/>
        <rFont val="Calibri"/>
        <family val="2"/>
      </rPr>
      <t xml:space="preserve">AZUCARES; </t>
    </r>
    <r>
      <rPr>
        <sz val="11"/>
        <color theme="1"/>
        <rFont val="Calibri"/>
        <family val="2"/>
      </rPr>
      <t>TIPO: "A" COMUN, ESTADO: MOLIDA, PESO: 1 Kg, MATERIAL ENVASE: PLASTICO, CERTIFICADO FORESTAL (GFS): SIN, ELEM. TRANSPORTE: SIN, MATERIAL ELEM. TRANSPORTE: SIN</t>
    </r>
  </si>
  <si>
    <r>
      <rPr>
        <b/>
        <sz val="11"/>
        <color theme="1"/>
        <rFont val="Calibri"/>
        <family val="2"/>
      </rPr>
      <t>YERBAS;</t>
    </r>
    <r>
      <rPr>
        <sz val="11"/>
        <color theme="1"/>
        <rFont val="Calibri"/>
        <family val="2"/>
      </rPr>
      <t xml:space="preserve"> PALO: CON, PESO: 1 Kg, MATERIAL ENVASE : PAPEL, CERTIFICADO FORESTAL (GFS): CON, ELEM. TRANSPORTE: SIN, MATERIAL ELEM. TRANSPORTE: SIN, LIBRE DE GLUTEN: SI</t>
    </r>
  </si>
  <si>
    <r>
      <rPr>
        <b/>
        <sz val="11"/>
        <color theme="1"/>
        <rFont val="Calibri"/>
        <family val="2"/>
      </rPr>
      <t>ACEITES COMESTIBLES;</t>
    </r>
    <r>
      <rPr>
        <sz val="11"/>
        <color theme="1"/>
        <rFont val="Calibri"/>
        <family val="2"/>
      </rPr>
      <t xml:space="preserve"> TIPO: GIRASOL, PRESENTACION: ENVASE X 900 CM3, MATERIAL ENVASE: PLASTICO 1 (PET), ELEM. TRANSPORTE: SIN, MATERIAL ELEM. TRANSPORTE : SIN, LIBRE DE GLUTEN: NO</t>
    </r>
  </si>
  <si>
    <r>
      <rPr>
        <b/>
        <sz val="11"/>
        <color theme="1"/>
        <rFont val="Calibri"/>
        <family val="2"/>
      </rPr>
      <t>CONSERVAS PESCADO Y FRUTOS MAR;</t>
    </r>
    <r>
      <rPr>
        <sz val="11"/>
        <color theme="1"/>
        <rFont val="Calibri"/>
        <family val="2"/>
      </rPr>
      <t xml:space="preserve"> ESTADO: AL NATURAL, PESO: 380 GR, ENVASE: LATA, TIPO: CABALLA, ESPECIE: CABALLA</t>
    </r>
  </si>
  <si>
    <r>
      <t xml:space="preserve">VERDURAS Y HORTALIZAS; PRESENTACION: BOTELLA, VARIEDAD: </t>
    </r>
    <r>
      <rPr>
        <b/>
        <sz val="11"/>
        <color theme="1"/>
        <rFont val="Calibri"/>
        <family val="2"/>
      </rPr>
      <t>TOMATE PERITA</t>
    </r>
    <r>
      <rPr>
        <sz val="11"/>
        <color theme="1"/>
        <rFont val="Calibri"/>
        <family val="2"/>
      </rPr>
      <t>, ESTADO: TRITURADO, PESO: 970 GR</t>
    </r>
  </si>
  <si>
    <r>
      <t>LEGUMBRES; VARIEDAD:</t>
    </r>
    <r>
      <rPr>
        <b/>
        <sz val="11"/>
        <color theme="1"/>
        <rFont val="Calibri"/>
        <family val="2"/>
      </rPr>
      <t xml:space="preserve"> ARVEJAS</t>
    </r>
    <r>
      <rPr>
        <sz val="11"/>
        <color theme="1"/>
        <rFont val="Calibri"/>
        <family val="2"/>
      </rPr>
      <t>, ESTADO: CONSERVA, PRESENTACION: LATA, PESO: 350 GR, MATERIAL ENVASE: METAL, ELEM. TRANSPORTE: SIN, MATERIAL ELEM. TRANSPORTE: SIN, LIBRE DE GLUTEN: NO</t>
    </r>
  </si>
  <si>
    <r>
      <rPr>
        <b/>
        <sz val="11"/>
        <color theme="1"/>
        <rFont val="Calibri"/>
        <family val="2"/>
      </rPr>
      <t>FIDEOS SECOS;</t>
    </r>
    <r>
      <rPr>
        <sz val="11"/>
        <color theme="1"/>
        <rFont val="Calibri"/>
        <family val="2"/>
      </rPr>
      <t xml:space="preserve"> LIBRE DE GLUTEN: NO, CERTIFICADO FORESTAL (GFS): SIN, MATERIAL ELEM. TRANSPORTE: SIN, ELEM. TRANSPORTE: SIN, MATERIAL ENVASE: POLIETILENO, PRESENTACION: ENVASE X 500 GR, RELLENO: SIN, VARIEDAD:</t>
    </r>
    <r>
      <rPr>
        <b/>
        <sz val="11"/>
        <color theme="1"/>
        <rFont val="Calibri"/>
        <family val="2"/>
      </rPr>
      <t xml:space="preserve"> TALLARIN</t>
    </r>
  </si>
  <si>
    <r>
      <rPr>
        <b/>
        <sz val="11"/>
        <color theme="1"/>
        <rFont val="Calibri"/>
        <family val="2"/>
      </rPr>
      <t>FIDEOS SECOS</t>
    </r>
    <r>
      <rPr>
        <sz val="11"/>
        <color theme="1"/>
        <rFont val="Calibri"/>
        <family val="2"/>
      </rPr>
      <t xml:space="preserve">; LIBRE DE GLUTEN: NO, CERTIFICADO FORESTAL (GFS): SIN, MATERIAL ELEM. TRANSPORTE: SIN, ELEM. TRANSPORTE: SIN, MATERIAL ENVASE: POLIETILENO, PRESENTACION: ENVASE X 500 GR, RELLENO: SIN, VARIEDAD: </t>
    </r>
    <r>
      <rPr>
        <b/>
        <sz val="11"/>
        <color theme="1"/>
        <rFont val="Calibri"/>
        <family val="2"/>
      </rPr>
      <t>SOPERO</t>
    </r>
  </si>
  <si>
    <r>
      <rPr>
        <b/>
        <sz val="11"/>
        <color theme="1"/>
        <rFont val="Calibri"/>
        <family val="2"/>
      </rPr>
      <t>FIDEOS SECOS</t>
    </r>
    <r>
      <rPr>
        <sz val="11"/>
        <color theme="1"/>
        <rFont val="Calibri"/>
        <family val="2"/>
      </rPr>
      <t xml:space="preserve">; LIBRE DE GLUTEN: NO, CERTIFICADO FORESTAL (GFS): SIN, MATERIAL ELEM. TRANSPORTE: SIN, ELEM. TRANSPORTE: SIN, MATERIAL ENVASE: POLIETILENO, PRESENTACION: ENVASE X 500 GR, RELLENO: SIN, VARIEDAD: </t>
    </r>
    <r>
      <rPr>
        <b/>
        <sz val="11"/>
        <color theme="1"/>
        <rFont val="Calibri"/>
        <family val="2"/>
      </rPr>
      <t>GUISERO</t>
    </r>
  </si>
  <si>
    <r>
      <rPr>
        <b/>
        <sz val="11"/>
        <color theme="1"/>
        <rFont val="Calibri"/>
        <family val="2"/>
      </rPr>
      <t>ARROZ;</t>
    </r>
    <r>
      <rPr>
        <sz val="11"/>
        <color theme="1"/>
        <rFont val="Calibri"/>
        <family val="2"/>
      </rPr>
      <t xml:space="preserve"> TIPO GRANO: LARGO-FINO, TIPO: BLANCO, PROCESO: SIN CASCARA, PRESENTACION: BOLSA X 1 Kg, MATERIAL ENVASE: PLASTICO, CERTIFICADO FORESTAL (GFS): SIN, ELEM. TRANSPORTE: SIN, MATERIAL ELEM. TRANSPORTE: SIN, LIBRE DE GLUTEN: SI</t>
    </r>
  </si>
  <si>
    <r>
      <rPr>
        <b/>
        <sz val="11"/>
        <color theme="1"/>
        <rFont val="Calibri"/>
        <family val="2"/>
      </rPr>
      <t>SAL DE MESA;</t>
    </r>
    <r>
      <rPr>
        <sz val="11"/>
        <color theme="1"/>
        <rFont val="Calibri"/>
        <family val="2"/>
      </rPr>
      <t xml:space="preserve"> CONSISTENCIA: FINA, PESO: 500 GR, TIPO: SIN VALOR, ENVASE: PAQUETE</t>
    </r>
  </si>
  <si>
    <r>
      <rPr>
        <b/>
        <sz val="11"/>
        <color theme="1"/>
        <rFont val="Calibri"/>
        <family val="2"/>
      </rPr>
      <t>SAL DE MESA</t>
    </r>
    <r>
      <rPr>
        <sz val="11"/>
        <color theme="1"/>
        <rFont val="Calibri"/>
        <family val="2"/>
      </rPr>
      <t>; ENVASE: BOLSA, PESO: 5 Kg, CONSISTENCIA: GRUESA, TIPO: SIN VALOR</t>
    </r>
  </si>
  <si>
    <r>
      <rPr>
        <b/>
        <sz val="11"/>
        <color theme="1"/>
        <rFont val="Calibri"/>
        <family val="2"/>
      </rPr>
      <t>HARINAS</t>
    </r>
    <r>
      <rPr>
        <sz val="11"/>
        <color theme="1"/>
        <rFont val="Calibri"/>
        <family val="2"/>
      </rPr>
      <t xml:space="preserve">; TIPO: LEUDANTE, PRESENTACION: </t>
    </r>
    <r>
      <rPr>
        <b/>
        <sz val="11"/>
        <color theme="1"/>
        <rFont val="Calibri"/>
        <family val="2"/>
      </rPr>
      <t>ENVASE X 1 Kg</t>
    </r>
    <r>
      <rPr>
        <sz val="11"/>
        <color theme="1"/>
        <rFont val="Calibri"/>
        <family val="2"/>
      </rPr>
      <t>, MATERIAL ENVASE: PAPEL, CERTICADO FORESTAL (GFS): SIN, ELEM. TRANSPORTE: SIN, MATERIAL ELEM. TRANSPORTE: SIN, LIBRE DE GLUTEN: NO</t>
    </r>
  </si>
  <si>
    <r>
      <rPr>
        <b/>
        <sz val="11"/>
        <color theme="1"/>
        <rFont val="Calibri"/>
        <family val="2"/>
      </rPr>
      <t>CALDOS</t>
    </r>
    <r>
      <rPr>
        <sz val="11"/>
        <color theme="1"/>
        <rFont val="Calibri"/>
        <family val="2"/>
      </rPr>
      <t>; GUSTO: VERDURA, TIPO: DESHIDRATADO, PRESENTACION: ENVASE X 12 UN</t>
    </r>
  </si>
  <si>
    <r>
      <rPr>
        <b/>
        <sz val="11"/>
        <color theme="1"/>
        <rFont val="Calibri"/>
        <family val="2"/>
      </rPr>
      <t>TE;</t>
    </r>
    <r>
      <rPr>
        <sz val="11"/>
        <color theme="1"/>
        <rFont val="Calibri"/>
        <family val="2"/>
      </rPr>
      <t xml:space="preserve"> SAQUITOS 2G P/CAJA: 50, PESO: SIN VALOR, TIPO: SIN VALOR, PRESENTACION: EN SAQUITOS</t>
    </r>
  </si>
  <si>
    <r>
      <rPr>
        <b/>
        <sz val="11"/>
        <color theme="1"/>
        <rFont val="Calibri"/>
        <family val="2"/>
      </rPr>
      <t>CAFE</t>
    </r>
    <r>
      <rPr>
        <sz val="11"/>
        <color theme="1"/>
        <rFont val="Calibri"/>
        <family val="2"/>
      </rPr>
      <t>; ENVASE: SAQUITO EN CAJA X 20 SOBRE, CONTENIDO: 7 GR, ESTADO: MOLIDO, PROCESO: TORRADO, TIPO: FUERTE, PRESENTACION: 20 X ENVASE X 7 GR</t>
    </r>
  </si>
  <si>
    <r>
      <t xml:space="preserve">VERDURAS Y HORTALIZAS; VARIEDAD: </t>
    </r>
    <r>
      <rPr>
        <b/>
        <sz val="11"/>
        <color theme="1"/>
        <rFont val="Calibri"/>
        <family val="2"/>
      </rPr>
      <t>CHOCLO,</t>
    </r>
    <r>
      <rPr>
        <sz val="11"/>
        <color theme="1"/>
        <rFont val="Calibri"/>
        <family val="2"/>
      </rPr>
      <t xml:space="preserve"> ESTADO: GRANO, PRESENTACION:</t>
    </r>
    <r>
      <rPr>
        <b/>
        <sz val="11"/>
        <color theme="1"/>
        <rFont val="Calibri"/>
        <family val="2"/>
      </rPr>
      <t xml:space="preserve"> LATA</t>
    </r>
    <r>
      <rPr>
        <sz val="11"/>
        <color theme="1"/>
        <rFont val="Calibri"/>
        <family val="2"/>
      </rPr>
      <t>, PESO: 350 GR</t>
    </r>
  </si>
  <si>
    <r>
      <rPr>
        <b/>
        <sz val="11"/>
        <color theme="1"/>
        <rFont val="Calibri"/>
        <family val="2"/>
      </rPr>
      <t>LEGUMBRES</t>
    </r>
    <r>
      <rPr>
        <sz val="11"/>
        <color theme="1"/>
        <rFont val="Calibri"/>
        <family val="2"/>
      </rPr>
      <t>; VARIEDAD: LENTEJA, ESTADO: SECO, PRESENTACION: BOLSA, PESO: 1 Kg</t>
    </r>
  </si>
  <si>
    <r>
      <rPr>
        <b/>
        <sz val="11"/>
        <color theme="1"/>
        <rFont val="Calibri"/>
        <family val="2"/>
      </rPr>
      <t>LECHE</t>
    </r>
    <r>
      <rPr>
        <sz val="11"/>
        <color theme="1"/>
        <rFont val="Calibri"/>
        <family val="2"/>
      </rPr>
      <t>; ESTADO: POLVO, TIPO: ENTERA, PROCESO: PASTEURIZADA, AGREGADO: VITAMINAS A Y D, PRESENTACION: ENVASE X 800 GR, MATERIAL ENVASE: CARTON, ELEM. TRANSPORTE: SIN, MATERIAL ELEM. TRANSPORTE: SIN, CERTIFICADO FORESTAL (GFS): SIN, LIBRE DE GLUTEN: SI</t>
    </r>
  </si>
  <si>
    <r>
      <rPr>
        <b/>
        <sz val="11"/>
        <color theme="1"/>
        <rFont val="Calibri"/>
        <family val="2"/>
      </rPr>
      <t>CAFE</t>
    </r>
    <r>
      <rPr>
        <sz val="11"/>
        <color theme="1"/>
        <rFont val="Calibri"/>
        <family val="2"/>
      </rPr>
      <t>; ESTADO: MOLIDO, CONTENIDO: 1000 GR, PROCESO: TOSTADO C/AZUCAR, ENVASE: PAQUETE, TIPO: SIN VALOR, PRESENTACION: ENVASE X 1000 GR</t>
    </r>
  </si>
  <si>
    <r>
      <rPr>
        <b/>
        <sz val="11"/>
        <color theme="1"/>
        <rFont val="Calibri"/>
        <family val="2"/>
      </rPr>
      <t xml:space="preserve">GELATINAS; </t>
    </r>
    <r>
      <rPr>
        <sz val="11"/>
        <color theme="1"/>
        <rFont val="Calibri"/>
        <family val="2"/>
      </rPr>
      <t>TIPO: BAJAS CALORIAS, ENVASE: CAJA DE CARTON, PESO: 30 GR, SABOR: CEREZA</t>
    </r>
  </si>
  <si>
    <r>
      <rPr>
        <b/>
        <sz val="11"/>
        <color theme="1"/>
        <rFont val="Calibri"/>
        <family val="2"/>
      </rPr>
      <t>HARINAS</t>
    </r>
    <r>
      <rPr>
        <sz val="11"/>
        <color theme="1"/>
        <rFont val="Calibri"/>
        <family val="2"/>
      </rPr>
      <t>; TIPO: DE TRIGO 000, PRESENTACION: ENVASE X 1 Kg, MATERIAL ENVASE: PAPEL, CERTICADO FORESTAL (GFS): SIN, ELEM. TRANSPORTE: SIN, MATERIAL ELEM. TRANSPORTE: SIN, LIBRE DE GLUTEN: NO</t>
    </r>
  </si>
  <si>
    <r>
      <rPr>
        <b/>
        <sz val="11"/>
        <color theme="1"/>
        <rFont val="Calibri"/>
        <family val="2"/>
      </rPr>
      <t xml:space="preserve">MAIZ; </t>
    </r>
    <r>
      <rPr>
        <sz val="11"/>
        <color theme="1"/>
        <rFont val="Calibri"/>
        <family val="2"/>
      </rPr>
      <t>TIPO: BLANCO PISADO, PRESENTACION: ENVASE X 500 GR, FORMA DE PRESENTACION: SIN VALOR</t>
    </r>
  </si>
  <si>
    <r>
      <rPr>
        <b/>
        <sz val="11"/>
        <color theme="1"/>
        <rFont val="Calibri"/>
        <family val="2"/>
      </rPr>
      <t>LEGUMBRES;</t>
    </r>
    <r>
      <rPr>
        <sz val="11"/>
        <color theme="1"/>
        <rFont val="Calibri"/>
        <family val="2"/>
      </rPr>
      <t xml:space="preserve"> VARIEDAD: POROTO BLANCO OVAL, ESTADO: SECO, PRESENTACION: BOLSA, PESO: 500 GR</t>
    </r>
  </si>
  <si>
    <r>
      <rPr>
        <b/>
        <sz val="11"/>
        <color theme="1"/>
        <rFont val="Calibri"/>
        <family val="2"/>
      </rPr>
      <t>CEREALES EN COPOS</t>
    </r>
    <r>
      <rPr>
        <sz val="11"/>
        <color theme="1"/>
        <rFont val="Calibri"/>
        <family val="2"/>
      </rPr>
      <t>; VARIEDAD: SIN AZUCAR, TIPO: COPOS, PRESENTACION: ENVASE X 400 GR</t>
    </r>
  </si>
  <si>
    <r>
      <t>ESPECIAS; TIPO:</t>
    </r>
    <r>
      <rPr>
        <b/>
        <sz val="11"/>
        <color theme="1"/>
        <rFont val="Calibri"/>
        <family val="2"/>
      </rPr>
      <t xml:space="preserve"> ADOBO PARA PIZZA</t>
    </r>
    <r>
      <rPr>
        <sz val="11"/>
        <color theme="1"/>
        <rFont val="Calibri"/>
        <family val="2"/>
      </rPr>
      <t>, PRESENTACION: ENVASE X 1 Kg</t>
    </r>
  </si>
  <si>
    <r>
      <t xml:space="preserve">ESPECIAS; TIPO: </t>
    </r>
    <r>
      <rPr>
        <b/>
        <sz val="11"/>
        <color theme="1"/>
        <rFont val="Calibri"/>
        <family val="2"/>
      </rPr>
      <t>CONDIMENTO P/ARROZ</t>
    </r>
    <r>
      <rPr>
        <sz val="11"/>
        <color theme="1"/>
        <rFont val="Calibri"/>
        <family val="2"/>
      </rPr>
      <t>, PRESENTACION: BOLSA X 1 Kg</t>
    </r>
  </si>
  <si>
    <r>
      <t>ESPECIAS; TIPO:</t>
    </r>
    <r>
      <rPr>
        <b/>
        <sz val="11"/>
        <color theme="1"/>
        <rFont val="Calibri"/>
        <family val="2"/>
      </rPr>
      <t xml:space="preserve"> COMINO</t>
    </r>
    <r>
      <rPr>
        <sz val="11"/>
        <color theme="1"/>
        <rFont val="Calibri"/>
        <family val="2"/>
      </rPr>
      <t>, PRESENTACION: BOLSA X 1 Kg</t>
    </r>
  </si>
  <si>
    <r>
      <t>ESPECIAS; TIPO:</t>
    </r>
    <r>
      <rPr>
        <b/>
        <sz val="11"/>
        <color theme="1"/>
        <rFont val="Calibri"/>
        <family val="2"/>
      </rPr>
      <t xml:space="preserve"> OREGANO,</t>
    </r>
    <r>
      <rPr>
        <sz val="11"/>
        <color theme="1"/>
        <rFont val="Calibri"/>
        <family val="2"/>
      </rPr>
      <t xml:space="preserve"> PRESENTACION: BOLSA DE 1 Kg</t>
    </r>
  </si>
  <si>
    <r>
      <t>ESPECIAS; TIPO:</t>
    </r>
    <r>
      <rPr>
        <b/>
        <sz val="11"/>
        <color theme="1"/>
        <rFont val="Calibri"/>
        <family val="2"/>
      </rPr>
      <t xml:space="preserve"> PIMENTON</t>
    </r>
    <r>
      <rPr>
        <sz val="11"/>
        <color theme="1"/>
        <rFont val="Calibri"/>
        <family val="2"/>
      </rPr>
      <t>, PRESENTACION: BOLSA DE 1 Kg</t>
    </r>
  </si>
  <si>
    <r>
      <t>ESPECIAS; TIPO:</t>
    </r>
    <r>
      <rPr>
        <b/>
        <sz val="11"/>
        <color theme="1"/>
        <rFont val="Calibri"/>
        <family val="2"/>
      </rPr>
      <t xml:space="preserve"> PIMIENTA BLANCA</t>
    </r>
    <r>
      <rPr>
        <sz val="11"/>
        <color theme="1"/>
        <rFont val="Calibri"/>
        <family val="2"/>
      </rPr>
      <t>, PRESENTACION: ENVASE X 1 Kg</t>
    </r>
  </si>
  <si>
    <r>
      <t>ESPECIAS; TIPO:</t>
    </r>
    <r>
      <rPr>
        <b/>
        <sz val="11"/>
        <color theme="1"/>
        <rFont val="Calibri"/>
        <family val="2"/>
      </rPr>
      <t xml:space="preserve"> PROVENZAL</t>
    </r>
    <r>
      <rPr>
        <sz val="11"/>
        <color theme="1"/>
        <rFont val="Calibri"/>
        <family val="2"/>
      </rPr>
      <t>, PRESENTACION: PAQUETE X 1 Kg</t>
    </r>
  </si>
  <si>
    <r>
      <t>CONSERVAS PESCADO Y FRUTOS MAR; ESPECIE:</t>
    </r>
    <r>
      <rPr>
        <b/>
        <sz val="11"/>
        <color theme="1"/>
        <rFont val="Calibri"/>
        <family val="2"/>
      </rPr>
      <t xml:space="preserve"> SARDINA</t>
    </r>
    <r>
      <rPr>
        <sz val="11"/>
        <color theme="1"/>
        <rFont val="Calibri"/>
        <family val="2"/>
      </rPr>
      <t>, ESTADO: EN ACEITE, PESO: 125 GR, ENVASE: LATA, TIPO: SARDINA</t>
    </r>
  </si>
  <si>
    <r>
      <t xml:space="preserve">PURE; TIPO: </t>
    </r>
    <r>
      <rPr>
        <b/>
        <sz val="11"/>
        <color theme="1"/>
        <rFont val="Calibri"/>
        <family val="2"/>
      </rPr>
      <t>TOMATE PERITA</t>
    </r>
    <r>
      <rPr>
        <sz val="11"/>
        <color theme="1"/>
        <rFont val="Calibri"/>
        <family val="2"/>
      </rPr>
      <t>, ENVASE: CAJA DE CARTON, PESO: 520 GR, LIBRE DE GLUTEN: NO</t>
    </r>
  </si>
  <si>
    <r>
      <t>HARINAS; TIPO:</t>
    </r>
    <r>
      <rPr>
        <b/>
        <sz val="11"/>
        <color theme="1"/>
        <rFont val="Calibri"/>
        <family val="2"/>
      </rPr>
      <t xml:space="preserve"> MAIZ</t>
    </r>
    <r>
      <rPr>
        <sz val="11"/>
        <color theme="1"/>
        <rFont val="Calibri"/>
        <family val="2"/>
      </rPr>
      <t>, PRESENTACION: ENVASE X 1 KG, MATERIAL ENVASE: SEGÚN PLIEGO, CERTICADO FORESTAL (GFS): SIN, ELEM. TRANSPORTE: SIN, MATERIAL ELEM. TRANSPORTE: SIN, LIBRE DE GLUTEN: NO</t>
    </r>
  </si>
  <si>
    <r>
      <rPr>
        <b/>
        <sz val="11"/>
        <color theme="1"/>
        <rFont val="Calibri"/>
        <family val="2"/>
      </rPr>
      <t>CACAO;</t>
    </r>
    <r>
      <rPr>
        <sz val="11"/>
        <color theme="1"/>
        <rFont val="Calibri"/>
        <family val="2"/>
      </rPr>
      <t xml:space="preserve"> TIPO: AMARGO, PRESENTACION: ENVASE X 1 Kg, FORMA DE PRESENTACION: POLVO, MATERIAL ENVASE: POLIETILENO, CERTICADO FORESTAL (GFS): CON, LIBRE DE GLUTEN: SI</t>
    </r>
  </si>
  <si>
    <r>
      <t>ESPECIAS; PRESENTACION: BOLSA DE 1 Kg, TIPO:</t>
    </r>
    <r>
      <rPr>
        <b/>
        <sz val="11"/>
        <color theme="1"/>
        <rFont val="Calibri"/>
        <family val="2"/>
      </rPr>
      <t xml:space="preserve"> AJI MOLIDO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</si>
</sst>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9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0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22" fillId="0" borderId="42" xfId="0" applyFont="1" applyBorder="1" applyAlignment="1">
      <alignment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22" fillId="0" borderId="54" xfId="0" applyFont="1" applyBorder="1" applyAlignment="1">
      <alignment vertical="center"/>
    </xf>
    <xf numFmtId="0" fontId="22" fillId="0" borderId="54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5" fillId="6" borderId="56" xfId="0" applyFont="1" applyFill="1" applyBorder="1" applyAlignment="1">
      <alignment horizontal="left" vertical="center" wrapText="1"/>
    </xf>
    <xf numFmtId="0" fontId="5" fillId="6" borderId="55" xfId="0" applyFont="1" applyFill="1" applyBorder="1" applyAlignment="1">
      <alignment horizontal="left" vertical="center" wrapText="1"/>
    </xf>
    <xf numFmtId="0" fontId="9" fillId="6" borderId="56" xfId="0" applyFont="1" applyFill="1" applyBorder="1" applyAlignment="1">
      <alignment horizontal="left" vertical="center"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9"/>
  <sheetViews>
    <sheetView tabSelected="1" topLeftCell="A42" zoomScale="80" zoomScaleNormal="80" workbookViewId="0">
      <selection activeCell="A47" sqref="A47:XFD47"/>
    </sheetView>
  </sheetViews>
  <sheetFormatPr baseColWidth="10" defaultColWidth="11.42578125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88" customWidth="1"/>
    <col min="6" max="6" width="13.7109375" style="1" customWidth="1"/>
    <col min="7" max="7" width="12.7109375" style="1" customWidth="1"/>
    <col min="8" max="8" width="13.85546875" style="1" customWidth="1"/>
    <col min="9" max="9" width="18.5703125" style="1" customWidth="1"/>
  </cols>
  <sheetData>
    <row r="2" spans="1:9" ht="28.5" x14ac:dyDescent="0.4">
      <c r="B2" s="112" t="s">
        <v>0</v>
      </c>
      <c r="C2" s="112"/>
      <c r="D2" s="112"/>
      <c r="E2" s="112"/>
      <c r="F2" s="112"/>
      <c r="G2" s="112"/>
      <c r="H2" s="112"/>
    </row>
    <row r="4" spans="1:9" ht="15.75" x14ac:dyDescent="0.25">
      <c r="A4" s="111" t="s">
        <v>1</v>
      </c>
      <c r="B4" s="111"/>
      <c r="C4" s="113" t="s">
        <v>2</v>
      </c>
      <c r="D4" s="113"/>
      <c r="E4" s="113"/>
      <c r="F4" s="2"/>
      <c r="G4" s="5"/>
      <c r="H4" s="2"/>
    </row>
    <row r="5" spans="1:9" ht="15.75" x14ac:dyDescent="0.25">
      <c r="A5" s="111" t="s">
        <v>3</v>
      </c>
      <c r="B5" s="111"/>
      <c r="C5" s="113" t="s">
        <v>4</v>
      </c>
      <c r="D5" s="113"/>
      <c r="E5" s="113"/>
      <c r="F5" s="2"/>
      <c r="G5" s="5"/>
      <c r="H5" s="2"/>
    </row>
    <row r="6" spans="1:9" ht="15.75" x14ac:dyDescent="0.25">
      <c r="A6" s="111" t="s">
        <v>5</v>
      </c>
      <c r="B6" s="111"/>
      <c r="C6" s="6">
        <v>2022</v>
      </c>
      <c r="D6" s="7"/>
      <c r="E6" s="83"/>
      <c r="F6" s="2"/>
      <c r="G6" s="5"/>
      <c r="H6" s="2"/>
    </row>
    <row r="7" spans="1:9" ht="15.75" x14ac:dyDescent="0.25">
      <c r="A7" s="111" t="s">
        <v>6</v>
      </c>
      <c r="B7" s="111"/>
      <c r="C7" s="6">
        <v>3</v>
      </c>
      <c r="D7" s="7"/>
      <c r="E7" s="83"/>
      <c r="F7" s="2"/>
      <c r="G7" s="5"/>
      <c r="H7" s="2"/>
    </row>
    <row r="8" spans="1:9" ht="14.25" thickBot="1" x14ac:dyDescent="0.3">
      <c r="B8" s="2"/>
      <c r="C8" s="5"/>
      <c r="D8" s="2"/>
      <c r="E8" s="84"/>
      <c r="F8" s="2"/>
      <c r="G8" s="5"/>
      <c r="H8" s="2"/>
    </row>
    <row r="9" spans="1:9" ht="39" thickBot="1" x14ac:dyDescent="0.25">
      <c r="A9" s="69" t="s">
        <v>7</v>
      </c>
      <c r="B9" s="55" t="s">
        <v>8</v>
      </c>
      <c r="C9" s="68" t="s">
        <v>9</v>
      </c>
      <c r="D9" s="67" t="s">
        <v>10</v>
      </c>
      <c r="E9" s="67" t="s">
        <v>11</v>
      </c>
      <c r="F9" s="67" t="s">
        <v>12</v>
      </c>
      <c r="G9" s="67" t="s">
        <v>13</v>
      </c>
      <c r="H9" s="67" t="s">
        <v>14</v>
      </c>
      <c r="I9" s="66" t="s">
        <v>15</v>
      </c>
    </row>
    <row r="10" spans="1:9" ht="54" customHeight="1" x14ac:dyDescent="0.2">
      <c r="A10" s="65">
        <v>1</v>
      </c>
      <c r="B10" s="64" t="s">
        <v>16</v>
      </c>
      <c r="C10" s="63" t="s">
        <v>17</v>
      </c>
      <c r="D10" s="62" t="s">
        <v>18</v>
      </c>
      <c r="E10" s="82" t="s">
        <v>116</v>
      </c>
      <c r="F10" s="62" t="s">
        <v>19</v>
      </c>
      <c r="G10" s="61">
        <v>2500</v>
      </c>
      <c r="H10" s="60">
        <v>156</v>
      </c>
      <c r="I10" s="59">
        <f>(G10*H10)</f>
        <v>390000</v>
      </c>
    </row>
    <row r="11" spans="1:9" ht="59.25" customHeight="1" x14ac:dyDescent="0.2">
      <c r="A11" s="65">
        <v>2</v>
      </c>
      <c r="B11" s="64" t="s">
        <v>20</v>
      </c>
      <c r="C11" s="63" t="s">
        <v>17</v>
      </c>
      <c r="D11" s="62" t="s">
        <v>18</v>
      </c>
      <c r="E11" s="82" t="s">
        <v>117</v>
      </c>
      <c r="F11" s="62" t="s">
        <v>19</v>
      </c>
      <c r="G11" s="61">
        <v>1500</v>
      </c>
      <c r="H11" s="60">
        <v>624</v>
      </c>
      <c r="I11" s="59">
        <f t="shared" ref="I11:I43" si="0">(G11*H11)</f>
        <v>936000</v>
      </c>
    </row>
    <row r="12" spans="1:9" ht="61.5" customHeight="1" x14ac:dyDescent="0.2">
      <c r="A12" s="65">
        <v>3</v>
      </c>
      <c r="B12" s="64" t="s">
        <v>21</v>
      </c>
      <c r="C12" s="63" t="s">
        <v>17</v>
      </c>
      <c r="D12" s="62" t="s">
        <v>18</v>
      </c>
      <c r="E12" s="82" t="s">
        <v>118</v>
      </c>
      <c r="F12" s="62" t="s">
        <v>19</v>
      </c>
      <c r="G12" s="61">
        <v>700</v>
      </c>
      <c r="H12" s="60">
        <v>416</v>
      </c>
      <c r="I12" s="59">
        <f t="shared" si="0"/>
        <v>291200</v>
      </c>
    </row>
    <row r="13" spans="1:9" ht="42" customHeight="1" x14ac:dyDescent="0.2">
      <c r="A13" s="65">
        <v>4</v>
      </c>
      <c r="B13" s="64" t="s">
        <v>22</v>
      </c>
      <c r="C13" s="63" t="s">
        <v>17</v>
      </c>
      <c r="D13" s="62" t="s">
        <v>18</v>
      </c>
      <c r="E13" s="82" t="s">
        <v>119</v>
      </c>
      <c r="F13" s="62" t="s">
        <v>19</v>
      </c>
      <c r="G13" s="61">
        <v>900</v>
      </c>
      <c r="H13" s="60">
        <v>507</v>
      </c>
      <c r="I13" s="59">
        <f t="shared" si="0"/>
        <v>456300</v>
      </c>
    </row>
    <row r="14" spans="1:9" ht="45" customHeight="1" x14ac:dyDescent="0.2">
      <c r="A14" s="65">
        <v>5</v>
      </c>
      <c r="B14" s="64" t="s">
        <v>23</v>
      </c>
      <c r="C14" s="63" t="s">
        <v>17</v>
      </c>
      <c r="D14" s="62" t="s">
        <v>18</v>
      </c>
      <c r="E14" s="82" t="s">
        <v>120</v>
      </c>
      <c r="F14" s="62" t="s">
        <v>19</v>
      </c>
      <c r="G14" s="61">
        <v>700</v>
      </c>
      <c r="H14" s="60">
        <v>299</v>
      </c>
      <c r="I14" s="59">
        <f t="shared" si="0"/>
        <v>209300</v>
      </c>
    </row>
    <row r="15" spans="1:9" ht="52.5" customHeight="1" x14ac:dyDescent="0.2">
      <c r="A15" s="65">
        <v>6</v>
      </c>
      <c r="B15" s="64" t="s">
        <v>24</v>
      </c>
      <c r="C15" s="63" t="s">
        <v>17</v>
      </c>
      <c r="D15" s="62" t="s">
        <v>18</v>
      </c>
      <c r="E15" s="82" t="s">
        <v>121</v>
      </c>
      <c r="F15" s="62" t="s">
        <v>19</v>
      </c>
      <c r="G15" s="61">
        <v>700</v>
      </c>
      <c r="H15" s="60">
        <v>95</v>
      </c>
      <c r="I15" s="59">
        <f t="shared" si="0"/>
        <v>66500</v>
      </c>
    </row>
    <row r="16" spans="1:9" ht="61.5" customHeight="1" x14ac:dyDescent="0.2">
      <c r="A16" s="65">
        <v>7</v>
      </c>
      <c r="B16" s="64" t="s">
        <v>25</v>
      </c>
      <c r="C16" s="63" t="s">
        <v>17</v>
      </c>
      <c r="D16" s="62" t="s">
        <v>18</v>
      </c>
      <c r="E16" s="82" t="s">
        <v>122</v>
      </c>
      <c r="F16" s="62" t="s">
        <v>19</v>
      </c>
      <c r="G16" s="61">
        <v>1500</v>
      </c>
      <c r="H16" s="60">
        <v>117</v>
      </c>
      <c r="I16" s="59">
        <f t="shared" si="0"/>
        <v>175500</v>
      </c>
    </row>
    <row r="17" spans="1:9" ht="53.25" customHeight="1" x14ac:dyDescent="0.2">
      <c r="A17" s="65">
        <v>8</v>
      </c>
      <c r="B17" s="64" t="s">
        <v>26</v>
      </c>
      <c r="C17" s="63" t="s">
        <v>17</v>
      </c>
      <c r="D17" s="62" t="s">
        <v>18</v>
      </c>
      <c r="E17" s="82" t="s">
        <v>124</v>
      </c>
      <c r="F17" s="62" t="s">
        <v>19</v>
      </c>
      <c r="G17" s="61">
        <v>1500</v>
      </c>
      <c r="H17" s="60">
        <v>117</v>
      </c>
      <c r="I17" s="59">
        <f t="shared" si="0"/>
        <v>175500</v>
      </c>
    </row>
    <row r="18" spans="1:9" ht="68.25" customHeight="1" x14ac:dyDescent="0.2">
      <c r="A18" s="65">
        <v>9</v>
      </c>
      <c r="B18" s="64" t="s">
        <v>27</v>
      </c>
      <c r="C18" s="63" t="s">
        <v>17</v>
      </c>
      <c r="D18" s="62" t="s">
        <v>18</v>
      </c>
      <c r="E18" s="82" t="s">
        <v>123</v>
      </c>
      <c r="F18" s="62" t="s">
        <v>19</v>
      </c>
      <c r="G18" s="61">
        <v>1500</v>
      </c>
      <c r="H18" s="60">
        <v>117</v>
      </c>
      <c r="I18" s="59">
        <f t="shared" si="0"/>
        <v>175500</v>
      </c>
    </row>
    <row r="19" spans="1:9" ht="65.25" customHeight="1" x14ac:dyDescent="0.2">
      <c r="A19" s="65">
        <v>10</v>
      </c>
      <c r="B19" s="64" t="s">
        <v>28</v>
      </c>
      <c r="C19" s="63" t="s">
        <v>17</v>
      </c>
      <c r="D19" s="62" t="s">
        <v>18</v>
      </c>
      <c r="E19" s="82" t="s">
        <v>125</v>
      </c>
      <c r="F19" s="62" t="s">
        <v>19</v>
      </c>
      <c r="G19" s="61">
        <v>3000</v>
      </c>
      <c r="H19" s="60">
        <v>156</v>
      </c>
      <c r="I19" s="59">
        <f>(G19*H19)</f>
        <v>468000</v>
      </c>
    </row>
    <row r="20" spans="1:9" ht="27" customHeight="1" x14ac:dyDescent="0.2">
      <c r="A20" s="65">
        <v>11</v>
      </c>
      <c r="B20" s="64" t="s">
        <v>29</v>
      </c>
      <c r="C20" s="63" t="s">
        <v>17</v>
      </c>
      <c r="D20" s="62" t="s">
        <v>18</v>
      </c>
      <c r="E20" s="82" t="s">
        <v>126</v>
      </c>
      <c r="F20" s="62" t="s">
        <v>19</v>
      </c>
      <c r="G20" s="61">
        <v>400</v>
      </c>
      <c r="H20" s="60">
        <v>65</v>
      </c>
      <c r="I20" s="59">
        <f t="shared" si="0"/>
        <v>26000</v>
      </c>
    </row>
    <row r="21" spans="1:9" ht="30" customHeight="1" x14ac:dyDescent="0.2">
      <c r="A21" s="65">
        <v>12</v>
      </c>
      <c r="B21" s="64" t="s">
        <v>30</v>
      </c>
      <c r="C21" s="63" t="s">
        <v>17</v>
      </c>
      <c r="D21" s="62" t="s">
        <v>18</v>
      </c>
      <c r="E21" s="85" t="s">
        <v>127</v>
      </c>
      <c r="F21" s="62" t="s">
        <v>19</v>
      </c>
      <c r="G21" s="61">
        <v>100</v>
      </c>
      <c r="H21" s="60">
        <v>650</v>
      </c>
      <c r="I21" s="59">
        <f t="shared" si="0"/>
        <v>65000</v>
      </c>
    </row>
    <row r="22" spans="1:9" ht="55.5" customHeight="1" x14ac:dyDescent="0.2">
      <c r="A22" s="65">
        <v>13</v>
      </c>
      <c r="B22" s="64" t="s">
        <v>31</v>
      </c>
      <c r="C22" s="63" t="s">
        <v>17</v>
      </c>
      <c r="D22" s="62" t="s">
        <v>18</v>
      </c>
      <c r="E22" s="86" t="s">
        <v>128</v>
      </c>
      <c r="F22" s="62" t="s">
        <v>19</v>
      </c>
      <c r="G22" s="61">
        <v>800</v>
      </c>
      <c r="H22" s="60">
        <v>260</v>
      </c>
      <c r="I22" s="59">
        <f t="shared" si="0"/>
        <v>208000</v>
      </c>
    </row>
    <row r="23" spans="1:9" ht="28.5" customHeight="1" x14ac:dyDescent="0.2">
      <c r="A23" s="65">
        <v>14</v>
      </c>
      <c r="B23" s="64" t="s">
        <v>32</v>
      </c>
      <c r="C23" s="63" t="s">
        <v>17</v>
      </c>
      <c r="D23" s="62" t="s">
        <v>18</v>
      </c>
      <c r="E23" s="86" t="s">
        <v>129</v>
      </c>
      <c r="F23" s="62" t="s">
        <v>19</v>
      </c>
      <c r="G23" s="61">
        <v>500</v>
      </c>
      <c r="H23" s="60">
        <v>234</v>
      </c>
      <c r="I23" s="59">
        <f t="shared" si="0"/>
        <v>117000</v>
      </c>
    </row>
    <row r="24" spans="1:9" ht="40.5" customHeight="1" x14ac:dyDescent="0.2">
      <c r="A24" s="65">
        <v>15</v>
      </c>
      <c r="B24" s="64" t="s">
        <v>33</v>
      </c>
      <c r="C24" s="63" t="s">
        <v>17</v>
      </c>
      <c r="D24" s="62" t="s">
        <v>18</v>
      </c>
      <c r="E24" s="86" t="s">
        <v>130</v>
      </c>
      <c r="F24" s="62" t="s">
        <v>19</v>
      </c>
      <c r="G24" s="61">
        <v>400</v>
      </c>
      <c r="H24" s="60">
        <v>150</v>
      </c>
      <c r="I24" s="59">
        <f t="shared" si="0"/>
        <v>60000</v>
      </c>
    </row>
    <row r="25" spans="1:9" ht="48" customHeight="1" x14ac:dyDescent="0.2">
      <c r="A25" s="65">
        <v>16</v>
      </c>
      <c r="B25" s="64" t="s">
        <v>34</v>
      </c>
      <c r="C25" s="63" t="s">
        <v>17</v>
      </c>
      <c r="D25" s="62" t="s">
        <v>18</v>
      </c>
      <c r="E25" s="86" t="s">
        <v>131</v>
      </c>
      <c r="F25" s="62" t="s">
        <v>19</v>
      </c>
      <c r="G25" s="61">
        <v>400</v>
      </c>
      <c r="H25" s="60">
        <v>800</v>
      </c>
      <c r="I25" s="59">
        <f t="shared" si="0"/>
        <v>320000</v>
      </c>
    </row>
    <row r="26" spans="1:9" ht="45" customHeight="1" x14ac:dyDescent="0.2">
      <c r="A26" s="65">
        <v>17</v>
      </c>
      <c r="B26" s="64" t="s">
        <v>35</v>
      </c>
      <c r="C26" s="63" t="s">
        <v>17</v>
      </c>
      <c r="D26" s="62" t="s">
        <v>18</v>
      </c>
      <c r="E26" s="86" t="s">
        <v>132</v>
      </c>
      <c r="F26" s="62" t="s">
        <v>19</v>
      </c>
      <c r="G26" s="61">
        <v>800</v>
      </c>
      <c r="H26" s="60">
        <v>169</v>
      </c>
      <c r="I26" s="59">
        <f t="shared" si="0"/>
        <v>135200</v>
      </c>
    </row>
    <row r="27" spans="1:9" ht="30.75" customHeight="1" x14ac:dyDescent="0.2">
      <c r="A27" s="65">
        <v>18</v>
      </c>
      <c r="B27" s="64" t="s">
        <v>36</v>
      </c>
      <c r="C27" s="63" t="s">
        <v>17</v>
      </c>
      <c r="D27" s="62" t="s">
        <v>18</v>
      </c>
      <c r="E27" s="87" t="s">
        <v>133</v>
      </c>
      <c r="F27" s="62" t="s">
        <v>19</v>
      </c>
      <c r="G27" s="61">
        <v>700</v>
      </c>
      <c r="H27" s="60">
        <v>299</v>
      </c>
      <c r="I27" s="59">
        <f t="shared" si="0"/>
        <v>209300</v>
      </c>
    </row>
    <row r="28" spans="1:9" ht="80.25" customHeight="1" x14ac:dyDescent="0.2">
      <c r="A28" s="65">
        <v>19</v>
      </c>
      <c r="B28" s="64" t="s">
        <v>37</v>
      </c>
      <c r="C28" s="63" t="s">
        <v>17</v>
      </c>
      <c r="D28" s="62" t="s">
        <v>18</v>
      </c>
      <c r="E28" s="86" t="s">
        <v>134</v>
      </c>
      <c r="F28" s="62" t="s">
        <v>19</v>
      </c>
      <c r="G28" s="61">
        <v>700</v>
      </c>
      <c r="H28" s="60">
        <v>1114</v>
      </c>
      <c r="I28" s="59">
        <f t="shared" si="0"/>
        <v>779800</v>
      </c>
    </row>
    <row r="29" spans="1:9" ht="55.5" customHeight="1" x14ac:dyDescent="0.2">
      <c r="A29" s="65">
        <v>20</v>
      </c>
      <c r="B29" s="64" t="s">
        <v>38</v>
      </c>
      <c r="C29" s="63" t="s">
        <v>17</v>
      </c>
      <c r="D29" s="62" t="s">
        <v>18</v>
      </c>
      <c r="E29" s="86" t="s">
        <v>135</v>
      </c>
      <c r="F29" s="62" t="s">
        <v>19</v>
      </c>
      <c r="G29" s="61">
        <v>400</v>
      </c>
      <c r="H29" s="60">
        <v>3240</v>
      </c>
      <c r="I29" s="59">
        <f t="shared" si="0"/>
        <v>1296000</v>
      </c>
    </row>
    <row r="30" spans="1:9" ht="46.5" customHeight="1" x14ac:dyDescent="0.2">
      <c r="A30" s="65">
        <v>21</v>
      </c>
      <c r="B30" s="64" t="s">
        <v>39</v>
      </c>
      <c r="C30" s="63" t="s">
        <v>17</v>
      </c>
      <c r="D30" s="62" t="s">
        <v>18</v>
      </c>
      <c r="E30" s="86" t="s">
        <v>136</v>
      </c>
      <c r="F30" s="62" t="s">
        <v>19</v>
      </c>
      <c r="G30" s="61">
        <v>800</v>
      </c>
      <c r="H30" s="60">
        <v>140</v>
      </c>
      <c r="I30" s="59">
        <f t="shared" si="0"/>
        <v>112000</v>
      </c>
    </row>
    <row r="31" spans="1:9" ht="62.25" customHeight="1" x14ac:dyDescent="0.2">
      <c r="A31" s="65">
        <v>22</v>
      </c>
      <c r="B31" s="64" t="s">
        <v>40</v>
      </c>
      <c r="C31" s="63" t="s">
        <v>17</v>
      </c>
      <c r="D31" s="62" t="s">
        <v>18</v>
      </c>
      <c r="E31" s="86" t="s">
        <v>137</v>
      </c>
      <c r="F31" s="62" t="s">
        <v>19</v>
      </c>
      <c r="G31" s="61">
        <v>700</v>
      </c>
      <c r="H31" s="60">
        <v>195</v>
      </c>
      <c r="I31" s="59">
        <f t="shared" si="0"/>
        <v>136500</v>
      </c>
    </row>
    <row r="32" spans="1:9" ht="39" customHeight="1" x14ac:dyDescent="0.2">
      <c r="A32" s="65">
        <v>23</v>
      </c>
      <c r="B32" s="64" t="s">
        <v>41</v>
      </c>
      <c r="C32" s="63" t="s">
        <v>17</v>
      </c>
      <c r="D32" s="62" t="s">
        <v>18</v>
      </c>
      <c r="E32" s="86" t="s">
        <v>138</v>
      </c>
      <c r="F32" s="62" t="s">
        <v>19</v>
      </c>
      <c r="G32" s="61">
        <v>1000</v>
      </c>
      <c r="H32" s="60">
        <v>223.6</v>
      </c>
      <c r="I32" s="59">
        <f t="shared" si="0"/>
        <v>223600</v>
      </c>
    </row>
    <row r="33" spans="1:9" ht="38.25" customHeight="1" x14ac:dyDescent="0.2">
      <c r="A33" s="65">
        <v>24</v>
      </c>
      <c r="B33" s="64" t="s">
        <v>42</v>
      </c>
      <c r="C33" s="63" t="s">
        <v>17</v>
      </c>
      <c r="D33" s="62" t="s">
        <v>18</v>
      </c>
      <c r="E33" s="86" t="s">
        <v>139</v>
      </c>
      <c r="F33" s="62" t="s">
        <v>19</v>
      </c>
      <c r="G33" s="61">
        <v>1000</v>
      </c>
      <c r="H33" s="60">
        <v>247</v>
      </c>
      <c r="I33" s="59">
        <f t="shared" si="0"/>
        <v>247000</v>
      </c>
    </row>
    <row r="34" spans="1:9" ht="39" customHeight="1" x14ac:dyDescent="0.2">
      <c r="A34" s="65">
        <v>25</v>
      </c>
      <c r="B34" s="64" t="s">
        <v>43</v>
      </c>
      <c r="C34" s="63" t="s">
        <v>17</v>
      </c>
      <c r="D34" s="62" t="s">
        <v>18</v>
      </c>
      <c r="E34" s="86" t="s">
        <v>140</v>
      </c>
      <c r="F34" s="62" t="s">
        <v>19</v>
      </c>
      <c r="G34" s="61">
        <v>700</v>
      </c>
      <c r="H34" s="60">
        <v>695</v>
      </c>
      <c r="I34" s="59">
        <f t="shared" si="0"/>
        <v>486500</v>
      </c>
    </row>
    <row r="35" spans="1:9" ht="38.25" customHeight="1" x14ac:dyDescent="0.2">
      <c r="A35" s="65">
        <v>26</v>
      </c>
      <c r="B35" s="64" t="s">
        <v>44</v>
      </c>
      <c r="C35" s="63" t="s">
        <v>17</v>
      </c>
      <c r="D35" s="62" t="s">
        <v>18</v>
      </c>
      <c r="E35" s="86" t="s">
        <v>141</v>
      </c>
      <c r="F35" s="62" t="s">
        <v>19</v>
      </c>
      <c r="G35" s="61">
        <v>100</v>
      </c>
      <c r="H35" s="60">
        <v>310</v>
      </c>
      <c r="I35" s="59">
        <f t="shared" si="0"/>
        <v>31000</v>
      </c>
    </row>
    <row r="36" spans="1:9" ht="29.25" customHeight="1" x14ac:dyDescent="0.2">
      <c r="A36" s="65">
        <v>27</v>
      </c>
      <c r="B36" s="64" t="s">
        <v>45</v>
      </c>
      <c r="C36" s="63" t="s">
        <v>17</v>
      </c>
      <c r="D36" s="62" t="s">
        <v>18</v>
      </c>
      <c r="E36" s="86" t="s">
        <v>142</v>
      </c>
      <c r="F36" s="62" t="s">
        <v>19</v>
      </c>
      <c r="G36" s="61">
        <v>100</v>
      </c>
      <c r="H36" s="60">
        <v>520</v>
      </c>
      <c r="I36" s="59">
        <f t="shared" si="0"/>
        <v>52000</v>
      </c>
    </row>
    <row r="37" spans="1:9" ht="33" customHeight="1" x14ac:dyDescent="0.2">
      <c r="A37" s="65">
        <v>28</v>
      </c>
      <c r="B37" s="64" t="s">
        <v>46</v>
      </c>
      <c r="C37" s="63" t="s">
        <v>17</v>
      </c>
      <c r="D37" s="62" t="s">
        <v>18</v>
      </c>
      <c r="E37" s="85" t="s">
        <v>143</v>
      </c>
      <c r="F37" s="62" t="s">
        <v>19</v>
      </c>
      <c r="G37" s="61">
        <v>50</v>
      </c>
      <c r="H37" s="60">
        <v>215</v>
      </c>
      <c r="I37" s="59">
        <f t="shared" si="0"/>
        <v>10750</v>
      </c>
    </row>
    <row r="38" spans="1:9" ht="30.75" customHeight="1" x14ac:dyDescent="0.2">
      <c r="A38" s="65">
        <v>29</v>
      </c>
      <c r="B38" s="64" t="s">
        <v>47</v>
      </c>
      <c r="C38" s="63" t="s">
        <v>17</v>
      </c>
      <c r="D38" s="62" t="s">
        <v>18</v>
      </c>
      <c r="E38" s="85" t="s">
        <v>144</v>
      </c>
      <c r="F38" s="62" t="s">
        <v>19</v>
      </c>
      <c r="G38" s="61">
        <v>80</v>
      </c>
      <c r="H38" s="60">
        <v>320</v>
      </c>
      <c r="I38" s="59">
        <f t="shared" si="0"/>
        <v>25600</v>
      </c>
    </row>
    <row r="39" spans="1:9" ht="28.5" customHeight="1" x14ac:dyDescent="0.2">
      <c r="A39" s="65">
        <v>30</v>
      </c>
      <c r="B39" s="64" t="s">
        <v>48</v>
      </c>
      <c r="C39" s="63" t="s">
        <v>17</v>
      </c>
      <c r="D39" s="62" t="s">
        <v>18</v>
      </c>
      <c r="E39" s="85" t="s">
        <v>145</v>
      </c>
      <c r="F39" s="62" t="s">
        <v>19</v>
      </c>
      <c r="G39" s="61">
        <v>50</v>
      </c>
      <c r="H39" s="60">
        <v>320</v>
      </c>
      <c r="I39" s="59">
        <f t="shared" si="0"/>
        <v>16000</v>
      </c>
    </row>
    <row r="40" spans="1:9" ht="33" customHeight="1" x14ac:dyDescent="0.2">
      <c r="A40" s="65">
        <v>31</v>
      </c>
      <c r="B40" s="64" t="s">
        <v>49</v>
      </c>
      <c r="C40" s="63" t="s">
        <v>17</v>
      </c>
      <c r="D40" s="62" t="s">
        <v>18</v>
      </c>
      <c r="E40" s="85" t="s">
        <v>146</v>
      </c>
      <c r="F40" s="62" t="s">
        <v>19</v>
      </c>
      <c r="G40" s="61">
        <v>50</v>
      </c>
      <c r="H40" s="60">
        <v>650</v>
      </c>
      <c r="I40" s="59">
        <f t="shared" si="0"/>
        <v>32500</v>
      </c>
    </row>
    <row r="41" spans="1:9" ht="33" customHeight="1" x14ac:dyDescent="0.2">
      <c r="A41" s="65">
        <v>32</v>
      </c>
      <c r="B41" s="64" t="s">
        <v>50</v>
      </c>
      <c r="C41" s="63" t="s">
        <v>17</v>
      </c>
      <c r="D41" s="62" t="s">
        <v>18</v>
      </c>
      <c r="E41" s="85" t="s">
        <v>147</v>
      </c>
      <c r="F41" s="62" t="s">
        <v>19</v>
      </c>
      <c r="G41" s="61">
        <v>80</v>
      </c>
      <c r="H41" s="60">
        <v>450</v>
      </c>
      <c r="I41" s="59">
        <f t="shared" si="0"/>
        <v>36000</v>
      </c>
    </row>
    <row r="42" spans="1:9" ht="46.5" customHeight="1" x14ac:dyDescent="0.2">
      <c r="A42" s="65">
        <v>33</v>
      </c>
      <c r="B42" s="64" t="s">
        <v>51</v>
      </c>
      <c r="C42" s="63" t="s">
        <v>17</v>
      </c>
      <c r="D42" s="62" t="s">
        <v>18</v>
      </c>
      <c r="E42" s="86" t="s">
        <v>148</v>
      </c>
      <c r="F42" s="62" t="s">
        <v>19</v>
      </c>
      <c r="G42" s="61">
        <v>900</v>
      </c>
      <c r="H42" s="60">
        <v>260</v>
      </c>
      <c r="I42" s="59">
        <f t="shared" si="0"/>
        <v>234000</v>
      </c>
    </row>
    <row r="43" spans="1:9" ht="33" customHeight="1" x14ac:dyDescent="0.2">
      <c r="A43" s="65">
        <v>34</v>
      </c>
      <c r="B43" s="64" t="s">
        <v>52</v>
      </c>
      <c r="C43" s="63" t="s">
        <v>17</v>
      </c>
      <c r="D43" s="62" t="s">
        <v>18</v>
      </c>
      <c r="E43" s="86" t="s">
        <v>149</v>
      </c>
      <c r="F43" s="62" t="s">
        <v>19</v>
      </c>
      <c r="G43" s="61">
        <v>1500</v>
      </c>
      <c r="H43" s="60">
        <v>180</v>
      </c>
      <c r="I43" s="59">
        <f t="shared" si="0"/>
        <v>270000</v>
      </c>
    </row>
    <row r="44" spans="1:9" ht="62.25" customHeight="1" x14ac:dyDescent="0.2">
      <c r="A44" s="65">
        <v>35</v>
      </c>
      <c r="B44" s="64" t="s">
        <v>53</v>
      </c>
      <c r="C44" s="63" t="s">
        <v>17</v>
      </c>
      <c r="D44" s="62" t="s">
        <v>18</v>
      </c>
      <c r="E44" s="86" t="s">
        <v>150</v>
      </c>
      <c r="F44" s="62" t="s">
        <v>19</v>
      </c>
      <c r="G44" s="61">
        <v>1000</v>
      </c>
      <c r="H44" s="60">
        <v>234</v>
      </c>
      <c r="I44" s="59">
        <f>(G44*H44)</f>
        <v>234000</v>
      </c>
    </row>
    <row r="45" spans="1:9" ht="42.75" customHeight="1" x14ac:dyDescent="0.2">
      <c r="A45" s="65">
        <v>36</v>
      </c>
      <c r="B45" s="64" t="s">
        <v>54</v>
      </c>
      <c r="C45" s="63" t="s">
        <v>17</v>
      </c>
      <c r="D45" s="62" t="s">
        <v>18</v>
      </c>
      <c r="E45" s="86" t="s">
        <v>55</v>
      </c>
      <c r="F45" s="62" t="s">
        <v>19</v>
      </c>
      <c r="G45" s="61">
        <v>500</v>
      </c>
      <c r="H45" s="60">
        <v>390</v>
      </c>
      <c r="I45" s="59">
        <f>(G45*H45)</f>
        <v>195000</v>
      </c>
    </row>
    <row r="46" spans="1:9" ht="42" customHeight="1" x14ac:dyDescent="0.2">
      <c r="A46" s="65">
        <v>37</v>
      </c>
      <c r="B46" s="64" t="s">
        <v>56</v>
      </c>
      <c r="C46" s="63" t="s">
        <v>17</v>
      </c>
      <c r="D46" s="62" t="s">
        <v>18</v>
      </c>
      <c r="E46" s="86" t="s">
        <v>151</v>
      </c>
      <c r="F46" s="62" t="s">
        <v>19</v>
      </c>
      <c r="G46" s="61">
        <v>700</v>
      </c>
      <c r="H46" s="60">
        <v>1200</v>
      </c>
      <c r="I46" s="59">
        <f>(G46*H46)</f>
        <v>840000</v>
      </c>
    </row>
    <row r="47" spans="1:9" ht="34.5" customHeight="1" x14ac:dyDescent="0.2">
      <c r="A47" s="65">
        <v>38</v>
      </c>
      <c r="B47" s="64" t="s">
        <v>57</v>
      </c>
      <c r="C47" s="63" t="s">
        <v>17</v>
      </c>
      <c r="D47" s="62" t="s">
        <v>18</v>
      </c>
      <c r="E47" s="85" t="s">
        <v>152</v>
      </c>
      <c r="F47" s="62" t="s">
        <v>19</v>
      </c>
      <c r="G47" s="61">
        <v>50</v>
      </c>
      <c r="H47" s="60">
        <v>430</v>
      </c>
      <c r="I47" s="59">
        <f t="shared" ref="I47" si="1">(G47*H47)</f>
        <v>21500</v>
      </c>
    </row>
    <row r="48" spans="1:9" ht="15" thickBot="1" x14ac:dyDescent="0.3">
      <c r="B48" s="56"/>
      <c r="I48" s="8">
        <f>SUM(I10:I47)</f>
        <v>9764050</v>
      </c>
    </row>
    <row r="49" spans="1:9" x14ac:dyDescent="0.25">
      <c r="B49" s="39" t="s">
        <v>58</v>
      </c>
      <c r="C49" s="40"/>
      <c r="D49" s="40"/>
      <c r="E49" s="89"/>
    </row>
    <row r="50" spans="1:9" ht="27" customHeight="1" x14ac:dyDescent="0.25">
      <c r="B50" s="79"/>
      <c r="C50" s="109" t="s">
        <v>59</v>
      </c>
      <c r="D50" s="109"/>
      <c r="E50" s="110"/>
    </row>
    <row r="51" spans="1:9" ht="26.25" customHeight="1" thickBot="1" x14ac:dyDescent="0.3">
      <c r="B51" s="79"/>
      <c r="C51" s="168" t="s">
        <v>60</v>
      </c>
      <c r="D51" s="166"/>
      <c r="E51" s="167"/>
    </row>
    <row r="52" spans="1:9" ht="13.5" customHeight="1" x14ac:dyDescent="0.25">
      <c r="B52" s="39"/>
      <c r="C52" s="105" t="s">
        <v>61</v>
      </c>
      <c r="D52" s="105"/>
      <c r="E52" s="106"/>
    </row>
    <row r="53" spans="1:9" s="1" customFormat="1" ht="103.5" customHeight="1" x14ac:dyDescent="0.25">
      <c r="A53" s="70"/>
      <c r="B53" s="71"/>
      <c r="C53" s="105"/>
      <c r="D53" s="105"/>
      <c r="E53" s="106"/>
      <c r="F53" s="70"/>
      <c r="G53" s="70"/>
      <c r="H53" s="70"/>
      <c r="I53" s="72"/>
    </row>
    <row r="54" spans="1:9" s="1" customFormat="1" ht="10.5" customHeight="1" x14ac:dyDescent="0.25">
      <c r="A54" s="70"/>
      <c r="B54" s="71"/>
      <c r="C54" s="103"/>
      <c r="D54" s="103"/>
      <c r="E54" s="104"/>
      <c r="F54" s="70"/>
      <c r="G54" s="70"/>
      <c r="H54" s="70"/>
      <c r="I54" s="72"/>
    </row>
    <row r="55" spans="1:9" s="78" customFormat="1" ht="25.5" customHeight="1" thickBot="1" x14ac:dyDescent="0.25">
      <c r="A55" s="73"/>
      <c r="B55" s="74"/>
      <c r="C55" s="75"/>
      <c r="D55" s="76"/>
      <c r="E55" s="90"/>
      <c r="F55" s="73"/>
      <c r="G55" s="73"/>
      <c r="H55" s="73"/>
      <c r="I55" s="77"/>
    </row>
    <row r="56" spans="1:9" ht="14.25" thickBot="1" x14ac:dyDescent="0.3">
      <c r="B56" s="58"/>
      <c r="C56" s="101"/>
      <c r="D56" s="101"/>
      <c r="E56" s="102"/>
    </row>
    <row r="57" spans="1:9" ht="14.25" thickBot="1" x14ac:dyDescent="0.3">
      <c r="B57" s="42"/>
      <c r="C57" s="80"/>
      <c r="D57" s="80"/>
      <c r="E57" s="81"/>
    </row>
    <row r="58" spans="1:9" x14ac:dyDescent="0.25">
      <c r="B58" s="43" t="s">
        <v>62</v>
      </c>
      <c r="C58" s="44"/>
      <c r="D58" s="40"/>
      <c r="E58" s="91"/>
    </row>
    <row r="59" spans="1:9" ht="145.5" customHeight="1" x14ac:dyDescent="0.25">
      <c r="B59" s="45"/>
      <c r="C59" s="105" t="s">
        <v>63</v>
      </c>
      <c r="D59" s="105"/>
      <c r="E59" s="106"/>
    </row>
    <row r="60" spans="1:9" x14ac:dyDescent="0.25">
      <c r="B60" s="45"/>
      <c r="C60" s="107"/>
      <c r="D60" s="107"/>
      <c r="E60" s="108"/>
    </row>
    <row r="61" spans="1:9" x14ac:dyDescent="0.25">
      <c r="B61" s="46" t="s">
        <v>64</v>
      </c>
      <c r="C61" s="47"/>
      <c r="D61" s="41"/>
      <c r="E61" s="92"/>
    </row>
    <row r="62" spans="1:9" ht="69" customHeight="1" x14ac:dyDescent="0.25">
      <c r="B62" s="45"/>
      <c r="C62" s="105" t="s">
        <v>65</v>
      </c>
      <c r="D62" s="105"/>
      <c r="E62" s="106"/>
    </row>
    <row r="63" spans="1:9" ht="14.25" thickBot="1" x14ac:dyDescent="0.3">
      <c r="B63" s="48"/>
      <c r="C63" s="49"/>
      <c r="D63" s="49"/>
      <c r="E63" s="93"/>
    </row>
    <row r="64" spans="1:9" ht="14.25" thickBot="1" x14ac:dyDescent="0.3">
      <c r="B64" s="41"/>
      <c r="C64" s="41"/>
      <c r="D64" s="41"/>
      <c r="E64" s="94"/>
    </row>
    <row r="65" spans="2:5" x14ac:dyDescent="0.25">
      <c r="B65" s="43" t="s">
        <v>66</v>
      </c>
      <c r="C65" s="50"/>
      <c r="D65" s="50"/>
      <c r="E65" s="95"/>
    </row>
    <row r="66" spans="2:5" x14ac:dyDescent="0.25">
      <c r="B66" s="51"/>
      <c r="C66" s="97" t="s">
        <v>67</v>
      </c>
      <c r="D66" s="97"/>
      <c r="E66" s="98"/>
    </row>
    <row r="67" spans="2:5" x14ac:dyDescent="0.25">
      <c r="B67" s="52" t="s">
        <v>68</v>
      </c>
      <c r="C67" s="41"/>
      <c r="D67" s="41"/>
      <c r="E67" s="96"/>
    </row>
    <row r="68" spans="2:5" x14ac:dyDescent="0.25">
      <c r="B68" s="53"/>
      <c r="C68" s="99" t="s">
        <v>69</v>
      </c>
      <c r="D68" s="99"/>
      <c r="E68" s="100"/>
    </row>
    <row r="69" spans="2:5" ht="14.25" thickBot="1" x14ac:dyDescent="0.3">
      <c r="B69" s="54"/>
      <c r="C69" s="49"/>
      <c r="D69" s="49"/>
      <c r="E69" s="93"/>
    </row>
  </sheetData>
  <mergeCells count="17">
    <mergeCell ref="B2:H2"/>
    <mergeCell ref="A4:B4"/>
    <mergeCell ref="C4:E4"/>
    <mergeCell ref="A5:B5"/>
    <mergeCell ref="C5:E5"/>
    <mergeCell ref="C52:E53"/>
    <mergeCell ref="C50:E50"/>
    <mergeCell ref="C51:E51"/>
    <mergeCell ref="A6:B6"/>
    <mergeCell ref="A7:B7"/>
    <mergeCell ref="C66:E66"/>
    <mergeCell ref="C68:E68"/>
    <mergeCell ref="C56:E56"/>
    <mergeCell ref="C54:E54"/>
    <mergeCell ref="C62:E62"/>
    <mergeCell ref="C59:E59"/>
    <mergeCell ref="C60:E6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14" t="s">
        <v>70</v>
      </c>
      <c r="B1" s="114"/>
      <c r="C1" s="114"/>
      <c r="D1" s="114"/>
      <c r="E1" s="114"/>
      <c r="F1" s="114"/>
      <c r="G1" s="114"/>
      <c r="H1" s="114"/>
      <c r="I1" s="114"/>
      <c r="J1" s="26" t="s">
        <v>71</v>
      </c>
      <c r="K1" s="27" t="s">
        <v>72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5" t="s">
        <v>73</v>
      </c>
      <c r="B3" s="115"/>
      <c r="C3" s="115"/>
      <c r="D3" s="120" t="str">
        <f>'Necesidades Trimestrales'!C4</f>
        <v>90 - Ministerio de Seguridad</v>
      </c>
      <c r="E3" s="120"/>
      <c r="F3" s="120"/>
      <c r="G3" s="120"/>
      <c r="H3" s="120"/>
      <c r="I3" s="120"/>
      <c r="J3" s="120"/>
      <c r="K3" s="120"/>
    </row>
    <row r="4" spans="1:1024" ht="18.75" customHeight="1" thickBot="1" x14ac:dyDescent="0.3">
      <c r="A4" s="119" t="s">
        <v>74</v>
      </c>
      <c r="B4" s="119"/>
      <c r="C4" s="119"/>
      <c r="D4" s="120" t="str">
        <f>'Necesidades Trimestrales'!C5</f>
        <v>7- Dirección Provincial de Administración de la Policía de la Provincia de Catamarca</v>
      </c>
      <c r="E4" s="120"/>
      <c r="F4" s="120"/>
      <c r="G4" s="120"/>
      <c r="H4" s="120"/>
      <c r="I4" s="120"/>
      <c r="J4" s="120"/>
      <c r="K4" s="120"/>
    </row>
    <row r="5" spans="1:1024" ht="18.75" customHeight="1" thickBot="1" x14ac:dyDescent="0.3">
      <c r="A5" s="119" t="s">
        <v>75</v>
      </c>
      <c r="B5" s="119"/>
      <c r="C5" s="119"/>
      <c r="D5" s="120" t="s">
        <v>76</v>
      </c>
      <c r="E5" s="120"/>
      <c r="F5" s="120"/>
      <c r="G5" s="120"/>
      <c r="H5" s="120"/>
      <c r="I5" s="120"/>
      <c r="J5" s="120"/>
      <c r="K5" s="120"/>
    </row>
    <row r="6" spans="1:1024" ht="16.5" customHeight="1" thickBot="1" x14ac:dyDescent="0.3">
      <c r="A6" s="115" t="s">
        <v>77</v>
      </c>
      <c r="B6" s="115"/>
      <c r="C6" s="115"/>
      <c r="D6" s="116" t="s">
        <v>78</v>
      </c>
      <c r="E6" s="117"/>
      <c r="F6" s="117"/>
      <c r="G6" s="117"/>
      <c r="H6" s="117"/>
      <c r="I6" s="117"/>
      <c r="J6" s="117"/>
      <c r="K6" s="118"/>
    </row>
    <row r="7" spans="1:1024" ht="16.5" customHeight="1" thickBot="1" x14ac:dyDescent="0.3">
      <c r="A7" s="119" t="s">
        <v>79</v>
      </c>
      <c r="B7" s="119"/>
      <c r="C7" s="119"/>
      <c r="D7" s="120" t="s">
        <v>80</v>
      </c>
      <c r="E7" s="120"/>
      <c r="F7" s="120"/>
      <c r="G7" s="120"/>
      <c r="H7" s="120"/>
      <c r="I7" s="120"/>
      <c r="J7" s="120"/>
      <c r="K7" s="120"/>
    </row>
    <row r="8" spans="1:1024" ht="16.5" customHeight="1" thickBot="1" x14ac:dyDescent="0.3">
      <c r="A8" s="130" t="s">
        <v>81</v>
      </c>
      <c r="B8" s="130"/>
      <c r="C8" s="130"/>
      <c r="D8" s="123" t="s">
        <v>82</v>
      </c>
      <c r="E8" s="117"/>
      <c r="F8" s="117"/>
      <c r="G8" s="117"/>
      <c r="H8" s="117"/>
      <c r="I8" s="117"/>
      <c r="J8" s="117"/>
      <c r="K8" s="118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24" t="s">
        <v>83</v>
      </c>
      <c r="B10" s="125" t="s">
        <v>84</v>
      </c>
      <c r="C10" s="126" t="s">
        <v>85</v>
      </c>
      <c r="D10" s="127"/>
      <c r="E10" s="127"/>
      <c r="F10" s="127"/>
      <c r="G10" s="128"/>
      <c r="H10" s="129" t="s">
        <v>86</v>
      </c>
      <c r="I10" s="127" t="s">
        <v>87</v>
      </c>
      <c r="J10" s="127" t="s">
        <v>88</v>
      </c>
      <c r="K10" s="128" t="s">
        <v>89</v>
      </c>
    </row>
    <row r="11" spans="1:1024" ht="14.25" customHeight="1" thickBot="1" x14ac:dyDescent="0.3">
      <c r="A11" s="124"/>
      <c r="B11" s="125"/>
      <c r="C11" s="126"/>
      <c r="D11" s="127"/>
      <c r="E11" s="127"/>
      <c r="F11" s="127"/>
      <c r="G11" s="128"/>
      <c r="H11" s="129"/>
      <c r="I11" s="127"/>
      <c r="J11" s="127"/>
      <c r="K11" s="128"/>
    </row>
    <row r="12" spans="1:1024" ht="22.5" customHeight="1" thickBot="1" x14ac:dyDescent="0.3">
      <c r="A12" s="33">
        <v>1</v>
      </c>
      <c r="B12" s="57" t="e">
        <f>'Necesidades Trimestrales'!#REF!</f>
        <v>#REF!</v>
      </c>
      <c r="C12" s="131" t="e">
        <f>'Necesidades Trimestrales'!#REF!</f>
        <v>#REF!</v>
      </c>
      <c r="D12" s="132"/>
      <c r="E12" s="132"/>
      <c r="F12" s="132"/>
      <c r="G12" s="133"/>
      <c r="H12" s="34" t="s">
        <v>90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57" t="e">
        <f>'Necesidades Trimestrales'!#REF!</f>
        <v>#REF!</v>
      </c>
      <c r="C13" s="131" t="e">
        <f>'Necesidades Trimestrales'!#REF!</f>
        <v>#REF!</v>
      </c>
      <c r="D13" s="132"/>
      <c r="E13" s="132"/>
      <c r="F13" s="132"/>
      <c r="G13" s="133"/>
      <c r="H13" s="34" t="s">
        <v>90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57" t="e">
        <f>'Necesidades Trimestrales'!#REF!</f>
        <v>#REF!</v>
      </c>
      <c r="C14" s="131" t="e">
        <f>'Necesidades Trimestrales'!#REF!</f>
        <v>#REF!</v>
      </c>
      <c r="D14" s="132"/>
      <c r="E14" s="132"/>
      <c r="F14" s="132"/>
      <c r="G14" s="133"/>
      <c r="H14" s="34" t="s">
        <v>90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21" t="s">
        <v>91</v>
      </c>
      <c r="B15" s="121"/>
      <c r="C15" s="121"/>
      <c r="D15" s="121"/>
      <c r="E15" s="121"/>
      <c r="F15" s="121"/>
      <c r="G15" s="121"/>
      <c r="H15" s="121"/>
      <c r="I15" s="121"/>
      <c r="J15" s="122">
        <f>'Necesidades Trimestrales'!I14</f>
        <v>209300</v>
      </c>
      <c r="K15" s="1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34" t="s">
        <v>5</v>
      </c>
      <c r="B1" s="134"/>
      <c r="C1" s="134"/>
      <c r="D1" s="135">
        <f>'Necesidades Trimestrales'!C6</f>
        <v>2022</v>
      </c>
      <c r="E1" s="135"/>
      <c r="F1" s="9"/>
      <c r="G1" s="9"/>
      <c r="H1" s="10"/>
      <c r="I1" s="10"/>
      <c r="J1" s="10"/>
      <c r="K1" s="10"/>
      <c r="L1" s="10"/>
      <c r="M1" s="10"/>
      <c r="N1" s="10"/>
      <c r="P1" s="136" t="s">
        <v>92</v>
      </c>
      <c r="Q1" s="136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36"/>
      <c r="Q2" s="136"/>
    </row>
    <row r="4" spans="1:17" ht="18" customHeight="1" thickBot="1" x14ac:dyDescent="0.35">
      <c r="A4" s="137" t="s">
        <v>93</v>
      </c>
      <c r="B4" s="137"/>
      <c r="C4" s="137"/>
      <c r="D4" s="137"/>
      <c r="E4" s="137"/>
      <c r="F4" s="137"/>
      <c r="G4" s="138" t="str">
        <f>' NotaPedido'!D3</f>
        <v>90 - Ministerio de Seguridad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ht="18" customHeight="1" thickBot="1" x14ac:dyDescent="0.35">
      <c r="A5" s="139" t="s">
        <v>74</v>
      </c>
      <c r="B5" s="140"/>
      <c r="C5" s="140"/>
      <c r="D5" s="140"/>
      <c r="E5" s="140"/>
      <c r="F5" s="141"/>
      <c r="G5" s="138" t="str">
        <f>' NotaPedido'!D4</f>
        <v>7- Dirección Provincial de Administración de la Policía de la Provincia de Catamarca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ht="18" customHeight="1" thickBot="1" x14ac:dyDescent="0.35">
      <c r="A6" s="139" t="s">
        <v>75</v>
      </c>
      <c r="B6" s="140"/>
      <c r="C6" s="140"/>
      <c r="D6" s="140"/>
      <c r="E6" s="140"/>
      <c r="F6" s="141"/>
      <c r="G6" s="138" t="str">
        <f>' NotaPedido'!D5</f>
        <v>Policía de la Provincia de Catamarca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ht="18" customHeight="1" thickBot="1" x14ac:dyDescent="0.35">
      <c r="A7" s="139" t="s">
        <v>77</v>
      </c>
      <c r="B7" s="140"/>
      <c r="C7" s="140"/>
      <c r="D7" s="140"/>
      <c r="E7" s="140"/>
      <c r="F7" s="141"/>
      <c r="G7" s="138" t="str">
        <f>' NotaPedido'!D6</f>
        <v>División Intendencia, Departamento Logística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 x14ac:dyDescent="0.3">
      <c r="A8" s="142" t="s">
        <v>94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3">
      <c r="A9" s="143" t="s">
        <v>95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3"/>
      <c r="P9" s="3"/>
      <c r="Q9" s="11"/>
    </row>
    <row r="10" spans="1:17" ht="66.75" customHeight="1" x14ac:dyDescent="0.25">
      <c r="A10" s="144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5" t="s">
        <v>96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x14ac:dyDescent="0.25">
      <c r="A13" s="146" t="s">
        <v>97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98</v>
      </c>
      <c r="P13" s="147"/>
      <c r="Q13" s="148" t="s">
        <v>99</v>
      </c>
    </row>
    <row r="14" spans="1:17" ht="15.75" customHeight="1" thickBot="1" x14ac:dyDescent="0.3">
      <c r="A14" s="16" t="s">
        <v>100</v>
      </c>
      <c r="B14" s="17" t="s">
        <v>101</v>
      </c>
      <c r="C14" s="17" t="s">
        <v>102</v>
      </c>
      <c r="D14" s="17" t="s">
        <v>103</v>
      </c>
      <c r="E14" s="17" t="s">
        <v>104</v>
      </c>
      <c r="F14" s="17" t="s">
        <v>105</v>
      </c>
      <c r="G14" s="18" t="s">
        <v>106</v>
      </c>
      <c r="H14" s="17" t="s">
        <v>107</v>
      </c>
      <c r="I14" s="17" t="s">
        <v>108</v>
      </c>
      <c r="J14" s="17" t="s">
        <v>109</v>
      </c>
      <c r="K14" s="17" t="s">
        <v>109</v>
      </c>
      <c r="L14" s="17" t="s">
        <v>110</v>
      </c>
      <c r="M14" s="19" t="s">
        <v>111</v>
      </c>
      <c r="N14" s="20" t="s">
        <v>112</v>
      </c>
      <c r="O14" s="147"/>
      <c r="P14" s="147"/>
      <c r="Q14" s="148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113</v>
      </c>
      <c r="O15" s="149" t="e">
        <f>'Necesidades Trimestrales'!#REF!</f>
        <v>#REF!</v>
      </c>
      <c r="P15" s="150"/>
      <c r="Q15" s="24">
        <f>' NotaPedido'!J15</f>
        <v>209300</v>
      </c>
    </row>
    <row r="16" spans="1:17" ht="33" customHeight="1" thickBot="1" x14ac:dyDescent="0.3">
      <c r="A16" s="162" t="s">
        <v>114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25">
        <f>Q15</f>
        <v>209300</v>
      </c>
    </row>
    <row r="17" spans="1:17" ht="18" customHeight="1" thickBot="1" x14ac:dyDescent="0.3">
      <c r="A17" s="163"/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5"/>
    </row>
    <row r="18" spans="1:17" ht="17.25" customHeight="1" thickBot="1" x14ac:dyDescent="0.3">
      <c r="A18" s="151" t="s">
        <v>115</v>
      </c>
      <c r="B18" s="152"/>
      <c r="C18" s="152"/>
      <c r="D18" s="152"/>
      <c r="E18" s="152"/>
      <c r="F18" s="153"/>
      <c r="G18" s="154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1:17" ht="18" customHeight="1" x14ac:dyDescent="0.25">
      <c r="A19" s="156" t="str">
        <f>' NotaPedido'!D8</f>
        <v>Adquisición de Uniformes de Fajina para el personal policial.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8"/>
    </row>
    <row r="20" spans="1:17" ht="15" customHeight="1" thickBot="1" x14ac:dyDescent="0.3">
      <c r="A20" s="159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1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User</cp:lastModifiedBy>
  <cp:revision>2</cp:revision>
  <dcterms:created xsi:type="dcterms:W3CDTF">2020-07-17T23:44:49Z</dcterms:created>
  <dcterms:modified xsi:type="dcterms:W3CDTF">2022-09-01T13:04:22Z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