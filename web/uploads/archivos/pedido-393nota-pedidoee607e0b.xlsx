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9AB42E93-9B65-4ED5-AF07-A32F680439F5}" xr6:coauthVersionLast="47" xr6:coauthVersionMax="47" xr10:uidLastSave="{00000000-0000-0000-0000-000000000000}"/>
  <bookViews>
    <workbookView xWindow="-120" yWindow="-120" windowWidth="29040" windowHeight="15840" tabRatio="500" firstSheet="3" activeTab="5" xr2:uid="{00000000-000D-0000-FFFF-FFFF00000000}"/>
  </bookViews>
  <sheets>
    <sheet name="gas" sheetId="4" state="hidden" r:id="rId1"/>
    <sheet name="limpieza" sheetId="5" state="hidden" r:id="rId2"/>
    <sheet name="alimento" sheetId="1" state="hidden" r:id="rId3"/>
    <sheet name=" NotaPedido" sheetId="2" r:id="rId4"/>
    <sheet name="Autor Gastar" sheetId="3" r:id="rId5"/>
    <sheet name="ALIM-IMP" sheetId="9" r:id="rId6"/>
  </sheets>
  <externalReferences>
    <externalReference r:id="rId7"/>
    <externalReference r:id="rId8"/>
  </externalReferences>
  <definedNames>
    <definedName name="_xlnm.Print_Area" localSheetId="3">' NotaPedido'!$A$1:$L$29</definedName>
    <definedName name="_xlnm.Print_Area" localSheetId="5">'ALIM-IMP'!$A$1:$I$25</definedName>
    <definedName name="_xlnm.Print_Area" localSheetId="4">'Autor Gastar'!$A$1:$Q$27</definedName>
    <definedName name="_xlnm.Print_Area" localSheetId="1">limpieza!$A$1:$I$118</definedName>
    <definedName name="_xlnm.Print_Titles" localSheetId="3">' NotaPedido'!$1:$9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3" l="1"/>
  <c r="C15" i="2" l="1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12" i="2"/>
  <c r="C13" i="2"/>
  <c r="C14" i="2"/>
  <c r="C12" i="2"/>
  <c r="B12" i="2"/>
  <c r="L25" i="2" l="1"/>
  <c r="L21" i="2"/>
  <c r="L13" i="2"/>
  <c r="L28" i="2"/>
  <c r="L24" i="2"/>
  <c r="L20" i="2"/>
  <c r="L17" i="2"/>
  <c r="L16" i="2"/>
  <c r="L27" i="2"/>
  <c r="L23" i="2"/>
  <c r="L19" i="2"/>
  <c r="L15" i="2"/>
  <c r="L12" i="2"/>
  <c r="L22" i="2"/>
  <c r="L18" i="2"/>
  <c r="L14" i="2"/>
  <c r="L26" i="2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9" i="9"/>
  <c r="I8" i="9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J29" i="2" l="1"/>
  <c r="I26" i="9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 l="1"/>
  <c r="E1081" i="1" l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 l="1"/>
  <c r="D37" i="1"/>
  <c r="I11" i="5" l="1"/>
  <c r="I12" i="5"/>
  <c r="I10" i="5"/>
  <c r="I10" i="4" l="1"/>
  <c r="D26" i="1"/>
  <c r="D27" i="1"/>
  <c r="D17" i="1" l="1"/>
  <c r="D18" i="1"/>
  <c r="D21" i="1"/>
  <c r="D22" i="1"/>
  <c r="D24" i="1"/>
  <c r="D25" i="1"/>
  <c r="D19" i="1"/>
  <c r="D30" i="1"/>
  <c r="D33" i="1"/>
  <c r="D34" i="1"/>
  <c r="D12" i="1"/>
  <c r="D15" i="1"/>
  <c r="I15" i="3" l="1"/>
  <c r="Q23" i="3" l="1"/>
  <c r="D9" i="1"/>
  <c r="D3" i="2" l="1"/>
  <c r="G4" i="3" s="1"/>
  <c r="D4" i="2"/>
  <c r="G5" i="3" s="1"/>
  <c r="A10" i="3" l="1"/>
</calcChain>
</file>

<file path=xl/sharedStrings.xml><?xml version="1.0" encoding="utf-8"?>
<sst xmlns="http://schemas.openxmlformats.org/spreadsheetml/2006/main" count="1328" uniqueCount="305">
  <si>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</si>
  <si>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</si>
  <si>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</si>
  <si>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</si>
  <si>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</si>
  <si>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</si>
  <si>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</si>
  <si>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</si>
  <si>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</si>
  <si>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</si>
  <si>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</si>
  <si>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</si>
  <si>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</si>
  <si>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</si>
  <si>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</si>
  <si>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</si>
  <si>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</si>
  <si>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</si>
  <si>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</si>
  <si>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</si>
  <si>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</si>
  <si>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</si>
  <si>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</si>
  <si>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</si>
  <si>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</si>
  <si>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</si>
  <si>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</si>
  <si>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</si>
  <si>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</si>
  <si>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</si>
  <si>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</si>
  <si>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</si>
  <si>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</si>
  <si>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</si>
  <si>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</si>
  <si>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</si>
  <si>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</si>
  <si>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</si>
  <si>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</si>
  <si>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</si>
  <si>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</si>
  <si>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</si>
  <si>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</si>
  <si>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</si>
  <si>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</si>
  <si>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</si>
  <si>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</si>
  <si>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</si>
  <si>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</si>
  <si>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</si>
  <si>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</si>
  <si>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</si>
  <si>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</si>
  <si>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</si>
  <si>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</si>
  <si>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</si>
  <si>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</si>
  <si>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</si>
  <si>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</si>
  <si>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</si>
  <si>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25- Direccion Provincial de Gestion Administracion y RRHH</t>
  </si>
  <si>
    <t>Actividad Central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</si>
  <si>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</si>
  <si>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</si>
  <si>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</si>
  <si>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</si>
  <si>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</si>
  <si>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</si>
  <si>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</si>
  <si>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</si>
  <si>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</si>
  <si>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</si>
  <si>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</si>
  <si>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</si>
  <si>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</si>
  <si>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</si>
  <si>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</si>
  <si>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</si>
  <si>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</si>
  <si>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</si>
  <si>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</si>
  <si>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</si>
  <si>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</si>
  <si>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</si>
  <si>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</si>
  <si>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</si>
  <si>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</si>
  <si>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</si>
  <si>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</si>
  <si>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</si>
  <si>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</si>
  <si>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</si>
  <si>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</si>
  <si>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</si>
  <si>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</si>
  <si>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</si>
  <si>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</si>
  <si>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</si>
  <si>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</si>
  <si>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</si>
  <si>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</si>
  <si>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</si>
  <si>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</si>
  <si>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</si>
  <si>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</si>
  <si>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</si>
  <si>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</si>
  <si>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</si>
  <si>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</si>
  <si>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</si>
  <si>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</si>
  <si>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</si>
  <si>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</si>
  <si>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</si>
  <si>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</si>
  <si>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</si>
  <si>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</si>
  <si>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</si>
  <si>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</si>
  <si>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</si>
  <si>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</si>
  <si>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</si>
  <si>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</si>
  <si>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</si>
  <si>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</si>
  <si>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</si>
  <si>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</si>
  <si>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</si>
  <si>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</si>
  <si>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</si>
  <si>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</si>
  <si>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</si>
  <si>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</si>
  <si>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</si>
  <si>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</si>
  <si>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</si>
  <si>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</si>
  <si>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</si>
  <si>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</si>
  <si>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</si>
  <si>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</si>
  <si>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</si>
  <si>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</si>
  <si>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</si>
  <si>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</si>
  <si>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</si>
  <si>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</si>
  <si>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</si>
  <si>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</si>
  <si>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</si>
  <si>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</si>
  <si>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</si>
  <si>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</si>
  <si>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</si>
  <si>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</si>
  <si>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</si>
  <si>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</si>
  <si>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</si>
  <si>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</si>
  <si>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</si>
  <si>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</si>
  <si>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</si>
  <si>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</si>
  <si>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</si>
  <si>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</si>
  <si>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</si>
  <si>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</si>
  <si>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</si>
  <si>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</si>
  <si>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</si>
  <si>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</si>
  <si>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</si>
  <si>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</si>
  <si>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</si>
  <si>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</si>
  <si>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</si>
  <si>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</si>
  <si>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</si>
  <si>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</si>
  <si>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</si>
  <si>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</si>
  <si>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</si>
  <si>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</si>
  <si>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</si>
  <si>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</si>
  <si>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</si>
  <si>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</si>
  <si>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</si>
  <si>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</si>
  <si>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</si>
  <si>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</si>
  <si>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</si>
  <si>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</si>
  <si>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</si>
  <si>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</si>
  <si>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</si>
  <si>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</si>
  <si>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</si>
  <si>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</si>
  <si>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</si>
  <si>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</si>
  <si>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</si>
  <si>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</si>
  <si>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</si>
  <si>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</si>
  <si>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</si>
  <si>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</si>
  <si>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</si>
  <si>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</si>
  <si>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</si>
  <si>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</si>
  <si>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</si>
  <si>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</si>
  <si>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</si>
  <si>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</si>
  <si>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</si>
  <si>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</si>
  <si>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</si>
  <si>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</si>
  <si>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</si>
  <si>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</si>
  <si>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</si>
  <si>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</si>
  <si>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</si>
  <si>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</si>
  <si>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</si>
  <si>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</si>
  <si>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</si>
  <si>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</si>
  <si>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</si>
  <si>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</si>
  <si>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</si>
  <si>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</si>
  <si>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</si>
  <si>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</si>
  <si>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</si>
  <si>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</si>
  <si>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</si>
  <si>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</si>
  <si>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</si>
  <si>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</si>
  <si>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</si>
  <si>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</si>
  <si>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</si>
  <si>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</si>
  <si>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</si>
  <si>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</si>
  <si>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</si>
  <si>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</si>
  <si>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</si>
  <si>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</si>
  <si>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</si>
  <si>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</si>
  <si>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</si>
  <si>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</si>
  <si>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Importe Estimado</t>
  </si>
  <si>
    <t>2.9.4-684.8</t>
  </si>
  <si>
    <t>BAZAR Y MENAJE</t>
  </si>
  <si>
    <t>OLLAS DE COCINA; CAPACIDAD: 50 L, NUMERO: 40, MATERIAL: ALUMINIO</t>
  </si>
  <si>
    <t>2.9.4-684.54</t>
  </si>
  <si>
    <t>OLLAS DE COCINA; NUMERO: 45, CAPACIDAD: 71 L, MATERIAL: ACERO INOXIDABLE</t>
  </si>
  <si>
    <t>2.9.4-684.24</t>
  </si>
  <si>
    <t>OLLAS DE COCINA; NUMERO: 50, CAPACIDAD: 100 L, MATERIAL: ALUMINIO</t>
  </si>
  <si>
    <t>2.5.8-2729.85</t>
  </si>
  <si>
    <t>TRANSPORTE Y DEPOSITO</t>
  </si>
  <si>
    <t>CAJAS PLASTICAS; MEDIDA: 31 X 22 X 14 Cm, TIPO: ORGANIZADOR</t>
  </si>
  <si>
    <t>2.9.4-1017.3</t>
  </si>
  <si>
    <t>CUCHARONES; MATERIAL: ALUMINIO</t>
  </si>
  <si>
    <t>2.9.4-1018.2</t>
  </si>
  <si>
    <t>ESPUMADERAS; MATERIAL: ACERO INOXIDABLE</t>
  </si>
  <si>
    <t>2.9.4-7138.3</t>
  </si>
  <si>
    <t>PISAPAPAS; TIPO: MANUAL, MATERIAL: ALUMINIO</t>
  </si>
  <si>
    <t>2.9.4-3595.4</t>
  </si>
  <si>
    <t>COLADORES P/PASTA; DIAMETRO: 30 Cm, MATERIAL: ACERO INOXIDABLE, TIPO: CHINO</t>
  </si>
  <si>
    <t>2.9.4-2403.2</t>
  </si>
  <si>
    <t>RALLADORES; MATERIAL: ACERO INOXIDABLE, TIPO: CILINDRICO</t>
  </si>
  <si>
    <t>2.9.4-3547.2</t>
  </si>
  <si>
    <t>ABRELATAS; MATERIAL: METAL, TIPO: A MANIJA</t>
  </si>
  <si>
    <t>2.9.4-3608.1</t>
  </si>
  <si>
    <t>TABLAS P/PICAR; MATERIAL: FIBRA PLASTICA, FORMATO: RECTANGULAR, MEDIDA: 30 X 40 Cm, FORMA: RECTANGULAR</t>
  </si>
  <si>
    <t>2.9.4-7135.1</t>
  </si>
  <si>
    <t>PELAPAPAS; TIPO: MANUAL, MATERIAL: PLASTICO</t>
  </si>
  <si>
    <t>2.9.4-690.27</t>
  </si>
  <si>
    <t>CUCHARAS; TIPO: 70 Cm, MATERIAL: MADERA</t>
  </si>
  <si>
    <t>2.9.4-689.5</t>
  </si>
  <si>
    <t>CUCHILLOS; TIPO: COCINA 398 X 20 mm, MATERIAL: ACERO INOXIDABLE</t>
  </si>
  <si>
    <t>2.9.4-1067.27</t>
  </si>
  <si>
    <t>ASADERAS; MATERIAL: ENLOZADO, DIMENSION: 70 X 45 X 5 Cm</t>
  </si>
  <si>
    <t>2.5.8-2729.163</t>
  </si>
  <si>
    <t>CAJAS PLASTICAS; MEDIDA: 34 X 22,5 X 6 Cm, TIPO: ORGANIZADOR</t>
  </si>
  <si>
    <t>2.9.4-1010.17</t>
  </si>
  <si>
    <t>PAVAS; MATERIAL: ALUMINIO, CAPACIDAD: 10 L</t>
  </si>
  <si>
    <t>2.9.4</t>
  </si>
  <si>
    <t>2.5.8</t>
  </si>
  <si>
    <t>NO</t>
  </si>
  <si>
    <t>Costo total estimado:  TRES MILLONES CIENTO CATORCE MIL CON 00/100.-</t>
  </si>
  <si>
    <t>1º Trimestre del Año 2021</t>
  </si>
  <si>
    <t>Productos de Material Plastico</t>
  </si>
  <si>
    <t>Utensilios de Cocina y Comedor</t>
  </si>
  <si>
    <t>TOTAL DE PESOS: TRES MILLONES CIENTO CATORCE MIL CON 00/100.-</t>
  </si>
  <si>
    <t>128/2021</t>
  </si>
  <si>
    <t>Prmocion Socio-Alimentaria</t>
  </si>
  <si>
    <t>20- Promocion Socio-Alimentaria</t>
  </si>
  <si>
    <t>01- Actividad Central</t>
  </si>
  <si>
    <t>Adquisición de Elementos de Cocina para Comedores Emergentes.-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</si>
</sst>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2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3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5" xfId="0" applyBorder="1"/>
    <xf numFmtId="0" fontId="20" fillId="0" borderId="9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0" fillId="0" borderId="8" xfId="0" applyBorder="1"/>
    <xf numFmtId="0" fontId="20" fillId="0" borderId="10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horizontal="center"/>
    </xf>
    <xf numFmtId="41" fontId="0" fillId="0" borderId="5" xfId="0" applyNumberFormat="1" applyBorder="1" applyAlignment="1"/>
    <xf numFmtId="0" fontId="20" fillId="0" borderId="68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/>
    </xf>
    <xf numFmtId="0" fontId="0" fillId="0" borderId="70" xfId="0" applyBorder="1"/>
    <xf numFmtId="0" fontId="0" fillId="0" borderId="71" xfId="0" applyBorder="1"/>
    <xf numFmtId="0" fontId="22" fillId="0" borderId="71" xfId="0" applyFont="1" applyBorder="1" applyAlignment="1">
      <alignment horizontal="center" vertical="center" wrapText="1"/>
    </xf>
    <xf numFmtId="0" fontId="0" fillId="0" borderId="71" xfId="0" applyBorder="1" applyAlignment="1">
      <alignment horizontal="center"/>
    </xf>
    <xf numFmtId="0" fontId="0" fillId="0" borderId="71" xfId="0" applyBorder="1" applyAlignment="1">
      <alignment horizontal="right"/>
    </xf>
    <xf numFmtId="0" fontId="0" fillId="0" borderId="3" xfId="0" applyBorder="1" applyAlignment="1">
      <alignment horizontal="center"/>
    </xf>
    <xf numFmtId="41" fontId="0" fillId="0" borderId="3" xfId="0" applyNumberFormat="1" applyBorder="1" applyAlignment="1"/>
    <xf numFmtId="0" fontId="0" fillId="0" borderId="8" xfId="0" applyBorder="1" applyAlignment="1">
      <alignment horizontal="center"/>
    </xf>
    <xf numFmtId="41" fontId="0" fillId="0" borderId="8" xfId="0" applyNumberFormat="1" applyBorder="1" applyAlignment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1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22" fillId="4" borderId="55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25" fillId="4" borderId="3" xfId="0" applyNumberFormat="1" applyFont="1" applyFill="1" applyBorder="1" applyAlignment="1">
      <alignment horizontal="right" vertical="center"/>
    </xf>
    <xf numFmtId="166" fontId="21" fillId="5" borderId="59" xfId="1" applyNumberFormat="1" applyFont="1" applyFill="1" applyBorder="1" applyAlignment="1" applyProtection="1">
      <alignment horizontal="right" vertical="center" wrapText="1"/>
    </xf>
    <xf numFmtId="166" fontId="21" fillId="5" borderId="60" xfId="1" applyNumberFormat="1" applyFont="1" applyFill="1" applyBorder="1" applyAlignment="1" applyProtection="1">
      <alignment horizontal="right" vertical="center" wrapText="1"/>
    </xf>
    <xf numFmtId="0" fontId="21" fillId="4" borderId="66" xfId="0" applyFont="1" applyFill="1" applyBorder="1" applyAlignment="1">
      <alignment horizontal="center" vertical="center"/>
    </xf>
    <xf numFmtId="0" fontId="0" fillId="4" borderId="5" xfId="0" applyFill="1" applyBorder="1"/>
    <xf numFmtId="0" fontId="22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25" fillId="4" borderId="5" xfId="0" applyNumberFormat="1" applyFont="1" applyFill="1" applyBorder="1" applyAlignment="1">
      <alignment horizontal="right" vertical="center"/>
    </xf>
    <xf numFmtId="166" fontId="21" fillId="5" borderId="5" xfId="1" applyNumberFormat="1" applyFont="1" applyFill="1" applyBorder="1" applyAlignment="1" applyProtection="1">
      <alignment horizontal="right" vertical="center" wrapText="1"/>
    </xf>
    <xf numFmtId="166" fontId="21" fillId="5" borderId="6" xfId="1" applyNumberFormat="1" applyFont="1" applyFill="1" applyBorder="1" applyAlignment="1" applyProtection="1">
      <alignment horizontal="right" vertical="center" wrapText="1"/>
    </xf>
    <xf numFmtId="0" fontId="15" fillId="4" borderId="5" xfId="0" applyFont="1" applyFill="1" applyBorder="1"/>
    <xf numFmtId="0" fontId="21" fillId="4" borderId="52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/>
    </xf>
    <xf numFmtId="0" fontId="21" fillId="4" borderId="5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/>
    </xf>
    <xf numFmtId="3" fontId="25" fillId="4" borderId="52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25" fillId="4" borderId="54" xfId="0" applyNumberFormat="1" applyFont="1" applyFill="1" applyBorder="1" applyAlignment="1">
      <alignment horizontal="right" vertical="center"/>
    </xf>
    <xf numFmtId="166" fontId="21" fillId="5" borderId="53" xfId="1" applyNumberFormat="1" applyFont="1" applyFill="1" applyBorder="1" applyAlignment="1" applyProtection="1">
      <alignment horizontal="right" vertical="center" wrapText="1"/>
    </xf>
    <xf numFmtId="166" fontId="21" fillId="5" borderId="67" xfId="1" applyNumberFormat="1" applyFont="1" applyFill="1" applyBorder="1" applyAlignment="1" applyProtection="1">
      <alignment horizontal="right" vertical="center" wrapText="1"/>
    </xf>
    <xf numFmtId="0" fontId="15" fillId="4" borderId="52" xfId="0" applyFont="1" applyFill="1" applyBorder="1" applyAlignment="1">
      <alignment horizontal="center"/>
    </xf>
    <xf numFmtId="3" fontId="25" fillId="4" borderId="5" xfId="0" applyNumberFormat="1" applyFont="1" applyFill="1" applyBorder="1" applyAlignment="1">
      <alignment horizontal="right"/>
    </xf>
    <xf numFmtId="0" fontId="21" fillId="4" borderId="76" xfId="0" applyFont="1" applyFill="1" applyBorder="1" applyAlignment="1">
      <alignment horizontal="center" vertical="center"/>
    </xf>
    <xf numFmtId="0" fontId="0" fillId="4" borderId="8" xfId="0" applyFill="1" applyBorder="1"/>
    <xf numFmtId="0" fontId="22" fillId="4" borderId="8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/>
    </xf>
    <xf numFmtId="3" fontId="25" fillId="4" borderId="8" xfId="0" applyNumberFormat="1" applyFont="1" applyFill="1" applyBorder="1" applyAlignment="1">
      <alignment horizontal="right"/>
    </xf>
    <xf numFmtId="166" fontId="21" fillId="5" borderId="61" xfId="1" applyNumberFormat="1" applyFont="1" applyFill="1" applyBorder="1" applyAlignment="1" applyProtection="1">
      <alignment horizontal="right" vertical="center" wrapText="1"/>
    </xf>
    <xf numFmtId="166" fontId="21" fillId="5" borderId="62" xfId="1" applyNumberFormat="1" applyFont="1" applyFill="1" applyBorder="1" applyAlignment="1" applyProtection="1">
      <alignment horizontal="right" vertical="center" wrapText="1"/>
    </xf>
    <xf numFmtId="0" fontId="16" fillId="5" borderId="0" xfId="0" applyFont="1" applyFill="1" applyBorder="1" applyAlignment="1">
      <alignment horizontal="center"/>
    </xf>
    <xf numFmtId="0" fontId="16" fillId="5" borderId="13" xfId="0" applyFont="1" applyFill="1" applyBorder="1" applyAlignment="1"/>
    <xf numFmtId="166" fontId="21" fillId="5" borderId="71" xfId="1" applyNumberFormat="1" applyFont="1" applyFill="1" applyBorder="1" applyAlignment="1" applyProtection="1">
      <alignment horizontal="right" vertical="center" wrapText="1"/>
    </xf>
    <xf numFmtId="166" fontId="21" fillId="5" borderId="72" xfId="1" applyNumberFormat="1" applyFont="1" applyFill="1" applyBorder="1" applyAlignment="1" applyProtection="1">
      <alignment horizontal="right" vertical="center" wrapText="1"/>
    </xf>
    <xf numFmtId="166" fontId="21" fillId="5" borderId="3" xfId="1" applyNumberFormat="1" applyFont="1" applyFill="1" applyBorder="1" applyAlignment="1" applyProtection="1">
      <alignment horizontal="right" vertical="center" wrapText="1"/>
    </xf>
    <xf numFmtId="0" fontId="16" fillId="5" borderId="10" xfId="0" applyFont="1" applyFill="1" applyBorder="1" applyAlignment="1">
      <alignment horizontal="center"/>
    </xf>
    <xf numFmtId="0" fontId="16" fillId="5" borderId="11" xfId="0" applyFont="1" applyFill="1" applyBorder="1" applyAlignment="1"/>
    <xf numFmtId="0" fontId="16" fillId="5" borderId="15" xfId="0" applyFont="1" applyFill="1" applyBorder="1" applyAlignment="1">
      <alignment horizontal="center"/>
    </xf>
    <xf numFmtId="0" fontId="16" fillId="5" borderId="16" xfId="0" applyFont="1" applyFill="1" applyBorder="1" applyAlignment="1"/>
    <xf numFmtId="0" fontId="4" fillId="4" borderId="26" xfId="0" applyFont="1" applyFill="1" applyBorder="1" applyAlignment="1">
      <alignment horizontal="left" vertical="center"/>
    </xf>
    <xf numFmtId="0" fontId="4" fillId="5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16" fillId="4" borderId="0" xfId="0" applyFont="1" applyFill="1"/>
    <xf numFmtId="0" fontId="26" fillId="0" borderId="0" xfId="0" applyFont="1"/>
    <xf numFmtId="166" fontId="16" fillId="0" borderId="0" xfId="0" applyNumberFormat="1" applyFont="1"/>
    <xf numFmtId="169" fontId="4" fillId="4" borderId="26" xfId="0" applyNumberFormat="1" applyFont="1" applyFill="1" applyBorder="1" applyAlignment="1">
      <alignment horizontal="center" vertical="center"/>
    </xf>
    <xf numFmtId="0" fontId="21" fillId="6" borderId="66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6" fillId="0" borderId="0" xfId="0" applyFont="1" applyFill="1"/>
    <xf numFmtId="166" fontId="15" fillId="0" borderId="65" xfId="3" applyNumberFormat="1" applyFont="1" applyFill="1" applyBorder="1" applyAlignment="1" applyProtection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166" fontId="15" fillId="0" borderId="63" xfId="3" applyNumberFormat="1" applyFont="1" applyFill="1" applyBorder="1" applyAlignment="1" applyProtection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3" xfId="3" applyNumberFormat="1" applyFont="1" applyFill="1" applyBorder="1" applyAlignment="1" applyProtection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12" fillId="0" borderId="41" xfId="0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166" fontId="0" fillId="0" borderId="47" xfId="3" applyNumberFormat="1" applyFont="1" applyFill="1" applyBorder="1" applyAlignment="1" applyProtection="1">
      <alignment horizontal="center" vertical="center"/>
    </xf>
    <xf numFmtId="166" fontId="14" fillId="0" borderId="48" xfId="0" applyNumberFormat="1" applyFont="1" applyFill="1" applyBorder="1" applyAlignment="1">
      <alignment horizontal="center" vertical="center"/>
    </xf>
    <xf numFmtId="0" fontId="0" fillId="0" borderId="78" xfId="0" applyFont="1" applyFill="1" applyBorder="1" applyAlignment="1">
      <alignment horizontal="center" vertical="center"/>
    </xf>
    <xf numFmtId="0" fontId="0" fillId="0" borderId="79" xfId="0" applyFont="1" applyFill="1" applyBorder="1" applyAlignment="1">
      <alignment horizontal="center" vertical="center"/>
    </xf>
    <xf numFmtId="0" fontId="0" fillId="0" borderId="8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3" fontId="25" fillId="0" borderId="5" xfId="0" applyNumberFormat="1" applyFont="1" applyFill="1" applyBorder="1" applyAlignment="1">
      <alignment horizontal="center" vertical="center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166" fontId="21" fillId="0" borderId="6" xfId="1" applyNumberFormat="1" applyFont="1" applyFill="1" applyBorder="1" applyAlignment="1" applyProtection="1">
      <alignment horizontal="right" vertical="center" wrapText="1"/>
    </xf>
    <xf numFmtId="3" fontId="25" fillId="0" borderId="52" xfId="0" applyNumberFormat="1" applyFont="1" applyFill="1" applyBorder="1" applyAlignment="1">
      <alignment horizontal="center" vertical="center"/>
    </xf>
    <xf numFmtId="0" fontId="21" fillId="0" borderId="76" xfId="0" applyFont="1" applyFill="1" applyBorder="1" applyAlignment="1">
      <alignment horizontal="center" vertical="center"/>
    </xf>
    <xf numFmtId="0" fontId="0" fillId="0" borderId="61" xfId="0" applyFill="1" applyBorder="1"/>
    <xf numFmtId="0" fontId="22" fillId="0" borderId="61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3" fontId="25" fillId="0" borderId="61" xfId="0" applyNumberFormat="1" applyFont="1" applyFill="1" applyBorder="1" applyAlignment="1">
      <alignment horizontal="right"/>
    </xf>
    <xf numFmtId="166" fontId="21" fillId="0" borderId="61" xfId="1" applyNumberFormat="1" applyFont="1" applyFill="1" applyBorder="1" applyAlignment="1" applyProtection="1">
      <alignment horizontal="right" vertical="center" wrapText="1"/>
    </xf>
    <xf numFmtId="0" fontId="0" fillId="0" borderId="53" xfId="0" applyFill="1" applyBorder="1"/>
    <xf numFmtId="0" fontId="0" fillId="0" borderId="53" xfId="0" applyFill="1" applyBorder="1" applyAlignment="1">
      <alignment horizontal="center"/>
    </xf>
    <xf numFmtId="0" fontId="0" fillId="0" borderId="53" xfId="0" applyFont="1" applyFill="1" applyBorder="1" applyAlignment="1">
      <alignment horizontal="center"/>
    </xf>
    <xf numFmtId="3" fontId="25" fillId="0" borderId="53" xfId="0" applyNumberFormat="1" applyFont="1" applyFill="1" applyBorder="1" applyAlignment="1">
      <alignment horizontal="center" vertical="center"/>
    </xf>
    <xf numFmtId="166" fontId="21" fillId="0" borderId="81" xfId="1" applyNumberFormat="1" applyFont="1" applyFill="1" applyBorder="1" applyAlignment="1" applyProtection="1">
      <alignment horizontal="right" vertical="center" wrapText="1"/>
    </xf>
    <xf numFmtId="166" fontId="21" fillId="0" borderId="82" xfId="1" applyNumberFormat="1" applyFont="1" applyFill="1" applyBorder="1" applyAlignment="1" applyProtection="1">
      <alignment horizontal="right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20" fillId="0" borderId="83" xfId="0" applyFont="1" applyBorder="1" applyAlignment="1">
      <alignment horizontal="center" vertical="center" wrapText="1"/>
    </xf>
    <xf numFmtId="0" fontId="20" fillId="0" borderId="84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6" fillId="5" borderId="12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6" fillId="3" borderId="28" xfId="0" applyFont="1" applyFill="1" applyBorder="1" applyAlignment="1">
      <alignment horizontal="center"/>
    </xf>
    <xf numFmtId="0" fontId="16" fillId="3" borderId="70" xfId="0" applyFont="1" applyFill="1" applyBorder="1" applyAlignment="1">
      <alignment horizontal="center"/>
    </xf>
    <xf numFmtId="0" fontId="16" fillId="3" borderId="29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16" fillId="5" borderId="9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16" fillId="3" borderId="12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 wrapText="1"/>
    </xf>
    <xf numFmtId="0" fontId="16" fillId="5" borderId="14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8" fillId="0" borderId="24" xfId="0" applyFont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left" vertical="center" wrapText="1"/>
    </xf>
    <xf numFmtId="167" fontId="6" fillId="0" borderId="28" xfId="0" applyNumberFormat="1" applyFont="1" applyFill="1" applyBorder="1" applyAlignment="1">
      <alignment horizontal="center" vertical="center"/>
    </xf>
    <xf numFmtId="167" fontId="6" fillId="0" borderId="70" xfId="0" applyNumberFormat="1" applyFont="1" applyFill="1" applyBorder="1" applyAlignment="1">
      <alignment horizontal="center" vertical="center"/>
    </xf>
    <xf numFmtId="167" fontId="6" fillId="0" borderId="29" xfId="0" applyNumberFormat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left" vertical="center" wrapText="1" inden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5" fillId="0" borderId="64" xfId="0" applyFont="1" applyFill="1" applyBorder="1" applyAlignment="1">
      <alignment horizontal="left" vertical="center" wrapText="1"/>
    </xf>
    <xf numFmtId="0" fontId="0" fillId="0" borderId="64" xfId="0" applyFont="1" applyFill="1" applyBorder="1" applyAlignment="1">
      <alignment horizontal="left" vertical="center" wrapText="1"/>
    </xf>
    <xf numFmtId="0" fontId="15" fillId="0" borderId="77" xfId="0" applyFont="1" applyFill="1" applyBorder="1" applyAlignment="1">
      <alignment horizontal="left" vertical="center"/>
    </xf>
    <xf numFmtId="0" fontId="0" fillId="0" borderId="40" xfId="0" applyFont="1" applyFill="1" applyBorder="1" applyAlignment="1">
      <alignment horizontal="left" vertical="center"/>
    </xf>
    <xf numFmtId="0" fontId="0" fillId="0" borderId="42" xfId="0" applyFont="1" applyFill="1" applyBorder="1" applyAlignment="1">
      <alignment horizontal="left" vertical="center"/>
    </xf>
    <xf numFmtId="0" fontId="10" fillId="0" borderId="28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48" xfId="0" applyFont="1" applyFill="1" applyBorder="1" applyAlignment="1">
      <alignment horizontal="left" vertical="center" wrapText="1" indent="1"/>
    </xf>
    <xf numFmtId="0" fontId="0" fillId="0" borderId="42" xfId="0" applyFill="1" applyBorder="1" applyAlignment="1">
      <alignment horizontal="left" vertical="center"/>
    </xf>
    <xf numFmtId="0" fontId="0" fillId="0" borderId="45" xfId="0" applyFill="1" applyBorder="1" applyAlignment="1">
      <alignment horizontal="left" vertical="center"/>
    </xf>
    <xf numFmtId="0" fontId="10" fillId="0" borderId="48" xfId="0" applyFont="1" applyFill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crit/COMEDORES/COMEDORES%20EMERGENTES/COMESORES%20DESDE%2025-06-20/LISTA%20COMEDORES%20EMERGEN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cargas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21" customWidth="1"/>
    <col min="2" max="2" width="19.85546875" style="21" customWidth="1"/>
    <col min="3" max="3" width="32.42578125" style="21" customWidth="1"/>
    <col min="4" max="4" width="10.42578125" style="21" customWidth="1"/>
    <col min="5" max="5" width="68.8554687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2" spans="1:9" ht="27" x14ac:dyDescent="0.35">
      <c r="B2" s="189" t="s">
        <v>0</v>
      </c>
      <c r="C2" s="189"/>
      <c r="D2" s="189"/>
      <c r="E2" s="189"/>
      <c r="F2" s="189"/>
      <c r="G2" s="189"/>
      <c r="H2" s="189"/>
    </row>
    <row r="4" spans="1:9" ht="18" customHeight="1" x14ac:dyDescent="0.25">
      <c r="A4" s="186" t="s">
        <v>1</v>
      </c>
      <c r="B4" s="186"/>
      <c r="C4" s="190" t="s">
        <v>65</v>
      </c>
      <c r="D4" s="190"/>
      <c r="E4" s="190"/>
      <c r="F4" s="22"/>
      <c r="G4" s="23"/>
      <c r="H4" s="22"/>
    </row>
    <row r="5" spans="1:9" ht="18" customHeight="1" x14ac:dyDescent="0.25">
      <c r="A5" s="186" t="s">
        <v>2</v>
      </c>
      <c r="B5" s="186"/>
      <c r="C5" s="190" t="s">
        <v>60</v>
      </c>
      <c r="D5" s="190"/>
      <c r="E5" s="190"/>
      <c r="F5" s="22"/>
      <c r="G5" s="23"/>
      <c r="H5" s="22"/>
    </row>
    <row r="6" spans="1:9" ht="16.5" customHeight="1" x14ac:dyDescent="0.25">
      <c r="A6" s="186" t="s">
        <v>3</v>
      </c>
      <c r="B6" s="186"/>
      <c r="C6" s="40">
        <v>2020</v>
      </c>
      <c r="D6" s="41"/>
      <c r="E6" s="41"/>
      <c r="F6" s="22"/>
      <c r="G6" s="23"/>
      <c r="H6" s="22"/>
    </row>
    <row r="7" spans="1:9" ht="16.5" customHeight="1" x14ac:dyDescent="0.25">
      <c r="A7" s="186" t="s">
        <v>4</v>
      </c>
      <c r="B7" s="186"/>
      <c r="C7" s="40">
        <v>3</v>
      </c>
      <c r="D7" s="41"/>
      <c r="E7" s="41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" thickBot="1" x14ac:dyDescent="0.25">
      <c r="A9" s="43" t="s">
        <v>5</v>
      </c>
      <c r="B9" s="52" t="s">
        <v>6</v>
      </c>
      <c r="C9" s="52" t="s">
        <v>7</v>
      </c>
      <c r="D9" s="48" t="s">
        <v>8</v>
      </c>
      <c r="E9" s="52" t="s">
        <v>9</v>
      </c>
      <c r="F9" s="44" t="s">
        <v>10</v>
      </c>
      <c r="G9" s="45" t="s">
        <v>11</v>
      </c>
      <c r="H9" s="45" t="s">
        <v>12</v>
      </c>
      <c r="I9" s="46" t="s">
        <v>13</v>
      </c>
    </row>
    <row r="10" spans="1:9" ht="13.5" thickBot="1" x14ac:dyDescent="0.25">
      <c r="A10" s="53">
        <v>28</v>
      </c>
      <c r="B10" s="54" t="s">
        <v>105</v>
      </c>
      <c r="C10" s="55" t="s">
        <v>106</v>
      </c>
      <c r="D10" s="56" t="s">
        <v>107</v>
      </c>
      <c r="E10" s="55" t="s">
        <v>108</v>
      </c>
      <c r="F10" s="57" t="s">
        <v>14</v>
      </c>
      <c r="G10" s="58">
        <v>240</v>
      </c>
      <c r="H10" s="110">
        <v>450</v>
      </c>
      <c r="I10" s="111">
        <f>+G10*H10</f>
        <v>108000</v>
      </c>
    </row>
    <row r="12" spans="1:9" ht="13.5" thickBot="1" x14ac:dyDescent="0.25"/>
    <row r="13" spans="1:9" x14ac:dyDescent="0.2">
      <c r="B13" s="27" t="s">
        <v>15</v>
      </c>
      <c r="C13" s="28"/>
      <c r="D13" s="28"/>
      <c r="E13" s="29"/>
    </row>
    <row r="14" spans="1:9" ht="5.25" customHeight="1" x14ac:dyDescent="0.2">
      <c r="B14" s="30"/>
      <c r="C14" s="31"/>
      <c r="D14" s="31"/>
      <c r="E14" s="32"/>
    </row>
    <row r="15" spans="1:9" x14ac:dyDescent="0.2">
      <c r="B15" s="33" t="s">
        <v>16</v>
      </c>
      <c r="C15" s="31"/>
      <c r="D15" s="31"/>
      <c r="E15" s="32"/>
    </row>
    <row r="16" spans="1:9" ht="25.5" customHeight="1" x14ac:dyDescent="0.2">
      <c r="B16" s="183" t="s">
        <v>120</v>
      </c>
      <c r="C16" s="184"/>
      <c r="D16" s="184"/>
      <c r="E16" s="185"/>
    </row>
    <row r="17" spans="2:5" ht="13.5" thickBot="1" x14ac:dyDescent="0.25">
      <c r="B17" s="33" t="s">
        <v>17</v>
      </c>
      <c r="C17" s="31"/>
      <c r="D17" s="31"/>
      <c r="E17" s="32"/>
    </row>
    <row r="18" spans="2:5" ht="13.5" thickBot="1" x14ac:dyDescent="0.25">
      <c r="B18" s="180" t="s">
        <v>136</v>
      </c>
      <c r="C18" s="181"/>
      <c r="D18" s="181"/>
      <c r="E18" s="182"/>
    </row>
    <row r="19" spans="2:5" ht="13.5" thickBot="1" x14ac:dyDescent="0.25">
      <c r="B19" s="180" t="s">
        <v>137</v>
      </c>
      <c r="C19" s="182"/>
      <c r="D19" s="69" t="s">
        <v>11</v>
      </c>
      <c r="E19" s="69" t="s">
        <v>138</v>
      </c>
    </row>
    <row r="20" spans="2:5" x14ac:dyDescent="0.2">
      <c r="B20" s="187" t="str">
        <f>'[1]COMEDORES EMERGENTES'!$B$3</f>
        <v>UNA SONRISA AV. LOS COBACHO</v>
      </c>
      <c r="C20" s="188"/>
      <c r="D20" s="108">
        <v>1</v>
      </c>
      <c r="E20" s="109" t="str">
        <f>'[1]COMEDORES EMERGENTES'!$G$3</f>
        <v>Bº SAN CARLOS OESTE AV. Bonifacio cobacho 670</v>
      </c>
    </row>
    <row r="21" spans="2:5" x14ac:dyDescent="0.2">
      <c r="B21" s="178" t="str">
        <f>'[1]COMEDORES EMERGENTES'!$B$4</f>
        <v>C.I.F Nº1 - RIVERA DEL VALLE Y FLORIDA</v>
      </c>
      <c r="C21" s="179"/>
      <c r="D21" s="108">
        <v>1</v>
      </c>
      <c r="E21" s="109" t="str">
        <f>'[1]COMEDORES EMERGENTES'!$G$4</f>
        <v>AV. RIVIERA DEL VALLE ENTRE FLORIDA Y SANTA FE</v>
      </c>
    </row>
    <row r="22" spans="2:5" x14ac:dyDescent="0.2">
      <c r="B22" s="178" t="str">
        <f>'[1]COMEDORES EMERGENTES'!$B$5</f>
        <v>C.I.F - RIVERA DEL VALLE - DILORENZO</v>
      </c>
      <c r="C22" s="179"/>
      <c r="D22" s="108">
        <v>1</v>
      </c>
      <c r="E22" s="109" t="str">
        <f>'[1]COMEDORES EMERGENTES'!$G$5</f>
        <v>Bº RIVERA DEL VALLE ENTRE VILLA EUMELIA Y MONTE CRISTO</v>
      </c>
    </row>
    <row r="23" spans="2:5" x14ac:dyDescent="0.2">
      <c r="B23" s="178" t="str">
        <f>'[1]COMEDORES EMERGENTES'!$B$6</f>
        <v>ESFUERZO PROPIO- Bº ALTOS DE CHOYA</v>
      </c>
      <c r="C23" s="179"/>
      <c r="D23" s="108">
        <v>1</v>
      </c>
      <c r="E23" s="109" t="str">
        <f>'[1]COMEDORES EMERGENTES'!$G$6</f>
        <v>Bº MUNICIPAL 35VV. NORTE C/14</v>
      </c>
    </row>
    <row r="24" spans="2:5" x14ac:dyDescent="0.2">
      <c r="B24" s="178" t="str">
        <f>'[1]COMEDORES EMERGENTES'!$B$7</f>
        <v>ANGELITOS - LOTEO SUSSEX</v>
      </c>
      <c r="C24" s="179"/>
      <c r="D24" s="108">
        <v>1</v>
      </c>
      <c r="E24" s="109" t="str">
        <f>'[1]COMEDORES EMERGENTES'!$G$7</f>
        <v>Bº LOTEO SUSEX MZA.Nº 4 LOTE Nº3</v>
      </c>
    </row>
    <row r="25" spans="2:5" x14ac:dyDescent="0.2">
      <c r="B25" s="178" t="str">
        <f>'[1]COMEDORES EMERGENTES'!$B$8</f>
        <v>CLUB DEPORTIVO CHACARITA</v>
      </c>
      <c r="C25" s="179"/>
      <c r="D25" s="108">
        <v>1</v>
      </c>
      <c r="E25" s="109" t="str">
        <f>'[1]COMEDORES EMERGENTES'!$G$8</f>
        <v>CALLE DR.DERMIDIO GALINDEZ C/2660</v>
      </c>
    </row>
    <row r="26" spans="2:5" x14ac:dyDescent="0.2">
      <c r="B26" s="178" t="str">
        <f>'[1]COMEDORES EMERGENTES'!$B$9</f>
        <v>LA MORO</v>
      </c>
      <c r="C26" s="179"/>
      <c r="D26" s="108">
        <v>1</v>
      </c>
      <c r="E26" s="109" t="str">
        <f>'[1]COMEDORES EMERGENTES'!$G$9</f>
        <v>MAIPU NORTE 1º ETAPA MZA "H" Bº MI JARDIN</v>
      </c>
    </row>
    <row r="27" spans="2:5" x14ac:dyDescent="0.2">
      <c r="B27" s="178" t="str">
        <f>'[1]COMEDORES EMERGENTES'!$B$10</f>
        <v>PAPA FRANCISCO</v>
      </c>
      <c r="C27" s="179"/>
      <c r="D27" s="108">
        <v>1</v>
      </c>
      <c r="E27" s="109" t="str">
        <f>'[1]COMEDORES EMERGENTES'!$G$10</f>
        <v>ENTRE AV.TEREBINTO Y AV.SAN JUAN LOTE "2" MZA. "B"</v>
      </c>
    </row>
    <row r="28" spans="2:5" x14ac:dyDescent="0.2">
      <c r="B28" s="178" t="str">
        <f>'[1]COMEDORES EMERGENTES'!$B$11</f>
        <v>E.P.C - 100 V.V NORTE</v>
      </c>
      <c r="C28" s="179"/>
      <c r="D28" s="108">
        <v>1</v>
      </c>
      <c r="E28" s="109" t="str">
        <f>'[1]COMEDORES EMERGENTES'!$G$11</f>
        <v>Bº VV NORTE C/48 ENTRE ESPAÑA Y FRANCIA</v>
      </c>
    </row>
    <row r="29" spans="2:5" x14ac:dyDescent="0.2">
      <c r="B29" s="178" t="str">
        <f>'[1]COMEDORES EMERGENTES'!$B$12</f>
        <v>HOGAR DE CRISTO - PADRE RAUL CONTRERAS</v>
      </c>
      <c r="C29" s="179"/>
      <c r="D29" s="108">
        <v>1</v>
      </c>
      <c r="E29" s="109" t="str">
        <f>'[1]COMEDORES EMERGENTES'!$G$12</f>
        <v>Bº SANTA MARTA MZA. "S" LOTE "M" C/39</v>
      </c>
    </row>
    <row r="30" spans="2:5" x14ac:dyDescent="0.2">
      <c r="B30" s="178" t="str">
        <f>'[1]COMEDORES EMERGENTES'!$B$13</f>
        <v>LA LUCIERNAGA</v>
      </c>
      <c r="C30" s="179"/>
      <c r="D30" s="108">
        <v>1</v>
      </c>
      <c r="E30" s="109" t="str">
        <f>'[1]COMEDORES EMERGENTES'!$G$13</f>
        <v>Bº 20 V.V NORTE C/3</v>
      </c>
    </row>
    <row r="31" spans="2:5" x14ac:dyDescent="0.2">
      <c r="B31" s="178" t="str">
        <f>'[1]COMEDORES EMERGENTES'!$B$14</f>
        <v>VALLE VIEJO - SUMALAO</v>
      </c>
      <c r="C31" s="179"/>
      <c r="D31" s="108">
        <v>1</v>
      </c>
      <c r="E31" s="109" t="str">
        <f>'[1]COMEDORES EMERGENTES'!$G$14</f>
        <v>PADRE SEGURA S/N</v>
      </c>
    </row>
    <row r="32" spans="2:5" x14ac:dyDescent="0.2">
      <c r="B32" s="178" t="str">
        <f>'[1]COMEDORES EMERGENTES'!$B$15</f>
        <v>NUESTRO FUTURO - LAS VIAS</v>
      </c>
      <c r="C32" s="179"/>
      <c r="D32" s="108">
        <v>1</v>
      </c>
      <c r="E32" s="109" t="str">
        <f>'[1]COMEDORES EMERGENTES'!$G$15</f>
        <v>Bº LAS VIAS OESTE LOTE 42</v>
      </c>
    </row>
    <row r="33" spans="2:5" x14ac:dyDescent="0.2">
      <c r="B33" s="178" t="str">
        <f>'[1]COMEDORES EMERGENTES'!$B$16</f>
        <v>SAN JOSE OBRERO</v>
      </c>
      <c r="C33" s="179"/>
      <c r="D33" s="108">
        <v>1</v>
      </c>
      <c r="E33" s="109" t="str">
        <f>'[1]COMEDORES EMERGENTES'!$G$16</f>
        <v>Bº SAN JOSE OBRERO. PJE. SANDOVAL S/Nº</v>
      </c>
    </row>
    <row r="34" spans="2:5" x14ac:dyDescent="0.2">
      <c r="B34" s="178" t="str">
        <f>'[1]COMEDORES EMERGENTES'!$B$17</f>
        <v>VIRGEN DE LUJAN</v>
      </c>
      <c r="C34" s="179"/>
      <c r="D34" s="108">
        <v>1</v>
      </c>
      <c r="E34" s="109" t="str">
        <f>'[1]COMEDORES EMERGENTES'!$G$17</f>
        <v>Bº OJO DE AGUA C/DR.TEODULFO BARRIONUEVO S/Nº</v>
      </c>
    </row>
    <row r="35" spans="2:5" x14ac:dyDescent="0.2">
      <c r="B35" s="178" t="str">
        <f>'[1]COMEDORES EMERGENTES'!$B$18</f>
        <v>RENACER</v>
      </c>
      <c r="C35" s="179"/>
      <c r="D35" s="108">
        <v>1</v>
      </c>
      <c r="E35" s="109" t="str">
        <f>'[1]COMEDORES EMERGENTES'!$G$18</f>
        <v>Bº VIRGEN MORENITA</v>
      </c>
    </row>
    <row r="36" spans="2:5" x14ac:dyDescent="0.2">
      <c r="B36" s="178" t="str">
        <f>'[1]COMEDORES EMERGENTES'!$B$19</f>
        <v>CENTRO VECINAL MI JARDIN</v>
      </c>
      <c r="C36" s="179"/>
      <c r="D36" s="108">
        <v>1</v>
      </c>
      <c r="E36" s="109" t="str">
        <f>'[1]COMEDORES EMERGENTES'!$G$19</f>
        <v>C/ LOS TULIPANES ENTRE FLOR DE CEREZO Y HOLANDA MZA.27 Bº MI JARDIN</v>
      </c>
    </row>
    <row r="37" spans="2:5" x14ac:dyDescent="0.2">
      <c r="B37" s="178" t="str">
        <f>'[1]COMEDORES EMERGENTES'!$B$20</f>
        <v>LA VIEJA ESQUINA</v>
      </c>
      <c r="C37" s="179"/>
      <c r="D37" s="108">
        <v>1</v>
      </c>
      <c r="E37" s="109" t="str">
        <f>'[1]COMEDORES EMERGENTES'!$G$20</f>
        <v>B° CRISTO REY PJE CAPATAZ VILLAFAÑEZ Y ARMANDO CORREA</v>
      </c>
    </row>
    <row r="38" spans="2:5" x14ac:dyDescent="0.2">
      <c r="B38" s="178" t="str">
        <f>'[1]COMEDORES EMERGENTES'!$B$21</f>
        <v>GAUCHITO GIL</v>
      </c>
      <c r="C38" s="179"/>
      <c r="D38" s="108">
        <v>1</v>
      </c>
      <c r="E38" s="109" t="str">
        <f>'[1]COMEDORES EMERGENTES'!$G$21</f>
        <v>B° 26 VIVIENDAS CASA N° 3</v>
      </c>
    </row>
    <row r="39" spans="2:5" x14ac:dyDescent="0.2">
      <c r="B39" s="178" t="str">
        <f>'[1]COMEDORES EMERGENTES'!$B$22</f>
        <v>LOS TOLDOS</v>
      </c>
      <c r="C39" s="179"/>
      <c r="D39" s="108">
        <v>1</v>
      </c>
      <c r="E39" s="109" t="str">
        <f>'[1]COMEDORES EMERGENTES'!$G$22</f>
        <v>LOTEO PARQUE SUR CALLE S/NOMBRE S/N°</v>
      </c>
    </row>
    <row r="40" spans="2:5" x14ac:dyDescent="0.2">
      <c r="B40" s="33" t="s">
        <v>20</v>
      </c>
      <c r="C40" s="31"/>
      <c r="D40" s="31"/>
      <c r="E40" s="32"/>
    </row>
    <row r="41" spans="2:5" x14ac:dyDescent="0.2">
      <c r="B41" s="191" t="s">
        <v>63</v>
      </c>
      <c r="C41" s="192"/>
      <c r="D41" s="192"/>
      <c r="E41" s="193"/>
    </row>
    <row r="42" spans="2:5" ht="13.5" thickBot="1" x14ac:dyDescent="0.25">
      <c r="B42" s="37"/>
      <c r="C42" s="38"/>
      <c r="D42" s="38"/>
      <c r="E42" s="39"/>
    </row>
  </sheetData>
  <mergeCells count="31">
    <mergeCell ref="B41:E41"/>
    <mergeCell ref="B33:C33"/>
    <mergeCell ref="B34:C34"/>
    <mergeCell ref="B35:C35"/>
    <mergeCell ref="B36:C36"/>
    <mergeCell ref="B37:C37"/>
    <mergeCell ref="B39:C39"/>
    <mergeCell ref="B2:H2"/>
    <mergeCell ref="A4:B4"/>
    <mergeCell ref="C4:E4"/>
    <mergeCell ref="A5:B5"/>
    <mergeCell ref="C5:E5"/>
    <mergeCell ref="A6:B6"/>
    <mergeCell ref="A7:B7"/>
    <mergeCell ref="B19:C19"/>
    <mergeCell ref="B20:C20"/>
    <mergeCell ref="B21:C21"/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21" customWidth="1"/>
    <col min="2" max="2" width="19.28515625" style="21" customWidth="1"/>
    <col min="3" max="3" width="29.28515625" style="21" customWidth="1"/>
    <col min="4" max="4" width="8.85546875" style="21" customWidth="1"/>
    <col min="5" max="5" width="110.14062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2" spans="1:9" ht="27" x14ac:dyDescent="0.35">
      <c r="B2" s="189" t="s">
        <v>0</v>
      </c>
      <c r="C2" s="189"/>
      <c r="D2" s="189"/>
      <c r="E2" s="189"/>
      <c r="F2" s="189"/>
      <c r="G2" s="189"/>
      <c r="H2" s="189"/>
    </row>
    <row r="4" spans="1:9" ht="18" customHeight="1" x14ac:dyDescent="0.25">
      <c r="A4" s="186" t="s">
        <v>1</v>
      </c>
      <c r="B4" s="186"/>
      <c r="C4" s="190" t="s">
        <v>65</v>
      </c>
      <c r="D4" s="190"/>
      <c r="E4" s="190"/>
      <c r="F4" s="22"/>
      <c r="G4" s="23"/>
      <c r="H4" s="22"/>
    </row>
    <row r="5" spans="1:9" ht="18" customHeight="1" x14ac:dyDescent="0.25">
      <c r="A5" s="186" t="s">
        <v>2</v>
      </c>
      <c r="B5" s="186"/>
      <c r="C5" s="190" t="s">
        <v>60</v>
      </c>
      <c r="D5" s="190"/>
      <c r="E5" s="190"/>
      <c r="F5" s="22"/>
      <c r="G5" s="23"/>
      <c r="H5" s="22"/>
    </row>
    <row r="6" spans="1:9" ht="16.5" customHeight="1" x14ac:dyDescent="0.25">
      <c r="A6" s="186" t="s">
        <v>3</v>
      </c>
      <c r="B6" s="186"/>
      <c r="C6" s="40">
        <v>2020</v>
      </c>
      <c r="D6" s="41"/>
      <c r="E6" s="41"/>
      <c r="F6" s="22"/>
      <c r="G6" s="23"/>
      <c r="H6" s="22"/>
    </row>
    <row r="7" spans="1:9" ht="16.5" customHeight="1" x14ac:dyDescent="0.25">
      <c r="A7" s="186" t="s">
        <v>4</v>
      </c>
      <c r="B7" s="186"/>
      <c r="C7" s="40">
        <v>3</v>
      </c>
      <c r="D7" s="41"/>
      <c r="E7" s="41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" thickBot="1" x14ac:dyDescent="0.25">
      <c r="A9" s="43" t="s">
        <v>5</v>
      </c>
      <c r="B9" s="52" t="s">
        <v>6</v>
      </c>
      <c r="C9" s="43" t="s">
        <v>7</v>
      </c>
      <c r="D9" s="43" t="s">
        <v>8</v>
      </c>
      <c r="E9" s="52" t="s">
        <v>9</v>
      </c>
      <c r="F9" s="44" t="s">
        <v>10</v>
      </c>
      <c r="G9" s="45" t="s">
        <v>11</v>
      </c>
      <c r="H9" s="45" t="s">
        <v>12</v>
      </c>
      <c r="I9" s="46" t="s">
        <v>13</v>
      </c>
    </row>
    <row r="10" spans="1:9" x14ac:dyDescent="0.2">
      <c r="A10" s="24">
        <v>1</v>
      </c>
      <c r="B10" s="49" t="s">
        <v>121</v>
      </c>
      <c r="C10" s="63" t="s">
        <v>109</v>
      </c>
      <c r="D10" s="66" t="s">
        <v>110</v>
      </c>
      <c r="E10" s="49" t="s">
        <v>124</v>
      </c>
      <c r="F10" s="59" t="s">
        <v>117</v>
      </c>
      <c r="G10" s="60">
        <v>240</v>
      </c>
      <c r="H10" s="112">
        <v>175</v>
      </c>
      <c r="I10" s="81">
        <f>+H10*G10</f>
        <v>42000</v>
      </c>
    </row>
    <row r="11" spans="1:9" x14ac:dyDescent="0.2">
      <c r="A11" s="25">
        <v>2</v>
      </c>
      <c r="B11" s="42" t="s">
        <v>122</v>
      </c>
      <c r="C11" s="64" t="s">
        <v>109</v>
      </c>
      <c r="D11" s="67" t="s">
        <v>110</v>
      </c>
      <c r="E11" s="42" t="s">
        <v>125</v>
      </c>
      <c r="F11" s="50" t="s">
        <v>117</v>
      </c>
      <c r="G11" s="51">
        <v>240</v>
      </c>
      <c r="H11" s="87">
        <v>225</v>
      </c>
      <c r="I11" s="88">
        <f t="shared" ref="I11:I12" si="0">+H11*G11</f>
        <v>54000</v>
      </c>
    </row>
    <row r="12" spans="1:9" ht="13.5" thickBot="1" x14ac:dyDescent="0.25">
      <c r="A12" s="26">
        <v>3</v>
      </c>
      <c r="B12" s="47" t="s">
        <v>123</v>
      </c>
      <c r="C12" s="65" t="s">
        <v>109</v>
      </c>
      <c r="D12" s="68" t="s">
        <v>110</v>
      </c>
      <c r="E12" s="47" t="s">
        <v>126</v>
      </c>
      <c r="F12" s="61" t="s">
        <v>117</v>
      </c>
      <c r="G12" s="62">
        <v>240</v>
      </c>
      <c r="H12" s="106">
        <v>320</v>
      </c>
      <c r="I12" s="107">
        <f t="shared" si="0"/>
        <v>76800</v>
      </c>
    </row>
    <row r="15" spans="1:9" x14ac:dyDescent="0.2">
      <c r="B15" s="27" t="s">
        <v>15</v>
      </c>
      <c r="C15" s="28"/>
      <c r="D15" s="28"/>
      <c r="E15" s="29"/>
    </row>
    <row r="16" spans="1:9" ht="5.25" customHeight="1" x14ac:dyDescent="0.2">
      <c r="B16" s="30"/>
      <c r="C16" s="31"/>
      <c r="D16" s="31"/>
      <c r="E16" s="32"/>
    </row>
    <row r="17" spans="2:5" x14ac:dyDescent="0.2">
      <c r="B17" s="33" t="s">
        <v>16</v>
      </c>
      <c r="C17" s="31"/>
      <c r="D17" s="31"/>
      <c r="E17" s="32"/>
    </row>
    <row r="18" spans="2:5" ht="25.5" customHeight="1" x14ac:dyDescent="0.2">
      <c r="B18" s="33"/>
      <c r="C18" s="184" t="s">
        <v>127</v>
      </c>
      <c r="D18" s="184"/>
      <c r="E18" s="185"/>
    </row>
    <row r="19" spans="2:5" ht="13.5" thickBot="1" x14ac:dyDescent="0.25">
      <c r="B19" s="33" t="s">
        <v>17</v>
      </c>
      <c r="C19" s="31"/>
      <c r="D19" s="31"/>
      <c r="E19" s="32"/>
    </row>
    <row r="20" spans="2:5" ht="13.5" thickBot="1" x14ac:dyDescent="0.25">
      <c r="B20" s="180" t="s">
        <v>136</v>
      </c>
      <c r="C20" s="181"/>
      <c r="D20" s="181"/>
      <c r="E20" s="182"/>
    </row>
    <row r="21" spans="2:5" ht="13.5" thickBot="1" x14ac:dyDescent="0.25">
      <c r="B21" s="180" t="s">
        <v>137</v>
      </c>
      <c r="C21" s="182"/>
      <c r="D21" s="69" t="s">
        <v>11</v>
      </c>
      <c r="E21" s="69" t="s">
        <v>138</v>
      </c>
    </row>
    <row r="22" spans="2:5" x14ac:dyDescent="0.2">
      <c r="B22" s="187" t="str">
        <f>'[1]COMEDORES EMERGENTES'!$B$3</f>
        <v>UNA SONRISA AV. LOS COBACHO</v>
      </c>
      <c r="C22" s="188"/>
      <c r="D22" s="108">
        <v>1</v>
      </c>
      <c r="E22" s="109" t="str">
        <f>'[1]COMEDORES EMERGENTES'!$G$3</f>
        <v>Bº SAN CARLOS OESTE AV. Bonifacio cobacho 670</v>
      </c>
    </row>
    <row r="23" spans="2:5" x14ac:dyDescent="0.2">
      <c r="B23" s="178" t="str">
        <f>'[1]COMEDORES EMERGENTES'!$B$4</f>
        <v>C.I.F Nº1 - RIVERA DEL VALLE Y FLORIDA</v>
      </c>
      <c r="C23" s="179"/>
      <c r="D23" s="108">
        <v>1</v>
      </c>
      <c r="E23" s="109" t="str">
        <f>'[1]COMEDORES EMERGENTES'!$G$4</f>
        <v>AV. RIVIERA DEL VALLE ENTRE FLORIDA Y SANTA FE</v>
      </c>
    </row>
    <row r="24" spans="2:5" x14ac:dyDescent="0.2">
      <c r="B24" s="178" t="str">
        <f>'[1]COMEDORES EMERGENTES'!$B$5</f>
        <v>C.I.F - RIVERA DEL VALLE - DILORENZO</v>
      </c>
      <c r="C24" s="179"/>
      <c r="D24" s="108">
        <v>1</v>
      </c>
      <c r="E24" s="109" t="str">
        <f>'[1]COMEDORES EMERGENTES'!$G$5</f>
        <v>Bº RIVERA DEL VALLE ENTRE VILLA EUMELIA Y MONTE CRISTO</v>
      </c>
    </row>
    <row r="25" spans="2:5" x14ac:dyDescent="0.2">
      <c r="B25" s="178" t="str">
        <f>'[1]COMEDORES EMERGENTES'!$B$6</f>
        <v>ESFUERZO PROPIO- Bº ALTOS DE CHOYA</v>
      </c>
      <c r="C25" s="179"/>
      <c r="D25" s="108">
        <v>1</v>
      </c>
      <c r="E25" s="109" t="str">
        <f>'[1]COMEDORES EMERGENTES'!$G$6</f>
        <v>Bº MUNICIPAL 35VV. NORTE C/14</v>
      </c>
    </row>
    <row r="26" spans="2:5" x14ac:dyDescent="0.2">
      <c r="B26" s="178" t="str">
        <f>'[1]COMEDORES EMERGENTES'!$B$7</f>
        <v>ANGELITOS - LOTEO SUSSEX</v>
      </c>
      <c r="C26" s="179"/>
      <c r="D26" s="108">
        <v>1</v>
      </c>
      <c r="E26" s="109" t="str">
        <f>'[1]COMEDORES EMERGENTES'!$G$7</f>
        <v>Bº LOTEO SUSEX MZA.Nº 4 LOTE Nº3</v>
      </c>
    </row>
    <row r="27" spans="2:5" x14ac:dyDescent="0.2">
      <c r="B27" s="178" t="str">
        <f>'[1]COMEDORES EMERGENTES'!$B$8</f>
        <v>CLUB DEPORTIVO CHACARITA</v>
      </c>
      <c r="C27" s="179"/>
      <c r="D27" s="108">
        <v>1</v>
      </c>
      <c r="E27" s="109" t="str">
        <f>'[1]COMEDORES EMERGENTES'!$G$8</f>
        <v>CALLE DR.DERMIDIO GALINDEZ C/2660</v>
      </c>
    </row>
    <row r="28" spans="2:5" x14ac:dyDescent="0.2">
      <c r="B28" s="178" t="str">
        <f>'[1]COMEDORES EMERGENTES'!$B$9</f>
        <v>LA MORO</v>
      </c>
      <c r="C28" s="179"/>
      <c r="D28" s="108">
        <v>1</v>
      </c>
      <c r="E28" s="109" t="str">
        <f>'[1]COMEDORES EMERGENTES'!$G$9</f>
        <v>MAIPU NORTE 1º ETAPA MZA "H" Bº MI JARDIN</v>
      </c>
    </row>
    <row r="29" spans="2:5" x14ac:dyDescent="0.2">
      <c r="B29" s="178" t="str">
        <f>'[1]COMEDORES EMERGENTES'!$B$10</f>
        <v>PAPA FRANCISCO</v>
      </c>
      <c r="C29" s="179"/>
      <c r="D29" s="108">
        <v>1</v>
      </c>
      <c r="E29" s="109" t="str">
        <f>'[1]COMEDORES EMERGENTES'!$G$10</f>
        <v>ENTRE AV.TEREBINTO Y AV.SAN JUAN LOTE "2" MZA. "B"</v>
      </c>
    </row>
    <row r="30" spans="2:5" x14ac:dyDescent="0.2">
      <c r="B30" s="178" t="str">
        <f>'[1]COMEDORES EMERGENTES'!$B$11</f>
        <v>E.P.C - 100 V.V NORTE</v>
      </c>
      <c r="C30" s="179"/>
      <c r="D30" s="108">
        <v>1</v>
      </c>
      <c r="E30" s="109" t="str">
        <f>'[1]COMEDORES EMERGENTES'!$G$11</f>
        <v>Bº VV NORTE C/48 ENTRE ESPAÑA Y FRANCIA</v>
      </c>
    </row>
    <row r="31" spans="2:5" x14ac:dyDescent="0.2">
      <c r="B31" s="178" t="str">
        <f>'[1]COMEDORES EMERGENTES'!$B$12</f>
        <v>HOGAR DE CRISTO - PADRE RAUL CONTRERAS</v>
      </c>
      <c r="C31" s="179"/>
      <c r="D31" s="108">
        <v>1</v>
      </c>
      <c r="E31" s="109" t="str">
        <f>'[1]COMEDORES EMERGENTES'!$G$12</f>
        <v>Bº SANTA MARTA MZA. "S" LOTE "M" C/39</v>
      </c>
    </row>
    <row r="32" spans="2:5" x14ac:dyDescent="0.2">
      <c r="B32" s="178" t="str">
        <f>'[1]COMEDORES EMERGENTES'!$B$13</f>
        <v>LA LUCIERNAGA</v>
      </c>
      <c r="C32" s="179"/>
      <c r="D32" s="108">
        <v>1</v>
      </c>
      <c r="E32" s="109" t="str">
        <f>'[1]COMEDORES EMERGENTES'!$G$13</f>
        <v>Bº 20 V.V NORTE C/3</v>
      </c>
    </row>
    <row r="33" spans="2:5" x14ac:dyDescent="0.2">
      <c r="B33" s="178" t="str">
        <f>'[1]COMEDORES EMERGENTES'!$B$14</f>
        <v>VALLE VIEJO - SUMALAO</v>
      </c>
      <c r="C33" s="179"/>
      <c r="D33" s="108">
        <v>1</v>
      </c>
      <c r="E33" s="109" t="str">
        <f>'[1]COMEDORES EMERGENTES'!$G$14</f>
        <v>PADRE SEGURA S/N</v>
      </c>
    </row>
    <row r="34" spans="2:5" x14ac:dyDescent="0.2">
      <c r="B34" s="178" t="str">
        <f>'[1]COMEDORES EMERGENTES'!$B$15</f>
        <v>NUESTRO FUTURO - LAS VIAS</v>
      </c>
      <c r="C34" s="179"/>
      <c r="D34" s="108">
        <v>1</v>
      </c>
      <c r="E34" s="109" t="str">
        <f>'[1]COMEDORES EMERGENTES'!$G$15</f>
        <v>Bº LAS VIAS OESTE LOTE 42</v>
      </c>
    </row>
    <row r="35" spans="2:5" x14ac:dyDescent="0.2">
      <c r="B35" s="178" t="str">
        <f>'[1]COMEDORES EMERGENTES'!$B$16</f>
        <v>SAN JOSE OBRERO</v>
      </c>
      <c r="C35" s="179"/>
      <c r="D35" s="108">
        <v>1</v>
      </c>
      <c r="E35" s="109" t="str">
        <f>'[1]COMEDORES EMERGENTES'!$G$16</f>
        <v>Bº SAN JOSE OBRERO. PJE. SANDOVAL S/Nº</v>
      </c>
    </row>
    <row r="36" spans="2:5" x14ac:dyDescent="0.2">
      <c r="B36" s="178" t="str">
        <f>'[1]COMEDORES EMERGENTES'!$B$17</f>
        <v>VIRGEN DE LUJAN</v>
      </c>
      <c r="C36" s="179"/>
      <c r="D36" s="108">
        <v>1</v>
      </c>
      <c r="E36" s="109" t="str">
        <f>'[1]COMEDORES EMERGENTES'!$G$17</f>
        <v>Bº OJO DE AGUA C/DR.TEODULFO BARRIONUEVO S/Nº</v>
      </c>
    </row>
    <row r="37" spans="2:5" x14ac:dyDescent="0.2">
      <c r="B37" s="178" t="str">
        <f>'[1]COMEDORES EMERGENTES'!$B$18</f>
        <v>RENACER</v>
      </c>
      <c r="C37" s="179"/>
      <c r="D37" s="108">
        <v>1</v>
      </c>
      <c r="E37" s="109" t="str">
        <f>'[1]COMEDORES EMERGENTES'!$G$18</f>
        <v>Bº VIRGEN MORENITA</v>
      </c>
    </row>
    <row r="38" spans="2:5" x14ac:dyDescent="0.2">
      <c r="B38" s="178" t="str">
        <f>'[1]COMEDORES EMERGENTES'!$B$19</f>
        <v>CENTRO VECINAL MI JARDIN</v>
      </c>
      <c r="C38" s="179"/>
      <c r="D38" s="108">
        <v>1</v>
      </c>
      <c r="E38" s="109" t="str">
        <f>'[1]COMEDORES EMERGENTES'!$G$19</f>
        <v>C/ LOS TULIPANES ENTRE FLOR DE CEREZO Y HOLANDA MZA.27 Bº MI JARDIN</v>
      </c>
    </row>
    <row r="39" spans="2:5" x14ac:dyDescent="0.2">
      <c r="B39" s="178" t="str">
        <f>'[1]COMEDORES EMERGENTES'!$B$20</f>
        <v>LA VIEJA ESQUINA</v>
      </c>
      <c r="C39" s="179"/>
      <c r="D39" s="108">
        <v>1</v>
      </c>
      <c r="E39" s="109" t="str">
        <f>'[1]COMEDORES EMERGENTES'!$G$20</f>
        <v>B° CRISTO REY PJE CAPATAZ VILLAFAÑEZ Y ARMANDO CORREA</v>
      </c>
    </row>
    <row r="40" spans="2:5" x14ac:dyDescent="0.2">
      <c r="B40" s="178" t="str">
        <f>'[1]COMEDORES EMERGENTES'!$B$21</f>
        <v>GAUCHITO GIL</v>
      </c>
      <c r="C40" s="179"/>
      <c r="D40" s="108">
        <v>1</v>
      </c>
      <c r="E40" s="109" t="str">
        <f>'[1]COMEDORES EMERGENTES'!$G$21</f>
        <v>B° 26 VIVIENDAS CASA N° 3</v>
      </c>
    </row>
    <row r="41" spans="2:5" x14ac:dyDescent="0.2">
      <c r="B41" s="178" t="str">
        <f>'[1]COMEDORES EMERGENTES'!$B$22</f>
        <v>LOS TOLDOS</v>
      </c>
      <c r="C41" s="179"/>
      <c r="D41" s="108">
        <v>1</v>
      </c>
      <c r="E41" s="109" t="str">
        <f>'[1]COMEDORES EMERGENTES'!$G$22</f>
        <v>LOTEO PARQUE SUR CALLE S/NOMBRE S/N°</v>
      </c>
    </row>
    <row r="42" spans="2:5" x14ac:dyDescent="0.2">
      <c r="B42" s="33" t="s">
        <v>18</v>
      </c>
      <c r="C42" s="31"/>
      <c r="D42" s="31"/>
      <c r="E42" s="32"/>
    </row>
    <row r="43" spans="2:5" x14ac:dyDescent="0.2">
      <c r="B43" s="34"/>
      <c r="C43" s="194" t="s">
        <v>62</v>
      </c>
      <c r="D43" s="194"/>
      <c r="E43" s="194"/>
    </row>
    <row r="44" spans="2:5" x14ac:dyDescent="0.2">
      <c r="B44" s="33" t="s">
        <v>19</v>
      </c>
      <c r="C44" s="35"/>
      <c r="D44" s="35"/>
      <c r="E44" s="36"/>
    </row>
    <row r="45" spans="2:5" x14ac:dyDescent="0.2">
      <c r="B45" s="34"/>
      <c r="C45" s="194" t="s">
        <v>139</v>
      </c>
      <c r="D45" s="194"/>
      <c r="E45" s="194"/>
    </row>
    <row r="46" spans="2:5" x14ac:dyDescent="0.2">
      <c r="B46" s="33" t="s">
        <v>20</v>
      </c>
      <c r="C46" s="31"/>
      <c r="D46" s="31"/>
      <c r="E46" s="32"/>
    </row>
    <row r="47" spans="2:5" x14ac:dyDescent="0.2">
      <c r="B47" s="33"/>
      <c r="C47" s="193" t="s">
        <v>63</v>
      </c>
      <c r="D47" s="193"/>
      <c r="E47" s="193"/>
    </row>
    <row r="48" spans="2:5" ht="13.5" thickBot="1" x14ac:dyDescent="0.25">
      <c r="B48" s="37"/>
      <c r="C48" s="38"/>
      <c r="D48" s="38"/>
      <c r="E48" s="39"/>
    </row>
    <row r="50" spans="2:5" x14ac:dyDescent="0.2">
      <c r="B50" s="27" t="s">
        <v>21</v>
      </c>
      <c r="C50" s="28"/>
      <c r="D50" s="28"/>
      <c r="E50" s="29"/>
    </row>
    <row r="51" spans="2:5" x14ac:dyDescent="0.2">
      <c r="B51" s="30"/>
      <c r="C51" s="31"/>
      <c r="D51" s="31"/>
      <c r="E51" s="32"/>
    </row>
    <row r="52" spans="2:5" x14ac:dyDescent="0.2">
      <c r="B52" s="33" t="s">
        <v>16</v>
      </c>
      <c r="C52" s="31"/>
      <c r="D52" s="31"/>
      <c r="E52" s="32"/>
    </row>
    <row r="53" spans="2:5" ht="25.5" customHeight="1" x14ac:dyDescent="0.2">
      <c r="B53" s="33"/>
      <c r="C53" s="184" t="s">
        <v>127</v>
      </c>
      <c r="D53" s="184"/>
      <c r="E53" s="185"/>
    </row>
    <row r="54" spans="2:5" ht="13.5" thickBot="1" x14ac:dyDescent="0.25">
      <c r="B54" s="33" t="s">
        <v>17</v>
      </c>
      <c r="C54" s="31"/>
      <c r="D54" s="31"/>
      <c r="E54" s="32"/>
    </row>
    <row r="55" spans="2:5" ht="13.5" thickBot="1" x14ac:dyDescent="0.25">
      <c r="B55" s="180" t="s">
        <v>136</v>
      </c>
      <c r="C55" s="181"/>
      <c r="D55" s="181"/>
      <c r="E55" s="182"/>
    </row>
    <row r="56" spans="2:5" ht="13.5" thickBot="1" x14ac:dyDescent="0.25">
      <c r="B56" s="180" t="s">
        <v>137</v>
      </c>
      <c r="C56" s="182"/>
      <c r="D56" s="69" t="s">
        <v>11</v>
      </c>
      <c r="E56" s="69" t="s">
        <v>138</v>
      </c>
    </row>
    <row r="57" spans="2:5" x14ac:dyDescent="0.2">
      <c r="B57" s="187" t="str">
        <f>'[1]COMEDORES EMERGENTES'!$B$3</f>
        <v>UNA SONRISA AV. LOS COBACHO</v>
      </c>
      <c r="C57" s="188"/>
      <c r="D57" s="108">
        <v>1</v>
      </c>
      <c r="E57" s="109" t="str">
        <f>'[1]COMEDORES EMERGENTES'!$G$3</f>
        <v>Bº SAN CARLOS OESTE AV. Bonifacio cobacho 670</v>
      </c>
    </row>
    <row r="58" spans="2:5" x14ac:dyDescent="0.2">
      <c r="B58" s="178" t="str">
        <f>'[1]COMEDORES EMERGENTES'!$B$4</f>
        <v>C.I.F Nº1 - RIVERA DEL VALLE Y FLORIDA</v>
      </c>
      <c r="C58" s="179"/>
      <c r="D58" s="108">
        <v>1</v>
      </c>
      <c r="E58" s="109" t="str">
        <f>'[1]COMEDORES EMERGENTES'!$G$4</f>
        <v>AV. RIVIERA DEL VALLE ENTRE FLORIDA Y SANTA FE</v>
      </c>
    </row>
    <row r="59" spans="2:5" x14ac:dyDescent="0.2">
      <c r="B59" s="178" t="str">
        <f>'[1]COMEDORES EMERGENTES'!$B$5</f>
        <v>C.I.F - RIVERA DEL VALLE - DILORENZO</v>
      </c>
      <c r="C59" s="179"/>
      <c r="D59" s="108">
        <v>1</v>
      </c>
      <c r="E59" s="109" t="str">
        <f>'[1]COMEDORES EMERGENTES'!$G$5</f>
        <v>Bº RIVERA DEL VALLE ENTRE VILLA EUMELIA Y MONTE CRISTO</v>
      </c>
    </row>
    <row r="60" spans="2:5" x14ac:dyDescent="0.2">
      <c r="B60" s="178" t="str">
        <f>'[1]COMEDORES EMERGENTES'!$B$6</f>
        <v>ESFUERZO PROPIO- Bº ALTOS DE CHOYA</v>
      </c>
      <c r="C60" s="179"/>
      <c r="D60" s="108">
        <v>1</v>
      </c>
      <c r="E60" s="109" t="str">
        <f>'[1]COMEDORES EMERGENTES'!$G$6</f>
        <v>Bº MUNICIPAL 35VV. NORTE C/14</v>
      </c>
    </row>
    <row r="61" spans="2:5" x14ac:dyDescent="0.2">
      <c r="B61" s="178" t="str">
        <f>'[1]COMEDORES EMERGENTES'!$B$7</f>
        <v>ANGELITOS - LOTEO SUSSEX</v>
      </c>
      <c r="C61" s="179"/>
      <c r="D61" s="108">
        <v>1</v>
      </c>
      <c r="E61" s="109" t="str">
        <f>'[1]COMEDORES EMERGENTES'!$G$7</f>
        <v>Bº LOTEO SUSEX MZA.Nº 4 LOTE Nº3</v>
      </c>
    </row>
    <row r="62" spans="2:5" x14ac:dyDescent="0.2">
      <c r="B62" s="178" t="str">
        <f>'[1]COMEDORES EMERGENTES'!$B$8</f>
        <v>CLUB DEPORTIVO CHACARITA</v>
      </c>
      <c r="C62" s="179"/>
      <c r="D62" s="108">
        <v>1</v>
      </c>
      <c r="E62" s="109" t="str">
        <f>'[1]COMEDORES EMERGENTES'!$G$8</f>
        <v>CALLE DR.DERMIDIO GALINDEZ C/2660</v>
      </c>
    </row>
    <row r="63" spans="2:5" x14ac:dyDescent="0.2">
      <c r="B63" s="178" t="str">
        <f>'[1]COMEDORES EMERGENTES'!$B$9</f>
        <v>LA MORO</v>
      </c>
      <c r="C63" s="179"/>
      <c r="D63" s="108">
        <v>1</v>
      </c>
      <c r="E63" s="109" t="str">
        <f>'[1]COMEDORES EMERGENTES'!$G$9</f>
        <v>MAIPU NORTE 1º ETAPA MZA "H" Bº MI JARDIN</v>
      </c>
    </row>
    <row r="64" spans="2:5" x14ac:dyDescent="0.2">
      <c r="B64" s="178" t="str">
        <f>'[1]COMEDORES EMERGENTES'!$B$10</f>
        <v>PAPA FRANCISCO</v>
      </c>
      <c r="C64" s="179"/>
      <c r="D64" s="108">
        <v>1</v>
      </c>
      <c r="E64" s="109" t="str">
        <f>'[1]COMEDORES EMERGENTES'!$G$10</f>
        <v>ENTRE AV.TEREBINTO Y AV.SAN JUAN LOTE "2" MZA. "B"</v>
      </c>
    </row>
    <row r="65" spans="2:5" x14ac:dyDescent="0.2">
      <c r="B65" s="178" t="str">
        <f>'[1]COMEDORES EMERGENTES'!$B$11</f>
        <v>E.P.C - 100 V.V NORTE</v>
      </c>
      <c r="C65" s="179"/>
      <c r="D65" s="108">
        <v>1</v>
      </c>
      <c r="E65" s="109" t="str">
        <f>'[1]COMEDORES EMERGENTES'!$G$11</f>
        <v>Bº VV NORTE C/48 ENTRE ESPAÑA Y FRANCIA</v>
      </c>
    </row>
    <row r="66" spans="2:5" x14ac:dyDescent="0.2">
      <c r="B66" s="178" t="str">
        <f>'[1]COMEDORES EMERGENTES'!$B$12</f>
        <v>HOGAR DE CRISTO - PADRE RAUL CONTRERAS</v>
      </c>
      <c r="C66" s="179"/>
      <c r="D66" s="108">
        <v>1</v>
      </c>
      <c r="E66" s="109" t="str">
        <f>'[1]COMEDORES EMERGENTES'!$G$12</f>
        <v>Bº SANTA MARTA MZA. "S" LOTE "M" C/39</v>
      </c>
    </row>
    <row r="67" spans="2:5" x14ac:dyDescent="0.2">
      <c r="B67" s="178" t="str">
        <f>'[1]COMEDORES EMERGENTES'!$B$13</f>
        <v>LA LUCIERNAGA</v>
      </c>
      <c r="C67" s="179"/>
      <c r="D67" s="108">
        <v>1</v>
      </c>
      <c r="E67" s="109" t="str">
        <f>'[1]COMEDORES EMERGENTES'!$G$13</f>
        <v>Bº 20 V.V NORTE C/3</v>
      </c>
    </row>
    <row r="68" spans="2:5" x14ac:dyDescent="0.2">
      <c r="B68" s="178" t="str">
        <f>'[1]COMEDORES EMERGENTES'!$B$14</f>
        <v>VALLE VIEJO - SUMALAO</v>
      </c>
      <c r="C68" s="179"/>
      <c r="D68" s="108">
        <v>1</v>
      </c>
      <c r="E68" s="109" t="str">
        <f>'[1]COMEDORES EMERGENTES'!$G$14</f>
        <v>PADRE SEGURA S/N</v>
      </c>
    </row>
    <row r="69" spans="2:5" x14ac:dyDescent="0.2">
      <c r="B69" s="178" t="str">
        <f>'[1]COMEDORES EMERGENTES'!$B$15</f>
        <v>NUESTRO FUTURO - LAS VIAS</v>
      </c>
      <c r="C69" s="179"/>
      <c r="D69" s="108">
        <v>1</v>
      </c>
      <c r="E69" s="109" t="str">
        <f>'[1]COMEDORES EMERGENTES'!$G$15</f>
        <v>Bº LAS VIAS OESTE LOTE 42</v>
      </c>
    </row>
    <row r="70" spans="2:5" x14ac:dyDescent="0.2">
      <c r="B70" s="178" t="str">
        <f>'[1]COMEDORES EMERGENTES'!$B$16</f>
        <v>SAN JOSE OBRERO</v>
      </c>
      <c r="C70" s="179"/>
      <c r="D70" s="108">
        <v>1</v>
      </c>
      <c r="E70" s="109" t="str">
        <f>'[1]COMEDORES EMERGENTES'!$G$16</f>
        <v>Bº SAN JOSE OBRERO. PJE. SANDOVAL S/Nº</v>
      </c>
    </row>
    <row r="71" spans="2:5" x14ac:dyDescent="0.2">
      <c r="B71" s="178" t="str">
        <f>'[1]COMEDORES EMERGENTES'!$B$17</f>
        <v>VIRGEN DE LUJAN</v>
      </c>
      <c r="C71" s="179"/>
      <c r="D71" s="108">
        <v>1</v>
      </c>
      <c r="E71" s="109" t="str">
        <f>'[1]COMEDORES EMERGENTES'!$G$17</f>
        <v>Bº OJO DE AGUA C/DR.TEODULFO BARRIONUEVO S/Nº</v>
      </c>
    </row>
    <row r="72" spans="2:5" x14ac:dyDescent="0.2">
      <c r="B72" s="178" t="str">
        <f>'[1]COMEDORES EMERGENTES'!$B$18</f>
        <v>RENACER</v>
      </c>
      <c r="C72" s="179"/>
      <c r="D72" s="108">
        <v>1</v>
      </c>
      <c r="E72" s="109" t="str">
        <f>'[1]COMEDORES EMERGENTES'!$G$18</f>
        <v>Bº VIRGEN MORENITA</v>
      </c>
    </row>
    <row r="73" spans="2:5" x14ac:dyDescent="0.2">
      <c r="B73" s="178" t="str">
        <f>'[1]COMEDORES EMERGENTES'!$B$19</f>
        <v>CENTRO VECINAL MI JARDIN</v>
      </c>
      <c r="C73" s="179"/>
      <c r="D73" s="108">
        <v>1</v>
      </c>
      <c r="E73" s="109" t="str">
        <f>'[1]COMEDORES EMERGENTES'!$G$19</f>
        <v>C/ LOS TULIPANES ENTRE FLOR DE CEREZO Y HOLANDA MZA.27 Bº MI JARDIN</v>
      </c>
    </row>
    <row r="74" spans="2:5" x14ac:dyDescent="0.2">
      <c r="B74" s="178" t="str">
        <f>'[1]COMEDORES EMERGENTES'!$B$20</f>
        <v>LA VIEJA ESQUINA</v>
      </c>
      <c r="C74" s="179"/>
      <c r="D74" s="108">
        <v>1</v>
      </c>
      <c r="E74" s="109" t="str">
        <f>'[1]COMEDORES EMERGENTES'!$G$20</f>
        <v>B° CRISTO REY PJE CAPATAZ VILLAFAÑEZ Y ARMANDO CORREA</v>
      </c>
    </row>
    <row r="75" spans="2:5" x14ac:dyDescent="0.2">
      <c r="B75" s="178" t="str">
        <f>'[1]COMEDORES EMERGENTES'!$B$21</f>
        <v>GAUCHITO GIL</v>
      </c>
      <c r="C75" s="179"/>
      <c r="D75" s="108">
        <v>1</v>
      </c>
      <c r="E75" s="109" t="str">
        <f>'[1]COMEDORES EMERGENTES'!$G$21</f>
        <v>B° 26 VIVIENDAS CASA N° 3</v>
      </c>
    </row>
    <row r="76" spans="2:5" x14ac:dyDescent="0.2">
      <c r="B76" s="178" t="str">
        <f>'[1]COMEDORES EMERGENTES'!$B$22</f>
        <v>LOS TOLDOS</v>
      </c>
      <c r="C76" s="179"/>
      <c r="D76" s="108">
        <v>1</v>
      </c>
      <c r="E76" s="109" t="str">
        <f>'[1]COMEDORES EMERGENTES'!$G$22</f>
        <v>LOTEO PARQUE SUR CALLE S/NOMBRE S/N°</v>
      </c>
    </row>
    <row r="77" spans="2:5" x14ac:dyDescent="0.2">
      <c r="B77" s="33" t="s">
        <v>18</v>
      </c>
      <c r="C77" s="31"/>
      <c r="D77" s="31"/>
      <c r="E77" s="32"/>
    </row>
    <row r="78" spans="2:5" x14ac:dyDescent="0.2">
      <c r="B78" s="34"/>
      <c r="C78" s="194" t="s">
        <v>62</v>
      </c>
      <c r="D78" s="194"/>
      <c r="E78" s="194"/>
    </row>
    <row r="79" spans="2:5" x14ac:dyDescent="0.2">
      <c r="B79" s="33" t="s">
        <v>19</v>
      </c>
      <c r="C79" s="35"/>
      <c r="D79" s="35"/>
      <c r="E79" s="36"/>
    </row>
    <row r="80" spans="2:5" x14ac:dyDescent="0.2">
      <c r="B80" s="34"/>
      <c r="C80" s="194" t="s">
        <v>139</v>
      </c>
      <c r="D80" s="194"/>
      <c r="E80" s="194"/>
    </row>
    <row r="81" spans="2:5" x14ac:dyDescent="0.2">
      <c r="B81" s="33" t="s">
        <v>20</v>
      </c>
      <c r="C81" s="31"/>
      <c r="D81" s="31"/>
      <c r="E81" s="32"/>
    </row>
    <row r="82" spans="2:5" x14ac:dyDescent="0.2">
      <c r="B82" s="33"/>
      <c r="C82" s="193" t="s">
        <v>63</v>
      </c>
      <c r="D82" s="193"/>
      <c r="E82" s="193"/>
    </row>
    <row r="83" spans="2:5" ht="13.5" thickBot="1" x14ac:dyDescent="0.25">
      <c r="B83" s="37"/>
      <c r="C83" s="38"/>
      <c r="D83" s="38"/>
      <c r="E83" s="39"/>
    </row>
    <row r="84" spans="2:5" ht="13.5" thickBot="1" x14ac:dyDescent="0.25"/>
    <row r="85" spans="2:5" x14ac:dyDescent="0.2">
      <c r="B85" s="27" t="s">
        <v>64</v>
      </c>
      <c r="C85" s="28"/>
      <c r="D85" s="28"/>
      <c r="E85" s="29"/>
    </row>
    <row r="86" spans="2:5" x14ac:dyDescent="0.2">
      <c r="B86" s="30"/>
      <c r="C86" s="31"/>
      <c r="D86" s="31"/>
      <c r="E86" s="32"/>
    </row>
    <row r="87" spans="2:5" x14ac:dyDescent="0.2">
      <c r="B87" s="33" t="s">
        <v>16</v>
      </c>
      <c r="C87" s="31"/>
      <c r="D87" s="31"/>
      <c r="E87" s="32"/>
    </row>
    <row r="88" spans="2:5" ht="25.5" customHeight="1" x14ac:dyDescent="0.2">
      <c r="B88" s="33"/>
      <c r="C88" s="184" t="s">
        <v>127</v>
      </c>
      <c r="D88" s="184"/>
      <c r="E88" s="185"/>
    </row>
    <row r="89" spans="2:5" ht="13.5" thickBot="1" x14ac:dyDescent="0.25">
      <c r="B89" s="33" t="s">
        <v>17</v>
      </c>
      <c r="C89" s="31"/>
      <c r="D89" s="31"/>
      <c r="E89" s="32"/>
    </row>
    <row r="90" spans="2:5" ht="13.5" thickBot="1" x14ac:dyDescent="0.25">
      <c r="B90" s="180" t="s">
        <v>136</v>
      </c>
      <c r="C90" s="181"/>
      <c r="D90" s="181"/>
      <c r="E90" s="182"/>
    </row>
    <row r="91" spans="2:5" ht="13.5" thickBot="1" x14ac:dyDescent="0.25">
      <c r="B91" s="180" t="s">
        <v>137</v>
      </c>
      <c r="C91" s="182"/>
      <c r="D91" s="69" t="s">
        <v>11</v>
      </c>
      <c r="E91" s="69" t="s">
        <v>138</v>
      </c>
    </row>
    <row r="92" spans="2:5" x14ac:dyDescent="0.2">
      <c r="B92" s="187" t="str">
        <f>'[1]COMEDORES EMERGENTES'!$B$3</f>
        <v>UNA SONRISA AV. LOS COBACHO</v>
      </c>
      <c r="C92" s="188"/>
      <c r="D92" s="108">
        <v>1</v>
      </c>
      <c r="E92" s="109" t="str">
        <f>'[1]COMEDORES EMERGENTES'!$G$3</f>
        <v>Bº SAN CARLOS OESTE AV. Bonifacio cobacho 670</v>
      </c>
    </row>
    <row r="93" spans="2:5" x14ac:dyDescent="0.2">
      <c r="B93" s="178" t="str">
        <f>'[1]COMEDORES EMERGENTES'!$B$4</f>
        <v>C.I.F Nº1 - RIVERA DEL VALLE Y FLORIDA</v>
      </c>
      <c r="C93" s="179"/>
      <c r="D93" s="108">
        <v>1</v>
      </c>
      <c r="E93" s="109" t="str">
        <f>'[1]COMEDORES EMERGENTES'!$G$4</f>
        <v>AV. RIVIERA DEL VALLE ENTRE FLORIDA Y SANTA FE</v>
      </c>
    </row>
    <row r="94" spans="2:5" x14ac:dyDescent="0.2">
      <c r="B94" s="178" t="str">
        <f>'[1]COMEDORES EMERGENTES'!$B$5</f>
        <v>C.I.F - RIVERA DEL VALLE - DILORENZO</v>
      </c>
      <c r="C94" s="179"/>
      <c r="D94" s="108">
        <v>1</v>
      </c>
      <c r="E94" s="109" t="str">
        <f>'[1]COMEDORES EMERGENTES'!$G$5</f>
        <v>Bº RIVERA DEL VALLE ENTRE VILLA EUMELIA Y MONTE CRISTO</v>
      </c>
    </row>
    <row r="95" spans="2:5" x14ac:dyDescent="0.2">
      <c r="B95" s="178" t="str">
        <f>'[1]COMEDORES EMERGENTES'!$B$6</f>
        <v>ESFUERZO PROPIO- Bº ALTOS DE CHOYA</v>
      </c>
      <c r="C95" s="179"/>
      <c r="D95" s="108">
        <v>1</v>
      </c>
      <c r="E95" s="109" t="str">
        <f>'[1]COMEDORES EMERGENTES'!$G$6</f>
        <v>Bº MUNICIPAL 35VV. NORTE C/14</v>
      </c>
    </row>
    <row r="96" spans="2:5" x14ac:dyDescent="0.2">
      <c r="B96" s="178" t="str">
        <f>'[1]COMEDORES EMERGENTES'!$B$7</f>
        <v>ANGELITOS - LOTEO SUSSEX</v>
      </c>
      <c r="C96" s="179"/>
      <c r="D96" s="108">
        <v>1</v>
      </c>
      <c r="E96" s="109" t="str">
        <f>'[1]COMEDORES EMERGENTES'!$G$7</f>
        <v>Bº LOTEO SUSEX MZA.Nº 4 LOTE Nº3</v>
      </c>
    </row>
    <row r="97" spans="2:5" x14ac:dyDescent="0.2">
      <c r="B97" s="178" t="str">
        <f>'[1]COMEDORES EMERGENTES'!$B$8</f>
        <v>CLUB DEPORTIVO CHACARITA</v>
      </c>
      <c r="C97" s="179"/>
      <c r="D97" s="108">
        <v>1</v>
      </c>
      <c r="E97" s="109" t="str">
        <f>'[1]COMEDORES EMERGENTES'!$G$8</f>
        <v>CALLE DR.DERMIDIO GALINDEZ C/2660</v>
      </c>
    </row>
    <row r="98" spans="2:5" x14ac:dyDescent="0.2">
      <c r="B98" s="178" t="str">
        <f>'[1]COMEDORES EMERGENTES'!$B$9</f>
        <v>LA MORO</v>
      </c>
      <c r="C98" s="179"/>
      <c r="D98" s="108">
        <v>1</v>
      </c>
      <c r="E98" s="109" t="str">
        <f>'[1]COMEDORES EMERGENTES'!$G$9</f>
        <v>MAIPU NORTE 1º ETAPA MZA "H" Bº MI JARDIN</v>
      </c>
    </row>
    <row r="99" spans="2:5" x14ac:dyDescent="0.2">
      <c r="B99" s="178" t="str">
        <f>'[1]COMEDORES EMERGENTES'!$B$10</f>
        <v>PAPA FRANCISCO</v>
      </c>
      <c r="C99" s="179"/>
      <c r="D99" s="108">
        <v>1</v>
      </c>
      <c r="E99" s="109" t="str">
        <f>'[1]COMEDORES EMERGENTES'!$G$10</f>
        <v>ENTRE AV.TEREBINTO Y AV.SAN JUAN LOTE "2" MZA. "B"</v>
      </c>
    </row>
    <row r="100" spans="2:5" x14ac:dyDescent="0.2">
      <c r="B100" s="178" t="str">
        <f>'[1]COMEDORES EMERGENTES'!$B$11</f>
        <v>E.P.C - 100 V.V NORTE</v>
      </c>
      <c r="C100" s="179"/>
      <c r="D100" s="108">
        <v>1</v>
      </c>
      <c r="E100" s="109" t="str">
        <f>'[1]COMEDORES EMERGENTES'!$G$11</f>
        <v>Bº VV NORTE C/48 ENTRE ESPAÑA Y FRANCIA</v>
      </c>
    </row>
    <row r="101" spans="2:5" x14ac:dyDescent="0.2">
      <c r="B101" s="178" t="str">
        <f>'[1]COMEDORES EMERGENTES'!$B$12</f>
        <v>HOGAR DE CRISTO - PADRE RAUL CONTRERAS</v>
      </c>
      <c r="C101" s="179"/>
      <c r="D101" s="108">
        <v>1</v>
      </c>
      <c r="E101" s="109" t="str">
        <f>'[1]COMEDORES EMERGENTES'!$G$12</f>
        <v>Bº SANTA MARTA MZA. "S" LOTE "M" C/39</v>
      </c>
    </row>
    <row r="102" spans="2:5" x14ac:dyDescent="0.2">
      <c r="B102" s="178" t="str">
        <f>'[1]COMEDORES EMERGENTES'!$B$13</f>
        <v>LA LUCIERNAGA</v>
      </c>
      <c r="C102" s="179"/>
      <c r="D102" s="108">
        <v>1</v>
      </c>
      <c r="E102" s="109" t="str">
        <f>'[1]COMEDORES EMERGENTES'!$G$13</f>
        <v>Bº 20 V.V NORTE C/3</v>
      </c>
    </row>
    <row r="103" spans="2:5" x14ac:dyDescent="0.2">
      <c r="B103" s="178" t="str">
        <f>'[1]COMEDORES EMERGENTES'!$B$14</f>
        <v>VALLE VIEJO - SUMALAO</v>
      </c>
      <c r="C103" s="179"/>
      <c r="D103" s="108">
        <v>1</v>
      </c>
      <c r="E103" s="109" t="str">
        <f>'[1]COMEDORES EMERGENTES'!$G$14</f>
        <v>PADRE SEGURA S/N</v>
      </c>
    </row>
    <row r="104" spans="2:5" x14ac:dyDescent="0.2">
      <c r="B104" s="178" t="str">
        <f>'[1]COMEDORES EMERGENTES'!$B$15</f>
        <v>NUESTRO FUTURO - LAS VIAS</v>
      </c>
      <c r="C104" s="179"/>
      <c r="D104" s="108">
        <v>1</v>
      </c>
      <c r="E104" s="109" t="str">
        <f>'[1]COMEDORES EMERGENTES'!$G$15</f>
        <v>Bº LAS VIAS OESTE LOTE 42</v>
      </c>
    </row>
    <row r="105" spans="2:5" x14ac:dyDescent="0.2">
      <c r="B105" s="178" t="str">
        <f>'[1]COMEDORES EMERGENTES'!$B$16</f>
        <v>SAN JOSE OBRERO</v>
      </c>
      <c r="C105" s="179"/>
      <c r="D105" s="108">
        <v>1</v>
      </c>
      <c r="E105" s="109" t="str">
        <f>'[1]COMEDORES EMERGENTES'!$G$16</f>
        <v>Bº SAN JOSE OBRERO. PJE. SANDOVAL S/Nº</v>
      </c>
    </row>
    <row r="106" spans="2:5" x14ac:dyDescent="0.2">
      <c r="B106" s="178" t="str">
        <f>'[1]COMEDORES EMERGENTES'!$B$17</f>
        <v>VIRGEN DE LUJAN</v>
      </c>
      <c r="C106" s="179"/>
      <c r="D106" s="108">
        <v>1</v>
      </c>
      <c r="E106" s="109" t="str">
        <f>'[1]COMEDORES EMERGENTES'!$G$17</f>
        <v>Bº OJO DE AGUA C/DR.TEODULFO BARRIONUEVO S/Nº</v>
      </c>
    </row>
    <row r="107" spans="2:5" x14ac:dyDescent="0.2">
      <c r="B107" s="178" t="str">
        <f>'[1]COMEDORES EMERGENTES'!$B$18</f>
        <v>RENACER</v>
      </c>
      <c r="C107" s="179"/>
      <c r="D107" s="108">
        <v>1</v>
      </c>
      <c r="E107" s="109" t="str">
        <f>'[1]COMEDORES EMERGENTES'!$G$18</f>
        <v>Bº VIRGEN MORENITA</v>
      </c>
    </row>
    <row r="108" spans="2:5" x14ac:dyDescent="0.2">
      <c r="B108" s="178" t="str">
        <f>'[1]COMEDORES EMERGENTES'!$B$19</f>
        <v>CENTRO VECINAL MI JARDIN</v>
      </c>
      <c r="C108" s="179"/>
      <c r="D108" s="108">
        <v>1</v>
      </c>
      <c r="E108" s="109" t="str">
        <f>'[1]COMEDORES EMERGENTES'!$G$19</f>
        <v>C/ LOS TULIPANES ENTRE FLOR DE CEREZO Y HOLANDA MZA.27 Bº MI JARDIN</v>
      </c>
    </row>
    <row r="109" spans="2:5" x14ac:dyDescent="0.2">
      <c r="B109" s="178" t="str">
        <f>'[1]COMEDORES EMERGENTES'!$B$20</f>
        <v>LA VIEJA ESQUINA</v>
      </c>
      <c r="C109" s="179"/>
      <c r="D109" s="108">
        <v>1</v>
      </c>
      <c r="E109" s="109" t="str">
        <f>'[1]COMEDORES EMERGENTES'!$G$20</f>
        <v>B° CRISTO REY PJE CAPATAZ VILLAFAÑEZ Y ARMANDO CORREA</v>
      </c>
    </row>
    <row r="110" spans="2:5" x14ac:dyDescent="0.2">
      <c r="B110" s="178" t="str">
        <f>'[1]COMEDORES EMERGENTES'!$B$21</f>
        <v>GAUCHITO GIL</v>
      </c>
      <c r="C110" s="179"/>
      <c r="D110" s="108">
        <v>1</v>
      </c>
      <c r="E110" s="109" t="str">
        <f>'[1]COMEDORES EMERGENTES'!$G$21</f>
        <v>B° 26 VIVIENDAS CASA N° 3</v>
      </c>
    </row>
    <row r="111" spans="2:5" x14ac:dyDescent="0.2">
      <c r="B111" s="178" t="str">
        <f>'[1]COMEDORES EMERGENTES'!$B$22</f>
        <v>LOS TOLDOS</v>
      </c>
      <c r="C111" s="179"/>
      <c r="D111" s="108">
        <v>1</v>
      </c>
      <c r="E111" s="109" t="str">
        <f>'[1]COMEDORES EMERGENTES'!$G$22</f>
        <v>LOTEO PARQUE SUR CALLE S/NOMBRE S/N°</v>
      </c>
    </row>
    <row r="112" spans="2:5" x14ac:dyDescent="0.2">
      <c r="B112" s="33" t="s">
        <v>18</v>
      </c>
      <c r="C112" s="31"/>
      <c r="D112" s="31"/>
      <c r="E112" s="32"/>
    </row>
    <row r="113" spans="2:5" x14ac:dyDescent="0.2">
      <c r="B113" s="34"/>
      <c r="C113" s="194" t="s">
        <v>62</v>
      </c>
      <c r="D113" s="194"/>
      <c r="E113" s="194"/>
    </row>
    <row r="114" spans="2:5" x14ac:dyDescent="0.2">
      <c r="B114" s="33" t="s">
        <v>19</v>
      </c>
      <c r="C114" s="35"/>
      <c r="D114" s="35"/>
      <c r="E114" s="36"/>
    </row>
    <row r="115" spans="2:5" x14ac:dyDescent="0.2">
      <c r="B115" s="34"/>
      <c r="C115" s="194" t="s">
        <v>139</v>
      </c>
      <c r="D115" s="194"/>
      <c r="E115" s="194"/>
    </row>
    <row r="116" spans="2:5" x14ac:dyDescent="0.2">
      <c r="B116" s="33" t="s">
        <v>20</v>
      </c>
      <c r="C116" s="31"/>
      <c r="D116" s="31"/>
      <c r="E116" s="32"/>
    </row>
    <row r="117" spans="2:5" x14ac:dyDescent="0.2">
      <c r="B117" s="33"/>
      <c r="C117" s="193" t="s">
        <v>63</v>
      </c>
      <c r="D117" s="193"/>
      <c r="E117" s="193"/>
    </row>
    <row r="118" spans="2:5" ht="13.5" thickBot="1" x14ac:dyDescent="0.25">
      <c r="B118" s="37"/>
      <c r="C118" s="38"/>
      <c r="D118" s="38"/>
      <c r="E118" s="39"/>
    </row>
  </sheetData>
  <mergeCells count="85"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  <mergeCell ref="B73:C73"/>
    <mergeCell ref="B74:C74"/>
    <mergeCell ref="B75:C75"/>
    <mergeCell ref="B90:E90"/>
    <mergeCell ref="B91:C91"/>
    <mergeCell ref="C80:E80"/>
    <mergeCell ref="C78:E78"/>
    <mergeCell ref="B76:C76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40:C40"/>
    <mergeCell ref="B55:E55"/>
    <mergeCell ref="B56:C56"/>
    <mergeCell ref="B57:C57"/>
    <mergeCell ref="C53:E53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A6:B6"/>
    <mergeCell ref="B2:H2"/>
    <mergeCell ref="A4:B4"/>
    <mergeCell ref="C4:E4"/>
    <mergeCell ref="A5:B5"/>
    <mergeCell ref="C5:E5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9"/>
  <sheetViews>
    <sheetView topLeftCell="D7" workbookViewId="0">
      <selection activeCell="E23" sqref="E23"/>
    </sheetView>
  </sheetViews>
  <sheetFormatPr baseColWidth="10" defaultColWidth="11" defaultRowHeight="12.75" x14ac:dyDescent="0.2"/>
  <cols>
    <col min="1" max="1" width="4.5703125" style="21" customWidth="1"/>
    <col min="2" max="2" width="15.5703125" style="21" customWidth="1"/>
    <col min="3" max="3" width="32.42578125" style="21" customWidth="1"/>
    <col min="4" max="4" width="10" style="74" customWidth="1"/>
    <col min="5" max="5" width="168.2851562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1" spans="1:9" ht="27" x14ac:dyDescent="0.35">
      <c r="B1" s="189" t="s">
        <v>0</v>
      </c>
      <c r="C1" s="189"/>
      <c r="D1" s="189"/>
      <c r="E1" s="189"/>
      <c r="F1" s="189"/>
      <c r="G1" s="189"/>
      <c r="H1" s="189"/>
    </row>
    <row r="2" spans="1:9" ht="6" customHeight="1" x14ac:dyDescent="0.2"/>
    <row r="3" spans="1:9" ht="16.5" customHeight="1" x14ac:dyDescent="0.25">
      <c r="A3" s="186" t="s">
        <v>1</v>
      </c>
      <c r="B3" s="186"/>
      <c r="C3" s="190" t="s">
        <v>65</v>
      </c>
      <c r="D3" s="190"/>
      <c r="E3" s="190"/>
      <c r="F3" s="22"/>
      <c r="G3" s="23"/>
      <c r="H3" s="22"/>
    </row>
    <row r="4" spans="1:9" ht="17.25" customHeight="1" x14ac:dyDescent="0.25">
      <c r="A4" s="186" t="s">
        <v>2</v>
      </c>
      <c r="B4" s="186"/>
      <c r="C4" s="190" t="s">
        <v>60</v>
      </c>
      <c r="D4" s="190"/>
      <c r="E4" s="190"/>
      <c r="F4" s="22"/>
      <c r="G4" s="23"/>
      <c r="H4" s="22"/>
    </row>
    <row r="5" spans="1:9" ht="15" customHeight="1" x14ac:dyDescent="0.25">
      <c r="A5" s="186" t="s">
        <v>3</v>
      </c>
      <c r="B5" s="186"/>
      <c r="C5" s="40">
        <v>2020</v>
      </c>
      <c r="D5" s="70"/>
      <c r="E5" s="41"/>
      <c r="F5" s="22"/>
      <c r="G5" s="23"/>
      <c r="H5" s="22"/>
    </row>
    <row r="6" spans="1:9" ht="16.5" customHeight="1" x14ac:dyDescent="0.25">
      <c r="A6" s="186" t="s">
        <v>4</v>
      </c>
      <c r="B6" s="186"/>
      <c r="C6" s="40">
        <v>3</v>
      </c>
      <c r="D6" s="70"/>
      <c r="E6" s="41"/>
      <c r="F6" s="22"/>
      <c r="G6" s="23"/>
      <c r="H6" s="22"/>
    </row>
    <row r="7" spans="1:9" ht="7.5" customHeight="1" thickBot="1" x14ac:dyDescent="0.25">
      <c r="B7" s="22"/>
      <c r="C7" s="23"/>
      <c r="D7" s="23"/>
      <c r="E7" s="22"/>
      <c r="F7" s="22"/>
      <c r="G7" s="23"/>
      <c r="H7" s="22"/>
    </row>
    <row r="8" spans="1:9" ht="39" thickBot="1" x14ac:dyDescent="0.25">
      <c r="A8" s="43" t="s">
        <v>5</v>
      </c>
      <c r="B8" s="52" t="s">
        <v>6</v>
      </c>
      <c r="C8" s="52" t="s">
        <v>7</v>
      </c>
      <c r="D8" s="48" t="s">
        <v>8</v>
      </c>
      <c r="E8" s="52" t="s">
        <v>9</v>
      </c>
      <c r="F8" s="44" t="s">
        <v>10</v>
      </c>
      <c r="G8" s="45" t="s">
        <v>11</v>
      </c>
      <c r="H8" s="45" t="s">
        <v>12</v>
      </c>
      <c r="I8" s="46" t="s">
        <v>13</v>
      </c>
    </row>
    <row r="9" spans="1:9" ht="15.75" customHeight="1" x14ac:dyDescent="0.2">
      <c r="A9" s="75">
        <v>1</v>
      </c>
      <c r="B9" s="76" t="s">
        <v>66</v>
      </c>
      <c r="C9" s="76" t="s">
        <v>59</v>
      </c>
      <c r="D9" s="77" t="str">
        <f>LEFT(B9,5)</f>
        <v>2.1.1</v>
      </c>
      <c r="E9" s="76" t="s">
        <v>74</v>
      </c>
      <c r="F9" s="78" t="s">
        <v>115</v>
      </c>
      <c r="G9" s="79">
        <v>7164</v>
      </c>
      <c r="H9" s="80"/>
      <c r="I9" s="81"/>
    </row>
    <row r="10" spans="1:9" x14ac:dyDescent="0.2">
      <c r="A10" s="82">
        <v>2</v>
      </c>
      <c r="B10" s="83" t="s">
        <v>67</v>
      </c>
      <c r="C10" s="83" t="s">
        <v>59</v>
      </c>
      <c r="D10" s="84" t="s">
        <v>73</v>
      </c>
      <c r="E10" s="83" t="s">
        <v>75</v>
      </c>
      <c r="F10" s="85" t="s">
        <v>115</v>
      </c>
      <c r="G10" s="86">
        <v>5232</v>
      </c>
      <c r="H10" s="87"/>
      <c r="I10" s="88"/>
    </row>
    <row r="11" spans="1:9" x14ac:dyDescent="0.2">
      <c r="A11" s="82">
        <v>3</v>
      </c>
      <c r="B11" s="89" t="s">
        <v>248</v>
      </c>
      <c r="C11" s="89" t="s">
        <v>59</v>
      </c>
      <c r="D11" s="90" t="s">
        <v>73</v>
      </c>
      <c r="E11" s="89" t="s">
        <v>247</v>
      </c>
      <c r="F11" s="91" t="s">
        <v>115</v>
      </c>
      <c r="G11" s="86">
        <v>9504</v>
      </c>
      <c r="H11" s="87"/>
      <c r="I11" s="88"/>
    </row>
    <row r="12" spans="1:9" x14ac:dyDescent="0.2">
      <c r="A12" s="82">
        <v>4</v>
      </c>
      <c r="B12" s="89" t="s">
        <v>250</v>
      </c>
      <c r="C12" s="89" t="s">
        <v>59</v>
      </c>
      <c r="D12" s="92" t="str">
        <f t="shared" ref="D12" si="0">LEFT(B12,5)</f>
        <v>2.1.1</v>
      </c>
      <c r="E12" s="89" t="s">
        <v>249</v>
      </c>
      <c r="F12" s="91" t="s">
        <v>115</v>
      </c>
      <c r="G12" s="86">
        <v>9504</v>
      </c>
      <c r="H12" s="87"/>
      <c r="I12" s="88"/>
    </row>
    <row r="13" spans="1:9" x14ac:dyDescent="0.2">
      <c r="A13" s="82">
        <v>5</v>
      </c>
      <c r="B13" s="83" t="s">
        <v>68</v>
      </c>
      <c r="C13" s="83" t="s">
        <v>59</v>
      </c>
      <c r="D13" s="84" t="s">
        <v>73</v>
      </c>
      <c r="E13" s="83" t="s">
        <v>76</v>
      </c>
      <c r="F13" s="85" t="s">
        <v>115</v>
      </c>
      <c r="G13" s="86">
        <v>4284</v>
      </c>
      <c r="H13" s="87"/>
      <c r="I13" s="88"/>
    </row>
    <row r="14" spans="1:9" x14ac:dyDescent="0.2">
      <c r="A14" s="82">
        <v>6</v>
      </c>
      <c r="B14" s="83" t="s">
        <v>69</v>
      </c>
      <c r="C14" s="83" t="s">
        <v>59</v>
      </c>
      <c r="D14" s="84" t="s">
        <v>73</v>
      </c>
      <c r="E14" s="83" t="s">
        <v>77</v>
      </c>
      <c r="F14" s="85" t="s">
        <v>115</v>
      </c>
      <c r="G14" s="86">
        <v>12828</v>
      </c>
      <c r="H14" s="87"/>
      <c r="I14" s="88"/>
    </row>
    <row r="15" spans="1:9" x14ac:dyDescent="0.2">
      <c r="A15" s="82">
        <v>7</v>
      </c>
      <c r="B15" s="83" t="s">
        <v>70</v>
      </c>
      <c r="C15" s="83" t="s">
        <v>59</v>
      </c>
      <c r="D15" s="84" t="str">
        <f t="shared" ref="D15:D34" si="1">LEFT(B15,5)</f>
        <v>2.1.1</v>
      </c>
      <c r="E15" s="83" t="s">
        <v>78</v>
      </c>
      <c r="F15" s="85" t="s">
        <v>115</v>
      </c>
      <c r="G15" s="86">
        <v>8544</v>
      </c>
      <c r="H15" s="87"/>
      <c r="I15" s="88"/>
    </row>
    <row r="16" spans="1:9" x14ac:dyDescent="0.2">
      <c r="A16" s="82">
        <v>8</v>
      </c>
      <c r="B16" s="89" t="s">
        <v>245</v>
      </c>
      <c r="C16" s="83" t="s">
        <v>59</v>
      </c>
      <c r="D16" s="84" t="s">
        <v>73</v>
      </c>
      <c r="E16" s="83" t="s">
        <v>246</v>
      </c>
      <c r="F16" s="85" t="s">
        <v>115</v>
      </c>
      <c r="G16" s="86">
        <v>2412</v>
      </c>
      <c r="H16" s="87"/>
      <c r="I16" s="88"/>
    </row>
    <row r="17" spans="1:9" x14ac:dyDescent="0.2">
      <c r="A17" s="82">
        <v>9</v>
      </c>
      <c r="B17" s="83" t="s">
        <v>71</v>
      </c>
      <c r="C17" s="83" t="s">
        <v>59</v>
      </c>
      <c r="D17" s="84" t="str">
        <f t="shared" si="1"/>
        <v>2.1.1</v>
      </c>
      <c r="E17" s="83" t="s">
        <v>79</v>
      </c>
      <c r="F17" s="85" t="s">
        <v>116</v>
      </c>
      <c r="G17" s="86">
        <v>13296</v>
      </c>
      <c r="H17" s="87"/>
      <c r="I17" s="88"/>
    </row>
    <row r="18" spans="1:9" x14ac:dyDescent="0.2">
      <c r="A18" s="82">
        <v>10</v>
      </c>
      <c r="B18" s="83" t="s">
        <v>72</v>
      </c>
      <c r="C18" s="83" t="s">
        <v>59</v>
      </c>
      <c r="D18" s="84" t="str">
        <f t="shared" si="1"/>
        <v>2.1.1</v>
      </c>
      <c r="E18" s="83" t="s">
        <v>80</v>
      </c>
      <c r="F18" s="85" t="s">
        <v>116</v>
      </c>
      <c r="G18" s="86">
        <v>16668</v>
      </c>
      <c r="H18" s="87"/>
      <c r="I18" s="88"/>
    </row>
    <row r="19" spans="1:9" x14ac:dyDescent="0.2">
      <c r="A19" s="82">
        <v>11</v>
      </c>
      <c r="B19" s="83" t="s">
        <v>81</v>
      </c>
      <c r="C19" s="83" t="s">
        <v>59</v>
      </c>
      <c r="D19" s="84" t="str">
        <f t="shared" si="1"/>
        <v>2.1.1</v>
      </c>
      <c r="E19" s="83" t="s">
        <v>88</v>
      </c>
      <c r="F19" s="93" t="s">
        <v>116</v>
      </c>
      <c r="G19" s="94">
        <v>10464</v>
      </c>
      <c r="H19" s="87"/>
      <c r="I19" s="88"/>
    </row>
    <row r="20" spans="1:9" x14ac:dyDescent="0.2">
      <c r="A20" s="82">
        <v>12</v>
      </c>
      <c r="B20" s="83" t="s">
        <v>82</v>
      </c>
      <c r="C20" s="83" t="s">
        <v>59</v>
      </c>
      <c r="D20" s="84" t="s">
        <v>73</v>
      </c>
      <c r="E20" s="83" t="s">
        <v>89</v>
      </c>
      <c r="F20" s="85" t="s">
        <v>14</v>
      </c>
      <c r="G20" s="86">
        <v>14256</v>
      </c>
      <c r="H20" s="87"/>
      <c r="I20" s="88"/>
    </row>
    <row r="21" spans="1:9" x14ac:dyDescent="0.2">
      <c r="A21" s="82">
        <v>13</v>
      </c>
      <c r="B21" s="83" t="s">
        <v>83</v>
      </c>
      <c r="C21" s="83" t="s">
        <v>59</v>
      </c>
      <c r="D21" s="84" t="str">
        <f t="shared" ref="D21:D24" si="2">LEFT(B21,5)</f>
        <v>2.1.1</v>
      </c>
      <c r="E21" s="83" t="s">
        <v>90</v>
      </c>
      <c r="F21" s="85" t="s">
        <v>14</v>
      </c>
      <c r="G21" s="86">
        <v>1440</v>
      </c>
      <c r="H21" s="87"/>
      <c r="I21" s="88"/>
    </row>
    <row r="22" spans="1:9" x14ac:dyDescent="0.2">
      <c r="A22" s="82">
        <v>14</v>
      </c>
      <c r="B22" s="95" t="s">
        <v>111</v>
      </c>
      <c r="C22" s="95" t="s">
        <v>59</v>
      </c>
      <c r="D22" s="84" t="str">
        <f t="shared" si="1"/>
        <v>2.1.1</v>
      </c>
      <c r="E22" s="95" t="s">
        <v>112</v>
      </c>
      <c r="F22" s="85" t="s">
        <v>116</v>
      </c>
      <c r="G22" s="86">
        <v>4752</v>
      </c>
      <c r="H22" s="87"/>
      <c r="I22" s="88"/>
    </row>
    <row r="23" spans="1:9" x14ac:dyDescent="0.2">
      <c r="A23" s="82">
        <v>15</v>
      </c>
      <c r="B23" s="83" t="s">
        <v>84</v>
      </c>
      <c r="C23" s="83" t="s">
        <v>59</v>
      </c>
      <c r="D23" s="84" t="s">
        <v>73</v>
      </c>
      <c r="E23" s="83" t="s">
        <v>91</v>
      </c>
      <c r="F23" s="85" t="s">
        <v>14</v>
      </c>
      <c r="G23" s="86">
        <v>2856</v>
      </c>
      <c r="H23" s="87"/>
      <c r="I23" s="88"/>
    </row>
    <row r="24" spans="1:9" x14ac:dyDescent="0.2">
      <c r="A24" s="82">
        <v>16</v>
      </c>
      <c r="B24" s="83" t="s">
        <v>85</v>
      </c>
      <c r="C24" s="83" t="s">
        <v>59</v>
      </c>
      <c r="D24" s="84" t="str">
        <f t="shared" si="2"/>
        <v>2.1.1</v>
      </c>
      <c r="E24" s="83" t="s">
        <v>92</v>
      </c>
      <c r="F24" s="85" t="s">
        <v>116</v>
      </c>
      <c r="G24" s="86">
        <v>9504</v>
      </c>
      <c r="H24" s="87"/>
      <c r="I24" s="88"/>
    </row>
    <row r="25" spans="1:9" x14ac:dyDescent="0.2">
      <c r="A25" s="82">
        <v>17</v>
      </c>
      <c r="B25" s="83" t="s">
        <v>86</v>
      </c>
      <c r="C25" s="83" t="s">
        <v>59</v>
      </c>
      <c r="D25" s="84" t="str">
        <f t="shared" si="1"/>
        <v>2.1.1</v>
      </c>
      <c r="E25" s="83" t="s">
        <v>93</v>
      </c>
      <c r="F25" s="85" t="s">
        <v>116</v>
      </c>
      <c r="G25" s="86">
        <v>4752</v>
      </c>
      <c r="H25" s="87"/>
      <c r="I25" s="88"/>
    </row>
    <row r="26" spans="1:9" x14ac:dyDescent="0.2">
      <c r="A26" s="82">
        <v>18</v>
      </c>
      <c r="B26" s="83" t="s">
        <v>87</v>
      </c>
      <c r="C26" s="83" t="s">
        <v>59</v>
      </c>
      <c r="D26" s="84" t="str">
        <f t="shared" si="1"/>
        <v>2.1.1</v>
      </c>
      <c r="E26" s="83" t="s">
        <v>94</v>
      </c>
      <c r="F26" s="85" t="s">
        <v>116</v>
      </c>
      <c r="G26" s="86">
        <v>8544</v>
      </c>
      <c r="H26" s="87"/>
      <c r="I26" s="88"/>
    </row>
    <row r="27" spans="1:9" x14ac:dyDescent="0.2">
      <c r="A27" s="82">
        <v>19</v>
      </c>
      <c r="B27" s="83" t="s">
        <v>118</v>
      </c>
      <c r="C27" s="83" t="s">
        <v>59</v>
      </c>
      <c r="D27" s="84" t="str">
        <f t="shared" si="1"/>
        <v>2.1.1</v>
      </c>
      <c r="E27" s="83" t="s">
        <v>119</v>
      </c>
      <c r="F27" s="85" t="s">
        <v>116</v>
      </c>
      <c r="G27" s="86">
        <v>7164</v>
      </c>
      <c r="H27" s="87"/>
      <c r="I27" s="88"/>
    </row>
    <row r="28" spans="1:9" x14ac:dyDescent="0.2">
      <c r="A28" s="82">
        <v>20</v>
      </c>
      <c r="B28" s="83" t="s">
        <v>113</v>
      </c>
      <c r="C28" s="83" t="s">
        <v>59</v>
      </c>
      <c r="D28" s="84" t="s">
        <v>73</v>
      </c>
      <c r="E28" s="83" t="s">
        <v>114</v>
      </c>
      <c r="F28" s="85" t="s">
        <v>116</v>
      </c>
      <c r="G28" s="86">
        <v>19008</v>
      </c>
      <c r="H28" s="87"/>
      <c r="I28" s="88"/>
    </row>
    <row r="29" spans="1:9" x14ac:dyDescent="0.2">
      <c r="A29" s="82">
        <v>21</v>
      </c>
      <c r="B29" s="83" t="s">
        <v>95</v>
      </c>
      <c r="C29" s="83" t="s">
        <v>59</v>
      </c>
      <c r="D29" s="84" t="s">
        <v>73</v>
      </c>
      <c r="E29" s="83" t="s">
        <v>100</v>
      </c>
      <c r="F29" s="85" t="s">
        <v>116</v>
      </c>
      <c r="G29" s="96">
        <v>120</v>
      </c>
      <c r="H29" s="87"/>
      <c r="I29" s="88"/>
    </row>
    <row r="30" spans="1:9" x14ac:dyDescent="0.2">
      <c r="A30" s="82">
        <v>22</v>
      </c>
      <c r="B30" s="83" t="s">
        <v>96</v>
      </c>
      <c r="C30" s="83" t="s">
        <v>59</v>
      </c>
      <c r="D30" s="84" t="str">
        <f t="shared" si="1"/>
        <v>2.1.1</v>
      </c>
      <c r="E30" s="83" t="s">
        <v>101</v>
      </c>
      <c r="F30" s="85" t="s">
        <v>116</v>
      </c>
      <c r="G30" s="86">
        <v>120</v>
      </c>
      <c r="H30" s="87"/>
      <c r="I30" s="88"/>
    </row>
    <row r="31" spans="1:9" x14ac:dyDescent="0.2">
      <c r="A31" s="82">
        <v>23</v>
      </c>
      <c r="B31" s="83" t="s">
        <v>97</v>
      </c>
      <c r="C31" s="83" t="s">
        <v>59</v>
      </c>
      <c r="D31" s="84" t="s">
        <v>73</v>
      </c>
      <c r="E31" s="83" t="s">
        <v>102</v>
      </c>
      <c r="F31" s="85" t="s">
        <v>116</v>
      </c>
      <c r="G31" s="86">
        <v>120</v>
      </c>
      <c r="H31" s="87"/>
      <c r="I31" s="88"/>
    </row>
    <row r="32" spans="1:9" x14ac:dyDescent="0.2">
      <c r="A32" s="82">
        <v>24</v>
      </c>
      <c r="B32" s="83" t="s">
        <v>98</v>
      </c>
      <c r="C32" s="83" t="s">
        <v>59</v>
      </c>
      <c r="D32" s="84" t="s">
        <v>73</v>
      </c>
      <c r="E32" s="83" t="s">
        <v>103</v>
      </c>
      <c r="F32" s="85" t="s">
        <v>116</v>
      </c>
      <c r="G32" s="86">
        <v>120</v>
      </c>
      <c r="H32" s="87"/>
      <c r="I32" s="88"/>
    </row>
    <row r="33" spans="1:9" x14ac:dyDescent="0.2">
      <c r="A33" s="82">
        <v>25</v>
      </c>
      <c r="B33" s="89" t="s">
        <v>252</v>
      </c>
      <c r="C33" s="89" t="s">
        <v>59</v>
      </c>
      <c r="D33" s="92" t="str">
        <f t="shared" ref="D33" si="3">LEFT(B33,5)</f>
        <v>2.1.1</v>
      </c>
      <c r="E33" s="89" t="s">
        <v>251</v>
      </c>
      <c r="F33" s="91" t="s">
        <v>14</v>
      </c>
      <c r="G33" s="86">
        <v>492</v>
      </c>
      <c r="H33" s="87"/>
      <c r="I33" s="88"/>
    </row>
    <row r="34" spans="1:9" x14ac:dyDescent="0.2">
      <c r="A34" s="82">
        <v>26</v>
      </c>
      <c r="B34" s="83" t="s">
        <v>99</v>
      </c>
      <c r="C34" s="83" t="s">
        <v>59</v>
      </c>
      <c r="D34" s="84" t="str">
        <f t="shared" si="1"/>
        <v>2.1.1</v>
      </c>
      <c r="E34" s="83" t="s">
        <v>104</v>
      </c>
      <c r="F34" s="85" t="s">
        <v>116</v>
      </c>
      <c r="G34" s="86">
        <v>270</v>
      </c>
      <c r="H34" s="97"/>
      <c r="I34" s="98"/>
    </row>
    <row r="35" spans="1:9" x14ac:dyDescent="0.2">
      <c r="A35" s="82">
        <v>27</v>
      </c>
      <c r="B35" s="83" t="s">
        <v>128</v>
      </c>
      <c r="C35" s="83" t="s">
        <v>59</v>
      </c>
      <c r="D35" s="84" t="s">
        <v>73</v>
      </c>
      <c r="E35" s="83" t="s">
        <v>132</v>
      </c>
      <c r="F35" s="99" t="s">
        <v>14</v>
      </c>
      <c r="G35" s="100">
        <v>23760</v>
      </c>
      <c r="H35" s="87"/>
      <c r="I35" s="88"/>
    </row>
    <row r="36" spans="1:9" x14ac:dyDescent="0.2">
      <c r="A36" s="82">
        <v>28</v>
      </c>
      <c r="B36" s="83" t="s">
        <v>129</v>
      </c>
      <c r="C36" s="83" t="s">
        <v>59</v>
      </c>
      <c r="D36" s="84" t="s">
        <v>73</v>
      </c>
      <c r="E36" s="83" t="s">
        <v>133</v>
      </c>
      <c r="F36" s="99" t="s">
        <v>14</v>
      </c>
      <c r="G36" s="100">
        <v>23760</v>
      </c>
      <c r="H36" s="87"/>
      <c r="I36" s="88"/>
    </row>
    <row r="37" spans="1:9" x14ac:dyDescent="0.2">
      <c r="A37" s="82">
        <v>29</v>
      </c>
      <c r="B37" s="83" t="s">
        <v>130</v>
      </c>
      <c r="C37" s="83" t="s">
        <v>59</v>
      </c>
      <c r="D37" s="84" t="str">
        <f t="shared" ref="D37:D38" si="4">LEFT(B37,5)</f>
        <v>2.1.1</v>
      </c>
      <c r="E37" s="83" t="s">
        <v>134</v>
      </c>
      <c r="F37" s="99" t="s">
        <v>14</v>
      </c>
      <c r="G37" s="100">
        <v>23760</v>
      </c>
      <c r="H37" s="87"/>
      <c r="I37" s="88"/>
    </row>
    <row r="38" spans="1:9" ht="13.5" thickBot="1" x14ac:dyDescent="0.25">
      <c r="A38" s="101">
        <v>30</v>
      </c>
      <c r="B38" s="102" t="s">
        <v>131</v>
      </c>
      <c r="C38" s="102" t="s">
        <v>59</v>
      </c>
      <c r="D38" s="103" t="str">
        <f t="shared" si="4"/>
        <v>2.1.1</v>
      </c>
      <c r="E38" s="102" t="s">
        <v>135</v>
      </c>
      <c r="F38" s="104" t="s">
        <v>14</v>
      </c>
      <c r="G38" s="105">
        <v>23760</v>
      </c>
      <c r="H38" s="106"/>
      <c r="I38" s="107"/>
    </row>
    <row r="41" spans="1:9" x14ac:dyDescent="0.2">
      <c r="B41" s="27" t="s">
        <v>15</v>
      </c>
      <c r="C41" s="28"/>
      <c r="D41" s="71"/>
      <c r="E41" s="29"/>
    </row>
    <row r="42" spans="1:9" ht="5.25" customHeight="1" x14ac:dyDescent="0.2">
      <c r="B42" s="30"/>
      <c r="C42" s="31"/>
      <c r="D42" s="72"/>
      <c r="E42" s="32"/>
    </row>
    <row r="43" spans="1:9" x14ac:dyDescent="0.2">
      <c r="B43" s="33" t="s">
        <v>16</v>
      </c>
      <c r="C43" s="31"/>
      <c r="D43" s="72"/>
      <c r="E43" s="32"/>
    </row>
    <row r="44" spans="1:9" ht="25.5" customHeight="1" x14ac:dyDescent="0.2">
      <c r="B44" s="33"/>
      <c r="C44" s="194"/>
      <c r="D44" s="194"/>
      <c r="E44" s="194"/>
    </row>
    <row r="45" spans="1:9" ht="13.5" thickBot="1" x14ac:dyDescent="0.25">
      <c r="B45" s="33" t="s">
        <v>17</v>
      </c>
      <c r="C45" s="31"/>
      <c r="D45" s="72"/>
      <c r="E45" s="32"/>
    </row>
    <row r="46" spans="1:9" ht="13.5" thickBot="1" x14ac:dyDescent="0.25">
      <c r="B46" s="180" t="s">
        <v>136</v>
      </c>
      <c r="C46" s="181"/>
      <c r="D46" s="181"/>
      <c r="E46" s="182"/>
    </row>
    <row r="47" spans="1:9" ht="13.5" thickBot="1" x14ac:dyDescent="0.25">
      <c r="B47" s="180" t="s">
        <v>137</v>
      </c>
      <c r="C47" s="182"/>
      <c r="D47" s="69" t="s">
        <v>11</v>
      </c>
      <c r="E47" s="69" t="s">
        <v>138</v>
      </c>
    </row>
    <row r="48" spans="1:9" x14ac:dyDescent="0.2">
      <c r="B48" s="187" t="str">
        <f>'[1]COMEDORES EMERGENTES'!$B$3</f>
        <v>UNA SONRISA AV. LOS COBACHO</v>
      </c>
      <c r="C48" s="188"/>
      <c r="D48" s="113" t="s">
        <v>167</v>
      </c>
      <c r="E48" s="114" t="str">
        <f>'[1]COMEDORES EMERGENTES'!$G$3</f>
        <v>Bº SAN CARLOS OESTE AV. Bonifacio cobacho 670</v>
      </c>
    </row>
    <row r="49" spans="2:5" x14ac:dyDescent="0.2">
      <c r="B49" s="178" t="str">
        <f>'[1]COMEDORES EMERGENTES'!$B$4</f>
        <v>C.I.F Nº1 - RIVERA DEL VALLE Y FLORIDA</v>
      </c>
      <c r="C49" s="179"/>
      <c r="D49" s="108" t="s">
        <v>169</v>
      </c>
      <c r="E49" s="109" t="str">
        <f>'[1]COMEDORES EMERGENTES'!$G$4</f>
        <v>AV. RIVIERA DEL VALLE ENTRE FLORIDA Y SANTA FE</v>
      </c>
    </row>
    <row r="50" spans="2:5" x14ac:dyDescent="0.2">
      <c r="B50" s="178" t="str">
        <f>'[1]COMEDORES EMERGENTES'!$B$5</f>
        <v>C.I.F - RIVERA DEL VALLE - DILORENZO</v>
      </c>
      <c r="C50" s="179"/>
      <c r="D50" s="108" t="s">
        <v>170</v>
      </c>
      <c r="E50" s="109" t="str">
        <f>'[1]COMEDORES EMERGENTES'!$G$5</f>
        <v>Bº RIVERA DEL VALLE ENTRE VILLA EUMELIA Y MONTE CRISTO</v>
      </c>
    </row>
    <row r="51" spans="2:5" x14ac:dyDescent="0.2">
      <c r="B51" s="178" t="str">
        <f>'[1]COMEDORES EMERGENTES'!$B$6</f>
        <v>ESFUERZO PROPIO- Bº ALTOS DE CHOYA</v>
      </c>
      <c r="C51" s="179"/>
      <c r="D51" s="108" t="s">
        <v>171</v>
      </c>
      <c r="E51" s="109" t="str">
        <f>'[1]COMEDORES EMERGENTES'!$G$6</f>
        <v>Bº MUNICIPAL 35VV. NORTE C/14</v>
      </c>
    </row>
    <row r="52" spans="2:5" x14ac:dyDescent="0.2">
      <c r="B52" s="178" t="str">
        <f>'[1]COMEDORES EMERGENTES'!$B$7</f>
        <v>ANGELITOS - LOTEO SUSSEX</v>
      </c>
      <c r="C52" s="179"/>
      <c r="D52" s="108" t="s">
        <v>172</v>
      </c>
      <c r="E52" s="109" t="str">
        <f>'[1]COMEDORES EMERGENTES'!$G$7</f>
        <v>Bº LOTEO SUSEX MZA.Nº 4 LOTE Nº3</v>
      </c>
    </row>
    <row r="53" spans="2:5" x14ac:dyDescent="0.2">
      <c r="B53" s="178" t="str">
        <f>'[1]COMEDORES EMERGENTES'!$B$8</f>
        <v>CLUB DEPORTIVO CHACARITA</v>
      </c>
      <c r="C53" s="179"/>
      <c r="D53" s="108" t="s">
        <v>173</v>
      </c>
      <c r="E53" s="109" t="str">
        <f>'[1]COMEDORES EMERGENTES'!$G$8</f>
        <v>CALLE DR.DERMIDIO GALINDEZ C/2660</v>
      </c>
    </row>
    <row r="54" spans="2:5" x14ac:dyDescent="0.2">
      <c r="B54" s="178" t="str">
        <f>'[1]COMEDORES EMERGENTES'!$B$9</f>
        <v>LA MORO</v>
      </c>
      <c r="C54" s="179"/>
      <c r="D54" s="108" t="s">
        <v>168</v>
      </c>
      <c r="E54" s="109" t="str">
        <f>'[1]COMEDORES EMERGENTES'!$G$9</f>
        <v>MAIPU NORTE 1º ETAPA MZA "H" Bº MI JARDIN</v>
      </c>
    </row>
    <row r="55" spans="2:5" x14ac:dyDescent="0.2">
      <c r="B55" s="178" t="str">
        <f>'[1]COMEDORES EMERGENTES'!$B$10</f>
        <v>PAPA FRANCISCO</v>
      </c>
      <c r="C55" s="179"/>
      <c r="D55" s="108" t="s">
        <v>174</v>
      </c>
      <c r="E55" s="109" t="str">
        <f>'[1]COMEDORES EMERGENTES'!$G$10</f>
        <v>ENTRE AV.TEREBINTO Y AV.SAN JUAN LOTE "2" MZA. "B"</v>
      </c>
    </row>
    <row r="56" spans="2:5" x14ac:dyDescent="0.2">
      <c r="B56" s="178" t="str">
        <f>'[1]COMEDORES EMERGENTES'!$B$11</f>
        <v>E.P.C - 100 V.V NORTE</v>
      </c>
      <c r="C56" s="179"/>
      <c r="D56" s="108" t="s">
        <v>175</v>
      </c>
      <c r="E56" s="109" t="str">
        <f>'[1]COMEDORES EMERGENTES'!$G$11</f>
        <v>Bº VV NORTE C/48 ENTRE ESPAÑA Y FRANCIA</v>
      </c>
    </row>
    <row r="57" spans="2:5" x14ac:dyDescent="0.2">
      <c r="B57" s="178" t="str">
        <f>'[1]COMEDORES EMERGENTES'!$B$12</f>
        <v>HOGAR DE CRISTO - PADRE RAUL CONTRERAS</v>
      </c>
      <c r="C57" s="179"/>
      <c r="D57" s="108" t="s">
        <v>175</v>
      </c>
      <c r="E57" s="109" t="str">
        <f>'[1]COMEDORES EMERGENTES'!$G$12</f>
        <v>Bº SANTA MARTA MZA. "S" LOTE "M" C/39</v>
      </c>
    </row>
    <row r="58" spans="2:5" x14ac:dyDescent="0.2">
      <c r="B58" s="178" t="str">
        <f>'[1]COMEDORES EMERGENTES'!$B$13</f>
        <v>LA LUCIERNAGA</v>
      </c>
      <c r="C58" s="179"/>
      <c r="D58" s="108" t="s">
        <v>174</v>
      </c>
      <c r="E58" s="109" t="str">
        <f>'[1]COMEDORES EMERGENTES'!$G$13</f>
        <v>Bº 20 V.V NORTE C/3</v>
      </c>
    </row>
    <row r="59" spans="2:5" x14ac:dyDescent="0.2">
      <c r="B59" s="178" t="str">
        <f>'[1]COMEDORES EMERGENTES'!$B$14</f>
        <v>VALLE VIEJO - SUMALAO</v>
      </c>
      <c r="C59" s="179"/>
      <c r="D59" s="108" t="s">
        <v>176</v>
      </c>
      <c r="E59" s="109" t="str">
        <f>'[1]COMEDORES EMERGENTES'!$G$14</f>
        <v>PADRE SEGURA S/N</v>
      </c>
    </row>
    <row r="60" spans="2:5" x14ac:dyDescent="0.2">
      <c r="B60" s="178" t="str">
        <f>'[1]COMEDORES EMERGENTES'!$B$15</f>
        <v>NUESTRO FUTURO - LAS VIAS</v>
      </c>
      <c r="C60" s="179"/>
      <c r="D60" s="108" t="s">
        <v>174</v>
      </c>
      <c r="E60" s="109" t="str">
        <f>'[1]COMEDORES EMERGENTES'!$G$15</f>
        <v>Bº LAS VIAS OESTE LOTE 42</v>
      </c>
    </row>
    <row r="61" spans="2:5" x14ac:dyDescent="0.2">
      <c r="B61" s="178" t="str">
        <f>'[1]COMEDORES EMERGENTES'!$B$16</f>
        <v>SAN JOSE OBRERO</v>
      </c>
      <c r="C61" s="179"/>
      <c r="D61" s="108" t="s">
        <v>173</v>
      </c>
      <c r="E61" s="109" t="str">
        <f>'[1]COMEDORES EMERGENTES'!$G$16</f>
        <v>Bº SAN JOSE OBRERO. PJE. SANDOVAL S/Nº</v>
      </c>
    </row>
    <row r="62" spans="2:5" x14ac:dyDescent="0.2">
      <c r="B62" s="178" t="str">
        <f>'[1]COMEDORES EMERGENTES'!$B$17</f>
        <v>VIRGEN DE LUJAN</v>
      </c>
      <c r="C62" s="179"/>
      <c r="D62" s="108" t="s">
        <v>174</v>
      </c>
      <c r="E62" s="109" t="str">
        <f>'[1]COMEDORES EMERGENTES'!$G$17</f>
        <v>Bº OJO DE AGUA C/DR.TEODULFO BARRIONUEVO S/Nº</v>
      </c>
    </row>
    <row r="63" spans="2:5" x14ac:dyDescent="0.2">
      <c r="B63" s="178" t="str">
        <f>'[1]COMEDORES EMERGENTES'!$B$18</f>
        <v>RENACER</v>
      </c>
      <c r="C63" s="179"/>
      <c r="D63" s="108" t="s">
        <v>177</v>
      </c>
      <c r="E63" s="109" t="str">
        <f>'[1]COMEDORES EMERGENTES'!$G$18</f>
        <v>Bº VIRGEN MORENITA</v>
      </c>
    </row>
    <row r="64" spans="2:5" x14ac:dyDescent="0.2">
      <c r="B64" s="178" t="str">
        <f>'[1]COMEDORES EMERGENTES'!$B$19</f>
        <v>CENTRO VECINAL MI JARDIN</v>
      </c>
      <c r="C64" s="179"/>
      <c r="D64" s="108" t="s">
        <v>178</v>
      </c>
      <c r="E64" s="109" t="str">
        <f>'[1]COMEDORES EMERGENTES'!$G$19</f>
        <v>C/ LOS TULIPANES ENTRE FLOR DE CEREZO Y HOLANDA MZA.27 Bº MI JARDIN</v>
      </c>
    </row>
    <row r="65" spans="2:5" x14ac:dyDescent="0.2">
      <c r="B65" s="178" t="str">
        <f>'[1]COMEDORES EMERGENTES'!$B$20</f>
        <v>LA VIEJA ESQUINA</v>
      </c>
      <c r="C65" s="179"/>
      <c r="D65" s="108" t="s">
        <v>179</v>
      </c>
      <c r="E65" s="109" t="str">
        <f>'[1]COMEDORES EMERGENTES'!$G$20</f>
        <v>B° CRISTO REY PJE CAPATAZ VILLAFAÑEZ Y ARMANDO CORREA</v>
      </c>
    </row>
    <row r="66" spans="2:5" x14ac:dyDescent="0.2">
      <c r="B66" s="178" t="str">
        <f>'[1]COMEDORES EMERGENTES'!$B$21</f>
        <v>GAUCHITO GIL</v>
      </c>
      <c r="C66" s="179"/>
      <c r="D66" s="108" t="s">
        <v>180</v>
      </c>
      <c r="E66" s="109" t="str">
        <f>'[1]COMEDORES EMERGENTES'!$G$21</f>
        <v>B° 26 VIVIENDAS CASA N° 3</v>
      </c>
    </row>
    <row r="67" spans="2:5" ht="13.5" thickBot="1" x14ac:dyDescent="0.25">
      <c r="B67" s="195" t="str">
        <f>'[1]COMEDORES EMERGENTES'!$B$22</f>
        <v>LOS TOLDOS</v>
      </c>
      <c r="C67" s="196"/>
      <c r="D67" s="115" t="s">
        <v>200</v>
      </c>
      <c r="E67" s="116" t="str">
        <f>'[1]COMEDORES EMERGENTES'!$G$22</f>
        <v>LOTEO PARQUE SUR CALLE S/NOMBRE S/N°</v>
      </c>
    </row>
    <row r="68" spans="2:5" x14ac:dyDescent="0.2">
      <c r="B68" s="33" t="s">
        <v>18</v>
      </c>
      <c r="C68" s="31"/>
      <c r="D68" s="72"/>
      <c r="E68" s="32"/>
    </row>
    <row r="69" spans="2:5" ht="12.75" customHeight="1" x14ac:dyDescent="0.2">
      <c r="B69" s="34"/>
      <c r="C69" s="194" t="s">
        <v>62</v>
      </c>
      <c r="D69" s="194"/>
      <c r="E69" s="194"/>
    </row>
    <row r="70" spans="2:5" x14ac:dyDescent="0.2">
      <c r="B70" s="33" t="s">
        <v>19</v>
      </c>
      <c r="C70" s="35"/>
      <c r="D70" s="35"/>
      <c r="E70" s="36"/>
    </row>
    <row r="71" spans="2:5" ht="14.25" customHeight="1" x14ac:dyDescent="0.2">
      <c r="B71" s="34"/>
      <c r="C71" s="194" t="s">
        <v>139</v>
      </c>
      <c r="D71" s="194"/>
      <c r="E71" s="194"/>
    </row>
    <row r="72" spans="2:5" x14ac:dyDescent="0.2">
      <c r="B72" s="33" t="s">
        <v>20</v>
      </c>
      <c r="C72" s="31"/>
      <c r="D72" s="72"/>
      <c r="E72" s="32"/>
    </row>
    <row r="73" spans="2:5" ht="11.25" customHeight="1" x14ac:dyDescent="0.2">
      <c r="B73" s="33"/>
      <c r="C73" s="193" t="s">
        <v>63</v>
      </c>
      <c r="D73" s="193"/>
      <c r="E73" s="193"/>
    </row>
    <row r="74" spans="2:5" x14ac:dyDescent="0.2">
      <c r="B74" s="37"/>
      <c r="C74" s="38"/>
      <c r="D74" s="73"/>
      <c r="E74" s="39"/>
    </row>
    <row r="75" spans="2:5" ht="13.5" thickBot="1" x14ac:dyDescent="0.25"/>
    <row r="76" spans="2:5" x14ac:dyDescent="0.2">
      <c r="B76" s="27" t="s">
        <v>21</v>
      </c>
      <c r="C76" s="28"/>
      <c r="D76" s="71"/>
      <c r="E76" s="29"/>
    </row>
    <row r="77" spans="2:5" ht="5.25" customHeight="1" x14ac:dyDescent="0.2">
      <c r="B77" s="30"/>
      <c r="C77" s="31"/>
      <c r="D77" s="72"/>
      <c r="E77" s="32"/>
    </row>
    <row r="78" spans="2:5" x14ac:dyDescent="0.2">
      <c r="B78" s="33" t="s">
        <v>16</v>
      </c>
      <c r="C78" s="31"/>
      <c r="D78" s="72"/>
      <c r="E78" s="32"/>
    </row>
    <row r="79" spans="2:5" ht="25.5" customHeight="1" x14ac:dyDescent="0.2">
      <c r="B79" s="33"/>
      <c r="C79" s="194"/>
      <c r="D79" s="194"/>
      <c r="E79" s="194"/>
    </row>
    <row r="80" spans="2:5" ht="13.5" thickBot="1" x14ac:dyDescent="0.25">
      <c r="B80" s="33" t="s">
        <v>17</v>
      </c>
      <c r="C80" s="31"/>
      <c r="D80" s="72"/>
      <c r="E80" s="32"/>
    </row>
    <row r="81" spans="2:5" ht="13.5" thickBot="1" x14ac:dyDescent="0.25">
      <c r="B81" s="180" t="s">
        <v>136</v>
      </c>
      <c r="C81" s="181"/>
      <c r="D81" s="181"/>
      <c r="E81" s="182"/>
    </row>
    <row r="82" spans="2:5" ht="13.5" thickBot="1" x14ac:dyDescent="0.25">
      <c r="B82" s="180" t="s">
        <v>137</v>
      </c>
      <c r="C82" s="182"/>
      <c r="D82" s="69" t="s">
        <v>11</v>
      </c>
      <c r="E82" s="69" t="s">
        <v>138</v>
      </c>
    </row>
    <row r="83" spans="2:5" x14ac:dyDescent="0.2">
      <c r="B83" s="187" t="str">
        <f>'[1]COMEDORES EMERGENTES'!$B$3</f>
        <v>UNA SONRISA AV. LOS COBACHO</v>
      </c>
      <c r="C83" s="188"/>
      <c r="D83" s="113" t="s">
        <v>168</v>
      </c>
      <c r="E83" s="114" t="str">
        <f>'[1]COMEDORES EMERGENTES'!$G$3</f>
        <v>Bº SAN CARLOS OESTE AV. Bonifacio cobacho 670</v>
      </c>
    </row>
    <row r="84" spans="2:5" x14ac:dyDescent="0.2">
      <c r="B84" s="178" t="str">
        <f>'[1]COMEDORES EMERGENTES'!$B$4</f>
        <v>C.I.F Nº1 - RIVERA DEL VALLE Y FLORIDA</v>
      </c>
      <c r="C84" s="179"/>
      <c r="D84" s="108" t="s">
        <v>180</v>
      </c>
      <c r="E84" s="109" t="str">
        <f>'[1]COMEDORES EMERGENTES'!$G$4</f>
        <v>AV. RIVIERA DEL VALLE ENTRE FLORIDA Y SANTA FE</v>
      </c>
    </row>
    <row r="85" spans="2:5" x14ac:dyDescent="0.2">
      <c r="B85" s="178" t="str">
        <f>'[1]COMEDORES EMERGENTES'!$B$5</f>
        <v>C.I.F - RIVERA DEL VALLE - DILORENZO</v>
      </c>
      <c r="C85" s="179"/>
      <c r="D85" s="108" t="s">
        <v>174</v>
      </c>
      <c r="E85" s="109" t="str">
        <f>'[1]COMEDORES EMERGENTES'!$G$5</f>
        <v>Bº RIVERA DEL VALLE ENTRE VILLA EUMELIA Y MONTE CRISTO</v>
      </c>
    </row>
    <row r="86" spans="2:5" x14ac:dyDescent="0.2">
      <c r="B86" s="178" t="str">
        <f>'[1]COMEDORES EMERGENTES'!$B$6</f>
        <v>ESFUERZO PROPIO- Bº ALTOS DE CHOYA</v>
      </c>
      <c r="C86" s="179"/>
      <c r="D86" s="108" t="s">
        <v>167</v>
      </c>
      <c r="E86" s="109" t="str">
        <f>'[1]COMEDORES EMERGENTES'!$G$6</f>
        <v>Bº MUNICIPAL 35VV. NORTE C/14</v>
      </c>
    </row>
    <row r="87" spans="2:5" x14ac:dyDescent="0.2">
      <c r="B87" s="178" t="str">
        <f>'[1]COMEDORES EMERGENTES'!$B$7</f>
        <v>ANGELITOS - LOTEO SUSSEX</v>
      </c>
      <c r="C87" s="179"/>
      <c r="D87" s="108" t="s">
        <v>181</v>
      </c>
      <c r="E87" s="109" t="str">
        <f>'[1]COMEDORES EMERGENTES'!$G$7</f>
        <v>Bº LOTEO SUSEX MZA.Nº 4 LOTE Nº3</v>
      </c>
    </row>
    <row r="88" spans="2:5" x14ac:dyDescent="0.2">
      <c r="B88" s="178" t="str">
        <f>'[1]COMEDORES EMERGENTES'!$B$8</f>
        <v>CLUB DEPORTIVO CHACARITA</v>
      </c>
      <c r="C88" s="179"/>
      <c r="D88" s="108" t="s">
        <v>182</v>
      </c>
      <c r="E88" s="109" t="str">
        <f>'[1]COMEDORES EMERGENTES'!$G$8</f>
        <v>CALLE DR.DERMIDIO GALINDEZ C/2660</v>
      </c>
    </row>
    <row r="89" spans="2:5" x14ac:dyDescent="0.2">
      <c r="B89" s="178" t="str">
        <f>'[1]COMEDORES EMERGENTES'!$B$9</f>
        <v>LA MORO</v>
      </c>
      <c r="C89" s="179"/>
      <c r="D89" s="108" t="s">
        <v>183</v>
      </c>
      <c r="E89" s="109" t="str">
        <f>'[1]COMEDORES EMERGENTES'!$G$9</f>
        <v>MAIPU NORTE 1º ETAPA MZA "H" Bº MI JARDIN</v>
      </c>
    </row>
    <row r="90" spans="2:5" x14ac:dyDescent="0.2">
      <c r="B90" s="178" t="str">
        <f>'[1]COMEDORES EMERGENTES'!$B$10</f>
        <v>PAPA FRANCISCO</v>
      </c>
      <c r="C90" s="179"/>
      <c r="D90" s="108" t="s">
        <v>184</v>
      </c>
      <c r="E90" s="109" t="str">
        <f>'[1]COMEDORES EMERGENTES'!$G$10</f>
        <v>ENTRE AV.TEREBINTO Y AV.SAN JUAN LOTE "2" MZA. "B"</v>
      </c>
    </row>
    <row r="91" spans="2:5" x14ac:dyDescent="0.2">
      <c r="B91" s="178" t="str">
        <f>'[1]COMEDORES EMERGENTES'!$B$11</f>
        <v>E.P.C - 100 V.V NORTE</v>
      </c>
      <c r="C91" s="179"/>
      <c r="D91" s="108" t="s">
        <v>171</v>
      </c>
      <c r="E91" s="109" t="str">
        <f>'[1]COMEDORES EMERGENTES'!$G$11</f>
        <v>Bº VV NORTE C/48 ENTRE ESPAÑA Y FRANCIA</v>
      </c>
    </row>
    <row r="92" spans="2:5" x14ac:dyDescent="0.2">
      <c r="B92" s="178" t="str">
        <f>'[1]COMEDORES EMERGENTES'!$B$12</f>
        <v>HOGAR DE CRISTO - PADRE RAUL CONTRERAS</v>
      </c>
      <c r="C92" s="179"/>
      <c r="D92" s="108" t="s">
        <v>171</v>
      </c>
      <c r="E92" s="109" t="str">
        <f>'[1]COMEDORES EMERGENTES'!$G$12</f>
        <v>Bº SANTA MARTA MZA. "S" LOTE "M" C/39</v>
      </c>
    </row>
    <row r="93" spans="2:5" x14ac:dyDescent="0.2">
      <c r="B93" s="178" t="str">
        <f>'[1]COMEDORES EMERGENTES'!$B$13</f>
        <v>LA LUCIERNAGA</v>
      </c>
      <c r="C93" s="179"/>
      <c r="D93" s="108" t="s">
        <v>184</v>
      </c>
      <c r="E93" s="109" t="str">
        <f>'[1]COMEDORES EMERGENTES'!$G$13</f>
        <v>Bº 20 V.V NORTE C/3</v>
      </c>
    </row>
    <row r="94" spans="2:5" x14ac:dyDescent="0.2">
      <c r="B94" s="178" t="str">
        <f>'[1]COMEDORES EMERGENTES'!$B$14</f>
        <v>VALLE VIEJO - SUMALAO</v>
      </c>
      <c r="C94" s="179"/>
      <c r="D94" s="108" t="s">
        <v>185</v>
      </c>
      <c r="E94" s="109" t="str">
        <f>'[1]COMEDORES EMERGENTES'!$G$14</f>
        <v>PADRE SEGURA S/N</v>
      </c>
    </row>
    <row r="95" spans="2:5" x14ac:dyDescent="0.2">
      <c r="B95" s="178" t="str">
        <f>'[1]COMEDORES EMERGENTES'!$B$15</f>
        <v>NUESTRO FUTURO - LAS VIAS</v>
      </c>
      <c r="C95" s="179"/>
      <c r="D95" s="108" t="s">
        <v>184</v>
      </c>
      <c r="E95" s="109" t="str">
        <f>'[1]COMEDORES EMERGENTES'!$G$15</f>
        <v>Bº LAS VIAS OESTE LOTE 42</v>
      </c>
    </row>
    <row r="96" spans="2:5" x14ac:dyDescent="0.2">
      <c r="B96" s="178" t="str">
        <f>'[1]COMEDORES EMERGENTES'!$B$16</f>
        <v>SAN JOSE OBRERO</v>
      </c>
      <c r="C96" s="179"/>
      <c r="D96" s="108" t="s">
        <v>182</v>
      </c>
      <c r="E96" s="109" t="str">
        <f>'[1]COMEDORES EMERGENTES'!$G$16</f>
        <v>Bº SAN JOSE OBRERO. PJE. SANDOVAL S/Nº</v>
      </c>
    </row>
    <row r="97" spans="2:5" x14ac:dyDescent="0.2">
      <c r="B97" s="178" t="str">
        <f>'[1]COMEDORES EMERGENTES'!$B$17</f>
        <v>VIRGEN DE LUJAN</v>
      </c>
      <c r="C97" s="179"/>
      <c r="D97" s="108" t="s">
        <v>184</v>
      </c>
      <c r="E97" s="109" t="str">
        <f>'[1]COMEDORES EMERGENTES'!$G$17</f>
        <v>Bº OJO DE AGUA C/DR.TEODULFO BARRIONUEVO S/Nº</v>
      </c>
    </row>
    <row r="98" spans="2:5" x14ac:dyDescent="0.2">
      <c r="B98" s="178" t="str">
        <f>'[1]COMEDORES EMERGENTES'!$B$18</f>
        <v>RENACER</v>
      </c>
      <c r="C98" s="179"/>
      <c r="D98" s="108" t="s">
        <v>186</v>
      </c>
      <c r="E98" s="109" t="str">
        <f>'[1]COMEDORES EMERGENTES'!$G$18</f>
        <v>Bº VIRGEN MORENITA</v>
      </c>
    </row>
    <row r="99" spans="2:5" x14ac:dyDescent="0.2">
      <c r="B99" s="178" t="str">
        <f>'[1]COMEDORES EMERGENTES'!$B$19</f>
        <v>CENTRO VECINAL MI JARDIN</v>
      </c>
      <c r="C99" s="179"/>
      <c r="D99" s="108" t="s">
        <v>173</v>
      </c>
      <c r="E99" s="109" t="str">
        <f>'[1]COMEDORES EMERGENTES'!$G$19</f>
        <v>C/ LOS TULIPANES ENTRE FLOR DE CEREZO Y HOLANDA MZA.27 Bº MI JARDIN</v>
      </c>
    </row>
    <row r="100" spans="2:5" x14ac:dyDescent="0.2">
      <c r="B100" s="178" t="str">
        <f>'[1]COMEDORES EMERGENTES'!$B$20</f>
        <v>LA VIEJA ESQUINA</v>
      </c>
      <c r="C100" s="179"/>
      <c r="D100" s="108" t="s">
        <v>187</v>
      </c>
      <c r="E100" s="109" t="str">
        <f>'[1]COMEDORES EMERGENTES'!$G$20</f>
        <v>B° CRISTO REY PJE CAPATAZ VILLAFAÑEZ Y ARMANDO CORREA</v>
      </c>
    </row>
    <row r="101" spans="2:5" x14ac:dyDescent="0.2">
      <c r="B101" s="178" t="str">
        <f>'[1]COMEDORES EMERGENTES'!$B$21</f>
        <v>GAUCHITO GIL</v>
      </c>
      <c r="C101" s="179"/>
      <c r="D101" s="108" t="s">
        <v>168</v>
      </c>
      <c r="E101" s="109" t="str">
        <f>'[1]COMEDORES EMERGENTES'!$G$21</f>
        <v>B° 26 VIVIENDAS CASA N° 3</v>
      </c>
    </row>
    <row r="102" spans="2:5" ht="13.5" thickBot="1" x14ac:dyDescent="0.25">
      <c r="B102" s="195" t="str">
        <f>'[1]COMEDORES EMERGENTES'!$B$22</f>
        <v>LOS TOLDOS</v>
      </c>
      <c r="C102" s="196"/>
      <c r="D102" s="115" t="s">
        <v>199</v>
      </c>
      <c r="E102" s="116" t="str">
        <f>'[1]COMEDORES EMERGENTES'!$G$22</f>
        <v>LOTEO PARQUE SUR CALLE S/NOMBRE S/N°</v>
      </c>
    </row>
    <row r="103" spans="2:5" x14ac:dyDescent="0.2">
      <c r="B103" s="33" t="s">
        <v>18</v>
      </c>
      <c r="C103" s="31"/>
      <c r="D103" s="72"/>
      <c r="E103" s="32"/>
    </row>
    <row r="104" spans="2:5" ht="12.75" customHeight="1" x14ac:dyDescent="0.2">
      <c r="B104" s="34"/>
      <c r="C104" s="194" t="s">
        <v>62</v>
      </c>
      <c r="D104" s="194"/>
      <c r="E104" s="194"/>
    </row>
    <row r="105" spans="2:5" x14ac:dyDescent="0.2">
      <c r="B105" s="33" t="s">
        <v>19</v>
      </c>
      <c r="C105" s="35"/>
      <c r="D105" s="35"/>
      <c r="E105" s="36"/>
    </row>
    <row r="106" spans="2:5" ht="14.25" customHeight="1" x14ac:dyDescent="0.2">
      <c r="B106" s="34"/>
      <c r="C106" s="194" t="s">
        <v>139</v>
      </c>
      <c r="D106" s="194"/>
      <c r="E106" s="194"/>
    </row>
    <row r="107" spans="2:5" x14ac:dyDescent="0.2">
      <c r="B107" s="33" t="s">
        <v>20</v>
      </c>
      <c r="C107" s="31"/>
      <c r="D107" s="72"/>
      <c r="E107" s="32"/>
    </row>
    <row r="108" spans="2:5" ht="11.25" customHeight="1" x14ac:dyDescent="0.2">
      <c r="B108" s="33"/>
      <c r="C108" s="193" t="s">
        <v>63</v>
      </c>
      <c r="D108" s="193"/>
      <c r="E108" s="193"/>
    </row>
    <row r="109" spans="2:5" ht="13.5" thickBot="1" x14ac:dyDescent="0.25">
      <c r="B109" s="37"/>
      <c r="C109" s="38"/>
      <c r="D109" s="73"/>
      <c r="E109" s="39"/>
    </row>
    <row r="110" spans="2:5" ht="13.5" thickBot="1" x14ac:dyDescent="0.25"/>
    <row r="111" spans="2:5" x14ac:dyDescent="0.2">
      <c r="B111" s="27" t="s">
        <v>64</v>
      </c>
      <c r="C111" s="28"/>
      <c r="D111" s="71"/>
      <c r="E111" s="29"/>
    </row>
    <row r="112" spans="2:5" ht="5.25" customHeight="1" x14ac:dyDescent="0.2">
      <c r="B112" s="30"/>
      <c r="C112" s="31"/>
      <c r="D112" s="72"/>
      <c r="E112" s="32"/>
    </row>
    <row r="113" spans="2:5" x14ac:dyDescent="0.2">
      <c r="B113" s="33" t="s">
        <v>16</v>
      </c>
      <c r="C113" s="31"/>
      <c r="D113" s="72"/>
      <c r="E113" s="32"/>
    </row>
    <row r="114" spans="2:5" ht="25.5" customHeight="1" x14ac:dyDescent="0.2">
      <c r="B114" s="33"/>
      <c r="C114" s="184"/>
      <c r="D114" s="184"/>
      <c r="E114" s="185"/>
    </row>
    <row r="115" spans="2:5" ht="13.5" thickBot="1" x14ac:dyDescent="0.25">
      <c r="B115" s="33" t="s">
        <v>17</v>
      </c>
      <c r="C115" s="31"/>
      <c r="D115" s="72"/>
      <c r="E115" s="32"/>
    </row>
    <row r="116" spans="2:5" ht="13.5" thickBot="1" x14ac:dyDescent="0.25">
      <c r="B116" s="180" t="s">
        <v>136</v>
      </c>
      <c r="C116" s="181"/>
      <c r="D116" s="181"/>
      <c r="E116" s="182"/>
    </row>
    <row r="117" spans="2:5" ht="13.5" thickBot="1" x14ac:dyDescent="0.25">
      <c r="B117" s="180" t="s">
        <v>137</v>
      </c>
      <c r="C117" s="182"/>
      <c r="D117" s="69" t="s">
        <v>11</v>
      </c>
      <c r="E117" s="69" t="s">
        <v>138</v>
      </c>
    </row>
    <row r="118" spans="2:5" x14ac:dyDescent="0.2">
      <c r="B118" s="187" t="str">
        <f>'[1]COMEDORES EMERGENTES'!$B$3</f>
        <v>UNA SONRISA AV. LOS COBACHO</v>
      </c>
      <c r="C118" s="188"/>
      <c r="D118" s="113" t="s">
        <v>188</v>
      </c>
      <c r="E118" s="114" t="str">
        <f>'[1]COMEDORES EMERGENTES'!$G$3</f>
        <v>Bº SAN CARLOS OESTE AV. Bonifacio cobacho 670</v>
      </c>
    </row>
    <row r="119" spans="2:5" x14ac:dyDescent="0.2">
      <c r="B119" s="178" t="str">
        <f>'[1]COMEDORES EMERGENTES'!$B$4</f>
        <v>C.I.F Nº1 - RIVERA DEL VALLE Y FLORIDA</v>
      </c>
      <c r="C119" s="179"/>
      <c r="D119" s="108" t="s">
        <v>189</v>
      </c>
      <c r="E119" s="109" t="str">
        <f>'[1]COMEDORES EMERGENTES'!$G$4</f>
        <v>AV. RIVIERA DEL VALLE ENTRE FLORIDA Y SANTA FE</v>
      </c>
    </row>
    <row r="120" spans="2:5" x14ac:dyDescent="0.2">
      <c r="B120" s="178" t="str">
        <f>'[1]COMEDORES EMERGENTES'!$B$5</f>
        <v>C.I.F - RIVERA DEL VALLE - DILORENZO</v>
      </c>
      <c r="C120" s="179"/>
      <c r="D120" s="108" t="s">
        <v>190</v>
      </c>
      <c r="E120" s="109" t="str">
        <f>'[1]COMEDORES EMERGENTES'!$G$5</f>
        <v>Bº RIVERA DEL VALLE ENTRE VILLA EUMELIA Y MONTE CRISTO</v>
      </c>
    </row>
    <row r="121" spans="2:5" x14ac:dyDescent="0.2">
      <c r="B121" s="178" t="str">
        <f>'[1]COMEDORES EMERGENTES'!$B$6</f>
        <v>ESFUERZO PROPIO- Bº ALTOS DE CHOYA</v>
      </c>
      <c r="C121" s="179"/>
      <c r="D121" s="108" t="s">
        <v>191</v>
      </c>
      <c r="E121" s="109" t="str">
        <f>'[1]COMEDORES EMERGENTES'!$G$6</f>
        <v>Bº MUNICIPAL 35VV. NORTE C/14</v>
      </c>
    </row>
    <row r="122" spans="2:5" x14ac:dyDescent="0.2">
      <c r="B122" s="178" t="str">
        <f>'[1]COMEDORES EMERGENTES'!$B$7</f>
        <v>ANGELITOS - LOTEO SUSSEX</v>
      </c>
      <c r="C122" s="179"/>
      <c r="D122" s="108" t="s">
        <v>173</v>
      </c>
      <c r="E122" s="109" t="str">
        <f>'[1]COMEDORES EMERGENTES'!$G$7</f>
        <v>Bº LOTEO SUSEX MZA.Nº 4 LOTE Nº3</v>
      </c>
    </row>
    <row r="123" spans="2:5" x14ac:dyDescent="0.2">
      <c r="B123" s="178" t="str">
        <f>'[1]COMEDORES EMERGENTES'!$B$8</f>
        <v>CLUB DEPORTIVO CHACARITA</v>
      </c>
      <c r="C123" s="179"/>
      <c r="D123" s="108" t="s">
        <v>179</v>
      </c>
      <c r="E123" s="109" t="str">
        <f>'[1]COMEDORES EMERGENTES'!$G$8</f>
        <v>CALLE DR.DERMIDIO GALINDEZ C/2660</v>
      </c>
    </row>
    <row r="124" spans="2:5" x14ac:dyDescent="0.2">
      <c r="B124" s="178" t="str">
        <f>'[1]COMEDORES EMERGENTES'!$B$9</f>
        <v>LA MORO</v>
      </c>
      <c r="C124" s="179"/>
      <c r="D124" s="108" t="s">
        <v>167</v>
      </c>
      <c r="E124" s="109" t="str">
        <f>'[1]COMEDORES EMERGENTES'!$G$9</f>
        <v>MAIPU NORTE 1º ETAPA MZA "H" Bº MI JARDIN</v>
      </c>
    </row>
    <row r="125" spans="2:5" x14ac:dyDescent="0.2">
      <c r="B125" s="178" t="str">
        <f>'[1]COMEDORES EMERGENTES'!$B$10</f>
        <v>PAPA FRANCISCO</v>
      </c>
      <c r="C125" s="179"/>
      <c r="D125" s="108" t="s">
        <v>192</v>
      </c>
      <c r="E125" s="109" t="str">
        <f>'[1]COMEDORES EMERGENTES'!$G$10</f>
        <v>ENTRE AV.TEREBINTO Y AV.SAN JUAN LOTE "2" MZA. "B"</v>
      </c>
    </row>
    <row r="126" spans="2:5" x14ac:dyDescent="0.2">
      <c r="B126" s="178" t="str">
        <f>'[1]COMEDORES EMERGENTES'!$B$11</f>
        <v>E.P.C - 100 V.V NORTE</v>
      </c>
      <c r="C126" s="179"/>
      <c r="D126" s="108" t="s">
        <v>193</v>
      </c>
      <c r="E126" s="109" t="str">
        <f>'[1]COMEDORES EMERGENTES'!$G$11</f>
        <v>Bº VV NORTE C/48 ENTRE ESPAÑA Y FRANCIA</v>
      </c>
    </row>
    <row r="127" spans="2:5" x14ac:dyDescent="0.2">
      <c r="B127" s="178" t="str">
        <f>'[1]COMEDORES EMERGENTES'!$B$12</f>
        <v>HOGAR DE CRISTO - PADRE RAUL CONTRERAS</v>
      </c>
      <c r="C127" s="179"/>
      <c r="D127" s="108" t="s">
        <v>193</v>
      </c>
      <c r="E127" s="109" t="str">
        <f>'[1]COMEDORES EMERGENTES'!$G$12</f>
        <v>Bº SANTA MARTA MZA. "S" LOTE "M" C/39</v>
      </c>
    </row>
    <row r="128" spans="2:5" x14ac:dyDescent="0.2">
      <c r="B128" s="178" t="str">
        <f>'[1]COMEDORES EMERGENTES'!$B$13</f>
        <v>LA LUCIERNAGA</v>
      </c>
      <c r="C128" s="179"/>
      <c r="D128" s="108" t="s">
        <v>192</v>
      </c>
      <c r="E128" s="109" t="str">
        <f>'[1]COMEDORES EMERGENTES'!$G$13</f>
        <v>Bº 20 V.V NORTE C/3</v>
      </c>
    </row>
    <row r="129" spans="2:5" x14ac:dyDescent="0.2">
      <c r="B129" s="178" t="str">
        <f>'[1]COMEDORES EMERGENTES'!$B$14</f>
        <v>VALLE VIEJO - SUMALAO</v>
      </c>
      <c r="C129" s="179"/>
      <c r="D129" s="108" t="s">
        <v>194</v>
      </c>
      <c r="E129" s="109" t="str">
        <f>'[1]COMEDORES EMERGENTES'!$G$14</f>
        <v>PADRE SEGURA S/N</v>
      </c>
    </row>
    <row r="130" spans="2:5" x14ac:dyDescent="0.2">
      <c r="B130" s="178" t="str">
        <f>'[1]COMEDORES EMERGENTES'!$B$15</f>
        <v>NUESTRO FUTURO - LAS VIAS</v>
      </c>
      <c r="C130" s="179"/>
      <c r="D130" s="108" t="s">
        <v>192</v>
      </c>
      <c r="E130" s="109" t="str">
        <f>'[1]COMEDORES EMERGENTES'!$G$15</f>
        <v>Bº LAS VIAS OESTE LOTE 42</v>
      </c>
    </row>
    <row r="131" spans="2:5" x14ac:dyDescent="0.2">
      <c r="B131" s="178" t="str">
        <f>'[1]COMEDORES EMERGENTES'!$B$16</f>
        <v>SAN JOSE OBRERO</v>
      </c>
      <c r="C131" s="179"/>
      <c r="D131" s="108" t="s">
        <v>179</v>
      </c>
      <c r="E131" s="109" t="str">
        <f>'[1]COMEDORES EMERGENTES'!$G$16</f>
        <v>Bº SAN JOSE OBRERO. PJE. SANDOVAL S/Nº</v>
      </c>
    </row>
    <row r="132" spans="2:5" x14ac:dyDescent="0.2">
      <c r="B132" s="178" t="str">
        <f>'[1]COMEDORES EMERGENTES'!$B$17</f>
        <v>VIRGEN DE LUJAN</v>
      </c>
      <c r="C132" s="179"/>
      <c r="D132" s="108" t="s">
        <v>192</v>
      </c>
      <c r="E132" s="109" t="str">
        <f>'[1]COMEDORES EMERGENTES'!$G$17</f>
        <v>Bº OJO DE AGUA C/DR.TEODULFO BARRIONUEVO S/Nº</v>
      </c>
    </row>
    <row r="133" spans="2:5" x14ac:dyDescent="0.2">
      <c r="B133" s="178" t="str">
        <f>'[1]COMEDORES EMERGENTES'!$B$18</f>
        <v>RENACER</v>
      </c>
      <c r="C133" s="179"/>
      <c r="D133" s="108" t="s">
        <v>195</v>
      </c>
      <c r="E133" s="109" t="str">
        <f>'[1]COMEDORES EMERGENTES'!$G$18</f>
        <v>Bº VIRGEN MORENITA</v>
      </c>
    </row>
    <row r="134" spans="2:5" x14ac:dyDescent="0.2">
      <c r="B134" s="178" t="str">
        <f>'[1]COMEDORES EMERGENTES'!$B$19</f>
        <v>CENTRO VECINAL MI JARDIN</v>
      </c>
      <c r="C134" s="179"/>
      <c r="D134" s="108" t="s">
        <v>196</v>
      </c>
      <c r="E134" s="109" t="str">
        <f>'[1]COMEDORES EMERGENTES'!$G$19</f>
        <v>C/ LOS TULIPANES ENTRE FLOR DE CEREZO Y HOLANDA MZA.27 Bº MI JARDIN</v>
      </c>
    </row>
    <row r="135" spans="2:5" x14ac:dyDescent="0.2">
      <c r="B135" s="178" t="str">
        <f>'[1]COMEDORES EMERGENTES'!$B$20</f>
        <v>LA VIEJA ESQUINA</v>
      </c>
      <c r="C135" s="179"/>
      <c r="D135" s="108" t="s">
        <v>197</v>
      </c>
      <c r="E135" s="109" t="str">
        <f>'[1]COMEDORES EMERGENTES'!$G$20</f>
        <v>B° CRISTO REY PJE CAPATAZ VILLAFAÑEZ Y ARMANDO CORREA</v>
      </c>
    </row>
    <row r="136" spans="2:5" x14ac:dyDescent="0.2">
      <c r="B136" s="178" t="str">
        <f>'[1]COMEDORES EMERGENTES'!$B$21</f>
        <v>GAUCHITO GIL</v>
      </c>
      <c r="C136" s="179"/>
      <c r="D136" s="108" t="s">
        <v>197</v>
      </c>
      <c r="E136" s="109" t="str">
        <f>'[1]COMEDORES EMERGENTES'!$G$21</f>
        <v>B° 26 VIVIENDAS CASA N° 3</v>
      </c>
    </row>
    <row r="137" spans="2:5" ht="13.5" thickBot="1" x14ac:dyDescent="0.25">
      <c r="B137" s="195" t="str">
        <f>'[1]COMEDORES EMERGENTES'!$B$22</f>
        <v>LOS TOLDOS</v>
      </c>
      <c r="C137" s="196"/>
      <c r="D137" s="115" t="s">
        <v>202</v>
      </c>
      <c r="E137" s="116" t="str">
        <f>'[1]COMEDORES EMERGENTES'!$G$22</f>
        <v>LOTEO PARQUE SUR CALLE S/NOMBRE S/N°</v>
      </c>
    </row>
    <row r="138" spans="2:5" x14ac:dyDescent="0.2">
      <c r="B138" s="33" t="s">
        <v>18</v>
      </c>
      <c r="C138" s="31"/>
      <c r="D138" s="72"/>
      <c r="E138" s="32"/>
    </row>
    <row r="139" spans="2:5" ht="12.75" customHeight="1" x14ac:dyDescent="0.2">
      <c r="B139" s="34"/>
      <c r="C139" s="194" t="s">
        <v>62</v>
      </c>
      <c r="D139" s="194"/>
      <c r="E139" s="194"/>
    </row>
    <row r="140" spans="2:5" x14ac:dyDescent="0.2">
      <c r="B140" s="33" t="s">
        <v>19</v>
      </c>
      <c r="C140" s="35"/>
      <c r="D140" s="35"/>
      <c r="E140" s="36"/>
    </row>
    <row r="141" spans="2:5" ht="14.25" customHeight="1" x14ac:dyDescent="0.2">
      <c r="B141" s="34"/>
      <c r="C141" s="194" t="s">
        <v>139</v>
      </c>
      <c r="D141" s="194"/>
      <c r="E141" s="194"/>
    </row>
    <row r="142" spans="2:5" x14ac:dyDescent="0.2">
      <c r="B142" s="33" t="s">
        <v>20</v>
      </c>
      <c r="C142" s="31"/>
      <c r="D142" s="72"/>
      <c r="E142" s="32"/>
    </row>
    <row r="143" spans="2:5" ht="11.25" customHeight="1" x14ac:dyDescent="0.2">
      <c r="B143" s="33"/>
      <c r="C143" s="193" t="s">
        <v>63</v>
      </c>
      <c r="D143" s="193"/>
      <c r="E143" s="193"/>
    </row>
    <row r="144" spans="2:5" ht="13.5" thickBot="1" x14ac:dyDescent="0.25">
      <c r="B144" s="37"/>
      <c r="C144" s="38"/>
      <c r="D144" s="73"/>
      <c r="E144" s="39"/>
    </row>
    <row r="145" spans="2:5" ht="13.5" thickBot="1" x14ac:dyDescent="0.25"/>
    <row r="146" spans="2:5" x14ac:dyDescent="0.2">
      <c r="B146" s="27" t="s">
        <v>140</v>
      </c>
      <c r="C146" s="28"/>
      <c r="D146" s="71"/>
      <c r="E146" s="29"/>
    </row>
    <row r="147" spans="2:5" ht="5.25" customHeight="1" x14ac:dyDescent="0.2">
      <c r="B147" s="30"/>
      <c r="C147" s="31"/>
      <c r="D147" s="72"/>
      <c r="E147" s="32"/>
    </row>
    <row r="148" spans="2:5" x14ac:dyDescent="0.2">
      <c r="B148" s="33" t="s">
        <v>16</v>
      </c>
      <c r="C148" s="31"/>
      <c r="D148" s="72"/>
      <c r="E148" s="32"/>
    </row>
    <row r="149" spans="2:5" ht="25.5" customHeight="1" x14ac:dyDescent="0.2">
      <c r="B149" s="33"/>
      <c r="C149" s="184"/>
      <c r="D149" s="184"/>
      <c r="E149" s="185"/>
    </row>
    <row r="150" spans="2:5" ht="13.5" thickBot="1" x14ac:dyDescent="0.25">
      <c r="B150" s="33" t="s">
        <v>17</v>
      </c>
      <c r="C150" s="31"/>
      <c r="D150" s="72"/>
      <c r="E150" s="32"/>
    </row>
    <row r="151" spans="2:5" ht="13.5" thickBot="1" x14ac:dyDescent="0.25">
      <c r="B151" s="180" t="s">
        <v>136</v>
      </c>
      <c r="C151" s="181"/>
      <c r="D151" s="181"/>
      <c r="E151" s="182"/>
    </row>
    <row r="152" spans="2:5" ht="13.5" thickBot="1" x14ac:dyDescent="0.25">
      <c r="B152" s="180" t="s">
        <v>137</v>
      </c>
      <c r="C152" s="182"/>
      <c r="D152" s="69" t="s">
        <v>11</v>
      </c>
      <c r="E152" s="69" t="s">
        <v>138</v>
      </c>
    </row>
    <row r="153" spans="2:5" x14ac:dyDescent="0.2">
      <c r="B153" s="187" t="str">
        <f>'[1]COMEDORES EMERGENTES'!$B$3</f>
        <v>UNA SONRISA AV. LOS COBACHO</v>
      </c>
      <c r="C153" s="188"/>
      <c r="D153" s="113" t="s">
        <v>188</v>
      </c>
      <c r="E153" s="114" t="str">
        <f>'[1]COMEDORES EMERGENTES'!$G$3</f>
        <v>Bº SAN CARLOS OESTE AV. Bonifacio cobacho 670</v>
      </c>
    </row>
    <row r="154" spans="2:5" x14ac:dyDescent="0.2">
      <c r="B154" s="178" t="str">
        <f>'[1]COMEDORES EMERGENTES'!$B$4</f>
        <v>C.I.F Nº1 - RIVERA DEL VALLE Y FLORIDA</v>
      </c>
      <c r="C154" s="179"/>
      <c r="D154" s="108" t="s">
        <v>189</v>
      </c>
      <c r="E154" s="109" t="str">
        <f>'[1]COMEDORES EMERGENTES'!$G$4</f>
        <v>AV. RIVIERA DEL VALLE ENTRE FLORIDA Y SANTA FE</v>
      </c>
    </row>
    <row r="155" spans="2:5" x14ac:dyDescent="0.2">
      <c r="B155" s="178" t="str">
        <f>'[1]COMEDORES EMERGENTES'!$B$5</f>
        <v>C.I.F - RIVERA DEL VALLE - DILORENZO</v>
      </c>
      <c r="C155" s="179"/>
      <c r="D155" s="108" t="s">
        <v>190</v>
      </c>
      <c r="E155" s="109" t="str">
        <f>'[1]COMEDORES EMERGENTES'!$G$5</f>
        <v>Bº RIVERA DEL VALLE ENTRE VILLA EUMELIA Y MONTE CRISTO</v>
      </c>
    </row>
    <row r="156" spans="2:5" x14ac:dyDescent="0.2">
      <c r="B156" s="178" t="str">
        <f>'[1]COMEDORES EMERGENTES'!$B$6</f>
        <v>ESFUERZO PROPIO- Bº ALTOS DE CHOYA</v>
      </c>
      <c r="C156" s="179"/>
      <c r="D156" s="108" t="s">
        <v>191</v>
      </c>
      <c r="E156" s="109" t="str">
        <f>'[1]COMEDORES EMERGENTES'!$G$6</f>
        <v>Bº MUNICIPAL 35VV. NORTE C/14</v>
      </c>
    </row>
    <row r="157" spans="2:5" x14ac:dyDescent="0.2">
      <c r="B157" s="178" t="str">
        <f>'[1]COMEDORES EMERGENTES'!$B$7</f>
        <v>ANGELITOS - LOTEO SUSSEX</v>
      </c>
      <c r="C157" s="179"/>
      <c r="D157" s="108" t="s">
        <v>173</v>
      </c>
      <c r="E157" s="109" t="str">
        <f>'[1]COMEDORES EMERGENTES'!$G$7</f>
        <v>Bº LOTEO SUSEX MZA.Nº 4 LOTE Nº3</v>
      </c>
    </row>
    <row r="158" spans="2:5" x14ac:dyDescent="0.2">
      <c r="B158" s="178" t="str">
        <f>'[1]COMEDORES EMERGENTES'!$B$8</f>
        <v>CLUB DEPORTIVO CHACARITA</v>
      </c>
      <c r="C158" s="179"/>
      <c r="D158" s="108" t="s">
        <v>179</v>
      </c>
      <c r="E158" s="109" t="str">
        <f>'[1]COMEDORES EMERGENTES'!$G$8</f>
        <v>CALLE DR.DERMIDIO GALINDEZ C/2660</v>
      </c>
    </row>
    <row r="159" spans="2:5" x14ac:dyDescent="0.2">
      <c r="B159" s="178" t="str">
        <f>'[1]COMEDORES EMERGENTES'!$B$9</f>
        <v>LA MORO</v>
      </c>
      <c r="C159" s="179"/>
      <c r="D159" s="108" t="s">
        <v>167</v>
      </c>
      <c r="E159" s="109" t="str">
        <f>'[1]COMEDORES EMERGENTES'!$G$9</f>
        <v>MAIPU NORTE 1º ETAPA MZA "H" Bº MI JARDIN</v>
      </c>
    </row>
    <row r="160" spans="2:5" x14ac:dyDescent="0.2">
      <c r="B160" s="178" t="str">
        <f>'[1]COMEDORES EMERGENTES'!$B$10</f>
        <v>PAPA FRANCISCO</v>
      </c>
      <c r="C160" s="179"/>
      <c r="D160" s="108" t="s">
        <v>192</v>
      </c>
      <c r="E160" s="109" t="str">
        <f>'[1]COMEDORES EMERGENTES'!$G$10</f>
        <v>ENTRE AV.TEREBINTO Y AV.SAN JUAN LOTE "2" MZA. "B"</v>
      </c>
    </row>
    <row r="161" spans="2:5" x14ac:dyDescent="0.2">
      <c r="B161" s="178" t="str">
        <f>'[1]COMEDORES EMERGENTES'!$B$11</f>
        <v>E.P.C - 100 V.V NORTE</v>
      </c>
      <c r="C161" s="179"/>
      <c r="D161" s="108" t="s">
        <v>193</v>
      </c>
      <c r="E161" s="109" t="str">
        <f>'[1]COMEDORES EMERGENTES'!$G$11</f>
        <v>Bº VV NORTE C/48 ENTRE ESPAÑA Y FRANCIA</v>
      </c>
    </row>
    <row r="162" spans="2:5" x14ac:dyDescent="0.2">
      <c r="B162" s="178" t="str">
        <f>'[1]COMEDORES EMERGENTES'!$B$12</f>
        <v>HOGAR DE CRISTO - PADRE RAUL CONTRERAS</v>
      </c>
      <c r="C162" s="179"/>
      <c r="D162" s="108" t="s">
        <v>193</v>
      </c>
      <c r="E162" s="109" t="str">
        <f>'[1]COMEDORES EMERGENTES'!$G$12</f>
        <v>Bº SANTA MARTA MZA. "S" LOTE "M" C/39</v>
      </c>
    </row>
    <row r="163" spans="2:5" x14ac:dyDescent="0.2">
      <c r="B163" s="178" t="str">
        <f>'[1]COMEDORES EMERGENTES'!$B$13</f>
        <v>LA LUCIERNAGA</v>
      </c>
      <c r="C163" s="179"/>
      <c r="D163" s="108" t="s">
        <v>192</v>
      </c>
      <c r="E163" s="109" t="str">
        <f>'[1]COMEDORES EMERGENTES'!$G$13</f>
        <v>Bº 20 V.V NORTE C/3</v>
      </c>
    </row>
    <row r="164" spans="2:5" x14ac:dyDescent="0.2">
      <c r="B164" s="178" t="str">
        <f>'[1]COMEDORES EMERGENTES'!$B$14</f>
        <v>VALLE VIEJO - SUMALAO</v>
      </c>
      <c r="C164" s="179"/>
      <c r="D164" s="108" t="s">
        <v>194</v>
      </c>
      <c r="E164" s="109" t="str">
        <f>'[1]COMEDORES EMERGENTES'!$G$14</f>
        <v>PADRE SEGURA S/N</v>
      </c>
    </row>
    <row r="165" spans="2:5" x14ac:dyDescent="0.2">
      <c r="B165" s="178" t="str">
        <f>'[1]COMEDORES EMERGENTES'!$B$15</f>
        <v>NUESTRO FUTURO - LAS VIAS</v>
      </c>
      <c r="C165" s="179"/>
      <c r="D165" s="108" t="s">
        <v>192</v>
      </c>
      <c r="E165" s="109" t="str">
        <f>'[1]COMEDORES EMERGENTES'!$G$15</f>
        <v>Bº LAS VIAS OESTE LOTE 42</v>
      </c>
    </row>
    <row r="166" spans="2:5" x14ac:dyDescent="0.2">
      <c r="B166" s="178" t="str">
        <f>'[1]COMEDORES EMERGENTES'!$B$16</f>
        <v>SAN JOSE OBRERO</v>
      </c>
      <c r="C166" s="179"/>
      <c r="D166" s="108" t="s">
        <v>179</v>
      </c>
      <c r="E166" s="109" t="str">
        <f>'[1]COMEDORES EMERGENTES'!$G$16</f>
        <v>Bº SAN JOSE OBRERO. PJE. SANDOVAL S/Nº</v>
      </c>
    </row>
    <row r="167" spans="2:5" x14ac:dyDescent="0.2">
      <c r="B167" s="178" t="str">
        <f>'[1]COMEDORES EMERGENTES'!$B$17</f>
        <v>VIRGEN DE LUJAN</v>
      </c>
      <c r="C167" s="179"/>
      <c r="D167" s="108" t="s">
        <v>192</v>
      </c>
      <c r="E167" s="109" t="str">
        <f>'[1]COMEDORES EMERGENTES'!$G$17</f>
        <v>Bº OJO DE AGUA C/DR.TEODULFO BARRIONUEVO S/Nº</v>
      </c>
    </row>
    <row r="168" spans="2:5" x14ac:dyDescent="0.2">
      <c r="B168" s="178" t="str">
        <f>'[1]COMEDORES EMERGENTES'!$B$18</f>
        <v>RENACER</v>
      </c>
      <c r="C168" s="179"/>
      <c r="D168" s="108" t="s">
        <v>195</v>
      </c>
      <c r="E168" s="109" t="str">
        <f>'[1]COMEDORES EMERGENTES'!$G$18</f>
        <v>Bº VIRGEN MORENITA</v>
      </c>
    </row>
    <row r="169" spans="2:5" x14ac:dyDescent="0.2">
      <c r="B169" s="178" t="str">
        <f>'[1]COMEDORES EMERGENTES'!$B$19</f>
        <v>CENTRO VECINAL MI JARDIN</v>
      </c>
      <c r="C169" s="179"/>
      <c r="D169" s="108" t="s">
        <v>196</v>
      </c>
      <c r="E169" s="109" t="str">
        <f>'[1]COMEDORES EMERGENTES'!$G$19</f>
        <v>C/ LOS TULIPANES ENTRE FLOR DE CEREZO Y HOLANDA MZA.27 Bº MI JARDIN</v>
      </c>
    </row>
    <row r="170" spans="2:5" x14ac:dyDescent="0.2">
      <c r="B170" s="178" t="str">
        <f>'[1]COMEDORES EMERGENTES'!$B$20</f>
        <v>LA VIEJA ESQUINA</v>
      </c>
      <c r="C170" s="179"/>
      <c r="D170" s="108" t="s">
        <v>197</v>
      </c>
      <c r="E170" s="109" t="str">
        <f>'[1]COMEDORES EMERGENTES'!$G$20</f>
        <v>B° CRISTO REY PJE CAPATAZ VILLAFAÑEZ Y ARMANDO CORREA</v>
      </c>
    </row>
    <row r="171" spans="2:5" x14ac:dyDescent="0.2">
      <c r="B171" s="178" t="str">
        <f>'[1]COMEDORES EMERGENTES'!$B$21</f>
        <v>GAUCHITO GIL</v>
      </c>
      <c r="C171" s="179"/>
      <c r="D171" s="108" t="s">
        <v>197</v>
      </c>
      <c r="E171" s="109" t="str">
        <f>'[1]COMEDORES EMERGENTES'!$G$21</f>
        <v>B° 26 VIVIENDAS CASA N° 3</v>
      </c>
    </row>
    <row r="172" spans="2:5" ht="13.5" thickBot="1" x14ac:dyDescent="0.25">
      <c r="B172" s="195" t="str">
        <f>'[1]COMEDORES EMERGENTES'!$B$22</f>
        <v>LOS TOLDOS</v>
      </c>
      <c r="C172" s="196"/>
      <c r="D172" s="115" t="s">
        <v>202</v>
      </c>
      <c r="E172" s="116" t="str">
        <f>'[1]COMEDORES EMERGENTES'!$G$22</f>
        <v>LOTEO PARQUE SUR CALLE S/NOMBRE S/N°</v>
      </c>
    </row>
    <row r="173" spans="2:5" x14ac:dyDescent="0.2">
      <c r="B173" s="33" t="s">
        <v>18</v>
      </c>
      <c r="C173" s="31"/>
      <c r="D173" s="72"/>
      <c r="E173" s="32"/>
    </row>
    <row r="174" spans="2:5" ht="12.75" customHeight="1" x14ac:dyDescent="0.2">
      <c r="B174" s="34"/>
      <c r="C174" s="194" t="s">
        <v>62</v>
      </c>
      <c r="D174" s="194"/>
      <c r="E174" s="194"/>
    </row>
    <row r="175" spans="2:5" x14ac:dyDescent="0.2">
      <c r="B175" s="33" t="s">
        <v>19</v>
      </c>
      <c r="C175" s="35"/>
      <c r="D175" s="35"/>
      <c r="E175" s="36"/>
    </row>
    <row r="176" spans="2:5" ht="14.25" customHeight="1" x14ac:dyDescent="0.2">
      <c r="B176" s="34"/>
      <c r="C176" s="194" t="s">
        <v>139</v>
      </c>
      <c r="D176" s="194"/>
      <c r="E176" s="194"/>
    </row>
    <row r="177" spans="2:5" x14ac:dyDescent="0.2">
      <c r="B177" s="33" t="s">
        <v>20</v>
      </c>
      <c r="C177" s="31"/>
      <c r="D177" s="72"/>
      <c r="E177" s="32"/>
    </row>
    <row r="178" spans="2:5" ht="11.25" customHeight="1" x14ac:dyDescent="0.2">
      <c r="B178" s="33"/>
      <c r="C178" s="193" t="s">
        <v>63</v>
      </c>
      <c r="D178" s="193"/>
      <c r="E178" s="193"/>
    </row>
    <row r="179" spans="2:5" ht="13.5" thickBot="1" x14ac:dyDescent="0.25">
      <c r="B179" s="37"/>
      <c r="C179" s="38"/>
      <c r="D179" s="73"/>
      <c r="E179" s="39"/>
    </row>
    <row r="180" spans="2:5" ht="13.5" thickBot="1" x14ac:dyDescent="0.25"/>
    <row r="181" spans="2:5" x14ac:dyDescent="0.2">
      <c r="B181" s="27" t="s">
        <v>141</v>
      </c>
      <c r="C181" s="28"/>
      <c r="D181" s="71"/>
      <c r="E181" s="29"/>
    </row>
    <row r="182" spans="2:5" ht="5.25" customHeight="1" x14ac:dyDescent="0.2">
      <c r="B182" s="30"/>
      <c r="C182" s="31"/>
      <c r="D182" s="72"/>
      <c r="E182" s="32"/>
    </row>
    <row r="183" spans="2:5" x14ac:dyDescent="0.2">
      <c r="B183" s="33" t="s">
        <v>16</v>
      </c>
      <c r="C183" s="31"/>
      <c r="D183" s="72"/>
      <c r="E183" s="32"/>
    </row>
    <row r="184" spans="2:5" ht="25.5" customHeight="1" x14ac:dyDescent="0.2">
      <c r="B184" s="33"/>
      <c r="C184" s="194"/>
      <c r="D184" s="194"/>
      <c r="E184" s="194"/>
    </row>
    <row r="185" spans="2:5" ht="13.5" thickBot="1" x14ac:dyDescent="0.25">
      <c r="B185" s="33" t="s">
        <v>17</v>
      </c>
      <c r="C185" s="31"/>
      <c r="D185" s="72"/>
      <c r="E185" s="32"/>
    </row>
    <row r="186" spans="2:5" ht="13.5" thickBot="1" x14ac:dyDescent="0.25">
      <c r="B186" s="180" t="s">
        <v>136</v>
      </c>
      <c r="C186" s="181"/>
      <c r="D186" s="181"/>
      <c r="E186" s="182"/>
    </row>
    <row r="187" spans="2:5" ht="13.5" thickBot="1" x14ac:dyDescent="0.25">
      <c r="B187" s="180" t="s">
        <v>137</v>
      </c>
      <c r="C187" s="182"/>
      <c r="D187" s="69" t="s">
        <v>11</v>
      </c>
      <c r="E187" s="69" t="s">
        <v>138</v>
      </c>
    </row>
    <row r="188" spans="2:5" x14ac:dyDescent="0.2">
      <c r="B188" s="187" t="str">
        <f>'[1]COMEDORES EMERGENTES'!$B$3</f>
        <v>UNA SONRISA AV. LOS COBACHO</v>
      </c>
      <c r="C188" s="188"/>
      <c r="D188" s="113" t="s">
        <v>182</v>
      </c>
      <c r="E188" s="114" t="str">
        <f>'[1]COMEDORES EMERGENTES'!$G$3</f>
        <v>Bº SAN CARLOS OESTE AV. Bonifacio cobacho 670</v>
      </c>
    </row>
    <row r="189" spans="2:5" x14ac:dyDescent="0.2">
      <c r="B189" s="178" t="str">
        <f>'[1]COMEDORES EMERGENTES'!$B$4</f>
        <v>C.I.F Nº1 - RIVERA DEL VALLE Y FLORIDA</v>
      </c>
      <c r="C189" s="179"/>
      <c r="D189" s="108" t="s">
        <v>198</v>
      </c>
      <c r="E189" s="109" t="str">
        <f>'[1]COMEDORES EMERGENTES'!$G$4</f>
        <v>AV. RIVIERA DEL VALLE ENTRE FLORIDA Y SANTA FE</v>
      </c>
    </row>
    <row r="190" spans="2:5" x14ac:dyDescent="0.2">
      <c r="B190" s="178" t="str">
        <f>'[1]COMEDORES EMERGENTES'!$B$5</f>
        <v>C.I.F - RIVERA DEL VALLE - DILORENZO</v>
      </c>
      <c r="C190" s="179"/>
      <c r="D190" s="108" t="s">
        <v>167</v>
      </c>
      <c r="E190" s="109" t="str">
        <f>'[1]COMEDORES EMERGENTES'!$G$5</f>
        <v>Bº RIVERA DEL VALLE ENTRE VILLA EUMELIA Y MONTE CRISTO</v>
      </c>
    </row>
    <row r="191" spans="2:5" x14ac:dyDescent="0.2">
      <c r="B191" s="178" t="str">
        <f>'[1]COMEDORES EMERGENTES'!$B$6</f>
        <v>ESFUERZO PROPIO- Bº ALTOS DE CHOYA</v>
      </c>
      <c r="C191" s="179"/>
      <c r="D191" s="108" t="s">
        <v>173</v>
      </c>
      <c r="E191" s="109" t="str">
        <f>'[1]COMEDORES EMERGENTES'!$G$6</f>
        <v>Bº MUNICIPAL 35VV. NORTE C/14</v>
      </c>
    </row>
    <row r="192" spans="2:5" x14ac:dyDescent="0.2">
      <c r="B192" s="178" t="str">
        <f>'[1]COMEDORES EMERGENTES'!$B$7</f>
        <v>ANGELITOS - LOTEO SUSSEX</v>
      </c>
      <c r="C192" s="179"/>
      <c r="D192" s="108" t="s">
        <v>199</v>
      </c>
      <c r="E192" s="109" t="str">
        <f>'[1]COMEDORES EMERGENTES'!$G$7</f>
        <v>Bº LOTEO SUSEX MZA.Nº 4 LOTE Nº3</v>
      </c>
    </row>
    <row r="193" spans="2:5" x14ac:dyDescent="0.2">
      <c r="B193" s="178" t="str">
        <f>'[1]COMEDORES EMERGENTES'!$B$8</f>
        <v>CLUB DEPORTIVO CHACARITA</v>
      </c>
      <c r="C193" s="179"/>
      <c r="D193" s="108" t="s">
        <v>200</v>
      </c>
      <c r="E193" s="109" t="str">
        <f>'[1]COMEDORES EMERGENTES'!$G$8</f>
        <v>CALLE DR.DERMIDIO GALINDEZ C/2660</v>
      </c>
    </row>
    <row r="194" spans="2:5" x14ac:dyDescent="0.2">
      <c r="B194" s="178" t="str">
        <f>'[1]COMEDORES EMERGENTES'!$B$9</f>
        <v>LA MORO</v>
      </c>
      <c r="C194" s="179"/>
      <c r="D194" s="108" t="s">
        <v>181</v>
      </c>
      <c r="E194" s="109" t="str">
        <f>'[1]COMEDORES EMERGENTES'!$G$9</f>
        <v>MAIPU NORTE 1º ETAPA MZA "H" Bº MI JARDIN</v>
      </c>
    </row>
    <row r="195" spans="2:5" x14ac:dyDescent="0.2">
      <c r="B195" s="178" t="str">
        <f>'[1]COMEDORES EMERGENTES'!$B$10</f>
        <v>PAPA FRANCISCO</v>
      </c>
      <c r="C195" s="179"/>
      <c r="D195" s="108" t="s">
        <v>168</v>
      </c>
      <c r="E195" s="109" t="str">
        <f>'[1]COMEDORES EMERGENTES'!$G$10</f>
        <v>ENTRE AV.TEREBINTO Y AV.SAN JUAN LOTE "2" MZA. "B"</v>
      </c>
    </row>
    <row r="196" spans="2:5" x14ac:dyDescent="0.2">
      <c r="B196" s="178" t="str">
        <f>'[1]COMEDORES EMERGENTES'!$B$11</f>
        <v>E.P.C - 100 V.V NORTE</v>
      </c>
      <c r="C196" s="179"/>
      <c r="D196" s="108" t="s">
        <v>178</v>
      </c>
      <c r="E196" s="109" t="str">
        <f>'[1]COMEDORES EMERGENTES'!$G$11</f>
        <v>Bº VV NORTE C/48 ENTRE ESPAÑA Y FRANCIA</v>
      </c>
    </row>
    <row r="197" spans="2:5" x14ac:dyDescent="0.2">
      <c r="B197" s="178" t="str">
        <f>'[1]COMEDORES EMERGENTES'!$B$12</f>
        <v>HOGAR DE CRISTO - PADRE RAUL CONTRERAS</v>
      </c>
      <c r="C197" s="179"/>
      <c r="D197" s="108" t="s">
        <v>178</v>
      </c>
      <c r="E197" s="109" t="str">
        <f>'[1]COMEDORES EMERGENTES'!$G$12</f>
        <v>Bº SANTA MARTA MZA. "S" LOTE "M" C/39</v>
      </c>
    </row>
    <row r="198" spans="2:5" x14ac:dyDescent="0.2">
      <c r="B198" s="178" t="str">
        <f>'[1]COMEDORES EMERGENTES'!$B$13</f>
        <v>LA LUCIERNAGA</v>
      </c>
      <c r="C198" s="179"/>
      <c r="D198" s="108" t="s">
        <v>168</v>
      </c>
      <c r="E198" s="109" t="str">
        <f>'[1]COMEDORES EMERGENTES'!$G$13</f>
        <v>Bº 20 V.V NORTE C/3</v>
      </c>
    </row>
    <row r="199" spans="2:5" x14ac:dyDescent="0.2">
      <c r="B199" s="178" t="str">
        <f>'[1]COMEDORES EMERGENTES'!$B$14</f>
        <v>VALLE VIEJO - SUMALAO</v>
      </c>
      <c r="C199" s="179"/>
      <c r="D199" s="108" t="s">
        <v>188</v>
      </c>
      <c r="E199" s="109" t="str">
        <f>'[1]COMEDORES EMERGENTES'!$G$14</f>
        <v>PADRE SEGURA S/N</v>
      </c>
    </row>
    <row r="200" spans="2:5" x14ac:dyDescent="0.2">
      <c r="B200" s="178" t="str">
        <f>'[1]COMEDORES EMERGENTES'!$B$15</f>
        <v>NUESTRO FUTURO - LAS VIAS</v>
      </c>
      <c r="C200" s="179"/>
      <c r="D200" s="108" t="s">
        <v>168</v>
      </c>
      <c r="E200" s="109" t="str">
        <f>'[1]COMEDORES EMERGENTES'!$G$15</f>
        <v>Bº LAS VIAS OESTE LOTE 42</v>
      </c>
    </row>
    <row r="201" spans="2:5" x14ac:dyDescent="0.2">
      <c r="B201" s="178" t="str">
        <f>'[1]COMEDORES EMERGENTES'!$B$16</f>
        <v>SAN JOSE OBRERO</v>
      </c>
      <c r="C201" s="179"/>
      <c r="D201" s="108" t="s">
        <v>200</v>
      </c>
      <c r="E201" s="109" t="str">
        <f>'[1]COMEDORES EMERGENTES'!$G$16</f>
        <v>Bº SAN JOSE OBRERO. PJE. SANDOVAL S/Nº</v>
      </c>
    </row>
    <row r="202" spans="2:5" x14ac:dyDescent="0.2">
      <c r="B202" s="178" t="str">
        <f>'[1]COMEDORES EMERGENTES'!$B$17</f>
        <v>VIRGEN DE LUJAN</v>
      </c>
      <c r="C202" s="179"/>
      <c r="D202" s="108" t="s">
        <v>168</v>
      </c>
      <c r="E202" s="109" t="str">
        <f>'[1]COMEDORES EMERGENTES'!$G$17</f>
        <v>Bº OJO DE AGUA C/DR.TEODULFO BARRIONUEVO S/Nº</v>
      </c>
    </row>
    <row r="203" spans="2:5" x14ac:dyDescent="0.2">
      <c r="B203" s="178" t="str">
        <f>'[1]COMEDORES EMERGENTES'!$B$18</f>
        <v>RENACER</v>
      </c>
      <c r="C203" s="179"/>
      <c r="D203" s="108" t="s">
        <v>201</v>
      </c>
      <c r="E203" s="109" t="str">
        <f>'[1]COMEDORES EMERGENTES'!$G$18</f>
        <v>Bº VIRGEN MORENITA</v>
      </c>
    </row>
    <row r="204" spans="2:5" x14ac:dyDescent="0.2">
      <c r="B204" s="178" t="str">
        <f>'[1]COMEDORES EMERGENTES'!$B$19</f>
        <v>CENTRO VECINAL MI JARDIN</v>
      </c>
      <c r="C204" s="179"/>
      <c r="D204" s="108" t="s">
        <v>202</v>
      </c>
      <c r="E204" s="109" t="str">
        <f>'[1]COMEDORES EMERGENTES'!$G$19</f>
        <v>C/ LOS TULIPANES ENTRE FLOR DE CEREZO Y HOLANDA MZA.27 Bº MI JARDIN</v>
      </c>
    </row>
    <row r="205" spans="2:5" x14ac:dyDescent="0.2">
      <c r="B205" s="178" t="str">
        <f>'[1]COMEDORES EMERGENTES'!$B$20</f>
        <v>LA VIEJA ESQUINA</v>
      </c>
      <c r="C205" s="179"/>
      <c r="D205" s="108" t="s">
        <v>172</v>
      </c>
      <c r="E205" s="109" t="str">
        <f>'[1]COMEDORES EMERGENTES'!$G$20</f>
        <v>B° CRISTO REY PJE CAPATAZ VILLAFAÑEZ Y ARMANDO CORREA</v>
      </c>
    </row>
    <row r="206" spans="2:5" x14ac:dyDescent="0.2">
      <c r="B206" s="178" t="str">
        <f>'[1]COMEDORES EMERGENTES'!$B$21</f>
        <v>GAUCHITO GIL</v>
      </c>
      <c r="C206" s="179"/>
      <c r="D206" s="108" t="s">
        <v>172</v>
      </c>
      <c r="E206" s="109" t="str">
        <f>'[1]COMEDORES EMERGENTES'!$G$21</f>
        <v>B° 26 VIVIENDAS CASA N° 3</v>
      </c>
    </row>
    <row r="207" spans="2:5" ht="13.5" thickBot="1" x14ac:dyDescent="0.25">
      <c r="B207" s="195" t="str">
        <f>'[1]COMEDORES EMERGENTES'!$B$22</f>
        <v>LOS TOLDOS</v>
      </c>
      <c r="C207" s="196"/>
      <c r="D207" s="115" t="s">
        <v>253</v>
      </c>
      <c r="E207" s="116" t="str">
        <f>'[1]COMEDORES EMERGENTES'!$G$22</f>
        <v>LOTEO PARQUE SUR CALLE S/NOMBRE S/N°</v>
      </c>
    </row>
    <row r="208" spans="2:5" x14ac:dyDescent="0.2">
      <c r="B208" s="33" t="s">
        <v>18</v>
      </c>
      <c r="C208" s="31"/>
      <c r="D208" s="72"/>
      <c r="E208" s="32"/>
    </row>
    <row r="209" spans="2:5" ht="12.75" customHeight="1" x14ac:dyDescent="0.2">
      <c r="B209" s="34"/>
      <c r="C209" s="194" t="s">
        <v>62</v>
      </c>
      <c r="D209" s="194"/>
      <c r="E209" s="194"/>
    </row>
    <row r="210" spans="2:5" x14ac:dyDescent="0.2">
      <c r="B210" s="33" t="s">
        <v>19</v>
      </c>
      <c r="C210" s="35"/>
      <c r="D210" s="35"/>
      <c r="E210" s="36"/>
    </row>
    <row r="211" spans="2:5" ht="14.25" customHeight="1" x14ac:dyDescent="0.2">
      <c r="B211" s="34"/>
      <c r="C211" s="194" t="s">
        <v>139</v>
      </c>
      <c r="D211" s="194"/>
      <c r="E211" s="194"/>
    </row>
    <row r="212" spans="2:5" x14ac:dyDescent="0.2">
      <c r="B212" s="33" t="s">
        <v>20</v>
      </c>
      <c r="C212" s="31"/>
      <c r="D212" s="72"/>
      <c r="E212" s="32"/>
    </row>
    <row r="213" spans="2:5" ht="11.25" customHeight="1" x14ac:dyDescent="0.2">
      <c r="B213" s="33"/>
      <c r="C213" s="193" t="s">
        <v>63</v>
      </c>
      <c r="D213" s="193"/>
      <c r="E213" s="193"/>
    </row>
    <row r="214" spans="2:5" ht="13.5" thickBot="1" x14ac:dyDescent="0.25">
      <c r="B214" s="37"/>
      <c r="C214" s="38"/>
      <c r="D214" s="73"/>
      <c r="E214" s="39"/>
    </row>
    <row r="215" spans="2:5" ht="13.5" thickBot="1" x14ac:dyDescent="0.25"/>
    <row r="216" spans="2:5" x14ac:dyDescent="0.2">
      <c r="B216" s="27" t="s">
        <v>142</v>
      </c>
      <c r="C216" s="28"/>
      <c r="D216" s="71"/>
      <c r="E216" s="29"/>
    </row>
    <row r="217" spans="2:5" ht="5.25" customHeight="1" x14ac:dyDescent="0.2">
      <c r="B217" s="30"/>
      <c r="C217" s="31"/>
      <c r="D217" s="72"/>
      <c r="E217" s="32"/>
    </row>
    <row r="218" spans="2:5" x14ac:dyDescent="0.2">
      <c r="B218" s="33" t="s">
        <v>16</v>
      </c>
      <c r="C218" s="31"/>
      <c r="D218" s="72"/>
      <c r="E218" s="32"/>
    </row>
    <row r="219" spans="2:5" ht="25.5" customHeight="1" x14ac:dyDescent="0.2">
      <c r="B219" s="33"/>
      <c r="C219" s="194"/>
      <c r="D219" s="194"/>
      <c r="E219" s="194"/>
    </row>
    <row r="220" spans="2:5" ht="13.5" thickBot="1" x14ac:dyDescent="0.25">
      <c r="B220" s="33" t="s">
        <v>17</v>
      </c>
      <c r="C220" s="31"/>
      <c r="D220" s="72"/>
      <c r="E220" s="32"/>
    </row>
    <row r="221" spans="2:5" ht="13.5" thickBot="1" x14ac:dyDescent="0.25">
      <c r="B221" s="180" t="s">
        <v>136</v>
      </c>
      <c r="C221" s="181"/>
      <c r="D221" s="181"/>
      <c r="E221" s="182"/>
    </row>
    <row r="222" spans="2:5" ht="13.5" thickBot="1" x14ac:dyDescent="0.25">
      <c r="B222" s="180" t="s">
        <v>137</v>
      </c>
      <c r="C222" s="182"/>
      <c r="D222" s="69" t="s">
        <v>11</v>
      </c>
      <c r="E222" s="69" t="s">
        <v>138</v>
      </c>
    </row>
    <row r="223" spans="2:5" x14ac:dyDescent="0.2">
      <c r="B223" s="187" t="str">
        <f>'[1]COMEDORES EMERGENTES'!$B$3</f>
        <v>UNA SONRISA AV. LOS COBACHO</v>
      </c>
      <c r="C223" s="188"/>
      <c r="D223" s="113">
        <v>43</v>
      </c>
      <c r="E223" s="114" t="str">
        <f>'[1]COMEDORES EMERGENTES'!$G$3</f>
        <v>Bº SAN CARLOS OESTE AV. Bonifacio cobacho 670</v>
      </c>
    </row>
    <row r="224" spans="2:5" x14ac:dyDescent="0.2">
      <c r="B224" s="178" t="str">
        <f>'[1]COMEDORES EMERGENTES'!$B$4</f>
        <v>C.I.F Nº1 - RIVERA DEL VALLE Y FLORIDA</v>
      </c>
      <c r="C224" s="179"/>
      <c r="D224" s="108">
        <v>62</v>
      </c>
      <c r="E224" s="109" t="str">
        <f>'[1]COMEDORES EMERGENTES'!$G$4</f>
        <v>AV. RIVIERA DEL VALLE ENTRE FLORIDA Y SANTA FE</v>
      </c>
    </row>
    <row r="225" spans="2:5" x14ac:dyDescent="0.2">
      <c r="B225" s="178" t="str">
        <f>'[1]COMEDORES EMERGENTES'!$B$5</f>
        <v>C.I.F - RIVERA DEL VALLE - DILORENZO</v>
      </c>
      <c r="C225" s="179"/>
      <c r="D225" s="108">
        <v>73</v>
      </c>
      <c r="E225" s="109" t="str">
        <f>'[1]COMEDORES EMERGENTES'!$G$5</f>
        <v>Bº RIVERA DEL VALLE ENTRE VILLA EUMELIA Y MONTE CRISTO</v>
      </c>
    </row>
    <row r="226" spans="2:5" x14ac:dyDescent="0.2">
      <c r="B226" s="178" t="str">
        <f>'[1]COMEDORES EMERGENTES'!$B$6</f>
        <v>ESFUERZO PROPIO- Bº ALTOS DE CHOYA</v>
      </c>
      <c r="C226" s="179"/>
      <c r="D226" s="108">
        <v>59</v>
      </c>
      <c r="E226" s="109" t="str">
        <f>'[1]COMEDORES EMERGENTES'!$G$6</f>
        <v>Bº MUNICIPAL 35VV. NORTE C/14</v>
      </c>
    </row>
    <row r="227" spans="2:5" x14ac:dyDescent="0.2">
      <c r="B227" s="178" t="str">
        <f>'[1]COMEDORES EMERGENTES'!$B$7</f>
        <v>ANGELITOS - LOTEO SUSSEX</v>
      </c>
      <c r="C227" s="179"/>
      <c r="D227" s="108">
        <v>27</v>
      </c>
      <c r="E227" s="109" t="str">
        <f>'[1]COMEDORES EMERGENTES'!$G$7</f>
        <v>Bº LOTEO SUSEX MZA.Nº 4 LOTE Nº3</v>
      </c>
    </row>
    <row r="228" spans="2:5" x14ac:dyDescent="0.2">
      <c r="B228" s="178" t="str">
        <f>'[1]COMEDORES EMERGENTES'!$B$8</f>
        <v>CLUB DEPORTIVO CHACARITA</v>
      </c>
      <c r="C228" s="179"/>
      <c r="D228" s="108">
        <v>35</v>
      </c>
      <c r="E228" s="109" t="str">
        <f>'[1]COMEDORES EMERGENTES'!$G$8</f>
        <v>CALLE DR.DERMIDIO GALINDEZ C/2660</v>
      </c>
    </row>
    <row r="229" spans="2:5" x14ac:dyDescent="0.2">
      <c r="B229" s="178" t="str">
        <f>'[1]COMEDORES EMERGENTES'!$B$9</f>
        <v>LA MORO</v>
      </c>
      <c r="C229" s="179"/>
      <c r="D229" s="108">
        <v>32</v>
      </c>
      <c r="E229" s="109" t="str">
        <f>'[1]COMEDORES EMERGENTES'!$G$9</f>
        <v>MAIPU NORTE 1º ETAPA MZA "H" Bº MI JARDIN</v>
      </c>
    </row>
    <row r="230" spans="2:5" x14ac:dyDescent="0.2">
      <c r="B230" s="178" t="str">
        <f>'[1]COMEDORES EMERGENTES'!$B$10</f>
        <v>PAPA FRANCISCO</v>
      </c>
      <c r="C230" s="179"/>
      <c r="D230" s="108">
        <v>54</v>
      </c>
      <c r="E230" s="109" t="str">
        <f>'[1]COMEDORES EMERGENTES'!$G$10</f>
        <v>ENTRE AV.TEREBINTO Y AV.SAN JUAN LOTE "2" MZA. "B"</v>
      </c>
    </row>
    <row r="231" spans="2:5" x14ac:dyDescent="0.2">
      <c r="B231" s="178" t="str">
        <f>'[1]COMEDORES EMERGENTES'!$B$11</f>
        <v>E.P.C - 100 V.V NORTE</v>
      </c>
      <c r="C231" s="179"/>
      <c r="D231" s="108">
        <v>81</v>
      </c>
      <c r="E231" s="109" t="str">
        <f>'[1]COMEDORES EMERGENTES'!$G$11</f>
        <v>Bº VV NORTE C/48 ENTRE ESPAÑA Y FRANCIA</v>
      </c>
    </row>
    <row r="232" spans="2:5" x14ac:dyDescent="0.2">
      <c r="B232" s="178" t="str">
        <f>'[1]COMEDORES EMERGENTES'!$B$12</f>
        <v>HOGAR DE CRISTO - PADRE RAUL CONTRERAS</v>
      </c>
      <c r="C232" s="179"/>
      <c r="D232" s="108">
        <v>81</v>
      </c>
      <c r="E232" s="109" t="str">
        <f>'[1]COMEDORES EMERGENTES'!$G$12</f>
        <v>Bº SANTA MARTA MZA. "S" LOTE "M" C/39</v>
      </c>
    </row>
    <row r="233" spans="2:5" x14ac:dyDescent="0.2">
      <c r="B233" s="178" t="str">
        <f>'[1]COMEDORES EMERGENTES'!$B$13</f>
        <v>LA LUCIERNAGA</v>
      </c>
      <c r="C233" s="179"/>
      <c r="D233" s="108">
        <v>54</v>
      </c>
      <c r="E233" s="109" t="str">
        <f>'[1]COMEDORES EMERGENTES'!$G$13</f>
        <v>Bº 20 V.V NORTE C/3</v>
      </c>
    </row>
    <row r="234" spans="2:5" x14ac:dyDescent="0.2">
      <c r="B234" s="178" t="str">
        <f>'[1]COMEDORES EMERGENTES'!$B$14</f>
        <v>VALLE VIEJO - SUMALAO</v>
      </c>
      <c r="C234" s="179"/>
      <c r="D234" s="108">
        <v>95</v>
      </c>
      <c r="E234" s="109" t="str">
        <f>'[1]COMEDORES EMERGENTES'!$G$14</f>
        <v>PADRE SEGURA S/N</v>
      </c>
    </row>
    <row r="235" spans="2:5" x14ac:dyDescent="0.2">
      <c r="B235" s="178" t="str">
        <f>'[1]COMEDORES EMERGENTES'!$B$15</f>
        <v>NUESTRO FUTURO - LAS VIAS</v>
      </c>
      <c r="C235" s="179"/>
      <c r="D235" s="108">
        <v>54</v>
      </c>
      <c r="E235" s="109" t="str">
        <f>'[1]COMEDORES EMERGENTES'!$G$15</f>
        <v>Bº LAS VIAS OESTE LOTE 42</v>
      </c>
    </row>
    <row r="236" spans="2:5" x14ac:dyDescent="0.2">
      <c r="B236" s="178" t="str">
        <f>'[1]COMEDORES EMERGENTES'!$B$16</f>
        <v>SAN JOSE OBRERO</v>
      </c>
      <c r="C236" s="179"/>
      <c r="D236" s="108">
        <v>35</v>
      </c>
      <c r="E236" s="109" t="str">
        <f>'[1]COMEDORES EMERGENTES'!$G$16</f>
        <v>Bº SAN JOSE OBRERO. PJE. SANDOVAL S/Nº</v>
      </c>
    </row>
    <row r="237" spans="2:5" x14ac:dyDescent="0.2">
      <c r="B237" s="178" t="str">
        <f>'[1]COMEDORES EMERGENTES'!$B$17</f>
        <v>VIRGEN DE LUJAN</v>
      </c>
      <c r="C237" s="179"/>
      <c r="D237" s="108">
        <v>54</v>
      </c>
      <c r="E237" s="109" t="str">
        <f>'[1]COMEDORES EMERGENTES'!$G$17</f>
        <v>Bº OJO DE AGUA C/DR.TEODULFO BARRIONUEVO S/Nº</v>
      </c>
    </row>
    <row r="238" spans="2:5" x14ac:dyDescent="0.2">
      <c r="B238" s="178" t="str">
        <f>'[1]COMEDORES EMERGENTES'!$B$18</f>
        <v>RENACER</v>
      </c>
      <c r="C238" s="179"/>
      <c r="D238" s="108">
        <v>68</v>
      </c>
      <c r="E238" s="109" t="str">
        <f>'[1]COMEDORES EMERGENTES'!$G$18</f>
        <v>Bº VIRGEN MORENITA</v>
      </c>
    </row>
    <row r="239" spans="2:5" x14ac:dyDescent="0.2">
      <c r="B239" s="178" t="str">
        <f>'[1]COMEDORES EMERGENTES'!$B$19</f>
        <v>CENTRO VECINAL MI JARDIN</v>
      </c>
      <c r="C239" s="179"/>
      <c r="D239" s="108">
        <v>49</v>
      </c>
      <c r="E239" s="109" t="str">
        <f>'[1]COMEDORES EMERGENTES'!$G$19</f>
        <v>C/ LOS TULIPANES ENTRE FLOR DE CEREZO Y HOLANDA MZA.27 Bº MI JARDIN</v>
      </c>
    </row>
    <row r="240" spans="2:5" x14ac:dyDescent="0.2">
      <c r="B240" s="178" t="str">
        <f>'[1]COMEDORES EMERGENTES'!$B$20</f>
        <v>LA VIEJA ESQUINA</v>
      </c>
      <c r="C240" s="179"/>
      <c r="D240" s="108">
        <v>46</v>
      </c>
      <c r="E240" s="109" t="str">
        <f>'[1]COMEDORES EMERGENTES'!$G$20</f>
        <v>B° CRISTO REY PJE CAPATAZ VILLAFAÑEZ Y ARMANDO CORREA</v>
      </c>
    </row>
    <row r="241" spans="2:5" x14ac:dyDescent="0.2">
      <c r="B241" s="178" t="str">
        <f>'[1]COMEDORES EMERGENTES'!$B$21</f>
        <v>GAUCHITO GIL</v>
      </c>
      <c r="C241" s="179"/>
      <c r="D241" s="108">
        <v>45</v>
      </c>
      <c r="E241" s="109" t="str">
        <f>'[1]COMEDORES EMERGENTES'!$G$21</f>
        <v>B° 26 VIVIENDAS CASA N° 3</v>
      </c>
    </row>
    <row r="242" spans="2:5" ht="13.5" thickBot="1" x14ac:dyDescent="0.25">
      <c r="B242" s="195" t="str">
        <f>'[1]COMEDORES EMERGENTES'!$B$22</f>
        <v>LOS TOLDOS</v>
      </c>
      <c r="C242" s="196"/>
      <c r="D242" s="115">
        <v>22</v>
      </c>
      <c r="E242" s="116" t="str">
        <f>'[1]COMEDORES EMERGENTES'!$G$22</f>
        <v>LOTEO PARQUE SUR CALLE S/NOMBRE S/N°</v>
      </c>
    </row>
    <row r="243" spans="2:5" x14ac:dyDescent="0.2">
      <c r="B243" s="33" t="s">
        <v>18</v>
      </c>
      <c r="C243" s="31"/>
      <c r="D243" s="72"/>
      <c r="E243" s="32"/>
    </row>
    <row r="244" spans="2:5" ht="12.75" customHeight="1" x14ac:dyDescent="0.2">
      <c r="B244" s="34"/>
      <c r="C244" s="194" t="s">
        <v>62</v>
      </c>
      <c r="D244" s="194"/>
      <c r="E244" s="194"/>
    </row>
    <row r="245" spans="2:5" x14ac:dyDescent="0.2">
      <c r="B245" s="33" t="s">
        <v>19</v>
      </c>
      <c r="C245" s="35"/>
      <c r="D245" s="35"/>
      <c r="E245" s="36"/>
    </row>
    <row r="246" spans="2:5" ht="14.25" customHeight="1" x14ac:dyDescent="0.2">
      <c r="B246" s="34"/>
      <c r="C246" s="194" t="s">
        <v>139</v>
      </c>
      <c r="D246" s="194"/>
      <c r="E246" s="194"/>
    </row>
    <row r="247" spans="2:5" x14ac:dyDescent="0.2">
      <c r="B247" s="33" t="s">
        <v>20</v>
      </c>
      <c r="C247" s="31"/>
      <c r="D247" s="72"/>
      <c r="E247" s="32"/>
    </row>
    <row r="248" spans="2:5" ht="11.25" customHeight="1" x14ac:dyDescent="0.2">
      <c r="B248" s="33"/>
      <c r="C248" s="193" t="s">
        <v>63</v>
      </c>
      <c r="D248" s="193"/>
      <c r="E248" s="193"/>
    </row>
    <row r="249" spans="2:5" ht="13.5" thickBot="1" x14ac:dyDescent="0.25">
      <c r="B249" s="37"/>
      <c r="C249" s="38"/>
      <c r="D249" s="73"/>
      <c r="E249" s="39"/>
    </row>
    <row r="250" spans="2:5" ht="13.5" thickBot="1" x14ac:dyDescent="0.25"/>
    <row r="251" spans="2:5" x14ac:dyDescent="0.2">
      <c r="B251" s="27" t="s">
        <v>143</v>
      </c>
      <c r="C251" s="28"/>
      <c r="D251" s="71"/>
      <c r="E251" s="29"/>
    </row>
    <row r="252" spans="2:5" ht="5.25" customHeight="1" x14ac:dyDescent="0.2">
      <c r="B252" s="30"/>
      <c r="C252" s="31"/>
      <c r="D252" s="72"/>
      <c r="E252" s="32"/>
    </row>
    <row r="253" spans="2:5" x14ac:dyDescent="0.2">
      <c r="B253" s="33" t="s">
        <v>16</v>
      </c>
      <c r="C253" s="31"/>
      <c r="D253" s="72"/>
      <c r="E253" s="32"/>
    </row>
    <row r="254" spans="2:5" ht="25.5" customHeight="1" x14ac:dyDescent="0.2">
      <c r="B254" s="33"/>
      <c r="C254" s="194"/>
      <c r="D254" s="194"/>
      <c r="E254" s="194"/>
    </row>
    <row r="255" spans="2:5" ht="13.5" thickBot="1" x14ac:dyDescent="0.25">
      <c r="B255" s="33" t="s">
        <v>17</v>
      </c>
      <c r="C255" s="31"/>
      <c r="D255" s="72"/>
      <c r="E255" s="32"/>
    </row>
    <row r="256" spans="2:5" ht="13.5" thickBot="1" x14ac:dyDescent="0.25">
      <c r="B256" s="180" t="s">
        <v>136</v>
      </c>
      <c r="C256" s="181"/>
      <c r="D256" s="181"/>
      <c r="E256" s="182"/>
    </row>
    <row r="257" spans="2:5" ht="13.5" thickBot="1" x14ac:dyDescent="0.25">
      <c r="B257" s="180" t="s">
        <v>137</v>
      </c>
      <c r="C257" s="182"/>
      <c r="D257" s="69" t="s">
        <v>11</v>
      </c>
      <c r="E257" s="69" t="s">
        <v>138</v>
      </c>
    </row>
    <row r="258" spans="2:5" x14ac:dyDescent="0.2">
      <c r="B258" s="187" t="str">
        <f>'[1]COMEDORES EMERGENTES'!$B$3</f>
        <v>UNA SONRISA AV. LOS COBACHO</v>
      </c>
      <c r="C258" s="188"/>
      <c r="D258" s="113">
        <v>29</v>
      </c>
      <c r="E258" s="114" t="str">
        <f>'[1]COMEDORES EMERGENTES'!$G$3</f>
        <v>Bº SAN CARLOS OESTE AV. Bonifacio cobacho 670</v>
      </c>
    </row>
    <row r="259" spans="2:5" x14ac:dyDescent="0.2">
      <c r="B259" s="178" t="str">
        <f>'[1]COMEDORES EMERGENTES'!$B$4</f>
        <v>C.I.F Nº1 - RIVERA DEL VALLE Y FLORIDA</v>
      </c>
      <c r="C259" s="179"/>
      <c r="D259" s="108">
        <v>41</v>
      </c>
      <c r="E259" s="109" t="str">
        <f>'[1]COMEDORES EMERGENTES'!$G$4</f>
        <v>AV. RIVIERA DEL VALLE ENTRE FLORIDA Y SANTA FE</v>
      </c>
    </row>
    <row r="260" spans="2:5" x14ac:dyDescent="0.2">
      <c r="B260" s="178" t="str">
        <f>'[1]COMEDORES EMERGENTES'!$B$5</f>
        <v>C.I.F - RIVERA DEL VALLE - DILORENZO</v>
      </c>
      <c r="C260" s="179"/>
      <c r="D260" s="108">
        <v>49</v>
      </c>
      <c r="E260" s="109" t="str">
        <f>'[1]COMEDORES EMERGENTES'!$G$5</f>
        <v>Bº RIVERA DEL VALLE ENTRE VILLA EUMELIA Y MONTE CRISTO</v>
      </c>
    </row>
    <row r="261" spans="2:5" x14ac:dyDescent="0.2">
      <c r="B261" s="178" t="str">
        <f>'[1]COMEDORES EMERGENTES'!$B$6</f>
        <v>ESFUERZO PROPIO- Bº ALTOS DE CHOYA</v>
      </c>
      <c r="C261" s="179"/>
      <c r="D261" s="108">
        <v>40</v>
      </c>
      <c r="E261" s="109" t="str">
        <f>'[1]COMEDORES EMERGENTES'!$G$6</f>
        <v>Bº MUNICIPAL 35VV. NORTE C/14</v>
      </c>
    </row>
    <row r="262" spans="2:5" x14ac:dyDescent="0.2">
      <c r="B262" s="178" t="str">
        <f>'[1]COMEDORES EMERGENTES'!$B$7</f>
        <v>ANGELITOS - LOTEO SUSSEX</v>
      </c>
      <c r="C262" s="179"/>
      <c r="D262" s="108">
        <v>18</v>
      </c>
      <c r="E262" s="109" t="str">
        <f>'[1]COMEDORES EMERGENTES'!$G$7</f>
        <v>Bº LOTEO SUSEX MZA.Nº 4 LOTE Nº3</v>
      </c>
    </row>
    <row r="263" spans="2:5" x14ac:dyDescent="0.2">
      <c r="B263" s="178" t="str">
        <f>'[1]COMEDORES EMERGENTES'!$B$8</f>
        <v>CLUB DEPORTIVO CHACARITA</v>
      </c>
      <c r="C263" s="179"/>
      <c r="D263" s="108">
        <v>23</v>
      </c>
      <c r="E263" s="109" t="str">
        <f>'[1]COMEDORES EMERGENTES'!$G$8</f>
        <v>CALLE DR.DERMIDIO GALINDEZ C/2660</v>
      </c>
    </row>
    <row r="264" spans="2:5" x14ac:dyDescent="0.2">
      <c r="B264" s="178" t="str">
        <f>'[1]COMEDORES EMERGENTES'!$B$9</f>
        <v>LA MORO</v>
      </c>
      <c r="C264" s="179"/>
      <c r="D264" s="108">
        <v>22</v>
      </c>
      <c r="E264" s="109" t="str">
        <f>'[1]COMEDORES EMERGENTES'!$G$9</f>
        <v>MAIPU NORTE 1º ETAPA MZA "H" Bº MI JARDIN</v>
      </c>
    </row>
    <row r="265" spans="2:5" x14ac:dyDescent="0.2">
      <c r="B265" s="178" t="str">
        <f>'[1]COMEDORES EMERGENTES'!$B$10</f>
        <v>PAPA FRANCISCO</v>
      </c>
      <c r="C265" s="179"/>
      <c r="D265" s="108">
        <v>36</v>
      </c>
      <c r="E265" s="109" t="str">
        <f>'[1]COMEDORES EMERGENTES'!$G$10</f>
        <v>ENTRE AV.TEREBINTO Y AV.SAN JUAN LOTE "2" MZA. "B"</v>
      </c>
    </row>
    <row r="266" spans="2:5" x14ac:dyDescent="0.2">
      <c r="B266" s="178" t="str">
        <f>'[1]COMEDORES EMERGENTES'!$B$11</f>
        <v>E.P.C - 100 V.V NORTE</v>
      </c>
      <c r="C266" s="179"/>
      <c r="D266" s="108">
        <v>54</v>
      </c>
      <c r="E266" s="109" t="str">
        <f>'[1]COMEDORES EMERGENTES'!$G$11</f>
        <v>Bº VV NORTE C/48 ENTRE ESPAÑA Y FRANCIA</v>
      </c>
    </row>
    <row r="267" spans="2:5" x14ac:dyDescent="0.2">
      <c r="B267" s="178" t="str">
        <f>'[1]COMEDORES EMERGENTES'!$B$12</f>
        <v>HOGAR DE CRISTO - PADRE RAUL CONTRERAS</v>
      </c>
      <c r="C267" s="179"/>
      <c r="D267" s="108">
        <v>54</v>
      </c>
      <c r="E267" s="109" t="str">
        <f>'[1]COMEDORES EMERGENTES'!$G$12</f>
        <v>Bº SANTA MARTA MZA. "S" LOTE "M" C/39</v>
      </c>
    </row>
    <row r="268" spans="2:5" x14ac:dyDescent="0.2">
      <c r="B268" s="178" t="str">
        <f>'[1]COMEDORES EMERGENTES'!$B$13</f>
        <v>LA LUCIERNAGA</v>
      </c>
      <c r="C268" s="179"/>
      <c r="D268" s="108">
        <v>36</v>
      </c>
      <c r="E268" s="109" t="str">
        <f>'[1]COMEDORES EMERGENTES'!$G$13</f>
        <v>Bº 20 V.V NORTE C/3</v>
      </c>
    </row>
    <row r="269" spans="2:5" x14ac:dyDescent="0.2">
      <c r="B269" s="178" t="str">
        <f>'[1]COMEDORES EMERGENTES'!$B$14</f>
        <v>VALLE VIEJO - SUMALAO</v>
      </c>
      <c r="C269" s="179"/>
      <c r="D269" s="108">
        <v>63</v>
      </c>
      <c r="E269" s="109" t="str">
        <f>'[1]COMEDORES EMERGENTES'!$G$14</f>
        <v>PADRE SEGURA S/N</v>
      </c>
    </row>
    <row r="270" spans="2:5" x14ac:dyDescent="0.2">
      <c r="B270" s="178" t="str">
        <f>'[1]COMEDORES EMERGENTES'!$B$15</f>
        <v>NUESTRO FUTURO - LAS VIAS</v>
      </c>
      <c r="C270" s="179"/>
      <c r="D270" s="108">
        <v>36</v>
      </c>
      <c r="E270" s="109" t="str">
        <f>'[1]COMEDORES EMERGENTES'!$G$15</f>
        <v>Bº LAS VIAS OESTE LOTE 42</v>
      </c>
    </row>
    <row r="271" spans="2:5" x14ac:dyDescent="0.2">
      <c r="B271" s="178" t="str">
        <f>'[1]COMEDORES EMERGENTES'!$B$16</f>
        <v>SAN JOSE OBRERO</v>
      </c>
      <c r="C271" s="179"/>
      <c r="D271" s="108">
        <v>23</v>
      </c>
      <c r="E271" s="109" t="str">
        <f>'[1]COMEDORES EMERGENTES'!$G$16</f>
        <v>Bº SAN JOSE OBRERO. PJE. SANDOVAL S/Nº</v>
      </c>
    </row>
    <row r="272" spans="2:5" x14ac:dyDescent="0.2">
      <c r="B272" s="178" t="str">
        <f>'[1]COMEDORES EMERGENTES'!$B$17</f>
        <v>VIRGEN DE LUJAN</v>
      </c>
      <c r="C272" s="179"/>
      <c r="D272" s="108">
        <v>36</v>
      </c>
      <c r="E272" s="109" t="str">
        <f>'[1]COMEDORES EMERGENTES'!$G$17</f>
        <v>Bº OJO DE AGUA C/DR.TEODULFO BARRIONUEVO S/Nº</v>
      </c>
    </row>
    <row r="273" spans="2:5" x14ac:dyDescent="0.2">
      <c r="B273" s="178" t="str">
        <f>'[1]COMEDORES EMERGENTES'!$B$18</f>
        <v>RENACER</v>
      </c>
      <c r="C273" s="179"/>
      <c r="D273" s="108">
        <v>45</v>
      </c>
      <c r="E273" s="109" t="str">
        <f>'[1]COMEDORES EMERGENTES'!$G$18</f>
        <v>Bº VIRGEN MORENITA</v>
      </c>
    </row>
    <row r="274" spans="2:5" x14ac:dyDescent="0.2">
      <c r="B274" s="178" t="str">
        <f>'[1]COMEDORES EMERGENTES'!$B$19</f>
        <v>CENTRO VECINAL MI JARDIN</v>
      </c>
      <c r="C274" s="179"/>
      <c r="D274" s="108">
        <v>32</v>
      </c>
      <c r="E274" s="109" t="str">
        <f>'[1]COMEDORES EMERGENTES'!$G$19</f>
        <v>C/ LOS TULIPANES ENTRE FLOR DE CEREZO Y HOLANDA MZA.27 Bº MI JARDIN</v>
      </c>
    </row>
    <row r="275" spans="2:5" x14ac:dyDescent="0.2">
      <c r="B275" s="178" t="str">
        <f>'[1]COMEDORES EMERGENTES'!$B$20</f>
        <v>LA VIEJA ESQUINA</v>
      </c>
      <c r="C275" s="179"/>
      <c r="D275" s="108">
        <v>31</v>
      </c>
      <c r="E275" s="109" t="str">
        <f>'[1]COMEDORES EMERGENTES'!$G$20</f>
        <v>B° CRISTO REY PJE CAPATAZ VILLAFAÑEZ Y ARMANDO CORREA</v>
      </c>
    </row>
    <row r="276" spans="2:5" x14ac:dyDescent="0.2">
      <c r="B276" s="178" t="str">
        <f>'[1]COMEDORES EMERGENTES'!$B$21</f>
        <v>GAUCHITO GIL</v>
      </c>
      <c r="C276" s="179"/>
      <c r="D276" s="108">
        <v>30</v>
      </c>
      <c r="E276" s="109" t="str">
        <f>'[1]COMEDORES EMERGENTES'!$G$21</f>
        <v>B° 26 VIVIENDAS CASA N° 3</v>
      </c>
    </row>
    <row r="277" spans="2:5" ht="13.5" thickBot="1" x14ac:dyDescent="0.25">
      <c r="B277" s="195" t="str">
        <f>'[1]COMEDORES EMERGENTES'!$B$22</f>
        <v>LOS TOLDOS</v>
      </c>
      <c r="C277" s="196"/>
      <c r="D277" s="115">
        <v>14</v>
      </c>
      <c r="E277" s="116" t="str">
        <f>'[1]COMEDORES EMERGENTES'!$G$22</f>
        <v>LOTEO PARQUE SUR CALLE S/NOMBRE S/N°</v>
      </c>
    </row>
    <row r="278" spans="2:5" x14ac:dyDescent="0.2">
      <c r="B278" s="33" t="s">
        <v>18</v>
      </c>
      <c r="C278" s="31"/>
      <c r="D278" s="72"/>
      <c r="E278" s="32"/>
    </row>
    <row r="279" spans="2:5" ht="12.75" customHeight="1" x14ac:dyDescent="0.2">
      <c r="B279" s="34"/>
      <c r="C279" s="194" t="s">
        <v>62</v>
      </c>
      <c r="D279" s="194"/>
      <c r="E279" s="194"/>
    </row>
    <row r="280" spans="2:5" x14ac:dyDescent="0.2">
      <c r="B280" s="33" t="s">
        <v>19</v>
      </c>
      <c r="C280" s="35"/>
      <c r="D280" s="35"/>
      <c r="E280" s="36"/>
    </row>
    <row r="281" spans="2:5" ht="14.25" customHeight="1" x14ac:dyDescent="0.2">
      <c r="B281" s="34"/>
      <c r="C281" s="194" t="s">
        <v>139</v>
      </c>
      <c r="D281" s="194"/>
      <c r="E281" s="194"/>
    </row>
    <row r="282" spans="2:5" x14ac:dyDescent="0.2">
      <c r="B282" s="33" t="s">
        <v>20</v>
      </c>
      <c r="C282" s="31"/>
      <c r="D282" s="72"/>
      <c r="E282" s="32"/>
    </row>
    <row r="283" spans="2:5" ht="11.25" customHeight="1" x14ac:dyDescent="0.2">
      <c r="B283" s="33"/>
      <c r="C283" s="193" t="s">
        <v>63</v>
      </c>
      <c r="D283" s="193"/>
      <c r="E283" s="193"/>
    </row>
    <row r="284" spans="2:5" ht="13.5" thickBot="1" x14ac:dyDescent="0.25">
      <c r="B284" s="37"/>
      <c r="C284" s="38"/>
      <c r="D284" s="73"/>
      <c r="E284" s="39"/>
    </row>
    <row r="285" spans="2:5" ht="13.5" thickBot="1" x14ac:dyDescent="0.25"/>
    <row r="286" spans="2:5" x14ac:dyDescent="0.2">
      <c r="B286" s="27" t="s">
        <v>144</v>
      </c>
      <c r="C286" s="28"/>
      <c r="D286" s="71"/>
      <c r="E286" s="29"/>
    </row>
    <row r="287" spans="2:5" ht="5.25" customHeight="1" x14ac:dyDescent="0.2">
      <c r="B287" s="30"/>
      <c r="C287" s="31"/>
      <c r="D287" s="72"/>
      <c r="E287" s="32"/>
    </row>
    <row r="288" spans="2:5" x14ac:dyDescent="0.2">
      <c r="B288" s="33" t="s">
        <v>16</v>
      </c>
      <c r="C288" s="31"/>
      <c r="D288" s="72"/>
      <c r="E288" s="32"/>
    </row>
    <row r="289" spans="2:5" ht="25.5" customHeight="1" x14ac:dyDescent="0.2">
      <c r="B289" s="33"/>
      <c r="C289" s="184"/>
      <c r="D289" s="184"/>
      <c r="E289" s="185"/>
    </row>
    <row r="290" spans="2:5" ht="13.5" thickBot="1" x14ac:dyDescent="0.25">
      <c r="B290" s="33" t="s">
        <v>17</v>
      </c>
      <c r="C290" s="31"/>
      <c r="D290" s="72"/>
      <c r="E290" s="32"/>
    </row>
    <row r="291" spans="2:5" ht="13.5" thickBot="1" x14ac:dyDescent="0.25">
      <c r="B291" s="180" t="s">
        <v>136</v>
      </c>
      <c r="C291" s="181"/>
      <c r="D291" s="181"/>
      <c r="E291" s="182"/>
    </row>
    <row r="292" spans="2:5" ht="13.5" thickBot="1" x14ac:dyDescent="0.25">
      <c r="B292" s="180" t="s">
        <v>137</v>
      </c>
      <c r="C292" s="182"/>
      <c r="D292" s="69" t="s">
        <v>11</v>
      </c>
      <c r="E292" s="69" t="s">
        <v>138</v>
      </c>
    </row>
    <row r="293" spans="2:5" x14ac:dyDescent="0.2">
      <c r="B293" s="187" t="str">
        <f>'[1]COMEDORES EMERGENTES'!$B$3</f>
        <v>UNA SONRISA AV. LOS COBACHO</v>
      </c>
      <c r="C293" s="188"/>
      <c r="D293" s="113">
        <v>8</v>
      </c>
      <c r="E293" s="114" t="str">
        <f>'[1]COMEDORES EMERGENTES'!$G$3</f>
        <v>Bº SAN CARLOS OESTE AV. Bonifacio cobacho 670</v>
      </c>
    </row>
    <row r="294" spans="2:5" x14ac:dyDescent="0.2">
      <c r="B294" s="178" t="str">
        <f>'[1]COMEDORES EMERGENTES'!$B$4</f>
        <v>C.I.F Nº1 - RIVERA DEL VALLE Y FLORIDA</v>
      </c>
      <c r="C294" s="179"/>
      <c r="D294" s="108">
        <v>12</v>
      </c>
      <c r="E294" s="109" t="str">
        <f>'[1]COMEDORES EMERGENTES'!$G$4</f>
        <v>AV. RIVIERA DEL VALLE ENTRE FLORIDA Y SANTA FE</v>
      </c>
    </row>
    <row r="295" spans="2:5" x14ac:dyDescent="0.2">
      <c r="B295" s="178" t="str">
        <f>'[1]COMEDORES EMERGENTES'!$B$5</f>
        <v>C.I.F - RIVERA DEL VALLE - DILORENZO</v>
      </c>
      <c r="C295" s="179"/>
      <c r="D295" s="108">
        <v>14</v>
      </c>
      <c r="E295" s="109" t="str">
        <f>'[1]COMEDORES EMERGENTES'!$G$5</f>
        <v>Bº RIVERA DEL VALLE ENTRE VILLA EUMELIA Y MONTE CRISTO</v>
      </c>
    </row>
    <row r="296" spans="2:5" x14ac:dyDescent="0.2">
      <c r="B296" s="178" t="str">
        <f>'[1]COMEDORES EMERGENTES'!$B$6</f>
        <v>ESFUERZO PROPIO- Bº ALTOS DE CHOYA</v>
      </c>
      <c r="C296" s="179"/>
      <c r="D296" s="108">
        <v>11</v>
      </c>
      <c r="E296" s="109" t="str">
        <f>'[1]COMEDORES EMERGENTES'!$G$6</f>
        <v>Bº MUNICIPAL 35VV. NORTE C/14</v>
      </c>
    </row>
    <row r="297" spans="2:5" x14ac:dyDescent="0.2">
      <c r="B297" s="178" t="str">
        <f>'[1]COMEDORES EMERGENTES'!$B$7</f>
        <v>ANGELITOS - LOTEO SUSSEX</v>
      </c>
      <c r="C297" s="179"/>
      <c r="D297" s="108">
        <v>5</v>
      </c>
      <c r="E297" s="109" t="str">
        <f>'[1]COMEDORES EMERGENTES'!$G$7</f>
        <v>Bº LOTEO SUSEX MZA.Nº 4 LOTE Nº3</v>
      </c>
    </row>
    <row r="298" spans="2:5" x14ac:dyDescent="0.2">
      <c r="B298" s="178" t="str">
        <f>'[1]COMEDORES EMERGENTES'!$B$8</f>
        <v>CLUB DEPORTIVO CHACARITA</v>
      </c>
      <c r="C298" s="179"/>
      <c r="D298" s="108">
        <v>7</v>
      </c>
      <c r="E298" s="109" t="str">
        <f>'[1]COMEDORES EMERGENTES'!$G$8</f>
        <v>CALLE DR.DERMIDIO GALINDEZ C/2660</v>
      </c>
    </row>
    <row r="299" spans="2:5" x14ac:dyDescent="0.2">
      <c r="B299" s="178" t="str">
        <f>'[1]COMEDORES EMERGENTES'!$B$9</f>
        <v>LA MORO</v>
      </c>
      <c r="C299" s="179"/>
      <c r="D299" s="108">
        <v>6</v>
      </c>
      <c r="E299" s="109" t="str">
        <f>'[1]COMEDORES EMERGENTES'!$G$9</f>
        <v>MAIPU NORTE 1º ETAPA MZA "H" Bº MI JARDIN</v>
      </c>
    </row>
    <row r="300" spans="2:5" x14ac:dyDescent="0.2">
      <c r="B300" s="178" t="str">
        <f>'[1]COMEDORES EMERGENTES'!$B$10</f>
        <v>PAPA FRANCISCO</v>
      </c>
      <c r="C300" s="179"/>
      <c r="D300" s="108">
        <v>10</v>
      </c>
      <c r="E300" s="109" t="str">
        <f>'[1]COMEDORES EMERGENTES'!$G$10</f>
        <v>ENTRE AV.TEREBINTO Y AV.SAN JUAN LOTE "2" MZA. "B"</v>
      </c>
    </row>
    <row r="301" spans="2:5" x14ac:dyDescent="0.2">
      <c r="B301" s="178" t="str">
        <f>'[1]COMEDORES EMERGENTES'!$B$11</f>
        <v>E.P.C - 100 V.V NORTE</v>
      </c>
      <c r="C301" s="179"/>
      <c r="D301" s="108">
        <v>15</v>
      </c>
      <c r="E301" s="109" t="str">
        <f>'[1]COMEDORES EMERGENTES'!$G$11</f>
        <v>Bº VV NORTE C/48 ENTRE ESPAÑA Y FRANCIA</v>
      </c>
    </row>
    <row r="302" spans="2:5" x14ac:dyDescent="0.2">
      <c r="B302" s="178" t="str">
        <f>'[1]COMEDORES EMERGENTES'!$B$12</f>
        <v>HOGAR DE CRISTO - PADRE RAUL CONTRERAS</v>
      </c>
      <c r="C302" s="179"/>
      <c r="D302" s="108">
        <v>15</v>
      </c>
      <c r="E302" s="109" t="str">
        <f>'[1]COMEDORES EMERGENTES'!$G$12</f>
        <v>Bº SANTA MARTA MZA. "S" LOTE "M" C/39</v>
      </c>
    </row>
    <row r="303" spans="2:5" x14ac:dyDescent="0.2">
      <c r="B303" s="178" t="str">
        <f>'[1]COMEDORES EMERGENTES'!$B$13</f>
        <v>LA LUCIERNAGA</v>
      </c>
      <c r="C303" s="179"/>
      <c r="D303" s="108">
        <v>10</v>
      </c>
      <c r="E303" s="109" t="str">
        <f>'[1]COMEDORES EMERGENTES'!$G$13</f>
        <v>Bº 20 V.V NORTE C/3</v>
      </c>
    </row>
    <row r="304" spans="2:5" x14ac:dyDescent="0.2">
      <c r="B304" s="178" t="str">
        <f>'[1]COMEDORES EMERGENTES'!$B$14</f>
        <v>VALLE VIEJO - SUMALAO</v>
      </c>
      <c r="C304" s="179"/>
      <c r="D304" s="108">
        <v>18</v>
      </c>
      <c r="E304" s="109" t="str">
        <f>'[1]COMEDORES EMERGENTES'!$G$14</f>
        <v>PADRE SEGURA S/N</v>
      </c>
    </row>
    <row r="305" spans="2:5" x14ac:dyDescent="0.2">
      <c r="B305" s="178" t="str">
        <f>'[1]COMEDORES EMERGENTES'!$B$15</f>
        <v>NUESTRO FUTURO - LAS VIAS</v>
      </c>
      <c r="C305" s="179"/>
      <c r="D305" s="108">
        <v>10</v>
      </c>
      <c r="E305" s="109" t="str">
        <f>'[1]COMEDORES EMERGENTES'!$G$15</f>
        <v>Bº LAS VIAS OESTE LOTE 42</v>
      </c>
    </row>
    <row r="306" spans="2:5" x14ac:dyDescent="0.2">
      <c r="B306" s="178" t="str">
        <f>'[1]COMEDORES EMERGENTES'!$B$16</f>
        <v>SAN JOSE OBRERO</v>
      </c>
      <c r="C306" s="179"/>
      <c r="D306" s="108">
        <v>7</v>
      </c>
      <c r="E306" s="109" t="str">
        <f>'[1]COMEDORES EMERGENTES'!$G$16</f>
        <v>Bº SAN JOSE OBRERO. PJE. SANDOVAL S/Nº</v>
      </c>
    </row>
    <row r="307" spans="2:5" x14ac:dyDescent="0.2">
      <c r="B307" s="178" t="str">
        <f>'[1]COMEDORES EMERGENTES'!$B$17</f>
        <v>VIRGEN DE LUJAN</v>
      </c>
      <c r="C307" s="179"/>
      <c r="D307" s="108">
        <v>10</v>
      </c>
      <c r="E307" s="109" t="str">
        <f>'[1]COMEDORES EMERGENTES'!$G$17</f>
        <v>Bº OJO DE AGUA C/DR.TEODULFO BARRIONUEVO S/Nº</v>
      </c>
    </row>
    <row r="308" spans="2:5" x14ac:dyDescent="0.2">
      <c r="B308" s="178" t="str">
        <f>'[1]COMEDORES EMERGENTES'!$B$18</f>
        <v>RENACER</v>
      </c>
      <c r="C308" s="179"/>
      <c r="D308" s="108">
        <v>13</v>
      </c>
      <c r="E308" s="109" t="str">
        <f>'[1]COMEDORES EMERGENTES'!$G$18</f>
        <v>Bº VIRGEN MORENITA</v>
      </c>
    </row>
    <row r="309" spans="2:5" x14ac:dyDescent="0.2">
      <c r="B309" s="178" t="str">
        <f>'[1]COMEDORES EMERGENTES'!$B$19</f>
        <v>CENTRO VECINAL MI JARDIN</v>
      </c>
      <c r="C309" s="179"/>
      <c r="D309" s="108">
        <v>9</v>
      </c>
      <c r="E309" s="109" t="str">
        <f>'[1]COMEDORES EMERGENTES'!$G$19</f>
        <v>C/ LOS TULIPANES ENTRE FLOR DE CEREZO Y HOLANDA MZA.27 Bº MI JARDIN</v>
      </c>
    </row>
    <row r="310" spans="2:5" x14ac:dyDescent="0.2">
      <c r="B310" s="178" t="str">
        <f>'[1]COMEDORES EMERGENTES'!$B$20</f>
        <v>LA VIEJA ESQUINA</v>
      </c>
      <c r="C310" s="179"/>
      <c r="D310" s="108">
        <v>9</v>
      </c>
      <c r="E310" s="109" t="str">
        <f>'[1]COMEDORES EMERGENTES'!$G$20</f>
        <v>B° CRISTO REY PJE CAPATAZ VILLAFAÑEZ Y ARMANDO CORREA</v>
      </c>
    </row>
    <row r="311" spans="2:5" x14ac:dyDescent="0.2">
      <c r="B311" s="178" t="str">
        <f>'[1]COMEDORES EMERGENTES'!$B$21</f>
        <v>GAUCHITO GIL</v>
      </c>
      <c r="C311" s="179"/>
      <c r="D311" s="108">
        <v>8</v>
      </c>
      <c r="E311" s="109" t="str">
        <f>'[1]COMEDORES EMERGENTES'!$G$21</f>
        <v>B° 26 VIVIENDAS CASA N° 3</v>
      </c>
    </row>
    <row r="312" spans="2:5" ht="13.5" thickBot="1" x14ac:dyDescent="0.25">
      <c r="B312" s="195" t="str">
        <f>'[1]COMEDORES EMERGENTES'!$B$22</f>
        <v>LOS TOLDOS</v>
      </c>
      <c r="C312" s="196"/>
      <c r="D312" s="115">
        <v>4</v>
      </c>
      <c r="E312" s="116" t="str">
        <f>'[1]COMEDORES EMERGENTES'!$G$22</f>
        <v>LOTEO PARQUE SUR CALLE S/NOMBRE S/N°</v>
      </c>
    </row>
    <row r="313" spans="2:5" x14ac:dyDescent="0.2">
      <c r="B313" s="33" t="s">
        <v>18</v>
      </c>
      <c r="C313" s="31"/>
      <c r="D313" s="72"/>
      <c r="E313" s="32"/>
    </row>
    <row r="314" spans="2:5" ht="12.75" customHeight="1" x14ac:dyDescent="0.2">
      <c r="B314" s="34"/>
      <c r="C314" s="194" t="s">
        <v>62</v>
      </c>
      <c r="D314" s="194"/>
      <c r="E314" s="194"/>
    </row>
    <row r="315" spans="2:5" x14ac:dyDescent="0.2">
      <c r="B315" s="33" t="s">
        <v>19</v>
      </c>
      <c r="C315" s="35"/>
      <c r="D315" s="35"/>
      <c r="E315" s="36"/>
    </row>
    <row r="316" spans="2:5" ht="14.25" customHeight="1" x14ac:dyDescent="0.2">
      <c r="B316" s="34"/>
      <c r="C316" s="194" t="s">
        <v>139</v>
      </c>
      <c r="D316" s="194"/>
      <c r="E316" s="194"/>
    </row>
    <row r="317" spans="2:5" x14ac:dyDescent="0.2">
      <c r="B317" s="33" t="s">
        <v>20</v>
      </c>
      <c r="C317" s="31"/>
      <c r="D317" s="72"/>
      <c r="E317" s="32"/>
    </row>
    <row r="318" spans="2:5" ht="11.25" customHeight="1" x14ac:dyDescent="0.2">
      <c r="B318" s="33"/>
      <c r="C318" s="193" t="s">
        <v>63</v>
      </c>
      <c r="D318" s="193"/>
      <c r="E318" s="193"/>
    </row>
    <row r="319" spans="2:5" ht="13.5" thickBot="1" x14ac:dyDescent="0.25">
      <c r="B319" s="37"/>
      <c r="C319" s="38"/>
      <c r="D319" s="73"/>
      <c r="E319" s="39"/>
    </row>
    <row r="320" spans="2:5" ht="13.5" thickBot="1" x14ac:dyDescent="0.25"/>
    <row r="321" spans="2:5" x14ac:dyDescent="0.2">
      <c r="B321" s="27" t="s">
        <v>145</v>
      </c>
      <c r="C321" s="28"/>
      <c r="D321" s="71"/>
      <c r="E321" s="29"/>
    </row>
    <row r="322" spans="2:5" ht="5.25" customHeight="1" x14ac:dyDescent="0.2">
      <c r="B322" s="30"/>
      <c r="C322" s="31"/>
      <c r="D322" s="72"/>
      <c r="E322" s="32"/>
    </row>
    <row r="323" spans="2:5" x14ac:dyDescent="0.2">
      <c r="B323" s="33" t="s">
        <v>16</v>
      </c>
      <c r="C323" s="31"/>
      <c r="D323" s="72"/>
      <c r="E323" s="32"/>
    </row>
    <row r="324" spans="2:5" ht="25.5" customHeight="1" x14ac:dyDescent="0.2">
      <c r="B324" s="33"/>
      <c r="C324" s="194"/>
      <c r="D324" s="194"/>
      <c r="E324" s="194"/>
    </row>
    <row r="325" spans="2:5" ht="13.5" thickBot="1" x14ac:dyDescent="0.25">
      <c r="B325" s="33" t="s">
        <v>17</v>
      </c>
      <c r="C325" s="31"/>
      <c r="D325" s="72"/>
      <c r="E325" s="32"/>
    </row>
    <row r="326" spans="2:5" ht="13.5" thickBot="1" x14ac:dyDescent="0.25">
      <c r="B326" s="180" t="s">
        <v>136</v>
      </c>
      <c r="C326" s="181"/>
      <c r="D326" s="181"/>
      <c r="E326" s="182"/>
    </row>
    <row r="327" spans="2:5" ht="13.5" thickBot="1" x14ac:dyDescent="0.25">
      <c r="B327" s="180" t="s">
        <v>137</v>
      </c>
      <c r="C327" s="182"/>
      <c r="D327" s="69" t="s">
        <v>11</v>
      </c>
      <c r="E327" s="69" t="s">
        <v>138</v>
      </c>
    </row>
    <row r="328" spans="2:5" x14ac:dyDescent="0.2">
      <c r="B328" s="187" t="str">
        <f>'[1]COMEDORES EMERGENTES'!$B$3</f>
        <v>UNA SONRISA AV. LOS COBACHO</v>
      </c>
      <c r="C328" s="188"/>
      <c r="D328" s="113" t="s">
        <v>175</v>
      </c>
      <c r="E328" s="114" t="str">
        <f>'[1]COMEDORES EMERGENTES'!$G$3</f>
        <v>Bº SAN CARLOS OESTE AV. Bonifacio cobacho 670</v>
      </c>
    </row>
    <row r="329" spans="2:5" x14ac:dyDescent="0.2">
      <c r="B329" s="178" t="str">
        <f>'[1]COMEDORES EMERGENTES'!$B$4</f>
        <v>C.I.F Nº1 - RIVERA DEL VALLE Y FLORIDA</v>
      </c>
      <c r="C329" s="179"/>
      <c r="D329" s="108" t="s">
        <v>203</v>
      </c>
      <c r="E329" s="109" t="str">
        <f>'[1]COMEDORES EMERGENTES'!$G$4</f>
        <v>AV. RIVIERA DEL VALLE ENTRE FLORIDA Y SANTA FE</v>
      </c>
    </row>
    <row r="330" spans="2:5" x14ac:dyDescent="0.2">
      <c r="B330" s="178" t="str">
        <f>'[1]COMEDORES EMERGENTES'!$B$5</f>
        <v>C.I.F - RIVERA DEL VALLE - DILORENZO</v>
      </c>
      <c r="C330" s="179"/>
      <c r="D330" s="108" t="s">
        <v>204</v>
      </c>
      <c r="E330" s="109" t="str">
        <f>'[1]COMEDORES EMERGENTES'!$G$5</f>
        <v>Bº RIVERA DEL VALLE ENTRE VILLA EUMELIA Y MONTE CRISTO</v>
      </c>
    </row>
    <row r="331" spans="2:5" x14ac:dyDescent="0.2">
      <c r="B331" s="178" t="str">
        <f>'[1]COMEDORES EMERGENTES'!$B$6</f>
        <v>ESFUERZO PROPIO- Bº ALTOS DE CHOYA</v>
      </c>
      <c r="C331" s="179"/>
      <c r="D331" s="108" t="s">
        <v>205</v>
      </c>
      <c r="E331" s="109" t="str">
        <f>'[1]COMEDORES EMERGENTES'!$G$6</f>
        <v>Bº MUNICIPAL 35VV. NORTE C/14</v>
      </c>
    </row>
    <row r="332" spans="2:5" x14ac:dyDescent="0.2">
      <c r="B332" s="178" t="str">
        <f>'[1]COMEDORES EMERGENTES'!$B$7</f>
        <v>ANGELITOS - LOTEO SUSSEX</v>
      </c>
      <c r="C332" s="179"/>
      <c r="D332" s="108" t="s">
        <v>186</v>
      </c>
      <c r="E332" s="109" t="str">
        <f>'[1]COMEDORES EMERGENTES'!$G$7</f>
        <v>Bº LOTEO SUSEX MZA.Nº 4 LOTE Nº3</v>
      </c>
    </row>
    <row r="333" spans="2:5" x14ac:dyDescent="0.2">
      <c r="B333" s="178" t="str">
        <f>'[1]COMEDORES EMERGENTES'!$B$8</f>
        <v>CLUB DEPORTIVO CHACARITA</v>
      </c>
      <c r="C333" s="179"/>
      <c r="D333" s="108" t="s">
        <v>196</v>
      </c>
      <c r="E333" s="109" t="str">
        <f>'[1]COMEDORES EMERGENTES'!$G$8</f>
        <v>CALLE DR.DERMIDIO GALINDEZ C/2660</v>
      </c>
    </row>
    <row r="334" spans="2:5" x14ac:dyDescent="0.2">
      <c r="B334" s="178" t="str">
        <f>'[1]COMEDORES EMERGENTES'!$B$9</f>
        <v>LA MORO</v>
      </c>
      <c r="C334" s="179"/>
      <c r="D334" s="108" t="s">
        <v>197</v>
      </c>
      <c r="E334" s="109" t="str">
        <f>'[1]COMEDORES EMERGENTES'!$G$9</f>
        <v>MAIPU NORTE 1º ETAPA MZA "H" Bº MI JARDIN</v>
      </c>
    </row>
    <row r="335" spans="2:5" x14ac:dyDescent="0.2">
      <c r="B335" s="178" t="str">
        <f>'[1]COMEDORES EMERGENTES'!$B$10</f>
        <v>PAPA FRANCISCO</v>
      </c>
      <c r="C335" s="179"/>
      <c r="D335" s="108" t="s">
        <v>206</v>
      </c>
      <c r="E335" s="109" t="str">
        <f>'[1]COMEDORES EMERGENTES'!$G$10</f>
        <v>ENTRE AV.TEREBINTO Y AV.SAN JUAN LOTE "2" MZA. "B"</v>
      </c>
    </row>
    <row r="336" spans="2:5" x14ac:dyDescent="0.2">
      <c r="B336" s="178" t="str">
        <f>'[1]COMEDORES EMERGENTES'!$B$11</f>
        <v>E.P.C - 100 V.V NORTE</v>
      </c>
      <c r="C336" s="179"/>
      <c r="D336" s="108" t="s">
        <v>207</v>
      </c>
      <c r="E336" s="109" t="str">
        <f>'[1]COMEDORES EMERGENTES'!$G$11</f>
        <v>Bº VV NORTE C/48 ENTRE ESPAÑA Y FRANCIA</v>
      </c>
    </row>
    <row r="337" spans="2:5" x14ac:dyDescent="0.2">
      <c r="B337" s="178" t="str">
        <f>'[1]COMEDORES EMERGENTES'!$B$12</f>
        <v>HOGAR DE CRISTO - PADRE RAUL CONTRERAS</v>
      </c>
      <c r="C337" s="179"/>
      <c r="D337" s="108" t="s">
        <v>207</v>
      </c>
      <c r="E337" s="109" t="str">
        <f>'[1]COMEDORES EMERGENTES'!$G$12</f>
        <v>Bº SANTA MARTA MZA. "S" LOTE "M" C/39</v>
      </c>
    </row>
    <row r="338" spans="2:5" x14ac:dyDescent="0.2">
      <c r="B338" s="178" t="str">
        <f>'[1]COMEDORES EMERGENTES'!$B$13</f>
        <v>LA LUCIERNAGA</v>
      </c>
      <c r="C338" s="179"/>
      <c r="D338" s="108" t="s">
        <v>206</v>
      </c>
      <c r="E338" s="109" t="str">
        <f>'[1]COMEDORES EMERGENTES'!$G$13</f>
        <v>Bº 20 V.V NORTE C/3</v>
      </c>
    </row>
    <row r="339" spans="2:5" x14ac:dyDescent="0.2">
      <c r="B339" s="178" t="str">
        <f>'[1]COMEDORES EMERGENTES'!$B$14</f>
        <v>VALLE VIEJO - SUMALAO</v>
      </c>
      <c r="C339" s="179"/>
      <c r="D339" s="108" t="s">
        <v>208</v>
      </c>
      <c r="E339" s="109" t="str">
        <f>'[1]COMEDORES EMERGENTES'!$G$14</f>
        <v>PADRE SEGURA S/N</v>
      </c>
    </row>
    <row r="340" spans="2:5" x14ac:dyDescent="0.2">
      <c r="B340" s="178" t="str">
        <f>'[1]COMEDORES EMERGENTES'!$B$15</f>
        <v>NUESTRO FUTURO - LAS VIAS</v>
      </c>
      <c r="C340" s="179"/>
      <c r="D340" s="108" t="s">
        <v>206</v>
      </c>
      <c r="E340" s="109" t="str">
        <f>'[1]COMEDORES EMERGENTES'!$G$15</f>
        <v>Bº LAS VIAS OESTE LOTE 42</v>
      </c>
    </row>
    <row r="341" spans="2:5" x14ac:dyDescent="0.2">
      <c r="B341" s="178" t="str">
        <f>'[1]COMEDORES EMERGENTES'!$B$16</f>
        <v>SAN JOSE OBRERO</v>
      </c>
      <c r="C341" s="179"/>
      <c r="D341" s="108" t="s">
        <v>196</v>
      </c>
      <c r="E341" s="109" t="str">
        <f>'[1]COMEDORES EMERGENTES'!$G$16</f>
        <v>Bº SAN JOSE OBRERO. PJE. SANDOVAL S/Nº</v>
      </c>
    </row>
    <row r="342" spans="2:5" x14ac:dyDescent="0.2">
      <c r="B342" s="178" t="str">
        <f>'[1]COMEDORES EMERGENTES'!$B$17</f>
        <v>VIRGEN DE LUJAN</v>
      </c>
      <c r="C342" s="179"/>
      <c r="D342" s="108" t="s">
        <v>206</v>
      </c>
      <c r="E342" s="109" t="str">
        <f>'[1]COMEDORES EMERGENTES'!$G$17</f>
        <v>Bº OJO DE AGUA C/DR.TEODULFO BARRIONUEVO S/Nº</v>
      </c>
    </row>
    <row r="343" spans="2:5" x14ac:dyDescent="0.2">
      <c r="B343" s="178" t="str">
        <f>'[1]COMEDORES EMERGENTES'!$B$18</f>
        <v>RENACER</v>
      </c>
      <c r="C343" s="179"/>
      <c r="D343" s="108" t="s">
        <v>194</v>
      </c>
      <c r="E343" s="109" t="str">
        <f>'[1]COMEDORES EMERGENTES'!$G$18</f>
        <v>Bº VIRGEN MORENITA</v>
      </c>
    </row>
    <row r="344" spans="2:5" x14ac:dyDescent="0.2">
      <c r="B344" s="178" t="str">
        <f>'[1]COMEDORES EMERGENTES'!$B$19</f>
        <v>CENTRO VECINAL MI JARDIN</v>
      </c>
      <c r="C344" s="179"/>
      <c r="D344" s="108" t="s">
        <v>195</v>
      </c>
      <c r="E344" s="109" t="str">
        <f>'[1]COMEDORES EMERGENTES'!$G$19</f>
        <v>C/ LOS TULIPANES ENTRE FLOR DE CEREZO Y HOLANDA MZA.27 Bº MI JARDIN</v>
      </c>
    </row>
    <row r="345" spans="2:5" x14ac:dyDescent="0.2">
      <c r="B345" s="178" t="str">
        <f>'[1]COMEDORES EMERGENTES'!$B$20</f>
        <v>LA VIEJA ESQUINA</v>
      </c>
      <c r="C345" s="179"/>
      <c r="D345" s="108" t="s">
        <v>209</v>
      </c>
      <c r="E345" s="109" t="str">
        <f>'[1]COMEDORES EMERGENTES'!$G$20</f>
        <v>B° CRISTO REY PJE CAPATAZ VILLAFAÑEZ Y ARMANDO CORREA</v>
      </c>
    </row>
    <row r="346" spans="2:5" x14ac:dyDescent="0.2">
      <c r="B346" s="178" t="str">
        <f>'[1]COMEDORES EMERGENTES'!$B$21</f>
        <v>GAUCHITO GIL</v>
      </c>
      <c r="C346" s="179"/>
      <c r="D346" s="108" t="s">
        <v>210</v>
      </c>
      <c r="E346" s="109" t="str">
        <f>'[1]COMEDORES EMERGENTES'!$G$21</f>
        <v>B° 26 VIVIENDAS CASA N° 3</v>
      </c>
    </row>
    <row r="347" spans="2:5" ht="13.5" thickBot="1" x14ac:dyDescent="0.25">
      <c r="B347" s="195" t="str">
        <f>'[1]COMEDORES EMERGENTES'!$B$22</f>
        <v>LOS TOLDOS</v>
      </c>
      <c r="C347" s="196"/>
      <c r="D347" s="115" t="s">
        <v>184</v>
      </c>
      <c r="E347" s="116" t="str">
        <f>'[1]COMEDORES EMERGENTES'!$G$22</f>
        <v>LOTEO PARQUE SUR CALLE S/NOMBRE S/N°</v>
      </c>
    </row>
    <row r="348" spans="2:5" x14ac:dyDescent="0.2">
      <c r="B348" s="33" t="s">
        <v>18</v>
      </c>
      <c r="C348" s="31"/>
      <c r="D348" s="72"/>
      <c r="E348" s="32"/>
    </row>
    <row r="349" spans="2:5" ht="12.75" customHeight="1" x14ac:dyDescent="0.2">
      <c r="B349" s="34"/>
      <c r="C349" s="194" t="s">
        <v>62</v>
      </c>
      <c r="D349" s="194"/>
      <c r="E349" s="194"/>
    </row>
    <row r="350" spans="2:5" x14ac:dyDescent="0.2">
      <c r="B350" s="33" t="s">
        <v>19</v>
      </c>
      <c r="C350" s="35"/>
      <c r="D350" s="35"/>
      <c r="E350" s="36"/>
    </row>
    <row r="351" spans="2:5" ht="14.25" customHeight="1" x14ac:dyDescent="0.2">
      <c r="B351" s="34"/>
      <c r="C351" s="194" t="s">
        <v>139</v>
      </c>
      <c r="D351" s="194"/>
      <c r="E351" s="194"/>
    </row>
    <row r="352" spans="2:5" x14ac:dyDescent="0.2">
      <c r="B352" s="33" t="s">
        <v>20</v>
      </c>
      <c r="C352" s="31"/>
      <c r="D352" s="72"/>
      <c r="E352" s="32"/>
    </row>
    <row r="353" spans="2:5" ht="11.25" customHeight="1" x14ac:dyDescent="0.2">
      <c r="B353" s="33"/>
      <c r="C353" s="193" t="s">
        <v>63</v>
      </c>
      <c r="D353" s="193"/>
      <c r="E353" s="193"/>
    </row>
    <row r="354" spans="2:5" ht="13.5" thickBot="1" x14ac:dyDescent="0.25">
      <c r="B354" s="37"/>
      <c r="C354" s="38"/>
      <c r="D354" s="73"/>
      <c r="E354" s="39"/>
    </row>
    <row r="355" spans="2:5" ht="13.5" thickBot="1" x14ac:dyDescent="0.25"/>
    <row r="356" spans="2:5" x14ac:dyDescent="0.2">
      <c r="B356" s="27" t="s">
        <v>146</v>
      </c>
      <c r="C356" s="28"/>
      <c r="D356" s="71"/>
      <c r="E356" s="29"/>
    </row>
    <row r="357" spans="2:5" ht="5.25" customHeight="1" x14ac:dyDescent="0.2">
      <c r="B357" s="30"/>
      <c r="C357" s="31"/>
      <c r="D357" s="72"/>
      <c r="E357" s="32"/>
    </row>
    <row r="358" spans="2:5" x14ac:dyDescent="0.2">
      <c r="B358" s="33" t="s">
        <v>16</v>
      </c>
      <c r="C358" s="31"/>
      <c r="D358" s="72"/>
      <c r="E358" s="32"/>
    </row>
    <row r="359" spans="2:5" ht="25.5" customHeight="1" x14ac:dyDescent="0.2">
      <c r="B359" s="33"/>
      <c r="C359" s="194"/>
      <c r="D359" s="194"/>
      <c r="E359" s="194"/>
    </row>
    <row r="360" spans="2:5" ht="13.5" thickBot="1" x14ac:dyDescent="0.25">
      <c r="B360" s="33" t="s">
        <v>17</v>
      </c>
      <c r="C360" s="31"/>
      <c r="D360" s="72"/>
      <c r="E360" s="32"/>
    </row>
    <row r="361" spans="2:5" ht="13.5" thickBot="1" x14ac:dyDescent="0.25">
      <c r="B361" s="180" t="s">
        <v>136</v>
      </c>
      <c r="C361" s="181"/>
      <c r="D361" s="181"/>
      <c r="E361" s="182"/>
    </row>
    <row r="362" spans="2:5" ht="13.5" thickBot="1" x14ac:dyDescent="0.25">
      <c r="B362" s="180" t="s">
        <v>137</v>
      </c>
      <c r="C362" s="182"/>
      <c r="D362" s="69" t="s">
        <v>11</v>
      </c>
      <c r="E362" s="69" t="s">
        <v>138</v>
      </c>
    </row>
    <row r="363" spans="2:5" x14ac:dyDescent="0.2">
      <c r="B363" s="187" t="str">
        <f>'[1]COMEDORES EMERGENTES'!$B$3</f>
        <v>UNA SONRISA AV. LOS COBACHO</v>
      </c>
      <c r="C363" s="188"/>
      <c r="D363" s="113" t="s">
        <v>206</v>
      </c>
      <c r="E363" s="114" t="str">
        <f>'[1]COMEDORES EMERGENTES'!$G$3</f>
        <v>Bº SAN CARLOS OESTE AV. Bonifacio cobacho 670</v>
      </c>
    </row>
    <row r="364" spans="2:5" x14ac:dyDescent="0.2">
      <c r="B364" s="178" t="str">
        <f>'[1]COMEDORES EMERGENTES'!$B$4</f>
        <v>C.I.F Nº1 - RIVERA DEL VALLE Y FLORIDA</v>
      </c>
      <c r="C364" s="179"/>
      <c r="D364" s="108" t="s">
        <v>211</v>
      </c>
      <c r="E364" s="109" t="str">
        <f>'[1]COMEDORES EMERGENTES'!$G$4</f>
        <v>AV. RIVIERA DEL VALLE ENTRE FLORIDA Y SANTA FE</v>
      </c>
    </row>
    <row r="365" spans="2:5" x14ac:dyDescent="0.2">
      <c r="B365" s="178" t="str">
        <f>'[1]COMEDORES EMERGENTES'!$B$5</f>
        <v>C.I.F - RIVERA DEL VALLE - DILORENZO</v>
      </c>
      <c r="C365" s="179"/>
      <c r="D365" s="108" t="s">
        <v>212</v>
      </c>
      <c r="E365" s="109" t="str">
        <f>'[1]COMEDORES EMERGENTES'!$G$5</f>
        <v>Bº RIVERA DEL VALLE ENTRE VILLA EUMELIA Y MONTE CRISTO</v>
      </c>
    </row>
    <row r="366" spans="2:5" x14ac:dyDescent="0.2">
      <c r="B366" s="178" t="str">
        <f>'[1]COMEDORES EMERGENTES'!$B$6</f>
        <v>ESFUERZO PROPIO- Bº ALTOS DE CHOYA</v>
      </c>
      <c r="C366" s="179"/>
      <c r="D366" s="108" t="s">
        <v>213</v>
      </c>
      <c r="E366" s="109" t="str">
        <f>'[1]COMEDORES EMERGENTES'!$G$6</f>
        <v>Bº MUNICIPAL 35VV. NORTE C/14</v>
      </c>
    </row>
    <row r="367" spans="2:5" x14ac:dyDescent="0.2">
      <c r="B367" s="178" t="str">
        <f>'[1]COMEDORES EMERGENTES'!$B$7</f>
        <v>ANGELITOS - LOTEO SUSSEX</v>
      </c>
      <c r="C367" s="179"/>
      <c r="D367" s="108" t="s">
        <v>169</v>
      </c>
      <c r="E367" s="109" t="str">
        <f>'[1]COMEDORES EMERGENTES'!$G$7</f>
        <v>Bº LOTEO SUSEX MZA.Nº 4 LOTE Nº3</v>
      </c>
    </row>
    <row r="368" spans="2:5" x14ac:dyDescent="0.2">
      <c r="B368" s="178" t="str">
        <f>'[1]COMEDORES EMERGENTES'!$B$8</f>
        <v>CLUB DEPORTIVO CHACARITA</v>
      </c>
      <c r="C368" s="179"/>
      <c r="D368" s="108" t="s">
        <v>189</v>
      </c>
      <c r="E368" s="109" t="str">
        <f>'[1]COMEDORES EMERGENTES'!$G$8</f>
        <v>CALLE DR.DERMIDIO GALINDEZ C/2660</v>
      </c>
    </row>
    <row r="369" spans="2:5" x14ac:dyDescent="0.2">
      <c r="B369" s="178" t="str">
        <f>'[1]COMEDORES EMERGENTES'!$B$9</f>
        <v>LA MORO</v>
      </c>
      <c r="C369" s="179"/>
      <c r="D369" s="108" t="s">
        <v>214</v>
      </c>
      <c r="E369" s="109" t="str">
        <f>'[1]COMEDORES EMERGENTES'!$G$9</f>
        <v>MAIPU NORTE 1º ETAPA MZA "H" Bº MI JARDIN</v>
      </c>
    </row>
    <row r="370" spans="2:5" x14ac:dyDescent="0.2">
      <c r="B370" s="178" t="str">
        <f>'[1]COMEDORES EMERGENTES'!$B$10</f>
        <v>PAPA FRANCISCO</v>
      </c>
      <c r="C370" s="179"/>
      <c r="D370" s="108" t="s">
        <v>194</v>
      </c>
      <c r="E370" s="109" t="str">
        <f>'[1]COMEDORES EMERGENTES'!$G$10</f>
        <v>ENTRE AV.TEREBINTO Y AV.SAN JUAN LOTE "2" MZA. "B"</v>
      </c>
    </row>
    <row r="371" spans="2:5" x14ac:dyDescent="0.2">
      <c r="B371" s="178" t="str">
        <f>'[1]COMEDORES EMERGENTES'!$B$11</f>
        <v>E.P.C - 100 V.V NORTE</v>
      </c>
      <c r="C371" s="179"/>
      <c r="D371" s="108" t="s">
        <v>215</v>
      </c>
      <c r="E371" s="109" t="str">
        <f>'[1]COMEDORES EMERGENTES'!$G$11</f>
        <v>Bº VV NORTE C/48 ENTRE ESPAÑA Y FRANCIA</v>
      </c>
    </row>
    <row r="372" spans="2:5" x14ac:dyDescent="0.2">
      <c r="B372" s="178" t="str">
        <f>'[1]COMEDORES EMERGENTES'!$B$12</f>
        <v>HOGAR DE CRISTO - PADRE RAUL CONTRERAS</v>
      </c>
      <c r="C372" s="179"/>
      <c r="D372" s="108" t="s">
        <v>215</v>
      </c>
      <c r="E372" s="109" t="str">
        <f>'[1]COMEDORES EMERGENTES'!$G$12</f>
        <v>Bº SANTA MARTA MZA. "S" LOTE "M" C/39</v>
      </c>
    </row>
    <row r="373" spans="2:5" x14ac:dyDescent="0.2">
      <c r="B373" s="178" t="str">
        <f>'[1]COMEDORES EMERGENTES'!$B$13</f>
        <v>LA LUCIERNAGA</v>
      </c>
      <c r="C373" s="179"/>
      <c r="D373" s="108" t="s">
        <v>194</v>
      </c>
      <c r="E373" s="109" t="str">
        <f>'[1]COMEDORES EMERGENTES'!$G$13</f>
        <v>Bº 20 V.V NORTE C/3</v>
      </c>
    </row>
    <row r="374" spans="2:5" x14ac:dyDescent="0.2">
      <c r="B374" s="178" t="str">
        <f>'[1]COMEDORES EMERGENTES'!$B$14</f>
        <v>VALLE VIEJO - SUMALAO</v>
      </c>
      <c r="C374" s="179"/>
      <c r="D374" s="108" t="s">
        <v>216</v>
      </c>
      <c r="E374" s="109" t="str">
        <f>'[1]COMEDORES EMERGENTES'!$G$14</f>
        <v>PADRE SEGURA S/N</v>
      </c>
    </row>
    <row r="375" spans="2:5" x14ac:dyDescent="0.2">
      <c r="B375" s="178" t="str">
        <f>'[1]COMEDORES EMERGENTES'!$B$15</f>
        <v>NUESTRO FUTURO - LAS VIAS</v>
      </c>
      <c r="C375" s="179"/>
      <c r="D375" s="108" t="s">
        <v>194</v>
      </c>
      <c r="E375" s="109" t="str">
        <f>'[1]COMEDORES EMERGENTES'!$G$15</f>
        <v>Bº LAS VIAS OESTE LOTE 42</v>
      </c>
    </row>
    <row r="376" spans="2:5" x14ac:dyDescent="0.2">
      <c r="B376" s="178" t="str">
        <f>'[1]COMEDORES EMERGENTES'!$B$16</f>
        <v>SAN JOSE OBRERO</v>
      </c>
      <c r="C376" s="179"/>
      <c r="D376" s="108" t="s">
        <v>189</v>
      </c>
      <c r="E376" s="109" t="str">
        <f>'[1]COMEDORES EMERGENTES'!$G$16</f>
        <v>Bº SAN JOSE OBRERO. PJE. SANDOVAL S/Nº</v>
      </c>
    </row>
    <row r="377" spans="2:5" x14ac:dyDescent="0.2">
      <c r="B377" s="178" t="str">
        <f>'[1]COMEDORES EMERGENTES'!$B$17</f>
        <v>VIRGEN DE LUJAN</v>
      </c>
      <c r="C377" s="179"/>
      <c r="D377" s="108" t="s">
        <v>194</v>
      </c>
      <c r="E377" s="109" t="str">
        <f>'[1]COMEDORES EMERGENTES'!$G$17</f>
        <v>Bº OJO DE AGUA C/DR.TEODULFO BARRIONUEVO S/Nº</v>
      </c>
    </row>
    <row r="378" spans="2:5" x14ac:dyDescent="0.2">
      <c r="B378" s="178" t="str">
        <f>'[1]COMEDORES EMERGENTES'!$B$18</f>
        <v>RENACER</v>
      </c>
      <c r="C378" s="179"/>
      <c r="D378" s="108" t="s">
        <v>217</v>
      </c>
      <c r="E378" s="109" t="str">
        <f>'[1]COMEDORES EMERGENTES'!$G$18</f>
        <v>Bº VIRGEN MORENITA</v>
      </c>
    </row>
    <row r="379" spans="2:5" x14ac:dyDescent="0.2">
      <c r="B379" s="178" t="str">
        <f>'[1]COMEDORES EMERGENTES'!$B$19</f>
        <v>CENTRO VECINAL MI JARDIN</v>
      </c>
      <c r="C379" s="179"/>
      <c r="D379" s="108" t="s">
        <v>218</v>
      </c>
      <c r="E379" s="109" t="str">
        <f>'[1]COMEDORES EMERGENTES'!$G$19</f>
        <v>C/ LOS TULIPANES ENTRE FLOR DE CEREZO Y HOLANDA MZA.27 Bº MI JARDIN</v>
      </c>
    </row>
    <row r="380" spans="2:5" x14ac:dyDescent="0.2">
      <c r="B380" s="178" t="str">
        <f>'[1]COMEDORES EMERGENTES'!$B$20</f>
        <v>LA VIEJA ESQUINA</v>
      </c>
      <c r="C380" s="179"/>
      <c r="D380" s="108" t="s">
        <v>193</v>
      </c>
      <c r="E380" s="109" t="str">
        <f>'[1]COMEDORES EMERGENTES'!$G$20</f>
        <v>B° CRISTO REY PJE CAPATAZ VILLAFAÑEZ Y ARMANDO CORREA</v>
      </c>
    </row>
    <row r="381" spans="2:5" x14ac:dyDescent="0.2">
      <c r="B381" s="178" t="str">
        <f>'[1]COMEDORES EMERGENTES'!$B$21</f>
        <v>GAUCHITO GIL</v>
      </c>
      <c r="C381" s="179"/>
      <c r="D381" s="108" t="s">
        <v>219</v>
      </c>
      <c r="E381" s="109" t="str">
        <f>'[1]COMEDORES EMERGENTES'!$G$21</f>
        <v>B° 26 VIVIENDAS CASA N° 3</v>
      </c>
    </row>
    <row r="382" spans="2:5" ht="13.5" thickBot="1" x14ac:dyDescent="0.25">
      <c r="B382" s="195" t="str">
        <f>'[1]COMEDORES EMERGENTES'!$B$22</f>
        <v>LOS TOLDOS</v>
      </c>
      <c r="C382" s="196"/>
      <c r="D382" s="115" t="s">
        <v>186</v>
      </c>
      <c r="E382" s="116" t="str">
        <f>'[1]COMEDORES EMERGENTES'!$G$22</f>
        <v>LOTEO PARQUE SUR CALLE S/NOMBRE S/N°</v>
      </c>
    </row>
    <row r="383" spans="2:5" x14ac:dyDescent="0.2">
      <c r="B383" s="33" t="s">
        <v>18</v>
      </c>
      <c r="C383" s="31"/>
      <c r="D383" s="72"/>
      <c r="E383" s="32"/>
    </row>
    <row r="384" spans="2:5" ht="12.75" customHeight="1" x14ac:dyDescent="0.2">
      <c r="B384" s="34"/>
      <c r="C384" s="194" t="s">
        <v>62</v>
      </c>
      <c r="D384" s="194"/>
      <c r="E384" s="194"/>
    </row>
    <row r="385" spans="2:5" x14ac:dyDescent="0.2">
      <c r="B385" s="33" t="s">
        <v>19</v>
      </c>
      <c r="C385" s="35"/>
      <c r="D385" s="35"/>
      <c r="E385" s="36"/>
    </row>
    <row r="386" spans="2:5" ht="14.25" customHeight="1" x14ac:dyDescent="0.2">
      <c r="B386" s="34"/>
      <c r="C386" s="194" t="s">
        <v>139</v>
      </c>
      <c r="D386" s="194"/>
      <c r="E386" s="194"/>
    </row>
    <row r="387" spans="2:5" x14ac:dyDescent="0.2">
      <c r="B387" s="33" t="s">
        <v>20</v>
      </c>
      <c r="C387" s="31"/>
      <c r="D387" s="72"/>
      <c r="E387" s="32"/>
    </row>
    <row r="388" spans="2:5" ht="11.25" customHeight="1" x14ac:dyDescent="0.2">
      <c r="B388" s="33"/>
      <c r="C388" s="193" t="s">
        <v>63</v>
      </c>
      <c r="D388" s="193"/>
      <c r="E388" s="193"/>
    </row>
    <row r="389" spans="2:5" ht="13.5" thickBot="1" x14ac:dyDescent="0.25">
      <c r="B389" s="37"/>
      <c r="C389" s="38"/>
      <c r="D389" s="73"/>
      <c r="E389" s="39"/>
    </row>
    <row r="390" spans="2:5" ht="13.5" thickBot="1" x14ac:dyDescent="0.25"/>
    <row r="391" spans="2:5" x14ac:dyDescent="0.2">
      <c r="B391" s="27" t="s">
        <v>147</v>
      </c>
      <c r="C391" s="28"/>
      <c r="D391" s="71"/>
      <c r="E391" s="29"/>
    </row>
    <row r="392" spans="2:5" ht="5.25" customHeight="1" x14ac:dyDescent="0.2">
      <c r="B392" s="30"/>
      <c r="C392" s="31"/>
      <c r="D392" s="72"/>
      <c r="E392" s="32"/>
    </row>
    <row r="393" spans="2:5" x14ac:dyDescent="0.2">
      <c r="B393" s="33" t="s">
        <v>16</v>
      </c>
      <c r="C393" s="31"/>
      <c r="D393" s="72"/>
      <c r="E393" s="32"/>
    </row>
    <row r="394" spans="2:5" ht="25.5" customHeight="1" x14ac:dyDescent="0.2">
      <c r="B394" s="33"/>
      <c r="C394" s="194"/>
      <c r="D394" s="194"/>
      <c r="E394" s="194"/>
    </row>
    <row r="395" spans="2:5" ht="13.5" thickBot="1" x14ac:dyDescent="0.25">
      <c r="B395" s="33" t="s">
        <v>17</v>
      </c>
      <c r="C395" s="31"/>
      <c r="D395" s="72"/>
      <c r="E395" s="32"/>
    </row>
    <row r="396" spans="2:5" ht="13.5" thickBot="1" x14ac:dyDescent="0.25">
      <c r="B396" s="180" t="s">
        <v>136</v>
      </c>
      <c r="C396" s="181"/>
      <c r="D396" s="181"/>
      <c r="E396" s="182"/>
    </row>
    <row r="397" spans="2:5" ht="13.5" thickBot="1" x14ac:dyDescent="0.25">
      <c r="B397" s="180" t="s">
        <v>137</v>
      </c>
      <c r="C397" s="182"/>
      <c r="D397" s="69" t="s">
        <v>11</v>
      </c>
      <c r="E397" s="69" t="s">
        <v>138</v>
      </c>
    </row>
    <row r="398" spans="2:5" x14ac:dyDescent="0.2">
      <c r="B398" s="187" t="str">
        <f>'[1]COMEDORES EMERGENTES'!$B$3</f>
        <v>UNA SONRISA AV. LOS COBACHO</v>
      </c>
      <c r="C398" s="188"/>
      <c r="D398" s="113" t="s">
        <v>169</v>
      </c>
      <c r="E398" s="114" t="str">
        <f>'[1]COMEDORES EMERGENTES'!$G$3</f>
        <v>Bº SAN CARLOS OESTE AV. Bonifacio cobacho 670</v>
      </c>
    </row>
    <row r="399" spans="2:5" x14ac:dyDescent="0.2">
      <c r="B399" s="178" t="str">
        <f>'[1]COMEDORES EMERGENTES'!$B$4</f>
        <v>C.I.F Nº1 - RIVERA DEL VALLE Y FLORIDA</v>
      </c>
      <c r="C399" s="179"/>
      <c r="D399" s="108" t="s">
        <v>220</v>
      </c>
      <c r="E399" s="109" t="str">
        <f>'[1]COMEDORES EMERGENTES'!$G$4</f>
        <v>AV. RIVIERA DEL VALLE ENTRE FLORIDA Y SANTA FE</v>
      </c>
    </row>
    <row r="400" spans="2:5" x14ac:dyDescent="0.2">
      <c r="B400" s="178" t="str">
        <f>'[1]COMEDORES EMERGENTES'!$B$5</f>
        <v>C.I.F - RIVERA DEL VALLE - DILORENZO</v>
      </c>
      <c r="C400" s="179"/>
      <c r="D400" s="108" t="s">
        <v>219</v>
      </c>
      <c r="E400" s="109" t="str">
        <f>'[1]COMEDORES EMERGENTES'!$G$5</f>
        <v>Bº RIVERA DEL VALLE ENTRE VILLA EUMELIA Y MONTE CRISTO</v>
      </c>
    </row>
    <row r="401" spans="2:5" x14ac:dyDescent="0.2">
      <c r="B401" s="178" t="str">
        <f>'[1]COMEDORES EMERGENTES'!$B$6</f>
        <v>ESFUERZO PROPIO- Bº ALTOS DE CHOYA</v>
      </c>
      <c r="C401" s="179"/>
      <c r="D401" s="108" t="s">
        <v>209</v>
      </c>
      <c r="E401" s="109" t="str">
        <f>'[1]COMEDORES EMERGENTES'!$G$6</f>
        <v>Bº MUNICIPAL 35VV. NORTE C/14</v>
      </c>
    </row>
    <row r="402" spans="2:5" x14ac:dyDescent="0.2">
      <c r="B402" s="178" t="str">
        <f>'[1]COMEDORES EMERGENTES'!$B$7</f>
        <v>ANGELITOS - LOTEO SUSSEX</v>
      </c>
      <c r="C402" s="179"/>
      <c r="D402" s="108" t="s">
        <v>184</v>
      </c>
      <c r="E402" s="109" t="str">
        <f>'[1]COMEDORES EMERGENTES'!$G$7</f>
        <v>Bº LOTEO SUSEX MZA.Nº 4 LOTE Nº3</v>
      </c>
    </row>
    <row r="403" spans="2:5" x14ac:dyDescent="0.2">
      <c r="B403" s="178" t="str">
        <f>'[1]COMEDORES EMERGENTES'!$B$8</f>
        <v>CLUB DEPORTIVO CHACARITA</v>
      </c>
      <c r="C403" s="179"/>
      <c r="D403" s="108" t="s">
        <v>221</v>
      </c>
      <c r="E403" s="109" t="str">
        <f>'[1]COMEDORES EMERGENTES'!$G$8</f>
        <v>CALLE DR.DERMIDIO GALINDEZ C/2660</v>
      </c>
    </row>
    <row r="404" spans="2:5" x14ac:dyDescent="0.2">
      <c r="B404" s="178" t="str">
        <f>'[1]COMEDORES EMERGENTES'!$B$9</f>
        <v>LA MORO</v>
      </c>
      <c r="C404" s="179"/>
      <c r="D404" s="108" t="s">
        <v>179</v>
      </c>
      <c r="E404" s="109" t="str">
        <f>'[1]COMEDORES EMERGENTES'!$G$9</f>
        <v>MAIPU NORTE 1º ETAPA MZA "H" Bº MI JARDIN</v>
      </c>
    </row>
    <row r="405" spans="2:5" x14ac:dyDescent="0.2">
      <c r="B405" s="178" t="str">
        <f>'[1]COMEDORES EMERGENTES'!$B$10</f>
        <v>PAPA FRANCISCO</v>
      </c>
      <c r="C405" s="179"/>
      <c r="D405" s="108" t="s">
        <v>191</v>
      </c>
      <c r="E405" s="109" t="str">
        <f>'[1]COMEDORES EMERGENTES'!$G$10</f>
        <v>ENTRE AV.TEREBINTO Y AV.SAN JUAN LOTE "2" MZA. "B"</v>
      </c>
    </row>
    <row r="406" spans="2:5" x14ac:dyDescent="0.2">
      <c r="B406" s="178" t="str">
        <f>'[1]COMEDORES EMERGENTES'!$B$11</f>
        <v>E.P.C - 100 V.V NORTE</v>
      </c>
      <c r="C406" s="179"/>
      <c r="D406" s="108" t="s">
        <v>222</v>
      </c>
      <c r="E406" s="109" t="str">
        <f>'[1]COMEDORES EMERGENTES'!$G$11</f>
        <v>Bº VV NORTE C/48 ENTRE ESPAÑA Y FRANCIA</v>
      </c>
    </row>
    <row r="407" spans="2:5" x14ac:dyDescent="0.2">
      <c r="B407" s="178" t="str">
        <f>'[1]COMEDORES EMERGENTES'!$B$12</f>
        <v>HOGAR DE CRISTO - PADRE RAUL CONTRERAS</v>
      </c>
      <c r="C407" s="179"/>
      <c r="D407" s="108" t="s">
        <v>222</v>
      </c>
      <c r="E407" s="109" t="str">
        <f>'[1]COMEDORES EMERGENTES'!$G$12</f>
        <v>Bº SANTA MARTA MZA. "S" LOTE "M" C/39</v>
      </c>
    </row>
    <row r="408" spans="2:5" x14ac:dyDescent="0.2">
      <c r="B408" s="178" t="str">
        <f>'[1]COMEDORES EMERGENTES'!$B$13</f>
        <v>LA LUCIERNAGA</v>
      </c>
      <c r="C408" s="179"/>
      <c r="D408" s="108" t="s">
        <v>191</v>
      </c>
      <c r="E408" s="109" t="str">
        <f>'[1]COMEDORES EMERGENTES'!$G$13</f>
        <v>Bº 20 V.V NORTE C/3</v>
      </c>
    </row>
    <row r="409" spans="2:5" x14ac:dyDescent="0.2">
      <c r="B409" s="178" t="str">
        <f>'[1]COMEDORES EMERGENTES'!$B$14</f>
        <v>VALLE VIEJO - SUMALAO</v>
      </c>
      <c r="C409" s="179"/>
      <c r="D409" s="108" t="s">
        <v>213</v>
      </c>
      <c r="E409" s="109" t="str">
        <f>'[1]COMEDORES EMERGENTES'!$G$14</f>
        <v>PADRE SEGURA S/N</v>
      </c>
    </row>
    <row r="410" spans="2:5" x14ac:dyDescent="0.2">
      <c r="B410" s="178" t="str">
        <f>'[1]COMEDORES EMERGENTES'!$B$15</f>
        <v>NUESTRO FUTURO - LAS VIAS</v>
      </c>
      <c r="C410" s="179"/>
      <c r="D410" s="108" t="s">
        <v>191</v>
      </c>
      <c r="E410" s="109" t="str">
        <f>'[1]COMEDORES EMERGENTES'!$G$15</f>
        <v>Bº LAS VIAS OESTE LOTE 42</v>
      </c>
    </row>
    <row r="411" spans="2:5" x14ac:dyDescent="0.2">
      <c r="B411" s="178" t="str">
        <f>'[1]COMEDORES EMERGENTES'!$B$16</f>
        <v>SAN JOSE OBRERO</v>
      </c>
      <c r="C411" s="179"/>
      <c r="D411" s="108" t="s">
        <v>221</v>
      </c>
      <c r="E411" s="109" t="str">
        <f>'[1]COMEDORES EMERGENTES'!$G$16</f>
        <v>Bº SAN JOSE OBRERO. PJE. SANDOVAL S/Nº</v>
      </c>
    </row>
    <row r="412" spans="2:5" x14ac:dyDescent="0.2">
      <c r="B412" s="178" t="str">
        <f>'[1]COMEDORES EMERGENTES'!$B$17</f>
        <v>VIRGEN DE LUJAN</v>
      </c>
      <c r="C412" s="179"/>
      <c r="D412" s="108" t="s">
        <v>191</v>
      </c>
      <c r="E412" s="109" t="str">
        <f>'[1]COMEDORES EMERGENTES'!$G$17</f>
        <v>Bº OJO DE AGUA C/DR.TEODULFO BARRIONUEVO S/Nº</v>
      </c>
    </row>
    <row r="413" spans="2:5" x14ac:dyDescent="0.2">
      <c r="B413" s="178" t="str">
        <f>'[1]COMEDORES EMERGENTES'!$B$18</f>
        <v>RENACER</v>
      </c>
      <c r="C413" s="179"/>
      <c r="D413" s="108" t="s">
        <v>223</v>
      </c>
      <c r="E413" s="109" t="str">
        <f>'[1]COMEDORES EMERGENTES'!$G$18</f>
        <v>Bº VIRGEN MORENITA</v>
      </c>
    </row>
    <row r="414" spans="2:5" x14ac:dyDescent="0.2">
      <c r="B414" s="178" t="str">
        <f>'[1]COMEDORES EMERGENTES'!$B$19</f>
        <v>CENTRO VECINAL MI JARDIN</v>
      </c>
      <c r="C414" s="179"/>
      <c r="D414" s="108" t="s">
        <v>192</v>
      </c>
      <c r="E414" s="109" t="str">
        <f>'[1]COMEDORES EMERGENTES'!$G$19</f>
        <v>C/ LOS TULIPANES ENTRE FLOR DE CEREZO Y HOLANDA MZA.27 Bº MI JARDIN</v>
      </c>
    </row>
    <row r="415" spans="2:5" x14ac:dyDescent="0.2">
      <c r="B415" s="178" t="str">
        <f>'[1]COMEDORES EMERGENTES'!$B$20</f>
        <v>LA VIEJA ESQUINA</v>
      </c>
      <c r="C415" s="179"/>
      <c r="D415" s="108" t="s">
        <v>177</v>
      </c>
      <c r="E415" s="109" t="str">
        <f>'[1]COMEDORES EMERGENTES'!$G$20</f>
        <v>B° CRISTO REY PJE CAPATAZ VILLAFAÑEZ Y ARMANDO CORREA</v>
      </c>
    </row>
    <row r="416" spans="2:5" x14ac:dyDescent="0.2">
      <c r="B416" s="178" t="str">
        <f>'[1]COMEDORES EMERGENTES'!$B$21</f>
        <v>GAUCHITO GIL</v>
      </c>
      <c r="C416" s="179"/>
      <c r="D416" s="108" t="s">
        <v>224</v>
      </c>
      <c r="E416" s="109" t="str">
        <f>'[1]COMEDORES EMERGENTES'!$G$21</f>
        <v>B° 26 VIVIENDAS CASA N° 3</v>
      </c>
    </row>
    <row r="417" spans="2:5" ht="13.5" thickBot="1" x14ac:dyDescent="0.25">
      <c r="B417" s="195" t="str">
        <f>'[1]COMEDORES EMERGENTES'!$B$22</f>
        <v>LOS TOLDOS</v>
      </c>
      <c r="C417" s="196"/>
      <c r="D417" s="115" t="s">
        <v>168</v>
      </c>
      <c r="E417" s="116" t="str">
        <f>'[1]COMEDORES EMERGENTES'!$G$22</f>
        <v>LOTEO PARQUE SUR CALLE S/NOMBRE S/N°</v>
      </c>
    </row>
    <row r="418" spans="2:5" x14ac:dyDescent="0.2">
      <c r="B418" s="33" t="s">
        <v>18</v>
      </c>
      <c r="C418" s="31"/>
      <c r="D418" s="72"/>
      <c r="E418" s="32"/>
    </row>
    <row r="419" spans="2:5" ht="12.75" customHeight="1" x14ac:dyDescent="0.2">
      <c r="B419" s="34"/>
      <c r="C419" s="194" t="s">
        <v>62</v>
      </c>
      <c r="D419" s="194"/>
      <c r="E419" s="194"/>
    </row>
    <row r="420" spans="2:5" x14ac:dyDescent="0.2">
      <c r="B420" s="33" t="s">
        <v>19</v>
      </c>
      <c r="C420" s="35"/>
      <c r="D420" s="35"/>
      <c r="E420" s="36"/>
    </row>
    <row r="421" spans="2:5" ht="14.25" customHeight="1" x14ac:dyDescent="0.2">
      <c r="B421" s="34"/>
      <c r="C421" s="194" t="s">
        <v>139</v>
      </c>
      <c r="D421" s="194"/>
      <c r="E421" s="194"/>
    </row>
    <row r="422" spans="2:5" x14ac:dyDescent="0.2">
      <c r="B422" s="33" t="s">
        <v>20</v>
      </c>
      <c r="C422" s="31"/>
      <c r="D422" s="72"/>
      <c r="E422" s="32"/>
    </row>
    <row r="423" spans="2:5" ht="11.25" customHeight="1" x14ac:dyDescent="0.2">
      <c r="B423" s="33"/>
      <c r="C423" s="193" t="s">
        <v>63</v>
      </c>
      <c r="D423" s="193"/>
      <c r="E423" s="193"/>
    </row>
    <row r="424" spans="2:5" ht="13.5" thickBot="1" x14ac:dyDescent="0.25">
      <c r="B424" s="37"/>
      <c r="C424" s="38"/>
      <c r="D424" s="73"/>
      <c r="E424" s="39"/>
    </row>
    <row r="425" spans="2:5" ht="13.5" thickBot="1" x14ac:dyDescent="0.25"/>
    <row r="426" spans="2:5" x14ac:dyDescent="0.2">
      <c r="B426" s="27" t="s">
        <v>148</v>
      </c>
      <c r="C426" s="28"/>
      <c r="D426" s="71"/>
      <c r="E426" s="29"/>
    </row>
    <row r="427" spans="2:5" x14ac:dyDescent="0.2">
      <c r="B427" s="30"/>
      <c r="C427" s="31"/>
      <c r="D427" s="72"/>
      <c r="E427" s="32"/>
    </row>
    <row r="428" spans="2:5" x14ac:dyDescent="0.2">
      <c r="B428" s="33" t="s">
        <v>16</v>
      </c>
      <c r="C428" s="31"/>
      <c r="D428" s="72"/>
      <c r="E428" s="32"/>
    </row>
    <row r="429" spans="2:5" ht="25.5" customHeight="1" x14ac:dyDescent="0.2">
      <c r="B429" s="33"/>
      <c r="C429" s="194"/>
      <c r="D429" s="194"/>
      <c r="E429" s="194"/>
    </row>
    <row r="430" spans="2:5" ht="13.5" thickBot="1" x14ac:dyDescent="0.25">
      <c r="B430" s="33" t="s">
        <v>17</v>
      </c>
      <c r="C430" s="31"/>
      <c r="D430" s="72"/>
      <c r="E430" s="32"/>
    </row>
    <row r="431" spans="2:5" ht="13.5" thickBot="1" x14ac:dyDescent="0.25">
      <c r="B431" s="180" t="s">
        <v>136</v>
      </c>
      <c r="C431" s="181"/>
      <c r="D431" s="181"/>
      <c r="E431" s="182"/>
    </row>
    <row r="432" spans="2:5" ht="13.5" thickBot="1" x14ac:dyDescent="0.25">
      <c r="B432" s="180" t="s">
        <v>137</v>
      </c>
      <c r="C432" s="182"/>
      <c r="D432" s="69" t="s">
        <v>11</v>
      </c>
      <c r="E432" s="69" t="s">
        <v>138</v>
      </c>
    </row>
    <row r="433" spans="2:5" x14ac:dyDescent="0.2">
      <c r="B433" s="187" t="str">
        <f>'[1]COMEDORES EMERGENTES'!$B$3</f>
        <v>UNA SONRISA AV. LOS COBACHO</v>
      </c>
      <c r="C433" s="188"/>
      <c r="D433" s="113">
        <v>48</v>
      </c>
      <c r="E433" s="114" t="str">
        <f>'[1]COMEDORES EMERGENTES'!$G$3</f>
        <v>Bº SAN CARLOS OESTE AV. Bonifacio cobacho 670</v>
      </c>
    </row>
    <row r="434" spans="2:5" x14ac:dyDescent="0.2">
      <c r="B434" s="178" t="str">
        <f>'[1]COMEDORES EMERGENTES'!$B$4</f>
        <v>C.I.F Nº1 - RIVERA DEL VALLE Y FLORIDA</v>
      </c>
      <c r="C434" s="179"/>
      <c r="D434" s="108">
        <v>69</v>
      </c>
      <c r="E434" s="109" t="str">
        <f>'[1]COMEDORES EMERGENTES'!$G$4</f>
        <v>AV. RIVIERA DEL VALLE ENTRE FLORIDA Y SANTA FE</v>
      </c>
    </row>
    <row r="435" spans="2:5" x14ac:dyDescent="0.2">
      <c r="B435" s="178" t="str">
        <f>'[1]COMEDORES EMERGENTES'!$B$5</f>
        <v>C.I.F - RIVERA DEL VALLE - DILORENZO</v>
      </c>
      <c r="C435" s="179"/>
      <c r="D435" s="108">
        <v>81</v>
      </c>
      <c r="E435" s="109" t="str">
        <f>'[1]COMEDORES EMERGENTES'!$G$5</f>
        <v>Bº RIVERA DEL VALLE ENTRE VILLA EUMELIA Y MONTE CRISTO</v>
      </c>
    </row>
    <row r="436" spans="2:5" x14ac:dyDescent="0.2">
      <c r="B436" s="178" t="str">
        <f>'[1]COMEDORES EMERGENTES'!$B$6</f>
        <v>ESFUERZO PROPIO- Bº ALTOS DE CHOYA</v>
      </c>
      <c r="C436" s="179"/>
      <c r="D436" s="108">
        <v>66</v>
      </c>
      <c r="E436" s="109" t="str">
        <f>'[1]COMEDORES EMERGENTES'!$G$6</f>
        <v>Bº MUNICIPAL 35VV. NORTE C/14</v>
      </c>
    </row>
    <row r="437" spans="2:5" x14ac:dyDescent="0.2">
      <c r="B437" s="178" t="str">
        <f>'[1]COMEDORES EMERGENTES'!$B$7</f>
        <v>ANGELITOS - LOTEO SUSSEX</v>
      </c>
      <c r="C437" s="179"/>
      <c r="D437" s="108">
        <v>30</v>
      </c>
      <c r="E437" s="109" t="str">
        <f>'[1]COMEDORES EMERGENTES'!$G$7</f>
        <v>Bº LOTEO SUSEX MZA.Nº 4 LOTE Nº3</v>
      </c>
    </row>
    <row r="438" spans="2:5" x14ac:dyDescent="0.2">
      <c r="B438" s="178" t="str">
        <f>'[1]COMEDORES EMERGENTES'!$B$8</f>
        <v>CLUB DEPORTIVO CHACARITA</v>
      </c>
      <c r="C438" s="179"/>
      <c r="D438" s="108">
        <v>39</v>
      </c>
      <c r="E438" s="109" t="str">
        <f>'[1]COMEDORES EMERGENTES'!$G$8</f>
        <v>CALLE DR.DERMIDIO GALINDEZ C/2660</v>
      </c>
    </row>
    <row r="439" spans="2:5" x14ac:dyDescent="0.2">
      <c r="B439" s="178" t="str">
        <f>'[1]COMEDORES EMERGENTES'!$B$9</f>
        <v>LA MORO</v>
      </c>
      <c r="C439" s="179"/>
      <c r="D439" s="108">
        <v>36</v>
      </c>
      <c r="E439" s="109" t="str">
        <f>'[1]COMEDORES EMERGENTES'!$G$9</f>
        <v>MAIPU NORTE 1º ETAPA MZA "H" Bº MI JARDIN</v>
      </c>
    </row>
    <row r="440" spans="2:5" x14ac:dyDescent="0.2">
      <c r="B440" s="178" t="str">
        <f>'[1]COMEDORES EMERGENTES'!$B$10</f>
        <v>PAPA FRANCISCO</v>
      </c>
      <c r="C440" s="179"/>
      <c r="D440" s="108">
        <v>60</v>
      </c>
      <c r="E440" s="109" t="str">
        <f>'[1]COMEDORES EMERGENTES'!$G$10</f>
        <v>ENTRE AV.TEREBINTO Y AV.SAN JUAN LOTE "2" MZA. "B"</v>
      </c>
    </row>
    <row r="441" spans="2:5" x14ac:dyDescent="0.2">
      <c r="B441" s="178" t="str">
        <f>'[1]COMEDORES EMERGENTES'!$B$11</f>
        <v>E.P.C - 100 V.V NORTE</v>
      </c>
      <c r="C441" s="179"/>
      <c r="D441" s="108">
        <v>90</v>
      </c>
      <c r="E441" s="109" t="str">
        <f>'[1]COMEDORES EMERGENTES'!$G$11</f>
        <v>Bº VV NORTE C/48 ENTRE ESPAÑA Y FRANCIA</v>
      </c>
    </row>
    <row r="442" spans="2:5" x14ac:dyDescent="0.2">
      <c r="B442" s="178" t="str">
        <f>'[1]COMEDORES EMERGENTES'!$B$12</f>
        <v>HOGAR DE CRISTO - PADRE RAUL CONTRERAS</v>
      </c>
      <c r="C442" s="179"/>
      <c r="D442" s="108">
        <v>90</v>
      </c>
      <c r="E442" s="109" t="str">
        <f>'[1]COMEDORES EMERGENTES'!$G$12</f>
        <v>Bº SANTA MARTA MZA. "S" LOTE "M" C/39</v>
      </c>
    </row>
    <row r="443" spans="2:5" x14ac:dyDescent="0.2">
      <c r="B443" s="178" t="str">
        <f>'[1]COMEDORES EMERGENTES'!$B$13</f>
        <v>LA LUCIERNAGA</v>
      </c>
      <c r="C443" s="179"/>
      <c r="D443" s="108">
        <v>60</v>
      </c>
      <c r="E443" s="109" t="str">
        <f>'[1]COMEDORES EMERGENTES'!$G$13</f>
        <v>Bº 20 V.V NORTE C/3</v>
      </c>
    </row>
    <row r="444" spans="2:5" x14ac:dyDescent="0.2">
      <c r="B444" s="178" t="str">
        <f>'[1]COMEDORES EMERGENTES'!$B$14</f>
        <v>VALLE VIEJO - SUMALAO</v>
      </c>
      <c r="C444" s="179"/>
      <c r="D444" s="108">
        <v>105</v>
      </c>
      <c r="E444" s="109" t="str">
        <f>'[1]COMEDORES EMERGENTES'!$G$14</f>
        <v>PADRE SEGURA S/N</v>
      </c>
    </row>
    <row r="445" spans="2:5" x14ac:dyDescent="0.2">
      <c r="B445" s="178" t="str">
        <f>'[1]COMEDORES EMERGENTES'!$B$15</f>
        <v>NUESTRO FUTURO - LAS VIAS</v>
      </c>
      <c r="C445" s="179"/>
      <c r="D445" s="108">
        <v>60</v>
      </c>
      <c r="E445" s="109" t="str">
        <f>'[1]COMEDORES EMERGENTES'!$G$15</f>
        <v>Bº LAS VIAS OESTE LOTE 42</v>
      </c>
    </row>
    <row r="446" spans="2:5" x14ac:dyDescent="0.2">
      <c r="B446" s="178" t="str">
        <f>'[1]COMEDORES EMERGENTES'!$B$16</f>
        <v>SAN JOSE OBRERO</v>
      </c>
      <c r="C446" s="179"/>
      <c r="D446" s="108">
        <v>39</v>
      </c>
      <c r="E446" s="109" t="str">
        <f>'[1]COMEDORES EMERGENTES'!$G$16</f>
        <v>Bº SAN JOSE OBRERO. PJE. SANDOVAL S/Nº</v>
      </c>
    </row>
    <row r="447" spans="2:5" x14ac:dyDescent="0.2">
      <c r="B447" s="178" t="str">
        <f>'[1]COMEDORES EMERGENTES'!$B$17</f>
        <v>VIRGEN DE LUJAN</v>
      </c>
      <c r="C447" s="179"/>
      <c r="D447" s="108">
        <v>60</v>
      </c>
      <c r="E447" s="109" t="str">
        <f>'[1]COMEDORES EMERGENTES'!$G$17</f>
        <v>Bº OJO DE AGUA C/DR.TEODULFO BARRIONUEVO S/Nº</v>
      </c>
    </row>
    <row r="448" spans="2:5" x14ac:dyDescent="0.2">
      <c r="B448" s="178" t="str">
        <f>'[1]COMEDORES EMERGENTES'!$B$18</f>
        <v>RENACER</v>
      </c>
      <c r="C448" s="179"/>
      <c r="D448" s="108">
        <v>75</v>
      </c>
      <c r="E448" s="109" t="str">
        <f>'[1]COMEDORES EMERGENTES'!$G$18</f>
        <v>Bº VIRGEN MORENITA</v>
      </c>
    </row>
    <row r="449" spans="2:5" x14ac:dyDescent="0.2">
      <c r="B449" s="178" t="str">
        <f>'[1]COMEDORES EMERGENTES'!$B$19</f>
        <v>CENTRO VECINAL MI JARDIN</v>
      </c>
      <c r="C449" s="179"/>
      <c r="D449" s="108">
        <v>54</v>
      </c>
      <c r="E449" s="109" t="str">
        <f>'[1]COMEDORES EMERGENTES'!$G$19</f>
        <v>C/ LOS TULIPANES ENTRE FLOR DE CEREZO Y HOLANDA MZA.27 Bº MI JARDIN</v>
      </c>
    </row>
    <row r="450" spans="2:5" x14ac:dyDescent="0.2">
      <c r="B450" s="178" t="str">
        <f>'[1]COMEDORES EMERGENTES'!$B$20</f>
        <v>LA VIEJA ESQUINA</v>
      </c>
      <c r="C450" s="179"/>
      <c r="D450" s="108">
        <v>52</v>
      </c>
      <c r="E450" s="109" t="str">
        <f>'[1]COMEDORES EMERGENTES'!$G$20</f>
        <v>B° CRISTO REY PJE CAPATAZ VILLAFAÑEZ Y ARMANDO CORREA</v>
      </c>
    </row>
    <row r="451" spans="2:5" x14ac:dyDescent="0.2">
      <c r="B451" s="178" t="str">
        <f>'[1]COMEDORES EMERGENTES'!$B$21</f>
        <v>GAUCHITO GIL</v>
      </c>
      <c r="C451" s="179"/>
      <c r="D451" s="108">
        <v>50</v>
      </c>
      <c r="E451" s="109" t="str">
        <f>'[1]COMEDORES EMERGENTES'!$G$21</f>
        <v>B° 26 VIVIENDAS CASA N° 3</v>
      </c>
    </row>
    <row r="452" spans="2:5" ht="13.5" thickBot="1" x14ac:dyDescent="0.25">
      <c r="B452" s="195" t="str">
        <f>'[1]COMEDORES EMERGENTES'!$B$22</f>
        <v>LOS TOLDOS</v>
      </c>
      <c r="C452" s="196"/>
      <c r="D452" s="115">
        <v>24</v>
      </c>
      <c r="E452" s="116" t="str">
        <f>'[1]COMEDORES EMERGENTES'!$G$22</f>
        <v>LOTEO PARQUE SUR CALLE S/NOMBRE S/N°</v>
      </c>
    </row>
    <row r="453" spans="2:5" x14ac:dyDescent="0.2">
      <c r="B453" s="33" t="s">
        <v>18</v>
      </c>
      <c r="C453" s="31"/>
      <c r="D453" s="72"/>
      <c r="E453" s="32"/>
    </row>
    <row r="454" spans="2:5" x14ac:dyDescent="0.2">
      <c r="B454" s="34"/>
      <c r="C454" s="194" t="s">
        <v>62</v>
      </c>
      <c r="D454" s="194"/>
      <c r="E454" s="194"/>
    </row>
    <row r="455" spans="2:5" x14ac:dyDescent="0.2">
      <c r="B455" s="33" t="s">
        <v>19</v>
      </c>
      <c r="C455" s="35"/>
      <c r="D455" s="35"/>
      <c r="E455" s="36"/>
    </row>
    <row r="456" spans="2:5" x14ac:dyDescent="0.2">
      <c r="B456" s="34"/>
      <c r="C456" s="194" t="s">
        <v>139</v>
      </c>
      <c r="D456" s="194"/>
      <c r="E456" s="194"/>
    </row>
    <row r="457" spans="2:5" x14ac:dyDescent="0.2">
      <c r="B457" s="33" t="s">
        <v>20</v>
      </c>
      <c r="C457" s="31"/>
      <c r="D457" s="72"/>
      <c r="E457" s="32"/>
    </row>
    <row r="458" spans="2:5" x14ac:dyDescent="0.2">
      <c r="B458" s="33"/>
      <c r="C458" s="193" t="s">
        <v>63</v>
      </c>
      <c r="D458" s="193"/>
      <c r="E458" s="193"/>
    </row>
    <row r="459" spans="2:5" ht="13.5" thickBot="1" x14ac:dyDescent="0.25">
      <c r="B459" s="37"/>
      <c r="C459" s="38"/>
      <c r="D459" s="73"/>
      <c r="E459" s="39"/>
    </row>
    <row r="460" spans="2:5" ht="13.5" thickBot="1" x14ac:dyDescent="0.25"/>
    <row r="461" spans="2:5" x14ac:dyDescent="0.2">
      <c r="B461" s="27" t="s">
        <v>149</v>
      </c>
      <c r="C461" s="28"/>
      <c r="D461" s="71"/>
      <c r="E461" s="29"/>
    </row>
    <row r="462" spans="2:5" x14ac:dyDescent="0.2">
      <c r="B462" s="30"/>
      <c r="C462" s="31"/>
      <c r="D462" s="72"/>
      <c r="E462" s="32"/>
    </row>
    <row r="463" spans="2:5" x14ac:dyDescent="0.2">
      <c r="B463" s="33" t="s">
        <v>16</v>
      </c>
      <c r="C463" s="31"/>
      <c r="D463" s="72"/>
      <c r="E463" s="32"/>
    </row>
    <row r="464" spans="2:5" ht="25.5" customHeight="1" x14ac:dyDescent="0.2">
      <c r="B464" s="33"/>
      <c r="C464" s="194"/>
      <c r="D464" s="194"/>
      <c r="E464" s="194"/>
    </row>
    <row r="465" spans="2:5" ht="13.5" thickBot="1" x14ac:dyDescent="0.25">
      <c r="B465" s="33" t="s">
        <v>17</v>
      </c>
      <c r="C465" s="31"/>
      <c r="D465" s="72"/>
      <c r="E465" s="32"/>
    </row>
    <row r="466" spans="2:5" ht="13.5" thickBot="1" x14ac:dyDescent="0.25">
      <c r="B466" s="180" t="s">
        <v>136</v>
      </c>
      <c r="C466" s="181"/>
      <c r="D466" s="181"/>
      <c r="E466" s="182"/>
    </row>
    <row r="467" spans="2:5" ht="13.5" thickBot="1" x14ac:dyDescent="0.25">
      <c r="B467" s="180" t="s">
        <v>137</v>
      </c>
      <c r="C467" s="182"/>
      <c r="D467" s="69" t="s">
        <v>11</v>
      </c>
      <c r="E467" s="69" t="s">
        <v>138</v>
      </c>
    </row>
    <row r="468" spans="2:5" x14ac:dyDescent="0.2">
      <c r="B468" s="187" t="str">
        <f>'[1]COMEDORES EMERGENTES'!$B$3</f>
        <v>UNA SONRISA AV. LOS COBACHO</v>
      </c>
      <c r="C468" s="188"/>
      <c r="D468" s="113">
        <v>5</v>
      </c>
      <c r="E468" s="114" t="str">
        <f>'[1]COMEDORES EMERGENTES'!$G$3</f>
        <v>Bº SAN CARLOS OESTE AV. Bonifacio cobacho 670</v>
      </c>
    </row>
    <row r="469" spans="2:5" x14ac:dyDescent="0.2">
      <c r="B469" s="178" t="str">
        <f>'[1]COMEDORES EMERGENTES'!$B$4</f>
        <v>C.I.F Nº1 - RIVERA DEL VALLE Y FLORIDA</v>
      </c>
      <c r="C469" s="179"/>
      <c r="D469" s="108">
        <v>7</v>
      </c>
      <c r="E469" s="109" t="str">
        <f>'[1]COMEDORES EMERGENTES'!$G$4</f>
        <v>AV. RIVIERA DEL VALLE ENTRE FLORIDA Y SANTA FE</v>
      </c>
    </row>
    <row r="470" spans="2:5" x14ac:dyDescent="0.2">
      <c r="B470" s="178" t="str">
        <f>'[1]COMEDORES EMERGENTES'!$B$5</f>
        <v>C.I.F - RIVERA DEL VALLE - DILORENZO</v>
      </c>
      <c r="C470" s="179"/>
      <c r="D470" s="108">
        <v>8</v>
      </c>
      <c r="E470" s="109" t="str">
        <f>'[1]COMEDORES EMERGENTES'!$G$5</f>
        <v>Bº RIVERA DEL VALLE ENTRE VILLA EUMELIA Y MONTE CRISTO</v>
      </c>
    </row>
    <row r="471" spans="2:5" x14ac:dyDescent="0.2">
      <c r="B471" s="178" t="str">
        <f>'[1]COMEDORES EMERGENTES'!$B$6</f>
        <v>ESFUERZO PROPIO- Bº ALTOS DE CHOYA</v>
      </c>
      <c r="C471" s="179"/>
      <c r="D471" s="108">
        <v>7</v>
      </c>
      <c r="E471" s="109" t="str">
        <f>'[1]COMEDORES EMERGENTES'!$G$6</f>
        <v>Bº MUNICIPAL 35VV. NORTE C/14</v>
      </c>
    </row>
    <row r="472" spans="2:5" x14ac:dyDescent="0.2">
      <c r="B472" s="178" t="str">
        <f>'[1]COMEDORES EMERGENTES'!$B$7</f>
        <v>ANGELITOS - LOTEO SUSSEX</v>
      </c>
      <c r="C472" s="179"/>
      <c r="D472" s="108">
        <v>3</v>
      </c>
      <c r="E472" s="109" t="str">
        <f>'[1]COMEDORES EMERGENTES'!$G$7</f>
        <v>Bº LOTEO SUSEX MZA.Nº 4 LOTE Nº3</v>
      </c>
    </row>
    <row r="473" spans="2:5" x14ac:dyDescent="0.2">
      <c r="B473" s="178" t="str">
        <f>'[1]COMEDORES EMERGENTES'!$B$8</f>
        <v>CLUB DEPORTIVO CHACARITA</v>
      </c>
      <c r="C473" s="179"/>
      <c r="D473" s="108">
        <v>4</v>
      </c>
      <c r="E473" s="109" t="str">
        <f>'[1]COMEDORES EMERGENTES'!$G$8</f>
        <v>CALLE DR.DERMIDIO GALINDEZ C/2660</v>
      </c>
    </row>
    <row r="474" spans="2:5" x14ac:dyDescent="0.2">
      <c r="B474" s="178" t="str">
        <f>'[1]COMEDORES EMERGENTES'!$B$9</f>
        <v>LA MORO</v>
      </c>
      <c r="C474" s="179"/>
      <c r="D474" s="108">
        <v>4</v>
      </c>
      <c r="E474" s="109" t="str">
        <f>'[1]COMEDORES EMERGENTES'!$G$9</f>
        <v>MAIPU NORTE 1º ETAPA MZA "H" Bº MI JARDIN</v>
      </c>
    </row>
    <row r="475" spans="2:5" x14ac:dyDescent="0.2">
      <c r="B475" s="178" t="str">
        <f>'[1]COMEDORES EMERGENTES'!$B$10</f>
        <v>PAPA FRANCISCO</v>
      </c>
      <c r="C475" s="179"/>
      <c r="D475" s="108">
        <v>6</v>
      </c>
      <c r="E475" s="109" t="str">
        <f>'[1]COMEDORES EMERGENTES'!$G$10</f>
        <v>ENTRE AV.TEREBINTO Y AV.SAN JUAN LOTE "2" MZA. "B"</v>
      </c>
    </row>
    <row r="476" spans="2:5" x14ac:dyDescent="0.2">
      <c r="B476" s="178" t="str">
        <f>'[1]COMEDORES EMERGENTES'!$B$11</f>
        <v>E.P.C - 100 V.V NORTE</v>
      </c>
      <c r="C476" s="179"/>
      <c r="D476" s="108">
        <v>9</v>
      </c>
      <c r="E476" s="109" t="str">
        <f>'[1]COMEDORES EMERGENTES'!$G$11</f>
        <v>Bº VV NORTE C/48 ENTRE ESPAÑA Y FRANCIA</v>
      </c>
    </row>
    <row r="477" spans="2:5" x14ac:dyDescent="0.2">
      <c r="B477" s="178" t="str">
        <f>'[1]COMEDORES EMERGENTES'!$B$12</f>
        <v>HOGAR DE CRISTO - PADRE RAUL CONTRERAS</v>
      </c>
      <c r="C477" s="179"/>
      <c r="D477" s="108">
        <v>9</v>
      </c>
      <c r="E477" s="109" t="str">
        <f>'[1]COMEDORES EMERGENTES'!$G$12</f>
        <v>Bº SANTA MARTA MZA. "S" LOTE "M" C/39</v>
      </c>
    </row>
    <row r="478" spans="2:5" x14ac:dyDescent="0.2">
      <c r="B478" s="178" t="str">
        <f>'[1]COMEDORES EMERGENTES'!$B$13</f>
        <v>LA LUCIERNAGA</v>
      </c>
      <c r="C478" s="179"/>
      <c r="D478" s="108">
        <v>6</v>
      </c>
      <c r="E478" s="109" t="str">
        <f>'[1]COMEDORES EMERGENTES'!$G$13</f>
        <v>Bº 20 V.V NORTE C/3</v>
      </c>
    </row>
    <row r="479" spans="2:5" x14ac:dyDescent="0.2">
      <c r="B479" s="178" t="str">
        <f>'[1]COMEDORES EMERGENTES'!$B$14</f>
        <v>VALLE VIEJO - SUMALAO</v>
      </c>
      <c r="C479" s="179"/>
      <c r="D479" s="108">
        <v>11</v>
      </c>
      <c r="E479" s="109" t="str">
        <f>'[1]COMEDORES EMERGENTES'!$G$14</f>
        <v>PADRE SEGURA S/N</v>
      </c>
    </row>
    <row r="480" spans="2:5" x14ac:dyDescent="0.2">
      <c r="B480" s="178" t="str">
        <f>'[1]COMEDORES EMERGENTES'!$B$15</f>
        <v>NUESTRO FUTURO - LAS VIAS</v>
      </c>
      <c r="C480" s="179"/>
      <c r="D480" s="108">
        <v>6</v>
      </c>
      <c r="E480" s="109" t="str">
        <f>'[1]COMEDORES EMERGENTES'!$G$15</f>
        <v>Bº LAS VIAS OESTE LOTE 42</v>
      </c>
    </row>
    <row r="481" spans="2:5" x14ac:dyDescent="0.2">
      <c r="B481" s="178" t="str">
        <f>'[1]COMEDORES EMERGENTES'!$B$16</f>
        <v>SAN JOSE OBRERO</v>
      </c>
      <c r="C481" s="179"/>
      <c r="D481" s="108">
        <v>4</v>
      </c>
      <c r="E481" s="109" t="str">
        <f>'[1]COMEDORES EMERGENTES'!$G$16</f>
        <v>Bº SAN JOSE OBRERO. PJE. SANDOVAL S/Nº</v>
      </c>
    </row>
    <row r="482" spans="2:5" x14ac:dyDescent="0.2">
      <c r="B482" s="178" t="str">
        <f>'[1]COMEDORES EMERGENTES'!$B$17</f>
        <v>VIRGEN DE LUJAN</v>
      </c>
      <c r="C482" s="179"/>
      <c r="D482" s="108">
        <v>6</v>
      </c>
      <c r="E482" s="109" t="str">
        <f>'[1]COMEDORES EMERGENTES'!$G$17</f>
        <v>Bº OJO DE AGUA C/DR.TEODULFO BARRIONUEVO S/Nº</v>
      </c>
    </row>
    <row r="483" spans="2:5" x14ac:dyDescent="0.2">
      <c r="B483" s="178" t="str">
        <f>'[1]COMEDORES EMERGENTES'!$B$18</f>
        <v>RENACER</v>
      </c>
      <c r="C483" s="179"/>
      <c r="D483" s="108">
        <v>8</v>
      </c>
      <c r="E483" s="109" t="str">
        <f>'[1]COMEDORES EMERGENTES'!$G$18</f>
        <v>Bº VIRGEN MORENITA</v>
      </c>
    </row>
    <row r="484" spans="2:5" x14ac:dyDescent="0.2">
      <c r="B484" s="178" t="str">
        <f>'[1]COMEDORES EMERGENTES'!$B$19</f>
        <v>CENTRO VECINAL MI JARDIN</v>
      </c>
      <c r="C484" s="179"/>
      <c r="D484" s="108">
        <v>5</v>
      </c>
      <c r="E484" s="109" t="str">
        <f>'[1]COMEDORES EMERGENTES'!$G$19</f>
        <v>C/ LOS TULIPANES ENTRE FLOR DE CEREZO Y HOLANDA MZA.27 Bº MI JARDIN</v>
      </c>
    </row>
    <row r="485" spans="2:5" x14ac:dyDescent="0.2">
      <c r="B485" s="178" t="str">
        <f>'[1]COMEDORES EMERGENTES'!$B$20</f>
        <v>LA VIEJA ESQUINA</v>
      </c>
      <c r="C485" s="179"/>
      <c r="D485" s="108">
        <v>5</v>
      </c>
      <c r="E485" s="109" t="str">
        <f>'[1]COMEDORES EMERGENTES'!$G$20</f>
        <v>B° CRISTO REY PJE CAPATAZ VILLAFAÑEZ Y ARMANDO CORREA</v>
      </c>
    </row>
    <row r="486" spans="2:5" x14ac:dyDescent="0.2">
      <c r="B486" s="178" t="str">
        <f>'[1]COMEDORES EMERGENTES'!$B$21</f>
        <v>GAUCHITO GIL</v>
      </c>
      <c r="C486" s="179"/>
      <c r="D486" s="108">
        <v>5</v>
      </c>
      <c r="E486" s="109" t="str">
        <f>'[1]COMEDORES EMERGENTES'!$G$21</f>
        <v>B° 26 VIVIENDAS CASA N° 3</v>
      </c>
    </row>
    <row r="487" spans="2:5" ht="13.5" thickBot="1" x14ac:dyDescent="0.25">
      <c r="B487" s="195" t="str">
        <f>'[1]COMEDORES EMERGENTES'!$B$22</f>
        <v>LOS TOLDOS</v>
      </c>
      <c r="C487" s="196"/>
      <c r="D487" s="115">
        <v>2</v>
      </c>
      <c r="E487" s="116" t="str">
        <f>'[1]COMEDORES EMERGENTES'!$G$22</f>
        <v>LOTEO PARQUE SUR CALLE S/NOMBRE S/N°</v>
      </c>
    </row>
    <row r="488" spans="2:5" x14ac:dyDescent="0.2">
      <c r="B488" s="33" t="s">
        <v>18</v>
      </c>
      <c r="C488" s="31"/>
      <c r="D488" s="72"/>
      <c r="E488" s="32"/>
    </row>
    <row r="489" spans="2:5" x14ac:dyDescent="0.2">
      <c r="B489" s="34"/>
      <c r="C489" s="194" t="s">
        <v>62</v>
      </c>
      <c r="D489" s="194"/>
      <c r="E489" s="194"/>
    </row>
    <row r="490" spans="2:5" x14ac:dyDescent="0.2">
      <c r="B490" s="33" t="s">
        <v>19</v>
      </c>
      <c r="C490" s="35"/>
      <c r="D490" s="35"/>
      <c r="E490" s="36"/>
    </row>
    <row r="491" spans="2:5" x14ac:dyDescent="0.2">
      <c r="B491" s="34"/>
      <c r="C491" s="194" t="s">
        <v>139</v>
      </c>
      <c r="D491" s="194"/>
      <c r="E491" s="194"/>
    </row>
    <row r="492" spans="2:5" x14ac:dyDescent="0.2">
      <c r="B492" s="33" t="s">
        <v>20</v>
      </c>
      <c r="C492" s="31"/>
      <c r="D492" s="72"/>
      <c r="E492" s="32"/>
    </row>
    <row r="493" spans="2:5" x14ac:dyDescent="0.2">
      <c r="B493" s="33"/>
      <c r="C493" s="193" t="s">
        <v>63</v>
      </c>
      <c r="D493" s="193"/>
      <c r="E493" s="193"/>
    </row>
    <row r="494" spans="2:5" ht="13.5" thickBot="1" x14ac:dyDescent="0.25">
      <c r="B494" s="37"/>
      <c r="C494" s="38"/>
      <c r="D494" s="73"/>
      <c r="E494" s="39"/>
    </row>
    <row r="495" spans="2:5" ht="13.5" thickBot="1" x14ac:dyDescent="0.25"/>
    <row r="496" spans="2:5" x14ac:dyDescent="0.2">
      <c r="B496" s="27" t="s">
        <v>150</v>
      </c>
      <c r="C496" s="28"/>
      <c r="D496" s="71"/>
      <c r="E496" s="29"/>
    </row>
    <row r="497" spans="2:5" x14ac:dyDescent="0.2">
      <c r="B497" s="30"/>
      <c r="C497" s="31"/>
      <c r="D497" s="72"/>
      <c r="E497" s="32"/>
    </row>
    <row r="498" spans="2:5" x14ac:dyDescent="0.2">
      <c r="B498" s="33" t="s">
        <v>16</v>
      </c>
      <c r="C498" s="31"/>
      <c r="D498" s="72"/>
      <c r="E498" s="32"/>
    </row>
    <row r="499" spans="2:5" ht="25.5" customHeight="1" x14ac:dyDescent="0.2">
      <c r="B499" s="33"/>
      <c r="C499" s="194"/>
      <c r="D499" s="194"/>
      <c r="E499" s="194"/>
    </row>
    <row r="500" spans="2:5" ht="13.5" thickBot="1" x14ac:dyDescent="0.25">
      <c r="B500" s="33" t="s">
        <v>17</v>
      </c>
      <c r="C500" s="31"/>
      <c r="D500" s="72"/>
      <c r="E500" s="32"/>
    </row>
    <row r="501" spans="2:5" ht="13.5" thickBot="1" x14ac:dyDescent="0.25">
      <c r="B501" s="180" t="s">
        <v>136</v>
      </c>
      <c r="C501" s="181"/>
      <c r="D501" s="181"/>
      <c r="E501" s="182"/>
    </row>
    <row r="502" spans="2:5" ht="13.5" thickBot="1" x14ac:dyDescent="0.25">
      <c r="B502" s="180" t="s">
        <v>137</v>
      </c>
      <c r="C502" s="182"/>
      <c r="D502" s="69" t="s">
        <v>11</v>
      </c>
      <c r="E502" s="69" t="s">
        <v>138</v>
      </c>
    </row>
    <row r="503" spans="2:5" x14ac:dyDescent="0.2">
      <c r="B503" s="187" t="str">
        <f>'[1]COMEDORES EMERGENTES'!$B$3</f>
        <v>UNA SONRISA AV. LOS COBACHO</v>
      </c>
      <c r="C503" s="188"/>
      <c r="D503" s="113" t="s">
        <v>202</v>
      </c>
      <c r="E503" s="114" t="str">
        <f>'[1]COMEDORES EMERGENTES'!$G$3</f>
        <v>Bº SAN CARLOS OESTE AV. Bonifacio cobacho 670</v>
      </c>
    </row>
    <row r="504" spans="2:5" x14ac:dyDescent="0.2">
      <c r="B504" s="178" t="str">
        <f>'[1]COMEDORES EMERGENTES'!$B$4</f>
        <v>C.I.F Nº1 - RIVERA DEL VALLE Y FLORIDA</v>
      </c>
      <c r="C504" s="179"/>
      <c r="D504" s="108" t="s">
        <v>201</v>
      </c>
      <c r="E504" s="109" t="str">
        <f>'[1]COMEDORES EMERGENTES'!$G$4</f>
        <v>AV. RIVIERA DEL VALLE ENTRE FLORIDA Y SANTA FE</v>
      </c>
    </row>
    <row r="505" spans="2:5" x14ac:dyDescent="0.2">
      <c r="B505" s="178" t="str">
        <f>'[1]COMEDORES EMERGENTES'!$B$5</f>
        <v>C.I.F - RIVERA DEL VALLE - DILORENZO</v>
      </c>
      <c r="C505" s="179"/>
      <c r="D505" s="108" t="s">
        <v>178</v>
      </c>
      <c r="E505" s="109" t="str">
        <f>'[1]COMEDORES EMERGENTES'!$G$5</f>
        <v>Bº RIVERA DEL VALLE ENTRE VILLA EUMELIA Y MONTE CRISTO</v>
      </c>
    </row>
    <row r="506" spans="2:5" x14ac:dyDescent="0.2">
      <c r="B506" s="178" t="str">
        <f>'[1]COMEDORES EMERGENTES'!$B$6</f>
        <v>ESFUERZO PROPIO- Bº ALTOS DE CHOYA</v>
      </c>
      <c r="C506" s="179"/>
      <c r="D506" s="108" t="s">
        <v>184</v>
      </c>
      <c r="E506" s="109" t="str">
        <f>'[1]COMEDORES EMERGENTES'!$G$6</f>
        <v>Bº MUNICIPAL 35VV. NORTE C/14</v>
      </c>
    </row>
    <row r="507" spans="2:5" x14ac:dyDescent="0.2">
      <c r="B507" s="178" t="str">
        <f>'[1]COMEDORES EMERGENTES'!$B$7</f>
        <v>ANGELITOS - LOTEO SUSSEX</v>
      </c>
      <c r="C507" s="179"/>
      <c r="D507" s="108" t="s">
        <v>225</v>
      </c>
      <c r="E507" s="109" t="str">
        <f>'[1]COMEDORES EMERGENTES'!$G$7</f>
        <v>Bº LOTEO SUSEX MZA.Nº 4 LOTE Nº3</v>
      </c>
    </row>
    <row r="508" spans="2:5" x14ac:dyDescent="0.2">
      <c r="B508" s="178" t="str">
        <f>'[1]COMEDORES EMERGENTES'!$B$8</f>
        <v>CLUB DEPORTIVO CHACARITA</v>
      </c>
      <c r="C508" s="179"/>
      <c r="D508" s="108" t="s">
        <v>183</v>
      </c>
      <c r="E508" s="109" t="str">
        <f>'[1]COMEDORES EMERGENTES'!$G$8</f>
        <v>CALLE DR.DERMIDIO GALINDEZ C/2660</v>
      </c>
    </row>
    <row r="509" spans="2:5" x14ac:dyDescent="0.2">
      <c r="B509" s="178" t="str">
        <f>'[1]COMEDORES EMERGENTES'!$B$9</f>
        <v>LA MORO</v>
      </c>
      <c r="C509" s="179"/>
      <c r="D509" s="108" t="s">
        <v>200</v>
      </c>
      <c r="E509" s="109" t="str">
        <f>'[1]COMEDORES EMERGENTES'!$G$9</f>
        <v>MAIPU NORTE 1º ETAPA MZA "H" Bº MI JARDIN</v>
      </c>
    </row>
    <row r="510" spans="2:5" x14ac:dyDescent="0.2">
      <c r="B510" s="178" t="str">
        <f>'[1]COMEDORES EMERGENTES'!$B$10</f>
        <v>PAPA FRANCISCO</v>
      </c>
      <c r="C510" s="179"/>
      <c r="D510" s="108" t="s">
        <v>173</v>
      </c>
      <c r="E510" s="109" t="str">
        <f>'[1]COMEDORES EMERGENTES'!$G$10</f>
        <v>ENTRE AV.TEREBINTO Y AV.SAN JUAN LOTE "2" MZA. "B"</v>
      </c>
    </row>
    <row r="511" spans="2:5" x14ac:dyDescent="0.2">
      <c r="B511" s="178" t="str">
        <f>'[1]COMEDORES EMERGENTES'!$B$11</f>
        <v>E.P.C - 100 V.V NORTE</v>
      </c>
      <c r="C511" s="179"/>
      <c r="D511" s="108" t="s">
        <v>174</v>
      </c>
      <c r="E511" s="109" t="str">
        <f>'[1]COMEDORES EMERGENTES'!$G$11</f>
        <v>Bº VV NORTE C/48 ENTRE ESPAÑA Y FRANCIA</v>
      </c>
    </row>
    <row r="512" spans="2:5" x14ac:dyDescent="0.2">
      <c r="B512" s="178" t="str">
        <f>'[1]COMEDORES EMERGENTES'!$B$12</f>
        <v>HOGAR DE CRISTO - PADRE RAUL CONTRERAS</v>
      </c>
      <c r="C512" s="179"/>
      <c r="D512" s="108" t="s">
        <v>174</v>
      </c>
      <c r="E512" s="109" t="str">
        <f>'[1]COMEDORES EMERGENTES'!$G$12</f>
        <v>Bº SANTA MARTA MZA. "S" LOTE "M" C/39</v>
      </c>
    </row>
    <row r="513" spans="2:5" x14ac:dyDescent="0.2">
      <c r="B513" s="178" t="str">
        <f>'[1]COMEDORES EMERGENTES'!$B$13</f>
        <v>LA LUCIERNAGA</v>
      </c>
      <c r="C513" s="179"/>
      <c r="D513" s="108" t="s">
        <v>173</v>
      </c>
      <c r="E513" s="109" t="str">
        <f>'[1]COMEDORES EMERGENTES'!$G$13</f>
        <v>Bº 20 V.V NORTE C/3</v>
      </c>
    </row>
    <row r="514" spans="2:5" x14ac:dyDescent="0.2">
      <c r="B514" s="178" t="str">
        <f>'[1]COMEDORES EMERGENTES'!$B$14</f>
        <v>VALLE VIEJO - SUMALAO</v>
      </c>
      <c r="C514" s="179"/>
      <c r="D514" s="108" t="s">
        <v>169</v>
      </c>
      <c r="E514" s="109" t="str">
        <f>'[1]COMEDORES EMERGENTES'!$G$14</f>
        <v>PADRE SEGURA S/N</v>
      </c>
    </row>
    <row r="515" spans="2:5" x14ac:dyDescent="0.2">
      <c r="B515" s="178" t="str">
        <f>'[1]COMEDORES EMERGENTES'!$B$15</f>
        <v>NUESTRO FUTURO - LAS VIAS</v>
      </c>
      <c r="C515" s="179"/>
      <c r="D515" s="108" t="s">
        <v>173</v>
      </c>
      <c r="E515" s="109" t="str">
        <f>'[1]COMEDORES EMERGENTES'!$G$15</f>
        <v>Bº LAS VIAS OESTE LOTE 42</v>
      </c>
    </row>
    <row r="516" spans="2:5" x14ac:dyDescent="0.2">
      <c r="B516" s="178" t="str">
        <f>'[1]COMEDORES EMERGENTES'!$B$16</f>
        <v>SAN JOSE OBRERO</v>
      </c>
      <c r="C516" s="179"/>
      <c r="D516" s="108" t="s">
        <v>183</v>
      </c>
      <c r="E516" s="109" t="str">
        <f>'[1]COMEDORES EMERGENTES'!$G$16</f>
        <v>Bº SAN JOSE OBRERO. PJE. SANDOVAL S/Nº</v>
      </c>
    </row>
    <row r="517" spans="2:5" x14ac:dyDescent="0.2">
      <c r="B517" s="178" t="str">
        <f>'[1]COMEDORES EMERGENTES'!$B$17</f>
        <v>VIRGEN DE LUJAN</v>
      </c>
      <c r="C517" s="179"/>
      <c r="D517" s="108" t="s">
        <v>173</v>
      </c>
      <c r="E517" s="109" t="str">
        <f>'[1]COMEDORES EMERGENTES'!$G$17</f>
        <v>Bº OJO DE AGUA C/DR.TEODULFO BARRIONUEVO S/Nº</v>
      </c>
    </row>
    <row r="518" spans="2:5" x14ac:dyDescent="0.2">
      <c r="B518" s="178" t="str">
        <f>'[1]COMEDORES EMERGENTES'!$B$18</f>
        <v>RENACER</v>
      </c>
      <c r="C518" s="179"/>
      <c r="D518" s="108" t="s">
        <v>180</v>
      </c>
      <c r="E518" s="109" t="str">
        <f>'[1]COMEDORES EMERGENTES'!$G$18</f>
        <v>Bº VIRGEN MORENITA</v>
      </c>
    </row>
    <row r="519" spans="2:5" x14ac:dyDescent="0.2">
      <c r="B519" s="178" t="str">
        <f>'[1]COMEDORES EMERGENTES'!$B$19</f>
        <v>CENTRO VECINAL MI JARDIN</v>
      </c>
      <c r="C519" s="179"/>
      <c r="D519" s="108" t="s">
        <v>168</v>
      </c>
      <c r="E519" s="109" t="str">
        <f>'[1]COMEDORES EMERGENTES'!$G$19</f>
        <v>C/ LOS TULIPANES ENTRE FLOR DE CEREZO Y HOLANDA MZA.27 Bº MI JARDIN</v>
      </c>
    </row>
    <row r="520" spans="2:5" x14ac:dyDescent="0.2">
      <c r="B520" s="178" t="str">
        <f>'[1]COMEDORES EMERGENTES'!$B$20</f>
        <v>LA VIEJA ESQUINA</v>
      </c>
      <c r="C520" s="179"/>
      <c r="D520" s="108" t="s">
        <v>226</v>
      </c>
      <c r="E520" s="109" t="str">
        <f>'[1]COMEDORES EMERGENTES'!$G$20</f>
        <v>B° CRISTO REY PJE CAPATAZ VILLAFAÑEZ Y ARMANDO CORREA</v>
      </c>
    </row>
    <row r="521" spans="2:5" x14ac:dyDescent="0.2">
      <c r="B521" s="178" t="str">
        <f>'[1]COMEDORES EMERGENTES'!$B$21</f>
        <v>GAUCHITO GIL</v>
      </c>
      <c r="C521" s="179"/>
      <c r="D521" s="108" t="s">
        <v>226</v>
      </c>
      <c r="E521" s="109" t="str">
        <f>'[1]COMEDORES EMERGENTES'!$G$21</f>
        <v>B° 26 VIVIENDAS CASA N° 3</v>
      </c>
    </row>
    <row r="522" spans="2:5" ht="13.5" thickBot="1" x14ac:dyDescent="0.25">
      <c r="B522" s="195" t="str">
        <f>'[1]COMEDORES EMERGENTES'!$B$22</f>
        <v>LOS TOLDOS</v>
      </c>
      <c r="C522" s="196"/>
      <c r="D522" s="115" t="s">
        <v>254</v>
      </c>
      <c r="E522" s="116" t="str">
        <f>'[1]COMEDORES EMERGENTES'!$G$22</f>
        <v>LOTEO PARQUE SUR CALLE S/NOMBRE S/N°</v>
      </c>
    </row>
    <row r="523" spans="2:5" x14ac:dyDescent="0.2">
      <c r="B523" s="33" t="s">
        <v>18</v>
      </c>
      <c r="C523" s="31"/>
      <c r="D523" s="72"/>
      <c r="E523" s="32"/>
    </row>
    <row r="524" spans="2:5" x14ac:dyDescent="0.2">
      <c r="B524" s="34"/>
      <c r="C524" s="194" t="s">
        <v>62</v>
      </c>
      <c r="D524" s="194"/>
      <c r="E524" s="194"/>
    </row>
    <row r="525" spans="2:5" x14ac:dyDescent="0.2">
      <c r="B525" s="33" t="s">
        <v>19</v>
      </c>
      <c r="C525" s="35"/>
      <c r="D525" s="35"/>
      <c r="E525" s="36"/>
    </row>
    <row r="526" spans="2:5" x14ac:dyDescent="0.2">
      <c r="B526" s="34"/>
      <c r="C526" s="194" t="s">
        <v>139</v>
      </c>
      <c r="D526" s="194"/>
      <c r="E526" s="194"/>
    </row>
    <row r="527" spans="2:5" x14ac:dyDescent="0.2">
      <c r="B527" s="33" t="s">
        <v>20</v>
      </c>
      <c r="C527" s="31"/>
      <c r="D527" s="72"/>
      <c r="E527" s="32"/>
    </row>
    <row r="528" spans="2:5" x14ac:dyDescent="0.2">
      <c r="B528" s="33"/>
      <c r="C528" s="193" t="s">
        <v>63</v>
      </c>
      <c r="D528" s="193"/>
      <c r="E528" s="193"/>
    </row>
    <row r="529" spans="2:5" ht="13.5" thickBot="1" x14ac:dyDescent="0.25">
      <c r="B529" s="37"/>
      <c r="C529" s="38"/>
      <c r="D529" s="73"/>
      <c r="E529" s="39"/>
    </row>
    <row r="530" spans="2:5" ht="13.5" thickBot="1" x14ac:dyDescent="0.25"/>
    <row r="531" spans="2:5" x14ac:dyDescent="0.2">
      <c r="B531" s="27" t="s">
        <v>151</v>
      </c>
      <c r="C531" s="28"/>
      <c r="D531" s="71"/>
      <c r="E531" s="29"/>
    </row>
    <row r="532" spans="2:5" x14ac:dyDescent="0.2">
      <c r="B532" s="30"/>
      <c r="C532" s="31"/>
      <c r="D532" s="72"/>
      <c r="E532" s="32"/>
    </row>
    <row r="533" spans="2:5" x14ac:dyDescent="0.2">
      <c r="B533" s="33" t="s">
        <v>16</v>
      </c>
      <c r="C533" s="31"/>
      <c r="D533" s="72"/>
      <c r="E533" s="32"/>
    </row>
    <row r="534" spans="2:5" ht="25.5" customHeight="1" x14ac:dyDescent="0.2">
      <c r="B534" s="33"/>
      <c r="C534" s="194"/>
      <c r="D534" s="194"/>
      <c r="E534" s="194"/>
    </row>
    <row r="535" spans="2:5" ht="13.5" thickBot="1" x14ac:dyDescent="0.25">
      <c r="B535" s="33" t="s">
        <v>17</v>
      </c>
      <c r="C535" s="31"/>
      <c r="D535" s="72"/>
      <c r="E535" s="32"/>
    </row>
    <row r="536" spans="2:5" ht="13.5" thickBot="1" x14ac:dyDescent="0.25">
      <c r="B536" s="180" t="s">
        <v>136</v>
      </c>
      <c r="C536" s="181"/>
      <c r="D536" s="181"/>
      <c r="E536" s="182"/>
    </row>
    <row r="537" spans="2:5" ht="13.5" thickBot="1" x14ac:dyDescent="0.25">
      <c r="B537" s="180" t="s">
        <v>137</v>
      </c>
      <c r="C537" s="182"/>
      <c r="D537" s="69" t="s">
        <v>11</v>
      </c>
      <c r="E537" s="69" t="s">
        <v>138</v>
      </c>
    </row>
    <row r="538" spans="2:5" x14ac:dyDescent="0.2">
      <c r="B538" s="187" t="str">
        <f>'[1]COMEDORES EMERGENTES'!$B$3</f>
        <v>UNA SONRISA AV. LOS COBACHO</v>
      </c>
      <c r="C538" s="188"/>
      <c r="D538" s="113">
        <v>10</v>
      </c>
      <c r="E538" s="114" t="str">
        <f>'[1]COMEDORES EMERGENTES'!$G$3</f>
        <v>Bº SAN CARLOS OESTE AV. Bonifacio cobacho 670</v>
      </c>
    </row>
    <row r="539" spans="2:5" x14ac:dyDescent="0.2">
      <c r="B539" s="178" t="str">
        <f>'[1]COMEDORES EMERGENTES'!$B$4</f>
        <v>C.I.F Nº1 - RIVERA DEL VALLE Y FLORIDA</v>
      </c>
      <c r="C539" s="179"/>
      <c r="D539" s="108">
        <v>14</v>
      </c>
      <c r="E539" s="109" t="str">
        <f>'[1]COMEDORES EMERGENTES'!$G$4</f>
        <v>AV. RIVIERA DEL VALLE ENTRE FLORIDA Y SANTA FE</v>
      </c>
    </row>
    <row r="540" spans="2:5" x14ac:dyDescent="0.2">
      <c r="B540" s="178" t="str">
        <f>'[1]COMEDORES EMERGENTES'!$B$5</f>
        <v>C.I.F - RIVERA DEL VALLE - DILORENZO</v>
      </c>
      <c r="C540" s="179"/>
      <c r="D540" s="108">
        <v>16</v>
      </c>
      <c r="E540" s="109" t="str">
        <f>'[1]COMEDORES EMERGENTES'!$G$5</f>
        <v>Bº RIVERA DEL VALLE ENTRE VILLA EUMELIA Y MONTE CRISTO</v>
      </c>
    </row>
    <row r="541" spans="2:5" x14ac:dyDescent="0.2">
      <c r="B541" s="178" t="str">
        <f>'[1]COMEDORES EMERGENTES'!$B$6</f>
        <v>ESFUERZO PROPIO- Bº ALTOS DE CHOYA</v>
      </c>
      <c r="C541" s="179"/>
      <c r="D541" s="108">
        <v>13</v>
      </c>
      <c r="E541" s="109" t="str">
        <f>'[1]COMEDORES EMERGENTES'!$G$6</f>
        <v>Bº MUNICIPAL 35VV. NORTE C/14</v>
      </c>
    </row>
    <row r="542" spans="2:5" x14ac:dyDescent="0.2">
      <c r="B542" s="178" t="str">
        <f>'[1]COMEDORES EMERGENTES'!$B$7</f>
        <v>ANGELITOS - LOTEO SUSSEX</v>
      </c>
      <c r="C542" s="179"/>
      <c r="D542" s="108">
        <v>6</v>
      </c>
      <c r="E542" s="109" t="str">
        <f>'[1]COMEDORES EMERGENTES'!$G$7</f>
        <v>Bº LOTEO SUSEX MZA.Nº 4 LOTE Nº3</v>
      </c>
    </row>
    <row r="543" spans="2:5" x14ac:dyDescent="0.2">
      <c r="B543" s="178" t="str">
        <f>'[1]COMEDORES EMERGENTES'!$B$8</f>
        <v>CLUB DEPORTIVO CHACARITA</v>
      </c>
      <c r="C543" s="179"/>
      <c r="D543" s="108">
        <v>8</v>
      </c>
      <c r="E543" s="109" t="str">
        <f>'[1]COMEDORES EMERGENTES'!$G$8</f>
        <v>CALLE DR.DERMIDIO GALINDEZ C/2660</v>
      </c>
    </row>
    <row r="544" spans="2:5" x14ac:dyDescent="0.2">
      <c r="B544" s="178" t="str">
        <f>'[1]COMEDORES EMERGENTES'!$B$9</f>
        <v>LA MORO</v>
      </c>
      <c r="C544" s="179"/>
      <c r="D544" s="108">
        <v>7</v>
      </c>
      <c r="E544" s="109" t="str">
        <f>'[1]COMEDORES EMERGENTES'!$G$9</f>
        <v>MAIPU NORTE 1º ETAPA MZA "H" Bº MI JARDIN</v>
      </c>
    </row>
    <row r="545" spans="2:5" x14ac:dyDescent="0.2">
      <c r="B545" s="178" t="str">
        <f>'[1]COMEDORES EMERGENTES'!$B$10</f>
        <v>PAPA FRANCISCO</v>
      </c>
      <c r="C545" s="179"/>
      <c r="D545" s="108">
        <v>12</v>
      </c>
      <c r="E545" s="109" t="str">
        <f>'[1]COMEDORES EMERGENTES'!$G$10</f>
        <v>ENTRE AV.TEREBINTO Y AV.SAN JUAN LOTE "2" MZA. "B"</v>
      </c>
    </row>
    <row r="546" spans="2:5" x14ac:dyDescent="0.2">
      <c r="B546" s="178" t="str">
        <f>'[1]COMEDORES EMERGENTES'!$B$11</f>
        <v>E.P.C - 100 V.V NORTE</v>
      </c>
      <c r="C546" s="179"/>
      <c r="D546" s="108">
        <v>18</v>
      </c>
      <c r="E546" s="109" t="str">
        <f>'[1]COMEDORES EMERGENTES'!$G$11</f>
        <v>Bº VV NORTE C/48 ENTRE ESPAÑA Y FRANCIA</v>
      </c>
    </row>
    <row r="547" spans="2:5" x14ac:dyDescent="0.2">
      <c r="B547" s="178" t="str">
        <f>'[1]COMEDORES EMERGENTES'!$B$12</f>
        <v>HOGAR DE CRISTO - PADRE RAUL CONTRERAS</v>
      </c>
      <c r="C547" s="179"/>
      <c r="D547" s="108">
        <v>18</v>
      </c>
      <c r="E547" s="109" t="str">
        <f>'[1]COMEDORES EMERGENTES'!$G$12</f>
        <v>Bº SANTA MARTA MZA. "S" LOTE "M" C/39</v>
      </c>
    </row>
    <row r="548" spans="2:5" x14ac:dyDescent="0.2">
      <c r="B548" s="178" t="str">
        <f>'[1]COMEDORES EMERGENTES'!$B$13</f>
        <v>LA LUCIERNAGA</v>
      </c>
      <c r="C548" s="179"/>
      <c r="D548" s="108">
        <v>12</v>
      </c>
      <c r="E548" s="109" t="str">
        <f>'[1]COMEDORES EMERGENTES'!$G$13</f>
        <v>Bº 20 V.V NORTE C/3</v>
      </c>
    </row>
    <row r="549" spans="2:5" x14ac:dyDescent="0.2">
      <c r="B549" s="178" t="str">
        <f>'[1]COMEDORES EMERGENTES'!$B$14</f>
        <v>VALLE VIEJO - SUMALAO</v>
      </c>
      <c r="C549" s="179"/>
      <c r="D549" s="108">
        <v>21</v>
      </c>
      <c r="E549" s="109" t="str">
        <f>'[1]COMEDORES EMERGENTES'!$G$14</f>
        <v>PADRE SEGURA S/N</v>
      </c>
    </row>
    <row r="550" spans="2:5" x14ac:dyDescent="0.2">
      <c r="B550" s="178" t="str">
        <f>'[1]COMEDORES EMERGENTES'!$B$15</f>
        <v>NUESTRO FUTURO - LAS VIAS</v>
      </c>
      <c r="C550" s="179"/>
      <c r="D550" s="108">
        <v>12</v>
      </c>
      <c r="E550" s="109" t="str">
        <f>'[1]COMEDORES EMERGENTES'!$G$15</f>
        <v>Bº LAS VIAS OESTE LOTE 42</v>
      </c>
    </row>
    <row r="551" spans="2:5" x14ac:dyDescent="0.2">
      <c r="B551" s="178" t="str">
        <f>'[1]COMEDORES EMERGENTES'!$B$16</f>
        <v>SAN JOSE OBRERO</v>
      </c>
      <c r="C551" s="179"/>
      <c r="D551" s="108">
        <v>8</v>
      </c>
      <c r="E551" s="109" t="str">
        <f>'[1]COMEDORES EMERGENTES'!$G$16</f>
        <v>Bº SAN JOSE OBRERO. PJE. SANDOVAL S/Nº</v>
      </c>
    </row>
    <row r="552" spans="2:5" x14ac:dyDescent="0.2">
      <c r="B552" s="178" t="str">
        <f>'[1]COMEDORES EMERGENTES'!$B$17</f>
        <v>VIRGEN DE LUJAN</v>
      </c>
      <c r="C552" s="179"/>
      <c r="D552" s="108">
        <v>12</v>
      </c>
      <c r="E552" s="109" t="str">
        <f>'[1]COMEDORES EMERGENTES'!$G$17</f>
        <v>Bº OJO DE AGUA C/DR.TEODULFO BARRIONUEVO S/Nº</v>
      </c>
    </row>
    <row r="553" spans="2:5" x14ac:dyDescent="0.2">
      <c r="B553" s="178" t="str">
        <f>'[1]COMEDORES EMERGENTES'!$B$18</f>
        <v>RENACER</v>
      </c>
      <c r="C553" s="179"/>
      <c r="D553" s="108">
        <v>15</v>
      </c>
      <c r="E553" s="109" t="str">
        <f>'[1]COMEDORES EMERGENTES'!$G$18</f>
        <v>Bº VIRGEN MORENITA</v>
      </c>
    </row>
    <row r="554" spans="2:5" x14ac:dyDescent="0.2">
      <c r="B554" s="178" t="str">
        <f>'[1]COMEDORES EMERGENTES'!$B$19</f>
        <v>CENTRO VECINAL MI JARDIN</v>
      </c>
      <c r="C554" s="179"/>
      <c r="D554" s="108">
        <v>11</v>
      </c>
      <c r="E554" s="109" t="str">
        <f>'[1]COMEDORES EMERGENTES'!$G$19</f>
        <v>C/ LOS TULIPANES ENTRE FLOR DE CEREZO Y HOLANDA MZA.27 Bº MI JARDIN</v>
      </c>
    </row>
    <row r="555" spans="2:5" x14ac:dyDescent="0.2">
      <c r="B555" s="178" t="str">
        <f>'[1]COMEDORES EMERGENTES'!$B$20</f>
        <v>LA VIEJA ESQUINA</v>
      </c>
      <c r="C555" s="179"/>
      <c r="D555" s="108">
        <v>10</v>
      </c>
      <c r="E555" s="109" t="str">
        <f>'[1]COMEDORES EMERGENTES'!$G$20</f>
        <v>B° CRISTO REY PJE CAPATAZ VILLAFAÑEZ Y ARMANDO CORREA</v>
      </c>
    </row>
    <row r="556" spans="2:5" x14ac:dyDescent="0.2">
      <c r="B556" s="178" t="str">
        <f>'[1]COMEDORES EMERGENTES'!$B$21</f>
        <v>GAUCHITO GIL</v>
      </c>
      <c r="C556" s="179"/>
      <c r="D556" s="108">
        <v>10</v>
      </c>
      <c r="E556" s="109" t="str">
        <f>'[1]COMEDORES EMERGENTES'!$G$21</f>
        <v>B° 26 VIVIENDAS CASA N° 3</v>
      </c>
    </row>
    <row r="557" spans="2:5" ht="13.5" thickBot="1" x14ac:dyDescent="0.25">
      <c r="B557" s="195" t="str">
        <f>'[1]COMEDORES EMERGENTES'!$B$22</f>
        <v>LOS TOLDOS</v>
      </c>
      <c r="C557" s="196"/>
      <c r="D557" s="115">
        <v>5</v>
      </c>
      <c r="E557" s="116" t="str">
        <f>'[1]COMEDORES EMERGENTES'!$G$22</f>
        <v>LOTEO PARQUE SUR CALLE S/NOMBRE S/N°</v>
      </c>
    </row>
    <row r="558" spans="2:5" x14ac:dyDescent="0.2">
      <c r="B558" s="33" t="s">
        <v>18</v>
      </c>
      <c r="C558" s="31"/>
      <c r="D558" s="72"/>
      <c r="E558" s="32"/>
    </row>
    <row r="559" spans="2:5" x14ac:dyDescent="0.2">
      <c r="B559" s="34"/>
      <c r="C559" s="194" t="s">
        <v>62</v>
      </c>
      <c r="D559" s="194"/>
      <c r="E559" s="194"/>
    </row>
    <row r="560" spans="2:5" x14ac:dyDescent="0.2">
      <c r="B560" s="33" t="s">
        <v>19</v>
      </c>
      <c r="C560" s="35"/>
      <c r="D560" s="35"/>
      <c r="E560" s="36"/>
    </row>
    <row r="561" spans="2:5" x14ac:dyDescent="0.2">
      <c r="B561" s="34"/>
      <c r="C561" s="194" t="s">
        <v>139</v>
      </c>
      <c r="D561" s="194"/>
      <c r="E561" s="194"/>
    </row>
    <row r="562" spans="2:5" x14ac:dyDescent="0.2">
      <c r="B562" s="33" t="s">
        <v>20</v>
      </c>
      <c r="C562" s="31"/>
      <c r="D562" s="72"/>
      <c r="E562" s="32"/>
    </row>
    <row r="563" spans="2:5" x14ac:dyDescent="0.2">
      <c r="B563" s="33"/>
      <c r="C563" s="193" t="s">
        <v>63</v>
      </c>
      <c r="D563" s="193"/>
      <c r="E563" s="193"/>
    </row>
    <row r="564" spans="2:5" ht="13.5" thickBot="1" x14ac:dyDescent="0.25">
      <c r="B564" s="37"/>
      <c r="C564" s="38"/>
      <c r="D564" s="73"/>
      <c r="E564" s="39"/>
    </row>
    <row r="565" spans="2:5" ht="13.5" thickBot="1" x14ac:dyDescent="0.25"/>
    <row r="566" spans="2:5" x14ac:dyDescent="0.2">
      <c r="B566" s="27" t="s">
        <v>152</v>
      </c>
      <c r="C566" s="28"/>
      <c r="D566" s="71"/>
      <c r="E566" s="29"/>
    </row>
    <row r="567" spans="2:5" x14ac:dyDescent="0.2">
      <c r="B567" s="30"/>
      <c r="C567" s="31"/>
      <c r="D567" s="72"/>
      <c r="E567" s="32"/>
    </row>
    <row r="568" spans="2:5" x14ac:dyDescent="0.2">
      <c r="B568" s="33" t="s">
        <v>16</v>
      </c>
      <c r="C568" s="31"/>
      <c r="D568" s="72"/>
      <c r="E568" s="32"/>
    </row>
    <row r="569" spans="2:5" ht="25.5" customHeight="1" x14ac:dyDescent="0.2">
      <c r="B569" s="33"/>
      <c r="C569" s="194"/>
      <c r="D569" s="194"/>
      <c r="E569" s="194"/>
    </row>
    <row r="570" spans="2:5" ht="13.5" thickBot="1" x14ac:dyDescent="0.25">
      <c r="B570" s="33" t="s">
        <v>17</v>
      </c>
      <c r="C570" s="31"/>
      <c r="D570" s="72"/>
      <c r="E570" s="32"/>
    </row>
    <row r="571" spans="2:5" ht="13.5" thickBot="1" x14ac:dyDescent="0.25">
      <c r="B571" s="180" t="s">
        <v>136</v>
      </c>
      <c r="C571" s="181"/>
      <c r="D571" s="181"/>
      <c r="E571" s="182"/>
    </row>
    <row r="572" spans="2:5" ht="13.5" thickBot="1" x14ac:dyDescent="0.25">
      <c r="B572" s="180" t="s">
        <v>137</v>
      </c>
      <c r="C572" s="182"/>
      <c r="D572" s="69" t="s">
        <v>11</v>
      </c>
      <c r="E572" s="69" t="s">
        <v>138</v>
      </c>
    </row>
    <row r="573" spans="2:5" x14ac:dyDescent="0.2">
      <c r="B573" s="187" t="str">
        <f>'[1]COMEDORES EMERGENTES'!$B$3</f>
        <v>UNA SONRISA AV. LOS COBACHO</v>
      </c>
      <c r="C573" s="188"/>
      <c r="D573" s="113" t="s">
        <v>188</v>
      </c>
      <c r="E573" s="114" t="str">
        <f>'[1]COMEDORES EMERGENTES'!$G$3</f>
        <v>Bº SAN CARLOS OESTE AV. Bonifacio cobacho 670</v>
      </c>
    </row>
    <row r="574" spans="2:5" x14ac:dyDescent="0.2">
      <c r="B574" s="178" t="str">
        <f>'[1]COMEDORES EMERGENTES'!$B$4</f>
        <v>C.I.F Nº1 - RIVERA DEL VALLE Y FLORIDA</v>
      </c>
      <c r="C574" s="179"/>
      <c r="D574" s="108" t="s">
        <v>189</v>
      </c>
      <c r="E574" s="109" t="str">
        <f>'[1]COMEDORES EMERGENTES'!$G$4</f>
        <v>AV. RIVIERA DEL VALLE ENTRE FLORIDA Y SANTA FE</v>
      </c>
    </row>
    <row r="575" spans="2:5" x14ac:dyDescent="0.2">
      <c r="B575" s="178" t="str">
        <f>'[1]COMEDORES EMERGENTES'!$B$5</f>
        <v>C.I.F - RIVERA DEL VALLE - DILORENZO</v>
      </c>
      <c r="C575" s="179"/>
      <c r="D575" s="108" t="s">
        <v>190</v>
      </c>
      <c r="E575" s="109" t="str">
        <f>'[1]COMEDORES EMERGENTES'!$G$5</f>
        <v>Bº RIVERA DEL VALLE ENTRE VILLA EUMELIA Y MONTE CRISTO</v>
      </c>
    </row>
    <row r="576" spans="2:5" x14ac:dyDescent="0.2">
      <c r="B576" s="178" t="str">
        <f>'[1]COMEDORES EMERGENTES'!$B$6</f>
        <v>ESFUERZO PROPIO- Bº ALTOS DE CHOYA</v>
      </c>
      <c r="C576" s="179"/>
      <c r="D576" s="108" t="s">
        <v>191</v>
      </c>
      <c r="E576" s="109" t="str">
        <f>'[1]COMEDORES EMERGENTES'!$G$6</f>
        <v>Bº MUNICIPAL 35VV. NORTE C/14</v>
      </c>
    </row>
    <row r="577" spans="2:5" x14ac:dyDescent="0.2">
      <c r="B577" s="178" t="str">
        <f>'[1]COMEDORES EMERGENTES'!$B$7</f>
        <v>ANGELITOS - LOTEO SUSSEX</v>
      </c>
      <c r="C577" s="179"/>
      <c r="D577" s="108" t="s">
        <v>173</v>
      </c>
      <c r="E577" s="109" t="str">
        <f>'[1]COMEDORES EMERGENTES'!$G$7</f>
        <v>Bº LOTEO SUSEX MZA.Nº 4 LOTE Nº3</v>
      </c>
    </row>
    <row r="578" spans="2:5" x14ac:dyDescent="0.2">
      <c r="B578" s="178" t="str">
        <f>'[1]COMEDORES EMERGENTES'!$B$8</f>
        <v>CLUB DEPORTIVO CHACARITA</v>
      </c>
      <c r="C578" s="179"/>
      <c r="D578" s="108" t="s">
        <v>179</v>
      </c>
      <c r="E578" s="109" t="str">
        <f>'[1]COMEDORES EMERGENTES'!$G$8</f>
        <v>CALLE DR.DERMIDIO GALINDEZ C/2660</v>
      </c>
    </row>
    <row r="579" spans="2:5" x14ac:dyDescent="0.2">
      <c r="B579" s="178" t="str">
        <f>'[1]COMEDORES EMERGENTES'!$B$9</f>
        <v>LA MORO</v>
      </c>
      <c r="C579" s="179"/>
      <c r="D579" s="108" t="s">
        <v>167</v>
      </c>
      <c r="E579" s="109" t="str">
        <f>'[1]COMEDORES EMERGENTES'!$G$9</f>
        <v>MAIPU NORTE 1º ETAPA MZA "H" Bº MI JARDIN</v>
      </c>
    </row>
    <row r="580" spans="2:5" x14ac:dyDescent="0.2">
      <c r="B580" s="178" t="str">
        <f>'[1]COMEDORES EMERGENTES'!$B$10</f>
        <v>PAPA FRANCISCO</v>
      </c>
      <c r="C580" s="179"/>
      <c r="D580" s="108" t="s">
        <v>192</v>
      </c>
      <c r="E580" s="109" t="str">
        <f>'[1]COMEDORES EMERGENTES'!$G$10</f>
        <v>ENTRE AV.TEREBINTO Y AV.SAN JUAN LOTE "2" MZA. "B"</v>
      </c>
    </row>
    <row r="581" spans="2:5" x14ac:dyDescent="0.2">
      <c r="B581" s="178" t="str">
        <f>'[1]COMEDORES EMERGENTES'!$B$11</f>
        <v>E.P.C - 100 V.V NORTE</v>
      </c>
      <c r="C581" s="179"/>
      <c r="D581" s="108" t="s">
        <v>193</v>
      </c>
      <c r="E581" s="109" t="str">
        <f>'[1]COMEDORES EMERGENTES'!$G$11</f>
        <v>Bº VV NORTE C/48 ENTRE ESPAÑA Y FRANCIA</v>
      </c>
    </row>
    <row r="582" spans="2:5" x14ac:dyDescent="0.2">
      <c r="B582" s="178" t="str">
        <f>'[1]COMEDORES EMERGENTES'!$B$12</f>
        <v>HOGAR DE CRISTO - PADRE RAUL CONTRERAS</v>
      </c>
      <c r="C582" s="179"/>
      <c r="D582" s="108" t="s">
        <v>193</v>
      </c>
      <c r="E582" s="109" t="str">
        <f>'[1]COMEDORES EMERGENTES'!$G$12</f>
        <v>Bº SANTA MARTA MZA. "S" LOTE "M" C/39</v>
      </c>
    </row>
    <row r="583" spans="2:5" x14ac:dyDescent="0.2">
      <c r="B583" s="178" t="str">
        <f>'[1]COMEDORES EMERGENTES'!$B$13</f>
        <v>LA LUCIERNAGA</v>
      </c>
      <c r="C583" s="179"/>
      <c r="D583" s="108" t="s">
        <v>192</v>
      </c>
      <c r="E583" s="109" t="str">
        <f>'[1]COMEDORES EMERGENTES'!$G$13</f>
        <v>Bº 20 V.V NORTE C/3</v>
      </c>
    </row>
    <row r="584" spans="2:5" x14ac:dyDescent="0.2">
      <c r="B584" s="178" t="str">
        <f>'[1]COMEDORES EMERGENTES'!$B$14</f>
        <v>VALLE VIEJO - SUMALAO</v>
      </c>
      <c r="C584" s="179"/>
      <c r="D584" s="108" t="s">
        <v>194</v>
      </c>
      <c r="E584" s="109" t="str">
        <f>'[1]COMEDORES EMERGENTES'!$G$14</f>
        <v>PADRE SEGURA S/N</v>
      </c>
    </row>
    <row r="585" spans="2:5" x14ac:dyDescent="0.2">
      <c r="B585" s="178" t="str">
        <f>'[1]COMEDORES EMERGENTES'!$B$15</f>
        <v>NUESTRO FUTURO - LAS VIAS</v>
      </c>
      <c r="C585" s="179"/>
      <c r="D585" s="108" t="s">
        <v>192</v>
      </c>
      <c r="E585" s="109" t="str">
        <f>'[1]COMEDORES EMERGENTES'!$G$15</f>
        <v>Bº LAS VIAS OESTE LOTE 42</v>
      </c>
    </row>
    <row r="586" spans="2:5" x14ac:dyDescent="0.2">
      <c r="B586" s="178" t="str">
        <f>'[1]COMEDORES EMERGENTES'!$B$16</f>
        <v>SAN JOSE OBRERO</v>
      </c>
      <c r="C586" s="179"/>
      <c r="D586" s="108" t="s">
        <v>179</v>
      </c>
      <c r="E586" s="109" t="str">
        <f>'[1]COMEDORES EMERGENTES'!$G$16</f>
        <v>Bº SAN JOSE OBRERO. PJE. SANDOVAL S/Nº</v>
      </c>
    </row>
    <row r="587" spans="2:5" x14ac:dyDescent="0.2">
      <c r="B587" s="178" t="str">
        <f>'[1]COMEDORES EMERGENTES'!$B$17</f>
        <v>VIRGEN DE LUJAN</v>
      </c>
      <c r="C587" s="179"/>
      <c r="D587" s="108" t="s">
        <v>192</v>
      </c>
      <c r="E587" s="109" t="str">
        <f>'[1]COMEDORES EMERGENTES'!$G$17</f>
        <v>Bº OJO DE AGUA C/DR.TEODULFO BARRIONUEVO S/Nº</v>
      </c>
    </row>
    <row r="588" spans="2:5" x14ac:dyDescent="0.2">
      <c r="B588" s="178" t="str">
        <f>'[1]COMEDORES EMERGENTES'!$B$18</f>
        <v>RENACER</v>
      </c>
      <c r="C588" s="179"/>
      <c r="D588" s="108" t="s">
        <v>195</v>
      </c>
      <c r="E588" s="109" t="str">
        <f>'[1]COMEDORES EMERGENTES'!$G$18</f>
        <v>Bº VIRGEN MORENITA</v>
      </c>
    </row>
    <row r="589" spans="2:5" x14ac:dyDescent="0.2">
      <c r="B589" s="178" t="str">
        <f>'[1]COMEDORES EMERGENTES'!$B$19</f>
        <v>CENTRO VECINAL MI JARDIN</v>
      </c>
      <c r="C589" s="179"/>
      <c r="D589" s="108" t="s">
        <v>196</v>
      </c>
      <c r="E589" s="109" t="str">
        <f>'[1]COMEDORES EMERGENTES'!$G$19</f>
        <v>C/ LOS TULIPANES ENTRE FLOR DE CEREZO Y HOLANDA MZA.27 Bº MI JARDIN</v>
      </c>
    </row>
    <row r="590" spans="2:5" x14ac:dyDescent="0.2">
      <c r="B590" s="178" t="str">
        <f>'[1]COMEDORES EMERGENTES'!$B$20</f>
        <v>LA VIEJA ESQUINA</v>
      </c>
      <c r="C590" s="179"/>
      <c r="D590" s="108" t="s">
        <v>197</v>
      </c>
      <c r="E590" s="109" t="str">
        <f>'[1]COMEDORES EMERGENTES'!$G$20</f>
        <v>B° CRISTO REY PJE CAPATAZ VILLAFAÑEZ Y ARMANDO CORREA</v>
      </c>
    </row>
    <row r="591" spans="2:5" x14ac:dyDescent="0.2">
      <c r="B591" s="178" t="str">
        <f>'[1]COMEDORES EMERGENTES'!$B$21</f>
        <v>GAUCHITO GIL</v>
      </c>
      <c r="C591" s="179"/>
      <c r="D591" s="108" t="s">
        <v>197</v>
      </c>
      <c r="E591" s="109" t="str">
        <f>'[1]COMEDORES EMERGENTES'!$G$21</f>
        <v>B° 26 VIVIENDAS CASA N° 3</v>
      </c>
    </row>
    <row r="592" spans="2:5" ht="13.5" thickBot="1" x14ac:dyDescent="0.25">
      <c r="B592" s="195" t="str">
        <f>'[1]COMEDORES EMERGENTES'!$B$22</f>
        <v>LOS TOLDOS</v>
      </c>
      <c r="C592" s="196"/>
      <c r="D592" s="115" t="s">
        <v>202</v>
      </c>
      <c r="E592" s="116" t="str">
        <f>'[1]COMEDORES EMERGENTES'!$G$22</f>
        <v>LOTEO PARQUE SUR CALLE S/NOMBRE S/N°</v>
      </c>
    </row>
    <row r="593" spans="2:5" x14ac:dyDescent="0.2">
      <c r="B593" s="33" t="s">
        <v>18</v>
      </c>
      <c r="C593" s="31"/>
      <c r="D593" s="72"/>
      <c r="E593" s="32"/>
    </row>
    <row r="594" spans="2:5" x14ac:dyDescent="0.2">
      <c r="B594" s="34"/>
      <c r="C594" s="194" t="s">
        <v>62</v>
      </c>
      <c r="D594" s="194"/>
      <c r="E594" s="194"/>
    </row>
    <row r="595" spans="2:5" x14ac:dyDescent="0.2">
      <c r="B595" s="33" t="s">
        <v>19</v>
      </c>
      <c r="C595" s="35"/>
      <c r="D595" s="35"/>
      <c r="E595" s="36"/>
    </row>
    <row r="596" spans="2:5" x14ac:dyDescent="0.2">
      <c r="B596" s="34"/>
      <c r="C596" s="194" t="s">
        <v>139</v>
      </c>
      <c r="D596" s="194"/>
      <c r="E596" s="194"/>
    </row>
    <row r="597" spans="2:5" x14ac:dyDescent="0.2">
      <c r="B597" s="33" t="s">
        <v>20</v>
      </c>
      <c r="C597" s="31"/>
      <c r="D597" s="72"/>
      <c r="E597" s="32"/>
    </row>
    <row r="598" spans="2:5" x14ac:dyDescent="0.2">
      <c r="B598" s="33"/>
      <c r="C598" s="193" t="s">
        <v>63</v>
      </c>
      <c r="D598" s="193"/>
      <c r="E598" s="193"/>
    </row>
    <row r="599" spans="2:5" ht="13.5" thickBot="1" x14ac:dyDescent="0.25">
      <c r="B599" s="37"/>
      <c r="C599" s="38"/>
      <c r="D599" s="73"/>
      <c r="E599" s="39"/>
    </row>
    <row r="600" spans="2:5" ht="13.5" thickBot="1" x14ac:dyDescent="0.25"/>
    <row r="601" spans="2:5" x14ac:dyDescent="0.2">
      <c r="B601" s="27" t="s">
        <v>153</v>
      </c>
      <c r="C601" s="28"/>
      <c r="D601" s="71"/>
      <c r="E601" s="29"/>
    </row>
    <row r="602" spans="2:5" x14ac:dyDescent="0.2">
      <c r="B602" s="30"/>
      <c r="C602" s="31"/>
      <c r="D602" s="72"/>
      <c r="E602" s="32"/>
    </row>
    <row r="603" spans="2:5" x14ac:dyDescent="0.2">
      <c r="B603" s="33" t="s">
        <v>16</v>
      </c>
      <c r="C603" s="31"/>
      <c r="D603" s="72"/>
      <c r="E603" s="32"/>
    </row>
    <row r="604" spans="2:5" ht="25.5" customHeight="1" x14ac:dyDescent="0.2">
      <c r="B604" s="33"/>
      <c r="C604" s="194"/>
      <c r="D604" s="194"/>
      <c r="E604" s="194"/>
    </row>
    <row r="605" spans="2:5" ht="13.5" thickBot="1" x14ac:dyDescent="0.25">
      <c r="B605" s="33" t="s">
        <v>17</v>
      </c>
      <c r="C605" s="31"/>
      <c r="D605" s="72"/>
      <c r="E605" s="32"/>
    </row>
    <row r="606" spans="2:5" ht="13.5" thickBot="1" x14ac:dyDescent="0.25">
      <c r="B606" s="180" t="s">
        <v>136</v>
      </c>
      <c r="C606" s="181"/>
      <c r="D606" s="181"/>
      <c r="E606" s="182"/>
    </row>
    <row r="607" spans="2:5" ht="13.5" thickBot="1" x14ac:dyDescent="0.25">
      <c r="B607" s="180" t="s">
        <v>137</v>
      </c>
      <c r="C607" s="182"/>
      <c r="D607" s="69" t="s">
        <v>11</v>
      </c>
      <c r="E607" s="69" t="s">
        <v>138</v>
      </c>
    </row>
    <row r="608" spans="2:5" x14ac:dyDescent="0.2">
      <c r="B608" s="187" t="str">
        <f>'[1]COMEDORES EMERGENTES'!$B$3</f>
        <v>UNA SONRISA AV. LOS COBACHO</v>
      </c>
      <c r="C608" s="188"/>
      <c r="D608" s="113" t="s">
        <v>202</v>
      </c>
      <c r="E608" s="114" t="str">
        <f>'[1]COMEDORES EMERGENTES'!$G$3</f>
        <v>Bº SAN CARLOS OESTE AV. Bonifacio cobacho 670</v>
      </c>
    </row>
    <row r="609" spans="2:5" x14ac:dyDescent="0.2">
      <c r="B609" s="178" t="str">
        <f>'[1]COMEDORES EMERGENTES'!$B$4</f>
        <v>C.I.F Nº1 - RIVERA DEL VALLE Y FLORIDA</v>
      </c>
      <c r="C609" s="179"/>
      <c r="D609" s="108" t="s">
        <v>201</v>
      </c>
      <c r="E609" s="109" t="str">
        <f>'[1]COMEDORES EMERGENTES'!$G$4</f>
        <v>AV. RIVIERA DEL VALLE ENTRE FLORIDA Y SANTA FE</v>
      </c>
    </row>
    <row r="610" spans="2:5" x14ac:dyDescent="0.2">
      <c r="B610" s="178" t="str">
        <f>'[1]COMEDORES EMERGENTES'!$B$5</f>
        <v>C.I.F - RIVERA DEL VALLE - DILORENZO</v>
      </c>
      <c r="C610" s="179"/>
      <c r="D610" s="108" t="s">
        <v>178</v>
      </c>
      <c r="E610" s="109" t="str">
        <f>'[1]COMEDORES EMERGENTES'!$G$5</f>
        <v>Bº RIVERA DEL VALLE ENTRE VILLA EUMELIA Y MONTE CRISTO</v>
      </c>
    </row>
    <row r="611" spans="2:5" x14ac:dyDescent="0.2">
      <c r="B611" s="178" t="str">
        <f>'[1]COMEDORES EMERGENTES'!$B$6</f>
        <v>ESFUERZO PROPIO- Bº ALTOS DE CHOYA</v>
      </c>
      <c r="C611" s="179"/>
      <c r="D611" s="108" t="s">
        <v>184</v>
      </c>
      <c r="E611" s="109" t="str">
        <f>'[1]COMEDORES EMERGENTES'!$G$6</f>
        <v>Bº MUNICIPAL 35VV. NORTE C/14</v>
      </c>
    </row>
    <row r="612" spans="2:5" x14ac:dyDescent="0.2">
      <c r="B612" s="178" t="str">
        <f>'[1]COMEDORES EMERGENTES'!$B$7</f>
        <v>ANGELITOS - LOTEO SUSSEX</v>
      </c>
      <c r="C612" s="179"/>
      <c r="D612" s="108" t="s">
        <v>225</v>
      </c>
      <c r="E612" s="109" t="str">
        <f>'[1]COMEDORES EMERGENTES'!$G$7</f>
        <v>Bº LOTEO SUSEX MZA.Nº 4 LOTE Nº3</v>
      </c>
    </row>
    <row r="613" spans="2:5" x14ac:dyDescent="0.2">
      <c r="B613" s="178" t="str">
        <f>'[1]COMEDORES EMERGENTES'!$B$8</f>
        <v>CLUB DEPORTIVO CHACARITA</v>
      </c>
      <c r="C613" s="179"/>
      <c r="D613" s="108" t="s">
        <v>183</v>
      </c>
      <c r="E613" s="109" t="str">
        <f>'[1]COMEDORES EMERGENTES'!$G$8</f>
        <v>CALLE DR.DERMIDIO GALINDEZ C/2660</v>
      </c>
    </row>
    <row r="614" spans="2:5" x14ac:dyDescent="0.2">
      <c r="B614" s="178" t="str">
        <f>'[1]COMEDORES EMERGENTES'!$B$9</f>
        <v>LA MORO</v>
      </c>
      <c r="C614" s="179"/>
      <c r="D614" s="108" t="s">
        <v>200</v>
      </c>
      <c r="E614" s="109" t="str">
        <f>'[1]COMEDORES EMERGENTES'!$G$9</f>
        <v>MAIPU NORTE 1º ETAPA MZA "H" Bº MI JARDIN</v>
      </c>
    </row>
    <row r="615" spans="2:5" x14ac:dyDescent="0.2">
      <c r="B615" s="178" t="str">
        <f>'[1]COMEDORES EMERGENTES'!$B$10</f>
        <v>PAPA FRANCISCO</v>
      </c>
      <c r="C615" s="179"/>
      <c r="D615" s="108" t="s">
        <v>173</v>
      </c>
      <c r="E615" s="109" t="str">
        <f>'[1]COMEDORES EMERGENTES'!$G$10</f>
        <v>ENTRE AV.TEREBINTO Y AV.SAN JUAN LOTE "2" MZA. "B"</v>
      </c>
    </row>
    <row r="616" spans="2:5" x14ac:dyDescent="0.2">
      <c r="B616" s="178" t="str">
        <f>'[1]COMEDORES EMERGENTES'!$B$11</f>
        <v>E.P.C - 100 V.V NORTE</v>
      </c>
      <c r="C616" s="179"/>
      <c r="D616" s="108" t="s">
        <v>174</v>
      </c>
      <c r="E616" s="109" t="str">
        <f>'[1]COMEDORES EMERGENTES'!$G$11</f>
        <v>Bº VV NORTE C/48 ENTRE ESPAÑA Y FRANCIA</v>
      </c>
    </row>
    <row r="617" spans="2:5" x14ac:dyDescent="0.2">
      <c r="B617" s="178" t="str">
        <f>'[1]COMEDORES EMERGENTES'!$B$12</f>
        <v>HOGAR DE CRISTO - PADRE RAUL CONTRERAS</v>
      </c>
      <c r="C617" s="179"/>
      <c r="D617" s="108" t="s">
        <v>174</v>
      </c>
      <c r="E617" s="109" t="str">
        <f>'[1]COMEDORES EMERGENTES'!$G$12</f>
        <v>Bº SANTA MARTA MZA. "S" LOTE "M" C/39</v>
      </c>
    </row>
    <row r="618" spans="2:5" x14ac:dyDescent="0.2">
      <c r="B618" s="178" t="str">
        <f>'[1]COMEDORES EMERGENTES'!$B$13</f>
        <v>LA LUCIERNAGA</v>
      </c>
      <c r="C618" s="179"/>
      <c r="D618" s="108" t="s">
        <v>173</v>
      </c>
      <c r="E618" s="109" t="str">
        <f>'[1]COMEDORES EMERGENTES'!$G$13</f>
        <v>Bº 20 V.V NORTE C/3</v>
      </c>
    </row>
    <row r="619" spans="2:5" x14ac:dyDescent="0.2">
      <c r="B619" s="178" t="str">
        <f>'[1]COMEDORES EMERGENTES'!$B$14</f>
        <v>VALLE VIEJO - SUMALAO</v>
      </c>
      <c r="C619" s="179"/>
      <c r="D619" s="108" t="s">
        <v>169</v>
      </c>
      <c r="E619" s="109" t="str">
        <f>'[1]COMEDORES EMERGENTES'!$G$14</f>
        <v>PADRE SEGURA S/N</v>
      </c>
    </row>
    <row r="620" spans="2:5" x14ac:dyDescent="0.2">
      <c r="B620" s="178" t="str">
        <f>'[1]COMEDORES EMERGENTES'!$B$15</f>
        <v>NUESTRO FUTURO - LAS VIAS</v>
      </c>
      <c r="C620" s="179"/>
      <c r="D620" s="108" t="s">
        <v>173</v>
      </c>
      <c r="E620" s="109" t="str">
        <f>'[1]COMEDORES EMERGENTES'!$G$15</f>
        <v>Bº LAS VIAS OESTE LOTE 42</v>
      </c>
    </row>
    <row r="621" spans="2:5" x14ac:dyDescent="0.2">
      <c r="B621" s="178" t="str">
        <f>'[1]COMEDORES EMERGENTES'!$B$16</f>
        <v>SAN JOSE OBRERO</v>
      </c>
      <c r="C621" s="179"/>
      <c r="D621" s="108" t="s">
        <v>183</v>
      </c>
      <c r="E621" s="109" t="str">
        <f>'[1]COMEDORES EMERGENTES'!$G$16</f>
        <v>Bº SAN JOSE OBRERO. PJE. SANDOVAL S/Nº</v>
      </c>
    </row>
    <row r="622" spans="2:5" x14ac:dyDescent="0.2">
      <c r="B622" s="178" t="str">
        <f>'[1]COMEDORES EMERGENTES'!$B$17</f>
        <v>VIRGEN DE LUJAN</v>
      </c>
      <c r="C622" s="179"/>
      <c r="D622" s="108" t="s">
        <v>173</v>
      </c>
      <c r="E622" s="109" t="str">
        <f>'[1]COMEDORES EMERGENTES'!$G$17</f>
        <v>Bº OJO DE AGUA C/DR.TEODULFO BARRIONUEVO S/Nº</v>
      </c>
    </row>
    <row r="623" spans="2:5" x14ac:dyDescent="0.2">
      <c r="B623" s="178" t="str">
        <f>'[1]COMEDORES EMERGENTES'!$B$18</f>
        <v>RENACER</v>
      </c>
      <c r="C623" s="179"/>
      <c r="D623" s="108" t="s">
        <v>180</v>
      </c>
      <c r="E623" s="109" t="str">
        <f>'[1]COMEDORES EMERGENTES'!$G$18</f>
        <v>Bº VIRGEN MORENITA</v>
      </c>
    </row>
    <row r="624" spans="2:5" x14ac:dyDescent="0.2">
      <c r="B624" s="178" t="str">
        <f>'[1]COMEDORES EMERGENTES'!$B$19</f>
        <v>CENTRO VECINAL MI JARDIN</v>
      </c>
      <c r="C624" s="179"/>
      <c r="D624" s="108" t="s">
        <v>168</v>
      </c>
      <c r="E624" s="109" t="str">
        <f>'[1]COMEDORES EMERGENTES'!$G$19</f>
        <v>C/ LOS TULIPANES ENTRE FLOR DE CEREZO Y HOLANDA MZA.27 Bº MI JARDIN</v>
      </c>
    </row>
    <row r="625" spans="2:5" x14ac:dyDescent="0.2">
      <c r="B625" s="178" t="str">
        <f>'[1]COMEDORES EMERGENTES'!$B$20</f>
        <v>LA VIEJA ESQUINA</v>
      </c>
      <c r="C625" s="179"/>
      <c r="D625" s="108" t="s">
        <v>226</v>
      </c>
      <c r="E625" s="109" t="str">
        <f>'[1]COMEDORES EMERGENTES'!$G$20</f>
        <v>B° CRISTO REY PJE CAPATAZ VILLAFAÑEZ Y ARMANDO CORREA</v>
      </c>
    </row>
    <row r="626" spans="2:5" x14ac:dyDescent="0.2">
      <c r="B626" s="178" t="str">
        <f>'[1]COMEDORES EMERGENTES'!$B$21</f>
        <v>GAUCHITO GIL</v>
      </c>
      <c r="C626" s="179"/>
      <c r="D626" s="108" t="s">
        <v>226</v>
      </c>
      <c r="E626" s="109" t="str">
        <f>'[1]COMEDORES EMERGENTES'!$G$21</f>
        <v>B° 26 VIVIENDAS CASA N° 3</v>
      </c>
    </row>
    <row r="627" spans="2:5" ht="13.5" thickBot="1" x14ac:dyDescent="0.25">
      <c r="B627" s="195" t="str">
        <f>'[1]COMEDORES EMERGENTES'!$B$22</f>
        <v>LOS TOLDOS</v>
      </c>
      <c r="C627" s="196"/>
      <c r="D627" s="115" t="s">
        <v>254</v>
      </c>
      <c r="E627" s="116" t="str">
        <f>'[1]COMEDORES EMERGENTES'!$G$22</f>
        <v>LOTEO PARQUE SUR CALLE S/NOMBRE S/N°</v>
      </c>
    </row>
    <row r="628" spans="2:5" x14ac:dyDescent="0.2">
      <c r="B628" s="33" t="s">
        <v>18</v>
      </c>
      <c r="C628" s="31"/>
      <c r="D628" s="72"/>
      <c r="E628" s="32"/>
    </row>
    <row r="629" spans="2:5" x14ac:dyDescent="0.2">
      <c r="B629" s="34"/>
      <c r="C629" s="194" t="s">
        <v>62</v>
      </c>
      <c r="D629" s="194"/>
      <c r="E629" s="194"/>
    </row>
    <row r="630" spans="2:5" x14ac:dyDescent="0.2">
      <c r="B630" s="33" t="s">
        <v>19</v>
      </c>
      <c r="C630" s="35"/>
      <c r="D630" s="35"/>
      <c r="E630" s="36"/>
    </row>
    <row r="631" spans="2:5" x14ac:dyDescent="0.2">
      <c r="B631" s="34"/>
      <c r="C631" s="194" t="s">
        <v>139</v>
      </c>
      <c r="D631" s="194"/>
      <c r="E631" s="194"/>
    </row>
    <row r="632" spans="2:5" x14ac:dyDescent="0.2">
      <c r="B632" s="33" t="s">
        <v>20</v>
      </c>
      <c r="C632" s="31"/>
      <c r="D632" s="72"/>
      <c r="E632" s="32"/>
    </row>
    <row r="633" spans="2:5" x14ac:dyDescent="0.2">
      <c r="B633" s="33"/>
      <c r="C633" s="193" t="s">
        <v>63</v>
      </c>
      <c r="D633" s="193"/>
      <c r="E633" s="193"/>
    </row>
    <row r="634" spans="2:5" ht="13.5" thickBot="1" x14ac:dyDescent="0.25">
      <c r="B634" s="37"/>
      <c r="C634" s="38"/>
      <c r="D634" s="73"/>
      <c r="E634" s="39"/>
    </row>
    <row r="635" spans="2:5" ht="13.5" thickBot="1" x14ac:dyDescent="0.25"/>
    <row r="636" spans="2:5" x14ac:dyDescent="0.2">
      <c r="B636" s="27" t="s">
        <v>154</v>
      </c>
      <c r="C636" s="28"/>
      <c r="D636" s="71"/>
      <c r="E636" s="29"/>
    </row>
    <row r="637" spans="2:5" x14ac:dyDescent="0.2">
      <c r="B637" s="30"/>
      <c r="C637" s="31"/>
      <c r="D637" s="72"/>
      <c r="E637" s="32"/>
    </row>
    <row r="638" spans="2:5" x14ac:dyDescent="0.2">
      <c r="B638" s="33" t="s">
        <v>16</v>
      </c>
      <c r="C638" s="31"/>
      <c r="D638" s="72"/>
      <c r="E638" s="32"/>
    </row>
    <row r="639" spans="2:5" ht="25.5" customHeight="1" x14ac:dyDescent="0.2">
      <c r="B639" s="33"/>
      <c r="C639" s="194"/>
      <c r="D639" s="194"/>
      <c r="E639" s="194"/>
    </row>
    <row r="640" spans="2:5" ht="13.5" thickBot="1" x14ac:dyDescent="0.25">
      <c r="B640" s="33" t="s">
        <v>17</v>
      </c>
      <c r="C640" s="31"/>
      <c r="D640" s="72"/>
      <c r="E640" s="32"/>
    </row>
    <row r="641" spans="2:5" ht="13.5" thickBot="1" x14ac:dyDescent="0.25">
      <c r="B641" s="180" t="s">
        <v>136</v>
      </c>
      <c r="C641" s="181"/>
      <c r="D641" s="181"/>
      <c r="E641" s="182"/>
    </row>
    <row r="642" spans="2:5" ht="13.5" thickBot="1" x14ac:dyDescent="0.25">
      <c r="B642" s="180" t="s">
        <v>137</v>
      </c>
      <c r="C642" s="182"/>
      <c r="D642" s="69" t="s">
        <v>11</v>
      </c>
      <c r="E642" s="69" t="s">
        <v>138</v>
      </c>
    </row>
    <row r="643" spans="2:5" x14ac:dyDescent="0.2">
      <c r="B643" s="187" t="str">
        <f>'[1]COMEDORES EMERGENTES'!$B$3</f>
        <v>UNA SONRISA AV. LOS COBACHO</v>
      </c>
      <c r="C643" s="188"/>
      <c r="D643" s="113" t="s">
        <v>221</v>
      </c>
      <c r="E643" s="114" t="str">
        <f>'[1]COMEDORES EMERGENTES'!$G$3</f>
        <v>Bº SAN CARLOS OESTE AV. Bonifacio cobacho 670</v>
      </c>
    </row>
    <row r="644" spans="2:5" x14ac:dyDescent="0.2">
      <c r="B644" s="178" t="str">
        <f>'[1]COMEDORES EMERGENTES'!$B$4</f>
        <v>C.I.F Nº1 - RIVERA DEL VALLE Y FLORIDA</v>
      </c>
      <c r="C644" s="179"/>
      <c r="D644" s="108" t="s">
        <v>170</v>
      </c>
      <c r="E644" s="109" t="str">
        <f>'[1]COMEDORES EMERGENTES'!$G$4</f>
        <v>AV. RIVIERA DEL VALLE ENTRE FLORIDA Y SANTA FE</v>
      </c>
    </row>
    <row r="645" spans="2:5" x14ac:dyDescent="0.2">
      <c r="B645" s="178" t="str">
        <f>'[1]COMEDORES EMERGENTES'!$B$5</f>
        <v>C.I.F - RIVERA DEL VALLE - DILORENZO</v>
      </c>
      <c r="C645" s="179"/>
      <c r="D645" s="108" t="s">
        <v>227</v>
      </c>
      <c r="E645" s="109" t="str">
        <f>'[1]COMEDORES EMERGENTES'!$G$5</f>
        <v>Bº RIVERA DEL VALLE ENTRE VILLA EUMELIA Y MONTE CRISTO</v>
      </c>
    </row>
    <row r="646" spans="2:5" x14ac:dyDescent="0.2">
      <c r="B646" s="178" t="str">
        <f>'[1]COMEDORES EMERGENTES'!$B$6</f>
        <v>ESFUERZO PROPIO- Bº ALTOS DE CHOYA</v>
      </c>
      <c r="C646" s="179"/>
      <c r="D646" s="108" t="s">
        <v>192</v>
      </c>
      <c r="E646" s="109" t="str">
        <f>'[1]COMEDORES EMERGENTES'!$G$6</f>
        <v>Bº MUNICIPAL 35VV. NORTE C/14</v>
      </c>
    </row>
    <row r="647" spans="2:5" x14ac:dyDescent="0.2">
      <c r="B647" s="178" t="str">
        <f>'[1]COMEDORES EMERGENTES'!$B$7</f>
        <v>ANGELITOS - LOTEO SUSSEX</v>
      </c>
      <c r="C647" s="179"/>
      <c r="D647" s="108" t="s">
        <v>168</v>
      </c>
      <c r="E647" s="109" t="str">
        <f>'[1]COMEDORES EMERGENTES'!$G$7</f>
        <v>Bº LOTEO SUSEX MZA.Nº 4 LOTE Nº3</v>
      </c>
    </row>
    <row r="648" spans="2:5" x14ac:dyDescent="0.2">
      <c r="B648" s="178" t="str">
        <f>'[1]COMEDORES EMERGENTES'!$B$8</f>
        <v>CLUB DEPORTIVO CHACARITA</v>
      </c>
      <c r="C648" s="179"/>
      <c r="D648" s="108" t="s">
        <v>201</v>
      </c>
      <c r="E648" s="109" t="str">
        <f>'[1]COMEDORES EMERGENTES'!$G$8</f>
        <v>CALLE DR.DERMIDIO GALINDEZ C/2660</v>
      </c>
    </row>
    <row r="649" spans="2:5" x14ac:dyDescent="0.2">
      <c r="B649" s="178" t="str">
        <f>'[1]COMEDORES EMERGENTES'!$B$9</f>
        <v>LA MORO</v>
      </c>
      <c r="C649" s="179"/>
      <c r="D649" s="108" t="s">
        <v>184</v>
      </c>
      <c r="E649" s="109" t="str">
        <f>'[1]COMEDORES EMERGENTES'!$G$9</f>
        <v>MAIPU NORTE 1º ETAPA MZA "H" Bº MI JARDIN</v>
      </c>
    </row>
    <row r="650" spans="2:5" x14ac:dyDescent="0.2">
      <c r="B650" s="178" t="str">
        <f>'[1]COMEDORES EMERGENTES'!$B$10</f>
        <v>PAPA FRANCISCO</v>
      </c>
      <c r="C650" s="179"/>
      <c r="D650" s="108" t="s">
        <v>196</v>
      </c>
      <c r="E650" s="109" t="str">
        <f>'[1]COMEDORES EMERGENTES'!$G$10</f>
        <v>ENTRE AV.TEREBINTO Y AV.SAN JUAN LOTE "2" MZA. "B"</v>
      </c>
    </row>
    <row r="651" spans="2:5" x14ac:dyDescent="0.2">
      <c r="B651" s="178" t="str">
        <f>'[1]COMEDORES EMERGENTES'!$B$11</f>
        <v>E.P.C - 100 V.V NORTE</v>
      </c>
      <c r="C651" s="179"/>
      <c r="D651" s="108" t="s">
        <v>190</v>
      </c>
      <c r="E651" s="109" t="str">
        <f>'[1]COMEDORES EMERGENTES'!$G$11</f>
        <v>Bº VV NORTE C/48 ENTRE ESPAÑA Y FRANCIA</v>
      </c>
    </row>
    <row r="652" spans="2:5" x14ac:dyDescent="0.2">
      <c r="B652" s="178" t="str">
        <f>'[1]COMEDORES EMERGENTES'!$B$12</f>
        <v>HOGAR DE CRISTO - PADRE RAUL CONTRERAS</v>
      </c>
      <c r="C652" s="179"/>
      <c r="D652" s="108" t="s">
        <v>190</v>
      </c>
      <c r="E652" s="109" t="str">
        <f>'[1]COMEDORES EMERGENTES'!$G$12</f>
        <v>Bº SANTA MARTA MZA. "S" LOTE "M" C/39</v>
      </c>
    </row>
    <row r="653" spans="2:5" x14ac:dyDescent="0.2">
      <c r="B653" s="178" t="str">
        <f>'[1]COMEDORES EMERGENTES'!$B$13</f>
        <v>LA LUCIERNAGA</v>
      </c>
      <c r="C653" s="179"/>
      <c r="D653" s="108" t="s">
        <v>196</v>
      </c>
      <c r="E653" s="109" t="str">
        <f>'[1]COMEDORES EMERGENTES'!$G$13</f>
        <v>Bº 20 V.V NORTE C/3</v>
      </c>
    </row>
    <row r="654" spans="2:5" x14ac:dyDescent="0.2">
      <c r="B654" s="178" t="str">
        <f>'[1]COMEDORES EMERGENTES'!$B$14</f>
        <v>VALLE VIEJO - SUMALAO</v>
      </c>
      <c r="C654" s="179"/>
      <c r="D654" s="108" t="s">
        <v>218</v>
      </c>
      <c r="E654" s="109" t="str">
        <f>'[1]COMEDORES EMERGENTES'!$G$14</f>
        <v>PADRE SEGURA S/N</v>
      </c>
    </row>
    <row r="655" spans="2:5" x14ac:dyDescent="0.2">
      <c r="B655" s="178" t="str">
        <f>'[1]COMEDORES EMERGENTES'!$B$15</f>
        <v>NUESTRO FUTURO - LAS VIAS</v>
      </c>
      <c r="C655" s="179"/>
      <c r="D655" s="108" t="s">
        <v>196</v>
      </c>
      <c r="E655" s="109" t="str">
        <f>'[1]COMEDORES EMERGENTES'!$G$15</f>
        <v>Bº LAS VIAS OESTE LOTE 42</v>
      </c>
    </row>
    <row r="656" spans="2:5" x14ac:dyDescent="0.2">
      <c r="B656" s="178" t="str">
        <f>'[1]COMEDORES EMERGENTES'!$B$16</f>
        <v>SAN JOSE OBRERO</v>
      </c>
      <c r="C656" s="179"/>
      <c r="D656" s="108" t="s">
        <v>201</v>
      </c>
      <c r="E656" s="109" t="str">
        <f>'[1]COMEDORES EMERGENTES'!$G$16</f>
        <v>Bº SAN JOSE OBRERO. PJE. SANDOVAL S/Nº</v>
      </c>
    </row>
    <row r="657" spans="2:5" x14ac:dyDescent="0.2">
      <c r="B657" s="178" t="str">
        <f>'[1]COMEDORES EMERGENTES'!$B$17</f>
        <v>VIRGEN DE LUJAN</v>
      </c>
      <c r="C657" s="179"/>
      <c r="D657" s="108" t="s">
        <v>196</v>
      </c>
      <c r="E657" s="109" t="str">
        <f>'[1]COMEDORES EMERGENTES'!$G$17</f>
        <v>Bº OJO DE AGUA C/DR.TEODULFO BARRIONUEVO S/Nº</v>
      </c>
    </row>
    <row r="658" spans="2:5" x14ac:dyDescent="0.2">
      <c r="B658" s="178" t="str">
        <f>'[1]COMEDORES EMERGENTES'!$B$18</f>
        <v>RENACER</v>
      </c>
      <c r="C658" s="179"/>
      <c r="D658" s="108" t="s">
        <v>175</v>
      </c>
      <c r="E658" s="109" t="str">
        <f>'[1]COMEDORES EMERGENTES'!$G$18</f>
        <v>Bº VIRGEN MORENITA</v>
      </c>
    </row>
    <row r="659" spans="2:5" x14ac:dyDescent="0.2">
      <c r="B659" s="178" t="str">
        <f>'[1]COMEDORES EMERGENTES'!$B$19</f>
        <v>CENTRO VECINAL MI JARDIN</v>
      </c>
      <c r="C659" s="179"/>
      <c r="D659" s="108" t="s">
        <v>188</v>
      </c>
      <c r="E659" s="109" t="str">
        <f>'[1]COMEDORES EMERGENTES'!$G$19</f>
        <v>C/ LOS TULIPANES ENTRE FLOR DE CEREZO Y HOLANDA MZA.27 Bº MI JARDIN</v>
      </c>
    </row>
    <row r="660" spans="2:5" x14ac:dyDescent="0.2">
      <c r="B660" s="178" t="str">
        <f>'[1]COMEDORES EMERGENTES'!$B$20</f>
        <v>LA VIEJA ESQUINA</v>
      </c>
      <c r="C660" s="179"/>
      <c r="D660" s="108" t="s">
        <v>228</v>
      </c>
      <c r="E660" s="109" t="str">
        <f>'[1]COMEDORES EMERGENTES'!$G$20</f>
        <v>B° CRISTO REY PJE CAPATAZ VILLAFAÑEZ Y ARMANDO CORREA</v>
      </c>
    </row>
    <row r="661" spans="2:5" x14ac:dyDescent="0.2">
      <c r="B661" s="178" t="str">
        <f>'[1]COMEDORES EMERGENTES'!$B$21</f>
        <v>GAUCHITO GIL</v>
      </c>
      <c r="C661" s="179"/>
      <c r="D661" s="108" t="s">
        <v>174</v>
      </c>
      <c r="E661" s="109" t="str">
        <f>'[1]COMEDORES EMERGENTES'!$G$21</f>
        <v>B° 26 VIVIENDAS CASA N° 3</v>
      </c>
    </row>
    <row r="662" spans="2:5" ht="13.5" thickBot="1" x14ac:dyDescent="0.25">
      <c r="B662" s="195" t="str">
        <f>'[1]COMEDORES EMERGENTES'!$B$22</f>
        <v>LOS TOLDOS</v>
      </c>
      <c r="C662" s="196"/>
      <c r="D662" s="115" t="s">
        <v>182</v>
      </c>
      <c r="E662" s="116" t="str">
        <f>'[1]COMEDORES EMERGENTES'!$G$22</f>
        <v>LOTEO PARQUE SUR CALLE S/NOMBRE S/N°</v>
      </c>
    </row>
    <row r="663" spans="2:5" x14ac:dyDescent="0.2">
      <c r="B663" s="33" t="s">
        <v>18</v>
      </c>
      <c r="C663" s="31"/>
      <c r="D663" s="72"/>
      <c r="E663" s="32"/>
    </row>
    <row r="664" spans="2:5" x14ac:dyDescent="0.2">
      <c r="B664" s="34"/>
      <c r="C664" s="194" t="s">
        <v>62</v>
      </c>
      <c r="D664" s="194"/>
      <c r="E664" s="194"/>
    </row>
    <row r="665" spans="2:5" x14ac:dyDescent="0.2">
      <c r="B665" s="33" t="s">
        <v>19</v>
      </c>
      <c r="C665" s="35"/>
      <c r="D665" s="35"/>
      <c r="E665" s="36"/>
    </row>
    <row r="666" spans="2:5" x14ac:dyDescent="0.2">
      <c r="B666" s="34"/>
      <c r="C666" s="194" t="s">
        <v>139</v>
      </c>
      <c r="D666" s="194"/>
      <c r="E666" s="194"/>
    </row>
    <row r="667" spans="2:5" x14ac:dyDescent="0.2">
      <c r="B667" s="33" t="s">
        <v>20</v>
      </c>
      <c r="C667" s="31"/>
      <c r="D667" s="72"/>
      <c r="E667" s="32"/>
    </row>
    <row r="668" spans="2:5" x14ac:dyDescent="0.2">
      <c r="B668" s="33"/>
      <c r="C668" s="193" t="s">
        <v>63</v>
      </c>
      <c r="D668" s="193"/>
      <c r="E668" s="193"/>
    </row>
    <row r="669" spans="2:5" ht="13.5" thickBot="1" x14ac:dyDescent="0.25">
      <c r="B669" s="37"/>
      <c r="C669" s="38"/>
      <c r="D669" s="73"/>
      <c r="E669" s="39"/>
    </row>
    <row r="670" spans="2:5" ht="13.5" thickBot="1" x14ac:dyDescent="0.25"/>
    <row r="671" spans="2:5" x14ac:dyDescent="0.2">
      <c r="B671" s="27" t="s">
        <v>155</v>
      </c>
      <c r="C671" s="28"/>
      <c r="D671" s="71"/>
      <c r="E671" s="29"/>
    </row>
    <row r="672" spans="2:5" x14ac:dyDescent="0.2">
      <c r="B672" s="30"/>
      <c r="C672" s="31"/>
      <c r="D672" s="72"/>
      <c r="E672" s="32"/>
    </row>
    <row r="673" spans="2:5" x14ac:dyDescent="0.2">
      <c r="B673" s="33" t="s">
        <v>16</v>
      </c>
      <c r="C673" s="31"/>
      <c r="D673" s="72"/>
      <c r="E673" s="32"/>
    </row>
    <row r="674" spans="2:5" ht="25.5" customHeight="1" x14ac:dyDescent="0.2">
      <c r="B674" s="33"/>
      <c r="C674" s="194"/>
      <c r="D674" s="194"/>
      <c r="E674" s="194"/>
    </row>
    <row r="675" spans="2:5" ht="13.5" thickBot="1" x14ac:dyDescent="0.25">
      <c r="B675" s="33" t="s">
        <v>17</v>
      </c>
      <c r="C675" s="31"/>
      <c r="D675" s="72"/>
      <c r="E675" s="32"/>
    </row>
    <row r="676" spans="2:5" ht="13.5" thickBot="1" x14ac:dyDescent="0.25">
      <c r="B676" s="180" t="s">
        <v>136</v>
      </c>
      <c r="C676" s="181"/>
      <c r="D676" s="181"/>
      <c r="E676" s="182"/>
    </row>
    <row r="677" spans="2:5" ht="13.5" thickBot="1" x14ac:dyDescent="0.25">
      <c r="B677" s="180" t="s">
        <v>137</v>
      </c>
      <c r="C677" s="182"/>
      <c r="D677" s="69" t="s">
        <v>11</v>
      </c>
      <c r="E677" s="69" t="s">
        <v>138</v>
      </c>
    </row>
    <row r="678" spans="2:5" x14ac:dyDescent="0.2">
      <c r="B678" s="187" t="str">
        <f>'[1]COMEDORES EMERGENTES'!$B$3</f>
        <v>UNA SONRISA AV. LOS COBACHO</v>
      </c>
      <c r="C678" s="188"/>
      <c r="D678" s="113" t="s">
        <v>167</v>
      </c>
      <c r="E678" s="114" t="str">
        <f>'[1]COMEDORES EMERGENTES'!$G$3</f>
        <v>Bº SAN CARLOS OESTE AV. Bonifacio cobacho 670</v>
      </c>
    </row>
    <row r="679" spans="2:5" x14ac:dyDescent="0.2">
      <c r="B679" s="178" t="str">
        <f>'[1]COMEDORES EMERGENTES'!$B$4</f>
        <v>C.I.F Nº1 - RIVERA DEL VALLE Y FLORIDA</v>
      </c>
      <c r="C679" s="179"/>
      <c r="D679" s="108" t="s">
        <v>169</v>
      </c>
      <c r="E679" s="109" t="str">
        <f>'[1]COMEDORES EMERGENTES'!$G$4</f>
        <v>AV. RIVIERA DEL VALLE ENTRE FLORIDA Y SANTA FE</v>
      </c>
    </row>
    <row r="680" spans="2:5" x14ac:dyDescent="0.2">
      <c r="B680" s="178" t="str">
        <f>'[1]COMEDORES EMERGENTES'!$B$5</f>
        <v>C.I.F - RIVERA DEL VALLE - DILORENZO</v>
      </c>
      <c r="C680" s="179"/>
      <c r="D680" s="108" t="s">
        <v>170</v>
      </c>
      <c r="E680" s="109" t="str">
        <f>'[1]COMEDORES EMERGENTES'!$G$5</f>
        <v>Bº RIVERA DEL VALLE ENTRE VILLA EUMELIA Y MONTE CRISTO</v>
      </c>
    </row>
    <row r="681" spans="2:5" x14ac:dyDescent="0.2">
      <c r="B681" s="178" t="str">
        <f>'[1]COMEDORES EMERGENTES'!$B$6</f>
        <v>ESFUERZO PROPIO- Bº ALTOS DE CHOYA</v>
      </c>
      <c r="C681" s="179"/>
      <c r="D681" s="108" t="s">
        <v>171</v>
      </c>
      <c r="E681" s="109" t="str">
        <f>'[1]COMEDORES EMERGENTES'!$G$6</f>
        <v>Bº MUNICIPAL 35VV. NORTE C/14</v>
      </c>
    </row>
    <row r="682" spans="2:5" x14ac:dyDescent="0.2">
      <c r="B682" s="178" t="str">
        <f>'[1]COMEDORES EMERGENTES'!$B$7</f>
        <v>ANGELITOS - LOTEO SUSSEX</v>
      </c>
      <c r="C682" s="179"/>
      <c r="D682" s="108" t="s">
        <v>172</v>
      </c>
      <c r="E682" s="109" t="str">
        <f>'[1]COMEDORES EMERGENTES'!$G$7</f>
        <v>Bº LOTEO SUSEX MZA.Nº 4 LOTE Nº3</v>
      </c>
    </row>
    <row r="683" spans="2:5" x14ac:dyDescent="0.2">
      <c r="B683" s="178" t="str">
        <f>'[1]COMEDORES EMERGENTES'!$B$8</f>
        <v>CLUB DEPORTIVO CHACARITA</v>
      </c>
      <c r="C683" s="179"/>
      <c r="D683" s="108" t="s">
        <v>173</v>
      </c>
      <c r="E683" s="109" t="str">
        <f>'[1]COMEDORES EMERGENTES'!$G$8</f>
        <v>CALLE DR.DERMIDIO GALINDEZ C/2660</v>
      </c>
    </row>
    <row r="684" spans="2:5" x14ac:dyDescent="0.2">
      <c r="B684" s="178" t="str">
        <f>'[1]COMEDORES EMERGENTES'!$B$9</f>
        <v>LA MORO</v>
      </c>
      <c r="C684" s="179"/>
      <c r="D684" s="108" t="s">
        <v>168</v>
      </c>
      <c r="E684" s="109" t="str">
        <f>'[1]COMEDORES EMERGENTES'!$G$9</f>
        <v>MAIPU NORTE 1º ETAPA MZA "H" Bº MI JARDIN</v>
      </c>
    </row>
    <row r="685" spans="2:5" x14ac:dyDescent="0.2">
      <c r="B685" s="178" t="str">
        <f>'[1]COMEDORES EMERGENTES'!$B$10</f>
        <v>PAPA FRANCISCO</v>
      </c>
      <c r="C685" s="179"/>
      <c r="D685" s="108" t="s">
        <v>174</v>
      </c>
      <c r="E685" s="109" t="str">
        <f>'[1]COMEDORES EMERGENTES'!$G$10</f>
        <v>ENTRE AV.TEREBINTO Y AV.SAN JUAN LOTE "2" MZA. "B"</v>
      </c>
    </row>
    <row r="686" spans="2:5" x14ac:dyDescent="0.2">
      <c r="B686" s="178" t="str">
        <f>'[1]COMEDORES EMERGENTES'!$B$11</f>
        <v>E.P.C - 100 V.V NORTE</v>
      </c>
      <c r="C686" s="179"/>
      <c r="D686" s="108" t="s">
        <v>175</v>
      </c>
      <c r="E686" s="109" t="str">
        <f>'[1]COMEDORES EMERGENTES'!$G$11</f>
        <v>Bº VV NORTE C/48 ENTRE ESPAÑA Y FRANCIA</v>
      </c>
    </row>
    <row r="687" spans="2:5" x14ac:dyDescent="0.2">
      <c r="B687" s="178" t="str">
        <f>'[1]COMEDORES EMERGENTES'!$B$12</f>
        <v>HOGAR DE CRISTO - PADRE RAUL CONTRERAS</v>
      </c>
      <c r="C687" s="179"/>
      <c r="D687" s="108" t="s">
        <v>175</v>
      </c>
      <c r="E687" s="109" t="str">
        <f>'[1]COMEDORES EMERGENTES'!$G$12</f>
        <v>Bº SANTA MARTA MZA. "S" LOTE "M" C/39</v>
      </c>
    </row>
    <row r="688" spans="2:5" x14ac:dyDescent="0.2">
      <c r="B688" s="178" t="str">
        <f>'[1]COMEDORES EMERGENTES'!$B$13</f>
        <v>LA LUCIERNAGA</v>
      </c>
      <c r="C688" s="179"/>
      <c r="D688" s="108" t="s">
        <v>174</v>
      </c>
      <c r="E688" s="109" t="str">
        <f>'[1]COMEDORES EMERGENTES'!$G$13</f>
        <v>Bº 20 V.V NORTE C/3</v>
      </c>
    </row>
    <row r="689" spans="2:5" x14ac:dyDescent="0.2">
      <c r="B689" s="178" t="str">
        <f>'[1]COMEDORES EMERGENTES'!$B$14</f>
        <v>VALLE VIEJO - SUMALAO</v>
      </c>
      <c r="C689" s="179"/>
      <c r="D689" s="108" t="s">
        <v>176</v>
      </c>
      <c r="E689" s="109" t="str">
        <f>'[1]COMEDORES EMERGENTES'!$G$14</f>
        <v>PADRE SEGURA S/N</v>
      </c>
    </row>
    <row r="690" spans="2:5" x14ac:dyDescent="0.2">
      <c r="B690" s="178" t="str">
        <f>'[1]COMEDORES EMERGENTES'!$B$15</f>
        <v>NUESTRO FUTURO - LAS VIAS</v>
      </c>
      <c r="C690" s="179"/>
      <c r="D690" s="108" t="s">
        <v>174</v>
      </c>
      <c r="E690" s="109" t="str">
        <f>'[1]COMEDORES EMERGENTES'!$G$15</f>
        <v>Bº LAS VIAS OESTE LOTE 42</v>
      </c>
    </row>
    <row r="691" spans="2:5" x14ac:dyDescent="0.2">
      <c r="B691" s="178" t="str">
        <f>'[1]COMEDORES EMERGENTES'!$B$16</f>
        <v>SAN JOSE OBRERO</v>
      </c>
      <c r="C691" s="179"/>
      <c r="D691" s="108" t="s">
        <v>173</v>
      </c>
      <c r="E691" s="109" t="str">
        <f>'[1]COMEDORES EMERGENTES'!$G$16</f>
        <v>Bº SAN JOSE OBRERO. PJE. SANDOVAL S/Nº</v>
      </c>
    </row>
    <row r="692" spans="2:5" x14ac:dyDescent="0.2">
      <c r="B692" s="178" t="str">
        <f>'[1]COMEDORES EMERGENTES'!$B$17</f>
        <v>VIRGEN DE LUJAN</v>
      </c>
      <c r="C692" s="179"/>
      <c r="D692" s="108" t="s">
        <v>174</v>
      </c>
      <c r="E692" s="109" t="str">
        <f>'[1]COMEDORES EMERGENTES'!$G$17</f>
        <v>Bº OJO DE AGUA C/DR.TEODULFO BARRIONUEVO S/Nº</v>
      </c>
    </row>
    <row r="693" spans="2:5" x14ac:dyDescent="0.2">
      <c r="B693" s="178" t="str">
        <f>'[1]COMEDORES EMERGENTES'!$B$18</f>
        <v>RENACER</v>
      </c>
      <c r="C693" s="179"/>
      <c r="D693" s="108" t="s">
        <v>177</v>
      </c>
      <c r="E693" s="109" t="str">
        <f>'[1]COMEDORES EMERGENTES'!$G$18</f>
        <v>Bº VIRGEN MORENITA</v>
      </c>
    </row>
    <row r="694" spans="2:5" x14ac:dyDescent="0.2">
      <c r="B694" s="178" t="str">
        <f>'[1]COMEDORES EMERGENTES'!$B$19</f>
        <v>CENTRO VECINAL MI JARDIN</v>
      </c>
      <c r="C694" s="179"/>
      <c r="D694" s="108" t="s">
        <v>178</v>
      </c>
      <c r="E694" s="109" t="str">
        <f>'[1]COMEDORES EMERGENTES'!$G$19</f>
        <v>C/ LOS TULIPANES ENTRE FLOR DE CEREZO Y HOLANDA MZA.27 Bº MI JARDIN</v>
      </c>
    </row>
    <row r="695" spans="2:5" x14ac:dyDescent="0.2">
      <c r="B695" s="178" t="str">
        <f>'[1]COMEDORES EMERGENTES'!$B$20</f>
        <v>LA VIEJA ESQUINA</v>
      </c>
      <c r="C695" s="179"/>
      <c r="D695" s="108" t="s">
        <v>179</v>
      </c>
      <c r="E695" s="109" t="str">
        <f>'[1]COMEDORES EMERGENTES'!$G$20</f>
        <v>B° CRISTO REY PJE CAPATAZ VILLAFAÑEZ Y ARMANDO CORREA</v>
      </c>
    </row>
    <row r="696" spans="2:5" x14ac:dyDescent="0.2">
      <c r="B696" s="178" t="str">
        <f>'[1]COMEDORES EMERGENTES'!$B$21</f>
        <v>GAUCHITO GIL</v>
      </c>
      <c r="C696" s="179"/>
      <c r="D696" s="108" t="s">
        <v>180</v>
      </c>
      <c r="E696" s="109" t="str">
        <f>'[1]COMEDORES EMERGENTES'!$G$21</f>
        <v>B° 26 VIVIENDAS CASA N° 3</v>
      </c>
    </row>
    <row r="697" spans="2:5" ht="13.5" thickBot="1" x14ac:dyDescent="0.25">
      <c r="B697" s="195" t="str">
        <f>'[1]COMEDORES EMERGENTES'!$B$22</f>
        <v>LOS TOLDOS</v>
      </c>
      <c r="C697" s="196"/>
      <c r="D697" s="115" t="s">
        <v>200</v>
      </c>
      <c r="E697" s="116" t="str">
        <f>'[1]COMEDORES EMERGENTES'!$G$22</f>
        <v>LOTEO PARQUE SUR CALLE S/NOMBRE S/N°</v>
      </c>
    </row>
    <row r="698" spans="2:5" x14ac:dyDescent="0.2">
      <c r="B698" s="33" t="s">
        <v>18</v>
      </c>
      <c r="C698" s="31"/>
      <c r="D698" s="72"/>
      <c r="E698" s="32"/>
    </row>
    <row r="699" spans="2:5" x14ac:dyDescent="0.2">
      <c r="B699" s="34"/>
      <c r="C699" s="194" t="s">
        <v>62</v>
      </c>
      <c r="D699" s="194"/>
      <c r="E699" s="194"/>
    </row>
    <row r="700" spans="2:5" x14ac:dyDescent="0.2">
      <c r="B700" s="33" t="s">
        <v>19</v>
      </c>
      <c r="C700" s="35"/>
      <c r="D700" s="35"/>
      <c r="E700" s="36"/>
    </row>
    <row r="701" spans="2:5" x14ac:dyDescent="0.2">
      <c r="B701" s="34"/>
      <c r="C701" s="194" t="s">
        <v>139</v>
      </c>
      <c r="D701" s="194"/>
      <c r="E701" s="194"/>
    </row>
    <row r="702" spans="2:5" x14ac:dyDescent="0.2">
      <c r="B702" s="33" t="s">
        <v>20</v>
      </c>
      <c r="C702" s="31"/>
      <c r="D702" s="72"/>
      <c r="E702" s="32"/>
    </row>
    <row r="703" spans="2:5" x14ac:dyDescent="0.2">
      <c r="B703" s="33"/>
      <c r="C703" s="193" t="s">
        <v>63</v>
      </c>
      <c r="D703" s="193"/>
      <c r="E703" s="193"/>
    </row>
    <row r="704" spans="2:5" ht="13.5" thickBot="1" x14ac:dyDescent="0.25">
      <c r="B704" s="37"/>
      <c r="C704" s="38"/>
      <c r="D704" s="73"/>
      <c r="E704" s="39"/>
    </row>
    <row r="705" spans="2:5" ht="13.5" thickBot="1" x14ac:dyDescent="0.25"/>
    <row r="706" spans="2:5" x14ac:dyDescent="0.2">
      <c r="B706" s="27" t="s">
        <v>156</v>
      </c>
      <c r="C706" s="28"/>
      <c r="D706" s="71"/>
      <c r="E706" s="29"/>
    </row>
    <row r="707" spans="2:5" x14ac:dyDescent="0.2">
      <c r="B707" s="30"/>
      <c r="C707" s="31"/>
      <c r="D707" s="72"/>
      <c r="E707" s="32"/>
    </row>
    <row r="708" spans="2:5" x14ac:dyDescent="0.2">
      <c r="B708" s="33" t="s">
        <v>16</v>
      </c>
      <c r="C708" s="31"/>
      <c r="D708" s="72"/>
      <c r="E708" s="32"/>
    </row>
    <row r="709" spans="2:5" ht="25.5" customHeight="1" x14ac:dyDescent="0.2">
      <c r="B709" s="33"/>
      <c r="C709" s="194"/>
      <c r="D709" s="194"/>
      <c r="E709" s="194"/>
    </row>
    <row r="710" spans="2:5" ht="13.5" thickBot="1" x14ac:dyDescent="0.25">
      <c r="B710" s="33" t="s">
        <v>17</v>
      </c>
      <c r="C710" s="31"/>
      <c r="D710" s="72"/>
      <c r="E710" s="32"/>
    </row>
    <row r="711" spans="2:5" ht="13.5" thickBot="1" x14ac:dyDescent="0.25">
      <c r="B711" s="180" t="s">
        <v>136</v>
      </c>
      <c r="C711" s="181"/>
      <c r="D711" s="181"/>
      <c r="E711" s="182"/>
    </row>
    <row r="712" spans="2:5" ht="13.5" thickBot="1" x14ac:dyDescent="0.25">
      <c r="B712" s="180" t="s">
        <v>137</v>
      </c>
      <c r="C712" s="182"/>
      <c r="D712" s="69" t="s">
        <v>11</v>
      </c>
      <c r="E712" s="69" t="s">
        <v>138</v>
      </c>
    </row>
    <row r="713" spans="2:5" x14ac:dyDescent="0.2">
      <c r="B713" s="187" t="str">
        <f>'[1]COMEDORES EMERGENTES'!$B$3</f>
        <v>UNA SONRISA AV. LOS COBACHO</v>
      </c>
      <c r="C713" s="188"/>
      <c r="D713" s="113" t="s">
        <v>203</v>
      </c>
      <c r="E713" s="114" t="str">
        <f>'[1]COMEDORES EMERGENTES'!$G$3</f>
        <v>Bº SAN CARLOS OESTE AV. Bonifacio cobacho 670</v>
      </c>
    </row>
    <row r="714" spans="2:5" x14ac:dyDescent="0.2">
      <c r="B714" s="178" t="str">
        <f>'[1]COMEDORES EMERGENTES'!$B$4</f>
        <v>C.I.F Nº1 - RIVERA DEL VALLE Y FLORIDA</v>
      </c>
      <c r="C714" s="179"/>
      <c r="D714" s="108" t="s">
        <v>229</v>
      </c>
      <c r="E714" s="109" t="str">
        <f>'[1]COMEDORES EMERGENTES'!$G$4</f>
        <v>AV. RIVIERA DEL VALLE ENTRE FLORIDA Y SANTA FE</v>
      </c>
    </row>
    <row r="715" spans="2:5" x14ac:dyDescent="0.2">
      <c r="B715" s="178" t="str">
        <f>'[1]COMEDORES EMERGENTES'!$B$5</f>
        <v>C.I.F - RIVERA DEL VALLE - DILORENZO</v>
      </c>
      <c r="C715" s="179"/>
      <c r="D715" s="108" t="s">
        <v>230</v>
      </c>
      <c r="E715" s="109" t="str">
        <f>'[1]COMEDORES EMERGENTES'!$G$5</f>
        <v>Bº RIVERA DEL VALLE ENTRE VILLA EUMELIA Y MONTE CRISTO</v>
      </c>
    </row>
    <row r="716" spans="2:5" x14ac:dyDescent="0.2">
      <c r="B716" s="178" t="str">
        <f>'[1]COMEDORES EMERGENTES'!$B$6</f>
        <v>ESFUERZO PROPIO- Bº ALTOS DE CHOYA</v>
      </c>
      <c r="C716" s="179"/>
      <c r="D716" s="108" t="s">
        <v>217</v>
      </c>
      <c r="E716" s="109" t="str">
        <f>'[1]COMEDORES EMERGENTES'!$G$6</f>
        <v>Bº MUNICIPAL 35VV. NORTE C/14</v>
      </c>
    </row>
    <row r="717" spans="2:5" x14ac:dyDescent="0.2">
      <c r="B717" s="178" t="str">
        <f>'[1]COMEDORES EMERGENTES'!$B$7</f>
        <v>ANGELITOS - LOTEO SUSSEX</v>
      </c>
      <c r="C717" s="179"/>
      <c r="D717" s="108" t="s">
        <v>192</v>
      </c>
      <c r="E717" s="109" t="str">
        <f>'[1]COMEDORES EMERGENTES'!$G$7</f>
        <v>Bº LOTEO SUSEX MZA.Nº 4 LOTE Nº3</v>
      </c>
    </row>
    <row r="718" spans="2:5" x14ac:dyDescent="0.2">
      <c r="B718" s="178" t="str">
        <f>'[1]COMEDORES EMERGENTES'!$B$8</f>
        <v>CLUB DEPORTIVO CHACARITA</v>
      </c>
      <c r="C718" s="179"/>
      <c r="D718" s="108" t="s">
        <v>231</v>
      </c>
      <c r="E718" s="109" t="str">
        <f>'[1]COMEDORES EMERGENTES'!$G$8</f>
        <v>CALLE DR.DERMIDIO GALINDEZ C/2660</v>
      </c>
    </row>
    <row r="719" spans="2:5" x14ac:dyDescent="0.2">
      <c r="B719" s="178" t="str">
        <f>'[1]COMEDORES EMERGENTES'!$B$9</f>
        <v>LA MORO</v>
      </c>
      <c r="C719" s="179"/>
      <c r="D719" s="108" t="s">
        <v>209</v>
      </c>
      <c r="E719" s="109" t="str">
        <f>'[1]COMEDORES EMERGENTES'!$G$9</f>
        <v>MAIPU NORTE 1º ETAPA MZA "H" Bº MI JARDIN</v>
      </c>
    </row>
    <row r="720" spans="2:5" x14ac:dyDescent="0.2">
      <c r="B720" s="178" t="str">
        <f>'[1]COMEDORES EMERGENTES'!$B$10</f>
        <v>PAPA FRANCISCO</v>
      </c>
      <c r="C720" s="179"/>
      <c r="D720" s="108" t="s">
        <v>232</v>
      </c>
      <c r="E720" s="109" t="str">
        <f>'[1]COMEDORES EMERGENTES'!$G$10</f>
        <v>ENTRE AV.TEREBINTO Y AV.SAN JUAN LOTE "2" MZA. "B"</v>
      </c>
    </row>
    <row r="721" spans="2:5" x14ac:dyDescent="0.2">
      <c r="B721" s="178" t="str">
        <f>'[1]COMEDORES EMERGENTES'!$B$11</f>
        <v>E.P.C - 100 V.V NORTE</v>
      </c>
      <c r="C721" s="179"/>
      <c r="D721" s="108" t="s">
        <v>233</v>
      </c>
      <c r="E721" s="109" t="str">
        <f>'[1]COMEDORES EMERGENTES'!$G$11</f>
        <v>Bº VV NORTE C/48 ENTRE ESPAÑA Y FRANCIA</v>
      </c>
    </row>
    <row r="722" spans="2:5" x14ac:dyDescent="0.2">
      <c r="B722" s="178" t="str">
        <f>'[1]COMEDORES EMERGENTES'!$B$12</f>
        <v>HOGAR DE CRISTO - PADRE RAUL CONTRERAS</v>
      </c>
      <c r="C722" s="179"/>
      <c r="D722" s="108" t="s">
        <v>233</v>
      </c>
      <c r="E722" s="109" t="str">
        <f>'[1]COMEDORES EMERGENTES'!$G$12</f>
        <v>Bº SANTA MARTA MZA. "S" LOTE "M" C/39</v>
      </c>
    </row>
    <row r="723" spans="2:5" x14ac:dyDescent="0.2">
      <c r="B723" s="178" t="str">
        <f>'[1]COMEDORES EMERGENTES'!$B$13</f>
        <v>LA LUCIERNAGA</v>
      </c>
      <c r="C723" s="179"/>
      <c r="D723" s="108" t="s">
        <v>232</v>
      </c>
      <c r="E723" s="109" t="str">
        <f>'[1]COMEDORES EMERGENTES'!$G$13</f>
        <v>Bº 20 V.V NORTE C/3</v>
      </c>
    </row>
    <row r="724" spans="2:5" x14ac:dyDescent="0.2">
      <c r="B724" s="178" t="str">
        <f>'[1]COMEDORES EMERGENTES'!$B$14</f>
        <v>VALLE VIEJO - SUMALAO</v>
      </c>
      <c r="C724" s="179"/>
      <c r="D724" s="108" t="s">
        <v>234</v>
      </c>
      <c r="E724" s="109" t="str">
        <f>'[1]COMEDORES EMERGENTES'!$G$14</f>
        <v>PADRE SEGURA S/N</v>
      </c>
    </row>
    <row r="725" spans="2:5" x14ac:dyDescent="0.2">
      <c r="B725" s="178" t="str">
        <f>'[1]COMEDORES EMERGENTES'!$B$15</f>
        <v>NUESTRO FUTURO - LAS VIAS</v>
      </c>
      <c r="C725" s="179"/>
      <c r="D725" s="108" t="s">
        <v>232</v>
      </c>
      <c r="E725" s="109" t="str">
        <f>'[1]COMEDORES EMERGENTES'!$G$15</f>
        <v>Bº LAS VIAS OESTE LOTE 42</v>
      </c>
    </row>
    <row r="726" spans="2:5" x14ac:dyDescent="0.2">
      <c r="B726" s="178" t="str">
        <f>'[1]COMEDORES EMERGENTES'!$B$16</f>
        <v>SAN JOSE OBRERO</v>
      </c>
      <c r="C726" s="179"/>
      <c r="D726" s="108" t="s">
        <v>231</v>
      </c>
      <c r="E726" s="109" t="str">
        <f>'[1]COMEDORES EMERGENTES'!$G$16</f>
        <v>Bº SAN JOSE OBRERO. PJE. SANDOVAL S/Nº</v>
      </c>
    </row>
    <row r="727" spans="2:5" x14ac:dyDescent="0.2">
      <c r="B727" s="178" t="str">
        <f>'[1]COMEDORES EMERGENTES'!$B$17</f>
        <v>VIRGEN DE LUJAN</v>
      </c>
      <c r="C727" s="179"/>
      <c r="D727" s="108" t="s">
        <v>232</v>
      </c>
      <c r="E727" s="109" t="str">
        <f>'[1]COMEDORES EMERGENTES'!$G$17</f>
        <v>Bº OJO DE AGUA C/DR.TEODULFO BARRIONUEVO S/Nº</v>
      </c>
    </row>
    <row r="728" spans="2:5" x14ac:dyDescent="0.2">
      <c r="B728" s="178" t="str">
        <f>'[1]COMEDORES EMERGENTES'!$B$18</f>
        <v>RENACER</v>
      </c>
      <c r="C728" s="179"/>
      <c r="D728" s="108" t="s">
        <v>235</v>
      </c>
      <c r="E728" s="109" t="str">
        <f>'[1]COMEDORES EMERGENTES'!$G$18</f>
        <v>Bº VIRGEN MORENITA</v>
      </c>
    </row>
    <row r="729" spans="2:5" x14ac:dyDescent="0.2">
      <c r="B729" s="178" t="str">
        <f>'[1]COMEDORES EMERGENTES'!$B$19</f>
        <v>CENTRO VECINAL MI JARDIN</v>
      </c>
      <c r="C729" s="179"/>
      <c r="D729" s="108" t="s">
        <v>236</v>
      </c>
      <c r="E729" s="109" t="str">
        <f>'[1]COMEDORES EMERGENTES'!$G$19</f>
        <v>C/ LOS TULIPANES ENTRE FLOR DE CEREZO Y HOLANDA MZA.27 Bº MI JARDIN</v>
      </c>
    </row>
    <row r="730" spans="2:5" x14ac:dyDescent="0.2">
      <c r="B730" s="178" t="str">
        <f>'[1]COMEDORES EMERGENTES'!$B$20</f>
        <v>LA VIEJA ESQUINA</v>
      </c>
      <c r="C730" s="179"/>
      <c r="D730" s="108" t="s">
        <v>237</v>
      </c>
      <c r="E730" s="109" t="str">
        <f>'[1]COMEDORES EMERGENTES'!$G$20</f>
        <v>B° CRISTO REY PJE CAPATAZ VILLAFAÑEZ Y ARMANDO CORREA</v>
      </c>
    </row>
    <row r="731" spans="2:5" x14ac:dyDescent="0.2">
      <c r="B731" s="178" t="str">
        <f>'[1]COMEDORES EMERGENTES'!$B$21</f>
        <v>GAUCHITO GIL</v>
      </c>
      <c r="C731" s="179"/>
      <c r="D731" s="108" t="s">
        <v>238</v>
      </c>
      <c r="E731" s="109" t="str">
        <f>'[1]COMEDORES EMERGENTES'!$G$21</f>
        <v>B° 26 VIVIENDAS CASA N° 3</v>
      </c>
    </row>
    <row r="732" spans="2:5" ht="13.5" thickBot="1" x14ac:dyDescent="0.25">
      <c r="B732" s="195" t="str">
        <f>'[1]COMEDORES EMERGENTES'!$B$22</f>
        <v>LOS TOLDOS</v>
      </c>
      <c r="C732" s="196"/>
      <c r="D732" s="115" t="s">
        <v>188</v>
      </c>
      <c r="E732" s="116" t="str">
        <f>'[1]COMEDORES EMERGENTES'!$G$22</f>
        <v>LOTEO PARQUE SUR CALLE S/NOMBRE S/N°</v>
      </c>
    </row>
    <row r="733" spans="2:5" x14ac:dyDescent="0.2">
      <c r="B733" s="33" t="s">
        <v>18</v>
      </c>
      <c r="C733" s="31"/>
      <c r="D733" s="72"/>
      <c r="E733" s="32"/>
    </row>
    <row r="734" spans="2:5" x14ac:dyDescent="0.2">
      <c r="B734" s="34"/>
      <c r="C734" s="194" t="s">
        <v>62</v>
      </c>
      <c r="D734" s="194"/>
      <c r="E734" s="194"/>
    </row>
    <row r="735" spans="2:5" x14ac:dyDescent="0.2">
      <c r="B735" s="33" t="s">
        <v>19</v>
      </c>
      <c r="C735" s="35"/>
      <c r="D735" s="35"/>
      <c r="E735" s="36"/>
    </row>
    <row r="736" spans="2:5" x14ac:dyDescent="0.2">
      <c r="B736" s="34"/>
      <c r="C736" s="194" t="s">
        <v>139</v>
      </c>
      <c r="D736" s="194"/>
      <c r="E736" s="194"/>
    </row>
    <row r="737" spans="2:5" x14ac:dyDescent="0.2">
      <c r="B737" s="33" t="s">
        <v>20</v>
      </c>
      <c r="C737" s="31"/>
      <c r="D737" s="72"/>
      <c r="E737" s="32"/>
    </row>
    <row r="738" spans="2:5" x14ac:dyDescent="0.2">
      <c r="B738" s="33"/>
      <c r="C738" s="193" t="s">
        <v>63</v>
      </c>
      <c r="D738" s="193"/>
      <c r="E738" s="193"/>
    </row>
    <row r="739" spans="2:5" ht="13.5" thickBot="1" x14ac:dyDescent="0.25">
      <c r="B739" s="37"/>
      <c r="C739" s="38"/>
      <c r="D739" s="73"/>
      <c r="E739" s="39"/>
    </row>
    <row r="740" spans="2:5" ht="13.5" thickBot="1" x14ac:dyDescent="0.25"/>
    <row r="741" spans="2:5" x14ac:dyDescent="0.2">
      <c r="B741" s="27" t="s">
        <v>157</v>
      </c>
      <c r="C741" s="28"/>
      <c r="D741" s="71"/>
      <c r="E741" s="29"/>
    </row>
    <row r="742" spans="2:5" x14ac:dyDescent="0.2">
      <c r="B742" s="30"/>
      <c r="C742" s="31"/>
      <c r="D742" s="72"/>
      <c r="E742" s="32"/>
    </row>
    <row r="743" spans="2:5" x14ac:dyDescent="0.2">
      <c r="B743" s="33" t="s">
        <v>16</v>
      </c>
      <c r="C743" s="31"/>
      <c r="D743" s="72"/>
      <c r="E743" s="32"/>
    </row>
    <row r="744" spans="2:5" ht="25.5" customHeight="1" x14ac:dyDescent="0.2">
      <c r="B744" s="33"/>
      <c r="C744" s="194"/>
      <c r="D744" s="194"/>
      <c r="E744" s="194"/>
    </row>
    <row r="745" spans="2:5" ht="13.5" thickBot="1" x14ac:dyDescent="0.25">
      <c r="B745" s="33" t="s">
        <v>17</v>
      </c>
      <c r="C745" s="31"/>
      <c r="D745" s="72"/>
      <c r="E745" s="32"/>
    </row>
    <row r="746" spans="2:5" ht="13.5" thickBot="1" x14ac:dyDescent="0.25">
      <c r="B746" s="180" t="s">
        <v>239</v>
      </c>
      <c r="C746" s="181"/>
      <c r="D746" s="181"/>
      <c r="E746" s="182"/>
    </row>
    <row r="747" spans="2:5" ht="13.5" thickBot="1" x14ac:dyDescent="0.25">
      <c r="B747" s="180" t="s">
        <v>137</v>
      </c>
      <c r="C747" s="182"/>
      <c r="D747" s="69" t="s">
        <v>11</v>
      </c>
      <c r="E747" s="69" t="s">
        <v>138</v>
      </c>
    </row>
    <row r="748" spans="2:5" x14ac:dyDescent="0.2">
      <c r="B748" s="187" t="str">
        <f>'[1]COMEDORES EMERGENTES'!$B$3</f>
        <v>UNA SONRISA AV. LOS COBACHO</v>
      </c>
      <c r="C748" s="188"/>
      <c r="D748" s="113" t="s">
        <v>240</v>
      </c>
      <c r="E748" s="114" t="str">
        <f>'[1]COMEDORES EMERGENTES'!$G$3</f>
        <v>Bº SAN CARLOS OESTE AV. Bonifacio cobacho 670</v>
      </c>
    </row>
    <row r="749" spans="2:5" x14ac:dyDescent="0.2">
      <c r="B749" s="178" t="str">
        <f>'[1]COMEDORES EMERGENTES'!$B$4</f>
        <v>C.I.F Nº1 - RIVERA DEL VALLE Y FLORIDA</v>
      </c>
      <c r="C749" s="179"/>
      <c r="D749" s="108" t="s">
        <v>240</v>
      </c>
      <c r="E749" s="109" t="str">
        <f>'[1]COMEDORES EMERGENTES'!$G$4</f>
        <v>AV. RIVIERA DEL VALLE ENTRE FLORIDA Y SANTA FE</v>
      </c>
    </row>
    <row r="750" spans="2:5" x14ac:dyDescent="0.2">
      <c r="B750" s="178" t="str">
        <f>'[1]COMEDORES EMERGENTES'!$B$5</f>
        <v>C.I.F - RIVERA DEL VALLE - DILORENZO</v>
      </c>
      <c r="C750" s="179"/>
      <c r="D750" s="108" t="s">
        <v>240</v>
      </c>
      <c r="E750" s="109" t="str">
        <f>'[1]COMEDORES EMERGENTES'!$G$5</f>
        <v>Bº RIVERA DEL VALLE ENTRE VILLA EUMELIA Y MONTE CRISTO</v>
      </c>
    </row>
    <row r="751" spans="2:5" x14ac:dyDescent="0.2">
      <c r="B751" s="178" t="str">
        <f>'[1]COMEDORES EMERGENTES'!$B$6</f>
        <v>ESFUERZO PROPIO- Bº ALTOS DE CHOYA</v>
      </c>
      <c r="C751" s="179"/>
      <c r="D751" s="108" t="s">
        <v>240</v>
      </c>
      <c r="E751" s="109" t="str">
        <f>'[1]COMEDORES EMERGENTES'!$G$6</f>
        <v>Bº MUNICIPAL 35VV. NORTE C/14</v>
      </c>
    </row>
    <row r="752" spans="2:5" x14ac:dyDescent="0.2">
      <c r="B752" s="178" t="str">
        <f>'[1]COMEDORES EMERGENTES'!$B$7</f>
        <v>ANGELITOS - LOTEO SUSSEX</v>
      </c>
      <c r="C752" s="179"/>
      <c r="D752" s="108" t="s">
        <v>240</v>
      </c>
      <c r="E752" s="109" t="str">
        <f>'[1]COMEDORES EMERGENTES'!$G$7</f>
        <v>Bº LOTEO SUSEX MZA.Nº 4 LOTE Nº3</v>
      </c>
    </row>
    <row r="753" spans="2:5" x14ac:dyDescent="0.2">
      <c r="B753" s="178" t="str">
        <f>'[1]COMEDORES EMERGENTES'!$B$8</f>
        <v>CLUB DEPORTIVO CHACARITA</v>
      </c>
      <c r="C753" s="179"/>
      <c r="D753" s="108" t="s">
        <v>240</v>
      </c>
      <c r="E753" s="109" t="str">
        <f>'[1]COMEDORES EMERGENTES'!$G$8</f>
        <v>CALLE DR.DERMIDIO GALINDEZ C/2660</v>
      </c>
    </row>
    <row r="754" spans="2:5" x14ac:dyDescent="0.2">
      <c r="B754" s="178" t="str">
        <f>'[1]COMEDORES EMERGENTES'!$B$9</f>
        <v>LA MORO</v>
      </c>
      <c r="C754" s="179"/>
      <c r="D754" s="108" t="s">
        <v>240</v>
      </c>
      <c r="E754" s="109" t="str">
        <f>'[1]COMEDORES EMERGENTES'!$G$9</f>
        <v>MAIPU NORTE 1º ETAPA MZA "H" Bº MI JARDIN</v>
      </c>
    </row>
    <row r="755" spans="2:5" x14ac:dyDescent="0.2">
      <c r="B755" s="178" t="str">
        <f>'[1]COMEDORES EMERGENTES'!$B$10</f>
        <v>PAPA FRANCISCO</v>
      </c>
      <c r="C755" s="179"/>
      <c r="D755" s="108" t="s">
        <v>240</v>
      </c>
      <c r="E755" s="109" t="str">
        <f>'[1]COMEDORES EMERGENTES'!$G$10</f>
        <v>ENTRE AV.TEREBINTO Y AV.SAN JUAN LOTE "2" MZA. "B"</v>
      </c>
    </row>
    <row r="756" spans="2:5" x14ac:dyDescent="0.2">
      <c r="B756" s="178" t="str">
        <f>'[1]COMEDORES EMERGENTES'!$B$11</f>
        <v>E.P.C - 100 V.V NORTE</v>
      </c>
      <c r="C756" s="179"/>
      <c r="D756" s="108" t="s">
        <v>240</v>
      </c>
      <c r="E756" s="109" t="str">
        <f>'[1]COMEDORES EMERGENTES'!$G$11</f>
        <v>Bº VV NORTE C/48 ENTRE ESPAÑA Y FRANCIA</v>
      </c>
    </row>
    <row r="757" spans="2:5" x14ac:dyDescent="0.2">
      <c r="B757" s="178" t="str">
        <f>'[1]COMEDORES EMERGENTES'!$B$12</f>
        <v>HOGAR DE CRISTO - PADRE RAUL CONTRERAS</v>
      </c>
      <c r="C757" s="179"/>
      <c r="D757" s="108" t="s">
        <v>240</v>
      </c>
      <c r="E757" s="109" t="str">
        <f>'[1]COMEDORES EMERGENTES'!$G$12</f>
        <v>Bº SANTA MARTA MZA. "S" LOTE "M" C/39</v>
      </c>
    </row>
    <row r="758" spans="2:5" x14ac:dyDescent="0.2">
      <c r="B758" s="178" t="str">
        <f>'[1]COMEDORES EMERGENTES'!$B$13</f>
        <v>LA LUCIERNAGA</v>
      </c>
      <c r="C758" s="179"/>
      <c r="D758" s="108" t="s">
        <v>240</v>
      </c>
      <c r="E758" s="109" t="str">
        <f>'[1]COMEDORES EMERGENTES'!$G$13</f>
        <v>Bº 20 V.V NORTE C/3</v>
      </c>
    </row>
    <row r="759" spans="2:5" x14ac:dyDescent="0.2">
      <c r="B759" s="178" t="str">
        <f>'[1]COMEDORES EMERGENTES'!$B$14</f>
        <v>VALLE VIEJO - SUMALAO</v>
      </c>
      <c r="C759" s="179"/>
      <c r="D759" s="108" t="s">
        <v>240</v>
      </c>
      <c r="E759" s="109" t="str">
        <f>'[1]COMEDORES EMERGENTES'!$G$14</f>
        <v>PADRE SEGURA S/N</v>
      </c>
    </row>
    <row r="760" spans="2:5" x14ac:dyDescent="0.2">
      <c r="B760" s="178" t="str">
        <f>'[1]COMEDORES EMERGENTES'!$B$15</f>
        <v>NUESTRO FUTURO - LAS VIAS</v>
      </c>
      <c r="C760" s="179"/>
      <c r="D760" s="108" t="s">
        <v>240</v>
      </c>
      <c r="E760" s="109" t="str">
        <f>'[1]COMEDORES EMERGENTES'!$G$15</f>
        <v>Bº LAS VIAS OESTE LOTE 42</v>
      </c>
    </row>
    <row r="761" spans="2:5" x14ac:dyDescent="0.2">
      <c r="B761" s="178" t="str">
        <f>'[1]COMEDORES EMERGENTES'!$B$16</f>
        <v>SAN JOSE OBRERO</v>
      </c>
      <c r="C761" s="179"/>
      <c r="D761" s="108" t="s">
        <v>240</v>
      </c>
      <c r="E761" s="109" t="str">
        <f>'[1]COMEDORES EMERGENTES'!$G$16</f>
        <v>Bº SAN JOSE OBRERO. PJE. SANDOVAL S/Nº</v>
      </c>
    </row>
    <row r="762" spans="2:5" x14ac:dyDescent="0.2">
      <c r="B762" s="178" t="str">
        <f>'[1]COMEDORES EMERGENTES'!$B$17</f>
        <v>VIRGEN DE LUJAN</v>
      </c>
      <c r="C762" s="179"/>
      <c r="D762" s="108" t="s">
        <v>240</v>
      </c>
      <c r="E762" s="109" t="str">
        <f>'[1]COMEDORES EMERGENTES'!$G$17</f>
        <v>Bº OJO DE AGUA C/DR.TEODULFO BARRIONUEVO S/Nº</v>
      </c>
    </row>
    <row r="763" spans="2:5" x14ac:dyDescent="0.2">
      <c r="B763" s="178" t="str">
        <f>'[1]COMEDORES EMERGENTES'!$B$18</f>
        <v>RENACER</v>
      </c>
      <c r="C763" s="179"/>
      <c r="D763" s="108" t="s">
        <v>240</v>
      </c>
      <c r="E763" s="109" t="str">
        <f>'[1]COMEDORES EMERGENTES'!$G$18</f>
        <v>Bº VIRGEN MORENITA</v>
      </c>
    </row>
    <row r="764" spans="2:5" x14ac:dyDescent="0.2">
      <c r="B764" s="178" t="str">
        <f>'[1]COMEDORES EMERGENTES'!$B$19</f>
        <v>CENTRO VECINAL MI JARDIN</v>
      </c>
      <c r="C764" s="179"/>
      <c r="D764" s="108" t="s">
        <v>240</v>
      </c>
      <c r="E764" s="109" t="str">
        <f>'[1]COMEDORES EMERGENTES'!$G$19</f>
        <v>C/ LOS TULIPANES ENTRE FLOR DE CEREZO Y HOLANDA MZA.27 Bº MI JARDIN</v>
      </c>
    </row>
    <row r="765" spans="2:5" x14ac:dyDescent="0.2">
      <c r="B765" s="178" t="str">
        <f>'[1]COMEDORES EMERGENTES'!$B$20</f>
        <v>LA VIEJA ESQUINA</v>
      </c>
      <c r="C765" s="179"/>
      <c r="D765" s="108" t="s">
        <v>240</v>
      </c>
      <c r="E765" s="109" t="str">
        <f>'[1]COMEDORES EMERGENTES'!$G$20</f>
        <v>B° CRISTO REY PJE CAPATAZ VILLAFAÑEZ Y ARMANDO CORREA</v>
      </c>
    </row>
    <row r="766" spans="2:5" x14ac:dyDescent="0.2">
      <c r="B766" s="178" t="str">
        <f>'[1]COMEDORES EMERGENTES'!$B$21</f>
        <v>GAUCHITO GIL</v>
      </c>
      <c r="C766" s="179"/>
      <c r="D766" s="108" t="s">
        <v>240</v>
      </c>
      <c r="E766" s="109" t="str">
        <f>'[1]COMEDORES EMERGENTES'!$G$21</f>
        <v>B° 26 VIVIENDAS CASA N° 3</v>
      </c>
    </row>
    <row r="767" spans="2:5" ht="13.5" thickBot="1" x14ac:dyDescent="0.25">
      <c r="B767" s="195" t="str">
        <f>'[1]COMEDORES EMERGENTES'!$B$22</f>
        <v>LOS TOLDOS</v>
      </c>
      <c r="C767" s="196"/>
      <c r="D767" s="115" t="s">
        <v>240</v>
      </c>
      <c r="E767" s="116" t="str">
        <f>'[1]COMEDORES EMERGENTES'!$G$22</f>
        <v>LOTEO PARQUE SUR CALLE S/NOMBRE S/N°</v>
      </c>
    </row>
    <row r="768" spans="2:5" x14ac:dyDescent="0.2">
      <c r="B768" s="33" t="s">
        <v>18</v>
      </c>
      <c r="C768" s="31"/>
      <c r="D768" s="72"/>
      <c r="E768" s="32"/>
    </row>
    <row r="769" spans="2:5" x14ac:dyDescent="0.2">
      <c r="B769" s="34"/>
      <c r="C769" s="194" t="s">
        <v>62</v>
      </c>
      <c r="D769" s="194"/>
      <c r="E769" s="194"/>
    </row>
    <row r="770" spans="2:5" x14ac:dyDescent="0.2">
      <c r="B770" s="33" t="s">
        <v>19</v>
      </c>
      <c r="C770" s="35"/>
      <c r="D770" s="35"/>
      <c r="E770" s="36"/>
    </row>
    <row r="771" spans="2:5" x14ac:dyDescent="0.2">
      <c r="B771" s="34"/>
      <c r="C771" s="194" t="s">
        <v>139</v>
      </c>
      <c r="D771" s="194"/>
      <c r="E771" s="194"/>
    </row>
    <row r="772" spans="2:5" x14ac:dyDescent="0.2">
      <c r="B772" s="33" t="s">
        <v>20</v>
      </c>
      <c r="C772" s="31"/>
      <c r="D772" s="72"/>
      <c r="E772" s="32"/>
    </row>
    <row r="773" spans="2:5" x14ac:dyDescent="0.2">
      <c r="B773" s="33"/>
      <c r="C773" s="193" t="s">
        <v>63</v>
      </c>
      <c r="D773" s="193"/>
      <c r="E773" s="193"/>
    </row>
    <row r="774" spans="2:5" ht="13.5" thickBot="1" x14ac:dyDescent="0.25">
      <c r="B774" s="37"/>
      <c r="C774" s="38"/>
      <c r="D774" s="73"/>
      <c r="E774" s="39"/>
    </row>
    <row r="775" spans="2:5" ht="13.5" thickBot="1" x14ac:dyDescent="0.25"/>
    <row r="776" spans="2:5" x14ac:dyDescent="0.2">
      <c r="B776" s="27" t="s">
        <v>158</v>
      </c>
      <c r="C776" s="28"/>
      <c r="D776" s="71"/>
      <c r="E776" s="29"/>
    </row>
    <row r="777" spans="2:5" x14ac:dyDescent="0.2">
      <c r="B777" s="30"/>
      <c r="C777" s="31"/>
      <c r="D777" s="72"/>
      <c r="E777" s="32"/>
    </row>
    <row r="778" spans="2:5" x14ac:dyDescent="0.2">
      <c r="B778" s="33" t="s">
        <v>16</v>
      </c>
      <c r="C778" s="31"/>
      <c r="D778" s="72"/>
      <c r="E778" s="32"/>
    </row>
    <row r="779" spans="2:5" ht="25.5" customHeight="1" x14ac:dyDescent="0.2">
      <c r="B779" s="33"/>
      <c r="C779" s="194"/>
      <c r="D779" s="194"/>
      <c r="E779" s="194"/>
    </row>
    <row r="780" spans="2:5" ht="13.5" thickBot="1" x14ac:dyDescent="0.25">
      <c r="B780" s="33" t="s">
        <v>17</v>
      </c>
      <c r="C780" s="31"/>
      <c r="D780" s="72"/>
      <c r="E780" s="32"/>
    </row>
    <row r="781" spans="2:5" ht="13.5" thickBot="1" x14ac:dyDescent="0.25">
      <c r="B781" s="180" t="s">
        <v>239</v>
      </c>
      <c r="C781" s="181"/>
      <c r="D781" s="181"/>
      <c r="E781" s="182"/>
    </row>
    <row r="782" spans="2:5" ht="13.5" thickBot="1" x14ac:dyDescent="0.25">
      <c r="B782" s="180" t="s">
        <v>137</v>
      </c>
      <c r="C782" s="182"/>
      <c r="D782" s="69" t="s">
        <v>11</v>
      </c>
      <c r="E782" s="69" t="s">
        <v>138</v>
      </c>
    </row>
    <row r="783" spans="2:5" x14ac:dyDescent="0.2">
      <c r="B783" s="187" t="str">
        <f>'[1]COMEDORES EMERGENTES'!$B$3</f>
        <v>UNA SONRISA AV. LOS COBACHO</v>
      </c>
      <c r="C783" s="188"/>
      <c r="D783" s="113" t="s">
        <v>240</v>
      </c>
      <c r="E783" s="114" t="str">
        <f>'[1]COMEDORES EMERGENTES'!$G$3</f>
        <v>Bº SAN CARLOS OESTE AV. Bonifacio cobacho 670</v>
      </c>
    </row>
    <row r="784" spans="2:5" x14ac:dyDescent="0.2">
      <c r="B784" s="178" t="str">
        <f>'[1]COMEDORES EMERGENTES'!$B$4</f>
        <v>C.I.F Nº1 - RIVERA DEL VALLE Y FLORIDA</v>
      </c>
      <c r="C784" s="179"/>
      <c r="D784" s="108" t="s">
        <v>240</v>
      </c>
      <c r="E784" s="109" t="str">
        <f>'[1]COMEDORES EMERGENTES'!$G$4</f>
        <v>AV. RIVIERA DEL VALLE ENTRE FLORIDA Y SANTA FE</v>
      </c>
    </row>
    <row r="785" spans="2:5" x14ac:dyDescent="0.2">
      <c r="B785" s="178" t="str">
        <f>'[1]COMEDORES EMERGENTES'!$B$5</f>
        <v>C.I.F - RIVERA DEL VALLE - DILORENZO</v>
      </c>
      <c r="C785" s="179"/>
      <c r="D785" s="108" t="s">
        <v>240</v>
      </c>
      <c r="E785" s="109" t="str">
        <f>'[1]COMEDORES EMERGENTES'!$G$5</f>
        <v>Bº RIVERA DEL VALLE ENTRE VILLA EUMELIA Y MONTE CRISTO</v>
      </c>
    </row>
    <row r="786" spans="2:5" x14ac:dyDescent="0.2">
      <c r="B786" s="178" t="str">
        <f>'[1]COMEDORES EMERGENTES'!$B$6</f>
        <v>ESFUERZO PROPIO- Bº ALTOS DE CHOYA</v>
      </c>
      <c r="C786" s="179"/>
      <c r="D786" s="108" t="s">
        <v>240</v>
      </c>
      <c r="E786" s="109" t="str">
        <f>'[1]COMEDORES EMERGENTES'!$G$6</f>
        <v>Bº MUNICIPAL 35VV. NORTE C/14</v>
      </c>
    </row>
    <row r="787" spans="2:5" x14ac:dyDescent="0.2">
      <c r="B787" s="178" t="str">
        <f>'[1]COMEDORES EMERGENTES'!$B$7</f>
        <v>ANGELITOS - LOTEO SUSSEX</v>
      </c>
      <c r="C787" s="179"/>
      <c r="D787" s="108" t="s">
        <v>240</v>
      </c>
      <c r="E787" s="109" t="str">
        <f>'[1]COMEDORES EMERGENTES'!$G$7</f>
        <v>Bº LOTEO SUSEX MZA.Nº 4 LOTE Nº3</v>
      </c>
    </row>
    <row r="788" spans="2:5" x14ac:dyDescent="0.2">
      <c r="B788" s="178" t="str">
        <f>'[1]COMEDORES EMERGENTES'!$B$8</f>
        <v>CLUB DEPORTIVO CHACARITA</v>
      </c>
      <c r="C788" s="179"/>
      <c r="D788" s="108" t="s">
        <v>240</v>
      </c>
      <c r="E788" s="109" t="str">
        <f>'[1]COMEDORES EMERGENTES'!$G$8</f>
        <v>CALLE DR.DERMIDIO GALINDEZ C/2660</v>
      </c>
    </row>
    <row r="789" spans="2:5" x14ac:dyDescent="0.2">
      <c r="B789" s="178" t="str">
        <f>'[1]COMEDORES EMERGENTES'!$B$9</f>
        <v>LA MORO</v>
      </c>
      <c r="C789" s="179"/>
      <c r="D789" s="108" t="s">
        <v>240</v>
      </c>
      <c r="E789" s="109" t="str">
        <f>'[1]COMEDORES EMERGENTES'!$G$9</f>
        <v>MAIPU NORTE 1º ETAPA MZA "H" Bº MI JARDIN</v>
      </c>
    </row>
    <row r="790" spans="2:5" x14ac:dyDescent="0.2">
      <c r="B790" s="178" t="str">
        <f>'[1]COMEDORES EMERGENTES'!$B$10</f>
        <v>PAPA FRANCISCO</v>
      </c>
      <c r="C790" s="179"/>
      <c r="D790" s="108" t="s">
        <v>240</v>
      </c>
      <c r="E790" s="109" t="str">
        <f>'[1]COMEDORES EMERGENTES'!$G$10</f>
        <v>ENTRE AV.TEREBINTO Y AV.SAN JUAN LOTE "2" MZA. "B"</v>
      </c>
    </row>
    <row r="791" spans="2:5" x14ac:dyDescent="0.2">
      <c r="B791" s="178" t="str">
        <f>'[1]COMEDORES EMERGENTES'!$B$11</f>
        <v>E.P.C - 100 V.V NORTE</v>
      </c>
      <c r="C791" s="179"/>
      <c r="D791" s="108" t="s">
        <v>240</v>
      </c>
      <c r="E791" s="109" t="str">
        <f>'[1]COMEDORES EMERGENTES'!$G$11</f>
        <v>Bº VV NORTE C/48 ENTRE ESPAÑA Y FRANCIA</v>
      </c>
    </row>
    <row r="792" spans="2:5" x14ac:dyDescent="0.2">
      <c r="B792" s="178" t="str">
        <f>'[1]COMEDORES EMERGENTES'!$B$12</f>
        <v>HOGAR DE CRISTO - PADRE RAUL CONTRERAS</v>
      </c>
      <c r="C792" s="179"/>
      <c r="D792" s="108" t="s">
        <v>240</v>
      </c>
      <c r="E792" s="109" t="str">
        <f>'[1]COMEDORES EMERGENTES'!$G$12</f>
        <v>Bº SANTA MARTA MZA. "S" LOTE "M" C/39</v>
      </c>
    </row>
    <row r="793" spans="2:5" x14ac:dyDescent="0.2">
      <c r="B793" s="178" t="str">
        <f>'[1]COMEDORES EMERGENTES'!$B$13</f>
        <v>LA LUCIERNAGA</v>
      </c>
      <c r="C793" s="179"/>
      <c r="D793" s="108" t="s">
        <v>240</v>
      </c>
      <c r="E793" s="109" t="str">
        <f>'[1]COMEDORES EMERGENTES'!$G$13</f>
        <v>Bº 20 V.V NORTE C/3</v>
      </c>
    </row>
    <row r="794" spans="2:5" x14ac:dyDescent="0.2">
      <c r="B794" s="178" t="str">
        <f>'[1]COMEDORES EMERGENTES'!$B$14</f>
        <v>VALLE VIEJO - SUMALAO</v>
      </c>
      <c r="C794" s="179"/>
      <c r="D794" s="108" t="s">
        <v>240</v>
      </c>
      <c r="E794" s="109" t="str">
        <f>'[1]COMEDORES EMERGENTES'!$G$14</f>
        <v>PADRE SEGURA S/N</v>
      </c>
    </row>
    <row r="795" spans="2:5" x14ac:dyDescent="0.2">
      <c r="B795" s="178" t="str">
        <f>'[1]COMEDORES EMERGENTES'!$B$15</f>
        <v>NUESTRO FUTURO - LAS VIAS</v>
      </c>
      <c r="C795" s="179"/>
      <c r="D795" s="108" t="s">
        <v>240</v>
      </c>
      <c r="E795" s="109" t="str">
        <f>'[1]COMEDORES EMERGENTES'!$G$15</f>
        <v>Bº LAS VIAS OESTE LOTE 42</v>
      </c>
    </row>
    <row r="796" spans="2:5" x14ac:dyDescent="0.2">
      <c r="B796" s="178" t="str">
        <f>'[1]COMEDORES EMERGENTES'!$B$16</f>
        <v>SAN JOSE OBRERO</v>
      </c>
      <c r="C796" s="179"/>
      <c r="D796" s="108" t="s">
        <v>240</v>
      </c>
      <c r="E796" s="109" t="str">
        <f>'[1]COMEDORES EMERGENTES'!$G$16</f>
        <v>Bº SAN JOSE OBRERO. PJE. SANDOVAL S/Nº</v>
      </c>
    </row>
    <row r="797" spans="2:5" x14ac:dyDescent="0.2">
      <c r="B797" s="178" t="str">
        <f>'[1]COMEDORES EMERGENTES'!$B$17</f>
        <v>VIRGEN DE LUJAN</v>
      </c>
      <c r="C797" s="179"/>
      <c r="D797" s="108" t="s">
        <v>240</v>
      </c>
      <c r="E797" s="109" t="str">
        <f>'[1]COMEDORES EMERGENTES'!$G$17</f>
        <v>Bº OJO DE AGUA C/DR.TEODULFO BARRIONUEVO S/Nº</v>
      </c>
    </row>
    <row r="798" spans="2:5" x14ac:dyDescent="0.2">
      <c r="B798" s="178" t="str">
        <f>'[1]COMEDORES EMERGENTES'!$B$18</f>
        <v>RENACER</v>
      </c>
      <c r="C798" s="179"/>
      <c r="D798" s="108" t="s">
        <v>240</v>
      </c>
      <c r="E798" s="109" t="str">
        <f>'[1]COMEDORES EMERGENTES'!$G$18</f>
        <v>Bº VIRGEN MORENITA</v>
      </c>
    </row>
    <row r="799" spans="2:5" x14ac:dyDescent="0.2">
      <c r="B799" s="178" t="str">
        <f>'[1]COMEDORES EMERGENTES'!$B$19</f>
        <v>CENTRO VECINAL MI JARDIN</v>
      </c>
      <c r="C799" s="179"/>
      <c r="D799" s="108" t="s">
        <v>240</v>
      </c>
      <c r="E799" s="109" t="str">
        <f>'[1]COMEDORES EMERGENTES'!$G$19</f>
        <v>C/ LOS TULIPANES ENTRE FLOR DE CEREZO Y HOLANDA MZA.27 Bº MI JARDIN</v>
      </c>
    </row>
    <row r="800" spans="2:5" x14ac:dyDescent="0.2">
      <c r="B800" s="178" t="str">
        <f>'[1]COMEDORES EMERGENTES'!$B$20</f>
        <v>LA VIEJA ESQUINA</v>
      </c>
      <c r="C800" s="179"/>
      <c r="D800" s="108" t="s">
        <v>240</v>
      </c>
      <c r="E800" s="109" t="str">
        <f>'[1]COMEDORES EMERGENTES'!$G$20</f>
        <v>B° CRISTO REY PJE CAPATAZ VILLAFAÑEZ Y ARMANDO CORREA</v>
      </c>
    </row>
    <row r="801" spans="2:5" x14ac:dyDescent="0.2">
      <c r="B801" s="178" t="str">
        <f>'[1]COMEDORES EMERGENTES'!$B$21</f>
        <v>GAUCHITO GIL</v>
      </c>
      <c r="C801" s="179"/>
      <c r="D801" s="108" t="s">
        <v>240</v>
      </c>
      <c r="E801" s="109" t="str">
        <f>'[1]COMEDORES EMERGENTES'!$G$21</f>
        <v>B° 26 VIVIENDAS CASA N° 3</v>
      </c>
    </row>
    <row r="802" spans="2:5" ht="13.5" thickBot="1" x14ac:dyDescent="0.25">
      <c r="B802" s="195" t="str">
        <f>'[1]COMEDORES EMERGENTES'!$B$22</f>
        <v>LOS TOLDOS</v>
      </c>
      <c r="C802" s="196"/>
      <c r="D802" s="115" t="s">
        <v>240</v>
      </c>
      <c r="E802" s="116" t="str">
        <f>'[1]COMEDORES EMERGENTES'!$G$22</f>
        <v>LOTEO PARQUE SUR CALLE S/NOMBRE S/N°</v>
      </c>
    </row>
    <row r="803" spans="2:5" x14ac:dyDescent="0.2">
      <c r="B803" s="33" t="s">
        <v>18</v>
      </c>
      <c r="C803" s="31"/>
      <c r="D803" s="72"/>
      <c r="E803" s="32"/>
    </row>
    <row r="804" spans="2:5" x14ac:dyDescent="0.2">
      <c r="B804" s="34"/>
      <c r="C804" s="194" t="s">
        <v>62</v>
      </c>
      <c r="D804" s="194"/>
      <c r="E804" s="194"/>
    </row>
    <row r="805" spans="2:5" x14ac:dyDescent="0.2">
      <c r="B805" s="33" t="s">
        <v>19</v>
      </c>
      <c r="C805" s="35"/>
      <c r="D805" s="35"/>
      <c r="E805" s="36"/>
    </row>
    <row r="806" spans="2:5" x14ac:dyDescent="0.2">
      <c r="B806" s="34"/>
      <c r="C806" s="194" t="s">
        <v>139</v>
      </c>
      <c r="D806" s="194"/>
      <c r="E806" s="194"/>
    </row>
    <row r="807" spans="2:5" x14ac:dyDescent="0.2">
      <c r="B807" s="33" t="s">
        <v>20</v>
      </c>
      <c r="C807" s="31"/>
      <c r="D807" s="72"/>
      <c r="E807" s="32"/>
    </row>
    <row r="808" spans="2:5" x14ac:dyDescent="0.2">
      <c r="B808" s="33"/>
      <c r="C808" s="193" t="s">
        <v>63</v>
      </c>
      <c r="D808" s="193"/>
      <c r="E808" s="193"/>
    </row>
    <row r="809" spans="2:5" ht="13.5" thickBot="1" x14ac:dyDescent="0.25">
      <c r="B809" s="37"/>
      <c r="C809" s="38"/>
      <c r="D809" s="73"/>
      <c r="E809" s="39"/>
    </row>
    <row r="810" spans="2:5" ht="13.5" thickBot="1" x14ac:dyDescent="0.25"/>
    <row r="811" spans="2:5" x14ac:dyDescent="0.2">
      <c r="B811" s="27" t="s">
        <v>159</v>
      </c>
      <c r="C811" s="28"/>
      <c r="D811" s="71"/>
      <c r="E811" s="29"/>
    </row>
    <row r="812" spans="2:5" x14ac:dyDescent="0.2">
      <c r="B812" s="30"/>
      <c r="C812" s="31"/>
      <c r="D812" s="72"/>
      <c r="E812" s="32"/>
    </row>
    <row r="813" spans="2:5" x14ac:dyDescent="0.2">
      <c r="B813" s="33" t="s">
        <v>16</v>
      </c>
      <c r="C813" s="31"/>
      <c r="D813" s="72"/>
      <c r="E813" s="32"/>
    </row>
    <row r="814" spans="2:5" ht="25.5" customHeight="1" x14ac:dyDescent="0.2">
      <c r="B814" s="33"/>
      <c r="C814" s="194"/>
      <c r="D814" s="194"/>
      <c r="E814" s="194"/>
    </row>
    <row r="815" spans="2:5" ht="13.5" thickBot="1" x14ac:dyDescent="0.25">
      <c r="B815" s="33" t="s">
        <v>17</v>
      </c>
      <c r="C815" s="31"/>
      <c r="D815" s="72"/>
      <c r="E815" s="32"/>
    </row>
    <row r="816" spans="2:5" ht="13.5" thickBot="1" x14ac:dyDescent="0.25">
      <c r="B816" s="180" t="s">
        <v>239</v>
      </c>
      <c r="C816" s="181"/>
      <c r="D816" s="181"/>
      <c r="E816" s="182"/>
    </row>
    <row r="817" spans="2:5" ht="13.5" thickBot="1" x14ac:dyDescent="0.25">
      <c r="B817" s="180" t="s">
        <v>137</v>
      </c>
      <c r="C817" s="182"/>
      <c r="D817" s="69" t="s">
        <v>11</v>
      </c>
      <c r="E817" s="69" t="s">
        <v>138</v>
      </c>
    </row>
    <row r="818" spans="2:5" x14ac:dyDescent="0.2">
      <c r="B818" s="187" t="str">
        <f>'[1]COMEDORES EMERGENTES'!$B$3</f>
        <v>UNA SONRISA AV. LOS COBACHO</v>
      </c>
      <c r="C818" s="188"/>
      <c r="D818" s="113" t="s">
        <v>240</v>
      </c>
      <c r="E818" s="114" t="str">
        <f>'[1]COMEDORES EMERGENTES'!$G$3</f>
        <v>Bº SAN CARLOS OESTE AV. Bonifacio cobacho 670</v>
      </c>
    </row>
    <row r="819" spans="2:5" x14ac:dyDescent="0.2">
      <c r="B819" s="178" t="str">
        <f>'[1]COMEDORES EMERGENTES'!$B$4</f>
        <v>C.I.F Nº1 - RIVERA DEL VALLE Y FLORIDA</v>
      </c>
      <c r="C819" s="179"/>
      <c r="D819" s="108" t="s">
        <v>240</v>
      </c>
      <c r="E819" s="109" t="str">
        <f>'[1]COMEDORES EMERGENTES'!$G$4</f>
        <v>AV. RIVIERA DEL VALLE ENTRE FLORIDA Y SANTA FE</v>
      </c>
    </row>
    <row r="820" spans="2:5" x14ac:dyDescent="0.2">
      <c r="B820" s="178" t="str">
        <f>'[1]COMEDORES EMERGENTES'!$B$5</f>
        <v>C.I.F - RIVERA DEL VALLE - DILORENZO</v>
      </c>
      <c r="C820" s="179"/>
      <c r="D820" s="108" t="s">
        <v>240</v>
      </c>
      <c r="E820" s="109" t="str">
        <f>'[1]COMEDORES EMERGENTES'!$G$5</f>
        <v>Bº RIVERA DEL VALLE ENTRE VILLA EUMELIA Y MONTE CRISTO</v>
      </c>
    </row>
    <row r="821" spans="2:5" x14ac:dyDescent="0.2">
      <c r="B821" s="178" t="str">
        <f>'[1]COMEDORES EMERGENTES'!$B$6</f>
        <v>ESFUERZO PROPIO- Bº ALTOS DE CHOYA</v>
      </c>
      <c r="C821" s="179"/>
      <c r="D821" s="108" t="s">
        <v>240</v>
      </c>
      <c r="E821" s="109" t="str">
        <f>'[1]COMEDORES EMERGENTES'!$G$6</f>
        <v>Bº MUNICIPAL 35VV. NORTE C/14</v>
      </c>
    </row>
    <row r="822" spans="2:5" x14ac:dyDescent="0.2">
      <c r="B822" s="178" t="str">
        <f>'[1]COMEDORES EMERGENTES'!$B$7</f>
        <v>ANGELITOS - LOTEO SUSSEX</v>
      </c>
      <c r="C822" s="179"/>
      <c r="D822" s="108" t="s">
        <v>240</v>
      </c>
      <c r="E822" s="109" t="str">
        <f>'[1]COMEDORES EMERGENTES'!$G$7</f>
        <v>Bº LOTEO SUSEX MZA.Nº 4 LOTE Nº3</v>
      </c>
    </row>
    <row r="823" spans="2:5" x14ac:dyDescent="0.2">
      <c r="B823" s="178" t="str">
        <f>'[1]COMEDORES EMERGENTES'!$B$8</f>
        <v>CLUB DEPORTIVO CHACARITA</v>
      </c>
      <c r="C823" s="179"/>
      <c r="D823" s="108" t="s">
        <v>240</v>
      </c>
      <c r="E823" s="109" t="str">
        <f>'[1]COMEDORES EMERGENTES'!$G$8</f>
        <v>CALLE DR.DERMIDIO GALINDEZ C/2660</v>
      </c>
    </row>
    <row r="824" spans="2:5" x14ac:dyDescent="0.2">
      <c r="B824" s="178" t="str">
        <f>'[1]COMEDORES EMERGENTES'!$B$9</f>
        <v>LA MORO</v>
      </c>
      <c r="C824" s="179"/>
      <c r="D824" s="108" t="s">
        <v>240</v>
      </c>
      <c r="E824" s="109" t="str">
        <f>'[1]COMEDORES EMERGENTES'!$G$9</f>
        <v>MAIPU NORTE 1º ETAPA MZA "H" Bº MI JARDIN</v>
      </c>
    </row>
    <row r="825" spans="2:5" x14ac:dyDescent="0.2">
      <c r="B825" s="178" t="str">
        <f>'[1]COMEDORES EMERGENTES'!$B$10</f>
        <v>PAPA FRANCISCO</v>
      </c>
      <c r="C825" s="179"/>
      <c r="D825" s="108" t="s">
        <v>240</v>
      </c>
      <c r="E825" s="109" t="str">
        <f>'[1]COMEDORES EMERGENTES'!$G$10</f>
        <v>ENTRE AV.TEREBINTO Y AV.SAN JUAN LOTE "2" MZA. "B"</v>
      </c>
    </row>
    <row r="826" spans="2:5" x14ac:dyDescent="0.2">
      <c r="B826" s="178" t="str">
        <f>'[1]COMEDORES EMERGENTES'!$B$11</f>
        <v>E.P.C - 100 V.V NORTE</v>
      </c>
      <c r="C826" s="179"/>
      <c r="D826" s="108" t="s">
        <v>240</v>
      </c>
      <c r="E826" s="109" t="str">
        <f>'[1]COMEDORES EMERGENTES'!$G$11</f>
        <v>Bº VV NORTE C/48 ENTRE ESPAÑA Y FRANCIA</v>
      </c>
    </row>
    <row r="827" spans="2:5" x14ac:dyDescent="0.2">
      <c r="B827" s="178" t="str">
        <f>'[1]COMEDORES EMERGENTES'!$B$12</f>
        <v>HOGAR DE CRISTO - PADRE RAUL CONTRERAS</v>
      </c>
      <c r="C827" s="179"/>
      <c r="D827" s="108" t="s">
        <v>240</v>
      </c>
      <c r="E827" s="109" t="str">
        <f>'[1]COMEDORES EMERGENTES'!$G$12</f>
        <v>Bº SANTA MARTA MZA. "S" LOTE "M" C/39</v>
      </c>
    </row>
    <row r="828" spans="2:5" x14ac:dyDescent="0.2">
      <c r="B828" s="178" t="str">
        <f>'[1]COMEDORES EMERGENTES'!$B$13</f>
        <v>LA LUCIERNAGA</v>
      </c>
      <c r="C828" s="179"/>
      <c r="D828" s="108" t="s">
        <v>240</v>
      </c>
      <c r="E828" s="109" t="str">
        <f>'[1]COMEDORES EMERGENTES'!$G$13</f>
        <v>Bº 20 V.V NORTE C/3</v>
      </c>
    </row>
    <row r="829" spans="2:5" x14ac:dyDescent="0.2">
      <c r="B829" s="178" t="str">
        <f>'[1]COMEDORES EMERGENTES'!$B$14</f>
        <v>VALLE VIEJO - SUMALAO</v>
      </c>
      <c r="C829" s="179"/>
      <c r="D829" s="108" t="s">
        <v>240</v>
      </c>
      <c r="E829" s="109" t="str">
        <f>'[1]COMEDORES EMERGENTES'!$G$14</f>
        <v>PADRE SEGURA S/N</v>
      </c>
    </row>
    <row r="830" spans="2:5" x14ac:dyDescent="0.2">
      <c r="B830" s="178" t="str">
        <f>'[1]COMEDORES EMERGENTES'!$B$15</f>
        <v>NUESTRO FUTURO - LAS VIAS</v>
      </c>
      <c r="C830" s="179"/>
      <c r="D830" s="108" t="s">
        <v>240</v>
      </c>
      <c r="E830" s="109" t="str">
        <f>'[1]COMEDORES EMERGENTES'!$G$15</f>
        <v>Bº LAS VIAS OESTE LOTE 42</v>
      </c>
    </row>
    <row r="831" spans="2:5" x14ac:dyDescent="0.2">
      <c r="B831" s="178" t="str">
        <f>'[1]COMEDORES EMERGENTES'!$B$16</f>
        <v>SAN JOSE OBRERO</v>
      </c>
      <c r="C831" s="179"/>
      <c r="D831" s="108" t="s">
        <v>240</v>
      </c>
      <c r="E831" s="109" t="str">
        <f>'[1]COMEDORES EMERGENTES'!$G$16</f>
        <v>Bº SAN JOSE OBRERO. PJE. SANDOVAL S/Nº</v>
      </c>
    </row>
    <row r="832" spans="2:5" x14ac:dyDescent="0.2">
      <c r="B832" s="178" t="str">
        <f>'[1]COMEDORES EMERGENTES'!$B$17</f>
        <v>VIRGEN DE LUJAN</v>
      </c>
      <c r="C832" s="179"/>
      <c r="D832" s="108" t="s">
        <v>240</v>
      </c>
      <c r="E832" s="109" t="str">
        <f>'[1]COMEDORES EMERGENTES'!$G$17</f>
        <v>Bº OJO DE AGUA C/DR.TEODULFO BARRIONUEVO S/Nº</v>
      </c>
    </row>
    <row r="833" spans="2:5" x14ac:dyDescent="0.2">
      <c r="B833" s="178" t="str">
        <f>'[1]COMEDORES EMERGENTES'!$B$18</f>
        <v>RENACER</v>
      </c>
      <c r="C833" s="179"/>
      <c r="D833" s="108" t="s">
        <v>240</v>
      </c>
      <c r="E833" s="109" t="str">
        <f>'[1]COMEDORES EMERGENTES'!$G$18</f>
        <v>Bº VIRGEN MORENITA</v>
      </c>
    </row>
    <row r="834" spans="2:5" x14ac:dyDescent="0.2">
      <c r="B834" s="178" t="str">
        <f>'[1]COMEDORES EMERGENTES'!$B$19</f>
        <v>CENTRO VECINAL MI JARDIN</v>
      </c>
      <c r="C834" s="179"/>
      <c r="D834" s="108" t="s">
        <v>240</v>
      </c>
      <c r="E834" s="109" t="str">
        <f>'[1]COMEDORES EMERGENTES'!$G$19</f>
        <v>C/ LOS TULIPANES ENTRE FLOR DE CEREZO Y HOLANDA MZA.27 Bº MI JARDIN</v>
      </c>
    </row>
    <row r="835" spans="2:5" x14ac:dyDescent="0.2">
      <c r="B835" s="178" t="str">
        <f>'[1]COMEDORES EMERGENTES'!$B$20</f>
        <v>LA VIEJA ESQUINA</v>
      </c>
      <c r="C835" s="179"/>
      <c r="D835" s="108" t="s">
        <v>240</v>
      </c>
      <c r="E835" s="109" t="str">
        <f>'[1]COMEDORES EMERGENTES'!$G$20</f>
        <v>B° CRISTO REY PJE CAPATAZ VILLAFAÑEZ Y ARMANDO CORREA</v>
      </c>
    </row>
    <row r="836" spans="2:5" x14ac:dyDescent="0.2">
      <c r="B836" s="178" t="str">
        <f>'[1]COMEDORES EMERGENTES'!$B$21</f>
        <v>GAUCHITO GIL</v>
      </c>
      <c r="C836" s="179"/>
      <c r="D836" s="108" t="s">
        <v>240</v>
      </c>
      <c r="E836" s="109" t="str">
        <f>'[1]COMEDORES EMERGENTES'!$G$21</f>
        <v>B° 26 VIVIENDAS CASA N° 3</v>
      </c>
    </row>
    <row r="837" spans="2:5" ht="13.5" thickBot="1" x14ac:dyDescent="0.25">
      <c r="B837" s="195" t="str">
        <f>'[1]COMEDORES EMERGENTES'!$B$22</f>
        <v>LOS TOLDOS</v>
      </c>
      <c r="C837" s="196"/>
      <c r="D837" s="115" t="s">
        <v>240</v>
      </c>
      <c r="E837" s="116" t="str">
        <f>'[1]COMEDORES EMERGENTES'!$G$22</f>
        <v>LOTEO PARQUE SUR CALLE S/NOMBRE S/N°</v>
      </c>
    </row>
    <row r="838" spans="2:5" x14ac:dyDescent="0.2">
      <c r="B838" s="33" t="s">
        <v>18</v>
      </c>
      <c r="C838" s="31"/>
      <c r="D838" s="72"/>
      <c r="E838" s="32"/>
    </row>
    <row r="839" spans="2:5" x14ac:dyDescent="0.2">
      <c r="B839" s="34"/>
      <c r="C839" s="194" t="s">
        <v>62</v>
      </c>
      <c r="D839" s="194"/>
      <c r="E839" s="194"/>
    </row>
    <row r="840" spans="2:5" x14ac:dyDescent="0.2">
      <c r="B840" s="33" t="s">
        <v>19</v>
      </c>
      <c r="C840" s="35"/>
      <c r="D840" s="35"/>
      <c r="E840" s="36"/>
    </row>
    <row r="841" spans="2:5" x14ac:dyDescent="0.2">
      <c r="B841" s="34"/>
      <c r="C841" s="194" t="s">
        <v>139</v>
      </c>
      <c r="D841" s="194"/>
      <c r="E841" s="194"/>
    </row>
    <row r="842" spans="2:5" x14ac:dyDescent="0.2">
      <c r="B842" s="33" t="s">
        <v>20</v>
      </c>
      <c r="C842" s="31"/>
      <c r="D842" s="72"/>
      <c r="E842" s="32"/>
    </row>
    <row r="843" spans="2:5" x14ac:dyDescent="0.2">
      <c r="B843" s="33"/>
      <c r="C843" s="193" t="s">
        <v>63</v>
      </c>
      <c r="D843" s="193"/>
      <c r="E843" s="193"/>
    </row>
    <row r="844" spans="2:5" ht="13.5" thickBot="1" x14ac:dyDescent="0.25">
      <c r="B844" s="37"/>
      <c r="C844" s="38"/>
      <c r="D844" s="73"/>
      <c r="E844" s="39"/>
    </row>
    <row r="845" spans="2:5" ht="13.5" thickBot="1" x14ac:dyDescent="0.25"/>
    <row r="846" spans="2:5" x14ac:dyDescent="0.2">
      <c r="B846" s="27" t="s">
        <v>160</v>
      </c>
      <c r="C846" s="28"/>
      <c r="D846" s="71"/>
      <c r="E846" s="29"/>
    </row>
    <row r="847" spans="2:5" x14ac:dyDescent="0.2">
      <c r="B847" s="30"/>
      <c r="C847" s="31"/>
      <c r="D847" s="72"/>
      <c r="E847" s="32"/>
    </row>
    <row r="848" spans="2:5" x14ac:dyDescent="0.2">
      <c r="B848" s="33" t="s">
        <v>16</v>
      </c>
      <c r="C848" s="31"/>
      <c r="D848" s="72"/>
      <c r="E848" s="32"/>
    </row>
    <row r="849" spans="2:5" ht="25.5" customHeight="1" x14ac:dyDescent="0.2">
      <c r="B849" s="33"/>
      <c r="C849" s="194"/>
      <c r="D849" s="194"/>
      <c r="E849" s="194"/>
    </row>
    <row r="850" spans="2:5" ht="13.5" thickBot="1" x14ac:dyDescent="0.25">
      <c r="B850" s="33" t="s">
        <v>17</v>
      </c>
      <c r="C850" s="31"/>
      <c r="D850" s="72"/>
      <c r="E850" s="32"/>
    </row>
    <row r="851" spans="2:5" ht="13.5" thickBot="1" x14ac:dyDescent="0.25">
      <c r="B851" s="180" t="s">
        <v>239</v>
      </c>
      <c r="C851" s="181"/>
      <c r="D851" s="181"/>
      <c r="E851" s="182"/>
    </row>
    <row r="852" spans="2:5" ht="13.5" thickBot="1" x14ac:dyDescent="0.25">
      <c r="B852" s="180" t="s">
        <v>137</v>
      </c>
      <c r="C852" s="182"/>
      <c r="D852" s="69" t="s">
        <v>11</v>
      </c>
      <c r="E852" s="69" t="s">
        <v>138</v>
      </c>
    </row>
    <row r="853" spans="2:5" x14ac:dyDescent="0.2">
      <c r="B853" s="187" t="str">
        <f>'[1]COMEDORES EMERGENTES'!$B$3</f>
        <v>UNA SONRISA AV. LOS COBACHO</v>
      </c>
      <c r="C853" s="188"/>
      <c r="D853" s="113" t="s">
        <v>240</v>
      </c>
      <c r="E853" s="114" t="str">
        <f>'[1]COMEDORES EMERGENTES'!$G$3</f>
        <v>Bº SAN CARLOS OESTE AV. Bonifacio cobacho 670</v>
      </c>
    </row>
    <row r="854" spans="2:5" x14ac:dyDescent="0.2">
      <c r="B854" s="178" t="str">
        <f>'[1]COMEDORES EMERGENTES'!$B$4</f>
        <v>C.I.F Nº1 - RIVERA DEL VALLE Y FLORIDA</v>
      </c>
      <c r="C854" s="179"/>
      <c r="D854" s="108" t="s">
        <v>240</v>
      </c>
      <c r="E854" s="109" t="str">
        <f>'[1]COMEDORES EMERGENTES'!$G$4</f>
        <v>AV. RIVIERA DEL VALLE ENTRE FLORIDA Y SANTA FE</v>
      </c>
    </row>
    <row r="855" spans="2:5" x14ac:dyDescent="0.2">
      <c r="B855" s="178" t="str">
        <f>'[1]COMEDORES EMERGENTES'!$B$5</f>
        <v>C.I.F - RIVERA DEL VALLE - DILORENZO</v>
      </c>
      <c r="C855" s="179"/>
      <c r="D855" s="108" t="s">
        <v>240</v>
      </c>
      <c r="E855" s="109" t="str">
        <f>'[1]COMEDORES EMERGENTES'!$G$5</f>
        <v>Bº RIVERA DEL VALLE ENTRE VILLA EUMELIA Y MONTE CRISTO</v>
      </c>
    </row>
    <row r="856" spans="2:5" x14ac:dyDescent="0.2">
      <c r="B856" s="178" t="str">
        <f>'[1]COMEDORES EMERGENTES'!$B$6</f>
        <v>ESFUERZO PROPIO- Bº ALTOS DE CHOYA</v>
      </c>
      <c r="C856" s="179"/>
      <c r="D856" s="108" t="s">
        <v>240</v>
      </c>
      <c r="E856" s="109" t="str">
        <f>'[1]COMEDORES EMERGENTES'!$G$6</f>
        <v>Bº MUNICIPAL 35VV. NORTE C/14</v>
      </c>
    </row>
    <row r="857" spans="2:5" x14ac:dyDescent="0.2">
      <c r="B857" s="178" t="str">
        <f>'[1]COMEDORES EMERGENTES'!$B$7</f>
        <v>ANGELITOS - LOTEO SUSSEX</v>
      </c>
      <c r="C857" s="179"/>
      <c r="D857" s="108" t="s">
        <v>240</v>
      </c>
      <c r="E857" s="109" t="str">
        <f>'[1]COMEDORES EMERGENTES'!$G$7</f>
        <v>Bº LOTEO SUSEX MZA.Nº 4 LOTE Nº3</v>
      </c>
    </row>
    <row r="858" spans="2:5" x14ac:dyDescent="0.2">
      <c r="B858" s="178" t="str">
        <f>'[1]COMEDORES EMERGENTES'!$B$8</f>
        <v>CLUB DEPORTIVO CHACARITA</v>
      </c>
      <c r="C858" s="179"/>
      <c r="D858" s="108" t="s">
        <v>240</v>
      </c>
      <c r="E858" s="109" t="str">
        <f>'[1]COMEDORES EMERGENTES'!$G$8</f>
        <v>CALLE DR.DERMIDIO GALINDEZ C/2660</v>
      </c>
    </row>
    <row r="859" spans="2:5" x14ac:dyDescent="0.2">
      <c r="B859" s="178" t="str">
        <f>'[1]COMEDORES EMERGENTES'!$B$9</f>
        <v>LA MORO</v>
      </c>
      <c r="C859" s="179"/>
      <c r="D859" s="108" t="s">
        <v>240</v>
      </c>
      <c r="E859" s="109" t="str">
        <f>'[1]COMEDORES EMERGENTES'!$G$9</f>
        <v>MAIPU NORTE 1º ETAPA MZA "H" Bº MI JARDIN</v>
      </c>
    </row>
    <row r="860" spans="2:5" x14ac:dyDescent="0.2">
      <c r="B860" s="178" t="str">
        <f>'[1]COMEDORES EMERGENTES'!$B$10</f>
        <v>PAPA FRANCISCO</v>
      </c>
      <c r="C860" s="179"/>
      <c r="D860" s="108" t="s">
        <v>240</v>
      </c>
      <c r="E860" s="109" t="str">
        <f>'[1]COMEDORES EMERGENTES'!$G$10</f>
        <v>ENTRE AV.TEREBINTO Y AV.SAN JUAN LOTE "2" MZA. "B"</v>
      </c>
    </row>
    <row r="861" spans="2:5" x14ac:dyDescent="0.2">
      <c r="B861" s="178" t="str">
        <f>'[1]COMEDORES EMERGENTES'!$B$11</f>
        <v>E.P.C - 100 V.V NORTE</v>
      </c>
      <c r="C861" s="179"/>
      <c r="D861" s="108" t="s">
        <v>240</v>
      </c>
      <c r="E861" s="109" t="str">
        <f>'[1]COMEDORES EMERGENTES'!$G$11</f>
        <v>Bº VV NORTE C/48 ENTRE ESPAÑA Y FRANCIA</v>
      </c>
    </row>
    <row r="862" spans="2:5" x14ac:dyDescent="0.2">
      <c r="B862" s="178" t="str">
        <f>'[1]COMEDORES EMERGENTES'!$B$12</f>
        <v>HOGAR DE CRISTO - PADRE RAUL CONTRERAS</v>
      </c>
      <c r="C862" s="179"/>
      <c r="D862" s="108" t="s">
        <v>240</v>
      </c>
      <c r="E862" s="109" t="str">
        <f>'[1]COMEDORES EMERGENTES'!$G$12</f>
        <v>Bº SANTA MARTA MZA. "S" LOTE "M" C/39</v>
      </c>
    </row>
    <row r="863" spans="2:5" x14ac:dyDescent="0.2">
      <c r="B863" s="178" t="str">
        <f>'[1]COMEDORES EMERGENTES'!$B$13</f>
        <v>LA LUCIERNAGA</v>
      </c>
      <c r="C863" s="179"/>
      <c r="D863" s="108" t="s">
        <v>240</v>
      </c>
      <c r="E863" s="109" t="str">
        <f>'[1]COMEDORES EMERGENTES'!$G$13</f>
        <v>Bº 20 V.V NORTE C/3</v>
      </c>
    </row>
    <row r="864" spans="2:5" x14ac:dyDescent="0.2">
      <c r="B864" s="178" t="str">
        <f>'[1]COMEDORES EMERGENTES'!$B$14</f>
        <v>VALLE VIEJO - SUMALAO</v>
      </c>
      <c r="C864" s="179"/>
      <c r="D864" s="108" t="s">
        <v>240</v>
      </c>
      <c r="E864" s="109" t="str">
        <f>'[1]COMEDORES EMERGENTES'!$G$14</f>
        <v>PADRE SEGURA S/N</v>
      </c>
    </row>
    <row r="865" spans="2:5" x14ac:dyDescent="0.2">
      <c r="B865" s="178" t="str">
        <f>'[1]COMEDORES EMERGENTES'!$B$15</f>
        <v>NUESTRO FUTURO - LAS VIAS</v>
      </c>
      <c r="C865" s="179"/>
      <c r="D865" s="108" t="s">
        <v>240</v>
      </c>
      <c r="E865" s="109" t="str">
        <f>'[1]COMEDORES EMERGENTES'!$G$15</f>
        <v>Bº LAS VIAS OESTE LOTE 42</v>
      </c>
    </row>
    <row r="866" spans="2:5" x14ac:dyDescent="0.2">
      <c r="B866" s="178" t="str">
        <f>'[1]COMEDORES EMERGENTES'!$B$16</f>
        <v>SAN JOSE OBRERO</v>
      </c>
      <c r="C866" s="179"/>
      <c r="D866" s="108" t="s">
        <v>240</v>
      </c>
      <c r="E866" s="109" t="str">
        <f>'[1]COMEDORES EMERGENTES'!$G$16</f>
        <v>Bº SAN JOSE OBRERO. PJE. SANDOVAL S/Nº</v>
      </c>
    </row>
    <row r="867" spans="2:5" x14ac:dyDescent="0.2">
      <c r="B867" s="178" t="str">
        <f>'[1]COMEDORES EMERGENTES'!$B$17</f>
        <v>VIRGEN DE LUJAN</v>
      </c>
      <c r="C867" s="179"/>
      <c r="D867" s="108" t="s">
        <v>240</v>
      </c>
      <c r="E867" s="109" t="str">
        <f>'[1]COMEDORES EMERGENTES'!$G$17</f>
        <v>Bº OJO DE AGUA C/DR.TEODULFO BARRIONUEVO S/Nº</v>
      </c>
    </row>
    <row r="868" spans="2:5" x14ac:dyDescent="0.2">
      <c r="B868" s="178" t="str">
        <f>'[1]COMEDORES EMERGENTES'!$B$18</f>
        <v>RENACER</v>
      </c>
      <c r="C868" s="179"/>
      <c r="D868" s="108" t="s">
        <v>240</v>
      </c>
      <c r="E868" s="109" t="str">
        <f>'[1]COMEDORES EMERGENTES'!$G$18</f>
        <v>Bº VIRGEN MORENITA</v>
      </c>
    </row>
    <row r="869" spans="2:5" x14ac:dyDescent="0.2">
      <c r="B869" s="178" t="str">
        <f>'[1]COMEDORES EMERGENTES'!$B$19</f>
        <v>CENTRO VECINAL MI JARDIN</v>
      </c>
      <c r="C869" s="179"/>
      <c r="D869" s="108" t="s">
        <v>240</v>
      </c>
      <c r="E869" s="109" t="str">
        <f>'[1]COMEDORES EMERGENTES'!$G$19</f>
        <v>C/ LOS TULIPANES ENTRE FLOR DE CEREZO Y HOLANDA MZA.27 Bº MI JARDIN</v>
      </c>
    </row>
    <row r="870" spans="2:5" x14ac:dyDescent="0.2">
      <c r="B870" s="178" t="str">
        <f>'[1]COMEDORES EMERGENTES'!$B$20</f>
        <v>LA VIEJA ESQUINA</v>
      </c>
      <c r="C870" s="179"/>
      <c r="D870" s="108" t="s">
        <v>240</v>
      </c>
      <c r="E870" s="109" t="str">
        <f>'[1]COMEDORES EMERGENTES'!$G$20</f>
        <v>B° CRISTO REY PJE CAPATAZ VILLAFAÑEZ Y ARMANDO CORREA</v>
      </c>
    </row>
    <row r="871" spans="2:5" x14ac:dyDescent="0.2">
      <c r="B871" s="178" t="str">
        <f>'[1]COMEDORES EMERGENTES'!$B$21</f>
        <v>GAUCHITO GIL</v>
      </c>
      <c r="C871" s="179"/>
      <c r="D871" s="108" t="s">
        <v>240</v>
      </c>
      <c r="E871" s="109" t="str">
        <f>'[1]COMEDORES EMERGENTES'!$G$21</f>
        <v>B° 26 VIVIENDAS CASA N° 3</v>
      </c>
    </row>
    <row r="872" spans="2:5" ht="13.5" thickBot="1" x14ac:dyDescent="0.25">
      <c r="B872" s="195" t="str">
        <f>'[1]COMEDORES EMERGENTES'!$B$22</f>
        <v>LOS TOLDOS</v>
      </c>
      <c r="C872" s="196"/>
      <c r="D872" s="115" t="s">
        <v>240</v>
      </c>
      <c r="E872" s="116" t="str">
        <f>'[1]COMEDORES EMERGENTES'!$G$22</f>
        <v>LOTEO PARQUE SUR CALLE S/NOMBRE S/N°</v>
      </c>
    </row>
    <row r="873" spans="2:5" x14ac:dyDescent="0.2">
      <c r="B873" s="33" t="s">
        <v>18</v>
      </c>
      <c r="C873" s="31"/>
      <c r="D873" s="72"/>
      <c r="E873" s="32"/>
    </row>
    <row r="874" spans="2:5" x14ac:dyDescent="0.2">
      <c r="B874" s="34"/>
      <c r="C874" s="194" t="s">
        <v>62</v>
      </c>
      <c r="D874" s="194"/>
      <c r="E874" s="194"/>
    </row>
    <row r="875" spans="2:5" x14ac:dyDescent="0.2">
      <c r="B875" s="33" t="s">
        <v>19</v>
      </c>
      <c r="C875" s="35"/>
      <c r="D875" s="35"/>
      <c r="E875" s="36"/>
    </row>
    <row r="876" spans="2:5" x14ac:dyDescent="0.2">
      <c r="B876" s="34"/>
      <c r="C876" s="194" t="s">
        <v>139</v>
      </c>
      <c r="D876" s="194"/>
      <c r="E876" s="194"/>
    </row>
    <row r="877" spans="2:5" x14ac:dyDescent="0.2">
      <c r="B877" s="33" t="s">
        <v>20</v>
      </c>
      <c r="C877" s="31"/>
      <c r="D877" s="72"/>
      <c r="E877" s="32"/>
    </row>
    <row r="878" spans="2:5" x14ac:dyDescent="0.2">
      <c r="B878" s="33"/>
      <c r="C878" s="193" t="s">
        <v>63</v>
      </c>
      <c r="D878" s="193"/>
      <c r="E878" s="193"/>
    </row>
    <row r="879" spans="2:5" ht="13.5" thickBot="1" x14ac:dyDescent="0.25">
      <c r="B879" s="37"/>
      <c r="C879" s="38"/>
      <c r="D879" s="73"/>
      <c r="E879" s="39"/>
    </row>
    <row r="880" spans="2:5" ht="13.5" thickBot="1" x14ac:dyDescent="0.25"/>
    <row r="881" spans="2:5" x14ac:dyDescent="0.2">
      <c r="B881" s="27" t="s">
        <v>161</v>
      </c>
      <c r="C881" s="28"/>
      <c r="D881" s="71"/>
      <c r="E881" s="29"/>
    </row>
    <row r="882" spans="2:5" x14ac:dyDescent="0.2">
      <c r="B882" s="30"/>
      <c r="C882" s="31"/>
      <c r="D882" s="72"/>
      <c r="E882" s="32"/>
    </row>
    <row r="883" spans="2:5" x14ac:dyDescent="0.2">
      <c r="B883" s="33" t="s">
        <v>16</v>
      </c>
      <c r="C883" s="31"/>
      <c r="D883" s="72"/>
      <c r="E883" s="32"/>
    </row>
    <row r="884" spans="2:5" ht="25.5" customHeight="1" x14ac:dyDescent="0.2">
      <c r="B884" s="33"/>
      <c r="C884" s="184"/>
      <c r="D884" s="184"/>
      <c r="E884" s="185"/>
    </row>
    <row r="885" spans="2:5" ht="13.5" thickBot="1" x14ac:dyDescent="0.25">
      <c r="B885" s="33" t="s">
        <v>17</v>
      </c>
      <c r="C885" s="31"/>
      <c r="D885" s="72"/>
      <c r="E885" s="32"/>
    </row>
    <row r="886" spans="2:5" ht="13.5" thickBot="1" x14ac:dyDescent="0.25">
      <c r="B886" s="180" t="s">
        <v>136</v>
      </c>
      <c r="C886" s="181"/>
      <c r="D886" s="181"/>
      <c r="E886" s="182"/>
    </row>
    <row r="887" spans="2:5" ht="13.5" thickBot="1" x14ac:dyDescent="0.25">
      <c r="B887" s="180" t="s">
        <v>137</v>
      </c>
      <c r="C887" s="182"/>
      <c r="D887" s="69" t="s">
        <v>11</v>
      </c>
      <c r="E887" s="69" t="s">
        <v>138</v>
      </c>
    </row>
    <row r="888" spans="2:5" x14ac:dyDescent="0.2">
      <c r="B888" s="187" t="str">
        <f>'[1]COMEDORES EMERGENTES'!$B$3</f>
        <v>UNA SONRISA AV. LOS COBACHO</v>
      </c>
      <c r="C888" s="188"/>
      <c r="D888" s="113">
        <v>2</v>
      </c>
      <c r="E888" s="114" t="str">
        <f>'[1]COMEDORES EMERGENTES'!$G$3</f>
        <v>Bº SAN CARLOS OESTE AV. Bonifacio cobacho 670</v>
      </c>
    </row>
    <row r="889" spans="2:5" x14ac:dyDescent="0.2">
      <c r="B889" s="178" t="str">
        <f>'[1]COMEDORES EMERGENTES'!$B$4</f>
        <v>C.I.F Nº1 - RIVERA DEL VALLE Y FLORIDA</v>
      </c>
      <c r="C889" s="179"/>
      <c r="D889" s="108">
        <v>2</v>
      </c>
      <c r="E889" s="109" t="str">
        <f>'[1]COMEDORES EMERGENTES'!$G$4</f>
        <v>AV. RIVIERA DEL VALLE ENTRE FLORIDA Y SANTA FE</v>
      </c>
    </row>
    <row r="890" spans="2:5" x14ac:dyDescent="0.2">
      <c r="B890" s="178" t="str">
        <f>'[1]COMEDORES EMERGENTES'!$B$5</f>
        <v>C.I.F - RIVERA DEL VALLE - DILORENZO</v>
      </c>
      <c r="C890" s="179"/>
      <c r="D890" s="108">
        <v>3</v>
      </c>
      <c r="E890" s="109" t="str">
        <f>'[1]COMEDORES EMERGENTES'!$G$5</f>
        <v>Bº RIVERA DEL VALLE ENTRE VILLA EUMELIA Y MONTE CRISTO</v>
      </c>
    </row>
    <row r="891" spans="2:5" x14ac:dyDescent="0.2">
      <c r="B891" s="178" t="str">
        <f>'[1]COMEDORES EMERGENTES'!$B$6</f>
        <v>ESFUERZO PROPIO- Bº ALTOS DE CHOYA</v>
      </c>
      <c r="C891" s="179"/>
      <c r="D891" s="108">
        <v>2</v>
      </c>
      <c r="E891" s="109" t="str">
        <f>'[1]COMEDORES EMERGENTES'!$G$6</f>
        <v>Bº MUNICIPAL 35VV. NORTE C/14</v>
      </c>
    </row>
    <row r="892" spans="2:5" x14ac:dyDescent="0.2">
      <c r="B892" s="178" t="str">
        <f>'[1]COMEDORES EMERGENTES'!$B$7</f>
        <v>ANGELITOS - LOTEO SUSSEX</v>
      </c>
      <c r="C892" s="179"/>
      <c r="D892" s="108">
        <v>1</v>
      </c>
      <c r="E892" s="109" t="str">
        <f>'[1]COMEDORES EMERGENTES'!$G$7</f>
        <v>Bº LOTEO SUSEX MZA.Nº 4 LOTE Nº3</v>
      </c>
    </row>
    <row r="893" spans="2:5" x14ac:dyDescent="0.2">
      <c r="B893" s="178" t="str">
        <f>'[1]COMEDORES EMERGENTES'!$B$8</f>
        <v>CLUB DEPORTIVO CHACARITA</v>
      </c>
      <c r="C893" s="179"/>
      <c r="D893" s="108">
        <v>1</v>
      </c>
      <c r="E893" s="109" t="str">
        <f>'[1]COMEDORES EMERGENTES'!$G$8</f>
        <v>CALLE DR.DERMIDIO GALINDEZ C/2660</v>
      </c>
    </row>
    <row r="894" spans="2:5" x14ac:dyDescent="0.2">
      <c r="B894" s="178" t="str">
        <f>'[1]COMEDORES EMERGENTES'!$B$9</f>
        <v>LA MORO</v>
      </c>
      <c r="C894" s="179"/>
      <c r="D894" s="108">
        <v>1</v>
      </c>
      <c r="E894" s="109" t="str">
        <f>'[1]COMEDORES EMERGENTES'!$G$9</f>
        <v>MAIPU NORTE 1º ETAPA MZA "H" Bº MI JARDIN</v>
      </c>
    </row>
    <row r="895" spans="2:5" x14ac:dyDescent="0.2">
      <c r="B895" s="178" t="str">
        <f>'[1]COMEDORES EMERGENTES'!$B$10</f>
        <v>PAPA FRANCISCO</v>
      </c>
      <c r="C895" s="179"/>
      <c r="D895" s="108">
        <v>2</v>
      </c>
      <c r="E895" s="109" t="str">
        <f>'[1]COMEDORES EMERGENTES'!$G$10</f>
        <v>ENTRE AV.TEREBINTO Y AV.SAN JUAN LOTE "2" MZA. "B"</v>
      </c>
    </row>
    <row r="896" spans="2:5" x14ac:dyDescent="0.2">
      <c r="B896" s="178" t="str">
        <f>'[1]COMEDORES EMERGENTES'!$B$11</f>
        <v>E.P.C - 100 V.V NORTE</v>
      </c>
      <c r="C896" s="179"/>
      <c r="D896" s="108">
        <v>3</v>
      </c>
      <c r="E896" s="109" t="str">
        <f>'[1]COMEDORES EMERGENTES'!$G$11</f>
        <v>Bº VV NORTE C/48 ENTRE ESPAÑA Y FRANCIA</v>
      </c>
    </row>
    <row r="897" spans="2:5" x14ac:dyDescent="0.2">
      <c r="B897" s="178" t="str">
        <f>'[1]COMEDORES EMERGENTES'!$B$12</f>
        <v>HOGAR DE CRISTO - PADRE RAUL CONTRERAS</v>
      </c>
      <c r="C897" s="179"/>
      <c r="D897" s="108">
        <v>3</v>
      </c>
      <c r="E897" s="109" t="str">
        <f>'[1]COMEDORES EMERGENTES'!$G$12</f>
        <v>Bº SANTA MARTA MZA. "S" LOTE "M" C/39</v>
      </c>
    </row>
    <row r="898" spans="2:5" x14ac:dyDescent="0.2">
      <c r="B898" s="178" t="str">
        <f>'[1]COMEDORES EMERGENTES'!$B$13</f>
        <v>LA LUCIERNAGA</v>
      </c>
      <c r="C898" s="179"/>
      <c r="D898" s="108">
        <v>2</v>
      </c>
      <c r="E898" s="109" t="str">
        <f>'[1]COMEDORES EMERGENTES'!$G$13</f>
        <v>Bº 20 V.V NORTE C/3</v>
      </c>
    </row>
    <row r="899" spans="2:5" x14ac:dyDescent="0.2">
      <c r="B899" s="178" t="str">
        <f>'[1]COMEDORES EMERGENTES'!$B$14</f>
        <v>VALLE VIEJO - SUMALAO</v>
      </c>
      <c r="C899" s="179"/>
      <c r="D899" s="108">
        <v>4</v>
      </c>
      <c r="E899" s="109" t="str">
        <f>'[1]COMEDORES EMERGENTES'!$G$14</f>
        <v>PADRE SEGURA S/N</v>
      </c>
    </row>
    <row r="900" spans="2:5" x14ac:dyDescent="0.2">
      <c r="B900" s="178" t="str">
        <f>'[1]COMEDORES EMERGENTES'!$B$15</f>
        <v>NUESTRO FUTURO - LAS VIAS</v>
      </c>
      <c r="C900" s="179"/>
      <c r="D900" s="108">
        <v>2</v>
      </c>
      <c r="E900" s="109" t="str">
        <f>'[1]COMEDORES EMERGENTES'!$G$15</f>
        <v>Bº LAS VIAS OESTE LOTE 42</v>
      </c>
    </row>
    <row r="901" spans="2:5" x14ac:dyDescent="0.2">
      <c r="B901" s="178" t="str">
        <f>'[1]COMEDORES EMERGENTES'!$B$16</f>
        <v>SAN JOSE OBRERO</v>
      </c>
      <c r="C901" s="179"/>
      <c r="D901" s="108">
        <v>1</v>
      </c>
      <c r="E901" s="109" t="str">
        <f>'[1]COMEDORES EMERGENTES'!$G$16</f>
        <v>Bº SAN JOSE OBRERO. PJE. SANDOVAL S/Nº</v>
      </c>
    </row>
    <row r="902" spans="2:5" x14ac:dyDescent="0.2">
      <c r="B902" s="178" t="str">
        <f>'[1]COMEDORES EMERGENTES'!$B$17</f>
        <v>VIRGEN DE LUJAN</v>
      </c>
      <c r="C902" s="179"/>
      <c r="D902" s="108">
        <v>2</v>
      </c>
      <c r="E902" s="109" t="str">
        <f>'[1]COMEDORES EMERGENTES'!$G$17</f>
        <v>Bº OJO DE AGUA C/DR.TEODULFO BARRIONUEVO S/Nº</v>
      </c>
    </row>
    <row r="903" spans="2:5" x14ac:dyDescent="0.2">
      <c r="B903" s="178" t="str">
        <f>'[1]COMEDORES EMERGENTES'!$B$18</f>
        <v>RENACER</v>
      </c>
      <c r="C903" s="179"/>
      <c r="D903" s="108">
        <v>3</v>
      </c>
      <c r="E903" s="109" t="str">
        <f>'[1]COMEDORES EMERGENTES'!$G$18</f>
        <v>Bº VIRGEN MORENITA</v>
      </c>
    </row>
    <row r="904" spans="2:5" x14ac:dyDescent="0.2">
      <c r="B904" s="178" t="str">
        <f>'[1]COMEDORES EMERGENTES'!$B$19</f>
        <v>CENTRO VECINAL MI JARDIN</v>
      </c>
      <c r="C904" s="179"/>
      <c r="D904" s="108">
        <v>2</v>
      </c>
      <c r="E904" s="109" t="str">
        <f>'[1]COMEDORES EMERGENTES'!$G$19</f>
        <v>C/ LOS TULIPANES ENTRE FLOR DE CEREZO Y HOLANDA MZA.27 Bº MI JARDIN</v>
      </c>
    </row>
    <row r="905" spans="2:5" x14ac:dyDescent="0.2">
      <c r="B905" s="178" t="str">
        <f>'[1]COMEDORES EMERGENTES'!$B$20</f>
        <v>LA VIEJA ESQUINA</v>
      </c>
      <c r="C905" s="179"/>
      <c r="D905" s="108">
        <v>2</v>
      </c>
      <c r="E905" s="109" t="str">
        <f>'[1]COMEDORES EMERGENTES'!$G$20</f>
        <v>B° CRISTO REY PJE CAPATAZ VILLAFAÑEZ Y ARMANDO CORREA</v>
      </c>
    </row>
    <row r="906" spans="2:5" x14ac:dyDescent="0.2">
      <c r="B906" s="178" t="str">
        <f>'[1]COMEDORES EMERGENTES'!$B$21</f>
        <v>GAUCHITO GIL</v>
      </c>
      <c r="C906" s="179"/>
      <c r="D906" s="108">
        <v>2</v>
      </c>
      <c r="E906" s="109" t="str">
        <f>'[1]COMEDORES EMERGENTES'!$G$21</f>
        <v>B° 26 VIVIENDAS CASA N° 3</v>
      </c>
    </row>
    <row r="907" spans="2:5" ht="13.5" thickBot="1" x14ac:dyDescent="0.25">
      <c r="B907" s="195" t="str">
        <f>'[1]COMEDORES EMERGENTES'!$B$22</f>
        <v>LOS TOLDOS</v>
      </c>
      <c r="C907" s="196"/>
      <c r="D907" s="115">
        <v>1</v>
      </c>
      <c r="E907" s="116" t="str">
        <f>'[1]COMEDORES EMERGENTES'!$G$22</f>
        <v>LOTEO PARQUE SUR CALLE S/NOMBRE S/N°</v>
      </c>
    </row>
    <row r="908" spans="2:5" x14ac:dyDescent="0.2">
      <c r="B908" s="33" t="s">
        <v>18</v>
      </c>
      <c r="C908" s="31"/>
      <c r="D908" s="72"/>
      <c r="E908" s="32"/>
    </row>
    <row r="909" spans="2:5" x14ac:dyDescent="0.2">
      <c r="B909" s="34"/>
      <c r="C909" s="194" t="s">
        <v>62</v>
      </c>
      <c r="D909" s="194"/>
      <c r="E909" s="194"/>
    </row>
    <row r="910" spans="2:5" x14ac:dyDescent="0.2">
      <c r="B910" s="33" t="s">
        <v>19</v>
      </c>
      <c r="C910" s="35"/>
      <c r="D910" s="35"/>
      <c r="E910" s="36"/>
    </row>
    <row r="911" spans="2:5" x14ac:dyDescent="0.2">
      <c r="B911" s="34"/>
      <c r="C911" s="194" t="s">
        <v>139</v>
      </c>
      <c r="D911" s="194"/>
      <c r="E911" s="194"/>
    </row>
    <row r="912" spans="2:5" x14ac:dyDescent="0.2">
      <c r="B912" s="33" t="s">
        <v>20</v>
      </c>
      <c r="C912" s="31"/>
      <c r="D912" s="72"/>
      <c r="E912" s="32"/>
    </row>
    <row r="913" spans="2:5" x14ac:dyDescent="0.2">
      <c r="B913" s="33"/>
      <c r="C913" s="193" t="s">
        <v>63</v>
      </c>
      <c r="D913" s="193"/>
      <c r="E913" s="193"/>
    </row>
    <row r="914" spans="2:5" ht="13.5" thickBot="1" x14ac:dyDescent="0.25">
      <c r="B914" s="37"/>
      <c r="C914" s="38"/>
      <c r="D914" s="73"/>
      <c r="E914" s="39"/>
    </row>
    <row r="915" spans="2:5" ht="13.5" thickBot="1" x14ac:dyDescent="0.25"/>
    <row r="916" spans="2:5" x14ac:dyDescent="0.2">
      <c r="B916" s="27" t="s">
        <v>162</v>
      </c>
      <c r="C916" s="28"/>
      <c r="D916" s="71"/>
      <c r="E916" s="29"/>
    </row>
    <row r="917" spans="2:5" x14ac:dyDescent="0.2">
      <c r="B917" s="30"/>
      <c r="C917" s="31"/>
      <c r="D917" s="72"/>
      <c r="E917" s="32"/>
    </row>
    <row r="918" spans="2:5" x14ac:dyDescent="0.2">
      <c r="B918" s="33" t="s">
        <v>16</v>
      </c>
      <c r="C918" s="31"/>
      <c r="D918" s="72"/>
      <c r="E918" s="32"/>
    </row>
    <row r="919" spans="2:5" ht="25.5" customHeight="1" x14ac:dyDescent="0.2">
      <c r="B919" s="33"/>
      <c r="C919" s="194"/>
      <c r="D919" s="194"/>
      <c r="E919" s="194"/>
    </row>
    <row r="920" spans="2:5" ht="13.5" thickBot="1" x14ac:dyDescent="0.25">
      <c r="B920" s="33" t="s">
        <v>17</v>
      </c>
      <c r="C920" s="31"/>
      <c r="D920" s="72"/>
      <c r="E920" s="32"/>
    </row>
    <row r="921" spans="2:5" ht="13.5" thickBot="1" x14ac:dyDescent="0.25">
      <c r="B921" s="180" t="s">
        <v>136</v>
      </c>
      <c r="C921" s="181"/>
      <c r="D921" s="181"/>
      <c r="E921" s="182"/>
    </row>
    <row r="922" spans="2:5" ht="13.5" thickBot="1" x14ac:dyDescent="0.25">
      <c r="B922" s="180" t="s">
        <v>137</v>
      </c>
      <c r="C922" s="182"/>
      <c r="D922" s="69" t="s">
        <v>11</v>
      </c>
      <c r="E922" s="69" t="s">
        <v>138</v>
      </c>
    </row>
    <row r="923" spans="2:5" x14ac:dyDescent="0.2">
      <c r="B923" s="187" t="str">
        <f>'[1]COMEDORES EMERGENTES'!$B$3</f>
        <v>UNA SONRISA AV. LOS COBACHO</v>
      </c>
      <c r="C923" s="188"/>
      <c r="D923" s="113">
        <v>1</v>
      </c>
      <c r="E923" s="114" t="str">
        <f>'[1]COMEDORES EMERGENTES'!$G$3</f>
        <v>Bº SAN CARLOS OESTE AV. Bonifacio cobacho 670</v>
      </c>
    </row>
    <row r="924" spans="2:5" x14ac:dyDescent="0.2">
      <c r="B924" s="178" t="str">
        <f>'[1]COMEDORES EMERGENTES'!$B$4</f>
        <v>C.I.F Nº1 - RIVERA DEL VALLE Y FLORIDA</v>
      </c>
      <c r="C924" s="179"/>
      <c r="D924" s="108">
        <v>1</v>
      </c>
      <c r="E924" s="109" t="str">
        <f>'[1]COMEDORES EMERGENTES'!$G$4</f>
        <v>AV. RIVIERA DEL VALLE ENTRE FLORIDA Y SANTA FE</v>
      </c>
    </row>
    <row r="925" spans="2:5" x14ac:dyDescent="0.2">
      <c r="B925" s="178" t="str">
        <f>'[1]COMEDORES EMERGENTES'!$B$5</f>
        <v>C.I.F - RIVERA DEL VALLE - DILORENZO</v>
      </c>
      <c r="C925" s="179"/>
      <c r="D925" s="108">
        <v>1</v>
      </c>
      <c r="E925" s="109" t="str">
        <f>'[1]COMEDORES EMERGENTES'!$G$5</f>
        <v>Bº RIVERA DEL VALLE ENTRE VILLA EUMELIA Y MONTE CRISTO</v>
      </c>
    </row>
    <row r="926" spans="2:5" x14ac:dyDescent="0.2">
      <c r="B926" s="178" t="str">
        <f>'[1]COMEDORES EMERGENTES'!$B$6</f>
        <v>ESFUERZO PROPIO- Bº ALTOS DE CHOYA</v>
      </c>
      <c r="C926" s="179"/>
      <c r="D926" s="108">
        <v>1</v>
      </c>
      <c r="E926" s="109" t="str">
        <f>'[1]COMEDORES EMERGENTES'!$G$6</f>
        <v>Bº MUNICIPAL 35VV. NORTE C/14</v>
      </c>
    </row>
    <row r="927" spans="2:5" x14ac:dyDescent="0.2">
      <c r="B927" s="178" t="str">
        <f>'[1]COMEDORES EMERGENTES'!$B$7</f>
        <v>ANGELITOS - LOTEO SUSSEX</v>
      </c>
      <c r="C927" s="179"/>
      <c r="D927" s="108">
        <v>1</v>
      </c>
      <c r="E927" s="109" t="str">
        <f>'[1]COMEDORES EMERGENTES'!$G$7</f>
        <v>Bº LOTEO SUSEX MZA.Nº 4 LOTE Nº3</v>
      </c>
    </row>
    <row r="928" spans="2:5" x14ac:dyDescent="0.2">
      <c r="B928" s="178" t="str">
        <f>'[1]COMEDORES EMERGENTES'!$B$8</f>
        <v>CLUB DEPORTIVO CHACARITA</v>
      </c>
      <c r="C928" s="179"/>
      <c r="D928" s="108">
        <v>1</v>
      </c>
      <c r="E928" s="109" t="str">
        <f>'[1]COMEDORES EMERGENTES'!$G$8</f>
        <v>CALLE DR.DERMIDIO GALINDEZ C/2660</v>
      </c>
    </row>
    <row r="929" spans="2:5" x14ac:dyDescent="0.2">
      <c r="B929" s="178" t="str">
        <f>'[1]COMEDORES EMERGENTES'!$B$9</f>
        <v>LA MORO</v>
      </c>
      <c r="C929" s="179"/>
      <c r="D929" s="108">
        <v>1</v>
      </c>
      <c r="E929" s="109" t="str">
        <f>'[1]COMEDORES EMERGENTES'!$G$9</f>
        <v>MAIPU NORTE 1º ETAPA MZA "H" Bº MI JARDIN</v>
      </c>
    </row>
    <row r="930" spans="2:5" x14ac:dyDescent="0.2">
      <c r="B930" s="178" t="str">
        <f>'[1]COMEDORES EMERGENTES'!$B$10</f>
        <v>PAPA FRANCISCO</v>
      </c>
      <c r="C930" s="179"/>
      <c r="D930" s="108">
        <v>1</v>
      </c>
      <c r="E930" s="109" t="str">
        <f>'[1]COMEDORES EMERGENTES'!$G$10</f>
        <v>ENTRE AV.TEREBINTO Y AV.SAN JUAN LOTE "2" MZA. "B"</v>
      </c>
    </row>
    <row r="931" spans="2:5" x14ac:dyDescent="0.2">
      <c r="B931" s="178" t="str">
        <f>'[1]COMEDORES EMERGENTES'!$B$11</f>
        <v>E.P.C - 100 V.V NORTE</v>
      </c>
      <c r="C931" s="179"/>
      <c r="D931" s="108">
        <v>2</v>
      </c>
      <c r="E931" s="109" t="str">
        <f>'[1]COMEDORES EMERGENTES'!$G$11</f>
        <v>Bº VV NORTE C/48 ENTRE ESPAÑA Y FRANCIA</v>
      </c>
    </row>
    <row r="932" spans="2:5" x14ac:dyDescent="0.2">
      <c r="B932" s="178" t="str">
        <f>'[1]COMEDORES EMERGENTES'!$B$12</f>
        <v>HOGAR DE CRISTO - PADRE RAUL CONTRERAS</v>
      </c>
      <c r="C932" s="179"/>
      <c r="D932" s="108">
        <v>2</v>
      </c>
      <c r="E932" s="109" t="str">
        <f>'[1]COMEDORES EMERGENTES'!$G$12</f>
        <v>Bº SANTA MARTA MZA. "S" LOTE "M" C/39</v>
      </c>
    </row>
    <row r="933" spans="2:5" x14ac:dyDescent="0.2">
      <c r="B933" s="178" t="str">
        <f>'[1]COMEDORES EMERGENTES'!$B$13</f>
        <v>LA LUCIERNAGA</v>
      </c>
      <c r="C933" s="179"/>
      <c r="D933" s="108">
        <v>1</v>
      </c>
      <c r="E933" s="109" t="str">
        <f>'[1]COMEDORES EMERGENTES'!$G$13</f>
        <v>Bº 20 V.V NORTE C/3</v>
      </c>
    </row>
    <row r="934" spans="2:5" x14ac:dyDescent="0.2">
      <c r="B934" s="178" t="str">
        <f>'[1]COMEDORES EMERGENTES'!$B$14</f>
        <v>VALLE VIEJO - SUMALAO</v>
      </c>
      <c r="C934" s="179"/>
      <c r="D934" s="108">
        <v>2</v>
      </c>
      <c r="E934" s="109" t="str">
        <f>'[1]COMEDORES EMERGENTES'!$G$14</f>
        <v>PADRE SEGURA S/N</v>
      </c>
    </row>
    <row r="935" spans="2:5" x14ac:dyDescent="0.2">
      <c r="B935" s="178" t="str">
        <f>'[1]COMEDORES EMERGENTES'!$B$15</f>
        <v>NUESTRO FUTURO - LAS VIAS</v>
      </c>
      <c r="C935" s="179"/>
      <c r="D935" s="108">
        <v>1</v>
      </c>
      <c r="E935" s="109" t="str">
        <f>'[1]COMEDORES EMERGENTES'!$G$15</f>
        <v>Bº LAS VIAS OESTE LOTE 42</v>
      </c>
    </row>
    <row r="936" spans="2:5" x14ac:dyDescent="0.2">
      <c r="B936" s="178" t="str">
        <f>'[1]COMEDORES EMERGENTES'!$B$16</f>
        <v>SAN JOSE OBRERO</v>
      </c>
      <c r="C936" s="179"/>
      <c r="D936" s="108">
        <v>1</v>
      </c>
      <c r="E936" s="109" t="str">
        <f>'[1]COMEDORES EMERGENTES'!$G$16</f>
        <v>Bº SAN JOSE OBRERO. PJE. SANDOVAL S/Nº</v>
      </c>
    </row>
    <row r="937" spans="2:5" x14ac:dyDescent="0.2">
      <c r="B937" s="178" t="str">
        <f>'[1]COMEDORES EMERGENTES'!$B$17</f>
        <v>VIRGEN DE LUJAN</v>
      </c>
      <c r="C937" s="179"/>
      <c r="D937" s="108">
        <v>1</v>
      </c>
      <c r="E937" s="109" t="str">
        <f>'[1]COMEDORES EMERGENTES'!$G$17</f>
        <v>Bº OJO DE AGUA C/DR.TEODULFO BARRIONUEVO S/Nº</v>
      </c>
    </row>
    <row r="938" spans="2:5" x14ac:dyDescent="0.2">
      <c r="B938" s="178" t="str">
        <f>'[1]COMEDORES EMERGENTES'!$B$18</f>
        <v>RENACER</v>
      </c>
      <c r="C938" s="179"/>
      <c r="D938" s="108">
        <v>1</v>
      </c>
      <c r="E938" s="109" t="str">
        <f>'[1]COMEDORES EMERGENTES'!$G$18</f>
        <v>Bº VIRGEN MORENITA</v>
      </c>
    </row>
    <row r="939" spans="2:5" x14ac:dyDescent="0.2">
      <c r="B939" s="178" t="str">
        <f>'[1]COMEDORES EMERGENTES'!$B$19</f>
        <v>CENTRO VECINAL MI JARDIN</v>
      </c>
      <c r="C939" s="179"/>
      <c r="D939" s="108">
        <v>1</v>
      </c>
      <c r="E939" s="109" t="str">
        <f>'[1]COMEDORES EMERGENTES'!$G$19</f>
        <v>C/ LOS TULIPANES ENTRE FLOR DE CEREZO Y HOLANDA MZA.27 Bº MI JARDIN</v>
      </c>
    </row>
    <row r="940" spans="2:5" x14ac:dyDescent="0.2">
      <c r="B940" s="178" t="str">
        <f>'[1]COMEDORES EMERGENTES'!$B$20</f>
        <v>LA VIEJA ESQUINA</v>
      </c>
      <c r="C940" s="179"/>
      <c r="D940" s="108">
        <v>1</v>
      </c>
      <c r="E940" s="109" t="str">
        <f>'[1]COMEDORES EMERGENTES'!$G$20</f>
        <v>B° CRISTO REY PJE CAPATAZ VILLAFAÑEZ Y ARMANDO CORREA</v>
      </c>
    </row>
    <row r="941" spans="2:5" x14ac:dyDescent="0.2">
      <c r="B941" s="178" t="str">
        <f>'[1]COMEDORES EMERGENTES'!$B$21</f>
        <v>GAUCHITO GIL</v>
      </c>
      <c r="C941" s="179"/>
      <c r="D941" s="108">
        <v>1</v>
      </c>
      <c r="E941" s="109" t="str">
        <f>'[1]COMEDORES EMERGENTES'!$G$21</f>
        <v>B° 26 VIVIENDAS CASA N° 3</v>
      </c>
    </row>
    <row r="942" spans="2:5" ht="13.5" thickBot="1" x14ac:dyDescent="0.25">
      <c r="B942" s="195" t="str">
        <f>'[1]COMEDORES EMERGENTES'!$B$22</f>
        <v>LOS TOLDOS</v>
      </c>
      <c r="C942" s="196"/>
      <c r="D942" s="115">
        <v>1</v>
      </c>
      <c r="E942" s="116" t="str">
        <f>'[1]COMEDORES EMERGENTES'!$G$22</f>
        <v>LOTEO PARQUE SUR CALLE S/NOMBRE S/N°</v>
      </c>
    </row>
    <row r="943" spans="2:5" x14ac:dyDescent="0.2">
      <c r="B943" s="33" t="s">
        <v>18</v>
      </c>
      <c r="C943" s="31"/>
      <c r="D943" s="72"/>
      <c r="E943" s="32"/>
    </row>
    <row r="944" spans="2:5" x14ac:dyDescent="0.2">
      <c r="B944" s="34"/>
      <c r="C944" s="194" t="s">
        <v>62</v>
      </c>
      <c r="D944" s="194"/>
      <c r="E944" s="194"/>
    </row>
    <row r="945" spans="2:5" x14ac:dyDescent="0.2">
      <c r="B945" s="33" t="s">
        <v>19</v>
      </c>
      <c r="C945" s="35"/>
      <c r="D945" s="35"/>
      <c r="E945" s="36"/>
    </row>
    <row r="946" spans="2:5" x14ac:dyDescent="0.2">
      <c r="B946" s="34"/>
      <c r="C946" s="194" t="s">
        <v>139</v>
      </c>
      <c r="D946" s="194"/>
      <c r="E946" s="194"/>
    </row>
    <row r="947" spans="2:5" x14ac:dyDescent="0.2">
      <c r="B947" s="33" t="s">
        <v>20</v>
      </c>
      <c r="C947" s="31"/>
      <c r="D947" s="72"/>
      <c r="E947" s="32"/>
    </row>
    <row r="948" spans="2:5" x14ac:dyDescent="0.2">
      <c r="B948" s="33"/>
      <c r="C948" s="193" t="s">
        <v>63</v>
      </c>
      <c r="D948" s="193"/>
      <c r="E948" s="193"/>
    </row>
    <row r="949" spans="2:5" ht="13.5" thickBot="1" x14ac:dyDescent="0.25">
      <c r="B949" s="37"/>
      <c r="C949" s="38"/>
      <c r="D949" s="73"/>
      <c r="E949" s="39"/>
    </row>
    <row r="950" spans="2:5" ht="13.5" thickBot="1" x14ac:dyDescent="0.25"/>
    <row r="951" spans="2:5" x14ac:dyDescent="0.2">
      <c r="B951" s="27" t="s">
        <v>163</v>
      </c>
      <c r="C951" s="28"/>
      <c r="D951" s="71"/>
      <c r="E951" s="29"/>
    </row>
    <row r="952" spans="2:5" x14ac:dyDescent="0.2">
      <c r="B952" s="30"/>
      <c r="C952" s="31"/>
      <c r="D952" s="72"/>
      <c r="E952" s="32"/>
    </row>
    <row r="953" spans="2:5" x14ac:dyDescent="0.2">
      <c r="B953" s="33" t="s">
        <v>16</v>
      </c>
      <c r="C953" s="31"/>
      <c r="D953" s="72"/>
      <c r="E953" s="32"/>
    </row>
    <row r="954" spans="2:5" ht="25.5" customHeight="1" x14ac:dyDescent="0.2">
      <c r="B954" s="33"/>
      <c r="C954" s="194"/>
      <c r="D954" s="194"/>
      <c r="E954" s="194"/>
    </row>
    <row r="955" spans="2:5" ht="13.5" thickBot="1" x14ac:dyDescent="0.25">
      <c r="B955" s="33" t="s">
        <v>17</v>
      </c>
      <c r="C955" s="31"/>
      <c r="D955" s="72"/>
      <c r="E955" s="32"/>
    </row>
    <row r="956" spans="2:5" ht="13.5" thickBot="1" x14ac:dyDescent="0.25">
      <c r="B956" s="180" t="s">
        <v>241</v>
      </c>
      <c r="C956" s="181"/>
      <c r="D956" s="181"/>
      <c r="E956" s="182"/>
    </row>
    <row r="957" spans="2:5" ht="13.5" thickBot="1" x14ac:dyDescent="0.25">
      <c r="B957" s="180" t="s">
        <v>137</v>
      </c>
      <c r="C957" s="182"/>
      <c r="D957" s="69" t="s">
        <v>11</v>
      </c>
      <c r="E957" s="69" t="s">
        <v>138</v>
      </c>
    </row>
    <row r="958" spans="2:5" x14ac:dyDescent="0.2">
      <c r="B958" s="187" t="str">
        <f>'[1]COMEDORES EMERGENTES'!$B$3</f>
        <v>UNA SONRISA AV. LOS COBACHO</v>
      </c>
      <c r="C958" s="188"/>
      <c r="D958" s="113">
        <v>160</v>
      </c>
      <c r="E958" s="114" t="str">
        <f>'[1]COMEDORES EMERGENTES'!$G$3</f>
        <v>Bº SAN CARLOS OESTE AV. Bonifacio cobacho 670</v>
      </c>
    </row>
    <row r="959" spans="2:5" x14ac:dyDescent="0.2">
      <c r="B959" s="178" t="str">
        <f>'[1]COMEDORES EMERGENTES'!$B$4</f>
        <v>C.I.F Nº1 - RIVERA DEL VALLE Y FLORIDA</v>
      </c>
      <c r="C959" s="179"/>
      <c r="D959" s="108">
        <v>230</v>
      </c>
      <c r="E959" s="109" t="str">
        <f>'[1]COMEDORES EMERGENTES'!$G$4</f>
        <v>AV. RIVIERA DEL VALLE ENTRE FLORIDA Y SANTA FE</v>
      </c>
    </row>
    <row r="960" spans="2:5" x14ac:dyDescent="0.2">
      <c r="B960" s="178" t="str">
        <f>'[1]COMEDORES EMERGENTES'!$B$5</f>
        <v>C.I.F - RIVERA DEL VALLE - DILORENZO</v>
      </c>
      <c r="C960" s="179"/>
      <c r="D960" s="108">
        <v>270</v>
      </c>
      <c r="E960" s="109" t="str">
        <f>'[1]COMEDORES EMERGENTES'!$G$5</f>
        <v>Bº RIVERA DEL VALLE ENTRE VILLA EUMELIA Y MONTE CRISTO</v>
      </c>
    </row>
    <row r="961" spans="2:5" x14ac:dyDescent="0.2">
      <c r="B961" s="178" t="str">
        <f>'[1]COMEDORES EMERGENTES'!$B$6</f>
        <v>ESFUERZO PROPIO- Bº ALTOS DE CHOYA</v>
      </c>
      <c r="C961" s="179"/>
      <c r="D961" s="108">
        <v>220</v>
      </c>
      <c r="E961" s="109" t="str">
        <f>'[1]COMEDORES EMERGENTES'!$G$6</f>
        <v>Bº MUNICIPAL 35VV. NORTE C/14</v>
      </c>
    </row>
    <row r="962" spans="2:5" x14ac:dyDescent="0.2">
      <c r="B962" s="178" t="str">
        <f>'[1]COMEDORES EMERGENTES'!$B$7</f>
        <v>ANGELITOS - LOTEO SUSSEX</v>
      </c>
      <c r="C962" s="179"/>
      <c r="D962" s="108">
        <v>100</v>
      </c>
      <c r="E962" s="109" t="str">
        <f>'[1]COMEDORES EMERGENTES'!$G$7</f>
        <v>Bº LOTEO SUSEX MZA.Nº 4 LOTE Nº3</v>
      </c>
    </row>
    <row r="963" spans="2:5" x14ac:dyDescent="0.2">
      <c r="B963" s="178" t="str">
        <f>'[1]COMEDORES EMERGENTES'!$B$8</f>
        <v>CLUB DEPORTIVO CHACARITA</v>
      </c>
      <c r="C963" s="179"/>
      <c r="D963" s="108">
        <v>130</v>
      </c>
      <c r="E963" s="109" t="str">
        <f>'[1]COMEDORES EMERGENTES'!$G$8</f>
        <v>CALLE DR.DERMIDIO GALINDEZ C/2660</v>
      </c>
    </row>
    <row r="964" spans="2:5" x14ac:dyDescent="0.2">
      <c r="B964" s="178" t="str">
        <f>'[1]COMEDORES EMERGENTES'!$B$9</f>
        <v>LA MORO</v>
      </c>
      <c r="C964" s="179"/>
      <c r="D964" s="108">
        <v>120</v>
      </c>
      <c r="E964" s="109" t="str">
        <f>'[1]COMEDORES EMERGENTES'!$G$9</f>
        <v>MAIPU NORTE 1º ETAPA MZA "H" Bº MI JARDIN</v>
      </c>
    </row>
    <row r="965" spans="2:5" x14ac:dyDescent="0.2">
      <c r="B965" s="178" t="str">
        <f>'[1]COMEDORES EMERGENTES'!$B$10</f>
        <v>PAPA FRANCISCO</v>
      </c>
      <c r="C965" s="179"/>
      <c r="D965" s="108">
        <v>200</v>
      </c>
      <c r="E965" s="109" t="str">
        <f>'[1]COMEDORES EMERGENTES'!$G$10</f>
        <v>ENTRE AV.TEREBINTO Y AV.SAN JUAN LOTE "2" MZA. "B"</v>
      </c>
    </row>
    <row r="966" spans="2:5" x14ac:dyDescent="0.2">
      <c r="B966" s="178" t="str">
        <f>'[1]COMEDORES EMERGENTES'!$B$11</f>
        <v>E.P.C - 100 V.V NORTE</v>
      </c>
      <c r="C966" s="179"/>
      <c r="D966" s="108">
        <v>300</v>
      </c>
      <c r="E966" s="109" t="str">
        <f>'[1]COMEDORES EMERGENTES'!$G$11</f>
        <v>Bº VV NORTE C/48 ENTRE ESPAÑA Y FRANCIA</v>
      </c>
    </row>
    <row r="967" spans="2:5" x14ac:dyDescent="0.2">
      <c r="B967" s="178" t="str">
        <f>'[1]COMEDORES EMERGENTES'!$B$12</f>
        <v>HOGAR DE CRISTO - PADRE RAUL CONTRERAS</v>
      </c>
      <c r="C967" s="179"/>
      <c r="D967" s="108">
        <v>300</v>
      </c>
      <c r="E967" s="109" t="str">
        <f>'[1]COMEDORES EMERGENTES'!$G$12</f>
        <v>Bº SANTA MARTA MZA. "S" LOTE "M" C/39</v>
      </c>
    </row>
    <row r="968" spans="2:5" x14ac:dyDescent="0.2">
      <c r="B968" s="178" t="str">
        <f>'[1]COMEDORES EMERGENTES'!$B$13</f>
        <v>LA LUCIERNAGA</v>
      </c>
      <c r="C968" s="179"/>
      <c r="D968" s="108">
        <v>200</v>
      </c>
      <c r="E968" s="109" t="str">
        <f>'[1]COMEDORES EMERGENTES'!$G$13</f>
        <v>Bº 20 V.V NORTE C/3</v>
      </c>
    </row>
    <row r="969" spans="2:5" x14ac:dyDescent="0.2">
      <c r="B969" s="178" t="str">
        <f>'[1]COMEDORES EMERGENTES'!$B$14</f>
        <v>VALLE VIEJO - SUMALAO</v>
      </c>
      <c r="C969" s="179"/>
      <c r="D969" s="108">
        <v>350</v>
      </c>
      <c r="E969" s="109" t="str">
        <f>'[1]COMEDORES EMERGENTES'!$G$14</f>
        <v>PADRE SEGURA S/N</v>
      </c>
    </row>
    <row r="970" spans="2:5" x14ac:dyDescent="0.2">
      <c r="B970" s="178" t="str">
        <f>'[1]COMEDORES EMERGENTES'!$B$15</f>
        <v>NUESTRO FUTURO - LAS VIAS</v>
      </c>
      <c r="C970" s="179"/>
      <c r="D970" s="108">
        <v>200</v>
      </c>
      <c r="E970" s="109" t="str">
        <f>'[1]COMEDORES EMERGENTES'!$G$15</f>
        <v>Bº LAS VIAS OESTE LOTE 42</v>
      </c>
    </row>
    <row r="971" spans="2:5" x14ac:dyDescent="0.2">
      <c r="B971" s="178" t="str">
        <f>'[1]COMEDORES EMERGENTES'!$B$16</f>
        <v>SAN JOSE OBRERO</v>
      </c>
      <c r="C971" s="179"/>
      <c r="D971" s="108">
        <v>130</v>
      </c>
      <c r="E971" s="109" t="str">
        <f>'[1]COMEDORES EMERGENTES'!$G$16</f>
        <v>Bº SAN JOSE OBRERO. PJE. SANDOVAL S/Nº</v>
      </c>
    </row>
    <row r="972" spans="2:5" x14ac:dyDescent="0.2">
      <c r="B972" s="178" t="str">
        <f>'[1]COMEDORES EMERGENTES'!$B$17</f>
        <v>VIRGEN DE LUJAN</v>
      </c>
      <c r="C972" s="179"/>
      <c r="D972" s="108">
        <v>200</v>
      </c>
      <c r="E972" s="109" t="str">
        <f>'[1]COMEDORES EMERGENTES'!$G$17</f>
        <v>Bº OJO DE AGUA C/DR.TEODULFO BARRIONUEVO S/Nº</v>
      </c>
    </row>
    <row r="973" spans="2:5" x14ac:dyDescent="0.2">
      <c r="B973" s="178" t="str">
        <f>'[1]COMEDORES EMERGENTES'!$B$18</f>
        <v>RENACER</v>
      </c>
      <c r="C973" s="179"/>
      <c r="D973" s="108">
        <v>250</v>
      </c>
      <c r="E973" s="109" t="str">
        <f>'[1]COMEDORES EMERGENTES'!$G$18</f>
        <v>Bº VIRGEN MORENITA</v>
      </c>
    </row>
    <row r="974" spans="2:5" x14ac:dyDescent="0.2">
      <c r="B974" s="178" t="str">
        <f>'[1]COMEDORES EMERGENTES'!$B$19</f>
        <v>CENTRO VECINAL MI JARDIN</v>
      </c>
      <c r="C974" s="179"/>
      <c r="D974" s="108">
        <v>180</v>
      </c>
      <c r="E974" s="109" t="str">
        <f>'[1]COMEDORES EMERGENTES'!$G$19</f>
        <v>C/ LOS TULIPANES ENTRE FLOR DE CEREZO Y HOLANDA MZA.27 Bº MI JARDIN</v>
      </c>
    </row>
    <row r="975" spans="2:5" x14ac:dyDescent="0.2">
      <c r="B975" s="178" t="str">
        <f>'[1]COMEDORES EMERGENTES'!$B$20</f>
        <v>LA VIEJA ESQUINA</v>
      </c>
      <c r="C975" s="179"/>
      <c r="D975" s="108">
        <v>172</v>
      </c>
      <c r="E975" s="109" t="str">
        <f>'[1]COMEDORES EMERGENTES'!$G$20</f>
        <v>B° CRISTO REY PJE CAPATAZ VILLAFAÑEZ Y ARMANDO CORREA</v>
      </c>
    </row>
    <row r="976" spans="2:5" x14ac:dyDescent="0.2">
      <c r="B976" s="178" t="str">
        <f>'[1]COMEDORES EMERGENTES'!$B$21</f>
        <v>GAUCHITO GIL</v>
      </c>
      <c r="C976" s="179"/>
      <c r="D976" s="108">
        <v>168</v>
      </c>
      <c r="E976" s="109" t="str">
        <f>'[1]COMEDORES EMERGENTES'!$G$21</f>
        <v>B° 26 VIVIENDAS CASA N° 3</v>
      </c>
    </row>
    <row r="977" spans="2:5" ht="13.5" thickBot="1" x14ac:dyDescent="0.25">
      <c r="B977" s="195" t="str">
        <f>'[1]COMEDORES EMERGENTES'!$B$22</f>
        <v>LOS TOLDOS</v>
      </c>
      <c r="C977" s="196"/>
      <c r="D977" s="115">
        <v>80</v>
      </c>
      <c r="E977" s="116" t="str">
        <f>'[1]COMEDORES EMERGENTES'!$G$22</f>
        <v>LOTEO PARQUE SUR CALLE S/NOMBRE S/N°</v>
      </c>
    </row>
    <row r="978" spans="2:5" x14ac:dyDescent="0.2">
      <c r="B978" s="33" t="s">
        <v>18</v>
      </c>
      <c r="C978" s="31"/>
      <c r="D978" s="72"/>
      <c r="E978" s="32"/>
    </row>
    <row r="979" spans="2:5" x14ac:dyDescent="0.2">
      <c r="B979" s="34"/>
      <c r="C979" s="194" t="s">
        <v>62</v>
      </c>
      <c r="D979" s="194"/>
      <c r="E979" s="194"/>
    </row>
    <row r="980" spans="2:5" x14ac:dyDescent="0.2">
      <c r="B980" s="33" t="s">
        <v>19</v>
      </c>
      <c r="C980" s="35"/>
      <c r="D980" s="35"/>
      <c r="E980" s="36"/>
    </row>
    <row r="981" spans="2:5" x14ac:dyDescent="0.2">
      <c r="B981" s="34"/>
      <c r="C981" s="194" t="s">
        <v>139</v>
      </c>
      <c r="D981" s="194"/>
      <c r="E981" s="194"/>
    </row>
    <row r="982" spans="2:5" x14ac:dyDescent="0.2">
      <c r="B982" s="33" t="s">
        <v>20</v>
      </c>
      <c r="C982" s="31"/>
      <c r="D982" s="72"/>
      <c r="E982" s="32"/>
    </row>
    <row r="983" spans="2:5" x14ac:dyDescent="0.2">
      <c r="B983" s="33"/>
      <c r="C983" s="193" t="s">
        <v>63</v>
      </c>
      <c r="D983" s="193"/>
      <c r="E983" s="193"/>
    </row>
    <row r="984" spans="2:5" ht="13.5" thickBot="1" x14ac:dyDescent="0.25">
      <c r="B984" s="37"/>
      <c r="C984" s="38"/>
      <c r="D984" s="73"/>
      <c r="E984" s="39"/>
    </row>
    <row r="985" spans="2:5" ht="13.5" thickBot="1" x14ac:dyDescent="0.25"/>
    <row r="986" spans="2:5" x14ac:dyDescent="0.2">
      <c r="B986" s="27" t="s">
        <v>164</v>
      </c>
      <c r="C986" s="28"/>
      <c r="D986" s="71"/>
      <c r="E986" s="29"/>
    </row>
    <row r="987" spans="2:5" x14ac:dyDescent="0.2">
      <c r="B987" s="30"/>
      <c r="C987" s="31"/>
      <c r="D987" s="72"/>
      <c r="E987" s="32"/>
    </row>
    <row r="988" spans="2:5" x14ac:dyDescent="0.2">
      <c r="B988" s="33" t="s">
        <v>16</v>
      </c>
      <c r="C988" s="31"/>
      <c r="D988" s="72"/>
      <c r="E988" s="32"/>
    </row>
    <row r="989" spans="2:5" ht="30" customHeight="1" x14ac:dyDescent="0.2">
      <c r="B989" s="33"/>
      <c r="C989" s="194"/>
      <c r="D989" s="194"/>
      <c r="E989" s="194"/>
    </row>
    <row r="990" spans="2:5" ht="13.5" thickBot="1" x14ac:dyDescent="0.25">
      <c r="B990" s="33" t="s">
        <v>17</v>
      </c>
      <c r="C990" s="31"/>
      <c r="D990" s="72"/>
      <c r="E990" s="32"/>
    </row>
    <row r="991" spans="2:5" ht="13.5" thickBot="1" x14ac:dyDescent="0.25">
      <c r="B991" s="180" t="s">
        <v>242</v>
      </c>
      <c r="C991" s="181"/>
      <c r="D991" s="181"/>
      <c r="E991" s="182"/>
    </row>
    <row r="992" spans="2:5" ht="13.5" thickBot="1" x14ac:dyDescent="0.25">
      <c r="B992" s="180" t="s">
        <v>137</v>
      </c>
      <c r="C992" s="182"/>
      <c r="D992" s="69" t="s">
        <v>11</v>
      </c>
      <c r="E992" s="69" t="s">
        <v>138</v>
      </c>
    </row>
    <row r="993" spans="2:5" x14ac:dyDescent="0.2">
      <c r="B993" s="187" t="str">
        <f>'[1]COMEDORES EMERGENTES'!$B$3</f>
        <v>UNA SONRISA AV. LOS COBACHO</v>
      </c>
      <c r="C993" s="188"/>
      <c r="D993" s="113">
        <v>160</v>
      </c>
      <c r="E993" s="114" t="str">
        <f>'[1]COMEDORES EMERGENTES'!$G$3</f>
        <v>Bº SAN CARLOS OESTE AV. Bonifacio cobacho 670</v>
      </c>
    </row>
    <row r="994" spans="2:5" x14ac:dyDescent="0.2">
      <c r="B994" s="178" t="str">
        <f>'[1]COMEDORES EMERGENTES'!$B$4</f>
        <v>C.I.F Nº1 - RIVERA DEL VALLE Y FLORIDA</v>
      </c>
      <c r="C994" s="179"/>
      <c r="D994" s="108">
        <v>230</v>
      </c>
      <c r="E994" s="109" t="str">
        <f>'[1]COMEDORES EMERGENTES'!$G$4</f>
        <v>AV. RIVIERA DEL VALLE ENTRE FLORIDA Y SANTA FE</v>
      </c>
    </row>
    <row r="995" spans="2:5" x14ac:dyDescent="0.2">
      <c r="B995" s="178" t="str">
        <f>'[1]COMEDORES EMERGENTES'!$B$5</f>
        <v>C.I.F - RIVERA DEL VALLE - DILORENZO</v>
      </c>
      <c r="C995" s="179"/>
      <c r="D995" s="108">
        <v>270</v>
      </c>
      <c r="E995" s="109" t="str">
        <f>'[1]COMEDORES EMERGENTES'!$G$5</f>
        <v>Bº RIVERA DEL VALLE ENTRE VILLA EUMELIA Y MONTE CRISTO</v>
      </c>
    </row>
    <row r="996" spans="2:5" x14ac:dyDescent="0.2">
      <c r="B996" s="178" t="str">
        <f>'[1]COMEDORES EMERGENTES'!$B$6</f>
        <v>ESFUERZO PROPIO- Bº ALTOS DE CHOYA</v>
      </c>
      <c r="C996" s="179"/>
      <c r="D996" s="108">
        <v>220</v>
      </c>
      <c r="E996" s="109" t="str">
        <f>'[1]COMEDORES EMERGENTES'!$G$6</f>
        <v>Bº MUNICIPAL 35VV. NORTE C/14</v>
      </c>
    </row>
    <row r="997" spans="2:5" x14ac:dyDescent="0.2">
      <c r="B997" s="178" t="str">
        <f>'[1]COMEDORES EMERGENTES'!$B$7</f>
        <v>ANGELITOS - LOTEO SUSSEX</v>
      </c>
      <c r="C997" s="179"/>
      <c r="D997" s="108">
        <v>100</v>
      </c>
      <c r="E997" s="109" t="str">
        <f>'[1]COMEDORES EMERGENTES'!$G$7</f>
        <v>Bº LOTEO SUSEX MZA.Nº 4 LOTE Nº3</v>
      </c>
    </row>
    <row r="998" spans="2:5" x14ac:dyDescent="0.2">
      <c r="B998" s="178" t="str">
        <f>'[1]COMEDORES EMERGENTES'!$B$8</f>
        <v>CLUB DEPORTIVO CHACARITA</v>
      </c>
      <c r="C998" s="179"/>
      <c r="D998" s="108">
        <v>130</v>
      </c>
      <c r="E998" s="109" t="str">
        <f>'[1]COMEDORES EMERGENTES'!$G$8</f>
        <v>CALLE DR.DERMIDIO GALINDEZ C/2660</v>
      </c>
    </row>
    <row r="999" spans="2:5" x14ac:dyDescent="0.2">
      <c r="B999" s="178" t="str">
        <f>'[1]COMEDORES EMERGENTES'!$B$9</f>
        <v>LA MORO</v>
      </c>
      <c r="C999" s="179"/>
      <c r="D999" s="108">
        <v>120</v>
      </c>
      <c r="E999" s="109" t="str">
        <f>'[1]COMEDORES EMERGENTES'!$G$9</f>
        <v>MAIPU NORTE 1º ETAPA MZA "H" Bº MI JARDIN</v>
      </c>
    </row>
    <row r="1000" spans="2:5" x14ac:dyDescent="0.2">
      <c r="B1000" s="178" t="str">
        <f>'[1]COMEDORES EMERGENTES'!$B$10</f>
        <v>PAPA FRANCISCO</v>
      </c>
      <c r="C1000" s="179"/>
      <c r="D1000" s="108">
        <v>200</v>
      </c>
      <c r="E1000" s="109" t="str">
        <f>'[1]COMEDORES EMERGENTES'!$G$10</f>
        <v>ENTRE AV.TEREBINTO Y AV.SAN JUAN LOTE "2" MZA. "B"</v>
      </c>
    </row>
    <row r="1001" spans="2:5" x14ac:dyDescent="0.2">
      <c r="B1001" s="178" t="str">
        <f>'[1]COMEDORES EMERGENTES'!$B$11</f>
        <v>E.P.C - 100 V.V NORTE</v>
      </c>
      <c r="C1001" s="179"/>
      <c r="D1001" s="108">
        <v>300</v>
      </c>
      <c r="E1001" s="109" t="str">
        <f>'[1]COMEDORES EMERGENTES'!$G$11</f>
        <v>Bº VV NORTE C/48 ENTRE ESPAÑA Y FRANCIA</v>
      </c>
    </row>
    <row r="1002" spans="2:5" x14ac:dyDescent="0.2">
      <c r="B1002" s="178" t="str">
        <f>'[1]COMEDORES EMERGENTES'!$B$12</f>
        <v>HOGAR DE CRISTO - PADRE RAUL CONTRERAS</v>
      </c>
      <c r="C1002" s="179"/>
      <c r="D1002" s="108">
        <v>300</v>
      </c>
      <c r="E1002" s="109" t="str">
        <f>'[1]COMEDORES EMERGENTES'!$G$12</f>
        <v>Bº SANTA MARTA MZA. "S" LOTE "M" C/39</v>
      </c>
    </row>
    <row r="1003" spans="2:5" x14ac:dyDescent="0.2">
      <c r="B1003" s="178" t="str">
        <f>'[1]COMEDORES EMERGENTES'!$B$13</f>
        <v>LA LUCIERNAGA</v>
      </c>
      <c r="C1003" s="179"/>
      <c r="D1003" s="108">
        <v>200</v>
      </c>
      <c r="E1003" s="109" t="str">
        <f>'[1]COMEDORES EMERGENTES'!$G$13</f>
        <v>Bº 20 V.V NORTE C/3</v>
      </c>
    </row>
    <row r="1004" spans="2:5" x14ac:dyDescent="0.2">
      <c r="B1004" s="178" t="str">
        <f>'[1]COMEDORES EMERGENTES'!$B$14</f>
        <v>VALLE VIEJO - SUMALAO</v>
      </c>
      <c r="C1004" s="179"/>
      <c r="D1004" s="108">
        <v>350</v>
      </c>
      <c r="E1004" s="109" t="str">
        <f>'[1]COMEDORES EMERGENTES'!$G$14</f>
        <v>PADRE SEGURA S/N</v>
      </c>
    </row>
    <row r="1005" spans="2:5" x14ac:dyDescent="0.2">
      <c r="B1005" s="178" t="str">
        <f>'[1]COMEDORES EMERGENTES'!$B$15</f>
        <v>NUESTRO FUTURO - LAS VIAS</v>
      </c>
      <c r="C1005" s="179"/>
      <c r="D1005" s="108">
        <v>200</v>
      </c>
      <c r="E1005" s="109" t="str">
        <f>'[1]COMEDORES EMERGENTES'!$G$15</f>
        <v>Bº LAS VIAS OESTE LOTE 42</v>
      </c>
    </row>
    <row r="1006" spans="2:5" x14ac:dyDescent="0.2">
      <c r="B1006" s="178" t="str">
        <f>'[1]COMEDORES EMERGENTES'!$B$16</f>
        <v>SAN JOSE OBRERO</v>
      </c>
      <c r="C1006" s="179"/>
      <c r="D1006" s="108">
        <v>130</v>
      </c>
      <c r="E1006" s="109" t="str">
        <f>'[1]COMEDORES EMERGENTES'!$G$16</f>
        <v>Bº SAN JOSE OBRERO. PJE. SANDOVAL S/Nº</v>
      </c>
    </row>
    <row r="1007" spans="2:5" x14ac:dyDescent="0.2">
      <c r="B1007" s="178" t="str">
        <f>'[1]COMEDORES EMERGENTES'!$B$17</f>
        <v>VIRGEN DE LUJAN</v>
      </c>
      <c r="C1007" s="179"/>
      <c r="D1007" s="108">
        <v>200</v>
      </c>
      <c r="E1007" s="109" t="str">
        <f>'[1]COMEDORES EMERGENTES'!$G$17</f>
        <v>Bº OJO DE AGUA C/DR.TEODULFO BARRIONUEVO S/Nº</v>
      </c>
    </row>
    <row r="1008" spans="2:5" x14ac:dyDescent="0.2">
      <c r="B1008" s="178" t="str">
        <f>'[1]COMEDORES EMERGENTES'!$B$18</f>
        <v>RENACER</v>
      </c>
      <c r="C1008" s="179"/>
      <c r="D1008" s="108">
        <v>250</v>
      </c>
      <c r="E1008" s="109" t="str">
        <f>'[1]COMEDORES EMERGENTES'!$G$18</f>
        <v>Bº VIRGEN MORENITA</v>
      </c>
    </row>
    <row r="1009" spans="2:5" x14ac:dyDescent="0.2">
      <c r="B1009" s="178" t="str">
        <f>'[1]COMEDORES EMERGENTES'!$B$19</f>
        <v>CENTRO VECINAL MI JARDIN</v>
      </c>
      <c r="C1009" s="179"/>
      <c r="D1009" s="108">
        <v>180</v>
      </c>
      <c r="E1009" s="109" t="str">
        <f>'[1]COMEDORES EMERGENTES'!$G$19</f>
        <v>C/ LOS TULIPANES ENTRE FLOR DE CEREZO Y HOLANDA MZA.27 Bº MI JARDIN</v>
      </c>
    </row>
    <row r="1010" spans="2:5" x14ac:dyDescent="0.2">
      <c r="B1010" s="178" t="str">
        <f>'[1]COMEDORES EMERGENTES'!$B$20</f>
        <v>LA VIEJA ESQUINA</v>
      </c>
      <c r="C1010" s="179"/>
      <c r="D1010" s="108">
        <v>172</v>
      </c>
      <c r="E1010" s="109" t="str">
        <f>'[1]COMEDORES EMERGENTES'!$G$20</f>
        <v>B° CRISTO REY PJE CAPATAZ VILLAFAÑEZ Y ARMANDO CORREA</v>
      </c>
    </row>
    <row r="1011" spans="2:5" x14ac:dyDescent="0.2">
      <c r="B1011" s="178" t="str">
        <f>'[1]COMEDORES EMERGENTES'!$B$21</f>
        <v>GAUCHITO GIL</v>
      </c>
      <c r="C1011" s="179"/>
      <c r="D1011" s="108">
        <v>168</v>
      </c>
      <c r="E1011" s="109" t="str">
        <f>'[1]COMEDORES EMERGENTES'!$G$21</f>
        <v>B° 26 VIVIENDAS CASA N° 3</v>
      </c>
    </row>
    <row r="1012" spans="2:5" ht="13.5" thickBot="1" x14ac:dyDescent="0.25">
      <c r="B1012" s="195" t="str">
        <f>'[1]COMEDORES EMERGENTES'!$B$22</f>
        <v>LOS TOLDOS</v>
      </c>
      <c r="C1012" s="196"/>
      <c r="D1012" s="115">
        <v>80</v>
      </c>
      <c r="E1012" s="116" t="str">
        <f>'[1]COMEDORES EMERGENTES'!$G$22</f>
        <v>LOTEO PARQUE SUR CALLE S/NOMBRE S/N°</v>
      </c>
    </row>
    <row r="1013" spans="2:5" x14ac:dyDescent="0.2">
      <c r="B1013" s="33" t="s">
        <v>18</v>
      </c>
      <c r="C1013" s="31"/>
      <c r="D1013" s="72"/>
      <c r="E1013" s="32"/>
    </row>
    <row r="1014" spans="2:5" x14ac:dyDescent="0.2">
      <c r="B1014" s="34"/>
      <c r="C1014" s="194" t="s">
        <v>62</v>
      </c>
      <c r="D1014" s="194"/>
      <c r="E1014" s="194"/>
    </row>
    <row r="1015" spans="2:5" x14ac:dyDescent="0.2">
      <c r="B1015" s="33" t="s">
        <v>19</v>
      </c>
      <c r="C1015" s="35"/>
      <c r="D1015" s="35"/>
      <c r="E1015" s="36"/>
    </row>
    <row r="1016" spans="2:5" x14ac:dyDescent="0.2">
      <c r="B1016" s="34"/>
      <c r="C1016" s="194" t="s">
        <v>139</v>
      </c>
      <c r="D1016" s="194"/>
      <c r="E1016" s="194"/>
    </row>
    <row r="1017" spans="2:5" x14ac:dyDescent="0.2">
      <c r="B1017" s="33" t="s">
        <v>20</v>
      </c>
      <c r="C1017" s="31"/>
      <c r="D1017" s="72"/>
      <c r="E1017" s="32"/>
    </row>
    <row r="1018" spans="2:5" x14ac:dyDescent="0.2">
      <c r="B1018" s="33"/>
      <c r="C1018" s="193" t="s">
        <v>63</v>
      </c>
      <c r="D1018" s="193"/>
      <c r="E1018" s="193"/>
    </row>
    <row r="1019" spans="2:5" ht="13.5" thickBot="1" x14ac:dyDescent="0.25">
      <c r="B1019" s="37"/>
      <c r="C1019" s="38"/>
      <c r="D1019" s="73"/>
      <c r="E1019" s="39"/>
    </row>
    <row r="1020" spans="2:5" ht="13.5" thickBot="1" x14ac:dyDescent="0.25"/>
    <row r="1021" spans="2:5" x14ac:dyDescent="0.2">
      <c r="B1021" s="27" t="s">
        <v>165</v>
      </c>
      <c r="C1021" s="28"/>
      <c r="D1021" s="71"/>
      <c r="E1021" s="29"/>
    </row>
    <row r="1022" spans="2:5" x14ac:dyDescent="0.2">
      <c r="B1022" s="30"/>
      <c r="C1022" s="31"/>
      <c r="D1022" s="72"/>
      <c r="E1022" s="32"/>
    </row>
    <row r="1023" spans="2:5" x14ac:dyDescent="0.2">
      <c r="B1023" s="33" t="s">
        <v>16</v>
      </c>
      <c r="C1023" s="31"/>
      <c r="D1023" s="72"/>
      <c r="E1023" s="32"/>
    </row>
    <row r="1024" spans="2:5" ht="25.5" customHeight="1" x14ac:dyDescent="0.2">
      <c r="B1024" s="33"/>
      <c r="C1024" s="194"/>
      <c r="D1024" s="194"/>
      <c r="E1024" s="194"/>
    </row>
    <row r="1025" spans="2:5" ht="13.5" thickBot="1" x14ac:dyDescent="0.25">
      <c r="B1025" s="33" t="s">
        <v>17</v>
      </c>
      <c r="C1025" s="31"/>
      <c r="D1025" s="72"/>
      <c r="E1025" s="32"/>
    </row>
    <row r="1026" spans="2:5" ht="13.5" thickBot="1" x14ac:dyDescent="0.25">
      <c r="B1026" s="180" t="s">
        <v>244</v>
      </c>
      <c r="C1026" s="181"/>
      <c r="D1026" s="181"/>
      <c r="E1026" s="182"/>
    </row>
    <row r="1027" spans="2:5" ht="13.5" thickBot="1" x14ac:dyDescent="0.25">
      <c r="B1027" s="180" t="s">
        <v>137</v>
      </c>
      <c r="C1027" s="182"/>
      <c r="D1027" s="69" t="s">
        <v>11</v>
      </c>
      <c r="E1027" s="69" t="s">
        <v>138</v>
      </c>
    </row>
    <row r="1028" spans="2:5" x14ac:dyDescent="0.2">
      <c r="B1028" s="187" t="str">
        <f>'[1]COMEDORES EMERGENTES'!$B$3</f>
        <v>UNA SONRISA AV. LOS COBACHO</v>
      </c>
      <c r="C1028" s="188"/>
      <c r="D1028" s="113">
        <v>160</v>
      </c>
      <c r="E1028" s="114" t="str">
        <f>'[1]COMEDORES EMERGENTES'!$G$3</f>
        <v>Bº SAN CARLOS OESTE AV. Bonifacio cobacho 670</v>
      </c>
    </row>
    <row r="1029" spans="2:5" x14ac:dyDescent="0.2">
      <c r="B1029" s="178" t="str">
        <f>'[1]COMEDORES EMERGENTES'!$B$4</f>
        <v>C.I.F Nº1 - RIVERA DEL VALLE Y FLORIDA</v>
      </c>
      <c r="C1029" s="179"/>
      <c r="D1029" s="108">
        <v>230</v>
      </c>
      <c r="E1029" s="109" t="str">
        <f>'[1]COMEDORES EMERGENTES'!$G$4</f>
        <v>AV. RIVIERA DEL VALLE ENTRE FLORIDA Y SANTA FE</v>
      </c>
    </row>
    <row r="1030" spans="2:5" x14ac:dyDescent="0.2">
      <c r="B1030" s="178" t="str">
        <f>'[1]COMEDORES EMERGENTES'!$B$5</f>
        <v>C.I.F - RIVERA DEL VALLE - DILORENZO</v>
      </c>
      <c r="C1030" s="179"/>
      <c r="D1030" s="108">
        <v>270</v>
      </c>
      <c r="E1030" s="109" t="str">
        <f>'[1]COMEDORES EMERGENTES'!$G$5</f>
        <v>Bº RIVERA DEL VALLE ENTRE VILLA EUMELIA Y MONTE CRISTO</v>
      </c>
    </row>
    <row r="1031" spans="2:5" x14ac:dyDescent="0.2">
      <c r="B1031" s="178" t="str">
        <f>'[1]COMEDORES EMERGENTES'!$B$6</f>
        <v>ESFUERZO PROPIO- Bº ALTOS DE CHOYA</v>
      </c>
      <c r="C1031" s="179"/>
      <c r="D1031" s="108">
        <v>220</v>
      </c>
      <c r="E1031" s="109" t="str">
        <f>'[1]COMEDORES EMERGENTES'!$G$6</f>
        <v>Bº MUNICIPAL 35VV. NORTE C/14</v>
      </c>
    </row>
    <row r="1032" spans="2:5" x14ac:dyDescent="0.2">
      <c r="B1032" s="178" t="str">
        <f>'[1]COMEDORES EMERGENTES'!$B$7</f>
        <v>ANGELITOS - LOTEO SUSSEX</v>
      </c>
      <c r="C1032" s="179"/>
      <c r="D1032" s="108">
        <v>100</v>
      </c>
      <c r="E1032" s="109" t="str">
        <f>'[1]COMEDORES EMERGENTES'!$G$7</f>
        <v>Bº LOTEO SUSEX MZA.Nº 4 LOTE Nº3</v>
      </c>
    </row>
    <row r="1033" spans="2:5" x14ac:dyDescent="0.2">
      <c r="B1033" s="178" t="str">
        <f>'[1]COMEDORES EMERGENTES'!$B$8</f>
        <v>CLUB DEPORTIVO CHACARITA</v>
      </c>
      <c r="C1033" s="179"/>
      <c r="D1033" s="108">
        <v>130</v>
      </c>
      <c r="E1033" s="109" t="str">
        <f>'[1]COMEDORES EMERGENTES'!$G$8</f>
        <v>CALLE DR.DERMIDIO GALINDEZ C/2660</v>
      </c>
    </row>
    <row r="1034" spans="2:5" x14ac:dyDescent="0.2">
      <c r="B1034" s="178" t="str">
        <f>'[1]COMEDORES EMERGENTES'!$B$9</f>
        <v>LA MORO</v>
      </c>
      <c r="C1034" s="179"/>
      <c r="D1034" s="108">
        <v>120</v>
      </c>
      <c r="E1034" s="109" t="str">
        <f>'[1]COMEDORES EMERGENTES'!$G$9</f>
        <v>MAIPU NORTE 1º ETAPA MZA "H" Bº MI JARDIN</v>
      </c>
    </row>
    <row r="1035" spans="2:5" x14ac:dyDescent="0.2">
      <c r="B1035" s="178" t="str">
        <f>'[1]COMEDORES EMERGENTES'!$B$10</f>
        <v>PAPA FRANCISCO</v>
      </c>
      <c r="C1035" s="179"/>
      <c r="D1035" s="108">
        <v>200</v>
      </c>
      <c r="E1035" s="109" t="str">
        <f>'[1]COMEDORES EMERGENTES'!$G$10</f>
        <v>ENTRE AV.TEREBINTO Y AV.SAN JUAN LOTE "2" MZA. "B"</v>
      </c>
    </row>
    <row r="1036" spans="2:5" x14ac:dyDescent="0.2">
      <c r="B1036" s="178" t="str">
        <f>'[1]COMEDORES EMERGENTES'!$B$11</f>
        <v>E.P.C - 100 V.V NORTE</v>
      </c>
      <c r="C1036" s="179"/>
      <c r="D1036" s="108">
        <v>300</v>
      </c>
      <c r="E1036" s="109" t="str">
        <f>'[1]COMEDORES EMERGENTES'!$G$11</f>
        <v>Bº VV NORTE C/48 ENTRE ESPAÑA Y FRANCIA</v>
      </c>
    </row>
    <row r="1037" spans="2:5" x14ac:dyDescent="0.2">
      <c r="B1037" s="178" t="str">
        <f>'[1]COMEDORES EMERGENTES'!$B$12</f>
        <v>HOGAR DE CRISTO - PADRE RAUL CONTRERAS</v>
      </c>
      <c r="C1037" s="179"/>
      <c r="D1037" s="108">
        <v>300</v>
      </c>
      <c r="E1037" s="109" t="str">
        <f>'[1]COMEDORES EMERGENTES'!$G$12</f>
        <v>Bº SANTA MARTA MZA. "S" LOTE "M" C/39</v>
      </c>
    </row>
    <row r="1038" spans="2:5" x14ac:dyDescent="0.2">
      <c r="B1038" s="178" t="str">
        <f>'[1]COMEDORES EMERGENTES'!$B$13</f>
        <v>LA LUCIERNAGA</v>
      </c>
      <c r="C1038" s="179"/>
      <c r="D1038" s="108">
        <v>200</v>
      </c>
      <c r="E1038" s="109" t="str">
        <f>'[1]COMEDORES EMERGENTES'!$G$13</f>
        <v>Bº 20 V.V NORTE C/3</v>
      </c>
    </row>
    <row r="1039" spans="2:5" x14ac:dyDescent="0.2">
      <c r="B1039" s="178" t="str">
        <f>'[1]COMEDORES EMERGENTES'!$B$14</f>
        <v>VALLE VIEJO - SUMALAO</v>
      </c>
      <c r="C1039" s="179"/>
      <c r="D1039" s="108">
        <v>350</v>
      </c>
      <c r="E1039" s="109" t="str">
        <f>'[1]COMEDORES EMERGENTES'!$G$14</f>
        <v>PADRE SEGURA S/N</v>
      </c>
    </row>
    <row r="1040" spans="2:5" x14ac:dyDescent="0.2">
      <c r="B1040" s="178" t="str">
        <f>'[1]COMEDORES EMERGENTES'!$B$15</f>
        <v>NUESTRO FUTURO - LAS VIAS</v>
      </c>
      <c r="C1040" s="179"/>
      <c r="D1040" s="108">
        <v>200</v>
      </c>
      <c r="E1040" s="109" t="str">
        <f>'[1]COMEDORES EMERGENTES'!$G$15</f>
        <v>Bº LAS VIAS OESTE LOTE 42</v>
      </c>
    </row>
    <row r="1041" spans="2:5" x14ac:dyDescent="0.2">
      <c r="B1041" s="178" t="str">
        <f>'[1]COMEDORES EMERGENTES'!$B$16</f>
        <v>SAN JOSE OBRERO</v>
      </c>
      <c r="C1041" s="179"/>
      <c r="D1041" s="108">
        <v>130</v>
      </c>
      <c r="E1041" s="109" t="str">
        <f>'[1]COMEDORES EMERGENTES'!$G$16</f>
        <v>Bº SAN JOSE OBRERO. PJE. SANDOVAL S/Nº</v>
      </c>
    </row>
    <row r="1042" spans="2:5" x14ac:dyDescent="0.2">
      <c r="B1042" s="178" t="str">
        <f>'[1]COMEDORES EMERGENTES'!$B$17</f>
        <v>VIRGEN DE LUJAN</v>
      </c>
      <c r="C1042" s="179"/>
      <c r="D1042" s="108">
        <v>200</v>
      </c>
      <c r="E1042" s="109" t="str">
        <f>'[1]COMEDORES EMERGENTES'!$G$17</f>
        <v>Bº OJO DE AGUA C/DR.TEODULFO BARRIONUEVO S/Nº</v>
      </c>
    </row>
    <row r="1043" spans="2:5" x14ac:dyDescent="0.2">
      <c r="B1043" s="178" t="str">
        <f>'[1]COMEDORES EMERGENTES'!$B$18</f>
        <v>RENACER</v>
      </c>
      <c r="C1043" s="179"/>
      <c r="D1043" s="108">
        <v>250</v>
      </c>
      <c r="E1043" s="109" t="str">
        <f>'[1]COMEDORES EMERGENTES'!$G$18</f>
        <v>Bº VIRGEN MORENITA</v>
      </c>
    </row>
    <row r="1044" spans="2:5" x14ac:dyDescent="0.2">
      <c r="B1044" s="178" t="str">
        <f>'[1]COMEDORES EMERGENTES'!$B$19</f>
        <v>CENTRO VECINAL MI JARDIN</v>
      </c>
      <c r="C1044" s="179"/>
      <c r="D1044" s="108">
        <v>180</v>
      </c>
      <c r="E1044" s="109" t="str">
        <f>'[1]COMEDORES EMERGENTES'!$G$19</f>
        <v>C/ LOS TULIPANES ENTRE FLOR DE CEREZO Y HOLANDA MZA.27 Bº MI JARDIN</v>
      </c>
    </row>
    <row r="1045" spans="2:5" x14ac:dyDescent="0.2">
      <c r="B1045" s="178" t="str">
        <f>'[1]COMEDORES EMERGENTES'!$B$20</f>
        <v>LA VIEJA ESQUINA</v>
      </c>
      <c r="C1045" s="179"/>
      <c r="D1045" s="108">
        <v>172</v>
      </c>
      <c r="E1045" s="109" t="str">
        <f>'[1]COMEDORES EMERGENTES'!$G$20</f>
        <v>B° CRISTO REY PJE CAPATAZ VILLAFAÑEZ Y ARMANDO CORREA</v>
      </c>
    </row>
    <row r="1046" spans="2:5" x14ac:dyDescent="0.2">
      <c r="B1046" s="178" t="str">
        <f>'[1]COMEDORES EMERGENTES'!$B$21</f>
        <v>GAUCHITO GIL</v>
      </c>
      <c r="C1046" s="179"/>
      <c r="D1046" s="108">
        <v>168</v>
      </c>
      <c r="E1046" s="109" t="str">
        <f>'[1]COMEDORES EMERGENTES'!$G$21</f>
        <v>B° 26 VIVIENDAS CASA N° 3</v>
      </c>
    </row>
    <row r="1047" spans="2:5" ht="13.5" thickBot="1" x14ac:dyDescent="0.25">
      <c r="B1047" s="195" t="str">
        <f>'[1]COMEDORES EMERGENTES'!$B$22</f>
        <v>LOS TOLDOS</v>
      </c>
      <c r="C1047" s="196"/>
      <c r="D1047" s="115">
        <v>80</v>
      </c>
      <c r="E1047" s="116" t="str">
        <f>'[1]COMEDORES EMERGENTES'!$G$22</f>
        <v>LOTEO PARQUE SUR CALLE S/NOMBRE S/N°</v>
      </c>
    </row>
    <row r="1048" spans="2:5" x14ac:dyDescent="0.2">
      <c r="B1048" s="33" t="s">
        <v>18</v>
      </c>
      <c r="C1048" s="31"/>
      <c r="D1048" s="72"/>
      <c r="E1048" s="32"/>
    </row>
    <row r="1049" spans="2:5" x14ac:dyDescent="0.2">
      <c r="B1049" s="34"/>
      <c r="C1049" s="194" t="s">
        <v>62</v>
      </c>
      <c r="D1049" s="194"/>
      <c r="E1049" s="194"/>
    </row>
    <row r="1050" spans="2:5" x14ac:dyDescent="0.2">
      <c r="B1050" s="33" t="s">
        <v>19</v>
      </c>
      <c r="C1050" s="35"/>
      <c r="D1050" s="35"/>
      <c r="E1050" s="36"/>
    </row>
    <row r="1051" spans="2:5" x14ac:dyDescent="0.2">
      <c r="B1051" s="34"/>
      <c r="C1051" s="194" t="s">
        <v>139</v>
      </c>
      <c r="D1051" s="194"/>
      <c r="E1051" s="194"/>
    </row>
    <row r="1052" spans="2:5" x14ac:dyDescent="0.2">
      <c r="B1052" s="33" t="s">
        <v>20</v>
      </c>
      <c r="C1052" s="31"/>
      <c r="D1052" s="72"/>
      <c r="E1052" s="32"/>
    </row>
    <row r="1053" spans="2:5" x14ac:dyDescent="0.2">
      <c r="B1053" s="33"/>
      <c r="C1053" s="193" t="s">
        <v>63</v>
      </c>
      <c r="D1053" s="193"/>
      <c r="E1053" s="193"/>
    </row>
    <row r="1054" spans="2:5" ht="13.5" thickBot="1" x14ac:dyDescent="0.25">
      <c r="B1054" s="37"/>
      <c r="C1054" s="38"/>
      <c r="D1054" s="73"/>
      <c r="E1054" s="39"/>
    </row>
    <row r="1055" spans="2:5" ht="13.5" thickBot="1" x14ac:dyDescent="0.25"/>
    <row r="1056" spans="2:5" x14ac:dyDescent="0.2">
      <c r="B1056" s="27" t="s">
        <v>166</v>
      </c>
      <c r="C1056" s="28"/>
      <c r="D1056" s="71"/>
      <c r="E1056" s="29"/>
    </row>
    <row r="1057" spans="2:5" x14ac:dyDescent="0.2">
      <c r="B1057" s="30"/>
      <c r="C1057" s="31"/>
      <c r="D1057" s="72"/>
      <c r="E1057" s="32"/>
    </row>
    <row r="1058" spans="2:5" x14ac:dyDescent="0.2">
      <c r="B1058" s="33" t="s">
        <v>16</v>
      </c>
      <c r="C1058" s="31"/>
      <c r="D1058" s="72"/>
      <c r="E1058" s="32"/>
    </row>
    <row r="1059" spans="2:5" ht="25.5" customHeight="1" x14ac:dyDescent="0.2">
      <c r="B1059" s="33"/>
      <c r="C1059" s="194"/>
      <c r="D1059" s="194"/>
      <c r="E1059" s="194"/>
    </row>
    <row r="1060" spans="2:5" ht="13.5" thickBot="1" x14ac:dyDescent="0.25">
      <c r="B1060" s="33" t="s">
        <v>17</v>
      </c>
      <c r="C1060" s="31"/>
      <c r="D1060" s="72"/>
      <c r="E1060" s="32"/>
    </row>
    <row r="1061" spans="2:5" ht="13.5" thickBot="1" x14ac:dyDescent="0.25">
      <c r="B1061" s="180" t="s">
        <v>243</v>
      </c>
      <c r="C1061" s="181"/>
      <c r="D1061" s="181"/>
      <c r="E1061" s="182"/>
    </row>
    <row r="1062" spans="2:5" ht="13.5" thickBot="1" x14ac:dyDescent="0.25">
      <c r="B1062" s="180" t="s">
        <v>137</v>
      </c>
      <c r="C1062" s="182"/>
      <c r="D1062" s="69" t="s">
        <v>11</v>
      </c>
      <c r="E1062" s="69" t="s">
        <v>138</v>
      </c>
    </row>
    <row r="1063" spans="2:5" x14ac:dyDescent="0.2">
      <c r="B1063" s="187" t="str">
        <f>'[1]COMEDORES EMERGENTES'!$B$3</f>
        <v>UNA SONRISA AV. LOS COBACHO</v>
      </c>
      <c r="C1063" s="188"/>
      <c r="D1063" s="113">
        <v>160</v>
      </c>
      <c r="E1063" s="114" t="str">
        <f>'[1]COMEDORES EMERGENTES'!$G$3</f>
        <v>Bº SAN CARLOS OESTE AV. Bonifacio cobacho 670</v>
      </c>
    </row>
    <row r="1064" spans="2:5" x14ac:dyDescent="0.2">
      <c r="B1064" s="178" t="str">
        <f>'[1]COMEDORES EMERGENTES'!$B$4</f>
        <v>C.I.F Nº1 - RIVERA DEL VALLE Y FLORIDA</v>
      </c>
      <c r="C1064" s="179"/>
      <c r="D1064" s="108">
        <v>230</v>
      </c>
      <c r="E1064" s="109" t="str">
        <f>'[1]COMEDORES EMERGENTES'!$G$4</f>
        <v>AV. RIVIERA DEL VALLE ENTRE FLORIDA Y SANTA FE</v>
      </c>
    </row>
    <row r="1065" spans="2:5" x14ac:dyDescent="0.2">
      <c r="B1065" s="178" t="str">
        <f>'[1]COMEDORES EMERGENTES'!$B$5</f>
        <v>C.I.F - RIVERA DEL VALLE - DILORENZO</v>
      </c>
      <c r="C1065" s="179"/>
      <c r="D1065" s="108">
        <v>270</v>
      </c>
      <c r="E1065" s="109" t="str">
        <f>'[1]COMEDORES EMERGENTES'!$G$5</f>
        <v>Bº RIVERA DEL VALLE ENTRE VILLA EUMELIA Y MONTE CRISTO</v>
      </c>
    </row>
    <row r="1066" spans="2:5" x14ac:dyDescent="0.2">
      <c r="B1066" s="178" t="str">
        <f>'[1]COMEDORES EMERGENTES'!$B$6</f>
        <v>ESFUERZO PROPIO- Bº ALTOS DE CHOYA</v>
      </c>
      <c r="C1066" s="179"/>
      <c r="D1066" s="108">
        <v>220</v>
      </c>
      <c r="E1066" s="109" t="str">
        <f>'[1]COMEDORES EMERGENTES'!$G$6</f>
        <v>Bº MUNICIPAL 35VV. NORTE C/14</v>
      </c>
    </row>
    <row r="1067" spans="2:5" x14ac:dyDescent="0.2">
      <c r="B1067" s="178" t="str">
        <f>'[1]COMEDORES EMERGENTES'!$B$7</f>
        <v>ANGELITOS - LOTEO SUSSEX</v>
      </c>
      <c r="C1067" s="179"/>
      <c r="D1067" s="108">
        <v>100</v>
      </c>
      <c r="E1067" s="109" t="str">
        <f>'[1]COMEDORES EMERGENTES'!$G$7</f>
        <v>Bº LOTEO SUSEX MZA.Nº 4 LOTE Nº3</v>
      </c>
    </row>
    <row r="1068" spans="2:5" x14ac:dyDescent="0.2">
      <c r="B1068" s="178" t="str">
        <f>'[1]COMEDORES EMERGENTES'!$B$8</f>
        <v>CLUB DEPORTIVO CHACARITA</v>
      </c>
      <c r="C1068" s="179"/>
      <c r="D1068" s="108">
        <v>130</v>
      </c>
      <c r="E1068" s="109" t="str">
        <f>'[1]COMEDORES EMERGENTES'!$G$8</f>
        <v>CALLE DR.DERMIDIO GALINDEZ C/2660</v>
      </c>
    </row>
    <row r="1069" spans="2:5" x14ac:dyDescent="0.2">
      <c r="B1069" s="178" t="str">
        <f>'[1]COMEDORES EMERGENTES'!$B$9</f>
        <v>LA MORO</v>
      </c>
      <c r="C1069" s="179"/>
      <c r="D1069" s="108">
        <v>120</v>
      </c>
      <c r="E1069" s="109" t="str">
        <f>'[1]COMEDORES EMERGENTES'!$G$9</f>
        <v>MAIPU NORTE 1º ETAPA MZA "H" Bº MI JARDIN</v>
      </c>
    </row>
    <row r="1070" spans="2:5" x14ac:dyDescent="0.2">
      <c r="B1070" s="178" t="str">
        <f>'[1]COMEDORES EMERGENTES'!$B$10</f>
        <v>PAPA FRANCISCO</v>
      </c>
      <c r="C1070" s="179"/>
      <c r="D1070" s="108">
        <v>200</v>
      </c>
      <c r="E1070" s="109" t="str">
        <f>'[1]COMEDORES EMERGENTES'!$G$10</f>
        <v>ENTRE AV.TEREBINTO Y AV.SAN JUAN LOTE "2" MZA. "B"</v>
      </c>
    </row>
    <row r="1071" spans="2:5" x14ac:dyDescent="0.2">
      <c r="B1071" s="178" t="str">
        <f>'[1]COMEDORES EMERGENTES'!$B$11</f>
        <v>E.P.C - 100 V.V NORTE</v>
      </c>
      <c r="C1071" s="179"/>
      <c r="D1071" s="108">
        <v>300</v>
      </c>
      <c r="E1071" s="109" t="str">
        <f>'[1]COMEDORES EMERGENTES'!$G$11</f>
        <v>Bº VV NORTE C/48 ENTRE ESPAÑA Y FRANCIA</v>
      </c>
    </row>
    <row r="1072" spans="2:5" x14ac:dyDescent="0.2">
      <c r="B1072" s="178" t="str">
        <f>'[1]COMEDORES EMERGENTES'!$B$12</f>
        <v>HOGAR DE CRISTO - PADRE RAUL CONTRERAS</v>
      </c>
      <c r="C1072" s="179"/>
      <c r="D1072" s="108">
        <v>300</v>
      </c>
      <c r="E1072" s="109" t="str">
        <f>'[1]COMEDORES EMERGENTES'!$G$12</f>
        <v>Bº SANTA MARTA MZA. "S" LOTE "M" C/39</v>
      </c>
    </row>
    <row r="1073" spans="2:5" x14ac:dyDescent="0.2">
      <c r="B1073" s="178" t="str">
        <f>'[1]COMEDORES EMERGENTES'!$B$13</f>
        <v>LA LUCIERNAGA</v>
      </c>
      <c r="C1073" s="179"/>
      <c r="D1073" s="108">
        <v>200</v>
      </c>
      <c r="E1073" s="109" t="str">
        <f>'[1]COMEDORES EMERGENTES'!$G$13</f>
        <v>Bº 20 V.V NORTE C/3</v>
      </c>
    </row>
    <row r="1074" spans="2:5" x14ac:dyDescent="0.2">
      <c r="B1074" s="178" t="str">
        <f>'[1]COMEDORES EMERGENTES'!$B$14</f>
        <v>VALLE VIEJO - SUMALAO</v>
      </c>
      <c r="C1074" s="179"/>
      <c r="D1074" s="108">
        <v>350</v>
      </c>
      <c r="E1074" s="109" t="str">
        <f>'[1]COMEDORES EMERGENTES'!$G$14</f>
        <v>PADRE SEGURA S/N</v>
      </c>
    </row>
    <row r="1075" spans="2:5" x14ac:dyDescent="0.2">
      <c r="B1075" s="178" t="str">
        <f>'[1]COMEDORES EMERGENTES'!$B$15</f>
        <v>NUESTRO FUTURO - LAS VIAS</v>
      </c>
      <c r="C1075" s="179"/>
      <c r="D1075" s="108">
        <v>200</v>
      </c>
      <c r="E1075" s="109" t="str">
        <f>'[1]COMEDORES EMERGENTES'!$G$15</f>
        <v>Bº LAS VIAS OESTE LOTE 42</v>
      </c>
    </row>
    <row r="1076" spans="2:5" x14ac:dyDescent="0.2">
      <c r="B1076" s="178" t="str">
        <f>'[1]COMEDORES EMERGENTES'!$B$16</f>
        <v>SAN JOSE OBRERO</v>
      </c>
      <c r="C1076" s="179"/>
      <c r="D1076" s="108">
        <v>130</v>
      </c>
      <c r="E1076" s="109" t="str">
        <f>'[1]COMEDORES EMERGENTES'!$G$16</f>
        <v>Bº SAN JOSE OBRERO. PJE. SANDOVAL S/Nº</v>
      </c>
    </row>
    <row r="1077" spans="2:5" x14ac:dyDescent="0.2">
      <c r="B1077" s="178" t="str">
        <f>'[1]COMEDORES EMERGENTES'!$B$17</f>
        <v>VIRGEN DE LUJAN</v>
      </c>
      <c r="C1077" s="179"/>
      <c r="D1077" s="108">
        <v>200</v>
      </c>
      <c r="E1077" s="109" t="str">
        <f>'[1]COMEDORES EMERGENTES'!$G$17</f>
        <v>Bº OJO DE AGUA C/DR.TEODULFO BARRIONUEVO S/Nº</v>
      </c>
    </row>
    <row r="1078" spans="2:5" x14ac:dyDescent="0.2">
      <c r="B1078" s="178" t="str">
        <f>'[1]COMEDORES EMERGENTES'!$B$18</f>
        <v>RENACER</v>
      </c>
      <c r="C1078" s="179"/>
      <c r="D1078" s="108">
        <v>250</v>
      </c>
      <c r="E1078" s="109" t="str">
        <f>'[1]COMEDORES EMERGENTES'!$G$18</f>
        <v>Bº VIRGEN MORENITA</v>
      </c>
    </row>
    <row r="1079" spans="2:5" x14ac:dyDescent="0.2">
      <c r="B1079" s="178" t="str">
        <f>'[1]COMEDORES EMERGENTES'!$B$19</f>
        <v>CENTRO VECINAL MI JARDIN</v>
      </c>
      <c r="C1079" s="179"/>
      <c r="D1079" s="108">
        <v>180</v>
      </c>
      <c r="E1079" s="109" t="str">
        <f>'[1]COMEDORES EMERGENTES'!$G$19</f>
        <v>C/ LOS TULIPANES ENTRE FLOR DE CEREZO Y HOLANDA MZA.27 Bº MI JARDIN</v>
      </c>
    </row>
    <row r="1080" spans="2:5" x14ac:dyDescent="0.2">
      <c r="B1080" s="178" t="str">
        <f>'[1]COMEDORES EMERGENTES'!$B$20</f>
        <v>LA VIEJA ESQUINA</v>
      </c>
      <c r="C1080" s="179"/>
      <c r="D1080" s="108">
        <v>172</v>
      </c>
      <c r="E1080" s="109" t="str">
        <f>'[1]COMEDORES EMERGENTES'!$G$20</f>
        <v>B° CRISTO REY PJE CAPATAZ VILLAFAÑEZ Y ARMANDO CORREA</v>
      </c>
    </row>
    <row r="1081" spans="2:5" x14ac:dyDescent="0.2">
      <c r="B1081" s="178" t="str">
        <f>'[1]COMEDORES EMERGENTES'!$B$21</f>
        <v>GAUCHITO GIL</v>
      </c>
      <c r="C1081" s="179"/>
      <c r="D1081" s="108">
        <v>168</v>
      </c>
      <c r="E1081" s="109" t="str">
        <f>'[1]COMEDORES EMERGENTES'!$G$21</f>
        <v>B° 26 VIVIENDAS CASA N° 3</v>
      </c>
    </row>
    <row r="1082" spans="2:5" ht="13.5" thickBot="1" x14ac:dyDescent="0.25">
      <c r="B1082" s="195" t="str">
        <f>'[1]COMEDORES EMERGENTES'!$B$22</f>
        <v>LOS TOLDOS</v>
      </c>
      <c r="C1082" s="196"/>
      <c r="D1082" s="115">
        <v>80</v>
      </c>
      <c r="E1082" s="116" t="str">
        <f>'[1]COMEDORES EMERGENTES'!$G$22</f>
        <v>LOTEO PARQUE SUR CALLE S/NOMBRE S/N°</v>
      </c>
    </row>
    <row r="1083" spans="2:5" x14ac:dyDescent="0.2">
      <c r="B1083" s="33" t="s">
        <v>18</v>
      </c>
      <c r="C1083" s="31"/>
      <c r="D1083" s="72"/>
      <c r="E1083" s="32"/>
    </row>
    <row r="1084" spans="2:5" x14ac:dyDescent="0.2">
      <c r="B1084" s="34"/>
      <c r="C1084" s="194" t="s">
        <v>62</v>
      </c>
      <c r="D1084" s="194"/>
      <c r="E1084" s="194"/>
    </row>
    <row r="1085" spans="2:5" x14ac:dyDescent="0.2">
      <c r="B1085" s="33" t="s">
        <v>19</v>
      </c>
      <c r="C1085" s="35"/>
      <c r="D1085" s="35"/>
      <c r="E1085" s="36"/>
    </row>
    <row r="1086" spans="2:5" x14ac:dyDescent="0.2">
      <c r="B1086" s="34"/>
      <c r="C1086" s="194" t="s">
        <v>139</v>
      </c>
      <c r="D1086" s="194"/>
      <c r="E1086" s="194"/>
    </row>
    <row r="1087" spans="2:5" x14ac:dyDescent="0.2">
      <c r="B1087" s="33" t="s">
        <v>20</v>
      </c>
      <c r="C1087" s="31"/>
      <c r="D1087" s="72"/>
      <c r="E1087" s="32"/>
    </row>
    <row r="1088" spans="2:5" x14ac:dyDescent="0.2">
      <c r="B1088" s="33"/>
      <c r="C1088" s="193" t="s">
        <v>63</v>
      </c>
      <c r="D1088" s="193"/>
      <c r="E1088" s="193"/>
    </row>
    <row r="1089" spans="2:5" ht="13.5" thickBot="1" x14ac:dyDescent="0.25">
      <c r="B1089" s="37"/>
      <c r="C1089" s="38"/>
      <c r="D1089" s="73"/>
      <c r="E1089" s="39"/>
    </row>
  </sheetData>
  <mergeCells count="787"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9"/>
  <sheetViews>
    <sheetView zoomScale="70" zoomScaleNormal="70" workbookViewId="0">
      <selection activeCell="O16" sqref="O16"/>
    </sheetView>
  </sheetViews>
  <sheetFormatPr baseColWidth="10" defaultColWidth="9.140625" defaultRowHeight="12.75" x14ac:dyDescent="0.2"/>
  <cols>
    <col min="1" max="1" width="5" style="2" customWidth="1"/>
    <col min="2" max="2" width="14.710937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5" style="2" customWidth="1"/>
    <col min="8" max="8" width="9.28515625" style="2" customWidth="1"/>
    <col min="9" max="9" width="14.5703125" style="2" customWidth="1"/>
    <col min="10" max="10" width="14" style="2" customWidth="1"/>
    <col min="11" max="11" width="12.42578125" style="2" customWidth="1"/>
    <col min="12" max="12" width="14.140625" style="2" customWidth="1"/>
    <col min="13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203" t="s">
        <v>22</v>
      </c>
      <c r="B1" s="203"/>
      <c r="C1" s="203"/>
      <c r="D1" s="203"/>
      <c r="E1" s="203"/>
      <c r="F1" s="203"/>
      <c r="G1" s="203"/>
      <c r="H1" s="203"/>
      <c r="I1" s="203"/>
      <c r="J1" s="174" t="s">
        <v>23</v>
      </c>
      <c r="K1" s="175" t="s">
        <v>300</v>
      </c>
    </row>
    <row r="2" spans="1:12" ht="18.75" customHeight="1" thickBot="1" x14ac:dyDescent="0.25">
      <c r="A2" s="176"/>
      <c r="B2" s="176"/>
      <c r="C2" s="176"/>
      <c r="D2" s="177"/>
      <c r="E2" s="177"/>
      <c r="F2" s="177"/>
      <c r="G2" s="177"/>
      <c r="H2" s="177"/>
      <c r="I2" s="177"/>
      <c r="J2" s="177"/>
      <c r="K2" s="177"/>
    </row>
    <row r="3" spans="1:12" ht="18.75" customHeight="1" thickBot="1" x14ac:dyDescent="0.25">
      <c r="A3" s="204" t="s">
        <v>56</v>
      </c>
      <c r="B3" s="204"/>
      <c r="C3" s="204"/>
      <c r="D3" s="202" t="str">
        <f>alimento!C3</f>
        <v>45- Ministerio de Desarrollo Social y Deporte.-</v>
      </c>
      <c r="E3" s="202"/>
      <c r="F3" s="202"/>
      <c r="G3" s="202"/>
      <c r="H3" s="202"/>
      <c r="I3" s="202"/>
      <c r="J3" s="202"/>
      <c r="K3" s="202"/>
    </row>
    <row r="4" spans="1:12" ht="18.75" customHeight="1" thickBot="1" x14ac:dyDescent="0.25">
      <c r="A4" s="205" t="s">
        <v>57</v>
      </c>
      <c r="B4" s="205"/>
      <c r="C4" s="205"/>
      <c r="D4" s="202" t="str">
        <f>alimento!C4</f>
        <v>25- Direccion Provincial de Gestion Administracion y RRHH</v>
      </c>
      <c r="E4" s="202"/>
      <c r="F4" s="202"/>
      <c r="G4" s="202"/>
      <c r="H4" s="202"/>
      <c r="I4" s="202"/>
      <c r="J4" s="202"/>
      <c r="K4" s="202"/>
    </row>
    <row r="5" spans="1:12" ht="18.75" customHeight="1" thickBot="1" x14ac:dyDescent="0.25">
      <c r="A5" s="205" t="s">
        <v>35</v>
      </c>
      <c r="B5" s="205"/>
      <c r="C5" s="205"/>
      <c r="D5" s="202" t="s">
        <v>301</v>
      </c>
      <c r="E5" s="202"/>
      <c r="F5" s="202"/>
      <c r="G5" s="202"/>
      <c r="H5" s="202"/>
      <c r="I5" s="202"/>
      <c r="J5" s="202"/>
      <c r="K5" s="202"/>
    </row>
    <row r="6" spans="1:12" ht="16.5" customHeight="1" thickBot="1" x14ac:dyDescent="0.25">
      <c r="A6" s="204" t="s">
        <v>58</v>
      </c>
      <c r="B6" s="204"/>
      <c r="C6" s="204"/>
      <c r="D6" s="202" t="s">
        <v>61</v>
      </c>
      <c r="E6" s="202"/>
      <c r="F6" s="202"/>
      <c r="G6" s="202"/>
      <c r="H6" s="202"/>
      <c r="I6" s="202"/>
      <c r="J6" s="202"/>
      <c r="K6" s="202"/>
    </row>
    <row r="7" spans="1:12" ht="16.5" customHeight="1" x14ac:dyDescent="0.2">
      <c r="A7" s="205" t="s">
        <v>24</v>
      </c>
      <c r="B7" s="205"/>
      <c r="C7" s="205"/>
      <c r="D7" s="202" t="s">
        <v>296</v>
      </c>
      <c r="E7" s="202"/>
      <c r="F7" s="202"/>
      <c r="G7" s="202"/>
      <c r="H7" s="202"/>
      <c r="I7" s="202"/>
      <c r="J7" s="202"/>
      <c r="K7" s="202"/>
    </row>
    <row r="8" spans="1:12" ht="16.5" customHeight="1" thickBot="1" x14ac:dyDescent="0.25">
      <c r="A8" s="206" t="s">
        <v>25</v>
      </c>
      <c r="B8" s="206"/>
      <c r="C8" s="206"/>
      <c r="D8" s="209" t="s">
        <v>304</v>
      </c>
      <c r="E8" s="209"/>
      <c r="F8" s="209"/>
      <c r="G8" s="209"/>
      <c r="H8" s="209"/>
      <c r="I8" s="209"/>
      <c r="J8" s="209"/>
      <c r="K8" s="209"/>
    </row>
    <row r="9" spans="1:12" ht="16.5" thickBot="1" x14ac:dyDescent="0.25">
      <c r="A9" s="3"/>
      <c r="B9" s="3"/>
      <c r="C9" s="3"/>
      <c r="D9" s="4"/>
      <c r="E9" s="4"/>
      <c r="F9" s="4"/>
      <c r="G9" s="4"/>
      <c r="H9" s="4"/>
      <c r="I9" s="4"/>
      <c r="J9" s="4"/>
      <c r="K9" s="4"/>
    </row>
    <row r="10" spans="1:12" ht="18.75" customHeight="1" thickBot="1" x14ac:dyDescent="0.25">
      <c r="A10" s="207" t="s">
        <v>26</v>
      </c>
      <c r="B10" s="208" t="s">
        <v>27</v>
      </c>
      <c r="C10" s="208" t="s">
        <v>28</v>
      </c>
      <c r="D10" s="208"/>
      <c r="E10" s="208"/>
      <c r="F10" s="208"/>
      <c r="G10" s="208"/>
      <c r="H10" s="208" t="s">
        <v>29</v>
      </c>
      <c r="I10" s="208" t="s">
        <v>30</v>
      </c>
      <c r="J10" s="208" t="s">
        <v>31</v>
      </c>
      <c r="K10" s="197" t="s">
        <v>32</v>
      </c>
      <c r="L10" s="197" t="s">
        <v>255</v>
      </c>
    </row>
    <row r="11" spans="1:12" ht="24" customHeight="1" thickBot="1" x14ac:dyDescent="0.25">
      <c r="A11" s="207"/>
      <c r="B11" s="208"/>
      <c r="C11" s="208"/>
      <c r="D11" s="208"/>
      <c r="E11" s="208"/>
      <c r="F11" s="208"/>
      <c r="G11" s="208"/>
      <c r="H11" s="208"/>
      <c r="I11" s="208"/>
      <c r="J11" s="208"/>
      <c r="K11" s="197"/>
      <c r="L11" s="197"/>
    </row>
    <row r="12" spans="1:12" ht="30.95" customHeight="1" thickBot="1" x14ac:dyDescent="0.25">
      <c r="A12" s="5">
        <v>1</v>
      </c>
      <c r="B12" s="117" t="str">
        <f>'ALIM-IMP'!B8</f>
        <v>2.9.4-684.8</v>
      </c>
      <c r="C12" s="198" t="str">
        <f>'ALIM-IMP'!E8</f>
        <v>OLLAS DE COCINA; CAPACIDAD: 50 L, NUMERO: 40, MATERIAL: ALUMINIO</v>
      </c>
      <c r="D12" s="198"/>
      <c r="E12" s="198"/>
      <c r="F12" s="198"/>
      <c r="G12" s="198"/>
      <c r="H12" s="118" t="s">
        <v>294</v>
      </c>
      <c r="I12" s="119" t="str">
        <f>'ALIM-IMP'!F8</f>
        <v xml:space="preserve">UNIDAD </v>
      </c>
      <c r="J12" s="120">
        <f>'ALIM-IMP'!H8</f>
        <v>16820</v>
      </c>
      <c r="K12" s="121">
        <f>'ALIM-IMP'!G8</f>
        <v>35</v>
      </c>
      <c r="L12" s="125">
        <f>J12*K12</f>
        <v>588700</v>
      </c>
    </row>
    <row r="13" spans="1:12" ht="30.95" customHeight="1" thickBot="1" x14ac:dyDescent="0.25">
      <c r="A13" s="6">
        <v>2</v>
      </c>
      <c r="B13" s="117" t="str">
        <f>'ALIM-IMP'!B9</f>
        <v>2.9.4-684.54</v>
      </c>
      <c r="C13" s="198" t="str">
        <f>'ALIM-IMP'!E9</f>
        <v>OLLAS DE COCINA; NUMERO: 45, CAPACIDAD: 71 L, MATERIAL: ACERO INOXIDABLE</v>
      </c>
      <c r="D13" s="198"/>
      <c r="E13" s="198"/>
      <c r="F13" s="198"/>
      <c r="G13" s="198"/>
      <c r="H13" s="118" t="s">
        <v>294</v>
      </c>
      <c r="I13" s="119" t="str">
        <f>'ALIM-IMP'!F9</f>
        <v xml:space="preserve">UNIDAD </v>
      </c>
      <c r="J13" s="120">
        <f>'ALIM-IMP'!H9</f>
        <v>20900</v>
      </c>
      <c r="K13" s="121">
        <f>'ALIM-IMP'!G9</f>
        <v>35</v>
      </c>
      <c r="L13" s="125">
        <f t="shared" ref="L13:L28" si="0">J13*K13</f>
        <v>731500</v>
      </c>
    </row>
    <row r="14" spans="1:12" ht="30.95" customHeight="1" thickBot="1" x14ac:dyDescent="0.25">
      <c r="A14" s="6">
        <v>3</v>
      </c>
      <c r="B14" s="117" t="str">
        <f>'ALIM-IMP'!B10</f>
        <v>2.9.4-684.24</v>
      </c>
      <c r="C14" s="198" t="str">
        <f>'ALIM-IMP'!E10</f>
        <v>OLLAS DE COCINA; NUMERO: 50, CAPACIDAD: 100 L, MATERIAL: ALUMINIO</v>
      </c>
      <c r="D14" s="198"/>
      <c r="E14" s="198"/>
      <c r="F14" s="198"/>
      <c r="G14" s="198"/>
      <c r="H14" s="118" t="s">
        <v>294</v>
      </c>
      <c r="I14" s="119" t="str">
        <f>'ALIM-IMP'!F10</f>
        <v xml:space="preserve">UNIDAD </v>
      </c>
      <c r="J14" s="120">
        <f>'ALIM-IMP'!H10</f>
        <v>21440</v>
      </c>
      <c r="K14" s="121">
        <f>'ALIM-IMP'!G10</f>
        <v>35</v>
      </c>
      <c r="L14" s="125">
        <f t="shared" si="0"/>
        <v>750400</v>
      </c>
    </row>
    <row r="15" spans="1:12" ht="30.95" customHeight="1" thickBot="1" x14ac:dyDescent="0.25">
      <c r="A15" s="6">
        <v>4</v>
      </c>
      <c r="B15" s="117" t="str">
        <f>'ALIM-IMP'!B11</f>
        <v>2.5.8-2729.85</v>
      </c>
      <c r="C15" s="198" t="str">
        <f>'ALIM-IMP'!E11</f>
        <v>CAJAS PLASTICAS; MEDIDA: 31 X 22 X 14 Cm, TIPO: ORGANIZADOR</v>
      </c>
      <c r="D15" s="198"/>
      <c r="E15" s="198"/>
      <c r="F15" s="198"/>
      <c r="G15" s="198"/>
      <c r="H15" s="118" t="s">
        <v>294</v>
      </c>
      <c r="I15" s="119" t="str">
        <f>'ALIM-IMP'!F11</f>
        <v xml:space="preserve">UNIDAD </v>
      </c>
      <c r="J15" s="120">
        <f>'ALIM-IMP'!H11</f>
        <v>5900</v>
      </c>
      <c r="K15" s="121">
        <f>'ALIM-IMP'!G11</f>
        <v>40</v>
      </c>
      <c r="L15" s="125">
        <f t="shared" si="0"/>
        <v>236000</v>
      </c>
    </row>
    <row r="16" spans="1:12" ht="30.95" customHeight="1" thickBot="1" x14ac:dyDescent="0.25">
      <c r="A16" s="6">
        <v>5</v>
      </c>
      <c r="B16" s="117" t="str">
        <f>'ALIM-IMP'!B12</f>
        <v>2.9.4-1017.3</v>
      </c>
      <c r="C16" s="198" t="str">
        <f>'ALIM-IMP'!E12</f>
        <v>CUCHARONES; MATERIAL: ALUMINIO</v>
      </c>
      <c r="D16" s="198"/>
      <c r="E16" s="198"/>
      <c r="F16" s="198"/>
      <c r="G16" s="198"/>
      <c r="H16" s="118" t="s">
        <v>294</v>
      </c>
      <c r="I16" s="119" t="str">
        <f>'ALIM-IMP'!F12</f>
        <v xml:space="preserve">UNIDAD </v>
      </c>
      <c r="J16" s="120">
        <f>'ALIM-IMP'!H12</f>
        <v>1200</v>
      </c>
      <c r="K16" s="121">
        <f>'ALIM-IMP'!G12</f>
        <v>25</v>
      </c>
      <c r="L16" s="125">
        <f t="shared" si="0"/>
        <v>30000</v>
      </c>
    </row>
    <row r="17" spans="1:12" ht="30.95" customHeight="1" thickBot="1" x14ac:dyDescent="0.25">
      <c r="A17" s="6">
        <v>6</v>
      </c>
      <c r="B17" s="117" t="str">
        <f>'ALIM-IMP'!B13</f>
        <v>2.9.4-7138.3</v>
      </c>
      <c r="C17" s="198" t="str">
        <f>'ALIM-IMP'!E13</f>
        <v>PISAPAPAS; TIPO: MANUAL, MATERIAL: ALUMINIO</v>
      </c>
      <c r="D17" s="198"/>
      <c r="E17" s="198"/>
      <c r="F17" s="198"/>
      <c r="G17" s="198"/>
      <c r="H17" s="118" t="s">
        <v>294</v>
      </c>
      <c r="I17" s="119" t="str">
        <f>'ALIM-IMP'!F13</f>
        <v xml:space="preserve">UNIDAD </v>
      </c>
      <c r="J17" s="120">
        <f>'ALIM-IMP'!H13</f>
        <v>1940</v>
      </c>
      <c r="K17" s="121">
        <f>'ALIM-IMP'!G13</f>
        <v>20</v>
      </c>
      <c r="L17" s="125">
        <f t="shared" si="0"/>
        <v>38800</v>
      </c>
    </row>
    <row r="18" spans="1:12" ht="30.95" customHeight="1" thickBot="1" x14ac:dyDescent="0.25">
      <c r="A18" s="6">
        <v>7</v>
      </c>
      <c r="B18" s="117" t="str">
        <f>'ALIM-IMP'!B14</f>
        <v>2.9.4-1018.2</v>
      </c>
      <c r="C18" s="198" t="str">
        <f>'ALIM-IMP'!E14</f>
        <v>ESPUMADERAS; MATERIAL: ACERO INOXIDABLE</v>
      </c>
      <c r="D18" s="198"/>
      <c r="E18" s="198"/>
      <c r="F18" s="198"/>
      <c r="G18" s="198"/>
      <c r="H18" s="118" t="s">
        <v>294</v>
      </c>
      <c r="I18" s="119" t="str">
        <f>'ALIM-IMP'!F14</f>
        <v xml:space="preserve">UNIDAD </v>
      </c>
      <c r="J18" s="120">
        <f>'ALIM-IMP'!H14</f>
        <v>1200</v>
      </c>
      <c r="K18" s="121">
        <f>'ALIM-IMP'!G14</f>
        <v>20</v>
      </c>
      <c r="L18" s="125">
        <f t="shared" si="0"/>
        <v>24000</v>
      </c>
    </row>
    <row r="19" spans="1:12" ht="30.95" customHeight="1" thickBot="1" x14ac:dyDescent="0.25">
      <c r="A19" s="6">
        <v>8</v>
      </c>
      <c r="B19" s="117" t="str">
        <f>'ALIM-IMP'!B15</f>
        <v>2.9.4-3595.4</v>
      </c>
      <c r="C19" s="198" t="str">
        <f>'ALIM-IMP'!E15</f>
        <v>COLADORES P/PASTA; DIAMETRO: 30 Cm, MATERIAL: ACERO INOXIDABLE, TIPO: CHINO</v>
      </c>
      <c r="D19" s="198"/>
      <c r="E19" s="198"/>
      <c r="F19" s="198"/>
      <c r="G19" s="198"/>
      <c r="H19" s="118" t="s">
        <v>294</v>
      </c>
      <c r="I19" s="119" t="str">
        <f>'ALIM-IMP'!F15</f>
        <v xml:space="preserve">UNIDAD </v>
      </c>
      <c r="J19" s="120">
        <f>'ALIM-IMP'!H15</f>
        <v>2140</v>
      </c>
      <c r="K19" s="121">
        <f>'ALIM-IMP'!G15</f>
        <v>25</v>
      </c>
      <c r="L19" s="125">
        <f t="shared" si="0"/>
        <v>53500</v>
      </c>
    </row>
    <row r="20" spans="1:12" ht="30.95" customHeight="1" thickBot="1" x14ac:dyDescent="0.25">
      <c r="A20" s="6">
        <v>9</v>
      </c>
      <c r="B20" s="117" t="str">
        <f>'ALIM-IMP'!B16</f>
        <v>2.9.4-2403.2</v>
      </c>
      <c r="C20" s="198" t="str">
        <f>'ALIM-IMP'!E16</f>
        <v>RALLADORES; MATERIAL: ACERO INOXIDABLE, TIPO: CILINDRICO</v>
      </c>
      <c r="D20" s="198"/>
      <c r="E20" s="198"/>
      <c r="F20" s="198"/>
      <c r="G20" s="198"/>
      <c r="H20" s="118" t="s">
        <v>294</v>
      </c>
      <c r="I20" s="119" t="str">
        <f>'ALIM-IMP'!F16</f>
        <v xml:space="preserve">UNIDAD </v>
      </c>
      <c r="J20" s="120">
        <f>'ALIM-IMP'!H16</f>
        <v>980</v>
      </c>
      <c r="K20" s="121">
        <f>'ALIM-IMP'!G16</f>
        <v>20</v>
      </c>
      <c r="L20" s="125">
        <f t="shared" si="0"/>
        <v>19600</v>
      </c>
    </row>
    <row r="21" spans="1:12" ht="30.95" customHeight="1" thickBot="1" x14ac:dyDescent="0.25">
      <c r="A21" s="6">
        <v>10</v>
      </c>
      <c r="B21" s="117" t="str">
        <f>'ALIM-IMP'!B17</f>
        <v>2.9.4-3547.2</v>
      </c>
      <c r="C21" s="198" t="str">
        <f>'ALIM-IMP'!E17</f>
        <v>ABRELATAS; MATERIAL: METAL, TIPO: A MANIJA</v>
      </c>
      <c r="D21" s="198"/>
      <c r="E21" s="198"/>
      <c r="F21" s="198"/>
      <c r="G21" s="198"/>
      <c r="H21" s="118" t="s">
        <v>294</v>
      </c>
      <c r="I21" s="119" t="str">
        <f>'ALIM-IMP'!F17</f>
        <v xml:space="preserve">UNIDAD </v>
      </c>
      <c r="J21" s="120">
        <f>'ALIM-IMP'!H17</f>
        <v>760</v>
      </c>
      <c r="K21" s="121">
        <f>'ALIM-IMP'!G17</f>
        <v>20</v>
      </c>
      <c r="L21" s="125">
        <f t="shared" si="0"/>
        <v>15200</v>
      </c>
    </row>
    <row r="22" spans="1:12" ht="30.95" customHeight="1" thickBot="1" x14ac:dyDescent="0.25">
      <c r="A22" s="6">
        <v>11</v>
      </c>
      <c r="B22" s="117" t="str">
        <f>'ALIM-IMP'!B18</f>
        <v>2.9.4-3608.1</v>
      </c>
      <c r="C22" s="198" t="str">
        <f>'ALIM-IMP'!E18</f>
        <v>TABLAS P/PICAR; MATERIAL: FIBRA PLASTICA, FORMATO: RECTANGULAR, MEDIDA: 30 X 40 Cm, FORMA: RECTANGULAR</v>
      </c>
      <c r="D22" s="198"/>
      <c r="E22" s="198"/>
      <c r="F22" s="198"/>
      <c r="G22" s="198"/>
      <c r="H22" s="118" t="s">
        <v>294</v>
      </c>
      <c r="I22" s="119" t="str">
        <f>'ALIM-IMP'!F18</f>
        <v xml:space="preserve">UNIDAD </v>
      </c>
      <c r="J22" s="120">
        <f>'ALIM-IMP'!H18</f>
        <v>1480</v>
      </c>
      <c r="K22" s="121">
        <f>'ALIM-IMP'!G18</f>
        <v>35</v>
      </c>
      <c r="L22" s="125">
        <f t="shared" si="0"/>
        <v>51800</v>
      </c>
    </row>
    <row r="23" spans="1:12" ht="30.95" customHeight="1" thickBot="1" x14ac:dyDescent="0.25">
      <c r="A23" s="6">
        <v>12</v>
      </c>
      <c r="B23" s="117" t="str">
        <f>'ALIM-IMP'!B19</f>
        <v>2.9.4-7135.1</v>
      </c>
      <c r="C23" s="198" t="str">
        <f>'ALIM-IMP'!E19</f>
        <v>PELAPAPAS; TIPO: MANUAL, MATERIAL: PLASTICO</v>
      </c>
      <c r="D23" s="198"/>
      <c r="E23" s="198"/>
      <c r="F23" s="198"/>
      <c r="G23" s="198"/>
      <c r="H23" s="118" t="s">
        <v>294</v>
      </c>
      <c r="I23" s="119" t="str">
        <f>'ALIM-IMP'!F19</f>
        <v xml:space="preserve">UNIDAD </v>
      </c>
      <c r="J23" s="120">
        <f>'ALIM-IMP'!H19</f>
        <v>330</v>
      </c>
      <c r="K23" s="121">
        <f>'ALIM-IMP'!G19</f>
        <v>35</v>
      </c>
      <c r="L23" s="125">
        <f t="shared" si="0"/>
        <v>11550</v>
      </c>
    </row>
    <row r="24" spans="1:12" ht="30.95" customHeight="1" thickBot="1" x14ac:dyDescent="0.25">
      <c r="A24" s="6">
        <v>13</v>
      </c>
      <c r="B24" s="117" t="str">
        <f>'ALIM-IMP'!B20</f>
        <v>2.9.4-690.27</v>
      </c>
      <c r="C24" s="198" t="str">
        <f>'ALIM-IMP'!E20</f>
        <v>CUCHARAS; TIPO: 70 Cm, MATERIAL: MADERA</v>
      </c>
      <c r="D24" s="198"/>
      <c r="E24" s="198"/>
      <c r="F24" s="198"/>
      <c r="G24" s="198"/>
      <c r="H24" s="118" t="s">
        <v>294</v>
      </c>
      <c r="I24" s="119" t="str">
        <f>'ALIM-IMP'!F20</f>
        <v xml:space="preserve">UNIDAD </v>
      </c>
      <c r="J24" s="120">
        <f>'ALIM-IMP'!H20</f>
        <v>340</v>
      </c>
      <c r="K24" s="121">
        <f>'ALIM-IMP'!G20</f>
        <v>25</v>
      </c>
      <c r="L24" s="125">
        <f t="shared" si="0"/>
        <v>8500</v>
      </c>
    </row>
    <row r="25" spans="1:12" ht="30.95" customHeight="1" thickBot="1" x14ac:dyDescent="0.25">
      <c r="A25" s="6">
        <v>14</v>
      </c>
      <c r="B25" s="117" t="str">
        <f>'ALIM-IMP'!B21</f>
        <v>2.9.4-689.5</v>
      </c>
      <c r="C25" s="198" t="str">
        <f>'ALIM-IMP'!E21</f>
        <v>CUCHILLOS; TIPO: COCINA 398 X 20 mm, MATERIAL: ACERO INOXIDABLE</v>
      </c>
      <c r="D25" s="198"/>
      <c r="E25" s="198"/>
      <c r="F25" s="198"/>
      <c r="G25" s="198"/>
      <c r="H25" s="118" t="s">
        <v>294</v>
      </c>
      <c r="I25" s="119" t="str">
        <f>'ALIM-IMP'!F21</f>
        <v xml:space="preserve">UNIDAD </v>
      </c>
      <c r="J25" s="120">
        <f>'ALIM-IMP'!H21</f>
        <v>2600</v>
      </c>
      <c r="K25" s="121">
        <f>'ALIM-IMP'!G21</f>
        <v>50</v>
      </c>
      <c r="L25" s="125">
        <f t="shared" si="0"/>
        <v>130000</v>
      </c>
    </row>
    <row r="26" spans="1:12" ht="30.95" customHeight="1" thickBot="1" x14ac:dyDescent="0.25">
      <c r="A26" s="6">
        <v>15</v>
      </c>
      <c r="B26" s="117" t="str">
        <f>'ALIM-IMP'!B22</f>
        <v>2.9.4-1067.27</v>
      </c>
      <c r="C26" s="198" t="str">
        <f>'ALIM-IMP'!E22</f>
        <v>ASADERAS; MATERIAL: ENLOZADO, DIMENSION: 70 X 45 X 5 Cm</v>
      </c>
      <c r="D26" s="198"/>
      <c r="E26" s="198"/>
      <c r="F26" s="198"/>
      <c r="G26" s="198"/>
      <c r="H26" s="118" t="s">
        <v>294</v>
      </c>
      <c r="I26" s="119" t="str">
        <f>'ALIM-IMP'!F22</f>
        <v xml:space="preserve">UNIDAD </v>
      </c>
      <c r="J26" s="120">
        <f>'ALIM-IMP'!H22</f>
        <v>6950</v>
      </c>
      <c r="K26" s="121">
        <f>'ALIM-IMP'!G22</f>
        <v>35</v>
      </c>
      <c r="L26" s="125">
        <f t="shared" si="0"/>
        <v>243250</v>
      </c>
    </row>
    <row r="27" spans="1:12" ht="30.95" customHeight="1" thickBot="1" x14ac:dyDescent="0.25">
      <c r="A27" s="6">
        <v>16</v>
      </c>
      <c r="B27" s="117" t="str">
        <f>'ALIM-IMP'!B23</f>
        <v>2.5.8-2729.163</v>
      </c>
      <c r="C27" s="198" t="str">
        <f>'ALIM-IMP'!E23</f>
        <v>CAJAS PLASTICAS; MEDIDA: 34 X 22,5 X 6 Cm, TIPO: ORGANIZADOR</v>
      </c>
      <c r="D27" s="198"/>
      <c r="E27" s="198"/>
      <c r="F27" s="198"/>
      <c r="G27" s="198"/>
      <c r="H27" s="118" t="s">
        <v>294</v>
      </c>
      <c r="I27" s="119" t="str">
        <f>'ALIM-IMP'!F23</f>
        <v xml:space="preserve">UNIDAD </v>
      </c>
      <c r="J27" s="120">
        <f>'ALIM-IMP'!H23</f>
        <v>2400</v>
      </c>
      <c r="K27" s="121">
        <f>'ALIM-IMP'!G23</f>
        <v>35</v>
      </c>
      <c r="L27" s="125">
        <f t="shared" si="0"/>
        <v>84000</v>
      </c>
    </row>
    <row r="28" spans="1:12" ht="30.95" customHeight="1" thickBot="1" x14ac:dyDescent="0.25">
      <c r="A28" s="6">
        <v>17</v>
      </c>
      <c r="B28" s="117" t="str">
        <f>'ALIM-IMP'!B24</f>
        <v>2.9.4-1010.17</v>
      </c>
      <c r="C28" s="198" t="str">
        <f>'ALIM-IMP'!E24</f>
        <v>PAVAS; MATERIAL: ALUMINIO, CAPACIDAD: 10 L</v>
      </c>
      <c r="D28" s="198"/>
      <c r="E28" s="198"/>
      <c r="F28" s="198"/>
      <c r="G28" s="198"/>
      <c r="H28" s="118" t="s">
        <v>294</v>
      </c>
      <c r="I28" s="119" t="str">
        <f>'ALIM-IMP'!F24</f>
        <v xml:space="preserve">UNIDAD </v>
      </c>
      <c r="J28" s="120">
        <f>'ALIM-IMP'!H24</f>
        <v>6480</v>
      </c>
      <c r="K28" s="121">
        <f>'ALIM-IMP'!G24</f>
        <v>15</v>
      </c>
      <c r="L28" s="125">
        <f t="shared" si="0"/>
        <v>97200</v>
      </c>
    </row>
    <row r="29" spans="1:12" ht="26.25" customHeight="1" thickBot="1" x14ac:dyDescent="0.25">
      <c r="A29" s="202" t="s">
        <v>295</v>
      </c>
      <c r="B29" s="202"/>
      <c r="C29" s="202"/>
      <c r="D29" s="202"/>
      <c r="E29" s="202"/>
      <c r="F29" s="202"/>
      <c r="G29" s="202"/>
      <c r="H29" s="202"/>
      <c r="I29" s="202"/>
      <c r="J29" s="199">
        <f>SUM(L12:L28)</f>
        <v>3114000</v>
      </c>
      <c r="K29" s="200"/>
      <c r="L29" s="201"/>
    </row>
  </sheetData>
  <mergeCells count="40">
    <mergeCell ref="A8:C8"/>
    <mergeCell ref="C18:G18"/>
    <mergeCell ref="A10:A11"/>
    <mergeCell ref="B10:B11"/>
    <mergeCell ref="C10:G11"/>
    <mergeCell ref="D8:K8"/>
    <mergeCell ref="J10:J11"/>
    <mergeCell ref="K10:K11"/>
    <mergeCell ref="H10:H11"/>
    <mergeCell ref="I10:I11"/>
    <mergeCell ref="C12:G12"/>
    <mergeCell ref="C13:G13"/>
    <mergeCell ref="C14:G14"/>
    <mergeCell ref="C15:G1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29:L29"/>
    <mergeCell ref="A29:I29"/>
    <mergeCell ref="C22:G22"/>
    <mergeCell ref="C19:G19"/>
    <mergeCell ref="C21:G21"/>
    <mergeCell ref="C28:G28"/>
    <mergeCell ref="C20:G20"/>
    <mergeCell ref="C23:G23"/>
    <mergeCell ref="L10:L11"/>
    <mergeCell ref="C24:G24"/>
    <mergeCell ref="C25:G25"/>
    <mergeCell ref="C26:G26"/>
    <mergeCell ref="C27:G27"/>
    <mergeCell ref="C16:G16"/>
    <mergeCell ref="C17:G17"/>
  </mergeCells>
  <printOptions horizontalCentered="1"/>
  <pageMargins left="0.19685039370078741" right="0.19685039370078741" top="0.23622047244094491" bottom="0.27559055118110237" header="0.19685039370078741" footer="0.15748031496062992"/>
  <pageSetup paperSize="5" scale="65" firstPageNumber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zoomScaleNormal="100" workbookViewId="0">
      <selection activeCell="M35" sqref="M34:M3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7" customWidth="1"/>
    <col min="8" max="14" width="4.42578125" customWidth="1"/>
    <col min="15" max="16" width="14.85546875" customWidth="1"/>
    <col min="17" max="17" width="13.28515625" bestFit="1" customWidth="1"/>
  </cols>
  <sheetData>
    <row r="1" spans="1:17" ht="15.75" customHeight="1" x14ac:dyDescent="0.25">
      <c r="A1" s="210" t="s">
        <v>3</v>
      </c>
      <c r="B1" s="210"/>
      <c r="C1" s="210"/>
      <c r="D1" s="211">
        <f>+'ALIM-IMP'!C4</f>
        <v>2021</v>
      </c>
      <c r="E1" s="211"/>
      <c r="F1" s="8"/>
      <c r="G1" s="8"/>
      <c r="H1" s="9"/>
      <c r="I1" s="9"/>
      <c r="J1" s="9"/>
      <c r="K1" s="9"/>
      <c r="L1" s="9"/>
      <c r="M1" s="9"/>
      <c r="N1" s="9"/>
      <c r="P1" s="212" t="s">
        <v>33</v>
      </c>
      <c r="Q1" s="212"/>
    </row>
    <row r="2" spans="1:17" ht="15.75" customHeight="1" x14ac:dyDescent="0.2">
      <c r="H2" s="9"/>
      <c r="I2" s="9"/>
      <c r="J2" s="9"/>
      <c r="K2" s="9"/>
      <c r="L2" s="9"/>
      <c r="M2" s="9"/>
      <c r="N2" s="9"/>
      <c r="P2" s="212"/>
      <c r="Q2" s="212"/>
    </row>
    <row r="4" spans="1:17" s="10" customFormat="1" ht="18" customHeight="1" thickBot="1" x14ac:dyDescent="0.25">
      <c r="A4" s="213" t="s">
        <v>34</v>
      </c>
      <c r="B4" s="213"/>
      <c r="C4" s="213"/>
      <c r="D4" s="213"/>
      <c r="E4" s="213"/>
      <c r="F4" s="213"/>
      <c r="G4" s="214" t="str">
        <f>' NotaPedido'!D3</f>
        <v>45- Ministerio de Desarrollo Social y Deporte.-</v>
      </c>
      <c r="H4" s="214"/>
      <c r="I4" s="214"/>
      <c r="J4" s="214"/>
      <c r="K4" s="214"/>
      <c r="L4" s="214"/>
      <c r="M4" s="214"/>
      <c r="N4" s="214"/>
      <c r="O4" s="214"/>
      <c r="P4" s="214"/>
      <c r="Q4" s="214"/>
    </row>
    <row r="5" spans="1:17" s="10" customFormat="1" ht="18" customHeight="1" thickBot="1" x14ac:dyDescent="0.25">
      <c r="A5" s="215" t="s">
        <v>57</v>
      </c>
      <c r="B5" s="216"/>
      <c r="C5" s="216"/>
      <c r="D5" s="216"/>
      <c r="E5" s="216"/>
      <c r="F5" s="217"/>
      <c r="G5" s="214" t="str">
        <f>' NotaPedido'!D4</f>
        <v>25- Direccion Provincial de Gestion Administracion y RRHH</v>
      </c>
      <c r="H5" s="214"/>
      <c r="I5" s="214"/>
      <c r="J5" s="214"/>
      <c r="K5" s="214"/>
      <c r="L5" s="214"/>
      <c r="M5" s="214"/>
      <c r="N5" s="214"/>
      <c r="O5" s="214"/>
      <c r="P5" s="214"/>
      <c r="Q5" s="214"/>
    </row>
    <row r="6" spans="1:17" s="10" customFormat="1" ht="18" customHeight="1" thickBot="1" x14ac:dyDescent="0.25">
      <c r="A6" s="215" t="s">
        <v>35</v>
      </c>
      <c r="B6" s="216"/>
      <c r="C6" s="216"/>
      <c r="D6" s="216"/>
      <c r="E6" s="216"/>
      <c r="F6" s="217"/>
      <c r="G6" s="214" t="s">
        <v>302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</row>
    <row r="7" spans="1:17" s="10" customFormat="1" ht="18" customHeight="1" thickBot="1" x14ac:dyDescent="0.25">
      <c r="A7" s="215" t="s">
        <v>58</v>
      </c>
      <c r="B7" s="216"/>
      <c r="C7" s="216"/>
      <c r="D7" s="216"/>
      <c r="E7" s="216"/>
      <c r="F7" s="217"/>
      <c r="G7" s="214" t="s">
        <v>303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</row>
    <row r="8" spans="1:17" ht="18" customHeight="1" thickBot="1" x14ac:dyDescent="0.25">
      <c r="A8" s="218" t="s">
        <v>36</v>
      </c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</row>
    <row r="9" spans="1:17" ht="18" customHeight="1" x14ac:dyDescent="0.2">
      <c r="A9" s="219" t="s">
        <v>37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1"/>
      <c r="P9" s="1"/>
      <c r="Q9" s="11"/>
    </row>
    <row r="10" spans="1:17" ht="54.75" customHeight="1" x14ac:dyDescent="0.2">
      <c r="A10" s="2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128/2021,  afectando la erogación resultante a los créditos presupuestarios aprobados a favor de esta Unidad Ejecutora, conforme al siguiente detalle:</v>
      </c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</row>
    <row r="11" spans="1:17" ht="9" customHeight="1" x14ac:dyDescent="0.2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">
      <c r="A12" s="221" t="s">
        <v>38</v>
      </c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</row>
    <row r="13" spans="1:17" ht="15.75" customHeight="1" x14ac:dyDescent="0.2">
      <c r="A13" s="222" t="s">
        <v>39</v>
      </c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3" t="s">
        <v>40</v>
      </c>
      <c r="P13" s="223"/>
      <c r="Q13" s="224" t="s">
        <v>41</v>
      </c>
    </row>
    <row r="14" spans="1:17" ht="15.75" customHeight="1" x14ac:dyDescent="0.2">
      <c r="A14" s="16" t="s">
        <v>42</v>
      </c>
      <c r="B14" s="17" t="s">
        <v>43</v>
      </c>
      <c r="C14" s="17" t="s">
        <v>44</v>
      </c>
      <c r="D14" s="17" t="s">
        <v>45</v>
      </c>
      <c r="E14" s="17" t="s">
        <v>46</v>
      </c>
      <c r="F14" s="17" t="s">
        <v>47</v>
      </c>
      <c r="G14" s="18" t="s">
        <v>48</v>
      </c>
      <c r="H14" s="17" t="s">
        <v>49</v>
      </c>
      <c r="I14" s="17" t="s">
        <v>50</v>
      </c>
      <c r="J14" s="17" t="s">
        <v>51</v>
      </c>
      <c r="K14" s="17" t="s">
        <v>51</v>
      </c>
      <c r="L14" s="17" t="s">
        <v>52</v>
      </c>
      <c r="M14" s="19" t="s">
        <v>53</v>
      </c>
      <c r="N14" s="20" t="s">
        <v>54</v>
      </c>
      <c r="O14" s="223"/>
      <c r="P14" s="223"/>
      <c r="Q14" s="224"/>
    </row>
    <row r="15" spans="1:17" ht="17.25" customHeight="1" x14ac:dyDescent="0.2">
      <c r="A15" s="146">
        <v>20</v>
      </c>
      <c r="B15" s="147"/>
      <c r="C15" s="147"/>
      <c r="D15" s="147">
        <v>1</v>
      </c>
      <c r="E15" s="147"/>
      <c r="F15" s="147">
        <v>4901</v>
      </c>
      <c r="G15" s="147">
        <v>1</v>
      </c>
      <c r="H15" s="147">
        <v>4</v>
      </c>
      <c r="I15" s="147" t="str">
        <f>LEFT('[2]Necesidades Trimestrales'!D10,1)</f>
        <v>2</v>
      </c>
      <c r="J15" s="147">
        <v>5</v>
      </c>
      <c r="K15" s="147">
        <v>8</v>
      </c>
      <c r="L15" s="147"/>
      <c r="M15" s="148">
        <v>1</v>
      </c>
      <c r="N15" s="147">
        <v>1.1000000000000001</v>
      </c>
      <c r="O15" s="225" t="s">
        <v>297</v>
      </c>
      <c r="P15" s="226"/>
      <c r="Q15" s="129">
        <v>320000</v>
      </c>
    </row>
    <row r="16" spans="1:17" ht="17.25" customHeight="1" x14ac:dyDescent="0.2">
      <c r="A16" s="149">
        <v>20</v>
      </c>
      <c r="B16" s="149"/>
      <c r="C16" s="149"/>
      <c r="D16" s="149">
        <v>1</v>
      </c>
      <c r="E16" s="149"/>
      <c r="F16" s="149">
        <v>4901</v>
      </c>
      <c r="G16" s="149">
        <v>1</v>
      </c>
      <c r="H16" s="149">
        <v>4</v>
      </c>
      <c r="I16" s="149">
        <v>2</v>
      </c>
      <c r="J16" s="149">
        <v>9</v>
      </c>
      <c r="K16" s="149">
        <v>4</v>
      </c>
      <c r="L16" s="149"/>
      <c r="M16" s="149">
        <v>1</v>
      </c>
      <c r="N16" s="149">
        <v>1.1000000000000001</v>
      </c>
      <c r="O16" s="227" t="s">
        <v>298</v>
      </c>
      <c r="P16" s="228"/>
      <c r="Q16" s="131">
        <v>2794000</v>
      </c>
    </row>
    <row r="17" spans="1:18" ht="17.25" customHeight="1" x14ac:dyDescent="0.2">
      <c r="A17" s="132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4"/>
      <c r="N17" s="130"/>
      <c r="O17" s="229"/>
      <c r="P17" s="229"/>
      <c r="Q17" s="135"/>
    </row>
    <row r="18" spans="1:18" ht="17.25" customHeight="1" x14ac:dyDescent="0.2">
      <c r="A18" s="132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4"/>
      <c r="N18" s="133"/>
      <c r="O18" s="229"/>
      <c r="P18" s="229"/>
      <c r="Q18" s="135"/>
    </row>
    <row r="19" spans="1:18" ht="17.25" customHeight="1" x14ac:dyDescent="0.2">
      <c r="A19" s="132"/>
      <c r="B19" s="130"/>
      <c r="C19" s="130"/>
      <c r="D19" s="130"/>
      <c r="E19" s="130"/>
      <c r="F19" s="133"/>
      <c r="G19" s="130"/>
      <c r="H19" s="130"/>
      <c r="I19" s="130"/>
      <c r="J19" s="130"/>
      <c r="K19" s="130"/>
      <c r="L19" s="130"/>
      <c r="M19" s="134"/>
      <c r="N19" s="133"/>
      <c r="O19" s="229"/>
      <c r="P19" s="229"/>
      <c r="Q19" s="135"/>
    </row>
    <row r="20" spans="1:18" ht="17.25" customHeight="1" x14ac:dyDescent="0.2">
      <c r="A20" s="132"/>
      <c r="B20" s="130"/>
      <c r="C20" s="130"/>
      <c r="D20" s="130"/>
      <c r="E20" s="130"/>
      <c r="F20" s="133"/>
      <c r="G20" s="130"/>
      <c r="H20" s="130"/>
      <c r="I20" s="130"/>
      <c r="J20" s="130"/>
      <c r="K20" s="130"/>
      <c r="L20" s="130"/>
      <c r="M20" s="134"/>
      <c r="N20" s="133"/>
      <c r="O20" s="229"/>
      <c r="P20" s="229"/>
      <c r="Q20" s="135"/>
    </row>
    <row r="21" spans="1:18" ht="17.25" customHeight="1" x14ac:dyDescent="0.2">
      <c r="A21" s="136"/>
      <c r="B21" s="137"/>
      <c r="C21" s="137"/>
      <c r="D21" s="137"/>
      <c r="E21" s="137"/>
      <c r="F21" s="138"/>
      <c r="G21" s="137"/>
      <c r="H21" s="137"/>
      <c r="I21" s="137"/>
      <c r="J21" s="137"/>
      <c r="K21" s="137"/>
      <c r="L21" s="137"/>
      <c r="M21" s="139"/>
      <c r="N21" s="140"/>
      <c r="O21" s="235"/>
      <c r="P21" s="235"/>
      <c r="Q21" s="135"/>
      <c r="R21" s="1"/>
    </row>
    <row r="22" spans="1:18" ht="17.25" customHeight="1" x14ac:dyDescent="0.2">
      <c r="A22" s="141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3"/>
      <c r="N22" s="142"/>
      <c r="O22" s="236"/>
      <c r="P22" s="236"/>
      <c r="Q22" s="144"/>
    </row>
    <row r="23" spans="1:18" ht="20.25" customHeight="1" x14ac:dyDescent="0.2">
      <c r="A23" s="237" t="s">
        <v>299</v>
      </c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145">
        <f>SUM(Q15:Q22)</f>
        <v>3114000</v>
      </c>
    </row>
    <row r="24" spans="1:18" ht="18" customHeight="1" thickBot="1" x14ac:dyDescent="0.25">
      <c r="A24" s="238"/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</row>
    <row r="25" spans="1:18" ht="17.25" customHeight="1" thickBot="1" x14ac:dyDescent="0.25">
      <c r="A25" s="230" t="s">
        <v>55</v>
      </c>
      <c r="B25" s="231"/>
      <c r="C25" s="231"/>
      <c r="D25" s="231"/>
      <c r="E25" s="231"/>
      <c r="F25" s="232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</row>
    <row r="26" spans="1:18" ht="18" customHeight="1" thickBot="1" x14ac:dyDescent="0.25">
      <c r="A26" s="234" t="s">
        <v>304</v>
      </c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</row>
    <row r="27" spans="1:18" ht="15" customHeight="1" x14ac:dyDescent="0.2">
      <c r="A27" s="234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9"/>
  <sheetViews>
    <sheetView tabSelected="1" zoomScale="60" zoomScaleNormal="60" workbookViewId="0">
      <selection activeCell="E7" sqref="E7"/>
    </sheetView>
  </sheetViews>
  <sheetFormatPr baseColWidth="10" defaultColWidth="11" defaultRowHeight="12.75" x14ac:dyDescent="0.2"/>
  <cols>
    <col min="1" max="1" width="4.5703125" style="21" customWidth="1"/>
    <col min="2" max="2" width="15.5703125" style="21" customWidth="1"/>
    <col min="3" max="3" width="32.42578125" style="21" customWidth="1"/>
    <col min="4" max="4" width="10" style="74" customWidth="1"/>
    <col min="5" max="5" width="112" style="21" bestFit="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1" spans="1:9" ht="27" x14ac:dyDescent="0.35">
      <c r="B1" s="189" t="s">
        <v>0</v>
      </c>
      <c r="C1" s="189"/>
      <c r="D1" s="189"/>
      <c r="E1" s="189"/>
      <c r="F1" s="189"/>
      <c r="G1" s="189"/>
      <c r="H1" s="189"/>
    </row>
    <row r="2" spans="1:9" ht="16.5" customHeight="1" x14ac:dyDescent="0.25">
      <c r="A2" s="186" t="s">
        <v>1</v>
      </c>
      <c r="B2" s="186"/>
      <c r="C2" s="190" t="s">
        <v>65</v>
      </c>
      <c r="D2" s="190"/>
      <c r="E2" s="190"/>
      <c r="F2" s="22"/>
      <c r="G2" s="23"/>
      <c r="H2" s="22"/>
    </row>
    <row r="3" spans="1:9" ht="17.25" customHeight="1" x14ac:dyDescent="0.25">
      <c r="A3" s="186" t="s">
        <v>2</v>
      </c>
      <c r="B3" s="186"/>
      <c r="C3" s="190" t="s">
        <v>60</v>
      </c>
      <c r="D3" s="190"/>
      <c r="E3" s="190"/>
      <c r="F3" s="22"/>
      <c r="G3" s="23"/>
      <c r="H3" s="22"/>
    </row>
    <row r="4" spans="1:9" ht="15" customHeight="1" x14ac:dyDescent="0.25">
      <c r="A4" s="186" t="s">
        <v>3</v>
      </c>
      <c r="B4" s="186"/>
      <c r="C4" s="40">
        <v>2021</v>
      </c>
      <c r="D4" s="70"/>
      <c r="E4" s="41"/>
      <c r="F4" s="22"/>
      <c r="G4" s="23"/>
      <c r="H4" s="22"/>
    </row>
    <row r="5" spans="1:9" ht="16.5" customHeight="1" x14ac:dyDescent="0.25">
      <c r="A5" s="186" t="s">
        <v>4</v>
      </c>
      <c r="B5" s="186"/>
      <c r="C5" s="40">
        <v>1</v>
      </c>
      <c r="D5" s="70"/>
      <c r="E5" s="41"/>
      <c r="F5" s="22"/>
      <c r="G5" s="23"/>
      <c r="H5" s="22"/>
    </row>
    <row r="6" spans="1:9" ht="7.5" customHeight="1" thickBot="1" x14ac:dyDescent="0.25">
      <c r="B6" s="22"/>
      <c r="C6" s="23"/>
      <c r="D6" s="23"/>
      <c r="E6" s="22"/>
      <c r="F6" s="22"/>
      <c r="G6" s="23"/>
      <c r="H6" s="22"/>
    </row>
    <row r="7" spans="1:9" ht="39" thickBot="1" x14ac:dyDescent="0.25">
      <c r="A7" s="43" t="s">
        <v>5</v>
      </c>
      <c r="B7" s="169" t="s">
        <v>6</v>
      </c>
      <c r="C7" s="169" t="s">
        <v>7</v>
      </c>
      <c r="D7" s="170" t="s">
        <v>8</v>
      </c>
      <c r="E7" s="169" t="s">
        <v>9</v>
      </c>
      <c r="F7" s="171" t="s">
        <v>10</v>
      </c>
      <c r="G7" s="172" t="s">
        <v>11</v>
      </c>
      <c r="H7" s="172" t="s">
        <v>12</v>
      </c>
      <c r="I7" s="173" t="s">
        <v>13</v>
      </c>
    </row>
    <row r="8" spans="1:9" s="128" customFormat="1" ht="15.75" customHeight="1" x14ac:dyDescent="0.2">
      <c r="A8" s="127">
        <v>1</v>
      </c>
      <c r="B8" s="163" t="s">
        <v>256</v>
      </c>
      <c r="C8" s="163" t="s">
        <v>257</v>
      </c>
      <c r="D8" s="164" t="s">
        <v>292</v>
      </c>
      <c r="E8" s="163" t="s">
        <v>258</v>
      </c>
      <c r="F8" s="165" t="s">
        <v>115</v>
      </c>
      <c r="G8" s="166">
        <v>35</v>
      </c>
      <c r="H8" s="167">
        <v>16820</v>
      </c>
      <c r="I8" s="168">
        <f>G8*H8</f>
        <v>588700</v>
      </c>
    </row>
    <row r="9" spans="1:9" s="122" customFormat="1" x14ac:dyDescent="0.2">
      <c r="A9" s="126">
        <v>2</v>
      </c>
      <c r="B9" s="150" t="s">
        <v>259</v>
      </c>
      <c r="C9" s="150" t="s">
        <v>257</v>
      </c>
      <c r="D9" s="151" t="s">
        <v>292</v>
      </c>
      <c r="E9" s="150" t="s">
        <v>260</v>
      </c>
      <c r="F9" s="152" t="s">
        <v>115</v>
      </c>
      <c r="G9" s="153">
        <v>35</v>
      </c>
      <c r="H9" s="154">
        <v>20900</v>
      </c>
      <c r="I9" s="155">
        <f>G9*H9</f>
        <v>731500</v>
      </c>
    </row>
    <row r="10" spans="1:9" s="122" customFormat="1" x14ac:dyDescent="0.2">
      <c r="A10" s="126">
        <v>3</v>
      </c>
      <c r="B10" s="150" t="s">
        <v>261</v>
      </c>
      <c r="C10" s="150" t="s">
        <v>257</v>
      </c>
      <c r="D10" s="151" t="s">
        <v>292</v>
      </c>
      <c r="E10" s="150" t="s">
        <v>262</v>
      </c>
      <c r="F10" s="152" t="s">
        <v>115</v>
      </c>
      <c r="G10" s="153">
        <v>35</v>
      </c>
      <c r="H10" s="154">
        <v>21440</v>
      </c>
      <c r="I10" s="155">
        <f t="shared" ref="I10:I24" si="0">G10*H10</f>
        <v>750400</v>
      </c>
    </row>
    <row r="11" spans="1:9" s="122" customFormat="1" x14ac:dyDescent="0.2">
      <c r="A11" s="126">
        <v>4</v>
      </c>
      <c r="B11" s="150" t="s">
        <v>263</v>
      </c>
      <c r="C11" s="150" t="s">
        <v>264</v>
      </c>
      <c r="D11" s="151" t="s">
        <v>293</v>
      </c>
      <c r="E11" s="150" t="s">
        <v>265</v>
      </c>
      <c r="F11" s="152" t="s">
        <v>115</v>
      </c>
      <c r="G11" s="153">
        <v>40</v>
      </c>
      <c r="H11" s="154">
        <v>5900</v>
      </c>
      <c r="I11" s="155">
        <f t="shared" si="0"/>
        <v>236000</v>
      </c>
    </row>
    <row r="12" spans="1:9" s="122" customFormat="1" x14ac:dyDescent="0.2">
      <c r="A12" s="126">
        <v>5</v>
      </c>
      <c r="B12" s="150" t="s">
        <v>266</v>
      </c>
      <c r="C12" s="150" t="s">
        <v>257</v>
      </c>
      <c r="D12" s="151" t="s">
        <v>292</v>
      </c>
      <c r="E12" s="150" t="s">
        <v>267</v>
      </c>
      <c r="F12" s="152" t="s">
        <v>115</v>
      </c>
      <c r="G12" s="153">
        <v>25</v>
      </c>
      <c r="H12" s="154">
        <v>1200</v>
      </c>
      <c r="I12" s="155">
        <f t="shared" si="0"/>
        <v>30000</v>
      </c>
    </row>
    <row r="13" spans="1:9" s="122" customFormat="1" x14ac:dyDescent="0.2">
      <c r="A13" s="126">
        <v>6</v>
      </c>
      <c r="B13" s="150" t="s">
        <v>270</v>
      </c>
      <c r="C13" s="150" t="s">
        <v>257</v>
      </c>
      <c r="D13" s="151" t="s">
        <v>292</v>
      </c>
      <c r="E13" s="150" t="s">
        <v>271</v>
      </c>
      <c r="F13" s="152" t="s">
        <v>115</v>
      </c>
      <c r="G13" s="153">
        <v>20</v>
      </c>
      <c r="H13" s="154">
        <v>1940</v>
      </c>
      <c r="I13" s="155">
        <f t="shared" si="0"/>
        <v>38800</v>
      </c>
    </row>
    <row r="14" spans="1:9" s="122" customFormat="1" x14ac:dyDescent="0.2">
      <c r="A14" s="126">
        <v>7</v>
      </c>
      <c r="B14" s="150" t="s">
        <v>268</v>
      </c>
      <c r="C14" s="150" t="s">
        <v>257</v>
      </c>
      <c r="D14" s="151" t="s">
        <v>292</v>
      </c>
      <c r="E14" s="150" t="s">
        <v>269</v>
      </c>
      <c r="F14" s="152" t="s">
        <v>115</v>
      </c>
      <c r="G14" s="153">
        <v>20</v>
      </c>
      <c r="H14" s="154">
        <v>1200</v>
      </c>
      <c r="I14" s="155">
        <f t="shared" si="0"/>
        <v>24000</v>
      </c>
    </row>
    <row r="15" spans="1:9" s="122" customFormat="1" x14ac:dyDescent="0.2">
      <c r="A15" s="126">
        <v>8</v>
      </c>
      <c r="B15" s="150" t="s">
        <v>272</v>
      </c>
      <c r="C15" s="150" t="s">
        <v>257</v>
      </c>
      <c r="D15" s="151" t="s">
        <v>292</v>
      </c>
      <c r="E15" s="150" t="s">
        <v>273</v>
      </c>
      <c r="F15" s="152" t="s">
        <v>115</v>
      </c>
      <c r="G15" s="153">
        <v>25</v>
      </c>
      <c r="H15" s="154">
        <v>2140</v>
      </c>
      <c r="I15" s="155">
        <f t="shared" si="0"/>
        <v>53500</v>
      </c>
    </row>
    <row r="16" spans="1:9" s="122" customFormat="1" x14ac:dyDescent="0.2">
      <c r="A16" s="126">
        <v>9</v>
      </c>
      <c r="B16" s="150" t="s">
        <v>274</v>
      </c>
      <c r="C16" s="150" t="s">
        <v>257</v>
      </c>
      <c r="D16" s="151" t="s">
        <v>292</v>
      </c>
      <c r="E16" s="150" t="s">
        <v>275</v>
      </c>
      <c r="F16" s="152" t="s">
        <v>115</v>
      </c>
      <c r="G16" s="153">
        <v>20</v>
      </c>
      <c r="H16" s="154">
        <v>980</v>
      </c>
      <c r="I16" s="155">
        <f t="shared" si="0"/>
        <v>19600</v>
      </c>
    </row>
    <row r="17" spans="1:9" s="122" customFormat="1" x14ac:dyDescent="0.2">
      <c r="A17" s="126">
        <v>10</v>
      </c>
      <c r="B17" s="150" t="s">
        <v>276</v>
      </c>
      <c r="C17" s="150" t="s">
        <v>257</v>
      </c>
      <c r="D17" s="151" t="s">
        <v>292</v>
      </c>
      <c r="E17" s="150" t="s">
        <v>277</v>
      </c>
      <c r="F17" s="152" t="s">
        <v>115</v>
      </c>
      <c r="G17" s="153">
        <v>20</v>
      </c>
      <c r="H17" s="154">
        <v>760</v>
      </c>
      <c r="I17" s="155">
        <f t="shared" si="0"/>
        <v>15200</v>
      </c>
    </row>
    <row r="18" spans="1:9" s="122" customFormat="1" x14ac:dyDescent="0.2">
      <c r="A18" s="126">
        <v>11</v>
      </c>
      <c r="B18" s="150" t="s">
        <v>278</v>
      </c>
      <c r="C18" s="150" t="s">
        <v>257</v>
      </c>
      <c r="D18" s="151" t="s">
        <v>292</v>
      </c>
      <c r="E18" s="150" t="s">
        <v>279</v>
      </c>
      <c r="F18" s="152" t="s">
        <v>115</v>
      </c>
      <c r="G18" s="156">
        <v>35</v>
      </c>
      <c r="H18" s="154">
        <v>1480</v>
      </c>
      <c r="I18" s="155">
        <f t="shared" si="0"/>
        <v>51800</v>
      </c>
    </row>
    <row r="19" spans="1:9" s="122" customFormat="1" x14ac:dyDescent="0.2">
      <c r="A19" s="126">
        <v>12</v>
      </c>
      <c r="B19" s="150" t="s">
        <v>280</v>
      </c>
      <c r="C19" s="150" t="s">
        <v>257</v>
      </c>
      <c r="D19" s="151" t="s">
        <v>292</v>
      </c>
      <c r="E19" s="150" t="s">
        <v>281</v>
      </c>
      <c r="F19" s="152" t="s">
        <v>115</v>
      </c>
      <c r="G19" s="153">
        <v>35</v>
      </c>
      <c r="H19" s="154">
        <v>330</v>
      </c>
      <c r="I19" s="155">
        <f t="shared" si="0"/>
        <v>11550</v>
      </c>
    </row>
    <row r="20" spans="1:9" s="122" customFormat="1" x14ac:dyDescent="0.2">
      <c r="A20" s="126">
        <v>13</v>
      </c>
      <c r="B20" s="150" t="s">
        <v>282</v>
      </c>
      <c r="C20" s="150" t="s">
        <v>257</v>
      </c>
      <c r="D20" s="151" t="s">
        <v>292</v>
      </c>
      <c r="E20" s="150" t="s">
        <v>283</v>
      </c>
      <c r="F20" s="152" t="s">
        <v>115</v>
      </c>
      <c r="G20" s="153">
        <v>25</v>
      </c>
      <c r="H20" s="154">
        <v>340</v>
      </c>
      <c r="I20" s="155">
        <f t="shared" si="0"/>
        <v>8500</v>
      </c>
    </row>
    <row r="21" spans="1:9" s="122" customFormat="1" x14ac:dyDescent="0.2">
      <c r="A21" s="126">
        <v>14</v>
      </c>
      <c r="B21" s="150" t="s">
        <v>284</v>
      </c>
      <c r="C21" s="150" t="s">
        <v>257</v>
      </c>
      <c r="D21" s="151" t="s">
        <v>292</v>
      </c>
      <c r="E21" s="150" t="s">
        <v>285</v>
      </c>
      <c r="F21" s="152" t="s">
        <v>115</v>
      </c>
      <c r="G21" s="153">
        <v>50</v>
      </c>
      <c r="H21" s="154">
        <v>2600</v>
      </c>
      <c r="I21" s="155">
        <f t="shared" si="0"/>
        <v>130000</v>
      </c>
    </row>
    <row r="22" spans="1:9" s="122" customFormat="1" x14ac:dyDescent="0.2">
      <c r="A22" s="126">
        <v>15</v>
      </c>
      <c r="B22" s="150" t="s">
        <v>286</v>
      </c>
      <c r="C22" s="150" t="s">
        <v>257</v>
      </c>
      <c r="D22" s="151" t="s">
        <v>292</v>
      </c>
      <c r="E22" s="150" t="s">
        <v>287</v>
      </c>
      <c r="F22" s="152" t="s">
        <v>115</v>
      </c>
      <c r="G22" s="153">
        <v>35</v>
      </c>
      <c r="H22" s="154">
        <v>6950</v>
      </c>
      <c r="I22" s="155">
        <f t="shared" si="0"/>
        <v>243250</v>
      </c>
    </row>
    <row r="23" spans="1:9" s="122" customFormat="1" x14ac:dyDescent="0.2">
      <c r="A23" s="126">
        <v>16</v>
      </c>
      <c r="B23" s="150" t="s">
        <v>288</v>
      </c>
      <c r="C23" s="150" t="s">
        <v>264</v>
      </c>
      <c r="D23" s="151" t="s">
        <v>293</v>
      </c>
      <c r="E23" s="150" t="s">
        <v>289</v>
      </c>
      <c r="F23" s="152" t="s">
        <v>115</v>
      </c>
      <c r="G23" s="153">
        <v>35</v>
      </c>
      <c r="H23" s="154">
        <v>2400</v>
      </c>
      <c r="I23" s="155">
        <f t="shared" si="0"/>
        <v>84000</v>
      </c>
    </row>
    <row r="24" spans="1:9" s="122" customFormat="1" x14ac:dyDescent="0.2">
      <c r="A24" s="126">
        <v>17</v>
      </c>
      <c r="B24" s="150" t="s">
        <v>290</v>
      </c>
      <c r="C24" s="150" t="s">
        <v>257</v>
      </c>
      <c r="D24" s="151" t="s">
        <v>292</v>
      </c>
      <c r="E24" s="150" t="s">
        <v>291</v>
      </c>
      <c r="F24" s="152" t="s">
        <v>115</v>
      </c>
      <c r="G24" s="153">
        <v>15</v>
      </c>
      <c r="H24" s="154">
        <v>6480</v>
      </c>
      <c r="I24" s="155">
        <f t="shared" si="0"/>
        <v>97200</v>
      </c>
    </row>
    <row r="25" spans="1:9" ht="13.5" thickBot="1" x14ac:dyDescent="0.25">
      <c r="A25" s="157"/>
      <c r="B25" s="158"/>
      <c r="C25" s="158"/>
      <c r="D25" s="159"/>
      <c r="E25" s="158"/>
      <c r="F25" s="160"/>
      <c r="G25" s="161"/>
      <c r="H25" s="162"/>
      <c r="I25" s="162"/>
    </row>
    <row r="26" spans="1:9" x14ac:dyDescent="0.2">
      <c r="I26" s="124">
        <f>SUM(I8:I25)</f>
        <v>3114000</v>
      </c>
    </row>
    <row r="28" spans="1:9" x14ac:dyDescent="0.2">
      <c r="B28" s="27" t="s">
        <v>15</v>
      </c>
      <c r="C28" s="28"/>
      <c r="D28" s="71"/>
      <c r="E28" s="29"/>
    </row>
    <row r="29" spans="1:9" ht="5.25" customHeight="1" x14ac:dyDescent="0.2">
      <c r="B29" s="30"/>
      <c r="C29" s="31"/>
      <c r="D29" s="72"/>
      <c r="E29" s="32"/>
    </row>
    <row r="30" spans="1:9" x14ac:dyDescent="0.2">
      <c r="B30" s="33" t="s">
        <v>16</v>
      </c>
      <c r="C30" s="31"/>
      <c r="D30" s="72"/>
      <c r="E30" s="32"/>
    </row>
    <row r="31" spans="1:9" ht="25.5" customHeight="1" x14ac:dyDescent="0.2">
      <c r="B31" s="33"/>
      <c r="C31" s="194"/>
      <c r="D31" s="194"/>
      <c r="E31" s="194"/>
    </row>
    <row r="32" spans="1:9" ht="13.5" thickBot="1" x14ac:dyDescent="0.25">
      <c r="B32" s="33" t="s">
        <v>17</v>
      </c>
      <c r="C32" s="31"/>
      <c r="D32" s="72"/>
      <c r="E32" s="32"/>
      <c r="H32" s="124"/>
      <c r="I32" s="124"/>
    </row>
    <row r="33" spans="2:9" ht="13.5" thickBot="1" x14ac:dyDescent="0.25">
      <c r="B33" s="180"/>
      <c r="C33" s="181"/>
      <c r="D33" s="181"/>
      <c r="E33" s="182"/>
    </row>
    <row r="34" spans="2:9" x14ac:dyDescent="0.2">
      <c r="B34" s="33" t="s">
        <v>18</v>
      </c>
      <c r="C34" s="31"/>
      <c r="D34" s="72"/>
      <c r="E34" s="32"/>
      <c r="F34" s="123"/>
      <c r="G34" s="123"/>
      <c r="H34" s="123"/>
      <c r="I34" s="123"/>
    </row>
    <row r="35" spans="2:9" x14ac:dyDescent="0.2">
      <c r="B35" s="34"/>
      <c r="C35" s="194" t="s">
        <v>62</v>
      </c>
      <c r="D35" s="194"/>
      <c r="E35" s="194"/>
      <c r="F35" s="123"/>
      <c r="G35" s="123"/>
      <c r="H35" s="123"/>
      <c r="I35" s="123"/>
    </row>
    <row r="36" spans="2:9" x14ac:dyDescent="0.2">
      <c r="B36" s="33" t="s">
        <v>19</v>
      </c>
      <c r="C36" s="35"/>
      <c r="D36" s="35"/>
      <c r="E36" s="36"/>
      <c r="F36" s="123"/>
      <c r="G36" s="123"/>
      <c r="H36" s="123"/>
      <c r="I36" s="123"/>
    </row>
    <row r="37" spans="2:9" x14ac:dyDescent="0.2">
      <c r="B37" s="34"/>
      <c r="C37" s="194" t="s">
        <v>139</v>
      </c>
      <c r="D37" s="194"/>
      <c r="E37" s="194"/>
      <c r="F37" s="123"/>
      <c r="G37" s="123"/>
      <c r="H37" s="123"/>
      <c r="I37" s="123"/>
    </row>
    <row r="38" spans="2:9" x14ac:dyDescent="0.2">
      <c r="B38" s="33"/>
      <c r="C38" s="31"/>
      <c r="D38" s="72"/>
      <c r="E38" s="32"/>
      <c r="F38" s="123"/>
      <c r="G38" s="123"/>
      <c r="H38" s="123"/>
      <c r="I38" s="123"/>
    </row>
    <row r="39" spans="2:9" x14ac:dyDescent="0.2">
      <c r="B39" s="33"/>
      <c r="C39" s="193" t="s">
        <v>63</v>
      </c>
      <c r="D39" s="193"/>
      <c r="E39" s="193"/>
      <c r="F39" s="123"/>
      <c r="G39" s="123"/>
      <c r="H39" s="123"/>
      <c r="I39" s="123"/>
    </row>
    <row r="40" spans="2:9" ht="13.5" thickBot="1" x14ac:dyDescent="0.25">
      <c r="B40" s="37"/>
      <c r="C40" s="38"/>
      <c r="D40" s="73"/>
      <c r="E40" s="39"/>
      <c r="F40" s="123"/>
      <c r="G40" s="123"/>
      <c r="H40" s="123"/>
      <c r="I40" s="123"/>
    </row>
    <row r="41" spans="2:9" ht="13.5" thickBot="1" x14ac:dyDescent="0.25">
      <c r="F41" s="123"/>
      <c r="G41" s="123"/>
      <c r="H41" s="123"/>
      <c r="I41" s="123"/>
    </row>
    <row r="42" spans="2:9" x14ac:dyDescent="0.2">
      <c r="B42" s="27" t="s">
        <v>21</v>
      </c>
      <c r="C42" s="28"/>
      <c r="D42" s="71"/>
      <c r="E42" s="29"/>
      <c r="F42" s="123"/>
      <c r="G42" s="123"/>
      <c r="H42" s="123"/>
      <c r="I42" s="123"/>
    </row>
    <row r="43" spans="2:9" x14ac:dyDescent="0.2">
      <c r="B43" s="30"/>
      <c r="C43" s="31"/>
      <c r="D43" s="72"/>
      <c r="E43" s="32"/>
      <c r="F43" s="123"/>
      <c r="G43" s="123"/>
      <c r="H43" s="123"/>
      <c r="I43" s="123"/>
    </row>
    <row r="44" spans="2:9" x14ac:dyDescent="0.2">
      <c r="B44" s="33" t="s">
        <v>16</v>
      </c>
      <c r="C44" s="31"/>
      <c r="D44" s="72"/>
      <c r="E44" s="32"/>
      <c r="F44" s="123"/>
      <c r="G44" s="123"/>
      <c r="H44" s="123"/>
      <c r="I44" s="123"/>
    </row>
    <row r="45" spans="2:9" x14ac:dyDescent="0.2">
      <c r="B45" s="33"/>
      <c r="C45" s="194"/>
      <c r="D45" s="194"/>
      <c r="E45" s="194"/>
      <c r="F45" s="123"/>
      <c r="G45" s="123"/>
      <c r="H45" s="123"/>
      <c r="I45" s="123"/>
    </row>
    <row r="46" spans="2:9" x14ac:dyDescent="0.2">
      <c r="B46" s="33" t="s">
        <v>17</v>
      </c>
      <c r="C46" s="31"/>
      <c r="D46" s="72"/>
      <c r="E46" s="32"/>
      <c r="F46" s="123"/>
      <c r="G46" s="123"/>
      <c r="H46" s="123"/>
      <c r="I46" s="123"/>
    </row>
    <row r="47" spans="2:9" x14ac:dyDescent="0.2">
      <c r="B47" s="33" t="s">
        <v>18</v>
      </c>
      <c r="C47" s="31"/>
      <c r="D47" s="72"/>
      <c r="E47" s="32"/>
      <c r="F47" s="123"/>
      <c r="G47" s="123"/>
      <c r="H47" s="123"/>
      <c r="I47" s="123"/>
    </row>
    <row r="48" spans="2:9" x14ac:dyDescent="0.2">
      <c r="B48" s="34"/>
      <c r="C48" s="194" t="s">
        <v>62</v>
      </c>
      <c r="D48" s="194"/>
      <c r="E48" s="194"/>
      <c r="F48" s="123"/>
      <c r="G48" s="123"/>
      <c r="H48" s="123"/>
      <c r="I48" s="123"/>
    </row>
    <row r="49" spans="2:9" x14ac:dyDescent="0.2">
      <c r="B49" s="33" t="s">
        <v>19</v>
      </c>
      <c r="C49" s="35"/>
      <c r="D49" s="35"/>
      <c r="E49" s="36"/>
      <c r="F49" s="123"/>
      <c r="G49" s="123"/>
      <c r="H49" s="123"/>
      <c r="I49" s="123"/>
    </row>
    <row r="50" spans="2:9" x14ac:dyDescent="0.2">
      <c r="B50" s="34"/>
      <c r="C50" s="194" t="s">
        <v>139</v>
      </c>
      <c r="D50" s="194"/>
      <c r="E50" s="194"/>
      <c r="F50" s="123"/>
      <c r="G50" s="123"/>
      <c r="H50" s="123"/>
      <c r="I50" s="123"/>
    </row>
    <row r="51" spans="2:9" x14ac:dyDescent="0.2">
      <c r="B51" s="33" t="s">
        <v>20</v>
      </c>
      <c r="C51" s="31"/>
      <c r="D51" s="72"/>
      <c r="E51" s="32"/>
      <c r="F51" s="123"/>
      <c r="G51" s="123"/>
      <c r="H51" s="123"/>
      <c r="I51" s="123"/>
    </row>
    <row r="52" spans="2:9" x14ac:dyDescent="0.2">
      <c r="B52" s="33"/>
      <c r="C52" s="193" t="s">
        <v>63</v>
      </c>
      <c r="D52" s="193"/>
      <c r="E52" s="193"/>
      <c r="F52" s="123"/>
      <c r="G52" s="123"/>
      <c r="H52" s="123"/>
      <c r="I52" s="123"/>
    </row>
    <row r="53" spans="2:9" ht="13.5" thickBot="1" x14ac:dyDescent="0.25">
      <c r="B53" s="37"/>
      <c r="C53" s="38"/>
      <c r="D53" s="73"/>
      <c r="E53" s="39"/>
      <c r="F53" s="123"/>
      <c r="G53" s="123"/>
      <c r="H53" s="123"/>
      <c r="I53" s="123"/>
    </row>
    <row r="54" spans="2:9" ht="13.5" thickBot="1" x14ac:dyDescent="0.25">
      <c r="F54" s="123"/>
      <c r="G54" s="123"/>
      <c r="H54" s="123"/>
      <c r="I54" s="123"/>
    </row>
    <row r="55" spans="2:9" x14ac:dyDescent="0.2">
      <c r="B55" s="27" t="s">
        <v>64</v>
      </c>
      <c r="C55" s="28"/>
      <c r="D55" s="71"/>
      <c r="E55" s="29"/>
      <c r="F55" s="123"/>
      <c r="G55" s="123"/>
      <c r="H55" s="123"/>
      <c r="I55" s="123"/>
    </row>
    <row r="56" spans="2:9" x14ac:dyDescent="0.2">
      <c r="B56" s="30"/>
      <c r="C56" s="31"/>
      <c r="D56" s="72"/>
      <c r="E56" s="32"/>
      <c r="F56" s="123"/>
      <c r="G56" s="123"/>
      <c r="H56" s="123"/>
      <c r="I56" s="123"/>
    </row>
    <row r="57" spans="2:9" x14ac:dyDescent="0.2">
      <c r="B57" s="33" t="s">
        <v>16</v>
      </c>
      <c r="C57" s="31"/>
      <c r="D57" s="72"/>
      <c r="E57" s="32"/>
      <c r="F57" s="123"/>
      <c r="G57" s="123"/>
      <c r="H57" s="123"/>
      <c r="I57" s="123"/>
    </row>
    <row r="58" spans="2:9" x14ac:dyDescent="0.2">
      <c r="B58" s="33"/>
      <c r="C58" s="184"/>
      <c r="D58" s="184"/>
      <c r="E58" s="185"/>
      <c r="F58" s="123"/>
      <c r="G58" s="123"/>
      <c r="H58" s="123"/>
      <c r="I58" s="123"/>
    </row>
    <row r="59" spans="2:9" x14ac:dyDescent="0.2">
      <c r="B59" s="33" t="s">
        <v>17</v>
      </c>
      <c r="C59" s="31"/>
      <c r="D59" s="72"/>
      <c r="E59" s="32"/>
      <c r="F59" s="123"/>
      <c r="G59" s="123"/>
      <c r="H59" s="123"/>
      <c r="I59" s="123"/>
    </row>
    <row r="60" spans="2:9" x14ac:dyDescent="0.2">
      <c r="B60" s="33" t="s">
        <v>18</v>
      </c>
      <c r="C60" s="31"/>
      <c r="D60" s="72"/>
      <c r="E60" s="32"/>
      <c r="F60" s="123"/>
      <c r="G60" s="123"/>
      <c r="H60" s="123"/>
      <c r="I60" s="123"/>
    </row>
    <row r="61" spans="2:9" x14ac:dyDescent="0.2">
      <c r="B61" s="34"/>
      <c r="C61" s="194" t="s">
        <v>62</v>
      </c>
      <c r="D61" s="194"/>
      <c r="E61" s="194"/>
      <c r="F61" s="123"/>
      <c r="G61" s="123"/>
      <c r="H61" s="123"/>
      <c r="I61" s="123"/>
    </row>
    <row r="62" spans="2:9" x14ac:dyDescent="0.2">
      <c r="B62" s="33" t="s">
        <v>19</v>
      </c>
      <c r="C62" s="35"/>
      <c r="D62" s="35"/>
      <c r="E62" s="36"/>
      <c r="F62" s="123"/>
      <c r="G62" s="123"/>
      <c r="H62" s="123"/>
      <c r="I62" s="123"/>
    </row>
    <row r="63" spans="2:9" x14ac:dyDescent="0.2">
      <c r="B63" s="34"/>
      <c r="C63" s="194" t="s">
        <v>139</v>
      </c>
      <c r="D63" s="194"/>
      <c r="E63" s="194"/>
      <c r="F63" s="123"/>
      <c r="G63" s="123"/>
      <c r="H63" s="123"/>
      <c r="I63" s="123"/>
    </row>
    <row r="64" spans="2:9" x14ac:dyDescent="0.2">
      <c r="B64" s="33" t="s">
        <v>20</v>
      </c>
      <c r="C64" s="31"/>
      <c r="D64" s="72"/>
      <c r="E64" s="32"/>
      <c r="F64" s="123"/>
      <c r="G64" s="123"/>
      <c r="H64" s="123"/>
      <c r="I64" s="123"/>
    </row>
    <row r="65" spans="2:9" x14ac:dyDescent="0.2">
      <c r="B65" s="33"/>
      <c r="C65" s="193" t="s">
        <v>63</v>
      </c>
      <c r="D65" s="193"/>
      <c r="E65" s="193"/>
      <c r="F65" s="123"/>
      <c r="G65" s="123"/>
      <c r="H65" s="123"/>
      <c r="I65" s="123"/>
    </row>
    <row r="66" spans="2:9" ht="13.5" thickBot="1" x14ac:dyDescent="0.25">
      <c r="B66" s="37"/>
      <c r="C66" s="38"/>
      <c r="D66" s="73"/>
      <c r="E66" s="39"/>
      <c r="F66" s="123"/>
      <c r="G66" s="123"/>
      <c r="H66" s="123"/>
      <c r="I66" s="123"/>
    </row>
    <row r="67" spans="2:9" ht="13.5" thickBot="1" x14ac:dyDescent="0.25">
      <c r="F67" s="123"/>
      <c r="G67" s="123"/>
      <c r="H67" s="123"/>
      <c r="I67" s="123"/>
    </row>
    <row r="68" spans="2:9" x14ac:dyDescent="0.2">
      <c r="B68" s="27" t="s">
        <v>140</v>
      </c>
      <c r="C68" s="28"/>
      <c r="D68" s="71"/>
      <c r="E68" s="29"/>
      <c r="F68" s="123"/>
      <c r="G68" s="123"/>
      <c r="H68" s="123"/>
      <c r="I68" s="123"/>
    </row>
    <row r="69" spans="2:9" x14ac:dyDescent="0.2">
      <c r="B69" s="30"/>
      <c r="C69" s="31"/>
      <c r="D69" s="72"/>
      <c r="E69" s="32"/>
      <c r="F69" s="123"/>
      <c r="G69" s="123"/>
      <c r="H69" s="123"/>
      <c r="I69" s="123"/>
    </row>
    <row r="70" spans="2:9" x14ac:dyDescent="0.2">
      <c r="B70" s="33" t="s">
        <v>16</v>
      </c>
      <c r="C70" s="31"/>
      <c r="D70" s="72"/>
      <c r="E70" s="32"/>
      <c r="F70" s="123"/>
      <c r="G70" s="123"/>
      <c r="H70" s="123"/>
      <c r="I70" s="123"/>
    </row>
    <row r="71" spans="2:9" x14ac:dyDescent="0.2">
      <c r="B71" s="33"/>
      <c r="C71" s="184"/>
      <c r="D71" s="184"/>
      <c r="E71" s="185"/>
      <c r="F71" s="123"/>
      <c r="G71" s="123"/>
      <c r="H71" s="123"/>
      <c r="I71" s="123"/>
    </row>
    <row r="72" spans="2:9" x14ac:dyDescent="0.2">
      <c r="B72" s="33" t="s">
        <v>17</v>
      </c>
      <c r="C72" s="31"/>
      <c r="D72" s="72"/>
      <c r="E72" s="32"/>
      <c r="F72" s="123"/>
      <c r="G72" s="123"/>
      <c r="H72" s="123"/>
      <c r="I72" s="123"/>
    </row>
    <row r="73" spans="2:9" x14ac:dyDescent="0.2">
      <c r="B73" s="33" t="s">
        <v>18</v>
      </c>
      <c r="C73" s="31"/>
      <c r="D73" s="72"/>
      <c r="E73" s="32"/>
      <c r="F73" s="123"/>
      <c r="G73" s="123"/>
      <c r="H73" s="123"/>
      <c r="I73" s="123"/>
    </row>
    <row r="74" spans="2:9" x14ac:dyDescent="0.2">
      <c r="B74" s="34"/>
      <c r="C74" s="194" t="s">
        <v>62</v>
      </c>
      <c r="D74" s="194"/>
      <c r="E74" s="194"/>
      <c r="F74" s="123"/>
      <c r="G74" s="123"/>
      <c r="H74" s="123"/>
      <c r="I74" s="123"/>
    </row>
    <row r="75" spans="2:9" x14ac:dyDescent="0.2">
      <c r="B75" s="33" t="s">
        <v>19</v>
      </c>
      <c r="C75" s="35"/>
      <c r="D75" s="35"/>
      <c r="E75" s="36"/>
      <c r="F75" s="123"/>
      <c r="G75" s="123"/>
      <c r="H75" s="123"/>
      <c r="I75" s="123"/>
    </row>
    <row r="76" spans="2:9" x14ac:dyDescent="0.2">
      <c r="B76" s="34"/>
      <c r="C76" s="194" t="s">
        <v>139</v>
      </c>
      <c r="D76" s="194"/>
      <c r="E76" s="194"/>
      <c r="F76" s="123"/>
      <c r="G76" s="123"/>
      <c r="H76" s="123"/>
      <c r="I76" s="123"/>
    </row>
    <row r="77" spans="2:9" x14ac:dyDescent="0.2">
      <c r="B77" s="33" t="s">
        <v>20</v>
      </c>
      <c r="C77" s="31"/>
      <c r="D77" s="72"/>
      <c r="E77" s="32"/>
      <c r="F77" s="123"/>
      <c r="G77" s="123"/>
      <c r="H77" s="123"/>
      <c r="I77" s="123"/>
    </row>
    <row r="78" spans="2:9" x14ac:dyDescent="0.2">
      <c r="B78" s="33"/>
      <c r="C78" s="193" t="s">
        <v>63</v>
      </c>
      <c r="D78" s="193"/>
      <c r="E78" s="193"/>
      <c r="F78" s="123"/>
      <c r="G78" s="123"/>
      <c r="H78" s="123"/>
      <c r="I78" s="123"/>
    </row>
    <row r="79" spans="2:9" ht="13.5" thickBot="1" x14ac:dyDescent="0.25">
      <c r="B79" s="37"/>
      <c r="C79" s="38"/>
      <c r="D79" s="73"/>
      <c r="E79" s="39"/>
      <c r="F79" s="123"/>
      <c r="G79" s="123"/>
      <c r="H79" s="123"/>
      <c r="I79" s="123"/>
    </row>
    <row r="80" spans="2:9" ht="13.5" thickBot="1" x14ac:dyDescent="0.25">
      <c r="F80" s="123"/>
      <c r="G80" s="123"/>
      <c r="H80" s="123"/>
      <c r="I80" s="123"/>
    </row>
    <row r="81" spans="2:9" x14ac:dyDescent="0.2">
      <c r="B81" s="27" t="s">
        <v>141</v>
      </c>
      <c r="C81" s="28"/>
      <c r="D81" s="71"/>
      <c r="E81" s="29"/>
      <c r="F81" s="123"/>
      <c r="G81" s="123"/>
      <c r="H81" s="123"/>
      <c r="I81" s="123"/>
    </row>
    <row r="82" spans="2:9" x14ac:dyDescent="0.2">
      <c r="B82" s="30"/>
      <c r="C82" s="31"/>
      <c r="D82" s="72"/>
      <c r="E82" s="32"/>
      <c r="F82" s="123"/>
      <c r="G82" s="123"/>
      <c r="H82" s="123"/>
      <c r="I82" s="123"/>
    </row>
    <row r="83" spans="2:9" x14ac:dyDescent="0.2">
      <c r="B83" s="33" t="s">
        <v>16</v>
      </c>
      <c r="C83" s="31"/>
      <c r="D83" s="72"/>
      <c r="E83" s="32"/>
      <c r="F83" s="123"/>
      <c r="G83" s="123"/>
      <c r="H83" s="123"/>
      <c r="I83" s="123"/>
    </row>
    <row r="84" spans="2:9" x14ac:dyDescent="0.2">
      <c r="B84" s="33"/>
      <c r="C84" s="194"/>
      <c r="D84" s="194"/>
      <c r="E84" s="194"/>
      <c r="F84" s="123"/>
      <c r="G84" s="123"/>
      <c r="H84" s="123"/>
      <c r="I84" s="123"/>
    </row>
    <row r="85" spans="2:9" x14ac:dyDescent="0.2">
      <c r="B85" s="33" t="s">
        <v>17</v>
      </c>
      <c r="C85" s="31"/>
      <c r="D85" s="72"/>
      <c r="E85" s="32"/>
      <c r="F85" s="123"/>
      <c r="G85" s="123"/>
      <c r="H85" s="123"/>
      <c r="I85" s="123"/>
    </row>
    <row r="86" spans="2:9" x14ac:dyDescent="0.2">
      <c r="B86" s="33" t="s">
        <v>18</v>
      </c>
      <c r="C86" s="31"/>
      <c r="D86" s="72"/>
      <c r="E86" s="32"/>
      <c r="F86" s="123"/>
      <c r="G86" s="123"/>
      <c r="H86" s="123"/>
      <c r="I86" s="123"/>
    </row>
    <row r="87" spans="2:9" x14ac:dyDescent="0.2">
      <c r="B87" s="34"/>
      <c r="C87" s="194" t="s">
        <v>62</v>
      </c>
      <c r="D87" s="194"/>
      <c r="E87" s="194"/>
      <c r="F87" s="123"/>
      <c r="G87" s="123"/>
      <c r="H87" s="123"/>
      <c r="I87" s="123"/>
    </row>
    <row r="88" spans="2:9" x14ac:dyDescent="0.2">
      <c r="B88" s="33" t="s">
        <v>19</v>
      </c>
      <c r="C88" s="35"/>
      <c r="D88" s="35"/>
      <c r="E88" s="36"/>
      <c r="F88" s="123"/>
      <c r="G88" s="123"/>
      <c r="H88" s="123"/>
      <c r="I88" s="123"/>
    </row>
    <row r="89" spans="2:9" x14ac:dyDescent="0.2">
      <c r="B89" s="34"/>
      <c r="C89" s="194" t="s">
        <v>139</v>
      </c>
      <c r="D89" s="194"/>
      <c r="E89" s="194"/>
      <c r="F89" s="123"/>
      <c r="G89" s="123"/>
      <c r="H89" s="123"/>
      <c r="I89" s="123"/>
    </row>
    <row r="90" spans="2:9" x14ac:dyDescent="0.2">
      <c r="B90" s="33" t="s">
        <v>20</v>
      </c>
      <c r="C90" s="31"/>
      <c r="D90" s="72"/>
      <c r="E90" s="32"/>
      <c r="F90" s="123"/>
      <c r="G90" s="123"/>
      <c r="H90" s="123"/>
      <c r="I90" s="123"/>
    </row>
    <row r="91" spans="2:9" x14ac:dyDescent="0.2">
      <c r="B91" s="33"/>
      <c r="C91" s="193" t="s">
        <v>63</v>
      </c>
      <c r="D91" s="193"/>
      <c r="E91" s="193"/>
      <c r="F91" s="123"/>
      <c r="G91" s="123"/>
      <c r="H91" s="123"/>
      <c r="I91" s="123"/>
    </row>
    <row r="92" spans="2:9" ht="13.5" thickBot="1" x14ac:dyDescent="0.25">
      <c r="B92" s="37"/>
      <c r="C92" s="38"/>
      <c r="D92" s="73"/>
      <c r="E92" s="39"/>
      <c r="F92" s="123"/>
      <c r="G92" s="123"/>
      <c r="H92" s="123"/>
      <c r="I92" s="123"/>
    </row>
    <row r="93" spans="2:9" ht="13.5" thickBot="1" x14ac:dyDescent="0.25">
      <c r="F93" s="123"/>
      <c r="G93" s="123"/>
      <c r="H93" s="123"/>
      <c r="I93" s="123"/>
    </row>
    <row r="94" spans="2:9" x14ac:dyDescent="0.2">
      <c r="B94" s="27" t="s">
        <v>142</v>
      </c>
      <c r="C94" s="28"/>
      <c r="D94" s="71"/>
      <c r="E94" s="29"/>
      <c r="F94" s="123"/>
      <c r="G94" s="123"/>
      <c r="H94" s="123"/>
      <c r="I94" s="123"/>
    </row>
    <row r="95" spans="2:9" x14ac:dyDescent="0.2">
      <c r="B95" s="30"/>
      <c r="C95" s="31"/>
      <c r="D95" s="72"/>
      <c r="E95" s="32"/>
      <c r="F95" s="123"/>
      <c r="G95" s="123"/>
      <c r="H95" s="123"/>
      <c r="I95" s="123"/>
    </row>
    <row r="96" spans="2:9" x14ac:dyDescent="0.2">
      <c r="B96" s="33" t="s">
        <v>16</v>
      </c>
      <c r="C96" s="31"/>
      <c r="D96" s="72"/>
      <c r="E96" s="32"/>
      <c r="F96" s="123"/>
      <c r="G96" s="123"/>
      <c r="H96" s="123"/>
      <c r="I96" s="123"/>
    </row>
    <row r="97" spans="2:9" x14ac:dyDescent="0.2">
      <c r="B97" s="33"/>
      <c r="C97" s="194"/>
      <c r="D97" s="194"/>
      <c r="E97" s="194"/>
      <c r="F97" s="123"/>
      <c r="G97" s="123"/>
      <c r="H97" s="123"/>
      <c r="I97" s="123"/>
    </row>
    <row r="98" spans="2:9" x14ac:dyDescent="0.2">
      <c r="B98" s="33" t="s">
        <v>17</v>
      </c>
      <c r="C98" s="31"/>
      <c r="D98" s="72"/>
      <c r="E98" s="32"/>
      <c r="F98" s="123"/>
      <c r="G98" s="123"/>
      <c r="H98" s="123"/>
      <c r="I98" s="123"/>
    </row>
    <row r="99" spans="2:9" x14ac:dyDescent="0.2">
      <c r="B99" s="33" t="s">
        <v>18</v>
      </c>
      <c r="C99" s="31"/>
      <c r="D99" s="72"/>
      <c r="E99" s="32"/>
      <c r="F99" s="123"/>
      <c r="G99" s="123"/>
      <c r="H99" s="123"/>
      <c r="I99" s="123"/>
    </row>
    <row r="100" spans="2:9" x14ac:dyDescent="0.2">
      <c r="B100" s="34"/>
      <c r="C100" s="194" t="s">
        <v>62</v>
      </c>
      <c r="D100" s="194"/>
      <c r="E100" s="194"/>
      <c r="F100" s="123"/>
      <c r="G100" s="123"/>
      <c r="H100" s="123"/>
      <c r="I100" s="123"/>
    </row>
    <row r="101" spans="2:9" x14ac:dyDescent="0.2">
      <c r="B101" s="33" t="s">
        <v>19</v>
      </c>
      <c r="C101" s="35"/>
      <c r="D101" s="35"/>
      <c r="E101" s="36"/>
      <c r="F101" s="123"/>
      <c r="G101" s="123"/>
      <c r="H101" s="123"/>
      <c r="I101" s="123"/>
    </row>
    <row r="102" spans="2:9" x14ac:dyDescent="0.2">
      <c r="B102" s="34"/>
      <c r="C102" s="194" t="s">
        <v>139</v>
      </c>
      <c r="D102" s="194"/>
      <c r="E102" s="194"/>
      <c r="F102" s="123"/>
      <c r="G102" s="123"/>
      <c r="H102" s="123"/>
      <c r="I102" s="123"/>
    </row>
    <row r="103" spans="2:9" x14ac:dyDescent="0.2">
      <c r="B103" s="33" t="s">
        <v>20</v>
      </c>
      <c r="C103" s="31"/>
      <c r="D103" s="72"/>
      <c r="E103" s="32"/>
      <c r="F103" s="123"/>
      <c r="G103" s="123"/>
      <c r="H103" s="123"/>
      <c r="I103" s="123"/>
    </row>
    <row r="104" spans="2:9" x14ac:dyDescent="0.2">
      <c r="B104" s="33"/>
      <c r="C104" s="193" t="s">
        <v>63</v>
      </c>
      <c r="D104" s="193"/>
      <c r="E104" s="193"/>
      <c r="F104" s="123"/>
      <c r="G104" s="123"/>
      <c r="H104" s="123"/>
      <c r="I104" s="123"/>
    </row>
    <row r="105" spans="2:9" ht="13.5" thickBot="1" x14ac:dyDescent="0.25">
      <c r="B105" s="37"/>
      <c r="C105" s="38"/>
      <c r="D105" s="73"/>
      <c r="E105" s="39"/>
      <c r="F105" s="123"/>
      <c r="G105" s="123"/>
      <c r="H105" s="123"/>
      <c r="I105" s="123"/>
    </row>
    <row r="106" spans="2:9" ht="13.5" thickBot="1" x14ac:dyDescent="0.25">
      <c r="F106" s="123"/>
      <c r="G106" s="123"/>
      <c r="H106" s="123"/>
      <c r="I106" s="123"/>
    </row>
    <row r="107" spans="2:9" x14ac:dyDescent="0.2">
      <c r="B107" s="27" t="s">
        <v>143</v>
      </c>
      <c r="C107" s="28"/>
      <c r="D107" s="71"/>
      <c r="E107" s="29"/>
      <c r="F107" s="123"/>
      <c r="G107" s="123"/>
      <c r="H107" s="123"/>
      <c r="I107" s="123"/>
    </row>
    <row r="108" spans="2:9" x14ac:dyDescent="0.2">
      <c r="B108" s="30"/>
      <c r="C108" s="31"/>
      <c r="D108" s="72"/>
      <c r="E108" s="32"/>
      <c r="F108" s="123"/>
      <c r="G108" s="123"/>
      <c r="H108" s="123"/>
      <c r="I108" s="123"/>
    </row>
    <row r="109" spans="2:9" x14ac:dyDescent="0.2">
      <c r="B109" s="33" t="s">
        <v>16</v>
      </c>
      <c r="C109" s="31"/>
      <c r="D109" s="72"/>
      <c r="E109" s="32"/>
      <c r="F109" s="123"/>
      <c r="G109" s="123"/>
      <c r="H109" s="123"/>
      <c r="I109" s="123"/>
    </row>
    <row r="110" spans="2:9" x14ac:dyDescent="0.2">
      <c r="B110" s="33"/>
      <c r="C110" s="194"/>
      <c r="D110" s="194"/>
      <c r="E110" s="194"/>
      <c r="F110" s="123"/>
      <c r="G110" s="123"/>
      <c r="H110" s="123"/>
      <c r="I110" s="123"/>
    </row>
    <row r="111" spans="2:9" x14ac:dyDescent="0.2">
      <c r="B111" s="33" t="s">
        <v>17</v>
      </c>
      <c r="C111" s="31"/>
      <c r="D111" s="72"/>
      <c r="E111" s="32"/>
      <c r="F111" s="123"/>
      <c r="G111" s="123"/>
      <c r="H111" s="123"/>
      <c r="I111" s="123"/>
    </row>
    <row r="112" spans="2:9" x14ac:dyDescent="0.2">
      <c r="B112" s="33" t="s">
        <v>18</v>
      </c>
      <c r="C112" s="31"/>
      <c r="D112" s="72"/>
      <c r="E112" s="32"/>
      <c r="F112" s="123"/>
      <c r="G112" s="123"/>
      <c r="H112" s="123"/>
      <c r="I112" s="123"/>
    </row>
    <row r="113" spans="2:9" x14ac:dyDescent="0.2">
      <c r="B113" s="34"/>
      <c r="C113" s="194" t="s">
        <v>62</v>
      </c>
      <c r="D113" s="194"/>
      <c r="E113" s="194"/>
      <c r="F113" s="123"/>
      <c r="G113" s="123"/>
      <c r="H113" s="123"/>
      <c r="I113" s="123"/>
    </row>
    <row r="114" spans="2:9" x14ac:dyDescent="0.2">
      <c r="B114" s="33" t="s">
        <v>19</v>
      </c>
      <c r="C114" s="35"/>
      <c r="D114" s="35"/>
      <c r="E114" s="36"/>
      <c r="F114" s="123"/>
      <c r="G114" s="123"/>
      <c r="H114" s="123"/>
      <c r="I114" s="123"/>
    </row>
    <row r="115" spans="2:9" x14ac:dyDescent="0.2">
      <c r="B115" s="34"/>
      <c r="C115" s="194" t="s">
        <v>139</v>
      </c>
      <c r="D115" s="194"/>
      <c r="E115" s="194"/>
      <c r="F115" s="123"/>
      <c r="G115" s="123"/>
      <c r="H115" s="123"/>
      <c r="I115" s="123"/>
    </row>
    <row r="116" spans="2:9" x14ac:dyDescent="0.2">
      <c r="B116" s="33" t="s">
        <v>20</v>
      </c>
      <c r="C116" s="31"/>
      <c r="D116" s="72"/>
      <c r="E116" s="32"/>
      <c r="F116" s="123"/>
      <c r="G116" s="123"/>
      <c r="H116" s="123"/>
      <c r="I116" s="123"/>
    </row>
    <row r="117" spans="2:9" x14ac:dyDescent="0.2">
      <c r="B117" s="33"/>
      <c r="C117" s="193" t="s">
        <v>63</v>
      </c>
      <c r="D117" s="193"/>
      <c r="E117" s="193"/>
      <c r="F117" s="123"/>
      <c r="G117" s="123"/>
      <c r="H117" s="123"/>
      <c r="I117" s="123"/>
    </row>
    <row r="118" spans="2:9" ht="13.5" thickBot="1" x14ac:dyDescent="0.25">
      <c r="B118" s="37"/>
      <c r="C118" s="38"/>
      <c r="D118" s="73"/>
      <c r="E118" s="39"/>
      <c r="F118" s="123"/>
      <c r="G118" s="123"/>
      <c r="H118" s="123"/>
      <c r="I118" s="123"/>
    </row>
    <row r="119" spans="2:9" ht="13.5" thickBot="1" x14ac:dyDescent="0.25">
      <c r="F119" s="123"/>
      <c r="G119" s="123"/>
      <c r="H119" s="123"/>
      <c r="I119" s="123"/>
    </row>
    <row r="120" spans="2:9" x14ac:dyDescent="0.2">
      <c r="B120" s="27" t="s">
        <v>144</v>
      </c>
      <c r="C120" s="28"/>
      <c r="D120" s="71"/>
      <c r="E120" s="29"/>
      <c r="F120" s="123"/>
      <c r="G120" s="123"/>
      <c r="H120" s="123"/>
      <c r="I120" s="123"/>
    </row>
    <row r="121" spans="2:9" x14ac:dyDescent="0.2">
      <c r="B121" s="30"/>
      <c r="C121" s="31"/>
      <c r="D121" s="72"/>
      <c r="E121" s="32"/>
      <c r="F121" s="123"/>
      <c r="G121" s="123"/>
      <c r="H121" s="123"/>
      <c r="I121" s="123"/>
    </row>
    <row r="122" spans="2:9" x14ac:dyDescent="0.2">
      <c r="B122" s="33" t="s">
        <v>16</v>
      </c>
      <c r="C122" s="31"/>
      <c r="D122" s="72"/>
      <c r="E122" s="32"/>
      <c r="F122" s="123"/>
      <c r="G122" s="123"/>
      <c r="H122" s="123"/>
      <c r="I122" s="123"/>
    </row>
    <row r="123" spans="2:9" x14ac:dyDescent="0.2">
      <c r="B123" s="33"/>
      <c r="C123" s="184"/>
      <c r="D123" s="184"/>
      <c r="E123" s="185"/>
      <c r="F123" s="123"/>
      <c r="G123" s="123"/>
      <c r="H123" s="123"/>
      <c r="I123" s="123"/>
    </row>
    <row r="124" spans="2:9" x14ac:dyDescent="0.2">
      <c r="B124" s="33" t="s">
        <v>17</v>
      </c>
      <c r="C124" s="31"/>
      <c r="D124" s="72"/>
      <c r="E124" s="32"/>
      <c r="F124" s="123"/>
      <c r="G124" s="123"/>
      <c r="H124" s="123"/>
      <c r="I124" s="123"/>
    </row>
    <row r="125" spans="2:9" x14ac:dyDescent="0.2">
      <c r="B125" s="33" t="s">
        <v>18</v>
      </c>
      <c r="C125" s="31"/>
      <c r="D125" s="72"/>
      <c r="E125" s="32"/>
      <c r="F125" s="123"/>
      <c r="G125" s="123"/>
      <c r="H125" s="123"/>
      <c r="I125" s="123"/>
    </row>
    <row r="126" spans="2:9" x14ac:dyDescent="0.2">
      <c r="B126" s="34"/>
      <c r="C126" s="194" t="s">
        <v>62</v>
      </c>
      <c r="D126" s="194"/>
      <c r="E126" s="194"/>
      <c r="F126" s="123"/>
      <c r="G126" s="123"/>
      <c r="H126" s="123"/>
      <c r="I126" s="123"/>
    </row>
    <row r="127" spans="2:9" x14ac:dyDescent="0.2">
      <c r="B127" s="33" t="s">
        <v>19</v>
      </c>
      <c r="C127" s="35"/>
      <c r="D127" s="35"/>
      <c r="E127" s="36"/>
      <c r="F127" s="123"/>
      <c r="G127" s="123"/>
      <c r="H127" s="123"/>
      <c r="I127" s="123"/>
    </row>
    <row r="128" spans="2:9" x14ac:dyDescent="0.2">
      <c r="B128" s="34"/>
      <c r="C128" s="194" t="s">
        <v>139</v>
      </c>
      <c r="D128" s="194"/>
      <c r="E128" s="194"/>
      <c r="F128" s="123"/>
      <c r="G128" s="123"/>
      <c r="H128" s="123"/>
      <c r="I128" s="123"/>
    </row>
    <row r="129" spans="2:9" x14ac:dyDescent="0.2">
      <c r="B129" s="33" t="s">
        <v>20</v>
      </c>
      <c r="C129" s="31"/>
      <c r="D129" s="72"/>
      <c r="E129" s="32"/>
      <c r="F129" s="123"/>
      <c r="G129" s="123"/>
      <c r="H129" s="123"/>
      <c r="I129" s="123"/>
    </row>
    <row r="130" spans="2:9" x14ac:dyDescent="0.2">
      <c r="B130" s="33"/>
      <c r="C130" s="193" t="s">
        <v>63</v>
      </c>
      <c r="D130" s="193"/>
      <c r="E130" s="193"/>
      <c r="F130" s="123"/>
      <c r="G130" s="123"/>
      <c r="H130" s="123"/>
      <c r="I130" s="123"/>
    </row>
    <row r="131" spans="2:9" ht="13.5" thickBot="1" x14ac:dyDescent="0.25">
      <c r="B131" s="37"/>
      <c r="C131" s="38"/>
      <c r="D131" s="73"/>
      <c r="E131" s="39"/>
      <c r="F131" s="123"/>
      <c r="G131" s="123"/>
      <c r="H131" s="123"/>
      <c r="I131" s="123"/>
    </row>
    <row r="132" spans="2:9" ht="13.5" thickBot="1" x14ac:dyDescent="0.25">
      <c r="F132" s="123"/>
      <c r="G132" s="123"/>
      <c r="H132" s="123"/>
      <c r="I132" s="123"/>
    </row>
    <row r="133" spans="2:9" x14ac:dyDescent="0.2">
      <c r="B133" s="27" t="s">
        <v>145</v>
      </c>
      <c r="C133" s="28"/>
      <c r="D133" s="71"/>
      <c r="E133" s="29"/>
      <c r="F133" s="123"/>
      <c r="G133" s="123"/>
      <c r="H133" s="123"/>
      <c r="I133" s="123"/>
    </row>
    <row r="134" spans="2:9" x14ac:dyDescent="0.2">
      <c r="B134" s="30"/>
      <c r="C134" s="31"/>
      <c r="D134" s="72"/>
      <c r="E134" s="32"/>
      <c r="F134" s="123"/>
      <c r="G134" s="123"/>
      <c r="H134" s="123"/>
      <c r="I134" s="123"/>
    </row>
    <row r="135" spans="2:9" x14ac:dyDescent="0.2">
      <c r="B135" s="33" t="s">
        <v>16</v>
      </c>
      <c r="C135" s="31"/>
      <c r="D135" s="72"/>
      <c r="E135" s="32"/>
      <c r="F135" s="123"/>
      <c r="G135" s="123"/>
      <c r="H135" s="123"/>
      <c r="I135" s="123"/>
    </row>
    <row r="136" spans="2:9" x14ac:dyDescent="0.2">
      <c r="B136" s="33"/>
      <c r="C136" s="194"/>
      <c r="D136" s="194"/>
      <c r="E136" s="194"/>
      <c r="F136" s="123"/>
      <c r="G136" s="123"/>
      <c r="H136" s="123"/>
      <c r="I136" s="123"/>
    </row>
    <row r="137" spans="2:9" x14ac:dyDescent="0.2">
      <c r="B137" s="33" t="s">
        <v>17</v>
      </c>
      <c r="C137" s="31"/>
      <c r="D137" s="72"/>
      <c r="E137" s="32"/>
      <c r="F137" s="123"/>
      <c r="G137" s="123"/>
      <c r="H137" s="123"/>
      <c r="I137" s="123"/>
    </row>
    <row r="138" spans="2:9" x14ac:dyDescent="0.2">
      <c r="B138" s="33" t="s">
        <v>18</v>
      </c>
      <c r="C138" s="31"/>
      <c r="D138" s="72"/>
      <c r="E138" s="32"/>
      <c r="F138" s="123"/>
      <c r="G138" s="123"/>
      <c r="H138" s="123"/>
      <c r="I138" s="123"/>
    </row>
    <row r="139" spans="2:9" x14ac:dyDescent="0.2">
      <c r="B139" s="34"/>
      <c r="C139" s="194" t="s">
        <v>62</v>
      </c>
      <c r="D139" s="194"/>
      <c r="E139" s="194"/>
      <c r="F139" s="123"/>
      <c r="G139" s="123"/>
      <c r="H139" s="123"/>
      <c r="I139" s="123"/>
    </row>
    <row r="140" spans="2:9" x14ac:dyDescent="0.2">
      <c r="B140" s="33" t="s">
        <v>19</v>
      </c>
      <c r="C140" s="35"/>
      <c r="D140" s="35"/>
      <c r="E140" s="36"/>
      <c r="F140" s="123"/>
      <c r="G140" s="123"/>
      <c r="H140" s="123"/>
      <c r="I140" s="123"/>
    </row>
    <row r="141" spans="2:9" x14ac:dyDescent="0.2">
      <c r="B141" s="34"/>
      <c r="C141" s="194" t="s">
        <v>139</v>
      </c>
      <c r="D141" s="194"/>
      <c r="E141" s="194"/>
      <c r="F141" s="123"/>
      <c r="G141" s="123"/>
      <c r="H141" s="123"/>
      <c r="I141" s="123"/>
    </row>
    <row r="142" spans="2:9" x14ac:dyDescent="0.2">
      <c r="B142" s="33" t="s">
        <v>20</v>
      </c>
      <c r="C142" s="31"/>
      <c r="D142" s="72"/>
      <c r="E142" s="32"/>
      <c r="F142" s="123"/>
      <c r="G142" s="123"/>
      <c r="H142" s="123"/>
      <c r="I142" s="123"/>
    </row>
    <row r="143" spans="2:9" x14ac:dyDescent="0.2">
      <c r="B143" s="33"/>
      <c r="C143" s="193" t="s">
        <v>63</v>
      </c>
      <c r="D143" s="193"/>
      <c r="E143" s="193"/>
      <c r="F143" s="123"/>
      <c r="G143" s="123"/>
      <c r="H143" s="123"/>
      <c r="I143" s="123"/>
    </row>
    <row r="144" spans="2:9" ht="13.5" thickBot="1" x14ac:dyDescent="0.25">
      <c r="B144" s="37"/>
      <c r="C144" s="38"/>
      <c r="D144" s="73"/>
      <c r="E144" s="39"/>
      <c r="F144" s="123"/>
      <c r="G144" s="123"/>
      <c r="H144" s="123"/>
      <c r="I144" s="123"/>
    </row>
    <row r="145" spans="2:9" ht="13.5" thickBot="1" x14ac:dyDescent="0.25">
      <c r="F145" s="123"/>
      <c r="G145" s="123"/>
      <c r="H145" s="123"/>
      <c r="I145" s="123"/>
    </row>
    <row r="146" spans="2:9" x14ac:dyDescent="0.2">
      <c r="B146" s="27" t="s">
        <v>146</v>
      </c>
      <c r="C146" s="28"/>
      <c r="D146" s="71"/>
      <c r="E146" s="29"/>
      <c r="F146" s="123"/>
      <c r="G146" s="123"/>
      <c r="H146" s="123"/>
      <c r="I146" s="123"/>
    </row>
    <row r="147" spans="2:9" x14ac:dyDescent="0.2">
      <c r="B147" s="30"/>
      <c r="C147" s="31"/>
      <c r="D147" s="72"/>
      <c r="E147" s="32"/>
      <c r="F147" s="123"/>
      <c r="G147" s="123"/>
      <c r="H147" s="123"/>
      <c r="I147" s="123"/>
    </row>
    <row r="148" spans="2:9" x14ac:dyDescent="0.2">
      <c r="B148" s="33" t="s">
        <v>16</v>
      </c>
      <c r="C148" s="31"/>
      <c r="D148" s="72"/>
      <c r="E148" s="32"/>
      <c r="F148" s="123"/>
      <c r="G148" s="123"/>
      <c r="H148" s="123"/>
      <c r="I148" s="123"/>
    </row>
    <row r="149" spans="2:9" x14ac:dyDescent="0.2">
      <c r="B149" s="33"/>
      <c r="C149" s="194"/>
      <c r="D149" s="194"/>
      <c r="E149" s="194"/>
      <c r="F149" s="123"/>
      <c r="G149" s="123"/>
      <c r="H149" s="123"/>
      <c r="I149" s="123"/>
    </row>
    <row r="150" spans="2:9" x14ac:dyDescent="0.2">
      <c r="B150" s="33" t="s">
        <v>17</v>
      </c>
      <c r="C150" s="31"/>
      <c r="D150" s="72"/>
      <c r="E150" s="32"/>
      <c r="F150" s="123"/>
      <c r="G150" s="123"/>
      <c r="H150" s="123"/>
      <c r="I150" s="123"/>
    </row>
    <row r="151" spans="2:9" x14ac:dyDescent="0.2">
      <c r="B151" s="33" t="s">
        <v>18</v>
      </c>
      <c r="C151" s="31"/>
      <c r="D151" s="72"/>
      <c r="E151" s="32"/>
      <c r="F151" s="123"/>
      <c r="G151" s="123"/>
      <c r="H151" s="123"/>
      <c r="I151" s="123"/>
    </row>
    <row r="152" spans="2:9" x14ac:dyDescent="0.2">
      <c r="B152" s="34"/>
      <c r="C152" s="194" t="s">
        <v>62</v>
      </c>
      <c r="D152" s="194"/>
      <c r="E152" s="194"/>
      <c r="F152" s="123"/>
      <c r="G152" s="123"/>
      <c r="H152" s="123"/>
      <c r="I152" s="123"/>
    </row>
    <row r="153" spans="2:9" x14ac:dyDescent="0.2">
      <c r="B153" s="33" t="s">
        <v>19</v>
      </c>
      <c r="C153" s="35"/>
      <c r="D153" s="35"/>
      <c r="E153" s="36"/>
      <c r="F153" s="123"/>
      <c r="G153" s="123"/>
      <c r="H153" s="123"/>
      <c r="I153" s="123"/>
    </row>
    <row r="154" spans="2:9" x14ac:dyDescent="0.2">
      <c r="B154" s="34"/>
      <c r="C154" s="194" t="s">
        <v>139</v>
      </c>
      <c r="D154" s="194"/>
      <c r="E154" s="194"/>
      <c r="F154" s="123"/>
      <c r="G154" s="123"/>
      <c r="H154" s="123"/>
      <c r="I154" s="123"/>
    </row>
    <row r="155" spans="2:9" x14ac:dyDescent="0.2">
      <c r="B155" s="33" t="s">
        <v>20</v>
      </c>
      <c r="C155" s="31"/>
      <c r="D155" s="72"/>
      <c r="E155" s="32"/>
      <c r="F155" s="123"/>
      <c r="G155" s="123"/>
      <c r="H155" s="123"/>
      <c r="I155" s="123"/>
    </row>
    <row r="156" spans="2:9" x14ac:dyDescent="0.2">
      <c r="B156" s="33"/>
      <c r="C156" s="193" t="s">
        <v>63</v>
      </c>
      <c r="D156" s="193"/>
      <c r="E156" s="193"/>
      <c r="F156" s="123"/>
      <c r="G156" s="123"/>
      <c r="H156" s="123"/>
      <c r="I156" s="123"/>
    </row>
    <row r="157" spans="2:9" ht="13.5" thickBot="1" x14ac:dyDescent="0.25">
      <c r="B157" s="37"/>
      <c r="C157" s="38"/>
      <c r="D157" s="73"/>
      <c r="E157" s="39"/>
      <c r="F157" s="123"/>
      <c r="G157" s="123"/>
      <c r="H157" s="123"/>
      <c r="I157" s="123"/>
    </row>
    <row r="158" spans="2:9" ht="13.5" thickBot="1" x14ac:dyDescent="0.25">
      <c r="F158" s="123"/>
      <c r="G158" s="123"/>
      <c r="H158" s="123"/>
      <c r="I158" s="123"/>
    </row>
    <row r="159" spans="2:9" x14ac:dyDescent="0.2">
      <c r="B159" s="27" t="s">
        <v>147</v>
      </c>
      <c r="C159" s="28"/>
      <c r="D159" s="71"/>
      <c r="E159" s="29"/>
      <c r="F159" s="123"/>
      <c r="G159" s="123"/>
      <c r="H159" s="123"/>
      <c r="I159" s="123"/>
    </row>
    <row r="160" spans="2:9" x14ac:dyDescent="0.2">
      <c r="B160" s="30"/>
      <c r="C160" s="31"/>
      <c r="D160" s="72"/>
      <c r="E160" s="32"/>
      <c r="F160" s="123"/>
      <c r="G160" s="123"/>
      <c r="H160" s="123"/>
      <c r="I160" s="123"/>
    </row>
    <row r="161" spans="2:9" x14ac:dyDescent="0.2">
      <c r="B161" s="33" t="s">
        <v>16</v>
      </c>
      <c r="C161" s="31"/>
      <c r="D161" s="72"/>
      <c r="E161" s="32"/>
      <c r="F161" s="123"/>
      <c r="G161" s="123"/>
      <c r="H161" s="123"/>
      <c r="I161" s="123"/>
    </row>
    <row r="162" spans="2:9" x14ac:dyDescent="0.2">
      <c r="B162" s="33"/>
      <c r="C162" s="194"/>
      <c r="D162" s="194"/>
      <c r="E162" s="194"/>
      <c r="F162" s="123"/>
      <c r="G162" s="123"/>
      <c r="H162" s="123"/>
      <c r="I162" s="123"/>
    </row>
    <row r="163" spans="2:9" x14ac:dyDescent="0.2">
      <c r="B163" s="33" t="s">
        <v>17</v>
      </c>
      <c r="C163" s="31"/>
      <c r="D163" s="72"/>
      <c r="E163" s="32"/>
      <c r="F163" s="123"/>
      <c r="G163" s="123"/>
      <c r="H163" s="123"/>
      <c r="I163" s="123"/>
    </row>
    <row r="164" spans="2:9" x14ac:dyDescent="0.2">
      <c r="B164" s="33" t="s">
        <v>18</v>
      </c>
      <c r="C164" s="31"/>
      <c r="D164" s="72"/>
      <c r="E164" s="32"/>
      <c r="F164" s="123"/>
      <c r="G164" s="123"/>
      <c r="H164" s="123"/>
      <c r="I164" s="123"/>
    </row>
    <row r="165" spans="2:9" x14ac:dyDescent="0.2">
      <c r="B165" s="34"/>
      <c r="C165" s="194" t="s">
        <v>62</v>
      </c>
      <c r="D165" s="194"/>
      <c r="E165" s="194"/>
      <c r="F165" s="123"/>
      <c r="G165" s="123"/>
      <c r="H165" s="123"/>
      <c r="I165" s="123"/>
    </row>
    <row r="166" spans="2:9" x14ac:dyDescent="0.2">
      <c r="B166" s="33" t="s">
        <v>19</v>
      </c>
      <c r="C166" s="35"/>
      <c r="D166" s="35"/>
      <c r="E166" s="36"/>
      <c r="F166" s="123"/>
      <c r="G166" s="123"/>
      <c r="H166" s="123"/>
      <c r="I166" s="123"/>
    </row>
    <row r="167" spans="2:9" x14ac:dyDescent="0.2">
      <c r="B167" s="34"/>
      <c r="C167" s="194" t="s">
        <v>139</v>
      </c>
      <c r="D167" s="194"/>
      <c r="E167" s="194"/>
      <c r="F167" s="123"/>
      <c r="G167" s="123"/>
      <c r="H167" s="123"/>
      <c r="I167" s="123"/>
    </row>
    <row r="168" spans="2:9" x14ac:dyDescent="0.2">
      <c r="B168" s="33" t="s">
        <v>20</v>
      </c>
      <c r="C168" s="31"/>
      <c r="D168" s="72"/>
      <c r="E168" s="32"/>
      <c r="F168" s="123"/>
      <c r="G168" s="123"/>
      <c r="H168" s="123"/>
      <c r="I168" s="123"/>
    </row>
    <row r="169" spans="2:9" x14ac:dyDescent="0.2">
      <c r="B169" s="33"/>
      <c r="C169" s="193" t="s">
        <v>63</v>
      </c>
      <c r="D169" s="193"/>
      <c r="E169" s="193"/>
      <c r="F169" s="123"/>
      <c r="G169" s="123"/>
      <c r="H169" s="123"/>
      <c r="I169" s="123"/>
    </row>
    <row r="170" spans="2:9" ht="13.5" thickBot="1" x14ac:dyDescent="0.25">
      <c r="B170" s="37"/>
      <c r="C170" s="38"/>
      <c r="D170" s="73"/>
      <c r="E170" s="39"/>
      <c r="F170" s="123"/>
      <c r="G170" s="123"/>
      <c r="H170" s="123"/>
      <c r="I170" s="123"/>
    </row>
    <row r="171" spans="2:9" ht="13.5" thickBot="1" x14ac:dyDescent="0.25">
      <c r="F171" s="123"/>
      <c r="G171" s="123"/>
      <c r="H171" s="123"/>
      <c r="I171" s="123"/>
    </row>
    <row r="172" spans="2:9" x14ac:dyDescent="0.2">
      <c r="B172" s="27" t="s">
        <v>148</v>
      </c>
      <c r="C172" s="28"/>
      <c r="D172" s="71"/>
      <c r="E172" s="29"/>
      <c r="F172" s="123"/>
      <c r="G172" s="123"/>
      <c r="H172" s="123"/>
      <c r="I172" s="123"/>
    </row>
    <row r="173" spans="2:9" x14ac:dyDescent="0.2">
      <c r="B173" s="30"/>
      <c r="C173" s="31"/>
      <c r="D173" s="72"/>
      <c r="E173" s="32"/>
      <c r="F173" s="123"/>
      <c r="G173" s="123"/>
      <c r="H173" s="123"/>
      <c r="I173" s="123"/>
    </row>
    <row r="174" spans="2:9" x14ac:dyDescent="0.2">
      <c r="B174" s="33" t="s">
        <v>16</v>
      </c>
      <c r="C174" s="31"/>
      <c r="D174" s="72"/>
      <c r="E174" s="32"/>
      <c r="F174" s="123"/>
      <c r="G174" s="123"/>
      <c r="H174" s="123"/>
      <c r="I174" s="123"/>
    </row>
    <row r="175" spans="2:9" x14ac:dyDescent="0.2">
      <c r="B175" s="33"/>
      <c r="C175" s="194"/>
      <c r="D175" s="194"/>
      <c r="E175" s="194"/>
      <c r="F175" s="123"/>
      <c r="G175" s="123"/>
      <c r="H175" s="123"/>
      <c r="I175" s="123"/>
    </row>
    <row r="176" spans="2:9" x14ac:dyDescent="0.2">
      <c r="B176" s="33" t="s">
        <v>17</v>
      </c>
      <c r="C176" s="31"/>
      <c r="D176" s="72"/>
      <c r="E176" s="32"/>
      <c r="F176" s="123"/>
      <c r="G176" s="123"/>
      <c r="H176" s="123"/>
      <c r="I176" s="123"/>
    </row>
    <row r="177" spans="2:9" x14ac:dyDescent="0.2">
      <c r="B177" s="33" t="s">
        <v>18</v>
      </c>
      <c r="C177" s="31"/>
      <c r="D177" s="72"/>
      <c r="E177" s="32"/>
      <c r="F177" s="123"/>
      <c r="G177" s="123"/>
      <c r="H177" s="123"/>
      <c r="I177" s="123"/>
    </row>
    <row r="178" spans="2:9" x14ac:dyDescent="0.2">
      <c r="B178" s="34"/>
      <c r="C178" s="194" t="s">
        <v>62</v>
      </c>
      <c r="D178" s="194"/>
      <c r="E178" s="194"/>
      <c r="F178" s="123"/>
      <c r="G178" s="123"/>
      <c r="H178" s="123"/>
      <c r="I178" s="123"/>
    </row>
    <row r="179" spans="2:9" x14ac:dyDescent="0.2">
      <c r="B179" s="33" t="s">
        <v>19</v>
      </c>
      <c r="C179" s="35"/>
      <c r="D179" s="35"/>
      <c r="E179" s="36"/>
      <c r="F179" s="123"/>
      <c r="G179" s="123"/>
      <c r="H179" s="123"/>
      <c r="I179" s="123"/>
    </row>
    <row r="180" spans="2:9" x14ac:dyDescent="0.2">
      <c r="B180" s="34"/>
      <c r="C180" s="194" t="s">
        <v>139</v>
      </c>
      <c r="D180" s="194"/>
      <c r="E180" s="194"/>
      <c r="F180" s="123"/>
      <c r="G180" s="123"/>
      <c r="H180" s="123"/>
      <c r="I180" s="123"/>
    </row>
    <row r="181" spans="2:9" x14ac:dyDescent="0.2">
      <c r="B181" s="33" t="s">
        <v>20</v>
      </c>
      <c r="C181" s="31"/>
      <c r="D181" s="72"/>
      <c r="E181" s="32"/>
      <c r="F181" s="123"/>
      <c r="G181" s="123"/>
      <c r="H181" s="123"/>
      <c r="I181" s="123"/>
    </row>
    <row r="182" spans="2:9" x14ac:dyDescent="0.2">
      <c r="B182" s="33"/>
      <c r="C182" s="193" t="s">
        <v>63</v>
      </c>
      <c r="D182" s="193"/>
      <c r="E182" s="193"/>
      <c r="F182" s="123"/>
      <c r="G182" s="123"/>
      <c r="H182" s="123"/>
      <c r="I182" s="123"/>
    </row>
    <row r="183" spans="2:9" ht="13.5" thickBot="1" x14ac:dyDescent="0.25">
      <c r="B183" s="37"/>
      <c r="C183" s="38"/>
      <c r="D183" s="73"/>
      <c r="E183" s="39"/>
      <c r="F183" s="123"/>
      <c r="G183" s="123"/>
      <c r="H183" s="123"/>
      <c r="I183" s="123"/>
    </row>
    <row r="184" spans="2:9" ht="13.5" thickBot="1" x14ac:dyDescent="0.25">
      <c r="F184" s="123"/>
      <c r="G184" s="123"/>
      <c r="H184" s="123"/>
      <c r="I184" s="123"/>
    </row>
    <row r="185" spans="2:9" x14ac:dyDescent="0.2">
      <c r="B185" s="27" t="s">
        <v>149</v>
      </c>
      <c r="C185" s="28"/>
      <c r="D185" s="71"/>
      <c r="E185" s="29"/>
      <c r="F185" s="123"/>
      <c r="G185" s="123"/>
      <c r="H185" s="123"/>
      <c r="I185" s="123"/>
    </row>
    <row r="186" spans="2:9" x14ac:dyDescent="0.2">
      <c r="B186" s="30"/>
      <c r="C186" s="31"/>
      <c r="D186" s="72"/>
      <c r="E186" s="32"/>
      <c r="F186" s="123"/>
      <c r="G186" s="123"/>
      <c r="H186" s="123"/>
      <c r="I186" s="123"/>
    </row>
    <row r="187" spans="2:9" x14ac:dyDescent="0.2">
      <c r="B187" s="33" t="s">
        <v>16</v>
      </c>
      <c r="C187" s="31"/>
      <c r="D187" s="72"/>
      <c r="E187" s="32"/>
      <c r="F187" s="123"/>
      <c r="G187" s="123"/>
      <c r="H187" s="123"/>
      <c r="I187" s="123"/>
    </row>
    <row r="188" spans="2:9" x14ac:dyDescent="0.2">
      <c r="B188" s="33"/>
      <c r="C188" s="194"/>
      <c r="D188" s="194"/>
      <c r="E188" s="194"/>
      <c r="F188" s="123"/>
      <c r="G188" s="123"/>
      <c r="H188" s="123"/>
      <c r="I188" s="123"/>
    </row>
    <row r="189" spans="2:9" x14ac:dyDescent="0.2">
      <c r="B189" s="33" t="s">
        <v>17</v>
      </c>
      <c r="C189" s="31"/>
      <c r="D189" s="72"/>
      <c r="E189" s="32"/>
      <c r="F189" s="123"/>
      <c r="G189" s="123"/>
      <c r="H189" s="123"/>
      <c r="I189" s="123"/>
    </row>
    <row r="190" spans="2:9" x14ac:dyDescent="0.2">
      <c r="B190" s="33" t="s">
        <v>18</v>
      </c>
      <c r="C190" s="31"/>
      <c r="D190" s="72"/>
      <c r="E190" s="32"/>
      <c r="F190" s="123"/>
      <c r="G190" s="123"/>
      <c r="H190" s="123"/>
      <c r="I190" s="123"/>
    </row>
    <row r="191" spans="2:9" x14ac:dyDescent="0.2">
      <c r="B191" s="34"/>
      <c r="C191" s="194" t="s">
        <v>62</v>
      </c>
      <c r="D191" s="194"/>
      <c r="E191" s="194"/>
      <c r="F191" s="123"/>
      <c r="G191" s="123"/>
      <c r="H191" s="123"/>
      <c r="I191" s="123"/>
    </row>
    <row r="192" spans="2:9" x14ac:dyDescent="0.2">
      <c r="B192" s="33" t="s">
        <v>19</v>
      </c>
      <c r="C192" s="35"/>
      <c r="D192" s="35"/>
      <c r="E192" s="36"/>
      <c r="F192" s="123"/>
      <c r="G192" s="123"/>
      <c r="H192" s="123"/>
      <c r="I192" s="123"/>
    </row>
    <row r="193" spans="2:9" x14ac:dyDescent="0.2">
      <c r="B193" s="34"/>
      <c r="C193" s="194" t="s">
        <v>139</v>
      </c>
      <c r="D193" s="194"/>
      <c r="E193" s="194"/>
      <c r="F193" s="123"/>
      <c r="G193" s="123"/>
      <c r="H193" s="123"/>
      <c r="I193" s="123"/>
    </row>
    <row r="194" spans="2:9" x14ac:dyDescent="0.2">
      <c r="B194" s="33" t="s">
        <v>20</v>
      </c>
      <c r="C194" s="31"/>
      <c r="D194" s="72"/>
      <c r="E194" s="32"/>
      <c r="F194" s="123"/>
      <c r="G194" s="123"/>
      <c r="H194" s="123"/>
      <c r="I194" s="123"/>
    </row>
    <row r="195" spans="2:9" x14ac:dyDescent="0.2">
      <c r="B195" s="33"/>
      <c r="C195" s="193" t="s">
        <v>63</v>
      </c>
      <c r="D195" s="193"/>
      <c r="E195" s="193"/>
      <c r="F195" s="123"/>
      <c r="G195" s="123"/>
      <c r="H195" s="123"/>
      <c r="I195" s="123"/>
    </row>
    <row r="196" spans="2:9" ht="13.5" thickBot="1" x14ac:dyDescent="0.25">
      <c r="B196" s="37"/>
      <c r="C196" s="38"/>
      <c r="D196" s="73"/>
      <c r="E196" s="39"/>
      <c r="F196" s="123"/>
      <c r="G196" s="123"/>
      <c r="H196" s="123"/>
      <c r="I196" s="123"/>
    </row>
    <row r="197" spans="2:9" ht="13.5" thickBot="1" x14ac:dyDescent="0.25">
      <c r="F197" s="123"/>
      <c r="G197" s="123"/>
      <c r="H197" s="123"/>
      <c r="I197" s="123"/>
    </row>
    <row r="198" spans="2:9" x14ac:dyDescent="0.2">
      <c r="B198" s="27" t="s">
        <v>150</v>
      </c>
      <c r="C198" s="28"/>
      <c r="D198" s="71"/>
      <c r="E198" s="29"/>
      <c r="F198" s="123"/>
      <c r="G198" s="123"/>
      <c r="H198" s="123"/>
      <c r="I198" s="123"/>
    </row>
    <row r="199" spans="2:9" x14ac:dyDescent="0.2">
      <c r="B199" s="30"/>
      <c r="C199" s="31"/>
      <c r="D199" s="72"/>
      <c r="E199" s="32"/>
      <c r="F199" s="123"/>
      <c r="G199" s="123"/>
      <c r="H199" s="123"/>
      <c r="I199" s="123"/>
    </row>
    <row r="200" spans="2:9" x14ac:dyDescent="0.2">
      <c r="B200" s="33" t="s">
        <v>16</v>
      </c>
      <c r="C200" s="31"/>
      <c r="D200" s="72"/>
      <c r="E200" s="32"/>
      <c r="F200" s="123"/>
      <c r="G200" s="123"/>
      <c r="H200" s="123"/>
      <c r="I200" s="123"/>
    </row>
    <row r="201" spans="2:9" x14ac:dyDescent="0.2">
      <c r="B201" s="33"/>
      <c r="C201" s="194"/>
      <c r="D201" s="194"/>
      <c r="E201" s="194"/>
      <c r="F201" s="123"/>
      <c r="G201" s="123"/>
      <c r="H201" s="123"/>
      <c r="I201" s="123"/>
    </row>
    <row r="202" spans="2:9" x14ac:dyDescent="0.2">
      <c r="B202" s="33" t="s">
        <v>17</v>
      </c>
      <c r="C202" s="31"/>
      <c r="D202" s="72"/>
      <c r="E202" s="32"/>
      <c r="F202" s="123"/>
      <c r="G202" s="123"/>
      <c r="H202" s="123"/>
      <c r="I202" s="123"/>
    </row>
    <row r="203" spans="2:9" x14ac:dyDescent="0.2">
      <c r="B203" s="33" t="s">
        <v>18</v>
      </c>
      <c r="C203" s="31"/>
      <c r="D203" s="72"/>
      <c r="E203" s="32"/>
      <c r="F203" s="123"/>
      <c r="G203" s="123"/>
      <c r="H203" s="123"/>
      <c r="I203" s="123"/>
    </row>
    <row r="204" spans="2:9" x14ac:dyDescent="0.2">
      <c r="B204" s="34"/>
      <c r="C204" s="194" t="s">
        <v>62</v>
      </c>
      <c r="D204" s="194"/>
      <c r="E204" s="194"/>
      <c r="F204" s="123"/>
      <c r="G204" s="123"/>
      <c r="H204" s="123"/>
      <c r="I204" s="123"/>
    </row>
    <row r="205" spans="2:9" x14ac:dyDescent="0.2">
      <c r="B205" s="33" t="s">
        <v>19</v>
      </c>
      <c r="C205" s="35"/>
      <c r="D205" s="35"/>
      <c r="E205" s="36"/>
      <c r="F205" s="123"/>
      <c r="G205" s="123"/>
      <c r="H205" s="123"/>
      <c r="I205" s="123"/>
    </row>
    <row r="206" spans="2:9" x14ac:dyDescent="0.2">
      <c r="B206" s="34"/>
      <c r="C206" s="194" t="s">
        <v>139</v>
      </c>
      <c r="D206" s="194"/>
      <c r="E206" s="194"/>
      <c r="F206" s="123"/>
      <c r="G206" s="123"/>
      <c r="H206" s="123"/>
      <c r="I206" s="123"/>
    </row>
    <row r="207" spans="2:9" x14ac:dyDescent="0.2">
      <c r="B207" s="33" t="s">
        <v>20</v>
      </c>
      <c r="C207" s="31"/>
      <c r="D207" s="72"/>
      <c r="E207" s="32"/>
      <c r="F207" s="123"/>
      <c r="G207" s="123"/>
      <c r="H207" s="123"/>
      <c r="I207" s="123"/>
    </row>
    <row r="208" spans="2:9" x14ac:dyDescent="0.2">
      <c r="B208" s="33"/>
      <c r="C208" s="193" t="s">
        <v>63</v>
      </c>
      <c r="D208" s="193"/>
      <c r="E208" s="193"/>
      <c r="F208" s="123"/>
      <c r="G208" s="123"/>
      <c r="H208" s="123"/>
      <c r="I208" s="123"/>
    </row>
    <row r="209" spans="2:9" ht="13.5" thickBot="1" x14ac:dyDescent="0.25">
      <c r="B209" s="37"/>
      <c r="C209" s="38"/>
      <c r="D209" s="73"/>
      <c r="E209" s="39"/>
      <c r="F209" s="123"/>
      <c r="G209" s="123"/>
      <c r="H209" s="123"/>
      <c r="I209" s="123"/>
    </row>
    <row r="210" spans="2:9" ht="13.5" thickBot="1" x14ac:dyDescent="0.25">
      <c r="F210" s="123"/>
      <c r="G210" s="123"/>
      <c r="H210" s="123"/>
      <c r="I210" s="123"/>
    </row>
    <row r="211" spans="2:9" x14ac:dyDescent="0.2">
      <c r="B211" s="27" t="s">
        <v>151</v>
      </c>
      <c r="C211" s="28"/>
      <c r="D211" s="71"/>
      <c r="E211" s="29"/>
      <c r="F211" s="123"/>
      <c r="G211" s="123"/>
      <c r="H211" s="123"/>
      <c r="I211" s="123"/>
    </row>
    <row r="212" spans="2:9" x14ac:dyDescent="0.2">
      <c r="B212" s="30"/>
      <c r="C212" s="31"/>
      <c r="D212" s="72"/>
      <c r="E212" s="32"/>
      <c r="F212" s="123"/>
      <c r="G212" s="123"/>
      <c r="H212" s="123"/>
      <c r="I212" s="123"/>
    </row>
    <row r="213" spans="2:9" x14ac:dyDescent="0.2">
      <c r="B213" s="33" t="s">
        <v>16</v>
      </c>
      <c r="C213" s="31"/>
      <c r="D213" s="72"/>
      <c r="E213" s="32"/>
      <c r="F213" s="123"/>
      <c r="G213" s="123"/>
      <c r="H213" s="123"/>
      <c r="I213" s="123"/>
    </row>
    <row r="214" spans="2:9" x14ac:dyDescent="0.2">
      <c r="B214" s="33"/>
      <c r="C214" s="194"/>
      <c r="D214" s="194"/>
      <c r="E214" s="194"/>
      <c r="F214" s="123"/>
      <c r="G214" s="123"/>
      <c r="H214" s="123"/>
      <c r="I214" s="123"/>
    </row>
    <row r="215" spans="2:9" x14ac:dyDescent="0.2">
      <c r="B215" s="33" t="s">
        <v>17</v>
      </c>
      <c r="C215" s="31"/>
      <c r="D215" s="72"/>
      <c r="E215" s="32"/>
      <c r="F215" s="123"/>
      <c r="G215" s="123"/>
      <c r="H215" s="123"/>
      <c r="I215" s="123"/>
    </row>
    <row r="216" spans="2:9" x14ac:dyDescent="0.2">
      <c r="B216" s="33" t="s">
        <v>18</v>
      </c>
      <c r="C216" s="31"/>
      <c r="D216" s="72"/>
      <c r="E216" s="32"/>
      <c r="F216" s="123"/>
      <c r="G216" s="123"/>
      <c r="H216" s="123"/>
      <c r="I216" s="123"/>
    </row>
    <row r="217" spans="2:9" x14ac:dyDescent="0.2">
      <c r="B217" s="34"/>
      <c r="C217" s="194" t="s">
        <v>62</v>
      </c>
      <c r="D217" s="194"/>
      <c r="E217" s="194"/>
      <c r="F217" s="123"/>
      <c r="G217" s="123"/>
      <c r="H217" s="123"/>
      <c r="I217" s="123"/>
    </row>
    <row r="218" spans="2:9" x14ac:dyDescent="0.2">
      <c r="B218" s="33" t="s">
        <v>19</v>
      </c>
      <c r="C218" s="35"/>
      <c r="D218" s="35"/>
      <c r="E218" s="36"/>
      <c r="F218" s="123"/>
      <c r="G218" s="123"/>
      <c r="H218" s="123"/>
      <c r="I218" s="123"/>
    </row>
    <row r="219" spans="2:9" x14ac:dyDescent="0.2">
      <c r="B219" s="34"/>
      <c r="C219" s="194" t="s">
        <v>139</v>
      </c>
      <c r="D219" s="194"/>
      <c r="E219" s="194"/>
      <c r="F219" s="123"/>
      <c r="G219" s="123"/>
      <c r="H219" s="123"/>
      <c r="I219" s="123"/>
    </row>
    <row r="220" spans="2:9" x14ac:dyDescent="0.2">
      <c r="B220" s="33" t="s">
        <v>20</v>
      </c>
      <c r="C220" s="31"/>
      <c r="D220" s="72"/>
      <c r="E220" s="32"/>
      <c r="F220" s="123"/>
      <c r="G220" s="123"/>
      <c r="H220" s="123"/>
      <c r="I220" s="123"/>
    </row>
    <row r="221" spans="2:9" x14ac:dyDescent="0.2">
      <c r="B221" s="33"/>
      <c r="C221" s="193" t="s">
        <v>63</v>
      </c>
      <c r="D221" s="193"/>
      <c r="E221" s="193"/>
      <c r="F221" s="123"/>
      <c r="G221" s="123"/>
      <c r="H221" s="123"/>
      <c r="I221" s="123"/>
    </row>
    <row r="222" spans="2:9" ht="13.5" thickBot="1" x14ac:dyDescent="0.25">
      <c r="B222" s="37"/>
      <c r="C222" s="38"/>
      <c r="D222" s="73"/>
      <c r="E222" s="39"/>
      <c r="F222" s="123"/>
      <c r="G222" s="123"/>
      <c r="H222" s="123"/>
      <c r="I222" s="123"/>
    </row>
    <row r="223" spans="2:9" ht="13.5" thickBot="1" x14ac:dyDescent="0.25">
      <c r="F223" s="123"/>
      <c r="G223" s="123"/>
      <c r="H223" s="123"/>
      <c r="I223" s="123"/>
    </row>
    <row r="224" spans="2:9" x14ac:dyDescent="0.2">
      <c r="B224" s="27" t="s">
        <v>152</v>
      </c>
      <c r="C224" s="28"/>
      <c r="D224" s="71"/>
      <c r="E224" s="29"/>
      <c r="F224" s="123"/>
      <c r="G224" s="123"/>
      <c r="H224" s="123"/>
      <c r="I224" s="123"/>
    </row>
    <row r="225" spans="2:9" x14ac:dyDescent="0.2">
      <c r="B225" s="30"/>
      <c r="C225" s="31"/>
      <c r="D225" s="72"/>
      <c r="E225" s="32"/>
      <c r="F225" s="123"/>
      <c r="G225" s="123"/>
      <c r="H225" s="123"/>
      <c r="I225" s="123"/>
    </row>
    <row r="226" spans="2:9" x14ac:dyDescent="0.2">
      <c r="B226" s="33" t="s">
        <v>16</v>
      </c>
      <c r="C226" s="31"/>
      <c r="D226" s="72"/>
      <c r="E226" s="32"/>
      <c r="F226" s="123"/>
      <c r="G226" s="123"/>
      <c r="H226" s="123"/>
      <c r="I226" s="123"/>
    </row>
    <row r="227" spans="2:9" x14ac:dyDescent="0.2">
      <c r="B227" s="33"/>
      <c r="C227" s="194"/>
      <c r="D227" s="194"/>
      <c r="E227" s="194"/>
      <c r="F227" s="123"/>
      <c r="G227" s="123"/>
      <c r="H227" s="123"/>
      <c r="I227" s="123"/>
    </row>
    <row r="228" spans="2:9" x14ac:dyDescent="0.2">
      <c r="B228" s="33" t="s">
        <v>17</v>
      </c>
      <c r="C228" s="31"/>
      <c r="D228" s="72"/>
      <c r="E228" s="32"/>
      <c r="F228" s="123"/>
      <c r="G228" s="123"/>
      <c r="H228" s="123"/>
      <c r="I228" s="123"/>
    </row>
    <row r="229" spans="2:9" x14ac:dyDescent="0.2">
      <c r="B229" s="33" t="s">
        <v>18</v>
      </c>
      <c r="C229" s="31"/>
      <c r="D229" s="72"/>
      <c r="E229" s="32"/>
      <c r="F229" s="123"/>
      <c r="G229" s="123"/>
      <c r="H229" s="123"/>
      <c r="I229" s="123"/>
    </row>
    <row r="230" spans="2:9" x14ac:dyDescent="0.2">
      <c r="B230" s="34"/>
      <c r="C230" s="194" t="s">
        <v>62</v>
      </c>
      <c r="D230" s="194"/>
      <c r="E230" s="194"/>
      <c r="F230" s="123"/>
      <c r="G230" s="123"/>
      <c r="H230" s="123"/>
      <c r="I230" s="123"/>
    </row>
    <row r="231" spans="2:9" x14ac:dyDescent="0.2">
      <c r="B231" s="33" t="s">
        <v>19</v>
      </c>
      <c r="C231" s="35"/>
      <c r="D231" s="35"/>
      <c r="E231" s="36"/>
      <c r="F231" s="123"/>
      <c r="G231" s="123"/>
      <c r="H231" s="123"/>
      <c r="I231" s="123"/>
    </row>
    <row r="232" spans="2:9" x14ac:dyDescent="0.2">
      <c r="B232" s="34"/>
      <c r="C232" s="194" t="s">
        <v>139</v>
      </c>
      <c r="D232" s="194"/>
      <c r="E232" s="194"/>
      <c r="F232" s="123"/>
      <c r="G232" s="123"/>
      <c r="H232" s="123"/>
      <c r="I232" s="123"/>
    </row>
    <row r="233" spans="2:9" x14ac:dyDescent="0.2">
      <c r="B233" s="33" t="s">
        <v>20</v>
      </c>
      <c r="C233" s="31"/>
      <c r="D233" s="72"/>
      <c r="E233" s="32"/>
      <c r="F233" s="123"/>
      <c r="G233" s="123"/>
      <c r="H233" s="123"/>
      <c r="I233" s="123"/>
    </row>
    <row r="234" spans="2:9" x14ac:dyDescent="0.2">
      <c r="B234" s="33"/>
      <c r="C234" s="193" t="s">
        <v>63</v>
      </c>
      <c r="D234" s="193"/>
      <c r="E234" s="193"/>
      <c r="F234" s="123"/>
      <c r="G234" s="123"/>
      <c r="H234" s="123"/>
      <c r="I234" s="123"/>
    </row>
    <row r="235" spans="2:9" ht="13.5" thickBot="1" x14ac:dyDescent="0.25">
      <c r="B235" s="37"/>
      <c r="C235" s="38"/>
      <c r="D235" s="73"/>
      <c r="E235" s="39"/>
      <c r="F235" s="123"/>
      <c r="G235" s="123"/>
      <c r="H235" s="123"/>
      <c r="I235" s="123"/>
    </row>
    <row r="236" spans="2:9" ht="13.5" thickBot="1" x14ac:dyDescent="0.25">
      <c r="F236" s="123"/>
      <c r="G236" s="123"/>
      <c r="H236" s="123"/>
      <c r="I236" s="123"/>
    </row>
    <row r="237" spans="2:9" x14ac:dyDescent="0.2">
      <c r="B237" s="27" t="s">
        <v>153</v>
      </c>
      <c r="C237" s="28"/>
      <c r="D237" s="71"/>
      <c r="E237" s="29"/>
      <c r="F237" s="123"/>
      <c r="G237" s="123"/>
      <c r="H237" s="123"/>
      <c r="I237" s="123"/>
    </row>
    <row r="238" spans="2:9" x14ac:dyDescent="0.2">
      <c r="B238" s="30"/>
      <c r="C238" s="31"/>
      <c r="D238" s="72"/>
      <c r="E238" s="32"/>
      <c r="F238" s="123"/>
      <c r="G238" s="123"/>
      <c r="H238" s="123"/>
      <c r="I238" s="123"/>
    </row>
    <row r="239" spans="2:9" x14ac:dyDescent="0.2">
      <c r="B239" s="33" t="s">
        <v>16</v>
      </c>
      <c r="C239" s="31"/>
      <c r="D239" s="72"/>
      <c r="E239" s="32"/>
      <c r="F239" s="123"/>
      <c r="G239" s="123"/>
      <c r="H239" s="123"/>
      <c r="I239" s="123"/>
    </row>
    <row r="240" spans="2:9" x14ac:dyDescent="0.2">
      <c r="B240" s="33"/>
      <c r="C240" s="194"/>
      <c r="D240" s="194"/>
      <c r="E240" s="194"/>
      <c r="F240" s="123"/>
      <c r="G240" s="123"/>
      <c r="H240" s="123"/>
      <c r="I240" s="123"/>
    </row>
    <row r="241" spans="2:9" x14ac:dyDescent="0.2">
      <c r="B241" s="33" t="s">
        <v>17</v>
      </c>
      <c r="C241" s="31"/>
      <c r="D241" s="72"/>
      <c r="E241" s="32"/>
      <c r="F241" s="123"/>
      <c r="G241" s="123"/>
      <c r="H241" s="123"/>
      <c r="I241" s="123"/>
    </row>
    <row r="242" spans="2:9" x14ac:dyDescent="0.2">
      <c r="B242" s="33" t="s">
        <v>18</v>
      </c>
      <c r="C242" s="31"/>
      <c r="D242" s="72"/>
      <c r="E242" s="32"/>
      <c r="F242" s="123"/>
      <c r="G242" s="123"/>
      <c r="H242" s="123"/>
      <c r="I242" s="123"/>
    </row>
    <row r="243" spans="2:9" x14ac:dyDescent="0.2">
      <c r="B243" s="34"/>
      <c r="C243" s="194" t="s">
        <v>62</v>
      </c>
      <c r="D243" s="194"/>
      <c r="E243" s="194"/>
      <c r="F243" s="123"/>
      <c r="G243" s="123"/>
      <c r="H243" s="123"/>
      <c r="I243" s="123"/>
    </row>
    <row r="244" spans="2:9" x14ac:dyDescent="0.2">
      <c r="B244" s="33" t="s">
        <v>19</v>
      </c>
      <c r="C244" s="35"/>
      <c r="D244" s="35"/>
      <c r="E244" s="36"/>
      <c r="F244" s="123"/>
      <c r="G244" s="123"/>
      <c r="H244" s="123"/>
      <c r="I244" s="123"/>
    </row>
    <row r="245" spans="2:9" x14ac:dyDescent="0.2">
      <c r="B245" s="34"/>
      <c r="C245" s="194" t="s">
        <v>139</v>
      </c>
      <c r="D245" s="194"/>
      <c r="E245" s="194"/>
      <c r="F245" s="123"/>
      <c r="G245" s="123"/>
      <c r="H245" s="123"/>
      <c r="I245" s="123"/>
    </row>
    <row r="246" spans="2:9" x14ac:dyDescent="0.2">
      <c r="B246" s="33" t="s">
        <v>20</v>
      </c>
      <c r="C246" s="31"/>
      <c r="D246" s="72"/>
      <c r="E246" s="32"/>
      <c r="F246" s="123"/>
      <c r="G246" s="123"/>
      <c r="H246" s="123"/>
      <c r="I246" s="123"/>
    </row>
    <row r="247" spans="2:9" x14ac:dyDescent="0.2">
      <c r="B247" s="33"/>
      <c r="C247" s="193" t="s">
        <v>63</v>
      </c>
      <c r="D247" s="193"/>
      <c r="E247" s="193"/>
      <c r="F247" s="123"/>
      <c r="G247" s="123"/>
      <c r="H247" s="123"/>
      <c r="I247" s="123"/>
    </row>
    <row r="248" spans="2:9" ht="13.5" thickBot="1" x14ac:dyDescent="0.25">
      <c r="B248" s="37"/>
      <c r="C248" s="38"/>
      <c r="D248" s="73"/>
      <c r="E248" s="39"/>
      <c r="F248" s="123"/>
      <c r="G248" s="123"/>
      <c r="H248" s="123"/>
      <c r="I248" s="123"/>
    </row>
    <row r="249" spans="2:9" x14ac:dyDescent="0.2">
      <c r="F249" s="123"/>
      <c r="G249" s="123"/>
      <c r="H249" s="123"/>
      <c r="I249" s="123"/>
    </row>
  </sheetData>
  <mergeCells count="76">
    <mergeCell ref="C35:E35"/>
    <mergeCell ref="C37:E37"/>
    <mergeCell ref="C39:E39"/>
    <mergeCell ref="C45:E45"/>
    <mergeCell ref="B1:H1"/>
    <mergeCell ref="A2:B2"/>
    <mergeCell ref="C2:E2"/>
    <mergeCell ref="A3:B3"/>
    <mergeCell ref="C3:E3"/>
    <mergeCell ref="A4:B4"/>
    <mergeCell ref="A5:B5"/>
    <mergeCell ref="C31:E31"/>
    <mergeCell ref="B33:E33"/>
    <mergeCell ref="C48:E48"/>
    <mergeCell ref="C50:E50"/>
    <mergeCell ref="C52:E52"/>
    <mergeCell ref="C58:E58"/>
    <mergeCell ref="C65:E65"/>
    <mergeCell ref="C71:E71"/>
    <mergeCell ref="C61:E61"/>
    <mergeCell ref="C63:E63"/>
    <mergeCell ref="C74:E74"/>
    <mergeCell ref="C76:E76"/>
    <mergeCell ref="C78:E78"/>
    <mergeCell ref="C84:E84"/>
    <mergeCell ref="C87:E87"/>
    <mergeCell ref="C89:E89"/>
    <mergeCell ref="C91:E91"/>
    <mergeCell ref="C97:E97"/>
    <mergeCell ref="C100:E100"/>
    <mergeCell ref="C102:E102"/>
    <mergeCell ref="C104:E104"/>
    <mergeCell ref="C110:E110"/>
    <mergeCell ref="C113:E113"/>
    <mergeCell ref="C115:E115"/>
    <mergeCell ref="C117:E117"/>
    <mergeCell ref="C123:E123"/>
    <mergeCell ref="C126:E126"/>
    <mergeCell ref="C128:E128"/>
    <mergeCell ref="C130:E130"/>
    <mergeCell ref="C136:E136"/>
    <mergeCell ref="C143:E143"/>
    <mergeCell ref="C149:E149"/>
    <mergeCell ref="C139:E139"/>
    <mergeCell ref="C141:E141"/>
    <mergeCell ref="C152:E152"/>
    <mergeCell ref="C154:E154"/>
    <mergeCell ref="C156:E156"/>
    <mergeCell ref="C162:E162"/>
    <mergeCell ref="C165:E165"/>
    <mergeCell ref="C167:E167"/>
    <mergeCell ref="C169:E169"/>
    <mergeCell ref="C175:E175"/>
    <mergeCell ref="C178:E178"/>
    <mergeCell ref="C180:E180"/>
    <mergeCell ref="C182:E182"/>
    <mergeCell ref="C188:E188"/>
    <mergeCell ref="C191:E191"/>
    <mergeCell ref="C193:E193"/>
    <mergeCell ref="C195:E195"/>
    <mergeCell ref="C201:E201"/>
    <mergeCell ref="C204:E204"/>
    <mergeCell ref="C206:E206"/>
    <mergeCell ref="C208:E208"/>
    <mergeCell ref="C214:E214"/>
    <mergeCell ref="C221:E221"/>
    <mergeCell ref="C227:E227"/>
    <mergeCell ref="C217:E217"/>
    <mergeCell ref="C219:E219"/>
    <mergeCell ref="C230:E230"/>
    <mergeCell ref="C247:E247"/>
    <mergeCell ref="C232:E232"/>
    <mergeCell ref="C234:E234"/>
    <mergeCell ref="C240:E240"/>
    <mergeCell ref="C243:E243"/>
    <mergeCell ref="C245:E245"/>
  </mergeCells>
  <pageMargins left="0.39370078740157483" right="0.31496062992125984" top="0.9055118110236221" bottom="0.31496062992125984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gas</vt:lpstr>
      <vt:lpstr>limpieza</vt:lpstr>
      <vt:lpstr>alimento</vt:lpstr>
      <vt:lpstr> NotaPedido</vt:lpstr>
      <vt:lpstr>Autor Gastar</vt:lpstr>
      <vt:lpstr>ALIM-IMP</vt:lpstr>
      <vt:lpstr>' NotaPedido'!Área_de_impresión</vt:lpstr>
      <vt:lpstr>'ALIM-IMP'!Área_de_impresión</vt:lpstr>
      <vt:lpstr>'Autor Gastar'!Área_de_impresión</vt:lpstr>
      <vt:lpstr>limpieza!Área_de_impresión</vt:lpstr>
      <vt:lpstr>' NotaPedido'!Títulos_a_imprimir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2021-02-01T13:05:00Z</cp:lastPrinted>
  <dcterms:created xsi:type="dcterms:W3CDTF">2020-07-17T23:44:49Z</dcterms:created>
  <dcterms:modified xsi:type="dcterms:W3CDTF">2021-08-17T12:57:17Z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