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0640" windowHeight="11100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0" i="1" l="1"/>
  <c r="I12" i="1" l="1"/>
  <c r="I11" i="1"/>
  <c r="I31" i="1" l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<sst xmlns="http://schemas.openxmlformats.org/spreadsheetml/2006/main" count="201" uniqueCount="141">
  <si>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</si>
  <si>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</si>
  <si>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</si>
  <si>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</si>
  <si>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</si>
  <si>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</si>
  <si>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</si>
  <si>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</si>
  <si>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</si>
  <si>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</si>
  <si>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</si>
  <si>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</si>
  <si>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</si>
  <si>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</si>
  <si>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</si>
  <si>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</si>
  <si>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</si>
  <si>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</si>
  <si>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</si>
  <si>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</si>
  <si>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UNIDAD</t>
  </si>
  <si>
    <t>2.1.1-541.176</t>
  </si>
  <si>
    <t>CARNES; TIPO: VACUNA, CORTE: CUARTO TRASERO</t>
  </si>
  <si>
    <t>2.1.1-541.7</t>
  </si>
  <si>
    <t>CARNES; ESPECIE: VACUNA, CORTE: PICADA ESPECIAL, TIPO: VACUNA</t>
  </si>
  <si>
    <t>2.1.1-456.22</t>
  </si>
  <si>
    <t>YOGHURT; CAPACIDAD: 1 L, SABOR: FRUTILLA, TIPO: ENTERO, ENVASE: SACHET, AGREGADO: SIN VALOR, CONSISTENCIA: BEBIBLE, PRESENTACION: SACHET X 1 L</t>
  </si>
  <si>
    <t>2.1.1-6546.112</t>
  </si>
  <si>
    <t>VERDURAS Y HORTALIZAS;ESTADO: NATURAL,  PESO: 25 Kg, VARIEDAD: PAPA NEGRA,  PRESENTACION: BOLSA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</si>
  <si>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</si>
  <si>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</si>
  <si>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</si>
  <si>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</si>
  <si>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</si>
  <si>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</si>
  <si>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</si>
  <si>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</si>
  <si>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</si>
  <si>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</si>
  <si>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</si>
  <si>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</si>
  <si>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</si>
  <si>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</si>
  <si>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</si>
  <si>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</si>
  <si>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</si>
  <si>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</si>
  <si>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</si>
  <si>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</si>
  <si>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</si>
  <si>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</si>
  <si>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</si>
  <si>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</si>
  <si>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</si>
  <si>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</si>
  <si>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</si>
  <si>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</si>
  <si>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</si>
  <si>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</si>
  <si>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Especificidades: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</si>
  <si>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</si>
  <si>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</si>
  <si>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</si>
  <si>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Calidad Minima esperada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</si>
  <si>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</si>
  <si>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</si>
  <si>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</si>
  <si>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</si>
  <si>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</si>
  <si>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</si>
  <si>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</si>
  <si>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</si>
  <si>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</si>
  <si>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</si>
  <si>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</si>
  <si>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</si>
  <si>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</si>
  <si>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</si>
  <si>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</si>
  <si>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</si>
  <si>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</si>
  <si>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</si>
  <si>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</si>
  <si>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</si>
  <si>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</si>
  <si>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</si>
  <si>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</si>
  <si>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</si>
  <si>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</si>
  <si>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</si>
  <si>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</si>
  <si>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</si>
  <si>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</si>
  <si>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</si>
  <si>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</si>
  <si>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</si>
  <si>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</si>
  <si>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</si>
  <si>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</si>
  <si>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</si>
  <si>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</si>
  <si>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</si>
  <si>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</si>
  <si>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</si>
  <si>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</si>
  <si>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</si>
  <si>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</si>
  <si>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</si>
  <si>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</si>
  <si>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</si>
  <si>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</si>
  <si>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</si>
  <si>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</si>
  <si>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</si>
  <si>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 xml:space="preserve">No sera necesario la presentacion de  muestras.- 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</si>
  <si>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</si>
  <si>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</si>
  <si>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FRUTAS; VARIEDAD: NARANJA ESPECIAL, ESTADO: NATURAL, PRESENTACION: CAJON, PESO: SIN VALOR</t>
  </si>
  <si>
    <t>2.1.1-590.26</t>
  </si>
  <si>
    <t>PESCADOS Y FRUTOS CONGELADOS; TIPO: FILET DE MERLUZA, ENVASE: BANDEJA, PRESENTACION: ENVASE X 10 Kg, ELEM. TRANSPORTE: PALLET RETORNABLE, MATERIAL ELEM. TRANSPORTE: MADERA</t>
  </si>
  <si>
    <t>KG</t>
  </si>
  <si>
    <t>CAJON</t>
  </si>
  <si>
    <t>BANDEJA</t>
  </si>
  <si>
    <t>LITROS</t>
  </si>
  <si>
    <t>BOLSA</t>
  </si>
  <si>
    <t>RISTRA</t>
  </si>
  <si>
    <t xml:space="preserve">ITEM 01:                    PRESENTACION EN HORMA CON ENVASE CERRADO. CADA HORMA DE ENTRE 4 Y 5 KG CADA UNA. LA DIFERENCIA QUE RESULTE SE ENTREGARA DE MANERA SUELTA EN SU CORRESPONDIENTE ENVOLTORIO CON LOS RECAUDOS NECESARIOS. </t>
  </si>
  <si>
    <t>ITEM 15:                    PRESENTACION DE ATADITOS DE 200 GR. APROX.</t>
  </si>
  <si>
    <t>ITEM 16:                    PRESENTACION DE ATADITOS DE 200 GR. APROX.</t>
  </si>
  <si>
    <t xml:space="preserve">Condición de Calidad:
CARNES
• La carne no deberá presentar ninguna modificación esencial en sus características principales y presenta color, olor y consistencia característicos.
• La carne fresca que ingrese al establecimiento debe mantenerse a una temperatura no mayor de 5º C.
• Las carnes estarán limpias, exentas de piel y vísceras.
• La carne tiene que ser de color rojo brillante, de color oscuro no se aceptará ya que se deterioran más rápido.
• Todos los productos encuadrados en esta clasificación deben ajustarse a la definición y requisitos, de rotulado y embalaje, establecidos en los artículos 256 y 257 – Capítulo VI (“alimentos carnes y afines”) del CODIGO ALIMENTARIO ARGENTINO (C.A.A).
FRUTAS Y VERDURAS
• Las frutas y verduras que ingresen al establecimiento deben ser de 1ra calidad, frescas, limpias, enteras, en especial la papa debe venir sin exceso de tierra lo más limpia posible y conservando sus caracteres organolépticos característicos.
• Uniformidad: tamaño, forma, color y madurez característicos.
• No debe tener ningún tipo de contaminación física, química o biológica.
• Sanas, se excluyen en todos los casos los productos afectados por podredumbre o por alteraciones, que le hagan impropio para el consumo.
• Exentas de olor y/o sabor extraño.
• La lechuga y cualquier otra hortaliza de hojas debe estar verde, compacta, fresca (sin indicios de marchitez), limpia y sin tejido oxidado ni hojas dañadas por insectos u otros daños.
QUESOS, YOGURT Y HUEVOS
• El queso fresco y el yogurt deben conservarse durante el transporte hasta la recepción a una temperatura no mayor de 5º C.
• En el caso de los huevos deben conservarse a una temperatura no mayor de 6º C, la cascara debe estar integra, firme y limpia.
• Se controlará el origen del producto alimenticio (ROTULADO), la presencia de la numeración correspondiente, RNE (Registro Nacional del Establecimiento), RNPA (Registro Nacional del Producto Alimenticio) y numero de SENASA (para productos derivados de origen animal).
La fecha de elaboración y vencimiento, teniendo en cuenta que el lapso de aptitud sea lo suficientemente amplio.
</t>
  </si>
  <si>
    <t xml:space="preserve">ITEM 09:                    PESO:  CAJÓN DE 20 KG. APROX. </t>
  </si>
  <si>
    <t>ITEM 10:                     PESO:   CAJON DE 10 KG. APROX.</t>
  </si>
  <si>
    <t>ITEM 11:                    PESO:   POR UNIDAD  DE  KG. 10 KG. APROX.  C/U</t>
  </si>
  <si>
    <t>ITEM 12:                    PESO:   CAJÓN DE 15 KG. APROX.</t>
  </si>
  <si>
    <t>ITEM 13:                    RISTRA DE 50 BULBOS APROX.</t>
  </si>
  <si>
    <t>ITEM 14:                    PRESENTACION DE ATADITOS DE 200 GR. APROX.</t>
  </si>
  <si>
    <t>ITEM 17:                    MAPLE DE 30 UNIDADES</t>
  </si>
  <si>
    <t>ITEM 18:                    PESO:    Cajon de  15 KG Aprox.</t>
  </si>
  <si>
    <t>ITEM 19:                   PESO:    Cajon de 20 KG Aprox.</t>
  </si>
  <si>
    <t>ITEM 20:                    PESO:    Cajon de 20 KG Aprox.</t>
  </si>
  <si>
    <t>ITEM 21:                   PESO:   Cajon de  20 KG Aprox.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</si>
</sst>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4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167" fontId="5" fillId="3" borderId="42" xfId="1" applyNumberFormat="1" applyFont="1" applyFill="1" applyBorder="1" applyAlignment="1" applyProtection="1">
      <alignment horizontal="right" vertical="center" wrapText="1"/>
    </xf>
    <xf numFmtId="4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44" fontId="21" fillId="0" borderId="54" xfId="1" applyNumberFormat="1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top" wrapText="1"/>
    </xf>
    <xf numFmtId="164" fontId="5" fillId="3" borderId="0" xfId="0" applyNumberFormat="1" applyFont="1" applyFill="1"/>
    <xf numFmtId="0" fontId="25" fillId="3" borderId="0" xfId="0" applyFont="1" applyFill="1"/>
    <xf numFmtId="0" fontId="22" fillId="3" borderId="42" xfId="0" applyFont="1" applyFill="1" applyBorder="1" applyAlignment="1">
      <alignment wrapText="1"/>
    </xf>
    <xf numFmtId="0" fontId="26" fillId="0" borderId="42" xfId="0" applyFont="1" applyBorder="1" applyAlignment="1">
      <alignment wrapText="1"/>
    </xf>
    <xf numFmtId="0" fontId="5" fillId="0" borderId="42" xfId="0" applyFont="1" applyBorder="1" applyAlignment="1">
      <alignment horizontal="center" vertical="center" wrapText="1"/>
    </xf>
    <xf numFmtId="44" fontId="5" fillId="0" borderId="42" xfId="1" applyNumberFormat="1" applyFont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49" fontId="5" fillId="0" borderId="56" xfId="0" applyNumberFormat="1" applyFont="1" applyBorder="1" applyAlignment="1">
      <alignment vertical="center"/>
    </xf>
    <xf numFmtId="0" fontId="5" fillId="3" borderId="57" xfId="0" applyFont="1" applyFill="1" applyBorder="1"/>
    <xf numFmtId="44" fontId="21" fillId="0" borderId="42" xfId="1" applyNumberFormat="1" applyFont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5" borderId="57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5"/>
  <sheetViews>
    <sheetView tabSelected="1" topLeftCell="A16" zoomScale="70" zoomScaleNormal="70" workbookViewId="0">
      <selection activeCell="E30" sqref="E30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1" bestFit="1" customWidth="1"/>
    <col min="6" max="6" width="15.140625" style="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 x14ac:dyDescent="0.4">
      <c r="B2" s="108" t="s">
        <v>0</v>
      </c>
      <c r="C2" s="108"/>
      <c r="D2" s="108"/>
      <c r="E2" s="108"/>
      <c r="F2" s="108"/>
      <c r="G2" s="108"/>
      <c r="H2" s="108"/>
    </row>
    <row r="4" spans="1:10" ht="18" customHeight="1" x14ac:dyDescent="0.25">
      <c r="A4" s="107" t="s">
        <v>1</v>
      </c>
      <c r="B4" s="107"/>
      <c r="C4" s="109" t="s">
        <v>2</v>
      </c>
      <c r="D4" s="109"/>
      <c r="E4" s="109"/>
      <c r="F4" s="2"/>
      <c r="G4" s="5"/>
      <c r="H4" s="2"/>
    </row>
    <row r="5" spans="1:10" ht="18" customHeight="1" x14ac:dyDescent="0.25">
      <c r="A5" s="107" t="s">
        <v>3</v>
      </c>
      <c r="B5" s="107"/>
      <c r="C5" s="109" t="s">
        <v>4</v>
      </c>
      <c r="D5" s="109"/>
      <c r="E5" s="109"/>
      <c r="F5" s="2"/>
      <c r="G5" s="5"/>
      <c r="H5" s="2"/>
    </row>
    <row r="6" spans="1:10" ht="16.5" customHeight="1" x14ac:dyDescent="0.25">
      <c r="A6" s="107" t="s">
        <v>5</v>
      </c>
      <c r="B6" s="107"/>
      <c r="C6" s="6">
        <v>2022</v>
      </c>
      <c r="D6" s="7"/>
      <c r="E6" s="7"/>
      <c r="F6" s="2"/>
      <c r="G6" s="5"/>
      <c r="H6" s="2"/>
    </row>
    <row r="7" spans="1:10" ht="16.5" customHeight="1" x14ac:dyDescent="0.25">
      <c r="A7" s="107" t="s">
        <v>6</v>
      </c>
      <c r="B7" s="107"/>
      <c r="C7" s="6">
        <v>4</v>
      </c>
      <c r="D7" s="7"/>
      <c r="E7" s="7"/>
      <c r="F7" s="2"/>
      <c r="G7" s="5"/>
      <c r="H7" s="2"/>
    </row>
    <row r="8" spans="1:10" ht="14.25" thickBot="1" x14ac:dyDescent="0.3">
      <c r="B8" s="2"/>
      <c r="C8" s="5"/>
      <c r="D8" s="2"/>
      <c r="E8" s="2"/>
      <c r="F8" s="2"/>
      <c r="G8" s="5"/>
      <c r="H8" s="2"/>
    </row>
    <row r="9" spans="1:10" ht="39" thickBot="1" x14ac:dyDescent="0.3">
      <c r="A9" s="73" t="s">
        <v>7</v>
      </c>
      <c r="B9" s="60" t="s">
        <v>8</v>
      </c>
      <c r="C9" s="72" t="s">
        <v>9</v>
      </c>
      <c r="D9" s="71" t="s">
        <v>10</v>
      </c>
      <c r="E9" s="71" t="s">
        <v>11</v>
      </c>
      <c r="F9" s="71" t="s">
        <v>12</v>
      </c>
      <c r="G9" s="71" t="s">
        <v>13</v>
      </c>
      <c r="H9" s="71" t="s">
        <v>14</v>
      </c>
      <c r="I9" s="70" t="s">
        <v>15</v>
      </c>
    </row>
    <row r="10" spans="1:10" ht="30" x14ac:dyDescent="0.25">
      <c r="A10" s="69">
        <v>1</v>
      </c>
      <c r="B10" s="90" t="s">
        <v>16</v>
      </c>
      <c r="C10" s="68" t="s">
        <v>17</v>
      </c>
      <c r="D10" s="66" t="s">
        <v>18</v>
      </c>
      <c r="E10" s="67" t="s">
        <v>19</v>
      </c>
      <c r="F10" s="66" t="s">
        <v>120</v>
      </c>
      <c r="G10" s="65">
        <v>1000</v>
      </c>
      <c r="H10" s="64">
        <v>1250</v>
      </c>
      <c r="I10" s="63">
        <f t="shared" ref="I10:I11" si="0">(G10*H10)</f>
        <v>1250000</v>
      </c>
    </row>
    <row r="11" spans="1:10" ht="15" x14ac:dyDescent="0.25">
      <c r="A11" s="69">
        <v>2</v>
      </c>
      <c r="B11" s="90" t="s">
        <v>21</v>
      </c>
      <c r="C11" s="68" t="s">
        <v>17</v>
      </c>
      <c r="D11" s="66" t="s">
        <v>18</v>
      </c>
      <c r="E11" s="67" t="s">
        <v>22</v>
      </c>
      <c r="F11" s="66" t="s">
        <v>120</v>
      </c>
      <c r="G11" s="65">
        <v>1500</v>
      </c>
      <c r="H11" s="64">
        <v>1490</v>
      </c>
      <c r="I11" s="63">
        <f t="shared" si="0"/>
        <v>2235000</v>
      </c>
    </row>
    <row r="12" spans="1:10" ht="15" x14ac:dyDescent="0.25">
      <c r="A12" s="69">
        <v>3</v>
      </c>
      <c r="B12" s="90" t="s">
        <v>23</v>
      </c>
      <c r="C12" s="68" t="s">
        <v>17</v>
      </c>
      <c r="D12" s="66" t="s">
        <v>18</v>
      </c>
      <c r="E12" s="67" t="s">
        <v>24</v>
      </c>
      <c r="F12" s="66" t="s">
        <v>120</v>
      </c>
      <c r="G12" s="65">
        <v>1500</v>
      </c>
      <c r="H12" s="64">
        <v>1490</v>
      </c>
      <c r="I12" s="63">
        <f t="shared" ref="I12" si="1">(G12*H12)</f>
        <v>2235000</v>
      </c>
    </row>
    <row r="13" spans="1:10" ht="48.75" customHeight="1" x14ac:dyDescent="0.25">
      <c r="A13" s="69">
        <v>4</v>
      </c>
      <c r="B13" s="90" t="s">
        <v>118</v>
      </c>
      <c r="C13" s="68" t="s">
        <v>17</v>
      </c>
      <c r="D13" s="66" t="s">
        <v>18</v>
      </c>
      <c r="E13" s="74" t="s">
        <v>119</v>
      </c>
      <c r="F13" s="66" t="s">
        <v>122</v>
      </c>
      <c r="G13" s="65">
        <v>100</v>
      </c>
      <c r="H13" s="92">
        <v>15000</v>
      </c>
      <c r="I13" s="63">
        <f>(G13*H13)</f>
        <v>1500000</v>
      </c>
    </row>
    <row r="14" spans="1:10" ht="36.75" customHeight="1" x14ac:dyDescent="0.25">
      <c r="A14" s="69">
        <v>5</v>
      </c>
      <c r="B14" s="90" t="s">
        <v>25</v>
      </c>
      <c r="C14" s="68" t="s">
        <v>17</v>
      </c>
      <c r="D14" s="66" t="s">
        <v>18</v>
      </c>
      <c r="E14" s="75" t="s">
        <v>26</v>
      </c>
      <c r="F14" s="79" t="s">
        <v>123</v>
      </c>
      <c r="G14" s="65">
        <v>1000</v>
      </c>
      <c r="H14" s="64">
        <v>290</v>
      </c>
      <c r="I14" s="63">
        <f t="shared" ref="I14:I30" si="2">(G14*H14)</f>
        <v>290000</v>
      </c>
    </row>
    <row r="15" spans="1:10" ht="15" x14ac:dyDescent="0.25">
      <c r="A15" s="69">
        <v>6</v>
      </c>
      <c r="B15" s="90" t="s">
        <v>27</v>
      </c>
      <c r="C15" s="68" t="s">
        <v>17</v>
      </c>
      <c r="D15" s="66" t="s">
        <v>18</v>
      </c>
      <c r="E15" s="82" t="s">
        <v>28</v>
      </c>
      <c r="F15" s="66" t="s">
        <v>124</v>
      </c>
      <c r="G15" s="35">
        <v>300</v>
      </c>
      <c r="H15" s="64">
        <v>2650</v>
      </c>
      <c r="I15" s="63">
        <f t="shared" si="2"/>
        <v>795000</v>
      </c>
      <c r="J15" s="81"/>
    </row>
    <row r="16" spans="1:10" ht="15" x14ac:dyDescent="0.25">
      <c r="A16" s="69">
        <v>7</v>
      </c>
      <c r="B16" s="90" t="s">
        <v>29</v>
      </c>
      <c r="C16" s="68" t="s">
        <v>17</v>
      </c>
      <c r="D16" s="66" t="s">
        <v>18</v>
      </c>
      <c r="E16" s="67" t="s">
        <v>30</v>
      </c>
      <c r="F16" s="66" t="s">
        <v>124</v>
      </c>
      <c r="G16" s="65">
        <v>300</v>
      </c>
      <c r="H16" s="64">
        <v>2475</v>
      </c>
      <c r="I16" s="63">
        <f t="shared" si="2"/>
        <v>742500</v>
      </c>
      <c r="J16" s="81"/>
    </row>
    <row r="17" spans="1:12" ht="15" x14ac:dyDescent="0.25">
      <c r="A17" s="69">
        <v>8</v>
      </c>
      <c r="B17" s="90" t="s">
        <v>31</v>
      </c>
      <c r="C17" s="68" t="s">
        <v>17</v>
      </c>
      <c r="D17" s="66" t="s">
        <v>18</v>
      </c>
      <c r="E17" s="67" t="s">
        <v>32</v>
      </c>
      <c r="F17" s="66" t="s">
        <v>124</v>
      </c>
      <c r="G17" s="65">
        <v>300</v>
      </c>
      <c r="H17" s="64">
        <v>1600</v>
      </c>
      <c r="I17" s="63">
        <f>(G17*H17)</f>
        <v>480000</v>
      </c>
      <c r="J17" s="81"/>
    </row>
    <row r="18" spans="1:12" ht="44.25" customHeight="1" x14ac:dyDescent="0.25">
      <c r="A18" s="69">
        <v>9</v>
      </c>
      <c r="B18" s="90" t="s">
        <v>33</v>
      </c>
      <c r="C18" s="68" t="s">
        <v>17</v>
      </c>
      <c r="D18" s="66" t="s">
        <v>18</v>
      </c>
      <c r="E18" s="83" t="s">
        <v>34</v>
      </c>
      <c r="F18" s="66" t="s">
        <v>121</v>
      </c>
      <c r="G18" s="65">
        <v>300</v>
      </c>
      <c r="H18" s="64">
        <v>2600</v>
      </c>
      <c r="I18" s="63">
        <f t="shared" si="2"/>
        <v>780000</v>
      </c>
      <c r="J18" s="81"/>
    </row>
    <row r="19" spans="1:12" ht="25.9" customHeight="1" x14ac:dyDescent="0.25">
      <c r="A19" s="69">
        <v>10</v>
      </c>
      <c r="B19" s="90" t="s">
        <v>35</v>
      </c>
      <c r="C19" s="68" t="s">
        <v>17</v>
      </c>
      <c r="D19" s="66" t="s">
        <v>18</v>
      </c>
      <c r="E19" s="67" t="s">
        <v>36</v>
      </c>
      <c r="F19" s="66" t="s">
        <v>121</v>
      </c>
      <c r="G19" s="84">
        <v>300</v>
      </c>
      <c r="H19" s="85">
        <v>5127</v>
      </c>
      <c r="I19" s="63">
        <f t="shared" si="2"/>
        <v>1538100</v>
      </c>
      <c r="J19" s="80"/>
      <c r="K19" s="80"/>
    </row>
    <row r="20" spans="1:12" ht="15" x14ac:dyDescent="0.25">
      <c r="A20" s="69">
        <v>11</v>
      </c>
      <c r="B20" s="90" t="s">
        <v>37</v>
      </c>
      <c r="C20" s="68" t="s">
        <v>17</v>
      </c>
      <c r="D20" s="66" t="s">
        <v>18</v>
      </c>
      <c r="E20" s="67" t="s">
        <v>38</v>
      </c>
      <c r="F20" s="66" t="s">
        <v>20</v>
      </c>
      <c r="G20" s="65">
        <v>500</v>
      </c>
      <c r="H20" s="64">
        <v>1500</v>
      </c>
      <c r="I20" s="63">
        <f t="shared" si="2"/>
        <v>750000</v>
      </c>
    </row>
    <row r="21" spans="1:12" ht="32.25" customHeight="1" x14ac:dyDescent="0.25">
      <c r="A21" s="69">
        <v>12</v>
      </c>
      <c r="B21" s="90" t="s">
        <v>39</v>
      </c>
      <c r="C21" s="68" t="s">
        <v>17</v>
      </c>
      <c r="D21" s="66" t="s">
        <v>18</v>
      </c>
      <c r="E21" s="67" t="s">
        <v>40</v>
      </c>
      <c r="F21" s="66" t="s">
        <v>121</v>
      </c>
      <c r="G21" s="84">
        <v>300</v>
      </c>
      <c r="H21" s="85">
        <v>3000</v>
      </c>
      <c r="I21" s="63">
        <f t="shared" si="2"/>
        <v>900000</v>
      </c>
      <c r="J21" s="80"/>
      <c r="K21" s="80"/>
      <c r="L21" s="81"/>
    </row>
    <row r="22" spans="1:12" ht="28.5" customHeight="1" x14ac:dyDescent="0.25">
      <c r="A22" s="69">
        <v>13</v>
      </c>
      <c r="B22" s="90" t="s">
        <v>41</v>
      </c>
      <c r="C22" s="68" t="s">
        <v>17</v>
      </c>
      <c r="D22" s="66" t="s">
        <v>18</v>
      </c>
      <c r="E22" s="67" t="s">
        <v>42</v>
      </c>
      <c r="F22" s="66" t="s">
        <v>125</v>
      </c>
      <c r="G22" s="65">
        <v>50</v>
      </c>
      <c r="H22" s="64">
        <v>4200</v>
      </c>
      <c r="I22" s="63">
        <f>(G22*H22)</f>
        <v>210000</v>
      </c>
      <c r="J22" s="81"/>
    </row>
    <row r="23" spans="1:12" ht="28.5" customHeight="1" x14ac:dyDescent="0.25">
      <c r="A23" s="69">
        <v>14</v>
      </c>
      <c r="B23" s="90" t="s">
        <v>43</v>
      </c>
      <c r="C23" s="68" t="s">
        <v>17</v>
      </c>
      <c r="D23" s="66" t="s">
        <v>18</v>
      </c>
      <c r="E23" s="67" t="s">
        <v>44</v>
      </c>
      <c r="F23" s="66" t="s">
        <v>120</v>
      </c>
      <c r="G23" s="65">
        <v>50</v>
      </c>
      <c r="H23" s="64">
        <v>180</v>
      </c>
      <c r="I23" s="63">
        <f t="shared" ref="I23:I24" si="3">+H23*G23</f>
        <v>9000</v>
      </c>
    </row>
    <row r="24" spans="1:12" ht="29.25" customHeight="1" x14ac:dyDescent="0.25">
      <c r="A24" s="69">
        <v>15</v>
      </c>
      <c r="B24" s="90" t="s">
        <v>45</v>
      </c>
      <c r="C24" s="68" t="s">
        <v>17</v>
      </c>
      <c r="D24" s="66" t="s">
        <v>18</v>
      </c>
      <c r="E24" s="67" t="s">
        <v>46</v>
      </c>
      <c r="F24" s="66" t="s">
        <v>120</v>
      </c>
      <c r="G24" s="65">
        <v>50</v>
      </c>
      <c r="H24" s="64">
        <v>180</v>
      </c>
      <c r="I24" s="63">
        <f t="shared" si="3"/>
        <v>9000</v>
      </c>
    </row>
    <row r="25" spans="1:12" ht="44.25" customHeight="1" x14ac:dyDescent="0.25">
      <c r="A25" s="69">
        <v>16</v>
      </c>
      <c r="B25" s="90" t="s">
        <v>47</v>
      </c>
      <c r="C25" s="68" t="s">
        <v>17</v>
      </c>
      <c r="D25" s="66" t="s">
        <v>18</v>
      </c>
      <c r="E25" s="67" t="s">
        <v>48</v>
      </c>
      <c r="F25" s="66" t="s">
        <v>120</v>
      </c>
      <c r="G25" s="65">
        <v>50</v>
      </c>
      <c r="H25" s="64">
        <v>180</v>
      </c>
      <c r="I25" s="63">
        <f t="shared" ref="I25" si="4">(G25*H25)</f>
        <v>9000</v>
      </c>
    </row>
    <row r="26" spans="1:12" ht="28.5" customHeight="1" x14ac:dyDescent="0.25">
      <c r="A26" s="69">
        <v>17</v>
      </c>
      <c r="B26" s="90" t="s">
        <v>49</v>
      </c>
      <c r="C26" s="68" t="s">
        <v>17</v>
      </c>
      <c r="D26" s="66" t="s">
        <v>18</v>
      </c>
      <c r="E26" s="67" t="s">
        <v>50</v>
      </c>
      <c r="F26" s="76" t="s">
        <v>51</v>
      </c>
      <c r="G26" s="65">
        <v>400</v>
      </c>
      <c r="H26" s="64">
        <v>1100</v>
      </c>
      <c r="I26" s="63">
        <f t="shared" si="2"/>
        <v>440000</v>
      </c>
    </row>
    <row r="27" spans="1:12" ht="36" customHeight="1" x14ac:dyDescent="0.25">
      <c r="A27" s="69">
        <v>18</v>
      </c>
      <c r="B27" s="90" t="s">
        <v>52</v>
      </c>
      <c r="C27" s="68" t="s">
        <v>17</v>
      </c>
      <c r="D27" s="66" t="s">
        <v>18</v>
      </c>
      <c r="E27" s="67" t="s">
        <v>53</v>
      </c>
      <c r="F27" s="76" t="s">
        <v>121</v>
      </c>
      <c r="G27" s="65">
        <v>150</v>
      </c>
      <c r="H27" s="64">
        <v>6718</v>
      </c>
      <c r="I27" s="63">
        <f t="shared" si="2"/>
        <v>1007700</v>
      </c>
    </row>
    <row r="28" spans="1:12" ht="36" customHeight="1" x14ac:dyDescent="0.25">
      <c r="A28" s="69">
        <v>19</v>
      </c>
      <c r="B28" s="90" t="s">
        <v>54</v>
      </c>
      <c r="C28" s="68" t="s">
        <v>17</v>
      </c>
      <c r="D28" s="66" t="s">
        <v>18</v>
      </c>
      <c r="E28" s="77" t="s">
        <v>55</v>
      </c>
      <c r="F28" s="76" t="s">
        <v>121</v>
      </c>
      <c r="G28" s="65">
        <v>150</v>
      </c>
      <c r="H28" s="64">
        <v>6895</v>
      </c>
      <c r="I28" s="63">
        <f t="shared" si="2"/>
        <v>1034250</v>
      </c>
    </row>
    <row r="29" spans="1:12" ht="36" customHeight="1" x14ac:dyDescent="0.25">
      <c r="A29" s="69">
        <v>20</v>
      </c>
      <c r="B29" s="90" t="s">
        <v>56</v>
      </c>
      <c r="C29" s="68" t="s">
        <v>17</v>
      </c>
      <c r="D29" s="66" t="s">
        <v>18</v>
      </c>
      <c r="E29" s="77" t="s">
        <v>57</v>
      </c>
      <c r="F29" s="76" t="s">
        <v>121</v>
      </c>
      <c r="G29" s="65">
        <v>150</v>
      </c>
      <c r="H29" s="64">
        <v>6895</v>
      </c>
      <c r="I29" s="63">
        <f t="shared" ref="I29" si="5">(G29*H29)</f>
        <v>1034250</v>
      </c>
    </row>
    <row r="30" spans="1:12" ht="36" customHeight="1" x14ac:dyDescent="0.25">
      <c r="A30" s="69">
        <v>21</v>
      </c>
      <c r="B30" s="90" t="s">
        <v>58</v>
      </c>
      <c r="C30" s="68" t="s">
        <v>17</v>
      </c>
      <c r="D30" s="66" t="s">
        <v>18</v>
      </c>
      <c r="E30" s="77" t="s">
        <v>117</v>
      </c>
      <c r="F30" s="76" t="s">
        <v>121</v>
      </c>
      <c r="G30" s="65">
        <v>150</v>
      </c>
      <c r="H30" s="78">
        <v>3500</v>
      </c>
      <c r="I30" s="63">
        <f t="shared" si="2"/>
        <v>525000</v>
      </c>
    </row>
    <row r="31" spans="1:12" ht="17.25" customHeight="1" thickBot="1" x14ac:dyDescent="0.3">
      <c r="B31" s="61"/>
      <c r="I31" s="8">
        <f>SUM(I10:I30)</f>
        <v>17773800</v>
      </c>
    </row>
    <row r="32" spans="1:12" ht="17.25" customHeight="1" x14ac:dyDescent="0.25">
      <c r="B32" s="39" t="s">
        <v>59</v>
      </c>
      <c r="C32" s="40"/>
      <c r="D32" s="40"/>
      <c r="E32" s="41"/>
    </row>
    <row r="33" spans="2:5" x14ac:dyDescent="0.25">
      <c r="B33" s="110"/>
      <c r="C33" s="111"/>
      <c r="D33" s="42"/>
      <c r="E33" s="43"/>
    </row>
    <row r="34" spans="2:5" ht="34.5" customHeight="1" x14ac:dyDescent="0.25">
      <c r="B34" s="86"/>
      <c r="C34" s="96" t="s">
        <v>126</v>
      </c>
      <c r="D34" s="96"/>
      <c r="E34" s="97"/>
    </row>
    <row r="35" spans="2:5" x14ac:dyDescent="0.25">
      <c r="B35" s="86"/>
      <c r="C35" s="1" t="s">
        <v>130</v>
      </c>
      <c r="E35" s="91"/>
    </row>
    <row r="36" spans="2:5" ht="13.5" customHeight="1" x14ac:dyDescent="0.25">
      <c r="B36" s="86"/>
      <c r="C36" s="96" t="s">
        <v>131</v>
      </c>
      <c r="D36" s="96"/>
      <c r="E36" s="97"/>
    </row>
    <row r="37" spans="2:5" ht="13.5" customHeight="1" x14ac:dyDescent="0.25">
      <c r="B37" s="86"/>
      <c r="C37" s="96" t="s">
        <v>132</v>
      </c>
      <c r="D37" s="96"/>
      <c r="E37" s="97"/>
    </row>
    <row r="38" spans="2:5" ht="13.5" customHeight="1" x14ac:dyDescent="0.25">
      <c r="B38" s="86"/>
      <c r="C38" s="96" t="s">
        <v>133</v>
      </c>
      <c r="D38" s="96"/>
      <c r="E38" s="97"/>
    </row>
    <row r="39" spans="2:5" ht="13.5" customHeight="1" x14ac:dyDescent="0.25">
      <c r="B39" s="86"/>
      <c r="C39" s="96" t="s">
        <v>134</v>
      </c>
      <c r="D39" s="96"/>
      <c r="E39" s="97"/>
    </row>
    <row r="40" spans="2:5" ht="13.5" customHeight="1" x14ac:dyDescent="0.25">
      <c r="B40" s="86"/>
      <c r="C40" s="96" t="s">
        <v>135</v>
      </c>
      <c r="D40" s="96"/>
      <c r="E40" s="97"/>
    </row>
    <row r="41" spans="2:5" ht="13.5" customHeight="1" x14ac:dyDescent="0.25">
      <c r="B41" s="86"/>
      <c r="C41" s="96" t="s">
        <v>127</v>
      </c>
      <c r="D41" s="96"/>
      <c r="E41" s="97"/>
    </row>
    <row r="42" spans="2:5" ht="13.5" customHeight="1" x14ac:dyDescent="0.25">
      <c r="B42" s="86"/>
      <c r="C42" s="96" t="s">
        <v>128</v>
      </c>
      <c r="D42" s="96"/>
      <c r="E42" s="97"/>
    </row>
    <row r="43" spans="2:5" ht="13.5" customHeight="1" x14ac:dyDescent="0.25">
      <c r="B43" s="86"/>
      <c r="C43" s="96" t="s">
        <v>136</v>
      </c>
      <c r="D43" s="96"/>
      <c r="E43" s="97"/>
    </row>
    <row r="44" spans="2:5" ht="13.5" customHeight="1" x14ac:dyDescent="0.25">
      <c r="B44" s="86"/>
      <c r="C44" s="96" t="s">
        <v>137</v>
      </c>
      <c r="D44" s="96"/>
      <c r="E44" s="97"/>
    </row>
    <row r="45" spans="2:5" ht="13.5" customHeight="1" x14ac:dyDescent="0.25">
      <c r="B45" s="86"/>
      <c r="C45" s="96" t="s">
        <v>138</v>
      </c>
      <c r="D45" s="96"/>
      <c r="E45" s="97"/>
    </row>
    <row r="46" spans="2:5" ht="13.5" customHeight="1" x14ac:dyDescent="0.25">
      <c r="B46" s="86"/>
      <c r="C46" s="96" t="s">
        <v>139</v>
      </c>
      <c r="D46" s="96"/>
      <c r="E46" s="97"/>
    </row>
    <row r="47" spans="2:5" ht="13.5" customHeight="1" x14ac:dyDescent="0.25">
      <c r="B47" s="86"/>
      <c r="C47" s="96" t="s">
        <v>140</v>
      </c>
      <c r="D47" s="96"/>
      <c r="E47" s="97"/>
    </row>
    <row r="48" spans="2:5" x14ac:dyDescent="0.25">
      <c r="B48" s="86"/>
    </row>
    <row r="49" spans="2:5" ht="14.25" thickBot="1" x14ac:dyDescent="0.3">
      <c r="B49" s="88"/>
    </row>
    <row r="50" spans="2:5" ht="59.25" customHeight="1" thickBot="1" x14ac:dyDescent="0.3">
      <c r="B50" s="93" t="s">
        <v>60</v>
      </c>
      <c r="C50" s="94"/>
      <c r="D50" s="94"/>
      <c r="E50" s="95"/>
    </row>
    <row r="51" spans="2:5" ht="65.25" customHeight="1" thickBot="1" x14ac:dyDescent="0.3">
      <c r="B51" s="93" t="s">
        <v>61</v>
      </c>
      <c r="C51" s="94"/>
      <c r="D51" s="94"/>
      <c r="E51" s="95"/>
    </row>
    <row r="52" spans="2:5" ht="14.25" thickBot="1" x14ac:dyDescent="0.3">
      <c r="B52" s="44"/>
      <c r="C52" s="87"/>
      <c r="D52" s="87"/>
      <c r="E52" s="87"/>
    </row>
    <row r="53" spans="2:5" x14ac:dyDescent="0.25">
      <c r="B53" s="45" t="s">
        <v>62</v>
      </c>
      <c r="C53" s="46"/>
      <c r="D53" s="40"/>
      <c r="E53" s="47"/>
    </row>
    <row r="54" spans="2:5" ht="108.75" customHeight="1" x14ac:dyDescent="0.25">
      <c r="B54" s="48"/>
      <c r="C54" s="102" t="s">
        <v>116</v>
      </c>
      <c r="D54" s="102"/>
      <c r="E54" s="103"/>
    </row>
    <row r="55" spans="2:5" x14ac:dyDescent="0.25">
      <c r="B55" s="48"/>
      <c r="C55" s="104"/>
      <c r="D55" s="104"/>
      <c r="E55" s="104"/>
    </row>
    <row r="56" spans="2:5" x14ac:dyDescent="0.25">
      <c r="B56" s="49" t="s">
        <v>63</v>
      </c>
      <c r="C56" s="50"/>
      <c r="D56" s="42"/>
      <c r="E56" s="89"/>
    </row>
    <row r="57" spans="2:5" ht="18.75" customHeight="1" x14ac:dyDescent="0.25">
      <c r="B57" s="48"/>
      <c r="C57" s="102" t="s">
        <v>114</v>
      </c>
      <c r="D57" s="102"/>
      <c r="E57" s="103"/>
    </row>
    <row r="58" spans="2:5" ht="372" customHeight="1" x14ac:dyDescent="0.25">
      <c r="B58" s="48"/>
      <c r="C58" s="102" t="s">
        <v>129</v>
      </c>
      <c r="D58" s="102"/>
      <c r="E58" s="103"/>
    </row>
    <row r="59" spans="2:5" ht="69" customHeight="1" thickBot="1" x14ac:dyDescent="0.3">
      <c r="B59" s="51"/>
      <c r="C59" s="105" t="s">
        <v>115</v>
      </c>
      <c r="D59" s="105"/>
      <c r="E59" s="106"/>
    </row>
    <row r="60" spans="2:5" ht="14.25" thickBot="1" x14ac:dyDescent="0.3">
      <c r="B60" s="42"/>
      <c r="C60" s="42"/>
      <c r="D60" s="42"/>
      <c r="E60" s="42"/>
    </row>
    <row r="61" spans="2:5" x14ac:dyDescent="0.25">
      <c r="B61" s="45" t="s">
        <v>64</v>
      </c>
      <c r="C61" s="54"/>
      <c r="D61" s="54"/>
      <c r="E61" s="55"/>
    </row>
    <row r="62" spans="2:5" x14ac:dyDescent="0.25">
      <c r="B62" s="56"/>
      <c r="C62" s="98" t="s">
        <v>65</v>
      </c>
      <c r="D62" s="98"/>
      <c r="E62" s="99"/>
    </row>
    <row r="63" spans="2:5" x14ac:dyDescent="0.25">
      <c r="B63" s="57" t="s">
        <v>66</v>
      </c>
      <c r="C63" s="42"/>
      <c r="D63" s="42"/>
      <c r="E63" s="43"/>
    </row>
    <row r="64" spans="2:5" x14ac:dyDescent="0.25">
      <c r="B64" s="58"/>
      <c r="C64" s="100" t="s">
        <v>67</v>
      </c>
      <c r="D64" s="100"/>
      <c r="E64" s="101"/>
    </row>
    <row r="65" spans="2:5" ht="14.25" thickBot="1" x14ac:dyDescent="0.3">
      <c r="B65" s="59"/>
      <c r="C65" s="52"/>
      <c r="D65" s="52"/>
      <c r="E65" s="53"/>
    </row>
  </sheetData>
  <mergeCells count="30">
    <mergeCell ref="B33:C33"/>
    <mergeCell ref="C34:E34"/>
    <mergeCell ref="C38:E38"/>
    <mergeCell ref="C36:E36"/>
    <mergeCell ref="C37:E37"/>
    <mergeCell ref="A6:B6"/>
    <mergeCell ref="A7:B7"/>
    <mergeCell ref="B2:H2"/>
    <mergeCell ref="A4:B4"/>
    <mergeCell ref="C4:E4"/>
    <mergeCell ref="A5:B5"/>
    <mergeCell ref="C5:E5"/>
    <mergeCell ref="C62:E62"/>
    <mergeCell ref="C64:E64"/>
    <mergeCell ref="C54:E54"/>
    <mergeCell ref="C55:E55"/>
    <mergeCell ref="C57:E57"/>
    <mergeCell ref="C58:E58"/>
    <mergeCell ref="C59:E59"/>
    <mergeCell ref="B51:E51"/>
    <mergeCell ref="B50:E50"/>
    <mergeCell ref="C46:E46"/>
    <mergeCell ref="C39:E39"/>
    <mergeCell ref="C40:E40"/>
    <mergeCell ref="C41:E41"/>
    <mergeCell ref="C42:E42"/>
    <mergeCell ref="C43:E43"/>
    <mergeCell ref="C47:E47"/>
    <mergeCell ref="C44:E44"/>
    <mergeCell ref="C45:E45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2" t="s">
        <v>68</v>
      </c>
      <c r="B1" s="112"/>
      <c r="C1" s="112"/>
      <c r="D1" s="112"/>
      <c r="E1" s="112"/>
      <c r="F1" s="112"/>
      <c r="G1" s="112"/>
      <c r="H1" s="112"/>
      <c r="I1" s="112"/>
      <c r="J1" s="26" t="s">
        <v>69</v>
      </c>
      <c r="K1" s="27" t="s">
        <v>70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3" t="s">
        <v>71</v>
      </c>
      <c r="B3" s="113"/>
      <c r="C3" s="113"/>
      <c r="D3" s="118" t="str">
        <f>'Necesidades Trimestrales'!C4</f>
        <v>90 - Ministerio de Seguridad</v>
      </c>
      <c r="E3" s="118"/>
      <c r="F3" s="118"/>
      <c r="G3" s="118"/>
      <c r="H3" s="118"/>
      <c r="I3" s="118"/>
      <c r="J3" s="118"/>
      <c r="K3" s="118"/>
    </row>
    <row r="4" spans="1:1024" ht="18.75" customHeight="1" thickBot="1" x14ac:dyDescent="0.3">
      <c r="A4" s="117" t="s">
        <v>72</v>
      </c>
      <c r="B4" s="117"/>
      <c r="C4" s="117"/>
      <c r="D4" s="118" t="str">
        <f>'Necesidades Trimestrales'!C5</f>
        <v>7- Dirección Provincial de Administración de la Policía de la Provincia de Catamarca</v>
      </c>
      <c r="E4" s="118"/>
      <c r="F4" s="118"/>
      <c r="G4" s="118"/>
      <c r="H4" s="118"/>
      <c r="I4" s="118"/>
      <c r="J4" s="118"/>
      <c r="K4" s="118"/>
    </row>
    <row r="5" spans="1:1024" ht="18.75" customHeight="1" thickBot="1" x14ac:dyDescent="0.3">
      <c r="A5" s="117" t="s">
        <v>73</v>
      </c>
      <c r="B5" s="117"/>
      <c r="C5" s="117"/>
      <c r="D5" s="118" t="s">
        <v>74</v>
      </c>
      <c r="E5" s="118"/>
      <c r="F5" s="118"/>
      <c r="G5" s="118"/>
      <c r="H5" s="118"/>
      <c r="I5" s="118"/>
      <c r="J5" s="118"/>
      <c r="K5" s="118"/>
    </row>
    <row r="6" spans="1:1024" ht="16.5" customHeight="1" thickBot="1" x14ac:dyDescent="0.3">
      <c r="A6" s="113" t="s">
        <v>75</v>
      </c>
      <c r="B6" s="113"/>
      <c r="C6" s="113"/>
      <c r="D6" s="114" t="s">
        <v>76</v>
      </c>
      <c r="E6" s="115"/>
      <c r="F6" s="115"/>
      <c r="G6" s="115"/>
      <c r="H6" s="115"/>
      <c r="I6" s="115"/>
      <c r="J6" s="115"/>
      <c r="K6" s="116"/>
    </row>
    <row r="7" spans="1:1024" ht="16.5" customHeight="1" thickBot="1" x14ac:dyDescent="0.3">
      <c r="A7" s="117" t="s">
        <v>77</v>
      </c>
      <c r="B7" s="117"/>
      <c r="C7" s="117"/>
      <c r="D7" s="118" t="s">
        <v>78</v>
      </c>
      <c r="E7" s="118"/>
      <c r="F7" s="118"/>
      <c r="G7" s="118"/>
      <c r="H7" s="118"/>
      <c r="I7" s="118"/>
      <c r="J7" s="118"/>
      <c r="K7" s="118"/>
    </row>
    <row r="8" spans="1:1024" ht="16.5" customHeight="1" thickBot="1" x14ac:dyDescent="0.3">
      <c r="A8" s="128" t="s">
        <v>79</v>
      </c>
      <c r="B8" s="128"/>
      <c r="C8" s="128"/>
      <c r="D8" s="121" t="s">
        <v>80</v>
      </c>
      <c r="E8" s="115"/>
      <c r="F8" s="115"/>
      <c r="G8" s="115"/>
      <c r="H8" s="115"/>
      <c r="I8" s="115"/>
      <c r="J8" s="115"/>
      <c r="K8" s="116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2" t="s">
        <v>81</v>
      </c>
      <c r="B10" s="123" t="s">
        <v>82</v>
      </c>
      <c r="C10" s="124" t="s">
        <v>83</v>
      </c>
      <c r="D10" s="125"/>
      <c r="E10" s="125"/>
      <c r="F10" s="125"/>
      <c r="G10" s="126"/>
      <c r="H10" s="127" t="s">
        <v>84</v>
      </c>
      <c r="I10" s="125" t="s">
        <v>85</v>
      </c>
      <c r="J10" s="125" t="s">
        <v>86</v>
      </c>
      <c r="K10" s="126" t="s">
        <v>87</v>
      </c>
    </row>
    <row r="11" spans="1:1024" ht="14.25" customHeight="1" thickBot="1" x14ac:dyDescent="0.3">
      <c r="A11" s="122"/>
      <c r="B11" s="123"/>
      <c r="C11" s="124"/>
      <c r="D11" s="125"/>
      <c r="E11" s="125"/>
      <c r="F11" s="125"/>
      <c r="G11" s="126"/>
      <c r="H11" s="127"/>
      <c r="I11" s="125"/>
      <c r="J11" s="125"/>
      <c r="K11" s="126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9" t="e">
        <f>'Necesidades Trimestrales'!#REF!</f>
        <v>#REF!</v>
      </c>
      <c r="D12" s="130"/>
      <c r="E12" s="130"/>
      <c r="F12" s="130"/>
      <c r="G12" s="131"/>
      <c r="H12" s="34" t="s">
        <v>88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9" t="e">
        <f>'Necesidades Trimestrales'!#REF!</f>
        <v>#REF!</v>
      </c>
      <c r="D13" s="130"/>
      <c r="E13" s="130"/>
      <c r="F13" s="130"/>
      <c r="G13" s="131"/>
      <c r="H13" s="34" t="s">
        <v>88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9" t="e">
        <f>'Necesidades Trimestrales'!#REF!</f>
        <v>#REF!</v>
      </c>
      <c r="D14" s="130"/>
      <c r="E14" s="130"/>
      <c r="F14" s="130"/>
      <c r="G14" s="131"/>
      <c r="H14" s="34" t="s">
        <v>88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9" t="s">
        <v>89</v>
      </c>
      <c r="B15" s="119"/>
      <c r="C15" s="119"/>
      <c r="D15" s="119"/>
      <c r="E15" s="119"/>
      <c r="F15" s="119"/>
      <c r="G15" s="119"/>
      <c r="H15" s="119"/>
      <c r="I15" s="119"/>
      <c r="J15" s="120">
        <f>'Necesidades Trimestrales'!I17</f>
        <v>480000</v>
      </c>
      <c r="K15" s="12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32" t="s">
        <v>5</v>
      </c>
      <c r="B1" s="132"/>
      <c r="C1" s="132"/>
      <c r="D1" s="133">
        <f>'Necesidades Trimestrales'!C6</f>
        <v>2022</v>
      </c>
      <c r="E1" s="133"/>
      <c r="F1" s="9"/>
      <c r="G1" s="9"/>
      <c r="H1" s="10"/>
      <c r="I1" s="10"/>
      <c r="J1" s="10"/>
      <c r="K1" s="10"/>
      <c r="L1" s="10"/>
      <c r="M1" s="10"/>
      <c r="N1" s="10"/>
      <c r="P1" s="134" t="s">
        <v>90</v>
      </c>
      <c r="Q1" s="134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4"/>
      <c r="Q2" s="134"/>
    </row>
    <row r="4" spans="1:17" ht="18" customHeight="1" thickBot="1" x14ac:dyDescent="0.35">
      <c r="A4" s="135" t="s">
        <v>91</v>
      </c>
      <c r="B4" s="135"/>
      <c r="C4" s="135"/>
      <c r="D4" s="135"/>
      <c r="E4" s="135"/>
      <c r="F4" s="135"/>
      <c r="G4" s="136" t="str">
        <f>' NotaPedido'!D3</f>
        <v>90 - Ministerio de Seguridad</v>
      </c>
      <c r="H4" s="136"/>
      <c r="I4" s="136"/>
      <c r="J4" s="136"/>
      <c r="K4" s="136"/>
      <c r="L4" s="136"/>
      <c r="M4" s="136"/>
      <c r="N4" s="136"/>
      <c r="O4" s="136"/>
      <c r="P4" s="136"/>
      <c r="Q4" s="136"/>
    </row>
    <row r="5" spans="1:17" ht="18" customHeight="1" thickBot="1" x14ac:dyDescent="0.35">
      <c r="A5" s="137" t="s">
        <v>72</v>
      </c>
      <c r="B5" s="138"/>
      <c r="C5" s="138"/>
      <c r="D5" s="138"/>
      <c r="E5" s="138"/>
      <c r="F5" s="139"/>
      <c r="G5" s="136" t="str">
        <f>' NotaPedido'!D4</f>
        <v>7- Dirección Provincial de Administración de la Policía de la Provincia de Catamarca</v>
      </c>
      <c r="H5" s="136"/>
      <c r="I5" s="136"/>
      <c r="J5" s="136"/>
      <c r="K5" s="136"/>
      <c r="L5" s="136"/>
      <c r="M5" s="136"/>
      <c r="N5" s="136"/>
      <c r="O5" s="136"/>
      <c r="P5" s="136"/>
      <c r="Q5" s="136"/>
    </row>
    <row r="6" spans="1:17" ht="18" customHeight="1" thickBot="1" x14ac:dyDescent="0.35">
      <c r="A6" s="137" t="s">
        <v>73</v>
      </c>
      <c r="B6" s="138"/>
      <c r="C6" s="138"/>
      <c r="D6" s="138"/>
      <c r="E6" s="138"/>
      <c r="F6" s="139"/>
      <c r="G6" s="136" t="str">
        <f>' NotaPedido'!D5</f>
        <v>Policía de la Provincia de Catamarca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ht="18" customHeight="1" thickBot="1" x14ac:dyDescent="0.35">
      <c r="A7" s="137" t="s">
        <v>75</v>
      </c>
      <c r="B7" s="138"/>
      <c r="C7" s="138"/>
      <c r="D7" s="138"/>
      <c r="E7" s="138"/>
      <c r="F7" s="139"/>
      <c r="G7" s="136" t="str">
        <f>' NotaPedido'!D6</f>
        <v>División Intendencia, Departamento Logística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ht="18" customHeight="1" thickBot="1" x14ac:dyDescent="0.3">
      <c r="A8" s="140" t="s">
        <v>92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7" ht="18" customHeight="1" x14ac:dyDescent="0.3">
      <c r="A9" s="141" t="s">
        <v>93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3"/>
      <c r="P9" s="3"/>
      <c r="Q9" s="11"/>
    </row>
    <row r="10" spans="1:17" ht="66.75" customHeight="1" x14ac:dyDescent="0.25">
      <c r="A10" s="142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3" t="s">
        <v>94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x14ac:dyDescent="0.25">
      <c r="A13" s="144" t="s">
        <v>95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96</v>
      </c>
      <c r="P13" s="145"/>
      <c r="Q13" s="146" t="s">
        <v>97</v>
      </c>
    </row>
    <row r="14" spans="1:17" ht="15.75" customHeight="1" thickBot="1" x14ac:dyDescent="0.3">
      <c r="A14" s="16" t="s">
        <v>98</v>
      </c>
      <c r="B14" s="17" t="s">
        <v>99</v>
      </c>
      <c r="C14" s="17" t="s">
        <v>100</v>
      </c>
      <c r="D14" s="17" t="s">
        <v>101</v>
      </c>
      <c r="E14" s="17" t="s">
        <v>102</v>
      </c>
      <c r="F14" s="17" t="s">
        <v>103</v>
      </c>
      <c r="G14" s="18" t="s">
        <v>104</v>
      </c>
      <c r="H14" s="17" t="s">
        <v>105</v>
      </c>
      <c r="I14" s="17" t="s">
        <v>106</v>
      </c>
      <c r="J14" s="17" t="s">
        <v>107</v>
      </c>
      <c r="K14" s="17" t="s">
        <v>107</v>
      </c>
      <c r="L14" s="17" t="s">
        <v>108</v>
      </c>
      <c r="M14" s="19" t="s">
        <v>109</v>
      </c>
      <c r="N14" s="20" t="s">
        <v>110</v>
      </c>
      <c r="O14" s="145"/>
      <c r="P14" s="145"/>
      <c r="Q14" s="146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111</v>
      </c>
      <c r="O15" s="147" t="e">
        <f>'Necesidades Trimestrales'!#REF!</f>
        <v>#REF!</v>
      </c>
      <c r="P15" s="148"/>
      <c r="Q15" s="24">
        <f>' NotaPedido'!J15</f>
        <v>480000</v>
      </c>
    </row>
    <row r="16" spans="1:17" ht="33" customHeight="1" thickBot="1" x14ac:dyDescent="0.3">
      <c r="A16" s="160" t="s">
        <v>112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25">
        <f>Q15</f>
        <v>480000</v>
      </c>
    </row>
    <row r="17" spans="1:17" ht="18" customHeight="1" thickBot="1" x14ac:dyDescent="0.3">
      <c r="A17" s="161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3"/>
    </row>
    <row r="18" spans="1:17" ht="17.25" customHeight="1" thickBot="1" x14ac:dyDescent="0.3">
      <c r="A18" s="149" t="s">
        <v>113</v>
      </c>
      <c r="B18" s="150"/>
      <c r="C18" s="150"/>
      <c r="D18" s="150"/>
      <c r="E18" s="150"/>
      <c r="F18" s="151"/>
      <c r="G18" s="152"/>
      <c r="H18" s="153"/>
      <c r="I18" s="153"/>
      <c r="J18" s="153"/>
      <c r="K18" s="153"/>
      <c r="L18" s="153"/>
      <c r="M18" s="153"/>
      <c r="N18" s="153"/>
      <c r="O18" s="153"/>
      <c r="P18" s="153"/>
      <c r="Q18" s="153"/>
    </row>
    <row r="19" spans="1:17" ht="18" customHeight="1" x14ac:dyDescent="0.25">
      <c r="A19" s="154" t="str">
        <f>' NotaPedido'!D8</f>
        <v>Adquisición de Uniformes de Fajina para el personal policial.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6"/>
    </row>
    <row r="20" spans="1:17" ht="15" customHeight="1" thickBot="1" x14ac:dyDescent="0.3">
      <c r="A20" s="157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9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Policia</cp:lastModifiedBy>
  <cp:revision>2</cp:revision>
  <dcterms:created xsi:type="dcterms:W3CDTF">2020-07-17T23:44:49Z</dcterms:created>
  <dcterms:modified xsi:type="dcterms:W3CDTF">2022-10-20T12:38:38Z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