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17" i="2"/>
  <c r="J12" i="2"/>
  <c r="J13" i="2"/>
  <c r="J14" i="2"/>
  <c r="J15" i="2"/>
  <c r="J16" i="2"/>
  <c r="J17" i="2"/>
  <c r="I12" i="2"/>
  <c r="I13" i="2"/>
  <c r="I14" i="2"/>
  <c r="I15" i="2"/>
  <c r="I16" i="2"/>
  <c r="I17" i="2"/>
  <c r="C12" i="2"/>
  <c r="C13" i="2"/>
  <c r="C14" i="2"/>
  <c r="C15" i="2"/>
  <c r="C16" i="2"/>
  <c r="C17" i="2"/>
  <c r="B12" i="2"/>
  <c r="B13" i="2"/>
  <c r="B14" i="2"/>
  <c r="B15" i="2"/>
  <c r="B16" i="2"/>
  <c r="B17" i="2"/>
  <c r="J18" i="2" l="1"/>
  <c r="I14" i="1" l="1"/>
  <c r="I15" i="1"/>
  <c r="I10" i="1" l="1"/>
  <c r="I11" i="1"/>
  <c r="I12" i="1" l="1"/>
  <c r="I13" i="1"/>
  <c r="Q21" i="3" l="1"/>
  <c r="A10" i="3"/>
  <c r="G7" i="3"/>
  <c r="G6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<sst xmlns="http://schemas.openxmlformats.org/spreadsheetml/2006/main" count="103" uniqueCount="86">
  <si>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</si>
  <si>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</si>
  <si>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</si>
  <si>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</si>
  <si>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</si>
  <si>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</si>
  <si>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</si>
  <si>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</si>
  <si>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</si>
  <si>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</si>
  <si>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</si>
  <si>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</si>
  <si>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</si>
  <si>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</si>
  <si>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</si>
  <si>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</si>
  <si>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</si>
  <si>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CAJA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</si>
  <si>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</si>
  <si>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</si>
  <si>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</si>
  <si>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</si>
  <si>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</si>
  <si>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</si>
  <si>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</si>
  <si>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</si>
  <si>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</si>
  <si>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</si>
  <si>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</si>
  <si>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</si>
  <si>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</si>
  <si>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</si>
  <si>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</si>
  <si>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</si>
  <si>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</si>
  <si>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</si>
  <si>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</si>
  <si>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</si>
  <si>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</si>
  <si>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</si>
  <si>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</si>
  <si>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</si>
  <si>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</si>
  <si>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</si>
  <si>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</si>
  <si>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</si>
  <si>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</si>
  <si>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</si>
  <si>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</si>
  <si>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</si>
  <si>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</si>
  <si>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</si>
  <si>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</si>
  <si>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</si>
  <si>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</si>
  <si>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</si>
  <si>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</si>
  <si>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2.5.2-1864.6</t>
  </si>
  <si>
    <t>2.5.2-1724.154</t>
  </si>
  <si>
    <t>HIPOURICEMIANTES; TIPO: MONODROGA, DROGA GENERICA: ALOPURINOL 300 mGr, FORMA FARMACEUTICA: COMPRIMIDO, PRESENTACION: UNIDAD</t>
  </si>
  <si>
    <t>ANALGESICOS ; TIPO: MONODROGA, DROGA GENERICA: TRAMADOL 50 mGr, FORMA FARMACEUTICA: AMPOLLA, PRESENTACION: UNIDAD</t>
  </si>
  <si>
    <t>SI</t>
  </si>
  <si>
    <t>Productos Farmacéuticos y Medicinales</t>
  </si>
  <si>
    <t>2.5.2-1851.29</t>
  </si>
  <si>
    <t>GENITOURINARIO; TIPO: MONODROGA, DROGA GENÉRICA: NISTATINA, FORMA FARMACEÚTICA: COMPRIMIDO VAGINAL, PRESENTACIÓN: 100000 UI</t>
  </si>
  <si>
    <t>2.9.5-2366.2</t>
  </si>
  <si>
    <t>HISOPOS; MATERIAL DE EXTREMOS: ALGODON, PRESENTACION: CAJA X 100</t>
  </si>
  <si>
    <t>Utiles Menores Medico, Quirurgico y de Laboratorio</t>
  </si>
  <si>
    <t>3 meses</t>
  </si>
  <si>
    <t>Adquisición de Medicamentos y Descartables Desiertos y Fracasados</t>
  </si>
  <si>
    <t>2.5.2-1894.101</t>
  </si>
  <si>
    <t>2.5.2-5462.11</t>
  </si>
  <si>
    <t>CITOSTATICOS; TIPO: MONODROGA, DROGA GENERICA: BEVACIZUMAB 100 MG, FORMA FARMACEUTICA: VIAL X 4 mL, PRESENTACION: UNIDAD</t>
  </si>
  <si>
    <t>ANTICONVULSIVOS; TIPO: MONODROGA, DROGA GENERICA: ACETAZOLAMIDA 250 MG, FORMA FARMACEUTICA: COMPRIMIDO, PRESENTACION: UNIDAD UN</t>
  </si>
  <si>
    <t>FRASCO AMPOLLA</t>
  </si>
  <si>
    <t>23 - Hospital Interzonal San Juan Bautista</t>
  </si>
  <si>
    <t xml:space="preserve">168 - Dirección Asistencial </t>
  </si>
  <si>
    <t xml:space="preserve">Servicio de Farmacia </t>
  </si>
  <si>
    <t>Para la adquisición de Medicamentos y Descartables Desiertos y Fracasados destinados al servico de Farmacia del Hospital San Juan Bautista.</t>
  </si>
  <si>
    <t>Costo total estimado: NOVECIENTOS VEINTICINCO MIL CIENTO TREINTA Y CUATRO CON 00/100.----</t>
  </si>
  <si>
    <t>TOTAL DE PESOS: NOVECIENTOS VEINTICINCO MIL CIENTO TREINTA Y CUATRO CON 00/100.-----</t>
  </si>
  <si>
    <t>NOTA DE PEDIDO 108</t>
  </si>
  <si>
    <t>DOCFI-2022-01503892-CAT-DASIS#HSJB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</si>
  <si>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</si>
  <si>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</si>
  <si>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AVDA. ILLIA Y MARIANO MORENO - DE LUNES A VIERNES DE 08:00 A 11:00 HORAS DEBIENDO CORRER LOS GASTOS DE FLETES, ACARREO, CARGA, DESCARGA Y SEGURO A CARGO DEL ADJUDICATARIO.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</si>
</sst>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[$$-2C0A]\ #,##0.00;[$$-2C0A]&quot; -&quot;#,##0.00"/>
    <numFmt numFmtId="168" formatCode="[$$-2C0A]\ #,##0.00"/>
    <numFmt numFmtId="169" formatCode="dd\-mm\-yy"/>
    <numFmt numFmtId="170" formatCode="_-&quot;$&quot;* #,##0.00_-;\-&quot;$&quot;* #,##0.00_-;_-&quot;$&quot;* &quot;-&quot;??_-;_-@_-"/>
  </numFmts>
  <fonts count="2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</font>
    <font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medium">
        <color rgb="FF3D3D3D"/>
      </top>
      <bottom style="thin">
        <color indexed="64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2" fillId="0" borderId="6"/>
    <xf numFmtId="164" fontId="26" fillId="0" borderId="0" applyFont="0" applyFill="0" applyBorder="0" applyAlignment="0" applyProtection="0"/>
    <xf numFmtId="0" fontId="5" fillId="0" borderId="6"/>
    <xf numFmtId="0" fontId="1" fillId="0" borderId="6"/>
    <xf numFmtId="0" fontId="24" fillId="0" borderId="6"/>
  </cellStyleXfs>
  <cellXfs count="213">
    <xf numFmtId="0" fontId="0" fillId="0" borderId="0" xfId="0"/>
    <xf numFmtId="0" fontId="3" fillId="0" borderId="1" xfId="0" applyFont="1" applyBorder="1"/>
    <xf numFmtId="165" fontId="3" fillId="0" borderId="1" xfId="0" applyNumberFormat="1" applyFont="1" applyBorder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13" fillId="0" borderId="7" xfId="0" applyFont="1" applyBorder="1" applyAlignment="1">
      <alignment horizontal="right" vertical="center"/>
    </xf>
    <xf numFmtId="0" fontId="15" fillId="0" borderId="9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3" fontId="19" fillId="0" borderId="0" xfId="0" applyNumberFormat="1" applyFont="1"/>
    <xf numFmtId="16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23" xfId="0" applyFont="1" applyBorder="1"/>
    <xf numFmtId="0" fontId="11" fillId="0" borderId="30" xfId="0" applyFont="1" applyBorder="1"/>
    <xf numFmtId="0" fontId="11" fillId="0" borderId="30" xfId="0" applyFont="1" applyBorder="1" applyAlignment="1">
      <alignment horizontal="left"/>
    </xf>
    <xf numFmtId="0" fontId="11" fillId="0" borderId="24" xfId="0" applyFont="1" applyBorder="1"/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left" vertical="center"/>
    </xf>
    <xf numFmtId="0" fontId="23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167" fontId="11" fillId="0" borderId="41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167" fontId="11" fillId="0" borderId="46" xfId="0" applyNumberFormat="1" applyFont="1" applyBorder="1" applyAlignment="1">
      <alignment horizontal="center" vertical="center"/>
    </xf>
    <xf numFmtId="0" fontId="3" fillId="0" borderId="6" xfId="0" applyFont="1" applyBorder="1"/>
    <xf numFmtId="0" fontId="8" fillId="0" borderId="6" xfId="0" applyFont="1" applyBorder="1" applyAlignment="1">
      <alignment horizontal="left" wrapText="1"/>
    </xf>
    <xf numFmtId="0" fontId="10" fillId="0" borderId="53" xfId="0" applyFont="1" applyBorder="1" applyAlignment="1">
      <alignment horizontal="center" vertical="center" wrapText="1"/>
    </xf>
    <xf numFmtId="165" fontId="10" fillId="0" borderId="5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6" xfId="0" applyFont="1" applyBorder="1" applyAlignment="1">
      <alignment horizontal="center" vertical="center" wrapText="1"/>
    </xf>
    <xf numFmtId="167" fontId="3" fillId="0" borderId="56" xfId="0" applyNumberFormat="1" applyFont="1" applyBorder="1" applyAlignment="1">
      <alignment horizontal="right" vertical="center" wrapText="1"/>
    </xf>
    <xf numFmtId="3" fontId="3" fillId="0" borderId="5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 wrapText="1"/>
    </xf>
    <xf numFmtId="44" fontId="5" fillId="2" borderId="57" xfId="2" applyNumberFormat="1" applyFont="1" applyFill="1" applyBorder="1" applyAlignment="1">
      <alignment horizontal="center" vertical="center"/>
    </xf>
    <xf numFmtId="0" fontId="24" fillId="0" borderId="57" xfId="0" applyFont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 wrapText="1"/>
    </xf>
    <xf numFmtId="3" fontId="5" fillId="2" borderId="57" xfId="0" applyNumberFormat="1" applyFont="1" applyFill="1" applyBorder="1" applyAlignment="1">
      <alignment horizontal="center" vertical="center"/>
    </xf>
    <xf numFmtId="44" fontId="25" fillId="2" borderId="57" xfId="4" applyNumberFormat="1" applyFont="1" applyFill="1" applyBorder="1" applyAlignment="1">
      <alignment horizontal="left" vertical="center"/>
    </xf>
    <xf numFmtId="0" fontId="0" fillId="2" borderId="57" xfId="0" applyFill="1" applyBorder="1" applyAlignment="1">
      <alignment horizontal="center" vertical="center" wrapText="1"/>
    </xf>
    <xf numFmtId="166" fontId="11" fillId="2" borderId="57" xfId="0" applyNumberFormat="1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left" vertical="center"/>
    </xf>
    <xf numFmtId="0" fontId="5" fillId="2" borderId="57" xfId="0" applyFont="1" applyFill="1" applyBorder="1" applyAlignment="1">
      <alignment horizontal="center" vertical="center" wrapText="1"/>
    </xf>
    <xf numFmtId="166" fontId="5" fillId="2" borderId="57" xfId="0" applyNumberFormat="1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left" vertical="center"/>
    </xf>
    <xf numFmtId="0" fontId="5" fillId="2" borderId="57" xfId="0" applyFont="1" applyFill="1" applyBorder="1" applyAlignment="1">
      <alignment horizontal="left" vertical="center" wrapText="1"/>
    </xf>
    <xf numFmtId="0" fontId="24" fillId="2" borderId="57" xfId="0" applyFont="1" applyFill="1" applyBorder="1" applyAlignment="1">
      <alignment vertical="center" wrapText="1"/>
    </xf>
    <xf numFmtId="0" fontId="25" fillId="4" borderId="57" xfId="0" applyFont="1" applyFill="1" applyBorder="1" applyAlignment="1">
      <alignment horizontal="center" vertical="center"/>
    </xf>
    <xf numFmtId="0" fontId="25" fillId="0" borderId="57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/>
    </xf>
    <xf numFmtId="44" fontId="5" fillId="0" borderId="6" xfId="2" applyNumberFormat="1" applyFont="1" applyFill="1" applyBorder="1" applyAlignment="1">
      <alignment horizontal="center" vertical="center" wrapText="1"/>
    </xf>
    <xf numFmtId="170" fontId="5" fillId="0" borderId="6" xfId="2" applyNumberFormat="1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57" xfId="0" applyFont="1" applyFill="1" applyBorder="1" applyAlignment="1">
      <alignment horizontal="left" vertical="center" wrapText="1"/>
    </xf>
    <xf numFmtId="165" fontId="11" fillId="2" borderId="57" xfId="0" applyNumberFormat="1" applyFont="1" applyFill="1" applyBorder="1" applyAlignment="1">
      <alignment horizontal="left" vertical="center"/>
    </xf>
    <xf numFmtId="170" fontId="5" fillId="0" borderId="57" xfId="2" applyNumberFormat="1" applyFont="1" applyFill="1" applyBorder="1" applyAlignment="1" applyProtection="1">
      <alignment horizontal="left" vertical="center"/>
    </xf>
    <xf numFmtId="170" fontId="5" fillId="2" borderId="57" xfId="2" applyNumberFormat="1" applyFont="1" applyFill="1" applyBorder="1" applyAlignment="1" applyProtection="1">
      <alignment horizontal="left" vertical="center"/>
    </xf>
    <xf numFmtId="167" fontId="11" fillId="0" borderId="59" xfId="0" applyNumberFormat="1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0" fillId="0" borderId="0" xfId="0"/>
    <xf numFmtId="0" fontId="7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vertical="center" wrapText="1"/>
    </xf>
    <xf numFmtId="0" fontId="11" fillId="2" borderId="0" xfId="0" applyFont="1" applyFill="1"/>
    <xf numFmtId="0" fontId="11" fillId="2" borderId="27" xfId="0" applyFont="1" applyFill="1" applyBorder="1"/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167" fontId="23" fillId="3" borderId="50" xfId="0" applyNumberFormat="1" applyFont="1" applyFill="1" applyBorder="1" applyAlignment="1">
      <alignment horizontal="center" vertical="center"/>
    </xf>
    <xf numFmtId="0" fontId="0" fillId="2" borderId="0" xfId="0" applyFill="1"/>
    <xf numFmtId="44" fontId="5" fillId="2" borderId="57" xfId="2" applyNumberFormat="1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1" fillId="3" borderId="63" xfId="0" applyFont="1" applyFill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167" fontId="11" fillId="0" borderId="66" xfId="0" applyNumberFormat="1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/>
    <xf numFmtId="0" fontId="6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6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7" fillId="3" borderId="2" xfId="0" applyFont="1" applyFill="1" applyBorder="1" applyAlignment="1">
      <alignment horizontal="left" wrapText="1"/>
    </xf>
    <xf numFmtId="0" fontId="5" fillId="2" borderId="3" xfId="0" applyFont="1" applyFill="1" applyBorder="1"/>
    <xf numFmtId="0" fontId="5" fillId="2" borderId="6" xfId="0" applyFont="1" applyFill="1" applyBorder="1"/>
    <xf numFmtId="0" fontId="3" fillId="0" borderId="56" xfId="0" applyFont="1" applyBorder="1" applyAlignment="1">
      <alignment horizontal="left" vertical="center" wrapText="1"/>
    </xf>
    <xf numFmtId="0" fontId="5" fillId="0" borderId="56" xfId="0" applyFont="1" applyBorder="1"/>
    <xf numFmtId="0" fontId="18" fillId="0" borderId="5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5" fillId="2" borderId="14" xfId="0" applyFont="1" applyFill="1" applyBorder="1"/>
    <xf numFmtId="0" fontId="5" fillId="2" borderId="15" xfId="0" applyFont="1" applyFill="1" applyBorder="1"/>
    <xf numFmtId="0" fontId="14" fillId="3" borderId="20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14" fillId="0" borderId="56" xfId="0" applyFont="1" applyBorder="1" applyAlignment="1">
      <alignment horizontal="left" vertical="center" wrapText="1"/>
    </xf>
    <xf numFmtId="168" fontId="17" fillId="0" borderId="56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0" fontId="5" fillId="0" borderId="11" xfId="0" applyFont="1" applyBorder="1"/>
    <xf numFmtId="0" fontId="5" fillId="0" borderId="12" xfId="0" applyFont="1" applyBorder="1"/>
    <xf numFmtId="0" fontId="14" fillId="0" borderId="13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5" xfId="0" applyFont="1" applyBorder="1"/>
    <xf numFmtId="0" fontId="17" fillId="3" borderId="16" xfId="0" applyFont="1" applyFill="1" applyBorder="1" applyAlignment="1">
      <alignment horizontal="left" vertical="center" wrapText="1"/>
    </xf>
    <xf numFmtId="0" fontId="5" fillId="2" borderId="17" xfId="0" applyFont="1" applyFill="1" applyBorder="1"/>
    <xf numFmtId="0" fontId="5" fillId="2" borderId="18" xfId="0" applyFont="1" applyFill="1" applyBorder="1"/>
    <xf numFmtId="0" fontId="17" fillId="3" borderId="13" xfId="0" applyFont="1" applyFill="1" applyBorder="1" applyAlignment="1">
      <alignment horizontal="left" vertical="center"/>
    </xf>
    <xf numFmtId="0" fontId="5" fillId="2" borderId="19" xfId="0" applyFont="1" applyFill="1" applyBorder="1"/>
    <xf numFmtId="0" fontId="17" fillId="3" borderId="10" xfId="0" applyFont="1" applyFill="1" applyBorder="1" applyAlignment="1">
      <alignment horizontal="left" vertical="center" wrapText="1"/>
    </xf>
    <xf numFmtId="0" fontId="5" fillId="2" borderId="11" xfId="0" applyFont="1" applyFill="1" applyBorder="1"/>
    <xf numFmtId="0" fontId="5" fillId="2" borderId="12" xfId="0" applyFont="1" applyFill="1" applyBorder="1"/>
    <xf numFmtId="0" fontId="18" fillId="0" borderId="56" xfId="0" applyFont="1" applyBorder="1" applyAlignment="1">
      <alignment horizontal="center" vertical="center"/>
    </xf>
    <xf numFmtId="0" fontId="21" fillId="3" borderId="51" xfId="0" applyFont="1" applyFill="1" applyBorder="1" applyAlignment="1">
      <alignment horizontal="left" vertical="center" wrapText="1"/>
    </xf>
    <xf numFmtId="0" fontId="5" fillId="2" borderId="5" xfId="0" applyFont="1" applyFill="1" applyBorder="1"/>
    <xf numFmtId="0" fontId="5" fillId="2" borderId="52" xfId="0" applyFont="1" applyFill="1" applyBorder="1"/>
    <xf numFmtId="0" fontId="5" fillId="2" borderId="23" xfId="0" applyFont="1" applyFill="1" applyBorder="1"/>
    <xf numFmtId="0" fontId="5" fillId="2" borderId="30" xfId="0" applyFont="1" applyFill="1" applyBorder="1"/>
    <xf numFmtId="0" fontId="5" fillId="2" borderId="24" xfId="0" applyFont="1" applyFill="1" applyBorder="1"/>
    <xf numFmtId="0" fontId="23" fillId="3" borderId="47" xfId="0" applyFont="1" applyFill="1" applyBorder="1" applyAlignment="1">
      <alignment horizontal="left" vertical="center" wrapText="1"/>
    </xf>
    <xf numFmtId="0" fontId="5" fillId="2" borderId="48" xfId="0" applyFont="1" applyFill="1" applyBorder="1"/>
    <xf numFmtId="0" fontId="5" fillId="2" borderId="49" xfId="0" applyFont="1" applyFill="1" applyBorder="1"/>
    <xf numFmtId="0" fontId="11" fillId="0" borderId="21" xfId="0" applyFont="1" applyBorder="1"/>
    <xf numFmtId="0" fontId="5" fillId="0" borderId="31" xfId="0" applyFont="1" applyBorder="1"/>
    <xf numFmtId="0" fontId="5" fillId="0" borderId="22" xfId="0" applyFont="1" applyBorder="1"/>
    <xf numFmtId="0" fontId="11" fillId="0" borderId="39" xfId="0" applyFont="1" applyBorder="1" applyAlignment="1">
      <alignment horizontal="left" vertical="center"/>
    </xf>
    <xf numFmtId="0" fontId="5" fillId="0" borderId="40" xfId="0" applyFont="1" applyBorder="1"/>
    <xf numFmtId="0" fontId="11" fillId="0" borderId="44" xfId="0" applyFont="1" applyBorder="1" applyAlignment="1">
      <alignment horizontal="left" vertical="center"/>
    </xf>
    <xf numFmtId="0" fontId="5" fillId="0" borderId="45" xfId="0" applyFont="1" applyBorder="1"/>
    <xf numFmtId="0" fontId="19" fillId="0" borderId="13" xfId="0" applyFont="1" applyBorder="1" applyAlignment="1">
      <alignment vertical="center" wrapText="1"/>
    </xf>
    <xf numFmtId="0" fontId="20" fillId="0" borderId="21" xfId="0" applyFont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11" fillId="0" borderId="10" xfId="0" applyFont="1" applyBorder="1"/>
    <xf numFmtId="0" fontId="5" fillId="0" borderId="25" xfId="0" applyFont="1" applyBorder="1"/>
    <xf numFmtId="0" fontId="21" fillId="0" borderId="10" xfId="0" applyFont="1" applyBorder="1" applyAlignment="1">
      <alignment horizontal="left"/>
    </xf>
    <xf numFmtId="0" fontId="21" fillId="3" borderId="10" xfId="0" applyFont="1" applyFill="1" applyBorder="1" applyAlignment="1">
      <alignment horizontal="left"/>
    </xf>
    <xf numFmtId="0" fontId="5" fillId="2" borderId="25" xfId="0" applyFont="1" applyFill="1" applyBorder="1"/>
    <xf numFmtId="0" fontId="3" fillId="3" borderId="10" xfId="0" applyFont="1" applyFill="1" applyBorder="1" applyAlignment="1">
      <alignment horizontal="left" vertical="center" wrapText="1"/>
    </xf>
    <xf numFmtId="0" fontId="11" fillId="0" borderId="13" xfId="0" applyFont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0" fontId="22" fillId="2" borderId="10" xfId="0" applyFont="1" applyFill="1" applyBorder="1" applyAlignment="1">
      <alignment horizontal="left"/>
    </xf>
    <xf numFmtId="0" fontId="21" fillId="2" borderId="26" xfId="0" applyFont="1" applyFill="1" applyBorder="1"/>
    <xf numFmtId="0" fontId="0" fillId="2" borderId="0" xfId="0" applyFill="1"/>
    <xf numFmtId="0" fontId="21" fillId="3" borderId="28" xfId="0" applyFont="1" applyFill="1" applyBorder="1" applyAlignment="1">
      <alignment horizontal="left" vertical="center" wrapText="1"/>
    </xf>
    <xf numFmtId="0" fontId="5" fillId="2" borderId="29" xfId="0" applyFont="1" applyFill="1" applyBorder="1"/>
    <xf numFmtId="0" fontId="23" fillId="0" borderId="2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vertical="center" wrapText="1"/>
    </xf>
    <xf numFmtId="0" fontId="23" fillId="0" borderId="54" xfId="0" applyFont="1" applyBorder="1" applyAlignment="1">
      <alignment horizontal="center" vertical="center" wrapText="1"/>
    </xf>
    <xf numFmtId="0" fontId="5" fillId="0" borderId="55" xfId="0" applyFont="1" applyBorder="1"/>
    <xf numFmtId="0" fontId="5" fillId="0" borderId="60" xfId="0" applyFont="1" applyBorder="1"/>
    <xf numFmtId="0" fontId="5" fillId="0" borderId="61" xfId="0" applyFont="1" applyBorder="1"/>
    <xf numFmtId="0" fontId="23" fillId="0" borderId="22" xfId="0" applyFont="1" applyBorder="1" applyAlignment="1">
      <alignment horizontal="center" vertical="center"/>
    </xf>
    <xf numFmtId="0" fontId="5" fillId="0" borderId="52" xfId="0" applyFont="1" applyBorder="1"/>
    <xf numFmtId="0" fontId="5" fillId="0" borderId="65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/>
    </xf>
    <xf numFmtId="0" fontId="5" fillId="0" borderId="58" xfId="0" applyFont="1" applyBorder="1"/>
    <xf numFmtId="0" fontId="24" fillId="2" borderId="57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57" xfId="0" applyFill="1" applyBorder="1" applyAlignment="1">
      <alignment horizontal="left" vertical="center" wrapText="1"/>
    </xf>
    <xf numFmtId="0" fontId="24" fillId="2" borderId="0" xfId="0" applyFont="1" applyFill="1" applyAlignment="1">
      <alignment vertical="center"/>
    </xf>
    <xf numFmtId="0" fontId="27" fillId="5" borderId="67" xfId="0" applyFont="1" applyFill="1" applyBorder="1" applyAlignment="1">
      <alignment horizontal="center" vertical="center" wrapText="1"/>
    </xf>
    <xf numFmtId="0" fontId="27" fillId="5" borderId="68" xfId="0" applyFont="1" applyFill="1" applyBorder="1" applyAlignment="1">
      <alignment horizontal="center" vertical="center" wrapText="1"/>
    </xf>
    <xf numFmtId="0" fontId="27" fillId="5" borderId="69" xfId="0" applyFont="1" applyFill="1" applyBorder="1" applyAlignment="1">
      <alignment horizontal="center" vertical="center" wrapText="1"/>
    </xf>
    <xf numFmtId="0" fontId="3" fillId="5" borderId="67" xfId="0" applyFont="1" applyFill="1" applyBorder="1" applyAlignment="1">
      <alignment horizontal="center" vertical="center"/>
    </xf>
    <xf numFmtId="0" fontId="3" fillId="5" borderId="68" xfId="0" applyFont="1" applyFill="1" applyBorder="1" applyAlignment="1">
      <alignment horizontal="center" vertical="center"/>
    </xf>
    <xf numFmtId="0" fontId="3" fillId="5" borderId="69" xfId="0" applyFont="1" applyFill="1" applyBorder="1" applyAlignment="1">
      <alignment horizontal="center" vertical="center"/>
    </xf>
    <xf numFmtId="0" fontId="3" fillId="5" borderId="67" xfId="0" applyFont="1" applyFill="1" applyBorder="1" applyAlignment="1">
      <alignment horizontal="center" vertical="center" wrapText="1"/>
    </xf>
    <xf numFmtId="0" fontId="3" fillId="5" borderId="68" xfId="0" applyFont="1" applyFill="1" applyBorder="1" applyAlignment="1">
      <alignment horizontal="center" vertical="center" wrapText="1"/>
    </xf>
    <xf numFmtId="0" fontId="3" fillId="5" borderId="69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left" vertical="center" wrapText="1"/>
    </xf>
  </cellXfs>
  <cellStyles count="6">
    <cellStyle name="Moneda" xfId="2" builtinId="4"/>
    <cellStyle name="Normal" xfId="0" builtinId="0"/>
    <cellStyle name="Normal 2" xfId="1"/>
    <cellStyle name="Normal 2 3" xfId="3"/>
    <cellStyle name="Normal 3" xfId="5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10" zoomScale="80" zoomScaleNormal="80" workbookViewId="0">
      <selection activeCell="I18" sqref="I18"/>
    </sheetView>
  </sheetViews>
  <sheetFormatPr baseColWidth="10" defaultColWidth="12.5703125" defaultRowHeight="15" customHeight="1" x14ac:dyDescent="0.2"/>
  <cols>
    <col min="1" max="1" width="4.5703125" customWidth="1"/>
    <col min="2" max="2" width="14" style="39" customWidth="1"/>
    <col min="3" max="3" width="29.42578125" style="39" customWidth="1"/>
    <col min="4" max="4" width="5.85546875" bestFit="1" customWidth="1"/>
    <col min="5" max="5" width="90.7109375" customWidth="1"/>
    <col min="6" max="6" width="15.85546875" customWidth="1"/>
    <col min="7" max="7" width="10.85546875" customWidth="1"/>
    <col min="8" max="8" width="14.42578125" style="39" customWidth="1"/>
    <col min="9" max="9" width="15.5703125" customWidth="1"/>
    <col min="10" max="10" width="48.5703125" bestFit="1" customWidth="1"/>
    <col min="11" max="11" width="52.140625" bestFit="1" customWidth="1"/>
    <col min="12" max="12" width="38.28515625" bestFit="1" customWidth="1"/>
  </cols>
  <sheetData>
    <row r="1" spans="1:11" ht="12.75" customHeight="1" x14ac:dyDescent="0.2">
      <c r="A1" s="1"/>
      <c r="B1" s="40"/>
      <c r="C1" s="40"/>
      <c r="D1" s="1"/>
      <c r="E1" s="35"/>
      <c r="F1" s="1"/>
      <c r="G1" s="1"/>
      <c r="H1" s="40"/>
      <c r="I1" s="2"/>
      <c r="J1" s="1"/>
    </row>
    <row r="2" spans="1:11" ht="26.25" customHeight="1" x14ac:dyDescent="0.35">
      <c r="A2" s="1"/>
      <c r="B2" s="115" t="s">
        <v>0</v>
      </c>
      <c r="C2" s="116"/>
      <c r="D2" s="116"/>
      <c r="E2" s="117"/>
      <c r="F2" s="116"/>
      <c r="G2" s="116"/>
      <c r="H2" s="118"/>
      <c r="I2" s="2"/>
      <c r="J2" s="1"/>
    </row>
    <row r="3" spans="1:11" ht="12.75" customHeight="1" x14ac:dyDescent="0.2">
      <c r="A3" s="1"/>
      <c r="B3" s="40"/>
      <c r="C3" s="40"/>
      <c r="D3" s="1"/>
      <c r="E3" s="35"/>
      <c r="F3" s="1"/>
      <c r="G3" s="1"/>
      <c r="H3" s="40"/>
      <c r="I3" s="2"/>
      <c r="J3" s="1"/>
    </row>
    <row r="4" spans="1:11" ht="12.75" customHeight="1" x14ac:dyDescent="0.25">
      <c r="A4" s="119" t="s">
        <v>1</v>
      </c>
      <c r="B4" s="118"/>
      <c r="C4" s="120" t="s">
        <v>2</v>
      </c>
      <c r="D4" s="116"/>
      <c r="E4" s="117"/>
      <c r="F4" s="3"/>
      <c r="G4" s="4"/>
      <c r="H4" s="43"/>
      <c r="I4" s="2"/>
      <c r="J4" s="1"/>
    </row>
    <row r="5" spans="1:11" ht="16.5" customHeight="1" x14ac:dyDescent="0.25">
      <c r="A5" s="114" t="s">
        <v>3</v>
      </c>
      <c r="B5" s="113"/>
      <c r="C5" s="121" t="s">
        <v>75</v>
      </c>
      <c r="D5" s="122"/>
      <c r="E5" s="123"/>
      <c r="F5" s="3"/>
      <c r="G5" s="4"/>
      <c r="H5" s="43"/>
      <c r="I5" s="2"/>
      <c r="J5" s="1"/>
    </row>
    <row r="6" spans="1:11" ht="17.25" customHeight="1" x14ac:dyDescent="0.2">
      <c r="A6" s="112" t="s">
        <v>4</v>
      </c>
      <c r="B6" s="113"/>
      <c r="C6" s="90">
        <v>2022</v>
      </c>
      <c r="D6" s="91"/>
      <c r="E6" s="92"/>
      <c r="F6" s="3"/>
      <c r="G6" s="4"/>
      <c r="H6" s="43"/>
      <c r="I6" s="2"/>
      <c r="J6" s="1"/>
    </row>
    <row r="7" spans="1:11" ht="12.75" customHeight="1" x14ac:dyDescent="0.2">
      <c r="A7" s="114" t="s">
        <v>5</v>
      </c>
      <c r="B7" s="113"/>
      <c r="C7" s="93">
        <v>3</v>
      </c>
      <c r="D7" s="91"/>
      <c r="E7" s="92"/>
      <c r="F7" s="3"/>
      <c r="G7" s="4"/>
      <c r="H7" s="43"/>
      <c r="I7" s="2"/>
      <c r="J7" s="1"/>
    </row>
    <row r="8" spans="1:11" ht="12.75" customHeight="1" x14ac:dyDescent="0.2">
      <c r="A8" s="1"/>
      <c r="B8" s="43"/>
      <c r="C8" s="42"/>
      <c r="D8" s="3"/>
      <c r="E8" s="36"/>
      <c r="F8" s="3"/>
      <c r="G8" s="4"/>
      <c r="H8" s="43"/>
      <c r="I8" s="2"/>
      <c r="J8" s="1"/>
    </row>
    <row r="9" spans="1:11" s="44" customFormat="1" ht="38.25" customHeight="1" thickBot="1" x14ac:dyDescent="0.25">
      <c r="A9" s="37" t="s">
        <v>6</v>
      </c>
      <c r="B9" s="37" t="s">
        <v>7</v>
      </c>
      <c r="C9" s="37" t="s">
        <v>8</v>
      </c>
      <c r="D9" s="37" t="s">
        <v>9</v>
      </c>
      <c r="E9" s="37" t="s">
        <v>10</v>
      </c>
      <c r="F9" s="37" t="s">
        <v>11</v>
      </c>
      <c r="G9" s="37" t="s">
        <v>12</v>
      </c>
      <c r="H9" s="37" t="s">
        <v>13</v>
      </c>
      <c r="I9" s="38" t="s">
        <v>14</v>
      </c>
      <c r="J9" s="46"/>
    </row>
    <row r="10" spans="1:11" s="103" customFormat="1" ht="36" customHeight="1" thickBot="1" x14ac:dyDescent="0.25">
      <c r="A10" s="59">
        <v>1</v>
      </c>
      <c r="B10" s="70" t="s">
        <v>58</v>
      </c>
      <c r="C10" s="72" t="s">
        <v>56</v>
      </c>
      <c r="D10" s="63">
        <v>252</v>
      </c>
      <c r="E10" s="198" t="s">
        <v>60</v>
      </c>
      <c r="F10" s="65" t="s">
        <v>16</v>
      </c>
      <c r="G10" s="61">
        <v>800</v>
      </c>
      <c r="H10" s="64">
        <v>68.900000000000006</v>
      </c>
      <c r="I10" s="84">
        <f t="shared" ref="I10:I15" si="0">+G10*H10</f>
        <v>55120.000000000007</v>
      </c>
      <c r="J10" s="199"/>
    </row>
    <row r="11" spans="1:11" s="103" customFormat="1" ht="32.25" customHeight="1" thickBot="1" x14ac:dyDescent="0.25">
      <c r="A11" s="59">
        <v>2</v>
      </c>
      <c r="B11" s="67" t="s">
        <v>63</v>
      </c>
      <c r="C11" s="72" t="s">
        <v>56</v>
      </c>
      <c r="D11" s="60">
        <v>252</v>
      </c>
      <c r="E11" s="198" t="s">
        <v>64</v>
      </c>
      <c r="F11" s="59" t="s">
        <v>15</v>
      </c>
      <c r="G11" s="61">
        <v>200</v>
      </c>
      <c r="H11" s="57">
        <v>22.7</v>
      </c>
      <c r="I11" s="62">
        <f t="shared" si="0"/>
        <v>4540</v>
      </c>
      <c r="J11" s="212"/>
    </row>
    <row r="12" spans="1:11" s="103" customFormat="1" ht="35.25" customHeight="1" thickBot="1" x14ac:dyDescent="0.25">
      <c r="A12" s="59">
        <v>3</v>
      </c>
      <c r="B12" s="67" t="s">
        <v>57</v>
      </c>
      <c r="C12" s="72" t="s">
        <v>56</v>
      </c>
      <c r="D12" s="68">
        <v>252</v>
      </c>
      <c r="E12" s="71" t="s">
        <v>59</v>
      </c>
      <c r="F12" s="59" t="s">
        <v>15</v>
      </c>
      <c r="G12" s="61">
        <v>360</v>
      </c>
      <c r="H12" s="69">
        <v>12.15</v>
      </c>
      <c r="I12" s="84">
        <f t="shared" si="0"/>
        <v>4374</v>
      </c>
      <c r="J12" s="200"/>
    </row>
    <row r="13" spans="1:11" s="103" customFormat="1" ht="30.75" customHeight="1" thickBot="1" x14ac:dyDescent="0.25">
      <c r="A13" s="59">
        <v>4</v>
      </c>
      <c r="B13" s="67" t="s">
        <v>65</v>
      </c>
      <c r="C13" s="201" t="s">
        <v>56</v>
      </c>
      <c r="D13" s="73">
        <v>295</v>
      </c>
      <c r="E13" s="198" t="s">
        <v>66</v>
      </c>
      <c r="F13" s="59" t="s">
        <v>17</v>
      </c>
      <c r="G13" s="61">
        <v>2</v>
      </c>
      <c r="H13" s="64">
        <v>650</v>
      </c>
      <c r="I13" s="84">
        <f t="shared" si="0"/>
        <v>1300</v>
      </c>
      <c r="J13" s="202"/>
    </row>
    <row r="14" spans="1:11" ht="37.5" customHeight="1" thickBot="1" x14ac:dyDescent="0.25">
      <c r="A14" s="59">
        <v>5</v>
      </c>
      <c r="B14" s="71" t="s">
        <v>70</v>
      </c>
      <c r="C14" s="72" t="s">
        <v>56</v>
      </c>
      <c r="D14" s="60">
        <v>252</v>
      </c>
      <c r="E14" s="74" t="s">
        <v>72</v>
      </c>
      <c r="F14" s="68" t="s">
        <v>74</v>
      </c>
      <c r="G14" s="61">
        <v>10</v>
      </c>
      <c r="H14" s="104">
        <v>83000</v>
      </c>
      <c r="I14" s="86">
        <f t="shared" si="0"/>
        <v>830000</v>
      </c>
      <c r="J14" s="39"/>
      <c r="K14" s="45"/>
    </row>
    <row r="15" spans="1:11" ht="36.75" customHeight="1" thickBot="1" x14ac:dyDescent="0.25">
      <c r="A15" s="59">
        <v>6</v>
      </c>
      <c r="B15" s="71" t="s">
        <v>71</v>
      </c>
      <c r="C15" s="72" t="s">
        <v>56</v>
      </c>
      <c r="D15" s="58">
        <v>252</v>
      </c>
      <c r="E15" s="83" t="s">
        <v>73</v>
      </c>
      <c r="F15" s="66" t="s">
        <v>15</v>
      </c>
      <c r="G15" s="61">
        <v>1000</v>
      </c>
      <c r="H15" s="104">
        <v>29.8</v>
      </c>
      <c r="I15" s="85">
        <f t="shared" si="0"/>
        <v>29800</v>
      </c>
      <c r="J15" s="40"/>
    </row>
    <row r="16" spans="1:11" ht="12.75" x14ac:dyDescent="0.2">
      <c r="A16" s="75"/>
      <c r="B16" s="76"/>
      <c r="C16" s="76"/>
      <c r="D16" s="77"/>
      <c r="E16" s="82"/>
      <c r="F16" s="78"/>
      <c r="G16" s="79"/>
      <c r="H16" s="80"/>
      <c r="I16" s="81"/>
      <c r="J16" s="41"/>
    </row>
    <row r="17" spans="1:10" s="89" customFormat="1" ht="13.5" thickBot="1" x14ac:dyDescent="0.25">
      <c r="A17" s="75"/>
      <c r="B17" s="76"/>
      <c r="C17" s="76"/>
      <c r="D17" s="77"/>
      <c r="E17" s="82"/>
      <c r="F17" s="78"/>
      <c r="G17" s="79"/>
      <c r="H17" s="80"/>
      <c r="I17" s="81"/>
      <c r="J17" s="41"/>
    </row>
    <row r="18" spans="1:10" s="89" customFormat="1" ht="72" customHeight="1" thickBot="1" x14ac:dyDescent="0.25">
      <c r="A18" s="75"/>
      <c r="B18" s="76"/>
      <c r="C18" s="203" t="s">
        <v>83</v>
      </c>
      <c r="D18" s="204"/>
      <c r="E18" s="204"/>
      <c r="F18" s="205"/>
      <c r="G18" s="79"/>
      <c r="H18" s="80"/>
      <c r="I18" s="81"/>
      <c r="J18" s="41"/>
    </row>
    <row r="19" spans="1:10" ht="31.5" customHeight="1" thickBot="1" x14ac:dyDescent="0.25">
      <c r="A19" s="52"/>
      <c r="B19" s="53"/>
      <c r="C19" s="206" t="s">
        <v>84</v>
      </c>
      <c r="D19" s="207"/>
      <c r="E19" s="207"/>
      <c r="F19" s="208"/>
      <c r="G19" s="54"/>
      <c r="H19" s="55"/>
      <c r="I19" s="56"/>
      <c r="J19" s="39"/>
    </row>
    <row r="20" spans="1:10" ht="45" customHeight="1" thickBot="1" x14ac:dyDescent="0.25">
      <c r="C20" s="209" t="s">
        <v>85</v>
      </c>
      <c r="D20" s="210"/>
      <c r="E20" s="210"/>
      <c r="F20" s="211"/>
      <c r="J20" s="39"/>
    </row>
    <row r="21" spans="1:10" ht="12.75" x14ac:dyDescent="0.2">
      <c r="J21" s="39"/>
    </row>
  </sheetData>
  <sortState ref="A10:I41">
    <sortCondition ref="E10:E41"/>
  </sortState>
  <mergeCells count="10">
    <mergeCell ref="C18:F18"/>
    <mergeCell ref="C19:F19"/>
    <mergeCell ref="C20:F20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80" zoomScaleNormal="80" workbookViewId="0">
      <selection activeCell="D21" sqref="D21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42.7109375" customWidth="1"/>
  </cols>
  <sheetData>
    <row r="1" spans="1:11" ht="20.25" customHeight="1" x14ac:dyDescent="0.2">
      <c r="A1" s="127" t="s">
        <v>81</v>
      </c>
      <c r="B1" s="116"/>
      <c r="C1" s="116"/>
      <c r="D1" s="116"/>
      <c r="E1" s="116"/>
      <c r="F1" s="116"/>
      <c r="G1" s="116"/>
      <c r="H1" s="116"/>
      <c r="I1" s="118"/>
      <c r="J1" s="5" t="s">
        <v>18</v>
      </c>
      <c r="K1" s="111" t="s">
        <v>82</v>
      </c>
    </row>
    <row r="2" spans="1:11" ht="15.75" x14ac:dyDescent="0.2">
      <c r="A2" s="6"/>
      <c r="B2" s="6"/>
      <c r="C2" s="6"/>
      <c r="D2" s="7"/>
      <c r="E2" s="7"/>
      <c r="F2" s="7"/>
      <c r="G2" s="7"/>
      <c r="H2" s="7"/>
      <c r="I2" s="7"/>
      <c r="J2" s="7"/>
      <c r="K2" s="7"/>
    </row>
    <row r="3" spans="1:11" ht="19.5" customHeight="1" x14ac:dyDescent="0.2">
      <c r="A3" s="136" t="s">
        <v>19</v>
      </c>
      <c r="B3" s="137"/>
      <c r="C3" s="138"/>
      <c r="D3" s="139" t="str">
        <f>'Necesidades Trimestrales'!C4</f>
        <v>040 - Ministerio de Salud</v>
      </c>
      <c r="E3" s="140"/>
      <c r="F3" s="140"/>
      <c r="G3" s="140"/>
      <c r="H3" s="140"/>
      <c r="I3" s="140"/>
      <c r="J3" s="140"/>
      <c r="K3" s="141"/>
    </row>
    <row r="4" spans="1:11" ht="19.5" customHeight="1" x14ac:dyDescent="0.2">
      <c r="A4" s="142" t="s">
        <v>20</v>
      </c>
      <c r="B4" s="143"/>
      <c r="C4" s="144"/>
      <c r="D4" s="128" t="str">
        <f>'Necesidades Trimestrales'!C5</f>
        <v>23 - Hospital Interzonal San Juan Bautista</v>
      </c>
      <c r="E4" s="129"/>
      <c r="F4" s="129"/>
      <c r="G4" s="129"/>
      <c r="H4" s="129"/>
      <c r="I4" s="129"/>
      <c r="J4" s="129"/>
      <c r="K4" s="130"/>
    </row>
    <row r="5" spans="1:11" ht="19.5" customHeight="1" x14ac:dyDescent="0.2">
      <c r="A5" s="142" t="s">
        <v>21</v>
      </c>
      <c r="B5" s="143"/>
      <c r="C5" s="144"/>
      <c r="D5" s="128" t="s">
        <v>76</v>
      </c>
      <c r="E5" s="129"/>
      <c r="F5" s="129"/>
      <c r="G5" s="129"/>
      <c r="H5" s="129"/>
      <c r="I5" s="129"/>
      <c r="J5" s="129"/>
      <c r="K5" s="130"/>
    </row>
    <row r="6" spans="1:11" ht="19.5" customHeight="1" x14ac:dyDescent="0.2">
      <c r="A6" s="147" t="s">
        <v>22</v>
      </c>
      <c r="B6" s="148"/>
      <c r="C6" s="149"/>
      <c r="D6" s="128" t="s">
        <v>77</v>
      </c>
      <c r="E6" s="129"/>
      <c r="F6" s="129"/>
      <c r="G6" s="129"/>
      <c r="H6" s="129"/>
      <c r="I6" s="129"/>
      <c r="J6" s="129"/>
      <c r="K6" s="130"/>
    </row>
    <row r="7" spans="1:11" ht="19.5" customHeight="1" x14ac:dyDescent="0.2">
      <c r="A7" s="142" t="s">
        <v>23</v>
      </c>
      <c r="B7" s="143"/>
      <c r="C7" s="144"/>
      <c r="D7" s="128" t="s">
        <v>68</v>
      </c>
      <c r="E7" s="129"/>
      <c r="F7" s="129"/>
      <c r="G7" s="129"/>
      <c r="H7" s="129"/>
      <c r="I7" s="129"/>
      <c r="J7" s="129"/>
      <c r="K7" s="130"/>
    </row>
    <row r="8" spans="1:11" ht="30" customHeight="1" x14ac:dyDescent="0.2">
      <c r="A8" s="145" t="s">
        <v>24</v>
      </c>
      <c r="B8" s="129"/>
      <c r="C8" s="146"/>
      <c r="D8" s="131" t="s">
        <v>69</v>
      </c>
      <c r="E8" s="132"/>
      <c r="F8" s="132"/>
      <c r="G8" s="132"/>
      <c r="H8" s="132"/>
      <c r="I8" s="132"/>
      <c r="J8" s="132"/>
      <c r="K8" s="133"/>
    </row>
    <row r="9" spans="1:11" ht="12.75" customHeight="1" thickBot="1" x14ac:dyDescent="0.25">
      <c r="A9" s="8"/>
      <c r="B9" s="8"/>
      <c r="C9" s="8"/>
      <c r="D9" s="9"/>
      <c r="E9" s="9"/>
      <c r="F9" s="9"/>
      <c r="G9" s="9"/>
      <c r="H9" s="9"/>
      <c r="I9" s="9"/>
      <c r="J9" s="9"/>
      <c r="K9" s="9"/>
    </row>
    <row r="10" spans="1:11" ht="12.75" customHeight="1" thickBot="1" x14ac:dyDescent="0.25">
      <c r="A10" s="150" t="s">
        <v>25</v>
      </c>
      <c r="B10" s="126" t="s">
        <v>26</v>
      </c>
      <c r="C10" s="126" t="s">
        <v>27</v>
      </c>
      <c r="D10" s="125"/>
      <c r="E10" s="125"/>
      <c r="F10" s="125"/>
      <c r="G10" s="125"/>
      <c r="H10" s="126" t="s">
        <v>28</v>
      </c>
      <c r="I10" s="126" t="s">
        <v>29</v>
      </c>
      <c r="J10" s="126" t="s">
        <v>30</v>
      </c>
      <c r="K10" s="126" t="s">
        <v>31</v>
      </c>
    </row>
    <row r="11" spans="1:11" ht="32.25" customHeight="1" thickBot="1" x14ac:dyDescent="0.2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 ht="32.25" customHeight="1" thickBot="1" x14ac:dyDescent="0.25">
      <c r="A12" s="47">
        <v>1</v>
      </c>
      <c r="B12" s="48" t="str">
        <f>+'Necesidades Trimestrales'!B10</f>
        <v>2.5.2-1724.154</v>
      </c>
      <c r="C12" s="124" t="str">
        <f>+'Necesidades Trimestrales'!E10</f>
        <v>ANALGESICOS ; TIPO: MONODROGA, DROGA GENERICA: TRAMADOL 50 mGr, FORMA FARMACEUTICA: AMPOLLA, PRESENTACION: UNIDAD</v>
      </c>
      <c r="D12" s="125"/>
      <c r="E12" s="125"/>
      <c r="F12" s="125"/>
      <c r="G12" s="125"/>
      <c r="H12" s="47" t="s">
        <v>32</v>
      </c>
      <c r="I12" s="49" t="str">
        <f>+'Necesidades Trimestrales'!F10</f>
        <v>AMPOLLA</v>
      </c>
      <c r="J12" s="50">
        <f>+'Necesidades Trimestrales'!H10</f>
        <v>68.900000000000006</v>
      </c>
      <c r="K12" s="51">
        <f>+'Necesidades Trimestrales'!G10</f>
        <v>800</v>
      </c>
    </row>
    <row r="13" spans="1:11" ht="32.25" customHeight="1" thickBot="1" x14ac:dyDescent="0.25">
      <c r="A13" s="47">
        <v>2</v>
      </c>
      <c r="B13" s="48" t="str">
        <f>+'Necesidades Trimestrales'!B11</f>
        <v>2.5.2-1851.29</v>
      </c>
      <c r="C13" s="124" t="str">
        <f>+'Necesidades Trimestrales'!E11</f>
        <v>GENITOURINARIO; TIPO: MONODROGA, DROGA GENÉRICA: NISTATINA, FORMA FARMACEÚTICA: COMPRIMIDO VAGINAL, PRESENTACIÓN: 100000 UI</v>
      </c>
      <c r="D13" s="125"/>
      <c r="E13" s="125"/>
      <c r="F13" s="125"/>
      <c r="G13" s="125"/>
      <c r="H13" s="47" t="s">
        <v>32</v>
      </c>
      <c r="I13" s="49" t="str">
        <f>+'Necesidades Trimestrales'!F11</f>
        <v>COMPRIMIDO</v>
      </c>
      <c r="J13" s="50">
        <f>+'Necesidades Trimestrales'!H11</f>
        <v>22.7</v>
      </c>
      <c r="K13" s="51">
        <f>+'Necesidades Trimestrales'!G11</f>
        <v>200</v>
      </c>
    </row>
    <row r="14" spans="1:11" ht="32.25" customHeight="1" thickBot="1" x14ac:dyDescent="0.25">
      <c r="A14" s="47">
        <v>3</v>
      </c>
      <c r="B14" s="48" t="str">
        <f>+'Necesidades Trimestrales'!B12</f>
        <v>2.5.2-1864.6</v>
      </c>
      <c r="C14" s="124" t="str">
        <f>+'Necesidades Trimestrales'!E12</f>
        <v>HIPOURICEMIANTES; TIPO: MONODROGA, DROGA GENERICA: ALOPURINOL 300 mGr, FORMA FARMACEUTICA: COMPRIMIDO, PRESENTACION: UNIDAD</v>
      </c>
      <c r="D14" s="125"/>
      <c r="E14" s="125"/>
      <c r="F14" s="125"/>
      <c r="G14" s="125"/>
      <c r="H14" s="47" t="s">
        <v>32</v>
      </c>
      <c r="I14" s="49" t="str">
        <f>+'Necesidades Trimestrales'!F12</f>
        <v>COMPRIMIDO</v>
      </c>
      <c r="J14" s="50">
        <f>+'Necesidades Trimestrales'!H12</f>
        <v>12.15</v>
      </c>
      <c r="K14" s="51">
        <f>+'Necesidades Trimestrales'!G12</f>
        <v>360</v>
      </c>
    </row>
    <row r="15" spans="1:11" ht="32.25" customHeight="1" thickBot="1" x14ac:dyDescent="0.25">
      <c r="A15" s="47">
        <v>4</v>
      </c>
      <c r="B15" s="48" t="str">
        <f>+'Necesidades Trimestrales'!B13</f>
        <v>2.9.5-2366.2</v>
      </c>
      <c r="C15" s="124" t="str">
        <f>+'Necesidades Trimestrales'!E13</f>
        <v>HISOPOS; MATERIAL DE EXTREMOS: ALGODON, PRESENTACION: CAJA X 100</v>
      </c>
      <c r="D15" s="125"/>
      <c r="E15" s="125"/>
      <c r="F15" s="125"/>
      <c r="G15" s="125"/>
      <c r="H15" s="47" t="s">
        <v>32</v>
      </c>
      <c r="I15" s="49" t="str">
        <f>+'Necesidades Trimestrales'!F13</f>
        <v>CAJA</v>
      </c>
      <c r="J15" s="50">
        <f>+'Necesidades Trimestrales'!H13</f>
        <v>650</v>
      </c>
      <c r="K15" s="51">
        <f>+'Necesidades Trimestrales'!G13</f>
        <v>2</v>
      </c>
    </row>
    <row r="16" spans="1:11" ht="32.25" customHeight="1" thickBot="1" x14ac:dyDescent="0.25">
      <c r="A16" s="47">
        <v>5</v>
      </c>
      <c r="B16" s="48" t="str">
        <f>+'Necesidades Trimestrales'!B14</f>
        <v>2.5.2-1894.101</v>
      </c>
      <c r="C16" s="124" t="str">
        <f>+'Necesidades Trimestrales'!E14</f>
        <v>CITOSTATICOS; TIPO: MONODROGA, DROGA GENERICA: BEVACIZUMAB 100 MG, FORMA FARMACEUTICA: VIAL X 4 mL, PRESENTACION: UNIDAD</v>
      </c>
      <c r="D16" s="125"/>
      <c r="E16" s="125"/>
      <c r="F16" s="125"/>
      <c r="G16" s="125"/>
      <c r="H16" s="47" t="s">
        <v>61</v>
      </c>
      <c r="I16" s="49" t="str">
        <f>+'Necesidades Trimestrales'!F14</f>
        <v>FRASCO AMPOLLA</v>
      </c>
      <c r="J16" s="50">
        <f>+'Necesidades Trimestrales'!H14</f>
        <v>83000</v>
      </c>
      <c r="K16" s="51">
        <f>+'Necesidades Trimestrales'!G14</f>
        <v>10</v>
      </c>
    </row>
    <row r="17" spans="1:11" ht="32.25" customHeight="1" thickBot="1" x14ac:dyDescent="0.25">
      <c r="A17" s="47">
        <v>6</v>
      </c>
      <c r="B17" s="48" t="str">
        <f>+'Necesidades Trimestrales'!B15</f>
        <v>2.5.2-5462.11</v>
      </c>
      <c r="C17" s="124" t="str">
        <f>+'Necesidades Trimestrales'!E15</f>
        <v>ANTICONVULSIVOS; TIPO: MONODROGA, DROGA GENERICA: ACETAZOLAMIDA 250 MG, FORMA FARMACEUTICA: COMPRIMIDO, PRESENTACION: UNIDAD UN</v>
      </c>
      <c r="D17" s="125"/>
      <c r="E17" s="125"/>
      <c r="F17" s="125"/>
      <c r="G17" s="125"/>
      <c r="H17" s="47" t="s">
        <v>32</v>
      </c>
      <c r="I17" s="49" t="str">
        <f>+'Necesidades Trimestrales'!F15</f>
        <v>COMPRIMIDO</v>
      </c>
      <c r="J17" s="50">
        <f>+'Necesidades Trimestrales'!H15</f>
        <v>29.8</v>
      </c>
      <c r="K17" s="51">
        <f>+'Necesidades Trimestrales'!G15</f>
        <v>1000</v>
      </c>
    </row>
    <row r="18" spans="1:11" ht="21" customHeight="1" thickBot="1" x14ac:dyDescent="0.25">
      <c r="A18" s="134" t="s">
        <v>79</v>
      </c>
      <c r="B18" s="125"/>
      <c r="C18" s="125"/>
      <c r="D18" s="125"/>
      <c r="E18" s="125"/>
      <c r="F18" s="125"/>
      <c r="G18" s="125"/>
      <c r="H18" s="125"/>
      <c r="I18" s="125"/>
      <c r="J18" s="135">
        <f>SUMPRODUCT(J12:J17,K12:K17)</f>
        <v>925134</v>
      </c>
      <c r="K18" s="125"/>
    </row>
  </sheetData>
  <mergeCells count="28">
    <mergeCell ref="A18:I18"/>
    <mergeCell ref="J18:K18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J10:J11"/>
    <mergeCell ref="A1:I1"/>
    <mergeCell ref="D6:K6"/>
    <mergeCell ref="D7:K7"/>
    <mergeCell ref="D8:K8"/>
    <mergeCell ref="K10:K11"/>
    <mergeCell ref="C14:G14"/>
    <mergeCell ref="C15:G15"/>
    <mergeCell ref="C12:G12"/>
    <mergeCell ref="C16:G16"/>
    <mergeCell ref="C17:G17"/>
    <mergeCell ref="C13:G13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topLeftCell="A10" workbookViewId="0">
      <selection activeCell="O16" sqref="O16:P16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177" t="s">
        <v>4</v>
      </c>
      <c r="B1" s="140"/>
      <c r="C1" s="140"/>
      <c r="D1" s="178">
        <f>'Necesidades Trimestrales'!C6</f>
        <v>2022</v>
      </c>
      <c r="E1" s="141"/>
      <c r="F1" s="10"/>
      <c r="G1" s="10"/>
      <c r="H1" s="11"/>
      <c r="I1" s="11"/>
      <c r="J1" s="11"/>
      <c r="K1" s="11"/>
      <c r="L1" s="11"/>
      <c r="M1" s="11"/>
      <c r="N1" s="11"/>
      <c r="P1" s="168" t="s">
        <v>33</v>
      </c>
      <c r="Q1" s="162"/>
    </row>
    <row r="2" spans="1:18" ht="15.75" customHeight="1" x14ac:dyDescent="0.2">
      <c r="G2" s="12"/>
      <c r="H2" s="11"/>
      <c r="I2" s="11"/>
      <c r="J2" s="11"/>
      <c r="K2" s="11"/>
      <c r="L2" s="11"/>
      <c r="M2" s="11"/>
      <c r="N2" s="11"/>
      <c r="P2" s="169"/>
      <c r="Q2" s="170"/>
    </row>
    <row r="3" spans="1:18" ht="12.75" customHeight="1" x14ac:dyDescent="0.2">
      <c r="G3" s="12"/>
    </row>
    <row r="4" spans="1:18" ht="14.25" x14ac:dyDescent="0.2">
      <c r="A4" s="171" t="s">
        <v>34</v>
      </c>
      <c r="B4" s="137"/>
      <c r="C4" s="137"/>
      <c r="D4" s="137"/>
      <c r="E4" s="137"/>
      <c r="F4" s="172"/>
      <c r="G4" s="173" t="str">
        <f>' NotaPedido'!D3</f>
        <v>040 - Ministerio de Salud</v>
      </c>
      <c r="H4" s="137"/>
      <c r="I4" s="137"/>
      <c r="J4" s="137"/>
      <c r="K4" s="137"/>
      <c r="L4" s="137"/>
      <c r="M4" s="137"/>
      <c r="N4" s="137"/>
      <c r="O4" s="137"/>
      <c r="P4" s="137"/>
      <c r="Q4" s="172"/>
      <c r="R4" s="13"/>
    </row>
    <row r="5" spans="1:18" ht="14.25" x14ac:dyDescent="0.2">
      <c r="A5" s="176" t="s">
        <v>20</v>
      </c>
      <c r="B5" s="148"/>
      <c r="C5" s="148"/>
      <c r="D5" s="148"/>
      <c r="E5" s="148"/>
      <c r="F5" s="175"/>
      <c r="G5" s="174" t="str">
        <f>' NotaPedido'!D4</f>
        <v>23 - Hospital Interzonal San Juan Bautista</v>
      </c>
      <c r="H5" s="148"/>
      <c r="I5" s="148"/>
      <c r="J5" s="148"/>
      <c r="K5" s="148"/>
      <c r="L5" s="148"/>
      <c r="M5" s="148"/>
      <c r="N5" s="148"/>
      <c r="O5" s="148"/>
      <c r="P5" s="148"/>
      <c r="Q5" s="175"/>
      <c r="R5" s="13"/>
    </row>
    <row r="6" spans="1:18" ht="14.25" x14ac:dyDescent="0.2">
      <c r="A6" s="176" t="s">
        <v>21</v>
      </c>
      <c r="B6" s="148"/>
      <c r="C6" s="148"/>
      <c r="D6" s="148"/>
      <c r="E6" s="148"/>
      <c r="F6" s="175"/>
      <c r="G6" s="174" t="str">
        <f>' NotaPedido'!D5</f>
        <v xml:space="preserve">168 - Dirección Asistencial </v>
      </c>
      <c r="H6" s="148"/>
      <c r="I6" s="148"/>
      <c r="J6" s="148"/>
      <c r="K6" s="148"/>
      <c r="L6" s="148"/>
      <c r="M6" s="148"/>
      <c r="N6" s="148"/>
      <c r="O6" s="148"/>
      <c r="P6" s="148"/>
      <c r="Q6" s="175"/>
      <c r="R6" s="13"/>
    </row>
    <row r="7" spans="1:18" ht="14.25" x14ac:dyDescent="0.2">
      <c r="A7" s="176" t="s">
        <v>22</v>
      </c>
      <c r="B7" s="148"/>
      <c r="C7" s="148"/>
      <c r="D7" s="148"/>
      <c r="E7" s="148"/>
      <c r="F7" s="175"/>
      <c r="G7" s="174" t="str">
        <f>' NotaPedido'!D6</f>
        <v xml:space="preserve">Servicio de Farmacia </v>
      </c>
      <c r="H7" s="148"/>
      <c r="I7" s="148"/>
      <c r="J7" s="148"/>
      <c r="K7" s="148"/>
      <c r="L7" s="148"/>
      <c r="M7" s="148"/>
      <c r="N7" s="148"/>
      <c r="O7" s="148"/>
      <c r="P7" s="148"/>
      <c r="Q7" s="175"/>
      <c r="R7" s="13"/>
    </row>
    <row r="8" spans="1:18" ht="18" customHeight="1" x14ac:dyDescent="0.2">
      <c r="A8" s="179" t="s">
        <v>35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75"/>
    </row>
    <row r="9" spans="1:18" ht="18" customHeight="1" x14ac:dyDescent="0.2">
      <c r="A9" s="180" t="s">
        <v>36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94"/>
      <c r="P9" s="94"/>
      <c r="Q9" s="95"/>
    </row>
    <row r="10" spans="1:18" ht="54.75" customHeight="1" x14ac:dyDescent="0.2">
      <c r="A10" s="182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DOCFI-2022-01503892-CAT-DASIS#HSJB,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83"/>
    </row>
    <row r="11" spans="1:18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8" ht="15.75" customHeight="1" thickBot="1" x14ac:dyDescent="0.25">
      <c r="A12" s="184" t="s">
        <v>37</v>
      </c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2"/>
    </row>
    <row r="13" spans="1:18" ht="15.75" customHeight="1" thickBot="1" x14ac:dyDescent="0.25">
      <c r="A13" s="185" t="s">
        <v>38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8"/>
      <c r="O13" s="187" t="s">
        <v>39</v>
      </c>
      <c r="P13" s="188"/>
      <c r="Q13" s="191" t="s">
        <v>40</v>
      </c>
    </row>
    <row r="14" spans="1:18" ht="15.75" customHeight="1" thickBot="1" x14ac:dyDescent="0.2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88" t="s">
        <v>53</v>
      </c>
      <c r="O14" s="189"/>
      <c r="P14" s="190"/>
      <c r="Q14" s="192"/>
    </row>
    <row r="15" spans="1:18" ht="24.75" customHeight="1" x14ac:dyDescent="0.2">
      <c r="A15" s="105">
        <v>33</v>
      </c>
      <c r="B15" s="106">
        <v>0</v>
      </c>
      <c r="C15" s="106">
        <v>0</v>
      </c>
      <c r="D15" s="106">
        <v>2</v>
      </c>
      <c r="E15" s="106">
        <v>0</v>
      </c>
      <c r="F15" s="106">
        <v>4901</v>
      </c>
      <c r="G15" s="106">
        <v>3</v>
      </c>
      <c r="H15" s="106">
        <v>310</v>
      </c>
      <c r="I15" s="107">
        <v>2</v>
      </c>
      <c r="J15" s="107">
        <v>5</v>
      </c>
      <c r="K15" s="107">
        <v>2</v>
      </c>
      <c r="L15" s="106">
        <v>0</v>
      </c>
      <c r="M15" s="108">
        <v>1</v>
      </c>
      <c r="N15" s="109" t="s">
        <v>54</v>
      </c>
      <c r="O15" s="193" t="s">
        <v>62</v>
      </c>
      <c r="P15" s="194"/>
      <c r="Q15" s="110">
        <v>923834</v>
      </c>
    </row>
    <row r="16" spans="1:18" ht="27" customHeight="1" x14ac:dyDescent="0.2">
      <c r="A16" s="96">
        <v>33</v>
      </c>
      <c r="B16" s="97">
        <v>0</v>
      </c>
      <c r="C16" s="97">
        <v>0</v>
      </c>
      <c r="D16" s="97">
        <v>2</v>
      </c>
      <c r="E16" s="97">
        <v>0</v>
      </c>
      <c r="F16" s="97">
        <v>4901</v>
      </c>
      <c r="G16" s="97">
        <v>3</v>
      </c>
      <c r="H16" s="97">
        <v>310</v>
      </c>
      <c r="I16" s="98">
        <v>2</v>
      </c>
      <c r="J16" s="98">
        <v>9</v>
      </c>
      <c r="K16" s="98">
        <v>5</v>
      </c>
      <c r="L16" s="97">
        <v>0</v>
      </c>
      <c r="M16" s="99">
        <v>1</v>
      </c>
      <c r="N16" s="100" t="s">
        <v>54</v>
      </c>
      <c r="O16" s="195" t="s">
        <v>67</v>
      </c>
      <c r="P16" s="195"/>
      <c r="Q16" s="87">
        <v>1300</v>
      </c>
    </row>
    <row r="17" spans="1:18" ht="17.25" customHeight="1" x14ac:dyDescent="0.2">
      <c r="A17" s="96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9"/>
      <c r="N17" s="101"/>
      <c r="O17" s="196"/>
      <c r="P17" s="197"/>
      <c r="Q17" s="26"/>
    </row>
    <row r="18" spans="1:18" ht="17.25" customHeight="1" x14ac:dyDescent="0.2">
      <c r="A18" s="22"/>
      <c r="B18" s="23"/>
      <c r="C18" s="23"/>
      <c r="D18" s="23"/>
      <c r="E18" s="23"/>
      <c r="F18" s="25"/>
      <c r="G18" s="23"/>
      <c r="H18" s="23"/>
      <c r="I18" s="23"/>
      <c r="J18" s="23"/>
      <c r="K18" s="23"/>
      <c r="L18" s="23"/>
      <c r="M18" s="24"/>
      <c r="N18" s="25"/>
      <c r="O18" s="163"/>
      <c r="P18" s="164"/>
      <c r="Q18" s="26"/>
    </row>
    <row r="19" spans="1:18" ht="17.25" customHeight="1" x14ac:dyDescent="0.2">
      <c r="A19" s="27"/>
      <c r="B19" s="28"/>
      <c r="C19" s="28"/>
      <c r="D19" s="28"/>
      <c r="E19" s="28"/>
      <c r="F19" s="25"/>
      <c r="G19" s="28"/>
      <c r="H19" s="28"/>
      <c r="I19" s="28"/>
      <c r="J19" s="28"/>
      <c r="K19" s="28"/>
      <c r="L19" s="28"/>
      <c r="M19" s="29"/>
      <c r="N19" s="30"/>
      <c r="O19" s="163"/>
      <c r="P19" s="164"/>
      <c r="Q19" s="26"/>
      <c r="R19" s="13"/>
    </row>
    <row r="20" spans="1:18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2"/>
      <c r="O20" s="165"/>
      <c r="P20" s="166"/>
      <c r="Q20" s="34"/>
    </row>
    <row r="21" spans="1:18" ht="29.25" customHeight="1" x14ac:dyDescent="0.2">
      <c r="A21" s="157" t="s">
        <v>80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9"/>
      <c r="Q21" s="102">
        <f>SUM(Q15:Q20)</f>
        <v>925134</v>
      </c>
    </row>
    <row r="22" spans="1:18" ht="18" customHeight="1" x14ac:dyDescent="0.2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2"/>
    </row>
    <row r="23" spans="1:18" ht="17.25" customHeight="1" x14ac:dyDescent="0.2">
      <c r="A23" s="167" t="s">
        <v>55</v>
      </c>
      <c r="B23" s="140"/>
      <c r="C23" s="140"/>
      <c r="D23" s="140"/>
      <c r="E23" s="140"/>
      <c r="F23" s="141"/>
      <c r="G23" s="186"/>
      <c r="H23" s="161"/>
      <c r="I23" s="161"/>
      <c r="J23" s="161"/>
      <c r="K23" s="161"/>
      <c r="L23" s="161"/>
      <c r="M23" s="161"/>
      <c r="N23" s="161"/>
      <c r="O23" s="161"/>
      <c r="P23" s="161"/>
      <c r="Q23" s="162"/>
    </row>
    <row r="24" spans="1:18" ht="18" customHeight="1" x14ac:dyDescent="0.2">
      <c r="A24" s="151" t="s">
        <v>78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3"/>
    </row>
    <row r="25" spans="1:18" ht="15" customHeight="1" x14ac:dyDescent="0.2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6"/>
    </row>
    <row r="26" spans="1:18" ht="12.75" customHeight="1" x14ac:dyDescent="0.2">
      <c r="G26" s="12"/>
    </row>
    <row r="27" spans="1:18" ht="12.75" customHeight="1" x14ac:dyDescent="0.2">
      <c r="G27" s="12"/>
    </row>
    <row r="28" spans="1:18" ht="12.75" customHeight="1" x14ac:dyDescent="0.2">
      <c r="G28" s="12"/>
    </row>
    <row r="29" spans="1:18" ht="12.75" customHeight="1" x14ac:dyDescent="0.2">
      <c r="G29" s="12"/>
    </row>
    <row r="30" spans="1:18" ht="12.75" customHeight="1" x14ac:dyDescent="0.2">
      <c r="G30" s="12"/>
    </row>
    <row r="31" spans="1:18" ht="12.75" customHeight="1" x14ac:dyDescent="0.2">
      <c r="G31" s="12"/>
    </row>
    <row r="32" spans="1:18" ht="12.75" customHeight="1" x14ac:dyDescent="0.2">
      <c r="G32" s="12"/>
    </row>
    <row r="33" spans="7:7" ht="12.75" customHeight="1" x14ac:dyDescent="0.2">
      <c r="G33" s="12"/>
    </row>
    <row r="34" spans="7:7" ht="12.75" customHeight="1" x14ac:dyDescent="0.2">
      <c r="G34" s="12"/>
    </row>
    <row r="35" spans="7:7" ht="12.75" customHeight="1" x14ac:dyDescent="0.2">
      <c r="G35" s="12"/>
    </row>
    <row r="36" spans="7:7" ht="12.75" customHeight="1" x14ac:dyDescent="0.2">
      <c r="G36" s="12"/>
    </row>
    <row r="37" spans="7:7" ht="12.75" customHeight="1" x14ac:dyDescent="0.2">
      <c r="G37" s="12"/>
    </row>
    <row r="38" spans="7:7" ht="12.75" customHeight="1" x14ac:dyDescent="0.2">
      <c r="G38" s="12"/>
    </row>
    <row r="39" spans="7:7" ht="12.75" customHeight="1" x14ac:dyDescent="0.2">
      <c r="G39" s="12"/>
    </row>
    <row r="40" spans="7:7" ht="12.75" customHeight="1" x14ac:dyDescent="0.2">
      <c r="G40" s="12"/>
    </row>
    <row r="41" spans="7:7" ht="12.75" customHeight="1" x14ac:dyDescent="0.2">
      <c r="G41" s="12"/>
    </row>
    <row r="42" spans="7:7" ht="12.75" customHeight="1" x14ac:dyDescent="0.2">
      <c r="G42" s="12"/>
    </row>
    <row r="43" spans="7:7" ht="12.75" customHeight="1" x14ac:dyDescent="0.2">
      <c r="G43" s="12"/>
    </row>
    <row r="44" spans="7:7" ht="12.75" customHeight="1" x14ac:dyDescent="0.2">
      <c r="G44" s="12"/>
    </row>
    <row r="45" spans="7:7" ht="12.75" customHeight="1" x14ac:dyDescent="0.2">
      <c r="G45" s="12"/>
    </row>
    <row r="46" spans="7:7" ht="12.75" customHeight="1" x14ac:dyDescent="0.2">
      <c r="G46" s="12"/>
    </row>
    <row r="47" spans="7:7" ht="12.75" customHeight="1" x14ac:dyDescent="0.2">
      <c r="G47" s="12"/>
    </row>
    <row r="48" spans="7:7" ht="12.75" customHeight="1" x14ac:dyDescent="0.2">
      <c r="G48" s="12"/>
    </row>
    <row r="49" spans="7:7" ht="12.75" customHeight="1" x14ac:dyDescent="0.2">
      <c r="G49" s="12"/>
    </row>
    <row r="50" spans="7:7" ht="12.75" customHeight="1" x14ac:dyDescent="0.2">
      <c r="G50" s="12"/>
    </row>
    <row r="51" spans="7:7" ht="12.75" customHeight="1" x14ac:dyDescent="0.2">
      <c r="G51" s="12"/>
    </row>
    <row r="52" spans="7:7" ht="12.75" customHeight="1" x14ac:dyDescent="0.2">
      <c r="G52" s="12"/>
    </row>
    <row r="53" spans="7:7" ht="12.75" customHeight="1" x14ac:dyDescent="0.2">
      <c r="G53" s="12"/>
    </row>
    <row r="54" spans="7:7" ht="12.75" customHeight="1" x14ac:dyDescent="0.2">
      <c r="G54" s="12"/>
    </row>
    <row r="55" spans="7:7" ht="12.75" customHeight="1" x14ac:dyDescent="0.2">
      <c r="G55" s="12"/>
    </row>
    <row r="56" spans="7:7" ht="12.75" customHeight="1" x14ac:dyDescent="0.2">
      <c r="G56" s="12"/>
    </row>
    <row r="57" spans="7:7" ht="12.75" customHeight="1" x14ac:dyDescent="0.2">
      <c r="G57" s="12"/>
    </row>
    <row r="58" spans="7:7" ht="12.75" customHeight="1" x14ac:dyDescent="0.2">
      <c r="G58" s="12"/>
    </row>
    <row r="59" spans="7:7" ht="12.75" customHeight="1" x14ac:dyDescent="0.2">
      <c r="G59" s="12"/>
    </row>
    <row r="60" spans="7:7" ht="12.75" customHeight="1" x14ac:dyDescent="0.2">
      <c r="G60" s="12"/>
    </row>
    <row r="61" spans="7:7" ht="12.75" customHeight="1" x14ac:dyDescent="0.2">
      <c r="G61" s="12"/>
    </row>
    <row r="62" spans="7:7" ht="12.75" customHeight="1" x14ac:dyDescent="0.2">
      <c r="G62" s="12"/>
    </row>
    <row r="63" spans="7:7" ht="12.75" customHeight="1" x14ac:dyDescent="0.2">
      <c r="G63" s="12"/>
    </row>
    <row r="64" spans="7:7" ht="12.75" customHeight="1" x14ac:dyDescent="0.2">
      <c r="G64" s="12"/>
    </row>
    <row r="65" spans="7:7" ht="12.75" customHeight="1" x14ac:dyDescent="0.2">
      <c r="G65" s="12"/>
    </row>
    <row r="66" spans="7:7" ht="12.75" customHeight="1" x14ac:dyDescent="0.2">
      <c r="G66" s="12"/>
    </row>
    <row r="67" spans="7:7" ht="12.75" customHeight="1" x14ac:dyDescent="0.2">
      <c r="G67" s="12"/>
    </row>
    <row r="68" spans="7:7" ht="12.75" customHeight="1" x14ac:dyDescent="0.2">
      <c r="G68" s="12"/>
    </row>
    <row r="69" spans="7:7" ht="12.75" customHeight="1" x14ac:dyDescent="0.2">
      <c r="G69" s="12"/>
    </row>
    <row r="70" spans="7:7" ht="12.75" customHeight="1" x14ac:dyDescent="0.2">
      <c r="G70" s="12"/>
    </row>
    <row r="71" spans="7:7" ht="12.75" customHeight="1" x14ac:dyDescent="0.2">
      <c r="G71" s="12"/>
    </row>
    <row r="72" spans="7:7" ht="12.75" customHeight="1" x14ac:dyDescent="0.2">
      <c r="G72" s="12"/>
    </row>
    <row r="73" spans="7:7" ht="12.75" customHeight="1" x14ac:dyDescent="0.2">
      <c r="G73" s="12"/>
    </row>
    <row r="74" spans="7:7" ht="12.75" customHeight="1" x14ac:dyDescent="0.2">
      <c r="G74" s="12"/>
    </row>
    <row r="75" spans="7:7" ht="12.75" customHeight="1" x14ac:dyDescent="0.2">
      <c r="G75" s="12"/>
    </row>
    <row r="76" spans="7:7" ht="12.75" customHeight="1" x14ac:dyDescent="0.2">
      <c r="G76" s="12"/>
    </row>
    <row r="77" spans="7:7" ht="12.75" customHeight="1" x14ac:dyDescent="0.2">
      <c r="G77" s="12"/>
    </row>
    <row r="78" spans="7:7" ht="12.75" customHeight="1" x14ac:dyDescent="0.2">
      <c r="G78" s="12"/>
    </row>
    <row r="79" spans="7:7" ht="12.75" customHeight="1" x14ac:dyDescent="0.2">
      <c r="G79" s="12"/>
    </row>
    <row r="80" spans="7:7" ht="12.75" customHeight="1" x14ac:dyDescent="0.2">
      <c r="G80" s="12"/>
    </row>
    <row r="81" spans="7:7" ht="12.75" customHeight="1" x14ac:dyDescent="0.2">
      <c r="G81" s="12"/>
    </row>
    <row r="82" spans="7:7" ht="12.75" customHeight="1" x14ac:dyDescent="0.2">
      <c r="G82" s="12"/>
    </row>
    <row r="83" spans="7:7" ht="12.75" customHeight="1" x14ac:dyDescent="0.2">
      <c r="G83" s="12"/>
    </row>
    <row r="84" spans="7:7" ht="12.75" customHeight="1" x14ac:dyDescent="0.2">
      <c r="G84" s="12"/>
    </row>
    <row r="85" spans="7:7" ht="12.75" customHeight="1" x14ac:dyDescent="0.2">
      <c r="G85" s="12"/>
    </row>
    <row r="86" spans="7:7" ht="12.75" customHeight="1" x14ac:dyDescent="0.2">
      <c r="G86" s="12"/>
    </row>
    <row r="87" spans="7:7" ht="12.75" customHeight="1" x14ac:dyDescent="0.2">
      <c r="G87" s="12"/>
    </row>
    <row r="88" spans="7:7" ht="12.75" customHeight="1" x14ac:dyDescent="0.2">
      <c r="G88" s="12"/>
    </row>
    <row r="89" spans="7:7" ht="12.75" customHeight="1" x14ac:dyDescent="0.2">
      <c r="G89" s="12"/>
    </row>
    <row r="90" spans="7:7" ht="12.75" customHeight="1" x14ac:dyDescent="0.2">
      <c r="G90" s="12"/>
    </row>
    <row r="91" spans="7:7" ht="12.75" customHeight="1" x14ac:dyDescent="0.2">
      <c r="G91" s="12"/>
    </row>
    <row r="92" spans="7:7" ht="12.75" customHeight="1" x14ac:dyDescent="0.2">
      <c r="G92" s="12"/>
    </row>
    <row r="93" spans="7:7" ht="12.75" customHeight="1" x14ac:dyDescent="0.2">
      <c r="G93" s="12"/>
    </row>
    <row r="94" spans="7:7" ht="12.75" customHeight="1" x14ac:dyDescent="0.2">
      <c r="G94" s="12"/>
    </row>
    <row r="95" spans="7:7" ht="12.75" customHeight="1" x14ac:dyDescent="0.2">
      <c r="G95" s="12"/>
    </row>
    <row r="96" spans="7:7" ht="12.75" customHeight="1" x14ac:dyDescent="0.2">
      <c r="G96" s="12"/>
    </row>
    <row r="97" spans="7:7" ht="12.75" customHeight="1" x14ac:dyDescent="0.2">
      <c r="G97" s="12"/>
    </row>
    <row r="98" spans="7:7" ht="12.75" customHeight="1" x14ac:dyDescent="0.2">
      <c r="G98" s="12"/>
    </row>
  </sheetData>
  <mergeCells count="29">
    <mergeCell ref="A12:Q12"/>
    <mergeCell ref="A13:N13"/>
    <mergeCell ref="G23:Q23"/>
    <mergeCell ref="O13:P14"/>
    <mergeCell ref="Q13:Q14"/>
    <mergeCell ref="O15:P15"/>
    <mergeCell ref="O16:P16"/>
    <mergeCell ref="O17:P17"/>
    <mergeCell ref="O18:P18"/>
    <mergeCell ref="A8:Q8"/>
    <mergeCell ref="A7:F7"/>
    <mergeCell ref="G7:Q7"/>
    <mergeCell ref="A9:N9"/>
    <mergeCell ref="A10:Q10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24:Q25"/>
    <mergeCell ref="A21:P21"/>
    <mergeCell ref="A22:Q22"/>
    <mergeCell ref="O19:P19"/>
    <mergeCell ref="O20:P20"/>
    <mergeCell ref="A23:F23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LICITACION23</cp:lastModifiedBy>
  <cp:revision>2</cp:revision>
  <cp:lastPrinted>2020-07-23T13:47:13Z</cp:lastPrinted>
  <dcterms:created xsi:type="dcterms:W3CDTF">2020-07-17T23:44:49Z</dcterms:created>
  <dcterms:modified xsi:type="dcterms:W3CDTF">2022-08-23T12:37:23Z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