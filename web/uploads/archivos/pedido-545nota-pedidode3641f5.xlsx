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15600" windowHeight="11760" tabRatio="500"/>
  </bookViews>
  <sheets>
    <sheet name="COMBUSTIBLE" sheetId="5" r:id="rId1"/>
    <sheet name="Autor Gastar" sheetId="3" r:id="rId2"/>
    <sheet name="PARQUE AUTOMOTOR" sheetId="4" r:id="rId3"/>
  </sheets>
  <definedNames>
    <definedName name="_xlnm.Print_Area" localSheetId="1">'Autor Gastar'!$A$1:$Q$20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5" l="1"/>
  <c r="A16" i="3" l="1"/>
  <c r="G5" i="3"/>
  <c r="G4" i="3"/>
  <c r="I11" i="5" l="1"/>
  <c r="I10" i="5"/>
  <c r="Q15" i="3" l="1"/>
  <c r="Q16" i="3"/>
</calcChain>
</file>

<file path=xl/sharedStrings.xml><?xml version="1.0" encoding="utf-8"?>
<sst xmlns="http://schemas.openxmlformats.org/spreadsheetml/2006/main" count="154" uniqueCount="122">
  <si>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</si>
  <si>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</si>
  <si>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</si>
  <si>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</si>
  <si>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</si>
  <si>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</si>
  <si>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</si>
  <si>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</si>
  <si>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</si>
  <si>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</si>
  <si>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</si>
  <si>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</si>
  <si>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</si>
  <si>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</si>
  <si>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</si>
  <si>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</si>
  <si>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</si>
  <si>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</si>
  <si>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</si>
  <si>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</si>
  <si>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</si>
  <si>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</si>
  <si>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</si>
  <si>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</si>
  <si>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</si>
  <si>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</si>
  <si>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</si>
  <si>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</si>
  <si>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</si>
  <si>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</si>
  <si>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</si>
  <si>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</si>
  <si>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</si>
  <si>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</si>
  <si>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</si>
  <si>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</si>
  <si>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</si>
  <si>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</si>
  <si>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</si>
  <si>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</si>
  <si>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</si>
  <si>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r>
      <t>AUTORIZACIÓN</t>
    </r>
    <r>
      <rPr>
        <b/>
        <sz val="10"/>
        <rFont val="Century Gothic"/>
        <family val="2"/>
      </rPr>
      <t>:</t>
    </r>
  </si>
  <si>
    <t>1.1</t>
  </si>
  <si>
    <t>2.5.6-797.39</t>
  </si>
  <si>
    <t>COMBUSTIBLES Y LUBRICANTES</t>
  </si>
  <si>
    <t>2.5.6</t>
  </si>
  <si>
    <t>NAFTA SUPER; TIPO: SUPER, OCTANO: 95, PRESENTACION: POR LITRO, DESTINO: DPTO. S.F.V. DE CATAMARCA</t>
  </si>
  <si>
    <t>LITRO</t>
  </si>
  <si>
    <t>2.5.6-793.31</t>
  </si>
  <si>
    <t>GAS OIL; PRESENTACION: POR LITRO, USO: MOTORES DIESEL, COMERCIALIZACION: GRADO 3,  DESTINO: DPTO. S.F.V. DE CATAMARCA</t>
  </si>
  <si>
    <t xml:space="preserve">LITROS </t>
  </si>
  <si>
    <t>12 -Ministerio de Trabajo y Recursos Humanos</t>
  </si>
  <si>
    <t>Ministerio de Trabajo y Reursos Humanos</t>
  </si>
  <si>
    <r>
      <rPr>
        <b/>
        <sz val="11"/>
        <color theme="1"/>
        <rFont val="Calibri"/>
        <family val="2"/>
        <scheme val="minor"/>
      </rPr>
      <t xml:space="preserve">PARQUE AUTOMOTOR - MINISTERIO DE TRABAJO Y RECURSOS HUMANOS </t>
    </r>
    <r>
      <rPr>
        <sz val="10"/>
        <rFont val="Arial"/>
        <charset val="1"/>
      </rPr>
      <t xml:space="preserve">
</t>
    </r>
    <r>
      <rPr>
        <sz val="10"/>
        <rFont val="Arial"/>
        <charset val="1"/>
      </rPr>
      <t xml:space="preserve">
</t>
    </r>
  </si>
  <si>
    <t>ITEMNº</t>
  </si>
  <si>
    <t>VEHÍCULO</t>
  </si>
  <si>
    <t xml:space="preserve">DOMINIO </t>
  </si>
  <si>
    <t>MARCA</t>
  </si>
  <si>
    <t>MOTOR</t>
  </si>
  <si>
    <t>CHASIS</t>
  </si>
  <si>
    <t xml:space="preserve">G N C </t>
  </si>
  <si>
    <t>MODELO</t>
  </si>
  <si>
    <t xml:space="preserve">CAMIONETA </t>
  </si>
  <si>
    <t>AD770MB</t>
  </si>
  <si>
    <t>TOYOTA HILUX 2.4D  - 4x4</t>
  </si>
  <si>
    <t>2GD-4476742</t>
  </si>
  <si>
    <t>8AJDB8CD1K1400864</t>
  </si>
  <si>
    <t>NO</t>
  </si>
  <si>
    <t>AE215IO</t>
  </si>
  <si>
    <t>TOYOTA HILUX 2.4D  - 4x2</t>
  </si>
  <si>
    <t>2GB-0700815</t>
  </si>
  <si>
    <t>BAJCB3DD0L3900131</t>
  </si>
  <si>
    <t>NIK-381</t>
  </si>
  <si>
    <t>TOYOTA HILUX 3.0 DTI  - 4x2</t>
  </si>
  <si>
    <t>1KD-A302624</t>
  </si>
  <si>
    <t>8AJEZ32G7E1014114</t>
  </si>
  <si>
    <t>MBW-894</t>
  </si>
  <si>
    <t>CHEVROLET S10 2.8 TDI 4x4</t>
  </si>
  <si>
    <t>VLA007432</t>
  </si>
  <si>
    <t>9G148DH0CC402973</t>
  </si>
  <si>
    <t>NIK-372</t>
  </si>
  <si>
    <t>1KD-A276503</t>
  </si>
  <si>
    <t>8AJEB32G9E1013932</t>
  </si>
  <si>
    <t>IIL-806</t>
  </si>
  <si>
    <t xml:space="preserve">CINTROEN BERLINGO 1.9 </t>
  </si>
  <si>
    <t>10DXBE0058968</t>
  </si>
  <si>
    <t>8BCMFWJZFAG502519</t>
  </si>
  <si>
    <t>FEG-624</t>
  </si>
  <si>
    <t>CHEVROLET S10 2.8 TDI 4x2</t>
  </si>
  <si>
    <t>M1T231241</t>
  </si>
  <si>
    <t>9BG138AC05C439524</t>
  </si>
  <si>
    <t>JIY-081</t>
  </si>
  <si>
    <t>M1A373734</t>
  </si>
  <si>
    <t>9BG138AJOBC417207</t>
  </si>
  <si>
    <t>LXO-037</t>
  </si>
  <si>
    <t>FORD RANGER 2.2L 4x4</t>
  </si>
  <si>
    <t>QW2PCJO53112</t>
  </si>
  <si>
    <t>8AFAR23J8CJ053112</t>
  </si>
  <si>
    <t>OBO-158</t>
  </si>
  <si>
    <t>PEUGEOT PARTNER 1.6 HDI</t>
  </si>
  <si>
    <t>10JBED0037046</t>
  </si>
  <si>
    <t>8ADEJ9HCF650B343</t>
  </si>
  <si>
    <t>OFJ-200</t>
  </si>
  <si>
    <t>10JBED0036144</t>
  </si>
  <si>
    <t>8AD6J9HJCF504939</t>
  </si>
  <si>
    <t>FEC-331</t>
  </si>
  <si>
    <t>CHEVROLET BLAZER 2,8 DLX T</t>
  </si>
  <si>
    <t>M1T229703</t>
  </si>
  <si>
    <t>1BG116AC05C38143</t>
  </si>
  <si>
    <t>AUTOMOVIL</t>
  </si>
  <si>
    <t>AB-498-RA</t>
  </si>
  <si>
    <t>TOYOTA ETIOS X 1.5 6M/T</t>
  </si>
  <si>
    <t>2NR4114042</t>
  </si>
  <si>
    <t>9BRB29BTXJ2165115</t>
  </si>
  <si>
    <t>30 (treinta) días</t>
  </si>
  <si>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 tres 3 días hábiles</t>
    </r>
    <r>
      <rPr>
        <sz val="10"/>
        <rFont val="Times New Roman"/>
        <family val="1"/>
      </rPr>
      <t xml:space="preserve">. Periodo de utilización tres meses. </t>
    </r>
    <r>
      <rPr>
        <b/>
        <u/>
        <sz val="10"/>
        <rFont val="Times New Roman"/>
        <family val="1"/>
      </rPr>
      <t>ENTREGA en VALES</t>
    </r>
    <r>
      <rPr>
        <sz val="10"/>
        <rFont val="Times New Roman"/>
        <family val="1"/>
      </rPr>
      <t xml:space="preserve">, según pliego, en la Secretaria de Administración - Pabellón Nº 20 Ministerio de Trabajo y Recursos Humanos (CAPE), sito en Av. Presidente Castillo y Av.  Venezuela - Capital - De 08 a 12 horas
</t>
    </r>
    <r>
      <rPr>
        <b/>
        <u/>
        <sz val="10"/>
        <rFont val="Times New Roman"/>
        <family val="1"/>
      </rPr>
      <t>El COMBUSTIBLE</t>
    </r>
    <r>
      <rPr>
        <sz val="10"/>
        <rFont val="Times New Roman"/>
        <family val="1"/>
      </rPr>
      <t xml:space="preserve"> en la boca de expendio.</t>
    </r>
  </si>
  <si>
    <t>Calidad Mínima esperada</t>
  </si>
  <si>
    <t>Garantía</t>
  </si>
  <si>
    <t>22 - Secretaria de Administración del Ministerio de Trabajo y Recursos Humanos</t>
  </si>
  <si>
    <t>Autorizo la realización de los  trámites correspondientes, a fin de proveer a  este Organismo los bienes y/o servicios que se detallan en la Nesecidad Trimestral para el 4to Trimestre,  afectando la erogación resultante a los créditos presupuestarios aprobados a favor de esta Unidad Ejecutora, conforme al siguiente detalle:</t>
  </si>
  <si>
    <t>Adquisición de combustible para el parque automotor de este Ministerio.</t>
  </si>
  <si>
    <t>COSTO ESTIMADO TOTAL: Cuatrocientos Noventa y Un Mil Seiscientos Veinticinco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</si>
</sst>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165" fontId="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08">
    <xf numFmtId="0" fontId="0" fillId="0" borderId="0" xfId="0"/>
    <xf numFmtId="0" fontId="7" fillId="0" borderId="0" xfId="0" applyFont="1"/>
    <xf numFmtId="0" fontId="7" fillId="0" borderId="0" xfId="0" applyFont="1" applyBorder="1"/>
    <xf numFmtId="3" fontId="12" fillId="0" borderId="0" xfId="0" applyNumberFormat="1" applyFont="1" applyBorder="1" applyAlignment="1"/>
    <xf numFmtId="168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/>
    <xf numFmtId="0" fontId="7" fillId="0" borderId="23" xfId="0" applyFont="1" applyBorder="1"/>
    <xf numFmtId="0" fontId="7" fillId="0" borderId="14" xfId="0" applyFont="1" applyBorder="1"/>
    <xf numFmtId="0" fontId="7" fillId="0" borderId="14" xfId="0" applyFont="1" applyBorder="1" applyAlignment="1">
      <alignment horizontal="left"/>
    </xf>
    <xf numFmtId="0" fontId="7" fillId="0" borderId="24" xfId="0" applyFont="1" applyBorder="1"/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0" fontId="10" fillId="0" borderId="2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6" fontId="10" fillId="0" borderId="32" xfId="0" applyNumberFormat="1" applyFont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166" fontId="7" fillId="0" borderId="16" xfId="3" applyNumberFormat="1" applyFont="1" applyFill="1" applyBorder="1" applyAlignment="1" applyProtection="1">
      <alignment horizontal="center" vertical="center"/>
    </xf>
    <xf numFmtId="167" fontId="7" fillId="0" borderId="0" xfId="0" applyNumberFormat="1" applyFont="1"/>
    <xf numFmtId="0" fontId="1" fillId="0" borderId="0" xfId="5"/>
    <xf numFmtId="0" fontId="16" fillId="0" borderId="3" xfId="5" applyFont="1" applyBorder="1" applyAlignment="1">
      <alignment horizontal="center" vertical="center"/>
    </xf>
    <xf numFmtId="0" fontId="16" fillId="3" borderId="3" xfId="5" applyFont="1" applyFill="1" applyBorder="1" applyAlignment="1">
      <alignment horizontal="center" vertical="center"/>
    </xf>
    <xf numFmtId="3" fontId="16" fillId="3" borderId="3" xfId="5" applyNumberFormat="1" applyFont="1" applyFill="1" applyBorder="1" applyAlignment="1">
      <alignment horizontal="center" vertical="center"/>
    </xf>
    <xf numFmtId="0" fontId="1" fillId="0" borderId="0" xfId="5" applyAlignment="1">
      <alignment vertical="center"/>
    </xf>
    <xf numFmtId="3" fontId="16" fillId="0" borderId="3" xfId="5" applyNumberFormat="1" applyFont="1" applyBorder="1" applyAlignment="1">
      <alignment horizontal="center" vertical="center"/>
    </xf>
    <xf numFmtId="0" fontId="16" fillId="0" borderId="3" xfId="5" applyFont="1" applyFill="1" applyBorder="1" applyAlignment="1">
      <alignment horizontal="center" vertical="center"/>
    </xf>
    <xf numFmtId="0" fontId="1" fillId="0" borderId="3" xfId="5" applyBorder="1" applyAlignment="1">
      <alignment horizontal="center" vertical="center"/>
    </xf>
    <xf numFmtId="0" fontId="1" fillId="0" borderId="0" xfId="5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3" fillId="0" borderId="0" xfId="0" applyFont="1" applyFill="1" applyAlignment="1">
      <alignment horizontal="left" wrapText="1" indent="1"/>
    </xf>
    <xf numFmtId="0" fontId="14" fillId="0" borderId="0" xfId="0" applyFont="1" applyFill="1" applyAlignment="1">
      <alignment horizontal="left" wrapText="1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/>
    </xf>
    <xf numFmtId="0" fontId="17" fillId="0" borderId="36" xfId="0" applyFont="1" applyBorder="1"/>
    <xf numFmtId="0" fontId="22" fillId="0" borderId="36" xfId="0" applyFont="1" applyBorder="1" applyAlignment="1">
      <alignment horizontal="center" vertical="center" wrapText="1"/>
    </xf>
    <xf numFmtId="0" fontId="23" fillId="0" borderId="36" xfId="0" applyFont="1" applyBorder="1" applyAlignment="1">
      <alignment wrapText="1"/>
    </xf>
    <xf numFmtId="0" fontId="24" fillId="0" borderId="36" xfId="0" applyFont="1" applyFill="1" applyBorder="1" applyAlignment="1">
      <alignment horizontal="center" vertical="center" wrapText="1"/>
    </xf>
    <xf numFmtId="1" fontId="23" fillId="0" borderId="36" xfId="0" applyNumberFormat="1" applyFont="1" applyFill="1" applyBorder="1" applyAlignment="1">
      <alignment horizontal="center" vertical="center" wrapText="1"/>
    </xf>
    <xf numFmtId="169" fontId="23" fillId="0" borderId="36" xfId="1" applyNumberFormat="1" applyFont="1" applyFill="1" applyBorder="1" applyAlignment="1" applyProtection="1">
      <alignment horizontal="right" vertical="center" wrapText="1"/>
    </xf>
    <xf numFmtId="169" fontId="23" fillId="0" borderId="43" xfId="1" applyNumberFormat="1" applyFont="1" applyFill="1" applyBorder="1" applyAlignment="1" applyProtection="1">
      <alignment horizontal="right" vertical="center" wrapText="1"/>
    </xf>
    <xf numFmtId="169" fontId="20" fillId="0" borderId="44" xfId="0" applyNumberFormat="1" applyFont="1" applyBorder="1" applyAlignment="1">
      <alignment horizontal="right" wrapText="1"/>
    </xf>
    <xf numFmtId="0" fontId="25" fillId="0" borderId="4" xfId="0" applyFont="1" applyBorder="1" applyAlignment="1">
      <alignment horizontal="left" indent="3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 applyAlignment="1">
      <alignment horizontal="left" indent="3"/>
    </xf>
    <xf numFmtId="0" fontId="25" fillId="0" borderId="7" xfId="0" applyFont="1" applyBorder="1" applyAlignment="1">
      <alignment horizontal="left" indent="3"/>
    </xf>
    <xf numFmtId="0" fontId="17" fillId="0" borderId="0" xfId="0" applyFont="1" applyBorder="1"/>
    <xf numFmtId="0" fontId="17" fillId="0" borderId="8" xfId="0" applyFont="1" applyBorder="1"/>
    <xf numFmtId="0" fontId="17" fillId="0" borderId="0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7" fillId="0" borderId="9" xfId="0" applyFont="1" applyBorder="1" applyAlignment="1">
      <alignment horizontal="left" indent="3"/>
    </xf>
    <xf numFmtId="0" fontId="17" fillId="0" borderId="10" xfId="0" applyFont="1" applyBorder="1"/>
    <xf numFmtId="0" fontId="17" fillId="0" borderId="11" xfId="0" applyFont="1" applyBorder="1"/>
    <xf numFmtId="169" fontId="17" fillId="0" borderId="19" xfId="0" applyNumberFormat="1" applyFont="1" applyBorder="1"/>
    <xf numFmtId="0" fontId="21" fillId="0" borderId="49" xfId="0" applyFont="1" applyBorder="1" applyAlignment="1">
      <alignment horizontal="center" vertical="center"/>
    </xf>
    <xf numFmtId="0" fontId="17" fillId="0" borderId="50" xfId="0" applyFont="1" applyBorder="1"/>
    <xf numFmtId="0" fontId="22" fillId="0" borderId="50" xfId="0" applyFont="1" applyBorder="1" applyAlignment="1">
      <alignment horizontal="center" vertical="center" wrapText="1"/>
    </xf>
    <xf numFmtId="0" fontId="17" fillId="0" borderId="50" xfId="0" applyFont="1" applyBorder="1" applyAlignment="1">
      <alignment wrapText="1"/>
    </xf>
    <xf numFmtId="0" fontId="24" fillId="0" borderId="50" xfId="0" applyFont="1" applyBorder="1" applyAlignment="1">
      <alignment horizontal="center" wrapText="1"/>
    </xf>
    <xf numFmtId="1" fontId="24" fillId="0" borderId="50" xfId="0" applyNumberFormat="1" applyFont="1" applyBorder="1" applyAlignment="1">
      <alignment horizontal="center" wrapText="1"/>
    </xf>
    <xf numFmtId="169" fontId="20" fillId="0" borderId="50" xfId="0" applyNumberFormat="1" applyFont="1" applyBorder="1" applyAlignment="1">
      <alignment horizontal="center" wrapText="1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 inden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wrapText="1"/>
    </xf>
    <xf numFmtId="0" fontId="17" fillId="0" borderId="8" xfId="0" applyFont="1" applyFill="1" applyBorder="1" applyAlignment="1">
      <alignment horizontal="left" wrapText="1"/>
    </xf>
    <xf numFmtId="0" fontId="17" fillId="0" borderId="8" xfId="0" applyFont="1" applyFill="1" applyBorder="1" applyAlignment="1">
      <alignment horizontal="center"/>
    </xf>
    <xf numFmtId="0" fontId="26" fillId="0" borderId="40" xfId="0" applyFont="1" applyBorder="1" applyAlignment="1">
      <alignment horizontal="left"/>
    </xf>
    <xf numFmtId="0" fontId="26" fillId="0" borderId="41" xfId="0" applyFont="1" applyBorder="1" applyAlignment="1">
      <alignment horizontal="left"/>
    </xf>
    <xf numFmtId="0" fontId="26" fillId="0" borderId="42" xfId="0" applyFont="1" applyBorder="1" applyAlignment="1">
      <alignment horizontal="left"/>
    </xf>
    <xf numFmtId="0" fontId="11" fillId="0" borderId="21" xfId="0" applyFont="1" applyBorder="1"/>
    <xf numFmtId="0" fontId="11" fillId="0" borderId="22" xfId="0" applyFont="1" applyBorder="1" applyAlignment="1">
      <alignment horizontal="left" vertical="center" wrapText="1" indent="1"/>
    </xf>
    <xf numFmtId="0" fontId="10" fillId="0" borderId="2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9" fillId="0" borderId="13" xfId="0" applyFont="1" applyBorder="1" applyAlignment="1">
      <alignment horizontal="left"/>
    </xf>
    <xf numFmtId="0" fontId="7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7" fillId="0" borderId="13" xfId="0" applyFont="1" applyBorder="1"/>
    <xf numFmtId="0" fontId="11" fillId="0" borderId="32" xfId="0" applyFont="1" applyFill="1" applyBorder="1" applyAlignment="1">
      <alignment horizontal="left" vertical="center" wrapText="1" indent="1"/>
    </xf>
    <xf numFmtId="0" fontId="12" fillId="0" borderId="32" xfId="0" applyFont="1" applyBorder="1" applyAlignment="1">
      <alignment horizontal="left" vertical="center" wrapText="1"/>
    </xf>
    <xf numFmtId="0" fontId="7" fillId="0" borderId="20" xfId="0" applyFont="1" applyBorder="1"/>
    <xf numFmtId="0" fontId="10" fillId="0" borderId="1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2" fillId="0" borderId="18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7" fillId="0" borderId="38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horizontal="left" vertical="center" wrapText="1"/>
    </xf>
    <xf numFmtId="0" fontId="1" fillId="4" borderId="3" xfId="5" applyFill="1" applyBorder="1" applyAlignment="1">
      <alignment horizontal="center" vertical="center"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tabSelected="1" topLeftCell="A4" zoomScale="85" zoomScaleNormal="85" workbookViewId="0">
      <selection activeCell="A12" sqref="A12:H12"/>
    </sheetView>
  </sheetViews>
  <sheetFormatPr baseColWidth="10" defaultColWidth="11" defaultRowHeight="12.75" x14ac:dyDescent="0.2"/>
  <cols>
    <col min="1" max="1" width="4.5703125" style="31" customWidth="1"/>
    <col min="2" max="2" width="12.85546875" style="31" customWidth="1"/>
    <col min="3" max="3" width="32.42578125" style="31" customWidth="1"/>
    <col min="4" max="4" width="8.42578125" style="31" customWidth="1"/>
    <col min="5" max="5" width="82.285156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2" spans="1:9" ht="27" x14ac:dyDescent="0.35">
      <c r="B2" s="70" t="s">
        <v>0</v>
      </c>
      <c r="C2" s="70"/>
      <c r="D2" s="70"/>
      <c r="E2" s="70"/>
      <c r="F2" s="70"/>
      <c r="G2" s="70"/>
      <c r="H2" s="70"/>
    </row>
    <row r="4" spans="1:9" ht="18" customHeight="1" x14ac:dyDescent="0.25">
      <c r="A4" s="71" t="s">
        <v>1</v>
      </c>
      <c r="B4" s="71"/>
      <c r="C4" s="72" t="s">
        <v>51</v>
      </c>
      <c r="D4" s="72"/>
      <c r="E4" s="72"/>
      <c r="F4" s="32"/>
      <c r="G4" s="33"/>
      <c r="H4" s="32"/>
    </row>
    <row r="5" spans="1:9" ht="18" customHeight="1" x14ac:dyDescent="0.25">
      <c r="A5" s="71" t="s">
        <v>2</v>
      </c>
      <c r="B5" s="71"/>
      <c r="C5" s="72" t="s">
        <v>118</v>
      </c>
      <c r="D5" s="72"/>
      <c r="E5" s="72"/>
      <c r="F5" s="32"/>
      <c r="G5" s="33"/>
      <c r="H5" s="32"/>
    </row>
    <row r="6" spans="1:9" ht="16.5" customHeight="1" x14ac:dyDescent="0.25">
      <c r="A6" s="71" t="s">
        <v>3</v>
      </c>
      <c r="B6" s="71"/>
      <c r="C6" s="34">
        <v>2021</v>
      </c>
      <c r="D6" s="35"/>
      <c r="E6" s="35"/>
      <c r="F6" s="32"/>
      <c r="G6" s="33"/>
      <c r="H6" s="32"/>
    </row>
    <row r="7" spans="1:9" ht="16.5" customHeight="1" x14ac:dyDescent="0.25">
      <c r="A7" s="71" t="s">
        <v>4</v>
      </c>
      <c r="B7" s="71"/>
      <c r="C7" s="34">
        <v>4</v>
      </c>
      <c r="D7" s="35"/>
      <c r="E7" s="35"/>
      <c r="F7" s="32"/>
      <c r="G7" s="33"/>
      <c r="H7" s="32"/>
    </row>
    <row r="8" spans="1:9" ht="13.5" thickBot="1" x14ac:dyDescent="0.25">
      <c r="B8" s="32"/>
      <c r="C8" s="33"/>
      <c r="D8" s="32"/>
      <c r="E8" s="32"/>
      <c r="F8" s="32"/>
      <c r="G8" s="33"/>
      <c r="H8" s="32"/>
    </row>
    <row r="9" spans="1:9" ht="39.75" thickTop="1" thickBot="1" x14ac:dyDescent="0.25">
      <c r="A9" s="36" t="s">
        <v>5</v>
      </c>
      <c r="B9" s="37" t="s">
        <v>6</v>
      </c>
      <c r="C9" s="37" t="s">
        <v>7</v>
      </c>
      <c r="D9" s="37" t="s">
        <v>8</v>
      </c>
      <c r="E9" s="38" t="s">
        <v>9</v>
      </c>
      <c r="F9" s="39" t="s">
        <v>10</v>
      </c>
      <c r="G9" s="40" t="s">
        <v>11</v>
      </c>
      <c r="H9" s="40" t="s">
        <v>12</v>
      </c>
      <c r="I9" s="40" t="s">
        <v>13</v>
      </c>
    </row>
    <row r="10" spans="1:9" ht="30" x14ac:dyDescent="0.25">
      <c r="A10" s="41">
        <v>1</v>
      </c>
      <c r="B10" s="42" t="s">
        <v>43</v>
      </c>
      <c r="C10" s="42" t="s">
        <v>44</v>
      </c>
      <c r="D10" s="43" t="s">
        <v>45</v>
      </c>
      <c r="E10" s="44" t="s">
        <v>46</v>
      </c>
      <c r="F10" s="45" t="s">
        <v>47</v>
      </c>
      <c r="G10" s="46">
        <v>850</v>
      </c>
      <c r="H10" s="47">
        <v>96.9</v>
      </c>
      <c r="I10" s="48">
        <f>G10*H10</f>
        <v>82365</v>
      </c>
    </row>
    <row r="11" spans="1:9" ht="27" thickBot="1" x14ac:dyDescent="0.3">
      <c r="A11" s="63">
        <v>2</v>
      </c>
      <c r="B11" s="64" t="s">
        <v>48</v>
      </c>
      <c r="C11" s="64" t="s">
        <v>44</v>
      </c>
      <c r="D11" s="65" t="s">
        <v>45</v>
      </c>
      <c r="E11" s="66" t="s">
        <v>49</v>
      </c>
      <c r="F11" s="67" t="s">
        <v>50</v>
      </c>
      <c r="G11" s="68">
        <v>3800</v>
      </c>
      <c r="H11" s="69">
        <v>107.7</v>
      </c>
      <c r="I11" s="49">
        <f>G11*H11</f>
        <v>409260</v>
      </c>
    </row>
    <row r="12" spans="1:9" ht="23.25" customHeight="1" thickBot="1" x14ac:dyDescent="0.25">
      <c r="A12" s="80" t="s">
        <v>121</v>
      </c>
      <c r="B12" s="81"/>
      <c r="C12" s="81"/>
      <c r="D12" s="81"/>
      <c r="E12" s="81"/>
      <c r="F12" s="81"/>
      <c r="G12" s="81"/>
      <c r="H12" s="82"/>
      <c r="I12" s="62">
        <f>SUM(I10:I11)</f>
        <v>491625</v>
      </c>
    </row>
    <row r="13" spans="1:9" ht="45" customHeight="1" thickBot="1" x14ac:dyDescent="0.25"/>
    <row r="14" spans="1:9" ht="31.5" customHeight="1" x14ac:dyDescent="0.2">
      <c r="B14" s="50" t="s">
        <v>14</v>
      </c>
      <c r="C14" s="51"/>
      <c r="D14" s="51"/>
      <c r="E14" s="52"/>
    </row>
    <row r="15" spans="1:9" x14ac:dyDescent="0.2">
      <c r="B15" s="53"/>
      <c r="C15" s="73" t="s">
        <v>115</v>
      </c>
      <c r="D15" s="74"/>
      <c r="E15" s="75"/>
    </row>
    <row r="16" spans="1:9" ht="70.5" customHeight="1" x14ac:dyDescent="0.2">
      <c r="B16" s="53"/>
      <c r="C16" s="74"/>
      <c r="D16" s="74"/>
      <c r="E16" s="75"/>
    </row>
    <row r="17" spans="2:5" x14ac:dyDescent="0.2">
      <c r="B17" s="54" t="s">
        <v>116</v>
      </c>
      <c r="C17" s="55"/>
      <c r="D17" s="55"/>
      <c r="E17" s="56"/>
    </row>
    <row r="18" spans="2:5" ht="26.25" customHeight="1" x14ac:dyDescent="0.2">
      <c r="B18" s="53"/>
      <c r="C18" s="73" t="s">
        <v>40</v>
      </c>
      <c r="D18" s="73"/>
      <c r="E18" s="76"/>
    </row>
    <row r="19" spans="2:5" ht="36.75" customHeight="1" x14ac:dyDescent="0.2">
      <c r="B19" s="54" t="s">
        <v>15</v>
      </c>
      <c r="C19" s="57"/>
      <c r="D19" s="57"/>
      <c r="E19" s="58"/>
    </row>
    <row r="20" spans="2:5" ht="26.25" customHeight="1" x14ac:dyDescent="0.2">
      <c r="B20" s="53"/>
      <c r="C20" s="77" t="s">
        <v>114</v>
      </c>
      <c r="D20" s="77"/>
      <c r="E20" s="78"/>
    </row>
    <row r="21" spans="2:5" x14ac:dyDescent="0.2">
      <c r="B21" s="54" t="s">
        <v>117</v>
      </c>
      <c r="C21" s="55"/>
      <c r="D21" s="55"/>
      <c r="E21" s="56"/>
    </row>
    <row r="22" spans="2:5" ht="23.25" customHeight="1" x14ac:dyDescent="0.2">
      <c r="B22" s="54"/>
      <c r="C22" s="79"/>
      <c r="D22" s="79"/>
      <c r="E22" s="79"/>
    </row>
    <row r="23" spans="2:5" ht="13.5" thickBot="1" x14ac:dyDescent="0.25">
      <c r="B23" s="59"/>
      <c r="C23" s="60"/>
      <c r="D23" s="60"/>
      <c r="E23" s="61"/>
    </row>
  </sheetData>
  <mergeCells count="12">
    <mergeCell ref="C15:E16"/>
    <mergeCell ref="C18:E18"/>
    <mergeCell ref="C20:E20"/>
    <mergeCell ref="C22:E22"/>
    <mergeCell ref="A6:B6"/>
    <mergeCell ref="A12:H12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opLeftCell="A7" zoomScale="115" zoomScaleNormal="115" workbookViewId="0">
      <selection activeCell="O15" sqref="O15:P15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14.7109375" style="1" customWidth="1"/>
    <col min="18" max="18" width="11" style="1"/>
    <col min="19" max="19" width="11.7109375" style="1" bestFit="1" customWidth="1"/>
    <col min="20" max="16384" width="11" style="1"/>
  </cols>
  <sheetData>
    <row r="1" spans="1:19" ht="15.75" customHeight="1" x14ac:dyDescent="0.25">
      <c r="A1" s="91" t="s">
        <v>3</v>
      </c>
      <c r="B1" s="91"/>
      <c r="C1" s="91"/>
      <c r="D1" s="92">
        <v>2021</v>
      </c>
      <c r="E1" s="92"/>
      <c r="F1" s="3"/>
      <c r="G1" s="3"/>
      <c r="H1" s="4"/>
      <c r="I1" s="4"/>
      <c r="J1" s="4"/>
      <c r="K1" s="4"/>
      <c r="L1" s="4"/>
      <c r="M1" s="4"/>
      <c r="N1" s="4"/>
      <c r="P1" s="93" t="s">
        <v>16</v>
      </c>
      <c r="Q1" s="93"/>
    </row>
    <row r="2" spans="1:19" ht="15.75" customHeight="1" x14ac:dyDescent="0.25">
      <c r="H2" s="4"/>
      <c r="I2" s="4"/>
      <c r="J2" s="4"/>
      <c r="K2" s="4"/>
      <c r="L2" s="4"/>
      <c r="M2" s="4"/>
      <c r="N2" s="4"/>
      <c r="P2" s="93"/>
      <c r="Q2" s="93"/>
    </row>
    <row r="4" spans="1:19" ht="18" customHeight="1" thickBot="1" x14ac:dyDescent="0.35">
      <c r="A4" s="94" t="s">
        <v>17</v>
      </c>
      <c r="B4" s="94"/>
      <c r="C4" s="94"/>
      <c r="D4" s="94"/>
      <c r="E4" s="94"/>
      <c r="F4" s="94"/>
      <c r="G4" s="89" t="str">
        <f>+COMBUSTIBLE!C4</f>
        <v>12 -Ministerio de Trabajo y Recursos Humanos</v>
      </c>
      <c r="H4" s="89"/>
      <c r="I4" s="89"/>
      <c r="J4" s="89"/>
      <c r="K4" s="89"/>
      <c r="L4" s="89"/>
      <c r="M4" s="89"/>
      <c r="N4" s="89"/>
      <c r="O4" s="89"/>
      <c r="P4" s="89"/>
      <c r="Q4" s="89"/>
    </row>
    <row r="5" spans="1:19" ht="18" customHeight="1" thickBot="1" x14ac:dyDescent="0.35">
      <c r="A5" s="86" t="s">
        <v>38</v>
      </c>
      <c r="B5" s="87"/>
      <c r="C5" s="87"/>
      <c r="D5" s="87"/>
      <c r="E5" s="87"/>
      <c r="F5" s="88"/>
      <c r="G5" s="89" t="str">
        <f>+COMBUSTIBLE!C5</f>
        <v>22 - Secretaria de Administración del Ministerio de Trabajo y Recursos Humanos</v>
      </c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1:19" ht="18" customHeight="1" thickBot="1" x14ac:dyDescent="0.35">
      <c r="A6" s="86" t="s">
        <v>18</v>
      </c>
      <c r="B6" s="87"/>
      <c r="C6" s="87"/>
      <c r="D6" s="87"/>
      <c r="E6" s="87"/>
      <c r="F6" s="88"/>
      <c r="G6" s="89" t="s">
        <v>52</v>
      </c>
      <c r="H6" s="89"/>
      <c r="I6" s="89"/>
      <c r="J6" s="89"/>
      <c r="K6" s="89"/>
      <c r="L6" s="89"/>
      <c r="M6" s="89"/>
      <c r="N6" s="89"/>
      <c r="O6" s="89"/>
      <c r="P6" s="89"/>
      <c r="Q6" s="89"/>
    </row>
    <row r="7" spans="1:19" ht="18" customHeight="1" thickBot="1" x14ac:dyDescent="0.35">
      <c r="A7" s="86" t="s">
        <v>39</v>
      </c>
      <c r="B7" s="87"/>
      <c r="C7" s="87"/>
      <c r="D7" s="87"/>
      <c r="E7" s="87"/>
      <c r="F7" s="88"/>
      <c r="G7" s="89" t="s">
        <v>52</v>
      </c>
      <c r="H7" s="89"/>
      <c r="I7" s="89"/>
      <c r="J7" s="89"/>
      <c r="K7" s="89"/>
      <c r="L7" s="89"/>
      <c r="M7" s="89"/>
      <c r="N7" s="89"/>
      <c r="O7" s="89"/>
      <c r="P7" s="89"/>
      <c r="Q7" s="89"/>
    </row>
    <row r="8" spans="1:19" ht="18" customHeight="1" thickBot="1" x14ac:dyDescent="0.3">
      <c r="A8" s="90" t="s">
        <v>41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</row>
    <row r="9" spans="1:19" ht="18" customHeight="1" x14ac:dyDescent="0.3">
      <c r="A9" s="83" t="s">
        <v>19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2"/>
      <c r="P9" s="2"/>
      <c r="Q9" s="6"/>
    </row>
    <row r="10" spans="1:19" ht="65.25" customHeight="1" x14ac:dyDescent="0.25">
      <c r="A10" s="84" t="s">
        <v>119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</row>
    <row r="11" spans="1:19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5">
      <c r="A12" s="85" t="s">
        <v>20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</row>
    <row r="13" spans="1:19" ht="15.75" customHeight="1" x14ac:dyDescent="0.25">
      <c r="A13" s="98" t="s">
        <v>21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 t="s">
        <v>22</v>
      </c>
      <c r="P13" s="99"/>
      <c r="Q13" s="100" t="s">
        <v>23</v>
      </c>
    </row>
    <row r="14" spans="1:19" ht="15.75" customHeight="1" thickBot="1" x14ac:dyDescent="0.3">
      <c r="A14" s="11" t="s">
        <v>24</v>
      </c>
      <c r="B14" s="12" t="s">
        <v>25</v>
      </c>
      <c r="C14" s="12" t="s">
        <v>26</v>
      </c>
      <c r="D14" s="12" t="s">
        <v>27</v>
      </c>
      <c r="E14" s="12" t="s">
        <v>28</v>
      </c>
      <c r="F14" s="12" t="s">
        <v>29</v>
      </c>
      <c r="G14" s="13" t="s">
        <v>30</v>
      </c>
      <c r="H14" s="12" t="s">
        <v>31</v>
      </c>
      <c r="I14" s="12" t="s">
        <v>32</v>
      </c>
      <c r="J14" s="12" t="s">
        <v>33</v>
      </c>
      <c r="K14" s="12" t="s">
        <v>33</v>
      </c>
      <c r="L14" s="12" t="s">
        <v>34</v>
      </c>
      <c r="M14" s="14" t="s">
        <v>35</v>
      </c>
      <c r="N14" s="15" t="s">
        <v>36</v>
      </c>
      <c r="O14" s="99"/>
      <c r="P14" s="99"/>
      <c r="Q14" s="100"/>
    </row>
    <row r="15" spans="1:19" ht="17.25" customHeight="1" thickBot="1" x14ac:dyDescent="0.3">
      <c r="A15" s="17">
        <v>1</v>
      </c>
      <c r="B15" s="18">
        <v>0</v>
      </c>
      <c r="C15" s="18">
        <v>0</v>
      </c>
      <c r="D15" s="18">
        <v>1</v>
      </c>
      <c r="E15" s="18">
        <v>0</v>
      </c>
      <c r="F15" s="18">
        <v>4901</v>
      </c>
      <c r="G15" s="18">
        <v>3</v>
      </c>
      <c r="H15" s="18">
        <v>6</v>
      </c>
      <c r="I15" s="18">
        <v>2</v>
      </c>
      <c r="J15" s="18">
        <v>5</v>
      </c>
      <c r="K15" s="18">
        <v>6</v>
      </c>
      <c r="L15" s="18">
        <v>0</v>
      </c>
      <c r="M15" s="19">
        <v>1</v>
      </c>
      <c r="N15" s="18" t="s">
        <v>42</v>
      </c>
      <c r="O15" s="105" t="s">
        <v>44</v>
      </c>
      <c r="P15" s="106"/>
      <c r="Q15" s="20">
        <f>+COMBUSTIBLE!I12</f>
        <v>491625</v>
      </c>
      <c r="S15" s="21"/>
    </row>
    <row r="16" spans="1:19" ht="28.5" customHeight="1" thickBot="1" x14ac:dyDescent="0.3">
      <c r="A16" s="96" t="str">
        <f>+COMBUSTIBLE!A12</f>
        <v>COSTO ESTIMADO TOTAL: Cuatrocientos Noventa y Un Mil Seiscientos Veinticinco con 00/100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16">
        <f>SUM(Q15:Q15)</f>
        <v>491625</v>
      </c>
    </row>
    <row r="17" spans="1:17" ht="18" customHeight="1" thickBot="1" x14ac:dyDescent="0.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</row>
    <row r="18" spans="1:17" ht="17.25" customHeight="1" thickBot="1" x14ac:dyDescent="0.3">
      <c r="A18" s="101" t="s">
        <v>37</v>
      </c>
      <c r="B18" s="102"/>
      <c r="C18" s="102"/>
      <c r="D18" s="102"/>
      <c r="E18" s="102"/>
      <c r="F18" s="103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</row>
    <row r="19" spans="1:17" ht="18" customHeight="1" thickBot="1" x14ac:dyDescent="0.3">
      <c r="A19" s="95" t="s">
        <v>120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</row>
    <row r="20" spans="1:17" ht="15" customHeight="1" x14ac:dyDescent="0.25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</row>
  </sheetData>
  <mergeCells count="24">
    <mergeCell ref="A19:Q20"/>
    <mergeCell ref="A16:P16"/>
    <mergeCell ref="A17:Q17"/>
    <mergeCell ref="A13:N13"/>
    <mergeCell ref="O13:P14"/>
    <mergeCell ref="Q13:Q14"/>
    <mergeCell ref="A18:F18"/>
    <mergeCell ref="G18:Q18"/>
    <mergeCell ref="O15:P15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D20" sqref="D20"/>
    </sheetView>
  </sheetViews>
  <sheetFormatPr baseColWidth="10" defaultRowHeight="15" x14ac:dyDescent="0.25"/>
  <cols>
    <col min="1" max="1" width="7.42578125" style="30" customWidth="1"/>
    <col min="2" max="2" width="17.7109375" style="30" customWidth="1"/>
    <col min="3" max="3" width="11.42578125" style="30"/>
    <col min="4" max="4" width="25" style="30" customWidth="1"/>
    <col min="5" max="5" width="15.7109375" style="30" customWidth="1"/>
    <col min="6" max="6" width="20" style="30" customWidth="1"/>
    <col min="7" max="7" width="6.5703125" style="30" customWidth="1"/>
    <col min="8" max="8" width="8.7109375" style="30" customWidth="1"/>
    <col min="9" max="16384" width="11.42578125" style="22"/>
  </cols>
  <sheetData>
    <row r="1" spans="1:8" ht="52.5" customHeight="1" x14ac:dyDescent="0.25">
      <c r="A1" s="107" t="s">
        <v>53</v>
      </c>
      <c r="B1" s="107"/>
      <c r="C1" s="107"/>
      <c r="D1" s="107"/>
      <c r="E1" s="107"/>
      <c r="F1" s="107"/>
      <c r="G1" s="107"/>
      <c r="H1" s="107"/>
    </row>
    <row r="2" spans="1:8" ht="30" customHeight="1" x14ac:dyDescent="0.25">
      <c r="A2" s="23" t="s">
        <v>54</v>
      </c>
      <c r="B2" s="23" t="s">
        <v>55</v>
      </c>
      <c r="C2" s="23" t="s">
        <v>56</v>
      </c>
      <c r="D2" s="23" t="s">
        <v>57</v>
      </c>
      <c r="E2" s="23" t="s">
        <v>58</v>
      </c>
      <c r="F2" s="23" t="s">
        <v>59</v>
      </c>
      <c r="G2" s="23" t="s">
        <v>60</v>
      </c>
      <c r="H2" s="23" t="s">
        <v>61</v>
      </c>
    </row>
    <row r="3" spans="1:8" s="26" customFormat="1" x14ac:dyDescent="0.2">
      <c r="A3" s="24">
        <v>1</v>
      </c>
      <c r="B3" s="24" t="s">
        <v>62</v>
      </c>
      <c r="C3" s="24" t="s">
        <v>63</v>
      </c>
      <c r="D3" s="24" t="s">
        <v>64</v>
      </c>
      <c r="E3" s="24" t="s">
        <v>65</v>
      </c>
      <c r="F3" s="24" t="s">
        <v>66</v>
      </c>
      <c r="G3" s="24" t="s">
        <v>67</v>
      </c>
      <c r="H3" s="25">
        <v>2019</v>
      </c>
    </row>
    <row r="4" spans="1:8" x14ac:dyDescent="0.25">
      <c r="A4" s="23">
        <v>2</v>
      </c>
      <c r="B4" s="23" t="s">
        <v>62</v>
      </c>
      <c r="C4" s="23" t="s">
        <v>68</v>
      </c>
      <c r="D4" s="24" t="s">
        <v>69</v>
      </c>
      <c r="E4" s="23" t="s">
        <v>70</v>
      </c>
      <c r="F4" s="23" t="s">
        <v>71</v>
      </c>
      <c r="G4" s="23" t="s">
        <v>67</v>
      </c>
      <c r="H4" s="27">
        <v>2020</v>
      </c>
    </row>
    <row r="5" spans="1:8" x14ac:dyDescent="0.25">
      <c r="A5" s="23">
        <v>3</v>
      </c>
      <c r="B5" s="23" t="s">
        <v>62</v>
      </c>
      <c r="C5" s="23" t="s">
        <v>72</v>
      </c>
      <c r="D5" s="24" t="s">
        <v>73</v>
      </c>
      <c r="E5" s="23" t="s">
        <v>74</v>
      </c>
      <c r="F5" s="23" t="s">
        <v>75</v>
      </c>
      <c r="G5" s="23" t="s">
        <v>67</v>
      </c>
      <c r="H5" s="27">
        <v>2013</v>
      </c>
    </row>
    <row r="6" spans="1:8" x14ac:dyDescent="0.25">
      <c r="A6" s="28">
        <v>4</v>
      </c>
      <c r="B6" s="23" t="s">
        <v>62</v>
      </c>
      <c r="C6" s="28" t="s">
        <v>76</v>
      </c>
      <c r="D6" s="24" t="s">
        <v>77</v>
      </c>
      <c r="E6" s="28" t="s">
        <v>78</v>
      </c>
      <c r="F6" s="28" t="s">
        <v>79</v>
      </c>
      <c r="G6" s="28" t="s">
        <v>67</v>
      </c>
      <c r="H6" s="27">
        <v>2013</v>
      </c>
    </row>
    <row r="7" spans="1:8" x14ac:dyDescent="0.25">
      <c r="A7" s="28">
        <v>5</v>
      </c>
      <c r="B7" s="23" t="s">
        <v>62</v>
      </c>
      <c r="C7" s="23" t="s">
        <v>80</v>
      </c>
      <c r="D7" s="24" t="s">
        <v>73</v>
      </c>
      <c r="E7" s="28" t="s">
        <v>81</v>
      </c>
      <c r="F7" s="28" t="s">
        <v>82</v>
      </c>
      <c r="G7" s="28" t="s">
        <v>67</v>
      </c>
      <c r="H7" s="27">
        <v>2013</v>
      </c>
    </row>
    <row r="8" spans="1:8" x14ac:dyDescent="0.25">
      <c r="A8" s="28">
        <v>6</v>
      </c>
      <c r="B8" s="23" t="s">
        <v>62</v>
      </c>
      <c r="C8" s="28" t="s">
        <v>83</v>
      </c>
      <c r="D8" s="24" t="s">
        <v>84</v>
      </c>
      <c r="E8" s="28" t="s">
        <v>85</v>
      </c>
      <c r="F8" s="28" t="s">
        <v>86</v>
      </c>
      <c r="G8" s="28" t="s">
        <v>67</v>
      </c>
      <c r="H8" s="27">
        <v>2009</v>
      </c>
    </row>
    <row r="9" spans="1:8" x14ac:dyDescent="0.25">
      <c r="A9" s="28">
        <v>7</v>
      </c>
      <c r="B9" s="23" t="s">
        <v>62</v>
      </c>
      <c r="C9" s="28" t="s">
        <v>87</v>
      </c>
      <c r="D9" s="24" t="s">
        <v>88</v>
      </c>
      <c r="E9" s="28" t="s">
        <v>89</v>
      </c>
      <c r="F9" s="28" t="s">
        <v>90</v>
      </c>
      <c r="G9" s="28" t="s">
        <v>67</v>
      </c>
      <c r="H9" s="27">
        <v>2005</v>
      </c>
    </row>
    <row r="10" spans="1:8" x14ac:dyDescent="0.25">
      <c r="A10" s="28">
        <v>8</v>
      </c>
      <c r="B10" s="23" t="s">
        <v>62</v>
      </c>
      <c r="C10" s="28" t="s">
        <v>91</v>
      </c>
      <c r="D10" s="24" t="s">
        <v>88</v>
      </c>
      <c r="E10" s="28" t="s">
        <v>92</v>
      </c>
      <c r="F10" s="28" t="s">
        <v>93</v>
      </c>
      <c r="G10" s="28" t="s">
        <v>67</v>
      </c>
      <c r="H10" s="27">
        <v>2010</v>
      </c>
    </row>
    <row r="11" spans="1:8" x14ac:dyDescent="0.25">
      <c r="A11" s="28">
        <v>9</v>
      </c>
      <c r="B11" s="23" t="s">
        <v>62</v>
      </c>
      <c r="C11" s="28" t="s">
        <v>94</v>
      </c>
      <c r="D11" s="24" t="s">
        <v>95</v>
      </c>
      <c r="E11" s="28" t="s">
        <v>96</v>
      </c>
      <c r="F11" s="28" t="s">
        <v>97</v>
      </c>
      <c r="G11" s="28" t="s">
        <v>67</v>
      </c>
      <c r="H11" s="27">
        <v>2013</v>
      </c>
    </row>
    <row r="12" spans="1:8" x14ac:dyDescent="0.25">
      <c r="A12" s="28">
        <v>10</v>
      </c>
      <c r="B12" s="23" t="s">
        <v>62</v>
      </c>
      <c r="C12" s="28" t="s">
        <v>98</v>
      </c>
      <c r="D12" s="24" t="s">
        <v>99</v>
      </c>
      <c r="E12" s="28" t="s">
        <v>100</v>
      </c>
      <c r="F12" s="28" t="s">
        <v>101</v>
      </c>
      <c r="G12" s="28" t="s">
        <v>67</v>
      </c>
      <c r="H12" s="27">
        <v>2014</v>
      </c>
    </row>
    <row r="13" spans="1:8" x14ac:dyDescent="0.25">
      <c r="A13" s="28">
        <v>11</v>
      </c>
      <c r="B13" s="23" t="s">
        <v>62</v>
      </c>
      <c r="C13" s="28" t="s">
        <v>102</v>
      </c>
      <c r="D13" s="24" t="s">
        <v>99</v>
      </c>
      <c r="E13" s="28" t="s">
        <v>103</v>
      </c>
      <c r="F13" s="28" t="s">
        <v>104</v>
      </c>
      <c r="G13" s="28" t="s">
        <v>67</v>
      </c>
      <c r="H13" s="27">
        <v>2014</v>
      </c>
    </row>
    <row r="14" spans="1:8" x14ac:dyDescent="0.25">
      <c r="A14" s="29">
        <v>12</v>
      </c>
      <c r="B14" s="29" t="s">
        <v>62</v>
      </c>
      <c r="C14" s="29" t="s">
        <v>105</v>
      </c>
      <c r="D14" s="29" t="s">
        <v>106</v>
      </c>
      <c r="E14" s="29" t="s">
        <v>107</v>
      </c>
      <c r="F14" s="29" t="s">
        <v>108</v>
      </c>
      <c r="G14" s="29" t="s">
        <v>67</v>
      </c>
      <c r="H14" s="29">
        <v>2005</v>
      </c>
    </row>
    <row r="15" spans="1:8" x14ac:dyDescent="0.25">
      <c r="A15" s="29">
        <v>13</v>
      </c>
      <c r="B15" s="29" t="s">
        <v>109</v>
      </c>
      <c r="C15" s="29" t="s">
        <v>110</v>
      </c>
      <c r="D15" s="29" t="s">
        <v>111</v>
      </c>
      <c r="E15" s="29" t="s">
        <v>112</v>
      </c>
      <c r="F15" s="29" t="s">
        <v>113</v>
      </c>
      <c r="G15" s="29" t="s">
        <v>67</v>
      </c>
      <c r="H15" s="29">
        <v>2018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COMBUSTIBLE</vt:lpstr>
      <vt:lpstr>Autor Gastar</vt:lpstr>
      <vt:lpstr>PARQUE AUTOMOTOR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compras_rrhh@autolock.com</cp:lastModifiedBy>
  <cp:revision>2</cp:revision>
  <cp:lastPrinted>2020-11-24T14:25:44Z</cp:lastPrinted>
  <dcterms:created xsi:type="dcterms:W3CDTF">2020-07-17T23:44:49Z</dcterms:created>
  <dcterms:modified xsi:type="dcterms:W3CDTF">2021-09-16T13:30:33Z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