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Trimestrales'!$A$9:$I$19</definedName>
    <definedName name="_xlnm.Print_Area" localSheetId="1">' NotaPedido'!$A$1:$K$24</definedName>
    <definedName name="_xlnm.Print_Area" localSheetId="2">'Autor Gastar'!$A$1:$Q$27</definedName>
    <definedName name="_xlnm.Print_Area" localSheetId="0">'Necesidades Trimestrales'!$E$9:$E$19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2" i="2" l="1"/>
  <c r="I22" i="2"/>
  <c r="I23" i="2"/>
  <c r="C22" i="2"/>
  <c r="K22" i="2"/>
  <c r="K23" i="2"/>
  <c r="J22" i="2"/>
  <c r="J23" i="2"/>
  <c r="C23" i="2"/>
  <c r="B22" i="2"/>
  <c r="B23" i="2"/>
  <c r="I21" i="1"/>
  <c r="I20" i="1"/>
  <c r="Q23" i="3" l="1"/>
  <c r="I16" i="3" l="1"/>
  <c r="A10" i="3" l="1"/>
  <c r="B14" i="2" l="1"/>
  <c r="B15" i="2"/>
  <c r="B16" i="2"/>
  <c r="B17" i="2"/>
  <c r="B18" i="2"/>
  <c r="B19" i="2"/>
  <c r="B20" i="2"/>
  <c r="B21" i="2"/>
  <c r="C20" i="2"/>
  <c r="C21" i="2"/>
  <c r="C16" i="2"/>
  <c r="C17" i="2"/>
  <c r="C18" i="2"/>
  <c r="C19" i="2"/>
  <c r="C15" i="2"/>
  <c r="C14" i="2"/>
  <c r="I14" i="2"/>
  <c r="I15" i="2"/>
  <c r="I16" i="2"/>
  <c r="I17" i="2"/>
  <c r="I18" i="2"/>
  <c r="I19" i="2"/>
  <c r="I20" i="2"/>
  <c r="I21" i="2"/>
  <c r="J14" i="2"/>
  <c r="J15" i="2"/>
  <c r="J16" i="2"/>
  <c r="J17" i="2"/>
  <c r="J18" i="2"/>
  <c r="J19" i="2"/>
  <c r="J20" i="2"/>
  <c r="J21" i="2"/>
  <c r="K14" i="2"/>
  <c r="K15" i="2"/>
  <c r="K16" i="2"/>
  <c r="K17" i="2"/>
  <c r="K18" i="2"/>
  <c r="K19" i="2"/>
  <c r="K20" i="2"/>
  <c r="K21" i="2"/>
  <c r="I13" i="2"/>
  <c r="J13" i="2"/>
  <c r="K13" i="2"/>
  <c r="C13" i="2"/>
  <c r="B13" i="2"/>
  <c r="I12" i="1" l="1"/>
  <c r="I13" i="1"/>
  <c r="I14" i="1"/>
  <c r="I15" i="1"/>
  <c r="I16" i="1"/>
  <c r="I17" i="1"/>
  <c r="I18" i="1"/>
  <c r="I19" i="1"/>
  <c r="I11" i="1"/>
  <c r="G6" i="3" l="1"/>
  <c r="G7" i="3"/>
  <c r="D7" i="2"/>
  <c r="D3" i="2"/>
  <c r="G4" i="3" s="1"/>
  <c r="D4" i="2"/>
  <c r="G5" i="3" s="1"/>
  <c r="D1" i="3" l="1"/>
  <c r="K12" i="2"/>
  <c r="J12" i="2"/>
  <c r="J24" i="2" s="1"/>
  <c r="C12" i="2"/>
  <c r="B12" i="2"/>
  <c r="I10" i="1"/>
  <c r="I15" i="3"/>
</calcChain>
</file>

<file path=xl/sharedStrings.xml><?xml version="1.0" encoding="utf-8"?>
<sst xmlns="http://schemas.openxmlformats.org/spreadsheetml/2006/main" count="144" uniqueCount="110">
  <si>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</si>
  <si>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</si>
  <si>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</si>
  <si>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</si>
  <si>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</si>
  <si>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</si>
  <si>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</si>
  <si>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</si>
  <si>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</si>
  <si>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</si>
  <si>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</si>
  <si>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</si>
  <si>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</si>
  <si>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</si>
  <si>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</si>
  <si>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</si>
  <si>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</si>
  <si>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</si>
  <si>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</si>
  <si>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</si>
  <si>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</si>
  <si>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</si>
  <si>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</si>
  <si>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</si>
  <si>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</si>
  <si>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</si>
  <si>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</si>
  <si>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</si>
  <si>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</si>
  <si>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</si>
  <si>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</si>
  <si>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</si>
  <si>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</si>
  <si>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</si>
  <si>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</si>
  <si>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</si>
  <si>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</si>
  <si>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</si>
  <si>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</si>
  <si>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</si>
  <si>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</si>
  <si>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</si>
  <si>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</si>
  <si>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</si>
  <si>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</si>
  <si>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</si>
  <si>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</si>
  <si>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</si>
  <si>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</si>
  <si>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</si>
  <si>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</si>
  <si>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</si>
  <si>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</si>
  <si>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PAQUETE</t>
  </si>
  <si>
    <t>Servicio de Alimentacion y Dietoterapia</t>
  </si>
  <si>
    <t>1.1</t>
  </si>
  <si>
    <t>NO</t>
  </si>
  <si>
    <t>BAZAR Y MENAJE</t>
  </si>
  <si>
    <t>2.9.4-690.15</t>
  </si>
  <si>
    <t>CUCHARAS; TIPO: DE MESA, MATERIAL: PLASTICO</t>
  </si>
  <si>
    <t>2.9.4-689.15</t>
  </si>
  <si>
    <t>CUCHILLOS; TIPO: DE MESA, MATERIAL: PLASTICO</t>
  </si>
  <si>
    <t>2.9.4-692.10</t>
  </si>
  <si>
    <t>TENEDORES; TIPO: DE MESA, MATERIAL: PLASTICO</t>
  </si>
  <si>
    <t>2.9.4-588.67</t>
  </si>
  <si>
    <t>VASOS PLASTICOS DESCARTABLES; MATERIAL: POLIPROPILENO, MOTIVO: LISO C/TAPA, CAPACIDAD: 500 CM3, PRESENTACION: ENVASE X 50, TIPO: ESTRIADO</t>
  </si>
  <si>
    <t>2.3.4-5442.12</t>
  </si>
  <si>
    <t>ROLLOS P/COCINA; DIMENSION: 0,33 X 400 M, PRESENTACION: BOBINA</t>
  </si>
  <si>
    <t>BOBINA</t>
  </si>
  <si>
    <t>2.9.4-4743.23</t>
  </si>
  <si>
    <t>BANDEJA P/TRANSP. DE ALIMENTO; DIMENSION: 18 X 14 X 4 Cm, TIPO: RECTANGULAR CON TAPA, MATERIAL: ALUMINIO, CAPACIDAD: 750 CM2</t>
  </si>
  <si>
    <t>2.9.5-5755.16</t>
  </si>
  <si>
    <t>PROD. MEDICO/FARMACEUTICOS/LAB</t>
  </si>
  <si>
    <t>FILMS AUTOADHERENTES; TIPO: TRANSPARENTE, MATERIAL: POLIETILENO, PRESENTACION: ENVASE X 300 M, ANCHO: 38 Cm</t>
  </si>
  <si>
    <t>Productos de Papel y Carton</t>
  </si>
  <si>
    <t>Para la adquisición de Descartables de Cocina destinados al servico de Alimentacion y Dietoterapia del Hospital Interzonal de Niños Eva Peron, para el normal funcionamiento del organismo.</t>
  </si>
  <si>
    <t>Adquisición de Descartables de Cocina</t>
  </si>
  <si>
    <t>SERVILLETAS DE PAPEL; PRESENTACION: PAQUETE X 100, DIMENSION: 24 X 24 Cm, COLOR: BLANCO, MOTIVO: SIN VALOR, TIPO: LISAS</t>
  </si>
  <si>
    <t>2.3.4-938.13</t>
  </si>
  <si>
    <t>FERRETERIA</t>
  </si>
  <si>
    <t>ROLLO</t>
  </si>
  <si>
    <t>Productos de Material Plastico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</si>
  <si>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ALIMENTACION Y DIETOTERAPIA -HOSPITAL INT. DE NIÑOS – AV. VIRGEN DEL VALLE N° 1050-CATAMARCA DE 8:00 A 12:00HS., DEBIENDO CORRER LOS GASTOS DE FLETES, ACARREO, CARGA, DESCARGA Y SEGURO A CARGO DEL ADJUDICATARIO.</t>
    </r>
  </si>
  <si>
    <t>Especificidades Item N° 3 y 4:</t>
  </si>
  <si>
    <t>Especificidades Item N° 2:</t>
  </si>
  <si>
    <t>2.9.4-588.68</t>
  </si>
  <si>
    <t>VASOS PLASTICOS DESCARTABLES; MATERIAL: POLIESTIRENO, MOTIVO: LISO, CAPACIDAD: 250 CM3, PRESENTACION: BOLSA X 100 UN, TIPO: BLANCO</t>
  </si>
  <si>
    <t>BOLSA</t>
  </si>
  <si>
    <t>2.9.4-588.50</t>
  </si>
  <si>
    <t>VASOS PLASTICOS DESCARTABLES; MATERIAL: POLIETILENO, CAPACIDAD: 220 CM3, PRESENTACION: PAQUETE X 100 UN, TIPO: BLANCO, MOTIVO: LISO</t>
  </si>
  <si>
    <t>Especificidades Item N° 11 y 12:</t>
  </si>
  <si>
    <t>Especificidades Item N° 1: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</si>
  <si>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</si>
  <si>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t>SI</t>
  </si>
  <si>
    <t>BOLSAS DE POLIETILENO; TAMAÑO: 20 X 30 Cm, ESPESOR: 30 mm, PRESENTACION: ENVASE X 100 UN</t>
  </si>
  <si>
    <t>BOLSAS DE POLIETILENO; TAMAÑO: 35 X 45 Cm, ESPESOR: 30 Mn, PRESENTACION: ROLLO X 150 UN</t>
  </si>
  <si>
    <t>2.5.8-3977.78</t>
  </si>
  <si>
    <t>2.5.8-3977.63</t>
  </si>
  <si>
    <t>Utensilios de Cocina y Comedor</t>
  </si>
  <si>
    <t>066/2022</t>
  </si>
  <si>
    <t>24 - Direccion de Administracion del Hospital Interzonal de Niños</t>
  </si>
  <si>
    <t>40 - Ministerio de Salud</t>
  </si>
  <si>
    <t>Costo total estimado: Dos Millones Seiscientos Cuarenta y Siete Mil Novecientos con 00/100.</t>
  </si>
  <si>
    <t>TOTAL DE PESOS: DOS MILLONES SEISCIENTOS CUARENTA Y SIETE MIL NOVECIENTOS CON 00/100.</t>
  </si>
  <si>
    <r>
      <t>Descripción técnica</t>
    </r>
    <r>
      <rPr>
        <sz val="10"/>
        <rFont val="Times New Roman"/>
        <family val="1"/>
      </rPr>
      <t>: CON TAPA.</t>
    </r>
  </si>
  <si>
    <r>
      <t>Descripción técnica</t>
    </r>
    <r>
      <rPr>
        <sz val="10"/>
        <rFont val="Times New Roman"/>
        <family val="1"/>
      </rPr>
      <t>: SOPERAS, REFORZADAS DESCARTABLES.</t>
    </r>
  </si>
  <si>
    <r>
      <t>Descripción técnica</t>
    </r>
    <r>
      <rPr>
        <sz val="10"/>
        <rFont val="Times New Roman"/>
        <family val="1"/>
      </rPr>
      <t>: REFORZADOS DESCARTABLES.</t>
    </r>
  </si>
  <si>
    <r>
      <t>Descripción técnica</t>
    </r>
    <r>
      <rPr>
        <sz val="10"/>
        <rFont val="Times New Roman"/>
        <family val="1"/>
      </rPr>
      <t>: ROLLO DE BOLSAS DE ARRANQUE.</t>
    </r>
  </si>
  <si>
    <r>
      <rPr>
        <u/>
        <sz val="10"/>
        <rFont val="Times New Roman"/>
        <family val="1"/>
      </rPr>
      <t>Forma de Pago</t>
    </r>
    <r>
      <rPr>
        <sz val="10"/>
        <rFont val="Times New Roman"/>
        <family val="1"/>
      </rPr>
      <t>: Treinta (30) dias habiles.</t>
    </r>
  </si>
  <si>
    <r>
      <t>Mantenimiento de Oferta</t>
    </r>
    <r>
      <rPr>
        <sz val="10"/>
        <rFont val="Times New Roman"/>
        <family val="1"/>
      </rPr>
      <t>: Cuarenta y cinco (45) dias habiles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</si>
</sst>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[$$-2C0A]#,##0.00"/>
  </numFmts>
  <fonts count="2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Arial"/>
      <family val="2"/>
    </font>
    <font>
      <sz val="10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6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7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8" xfId="0" applyBorder="1"/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1" xfId="0" applyFont="1" applyBorder="1" applyAlignment="1">
      <alignment horizontal="left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166" fontId="15" fillId="0" borderId="0" xfId="0" applyNumberFormat="1" applyFont="1"/>
    <xf numFmtId="0" fontId="19" fillId="0" borderId="5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6" xfId="0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/>
    </xf>
    <xf numFmtId="0" fontId="4" fillId="4" borderId="56" xfId="0" applyFont="1" applyFill="1" applyBorder="1" applyAlignment="1">
      <alignment horizontal="center" vertical="center"/>
    </xf>
    <xf numFmtId="166" fontId="4" fillId="3" borderId="56" xfId="1" applyNumberFormat="1" applyFont="1" applyFill="1" applyBorder="1" applyAlignment="1" applyProtection="1">
      <alignment horizontal="right" vertical="center" wrapText="1"/>
    </xf>
    <xf numFmtId="3" fontId="4" fillId="3" borderId="56" xfId="0" applyNumberFormat="1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left" vertical="center"/>
    </xf>
    <xf numFmtId="0" fontId="4" fillId="4" borderId="21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166" fontId="4" fillId="3" borderId="21" xfId="1" applyNumberFormat="1" applyFont="1" applyFill="1" applyBorder="1" applyAlignment="1" applyProtection="1">
      <alignment horizontal="right" vertical="center" wrapText="1"/>
    </xf>
    <xf numFmtId="3" fontId="4" fillId="3" borderId="21" xfId="0" applyNumberFormat="1" applyFont="1" applyFill="1" applyBorder="1" applyAlignment="1">
      <alignment horizontal="center" vertical="center"/>
    </xf>
    <xf numFmtId="0" fontId="4" fillId="3" borderId="55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166" fontId="20" fillId="4" borderId="3" xfId="1" applyNumberFormat="1" applyFont="1" applyFill="1" applyBorder="1" applyAlignment="1" applyProtection="1">
      <alignment horizontal="right" vertical="center" wrapText="1"/>
    </xf>
    <xf numFmtId="166" fontId="20" fillId="4" borderId="4" xfId="1" applyNumberFormat="1" applyFont="1" applyFill="1" applyBorder="1" applyAlignment="1" applyProtection="1">
      <alignment horizontal="right" vertical="center" wrapText="1"/>
    </xf>
    <xf numFmtId="166" fontId="20" fillId="4" borderId="49" xfId="1" applyNumberFormat="1" applyFont="1" applyFill="1" applyBorder="1" applyAlignment="1" applyProtection="1">
      <alignment horizontal="right" vertical="center" wrapText="1"/>
    </xf>
    <xf numFmtId="166" fontId="20" fillId="4" borderId="50" xfId="1" applyNumberFormat="1" applyFont="1" applyFill="1" applyBorder="1" applyAlignment="1" applyProtection="1">
      <alignment horizontal="right" vertical="center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4" xfId="0" applyFont="1" applyFill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23" fillId="4" borderId="3" xfId="0" applyFont="1" applyFill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/>
    </xf>
    <xf numFmtId="0" fontId="23" fillId="0" borderId="54" xfId="0" applyFont="1" applyBorder="1" applyAlignment="1">
      <alignment horizontal="center" vertical="center" wrapText="1"/>
    </xf>
    <xf numFmtId="0" fontId="14" fillId="0" borderId="54" xfId="0" applyFont="1" applyBorder="1" applyAlignment="1">
      <alignment vertical="center" wrapText="1"/>
    </xf>
    <xf numFmtId="0" fontId="23" fillId="4" borderId="54" xfId="0" applyFont="1" applyFill="1" applyBorder="1" applyAlignment="1">
      <alignment horizontal="center" vertical="center" wrapText="1"/>
    </xf>
    <xf numFmtId="0" fontId="23" fillId="0" borderId="59" xfId="0" applyFont="1" applyBorder="1" applyAlignment="1">
      <alignment horizontal="center" vertical="center" wrapText="1"/>
    </xf>
    <xf numFmtId="0" fontId="0" fillId="4" borderId="60" xfId="0" applyFont="1" applyFill="1" applyBorder="1" applyAlignment="1">
      <alignment horizontal="center" vertical="center"/>
    </xf>
    <xf numFmtId="0" fontId="0" fillId="4" borderId="39" xfId="0" applyFont="1" applyFill="1" applyBorder="1" applyAlignment="1">
      <alignment horizontal="center" vertical="center"/>
    </xf>
    <xf numFmtId="0" fontId="14" fillId="4" borderId="39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0" fontId="0" fillId="4" borderId="37" xfId="0" applyFont="1" applyFill="1" applyBorder="1" applyAlignment="1">
      <alignment horizontal="center" vertical="center"/>
    </xf>
    <xf numFmtId="0" fontId="0" fillId="4" borderId="61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3" borderId="61" xfId="0" applyFont="1" applyFill="1" applyBorder="1" applyAlignment="1">
      <alignment horizontal="center" vertical="center"/>
    </xf>
    <xf numFmtId="0" fontId="14" fillId="0" borderId="3" xfId="0" applyFont="1" applyBorder="1" applyAlignment="1">
      <alignment wrapText="1"/>
    </xf>
    <xf numFmtId="0" fontId="0" fillId="0" borderId="0" xfId="0" applyAlignment="1">
      <alignment wrapText="1"/>
    </xf>
    <xf numFmtId="0" fontId="14" fillId="0" borderId="54" xfId="0" applyFont="1" applyBorder="1" applyAlignment="1">
      <alignment wrapText="1"/>
    </xf>
    <xf numFmtId="0" fontId="14" fillId="0" borderId="62" xfId="0" applyFont="1" applyBorder="1" applyAlignment="1">
      <alignment horizontal="center" vertical="center"/>
    </xf>
    <xf numFmtId="166" fontId="20" fillId="4" borderId="63" xfId="1" applyNumberFormat="1" applyFont="1" applyFill="1" applyBorder="1" applyAlignment="1" applyProtection="1">
      <alignment horizontal="right" vertical="center" wrapText="1"/>
    </xf>
    <xf numFmtId="166" fontId="20" fillId="4" borderId="54" xfId="1" applyNumberFormat="1" applyFont="1" applyFill="1" applyBorder="1" applyAlignment="1" applyProtection="1">
      <alignment horizontal="right" vertical="center" wrapText="1"/>
    </xf>
    <xf numFmtId="166" fontId="20" fillId="4" borderId="64" xfId="1" applyNumberFormat="1" applyFont="1" applyFill="1" applyBorder="1" applyAlignment="1" applyProtection="1">
      <alignment horizontal="right" vertical="center" wrapText="1"/>
    </xf>
    <xf numFmtId="0" fontId="14" fillId="0" borderId="65" xfId="0" applyFont="1" applyBorder="1" applyAlignment="1">
      <alignment horizontal="center" vertical="center"/>
    </xf>
    <xf numFmtId="0" fontId="0" fillId="0" borderId="54" xfId="0" applyBorder="1" applyAlignment="1">
      <alignment wrapText="1"/>
    </xf>
    <xf numFmtId="0" fontId="21" fillId="0" borderId="5" xfId="0" applyFont="1" applyBorder="1"/>
    <xf numFmtId="0" fontId="15" fillId="0" borderId="6" xfId="0" applyFont="1" applyFill="1" applyBorder="1"/>
    <xf numFmtId="0" fontId="15" fillId="0" borderId="7" xfId="0" applyFont="1" applyFill="1" applyBorder="1"/>
    <xf numFmtId="0" fontId="15" fillId="0" borderId="0" xfId="0" applyFont="1" applyFill="1" applyBorder="1"/>
    <xf numFmtId="0" fontId="15" fillId="0" borderId="9" xfId="0" applyFont="1" applyFill="1" applyBorder="1"/>
    <xf numFmtId="0" fontId="21" fillId="0" borderId="8" xfId="0" applyFont="1" applyBorder="1" applyAlignment="1"/>
    <xf numFmtId="0" fontId="19" fillId="0" borderId="67" xfId="0" applyFont="1" applyBorder="1" applyAlignment="1">
      <alignment horizontal="center" vertical="center" wrapText="1"/>
    </xf>
    <xf numFmtId="0" fontId="0" fillId="0" borderId="59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54" xfId="0" applyBorder="1" applyAlignment="1">
      <alignment vertical="center"/>
    </xf>
    <xf numFmtId="0" fontId="14" fillId="0" borderId="59" xfId="0" applyFont="1" applyBorder="1" applyAlignment="1">
      <alignment vertical="center" wrapText="1"/>
    </xf>
    <xf numFmtId="0" fontId="15" fillId="0" borderId="54" xfId="0" applyFont="1" applyBorder="1" applyAlignment="1">
      <alignment horizontal="center"/>
    </xf>
    <xf numFmtId="0" fontId="14" fillId="0" borderId="54" xfId="0" applyFont="1" applyBorder="1" applyAlignment="1">
      <alignment horizontal="center" vertical="center"/>
    </xf>
    <xf numFmtId="0" fontId="14" fillId="0" borderId="6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169" fontId="15" fillId="0" borderId="0" xfId="0" applyNumberFormat="1" applyFont="1"/>
    <xf numFmtId="0" fontId="24" fillId="3" borderId="0" xfId="0" applyFont="1" applyFill="1"/>
    <xf numFmtId="0" fontId="21" fillId="0" borderId="8" xfId="0" applyFont="1" applyBorder="1"/>
    <xf numFmtId="0" fontId="21" fillId="0" borderId="8" xfId="0" applyFont="1" applyBorder="1" applyAlignment="1">
      <alignment horizontal="left" indent="3"/>
    </xf>
    <xf numFmtId="0" fontId="15" fillId="0" borderId="0" xfId="0" applyFont="1" applyBorder="1"/>
    <xf numFmtId="0" fontId="15" fillId="0" borderId="9" xfId="0" applyFont="1" applyBorder="1"/>
    <xf numFmtId="0" fontId="15" fillId="0" borderId="0" xfId="0" applyFont="1" applyBorder="1" applyAlignment="1">
      <alignment horizont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9" xfId="0" applyFont="1" applyBorder="1" applyAlignment="1">
      <alignment horizontal="center" wrapText="1"/>
    </xf>
    <xf numFmtId="0" fontId="15" fillId="0" borderId="10" xfId="0" applyFont="1" applyBorder="1"/>
    <xf numFmtId="0" fontId="15" fillId="0" borderId="66" xfId="0" applyFont="1" applyBorder="1"/>
    <xf numFmtId="0" fontId="15" fillId="0" borderId="11" xfId="0" applyFont="1" applyBorder="1"/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15" fillId="4" borderId="8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6" fillId="3" borderId="16" xfId="0" applyFont="1" applyFill="1" applyBorder="1" applyAlignment="1">
      <alignment horizontal="left" vertical="center" wrapText="1" indent="1"/>
    </xf>
    <xf numFmtId="167" fontId="7" fillId="3" borderId="16" xfId="0" applyNumberFormat="1" applyFont="1" applyFill="1" applyBorder="1" applyAlignment="1">
      <alignment horizontal="center" vertical="center"/>
    </xf>
    <xf numFmtId="0" fontId="4" fillId="3" borderId="56" xfId="0" applyFont="1" applyFill="1" applyBorder="1" applyAlignment="1">
      <alignment horizontal="left" vertical="center" wrapText="1"/>
    </xf>
    <xf numFmtId="0" fontId="4" fillId="3" borderId="21" xfId="0" applyFont="1" applyFill="1" applyBorder="1" applyAlignment="1">
      <alignment horizontal="left" vertical="center" wrapText="1"/>
    </xf>
    <xf numFmtId="0" fontId="7" fillId="3" borderId="18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horizontal="left" vertical="center" wrapText="1" indent="1"/>
    </xf>
    <xf numFmtId="0" fontId="8" fillId="3" borderId="18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11" fillId="0" borderId="29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4" xfId="0" applyBorder="1"/>
    <xf numFmtId="0" fontId="14" fillId="0" borderId="34" xfId="0" applyFont="1" applyBorder="1" applyAlignment="1">
      <alignment horizontal="left" vertical="center" wrapText="1"/>
    </xf>
    <xf numFmtId="0" fontId="0" fillId="0" borderId="34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/>
    </xf>
    <xf numFmtId="0" fontId="11" fillId="0" borderId="25" xfId="0" applyFont="1" applyBorder="1"/>
    <xf numFmtId="0" fontId="11" fillId="0" borderId="26" xfId="0" applyFont="1" applyBorder="1" applyAlignment="1">
      <alignment horizontal="left" vertical="center" wrapText="1" indent="1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indent="1"/>
    </xf>
    <xf numFmtId="0" fontId="12" fillId="0" borderId="13" xfId="0" applyFont="1" applyBorder="1" applyAlignment="1">
      <alignment horizontal="left"/>
    </xf>
    <xf numFmtId="0" fontId="0" fillId="0" borderId="22" xfId="0" applyFont="1" applyBorder="1" applyAlignment="1">
      <alignment horizontal="center"/>
    </xf>
    <xf numFmtId="3" fontId="9" fillId="0" borderId="2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36"/>
  <sheetViews>
    <sheetView topLeftCell="A11" zoomScale="98" zoomScaleNormal="98" workbookViewId="0">
      <selection activeCell="E21" sqref="E21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71.7109375" style="32" customWidth="1"/>
    <col min="6" max="6" width="11" style="32"/>
    <col min="7" max="7" width="10.42578125" style="32" bestFit="1" customWidth="1"/>
    <col min="8" max="8" width="13.85546875" style="32" customWidth="1"/>
    <col min="9" max="9" width="18.5703125" style="32" customWidth="1"/>
    <col min="10" max="10" width="11" style="32"/>
    <col min="11" max="11" width="14.7109375" style="32" customWidth="1"/>
    <col min="12" max="12" width="11.5703125" style="32" bestFit="1" customWidth="1"/>
    <col min="13" max="16384" width="11" style="32"/>
  </cols>
  <sheetData>
    <row r="2" spans="1:12" ht="27" x14ac:dyDescent="0.35">
      <c r="B2" s="123" t="s">
        <v>0</v>
      </c>
      <c r="C2" s="123"/>
      <c r="D2" s="123"/>
      <c r="E2" s="123"/>
      <c r="F2" s="123"/>
      <c r="G2" s="123"/>
      <c r="H2" s="123"/>
    </row>
    <row r="3" spans="1:12" ht="12" customHeight="1" x14ac:dyDescent="0.2"/>
    <row r="4" spans="1:12" ht="18" customHeight="1" x14ac:dyDescent="0.25">
      <c r="A4" s="122" t="s">
        <v>1</v>
      </c>
      <c r="B4" s="122"/>
      <c r="C4" s="124" t="s">
        <v>101</v>
      </c>
      <c r="D4" s="124"/>
      <c r="E4" s="124"/>
      <c r="F4" s="33"/>
      <c r="G4" s="34"/>
      <c r="H4" s="33"/>
    </row>
    <row r="5" spans="1:12" ht="18" customHeight="1" x14ac:dyDescent="0.25">
      <c r="A5" s="122" t="s">
        <v>2</v>
      </c>
      <c r="B5" s="122"/>
      <c r="C5" s="124" t="s">
        <v>100</v>
      </c>
      <c r="D5" s="124"/>
      <c r="E5" s="124"/>
      <c r="F5" s="33"/>
      <c r="G5" s="34"/>
      <c r="H5" s="33"/>
    </row>
    <row r="6" spans="1:12" ht="16.5" customHeight="1" x14ac:dyDescent="0.25">
      <c r="A6" s="122" t="s">
        <v>3</v>
      </c>
      <c r="B6" s="122"/>
      <c r="C6" s="60">
        <v>2022</v>
      </c>
      <c r="D6" s="61"/>
      <c r="E6" s="61"/>
      <c r="F6" s="33"/>
      <c r="G6" s="34"/>
      <c r="H6" s="33"/>
    </row>
    <row r="7" spans="1:12" ht="16.5" customHeight="1" x14ac:dyDescent="0.25">
      <c r="A7" s="122" t="s">
        <v>4</v>
      </c>
      <c r="B7" s="122"/>
      <c r="C7" s="60">
        <v>3</v>
      </c>
      <c r="D7" s="61"/>
      <c r="E7" s="61"/>
      <c r="F7" s="33"/>
      <c r="G7" s="34"/>
      <c r="H7" s="33"/>
    </row>
    <row r="8" spans="1:12" ht="13.5" thickBot="1" x14ac:dyDescent="0.25">
      <c r="B8" s="33"/>
      <c r="C8" s="34"/>
      <c r="D8" s="33"/>
      <c r="E8" s="33"/>
      <c r="F8" s="33"/>
      <c r="G8" s="34"/>
      <c r="H8" s="33"/>
    </row>
    <row r="9" spans="1:12" ht="39.75" thickTop="1" thickBot="1" x14ac:dyDescent="0.25">
      <c r="A9" s="37" t="s">
        <v>5</v>
      </c>
      <c r="B9" s="37" t="s">
        <v>6</v>
      </c>
      <c r="C9" s="37" t="s">
        <v>7</v>
      </c>
      <c r="D9" s="38" t="s">
        <v>8</v>
      </c>
      <c r="E9" s="100" t="s">
        <v>9</v>
      </c>
      <c r="F9" s="39" t="s">
        <v>10</v>
      </c>
      <c r="G9" s="35" t="s">
        <v>11</v>
      </c>
      <c r="H9" s="35" t="s">
        <v>12</v>
      </c>
      <c r="I9" s="35" t="s">
        <v>13</v>
      </c>
    </row>
    <row r="10" spans="1:12" ht="39" thickTop="1" x14ac:dyDescent="0.2">
      <c r="A10" s="69">
        <v>1</v>
      </c>
      <c r="B10" s="107" t="s">
        <v>85</v>
      </c>
      <c r="C10" s="85" t="s">
        <v>57</v>
      </c>
      <c r="D10" s="70">
        <v>294</v>
      </c>
      <c r="E10" s="102" t="s">
        <v>86</v>
      </c>
      <c r="F10" s="71" t="s">
        <v>87</v>
      </c>
      <c r="G10" s="71">
        <v>240</v>
      </c>
      <c r="H10" s="62">
        <v>2160</v>
      </c>
      <c r="I10" s="63">
        <f>H10*G10</f>
        <v>518400</v>
      </c>
      <c r="K10" s="36"/>
      <c r="L10" s="36"/>
    </row>
    <row r="11" spans="1:12" ht="25.5" x14ac:dyDescent="0.2">
      <c r="A11" s="72">
        <v>2</v>
      </c>
      <c r="B11" s="106" t="s">
        <v>58</v>
      </c>
      <c r="C11" s="87" t="s">
        <v>57</v>
      </c>
      <c r="D11" s="73">
        <v>294</v>
      </c>
      <c r="E11" s="74" t="s">
        <v>59</v>
      </c>
      <c r="F11" s="75" t="s">
        <v>14</v>
      </c>
      <c r="G11" s="75">
        <v>8000</v>
      </c>
      <c r="H11" s="64">
        <v>8</v>
      </c>
      <c r="I11" s="65">
        <f>G11*H11</f>
        <v>64000</v>
      </c>
      <c r="K11" s="36"/>
      <c r="L11" s="36"/>
    </row>
    <row r="12" spans="1:12" ht="25.5" x14ac:dyDescent="0.2">
      <c r="A12" s="72">
        <v>3</v>
      </c>
      <c r="B12" s="106" t="s">
        <v>60</v>
      </c>
      <c r="C12" s="87" t="s">
        <v>57</v>
      </c>
      <c r="D12" s="73">
        <v>294</v>
      </c>
      <c r="E12" s="74" t="s">
        <v>61</v>
      </c>
      <c r="F12" s="75" t="s">
        <v>14</v>
      </c>
      <c r="G12" s="75">
        <v>5000</v>
      </c>
      <c r="H12" s="64">
        <v>5.5</v>
      </c>
      <c r="I12" s="65">
        <f t="shared" ref="I12:I19" si="0">G12*H12</f>
        <v>27500</v>
      </c>
      <c r="K12" s="36"/>
      <c r="L12" s="36"/>
    </row>
    <row r="13" spans="1:12" ht="25.5" x14ac:dyDescent="0.2">
      <c r="A13" s="72">
        <v>4</v>
      </c>
      <c r="B13" s="106" t="s">
        <v>62</v>
      </c>
      <c r="C13" s="87" t="s">
        <v>57</v>
      </c>
      <c r="D13" s="73">
        <v>294</v>
      </c>
      <c r="E13" s="74" t="s">
        <v>63</v>
      </c>
      <c r="F13" s="75" t="s">
        <v>14</v>
      </c>
      <c r="G13" s="75">
        <v>8000</v>
      </c>
      <c r="H13" s="64">
        <v>5.5</v>
      </c>
      <c r="I13" s="65">
        <f t="shared" si="0"/>
        <v>44000</v>
      </c>
      <c r="K13" s="36"/>
      <c r="L13" s="36"/>
    </row>
    <row r="14" spans="1:12" ht="38.25" x14ac:dyDescent="0.2">
      <c r="A14" s="72">
        <v>5</v>
      </c>
      <c r="B14" s="106" t="s">
        <v>64</v>
      </c>
      <c r="C14" s="87" t="s">
        <v>57</v>
      </c>
      <c r="D14" s="73">
        <v>294</v>
      </c>
      <c r="E14" s="87" t="s">
        <v>65</v>
      </c>
      <c r="F14" s="75" t="s">
        <v>53</v>
      </c>
      <c r="G14" s="75">
        <v>40</v>
      </c>
      <c r="H14" s="64">
        <v>1500</v>
      </c>
      <c r="I14" s="65">
        <f t="shared" si="0"/>
        <v>60000</v>
      </c>
    </row>
    <row r="15" spans="1:12" ht="25.5" x14ac:dyDescent="0.2">
      <c r="A15" s="72">
        <v>6</v>
      </c>
      <c r="B15" s="106" t="s">
        <v>88</v>
      </c>
      <c r="C15" s="87" t="s">
        <v>57</v>
      </c>
      <c r="D15" s="73">
        <v>294</v>
      </c>
      <c r="E15" s="87" t="s">
        <v>89</v>
      </c>
      <c r="F15" s="75" t="s">
        <v>53</v>
      </c>
      <c r="G15" s="75">
        <v>240</v>
      </c>
      <c r="H15" s="64">
        <v>900</v>
      </c>
      <c r="I15" s="65">
        <f t="shared" si="0"/>
        <v>216000</v>
      </c>
    </row>
    <row r="16" spans="1:12" ht="25.5" x14ac:dyDescent="0.2">
      <c r="A16" s="72">
        <v>7</v>
      </c>
      <c r="B16" s="108" t="s">
        <v>78</v>
      </c>
      <c r="C16" s="87" t="s">
        <v>57</v>
      </c>
      <c r="D16" s="73">
        <v>234</v>
      </c>
      <c r="E16" s="86" t="s">
        <v>77</v>
      </c>
      <c r="F16" s="75" t="s">
        <v>53</v>
      </c>
      <c r="G16" s="75">
        <v>50</v>
      </c>
      <c r="H16" s="64">
        <v>240</v>
      </c>
      <c r="I16" s="65">
        <f t="shared" si="0"/>
        <v>12000</v>
      </c>
      <c r="J16" s="111"/>
    </row>
    <row r="17" spans="1:11" ht="25.5" x14ac:dyDescent="0.2">
      <c r="A17" s="72">
        <v>8</v>
      </c>
      <c r="B17" s="106" t="s">
        <v>66</v>
      </c>
      <c r="C17" s="87" t="s">
        <v>57</v>
      </c>
      <c r="D17" s="73">
        <v>234</v>
      </c>
      <c r="E17" s="74" t="s">
        <v>67</v>
      </c>
      <c r="F17" s="75" t="s">
        <v>68</v>
      </c>
      <c r="G17" s="75">
        <v>40</v>
      </c>
      <c r="H17" s="64">
        <v>2500</v>
      </c>
      <c r="I17" s="65">
        <f t="shared" si="0"/>
        <v>100000</v>
      </c>
      <c r="K17" s="36"/>
    </row>
    <row r="18" spans="1:11" ht="25.5" x14ac:dyDescent="0.2">
      <c r="A18" s="72">
        <v>9</v>
      </c>
      <c r="B18" s="106" t="s">
        <v>69</v>
      </c>
      <c r="C18" s="87" t="s">
        <v>57</v>
      </c>
      <c r="D18" s="73">
        <v>294</v>
      </c>
      <c r="E18" s="87" t="s">
        <v>70</v>
      </c>
      <c r="F18" s="75" t="s">
        <v>14</v>
      </c>
      <c r="G18" s="75">
        <v>36000</v>
      </c>
      <c r="H18" s="64">
        <v>40</v>
      </c>
      <c r="I18" s="65">
        <f t="shared" si="0"/>
        <v>1440000</v>
      </c>
      <c r="K18" s="36"/>
    </row>
    <row r="19" spans="1:11" ht="38.25" customHeight="1" x14ac:dyDescent="0.2">
      <c r="A19" s="88">
        <v>10</v>
      </c>
      <c r="B19" s="106" t="s">
        <v>71</v>
      </c>
      <c r="C19" s="87" t="s">
        <v>72</v>
      </c>
      <c r="D19" s="73">
        <v>258</v>
      </c>
      <c r="E19" s="87" t="s">
        <v>73</v>
      </c>
      <c r="F19" s="75" t="s">
        <v>14</v>
      </c>
      <c r="G19" s="75">
        <v>20</v>
      </c>
      <c r="H19" s="90">
        <v>4100</v>
      </c>
      <c r="I19" s="89">
        <f t="shared" si="0"/>
        <v>82000</v>
      </c>
    </row>
    <row r="20" spans="1:11" ht="25.5" x14ac:dyDescent="0.2">
      <c r="A20" s="72">
        <v>11</v>
      </c>
      <c r="B20" s="106" t="s">
        <v>96</v>
      </c>
      <c r="C20" s="103" t="s">
        <v>79</v>
      </c>
      <c r="D20" s="73">
        <v>258</v>
      </c>
      <c r="E20" s="93" t="s">
        <v>94</v>
      </c>
      <c r="F20" s="105" t="s">
        <v>80</v>
      </c>
      <c r="G20" s="105">
        <v>20</v>
      </c>
      <c r="H20" s="90">
        <v>2100</v>
      </c>
      <c r="I20" s="91">
        <f t="shared" ref="I20:I21" si="1">G20*H20</f>
        <v>42000</v>
      </c>
      <c r="K20" s="36"/>
    </row>
    <row r="21" spans="1:11" ht="26.25" thickBot="1" x14ac:dyDescent="0.25">
      <c r="A21" s="92">
        <v>12</v>
      </c>
      <c r="B21" s="109" t="s">
        <v>97</v>
      </c>
      <c r="C21" s="104" t="s">
        <v>79</v>
      </c>
      <c r="D21" s="76">
        <v>258</v>
      </c>
      <c r="E21" s="101" t="s">
        <v>95</v>
      </c>
      <c r="F21" s="105" t="s">
        <v>80</v>
      </c>
      <c r="G21" s="105">
        <v>20</v>
      </c>
      <c r="H21" s="90">
        <v>2100</v>
      </c>
      <c r="I21" s="91">
        <f t="shared" si="1"/>
        <v>42000</v>
      </c>
    </row>
    <row r="22" spans="1:11" ht="13.5" thickBot="1" x14ac:dyDescent="0.25">
      <c r="I22" s="36"/>
      <c r="K22" s="110"/>
    </row>
    <row r="23" spans="1:11" x14ac:dyDescent="0.2">
      <c r="B23" s="94" t="s">
        <v>91</v>
      </c>
      <c r="C23" s="95"/>
      <c r="D23" s="95"/>
      <c r="E23" s="96"/>
    </row>
    <row r="24" spans="1:11" x14ac:dyDescent="0.2">
      <c r="B24" s="99" t="s">
        <v>104</v>
      </c>
      <c r="C24" s="97"/>
      <c r="D24" s="97"/>
      <c r="E24" s="98"/>
    </row>
    <row r="25" spans="1:11" x14ac:dyDescent="0.2">
      <c r="B25" s="112" t="s">
        <v>84</v>
      </c>
      <c r="C25" s="97"/>
      <c r="D25" s="97"/>
      <c r="E25" s="98"/>
    </row>
    <row r="26" spans="1:11" x14ac:dyDescent="0.2">
      <c r="B26" s="99" t="s">
        <v>105</v>
      </c>
      <c r="C26" s="97"/>
      <c r="D26" s="97"/>
      <c r="E26" s="98"/>
    </row>
    <row r="27" spans="1:11" x14ac:dyDescent="0.2">
      <c r="B27" s="112" t="s">
        <v>83</v>
      </c>
      <c r="C27" s="97"/>
      <c r="D27" s="97"/>
      <c r="E27" s="98"/>
    </row>
    <row r="28" spans="1:11" x14ac:dyDescent="0.2">
      <c r="B28" s="99" t="s">
        <v>106</v>
      </c>
      <c r="C28" s="97"/>
      <c r="D28" s="97"/>
      <c r="E28" s="98"/>
    </row>
    <row r="29" spans="1:11" x14ac:dyDescent="0.2">
      <c r="B29" s="112" t="s">
        <v>90</v>
      </c>
      <c r="C29" s="97"/>
      <c r="D29" s="97"/>
      <c r="E29" s="98"/>
    </row>
    <row r="30" spans="1:11" x14ac:dyDescent="0.2">
      <c r="B30" s="99" t="s">
        <v>107</v>
      </c>
      <c r="C30" s="97"/>
      <c r="D30" s="97"/>
      <c r="E30" s="98"/>
    </row>
    <row r="31" spans="1:11" x14ac:dyDescent="0.2">
      <c r="B31" s="113" t="s">
        <v>15</v>
      </c>
      <c r="C31" s="114"/>
      <c r="D31" s="114"/>
      <c r="E31" s="115"/>
    </row>
    <row r="32" spans="1:11" x14ac:dyDescent="0.2">
      <c r="B32" s="125" t="s">
        <v>82</v>
      </c>
      <c r="C32" s="126"/>
      <c r="D32" s="126"/>
      <c r="E32" s="127"/>
    </row>
    <row r="33" spans="2:5" x14ac:dyDescent="0.2">
      <c r="B33" s="125"/>
      <c r="C33" s="126"/>
      <c r="D33" s="126"/>
      <c r="E33" s="127"/>
    </row>
    <row r="34" spans="2:5" x14ac:dyDescent="0.2">
      <c r="B34" s="125" t="s">
        <v>92</v>
      </c>
      <c r="C34" s="126"/>
      <c r="D34" s="126"/>
      <c r="E34" s="127"/>
    </row>
    <row r="35" spans="2:5" x14ac:dyDescent="0.2">
      <c r="B35" s="99" t="s">
        <v>109</v>
      </c>
      <c r="C35" s="116"/>
      <c r="D35" s="117"/>
      <c r="E35" s="118"/>
    </row>
    <row r="36" spans="2:5" ht="13.5" thickBot="1" x14ac:dyDescent="0.25">
      <c r="B36" s="119" t="s">
        <v>108</v>
      </c>
      <c r="C36" s="120"/>
      <c r="D36" s="120"/>
      <c r="E36" s="121"/>
    </row>
  </sheetData>
  <autoFilter ref="A9:I19"/>
  <mergeCells count="9">
    <mergeCell ref="B32:E33"/>
    <mergeCell ref="B34:E34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24"/>
  <sheetViews>
    <sheetView topLeftCell="D16" zoomScale="110" zoomScaleNormal="110" workbookViewId="0">
      <selection sqref="A1:I1"/>
    </sheetView>
  </sheetViews>
  <sheetFormatPr baseColWidth="10" defaultColWidth="9.140625" defaultRowHeight="12.75" x14ac:dyDescent="0.2"/>
  <cols>
    <col min="1" max="1" width="5.5703125" style="42" customWidth="1"/>
    <col min="2" max="2" width="15.140625" style="42" customWidth="1"/>
    <col min="3" max="3" width="14.140625" style="42" customWidth="1"/>
    <col min="4" max="4" width="26" style="42" customWidth="1"/>
    <col min="5" max="5" width="8" style="42" customWidth="1"/>
    <col min="6" max="6" width="7.85546875" style="42" customWidth="1"/>
    <col min="7" max="7" width="48.5703125" style="42" customWidth="1"/>
    <col min="8" max="8" width="9.28515625" style="42" customWidth="1"/>
    <col min="9" max="9" width="15.5703125" style="42" customWidth="1"/>
    <col min="10" max="10" width="14.7109375" style="42" customWidth="1"/>
    <col min="11" max="11" width="15.5703125" style="42" customWidth="1"/>
    <col min="12" max="14" width="5.85546875" style="42" customWidth="1"/>
    <col min="15" max="15" width="12.5703125" style="42" customWidth="1"/>
    <col min="16" max="1024" width="9.140625" style="42"/>
    <col min="1025" max="16384" width="9.140625" style="43"/>
  </cols>
  <sheetData>
    <row r="1" spans="1:11" ht="18" customHeight="1" x14ac:dyDescent="0.2">
      <c r="A1" s="137" t="s">
        <v>16</v>
      </c>
      <c r="B1" s="137"/>
      <c r="C1" s="137"/>
      <c r="D1" s="137"/>
      <c r="E1" s="137"/>
      <c r="F1" s="137"/>
      <c r="G1" s="137"/>
      <c r="H1" s="137"/>
      <c r="I1" s="137"/>
      <c r="J1" s="40" t="s">
        <v>17</v>
      </c>
      <c r="K1" s="41" t="s">
        <v>99</v>
      </c>
    </row>
    <row r="2" spans="1:11" ht="18.75" customHeight="1" thickBot="1" x14ac:dyDescent="0.25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</row>
    <row r="3" spans="1:11" ht="18.75" customHeight="1" thickBot="1" x14ac:dyDescent="0.25">
      <c r="A3" s="138" t="s">
        <v>50</v>
      </c>
      <c r="B3" s="138"/>
      <c r="C3" s="138"/>
      <c r="D3" s="128" t="str">
        <f>'Necesidades Trimestrales'!C4</f>
        <v>40 - Ministerio de Salud</v>
      </c>
      <c r="E3" s="128"/>
      <c r="F3" s="128"/>
      <c r="G3" s="128"/>
      <c r="H3" s="128"/>
      <c r="I3" s="128"/>
      <c r="J3" s="128"/>
      <c r="K3" s="128"/>
    </row>
    <row r="4" spans="1:11" ht="18.75" customHeight="1" thickBot="1" x14ac:dyDescent="0.25">
      <c r="A4" s="139" t="s">
        <v>51</v>
      </c>
      <c r="B4" s="139"/>
      <c r="C4" s="139"/>
      <c r="D4" s="128" t="str">
        <f>'Necesidades Trimestrales'!C5</f>
        <v>24 - Direccion de Administracion del Hospital Interzonal de Niños</v>
      </c>
      <c r="E4" s="128"/>
      <c r="F4" s="128"/>
      <c r="G4" s="128"/>
      <c r="H4" s="128"/>
      <c r="I4" s="128"/>
      <c r="J4" s="128"/>
      <c r="K4" s="128"/>
    </row>
    <row r="5" spans="1:11" ht="18.75" customHeight="1" thickBot="1" x14ac:dyDescent="0.25">
      <c r="A5" s="139" t="s">
        <v>29</v>
      </c>
      <c r="B5" s="139"/>
      <c r="C5" s="139"/>
      <c r="D5" s="128" t="s">
        <v>100</v>
      </c>
      <c r="E5" s="128"/>
      <c r="F5" s="128"/>
      <c r="G5" s="128"/>
      <c r="H5" s="128"/>
      <c r="I5" s="128"/>
      <c r="J5" s="128"/>
      <c r="K5" s="128"/>
    </row>
    <row r="6" spans="1:11" ht="16.5" customHeight="1" thickBot="1" x14ac:dyDescent="0.25">
      <c r="A6" s="138" t="s">
        <v>52</v>
      </c>
      <c r="B6" s="138"/>
      <c r="C6" s="138"/>
      <c r="D6" s="128" t="s">
        <v>54</v>
      </c>
      <c r="E6" s="128"/>
      <c r="F6" s="128"/>
      <c r="G6" s="128"/>
      <c r="H6" s="128"/>
      <c r="I6" s="128"/>
      <c r="J6" s="128"/>
      <c r="K6" s="128"/>
    </row>
    <row r="7" spans="1:11" ht="16.5" customHeight="1" x14ac:dyDescent="0.2">
      <c r="A7" s="139" t="s">
        <v>18</v>
      </c>
      <c r="B7" s="139"/>
      <c r="C7" s="139"/>
      <c r="D7" s="128" t="str">
        <f>'Necesidades Trimestrales'!C7 &amp; "° Trimestre - Año " &amp; 'Necesidades Trimestrales'!C6</f>
        <v>3° Trimestre - Año 2022</v>
      </c>
      <c r="E7" s="128"/>
      <c r="F7" s="128"/>
      <c r="G7" s="128"/>
      <c r="H7" s="128"/>
      <c r="I7" s="128"/>
      <c r="J7" s="128"/>
      <c r="K7" s="128"/>
    </row>
    <row r="8" spans="1:11" ht="16.5" customHeight="1" x14ac:dyDescent="0.2">
      <c r="A8" s="132" t="s">
        <v>19</v>
      </c>
      <c r="B8" s="132"/>
      <c r="C8" s="132"/>
      <c r="D8" s="133" t="s">
        <v>76</v>
      </c>
      <c r="E8" s="133"/>
      <c r="F8" s="133"/>
      <c r="G8" s="133"/>
      <c r="H8" s="133"/>
      <c r="I8" s="133"/>
      <c r="J8" s="133"/>
      <c r="K8" s="133"/>
    </row>
    <row r="9" spans="1:11" ht="15.75" x14ac:dyDescent="0.2">
      <c r="A9" s="46"/>
      <c r="B9" s="46"/>
      <c r="C9" s="46"/>
      <c r="D9" s="47"/>
      <c r="E9" s="47"/>
      <c r="F9" s="47"/>
      <c r="G9" s="47"/>
      <c r="H9" s="47"/>
      <c r="I9" s="47"/>
      <c r="J9" s="47"/>
      <c r="K9" s="47"/>
    </row>
    <row r="10" spans="1:11" ht="18.75" customHeight="1" x14ac:dyDescent="0.2">
      <c r="A10" s="134" t="s">
        <v>20</v>
      </c>
      <c r="B10" s="135" t="s">
        <v>21</v>
      </c>
      <c r="C10" s="135" t="s">
        <v>22</v>
      </c>
      <c r="D10" s="135"/>
      <c r="E10" s="135"/>
      <c r="F10" s="135"/>
      <c r="G10" s="135"/>
      <c r="H10" s="135" t="s">
        <v>23</v>
      </c>
      <c r="I10" s="135" t="s">
        <v>24</v>
      </c>
      <c r="J10" s="135" t="s">
        <v>25</v>
      </c>
      <c r="K10" s="136" t="s">
        <v>26</v>
      </c>
    </row>
    <row r="11" spans="1:11" ht="24" customHeight="1" thickBot="1" x14ac:dyDescent="0.25">
      <c r="A11" s="134"/>
      <c r="B11" s="135"/>
      <c r="C11" s="135"/>
      <c r="D11" s="135"/>
      <c r="E11" s="135"/>
      <c r="F11" s="135"/>
      <c r="G11" s="135"/>
      <c r="H11" s="135"/>
      <c r="I11" s="135"/>
      <c r="J11" s="135"/>
      <c r="K11" s="136"/>
    </row>
    <row r="12" spans="1:11" ht="27.75" customHeight="1" x14ac:dyDescent="0.2">
      <c r="A12" s="48">
        <v>1</v>
      </c>
      <c r="B12" s="49" t="str">
        <f>'Necesidades Trimestrales'!B10</f>
        <v>2.9.4-588.68</v>
      </c>
      <c r="C12" s="130" t="str">
        <f>'Necesidades Trimestrales'!E10</f>
        <v>VASOS PLASTICOS DESCARTABLES; MATERIAL: POLIESTIRENO, MOTIVO: LISO, CAPACIDAD: 250 CM3, PRESENTACION: BOLSA X 100 UN, TIPO: BLANCO</v>
      </c>
      <c r="D12" s="130"/>
      <c r="E12" s="130"/>
      <c r="F12" s="130"/>
      <c r="G12" s="130"/>
      <c r="H12" s="50" t="s">
        <v>93</v>
      </c>
      <c r="I12" s="56" t="str">
        <f>'Necesidades Trimestrales'!F10</f>
        <v>BOLSA</v>
      </c>
      <c r="J12" s="51">
        <f>'Necesidades Trimestrales'!H10</f>
        <v>2160</v>
      </c>
      <c r="K12" s="52">
        <f>'Necesidades Trimestrales'!G10</f>
        <v>240</v>
      </c>
    </row>
    <row r="13" spans="1:11" ht="20.25" customHeight="1" x14ac:dyDescent="0.2">
      <c r="A13" s="53">
        <v>2</v>
      </c>
      <c r="B13" s="54" t="str">
        <f>'Necesidades Trimestrales'!B11</f>
        <v>2.9.4-690.15</v>
      </c>
      <c r="C13" s="131" t="str">
        <f>'Necesidades Trimestrales'!E11</f>
        <v>CUCHARAS; TIPO: DE MESA, MATERIAL: PLASTICO</v>
      </c>
      <c r="D13" s="131"/>
      <c r="E13" s="131"/>
      <c r="F13" s="131"/>
      <c r="G13" s="131"/>
      <c r="H13" s="55" t="s">
        <v>93</v>
      </c>
      <c r="I13" s="56" t="str">
        <f>'Necesidades Trimestrales'!F11</f>
        <v>UNIDAD</v>
      </c>
      <c r="J13" s="57">
        <f>'Necesidades Trimestrales'!H11</f>
        <v>8</v>
      </c>
      <c r="K13" s="58">
        <f>'Necesidades Trimestrales'!G11</f>
        <v>8000</v>
      </c>
    </row>
    <row r="14" spans="1:11" ht="20.25" customHeight="1" x14ac:dyDescent="0.2">
      <c r="A14" s="59">
        <v>3</v>
      </c>
      <c r="B14" s="54" t="str">
        <f>'Necesidades Trimestrales'!B12</f>
        <v>2.9.4-689.15</v>
      </c>
      <c r="C14" s="131" t="str">
        <f>'Necesidades Trimestrales'!E12</f>
        <v>CUCHILLOS; TIPO: DE MESA, MATERIAL: PLASTICO</v>
      </c>
      <c r="D14" s="131"/>
      <c r="E14" s="131"/>
      <c r="F14" s="131"/>
      <c r="G14" s="131"/>
      <c r="H14" s="55" t="s">
        <v>93</v>
      </c>
      <c r="I14" s="56" t="str">
        <f>'Necesidades Trimestrales'!F12</f>
        <v>UNIDAD</v>
      </c>
      <c r="J14" s="57">
        <f>'Necesidades Trimestrales'!H12</f>
        <v>5.5</v>
      </c>
      <c r="K14" s="58">
        <f>'Necesidades Trimestrales'!G12</f>
        <v>5000</v>
      </c>
    </row>
    <row r="15" spans="1:11" ht="20.25" customHeight="1" x14ac:dyDescent="0.2">
      <c r="A15" s="59">
        <v>4</v>
      </c>
      <c r="B15" s="54" t="str">
        <f>'Necesidades Trimestrales'!B13</f>
        <v>2.9.4-692.10</v>
      </c>
      <c r="C15" s="131" t="str">
        <f>'Necesidades Trimestrales'!E13</f>
        <v>TENEDORES; TIPO: DE MESA, MATERIAL: PLASTICO</v>
      </c>
      <c r="D15" s="131"/>
      <c r="E15" s="131"/>
      <c r="F15" s="131"/>
      <c r="G15" s="131"/>
      <c r="H15" s="55" t="s">
        <v>93</v>
      </c>
      <c r="I15" s="56" t="str">
        <f>'Necesidades Trimestrales'!F13</f>
        <v>UNIDAD</v>
      </c>
      <c r="J15" s="57">
        <f>'Necesidades Trimestrales'!H13</f>
        <v>5.5</v>
      </c>
      <c r="K15" s="58">
        <f>'Necesidades Trimestrales'!G13</f>
        <v>8000</v>
      </c>
    </row>
    <row r="16" spans="1:11" ht="26.25" customHeight="1" x14ac:dyDescent="0.2">
      <c r="A16" s="59">
        <v>5</v>
      </c>
      <c r="B16" s="54" t="str">
        <f>'Necesidades Trimestrales'!B14</f>
        <v>2.9.4-588.67</v>
      </c>
      <c r="C16" s="131" t="str">
        <f>'Necesidades Trimestrales'!E14</f>
        <v>VASOS PLASTICOS DESCARTABLES; MATERIAL: POLIPROPILENO, MOTIVO: LISO C/TAPA, CAPACIDAD: 500 CM3, PRESENTACION: ENVASE X 50, TIPO: ESTRIADO</v>
      </c>
      <c r="D16" s="131"/>
      <c r="E16" s="131"/>
      <c r="F16" s="131"/>
      <c r="G16" s="131"/>
      <c r="H16" s="55" t="s">
        <v>56</v>
      </c>
      <c r="I16" s="56" t="str">
        <f>'Necesidades Trimestrales'!F14</f>
        <v>PAQUETE</v>
      </c>
      <c r="J16" s="57">
        <f>'Necesidades Trimestrales'!H14</f>
        <v>1500</v>
      </c>
      <c r="K16" s="58">
        <f>'Necesidades Trimestrales'!G14</f>
        <v>40</v>
      </c>
    </row>
    <row r="17" spans="1:11" ht="27.75" customHeight="1" x14ac:dyDescent="0.2">
      <c r="A17" s="59">
        <v>6</v>
      </c>
      <c r="B17" s="54" t="str">
        <f>'Necesidades Trimestrales'!B15</f>
        <v>2.9.4-588.50</v>
      </c>
      <c r="C17" s="131" t="str">
        <f>'Necesidades Trimestrales'!E15</f>
        <v>VASOS PLASTICOS DESCARTABLES; MATERIAL: POLIETILENO, CAPACIDAD: 220 CM3, PRESENTACION: PAQUETE X 100 UN, TIPO: BLANCO, MOTIVO: LISO</v>
      </c>
      <c r="D17" s="131"/>
      <c r="E17" s="131"/>
      <c r="F17" s="131"/>
      <c r="G17" s="131"/>
      <c r="H17" s="55" t="s">
        <v>56</v>
      </c>
      <c r="I17" s="56" t="str">
        <f>'Necesidades Trimestrales'!F15</f>
        <v>PAQUETE</v>
      </c>
      <c r="J17" s="57">
        <f>'Necesidades Trimestrales'!H15</f>
        <v>900</v>
      </c>
      <c r="K17" s="58">
        <f>'Necesidades Trimestrales'!G15</f>
        <v>240</v>
      </c>
    </row>
    <row r="18" spans="1:11" ht="31.5" customHeight="1" x14ac:dyDescent="0.2">
      <c r="A18" s="59">
        <v>7</v>
      </c>
      <c r="B18" s="54" t="str">
        <f>'Necesidades Trimestrales'!B16</f>
        <v>2.3.4-938.13</v>
      </c>
      <c r="C18" s="131" t="str">
        <f>'Necesidades Trimestrales'!E16</f>
        <v>SERVILLETAS DE PAPEL; PRESENTACION: PAQUETE X 100, DIMENSION: 24 X 24 Cm, COLOR: BLANCO, MOTIVO: SIN VALOR, TIPO: LISAS</v>
      </c>
      <c r="D18" s="131"/>
      <c r="E18" s="131"/>
      <c r="F18" s="131"/>
      <c r="G18" s="131"/>
      <c r="H18" s="55" t="s">
        <v>56</v>
      </c>
      <c r="I18" s="56" t="str">
        <f>'Necesidades Trimestrales'!F16</f>
        <v>PAQUETE</v>
      </c>
      <c r="J18" s="57">
        <f>'Necesidades Trimestrales'!H16</f>
        <v>240</v>
      </c>
      <c r="K18" s="58">
        <f>'Necesidades Trimestrales'!G16</f>
        <v>50</v>
      </c>
    </row>
    <row r="19" spans="1:11" ht="20.25" customHeight="1" x14ac:dyDescent="0.2">
      <c r="A19" s="59">
        <v>8</v>
      </c>
      <c r="B19" s="54" t="str">
        <f>'Necesidades Trimestrales'!B17</f>
        <v>2.3.4-5442.12</v>
      </c>
      <c r="C19" s="131" t="str">
        <f>'Necesidades Trimestrales'!E17</f>
        <v>ROLLOS P/COCINA; DIMENSION: 0,33 X 400 M, PRESENTACION: BOBINA</v>
      </c>
      <c r="D19" s="131"/>
      <c r="E19" s="131"/>
      <c r="F19" s="131"/>
      <c r="G19" s="131"/>
      <c r="H19" s="55" t="s">
        <v>56</v>
      </c>
      <c r="I19" s="56" t="str">
        <f>'Necesidades Trimestrales'!F17</f>
        <v>BOBINA</v>
      </c>
      <c r="J19" s="57">
        <f>'Necesidades Trimestrales'!H17</f>
        <v>2500</v>
      </c>
      <c r="K19" s="58">
        <f>'Necesidades Trimestrales'!G17</f>
        <v>40</v>
      </c>
    </row>
    <row r="20" spans="1:11" ht="30" customHeight="1" x14ac:dyDescent="0.2">
      <c r="A20" s="59">
        <v>9</v>
      </c>
      <c r="B20" s="54" t="str">
        <f>'Necesidades Trimestrales'!B18</f>
        <v>2.9.4-4743.23</v>
      </c>
      <c r="C20" s="131" t="str">
        <f>'Necesidades Trimestrales'!E18</f>
        <v>BANDEJA P/TRANSP. DE ALIMENTO; DIMENSION: 18 X 14 X 4 Cm, TIPO: RECTANGULAR CON TAPA, MATERIAL: ALUMINIO, CAPACIDAD: 750 CM2</v>
      </c>
      <c r="D20" s="131"/>
      <c r="E20" s="131"/>
      <c r="F20" s="131"/>
      <c r="G20" s="131"/>
      <c r="H20" s="55" t="s">
        <v>56</v>
      </c>
      <c r="I20" s="56" t="str">
        <f>'Necesidades Trimestrales'!F18</f>
        <v>UNIDAD</v>
      </c>
      <c r="J20" s="57">
        <f>'Necesidades Trimestrales'!H18</f>
        <v>40</v>
      </c>
      <c r="K20" s="58">
        <f>'Necesidades Trimestrales'!G18</f>
        <v>36000</v>
      </c>
    </row>
    <row r="21" spans="1:11" ht="28.5" customHeight="1" x14ac:dyDescent="0.2">
      <c r="A21" s="59">
        <v>10</v>
      </c>
      <c r="B21" s="54" t="str">
        <f>'Necesidades Trimestrales'!B19</f>
        <v>2.9.5-5755.16</v>
      </c>
      <c r="C21" s="131" t="str">
        <f>'Necesidades Trimestrales'!E19</f>
        <v>FILMS AUTOADHERENTES; TIPO: TRANSPARENTE, MATERIAL: POLIETILENO, PRESENTACION: ENVASE X 300 M, ANCHO: 38 Cm</v>
      </c>
      <c r="D21" s="131"/>
      <c r="E21" s="131"/>
      <c r="F21" s="131"/>
      <c r="G21" s="131"/>
      <c r="H21" s="55" t="s">
        <v>56</v>
      </c>
      <c r="I21" s="56" t="str">
        <f>'Necesidades Trimestrales'!F19</f>
        <v>UNIDAD</v>
      </c>
      <c r="J21" s="57">
        <f>'Necesidades Trimestrales'!H19</f>
        <v>4100</v>
      </c>
      <c r="K21" s="58">
        <f>'Necesidades Trimestrales'!G19</f>
        <v>20</v>
      </c>
    </row>
    <row r="22" spans="1:11" ht="28.5" customHeight="1" x14ac:dyDescent="0.2">
      <c r="A22" s="59">
        <v>11</v>
      </c>
      <c r="B22" s="54" t="str">
        <f>'Necesidades Trimestrales'!B20</f>
        <v>2.5.8-3977.78</v>
      </c>
      <c r="C22" s="131" t="str">
        <f>'Necesidades Trimestrales'!E20</f>
        <v>BOLSAS DE POLIETILENO; TAMAÑO: 20 X 30 Cm, ESPESOR: 30 mm, PRESENTACION: ENVASE X 100 UN</v>
      </c>
      <c r="D22" s="131"/>
      <c r="E22" s="131"/>
      <c r="F22" s="131"/>
      <c r="G22" s="131"/>
      <c r="H22" s="55" t="s">
        <v>93</v>
      </c>
      <c r="I22" s="56" t="str">
        <f>'Necesidades Trimestrales'!F20</f>
        <v>ROLLO</v>
      </c>
      <c r="J22" s="57">
        <f>'Necesidades Trimestrales'!H20</f>
        <v>2100</v>
      </c>
      <c r="K22" s="58">
        <f>'Necesidades Trimestrales'!G20</f>
        <v>20</v>
      </c>
    </row>
    <row r="23" spans="1:11" ht="28.5" customHeight="1" thickBot="1" x14ac:dyDescent="0.25">
      <c r="A23" s="59">
        <v>12</v>
      </c>
      <c r="B23" s="54" t="str">
        <f>'Necesidades Trimestrales'!B21</f>
        <v>2.5.8-3977.63</v>
      </c>
      <c r="C23" s="131" t="str">
        <f>'Necesidades Trimestrales'!E21</f>
        <v>BOLSAS DE POLIETILENO; TAMAÑO: 35 X 45 Cm, ESPESOR: 30 Mn, PRESENTACION: ROLLO X 150 UN</v>
      </c>
      <c r="D23" s="131"/>
      <c r="E23" s="131"/>
      <c r="F23" s="131"/>
      <c r="G23" s="131"/>
      <c r="H23" s="55" t="s">
        <v>93</v>
      </c>
      <c r="I23" s="56" t="str">
        <f>'Necesidades Trimestrales'!F21</f>
        <v>ROLLO</v>
      </c>
      <c r="J23" s="57">
        <f>'Necesidades Trimestrales'!H21</f>
        <v>2100</v>
      </c>
      <c r="K23" s="58">
        <f>'Necesidades Trimestrales'!G21</f>
        <v>20</v>
      </c>
    </row>
    <row r="24" spans="1:11" ht="20.25" customHeight="1" thickBot="1" x14ac:dyDescent="0.25">
      <c r="A24" s="128" t="s">
        <v>102</v>
      </c>
      <c r="B24" s="128"/>
      <c r="C24" s="128"/>
      <c r="D24" s="128"/>
      <c r="E24" s="128"/>
      <c r="F24" s="128"/>
      <c r="G24" s="128"/>
      <c r="H24" s="128"/>
      <c r="I24" s="128"/>
      <c r="J24" s="129">
        <f>SUMPRODUCT(J12:J23,K12:K23)</f>
        <v>2647900</v>
      </c>
      <c r="K24" s="129"/>
    </row>
  </sheetData>
  <mergeCells count="3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24:I24"/>
    <mergeCell ref="J24:K24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A16"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64" t="s">
        <v>3</v>
      </c>
      <c r="B1" s="164"/>
      <c r="C1" s="164"/>
      <c r="D1" s="165">
        <f>'Necesidades Trimestrales'!C6</f>
        <v>2022</v>
      </c>
      <c r="E1" s="165"/>
      <c r="F1" s="3"/>
      <c r="G1" s="3"/>
      <c r="H1" s="4"/>
      <c r="I1" s="4"/>
      <c r="J1" s="4"/>
      <c r="K1" s="4"/>
      <c r="L1" s="4"/>
      <c r="M1" s="4"/>
      <c r="N1" s="4"/>
      <c r="P1" s="166" t="s">
        <v>27</v>
      </c>
      <c r="Q1" s="16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6"/>
      <c r="Q2" s="166"/>
    </row>
    <row r="4" spans="1:17" s="5" customFormat="1" ht="18" customHeight="1" thickBot="1" x14ac:dyDescent="0.25">
      <c r="A4" s="167" t="s">
        <v>28</v>
      </c>
      <c r="B4" s="167"/>
      <c r="C4" s="167"/>
      <c r="D4" s="167"/>
      <c r="E4" s="167"/>
      <c r="F4" s="167"/>
      <c r="G4" s="162" t="str">
        <f>' NotaPedido'!D3</f>
        <v>40 - Ministerio de Salud</v>
      </c>
      <c r="H4" s="162"/>
      <c r="I4" s="162"/>
      <c r="J4" s="162"/>
      <c r="K4" s="162"/>
      <c r="L4" s="162"/>
      <c r="M4" s="162"/>
      <c r="N4" s="162"/>
      <c r="O4" s="162"/>
      <c r="P4" s="162"/>
      <c r="Q4" s="162"/>
    </row>
    <row r="5" spans="1:17" s="5" customFormat="1" ht="18" customHeight="1" thickBot="1" x14ac:dyDescent="0.25">
      <c r="A5" s="159" t="s">
        <v>51</v>
      </c>
      <c r="B5" s="160"/>
      <c r="C5" s="160"/>
      <c r="D5" s="160"/>
      <c r="E5" s="160"/>
      <c r="F5" s="161"/>
      <c r="G5" s="162" t="str">
        <f>' NotaPedido'!D4</f>
        <v>24 - Direccion de Administracion del Hospital Interzonal de Niños</v>
      </c>
      <c r="H5" s="162"/>
      <c r="I5" s="162"/>
      <c r="J5" s="162"/>
      <c r="K5" s="162"/>
      <c r="L5" s="162"/>
      <c r="M5" s="162"/>
      <c r="N5" s="162"/>
      <c r="O5" s="162"/>
      <c r="P5" s="162"/>
      <c r="Q5" s="162"/>
    </row>
    <row r="6" spans="1:17" s="5" customFormat="1" ht="18" customHeight="1" thickBot="1" x14ac:dyDescent="0.25">
      <c r="A6" s="159" t="s">
        <v>29</v>
      </c>
      <c r="B6" s="160"/>
      <c r="C6" s="160"/>
      <c r="D6" s="160"/>
      <c r="E6" s="160"/>
      <c r="F6" s="161"/>
      <c r="G6" s="162" t="str">
        <f>' NotaPedido'!D5</f>
        <v>24 - Direccion de Administracion del Hospital Interzonal de Niños</v>
      </c>
      <c r="H6" s="162"/>
      <c r="I6" s="162"/>
      <c r="J6" s="162"/>
      <c r="K6" s="162"/>
      <c r="L6" s="162"/>
      <c r="M6" s="162"/>
      <c r="N6" s="162"/>
      <c r="O6" s="162"/>
      <c r="P6" s="162"/>
      <c r="Q6" s="162"/>
    </row>
    <row r="7" spans="1:17" s="5" customFormat="1" ht="18" customHeight="1" thickBot="1" x14ac:dyDescent="0.25">
      <c r="A7" s="159" t="s">
        <v>52</v>
      </c>
      <c r="B7" s="160"/>
      <c r="C7" s="160"/>
      <c r="D7" s="160"/>
      <c r="E7" s="160"/>
      <c r="F7" s="161"/>
      <c r="G7" s="162" t="str">
        <f>' NotaPedido'!D6</f>
        <v>Servicio de Alimentacion y Dietoterapia</v>
      </c>
      <c r="H7" s="162"/>
      <c r="I7" s="162"/>
      <c r="J7" s="162"/>
      <c r="K7" s="162"/>
      <c r="L7" s="162"/>
      <c r="M7" s="162"/>
      <c r="N7" s="162"/>
      <c r="O7" s="162"/>
      <c r="P7" s="162"/>
      <c r="Q7" s="162"/>
    </row>
    <row r="8" spans="1:17" ht="18" customHeight="1" thickBot="1" x14ac:dyDescent="0.25">
      <c r="A8" s="163" t="s">
        <v>30</v>
      </c>
      <c r="B8" s="163"/>
      <c r="C8" s="163"/>
      <c r="D8" s="163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</row>
    <row r="9" spans="1:17" ht="18" customHeight="1" x14ac:dyDescent="0.2">
      <c r="A9" s="153" t="s">
        <v>31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"/>
      <c r="P9" s="1"/>
      <c r="Q9" s="6"/>
    </row>
    <row r="10" spans="1:17" ht="54.75" customHeight="1" x14ac:dyDescent="0.2">
      <c r="A10" s="15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066/2022,  afectando la erogación resultante a los créditos presupuestarios aprobados a favor de esta Unidad Ejecutora, conforme al siguiente detalle:</v>
      </c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55" t="s">
        <v>32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</row>
    <row r="13" spans="1:17" ht="15.75" customHeight="1" x14ac:dyDescent="0.2">
      <c r="A13" s="156" t="s">
        <v>33</v>
      </c>
      <c r="B13" s="156"/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7" t="s">
        <v>34</v>
      </c>
      <c r="P13" s="157"/>
      <c r="Q13" s="158" t="s">
        <v>35</v>
      </c>
    </row>
    <row r="14" spans="1:17" ht="15.75" customHeight="1" thickBot="1" x14ac:dyDescent="0.25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57"/>
      <c r="P14" s="157"/>
      <c r="Q14" s="158"/>
    </row>
    <row r="15" spans="1:17" ht="17.25" customHeight="1" x14ac:dyDescent="0.2">
      <c r="A15" s="66">
        <v>36</v>
      </c>
      <c r="B15" s="82"/>
      <c r="C15" s="82"/>
      <c r="D15" s="82">
        <v>1</v>
      </c>
      <c r="E15" s="82"/>
      <c r="F15" s="82">
        <v>4901</v>
      </c>
      <c r="G15" s="82">
        <v>3</v>
      </c>
      <c r="H15" s="82">
        <v>310</v>
      </c>
      <c r="I15" s="84" t="str">
        <f>LEFT('Necesidades Trimestrales'!D10,1)</f>
        <v>2</v>
      </c>
      <c r="J15" s="84">
        <v>3</v>
      </c>
      <c r="K15" s="84">
        <v>4</v>
      </c>
      <c r="L15" s="82"/>
      <c r="M15" s="67">
        <v>1</v>
      </c>
      <c r="N15" s="68" t="s">
        <v>55</v>
      </c>
      <c r="O15" s="150" t="s">
        <v>74</v>
      </c>
      <c r="P15" s="151"/>
      <c r="Q15" s="16">
        <v>112000</v>
      </c>
    </row>
    <row r="16" spans="1:17" ht="17.25" customHeight="1" x14ac:dyDescent="0.2">
      <c r="A16" s="77">
        <v>36</v>
      </c>
      <c r="B16" s="81"/>
      <c r="C16" s="81"/>
      <c r="D16" s="81">
        <v>1</v>
      </c>
      <c r="E16" s="81"/>
      <c r="F16" s="81">
        <v>4901</v>
      </c>
      <c r="G16" s="81">
        <v>3</v>
      </c>
      <c r="H16" s="81">
        <v>310</v>
      </c>
      <c r="I16" s="83" t="str">
        <f>LEFT('Necesidades Trimestrales'!D11,1)</f>
        <v>2</v>
      </c>
      <c r="J16" s="83">
        <v>5</v>
      </c>
      <c r="K16" s="83">
        <v>8</v>
      </c>
      <c r="L16" s="81"/>
      <c r="M16" s="78">
        <v>1</v>
      </c>
      <c r="N16" s="79" t="s">
        <v>55</v>
      </c>
      <c r="O16" s="152" t="s">
        <v>81</v>
      </c>
      <c r="P16" s="145"/>
      <c r="Q16" s="21">
        <v>166000</v>
      </c>
    </row>
    <row r="17" spans="1:18" ht="23.25" customHeight="1" x14ac:dyDescent="0.2">
      <c r="A17" s="77">
        <v>36</v>
      </c>
      <c r="B17" s="78"/>
      <c r="C17" s="78"/>
      <c r="D17" s="78">
        <v>1</v>
      </c>
      <c r="E17" s="78"/>
      <c r="F17" s="78">
        <v>4901</v>
      </c>
      <c r="G17" s="78">
        <v>3</v>
      </c>
      <c r="H17" s="78">
        <v>310</v>
      </c>
      <c r="I17" s="80">
        <v>2</v>
      </c>
      <c r="J17" s="80">
        <v>9</v>
      </c>
      <c r="K17" s="80">
        <v>4</v>
      </c>
      <c r="L17" s="78"/>
      <c r="M17" s="78">
        <v>1</v>
      </c>
      <c r="N17" s="79" t="s">
        <v>55</v>
      </c>
      <c r="O17" s="152" t="s">
        <v>98</v>
      </c>
      <c r="P17" s="145"/>
      <c r="Q17" s="21">
        <v>2369900</v>
      </c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45"/>
      <c r="P18" s="145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45"/>
      <c r="P19" s="145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45"/>
      <c r="P20" s="145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46"/>
      <c r="P21" s="146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47"/>
      <c r="P22" s="147"/>
      <c r="Q22" s="30"/>
    </row>
    <row r="23" spans="1:18" ht="29.25" customHeight="1" x14ac:dyDescent="0.2">
      <c r="A23" s="148" t="s">
        <v>103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31">
        <f>SUM(Q15:Q22)</f>
        <v>2647900</v>
      </c>
    </row>
    <row r="24" spans="1:18" ht="18" customHeight="1" thickBot="1" x14ac:dyDescent="0.25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</row>
    <row r="25" spans="1:18" ht="17.25" customHeight="1" thickBot="1" x14ac:dyDescent="0.25">
      <c r="A25" s="140" t="s">
        <v>49</v>
      </c>
      <c r="B25" s="141"/>
      <c r="C25" s="141"/>
      <c r="D25" s="141"/>
      <c r="E25" s="141"/>
      <c r="F25" s="142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</row>
    <row r="26" spans="1:18" ht="18" customHeight="1" thickBot="1" x14ac:dyDescent="0.25">
      <c r="A26" s="144" t="s">
        <v>75</v>
      </c>
      <c r="B26" s="144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</row>
    <row r="27" spans="1:18" ht="15" customHeight="1" x14ac:dyDescent="0.2">
      <c r="A27" s="144"/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2022-04-05T14:05:50Z</cp:lastPrinted>
  <dcterms:created xsi:type="dcterms:W3CDTF">2020-07-17T23:44:49Z</dcterms:created>
  <dcterms:modified xsi:type="dcterms:W3CDTF">2022-07-06T13:03:48Z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