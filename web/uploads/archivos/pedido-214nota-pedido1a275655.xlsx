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ARROLLO SOCIAL\bidones de agua\"/>
    </mc:Choice>
  </mc:AlternateContent>
  <xr:revisionPtr revIDLastSave="0" documentId="8_{296A1777-9100-436E-A8B7-76026D0C52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ANEXO I" sheetId="4" r:id="rId2"/>
    <sheet name=" NotaPedido" sheetId="2" r:id="rId3"/>
    <sheet name="Autor Gastar" sheetId="3" r:id="rId4"/>
  </sheets>
  <definedNames>
    <definedName name="_xlnm.Print_Area" localSheetId="2">' NotaPedido'!$A$1:$K$13</definedName>
    <definedName name="_xlnm.Print_Area" localSheetId="3">'Autor Gastar'!$A$1:$Q$24</definedName>
  </definedNames>
  <calcPr calcId="181029"/>
</workbook>
</file>

<file path=xl/calcChain.xml><?xml version="1.0" encoding="utf-8"?>
<calcChain xmlns="http://schemas.openxmlformats.org/spreadsheetml/2006/main">
  <c r="D7" i="2" l="1"/>
  <c r="D45" i="4"/>
  <c r="C45" i="4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F45" i="4" l="1"/>
  <c r="E45" i="4"/>
  <c r="K12" i="2" l="1"/>
  <c r="J13" i="2" s="1"/>
  <c r="I10" i="1" l="1"/>
  <c r="Q20" i="3" l="1"/>
  <c r="D3" i="2" l="1"/>
  <c r="G4" i="3" s="1"/>
  <c r="D4" i="2"/>
  <c r="G5" i="3" s="1"/>
  <c r="A10" i="3" l="1"/>
  <c r="D1" i="3"/>
  <c r="I12" i="2"/>
  <c r="C12" i="2"/>
  <c r="B12" i="2"/>
  <c r="I15" i="3"/>
</calcChain>
</file>

<file path=xl/sharedStrings.xml><?xml version="1.0" encoding="utf-8"?>
<sst xmlns="http://schemas.openxmlformats.org/spreadsheetml/2006/main" count="174" uniqueCount="142">
  <si>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</si>
  <si>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</si>
  <si>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</si>
  <si>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</si>
  <si>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</si>
  <si>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</si>
  <si>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</si>
  <si>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</si>
  <si>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</si>
  <si>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</si>
  <si>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</si>
  <si>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</si>
  <si>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</si>
  <si>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</si>
  <si>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</si>
  <si>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</si>
  <si>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</si>
  <si>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</si>
  <si>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</si>
  <si>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</si>
  <si>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</si>
  <si>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</si>
  <si>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</si>
  <si>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</si>
  <si>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</si>
  <si>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</si>
  <si>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</si>
  <si>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</si>
  <si>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</si>
  <si>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</si>
  <si>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</si>
  <si>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</si>
  <si>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</si>
  <si>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</si>
  <si>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</si>
  <si>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</si>
  <si>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</si>
  <si>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</si>
  <si>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</si>
  <si>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</si>
  <si>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</si>
  <si>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</si>
  <si>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</si>
  <si>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</si>
  <si>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</si>
  <si>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</si>
  <si>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</si>
  <si>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</si>
  <si>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</si>
  <si>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</si>
  <si>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</si>
  <si>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</si>
  <si>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</si>
  <si>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</si>
  <si>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</si>
  <si>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</si>
  <si>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</si>
  <si>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Administrativa y RRHH</t>
  </si>
  <si>
    <t>2.1.1-478.65</t>
  </si>
  <si>
    <t>ALIMENTOS</t>
  </si>
  <si>
    <t>AGUA MINERAL; TIPO: SIN GAS BAJA EN SODIO, PRESENTACION: ENVASE X 20 L, MATERIAL ENVASE: PLASTICO 1-PET, TIPO ENVASE: RETORNABLE, ELEM. TRANSPORTE: SIN, MATERIAL ELEM. TRANSPORTE: SIN</t>
  </si>
  <si>
    <t>2.1.1</t>
  </si>
  <si>
    <t>UNIDADES</t>
  </si>
  <si>
    <t>SI</t>
  </si>
  <si>
    <t>01- Actividad Central</t>
  </si>
  <si>
    <t>Alimentos para Personas</t>
  </si>
  <si>
    <t>Alta</t>
  </si>
  <si>
    <t>ANEXO I (LUGAR Y ENTREGA)</t>
  </si>
  <si>
    <t>DEPENDENCIA</t>
  </si>
  <si>
    <t>DOMICILIO</t>
  </si>
  <si>
    <t>ENTREGA SEMANAL</t>
  </si>
  <si>
    <t xml:space="preserve"> ENTREGA MENSUAL </t>
  </si>
  <si>
    <t>ENTREGA TRIMESTRAL</t>
  </si>
  <si>
    <t>OFICINA MINISTRO</t>
  </si>
  <si>
    <t>AV. REPUBLICA DE VENEZUELA – CAPE – PAB. 25</t>
  </si>
  <si>
    <t>SECRETARIA PRIVADA MINISTRO</t>
  </si>
  <si>
    <t>SECRETARIA DE GESTION ADMINISTRATIVA Y RR.HH.</t>
  </si>
  <si>
    <t>DIRECCION DE DESPACHO</t>
  </si>
  <si>
    <t>DIRECCION PROVINCIAL DE GESTION ADMINISTRATIVA Y RR.HH</t>
  </si>
  <si>
    <t xml:space="preserve">DIVISION CONTABLE </t>
  </si>
  <si>
    <t xml:space="preserve">DIRECCION CONTABLE </t>
  </si>
  <si>
    <t xml:space="preserve">DIVSION TESORERIA </t>
  </si>
  <si>
    <t>DIVISION LICITACIONES COMPRAS Y PATRIMONIO</t>
  </si>
  <si>
    <t xml:space="preserve">DIRECCION PROVINCIAL DE AUDITORIA INTERNA </t>
  </si>
  <si>
    <t>DIVISION PERSONAL</t>
  </si>
  <si>
    <t>ASESORIAL LEGAL</t>
  </si>
  <si>
    <t>MESA DE ENTRADA Y SALIDAS</t>
  </si>
  <si>
    <t xml:space="preserve">DIRECCION IGUALDAD DE OPORTUNIDADES </t>
  </si>
  <si>
    <t>DIRECCION FAMILIA</t>
  </si>
  <si>
    <t>DIRECCION PARQUE AUTOMOTOR</t>
  </si>
  <si>
    <t xml:space="preserve">DIRECCION PROVINCIAL DE ECONOMIA SOCIAL P/EL DESARROLLO LOCAL </t>
  </si>
  <si>
    <t>DIRECCION PROVINCIAL DE ABORDAJE TERRITORIAL</t>
  </si>
  <si>
    <t>SECRETARIA DE  DE INCLUSION Y DESARROLLO</t>
  </si>
  <si>
    <t xml:space="preserve">CENTRO INTEGRADOR COMUNITARIO NORTE </t>
  </si>
  <si>
    <t>B° 100 VV. NORTE CALLE FRANCIA ENTRE ESPAÑA Y AVDA. SAN JUAN BAUTISTA</t>
  </si>
  <si>
    <t>DIRECCION PROVINCIAL DE PROGRAMAS ALIMENTARIOS</t>
  </si>
  <si>
    <t>CONTROL DE CALIDAD Y STOCK</t>
  </si>
  <si>
    <t xml:space="preserve">AREA INDUSTRIAL EL PANTANILLO </t>
  </si>
  <si>
    <t xml:space="preserve">COCINA COMUNITARIA </t>
  </si>
  <si>
    <t xml:space="preserve">DIRECCION PCIAL DE ACCION SOCIAL DIRECTA </t>
  </si>
  <si>
    <t>AV. REPUBLICA DE VENEZUELA – CAPE – PAB. 24</t>
  </si>
  <si>
    <t>SECRETARIA DE FAMILIA - LINEA 102</t>
  </si>
  <si>
    <t xml:space="preserve">SECRETARIA DE FAMILIA </t>
  </si>
  <si>
    <t>DIRECCION PROVINCIAL PROMOCION Y PROTECCION INTEGRAL</t>
  </si>
  <si>
    <t>DIRECCION DIRECCION PROVINCIAL DE ADULTOS MAYORES</t>
  </si>
  <si>
    <t>PARADOR NOCTURNO</t>
  </si>
  <si>
    <t>SALTA NORTE N° 80</t>
  </si>
  <si>
    <t>DIRECCION DE RESIDENCIA DE ADULTOS MAYORES (HOGAR FRAY MAMERTO ESQUIU)</t>
  </si>
  <si>
    <t>AVENIDA BELGRANO N° 750</t>
  </si>
  <si>
    <t>DIRECCION PROVINCIAL DE PRIMERA INFANCIA</t>
  </si>
  <si>
    <t xml:space="preserve">CDI CASA CUNA </t>
  </si>
  <si>
    <t xml:space="preserve">CASEROS N° 1050 </t>
  </si>
  <si>
    <t>CDI NIÑARY</t>
  </si>
  <si>
    <t>CALLE LAS ORQUIDEAS ESQ. LAS ARAUCARIAS (Maipú Norte - B° 500  VV.)</t>
  </si>
  <si>
    <t xml:space="preserve">CDI 1000 VV </t>
  </si>
  <si>
    <t xml:space="preserve">AVENIDA MISIONES ESQUINA RIO EL TALA (Playón B° 1000 Vv) </t>
  </si>
  <si>
    <t>CDI CAF 2</t>
  </si>
  <si>
    <t>AVENIDA VIRGEN DEL VALLE NORTE Y CALLE LOS TILOS</t>
  </si>
  <si>
    <t xml:space="preserve">DIRECCION DE CONTENCION HUAINA HUASI </t>
  </si>
  <si>
    <t>PJE. PEDRAZA S/N° FRENTE MATERNIDAD</t>
  </si>
  <si>
    <t xml:space="preserve">DIRECCION DE CONTENCION SIPAS HUASI </t>
  </si>
  <si>
    <t>PASAJE LOS AGÜEROS  , VILLA PARQUE CHACABUCO</t>
  </si>
  <si>
    <t>DIRECCION DEL ÑIÑO EN CONFLITO CON LA LEY PENAL</t>
  </si>
  <si>
    <t>AVENIDA ALEM ESQUINA MOTA BOTELLO</t>
  </si>
  <si>
    <t>CENTRO JUVENIL SANTA ROSA</t>
  </si>
  <si>
    <t>MANUEL DE SALAZAR  S/N° PLAZA DE SANTA ROSA 1 CUADRA AL SUR -VALLE VIEJO</t>
  </si>
  <si>
    <t xml:space="preserve">EPC APOLO </t>
  </si>
  <si>
    <t>B° APOLO CALLE ARGERICH 1493 ESQ. NIEVA Y CASTILLA</t>
  </si>
  <si>
    <t>TOTALES</t>
  </si>
  <si>
    <t xml:space="preserve"> </t>
  </si>
  <si>
    <t>PASAJE BUCETICH S/Nº</t>
  </si>
  <si>
    <t>CANTIDAD DISPENSER POR DEPENDENCIA</t>
  </si>
  <si>
    <t xml:space="preserve">45- Ministerio de Desarrollo Social </t>
  </si>
  <si>
    <t>Costo total estimado: TRES MILLONES  DOSCIENTOS TREINTA Y CUATRO MIL CON 00/100.-</t>
  </si>
  <si>
    <t xml:space="preserve">01- Ministerio de Desarrollo Social </t>
  </si>
  <si>
    <t xml:space="preserve">Adquisición de Bidones de 20Lts de Agua Mineral que seran destinadas a las distintas dependencias del Ministerio de Desarrollo Social </t>
  </si>
  <si>
    <t>TOTAL DE PESOS: TRES MILLONES DOSCIENTOS TREINTA Y CUATRO MIL CON 00/100.-</t>
  </si>
  <si>
    <r>
      <rPr>
        <u/>
        <sz val="12"/>
        <rFont val="Times New Roman"/>
        <family val="1"/>
      </rPr>
      <t xml:space="preserve">Plazo de Entrega: </t>
    </r>
    <r>
      <rPr>
        <sz val="12"/>
        <rFont val="Times New Roman"/>
        <family val="1"/>
      </rPr>
      <t>Semanal y pago Mensual.-</t>
    </r>
  </si>
  <si>
    <t>Plazo de Mantinimiento 90 dias</t>
  </si>
  <si>
    <r>
      <t xml:space="preserve">SE UTILIZARAN 490 BIDONES POR SEMANA, RESULTANDO LA CANTIDAD DE  1960 BIDONES POR MES Y UN TOTAL DE 5880 BIDONES POR LOS  TRES MESES. LOS MISMOS DEBERIAN INCLUIR 70 DISPENSER, REPARTIDOS EN LAS DISTINTAS DEPDENCIAS DEL MINISTERIO DE DESARROLLO SOCIAL, DEBERAN SER DE AGUA FRIA Y CALIENTE, INCLUYENDO EL MANTENIMIENTO DE LOS MISMOS, HASTA 15 DIAS POSTERIORES A LA ULTIMA ENTREGA DE BIDONES.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rFont val="Times New Roman"/>
        <family val="1"/>
      </rPr>
      <t>EL Oferente debe contar con las maquinarias de proceso y acreditar los controles exigidos por el Codigo Alimentario de la Actividad ; la Certificacion de Laboratorio de Analisis Bacteriologico y Certificacion de Analisis Fisico-Quimico Vigentes.-</t>
    </r>
  </si>
  <si>
    <r>
      <rPr>
        <u/>
        <sz val="12"/>
        <rFont val="Times New Roman"/>
        <family val="1"/>
      </rPr>
      <t xml:space="preserve"> Lugar y Forma de Entrega</t>
    </r>
    <r>
      <rPr>
        <sz val="12"/>
        <rFont val="Times New Roman"/>
        <family val="1"/>
      </rPr>
      <t xml:space="preserve">:  DE MANERA SEMANAL, Durante 3 meses se Entregara bidones en las distintas dependencias del Ministerio de Desarrollo Social  (SEGUN ANEXO I),  libre de flete, acarreo y Embalaje, y libre de cualquier riesgo de perdida o destruccion total o parcial por causas ajenas a la instalacion. </t>
    </r>
  </si>
  <si>
    <t>234/2022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</si>
</sst>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u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0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1" xfId="0" applyBorder="1"/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left" vertical="center"/>
    </xf>
    <xf numFmtId="0" fontId="13" fillId="0" borderId="3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13" fillId="0" borderId="43" xfId="0" applyNumberFormat="1" applyFont="1" applyBorder="1" applyAlignment="1">
      <alignment horizontal="center" vertical="center"/>
    </xf>
    <xf numFmtId="0" fontId="15" fillId="0" borderId="0" xfId="0" applyFont="1"/>
    <xf numFmtId="167" fontId="0" fillId="0" borderId="0" xfId="0" applyNumberFormat="1"/>
    <xf numFmtId="0" fontId="0" fillId="0" borderId="5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0" fillId="0" borderId="62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17" fillId="0" borderId="0" xfId="0" applyFont="1" applyFill="1" applyAlignment="1">
      <alignment horizontal="left" wrapText="1" indent="1"/>
    </xf>
    <xf numFmtId="0" fontId="5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20" fillId="0" borderId="0" xfId="0" applyFont="1"/>
    <xf numFmtId="0" fontId="22" fillId="0" borderId="0" xfId="0" applyFont="1" applyAlignment="1">
      <alignment horizontal="center" wrapText="1"/>
    </xf>
    <xf numFmtId="0" fontId="23" fillId="3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169" fontId="24" fillId="4" borderId="3" xfId="0" applyNumberFormat="1" applyFont="1" applyFill="1" applyBorder="1" applyAlignment="1">
      <alignment vertical="center" wrapText="1"/>
    </xf>
    <xf numFmtId="0" fontId="24" fillId="4" borderId="3" xfId="0" applyFont="1" applyFill="1" applyBorder="1" applyAlignment="1">
      <alignment horizontal="center" vertical="center" wrapText="1"/>
    </xf>
    <xf numFmtId="3" fontId="24" fillId="4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vertical="center" wrapText="1"/>
    </xf>
    <xf numFmtId="0" fontId="21" fillId="5" borderId="3" xfId="0" applyFont="1" applyFill="1" applyBorder="1" applyAlignment="1">
      <alignment horizontal="center" vertical="center"/>
    </xf>
    <xf numFmtId="3" fontId="21" fillId="5" borderId="3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wrapText="1"/>
    </xf>
    <xf numFmtId="0" fontId="26" fillId="0" borderId="0" xfId="0" applyFont="1" applyFill="1" applyAlignment="1">
      <alignment horizontal="center" wrapText="1"/>
    </xf>
    <xf numFmtId="0" fontId="25" fillId="0" borderId="0" xfId="0" applyFont="1" applyFill="1"/>
    <xf numFmtId="0" fontId="25" fillId="0" borderId="0" xfId="0" applyFont="1"/>
    <xf numFmtId="0" fontId="17" fillId="0" borderId="0" xfId="0" applyFont="1" applyFill="1" applyAlignment="1">
      <alignment horizontal="left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63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51" xfId="0" applyFont="1" applyFill="1" applyBorder="1" applyAlignment="1">
      <alignment horizontal="center" vertical="center" wrapText="1"/>
    </xf>
    <xf numFmtId="0" fontId="17" fillId="0" borderId="52" xfId="0" applyFont="1" applyFill="1" applyBorder="1" applyAlignment="1">
      <alignment horizontal="center" vertical="center" wrapText="1"/>
    </xf>
    <xf numFmtId="0" fontId="17" fillId="0" borderId="53" xfId="0" applyFont="1" applyFill="1" applyBorder="1" applyAlignment="1">
      <alignment horizontal="center" vertical="center" wrapText="1"/>
    </xf>
    <xf numFmtId="0" fontId="25" fillId="0" borderId="3" xfId="0" applyFont="1" applyFill="1" applyBorder="1"/>
    <xf numFmtId="0" fontId="25" fillId="0" borderId="3" xfId="0" applyFont="1" applyFill="1" applyBorder="1" applyAlignment="1">
      <alignment horizontal="center"/>
    </xf>
    <xf numFmtId="0" fontId="26" fillId="0" borderId="3" xfId="0" applyFont="1" applyFill="1" applyBorder="1" applyAlignment="1">
      <alignment horizontal="center" vertical="center" wrapText="1"/>
    </xf>
    <xf numFmtId="0" fontId="26" fillId="0" borderId="6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wrapText="1"/>
    </xf>
    <xf numFmtId="0" fontId="25" fillId="0" borderId="48" xfId="0" applyFont="1" applyFill="1" applyBorder="1"/>
    <xf numFmtId="0" fontId="26" fillId="0" borderId="49" xfId="0" applyFont="1" applyFill="1" applyBorder="1" applyAlignment="1">
      <alignment horizontal="center" vertical="center" wrapText="1"/>
    </xf>
    <xf numFmtId="166" fontId="25" fillId="0" borderId="3" xfId="1" applyNumberFormat="1" applyFont="1" applyFill="1" applyBorder="1" applyAlignment="1" applyProtection="1">
      <alignment horizontal="right" vertical="center" wrapText="1"/>
    </xf>
    <xf numFmtId="166" fontId="25" fillId="0" borderId="4" xfId="1" applyNumberFormat="1" applyFont="1" applyFill="1" applyBorder="1" applyAlignment="1" applyProtection="1">
      <alignment horizontal="right" vertical="center" wrapText="1"/>
    </xf>
    <xf numFmtId="0" fontId="26" fillId="0" borderId="47" xfId="0" applyFont="1" applyFill="1" applyBorder="1" applyAlignment="1">
      <alignment horizontal="center" wrapText="1"/>
    </xf>
    <xf numFmtId="0" fontId="25" fillId="0" borderId="5" xfId="0" applyFont="1" applyFill="1" applyBorder="1" applyAlignment="1">
      <alignment horizontal="center" vertical="center"/>
    </xf>
    <xf numFmtId="0" fontId="25" fillId="0" borderId="54" xfId="0" applyFont="1" applyFill="1" applyBorder="1"/>
    <xf numFmtId="0" fontId="25" fillId="0" borderId="6" xfId="0" applyFont="1" applyFill="1" applyBorder="1"/>
    <xf numFmtId="0" fontId="26" fillId="0" borderId="50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wrapText="1"/>
    </xf>
    <xf numFmtId="166" fontId="25" fillId="0" borderId="55" xfId="1" applyNumberFormat="1" applyFont="1" applyFill="1" applyBorder="1" applyAlignment="1" applyProtection="1">
      <alignment horizontal="right" vertical="center" wrapText="1"/>
    </xf>
    <xf numFmtId="166" fontId="25" fillId="0" borderId="56" xfId="1" applyNumberFormat="1" applyFont="1" applyFill="1" applyBorder="1" applyAlignment="1" applyProtection="1">
      <alignment horizontal="right" vertical="center" wrapText="1"/>
    </xf>
    <xf numFmtId="0" fontId="27" fillId="0" borderId="7" xfId="0" applyFont="1" applyFill="1" applyBorder="1"/>
    <xf numFmtId="0" fontId="25" fillId="0" borderId="8" xfId="0" applyFont="1" applyFill="1" applyBorder="1"/>
    <xf numFmtId="0" fontId="25" fillId="0" borderId="9" xfId="0" applyFont="1" applyFill="1" applyBorder="1"/>
    <xf numFmtId="0" fontId="25" fillId="0" borderId="10" xfId="0" applyFont="1" applyFill="1" applyBorder="1"/>
    <xf numFmtId="0" fontId="25" fillId="0" borderId="0" xfId="0" applyFont="1" applyFill="1" applyBorder="1"/>
    <xf numFmtId="0" fontId="25" fillId="0" borderId="11" xfId="0" applyFont="1" applyFill="1" applyBorder="1"/>
    <xf numFmtId="0" fontId="27" fillId="0" borderId="10" xfId="0" applyFont="1" applyFill="1" applyBorder="1" applyAlignment="1">
      <alignment horizontal="left" indent="3"/>
    </xf>
    <xf numFmtId="0" fontId="24" fillId="0" borderId="0" xfId="0" applyFont="1" applyFill="1" applyAlignment="1">
      <alignment wrapText="1"/>
    </xf>
    <xf numFmtId="0" fontId="25" fillId="0" borderId="10" xfId="0" applyFont="1" applyFill="1" applyBorder="1" applyAlignment="1">
      <alignment horizontal="left" indent="3"/>
    </xf>
    <xf numFmtId="0" fontId="25" fillId="0" borderId="0" xfId="0" applyFont="1" applyFill="1" applyAlignment="1">
      <alignment vertical="center" wrapText="1"/>
    </xf>
    <xf numFmtId="0" fontId="25" fillId="0" borderId="0" xfId="0" applyFont="1" applyFill="1" applyBorder="1" applyAlignment="1">
      <alignment horizontal="center" wrapText="1"/>
    </xf>
    <xf numFmtId="0" fontId="25" fillId="0" borderId="11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left" indent="3"/>
    </xf>
    <xf numFmtId="0" fontId="25" fillId="0" borderId="13" xfId="0" applyFont="1" applyFill="1" applyBorder="1"/>
    <xf numFmtId="0" fontId="25" fillId="0" borderId="14" xfId="0" applyFont="1" applyFill="1" applyBorder="1"/>
    <xf numFmtId="0" fontId="25" fillId="0" borderId="65" xfId="0" applyFont="1" applyFill="1" applyBorder="1" applyAlignment="1">
      <alignment horizontal="center" vertical="center"/>
    </xf>
    <xf numFmtId="166" fontId="25" fillId="0" borderId="64" xfId="1" applyNumberFormat="1" applyFont="1" applyFill="1" applyBorder="1" applyAlignment="1" applyProtection="1">
      <alignment horizontal="right" vertical="center" wrapText="1"/>
    </xf>
    <xf numFmtId="166" fontId="25" fillId="0" borderId="66" xfId="1" applyNumberFormat="1" applyFont="1" applyFill="1" applyBorder="1" applyAlignment="1" applyProtection="1">
      <alignment horizontal="right" vertical="center" wrapText="1"/>
    </xf>
    <xf numFmtId="0" fontId="25" fillId="0" borderId="64" xfId="0" applyFont="1" applyFill="1" applyBorder="1" applyAlignment="1">
      <alignment vertical="center"/>
    </xf>
    <xf numFmtId="0" fontId="25" fillId="0" borderId="64" xfId="0" applyFont="1" applyFill="1" applyBorder="1" applyAlignment="1">
      <alignment horizontal="center" vertical="center"/>
    </xf>
    <xf numFmtId="0" fontId="25" fillId="0" borderId="64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wrapText="1" indent="1"/>
    </xf>
    <xf numFmtId="0" fontId="25" fillId="0" borderId="0" xfId="0" applyFont="1" applyFill="1" applyBorder="1" applyAlignment="1">
      <alignment horizontal="left" vertical="top" wrapText="1"/>
    </xf>
    <xf numFmtId="0" fontId="25" fillId="0" borderId="11" xfId="0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 vertical="center" wrapText="1"/>
    </xf>
    <xf numFmtId="0" fontId="25" fillId="0" borderId="1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25" fillId="0" borderId="11" xfId="0" applyFont="1" applyFill="1" applyBorder="1" applyAlignment="1">
      <alignment horizontal="center" wrapText="1"/>
    </xf>
    <xf numFmtId="0" fontId="25" fillId="0" borderId="11" xfId="0" applyFont="1" applyFill="1" applyBorder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1" fillId="5" borderId="48" xfId="0" applyFont="1" applyFill="1" applyBorder="1" applyAlignment="1">
      <alignment horizontal="center"/>
    </xf>
    <xf numFmtId="0" fontId="21" fillId="5" borderId="49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Fill="1" applyBorder="1" applyAlignment="1">
      <alignment horizontal="left" vertical="center" wrapText="1"/>
    </xf>
    <xf numFmtId="167" fontId="18" fillId="0" borderId="19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0" fillId="0" borderId="25" xfId="0" applyFont="1" applyBorder="1" applyAlignment="1">
      <alignment horizontal="center"/>
    </xf>
    <xf numFmtId="3" fontId="9" fillId="0" borderId="2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11" fillId="0" borderId="16" xfId="0" applyFont="1" applyBorder="1" applyAlignment="1">
      <alignment horizontal="left" indent="1"/>
    </xf>
    <xf numFmtId="0" fontId="4" fillId="0" borderId="18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/>
    </xf>
    <xf numFmtId="0" fontId="19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0" fillId="0" borderId="61" xfId="0" applyFont="1" applyBorder="1" applyAlignment="1">
      <alignment horizontal="left" vertical="center" wrapText="1"/>
    </xf>
    <xf numFmtId="0" fontId="11" fillId="0" borderId="28" xfId="0" applyFont="1" applyBorder="1"/>
    <xf numFmtId="0" fontId="11" fillId="0" borderId="29" xfId="0" applyFont="1" applyBorder="1" applyAlignment="1">
      <alignment horizontal="left" vertical="center" wrapText="1" indent="1"/>
    </xf>
    <xf numFmtId="0" fontId="13" fillId="0" borderId="2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9" fillId="0" borderId="25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43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 wrapText="1"/>
    </xf>
    <xf numFmtId="0" fontId="0" fillId="0" borderId="27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Normal="100" workbookViewId="0">
      <selection activeCell="C24" sqref="C24:E24"/>
    </sheetView>
  </sheetViews>
  <sheetFormatPr baseColWidth="10" defaultColWidth="11" defaultRowHeight="12.75" x14ac:dyDescent="0.2"/>
  <cols>
    <col min="1" max="1" width="4.5703125" style="25" customWidth="1"/>
    <col min="2" max="2" width="21.7109375" style="25" customWidth="1"/>
    <col min="3" max="3" width="28.28515625" style="25" customWidth="1"/>
    <col min="4" max="4" width="8.42578125" style="25" customWidth="1"/>
    <col min="5" max="5" width="150.85546875" style="25" customWidth="1"/>
    <col min="6" max="6" width="12.140625" style="25" customWidth="1"/>
    <col min="7" max="7" width="14.28515625" style="25" customWidth="1"/>
    <col min="8" max="8" width="13.42578125" style="25" customWidth="1"/>
    <col min="9" max="9" width="15.7109375" style="25" bestFit="1" customWidth="1"/>
    <col min="10" max="16384" width="11" style="25"/>
  </cols>
  <sheetData>
    <row r="1" spans="1:10" x14ac:dyDescent="0.2">
      <c r="A1" s="38"/>
      <c r="B1" s="38"/>
      <c r="C1" s="38"/>
      <c r="D1" s="38"/>
      <c r="E1" s="38"/>
      <c r="F1" s="38"/>
      <c r="G1" s="38"/>
      <c r="H1" s="38"/>
      <c r="I1" s="38"/>
    </row>
    <row r="2" spans="1:10" ht="27" x14ac:dyDescent="0.35">
      <c r="A2" s="38"/>
      <c r="B2" s="108" t="s">
        <v>0</v>
      </c>
      <c r="C2" s="108"/>
      <c r="D2" s="108"/>
      <c r="E2" s="108"/>
      <c r="F2" s="108"/>
      <c r="G2" s="108"/>
      <c r="H2" s="108"/>
      <c r="I2" s="38"/>
    </row>
    <row r="3" spans="1:10" x14ac:dyDescent="0.2">
      <c r="A3" s="38"/>
      <c r="B3" s="38"/>
      <c r="C3" s="38"/>
      <c r="D3" s="38"/>
      <c r="E3" s="38"/>
      <c r="F3" s="38"/>
      <c r="G3" s="38"/>
      <c r="H3" s="38"/>
      <c r="I3" s="38"/>
    </row>
    <row r="4" spans="1:10" ht="18" customHeight="1" x14ac:dyDescent="0.25">
      <c r="A4" s="109" t="s">
        <v>1</v>
      </c>
      <c r="B4" s="109"/>
      <c r="C4" s="110" t="s">
        <v>132</v>
      </c>
      <c r="D4" s="110"/>
      <c r="E4" s="110"/>
      <c r="F4" s="57"/>
      <c r="G4" s="58"/>
      <c r="H4" s="57"/>
      <c r="I4" s="59"/>
      <c r="J4" s="60"/>
    </row>
    <row r="5" spans="1:10" ht="18" customHeight="1" x14ac:dyDescent="0.25">
      <c r="A5" s="109" t="s">
        <v>2</v>
      </c>
      <c r="B5" s="109"/>
      <c r="C5" s="110" t="s">
        <v>57</v>
      </c>
      <c r="D5" s="110"/>
      <c r="E5" s="110"/>
      <c r="F5" s="57"/>
      <c r="G5" s="58"/>
      <c r="H5" s="57"/>
      <c r="I5" s="59"/>
      <c r="J5" s="60"/>
    </row>
    <row r="6" spans="1:10" ht="16.5" customHeight="1" x14ac:dyDescent="0.25">
      <c r="A6" s="109" t="s">
        <v>3</v>
      </c>
      <c r="B6" s="109"/>
      <c r="C6" s="39">
        <v>2022</v>
      </c>
      <c r="D6" s="61"/>
      <c r="E6" s="61"/>
      <c r="F6" s="57"/>
      <c r="G6" s="58"/>
      <c r="H6" s="57"/>
      <c r="I6" s="59"/>
      <c r="J6" s="60"/>
    </row>
    <row r="7" spans="1:10" ht="16.5" customHeight="1" x14ac:dyDescent="0.25">
      <c r="A7" s="109" t="s">
        <v>4</v>
      </c>
      <c r="B7" s="109"/>
      <c r="C7" s="39">
        <v>2</v>
      </c>
      <c r="D7" s="61"/>
      <c r="E7" s="61"/>
      <c r="F7" s="57"/>
      <c r="G7" s="58"/>
      <c r="H7" s="57"/>
      <c r="I7" s="59"/>
      <c r="J7" s="60"/>
    </row>
    <row r="8" spans="1:10" ht="16.5" thickBot="1" x14ac:dyDescent="0.3">
      <c r="A8" s="59"/>
      <c r="B8" s="57"/>
      <c r="C8" s="58"/>
      <c r="D8" s="57"/>
      <c r="E8" s="57"/>
      <c r="F8" s="57"/>
      <c r="G8" s="58"/>
      <c r="H8" s="57"/>
      <c r="I8" s="59"/>
      <c r="J8" s="60"/>
    </row>
    <row r="9" spans="1:10" ht="48" thickBot="1" x14ac:dyDescent="0.3">
      <c r="A9" s="62" t="s">
        <v>5</v>
      </c>
      <c r="B9" s="63" t="s">
        <v>6</v>
      </c>
      <c r="C9" s="63" t="s">
        <v>7</v>
      </c>
      <c r="D9" s="64" t="s">
        <v>8</v>
      </c>
      <c r="E9" s="63" t="s">
        <v>9</v>
      </c>
      <c r="F9" s="65" t="s">
        <v>10</v>
      </c>
      <c r="G9" s="66" t="s">
        <v>11</v>
      </c>
      <c r="H9" s="66" t="s">
        <v>12</v>
      </c>
      <c r="I9" s="67" t="s">
        <v>13</v>
      </c>
      <c r="J9" s="60"/>
    </row>
    <row r="10" spans="1:10" ht="31.5" x14ac:dyDescent="0.25">
      <c r="A10" s="102">
        <v>1</v>
      </c>
      <c r="B10" s="105" t="s">
        <v>58</v>
      </c>
      <c r="C10" s="105" t="s">
        <v>59</v>
      </c>
      <c r="D10" s="106" t="s">
        <v>61</v>
      </c>
      <c r="E10" s="107" t="s">
        <v>60</v>
      </c>
      <c r="F10" s="71" t="s">
        <v>62</v>
      </c>
      <c r="G10" s="71">
        <v>5880</v>
      </c>
      <c r="H10" s="103">
        <v>550</v>
      </c>
      <c r="I10" s="104">
        <f>+H10*G10</f>
        <v>3234000</v>
      </c>
      <c r="J10" s="60"/>
    </row>
    <row r="11" spans="1:10" ht="15.75" x14ac:dyDescent="0.25">
      <c r="A11" s="72"/>
      <c r="B11" s="68"/>
      <c r="C11" s="68"/>
      <c r="D11" s="69"/>
      <c r="E11" s="68"/>
      <c r="F11" s="70"/>
      <c r="G11" s="73"/>
      <c r="H11" s="76"/>
      <c r="I11" s="77"/>
      <c r="J11" s="60"/>
    </row>
    <row r="12" spans="1:10" ht="15.75" x14ac:dyDescent="0.25">
      <c r="A12" s="72"/>
      <c r="B12" s="74"/>
      <c r="C12" s="68"/>
      <c r="D12" s="75"/>
      <c r="E12" s="68"/>
      <c r="F12" s="70"/>
      <c r="G12" s="73"/>
      <c r="H12" s="76"/>
      <c r="I12" s="77"/>
      <c r="J12" s="60"/>
    </row>
    <row r="13" spans="1:10" ht="15.75" x14ac:dyDescent="0.25">
      <c r="A13" s="72"/>
      <c r="B13" s="74"/>
      <c r="C13" s="68"/>
      <c r="D13" s="75"/>
      <c r="E13" s="68"/>
      <c r="F13" s="70"/>
      <c r="G13" s="73"/>
      <c r="H13" s="76"/>
      <c r="I13" s="77"/>
      <c r="J13" s="60"/>
    </row>
    <row r="14" spans="1:10" ht="15.75" x14ac:dyDescent="0.25">
      <c r="A14" s="72"/>
      <c r="B14" s="74"/>
      <c r="C14" s="68"/>
      <c r="D14" s="75"/>
      <c r="E14" s="68"/>
      <c r="F14" s="70"/>
      <c r="G14" s="78"/>
      <c r="H14" s="76"/>
      <c r="I14" s="77"/>
      <c r="J14" s="60"/>
    </row>
    <row r="15" spans="1:10" ht="16.5" thickBot="1" x14ac:dyDescent="0.3">
      <c r="A15" s="79"/>
      <c r="B15" s="80"/>
      <c r="C15" s="81"/>
      <c r="D15" s="82"/>
      <c r="E15" s="81"/>
      <c r="F15" s="83"/>
      <c r="G15" s="84"/>
      <c r="H15" s="85"/>
      <c r="I15" s="86"/>
      <c r="J15" s="60"/>
    </row>
    <row r="16" spans="1:10" ht="15.75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60"/>
    </row>
    <row r="17" spans="1:17" ht="15.75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60"/>
    </row>
    <row r="18" spans="1:17" ht="15.75" x14ac:dyDescent="0.25">
      <c r="A18" s="59"/>
      <c r="B18" s="87" t="s">
        <v>14</v>
      </c>
      <c r="C18" s="88"/>
      <c r="D18" s="88"/>
      <c r="E18" s="89"/>
      <c r="F18" s="59"/>
      <c r="G18" s="59"/>
      <c r="H18" s="59"/>
      <c r="I18" s="59"/>
      <c r="J18" s="60"/>
    </row>
    <row r="19" spans="1:17" ht="5.25" customHeight="1" x14ac:dyDescent="0.25">
      <c r="A19" s="59"/>
      <c r="B19" s="90"/>
      <c r="C19" s="91"/>
      <c r="D19" s="91"/>
      <c r="E19" s="92"/>
      <c r="F19" s="59"/>
      <c r="G19" s="59"/>
      <c r="H19" s="59"/>
      <c r="I19" s="59"/>
      <c r="J19" s="60"/>
    </row>
    <row r="20" spans="1:17" ht="15.75" x14ac:dyDescent="0.25">
      <c r="A20" s="59"/>
      <c r="B20" s="93" t="s">
        <v>15</v>
      </c>
      <c r="C20" s="91"/>
      <c r="D20" s="91"/>
      <c r="E20" s="92"/>
      <c r="F20" s="59"/>
      <c r="G20" s="59"/>
      <c r="H20" s="59"/>
      <c r="I20" s="59"/>
      <c r="J20" s="60"/>
    </row>
    <row r="21" spans="1:17" ht="92.25" customHeight="1" x14ac:dyDescent="0.25">
      <c r="A21" s="59"/>
      <c r="B21" s="93"/>
      <c r="C21" s="111" t="s">
        <v>139</v>
      </c>
      <c r="D21" s="111"/>
      <c r="E21" s="112"/>
      <c r="F21" s="59"/>
      <c r="G21" s="94"/>
      <c r="H21" s="94"/>
      <c r="I21" s="94"/>
      <c r="J21" s="60"/>
      <c r="K21" s="117"/>
      <c r="L21" s="117"/>
      <c r="M21" s="117"/>
      <c r="N21" s="117"/>
      <c r="O21" s="117"/>
      <c r="P21" s="117"/>
    </row>
    <row r="22" spans="1:17" ht="15.75" x14ac:dyDescent="0.25">
      <c r="A22" s="59"/>
      <c r="B22" s="93" t="s">
        <v>16</v>
      </c>
      <c r="C22" s="91"/>
      <c r="D22" s="91"/>
      <c r="E22" s="92"/>
      <c r="F22" s="59"/>
      <c r="G22" s="59"/>
      <c r="H22" s="59"/>
      <c r="I22" s="59"/>
      <c r="J22" s="60"/>
    </row>
    <row r="23" spans="1:17" ht="14.25" customHeight="1" x14ac:dyDescent="0.25">
      <c r="A23" s="59"/>
      <c r="B23" s="95"/>
      <c r="C23" s="113" t="s">
        <v>137</v>
      </c>
      <c r="D23" s="113"/>
      <c r="E23" s="114"/>
      <c r="F23" s="59"/>
      <c r="G23" s="59"/>
      <c r="H23" s="59"/>
      <c r="I23" s="59"/>
      <c r="J23" s="60"/>
    </row>
    <row r="24" spans="1:17" ht="43.5" customHeight="1" x14ac:dyDescent="0.25">
      <c r="A24" s="59"/>
      <c r="B24" s="95"/>
      <c r="C24" s="115" t="s">
        <v>140</v>
      </c>
      <c r="D24" s="115"/>
      <c r="E24" s="116"/>
      <c r="F24" s="59"/>
      <c r="G24" s="96"/>
      <c r="H24" s="96"/>
      <c r="I24" s="96"/>
      <c r="J24" s="60"/>
      <c r="K24" s="117" t="s">
        <v>129</v>
      </c>
      <c r="L24" s="117"/>
      <c r="M24" s="117"/>
      <c r="N24" s="117"/>
      <c r="O24" s="117"/>
      <c r="P24" s="117"/>
      <c r="Q24" s="117"/>
    </row>
    <row r="25" spans="1:17" ht="15.75" x14ac:dyDescent="0.25">
      <c r="A25" s="59"/>
      <c r="B25" s="93" t="s">
        <v>17</v>
      </c>
      <c r="C25" s="91"/>
      <c r="D25" s="91"/>
      <c r="E25" s="92"/>
      <c r="F25" s="59"/>
      <c r="G25" s="59"/>
      <c r="H25" s="59"/>
      <c r="I25" s="59"/>
      <c r="J25" s="60"/>
    </row>
    <row r="26" spans="1:17" ht="26.25" customHeight="1" x14ac:dyDescent="0.25">
      <c r="A26" s="59"/>
      <c r="B26" s="95"/>
      <c r="C26" s="118" t="s">
        <v>66</v>
      </c>
      <c r="D26" s="118"/>
      <c r="E26" s="118"/>
      <c r="F26" s="59"/>
      <c r="G26" s="59"/>
      <c r="H26" s="59"/>
      <c r="I26" s="59"/>
      <c r="J26" s="60"/>
    </row>
    <row r="27" spans="1:17" ht="15.75" x14ac:dyDescent="0.25">
      <c r="A27" s="59"/>
      <c r="B27" s="93" t="s">
        <v>18</v>
      </c>
      <c r="C27" s="97"/>
      <c r="D27" s="97"/>
      <c r="E27" s="98"/>
      <c r="F27" s="59"/>
      <c r="G27" s="59"/>
      <c r="H27" s="59"/>
      <c r="I27" s="59"/>
      <c r="J27" s="60"/>
    </row>
    <row r="28" spans="1:17" ht="26.25" customHeight="1" x14ac:dyDescent="0.25">
      <c r="A28" s="59"/>
      <c r="B28" s="95"/>
      <c r="C28" s="118" t="s">
        <v>138</v>
      </c>
      <c r="D28" s="118"/>
      <c r="E28" s="118"/>
      <c r="F28" s="59"/>
      <c r="G28" s="59"/>
      <c r="H28" s="59"/>
      <c r="I28" s="59"/>
      <c r="J28" s="60"/>
    </row>
    <row r="29" spans="1:17" ht="15.75" x14ac:dyDescent="0.25">
      <c r="A29" s="59"/>
      <c r="B29" s="93" t="s">
        <v>19</v>
      </c>
      <c r="C29" s="91"/>
      <c r="D29" s="91"/>
      <c r="E29" s="92"/>
      <c r="F29" s="59"/>
      <c r="G29" s="59"/>
      <c r="H29" s="59"/>
      <c r="I29" s="59"/>
      <c r="J29" s="60"/>
    </row>
    <row r="30" spans="1:17" ht="23.25" customHeight="1" x14ac:dyDescent="0.25">
      <c r="A30" s="59"/>
      <c r="B30" s="93"/>
      <c r="C30" s="119"/>
      <c r="D30" s="119"/>
      <c r="E30" s="119"/>
      <c r="F30" s="59"/>
      <c r="G30" s="59"/>
      <c r="H30" s="59"/>
      <c r="I30" s="59"/>
      <c r="J30" s="60"/>
    </row>
    <row r="31" spans="1:17" ht="15.75" x14ac:dyDescent="0.25">
      <c r="A31" s="59"/>
      <c r="B31" s="99"/>
      <c r="C31" s="100"/>
      <c r="D31" s="100"/>
      <c r="E31" s="101"/>
      <c r="F31" s="59"/>
      <c r="G31" s="59"/>
      <c r="H31" s="59"/>
      <c r="I31" s="59"/>
      <c r="J31" s="60"/>
    </row>
  </sheetData>
  <mergeCells count="15">
    <mergeCell ref="K21:P21"/>
    <mergeCell ref="K24:Q24"/>
    <mergeCell ref="C26:E26"/>
    <mergeCell ref="C28:E28"/>
    <mergeCell ref="C30:E30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8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5"/>
  <sheetViews>
    <sheetView topLeftCell="A10" workbookViewId="0">
      <selection activeCell="H5" sqref="H5"/>
    </sheetView>
  </sheetViews>
  <sheetFormatPr baseColWidth="10" defaultRowHeight="12.75" x14ac:dyDescent="0.2"/>
  <cols>
    <col min="1" max="1" width="47.42578125" customWidth="1"/>
    <col min="2" max="2" width="56" customWidth="1"/>
    <col min="3" max="3" width="18" customWidth="1"/>
    <col min="4" max="4" width="12.7109375" customWidth="1"/>
    <col min="5" max="5" width="13.85546875" customWidth="1"/>
    <col min="6" max="6" width="16.7109375" customWidth="1"/>
  </cols>
  <sheetData>
    <row r="2" spans="1:6" ht="18.75" x14ac:dyDescent="0.3">
      <c r="A2" s="120" t="s">
        <v>67</v>
      </c>
      <c r="B2" s="120"/>
      <c r="C2" s="120"/>
      <c r="D2" s="120"/>
      <c r="E2" s="120"/>
      <c r="F2" s="120"/>
    </row>
    <row r="3" spans="1:6" ht="14.25" x14ac:dyDescent="0.2">
      <c r="A3" s="47"/>
      <c r="B3" s="47"/>
      <c r="C3" s="47"/>
      <c r="D3" s="25"/>
      <c r="E3" s="25"/>
      <c r="F3" s="25"/>
    </row>
    <row r="4" spans="1:6" ht="63" x14ac:dyDescent="0.2">
      <c r="A4" s="48" t="s">
        <v>68</v>
      </c>
      <c r="B4" s="48" t="s">
        <v>69</v>
      </c>
      <c r="C4" s="48" t="s">
        <v>131</v>
      </c>
      <c r="D4" s="48" t="s">
        <v>70</v>
      </c>
      <c r="E4" s="48" t="s">
        <v>71</v>
      </c>
      <c r="F4" s="48" t="s">
        <v>72</v>
      </c>
    </row>
    <row r="5" spans="1:6" ht="15.75" x14ac:dyDescent="0.2">
      <c r="A5" s="49" t="s">
        <v>73</v>
      </c>
      <c r="B5" s="50" t="s">
        <v>74</v>
      </c>
      <c r="C5" s="51">
        <v>1</v>
      </c>
      <c r="D5" s="52">
        <v>7</v>
      </c>
      <c r="E5" s="52">
        <f>+D5*4</f>
        <v>28</v>
      </c>
      <c r="F5" s="52">
        <f>+E5*3</f>
        <v>84</v>
      </c>
    </row>
    <row r="6" spans="1:6" ht="15.75" x14ac:dyDescent="0.2">
      <c r="A6" s="49" t="s">
        <v>75</v>
      </c>
      <c r="B6" s="50" t="s">
        <v>74</v>
      </c>
      <c r="C6" s="51">
        <v>1</v>
      </c>
      <c r="D6" s="52">
        <v>7</v>
      </c>
      <c r="E6" s="52">
        <f t="shared" ref="E6:E21" si="0">+D6*4</f>
        <v>28</v>
      </c>
      <c r="F6" s="52">
        <f t="shared" ref="F6:F44" si="1">+E6*3</f>
        <v>84</v>
      </c>
    </row>
    <row r="7" spans="1:6" ht="31.5" x14ac:dyDescent="0.2">
      <c r="A7" s="49" t="s">
        <v>76</v>
      </c>
      <c r="B7" s="50" t="s">
        <v>74</v>
      </c>
      <c r="C7" s="51">
        <v>1</v>
      </c>
      <c r="D7" s="52">
        <v>7</v>
      </c>
      <c r="E7" s="52">
        <f t="shared" si="0"/>
        <v>28</v>
      </c>
      <c r="F7" s="52">
        <f t="shared" si="1"/>
        <v>84</v>
      </c>
    </row>
    <row r="8" spans="1:6" ht="15.75" x14ac:dyDescent="0.2">
      <c r="A8" s="49" t="s">
        <v>77</v>
      </c>
      <c r="B8" s="50" t="s">
        <v>74</v>
      </c>
      <c r="C8" s="51">
        <v>1</v>
      </c>
      <c r="D8" s="52">
        <v>7</v>
      </c>
      <c r="E8" s="52">
        <f t="shared" si="0"/>
        <v>28</v>
      </c>
      <c r="F8" s="52">
        <f t="shared" si="1"/>
        <v>84</v>
      </c>
    </row>
    <row r="9" spans="1:6" ht="31.5" x14ac:dyDescent="0.2">
      <c r="A9" s="49" t="s">
        <v>78</v>
      </c>
      <c r="B9" s="50" t="s">
        <v>74</v>
      </c>
      <c r="C9" s="51">
        <v>1</v>
      </c>
      <c r="D9" s="52">
        <v>7</v>
      </c>
      <c r="E9" s="52">
        <f t="shared" si="0"/>
        <v>28</v>
      </c>
      <c r="F9" s="52">
        <f t="shared" si="1"/>
        <v>84</v>
      </c>
    </row>
    <row r="10" spans="1:6" ht="15.75" x14ac:dyDescent="0.2">
      <c r="A10" s="49" t="s">
        <v>79</v>
      </c>
      <c r="B10" s="50" t="s">
        <v>74</v>
      </c>
      <c r="C10" s="51">
        <v>1</v>
      </c>
      <c r="D10" s="52">
        <v>7</v>
      </c>
      <c r="E10" s="52">
        <f t="shared" si="0"/>
        <v>28</v>
      </c>
      <c r="F10" s="52">
        <f t="shared" si="1"/>
        <v>84</v>
      </c>
    </row>
    <row r="11" spans="1:6" ht="15.75" x14ac:dyDescent="0.2">
      <c r="A11" s="49" t="s">
        <v>80</v>
      </c>
      <c r="B11" s="50" t="s">
        <v>74</v>
      </c>
      <c r="C11" s="51">
        <v>1</v>
      </c>
      <c r="D11" s="52">
        <v>7</v>
      </c>
      <c r="E11" s="52">
        <f t="shared" si="0"/>
        <v>28</v>
      </c>
      <c r="F11" s="52">
        <f t="shared" si="1"/>
        <v>84</v>
      </c>
    </row>
    <row r="12" spans="1:6" ht="15.75" x14ac:dyDescent="0.2">
      <c r="A12" s="49" t="s">
        <v>81</v>
      </c>
      <c r="B12" s="50" t="s">
        <v>74</v>
      </c>
      <c r="C12" s="51">
        <v>3</v>
      </c>
      <c r="D12" s="52">
        <v>21</v>
      </c>
      <c r="E12" s="52">
        <f t="shared" si="0"/>
        <v>84</v>
      </c>
      <c r="F12" s="52">
        <f t="shared" si="1"/>
        <v>252</v>
      </c>
    </row>
    <row r="13" spans="1:6" ht="31.5" x14ac:dyDescent="0.2">
      <c r="A13" s="49" t="s">
        <v>82</v>
      </c>
      <c r="B13" s="50" t="s">
        <v>74</v>
      </c>
      <c r="C13" s="51">
        <v>2</v>
      </c>
      <c r="D13" s="52">
        <v>14</v>
      </c>
      <c r="E13" s="52">
        <f t="shared" si="0"/>
        <v>56</v>
      </c>
      <c r="F13" s="52">
        <f t="shared" si="1"/>
        <v>168</v>
      </c>
    </row>
    <row r="14" spans="1:6" ht="31.5" x14ac:dyDescent="0.2">
      <c r="A14" s="49" t="s">
        <v>83</v>
      </c>
      <c r="B14" s="50" t="s">
        <v>74</v>
      </c>
      <c r="C14" s="51">
        <v>1</v>
      </c>
      <c r="D14" s="52">
        <v>7</v>
      </c>
      <c r="E14" s="52">
        <f t="shared" si="0"/>
        <v>28</v>
      </c>
      <c r="F14" s="52">
        <f t="shared" si="1"/>
        <v>84</v>
      </c>
    </row>
    <row r="15" spans="1:6" ht="15.75" x14ac:dyDescent="0.2">
      <c r="A15" s="49" t="s">
        <v>84</v>
      </c>
      <c r="B15" s="50" t="s">
        <v>74</v>
      </c>
      <c r="C15" s="53">
        <v>1</v>
      </c>
      <c r="D15" s="52">
        <v>7</v>
      </c>
      <c r="E15" s="52">
        <f t="shared" si="0"/>
        <v>28</v>
      </c>
      <c r="F15" s="52">
        <f t="shared" si="1"/>
        <v>84</v>
      </c>
    </row>
    <row r="16" spans="1:6" ht="15.75" x14ac:dyDescent="0.2">
      <c r="A16" s="54" t="s">
        <v>85</v>
      </c>
      <c r="B16" s="50" t="s">
        <v>74</v>
      </c>
      <c r="C16" s="51">
        <v>3</v>
      </c>
      <c r="D16" s="52">
        <v>21</v>
      </c>
      <c r="E16" s="52">
        <f t="shared" si="0"/>
        <v>84</v>
      </c>
      <c r="F16" s="52">
        <f t="shared" si="1"/>
        <v>252</v>
      </c>
    </row>
    <row r="17" spans="1:6" ht="15.75" x14ac:dyDescent="0.2">
      <c r="A17" s="49" t="s">
        <v>86</v>
      </c>
      <c r="B17" s="50" t="s">
        <v>74</v>
      </c>
      <c r="C17" s="51">
        <v>1</v>
      </c>
      <c r="D17" s="52">
        <v>7</v>
      </c>
      <c r="E17" s="52">
        <f t="shared" si="0"/>
        <v>28</v>
      </c>
      <c r="F17" s="52">
        <f t="shared" si="1"/>
        <v>84</v>
      </c>
    </row>
    <row r="18" spans="1:6" ht="31.5" x14ac:dyDescent="0.2">
      <c r="A18" s="49" t="s">
        <v>87</v>
      </c>
      <c r="B18" s="50" t="s">
        <v>74</v>
      </c>
      <c r="C18" s="51">
        <v>3</v>
      </c>
      <c r="D18" s="52">
        <v>21</v>
      </c>
      <c r="E18" s="52">
        <f t="shared" si="0"/>
        <v>84</v>
      </c>
      <c r="F18" s="52">
        <f t="shared" si="1"/>
        <v>252</v>
      </c>
    </row>
    <row r="19" spans="1:6" ht="15.75" x14ac:dyDescent="0.2">
      <c r="A19" s="49" t="s">
        <v>88</v>
      </c>
      <c r="B19" s="50" t="s">
        <v>74</v>
      </c>
      <c r="C19" s="51">
        <v>2</v>
      </c>
      <c r="D19" s="52">
        <v>14</v>
      </c>
      <c r="E19" s="52">
        <f t="shared" si="0"/>
        <v>56</v>
      </c>
      <c r="F19" s="52">
        <f t="shared" si="1"/>
        <v>168</v>
      </c>
    </row>
    <row r="20" spans="1:6" ht="15.75" x14ac:dyDescent="0.2">
      <c r="A20" s="49" t="s">
        <v>89</v>
      </c>
      <c r="B20" s="50" t="s">
        <v>74</v>
      </c>
      <c r="C20" s="53">
        <v>1</v>
      </c>
      <c r="D20" s="52">
        <v>7</v>
      </c>
      <c r="E20" s="52">
        <f t="shared" si="0"/>
        <v>28</v>
      </c>
      <c r="F20" s="52">
        <f t="shared" si="1"/>
        <v>84</v>
      </c>
    </row>
    <row r="21" spans="1:6" ht="31.5" x14ac:dyDescent="0.2">
      <c r="A21" s="49" t="s">
        <v>90</v>
      </c>
      <c r="B21" s="50" t="s">
        <v>74</v>
      </c>
      <c r="C21" s="51">
        <v>1</v>
      </c>
      <c r="D21" s="52">
        <v>7</v>
      </c>
      <c r="E21" s="52">
        <f t="shared" si="0"/>
        <v>28</v>
      </c>
      <c r="F21" s="52">
        <f t="shared" si="1"/>
        <v>84</v>
      </c>
    </row>
    <row r="22" spans="1:6" ht="31.5" x14ac:dyDescent="0.2">
      <c r="A22" s="49" t="s">
        <v>91</v>
      </c>
      <c r="B22" s="50" t="s">
        <v>74</v>
      </c>
      <c r="C22" s="51">
        <v>1</v>
      </c>
      <c r="D22" s="52">
        <v>7</v>
      </c>
      <c r="E22" s="52">
        <f t="shared" ref="E22:E37" si="2">+D22*4</f>
        <v>28</v>
      </c>
      <c r="F22" s="52">
        <f t="shared" si="1"/>
        <v>84</v>
      </c>
    </row>
    <row r="23" spans="1:6" ht="31.5" x14ac:dyDescent="0.2">
      <c r="A23" s="49" t="s">
        <v>92</v>
      </c>
      <c r="B23" s="50" t="s">
        <v>74</v>
      </c>
      <c r="C23" s="51">
        <v>3</v>
      </c>
      <c r="D23" s="52">
        <v>21</v>
      </c>
      <c r="E23" s="52">
        <f t="shared" si="2"/>
        <v>84</v>
      </c>
      <c r="F23" s="52">
        <f t="shared" si="1"/>
        <v>252</v>
      </c>
    </row>
    <row r="24" spans="1:6" ht="31.5" x14ac:dyDescent="0.2">
      <c r="A24" s="49" t="s">
        <v>93</v>
      </c>
      <c r="B24" s="50" t="s">
        <v>94</v>
      </c>
      <c r="C24" s="51">
        <v>2</v>
      </c>
      <c r="D24" s="52">
        <v>14</v>
      </c>
      <c r="E24" s="52">
        <f t="shared" si="2"/>
        <v>56</v>
      </c>
      <c r="F24" s="52">
        <f t="shared" si="1"/>
        <v>168</v>
      </c>
    </row>
    <row r="25" spans="1:6" ht="31.5" x14ac:dyDescent="0.2">
      <c r="A25" s="49" t="s">
        <v>95</v>
      </c>
      <c r="B25" s="50" t="s">
        <v>74</v>
      </c>
      <c r="C25" s="51">
        <v>1</v>
      </c>
      <c r="D25" s="52">
        <v>7</v>
      </c>
      <c r="E25" s="52">
        <f t="shared" si="2"/>
        <v>28</v>
      </c>
      <c r="F25" s="52">
        <f t="shared" si="1"/>
        <v>84</v>
      </c>
    </row>
    <row r="26" spans="1:6" ht="15.75" x14ac:dyDescent="0.2">
      <c r="A26" s="49" t="s">
        <v>96</v>
      </c>
      <c r="B26" s="50" t="s">
        <v>97</v>
      </c>
      <c r="C26" s="51">
        <v>3</v>
      </c>
      <c r="D26" s="52">
        <v>21</v>
      </c>
      <c r="E26" s="52">
        <f t="shared" si="2"/>
        <v>84</v>
      </c>
      <c r="F26" s="52">
        <f t="shared" si="1"/>
        <v>252</v>
      </c>
    </row>
    <row r="27" spans="1:6" ht="15.75" x14ac:dyDescent="0.2">
      <c r="A27" s="49" t="s">
        <v>98</v>
      </c>
      <c r="B27" s="50" t="s">
        <v>74</v>
      </c>
      <c r="C27" s="53">
        <v>1</v>
      </c>
      <c r="D27" s="52">
        <v>7</v>
      </c>
      <c r="E27" s="52">
        <f t="shared" si="2"/>
        <v>28</v>
      </c>
      <c r="F27" s="52">
        <f t="shared" si="1"/>
        <v>84</v>
      </c>
    </row>
    <row r="28" spans="1:6" ht="31.5" x14ac:dyDescent="0.2">
      <c r="A28" s="49" t="s">
        <v>99</v>
      </c>
      <c r="B28" s="50" t="s">
        <v>100</v>
      </c>
      <c r="C28" s="51">
        <v>4</v>
      </c>
      <c r="D28" s="52">
        <v>28</v>
      </c>
      <c r="E28" s="52">
        <f t="shared" si="2"/>
        <v>112</v>
      </c>
      <c r="F28" s="52">
        <f t="shared" si="1"/>
        <v>336</v>
      </c>
    </row>
    <row r="29" spans="1:6" ht="15.75" x14ac:dyDescent="0.2">
      <c r="A29" s="49" t="s">
        <v>101</v>
      </c>
      <c r="B29" s="50" t="s">
        <v>100</v>
      </c>
      <c r="C29" s="53">
        <v>2</v>
      </c>
      <c r="D29" s="52">
        <v>14</v>
      </c>
      <c r="E29" s="52">
        <f t="shared" si="2"/>
        <v>56</v>
      </c>
      <c r="F29" s="52">
        <f t="shared" si="1"/>
        <v>168</v>
      </c>
    </row>
    <row r="30" spans="1:6" ht="15.75" x14ac:dyDescent="0.2">
      <c r="A30" s="54" t="s">
        <v>102</v>
      </c>
      <c r="B30" s="50" t="s">
        <v>100</v>
      </c>
      <c r="C30" s="51">
        <v>3</v>
      </c>
      <c r="D30" s="52">
        <v>21</v>
      </c>
      <c r="E30" s="52">
        <f t="shared" si="2"/>
        <v>84</v>
      </c>
      <c r="F30" s="52">
        <f t="shared" si="1"/>
        <v>252</v>
      </c>
    </row>
    <row r="31" spans="1:6" ht="31.5" x14ac:dyDescent="0.2">
      <c r="A31" s="54" t="s">
        <v>103</v>
      </c>
      <c r="B31" s="50" t="s">
        <v>100</v>
      </c>
      <c r="C31" s="51">
        <v>1</v>
      </c>
      <c r="D31" s="52">
        <v>7</v>
      </c>
      <c r="E31" s="52">
        <f t="shared" si="2"/>
        <v>28</v>
      </c>
      <c r="F31" s="52">
        <f t="shared" si="1"/>
        <v>84</v>
      </c>
    </row>
    <row r="32" spans="1:6" ht="31.5" x14ac:dyDescent="0.2">
      <c r="A32" s="54" t="s">
        <v>104</v>
      </c>
      <c r="B32" s="50" t="s">
        <v>130</v>
      </c>
      <c r="C32" s="51">
        <v>1</v>
      </c>
      <c r="D32" s="52">
        <v>7</v>
      </c>
      <c r="E32" s="52">
        <f t="shared" si="2"/>
        <v>28</v>
      </c>
      <c r="F32" s="52">
        <f t="shared" si="1"/>
        <v>84</v>
      </c>
    </row>
    <row r="33" spans="1:6" ht="15.75" x14ac:dyDescent="0.2">
      <c r="A33" s="49" t="s">
        <v>105</v>
      </c>
      <c r="B33" s="50" t="s">
        <v>106</v>
      </c>
      <c r="C33" s="51">
        <v>2</v>
      </c>
      <c r="D33" s="52">
        <v>14</v>
      </c>
      <c r="E33" s="52">
        <f t="shared" si="2"/>
        <v>56</v>
      </c>
      <c r="F33" s="52">
        <f t="shared" si="1"/>
        <v>168</v>
      </c>
    </row>
    <row r="34" spans="1:6" ht="47.25" x14ac:dyDescent="0.2">
      <c r="A34" s="49" t="s">
        <v>107</v>
      </c>
      <c r="B34" s="50" t="s">
        <v>108</v>
      </c>
      <c r="C34" s="51">
        <v>5</v>
      </c>
      <c r="D34" s="52">
        <v>35</v>
      </c>
      <c r="E34" s="52">
        <f t="shared" si="2"/>
        <v>140</v>
      </c>
      <c r="F34" s="52">
        <f t="shared" si="1"/>
        <v>420</v>
      </c>
    </row>
    <row r="35" spans="1:6" ht="31.5" x14ac:dyDescent="0.2">
      <c r="A35" s="49" t="s">
        <v>109</v>
      </c>
      <c r="B35" s="50" t="s">
        <v>100</v>
      </c>
      <c r="C35" s="51">
        <v>1</v>
      </c>
      <c r="D35" s="52">
        <v>7</v>
      </c>
      <c r="E35" s="52">
        <f t="shared" si="2"/>
        <v>28</v>
      </c>
      <c r="F35" s="52">
        <f t="shared" si="1"/>
        <v>84</v>
      </c>
    </row>
    <row r="36" spans="1:6" ht="15.75" x14ac:dyDescent="0.2">
      <c r="A36" s="49" t="s">
        <v>110</v>
      </c>
      <c r="B36" s="50" t="s">
        <v>111</v>
      </c>
      <c r="C36" s="51">
        <v>3</v>
      </c>
      <c r="D36" s="52">
        <v>21</v>
      </c>
      <c r="E36" s="52">
        <f t="shared" si="2"/>
        <v>84</v>
      </c>
      <c r="F36" s="52">
        <f t="shared" si="1"/>
        <v>252</v>
      </c>
    </row>
    <row r="37" spans="1:6" ht="31.5" x14ac:dyDescent="0.2">
      <c r="A37" s="49" t="s">
        <v>112</v>
      </c>
      <c r="B37" s="50" t="s">
        <v>113</v>
      </c>
      <c r="C37" s="51">
        <v>1</v>
      </c>
      <c r="D37" s="52">
        <v>7</v>
      </c>
      <c r="E37" s="52">
        <f t="shared" si="2"/>
        <v>28</v>
      </c>
      <c r="F37" s="52">
        <f t="shared" si="1"/>
        <v>84</v>
      </c>
    </row>
    <row r="38" spans="1:6" ht="31.5" x14ac:dyDescent="0.2">
      <c r="A38" s="49" t="s">
        <v>114</v>
      </c>
      <c r="B38" s="50" t="s">
        <v>115</v>
      </c>
      <c r="C38" s="51">
        <v>1</v>
      </c>
      <c r="D38" s="52">
        <v>7</v>
      </c>
      <c r="E38" s="52">
        <f t="shared" ref="E38:E44" si="3">+D38*4</f>
        <v>28</v>
      </c>
      <c r="F38" s="52">
        <f t="shared" si="1"/>
        <v>84</v>
      </c>
    </row>
    <row r="39" spans="1:6" ht="31.5" x14ac:dyDescent="0.2">
      <c r="A39" s="49" t="s">
        <v>116</v>
      </c>
      <c r="B39" s="50" t="s">
        <v>117</v>
      </c>
      <c r="C39" s="51">
        <v>1</v>
      </c>
      <c r="D39" s="52">
        <v>7</v>
      </c>
      <c r="E39" s="52">
        <f t="shared" si="3"/>
        <v>28</v>
      </c>
      <c r="F39" s="52">
        <f t="shared" si="1"/>
        <v>84</v>
      </c>
    </row>
    <row r="40" spans="1:6" ht="31.5" x14ac:dyDescent="0.2">
      <c r="A40" s="49" t="s">
        <v>118</v>
      </c>
      <c r="B40" s="50" t="s">
        <v>119</v>
      </c>
      <c r="C40" s="51">
        <v>2</v>
      </c>
      <c r="D40" s="52">
        <v>14</v>
      </c>
      <c r="E40" s="52">
        <f t="shared" si="3"/>
        <v>56</v>
      </c>
      <c r="F40" s="52">
        <f t="shared" si="1"/>
        <v>168</v>
      </c>
    </row>
    <row r="41" spans="1:6" ht="31.5" x14ac:dyDescent="0.2">
      <c r="A41" s="49" t="s">
        <v>120</v>
      </c>
      <c r="B41" s="50" t="s">
        <v>121</v>
      </c>
      <c r="C41" s="51">
        <v>2</v>
      </c>
      <c r="D41" s="52">
        <v>14</v>
      </c>
      <c r="E41" s="52">
        <f t="shared" si="3"/>
        <v>56</v>
      </c>
      <c r="F41" s="52">
        <f t="shared" si="1"/>
        <v>168</v>
      </c>
    </row>
    <row r="42" spans="1:6" ht="31.5" x14ac:dyDescent="0.2">
      <c r="A42" s="49" t="s">
        <v>122</v>
      </c>
      <c r="B42" s="50" t="s">
        <v>123</v>
      </c>
      <c r="C42" s="51">
        <v>2</v>
      </c>
      <c r="D42" s="52">
        <v>14</v>
      </c>
      <c r="E42" s="52">
        <f t="shared" si="3"/>
        <v>56</v>
      </c>
      <c r="F42" s="52">
        <f t="shared" si="1"/>
        <v>168</v>
      </c>
    </row>
    <row r="43" spans="1:6" ht="31.5" x14ac:dyDescent="0.2">
      <c r="A43" s="49" t="s">
        <v>124</v>
      </c>
      <c r="B43" s="50" t="s">
        <v>125</v>
      </c>
      <c r="C43" s="53">
        <v>2</v>
      </c>
      <c r="D43" s="52">
        <v>14</v>
      </c>
      <c r="E43" s="52">
        <f t="shared" si="3"/>
        <v>56</v>
      </c>
      <c r="F43" s="52">
        <f t="shared" si="1"/>
        <v>168</v>
      </c>
    </row>
    <row r="44" spans="1:6" ht="31.5" x14ac:dyDescent="0.2">
      <c r="A44" s="49" t="s">
        <v>126</v>
      </c>
      <c r="B44" s="50" t="s">
        <v>127</v>
      </c>
      <c r="C44" s="53">
        <v>1</v>
      </c>
      <c r="D44" s="52">
        <v>7</v>
      </c>
      <c r="E44" s="52">
        <f t="shared" si="3"/>
        <v>28</v>
      </c>
      <c r="F44" s="52">
        <f t="shared" si="1"/>
        <v>84</v>
      </c>
    </row>
    <row r="45" spans="1:6" s="46" customFormat="1" ht="18.75" x14ac:dyDescent="0.3">
      <c r="A45" s="121" t="s">
        <v>128</v>
      </c>
      <c r="B45" s="122"/>
      <c r="C45" s="55">
        <f>SUM(C5:C44)</f>
        <v>70</v>
      </c>
      <c r="D45" s="56">
        <f>SUM(D5:D44)</f>
        <v>490</v>
      </c>
      <c r="E45" s="56">
        <f>SUM(E5:E44)</f>
        <v>1960</v>
      </c>
      <c r="F45" s="56">
        <f>SUM(F5:F44)</f>
        <v>5880</v>
      </c>
    </row>
  </sheetData>
  <mergeCells count="2">
    <mergeCell ref="A2:F2"/>
    <mergeCell ref="A45:B4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3"/>
  <sheetViews>
    <sheetView zoomScale="110" zoomScaleNormal="110" workbookViewId="0">
      <selection activeCell="D17" sqref="D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3" t="s">
        <v>20</v>
      </c>
      <c r="B1" s="123"/>
      <c r="C1" s="123"/>
      <c r="D1" s="123"/>
      <c r="E1" s="123"/>
      <c r="F1" s="123"/>
      <c r="G1" s="123"/>
      <c r="H1" s="123"/>
      <c r="I1" s="123"/>
      <c r="J1" s="40" t="s">
        <v>21</v>
      </c>
      <c r="K1" s="41" t="s">
        <v>141</v>
      </c>
    </row>
    <row r="2" spans="1:11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1" ht="18.75" customHeight="1" thickBot="1" x14ac:dyDescent="0.25">
      <c r="A3" s="124" t="s">
        <v>54</v>
      </c>
      <c r="B3" s="124"/>
      <c r="C3" s="124"/>
      <c r="D3" s="125" t="str">
        <f>'Necesidades Trimestrales'!C4</f>
        <v xml:space="preserve">45- Ministerio de Desarrollo Social </v>
      </c>
      <c r="E3" s="125"/>
      <c r="F3" s="125"/>
      <c r="G3" s="125"/>
      <c r="H3" s="125"/>
      <c r="I3" s="125"/>
      <c r="J3" s="125"/>
      <c r="K3" s="125"/>
    </row>
    <row r="4" spans="1:11" ht="18.75" customHeight="1" thickBot="1" x14ac:dyDescent="0.25">
      <c r="A4" s="126" t="s">
        <v>55</v>
      </c>
      <c r="B4" s="126"/>
      <c r="C4" s="126"/>
      <c r="D4" s="125" t="str">
        <f>'Necesidades Trimestrales'!C5</f>
        <v>25- Direccion Provincial de Gestion Administrativa y RRHH</v>
      </c>
      <c r="E4" s="125"/>
      <c r="F4" s="125"/>
      <c r="G4" s="125"/>
      <c r="H4" s="125"/>
      <c r="I4" s="125"/>
      <c r="J4" s="125"/>
      <c r="K4" s="125"/>
    </row>
    <row r="5" spans="1:11" ht="18.75" customHeight="1" thickBot="1" x14ac:dyDescent="0.25">
      <c r="A5" s="126" t="s">
        <v>33</v>
      </c>
      <c r="B5" s="126"/>
      <c r="C5" s="126"/>
      <c r="D5" s="125" t="s">
        <v>134</v>
      </c>
      <c r="E5" s="125"/>
      <c r="F5" s="125"/>
      <c r="G5" s="125"/>
      <c r="H5" s="125"/>
      <c r="I5" s="125"/>
      <c r="J5" s="125"/>
      <c r="K5" s="125"/>
    </row>
    <row r="6" spans="1:11" ht="16.5" customHeight="1" thickBot="1" x14ac:dyDescent="0.25">
      <c r="A6" s="124" t="s">
        <v>56</v>
      </c>
      <c r="B6" s="124"/>
      <c r="C6" s="124"/>
      <c r="D6" s="125" t="s">
        <v>64</v>
      </c>
      <c r="E6" s="125"/>
      <c r="F6" s="125"/>
      <c r="G6" s="125"/>
      <c r="H6" s="125"/>
      <c r="I6" s="125"/>
      <c r="J6" s="125"/>
      <c r="K6" s="125"/>
    </row>
    <row r="7" spans="1:11" ht="16.5" customHeight="1" x14ac:dyDescent="0.2">
      <c r="A7" s="126" t="s">
        <v>22</v>
      </c>
      <c r="B7" s="126"/>
      <c r="C7" s="126"/>
      <c r="D7" s="125" t="str">
        <f>'Necesidades Trimestrales'!C7 &amp; "° Trimestre - Año " &amp; 'Necesidades Trimestrales'!C6</f>
        <v>2° Trimestre - Año 2022</v>
      </c>
      <c r="E7" s="125"/>
      <c r="F7" s="125"/>
      <c r="G7" s="125"/>
      <c r="H7" s="125"/>
      <c r="I7" s="125"/>
      <c r="J7" s="125"/>
      <c r="K7" s="125"/>
    </row>
    <row r="8" spans="1:11" ht="35.25" customHeight="1" x14ac:dyDescent="0.2">
      <c r="A8" s="129" t="s">
        <v>23</v>
      </c>
      <c r="B8" s="129"/>
      <c r="C8" s="129"/>
      <c r="D8" s="130" t="s">
        <v>135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1" ht="18.75" customHeight="1" x14ac:dyDescent="0.2">
      <c r="A10" s="131" t="s">
        <v>24</v>
      </c>
      <c r="B10" s="132" t="s">
        <v>25</v>
      </c>
      <c r="C10" s="132" t="s">
        <v>26</v>
      </c>
      <c r="D10" s="132"/>
      <c r="E10" s="132"/>
      <c r="F10" s="132"/>
      <c r="G10" s="132"/>
      <c r="H10" s="132" t="s">
        <v>27</v>
      </c>
      <c r="I10" s="132" t="s">
        <v>28</v>
      </c>
      <c r="J10" s="132" t="s">
        <v>29</v>
      </c>
      <c r="K10" s="133" t="s">
        <v>30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43.5" customHeight="1" thickBot="1" x14ac:dyDescent="0.25">
      <c r="A12" s="34">
        <v>1</v>
      </c>
      <c r="B12" s="33" t="str">
        <f>'Necesidades Trimestrales'!B10</f>
        <v>2.1.1-478.65</v>
      </c>
      <c r="C12" s="128" t="str">
        <f>'Necesidades Trimestrales'!E10</f>
        <v>AGUA MINERAL; TIPO: SIN GAS BAJA EN SODIO, PRESENTACION: ENVASE X 20 L, MATERIAL ENVASE: PLASTICO 1-PET, TIPO ENVASE: RETORNABLE, ELEM. TRANSPORTE: SIN, MATERIAL ELEM. TRANSPORTE: SIN</v>
      </c>
      <c r="D12" s="128"/>
      <c r="E12" s="128"/>
      <c r="F12" s="128"/>
      <c r="G12" s="128"/>
      <c r="H12" s="34" t="s">
        <v>63</v>
      </c>
      <c r="I12" s="35" t="str">
        <f>'Necesidades Trimestrales'!F10</f>
        <v>UNIDADES</v>
      </c>
      <c r="J12" s="36">
        <v>550</v>
      </c>
      <c r="K12" s="37">
        <f>+'Necesidades Trimestrales'!G10</f>
        <v>5880</v>
      </c>
    </row>
    <row r="13" spans="1:11" ht="26.25" customHeight="1" thickBot="1" x14ac:dyDescent="0.25">
      <c r="A13" s="125" t="s">
        <v>133</v>
      </c>
      <c r="B13" s="125"/>
      <c r="C13" s="125"/>
      <c r="D13" s="125"/>
      <c r="E13" s="125"/>
      <c r="F13" s="125"/>
      <c r="G13" s="125"/>
      <c r="H13" s="125"/>
      <c r="I13" s="125"/>
      <c r="J13" s="127">
        <f>+J12*K12</f>
        <v>3234000</v>
      </c>
      <c r="K13" s="127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zoomScale="130" zoomScaleNormal="130" workbookViewId="0">
      <selection activeCell="T17" sqref="T17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4" t="s">
        <v>3</v>
      </c>
      <c r="B1" s="134"/>
      <c r="C1" s="134"/>
      <c r="D1" s="135">
        <f>'Necesidades Trimestrales'!C6</f>
        <v>2022</v>
      </c>
      <c r="E1" s="135"/>
      <c r="F1" s="4"/>
      <c r="G1" s="4"/>
      <c r="H1" s="5"/>
      <c r="I1" s="5"/>
      <c r="J1" s="5"/>
      <c r="K1" s="5"/>
      <c r="L1" s="5"/>
      <c r="M1" s="5"/>
      <c r="N1" s="5"/>
      <c r="P1" s="136" t="s">
        <v>31</v>
      </c>
      <c r="Q1" s="136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36"/>
      <c r="Q2" s="136"/>
    </row>
    <row r="4" spans="1:18" s="6" customFormat="1" ht="18" customHeight="1" thickBot="1" x14ac:dyDescent="0.25">
      <c r="A4" s="137" t="s">
        <v>32</v>
      </c>
      <c r="B4" s="137"/>
      <c r="C4" s="137"/>
      <c r="D4" s="137"/>
      <c r="E4" s="137"/>
      <c r="F4" s="137"/>
      <c r="G4" s="138" t="str">
        <f>' NotaPedido'!D3</f>
        <v xml:space="preserve">45- Ministerio de Desarrollo Social 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8" s="6" customFormat="1" ht="18" customHeight="1" thickBot="1" x14ac:dyDescent="0.25">
      <c r="A5" s="139" t="s">
        <v>55</v>
      </c>
      <c r="B5" s="140"/>
      <c r="C5" s="140"/>
      <c r="D5" s="140"/>
      <c r="E5" s="140"/>
      <c r="F5" s="141"/>
      <c r="G5" s="138" t="str">
        <f>' NotaPedido'!D4</f>
        <v>25- Direccion Provincial de Gestion Administrativa y RRHH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8" s="6" customFormat="1" ht="18" customHeight="1" thickBot="1" x14ac:dyDescent="0.25">
      <c r="A6" s="139" t="s">
        <v>33</v>
      </c>
      <c r="B6" s="140"/>
      <c r="C6" s="140"/>
      <c r="D6" s="140"/>
      <c r="E6" s="140"/>
      <c r="F6" s="141"/>
      <c r="G6" s="138" t="s">
        <v>134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8" s="6" customFormat="1" ht="18" customHeight="1" thickBot="1" x14ac:dyDescent="0.25">
      <c r="A7" s="139" t="s">
        <v>56</v>
      </c>
      <c r="B7" s="140"/>
      <c r="C7" s="140"/>
      <c r="D7" s="140"/>
      <c r="E7" s="140"/>
      <c r="F7" s="141"/>
      <c r="G7" s="138" t="s">
        <v>64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8" ht="18" customHeight="1" thickBot="1" x14ac:dyDescent="0.25">
      <c r="A8" s="142" t="s">
        <v>34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8" ht="18" customHeight="1" x14ac:dyDescent="0.2">
      <c r="A9" s="147" t="s">
        <v>35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"/>
      <c r="P9" s="1"/>
      <c r="Q9" s="7"/>
    </row>
    <row r="10" spans="1:18" ht="54.75" customHeight="1" x14ac:dyDescent="0.2">
      <c r="A10" s="14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234/2022,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8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5.75" customHeight="1" x14ac:dyDescent="0.2">
      <c r="A12" s="149" t="s">
        <v>36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8" ht="15.75" customHeight="1" x14ac:dyDescent="0.2">
      <c r="A13" s="150" t="s">
        <v>37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38</v>
      </c>
      <c r="P13" s="151"/>
      <c r="Q13" s="152" t="s">
        <v>39</v>
      </c>
    </row>
    <row r="14" spans="1:18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51"/>
      <c r="P14" s="151"/>
      <c r="Q14" s="152"/>
    </row>
    <row r="15" spans="1:18" ht="17.25" customHeight="1" x14ac:dyDescent="0.2">
      <c r="A15" s="27">
        <v>1</v>
      </c>
      <c r="B15" s="28"/>
      <c r="C15" s="28"/>
      <c r="D15" s="28">
        <v>1</v>
      </c>
      <c r="E15" s="28"/>
      <c r="F15" s="28">
        <v>4901</v>
      </c>
      <c r="G15" s="28">
        <v>1</v>
      </c>
      <c r="H15" s="28">
        <v>3</v>
      </c>
      <c r="I15" s="28" t="str">
        <f>LEFT('Necesidades Trimestrales'!D10,1)</f>
        <v>2</v>
      </c>
      <c r="J15" s="28">
        <v>1</v>
      </c>
      <c r="K15" s="28">
        <v>1</v>
      </c>
      <c r="L15" s="28"/>
      <c r="M15" s="29">
        <v>1</v>
      </c>
      <c r="N15" s="28">
        <v>1.1000000000000001</v>
      </c>
      <c r="O15" s="143" t="s">
        <v>65</v>
      </c>
      <c r="P15" s="144"/>
      <c r="Q15" s="17">
        <v>3234000</v>
      </c>
      <c r="R15" s="26"/>
    </row>
    <row r="16" spans="1:18" ht="17.25" customHeight="1" x14ac:dyDescent="0.2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1"/>
      <c r="O16" s="145"/>
      <c r="P16" s="146"/>
      <c r="Q16" s="22"/>
    </row>
    <row r="17" spans="1:17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45"/>
      <c r="P17" s="146"/>
      <c r="Q17" s="22"/>
    </row>
    <row r="18" spans="1:17" ht="17.25" customHeight="1" x14ac:dyDescent="0.2">
      <c r="A18" s="18"/>
      <c r="B18" s="19"/>
      <c r="C18" s="19"/>
      <c r="D18" s="19"/>
      <c r="E18" s="19"/>
      <c r="F18" s="31"/>
      <c r="G18" s="31"/>
      <c r="H18" s="31"/>
      <c r="I18" s="31"/>
      <c r="J18" s="31"/>
      <c r="K18" s="31"/>
      <c r="L18" s="19"/>
      <c r="M18" s="32"/>
      <c r="N18" s="31"/>
      <c r="O18" s="145"/>
      <c r="P18" s="146"/>
      <c r="Q18" s="22"/>
    </row>
    <row r="19" spans="1:17" ht="17.25" customHeight="1" thickBot="1" x14ac:dyDescent="0.25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58"/>
      <c r="P19" s="158"/>
      <c r="Q19" s="23"/>
    </row>
    <row r="20" spans="1:17" ht="30" customHeight="1" thickBot="1" x14ac:dyDescent="0.25">
      <c r="A20" s="159" t="s">
        <v>136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24">
        <f>SUM(Q15:Q19)</f>
        <v>3234000</v>
      </c>
    </row>
    <row r="21" spans="1:17" ht="18" customHeight="1" thickBot="1" x14ac:dyDescent="0.25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</row>
    <row r="22" spans="1:17" ht="17.25" customHeight="1" thickBot="1" x14ac:dyDescent="0.25">
      <c r="A22" s="153" t="s">
        <v>53</v>
      </c>
      <c r="B22" s="154"/>
      <c r="C22" s="154"/>
      <c r="D22" s="154"/>
      <c r="E22" s="154"/>
      <c r="F22" s="155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</row>
    <row r="23" spans="1:17" ht="18" customHeight="1" thickBot="1" x14ac:dyDescent="0.25">
      <c r="A23" s="157" t="s">
        <v>135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</row>
    <row r="24" spans="1:17" ht="15" customHeight="1" x14ac:dyDescent="0.2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</sheetData>
  <mergeCells count="28">
    <mergeCell ref="A22:F22"/>
    <mergeCell ref="G22:Q22"/>
    <mergeCell ref="A23:Q24"/>
    <mergeCell ref="O19:P19"/>
    <mergeCell ref="A20:P20"/>
    <mergeCell ref="A21:Q21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ANEXO I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2022-04-26T14:53:52Z</cp:lastPrinted>
  <dcterms:created xsi:type="dcterms:W3CDTF">2020-07-17T23:44:49Z</dcterms:created>
  <dcterms:modified xsi:type="dcterms:W3CDTF">2022-04-28T15:21:18Z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