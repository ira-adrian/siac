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NAIR\PEDIDOS 2022\3 TRIMESTRE 2022\CONSOLIDADOS\bombas\corregido\HSJB\"/>
    </mc:Choice>
  </mc:AlternateContent>
  <xr:revisionPtr revIDLastSave="0" documentId="8_{0A4B1DA7-5DE5-457B-B3EB-1AF746FD5A29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NotaPedido" sheetId="2" r:id="rId2"/>
    <sheet name="Autor Gastar" sheetId="3" r:id="rId3"/>
  </sheets>
  <definedNames>
    <definedName name="_xlnm._FilterDatabase" localSheetId="0" hidden="1">'Necesidades Trimestrales'!$A$9:$I$16</definedName>
    <definedName name="_xlnm.Print_Area" localSheetId="2">'Autor Gastar'!$A$1:$Q$25</definedName>
    <definedName name="_xlnm.Print_Area" localSheetId="1">NotaPedido!$A$1:$K$19</definedName>
  </definedNames>
  <calcPr calcId="181029"/>
</workbook>
</file>

<file path=xl/calcChain.xml><?xml version="1.0" encoding="utf-8"?>
<calcChain xmlns="http://schemas.openxmlformats.org/spreadsheetml/2006/main">
  <c r="B15" i="2" l="1"/>
  <c r="B16" i="2"/>
  <c r="B17" i="2"/>
  <c r="B18" i="2"/>
  <c r="K17" i="2"/>
  <c r="K18" i="2"/>
  <c r="C16" i="2"/>
  <c r="C17" i="2"/>
  <c r="C18" i="2"/>
  <c r="J18" i="2"/>
  <c r="I17" i="2"/>
  <c r="I18" i="2"/>
  <c r="A24" i="3"/>
  <c r="A10" i="3"/>
  <c r="J17" i="2"/>
  <c r="K16" i="2"/>
  <c r="J16" i="2"/>
  <c r="I16" i="2"/>
  <c r="K15" i="2"/>
  <c r="J15" i="2"/>
  <c r="I15" i="2"/>
  <c r="C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I16" i="1"/>
  <c r="I15" i="1"/>
  <c r="I14" i="1"/>
  <c r="I13" i="1"/>
  <c r="I12" i="1"/>
  <c r="I11" i="1"/>
  <c r="I10" i="1"/>
  <c r="J19" i="2" l="1"/>
  <c r="G6" i="3" l="1"/>
  <c r="G7" i="3"/>
  <c r="D7" i="2"/>
  <c r="D3" i="2"/>
  <c r="G4" i="3" s="1"/>
  <c r="D4" i="2"/>
  <c r="G5" i="3" s="1"/>
  <c r="D1" i="3" l="1"/>
  <c r="Q21" i="3"/>
</calcChain>
</file>

<file path=xl/sharedStrings.xml><?xml version="1.0" encoding="utf-8"?>
<sst xmlns="http://schemas.openxmlformats.org/spreadsheetml/2006/main" count="155" uniqueCount="97">
  <si>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</si>
  <si>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</si>
  <si>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</si>
  <si>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</si>
  <si>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</si>
  <si>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</si>
  <si>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</si>
  <si>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</si>
  <si>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</si>
  <si>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</si>
  <si>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</si>
  <si>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</si>
  <si>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</si>
  <si>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</si>
  <si>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</si>
  <si>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</si>
  <si>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</si>
  <si>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</si>
  <si>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</si>
  <si>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</si>
  <si>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</si>
  <si>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</si>
  <si>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</si>
  <si>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</si>
  <si>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</si>
  <si>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</si>
  <si>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</si>
  <si>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</si>
  <si>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</si>
  <si>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</si>
  <si>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</si>
  <si>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</si>
  <si>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</si>
  <si>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</si>
  <si>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</si>
  <si>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</si>
  <si>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</si>
  <si>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</si>
  <si>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</si>
  <si>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</si>
  <si>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</si>
  <si>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</si>
  <si>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</si>
  <si>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</si>
  <si>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</si>
  <si>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</si>
  <si>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</si>
  <si>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</si>
  <si>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</si>
  <si>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</si>
  <si>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40 - Ministerio de Salud</t>
  </si>
  <si>
    <t>23 - Hospital Interzonal San Juan Bautista</t>
  </si>
  <si>
    <t>168 - Direccion Asistencial</t>
  </si>
  <si>
    <t>Servicio de Farmacia</t>
  </si>
  <si>
    <t>Productos Farmaceuticos y Medicinales</t>
  </si>
  <si>
    <t>3.1</t>
  </si>
  <si>
    <t>1.1</t>
  </si>
  <si>
    <t>Utiles Menores Med. Quir. y de Lab.</t>
  </si>
  <si>
    <t>2.9.5-3474.17</t>
  </si>
  <si>
    <t>PROD. MEDICO/FARMACEUTICOS/LAB</t>
  </si>
  <si>
    <t>2.9.5</t>
  </si>
  <si>
    <t>SET P/BOMBA DE INFUSION; MARCA EQUIPO: ICUMEDICAL, MODELO EQUIPO: PLUM 360 - DOBLE CANAL</t>
  </si>
  <si>
    <t>UNIDAD</t>
  </si>
  <si>
    <t>2.9.5-2205.28</t>
  </si>
  <si>
    <t>PROLONGADORES P/GUIA SUERO; USO: ANESTESIA, MODELO: ADULTO</t>
  </si>
  <si>
    <t>2.5.2-2455.49</t>
  </si>
  <si>
    <t>2.5.2</t>
  </si>
  <si>
    <t>ANESTÉSICOS GENERALES; DROGA GENÉRICA: PROPOFOL 2%, 400MGR, FORMA FARMACEÚTICA: AMPOLLA, PRESENTACIÓN ENVASE: X 50ML, TIPO: MONODROGA</t>
  </si>
  <si>
    <t>2.5.2-1724.230</t>
  </si>
  <si>
    <t>ANALGESICOS ; PRESENTACION: 100 mL, FORMA FARMACEUTICA: AMPOLLA, DROGA GENERICA: PARACETAMOL 1000 mGr, TIPO: MONODROGA mGr</t>
  </si>
  <si>
    <t>2.5.2-1883.173</t>
  </si>
  <si>
    <t>ANESTESICOS LOCALES; TIPO: MONODROGA, DROGA GENERICA: REMIFENTANILO 5 mGr, FORMA FARMACEUTICA: AMPOLLA, PRESENTACION: UNIDAD</t>
  </si>
  <si>
    <t>Especificidades Item N° 1 :</t>
  </si>
  <si>
    <t xml:space="preserve"> SET DE BOMBA PARA INFUSION ENDOVENOSA.</t>
  </si>
  <si>
    <t>Plazo de Mantenimiento de oferta:</t>
  </si>
  <si>
    <t>Treinta (30) días habiles.</t>
  </si>
  <si>
    <r>
      <rPr>
        <u/>
        <sz val="10"/>
        <rFont val="Times New Roman"/>
        <family val="1"/>
      </rPr>
      <t>Condiciones  de calidad:</t>
    </r>
    <r>
      <rPr>
        <sz val="10"/>
        <rFont val="Times New Roman"/>
        <family val="1"/>
      </rPr>
      <t xml:space="preserve"> </t>
    </r>
  </si>
  <si>
    <t>Ver ANEXO I</t>
  </si>
  <si>
    <t xml:space="preserve">                                                                                 </t>
  </si>
  <si>
    <t>Especificidades Item N°  2 :</t>
  </si>
  <si>
    <t>SET DE BOMBA  PARA ALIMENTACION ENTERAL CON PUNSON SIN PUERTO EN Y.</t>
  </si>
  <si>
    <t>Plazos y lugares de entrega:</t>
  </si>
  <si>
    <t xml:space="preserve">
</t>
  </si>
  <si>
    <t>Especificidades Item N°  3 :</t>
  </si>
  <si>
    <t>SET DE BOMBA PARA INFUSION ENDOVENOSA con TUBO REVESTIDO RESISTENTE A LA LUZ.</t>
  </si>
  <si>
    <t>Especificidades Item N°4:</t>
  </si>
  <si>
    <t>COMPATIBLE CON BOMBA  ORCHESTRA BASE PRIMEA.</t>
  </si>
  <si>
    <t>Especificidades Item N°5, 6 y 7:</t>
  </si>
  <si>
    <t>TIPO FRESENIUS - COMPATIBLE CON BOMBA ORCHESTRA BASE PRIMEA.</t>
  </si>
  <si>
    <t xml:space="preserve">2  ( SEMESTRAL ) </t>
  </si>
  <si>
    <t>NOTA DE PEDIDO 109</t>
  </si>
  <si>
    <t>Adquisición de Set para bomba de infusión y Medicamentos</t>
  </si>
  <si>
    <t>SI</t>
  </si>
  <si>
    <t>Costo total estimado: PESOS CUATRO MILLONES NOVECIENTOS NOVENTA Y CUATRO MIL SEISCIENTOS VEINTIOCHO CON 20/100.-</t>
  </si>
  <si>
    <t>TOTAL DE PESOS: CUATRO MILLONES NOVECIENTOS NOVENTA Y CUATRO MIL SEISCIENTOS VEINTIOCHO CON 20/100.-</t>
  </si>
  <si>
    <t>Diez (10) dias habiles. HSJB -SERVICIO DE FARMACIA - AVDA. ILLIA Y MARIANO MORENO - DE LUNES A VIERNES DE 08:00 A 12:00 HORAS</t>
  </si>
  <si>
    <t>DOCFI-2022-01537790-CAT-DASIS#HSJB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</si>
</sst>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#,##0.00"/>
  </numFmts>
  <fonts count="29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  <charset val="1"/>
    </font>
    <font>
      <b/>
      <u/>
      <sz val="10"/>
      <name val="Times New Roman"/>
      <family val="1"/>
    </font>
    <font>
      <b/>
      <sz val="10"/>
      <name val="Times New Roman"/>
      <family val="1"/>
    </font>
    <font>
      <b/>
      <sz val="10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48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5" fillId="0" borderId="0" xfId="0" applyFont="1" applyBorder="1"/>
    <xf numFmtId="0" fontId="15" fillId="0" borderId="6" xfId="0" applyFont="1" applyBorder="1"/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166" fontId="20" fillId="3" borderId="14" xfId="1" applyNumberFormat="1" applyFont="1" applyFill="1" applyBorder="1" applyAlignment="1" applyProtection="1">
      <alignment horizontal="right" vertical="center" wrapText="1"/>
    </xf>
    <xf numFmtId="0" fontId="22" fillId="3" borderId="0" xfId="0" applyFont="1" applyFill="1" applyAlignment="1">
      <alignment horizontal="left" wrapText="1" indent="1"/>
    </xf>
    <xf numFmtId="0" fontId="19" fillId="4" borderId="0" xfId="0" applyFont="1" applyFill="1" applyAlignment="1">
      <alignment horizontal="left" wrapText="1"/>
    </xf>
    <xf numFmtId="0" fontId="4" fillId="4" borderId="19" xfId="0" applyFont="1" applyFill="1" applyBorder="1" applyAlignment="1">
      <alignment horizontal="left" vertical="center"/>
    </xf>
    <xf numFmtId="0" fontId="4" fillId="3" borderId="19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 wrapText="1"/>
    </xf>
    <xf numFmtId="166" fontId="4" fillId="4" borderId="19" xfId="1" applyNumberFormat="1" applyFont="1" applyFill="1" applyBorder="1" applyAlignment="1" applyProtection="1">
      <alignment horizontal="right" vertical="center" wrapText="1"/>
    </xf>
    <xf numFmtId="3" fontId="4" fillId="4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3" borderId="31" xfId="0" applyFont="1" applyFill="1" applyBorder="1" applyAlignment="1">
      <alignment horizontal="center" vertical="center"/>
    </xf>
    <xf numFmtId="0" fontId="0" fillId="3" borderId="32" xfId="0" applyFont="1" applyFill="1" applyBorder="1" applyAlignment="1">
      <alignment horizontal="center" vertical="center"/>
    </xf>
    <xf numFmtId="0" fontId="14" fillId="3" borderId="32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0" fillId="3" borderId="33" xfId="0" applyFont="1" applyFill="1" applyBorder="1" applyAlignment="1">
      <alignment horizontal="center" vertical="center"/>
    </xf>
    <xf numFmtId="166" fontId="0" fillId="0" borderId="0" xfId="0" applyNumberFormat="1"/>
    <xf numFmtId="0" fontId="14" fillId="0" borderId="14" xfId="0" applyFont="1" applyBorder="1" applyAlignment="1">
      <alignment vertical="center" wrapText="1"/>
    </xf>
    <xf numFmtId="0" fontId="14" fillId="4" borderId="14" xfId="0" applyFont="1" applyFill="1" applyBorder="1" applyAlignment="1">
      <alignment vertical="center"/>
    </xf>
    <xf numFmtId="0" fontId="23" fillId="4" borderId="14" xfId="0" applyFont="1" applyFill="1" applyBorder="1" applyAlignment="1">
      <alignment horizontal="center" vertical="center"/>
    </xf>
    <xf numFmtId="0" fontId="23" fillId="4" borderId="14" xfId="0" applyFont="1" applyFill="1" applyBorder="1" applyAlignment="1">
      <alignment horizontal="left" vertical="center" wrapText="1"/>
    </xf>
    <xf numFmtId="0" fontId="14" fillId="4" borderId="14" xfId="0" applyFont="1" applyFill="1" applyBorder="1" applyAlignment="1">
      <alignment horizontal="center" vertical="center"/>
    </xf>
    <xf numFmtId="0" fontId="14" fillId="4" borderId="14" xfId="0" applyFont="1" applyFill="1" applyBorder="1" applyAlignment="1">
      <alignment horizontal="left" vertical="center" wrapText="1"/>
    </xf>
    <xf numFmtId="0" fontId="18" fillId="4" borderId="14" xfId="0" applyFont="1" applyFill="1" applyBorder="1" applyAlignment="1">
      <alignment horizontal="center" vertical="center" wrapText="1"/>
    </xf>
    <xf numFmtId="169" fontId="18" fillId="4" borderId="14" xfId="0" applyNumberFormat="1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wrapText="1"/>
    </xf>
    <xf numFmtId="2" fontId="14" fillId="4" borderId="14" xfId="0" applyNumberFormat="1" applyFont="1" applyFill="1" applyBorder="1" applyAlignment="1">
      <alignment vertical="center" wrapText="1"/>
    </xf>
    <xf numFmtId="0" fontId="26" fillId="0" borderId="2" xfId="0" applyFont="1" applyBorder="1"/>
    <xf numFmtId="0" fontId="21" fillId="0" borderId="5" xfId="0" applyFont="1" applyBorder="1" applyAlignment="1"/>
    <xf numFmtId="0" fontId="15" fillId="0" borderId="0" xfId="0" applyFont="1" applyFill="1" applyBorder="1"/>
    <xf numFmtId="0" fontId="15" fillId="0" borderId="6" xfId="0" applyFont="1" applyFill="1" applyBorder="1"/>
    <xf numFmtId="0" fontId="15" fillId="0" borderId="0" xfId="0" applyFont="1" applyFill="1" applyBorder="1" applyAlignment="1">
      <alignment horizontal="center" wrapText="1"/>
    </xf>
    <xf numFmtId="0" fontId="15" fillId="0" borderId="5" xfId="0" applyFont="1" applyBorder="1" applyAlignment="1"/>
    <xf numFmtId="0" fontId="15" fillId="0" borderId="8" xfId="0" applyFont="1" applyFill="1" applyBorder="1" applyAlignment="1">
      <alignment vertical="center" wrapText="1"/>
    </xf>
    <xf numFmtId="0" fontId="21" fillId="0" borderId="5" xfId="0" applyFont="1" applyBorder="1"/>
    <xf numFmtId="0" fontId="15" fillId="0" borderId="7" xfId="0" applyFont="1" applyBorder="1"/>
    <xf numFmtId="0" fontId="21" fillId="0" borderId="5" xfId="0" applyFont="1" applyBorder="1" applyAlignment="1">
      <alignment wrapText="1"/>
    </xf>
    <xf numFmtId="0" fontId="22" fillId="0" borderId="0" xfId="0" applyFont="1" applyFill="1" applyAlignment="1">
      <alignment horizontal="left" wrapText="1" indent="1"/>
    </xf>
    <xf numFmtId="0" fontId="14" fillId="0" borderId="14" xfId="0" applyFont="1" applyBorder="1" applyAlignment="1">
      <alignment horizontal="center" vertical="center" wrapText="1"/>
    </xf>
    <xf numFmtId="0" fontId="28" fillId="3" borderId="11" xfId="0" applyFont="1" applyFill="1" applyBorder="1" applyAlignment="1">
      <alignment horizontal="center" vertical="center"/>
    </xf>
    <xf numFmtId="0" fontId="21" fillId="0" borderId="5" xfId="0" applyFont="1" applyBorder="1" applyAlignment="1">
      <alignment vertical="center"/>
    </xf>
    <xf numFmtId="0" fontId="27" fillId="0" borderId="3" xfId="0" applyFont="1" applyBorder="1" applyAlignment="1">
      <alignment horizontal="left"/>
    </xf>
    <xf numFmtId="0" fontId="27" fillId="0" borderId="4" xfId="0" applyFont="1" applyBorder="1" applyAlignment="1">
      <alignment horizontal="left"/>
    </xf>
    <xf numFmtId="0" fontId="15" fillId="0" borderId="0" xfId="0" applyFont="1" applyFill="1" applyBorder="1" applyAlignment="1">
      <alignment horizontal="left" wrapText="1"/>
    </xf>
    <xf numFmtId="0" fontId="15" fillId="0" borderId="6" xfId="0" applyFont="1" applyFill="1" applyBorder="1" applyAlignment="1">
      <alignment horizontal="left" wrapText="1"/>
    </xf>
    <xf numFmtId="0" fontId="15" fillId="0" borderId="0" xfId="0" applyFont="1" applyFill="1" applyBorder="1" applyAlignment="1">
      <alignment horizontal="left" vertical="center" wrapText="1"/>
    </xf>
    <xf numFmtId="0" fontId="15" fillId="0" borderId="6" xfId="0" applyFont="1" applyFill="1" applyBorder="1" applyAlignment="1">
      <alignment horizontal="left" vertical="center" wrapText="1"/>
    </xf>
    <xf numFmtId="0" fontId="15" fillId="0" borderId="8" xfId="0" applyFont="1" applyFill="1" applyBorder="1" applyAlignment="1">
      <alignment wrapText="1"/>
    </xf>
    <xf numFmtId="0" fontId="15" fillId="0" borderId="9" xfId="0" applyFont="1" applyFill="1" applyBorder="1" applyAlignment="1">
      <alignment wrapText="1"/>
    </xf>
    <xf numFmtId="0" fontId="15" fillId="0" borderId="3" xfId="0" applyFont="1" applyBorder="1" applyAlignment="1">
      <alignment horizontal="left" wrapText="1"/>
    </xf>
    <xf numFmtId="0" fontId="15" fillId="0" borderId="3" xfId="0" applyFont="1" applyBorder="1" applyAlignment="1">
      <alignment horizontal="left"/>
    </xf>
    <xf numFmtId="0" fontId="15" fillId="0" borderId="4" xfId="0" applyFont="1" applyBorder="1" applyAlignment="1">
      <alignment horizontal="left"/>
    </xf>
    <xf numFmtId="0" fontId="27" fillId="0" borderId="0" xfId="0" applyFont="1" applyBorder="1" applyAlignment="1">
      <alignment horizontal="left"/>
    </xf>
    <xf numFmtId="0" fontId="27" fillId="0" borderId="6" xfId="0" applyFont="1" applyBorder="1" applyAlignment="1">
      <alignment horizontal="left"/>
    </xf>
    <xf numFmtId="0" fontId="15" fillId="0" borderId="5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22" fillId="3" borderId="0" xfId="0" applyFont="1" applyFill="1" applyBorder="1" applyAlignment="1">
      <alignment horizontal="left" wrapText="1" indent="1"/>
    </xf>
    <xf numFmtId="0" fontId="4" fillId="4" borderId="19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3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4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3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25" fillId="0" borderId="44" xfId="0" applyFont="1" applyBorder="1" applyAlignment="1">
      <alignment horizontal="left" vertical="center" wrapText="1"/>
    </xf>
    <xf numFmtId="0" fontId="0" fillId="0" borderId="22" xfId="0" applyBorder="1"/>
    <xf numFmtId="0" fontId="24" fillId="0" borderId="32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63"/>
  <sheetViews>
    <sheetView tabSelected="1" zoomScale="80" zoomScaleNormal="80" workbookViewId="0">
      <selection activeCell="I52" sqref="I52"/>
    </sheetView>
  </sheetViews>
  <sheetFormatPr baseColWidth="10" defaultColWidth="11" defaultRowHeight="12.75" x14ac:dyDescent="0.2"/>
  <cols>
    <col min="1" max="1" width="4.5703125" style="39" customWidth="1"/>
    <col min="2" max="2" width="31.2851562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106" t="s">
        <v>0</v>
      </c>
      <c r="C2" s="106"/>
      <c r="D2" s="106"/>
      <c r="E2" s="106"/>
      <c r="F2" s="106"/>
      <c r="G2" s="106"/>
      <c r="H2" s="106"/>
    </row>
    <row r="4" spans="1:9" ht="18" customHeight="1" x14ac:dyDescent="0.25">
      <c r="A4" s="105" t="s">
        <v>1</v>
      </c>
      <c r="B4" s="105"/>
      <c r="C4" s="107" t="s">
        <v>50</v>
      </c>
      <c r="D4" s="107"/>
      <c r="E4" s="107"/>
      <c r="F4" s="40"/>
      <c r="G4" s="41"/>
      <c r="H4" s="40"/>
    </row>
    <row r="5" spans="1:9" ht="18" customHeight="1" x14ac:dyDescent="0.25">
      <c r="A5" s="105" t="s">
        <v>2</v>
      </c>
      <c r="B5" s="105"/>
      <c r="C5" s="107" t="s">
        <v>51</v>
      </c>
      <c r="D5" s="107"/>
      <c r="E5" s="107"/>
      <c r="F5" s="40"/>
      <c r="G5" s="41"/>
      <c r="H5" s="40"/>
    </row>
    <row r="6" spans="1:9" ht="16.5" customHeight="1" x14ac:dyDescent="0.25">
      <c r="A6" s="105" t="s">
        <v>3</v>
      </c>
      <c r="B6" s="105"/>
      <c r="C6" s="50">
        <v>2022</v>
      </c>
      <c r="D6" s="51"/>
      <c r="E6" s="51"/>
      <c r="F6" s="40"/>
      <c r="G6" s="41"/>
      <c r="H6" s="40"/>
    </row>
    <row r="7" spans="1:9" ht="16.5" customHeight="1" x14ac:dyDescent="0.25">
      <c r="A7" s="105" t="s">
        <v>4</v>
      </c>
      <c r="B7" s="105"/>
      <c r="C7" s="85" t="s">
        <v>89</v>
      </c>
      <c r="D7" s="51"/>
      <c r="E7" s="51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47" t="s">
        <v>5</v>
      </c>
      <c r="B9" s="47" t="s">
        <v>6</v>
      </c>
      <c r="C9" s="47" t="s">
        <v>7</v>
      </c>
      <c r="D9" s="47" t="s">
        <v>8</v>
      </c>
      <c r="E9" s="47" t="s">
        <v>9</v>
      </c>
      <c r="F9" s="47" t="s">
        <v>10</v>
      </c>
      <c r="G9" s="47" t="s">
        <v>11</v>
      </c>
      <c r="H9" s="47" t="s">
        <v>12</v>
      </c>
      <c r="I9" s="47" t="s">
        <v>13</v>
      </c>
    </row>
    <row r="10" spans="1:9" ht="38.25" customHeight="1" thickBot="1" x14ac:dyDescent="0.25">
      <c r="A10" s="48">
        <v>1</v>
      </c>
      <c r="B10" s="69" t="s">
        <v>58</v>
      </c>
      <c r="C10" s="70" t="s">
        <v>59</v>
      </c>
      <c r="D10" s="71" t="s">
        <v>60</v>
      </c>
      <c r="E10" s="65" t="s">
        <v>61</v>
      </c>
      <c r="F10" s="71" t="s">
        <v>62</v>
      </c>
      <c r="G10" s="71">
        <v>1000</v>
      </c>
      <c r="H10" s="72">
        <v>1391</v>
      </c>
      <c r="I10" s="49">
        <f t="shared" ref="I10:I16" si="0">G10*H10</f>
        <v>1391000</v>
      </c>
    </row>
    <row r="11" spans="1:9" ht="38.25" customHeight="1" thickBot="1" x14ac:dyDescent="0.25">
      <c r="A11" s="48">
        <v>2</v>
      </c>
      <c r="B11" s="69" t="s">
        <v>58</v>
      </c>
      <c r="C11" s="70" t="s">
        <v>59</v>
      </c>
      <c r="D11" s="71" t="s">
        <v>60</v>
      </c>
      <c r="E11" s="65" t="s">
        <v>61</v>
      </c>
      <c r="F11" s="71" t="s">
        <v>62</v>
      </c>
      <c r="G11" s="71">
        <v>700</v>
      </c>
      <c r="H11" s="72">
        <v>1512.5</v>
      </c>
      <c r="I11" s="49">
        <f t="shared" si="0"/>
        <v>1058750</v>
      </c>
    </row>
    <row r="12" spans="1:9" ht="39" customHeight="1" thickBot="1" x14ac:dyDescent="0.25">
      <c r="A12" s="48">
        <v>3</v>
      </c>
      <c r="B12" s="69" t="s">
        <v>58</v>
      </c>
      <c r="C12" s="70" t="s">
        <v>59</v>
      </c>
      <c r="D12" s="71" t="s">
        <v>60</v>
      </c>
      <c r="E12" s="65" t="s">
        <v>61</v>
      </c>
      <c r="F12" s="71" t="s">
        <v>62</v>
      </c>
      <c r="G12" s="86">
        <v>100</v>
      </c>
      <c r="H12" s="72">
        <v>1643.2</v>
      </c>
      <c r="I12" s="49">
        <f t="shared" si="0"/>
        <v>164320</v>
      </c>
    </row>
    <row r="13" spans="1:9" ht="31.9" customHeight="1" thickBot="1" x14ac:dyDescent="0.25">
      <c r="A13" s="48">
        <v>4</v>
      </c>
      <c r="B13" s="69" t="s">
        <v>63</v>
      </c>
      <c r="C13" s="70" t="s">
        <v>59</v>
      </c>
      <c r="D13" s="71" t="s">
        <v>60</v>
      </c>
      <c r="E13" s="66" t="s">
        <v>64</v>
      </c>
      <c r="F13" s="71" t="s">
        <v>62</v>
      </c>
      <c r="G13" s="71">
        <v>120</v>
      </c>
      <c r="H13" s="72">
        <v>1473.64</v>
      </c>
      <c r="I13" s="49">
        <f t="shared" si="0"/>
        <v>176836.80000000002</v>
      </c>
    </row>
    <row r="14" spans="1:9" ht="38.25" customHeight="1" thickBot="1" x14ac:dyDescent="0.25">
      <c r="A14" s="48">
        <v>5</v>
      </c>
      <c r="B14" s="69" t="s">
        <v>65</v>
      </c>
      <c r="C14" s="73" t="s">
        <v>59</v>
      </c>
      <c r="D14" s="71" t="s">
        <v>66</v>
      </c>
      <c r="E14" s="74" t="s">
        <v>67</v>
      </c>
      <c r="F14" s="71" t="s">
        <v>62</v>
      </c>
      <c r="G14" s="71">
        <v>900</v>
      </c>
      <c r="H14" s="72">
        <v>1418.27</v>
      </c>
      <c r="I14" s="49">
        <f t="shared" si="0"/>
        <v>1276443</v>
      </c>
    </row>
    <row r="15" spans="1:9" ht="42" customHeight="1" thickBot="1" x14ac:dyDescent="0.25">
      <c r="A15" s="48">
        <v>6</v>
      </c>
      <c r="B15" s="67" t="s">
        <v>68</v>
      </c>
      <c r="C15" s="73" t="s">
        <v>59</v>
      </c>
      <c r="D15" s="71" t="s">
        <v>66</v>
      </c>
      <c r="E15" s="68" t="s">
        <v>69</v>
      </c>
      <c r="F15" s="71" t="s">
        <v>62</v>
      </c>
      <c r="G15" s="71">
        <v>300</v>
      </c>
      <c r="H15" s="72">
        <v>1340.98</v>
      </c>
      <c r="I15" s="49">
        <f t="shared" si="0"/>
        <v>402294</v>
      </c>
    </row>
    <row r="16" spans="1:9" ht="39.75" customHeight="1" thickBot="1" x14ac:dyDescent="0.25">
      <c r="A16" s="48">
        <v>7</v>
      </c>
      <c r="B16" s="67" t="s">
        <v>70</v>
      </c>
      <c r="C16" s="73" t="s">
        <v>59</v>
      </c>
      <c r="D16" s="71" t="s">
        <v>66</v>
      </c>
      <c r="E16" s="68" t="s">
        <v>71</v>
      </c>
      <c r="F16" s="71" t="s">
        <v>62</v>
      </c>
      <c r="G16" s="71">
        <v>360</v>
      </c>
      <c r="H16" s="72">
        <v>1458.29</v>
      </c>
      <c r="I16" s="49">
        <f t="shared" si="0"/>
        <v>524984.4</v>
      </c>
    </row>
    <row r="18" spans="2:5" ht="13.5" thickBot="1" x14ac:dyDescent="0.25"/>
    <row r="19" spans="2:5" x14ac:dyDescent="0.2">
      <c r="B19" s="75" t="s">
        <v>72</v>
      </c>
      <c r="C19" s="89" t="s">
        <v>73</v>
      </c>
      <c r="D19" s="89"/>
      <c r="E19" s="90"/>
    </row>
    <row r="20" spans="2:5" ht="5.25" customHeight="1" x14ac:dyDescent="0.2">
      <c r="B20" s="102"/>
      <c r="C20" s="103"/>
      <c r="D20" s="103"/>
      <c r="E20" s="104"/>
    </row>
    <row r="21" spans="2:5" ht="39.75" customHeight="1" x14ac:dyDescent="0.2">
      <c r="B21" s="88" t="s">
        <v>81</v>
      </c>
      <c r="C21" s="91" t="s">
        <v>95</v>
      </c>
      <c r="D21" s="91"/>
      <c r="E21" s="92"/>
    </row>
    <row r="22" spans="2:5" ht="30" customHeight="1" x14ac:dyDescent="0.2">
      <c r="B22" s="76"/>
      <c r="C22" s="77"/>
      <c r="D22" s="77"/>
      <c r="E22" s="78"/>
    </row>
    <row r="23" spans="2:5" x14ac:dyDescent="0.2">
      <c r="B23" s="84" t="s">
        <v>74</v>
      </c>
      <c r="C23" s="91" t="s">
        <v>75</v>
      </c>
      <c r="D23" s="91"/>
      <c r="E23" s="92"/>
    </row>
    <row r="24" spans="2:5" x14ac:dyDescent="0.2">
      <c r="B24" s="76"/>
      <c r="C24" s="79"/>
      <c r="D24" s="93"/>
      <c r="E24" s="94"/>
    </row>
    <row r="25" spans="2:5" x14ac:dyDescent="0.2">
      <c r="B25" s="80" t="s">
        <v>76</v>
      </c>
      <c r="C25" s="91" t="s">
        <v>77</v>
      </c>
      <c r="D25" s="91"/>
      <c r="E25" s="92"/>
    </row>
    <row r="26" spans="2:5" ht="13.5" thickBot="1" x14ac:dyDescent="0.25">
      <c r="B26" s="44"/>
      <c r="C26" s="81" t="s">
        <v>78</v>
      </c>
      <c r="D26" s="95"/>
      <c r="E26" s="96"/>
    </row>
    <row r="27" spans="2:5" ht="26.25" customHeight="1" thickBot="1" x14ac:dyDescent="0.25">
      <c r="B27" s="42"/>
      <c r="C27" s="42"/>
      <c r="D27" s="42"/>
      <c r="E27" s="42"/>
    </row>
    <row r="28" spans="2:5" x14ac:dyDescent="0.2">
      <c r="B28" s="75" t="s">
        <v>79</v>
      </c>
      <c r="C28" s="89" t="s">
        <v>80</v>
      </c>
      <c r="D28" s="89"/>
      <c r="E28" s="90"/>
    </row>
    <row r="29" spans="2:5" ht="26.25" customHeight="1" x14ac:dyDescent="0.2">
      <c r="B29" s="82"/>
      <c r="C29" s="42"/>
      <c r="D29" s="42"/>
      <c r="E29" s="43"/>
    </row>
    <row r="30" spans="2:5" ht="39.75" customHeight="1" x14ac:dyDescent="0.2">
      <c r="B30" s="88" t="s">
        <v>81</v>
      </c>
      <c r="C30" s="91" t="s">
        <v>95</v>
      </c>
      <c r="D30" s="91"/>
      <c r="E30" s="92"/>
    </row>
    <row r="31" spans="2:5" ht="23.25" customHeight="1" x14ac:dyDescent="0.2">
      <c r="B31" s="76"/>
      <c r="C31" s="77"/>
      <c r="D31" s="77"/>
      <c r="E31" s="78"/>
    </row>
    <row r="32" spans="2:5" x14ac:dyDescent="0.2">
      <c r="B32" s="84" t="s">
        <v>74</v>
      </c>
      <c r="C32" s="91" t="s">
        <v>75</v>
      </c>
      <c r="D32" s="91"/>
      <c r="E32" s="92"/>
    </row>
    <row r="33" spans="2:5" x14ac:dyDescent="0.2">
      <c r="B33" s="76"/>
      <c r="C33" s="79"/>
      <c r="D33" s="93"/>
      <c r="E33" s="94"/>
    </row>
    <row r="34" spans="2:5" x14ac:dyDescent="0.2">
      <c r="B34" s="80" t="s">
        <v>76</v>
      </c>
      <c r="C34" s="91" t="s">
        <v>77</v>
      </c>
      <c r="D34" s="91"/>
      <c r="E34" s="92"/>
    </row>
    <row r="35" spans="2:5" ht="7.5" customHeight="1" thickBot="1" x14ac:dyDescent="0.25">
      <c r="B35" s="83"/>
      <c r="C35" s="45"/>
      <c r="D35" s="45"/>
      <c r="E35" s="46"/>
    </row>
    <row r="36" spans="2:5" ht="13.5" thickBot="1" x14ac:dyDescent="0.25">
      <c r="B36" s="42"/>
      <c r="C36" s="42"/>
      <c r="D36" s="42"/>
      <c r="E36" s="42"/>
    </row>
    <row r="37" spans="2:5" ht="24" customHeight="1" x14ac:dyDescent="0.2">
      <c r="B37" s="75"/>
      <c r="C37" s="97" t="s">
        <v>82</v>
      </c>
      <c r="D37" s="98"/>
      <c r="E37" s="99"/>
    </row>
    <row r="38" spans="2:5" x14ac:dyDescent="0.2">
      <c r="B38" s="82" t="s">
        <v>83</v>
      </c>
      <c r="C38" s="100" t="s">
        <v>84</v>
      </c>
      <c r="D38" s="100"/>
      <c r="E38" s="101"/>
    </row>
    <row r="39" spans="2:5" x14ac:dyDescent="0.2">
      <c r="B39" s="102"/>
      <c r="C39" s="103"/>
      <c r="D39" s="103"/>
      <c r="E39" s="104"/>
    </row>
    <row r="40" spans="2:5" ht="39" customHeight="1" x14ac:dyDescent="0.2">
      <c r="B40" s="88" t="s">
        <v>81</v>
      </c>
      <c r="C40" s="91" t="s">
        <v>95</v>
      </c>
      <c r="D40" s="91"/>
      <c r="E40" s="92"/>
    </row>
    <row r="41" spans="2:5" x14ac:dyDescent="0.2">
      <c r="B41" s="76"/>
      <c r="C41" s="77"/>
      <c r="D41" s="77"/>
      <c r="E41" s="78"/>
    </row>
    <row r="42" spans="2:5" x14ac:dyDescent="0.2">
      <c r="B42" s="84" t="s">
        <v>74</v>
      </c>
      <c r="C42" s="91" t="s">
        <v>75</v>
      </c>
      <c r="D42" s="91"/>
      <c r="E42" s="92"/>
    </row>
    <row r="43" spans="2:5" x14ac:dyDescent="0.2">
      <c r="B43" s="76"/>
      <c r="C43" s="79"/>
      <c r="D43" s="93"/>
      <c r="E43" s="94"/>
    </row>
    <row r="44" spans="2:5" x14ac:dyDescent="0.2">
      <c r="B44" s="80" t="s">
        <v>76</v>
      </c>
      <c r="C44" s="91" t="s">
        <v>77</v>
      </c>
      <c r="D44" s="91"/>
      <c r="E44" s="92"/>
    </row>
    <row r="45" spans="2:5" ht="13.5" thickBot="1" x14ac:dyDescent="0.25">
      <c r="B45" s="83"/>
      <c r="C45" s="45"/>
      <c r="D45" s="45"/>
      <c r="E45" s="46"/>
    </row>
    <row r="46" spans="2:5" ht="13.5" thickBot="1" x14ac:dyDescent="0.25">
      <c r="B46" s="42"/>
      <c r="C46" s="42"/>
      <c r="D46" s="42"/>
      <c r="E46" s="42"/>
    </row>
    <row r="47" spans="2:5" x14ac:dyDescent="0.2">
      <c r="B47" s="75" t="s">
        <v>85</v>
      </c>
      <c r="C47" s="89" t="s">
        <v>86</v>
      </c>
      <c r="D47" s="89"/>
      <c r="E47" s="90"/>
    </row>
    <row r="48" spans="2:5" x14ac:dyDescent="0.2">
      <c r="B48" s="82"/>
      <c r="C48" s="42"/>
      <c r="D48" s="42"/>
      <c r="E48" s="43"/>
    </row>
    <row r="49" spans="2:5" ht="31.5" customHeight="1" x14ac:dyDescent="0.2">
      <c r="B49" s="88" t="s">
        <v>81</v>
      </c>
      <c r="C49" s="91" t="s">
        <v>95</v>
      </c>
      <c r="D49" s="91"/>
      <c r="E49" s="92"/>
    </row>
    <row r="50" spans="2:5" x14ac:dyDescent="0.2">
      <c r="B50" s="76"/>
      <c r="C50" s="77"/>
      <c r="D50" s="77"/>
      <c r="E50" s="78"/>
    </row>
    <row r="51" spans="2:5" x14ac:dyDescent="0.2">
      <c r="B51" s="84" t="s">
        <v>74</v>
      </c>
      <c r="C51" s="91" t="s">
        <v>75</v>
      </c>
      <c r="D51" s="91"/>
      <c r="E51" s="92"/>
    </row>
    <row r="52" spans="2:5" x14ac:dyDescent="0.2">
      <c r="B52" s="76"/>
      <c r="C52" s="79"/>
      <c r="D52" s="93"/>
      <c r="E52" s="94"/>
    </row>
    <row r="53" spans="2:5" x14ac:dyDescent="0.2">
      <c r="B53" s="80" t="s">
        <v>76</v>
      </c>
      <c r="C53" s="91" t="s">
        <v>77</v>
      </c>
      <c r="D53" s="91"/>
      <c r="E53" s="92"/>
    </row>
    <row r="54" spans="2:5" ht="13.5" thickBot="1" x14ac:dyDescent="0.25">
      <c r="B54" s="83"/>
      <c r="C54" s="45"/>
      <c r="D54" s="45"/>
      <c r="E54" s="46"/>
    </row>
    <row r="55" spans="2:5" ht="13.5" thickBot="1" x14ac:dyDescent="0.25"/>
    <row r="56" spans="2:5" x14ac:dyDescent="0.2">
      <c r="B56" s="75" t="s">
        <v>87</v>
      </c>
      <c r="C56" s="89" t="s">
        <v>88</v>
      </c>
      <c r="D56" s="89"/>
      <c r="E56" s="90"/>
    </row>
    <row r="57" spans="2:5" x14ac:dyDescent="0.2">
      <c r="B57" s="82"/>
      <c r="C57" s="42"/>
      <c r="D57" s="42"/>
      <c r="E57" s="43"/>
    </row>
    <row r="58" spans="2:5" ht="37.5" customHeight="1" x14ac:dyDescent="0.2">
      <c r="B58" s="88" t="s">
        <v>81</v>
      </c>
      <c r="C58" s="91" t="s">
        <v>95</v>
      </c>
      <c r="D58" s="91"/>
      <c r="E58" s="92"/>
    </row>
    <row r="59" spans="2:5" x14ac:dyDescent="0.2">
      <c r="B59" s="76"/>
      <c r="C59" s="77"/>
      <c r="D59" s="77"/>
      <c r="E59" s="78"/>
    </row>
    <row r="60" spans="2:5" x14ac:dyDescent="0.2">
      <c r="B60" s="84" t="s">
        <v>74</v>
      </c>
      <c r="C60" s="91" t="s">
        <v>75</v>
      </c>
      <c r="D60" s="91"/>
      <c r="E60" s="92"/>
    </row>
    <row r="61" spans="2:5" x14ac:dyDescent="0.2">
      <c r="B61" s="76"/>
      <c r="C61" s="79"/>
      <c r="D61" s="93"/>
      <c r="E61" s="94"/>
    </row>
    <row r="62" spans="2:5" x14ac:dyDescent="0.2">
      <c r="B62" s="80" t="s">
        <v>76</v>
      </c>
      <c r="C62" s="91" t="s">
        <v>77</v>
      </c>
      <c r="D62" s="91"/>
      <c r="E62" s="92"/>
    </row>
    <row r="63" spans="2:5" ht="13.5" thickBot="1" x14ac:dyDescent="0.25">
      <c r="B63" s="83"/>
      <c r="C63" s="45"/>
      <c r="D63" s="45"/>
      <c r="E63" s="46"/>
    </row>
  </sheetData>
  <mergeCells count="36">
    <mergeCell ref="B2:H2"/>
    <mergeCell ref="A4:B4"/>
    <mergeCell ref="C4:E4"/>
    <mergeCell ref="A5:B5"/>
    <mergeCell ref="C5:E5"/>
    <mergeCell ref="A6:B6"/>
    <mergeCell ref="A7:B7"/>
    <mergeCell ref="C25:E25"/>
    <mergeCell ref="C19:E19"/>
    <mergeCell ref="B20:E20"/>
    <mergeCell ref="C21:E21"/>
    <mergeCell ref="C23:E23"/>
    <mergeCell ref="D24:E24"/>
    <mergeCell ref="C40:E40"/>
    <mergeCell ref="C42:E42"/>
    <mergeCell ref="C44:E44"/>
    <mergeCell ref="C37:E37"/>
    <mergeCell ref="C34:E34"/>
    <mergeCell ref="C38:E38"/>
    <mergeCell ref="B39:E39"/>
    <mergeCell ref="D43:E43"/>
    <mergeCell ref="D26:E26"/>
    <mergeCell ref="C28:E28"/>
    <mergeCell ref="C30:E30"/>
    <mergeCell ref="C32:E32"/>
    <mergeCell ref="D33:E33"/>
    <mergeCell ref="C47:E47"/>
    <mergeCell ref="C49:E49"/>
    <mergeCell ref="C51:E51"/>
    <mergeCell ref="D52:E52"/>
    <mergeCell ref="C53:E53"/>
    <mergeCell ref="C56:E56"/>
    <mergeCell ref="C58:E58"/>
    <mergeCell ref="C60:E60"/>
    <mergeCell ref="D61:E61"/>
    <mergeCell ref="C62:E62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9"/>
  <sheetViews>
    <sheetView zoomScale="80" zoomScaleNormal="80" workbookViewId="0">
      <selection activeCell="K28" sqref="K28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41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16" t="s">
        <v>90</v>
      </c>
      <c r="B1" s="116"/>
      <c r="C1" s="116"/>
      <c r="D1" s="116"/>
      <c r="E1" s="116"/>
      <c r="F1" s="116"/>
      <c r="G1" s="116"/>
      <c r="H1" s="116"/>
      <c r="I1" s="116"/>
      <c r="J1" s="3" t="s">
        <v>14</v>
      </c>
      <c r="K1" s="87" t="s">
        <v>96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17" t="s">
        <v>47</v>
      </c>
      <c r="B3" s="117"/>
      <c r="C3" s="117"/>
      <c r="D3" s="118" t="str">
        <f>'Necesidades Trimestrales'!C4</f>
        <v>40 - Ministerio de Salud</v>
      </c>
      <c r="E3" s="118"/>
      <c r="F3" s="118"/>
      <c r="G3" s="118"/>
      <c r="H3" s="118"/>
      <c r="I3" s="118"/>
      <c r="J3" s="118"/>
      <c r="K3" s="118"/>
    </row>
    <row r="4" spans="1:11" ht="18.75" customHeight="1" thickBot="1" x14ac:dyDescent="0.25">
      <c r="A4" s="119" t="s">
        <v>48</v>
      </c>
      <c r="B4" s="119"/>
      <c r="C4" s="119"/>
      <c r="D4" s="118" t="str">
        <f>'Necesidades Trimestrales'!C5</f>
        <v>23 - Hospital Interzonal San Juan Bautista</v>
      </c>
      <c r="E4" s="118"/>
      <c r="F4" s="118"/>
      <c r="G4" s="118"/>
      <c r="H4" s="118"/>
      <c r="I4" s="118"/>
      <c r="J4" s="118"/>
      <c r="K4" s="118"/>
    </row>
    <row r="5" spans="1:11" ht="18.75" customHeight="1" thickBot="1" x14ac:dyDescent="0.25">
      <c r="A5" s="119" t="s">
        <v>26</v>
      </c>
      <c r="B5" s="119"/>
      <c r="C5" s="119"/>
      <c r="D5" s="118" t="s">
        <v>52</v>
      </c>
      <c r="E5" s="118"/>
      <c r="F5" s="118"/>
      <c r="G5" s="118"/>
      <c r="H5" s="118"/>
      <c r="I5" s="118"/>
      <c r="J5" s="118"/>
      <c r="K5" s="118"/>
    </row>
    <row r="6" spans="1:11" ht="16.5" customHeight="1" thickBot="1" x14ac:dyDescent="0.25">
      <c r="A6" s="117" t="s">
        <v>49</v>
      </c>
      <c r="B6" s="117"/>
      <c r="C6" s="117"/>
      <c r="D6" s="118" t="s">
        <v>53</v>
      </c>
      <c r="E6" s="118"/>
      <c r="F6" s="118"/>
      <c r="G6" s="118"/>
      <c r="H6" s="118"/>
      <c r="I6" s="118"/>
      <c r="J6" s="118"/>
      <c r="K6" s="118"/>
    </row>
    <row r="7" spans="1:11" ht="16.5" customHeight="1" x14ac:dyDescent="0.2">
      <c r="A7" s="119" t="s">
        <v>15</v>
      </c>
      <c r="B7" s="119"/>
      <c r="C7" s="119"/>
      <c r="D7" s="118" t="str">
        <f>'Necesidades Trimestrales'!C7 &amp; "° Trimestre - Año " &amp; 'Necesidades Trimestrales'!C6</f>
        <v>2  ( SEMESTRAL ) ° Trimestre - Año 2022</v>
      </c>
      <c r="E7" s="118"/>
      <c r="F7" s="118"/>
      <c r="G7" s="118"/>
      <c r="H7" s="118"/>
      <c r="I7" s="118"/>
      <c r="J7" s="118"/>
      <c r="K7" s="118"/>
    </row>
    <row r="8" spans="1:11" ht="16.5" customHeight="1" x14ac:dyDescent="0.2">
      <c r="A8" s="111" t="s">
        <v>16</v>
      </c>
      <c r="B8" s="111"/>
      <c r="C8" s="111"/>
      <c r="D8" s="112" t="s">
        <v>91</v>
      </c>
      <c r="E8" s="112"/>
      <c r="F8" s="112"/>
      <c r="G8" s="112"/>
      <c r="H8" s="112"/>
      <c r="I8" s="112"/>
      <c r="J8" s="112"/>
      <c r="K8" s="112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13" t="s">
        <v>17</v>
      </c>
      <c r="B10" s="114" t="s">
        <v>18</v>
      </c>
      <c r="C10" s="114" t="s">
        <v>19</v>
      </c>
      <c r="D10" s="114"/>
      <c r="E10" s="114"/>
      <c r="F10" s="114"/>
      <c r="G10" s="114"/>
      <c r="H10" s="114" t="s">
        <v>20</v>
      </c>
      <c r="I10" s="114" t="s">
        <v>21</v>
      </c>
      <c r="J10" s="114" t="s">
        <v>22</v>
      </c>
      <c r="K10" s="115" t="s">
        <v>23</v>
      </c>
    </row>
    <row r="11" spans="1:11" ht="24" customHeight="1" thickBot="1" x14ac:dyDescent="0.25">
      <c r="A11" s="113"/>
      <c r="B11" s="114"/>
      <c r="C11" s="114"/>
      <c r="D11" s="114"/>
      <c r="E11" s="114"/>
      <c r="F11" s="114"/>
      <c r="G11" s="114"/>
      <c r="H11" s="114"/>
      <c r="I11" s="114"/>
      <c r="J11" s="114"/>
      <c r="K11" s="115"/>
    </row>
    <row r="12" spans="1:11" ht="38.25" customHeight="1" thickBot="1" x14ac:dyDescent="0.25">
      <c r="A12" s="8">
        <v>1</v>
      </c>
      <c r="B12" s="52" t="str">
        <f>'Necesidades Trimestrales'!B10</f>
        <v>2.9.5-3474.17</v>
      </c>
      <c r="C12" s="108" t="str">
        <f>'Necesidades Trimestrales'!E10</f>
        <v>SET P/BOMBA DE INFUSION; MARCA EQUIPO: ICUMEDICAL, MODELO EQUIPO: PLUM 360 - DOBLE CANAL</v>
      </c>
      <c r="D12" s="108"/>
      <c r="E12" s="108"/>
      <c r="F12" s="108"/>
      <c r="G12" s="108"/>
      <c r="H12" s="53" t="s">
        <v>92</v>
      </c>
      <c r="I12" s="54" t="str">
        <f>'Necesidades Trimestrales'!F10</f>
        <v>UNIDAD</v>
      </c>
      <c r="J12" s="55">
        <f>'Necesidades Trimestrales'!H10</f>
        <v>1391</v>
      </c>
      <c r="K12" s="56">
        <f>'Necesidades Trimestrales'!G10</f>
        <v>1000</v>
      </c>
    </row>
    <row r="13" spans="1:11" ht="33.75" customHeight="1" thickBot="1" x14ac:dyDescent="0.25">
      <c r="A13" s="8">
        <v>2</v>
      </c>
      <c r="B13" s="52" t="str">
        <f>'Necesidades Trimestrales'!B11</f>
        <v>2.9.5-3474.17</v>
      </c>
      <c r="C13" s="108" t="str">
        <f>'Necesidades Trimestrales'!E11</f>
        <v>SET P/BOMBA DE INFUSION; MARCA EQUIPO: ICUMEDICAL, MODELO EQUIPO: PLUM 360 - DOBLE CANAL</v>
      </c>
      <c r="D13" s="108"/>
      <c r="E13" s="108"/>
      <c r="F13" s="108"/>
      <c r="G13" s="108"/>
      <c r="H13" s="53" t="s">
        <v>92</v>
      </c>
      <c r="I13" s="54" t="str">
        <f>'Necesidades Trimestrales'!F11</f>
        <v>UNIDAD</v>
      </c>
      <c r="J13" s="55">
        <f>'Necesidades Trimestrales'!H11</f>
        <v>1512.5</v>
      </c>
      <c r="K13" s="56">
        <f>'Necesidades Trimestrales'!G11</f>
        <v>700</v>
      </c>
    </row>
    <row r="14" spans="1:11" ht="32.25" customHeight="1" thickBot="1" x14ac:dyDescent="0.25">
      <c r="A14" s="8">
        <v>3</v>
      </c>
      <c r="B14" s="52" t="str">
        <f>'Necesidades Trimestrales'!B12</f>
        <v>2.9.5-3474.17</v>
      </c>
      <c r="C14" s="108" t="str">
        <f>'Necesidades Trimestrales'!E12</f>
        <v>SET P/BOMBA DE INFUSION; MARCA EQUIPO: ICUMEDICAL, MODELO EQUIPO: PLUM 360 - DOBLE CANAL</v>
      </c>
      <c r="D14" s="108"/>
      <c r="E14" s="108"/>
      <c r="F14" s="108"/>
      <c r="G14" s="108"/>
      <c r="H14" s="53" t="s">
        <v>92</v>
      </c>
      <c r="I14" s="54" t="str">
        <f>'Necesidades Trimestrales'!F12</f>
        <v>UNIDAD</v>
      </c>
      <c r="J14" s="55">
        <f>'Necesidades Trimestrales'!H12</f>
        <v>1643.2</v>
      </c>
      <c r="K14" s="56">
        <f>'Necesidades Trimestrales'!G12</f>
        <v>100</v>
      </c>
    </row>
    <row r="15" spans="1:11" ht="30.75" customHeight="1" thickBot="1" x14ac:dyDescent="0.25">
      <c r="A15" s="8">
        <v>4</v>
      </c>
      <c r="B15" s="52" t="str">
        <f>'Necesidades Trimestrales'!B13</f>
        <v>2.9.5-2205.28</v>
      </c>
      <c r="C15" s="108" t="str">
        <f>'Necesidades Trimestrales'!E13</f>
        <v>PROLONGADORES P/GUIA SUERO; USO: ANESTESIA, MODELO: ADULTO</v>
      </c>
      <c r="D15" s="108"/>
      <c r="E15" s="108"/>
      <c r="F15" s="108"/>
      <c r="G15" s="108"/>
      <c r="H15" s="53" t="s">
        <v>92</v>
      </c>
      <c r="I15" s="54" t="str">
        <f>'Necesidades Trimestrales'!F13</f>
        <v>UNIDAD</v>
      </c>
      <c r="J15" s="55">
        <f>'Necesidades Trimestrales'!H13</f>
        <v>1473.64</v>
      </c>
      <c r="K15" s="56">
        <f>'Necesidades Trimestrales'!G13</f>
        <v>120</v>
      </c>
    </row>
    <row r="16" spans="1:11" ht="34.5" customHeight="1" thickBot="1" x14ac:dyDescent="0.25">
      <c r="A16" s="8">
        <v>5</v>
      </c>
      <c r="B16" s="52" t="str">
        <f>'Necesidades Trimestrales'!B14</f>
        <v>2.5.2-2455.49</v>
      </c>
      <c r="C16" s="108" t="str">
        <f>'Necesidades Trimestrales'!E14</f>
        <v>ANESTÉSICOS GENERALES; DROGA GENÉRICA: PROPOFOL 2%, 400MGR, FORMA FARMACEÚTICA: AMPOLLA, PRESENTACIÓN ENVASE: X 50ML, TIPO: MONODROGA</v>
      </c>
      <c r="D16" s="108"/>
      <c r="E16" s="108"/>
      <c r="F16" s="108"/>
      <c r="G16" s="108"/>
      <c r="H16" s="53" t="s">
        <v>92</v>
      </c>
      <c r="I16" s="54" t="str">
        <f>'Necesidades Trimestrales'!F14</f>
        <v>UNIDAD</v>
      </c>
      <c r="J16" s="55">
        <f>'Necesidades Trimestrales'!H14</f>
        <v>1418.27</v>
      </c>
      <c r="K16" s="56">
        <f>'Necesidades Trimestrales'!G14</f>
        <v>900</v>
      </c>
    </row>
    <row r="17" spans="1:1024" ht="38.25" customHeight="1" thickBot="1" x14ac:dyDescent="0.25">
      <c r="A17" s="8">
        <v>6</v>
      </c>
      <c r="B17" s="52" t="str">
        <f>'Necesidades Trimestrales'!B15</f>
        <v>2.5.2-1724.230</v>
      </c>
      <c r="C17" s="108" t="str">
        <f>'Necesidades Trimestrales'!E15</f>
        <v>ANALGESICOS ; PRESENTACION: 100 mL, FORMA FARMACEUTICA: AMPOLLA, DROGA GENERICA: PARACETAMOL 1000 mGr, TIPO: MONODROGA mGr</v>
      </c>
      <c r="D17" s="108"/>
      <c r="E17" s="108"/>
      <c r="F17" s="108"/>
      <c r="G17" s="108"/>
      <c r="H17" s="53" t="s">
        <v>92</v>
      </c>
      <c r="I17" s="54" t="str">
        <f>'Necesidades Trimestrales'!F15</f>
        <v>UNIDAD</v>
      </c>
      <c r="J17" s="55">
        <f>'Necesidades Trimestrales'!H15</f>
        <v>1340.98</v>
      </c>
      <c r="K17" s="56">
        <f>'Necesidades Trimestrales'!G15</f>
        <v>300</v>
      </c>
    </row>
    <row r="18" spans="1:1024" ht="42.75" customHeight="1" thickBot="1" x14ac:dyDescent="0.25">
      <c r="A18" s="8">
        <v>7</v>
      </c>
      <c r="B18" s="52" t="str">
        <f>'Necesidades Trimestrales'!B16</f>
        <v>2.5.2-1883.173</v>
      </c>
      <c r="C18" s="108" t="str">
        <f>'Necesidades Trimestrales'!E16</f>
        <v>ANESTESICOS LOCALES; TIPO: MONODROGA, DROGA GENERICA: REMIFENTANILO 5 mGr, FORMA FARMACEUTICA: AMPOLLA, PRESENTACION: UNIDAD</v>
      </c>
      <c r="D18" s="108"/>
      <c r="E18" s="108"/>
      <c r="F18" s="108"/>
      <c r="G18" s="108"/>
      <c r="H18" s="53" t="s">
        <v>92</v>
      </c>
      <c r="I18" s="54" t="str">
        <f>'Necesidades Trimestrales'!F16</f>
        <v>UNIDAD</v>
      </c>
      <c r="J18" s="55">
        <f>'Necesidades Trimestrales'!H16</f>
        <v>1458.29</v>
      </c>
      <c r="K18" s="56">
        <f>'Necesidades Trimestrales'!G16</f>
        <v>360</v>
      </c>
    </row>
    <row r="19" spans="1:1024" ht="20.25" customHeight="1" thickBot="1" x14ac:dyDescent="0.25">
      <c r="A19" s="109" t="s">
        <v>93</v>
      </c>
      <c r="B19" s="109"/>
      <c r="C19" s="109"/>
      <c r="D19" s="109"/>
      <c r="E19" s="109"/>
      <c r="F19" s="109"/>
      <c r="G19" s="109"/>
      <c r="H19" s="109"/>
      <c r="I19" s="109"/>
      <c r="J19" s="110">
        <f>SUMPRODUCT(J12:J18,K12:K18)</f>
        <v>4994628.2</v>
      </c>
      <c r="K19" s="110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</row>
  </sheetData>
  <mergeCells count="29">
    <mergeCell ref="C16:G16"/>
    <mergeCell ref="C17:G17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18:G18"/>
    <mergeCell ref="A19:I19"/>
    <mergeCell ref="J19:K19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2:G12"/>
    <mergeCell ref="C13:G13"/>
    <mergeCell ref="C14:G14"/>
    <mergeCell ref="C15:G1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"/>
  <sheetViews>
    <sheetView zoomScale="130" zoomScaleNormal="130" workbookViewId="0">
      <selection activeCell="T17" sqref="T17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9" ht="15.75" customHeight="1" x14ac:dyDescent="0.25">
      <c r="A1" s="144" t="s">
        <v>3</v>
      </c>
      <c r="B1" s="144"/>
      <c r="C1" s="144"/>
      <c r="D1" s="145">
        <f>'Necesidades Trimestrales'!C6</f>
        <v>2022</v>
      </c>
      <c r="E1" s="145"/>
      <c r="F1" s="10"/>
      <c r="G1" s="10"/>
      <c r="H1" s="11"/>
      <c r="I1" s="11"/>
      <c r="J1" s="11"/>
      <c r="K1" s="11"/>
      <c r="L1" s="11"/>
      <c r="M1" s="11"/>
      <c r="N1" s="11"/>
      <c r="P1" s="146" t="s">
        <v>24</v>
      </c>
      <c r="Q1" s="146"/>
    </row>
    <row r="2" spans="1:19" ht="15.75" customHeight="1" x14ac:dyDescent="0.2">
      <c r="H2" s="11"/>
      <c r="I2" s="11"/>
      <c r="J2" s="11"/>
      <c r="K2" s="11"/>
      <c r="L2" s="11"/>
      <c r="M2" s="11"/>
      <c r="N2" s="11"/>
      <c r="P2" s="146"/>
      <c r="Q2" s="146"/>
    </row>
    <row r="4" spans="1:19" s="12" customFormat="1" ht="18" customHeight="1" thickBot="1" x14ac:dyDescent="0.25">
      <c r="A4" s="147" t="s">
        <v>25</v>
      </c>
      <c r="B4" s="147"/>
      <c r="C4" s="147"/>
      <c r="D4" s="147"/>
      <c r="E4" s="147"/>
      <c r="F4" s="147"/>
      <c r="G4" s="142" t="str">
        <f>NotaPedido!D3</f>
        <v>40 - Ministerio de Salud</v>
      </c>
      <c r="H4" s="142"/>
      <c r="I4" s="142"/>
      <c r="J4" s="142"/>
      <c r="K4" s="142"/>
      <c r="L4" s="142"/>
      <c r="M4" s="142"/>
      <c r="N4" s="142"/>
      <c r="O4" s="142"/>
      <c r="P4" s="142"/>
      <c r="Q4" s="142"/>
    </row>
    <row r="5" spans="1:19" s="12" customFormat="1" ht="18" customHeight="1" thickBot="1" x14ac:dyDescent="0.25">
      <c r="A5" s="139" t="s">
        <v>48</v>
      </c>
      <c r="B5" s="140"/>
      <c r="C5" s="140"/>
      <c r="D5" s="140"/>
      <c r="E5" s="140"/>
      <c r="F5" s="141"/>
      <c r="G5" s="142" t="str">
        <f>NotaPedido!D4</f>
        <v>23 - Hospital Interzonal San Juan Bautista</v>
      </c>
      <c r="H5" s="142"/>
      <c r="I5" s="142"/>
      <c r="J5" s="142"/>
      <c r="K5" s="142"/>
      <c r="L5" s="142"/>
      <c r="M5" s="142"/>
      <c r="N5" s="142"/>
      <c r="O5" s="142"/>
      <c r="P5" s="142"/>
      <c r="Q5" s="142"/>
    </row>
    <row r="6" spans="1:19" s="12" customFormat="1" ht="18" customHeight="1" thickBot="1" x14ac:dyDescent="0.25">
      <c r="A6" s="139" t="s">
        <v>26</v>
      </c>
      <c r="B6" s="140"/>
      <c r="C6" s="140"/>
      <c r="D6" s="140"/>
      <c r="E6" s="140"/>
      <c r="F6" s="141"/>
      <c r="G6" s="142" t="str">
        <f>NotaPedido!D5</f>
        <v>168 - Direccion Asistencial</v>
      </c>
      <c r="H6" s="142"/>
      <c r="I6" s="142"/>
      <c r="J6" s="142"/>
      <c r="K6" s="142"/>
      <c r="L6" s="142"/>
      <c r="M6" s="142"/>
      <c r="N6" s="142"/>
      <c r="O6" s="142"/>
      <c r="P6" s="142"/>
      <c r="Q6" s="142"/>
    </row>
    <row r="7" spans="1:19" s="12" customFormat="1" ht="18" customHeight="1" thickBot="1" x14ac:dyDescent="0.25">
      <c r="A7" s="139" t="s">
        <v>49</v>
      </c>
      <c r="B7" s="140"/>
      <c r="C7" s="140"/>
      <c r="D7" s="140"/>
      <c r="E7" s="140"/>
      <c r="F7" s="141"/>
      <c r="G7" s="142" t="str">
        <f>NotaPedido!D6</f>
        <v>Servicio de Farmacia</v>
      </c>
      <c r="H7" s="142"/>
      <c r="I7" s="142"/>
      <c r="J7" s="142"/>
      <c r="K7" s="142"/>
      <c r="L7" s="142"/>
      <c r="M7" s="142"/>
      <c r="N7" s="142"/>
      <c r="O7" s="142"/>
      <c r="P7" s="142"/>
      <c r="Q7" s="142"/>
    </row>
    <row r="8" spans="1:19" ht="18" customHeight="1" thickBot="1" x14ac:dyDescent="0.25">
      <c r="A8" s="143" t="s">
        <v>27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</row>
    <row r="9" spans="1:19" ht="18" customHeight="1" x14ac:dyDescent="0.2">
      <c r="A9" s="133" t="s">
        <v>28</v>
      </c>
      <c r="B9" s="133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"/>
      <c r="P9" s="1"/>
      <c r="Q9" s="13"/>
    </row>
    <row r="10" spans="1:19" ht="54.75" customHeight="1" x14ac:dyDescent="0.2">
      <c r="A10" s="134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DOCFI-2022-01537790-CAT-DASIS#HSJB,  afectando la erogación resultante a los créditos presupuestarios aprobados a favor de esta Unidad Ejecutora, conforme al siguiente detalle:</v>
      </c>
      <c r="B10" s="134"/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</row>
    <row r="11" spans="1:19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9" ht="15.75" customHeight="1" x14ac:dyDescent="0.2">
      <c r="A12" s="135" t="s">
        <v>29</v>
      </c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</row>
    <row r="13" spans="1:19" ht="15.75" customHeight="1" x14ac:dyDescent="0.2">
      <c r="A13" s="136" t="s">
        <v>30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7" t="s">
        <v>31</v>
      </c>
      <c r="P13" s="137"/>
      <c r="Q13" s="138" t="s">
        <v>32</v>
      </c>
    </row>
    <row r="14" spans="1:19" ht="15.75" customHeight="1" x14ac:dyDescent="0.2">
      <c r="A14" s="18" t="s">
        <v>33</v>
      </c>
      <c r="B14" s="19" t="s">
        <v>34</v>
      </c>
      <c r="C14" s="19" t="s">
        <v>35</v>
      </c>
      <c r="D14" s="19" t="s">
        <v>36</v>
      </c>
      <c r="E14" s="19" t="s">
        <v>37</v>
      </c>
      <c r="F14" s="19" t="s">
        <v>38</v>
      </c>
      <c r="G14" s="20" t="s">
        <v>39</v>
      </c>
      <c r="H14" s="19" t="s">
        <v>40</v>
      </c>
      <c r="I14" s="19" t="s">
        <v>41</v>
      </c>
      <c r="J14" s="19" t="s">
        <v>42</v>
      </c>
      <c r="K14" s="19" t="s">
        <v>42</v>
      </c>
      <c r="L14" s="19" t="s">
        <v>43</v>
      </c>
      <c r="M14" s="21" t="s">
        <v>44</v>
      </c>
      <c r="N14" s="22" t="s">
        <v>45</v>
      </c>
      <c r="O14" s="137"/>
      <c r="P14" s="137"/>
      <c r="Q14" s="138"/>
    </row>
    <row r="15" spans="1:19" ht="17.25" customHeight="1" x14ac:dyDescent="0.2">
      <c r="A15" s="59">
        <v>33</v>
      </c>
      <c r="B15" s="60"/>
      <c r="C15" s="60"/>
      <c r="D15" s="60">
        <v>2</v>
      </c>
      <c r="E15" s="60"/>
      <c r="F15" s="60">
        <v>4901</v>
      </c>
      <c r="G15" s="60">
        <v>3</v>
      </c>
      <c r="H15" s="61" t="s">
        <v>55</v>
      </c>
      <c r="I15" s="62">
        <v>2</v>
      </c>
      <c r="J15" s="62">
        <v>5</v>
      </c>
      <c r="K15" s="62">
        <v>2</v>
      </c>
      <c r="L15" s="60"/>
      <c r="M15" s="63">
        <v>1</v>
      </c>
      <c r="N15" s="61" t="s">
        <v>56</v>
      </c>
      <c r="O15" s="129" t="s">
        <v>54</v>
      </c>
      <c r="P15" s="129"/>
      <c r="Q15" s="23">
        <v>2203721.4</v>
      </c>
    </row>
    <row r="16" spans="1:19" ht="17.25" customHeight="1" x14ac:dyDescent="0.2">
      <c r="A16" s="24">
        <v>33</v>
      </c>
      <c r="B16" s="25"/>
      <c r="C16" s="25"/>
      <c r="D16" s="25">
        <v>2</v>
      </c>
      <c r="E16" s="25"/>
      <c r="F16" s="27">
        <v>4901</v>
      </c>
      <c r="G16" s="25">
        <v>3</v>
      </c>
      <c r="H16" s="57" t="s">
        <v>55</v>
      </c>
      <c r="I16" s="25">
        <v>2</v>
      </c>
      <c r="J16" s="25">
        <v>9</v>
      </c>
      <c r="K16" s="25">
        <v>5</v>
      </c>
      <c r="L16" s="25"/>
      <c r="M16" s="26">
        <v>1</v>
      </c>
      <c r="N16" s="58" t="s">
        <v>56</v>
      </c>
      <c r="O16" s="130" t="s">
        <v>57</v>
      </c>
      <c r="P16" s="130"/>
      <c r="Q16" s="28">
        <v>2790906.8</v>
      </c>
      <c r="S16" s="64"/>
    </row>
    <row r="17" spans="1:18" ht="17.25" customHeight="1" x14ac:dyDescent="0.2">
      <c r="A17" s="24"/>
      <c r="B17" s="25"/>
      <c r="C17" s="25"/>
      <c r="D17" s="25"/>
      <c r="E17" s="25"/>
      <c r="F17" s="25"/>
      <c r="G17" s="25"/>
      <c r="H17" s="57"/>
      <c r="I17" s="25"/>
      <c r="J17" s="25"/>
      <c r="K17" s="25"/>
      <c r="L17" s="25"/>
      <c r="M17" s="26"/>
      <c r="N17" s="58"/>
      <c r="O17" s="131"/>
      <c r="P17" s="132"/>
      <c r="Q17" s="28"/>
    </row>
    <row r="18" spans="1:18" ht="17.25" customHeight="1" x14ac:dyDescent="0.2">
      <c r="A18" s="24"/>
      <c r="B18" s="25"/>
      <c r="C18" s="25"/>
      <c r="D18" s="25"/>
      <c r="E18" s="25"/>
      <c r="F18" s="27"/>
      <c r="G18" s="25"/>
      <c r="H18" s="25"/>
      <c r="I18" s="25"/>
      <c r="J18" s="25"/>
      <c r="K18" s="25"/>
      <c r="L18" s="25"/>
      <c r="M18" s="26"/>
      <c r="N18" s="27"/>
      <c r="O18" s="132"/>
      <c r="P18" s="132"/>
      <c r="Q18" s="28"/>
    </row>
    <row r="19" spans="1:18" ht="17.25" customHeight="1" x14ac:dyDescent="0.2">
      <c r="A19" s="29"/>
      <c r="B19" s="30"/>
      <c r="C19" s="30"/>
      <c r="D19" s="30"/>
      <c r="E19" s="30"/>
      <c r="F19" s="31"/>
      <c r="G19" s="30"/>
      <c r="H19" s="30"/>
      <c r="I19" s="30"/>
      <c r="J19" s="30"/>
      <c r="K19" s="30"/>
      <c r="L19" s="30"/>
      <c r="M19" s="32"/>
      <c r="N19" s="33"/>
      <c r="O19" s="125"/>
      <c r="P19" s="125"/>
      <c r="Q19" s="28"/>
      <c r="R19" s="1"/>
    </row>
    <row r="20" spans="1:18" ht="17.25" customHeight="1" x14ac:dyDescent="0.2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6"/>
      <c r="N20" s="35"/>
      <c r="O20" s="126"/>
      <c r="P20" s="126"/>
      <c r="Q20" s="37"/>
    </row>
    <row r="21" spans="1:18" ht="20.25" customHeight="1" x14ac:dyDescent="0.2">
      <c r="A21" s="127" t="s">
        <v>94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38">
        <f>SUM(Q15:Q20)</f>
        <v>4994628.1999999993</v>
      </c>
    </row>
    <row r="22" spans="1:18" ht="18" customHeight="1" thickBot="1" x14ac:dyDescent="0.25">
      <c r="A22" s="128"/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</row>
    <row r="23" spans="1:18" ht="17.25" customHeight="1" thickBot="1" x14ac:dyDescent="0.25">
      <c r="A23" s="120" t="s">
        <v>46</v>
      </c>
      <c r="B23" s="121"/>
      <c r="C23" s="121"/>
      <c r="D23" s="121"/>
      <c r="E23" s="121"/>
      <c r="F23" s="122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</row>
    <row r="24" spans="1:18" ht="18" customHeight="1" thickBot="1" x14ac:dyDescent="0.25">
      <c r="A24" s="124" t="str">
        <f>"Para la "&amp; NotaPedido!D8 &amp;" para ser destinados al " &amp; NotaPedido!D6 &amp;"  del HISJB del Ministerio de Salud."</f>
        <v>Para la Adquisición de Set para bomba de infusión y Medicamentos para ser destinados al Servicio de Farmacia  del HISJB del Ministerio de Salud.</v>
      </c>
      <c r="B24" s="124"/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</row>
    <row r="25" spans="1:18" ht="15" customHeight="1" x14ac:dyDescent="0.2">
      <c r="A25" s="124"/>
      <c r="B25" s="124"/>
      <c r="C25" s="124"/>
      <c r="D25" s="124"/>
      <c r="E25" s="124"/>
      <c r="F25" s="124"/>
      <c r="G25" s="124"/>
      <c r="H25" s="124"/>
      <c r="I25" s="124"/>
      <c r="J25" s="124"/>
      <c r="K25" s="124"/>
      <c r="L25" s="124"/>
      <c r="M25" s="124"/>
      <c r="N25" s="124"/>
      <c r="O25" s="124"/>
      <c r="P25" s="124"/>
      <c r="Q25" s="124"/>
    </row>
  </sheetData>
  <mergeCells count="29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23:F23"/>
    <mergeCell ref="G23:Q23"/>
    <mergeCell ref="A24:Q25"/>
    <mergeCell ref="O19:P19"/>
    <mergeCell ref="O20:P20"/>
    <mergeCell ref="A21:P21"/>
    <mergeCell ref="A22:Q22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COMPRAS</cp:lastModifiedBy>
  <cp:revision>2</cp:revision>
  <cp:lastPrinted>2020-07-17T22:18:48Z</cp:lastPrinted>
  <dcterms:created xsi:type="dcterms:W3CDTF">2020-07-17T23:44:49Z</dcterms:created>
  <dcterms:modified xsi:type="dcterms:W3CDTF">2022-08-29T15:44:59Z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