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8_{BA8ACD99-AEBC-41D3-876C-BBDE70C336D5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Trimestrales'!$A$9:$I$22</definedName>
    <definedName name="A">'Necesidades Trimestrales'!#REF!</definedName>
    <definedName name="_xlnm.Print_Area" localSheetId="1">' NotaPedido'!$A$1:$I$25</definedName>
    <definedName name="_xlnm.Print_Area" localSheetId="2">'Autor Gastar'!$A$1:$Q$21</definedName>
  </definedNames>
  <calcPr calcId="181029" iterateDelta="1E-4"/>
</workbook>
</file>

<file path=xl/calcChain.xml><?xml version="1.0" encoding="utf-8"?>
<calcChain xmlns="http://schemas.openxmlformats.org/spreadsheetml/2006/main">
  <c r="I22" i="1" l="1"/>
  <c r="I21" i="1"/>
  <c r="I20" i="1"/>
  <c r="I19" i="1"/>
  <c r="I18" i="1"/>
  <c r="I17" i="1"/>
  <c r="I16" i="1"/>
  <c r="I15" i="1"/>
  <c r="I14" i="1"/>
  <c r="I13" i="1"/>
  <c r="I12" i="1"/>
  <c r="I11" i="1"/>
  <c r="I10" i="1"/>
  <c r="A13" i="2" l="1"/>
  <c r="A14" i="2"/>
  <c r="A15" i="2"/>
  <c r="A16" i="2"/>
  <c r="A17" i="2"/>
  <c r="A18" i="2"/>
  <c r="A19" i="2"/>
  <c r="A20" i="2"/>
  <c r="A21" i="2"/>
  <c r="A22" i="2"/>
  <c r="A23" i="2"/>
  <c r="A24" i="2"/>
  <c r="A12" i="2"/>
  <c r="I13" i="2" l="1"/>
  <c r="I14" i="2"/>
  <c r="I15" i="2"/>
  <c r="I16" i="2"/>
  <c r="I17" i="2"/>
  <c r="I18" i="2"/>
  <c r="I19" i="2"/>
  <c r="I20" i="2"/>
  <c r="I21" i="2"/>
  <c r="I22" i="2"/>
  <c r="I23" i="2"/>
  <c r="I24" i="2"/>
  <c r="H13" i="2"/>
  <c r="H14" i="2"/>
  <c r="H15" i="2"/>
  <c r="H16" i="2"/>
  <c r="H17" i="2"/>
  <c r="H18" i="2"/>
  <c r="H19" i="2"/>
  <c r="H20" i="2"/>
  <c r="H21" i="2"/>
  <c r="H22" i="2"/>
  <c r="H23" i="2"/>
  <c r="H24" i="2"/>
  <c r="G13" i="2"/>
  <c r="G14" i="2"/>
  <c r="G15" i="2"/>
  <c r="G16" i="2"/>
  <c r="G17" i="2"/>
  <c r="G18" i="2"/>
  <c r="G19" i="2"/>
  <c r="G20" i="2"/>
  <c r="G21" i="2"/>
  <c r="G22" i="2"/>
  <c r="G23" i="2"/>
  <c r="G24" i="2"/>
  <c r="G12" i="2"/>
  <c r="C13" i="2"/>
  <c r="C14" i="2"/>
  <c r="C15" i="2"/>
  <c r="C16" i="2"/>
  <c r="C17" i="2"/>
  <c r="C18" i="2"/>
  <c r="C19" i="2"/>
  <c r="C20" i="2"/>
  <c r="C21" i="2"/>
  <c r="C22" i="2"/>
  <c r="C23" i="2"/>
  <c r="C24" i="2"/>
  <c r="C12" i="2"/>
  <c r="Q17" i="3" l="1"/>
  <c r="I12" i="2" l="1"/>
  <c r="H12" i="2"/>
  <c r="I25" i="2" s="1"/>
</calcChain>
</file>

<file path=xl/sharedStrings.xml><?xml version="1.0" encoding="utf-8"?>
<sst xmlns="http://schemas.openxmlformats.org/spreadsheetml/2006/main" count="154" uniqueCount="99">
  <si>
    <t>JURISDICCION:</t>
  </si>
  <si>
    <t xml:space="preserve">SAF N°: </t>
  </si>
  <si>
    <t>EJERCICIO:</t>
  </si>
  <si>
    <t>TRIMESTRE:</t>
  </si>
  <si>
    <t>ID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</si>
  <si>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</si>
  <si>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</si>
  <si>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</si>
  <si>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</si>
  <si>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</si>
  <si>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</si>
  <si>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</si>
  <si>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</si>
  <si>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</si>
  <si>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</si>
  <si>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</si>
  <si>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</si>
  <si>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</si>
  <si>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</si>
  <si>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</si>
  <si>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</si>
  <si>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</si>
  <si>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</si>
  <si>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</si>
  <si>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</si>
  <si>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</si>
  <si>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</si>
  <si>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</si>
  <si>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</si>
  <si>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</si>
  <si>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</si>
  <si>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</si>
  <si>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</si>
  <si>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</si>
  <si>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</si>
  <si>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</si>
  <si>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</si>
  <si>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</si>
  <si>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</si>
  <si>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</si>
  <si>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</si>
  <si>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</si>
  <si>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</si>
  <si>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</si>
  <si>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</si>
  <si>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</si>
  <si>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</si>
  <si>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</si>
  <si>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</si>
  <si>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40 - Ministerio de Salud</t>
  </si>
  <si>
    <t>NO</t>
  </si>
  <si>
    <t>40- Ministerio de Salud</t>
  </si>
  <si>
    <t>CODIGO DE ITEMS</t>
  </si>
  <si>
    <t>I.P.P</t>
  </si>
  <si>
    <t>Descripción técnica</t>
  </si>
  <si>
    <t>Plazos de entrega</t>
  </si>
  <si>
    <t>Lugar de Entrega:</t>
  </si>
  <si>
    <t>Calidad Minima esperada</t>
  </si>
  <si>
    <t>Mantenimiento</t>
  </si>
  <si>
    <t>Garantia</t>
  </si>
  <si>
    <t xml:space="preserve">Pedido de Necesidades Trimestrales
</t>
  </si>
  <si>
    <t>28- Maternidad Provincial 25 de Mayo</t>
  </si>
  <si>
    <t>28 - MATERNIDAD PROVINCIAL 25 DE MAYO</t>
  </si>
  <si>
    <t>Año 2021</t>
  </si>
  <si>
    <t>SERVICIO DE FARMACIA -MATERNIDAD PROVINCIAL 25 DE MAYO - HERNANDO DE PEDRAZA 1650</t>
  </si>
  <si>
    <t>HORARIO DE 07:00 A 12:00</t>
  </si>
  <si>
    <t>CAMARA HUMIDIFICADORA REUTILIZABLE   Tipo GGM Modelo 4809R1V</t>
  </si>
  <si>
    <t>CANULA NASAL PARA ALTO FLUJO TIPO GGM  ADULTO 5 mm 4825R1V TAMANO M</t>
  </si>
  <si>
    <t xml:space="preserve">CANULA NASAL PARA ALTO FLUJO TIPO GGM  ADULTO 6 mm 4826R1V TAMANO L </t>
  </si>
  <si>
    <t>UNIDAD</t>
  </si>
  <si>
    <t>CIRCUITO ANESTESIA EXTENSIBLE ADULTO AUTOCLAVABLE</t>
  </si>
  <si>
    <t>CIRCUITO ANESTESIA EXTENSIBLE NEONATAL AUTOCLAVABLE</t>
  </si>
  <si>
    <t>CIRCUITO ANESTESIA EXTENSIBLE NEONATAL DESCARTABLE</t>
  </si>
  <si>
    <t>CIRCUITO RESPIRADOR CON TRAMPA DE AGUA AUTOCLAVABLE ADULTO</t>
  </si>
  <si>
    <t>CIRCUITO RESPIRADOR CON TRAMPA DE AGUA AUTOCLAVABLE NEONATAL</t>
  </si>
  <si>
    <t>MASCARA CON BOLSA RESERVORIO</t>
  </si>
  <si>
    <t>MASCARA PERFOMAX TOTAL FACE  TALLE G PARA VNI</t>
  </si>
  <si>
    <t>MASCARA PERFOMAX TOTAL FACE  TALLE XG PARA VNI</t>
  </si>
  <si>
    <t>SONDA P/ASP.MUCUS C/REG.2,3 MM X 7 FR K-26P</t>
  </si>
  <si>
    <t>TUBULADURA PVC 8 X11 X 50  USO MEDICINAL</t>
  </si>
  <si>
    <t>2.9.5</t>
  </si>
  <si>
    <t>Para la adquisición de Descartables COVID, para ser destinados al Servicio de Farmacia de la Maternidad Provincial 25 de Mayo.-</t>
  </si>
  <si>
    <t>ADQUISICION DE DESCARTABLES COVID</t>
  </si>
  <si>
    <t>169-Direccion Asistencial</t>
  </si>
  <si>
    <t>Servicio de Farmacia</t>
  </si>
  <si>
    <t>Utiles menores medicos, quirurgicos y de Lab.</t>
  </si>
  <si>
    <t xml:space="preserve">169-Direccion Asistencial </t>
  </si>
  <si>
    <t xml:space="preserve">Servicio de Farmacia </t>
  </si>
  <si>
    <t xml:space="preserve">20 dias corridos desde la firma del documento contractual </t>
  </si>
  <si>
    <t>30 DIAS</t>
  </si>
  <si>
    <t xml:space="preserve">DESCARTABLES COVID </t>
  </si>
  <si>
    <r>
      <rPr>
        <b/>
        <u/>
        <sz val="14"/>
        <rFont val="Times New Roman"/>
        <family val="1"/>
      </rPr>
      <t>Costo total:</t>
    </r>
    <r>
      <rPr>
        <b/>
        <sz val="14"/>
        <rFont val="Times New Roman"/>
        <family val="1"/>
      </rPr>
      <t xml:space="preserve"> NUEVE MILLONES TRESCIENTOS CUARENTA MIL OCHOCIENTOS CON 00/100</t>
    </r>
  </si>
  <si>
    <r>
      <rPr>
        <b/>
        <u/>
        <sz val="10"/>
        <rFont val="Arial"/>
        <family val="2"/>
      </rPr>
      <t>TOTAL DE PESOS:</t>
    </r>
    <r>
      <rPr>
        <b/>
        <sz val="10"/>
        <rFont val="Arial"/>
        <family val="2"/>
        <charset val="1"/>
      </rPr>
      <t xml:space="preserve"> NUEVE MILLONES TRESCIENTOS CUARENTA MIL OCHOCIENTOS CON 00/100</t>
    </r>
  </si>
  <si>
    <t>122/2021</t>
  </si>
  <si>
    <t>Autorizo la realización de los  trámites correspondientes, a fin de proveer a  este Organismo los bienes y/o servicios que se detallan en Nota  de Pedido N° 122/2021 ,  afectando la erogación resultante a los créditos presupuestarios aprobados a favor de esta Unidad Ejecutora, conforme al siguiente detalle:"</t>
  </si>
  <si>
    <t>Especificidades Item N° 1 A 13 :</t>
  </si>
  <si>
    <t>3° TRIMESTRE</t>
  </si>
  <si>
    <t>3 ° Trimestre -Año 2021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</si>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</sst>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dd\-mm\-yy;@"/>
  </numFmts>
  <fonts count="3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10"/>
      <name val="Arial"/>
      <family val="2"/>
    </font>
    <font>
      <b/>
      <sz val="18"/>
      <name val="Times New Roman"/>
      <family val="1"/>
    </font>
    <font>
      <b/>
      <sz val="12"/>
      <name val="Arial"/>
      <family val="2"/>
    </font>
    <font>
      <b/>
      <sz val="14"/>
      <name val="Times New Roman"/>
      <family val="1"/>
    </font>
    <font>
      <u/>
      <sz val="10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b/>
      <u/>
      <sz val="14"/>
      <name val="Times New Roman"/>
      <family val="1"/>
    </font>
    <font>
      <b/>
      <u/>
      <sz val="10"/>
      <name val="Arial"/>
      <family val="2"/>
    </font>
    <font>
      <b/>
      <u/>
      <sz val="11"/>
      <name val="Arial"/>
      <family val="2"/>
      <charset val="1"/>
    </font>
    <font>
      <b/>
      <u/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</borders>
  <cellStyleXfs count="7">
    <xf numFmtId="0" fontId="0" fillId="0" borderId="0"/>
    <xf numFmtId="0" fontId="1" fillId="0" borderId="1" applyProtection="0"/>
    <xf numFmtId="0" fontId="3" fillId="2" borderId="0" applyBorder="0" applyProtection="0"/>
    <xf numFmtId="0" fontId="14" fillId="0" borderId="0"/>
    <xf numFmtId="44" fontId="22" fillId="0" borderId="0" applyFont="0" applyFill="0" applyBorder="0" applyAlignment="0" applyProtection="0"/>
    <xf numFmtId="0" fontId="14" fillId="0" borderId="0"/>
    <xf numFmtId="0" fontId="14" fillId="0" borderId="0"/>
  </cellStyleXfs>
  <cellXfs count="15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4" fontId="0" fillId="0" borderId="0" xfId="0" applyNumberFormat="1" applyAlignment="1">
      <alignment horizontal="left"/>
    </xf>
    <xf numFmtId="0" fontId="2" fillId="0" borderId="0" xfId="0" applyFont="1"/>
    <xf numFmtId="0" fontId="15" fillId="0" borderId="0" xfId="0" applyFont="1"/>
    <xf numFmtId="0" fontId="0" fillId="0" borderId="0" xfId="0" applyFill="1" applyBorder="1"/>
    <xf numFmtId="0" fontId="0" fillId="0" borderId="3" xfId="0" applyFill="1" applyBorder="1"/>
    <xf numFmtId="0" fontId="0" fillId="0" borderId="16" xfId="0" applyFill="1" applyBorder="1"/>
    <xf numFmtId="0" fontId="0" fillId="0" borderId="5" xfId="0" applyFill="1" applyBorder="1"/>
    <xf numFmtId="0" fontId="0" fillId="0" borderId="5" xfId="0" applyFill="1" applyBorder="1" applyAlignment="1">
      <alignment horizontal="left"/>
    </xf>
    <xf numFmtId="0" fontId="0" fillId="0" borderId="17" xfId="0" applyFill="1" applyBorder="1"/>
    <xf numFmtId="0" fontId="13" fillId="0" borderId="18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 wrapText="1" indent="1"/>
    </xf>
    <xf numFmtId="0" fontId="2" fillId="4" borderId="0" xfId="0" applyFont="1" applyFill="1" applyBorder="1" applyAlignment="1">
      <alignment vertical="center"/>
    </xf>
    <xf numFmtId="0" fontId="26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left" vertical="center" wrapText="1"/>
    </xf>
    <xf numFmtId="0" fontId="23" fillId="4" borderId="0" xfId="0" applyFont="1" applyFill="1" applyBorder="1" applyAlignment="1">
      <alignment horizontal="center" vertical="center"/>
    </xf>
    <xf numFmtId="8" fontId="2" fillId="4" borderId="0" xfId="0" applyNumberFormat="1" applyFont="1" applyFill="1" applyBorder="1" applyAlignment="1">
      <alignment vertical="center"/>
    </xf>
    <xf numFmtId="0" fontId="15" fillId="4" borderId="0" xfId="0" applyFont="1" applyFill="1"/>
    <xf numFmtId="0" fontId="24" fillId="4" borderId="0" xfId="0" applyFont="1" applyFill="1" applyBorder="1" applyAlignment="1">
      <alignment horizontal="left" vertical="center"/>
    </xf>
    <xf numFmtId="44" fontId="2" fillId="0" borderId="0" xfId="0" applyNumberFormat="1" applyFont="1" applyBorder="1" applyAlignment="1">
      <alignment vertical="center"/>
    </xf>
    <xf numFmtId="0" fontId="15" fillId="0" borderId="0" xfId="0" applyFont="1" applyFill="1"/>
    <xf numFmtId="0" fontId="17" fillId="0" borderId="0" xfId="0" applyFont="1" applyFill="1" applyAlignment="1">
      <alignment horizontal="left" wrapText="1"/>
    </xf>
    <xf numFmtId="0" fontId="17" fillId="0" borderId="0" xfId="0" applyFont="1" applyFill="1" applyAlignment="1">
      <alignment horizontal="center" wrapText="1"/>
    </xf>
    <xf numFmtId="0" fontId="21" fillId="0" borderId="0" xfId="0" applyFont="1" applyFill="1" applyAlignment="1">
      <alignment horizontal="left" wrapText="1" indent="1"/>
    </xf>
    <xf numFmtId="0" fontId="18" fillId="0" borderId="0" xfId="0" applyFont="1" applyFill="1" applyAlignment="1">
      <alignment horizontal="left" wrapText="1"/>
    </xf>
    <xf numFmtId="0" fontId="15" fillId="0" borderId="0" xfId="0" applyFont="1" applyFill="1" applyAlignment="1">
      <alignment horizontal="center"/>
    </xf>
    <xf numFmtId="0" fontId="21" fillId="0" borderId="0" xfId="0" applyFont="1" applyFill="1" applyAlignment="1">
      <alignment horizontal="left" wrapText="1"/>
    </xf>
    <xf numFmtId="0" fontId="15" fillId="0" borderId="27" xfId="0" applyFont="1" applyBorder="1"/>
    <xf numFmtId="0" fontId="15" fillId="0" borderId="30" xfId="0" applyFont="1" applyBorder="1"/>
    <xf numFmtId="0" fontId="30" fillId="0" borderId="32" xfId="0" applyFont="1" applyBorder="1"/>
    <xf numFmtId="0" fontId="15" fillId="0" borderId="33" xfId="0" applyFont="1" applyBorder="1"/>
    <xf numFmtId="0" fontId="30" fillId="0" borderId="33" xfId="0" applyFont="1" applyBorder="1"/>
    <xf numFmtId="0" fontId="30" fillId="0" borderId="33" xfId="0" applyFont="1" applyBorder="1" applyAlignment="1">
      <alignment horizontal="left" indent="3"/>
    </xf>
    <xf numFmtId="0" fontId="15" fillId="0" borderId="33" xfId="0" applyFont="1" applyBorder="1" applyAlignment="1">
      <alignment horizontal="left" indent="3"/>
    </xf>
    <xf numFmtId="0" fontId="15" fillId="0" borderId="34" xfId="0" applyFont="1" applyBorder="1" applyAlignment="1">
      <alignment horizontal="left" indent="3"/>
    </xf>
    <xf numFmtId="0" fontId="15" fillId="0" borderId="29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8" fillId="0" borderId="7" xfId="0" applyFont="1" applyFill="1" applyBorder="1" applyAlignment="1">
      <alignment horizontal="center" vertical="center" wrapText="1"/>
    </xf>
    <xf numFmtId="0" fontId="32" fillId="4" borderId="7" xfId="0" applyFont="1" applyFill="1" applyBorder="1" applyAlignment="1">
      <alignment horizontal="center" vertical="center"/>
    </xf>
    <xf numFmtId="0" fontId="32" fillId="4" borderId="7" xfId="0" applyFont="1" applyFill="1" applyBorder="1" applyAlignment="1">
      <alignment horizontal="center" vertical="center" wrapText="1"/>
    </xf>
    <xf numFmtId="0" fontId="24" fillId="4" borderId="7" xfId="0" applyFont="1" applyFill="1" applyBorder="1" applyAlignment="1">
      <alignment horizontal="center" vertical="center" wrapText="1"/>
    </xf>
    <xf numFmtId="44" fontId="24" fillId="4" borderId="7" xfId="4" applyFont="1" applyFill="1" applyBorder="1" applyAlignment="1">
      <alignment vertical="center"/>
    </xf>
    <xf numFmtId="0" fontId="24" fillId="4" borderId="7" xfId="0" applyFont="1" applyFill="1" applyBorder="1" applyAlignment="1">
      <alignment horizontal="center" vertical="center"/>
    </xf>
    <xf numFmtId="44" fontId="28" fillId="4" borderId="7" xfId="0" applyNumberFormat="1" applyFont="1" applyFill="1" applyBorder="1" applyAlignment="1">
      <alignment vertical="center"/>
    </xf>
    <xf numFmtId="0" fontId="18" fillId="4" borderId="7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 wrapText="1"/>
    </xf>
    <xf numFmtId="1" fontId="20" fillId="0" borderId="7" xfId="0" applyNumberFormat="1" applyFont="1" applyFill="1" applyBorder="1" applyAlignment="1">
      <alignment horizontal="center" vertical="center" wrapText="1"/>
    </xf>
    <xf numFmtId="0" fontId="25" fillId="0" borderId="7" xfId="0" applyFont="1" applyFill="1" applyBorder="1" applyAlignment="1">
      <alignment horizontal="left" vertical="center" wrapText="1"/>
    </xf>
    <xf numFmtId="0" fontId="25" fillId="0" borderId="7" xfId="0" applyFont="1" applyFill="1" applyBorder="1" applyAlignment="1">
      <alignment horizontal="center" vertical="center" wrapText="1"/>
    </xf>
    <xf numFmtId="44" fontId="24" fillId="0" borderId="7" xfId="4" applyFont="1" applyFill="1" applyBorder="1" applyAlignment="1">
      <alignment vertical="center" wrapText="1"/>
    </xf>
    <xf numFmtId="0" fontId="15" fillId="0" borderId="0" xfId="0" applyFont="1" applyBorder="1"/>
    <xf numFmtId="0" fontId="15" fillId="0" borderId="0" xfId="0" applyFont="1" applyBorder="1" applyAlignment="1">
      <alignment horizontal="center"/>
    </xf>
    <xf numFmtId="0" fontId="30" fillId="0" borderId="34" xfId="0" applyFont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/>
    </xf>
    <xf numFmtId="0" fontId="0" fillId="0" borderId="38" xfId="0" applyFont="1" applyFill="1" applyBorder="1" applyAlignment="1">
      <alignment horizontal="center" vertical="center"/>
    </xf>
    <xf numFmtId="0" fontId="14" fillId="0" borderId="38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center" vertical="center"/>
    </xf>
    <xf numFmtId="0" fontId="14" fillId="0" borderId="40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44" fontId="13" fillId="0" borderId="7" xfId="0" applyNumberFormat="1" applyFont="1" applyFill="1" applyBorder="1" applyAlignment="1">
      <alignment horizontal="center" vertical="center"/>
    </xf>
    <xf numFmtId="44" fontId="14" fillId="0" borderId="50" xfId="0" applyNumberFormat="1" applyFont="1" applyBorder="1" applyAlignment="1">
      <alignment horizontal="center" vertical="center"/>
    </xf>
    <xf numFmtId="44" fontId="14" fillId="0" borderId="51" xfId="0" applyNumberFormat="1" applyFont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36" fillId="4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wrapText="1" indent="1"/>
    </xf>
    <xf numFmtId="0" fontId="16" fillId="0" borderId="0" xfId="0" applyFont="1" applyFill="1" applyBorder="1" applyAlignment="1">
      <alignment horizontal="center" vertical="top" wrapText="1"/>
    </xf>
    <xf numFmtId="0" fontId="15" fillId="0" borderId="0" xfId="0" applyFont="1" applyBorder="1" applyAlignment="1">
      <alignment horizontal="center" wrapText="1"/>
    </xf>
    <xf numFmtId="0" fontId="15" fillId="0" borderId="29" xfId="0" applyFont="1" applyBorder="1" applyAlignment="1">
      <alignment horizontal="center" wrapText="1"/>
    </xf>
    <xf numFmtId="0" fontId="15" fillId="0" borderId="0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25" fillId="4" borderId="7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 indent="1"/>
    </xf>
    <xf numFmtId="0" fontId="7" fillId="4" borderId="9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 wrapText="1" indent="1"/>
    </xf>
    <xf numFmtId="0" fontId="11" fillId="0" borderId="6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1" fillId="0" borderId="6" xfId="0" applyFont="1" applyBorder="1" applyAlignment="1">
      <alignment horizontal="left"/>
    </xf>
    <xf numFmtId="0" fontId="11" fillId="0" borderId="2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29" fillId="4" borderId="7" xfId="0" applyFont="1" applyFill="1" applyBorder="1" applyAlignment="1">
      <alignment horizontal="left" vertical="center" wrapText="1"/>
    </xf>
    <xf numFmtId="0" fontId="27" fillId="4" borderId="7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/>
    </xf>
    <xf numFmtId="1" fontId="9" fillId="0" borderId="12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2" fillId="0" borderId="4" xfId="0" applyFont="1" applyBorder="1"/>
    <xf numFmtId="0" fontId="11" fillId="0" borderId="4" xfId="0" applyFont="1" applyBorder="1" applyAlignment="1">
      <alignment horizontal="left" indent="1"/>
    </xf>
    <xf numFmtId="0" fontId="4" fillId="0" borderId="6" xfId="0" applyFont="1" applyFill="1" applyBorder="1" applyAlignment="1">
      <alignment horizontal="left" vertical="center" wrapText="1"/>
    </xf>
    <xf numFmtId="0" fontId="4" fillId="0" borderId="22" xfId="0" applyFont="1" applyFill="1" applyBorder="1" applyAlignment="1">
      <alignment horizontal="left" vertical="center" wrapText="1"/>
    </xf>
    <xf numFmtId="0" fontId="4" fillId="0" borderId="23" xfId="0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left" indent="1"/>
    </xf>
    <xf numFmtId="0" fontId="12" fillId="0" borderId="4" xfId="0" applyFont="1" applyFill="1" applyBorder="1" applyAlignment="1">
      <alignment horizontal="left"/>
    </xf>
    <xf numFmtId="0" fontId="11" fillId="0" borderId="6" xfId="0" applyFont="1" applyFill="1" applyBorder="1" applyAlignment="1">
      <alignment horizontal="left" vertical="center" wrapText="1" indent="1"/>
    </xf>
    <xf numFmtId="0" fontId="11" fillId="0" borderId="22" xfId="0" applyFont="1" applyFill="1" applyBorder="1" applyAlignment="1">
      <alignment horizontal="left" vertical="center" wrapText="1" indent="1"/>
    </xf>
    <xf numFmtId="0" fontId="11" fillId="0" borderId="23" xfId="0" applyFont="1" applyFill="1" applyBorder="1" applyAlignment="1">
      <alignment horizontal="left" vertical="center" wrapText="1" indent="1"/>
    </xf>
    <xf numFmtId="0" fontId="24" fillId="0" borderId="35" xfId="0" applyFont="1" applyFill="1" applyBorder="1" applyAlignment="1">
      <alignment horizontal="left" vertical="center" wrapText="1"/>
    </xf>
    <xf numFmtId="0" fontId="24" fillId="0" borderId="36" xfId="0" applyFont="1" applyFill="1" applyBorder="1" applyAlignment="1">
      <alignment horizontal="left" vertical="center" wrapText="1"/>
    </xf>
    <xf numFmtId="0" fontId="11" fillId="0" borderId="14" xfId="0" applyFont="1" applyFill="1" applyBorder="1"/>
    <xf numFmtId="0" fontId="11" fillId="0" borderId="15" xfId="0" applyFont="1" applyFill="1" applyBorder="1" applyAlignment="1">
      <alignment horizontal="left" vertical="center" wrapText="1" indent="1"/>
    </xf>
    <xf numFmtId="0" fontId="13" fillId="0" borderId="1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 wrapText="1"/>
    </xf>
    <xf numFmtId="0" fontId="13" fillId="0" borderId="25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>
      <alignment horizontal="center" vertical="center" wrapText="1"/>
    </xf>
    <xf numFmtId="0" fontId="13" fillId="0" borderId="42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/>
    </xf>
    <xf numFmtId="0" fontId="13" fillId="0" borderId="43" xfId="0" applyFont="1" applyFill="1" applyBorder="1" applyAlignment="1">
      <alignment horizontal="center" vertical="center"/>
    </xf>
    <xf numFmtId="0" fontId="35" fillId="0" borderId="32" xfId="0" applyFont="1" applyFill="1" applyBorder="1" applyAlignment="1">
      <alignment vertical="center" wrapText="1"/>
    </xf>
    <xf numFmtId="0" fontId="35" fillId="0" borderId="27" xfId="0" applyFont="1" applyFill="1" applyBorder="1" applyAlignment="1">
      <alignment vertical="center" wrapText="1"/>
    </xf>
    <xf numFmtId="0" fontId="11" fillId="0" borderId="44" xfId="0" applyFont="1" applyFill="1" applyBorder="1" applyAlignment="1">
      <alignment vertical="center" wrapText="1"/>
    </xf>
    <xf numFmtId="0" fontId="11" fillId="0" borderId="28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horizontal="left" vertical="center" wrapText="1" indent="1"/>
    </xf>
    <xf numFmtId="0" fontId="11" fillId="0" borderId="21" xfId="0" applyFont="1" applyFill="1" applyBorder="1" applyAlignment="1">
      <alignment horizontal="left" vertical="center" wrapText="1" indent="1"/>
    </xf>
    <xf numFmtId="0" fontId="11" fillId="0" borderId="46" xfId="0" applyFont="1" applyFill="1" applyBorder="1" applyAlignment="1">
      <alignment horizontal="left" vertical="center" wrapText="1" indent="1"/>
    </xf>
    <xf numFmtId="0" fontId="11" fillId="0" borderId="47" xfId="0" applyFont="1" applyFill="1" applyBorder="1" applyAlignment="1">
      <alignment horizontal="left" vertical="center" wrapText="1" indent="1"/>
    </xf>
    <xf numFmtId="0" fontId="11" fillId="0" borderId="48" xfId="0" applyFont="1" applyFill="1" applyBorder="1" applyAlignment="1">
      <alignment horizontal="left" vertical="center" wrapText="1" indent="1"/>
    </xf>
    <xf numFmtId="0" fontId="11" fillId="0" borderId="49" xfId="0" applyFont="1" applyFill="1" applyBorder="1" applyAlignment="1">
      <alignment horizontal="left" vertical="center" wrapText="1" indent="1"/>
    </xf>
    <xf numFmtId="0" fontId="24" fillId="0" borderId="37" xfId="0" applyFont="1" applyFill="1" applyBorder="1" applyAlignment="1">
      <alignment horizontal="left" vertical="center" wrapText="1"/>
    </xf>
    <xf numFmtId="0" fontId="24" fillId="0" borderId="39" xfId="0" applyFont="1" applyFill="1" applyBorder="1" applyAlignment="1">
      <alignment horizontal="left" vertical="center" wrapText="1"/>
    </xf>
    <xf numFmtId="0" fontId="26" fillId="0" borderId="21" xfId="0" applyFont="1" applyFill="1" applyBorder="1" applyAlignment="1">
      <alignment horizontal="left" vertical="center" wrapText="1"/>
    </xf>
    <xf numFmtId="0" fontId="13" fillId="0" borderId="21" xfId="0" applyFont="1" applyFill="1" applyBorder="1" applyAlignment="1">
      <alignment horizontal="left" vertical="center" wrapText="1"/>
    </xf>
    <xf numFmtId="0" fontId="13" fillId="0" borderId="16" xfId="0" applyFont="1" applyFill="1" applyBorder="1" applyAlignment="1">
      <alignment horizontal="left" vertical="center" wrapText="1"/>
    </xf>
    <xf numFmtId="0" fontId="0" fillId="0" borderId="13" xfId="0" applyFill="1" applyBorder="1"/>
    <xf numFmtId="0" fontId="0" fillId="0" borderId="15" xfId="0" applyFill="1" applyBorder="1"/>
  </cellXfs>
  <cellStyles count="7">
    <cellStyle name="Encabezado 1" xfId="1" xr:uid="{00000000-0005-0000-0000-000000000000}"/>
    <cellStyle name="Moneda" xfId="4" builtinId="4"/>
    <cellStyle name="Neutral 1" xfId="2" xr:uid="{00000000-0005-0000-0000-000002000000}"/>
    <cellStyle name="Normal" xfId="0" builtinId="0"/>
    <cellStyle name="Normal 2" xfId="3" xr:uid="{00000000-0005-0000-0000-000004000000}"/>
    <cellStyle name="Normal 3" xfId="5" xr:uid="{00000000-0005-0000-0000-000005000000}"/>
    <cellStyle name="Normal 4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41"/>
  <sheetViews>
    <sheetView zoomScale="90" zoomScaleNormal="90" workbookViewId="0">
      <selection activeCell="A9" sqref="A9:I9"/>
    </sheetView>
  </sheetViews>
  <sheetFormatPr baseColWidth="10" defaultColWidth="11" defaultRowHeight="12.75" x14ac:dyDescent="0.2"/>
  <cols>
    <col min="1" max="1" width="4.5703125" style="29" customWidth="1"/>
    <col min="2" max="2" width="13.140625" style="29" customWidth="1"/>
    <col min="3" max="3" width="35.28515625" style="37" customWidth="1"/>
    <col min="4" max="4" width="8.42578125" style="32" customWidth="1"/>
    <col min="5" max="5" width="76.5703125" style="32" customWidth="1"/>
    <col min="6" max="6" width="11" style="37"/>
    <col min="7" max="7" width="12.7109375" style="37" customWidth="1"/>
    <col min="8" max="8" width="15.42578125" style="32" customWidth="1"/>
    <col min="9" max="9" width="18.5703125" style="32" customWidth="1"/>
    <col min="10" max="10" width="13.140625" style="7" customWidth="1"/>
    <col min="11" max="16384" width="11" style="7"/>
  </cols>
  <sheetData>
    <row r="2" spans="1:9" ht="27.6" customHeight="1" x14ac:dyDescent="0.2">
      <c r="C2" s="82" t="s">
        <v>60</v>
      </c>
      <c r="D2" s="82"/>
      <c r="E2" s="82"/>
      <c r="F2" s="82"/>
      <c r="G2" s="82"/>
      <c r="H2" s="79"/>
    </row>
    <row r="4" spans="1:9" ht="18" customHeight="1" x14ac:dyDescent="0.25">
      <c r="A4" s="80" t="s">
        <v>0</v>
      </c>
      <c r="B4" s="80"/>
      <c r="C4" s="81" t="s">
        <v>49</v>
      </c>
      <c r="D4" s="81"/>
      <c r="E4" s="81"/>
      <c r="F4" s="34"/>
      <c r="G4" s="34"/>
      <c r="H4" s="33"/>
    </row>
    <row r="5" spans="1:9" ht="18" customHeight="1" x14ac:dyDescent="0.25">
      <c r="A5" s="80" t="s">
        <v>1</v>
      </c>
      <c r="B5" s="80"/>
      <c r="C5" s="81" t="s">
        <v>62</v>
      </c>
      <c r="D5" s="81"/>
      <c r="E5" s="81"/>
      <c r="F5" s="34"/>
      <c r="G5" s="34"/>
      <c r="H5" s="33"/>
    </row>
    <row r="6" spans="1:9" ht="16.5" customHeight="1" x14ac:dyDescent="0.25">
      <c r="A6" s="80" t="s">
        <v>2</v>
      </c>
      <c r="B6" s="80"/>
      <c r="C6" s="38" t="s">
        <v>63</v>
      </c>
      <c r="D6" s="35"/>
      <c r="E6" s="36"/>
      <c r="F6" s="34"/>
      <c r="G6" s="34"/>
      <c r="H6" s="33"/>
    </row>
    <row r="7" spans="1:9" ht="16.5" customHeight="1" x14ac:dyDescent="0.25">
      <c r="A7" s="80" t="s">
        <v>3</v>
      </c>
      <c r="B7" s="80"/>
      <c r="C7" s="38" t="s">
        <v>96</v>
      </c>
      <c r="D7" s="35"/>
      <c r="E7" s="36"/>
      <c r="F7" s="34"/>
      <c r="G7" s="34"/>
      <c r="H7" s="33"/>
    </row>
    <row r="8" spans="1:9" ht="13.5" thickBot="1" x14ac:dyDescent="0.25">
      <c r="C8" s="34"/>
      <c r="D8" s="34"/>
      <c r="E8" s="33"/>
      <c r="F8" s="34"/>
      <c r="G8" s="34"/>
      <c r="H8" s="33"/>
    </row>
    <row r="9" spans="1:9" ht="39" thickBot="1" x14ac:dyDescent="0.25">
      <c r="A9" s="57" t="s">
        <v>4</v>
      </c>
      <c r="B9" s="57" t="s">
        <v>52</v>
      </c>
      <c r="C9" s="50" t="s">
        <v>5</v>
      </c>
      <c r="D9" s="50" t="s">
        <v>53</v>
      </c>
      <c r="E9" s="50" t="s">
        <v>6</v>
      </c>
      <c r="F9" s="50" t="s">
        <v>7</v>
      </c>
      <c r="G9" s="50" t="s">
        <v>8</v>
      </c>
      <c r="H9" s="50" t="s">
        <v>9</v>
      </c>
      <c r="I9" s="50" t="s">
        <v>10</v>
      </c>
    </row>
    <row r="10" spans="1:9" ht="25.5" customHeight="1" thickBot="1" x14ac:dyDescent="0.25">
      <c r="A10" s="58">
        <v>1</v>
      </c>
      <c r="B10" s="58"/>
      <c r="C10" s="59" t="s">
        <v>90</v>
      </c>
      <c r="D10" s="60" t="s">
        <v>80</v>
      </c>
      <c r="E10" s="61" t="s">
        <v>66</v>
      </c>
      <c r="F10" s="62" t="s">
        <v>69</v>
      </c>
      <c r="G10" s="62">
        <v>100</v>
      </c>
      <c r="H10" s="63">
        <v>21400</v>
      </c>
      <c r="I10" s="63">
        <f>G10*H10</f>
        <v>2140000</v>
      </c>
    </row>
    <row r="11" spans="1:9" ht="25.5" customHeight="1" thickBot="1" x14ac:dyDescent="0.25">
      <c r="A11" s="58">
        <v>2</v>
      </c>
      <c r="B11" s="58"/>
      <c r="C11" s="59" t="s">
        <v>90</v>
      </c>
      <c r="D11" s="60" t="s">
        <v>80</v>
      </c>
      <c r="E11" s="61" t="s">
        <v>67</v>
      </c>
      <c r="F11" s="62" t="s">
        <v>69</v>
      </c>
      <c r="G11" s="62">
        <v>500</v>
      </c>
      <c r="H11" s="63">
        <v>4200</v>
      </c>
      <c r="I11" s="63">
        <f t="shared" ref="I11:I22" si="0">G11*H11</f>
        <v>2100000</v>
      </c>
    </row>
    <row r="12" spans="1:9" ht="25.5" customHeight="1" thickBot="1" x14ac:dyDescent="0.25">
      <c r="A12" s="58">
        <v>3</v>
      </c>
      <c r="B12" s="58"/>
      <c r="C12" s="59" t="s">
        <v>90</v>
      </c>
      <c r="D12" s="60" t="s">
        <v>80</v>
      </c>
      <c r="E12" s="61" t="s">
        <v>68</v>
      </c>
      <c r="F12" s="62" t="s">
        <v>69</v>
      </c>
      <c r="G12" s="62">
        <v>500</v>
      </c>
      <c r="H12" s="63">
        <v>4200</v>
      </c>
      <c r="I12" s="63">
        <f t="shared" si="0"/>
        <v>2100000</v>
      </c>
    </row>
    <row r="13" spans="1:9" ht="25.5" customHeight="1" thickBot="1" x14ac:dyDescent="0.25">
      <c r="A13" s="58">
        <v>4</v>
      </c>
      <c r="B13" s="58"/>
      <c r="C13" s="59" t="s">
        <v>90</v>
      </c>
      <c r="D13" s="60" t="s">
        <v>80</v>
      </c>
      <c r="E13" s="61" t="s">
        <v>70</v>
      </c>
      <c r="F13" s="62" t="s">
        <v>69</v>
      </c>
      <c r="G13" s="62">
        <v>100</v>
      </c>
      <c r="H13" s="63">
        <v>1950</v>
      </c>
      <c r="I13" s="63">
        <f t="shared" si="0"/>
        <v>195000</v>
      </c>
    </row>
    <row r="14" spans="1:9" ht="25.5" customHeight="1" thickBot="1" x14ac:dyDescent="0.25">
      <c r="A14" s="58">
        <v>5</v>
      </c>
      <c r="B14" s="58"/>
      <c r="C14" s="59" t="s">
        <v>90</v>
      </c>
      <c r="D14" s="60" t="s">
        <v>80</v>
      </c>
      <c r="E14" s="61" t="s">
        <v>71</v>
      </c>
      <c r="F14" s="62" t="s">
        <v>69</v>
      </c>
      <c r="G14" s="62">
        <v>100</v>
      </c>
      <c r="H14" s="63">
        <v>1950</v>
      </c>
      <c r="I14" s="63">
        <f t="shared" si="0"/>
        <v>195000</v>
      </c>
    </row>
    <row r="15" spans="1:9" ht="25.5" customHeight="1" thickBot="1" x14ac:dyDescent="0.25">
      <c r="A15" s="58">
        <v>6</v>
      </c>
      <c r="B15" s="58"/>
      <c r="C15" s="59" t="s">
        <v>90</v>
      </c>
      <c r="D15" s="60" t="s">
        <v>80</v>
      </c>
      <c r="E15" s="61" t="s">
        <v>72</v>
      </c>
      <c r="F15" s="62" t="s">
        <v>69</v>
      </c>
      <c r="G15" s="62">
        <v>100</v>
      </c>
      <c r="H15" s="63">
        <v>510</v>
      </c>
      <c r="I15" s="63">
        <f t="shared" si="0"/>
        <v>51000</v>
      </c>
    </row>
    <row r="16" spans="1:9" ht="25.5" customHeight="1" thickBot="1" x14ac:dyDescent="0.25">
      <c r="A16" s="58">
        <v>7</v>
      </c>
      <c r="B16" s="58"/>
      <c r="C16" s="59" t="s">
        <v>90</v>
      </c>
      <c r="D16" s="60" t="s">
        <v>80</v>
      </c>
      <c r="E16" s="61" t="s">
        <v>73</v>
      </c>
      <c r="F16" s="62" t="s">
        <v>69</v>
      </c>
      <c r="G16" s="62">
        <v>50</v>
      </c>
      <c r="H16" s="63">
        <v>16100</v>
      </c>
      <c r="I16" s="63">
        <f t="shared" si="0"/>
        <v>805000</v>
      </c>
    </row>
    <row r="17" spans="1:9" ht="25.5" customHeight="1" thickBot="1" x14ac:dyDescent="0.25">
      <c r="A17" s="58">
        <v>8</v>
      </c>
      <c r="B17" s="58"/>
      <c r="C17" s="59" t="s">
        <v>90</v>
      </c>
      <c r="D17" s="60" t="s">
        <v>80</v>
      </c>
      <c r="E17" s="61" t="s">
        <v>74</v>
      </c>
      <c r="F17" s="62" t="s">
        <v>69</v>
      </c>
      <c r="G17" s="62">
        <v>50</v>
      </c>
      <c r="H17" s="63">
        <v>22000</v>
      </c>
      <c r="I17" s="63">
        <f t="shared" si="0"/>
        <v>1100000</v>
      </c>
    </row>
    <row r="18" spans="1:9" ht="25.5" customHeight="1" thickBot="1" x14ac:dyDescent="0.25">
      <c r="A18" s="58">
        <v>9</v>
      </c>
      <c r="B18" s="58"/>
      <c r="C18" s="59" t="s">
        <v>90</v>
      </c>
      <c r="D18" s="60" t="s">
        <v>80</v>
      </c>
      <c r="E18" s="61" t="s">
        <v>75</v>
      </c>
      <c r="F18" s="62" t="s">
        <v>69</v>
      </c>
      <c r="G18" s="62">
        <v>100</v>
      </c>
      <c r="H18" s="63">
        <v>357</v>
      </c>
      <c r="I18" s="63">
        <f t="shared" si="0"/>
        <v>35700</v>
      </c>
    </row>
    <row r="19" spans="1:9" ht="25.5" customHeight="1" thickBot="1" x14ac:dyDescent="0.25">
      <c r="A19" s="58">
        <v>10</v>
      </c>
      <c r="B19" s="58"/>
      <c r="C19" s="59" t="s">
        <v>90</v>
      </c>
      <c r="D19" s="60" t="s">
        <v>80</v>
      </c>
      <c r="E19" s="61" t="s">
        <v>76</v>
      </c>
      <c r="F19" s="62" t="s">
        <v>69</v>
      </c>
      <c r="G19" s="62">
        <v>10</v>
      </c>
      <c r="H19" s="63">
        <v>29900</v>
      </c>
      <c r="I19" s="63">
        <f t="shared" si="0"/>
        <v>299000</v>
      </c>
    </row>
    <row r="20" spans="1:9" ht="25.5" customHeight="1" thickBot="1" x14ac:dyDescent="0.25">
      <c r="A20" s="58">
        <v>11</v>
      </c>
      <c r="B20" s="58"/>
      <c r="C20" s="59" t="s">
        <v>90</v>
      </c>
      <c r="D20" s="60" t="s">
        <v>80</v>
      </c>
      <c r="E20" s="61" t="s">
        <v>77</v>
      </c>
      <c r="F20" s="62" t="s">
        <v>69</v>
      </c>
      <c r="G20" s="62">
        <v>10</v>
      </c>
      <c r="H20" s="63">
        <v>29900</v>
      </c>
      <c r="I20" s="63">
        <f t="shared" si="0"/>
        <v>299000</v>
      </c>
    </row>
    <row r="21" spans="1:9" ht="25.5" customHeight="1" thickBot="1" x14ac:dyDescent="0.25">
      <c r="A21" s="58">
        <v>12</v>
      </c>
      <c r="B21" s="58"/>
      <c r="C21" s="59" t="s">
        <v>90</v>
      </c>
      <c r="D21" s="60" t="s">
        <v>80</v>
      </c>
      <c r="E21" s="61" t="s">
        <v>78</v>
      </c>
      <c r="F21" s="62" t="s">
        <v>69</v>
      </c>
      <c r="G21" s="62">
        <v>100</v>
      </c>
      <c r="H21" s="63">
        <v>36</v>
      </c>
      <c r="I21" s="63">
        <f t="shared" si="0"/>
        <v>3600</v>
      </c>
    </row>
    <row r="22" spans="1:9" ht="25.5" customHeight="1" thickBot="1" x14ac:dyDescent="0.25">
      <c r="A22" s="58">
        <v>13</v>
      </c>
      <c r="B22" s="58"/>
      <c r="C22" s="59" t="s">
        <v>90</v>
      </c>
      <c r="D22" s="60" t="s">
        <v>80</v>
      </c>
      <c r="E22" s="61" t="s">
        <v>79</v>
      </c>
      <c r="F22" s="62" t="s">
        <v>69</v>
      </c>
      <c r="G22" s="62">
        <v>10</v>
      </c>
      <c r="H22" s="63">
        <v>1750</v>
      </c>
      <c r="I22" s="63">
        <f t="shared" si="0"/>
        <v>17500</v>
      </c>
    </row>
    <row r="24" spans="1:9" ht="13.5" thickBot="1" x14ac:dyDescent="0.25"/>
    <row r="25" spans="1:9" x14ac:dyDescent="0.2">
      <c r="C25" s="41" t="s">
        <v>95</v>
      </c>
      <c r="D25" s="39"/>
      <c r="E25" s="39"/>
      <c r="F25" s="48"/>
    </row>
    <row r="26" spans="1:9" x14ac:dyDescent="0.2">
      <c r="C26" s="42"/>
      <c r="D26" s="64"/>
      <c r="E26" s="64"/>
      <c r="F26" s="47"/>
    </row>
    <row r="27" spans="1:9" ht="24.6" customHeight="1" thickBot="1" x14ac:dyDescent="0.25">
      <c r="C27" s="66" t="s">
        <v>54</v>
      </c>
      <c r="D27" s="89"/>
      <c r="E27" s="89"/>
      <c r="F27" s="90"/>
    </row>
    <row r="28" spans="1:9" ht="24" customHeight="1" x14ac:dyDescent="0.2">
      <c r="C28" s="41"/>
      <c r="D28" s="91" t="s">
        <v>98</v>
      </c>
      <c r="E28" s="91"/>
      <c r="F28" s="92"/>
    </row>
    <row r="29" spans="1:9" x14ac:dyDescent="0.2">
      <c r="C29" s="44"/>
      <c r="D29" s="87"/>
      <c r="E29" s="87"/>
      <c r="F29" s="88"/>
    </row>
    <row r="30" spans="1:9" x14ac:dyDescent="0.2">
      <c r="C30" s="43" t="s">
        <v>55</v>
      </c>
      <c r="D30" s="85" t="s">
        <v>88</v>
      </c>
      <c r="E30" s="85"/>
      <c r="F30" s="86"/>
    </row>
    <row r="31" spans="1:9" x14ac:dyDescent="0.2">
      <c r="C31" s="44"/>
      <c r="D31" s="64"/>
      <c r="E31" s="65"/>
      <c r="F31" s="47"/>
    </row>
    <row r="32" spans="1:9" x14ac:dyDescent="0.2">
      <c r="C32" s="43" t="s">
        <v>56</v>
      </c>
      <c r="D32" s="85" t="s">
        <v>64</v>
      </c>
      <c r="E32" s="85"/>
      <c r="F32" s="86"/>
    </row>
    <row r="33" spans="3:6" x14ac:dyDescent="0.2">
      <c r="C33" s="45"/>
      <c r="D33" s="85" t="s">
        <v>65</v>
      </c>
      <c r="E33" s="85"/>
      <c r="F33" s="86"/>
    </row>
    <row r="34" spans="3:6" x14ac:dyDescent="0.2">
      <c r="C34" s="45"/>
      <c r="D34" s="65"/>
      <c r="E34" s="65"/>
      <c r="F34" s="47"/>
    </row>
    <row r="35" spans="3:6" x14ac:dyDescent="0.2">
      <c r="C35" s="43" t="s">
        <v>57</v>
      </c>
      <c r="D35" s="64"/>
      <c r="E35" s="64"/>
      <c r="F35" s="47"/>
    </row>
    <row r="36" spans="3:6" x14ac:dyDescent="0.2">
      <c r="C36" s="42"/>
      <c r="D36" s="83"/>
      <c r="E36" s="83"/>
      <c r="F36" s="84"/>
    </row>
    <row r="37" spans="3:6" x14ac:dyDescent="0.2">
      <c r="C37" s="43" t="s">
        <v>58</v>
      </c>
      <c r="D37" s="83" t="s">
        <v>89</v>
      </c>
      <c r="E37" s="83"/>
      <c r="F37" s="84"/>
    </row>
    <row r="38" spans="3:6" x14ac:dyDescent="0.2">
      <c r="C38" s="42"/>
      <c r="D38" s="83"/>
      <c r="E38" s="83"/>
      <c r="F38" s="84"/>
    </row>
    <row r="39" spans="3:6" x14ac:dyDescent="0.2">
      <c r="C39" s="43" t="s">
        <v>59</v>
      </c>
      <c r="D39" s="64"/>
      <c r="E39" s="64"/>
      <c r="F39" s="47"/>
    </row>
    <row r="40" spans="3:6" x14ac:dyDescent="0.2">
      <c r="C40" s="44"/>
      <c r="D40" s="85"/>
      <c r="E40" s="85"/>
      <c r="F40" s="86"/>
    </row>
    <row r="41" spans="3:6" ht="13.5" thickBot="1" x14ac:dyDescent="0.25">
      <c r="C41" s="46"/>
      <c r="D41" s="40"/>
      <c r="E41" s="40"/>
      <c r="F41" s="49"/>
    </row>
  </sheetData>
  <mergeCells count="17">
    <mergeCell ref="C2:G2"/>
    <mergeCell ref="D38:F38"/>
    <mergeCell ref="D40:F40"/>
    <mergeCell ref="D29:F29"/>
    <mergeCell ref="D30:F30"/>
    <mergeCell ref="D32:F32"/>
    <mergeCell ref="D33:F33"/>
    <mergeCell ref="D36:F36"/>
    <mergeCell ref="D37:F37"/>
    <mergeCell ref="D27:F27"/>
    <mergeCell ref="D28:F28"/>
    <mergeCell ref="A6:B6"/>
    <mergeCell ref="A7:B7"/>
    <mergeCell ref="A4:B4"/>
    <mergeCell ref="C4:E4"/>
    <mergeCell ref="A5:B5"/>
    <mergeCell ref="C5:E5"/>
  </mergeCells>
  <phoneticPr fontId="31" type="noConversion"/>
  <pageMargins left="0.7" right="0.7" top="0.75" bottom="0.75" header="0.51180555555555496" footer="0.51180555555555496"/>
  <pageSetup paperSize="5" scale="80" firstPageNumber="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L29"/>
  <sheetViews>
    <sheetView topLeftCell="A13" zoomScale="90" zoomScaleNormal="90" workbookViewId="0">
      <selection activeCell="C13" sqref="C13:E13"/>
    </sheetView>
  </sheetViews>
  <sheetFormatPr baseColWidth="10" defaultColWidth="9.140625" defaultRowHeight="12.75" x14ac:dyDescent="0.2"/>
  <cols>
    <col min="1" max="1" width="6.42578125" style="24" customWidth="1"/>
    <col min="2" max="2" width="17.5703125" style="24" customWidth="1"/>
    <col min="3" max="3" width="14.140625" style="24" customWidth="1"/>
    <col min="4" max="4" width="48.140625" style="24" customWidth="1"/>
    <col min="5" max="5" width="29.140625" style="24" customWidth="1"/>
    <col min="6" max="6" width="12.42578125" style="24" customWidth="1"/>
    <col min="7" max="7" width="15.5703125" style="24" customWidth="1"/>
    <col min="8" max="8" width="14.7109375" style="24" customWidth="1"/>
    <col min="9" max="9" width="19.28515625" style="24" bestFit="1" customWidth="1"/>
    <col min="10" max="10" width="28.7109375" style="2" customWidth="1"/>
    <col min="11" max="1000" width="9.140625" style="2"/>
  </cols>
  <sheetData>
    <row r="1" spans="1:10" ht="18" customHeight="1" thickBot="1" x14ac:dyDescent="0.25">
      <c r="A1" s="95" t="s">
        <v>11</v>
      </c>
      <c r="B1" s="95"/>
      <c r="C1" s="95"/>
      <c r="D1" s="95"/>
      <c r="E1" s="95"/>
      <c r="F1" s="95"/>
      <c r="G1" s="95"/>
      <c r="H1" s="18" t="s">
        <v>12</v>
      </c>
      <c r="I1" s="19" t="s">
        <v>93</v>
      </c>
    </row>
    <row r="2" spans="1:10" ht="18.75" customHeight="1" thickBot="1" x14ac:dyDescent="0.25">
      <c r="A2" s="20"/>
      <c r="B2" s="20"/>
      <c r="C2" s="20"/>
      <c r="D2" s="21"/>
      <c r="E2" s="21"/>
      <c r="F2" s="21"/>
      <c r="G2" s="21"/>
      <c r="H2" s="21"/>
      <c r="I2" s="21"/>
    </row>
    <row r="3" spans="1:10" ht="18.75" customHeight="1" thickBot="1" x14ac:dyDescent="0.25">
      <c r="A3" s="96" t="s">
        <v>45</v>
      </c>
      <c r="B3" s="96"/>
      <c r="C3" s="96"/>
      <c r="D3" s="104" t="s">
        <v>51</v>
      </c>
      <c r="E3" s="105"/>
      <c r="F3" s="105"/>
      <c r="G3" s="105"/>
      <c r="H3" s="105"/>
      <c r="I3" s="106"/>
    </row>
    <row r="4" spans="1:10" ht="18.75" customHeight="1" thickBot="1" x14ac:dyDescent="0.25">
      <c r="A4" s="97" t="s">
        <v>46</v>
      </c>
      <c r="B4" s="97"/>
      <c r="C4" s="97"/>
      <c r="D4" s="104" t="s">
        <v>61</v>
      </c>
      <c r="E4" s="105"/>
      <c r="F4" s="105"/>
      <c r="G4" s="105"/>
      <c r="H4" s="105"/>
      <c r="I4" s="106"/>
    </row>
    <row r="5" spans="1:10" ht="21.75" customHeight="1" thickBot="1" x14ac:dyDescent="0.25">
      <c r="A5" s="97" t="s">
        <v>24</v>
      </c>
      <c r="B5" s="97"/>
      <c r="C5" s="97"/>
      <c r="D5" s="101" t="s">
        <v>83</v>
      </c>
      <c r="E5" s="102"/>
      <c r="F5" s="102"/>
      <c r="G5" s="102"/>
      <c r="H5" s="102"/>
      <c r="I5" s="103"/>
    </row>
    <row r="6" spans="1:10" ht="16.5" customHeight="1" thickBot="1" x14ac:dyDescent="0.25">
      <c r="A6" s="96" t="s">
        <v>47</v>
      </c>
      <c r="B6" s="96"/>
      <c r="C6" s="96"/>
      <c r="D6" s="101" t="s">
        <v>84</v>
      </c>
      <c r="E6" s="102"/>
      <c r="F6" s="102"/>
      <c r="G6" s="102"/>
      <c r="H6" s="102"/>
      <c r="I6" s="103"/>
    </row>
    <row r="7" spans="1:10" ht="16.5" customHeight="1" thickBot="1" x14ac:dyDescent="0.25">
      <c r="A7" s="97" t="s">
        <v>13</v>
      </c>
      <c r="B7" s="97"/>
      <c r="C7" s="97"/>
      <c r="D7" s="98" t="s">
        <v>97</v>
      </c>
      <c r="E7" s="98"/>
      <c r="F7" s="98"/>
      <c r="G7" s="98"/>
      <c r="H7" s="98"/>
      <c r="I7" s="98"/>
    </row>
    <row r="8" spans="1:10" ht="16.5" customHeight="1" thickBot="1" x14ac:dyDescent="0.25">
      <c r="A8" s="99" t="s">
        <v>14</v>
      </c>
      <c r="B8" s="99"/>
      <c r="C8" s="99"/>
      <c r="D8" s="100" t="s">
        <v>82</v>
      </c>
      <c r="E8" s="100"/>
      <c r="F8" s="100"/>
      <c r="G8" s="100"/>
      <c r="H8" s="100"/>
      <c r="I8" s="100"/>
    </row>
    <row r="9" spans="1:10" ht="16.5" thickBot="1" x14ac:dyDescent="0.25">
      <c r="A9" s="22"/>
      <c r="B9" s="22"/>
      <c r="C9" s="22"/>
      <c r="D9" s="23"/>
      <c r="E9" s="23"/>
      <c r="F9" s="23"/>
      <c r="G9" s="23"/>
      <c r="H9" s="23"/>
      <c r="I9" s="23"/>
    </row>
    <row r="10" spans="1:10" ht="18.75" customHeight="1" thickBot="1" x14ac:dyDescent="0.25">
      <c r="A10" s="109" t="s">
        <v>15</v>
      </c>
      <c r="B10" s="94" t="s">
        <v>16</v>
      </c>
      <c r="C10" s="94" t="s">
        <v>17</v>
      </c>
      <c r="D10" s="94"/>
      <c r="E10" s="94"/>
      <c r="F10" s="94" t="s">
        <v>18</v>
      </c>
      <c r="G10" s="94" t="s">
        <v>19</v>
      </c>
      <c r="H10" s="94" t="s">
        <v>20</v>
      </c>
      <c r="I10" s="94" t="s">
        <v>21</v>
      </c>
    </row>
    <row r="11" spans="1:10" ht="24" customHeight="1" thickBot="1" x14ac:dyDescent="0.25">
      <c r="A11" s="109"/>
      <c r="B11" s="94"/>
      <c r="C11" s="94"/>
      <c r="D11" s="94"/>
      <c r="E11" s="94"/>
      <c r="F11" s="94"/>
      <c r="G11" s="94"/>
      <c r="H11" s="94"/>
      <c r="I11" s="94"/>
    </row>
    <row r="12" spans="1:10" ht="43.5" customHeight="1" thickBot="1" x14ac:dyDescent="0.25">
      <c r="A12" s="51">
        <f>'Necesidades Trimestrales'!A10</f>
        <v>1</v>
      </c>
      <c r="B12" s="52">
        <v>0</v>
      </c>
      <c r="C12" s="93" t="str">
        <f>'Necesidades Trimestrales'!E10</f>
        <v>CAMARA HUMIDIFICADORA REUTILIZABLE   Tipo GGM Modelo 4809R1V</v>
      </c>
      <c r="D12" s="93"/>
      <c r="E12" s="93"/>
      <c r="F12" s="53" t="s">
        <v>50</v>
      </c>
      <c r="G12" s="53" t="str">
        <f>'Necesidades Trimestrales'!F10</f>
        <v>UNIDAD</v>
      </c>
      <c r="H12" s="54">
        <f>'Necesidades Trimestrales'!H10</f>
        <v>21400</v>
      </c>
      <c r="I12" s="55">
        <f>'Necesidades Trimestrales'!G10</f>
        <v>100</v>
      </c>
      <c r="J12" s="31"/>
    </row>
    <row r="13" spans="1:10" ht="45" customHeight="1" thickBot="1" x14ac:dyDescent="0.25">
      <c r="A13" s="51">
        <f>'Necesidades Trimestrales'!A11</f>
        <v>2</v>
      </c>
      <c r="B13" s="52">
        <v>0</v>
      </c>
      <c r="C13" s="93" t="str">
        <f>'Necesidades Trimestrales'!E11</f>
        <v>CANULA NASAL PARA ALTO FLUJO TIPO GGM  ADULTO 5 mm 4825R1V TAMANO M</v>
      </c>
      <c r="D13" s="93"/>
      <c r="E13" s="93"/>
      <c r="F13" s="53" t="s">
        <v>50</v>
      </c>
      <c r="G13" s="53" t="str">
        <f>'Necesidades Trimestrales'!F11</f>
        <v>UNIDAD</v>
      </c>
      <c r="H13" s="54">
        <f>'Necesidades Trimestrales'!H11</f>
        <v>4200</v>
      </c>
      <c r="I13" s="55">
        <f>'Necesidades Trimestrales'!G11</f>
        <v>500</v>
      </c>
      <c r="J13" s="31"/>
    </row>
    <row r="14" spans="1:10" ht="45" customHeight="1" thickBot="1" x14ac:dyDescent="0.25">
      <c r="A14" s="51">
        <f>'Necesidades Trimestrales'!A12</f>
        <v>3</v>
      </c>
      <c r="B14" s="52">
        <v>0</v>
      </c>
      <c r="C14" s="93" t="str">
        <f>'Necesidades Trimestrales'!E12</f>
        <v xml:space="preserve">CANULA NASAL PARA ALTO FLUJO TIPO GGM  ADULTO 6 mm 4826R1V TAMANO L </v>
      </c>
      <c r="D14" s="93"/>
      <c r="E14" s="93"/>
      <c r="F14" s="53" t="s">
        <v>50</v>
      </c>
      <c r="G14" s="53" t="str">
        <f>'Necesidades Trimestrales'!F12</f>
        <v>UNIDAD</v>
      </c>
      <c r="H14" s="54">
        <f>'Necesidades Trimestrales'!H12</f>
        <v>4200</v>
      </c>
      <c r="I14" s="55">
        <f>'Necesidades Trimestrales'!G12</f>
        <v>500</v>
      </c>
      <c r="J14" s="31"/>
    </row>
    <row r="15" spans="1:10" ht="37.5" customHeight="1" thickBot="1" x14ac:dyDescent="0.25">
      <c r="A15" s="51">
        <f>'Necesidades Trimestrales'!A13</f>
        <v>4</v>
      </c>
      <c r="B15" s="52">
        <v>0</v>
      </c>
      <c r="C15" s="93" t="str">
        <f>'Necesidades Trimestrales'!E13</f>
        <v>CIRCUITO ANESTESIA EXTENSIBLE ADULTO AUTOCLAVABLE</v>
      </c>
      <c r="D15" s="93"/>
      <c r="E15" s="93"/>
      <c r="F15" s="53" t="s">
        <v>50</v>
      </c>
      <c r="G15" s="53" t="str">
        <f>'Necesidades Trimestrales'!F13</f>
        <v>UNIDAD</v>
      </c>
      <c r="H15" s="54">
        <f>'Necesidades Trimestrales'!H13</f>
        <v>1950</v>
      </c>
      <c r="I15" s="55">
        <f>'Necesidades Trimestrales'!G13</f>
        <v>100</v>
      </c>
      <c r="J15" s="31"/>
    </row>
    <row r="16" spans="1:10" ht="41.25" customHeight="1" thickBot="1" x14ac:dyDescent="0.25">
      <c r="A16" s="51">
        <f>'Necesidades Trimestrales'!A14</f>
        <v>5</v>
      </c>
      <c r="B16" s="52">
        <v>0</v>
      </c>
      <c r="C16" s="93" t="str">
        <f>'Necesidades Trimestrales'!E14</f>
        <v>CIRCUITO ANESTESIA EXTENSIBLE NEONATAL AUTOCLAVABLE</v>
      </c>
      <c r="D16" s="93"/>
      <c r="E16" s="93"/>
      <c r="F16" s="53" t="s">
        <v>50</v>
      </c>
      <c r="G16" s="53" t="str">
        <f>'Necesidades Trimestrales'!F14</f>
        <v>UNIDAD</v>
      </c>
      <c r="H16" s="54">
        <f>'Necesidades Trimestrales'!H14</f>
        <v>1950</v>
      </c>
      <c r="I16" s="55">
        <f>'Necesidades Trimestrales'!G14</f>
        <v>100</v>
      </c>
      <c r="J16" s="31"/>
    </row>
    <row r="17" spans="1:10" ht="48.75" customHeight="1" thickBot="1" x14ac:dyDescent="0.25">
      <c r="A17" s="51">
        <f>'Necesidades Trimestrales'!A15</f>
        <v>6</v>
      </c>
      <c r="B17" s="52">
        <v>0</v>
      </c>
      <c r="C17" s="93" t="str">
        <f>'Necesidades Trimestrales'!E15</f>
        <v>CIRCUITO ANESTESIA EXTENSIBLE NEONATAL DESCARTABLE</v>
      </c>
      <c r="D17" s="93"/>
      <c r="E17" s="93"/>
      <c r="F17" s="53" t="s">
        <v>50</v>
      </c>
      <c r="G17" s="53" t="str">
        <f>'Necesidades Trimestrales'!F15</f>
        <v>UNIDAD</v>
      </c>
      <c r="H17" s="54">
        <f>'Necesidades Trimestrales'!H15</f>
        <v>510</v>
      </c>
      <c r="I17" s="55">
        <f>'Necesidades Trimestrales'!G15</f>
        <v>100</v>
      </c>
      <c r="J17" s="31"/>
    </row>
    <row r="18" spans="1:10" ht="48.75" customHeight="1" thickBot="1" x14ac:dyDescent="0.25">
      <c r="A18" s="51">
        <f>'Necesidades Trimestrales'!A16</f>
        <v>7</v>
      </c>
      <c r="B18" s="52">
        <v>0</v>
      </c>
      <c r="C18" s="93" t="str">
        <f>'Necesidades Trimestrales'!E16</f>
        <v>CIRCUITO RESPIRADOR CON TRAMPA DE AGUA AUTOCLAVABLE ADULTO</v>
      </c>
      <c r="D18" s="93"/>
      <c r="E18" s="93"/>
      <c r="F18" s="53" t="s">
        <v>50</v>
      </c>
      <c r="G18" s="53" t="str">
        <f>'Necesidades Trimestrales'!F16</f>
        <v>UNIDAD</v>
      </c>
      <c r="H18" s="54">
        <f>'Necesidades Trimestrales'!H16</f>
        <v>16100</v>
      </c>
      <c r="I18" s="55">
        <f>'Necesidades Trimestrales'!G16</f>
        <v>50</v>
      </c>
      <c r="J18" s="31"/>
    </row>
    <row r="19" spans="1:10" ht="37.5" customHeight="1" thickBot="1" x14ac:dyDescent="0.25">
      <c r="A19" s="51">
        <f>'Necesidades Trimestrales'!A17</f>
        <v>8</v>
      </c>
      <c r="B19" s="52">
        <v>0</v>
      </c>
      <c r="C19" s="93" t="str">
        <f>'Necesidades Trimestrales'!E17</f>
        <v>CIRCUITO RESPIRADOR CON TRAMPA DE AGUA AUTOCLAVABLE NEONATAL</v>
      </c>
      <c r="D19" s="93"/>
      <c r="E19" s="93"/>
      <c r="F19" s="53" t="s">
        <v>50</v>
      </c>
      <c r="G19" s="53" t="str">
        <f>'Necesidades Trimestrales'!F17</f>
        <v>UNIDAD</v>
      </c>
      <c r="H19" s="54">
        <f>'Necesidades Trimestrales'!H17</f>
        <v>22000</v>
      </c>
      <c r="I19" s="55">
        <f>'Necesidades Trimestrales'!G17</f>
        <v>50</v>
      </c>
      <c r="J19" s="31"/>
    </row>
    <row r="20" spans="1:10" ht="39.75" customHeight="1" thickBot="1" x14ac:dyDescent="0.25">
      <c r="A20" s="51">
        <f>'Necesidades Trimestrales'!A18</f>
        <v>9</v>
      </c>
      <c r="B20" s="52">
        <v>0</v>
      </c>
      <c r="C20" s="93" t="str">
        <f>'Necesidades Trimestrales'!E18</f>
        <v>MASCARA CON BOLSA RESERVORIO</v>
      </c>
      <c r="D20" s="93"/>
      <c r="E20" s="93"/>
      <c r="F20" s="53" t="s">
        <v>50</v>
      </c>
      <c r="G20" s="53" t="str">
        <f>'Necesidades Trimestrales'!F18</f>
        <v>UNIDAD</v>
      </c>
      <c r="H20" s="54">
        <f>'Necesidades Trimestrales'!H18</f>
        <v>357</v>
      </c>
      <c r="I20" s="55">
        <f>'Necesidades Trimestrales'!G18</f>
        <v>100</v>
      </c>
      <c r="J20" s="31"/>
    </row>
    <row r="21" spans="1:10" ht="39.75" customHeight="1" thickBot="1" x14ac:dyDescent="0.25">
      <c r="A21" s="51">
        <f>'Necesidades Trimestrales'!A19</f>
        <v>10</v>
      </c>
      <c r="B21" s="52">
        <v>0</v>
      </c>
      <c r="C21" s="93" t="str">
        <f>'Necesidades Trimestrales'!E19</f>
        <v>MASCARA PERFOMAX TOTAL FACE  TALLE G PARA VNI</v>
      </c>
      <c r="D21" s="93"/>
      <c r="E21" s="93"/>
      <c r="F21" s="53" t="s">
        <v>50</v>
      </c>
      <c r="G21" s="53" t="str">
        <f>'Necesidades Trimestrales'!F19</f>
        <v>UNIDAD</v>
      </c>
      <c r="H21" s="54">
        <f>'Necesidades Trimestrales'!H19</f>
        <v>29900</v>
      </c>
      <c r="I21" s="55">
        <f>'Necesidades Trimestrales'!G19</f>
        <v>10</v>
      </c>
      <c r="J21" s="31"/>
    </row>
    <row r="22" spans="1:10" ht="39" customHeight="1" thickBot="1" x14ac:dyDescent="0.25">
      <c r="A22" s="51">
        <f>'Necesidades Trimestrales'!A20</f>
        <v>11</v>
      </c>
      <c r="B22" s="52">
        <v>0</v>
      </c>
      <c r="C22" s="93" t="str">
        <f>'Necesidades Trimestrales'!E20</f>
        <v>MASCARA PERFOMAX TOTAL FACE  TALLE XG PARA VNI</v>
      </c>
      <c r="D22" s="93"/>
      <c r="E22" s="93"/>
      <c r="F22" s="53" t="s">
        <v>50</v>
      </c>
      <c r="G22" s="53" t="str">
        <f>'Necesidades Trimestrales'!F20</f>
        <v>UNIDAD</v>
      </c>
      <c r="H22" s="54">
        <f>'Necesidades Trimestrales'!H20</f>
        <v>29900</v>
      </c>
      <c r="I22" s="55">
        <f>'Necesidades Trimestrales'!G20</f>
        <v>10</v>
      </c>
      <c r="J22" s="31"/>
    </row>
    <row r="23" spans="1:10" ht="39" customHeight="1" thickBot="1" x14ac:dyDescent="0.25">
      <c r="A23" s="51">
        <f>'Necesidades Trimestrales'!A21</f>
        <v>12</v>
      </c>
      <c r="B23" s="52">
        <v>0</v>
      </c>
      <c r="C23" s="93" t="str">
        <f>'Necesidades Trimestrales'!E21</f>
        <v>SONDA P/ASP.MUCUS C/REG.2,3 MM X 7 FR K-26P</v>
      </c>
      <c r="D23" s="93"/>
      <c r="E23" s="93"/>
      <c r="F23" s="53" t="s">
        <v>50</v>
      </c>
      <c r="G23" s="53" t="str">
        <f>'Necesidades Trimestrales'!F21</f>
        <v>UNIDAD</v>
      </c>
      <c r="H23" s="54">
        <f>'Necesidades Trimestrales'!H21</f>
        <v>36</v>
      </c>
      <c r="I23" s="55">
        <f>'Necesidades Trimestrales'!G21</f>
        <v>100</v>
      </c>
      <c r="J23" s="31"/>
    </row>
    <row r="24" spans="1:10" ht="40.5" customHeight="1" thickBot="1" x14ac:dyDescent="0.25">
      <c r="A24" s="51">
        <f>'Necesidades Trimestrales'!A22</f>
        <v>13</v>
      </c>
      <c r="B24" s="52">
        <v>0</v>
      </c>
      <c r="C24" s="93" t="str">
        <f>'Necesidades Trimestrales'!E22</f>
        <v>TUBULADURA PVC 8 X11 X 50  USO MEDICINAL</v>
      </c>
      <c r="D24" s="93"/>
      <c r="E24" s="93"/>
      <c r="F24" s="53" t="s">
        <v>50</v>
      </c>
      <c r="G24" s="53" t="str">
        <f>'Necesidades Trimestrales'!F22</f>
        <v>UNIDAD</v>
      </c>
      <c r="H24" s="54">
        <f>'Necesidades Trimestrales'!H22</f>
        <v>1750</v>
      </c>
      <c r="I24" s="55">
        <f>'Necesidades Trimestrales'!G22</f>
        <v>10</v>
      </c>
      <c r="J24" s="31"/>
    </row>
    <row r="25" spans="1:10" ht="37.5" customHeight="1" thickBot="1" x14ac:dyDescent="0.25">
      <c r="A25" s="107" t="s">
        <v>91</v>
      </c>
      <c r="B25" s="108"/>
      <c r="C25" s="108"/>
      <c r="D25" s="108"/>
      <c r="E25" s="108"/>
      <c r="F25" s="108"/>
      <c r="G25" s="108"/>
      <c r="H25" s="108"/>
      <c r="I25" s="56">
        <f>SUMPRODUCT(H12:H24*I12:I24)</f>
        <v>9340800</v>
      </c>
      <c r="J25" s="31"/>
    </row>
    <row r="26" spans="1:10" ht="61.5" customHeight="1" x14ac:dyDescent="0.2">
      <c r="B26" s="25"/>
      <c r="C26" s="26"/>
      <c r="D26" s="26"/>
      <c r="E26" s="26"/>
      <c r="F26" s="27"/>
      <c r="H26" s="28"/>
    </row>
    <row r="27" spans="1:10" x14ac:dyDescent="0.2">
      <c r="D27" s="30"/>
      <c r="E27" s="30"/>
      <c r="F27" s="30"/>
    </row>
    <row r="28" spans="1:10" x14ac:dyDescent="0.2">
      <c r="D28" s="30"/>
      <c r="E28" s="30"/>
      <c r="F28" s="30"/>
    </row>
    <row r="29" spans="1:10" x14ac:dyDescent="0.2">
      <c r="D29" s="30"/>
      <c r="E29" s="30"/>
      <c r="F29" s="30"/>
    </row>
  </sheetData>
  <mergeCells count="34">
    <mergeCell ref="A25:H25"/>
    <mergeCell ref="I10:I11"/>
    <mergeCell ref="C24:E24"/>
    <mergeCell ref="C18:E18"/>
    <mergeCell ref="C19:E19"/>
    <mergeCell ref="C20:E20"/>
    <mergeCell ref="H10:H11"/>
    <mergeCell ref="C21:E21"/>
    <mergeCell ref="C22:E22"/>
    <mergeCell ref="B10:B11"/>
    <mergeCell ref="G10:G11"/>
    <mergeCell ref="C17:E17"/>
    <mergeCell ref="C12:E12"/>
    <mergeCell ref="C13:E13"/>
    <mergeCell ref="C14:E14"/>
    <mergeCell ref="A10:A11"/>
    <mergeCell ref="A8:C8"/>
    <mergeCell ref="D8:I8"/>
    <mergeCell ref="D5:I5"/>
    <mergeCell ref="D6:I6"/>
    <mergeCell ref="D3:I3"/>
    <mergeCell ref="D4:I4"/>
    <mergeCell ref="A1:G1"/>
    <mergeCell ref="A6:C6"/>
    <mergeCell ref="A7:C7"/>
    <mergeCell ref="D7:I7"/>
    <mergeCell ref="A3:C3"/>
    <mergeCell ref="A4:C4"/>
    <mergeCell ref="A5:C5"/>
    <mergeCell ref="C23:E23"/>
    <mergeCell ref="C15:E15"/>
    <mergeCell ref="C16:E16"/>
    <mergeCell ref="F10:F11"/>
    <mergeCell ref="C10:E11"/>
  </mergeCells>
  <printOptions horizontalCentered="1"/>
  <pageMargins left="0.196527777777778" right="0.196527777777778" top="0.98402777777777795" bottom="0.98402777777777795" header="0.51180555555555496" footer="0.51180555555555496"/>
  <pageSetup paperSize="120" scale="58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1"/>
  <sheetViews>
    <sheetView tabSelected="1" topLeftCell="A3" zoomScale="120" zoomScaleNormal="120" workbookViewId="0">
      <selection activeCell="R11" sqref="R11"/>
    </sheetView>
  </sheetViews>
  <sheetFormatPr baseColWidth="10" defaultColWidth="11" defaultRowHeight="12.75" x14ac:dyDescent="0.2"/>
  <cols>
    <col min="1" max="4" width="4.42578125" customWidth="1"/>
    <col min="5" max="5" width="3.85546875" customWidth="1"/>
    <col min="6" max="6" width="6.7109375" customWidth="1"/>
    <col min="7" max="7" width="4.42578125" style="3" customWidth="1"/>
    <col min="8" max="14" width="4.42578125" customWidth="1"/>
    <col min="15" max="16" width="14.85546875" customWidth="1"/>
    <col min="17" max="17" width="18.85546875" customWidth="1"/>
    <col min="18" max="18" width="13.28515625" bestFit="1" customWidth="1"/>
    <col min="19" max="19" width="14.28515625" customWidth="1"/>
  </cols>
  <sheetData>
    <row r="1" spans="1:18" ht="15.75" customHeight="1" x14ac:dyDescent="0.25">
      <c r="A1" s="110" t="s">
        <v>2</v>
      </c>
      <c r="B1" s="110"/>
      <c r="C1" s="110"/>
      <c r="D1" s="111">
        <v>2021</v>
      </c>
      <c r="E1" s="111"/>
      <c r="F1" s="4"/>
      <c r="G1" s="4"/>
      <c r="H1" s="5"/>
      <c r="I1" s="5"/>
      <c r="J1" s="5"/>
      <c r="K1" s="5"/>
      <c r="L1" s="5"/>
      <c r="M1" s="5"/>
      <c r="N1" s="5"/>
      <c r="P1" s="112" t="s">
        <v>22</v>
      </c>
      <c r="Q1" s="112"/>
    </row>
    <row r="2" spans="1:18" ht="15.75" customHeight="1" x14ac:dyDescent="0.2">
      <c r="H2" s="5"/>
      <c r="I2" s="5"/>
      <c r="J2" s="5"/>
      <c r="K2" s="5"/>
      <c r="L2" s="5"/>
      <c r="M2" s="5"/>
      <c r="N2" s="5"/>
      <c r="P2" s="112"/>
      <c r="Q2" s="112"/>
    </row>
    <row r="4" spans="1:18" s="6" customFormat="1" ht="18" customHeight="1" thickBot="1" x14ac:dyDescent="0.25">
      <c r="A4" s="113" t="s">
        <v>23</v>
      </c>
      <c r="B4" s="113"/>
      <c r="C4" s="113"/>
      <c r="D4" s="113"/>
      <c r="E4" s="113"/>
      <c r="F4" s="113"/>
      <c r="G4" s="114" t="s">
        <v>51</v>
      </c>
      <c r="H4" s="114"/>
      <c r="I4" s="114"/>
      <c r="J4" s="114"/>
      <c r="K4" s="114"/>
      <c r="L4" s="114"/>
      <c r="M4" s="114"/>
      <c r="N4" s="114"/>
      <c r="O4" s="114"/>
      <c r="P4" s="114"/>
      <c r="Q4" s="114"/>
    </row>
    <row r="5" spans="1:18" s="6" customFormat="1" ht="18" customHeight="1" thickBot="1" x14ac:dyDescent="0.25">
      <c r="A5" s="115" t="s">
        <v>46</v>
      </c>
      <c r="B5" s="116"/>
      <c r="C5" s="116"/>
      <c r="D5" s="116"/>
      <c r="E5" s="116"/>
      <c r="F5" s="117"/>
      <c r="G5" s="118" t="s">
        <v>61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</row>
    <row r="6" spans="1:18" s="6" customFormat="1" ht="30.75" customHeight="1" thickBot="1" x14ac:dyDescent="0.25">
      <c r="A6" s="115" t="s">
        <v>24</v>
      </c>
      <c r="B6" s="116"/>
      <c r="C6" s="116"/>
      <c r="D6" s="116"/>
      <c r="E6" s="116"/>
      <c r="F6" s="117"/>
      <c r="G6" s="120" t="s">
        <v>86</v>
      </c>
      <c r="H6" s="121"/>
      <c r="I6" s="121"/>
      <c r="J6" s="121"/>
      <c r="K6" s="121"/>
      <c r="L6" s="121"/>
      <c r="M6" s="121"/>
      <c r="N6" s="121"/>
      <c r="O6" s="121"/>
      <c r="P6" s="121"/>
      <c r="Q6" s="122"/>
    </row>
    <row r="7" spans="1:18" s="6" customFormat="1" ht="18" customHeight="1" thickBot="1" x14ac:dyDescent="0.25">
      <c r="A7" s="115" t="s">
        <v>47</v>
      </c>
      <c r="B7" s="116"/>
      <c r="C7" s="116"/>
      <c r="D7" s="116"/>
      <c r="E7" s="116"/>
      <c r="F7" s="117"/>
      <c r="G7" s="120" t="s">
        <v>87</v>
      </c>
      <c r="H7" s="121"/>
      <c r="I7" s="121"/>
      <c r="J7" s="121"/>
      <c r="K7" s="121"/>
      <c r="L7" s="121"/>
      <c r="M7" s="121"/>
      <c r="N7" s="121"/>
      <c r="O7" s="121"/>
      <c r="P7" s="121"/>
      <c r="Q7" s="122"/>
    </row>
    <row r="8" spans="1:18" ht="18" customHeight="1" thickBot="1" x14ac:dyDescent="0.25">
      <c r="A8" s="119" t="s">
        <v>25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</row>
    <row r="9" spans="1:18" ht="18" customHeight="1" x14ac:dyDescent="0.2">
      <c r="A9" s="125" t="s">
        <v>26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8"/>
      <c r="P9" s="8"/>
      <c r="Q9" s="9"/>
    </row>
    <row r="10" spans="1:18" ht="54.75" customHeight="1" x14ac:dyDescent="0.2">
      <c r="A10" s="126" t="s">
        <v>94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1:18" ht="9" customHeight="1" x14ac:dyDescent="0.2">
      <c r="A11" s="10"/>
      <c r="B11" s="11"/>
      <c r="C11" s="11"/>
      <c r="D11" s="11"/>
      <c r="E11" s="11"/>
      <c r="F11" s="11"/>
      <c r="G11" s="12"/>
      <c r="H11" s="11"/>
      <c r="I11" s="11"/>
      <c r="J11" s="11"/>
      <c r="K11" s="11"/>
      <c r="L11" s="11"/>
      <c r="M11" s="11"/>
      <c r="N11" s="11"/>
      <c r="O11" s="11"/>
      <c r="P11" s="11"/>
      <c r="Q11" s="13"/>
    </row>
    <row r="12" spans="1:18" ht="15.75" customHeight="1" thickBot="1" x14ac:dyDescent="0.25">
      <c r="A12" s="127" t="s">
        <v>27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</row>
    <row r="13" spans="1:18" ht="15.75" customHeight="1" thickBot="1" x14ac:dyDescent="0.25">
      <c r="A13" s="128" t="s">
        <v>28</v>
      </c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9"/>
      <c r="O13" s="130" t="s">
        <v>29</v>
      </c>
      <c r="P13" s="131"/>
      <c r="Q13" s="134" t="s">
        <v>30</v>
      </c>
    </row>
    <row r="14" spans="1:18" ht="15.75" customHeight="1" thickBot="1" x14ac:dyDescent="0.25">
      <c r="A14" s="14" t="s">
        <v>31</v>
      </c>
      <c r="B14" s="15" t="s">
        <v>32</v>
      </c>
      <c r="C14" s="15" t="s">
        <v>33</v>
      </c>
      <c r="D14" s="15" t="s">
        <v>34</v>
      </c>
      <c r="E14" s="15" t="s">
        <v>35</v>
      </c>
      <c r="F14" s="15" t="s">
        <v>36</v>
      </c>
      <c r="G14" s="16" t="s">
        <v>37</v>
      </c>
      <c r="H14" s="15" t="s">
        <v>38</v>
      </c>
      <c r="I14" s="15" t="s">
        <v>39</v>
      </c>
      <c r="J14" s="15" t="s">
        <v>40</v>
      </c>
      <c r="K14" s="15" t="s">
        <v>40</v>
      </c>
      <c r="L14" s="15" t="s">
        <v>41</v>
      </c>
      <c r="M14" s="17" t="s">
        <v>42</v>
      </c>
      <c r="N14" s="75" t="s">
        <v>43</v>
      </c>
      <c r="O14" s="132"/>
      <c r="P14" s="133"/>
      <c r="Q14" s="135"/>
    </row>
    <row r="15" spans="1:18" ht="22.5" customHeight="1" x14ac:dyDescent="0.2">
      <c r="A15" s="69">
        <v>42</v>
      </c>
      <c r="B15" s="67"/>
      <c r="C15" s="67"/>
      <c r="D15" s="67">
        <v>2</v>
      </c>
      <c r="E15" s="67"/>
      <c r="F15" s="67">
        <v>4901</v>
      </c>
      <c r="G15" s="67">
        <v>3</v>
      </c>
      <c r="H15" s="68">
        <v>1</v>
      </c>
      <c r="I15" s="67">
        <v>2</v>
      </c>
      <c r="J15" s="67">
        <v>9</v>
      </c>
      <c r="K15" s="67">
        <v>5</v>
      </c>
      <c r="L15" s="67"/>
      <c r="M15" s="67">
        <v>1</v>
      </c>
      <c r="N15" s="73" t="s">
        <v>48</v>
      </c>
      <c r="O15" s="123" t="s">
        <v>85</v>
      </c>
      <c r="P15" s="124"/>
      <c r="Q15" s="77">
        <v>9340800</v>
      </c>
      <c r="R15" s="1"/>
    </row>
    <row r="16" spans="1:18" ht="27.75" customHeight="1" thickBot="1" x14ac:dyDescent="0.25">
      <c r="A16" s="70"/>
      <c r="B16" s="71"/>
      <c r="C16" s="71"/>
      <c r="D16" s="71"/>
      <c r="E16" s="71"/>
      <c r="F16" s="71"/>
      <c r="G16" s="71"/>
      <c r="H16" s="72"/>
      <c r="I16" s="71"/>
      <c r="J16" s="71"/>
      <c r="K16" s="71"/>
      <c r="L16" s="71"/>
      <c r="M16" s="71"/>
      <c r="N16" s="74"/>
      <c r="O16" s="146"/>
      <c r="P16" s="147"/>
      <c r="Q16" s="78"/>
    </row>
    <row r="17" spans="1:17" ht="24.75" customHeight="1" thickBot="1" x14ac:dyDescent="0.25">
      <c r="A17" s="148" t="s">
        <v>92</v>
      </c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50"/>
      <c r="Q17" s="76">
        <f>SUM(Q15:Q16)</f>
        <v>9340800</v>
      </c>
    </row>
    <row r="18" spans="1:17" ht="18" customHeight="1" thickBot="1" x14ac:dyDescent="0.25">
      <c r="A18" s="151"/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2"/>
    </row>
    <row r="19" spans="1:17" ht="17.25" customHeight="1" x14ac:dyDescent="0.2">
      <c r="A19" s="136" t="s">
        <v>44</v>
      </c>
      <c r="B19" s="137"/>
      <c r="C19" s="137"/>
      <c r="D19" s="137"/>
      <c r="E19" s="137"/>
      <c r="F19" s="137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9"/>
    </row>
    <row r="20" spans="1:17" ht="18" customHeight="1" thickBot="1" x14ac:dyDescent="0.25">
      <c r="A20" s="140" t="s">
        <v>81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2"/>
    </row>
    <row r="21" spans="1:17" ht="15" customHeight="1" thickBot="1" x14ac:dyDescent="0.25">
      <c r="A21" s="143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5"/>
    </row>
  </sheetData>
  <mergeCells count="25">
    <mergeCell ref="A19:F19"/>
    <mergeCell ref="G19:Q19"/>
    <mergeCell ref="A20:Q21"/>
    <mergeCell ref="O16:P16"/>
    <mergeCell ref="A17:P17"/>
    <mergeCell ref="A18:Q18"/>
    <mergeCell ref="O15:P15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120" scale="87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SILVINA ATENCIO</cp:lastModifiedBy>
  <cp:revision>2</cp:revision>
  <cp:lastPrinted>2021-03-12T12:55:44Z</cp:lastPrinted>
  <dcterms:created xsi:type="dcterms:W3CDTF">2020-07-17T23:44:49Z</dcterms:created>
  <dcterms:modified xsi:type="dcterms:W3CDTF">2021-08-19T13:19:18Z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