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931"/>
  <workbookPr/>
  <mc:AlternateContent xmlns:mc="http://schemas.openxmlformats.org/markup-compatibility/2006">
    <mc:Choice Requires="x15">
      <x15ac:absPath xmlns:x15ac="http://schemas.microsoft.com/office/spreadsheetml/2010/11/ac" url="C:\Users\ELIAS QUINTAR\Downloads\"/>
    </mc:Choice>
  </mc:AlternateContent>
  <xr:revisionPtr revIDLastSave="0" documentId="13_ncr:1_{D8E6B371-9100-46BE-B349-6422F5B046C8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Necesidades Trimestrales" sheetId="3" r:id="rId1"/>
    <sheet name=" NotaPedido" sheetId="1" r:id="rId2"/>
    <sheet name="Autor Gastar" sheetId="2" r:id="rId3"/>
  </sheets>
  <definedNames>
    <definedName name="_xlnm.Print_Area" localSheetId="1">' NotaPedido'!$A$1:$K$17</definedName>
    <definedName name="_xlnm.Print_Area" localSheetId="2">'Autor Gastar'!$A$1:$Q$46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K16" i="3" l="1"/>
  <c r="K12" i="3"/>
  <c r="K13" i="3"/>
  <c r="K14" i="3"/>
  <c r="K15" i="3"/>
  <c r="K11" i="3"/>
  <c r="M12" i="3"/>
  <c r="M13" i="3"/>
  <c r="M14" i="3"/>
  <c r="M15" i="3"/>
  <c r="M11" i="3"/>
  <c r="Q42" i="2"/>
  <c r="J12" i="3"/>
  <c r="J13" i="3"/>
  <c r="J14" i="3"/>
  <c r="J15" i="3"/>
  <c r="J11" i="3" l="1"/>
</calcChain>
</file>

<file path=xl/sharedStrings.xml><?xml version="1.0" encoding="utf-8"?>
<sst xmlns="http://schemas.openxmlformats.org/spreadsheetml/2006/main" count="184" uniqueCount="105">
  <si>
    <t>NOTA DE PEDIDO</t>
  </si>
  <si>
    <t>N°</t>
  </si>
  <si>
    <t xml:space="preserve">JURISDICCIÓN: </t>
  </si>
  <si>
    <t>SAF:</t>
  </si>
  <si>
    <t>UNIDAD EJECUTORA:</t>
  </si>
  <si>
    <t xml:space="preserve">DEPENDENCIA SOLICITANTE: 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</si>
  <si>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</si>
  <si>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</si>
  <si>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</si>
  <si>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</si>
  <si>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</si>
  <si>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</si>
  <si>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</si>
  <si>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</si>
  <si>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</si>
  <si>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EJERCICIO:</t>
  </si>
  <si>
    <t>AUTORIZACION PARA GASTAR</t>
  </si>
  <si>
    <t>JURISDICCIÓN: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</si>
  <si>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</si>
  <si>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Director de Administración o Titular del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</si>
  <si>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</si>
  <si>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</si>
  <si>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</si>
  <si>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</si>
  <si>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</si>
  <si>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</si>
  <si>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</si>
  <si>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</si>
  <si>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</si>
  <si>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</si>
  <si>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</si>
  <si>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</si>
  <si>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</si>
  <si>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</si>
  <si>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</si>
  <si>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</si>
  <si>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</si>
  <si>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</si>
  <si>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>1.1</t>
  </si>
  <si>
    <t>ID</t>
  </si>
  <si>
    <t>CODIGO ITEM</t>
  </si>
  <si>
    <t>RUBRO DE LA COMPRA</t>
  </si>
  <si>
    <t>I.P.P</t>
  </si>
  <si>
    <t>DESCRIPCION</t>
  </si>
  <si>
    <t>UNIDAD DE MEDIDA</t>
  </si>
  <si>
    <t>CANTIDAD</t>
  </si>
  <si>
    <t>PRECIO UNITARIO ESTIMADO</t>
  </si>
  <si>
    <t>IMPORTE TOTRAL ESTIMADO</t>
  </si>
  <si>
    <t>Descripcion Técnica</t>
  </si>
  <si>
    <t>Plazos y lugares de entrega:</t>
  </si>
  <si>
    <t>Garantia</t>
  </si>
  <si>
    <t>AV. VENEZUELA S/N - C.A.P.E - PABELLON N° 28 -SAN FERNANDO DEL VALLE DE CATAMARCA- CATAMARCA</t>
  </si>
  <si>
    <t>UNIDAD</t>
  </si>
  <si>
    <t>10 DIAS</t>
  </si>
  <si>
    <t>SEGÚN DESCRIPCION DE ITEM</t>
  </si>
  <si>
    <t>AGRIC,GANADERIA,CAZA,SILVICULT</t>
  </si>
  <si>
    <t>2.5.4</t>
  </si>
  <si>
    <t>PRODUCTOS AGROFORESTALES</t>
  </si>
  <si>
    <t>IMPORTE TOTAL ESTIMADO</t>
  </si>
  <si>
    <t>Adquisición de elementos para la Dirección Provincial de Agricultura.</t>
  </si>
  <si>
    <t>Adquisición de elementos para la Dirección Provincial de Agricultura</t>
  </si>
  <si>
    <t xml:space="preserve">Pedido de Necesidades Trimestrales </t>
  </si>
  <si>
    <t>EJERCICIO: 2022</t>
  </si>
  <si>
    <t>SEMILLAS; TIPO: ALFALFA, PRESENTACION: ENVASE X 25 Kg</t>
  </si>
  <si>
    <t>2.1.4-7179.32</t>
  </si>
  <si>
    <t>2.1.4</t>
  </si>
  <si>
    <t>Cantidad Minima esperada</t>
  </si>
  <si>
    <t>Mantenimiento</t>
  </si>
  <si>
    <t>JURISDICCION : 62- MINISTERIO DE INCLUSION DIGITAL Y SISTEMAS PRODUCTIVOS</t>
  </si>
  <si>
    <t>SAF N°: 33- DIRECCION PROVINVIAL DE ADMINISTRACION GENERAL</t>
  </si>
  <si>
    <t>62-  MINISTERIO DE INCLUSION DIGITAL Y SISTEMAS PRODUCTIVOS</t>
  </si>
  <si>
    <t>33- DIRECCION PROVINCIAL DE ADMINISTRACION GENERAL</t>
  </si>
  <si>
    <t xml:space="preserve"> MINISTERIO DE INCLUSION DIGITAL Y SISTEMAS PRODUCTIVOS</t>
  </si>
  <si>
    <t>62- MINISTERIO DE INCLUSION DIGITAL Y SISTEMAS PRODUCTIVOS</t>
  </si>
  <si>
    <t>2.5.4-504.152</t>
  </si>
  <si>
    <t>HERBICIDAS; PRINCIPIO ACTIVO: LINURON, CONCENTRACION: 48 %, PRESENTACION: SUSPENSION CONCENTRADA, ACCION: HERBICIDA, USO P/CONTROL: SIN VALOR, USO: HORTICULTURA, USO EN CULTIVO: HORTICULTURA, CONTROL: SIN VALOR</t>
  </si>
  <si>
    <t>2.1.4-7179.114</t>
  </si>
  <si>
    <t>SEMILLAS; TIPO: HORTICOLA OTOÑO-INVIERNO, PRESENTACION: KIT SEGUN PLIEGO</t>
  </si>
  <si>
    <t>Especialidades item N°1</t>
  </si>
  <si>
    <t>SEGÚN ITEM</t>
  </si>
  <si>
    <t>ALFALFA MONARCA CALIDAD FISCALIZADA</t>
  </si>
  <si>
    <t>Especialidades item N°2</t>
  </si>
  <si>
    <t>Especialidades item N°3</t>
  </si>
  <si>
    <t>Especialidades item N°4</t>
  </si>
  <si>
    <t>Especialidades item N°5</t>
  </si>
  <si>
    <t>INSECTICIDAS, FUMIGANTES Y OTROS</t>
  </si>
  <si>
    <t>TOTAL DE PESOS:OCHO MILLONES SEISCIENTOS SETENTA Y CINCO MIL CON 00/100</t>
  </si>
  <si>
    <t xml:space="preserve">UNIDAD </t>
  </si>
  <si>
    <t>Costo total estimado: OCHO MILLONES SEISCIENTOS SETENTA Y CINCO MIL CON 00/100</t>
  </si>
  <si>
    <t>2.1.4-7179.115</t>
  </si>
  <si>
    <t>SEMILLAS; TIPO: CEBADA, PRESENTACION: BOLSA X 25 Kg</t>
  </si>
  <si>
    <t>2.1.4-7179.116</t>
  </si>
  <si>
    <t>SEMILLAS; TIPO: AVENA BLANCA, PRESENTACION:BOLSA X 25 Kg</t>
  </si>
  <si>
    <t>08/2022</t>
  </si>
  <si>
    <t>Autorizo la realización de los  trámites correspondientes, a fin de (proveer a  este Organismo los bienes, servicios o ejecución de obras públicas que se detallan en Nota  de Pedido N° 08 / 2022 otorgar la transferencia de fondos autorizada por Acto Administrativo Nº ....) afectando la erogación resultante a los créditos presupuestarios aprobados a favor de esta Unidad Ejecutora, conforme al siguiente detalle:</t>
  </si>
  <si>
    <t>2 - TRIMESTRE 2022</t>
  </si>
  <si>
    <t>SI</t>
  </si>
  <si>
    <t>TRIMESTRE:02</t>
  </si>
  <si>
    <t>PLAZO DE ENTREGA: 15 DIAS</t>
  </si>
  <si>
    <t>30 DIAS</t>
  </si>
  <si>
    <t xml:space="preserve">KIT DE HUERTAS OTOÑO INVIERNO, 8 ESPECIES ( Acelga Bressane, Brócoli, Cebolla Morada,
Espinaca, Lechuga de inviernO, Remolacha, Repollo, Zanahoria)
</t>
  </si>
  <si>
    <t>SEGÚN DESCRIPCION DE ITEM - PRESENTACION EN BIDONES DE 5 LITROS</t>
  </si>
  <si>
    <t>SEMILLAS; TIPO: CEBADA, PRESENTACION: BOLSA X 25 KG</t>
  </si>
  <si>
    <t>SEMILLAS; TIPO: AVENA BLANCA, PRESENTACION: BOLSA X 25 KG</t>
  </si>
  <si>
    <t>SEMILLAS; TIPO: AVENA BLANCA, PRESENTACION: BOLSA X 25 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</si>
</sst>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-* #,##0.00\ &quot;€&quot;_-;\-* #,##0.00\ &quot;€&quot;_-;_-* &quot;-&quot;??\ &quot;€&quot;_-;_-@_-"/>
    <numFmt numFmtId="165" formatCode="_(\$* #,##0.00_);_(\$* \(#,##0.00\);_(\$* \-??_);_(@_)"/>
    <numFmt numFmtId="166" formatCode="[$$-2C0A]\ #,##0.00"/>
    <numFmt numFmtId="167" formatCode="dd\-mm\-yy;@"/>
    <numFmt numFmtId="168" formatCode="[$$-2C0A]\ #,##0.00;[$$-2C0A]&quot; -&quot;#,##0.00"/>
    <numFmt numFmtId="169" formatCode="&quot;$&quot;#,##0.00"/>
    <numFmt numFmtId="170" formatCode="[$$-80A]#,##0.00"/>
    <numFmt numFmtId="175" formatCode="&quot;$&quot;\ #,##0.00"/>
  </numFmts>
  <fonts count="31" x14ac:knownFonts="1">
    <font>
      <sz val="10"/>
      <name val="Arial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b/>
      <u/>
      <sz val="24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sz val="10"/>
      <name val="Times New Roman"/>
      <family val="1"/>
      <charset val="1"/>
    </font>
    <font>
      <b/>
      <sz val="14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Times New Roman"/>
      <family val="1"/>
    </font>
    <font>
      <sz val="8"/>
      <name val="Times New Roman"/>
      <family val="1"/>
    </font>
    <font>
      <b/>
      <sz val="10"/>
      <name val="Arial"/>
      <family val="2"/>
    </font>
    <font>
      <sz val="10"/>
      <name val="Arial"/>
      <family val="2"/>
    </font>
    <font>
      <u/>
      <sz val="10"/>
      <name val="Arial"/>
      <family val="2"/>
    </font>
    <font>
      <sz val="8"/>
      <name val="Arial"/>
      <family val="2"/>
    </font>
    <font>
      <b/>
      <sz val="14"/>
      <name val="Arial"/>
      <family val="2"/>
    </font>
    <font>
      <sz val="11"/>
      <name val="Calibri"/>
      <family val="2"/>
      <scheme val="minor"/>
    </font>
    <font>
      <sz val="10"/>
      <name val="Calibri"/>
      <family val="2"/>
      <scheme val="minor"/>
    </font>
    <font>
      <sz val="10"/>
      <name val="Arial"/>
      <family val="2"/>
    </font>
    <font>
      <sz val="11"/>
      <color rgb="FF333333"/>
      <name val="Arial"/>
      <family val="2"/>
    </font>
    <font>
      <b/>
      <sz val="1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69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rgb="FF3D3D3D"/>
      </bottom>
      <diagonal/>
    </border>
    <border>
      <left style="medium">
        <color auto="1"/>
      </left>
      <right/>
      <top/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rgb="FF3D3D3D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auto="1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rgb="FF3D3D3D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/>
      <right style="medium">
        <color auto="1"/>
      </right>
      <top style="medium">
        <color rgb="FF3D3D3D"/>
      </top>
      <bottom/>
      <diagonal/>
    </border>
    <border>
      <left style="medium">
        <color auto="1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auto="1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auto="1"/>
      </right>
      <top style="medium">
        <color rgb="FF3D3D3D"/>
      </top>
      <bottom style="thin">
        <color rgb="FF3D3D3D"/>
      </bottom>
      <diagonal/>
    </border>
    <border>
      <left style="medium">
        <color auto="1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auto="1"/>
      </right>
      <top style="thin">
        <color rgb="FF3D3D3D"/>
      </top>
      <bottom style="thin">
        <color rgb="FF3D3D3D"/>
      </bottom>
      <diagonal/>
    </border>
    <border>
      <left style="medium">
        <color auto="1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auto="1"/>
      </right>
      <top style="thin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 style="medium">
        <color auto="1"/>
      </right>
      <top/>
      <bottom style="medium">
        <color rgb="FF3D3D3D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rgb="FF3D3D3D"/>
      </left>
      <right/>
      <top style="medium">
        <color rgb="FF3D3D3D"/>
      </top>
      <bottom style="medium">
        <color rgb="FF3D3D3D"/>
      </bottom>
      <diagonal/>
    </border>
    <border>
      <left/>
      <right style="thin">
        <color rgb="FF3D3D3D"/>
      </right>
      <top style="medium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thin">
        <color rgb="FF3D3D3D"/>
      </bottom>
      <diagonal/>
    </border>
    <border>
      <left/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auto="1"/>
      </right>
      <top/>
      <bottom style="thin">
        <color rgb="FF3D3D3D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</borders>
  <cellStyleXfs count="7">
    <xf numFmtId="0" fontId="0" fillId="0" borderId="0"/>
    <xf numFmtId="0" fontId="4" fillId="0" borderId="1" applyProtection="0"/>
    <xf numFmtId="165" fontId="5" fillId="0" borderId="0" applyBorder="0" applyProtection="0"/>
    <xf numFmtId="0" fontId="6" fillId="2" borderId="0" applyBorder="0" applyProtection="0"/>
    <xf numFmtId="0" fontId="3" fillId="0" borderId="0"/>
    <xf numFmtId="164" fontId="28" fillId="0" borderId="0" applyFont="0" applyFill="0" applyBorder="0" applyAlignment="0" applyProtection="0"/>
    <xf numFmtId="0" fontId="2" fillId="0" borderId="0"/>
  </cellStyleXfs>
  <cellXfs count="163">
    <xf numFmtId="0" fontId="0" fillId="0" borderId="0" xfId="0"/>
    <xf numFmtId="0" fontId="5" fillId="0" borderId="0" xfId="0" applyFont="1" applyBorder="1" applyAlignment="1">
      <alignment vertical="center"/>
    </xf>
    <xf numFmtId="0" fontId="8" fillId="0" borderId="3" xfId="0" applyFont="1" applyBorder="1" applyAlignment="1">
      <alignment horizontal="right" vertical="center"/>
    </xf>
    <xf numFmtId="0" fontId="8" fillId="0" borderId="5" xfId="0" applyFont="1" applyBorder="1" applyAlignment="1">
      <alignment vertical="center"/>
    </xf>
    <xf numFmtId="0" fontId="8" fillId="0" borderId="6" xfId="0" applyFont="1" applyBorder="1" applyAlignment="1">
      <alignment vertical="center"/>
    </xf>
    <xf numFmtId="0" fontId="8" fillId="0" borderId="0" xfId="0" applyFont="1" applyBorder="1" applyAlignment="1">
      <alignment vertical="center"/>
    </xf>
    <xf numFmtId="0" fontId="8" fillId="0" borderId="7" xfId="0" applyFont="1" applyBorder="1" applyAlignment="1">
      <alignment vertical="center"/>
    </xf>
    <xf numFmtId="0" fontId="10" fillId="0" borderId="13" xfId="0" applyFont="1" applyBorder="1" applyAlignment="1">
      <alignment horizontal="left" vertical="center"/>
    </xf>
    <xf numFmtId="0" fontId="10" fillId="0" borderId="0" xfId="0" applyFont="1" applyBorder="1" applyAlignment="1">
      <alignment horizontal="left" vertical="center"/>
    </xf>
    <xf numFmtId="0" fontId="9" fillId="0" borderId="0" xfId="0" applyFont="1" applyBorder="1" applyAlignment="1">
      <alignment horizontal="left" vertical="center" wrapText="1" indent="1"/>
    </xf>
    <xf numFmtId="0" fontId="9" fillId="0" borderId="7" xfId="0" applyFont="1" applyBorder="1" applyAlignment="1">
      <alignment horizontal="left" vertical="center" wrapText="1" indent="1"/>
    </xf>
    <xf numFmtId="0" fontId="0" fillId="0" borderId="0" xfId="0" applyAlignment="1">
      <alignment horizontal="left"/>
    </xf>
    <xf numFmtId="3" fontId="14" fillId="0" borderId="20" xfId="0" applyNumberFormat="1" applyFont="1" applyBorder="1" applyAlignment="1"/>
    <xf numFmtId="167" fontId="0" fillId="0" borderId="20" xfId="0" applyNumberFormat="1" applyBorder="1" applyAlignment="1">
      <alignment horizontal="left"/>
    </xf>
    <xf numFmtId="0" fontId="0" fillId="0" borderId="20" xfId="0" applyBorder="1"/>
    <xf numFmtId="0" fontId="0" fillId="0" borderId="13" xfId="0" applyBorder="1"/>
    <xf numFmtId="0" fontId="0" fillId="0" borderId="0" xfId="0" applyBorder="1"/>
    <xf numFmtId="0" fontId="0" fillId="0" borderId="0" xfId="0" applyBorder="1" applyAlignment="1">
      <alignment horizontal="left"/>
    </xf>
    <xf numFmtId="167" fontId="0" fillId="0" borderId="0" xfId="0" applyNumberFormat="1" applyBorder="1" applyAlignment="1">
      <alignment horizontal="left"/>
    </xf>
    <xf numFmtId="0" fontId="0" fillId="0" borderId="7" xfId="0" applyBorder="1"/>
    <xf numFmtId="0" fontId="5" fillId="0" borderId="0" xfId="0" applyFont="1"/>
    <xf numFmtId="0" fontId="0" fillId="0" borderId="5" xfId="0" applyBorder="1"/>
    <xf numFmtId="0" fontId="0" fillId="0" borderId="6" xfId="0" applyBorder="1"/>
    <xf numFmtId="0" fontId="0" fillId="0" borderId="6" xfId="0" applyBorder="1" applyAlignment="1">
      <alignment horizontal="left"/>
    </xf>
    <xf numFmtId="0" fontId="0" fillId="0" borderId="26" xfId="0" applyBorder="1"/>
    <xf numFmtId="0" fontId="18" fillId="0" borderId="29" xfId="0" applyFont="1" applyBorder="1" applyAlignment="1">
      <alignment horizontal="center" vertical="center"/>
    </xf>
    <xf numFmtId="0" fontId="18" fillId="0" borderId="30" xfId="0" applyFont="1" applyBorder="1" applyAlignment="1">
      <alignment horizontal="center" vertical="center"/>
    </xf>
    <xf numFmtId="0" fontId="18" fillId="0" borderId="30" xfId="0" applyFont="1" applyBorder="1" applyAlignment="1">
      <alignment horizontal="left" vertical="center"/>
    </xf>
    <xf numFmtId="0" fontId="18" fillId="0" borderId="31" xfId="0" applyFont="1" applyBorder="1" applyAlignment="1">
      <alignment horizontal="center" vertical="center"/>
    </xf>
    <xf numFmtId="0" fontId="18" fillId="0" borderId="32" xfId="0" applyFont="1" applyBorder="1" applyAlignment="1">
      <alignment horizontal="center" vertical="center"/>
    </xf>
    <xf numFmtId="0" fontId="0" fillId="0" borderId="37" xfId="0" applyFont="1" applyBorder="1" applyAlignment="1">
      <alignment horizontal="center" vertical="center"/>
    </xf>
    <xf numFmtId="0" fontId="0" fillId="0" borderId="38" xfId="0" applyFont="1" applyBorder="1" applyAlignment="1">
      <alignment horizontal="center" vertical="center"/>
    </xf>
    <xf numFmtId="0" fontId="0" fillId="0" borderId="39" xfId="0" applyFont="1" applyBorder="1" applyAlignment="1">
      <alignment horizontal="center" vertical="center"/>
    </xf>
    <xf numFmtId="0" fontId="0" fillId="0" borderId="40" xfId="0" applyFont="1" applyBorder="1" applyAlignment="1">
      <alignment horizontal="center" vertical="center"/>
    </xf>
    <xf numFmtId="168" fontId="0" fillId="0" borderId="41" xfId="2" applyNumberFormat="1" applyFont="1" applyBorder="1" applyAlignment="1" applyProtection="1">
      <alignment horizontal="center" vertical="center"/>
    </xf>
    <xf numFmtId="0" fontId="16" fillId="0" borderId="37" xfId="0" applyFont="1" applyBorder="1" applyAlignment="1">
      <alignment horizontal="center" vertical="center"/>
    </xf>
    <xf numFmtId="0" fontId="16" fillId="0" borderId="38" xfId="0" applyFont="1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16" fillId="0" borderId="39" xfId="0" applyFont="1" applyBorder="1" applyAlignment="1">
      <alignment horizontal="center" vertical="center"/>
    </xf>
    <xf numFmtId="0" fontId="16" fillId="0" borderId="40" xfId="0" applyFont="1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168" fontId="0" fillId="0" borderId="45" xfId="2" applyNumberFormat="1" applyFont="1" applyBorder="1" applyAlignment="1" applyProtection="1">
      <alignment horizontal="center" vertical="center"/>
    </xf>
    <xf numFmtId="168" fontId="18" fillId="0" borderId="47" xfId="0" applyNumberFormat="1" applyFont="1" applyBorder="1" applyAlignment="1">
      <alignment horizontal="center" vertical="center"/>
    </xf>
    <xf numFmtId="0" fontId="21" fillId="0" borderId="0" xfId="0" applyFont="1"/>
    <xf numFmtId="0" fontId="27" fillId="0" borderId="16" xfId="0" applyFont="1" applyBorder="1" applyAlignment="1">
      <alignment horizontal="center" vertical="center"/>
    </xf>
    <xf numFmtId="0" fontId="0" fillId="0" borderId="0" xfId="0" applyFill="1"/>
    <xf numFmtId="0" fontId="21" fillId="0" borderId="54" xfId="0" applyFont="1" applyBorder="1" applyAlignment="1">
      <alignment horizontal="center" vertical="center"/>
    </xf>
    <xf numFmtId="0" fontId="22" fillId="0" borderId="55" xfId="0" applyFont="1" applyBorder="1" applyAlignment="1">
      <alignment horizontal="center" vertical="center"/>
    </xf>
    <xf numFmtId="0" fontId="0" fillId="0" borderId="56" xfId="0" applyBorder="1" applyAlignment="1">
      <alignment horizontal="center" vertical="center"/>
    </xf>
    <xf numFmtId="0" fontId="0" fillId="0" borderId="57" xfId="0" applyFill="1" applyBorder="1" applyAlignment="1">
      <alignment horizontal="center" vertical="center"/>
    </xf>
    <xf numFmtId="0" fontId="21" fillId="0" borderId="58" xfId="0" applyFont="1" applyBorder="1" applyAlignment="1">
      <alignment horizontal="center" vertical="center"/>
    </xf>
    <xf numFmtId="0" fontId="21" fillId="0" borderId="54" xfId="0" applyFont="1" applyBorder="1" applyAlignment="1">
      <alignment horizontal="center" vertical="center" wrapText="1"/>
    </xf>
    <xf numFmtId="0" fontId="21" fillId="0" borderId="59" xfId="0" applyFont="1" applyBorder="1" applyAlignment="1">
      <alignment horizontal="center" vertical="center" wrapText="1"/>
    </xf>
    <xf numFmtId="0" fontId="0" fillId="3" borderId="57" xfId="0" applyFill="1" applyBorder="1" applyAlignment="1">
      <alignment horizontal="center" vertical="center"/>
    </xf>
    <xf numFmtId="0" fontId="0" fillId="0" borderId="60" xfId="0" applyFill="1" applyBorder="1" applyAlignment="1">
      <alignment horizontal="center" vertical="center"/>
    </xf>
    <xf numFmtId="0" fontId="0" fillId="0" borderId="60" xfId="0" applyBorder="1" applyAlignment="1">
      <alignment horizontal="center" vertical="center" wrapText="1"/>
    </xf>
    <xf numFmtId="0" fontId="22" fillId="0" borderId="60" xfId="0" applyFont="1" applyFill="1" applyBorder="1" applyAlignment="1">
      <alignment horizontal="center" vertical="center"/>
    </xf>
    <xf numFmtId="3" fontId="0" fillId="0" borderId="60" xfId="0" applyNumberFormat="1" applyFill="1" applyBorder="1" applyAlignment="1">
      <alignment horizontal="center" vertical="center"/>
    </xf>
    <xf numFmtId="169" fontId="0" fillId="0" borderId="60" xfId="0" applyNumberFormat="1" applyFill="1" applyBorder="1" applyAlignment="1">
      <alignment horizontal="center" vertical="center"/>
    </xf>
    <xf numFmtId="0" fontId="25" fillId="0" borderId="0" xfId="0" applyFont="1" applyAlignment="1">
      <alignment horizontal="center" vertical="center" wrapText="1"/>
    </xf>
    <xf numFmtId="168" fontId="0" fillId="0" borderId="41" xfId="2" applyNumberFormat="1" applyFont="1" applyFill="1" applyBorder="1" applyAlignment="1" applyProtection="1">
      <alignment horizontal="center" vertical="center"/>
    </xf>
    <xf numFmtId="0" fontId="19" fillId="0" borderId="33" xfId="0" applyFont="1" applyFill="1" applyBorder="1" applyAlignment="1">
      <alignment horizontal="center" vertical="center"/>
    </xf>
    <xf numFmtId="0" fontId="19" fillId="0" borderId="34" xfId="0" applyFont="1" applyFill="1" applyBorder="1" applyAlignment="1">
      <alignment horizontal="center" vertical="center"/>
    </xf>
    <xf numFmtId="0" fontId="19" fillId="0" borderId="35" xfId="0" applyFont="1" applyFill="1" applyBorder="1" applyAlignment="1">
      <alignment horizontal="center" vertical="center"/>
    </xf>
    <xf numFmtId="168" fontId="19" fillId="0" borderId="36" xfId="2" applyNumberFormat="1" applyFont="1" applyFill="1" applyBorder="1" applyAlignment="1" applyProtection="1">
      <alignment horizontal="center" vertical="center"/>
    </xf>
    <xf numFmtId="166" fontId="21" fillId="4" borderId="0" xfId="0" applyNumberFormat="1" applyFont="1" applyFill="1"/>
    <xf numFmtId="0" fontId="0" fillId="0" borderId="60" xfId="0" applyFill="1" applyBorder="1" applyAlignment="1">
      <alignment horizontal="center" vertical="center" wrapText="1"/>
    </xf>
    <xf numFmtId="170" fontId="21" fillId="0" borderId="60" xfId="5" applyNumberFormat="1" applyFont="1" applyFill="1" applyBorder="1" applyAlignment="1">
      <alignment horizontal="center" vertical="center" wrapText="1"/>
    </xf>
    <xf numFmtId="170" fontId="21" fillId="0" borderId="60" xfId="5" applyNumberFormat="1" applyFont="1" applyFill="1" applyBorder="1" applyAlignment="1">
      <alignment horizontal="center" vertical="center"/>
    </xf>
    <xf numFmtId="166" fontId="0" fillId="0" borderId="60" xfId="0" applyNumberFormat="1" applyFill="1" applyBorder="1" applyAlignment="1">
      <alignment horizontal="center" vertical="center"/>
    </xf>
    <xf numFmtId="0" fontId="0" fillId="0" borderId="2" xfId="0" applyFill="1" applyBorder="1"/>
    <xf numFmtId="0" fontId="0" fillId="0" borderId="20" xfId="0" applyFill="1" applyBorder="1"/>
    <xf numFmtId="0" fontId="0" fillId="0" borderId="49" xfId="0" applyFill="1" applyBorder="1"/>
    <xf numFmtId="0" fontId="0" fillId="0" borderId="0" xfId="0" applyFill="1" applyBorder="1"/>
    <xf numFmtId="0" fontId="23" fillId="0" borderId="13" xfId="0" applyFont="1" applyFill="1" applyBorder="1"/>
    <xf numFmtId="0" fontId="0" fillId="0" borderId="7" xfId="0" applyFill="1" applyBorder="1"/>
    <xf numFmtId="0" fontId="0" fillId="0" borderId="13" xfId="0" applyFill="1" applyBorder="1"/>
    <xf numFmtId="0" fontId="23" fillId="0" borderId="0" xfId="0" applyFont="1" applyFill="1" applyBorder="1"/>
    <xf numFmtId="0" fontId="24" fillId="0" borderId="0" xfId="0" applyFont="1" applyFill="1" applyBorder="1"/>
    <xf numFmtId="0" fontId="24" fillId="0" borderId="0" xfId="0" applyFont="1" applyFill="1" applyBorder="1" applyAlignment="1"/>
    <xf numFmtId="0" fontId="22" fillId="0" borderId="0" xfId="0" applyFont="1" applyFill="1" applyBorder="1"/>
    <xf numFmtId="0" fontId="0" fillId="0" borderId="50" xfId="0" applyFill="1" applyBorder="1"/>
    <xf numFmtId="0" fontId="23" fillId="0" borderId="51" xfId="0" applyFont="1" applyFill="1" applyBorder="1"/>
    <xf numFmtId="0" fontId="0" fillId="0" borderId="51" xfId="0" applyFill="1" applyBorder="1"/>
    <xf numFmtId="0" fontId="0" fillId="0" borderId="52" xfId="0" applyFill="1" applyBorder="1"/>
    <xf numFmtId="168" fontId="19" fillId="0" borderId="66" xfId="2" applyNumberFormat="1" applyFont="1" applyFill="1" applyBorder="1" applyAlignment="1" applyProtection="1">
      <alignment horizontal="center" vertical="center"/>
    </xf>
    <xf numFmtId="0" fontId="21" fillId="0" borderId="0" xfId="0" applyFont="1" applyFill="1"/>
    <xf numFmtId="0" fontId="29" fillId="0" borderId="60" xfId="0" applyFont="1" applyBorder="1" applyAlignment="1">
      <alignment wrapText="1"/>
    </xf>
    <xf numFmtId="0" fontId="29" fillId="0" borderId="60" xfId="0" applyFont="1" applyBorder="1" applyAlignment="1">
      <alignment horizontal="center" vertical="center" wrapText="1"/>
    </xf>
    <xf numFmtId="3" fontId="0" fillId="0" borderId="60" xfId="0" applyNumberFormat="1" applyFill="1" applyBorder="1" applyAlignment="1">
      <alignment horizontal="center" vertical="center" wrapText="1"/>
    </xf>
    <xf numFmtId="0" fontId="22" fillId="0" borderId="60" xfId="0" applyFont="1" applyBorder="1" applyAlignment="1">
      <alignment horizontal="center" vertical="center"/>
    </xf>
    <xf numFmtId="0" fontId="21" fillId="0" borderId="68" xfId="0" applyFont="1" applyBorder="1" applyAlignment="1">
      <alignment horizontal="center" vertical="center"/>
    </xf>
    <xf numFmtId="0" fontId="21" fillId="0" borderId="67" xfId="0" applyFont="1" applyBorder="1" applyAlignment="1">
      <alignment horizontal="center" vertical="center" wrapText="1"/>
    </xf>
    <xf numFmtId="0" fontId="29" fillId="0" borderId="60" xfId="0" applyFont="1" applyFill="1" applyBorder="1" applyAlignment="1">
      <alignment horizontal="center" vertical="center" wrapText="1"/>
    </xf>
    <xf numFmtId="0" fontId="1" fillId="0" borderId="60" xfId="4" applyFont="1" applyFill="1" applyBorder="1" applyAlignment="1">
      <alignment horizontal="left" vertical="center" wrapText="1"/>
    </xf>
    <xf numFmtId="0" fontId="0" fillId="3" borderId="60" xfId="0" applyFill="1" applyBorder="1" applyAlignment="1">
      <alignment horizontal="center" vertical="center" wrapText="1"/>
    </xf>
    <xf numFmtId="0" fontId="22" fillId="3" borderId="60" xfId="0" applyFont="1" applyFill="1" applyBorder="1" applyAlignment="1">
      <alignment horizontal="center" vertical="center" wrapText="1"/>
    </xf>
    <xf numFmtId="0" fontId="22" fillId="3" borderId="60" xfId="0" applyFont="1" applyFill="1" applyBorder="1" applyAlignment="1">
      <alignment vertical="center" wrapText="1"/>
    </xf>
    <xf numFmtId="0" fontId="22" fillId="3" borderId="60" xfId="0" applyFont="1" applyFill="1" applyBorder="1" applyAlignment="1">
      <alignment horizontal="center" vertical="center"/>
    </xf>
    <xf numFmtId="0" fontId="24" fillId="0" borderId="20" xfId="0" applyFont="1" applyFill="1" applyBorder="1" applyAlignment="1"/>
    <xf numFmtId="0" fontId="29" fillId="3" borderId="60" xfId="0" applyFont="1" applyFill="1" applyBorder="1" applyAlignment="1">
      <alignment horizontal="center" vertical="center" wrapText="1"/>
    </xf>
    <xf numFmtId="0" fontId="29" fillId="3" borderId="60" xfId="0" applyFont="1" applyFill="1" applyBorder="1" applyAlignment="1">
      <alignment wrapText="1"/>
    </xf>
    <xf numFmtId="49" fontId="9" fillId="0" borderId="4" xfId="0" applyNumberFormat="1" applyFont="1" applyBorder="1" applyAlignment="1">
      <alignment horizontal="center" vertical="center"/>
    </xf>
    <xf numFmtId="0" fontId="13" fillId="0" borderId="17" xfId="0" applyFont="1" applyBorder="1" applyAlignment="1">
      <alignment horizontal="left" vertical="center" wrapText="1" indent="1"/>
    </xf>
    <xf numFmtId="166" fontId="10" fillId="0" borderId="17" xfId="0" applyNumberFormat="1" applyFont="1" applyBorder="1" applyAlignment="1">
      <alignment horizontal="center" vertical="center"/>
    </xf>
    <xf numFmtId="0" fontId="10" fillId="0" borderId="11" xfId="0" applyFont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 wrapText="1" indent="1"/>
    </xf>
    <xf numFmtId="0" fontId="11" fillId="0" borderId="2" xfId="0" applyFont="1" applyBorder="1" applyAlignment="1">
      <alignment horizontal="center" vertical="center"/>
    </xf>
    <xf numFmtId="0" fontId="11" fillId="0" borderId="55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14" xfId="0" applyFont="1" applyBorder="1" applyAlignment="1">
      <alignment horizontal="center" vertical="center" wrapText="1"/>
    </xf>
    <xf numFmtId="0" fontId="11" fillId="0" borderId="15" xfId="0" applyFont="1" applyBorder="1" applyAlignment="1">
      <alignment horizontal="center" vertical="center" wrapText="1"/>
    </xf>
    <xf numFmtId="0" fontId="26" fillId="0" borderId="61" xfId="0" applyFont="1" applyBorder="1" applyAlignment="1">
      <alignment vertical="center" wrapText="1"/>
    </xf>
    <xf numFmtId="0" fontId="26" fillId="0" borderId="48" xfId="0" applyFont="1" applyBorder="1" applyAlignment="1">
      <alignment vertical="center" wrapText="1"/>
    </xf>
    <xf numFmtId="0" fontId="26" fillId="0" borderId="53" xfId="0" applyFont="1" applyBorder="1" applyAlignment="1">
      <alignment vertical="center" wrapText="1"/>
    </xf>
    <xf numFmtId="0" fontId="26" fillId="3" borderId="61" xfId="0" applyFont="1" applyFill="1" applyBorder="1" applyAlignment="1">
      <alignment vertical="center" wrapText="1"/>
    </xf>
    <xf numFmtId="0" fontId="26" fillId="3" borderId="48" xfId="0" applyFont="1" applyFill="1" applyBorder="1" applyAlignment="1">
      <alignment vertical="center" wrapText="1"/>
    </xf>
    <xf numFmtId="0" fontId="26" fillId="3" borderId="53" xfId="0" applyFont="1" applyFill="1" applyBorder="1" applyAlignment="1">
      <alignment vertical="center" wrapText="1"/>
    </xf>
    <xf numFmtId="0" fontId="7" fillId="0" borderId="2" xfId="0" applyFont="1" applyBorder="1" applyAlignment="1">
      <alignment horizontal="center" vertical="center"/>
    </xf>
    <xf numFmtId="0" fontId="10" fillId="0" borderId="8" xfId="0" applyFont="1" applyBorder="1" applyAlignment="1">
      <alignment horizontal="left" vertical="center" wrapText="1"/>
    </xf>
    <xf numFmtId="0" fontId="9" fillId="0" borderId="18" xfId="0" applyFont="1" applyBorder="1" applyAlignment="1">
      <alignment horizontal="left" vertical="center" wrapText="1" indent="1"/>
    </xf>
    <xf numFmtId="0" fontId="9" fillId="0" borderId="48" xfId="0" applyFont="1" applyBorder="1" applyAlignment="1">
      <alignment horizontal="left" vertical="center" wrapText="1" indent="1"/>
    </xf>
    <xf numFmtId="0" fontId="9" fillId="0" borderId="19" xfId="0" applyFont="1" applyBorder="1" applyAlignment="1">
      <alignment horizontal="left" vertical="center" wrapText="1" indent="1"/>
    </xf>
    <xf numFmtId="0" fontId="10" fillId="0" borderId="10" xfId="0" applyFont="1" applyBorder="1" applyAlignment="1">
      <alignment horizontal="left" vertical="center" wrapText="1"/>
    </xf>
    <xf numFmtId="0" fontId="9" fillId="0" borderId="9" xfId="0" applyFont="1" applyBorder="1" applyAlignment="1">
      <alignment horizontal="left" vertical="center" wrapText="1" indent="1"/>
    </xf>
    <xf numFmtId="0" fontId="0" fillId="0" borderId="40" xfId="0" applyFont="1" applyBorder="1" applyAlignment="1">
      <alignment horizontal="center" vertical="center"/>
    </xf>
    <xf numFmtId="0" fontId="0" fillId="0" borderId="40" xfId="0" applyFont="1" applyBorder="1" applyAlignment="1">
      <alignment horizontal="left" vertical="center"/>
    </xf>
    <xf numFmtId="0" fontId="14" fillId="0" borderId="9" xfId="0" applyFont="1" applyBorder="1" applyAlignment="1">
      <alignment vertical="center" wrapText="1"/>
    </xf>
    <xf numFmtId="0" fontId="16" fillId="0" borderId="28" xfId="0" applyFont="1" applyBorder="1" applyAlignment="1">
      <alignment vertical="center" wrapText="1"/>
    </xf>
    <xf numFmtId="0" fontId="30" fillId="0" borderId="17" xfId="0" applyFont="1" applyFill="1" applyBorder="1" applyAlignment="1">
      <alignment horizontal="left" vertical="center" wrapText="1" indent="1"/>
    </xf>
    <xf numFmtId="0" fontId="0" fillId="0" borderId="40" xfId="0" applyBorder="1" applyAlignment="1">
      <alignment horizontal="left" vertical="center"/>
    </xf>
    <xf numFmtId="0" fontId="0" fillId="0" borderId="43" xfId="0" applyBorder="1" applyAlignment="1">
      <alignment horizontal="left" vertical="center"/>
    </xf>
    <xf numFmtId="0" fontId="14" fillId="0" borderId="46" xfId="0" applyFont="1" applyBorder="1" applyAlignment="1">
      <alignment horizontal="left" vertical="center" wrapText="1"/>
    </xf>
    <xf numFmtId="0" fontId="0" fillId="0" borderId="24" xfId="0" applyBorder="1"/>
    <xf numFmtId="0" fontId="24" fillId="0" borderId="40" xfId="0" applyFont="1" applyFill="1" applyBorder="1" applyAlignment="1">
      <alignment vertical="center"/>
    </xf>
    <xf numFmtId="0" fontId="20" fillId="0" borderId="34" xfId="0" applyFont="1" applyFill="1" applyBorder="1" applyAlignment="1">
      <alignment horizontal="left" vertical="center" wrapText="1"/>
    </xf>
    <xf numFmtId="0" fontId="20" fillId="0" borderId="64" xfId="0" applyFont="1" applyFill="1" applyBorder="1" applyAlignment="1">
      <alignment horizontal="left" vertical="center"/>
    </xf>
    <xf numFmtId="0" fontId="20" fillId="0" borderId="65" xfId="0" applyFont="1" applyFill="1" applyBorder="1" applyAlignment="1">
      <alignment horizontal="left" vertical="center"/>
    </xf>
    <xf numFmtId="0" fontId="20" fillId="0" borderId="62" xfId="0" applyFont="1" applyFill="1" applyBorder="1" applyAlignment="1">
      <alignment horizontal="left" vertical="center" wrapText="1"/>
    </xf>
    <xf numFmtId="0" fontId="20" fillId="0" borderId="63" xfId="0" applyFont="1" applyFill="1" applyBorder="1" applyAlignment="1">
      <alignment horizontal="left" vertical="center" wrapText="1"/>
    </xf>
    <xf numFmtId="0" fontId="17" fillId="0" borderId="23" xfId="0" applyFont="1" applyBorder="1" applyAlignment="1">
      <alignment horizontal="left"/>
    </xf>
    <xf numFmtId="0" fontId="16" fillId="0" borderId="24" xfId="0" applyFont="1" applyBorder="1" applyAlignment="1">
      <alignment horizontal="left"/>
    </xf>
    <xf numFmtId="0" fontId="18" fillId="0" borderId="24" xfId="0" applyFont="1" applyBorder="1" applyAlignment="1">
      <alignment horizontal="center" vertical="center"/>
    </xf>
    <xf numFmtId="0" fontId="18" fillId="0" borderId="21" xfId="0" applyFont="1" applyBorder="1" applyAlignment="1">
      <alignment horizontal="center" vertical="center"/>
    </xf>
    <xf numFmtId="0" fontId="18" fillId="0" borderId="27" xfId="0" applyFont="1" applyBorder="1" applyAlignment="1">
      <alignment horizontal="center" vertical="center" wrapText="1"/>
    </xf>
    <xf numFmtId="0" fontId="18" fillId="0" borderId="28" xfId="0" applyFont="1" applyBorder="1" applyAlignment="1">
      <alignment horizontal="center" vertical="center"/>
    </xf>
    <xf numFmtId="0" fontId="12" fillId="0" borderId="21" xfId="0" applyFont="1" applyBorder="1" applyAlignment="1">
      <alignment horizontal="left" vertical="center" wrapText="1"/>
    </xf>
    <xf numFmtId="0" fontId="19" fillId="0" borderId="22" xfId="0" applyFont="1" applyBorder="1" applyAlignment="1">
      <alignment horizontal="left" indent="1"/>
    </xf>
    <xf numFmtId="0" fontId="0" fillId="0" borderId="18" xfId="0" applyFont="1" applyBorder="1" applyAlignment="1">
      <alignment horizontal="center"/>
    </xf>
    <xf numFmtId="3" fontId="14" fillId="0" borderId="19" xfId="0" applyNumberFormat="1" applyFont="1" applyBorder="1" applyAlignment="1">
      <alignment horizontal="center"/>
    </xf>
    <xf numFmtId="0" fontId="15" fillId="0" borderId="4" xfId="0" applyFont="1" applyBorder="1" applyAlignment="1">
      <alignment horizontal="center" vertical="center" wrapText="1"/>
    </xf>
    <xf numFmtId="0" fontId="5" fillId="0" borderId="21" xfId="0" applyFont="1" applyBorder="1"/>
    <xf numFmtId="0" fontId="25" fillId="0" borderId="0" xfId="0" applyFont="1" applyAlignment="1">
      <alignment horizontal="center" vertical="center" wrapText="1"/>
    </xf>
    <xf numFmtId="0" fontId="24" fillId="0" borderId="0" xfId="0" applyFont="1" applyFill="1" applyBorder="1" applyAlignment="1">
      <alignment horizontal="center" vertical="top" wrapText="1"/>
    </xf>
    <xf numFmtId="0" fontId="0" fillId="0" borderId="0" xfId="0" applyAlignment="1">
      <alignment vertical="center" wrapText="1"/>
    </xf>
    <xf numFmtId="175" fontId="22" fillId="0" borderId="0" xfId="0" applyNumberFormat="1" applyFont="1" applyFill="1"/>
    <xf numFmtId="175" fontId="0" fillId="0" borderId="0" xfId="0" applyNumberFormat="1"/>
    <xf numFmtId="0" fontId="24" fillId="0" borderId="0" xfId="0" applyFont="1" applyFill="1" applyBorder="1" applyAlignment="1">
      <alignment vertical="top" wrapText="1"/>
    </xf>
    <xf numFmtId="0" fontId="24" fillId="0" borderId="0" xfId="0" applyFont="1" applyFill="1" applyBorder="1" applyAlignment="1">
      <alignment horizontal="left" vertical="center" wrapText="1"/>
    </xf>
    <xf numFmtId="0" fontId="19" fillId="5" borderId="33" xfId="0" applyFont="1" applyFill="1" applyBorder="1" applyAlignment="1">
      <alignment horizontal="center" vertical="center"/>
    </xf>
    <xf numFmtId="49" fontId="16" fillId="5" borderId="25" xfId="0" applyNumberFormat="1" applyFont="1" applyFill="1" applyBorder="1" applyAlignment="1">
      <alignment horizontal="justify" vertical="center" wrapText="1"/>
    </xf>
  </cellXfs>
  <cellStyles count="7">
    <cellStyle name="Encabezado 1" xfId="1" xr:uid="{00000000-0005-0000-0000-000000000000}"/>
    <cellStyle name="Moneda" xfId="5" builtinId="4"/>
    <cellStyle name="Moneda_AUTORIZACION Y NOTA DE PEDIDO" xfId="2" xr:uid="{00000000-0005-0000-0000-000002000000}"/>
    <cellStyle name="Neutral 1" xfId="3" xr:uid="{00000000-0005-0000-0000-000003000000}"/>
    <cellStyle name="Normal" xfId="0" builtinId="0"/>
    <cellStyle name="Normal 2" xfId="4" xr:uid="{00000000-0005-0000-0000-000005000000}"/>
    <cellStyle name="Normal 3" xfId="6" xr:uid="{00000000-0005-0000-0000-000006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2" name="CustomShape 1" hidden="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720396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3" name="CustomShape 1" hidden="1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720396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4" name="CustomShape 1" hidden="1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/>
      </xdr:nvSpPr>
      <xdr:spPr>
        <a:xfrm>
          <a:off x="720396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5" name="CustomShape 1" hidden="1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/>
      </xdr:nvSpPr>
      <xdr:spPr>
        <a:xfrm>
          <a:off x="720396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R95"/>
  <sheetViews>
    <sheetView tabSelected="1" workbookViewId="0">
      <selection activeCell="E16" sqref="E16"/>
    </sheetView>
  </sheetViews>
  <sheetFormatPr baseColWidth="10" defaultColWidth="10.7109375" defaultRowHeight="12.75" x14ac:dyDescent="0.2"/>
  <cols>
    <col min="1" max="1" width="5.5703125" customWidth="1"/>
    <col min="2" max="2" width="20.5703125" customWidth="1"/>
    <col min="3" max="3" width="23.140625" customWidth="1"/>
    <col min="5" max="5" width="31" customWidth="1"/>
    <col min="7" max="7" width="13.42578125" customWidth="1"/>
    <col min="8" max="8" width="11.5703125" bestFit="1" customWidth="1"/>
    <col min="9" max="9" width="15.7109375" hidden="1" customWidth="1"/>
    <col min="10" max="10" width="17.140625" customWidth="1"/>
    <col min="11" max="11" width="13.28515625" bestFit="1" customWidth="1"/>
    <col min="13" max="13" width="12.7109375" bestFit="1" customWidth="1"/>
  </cols>
  <sheetData>
    <row r="2" spans="1:18" ht="18" x14ac:dyDescent="0.2">
      <c r="B2" s="154" t="s">
        <v>61</v>
      </c>
      <c r="C2" s="154"/>
      <c r="D2" s="154"/>
      <c r="E2" s="154"/>
      <c r="F2" s="154"/>
      <c r="G2" s="154"/>
      <c r="H2" s="154"/>
      <c r="I2" s="154"/>
      <c r="J2" s="61"/>
    </row>
    <row r="4" spans="1:18" x14ac:dyDescent="0.2">
      <c r="A4" s="45" t="s">
        <v>68</v>
      </c>
      <c r="B4" s="45"/>
      <c r="C4" s="45"/>
      <c r="D4" s="45"/>
      <c r="E4" s="45"/>
      <c r="F4" s="45"/>
      <c r="G4" s="45"/>
      <c r="H4" s="45"/>
      <c r="I4" s="45"/>
      <c r="J4" s="45"/>
    </row>
    <row r="5" spans="1:18" x14ac:dyDescent="0.2">
      <c r="A5" s="45" t="s">
        <v>69</v>
      </c>
      <c r="B5" s="45"/>
      <c r="C5" s="45"/>
      <c r="D5" s="45"/>
      <c r="E5" s="45"/>
      <c r="F5" s="45"/>
      <c r="G5" s="45"/>
      <c r="H5" s="45"/>
      <c r="I5" s="45"/>
      <c r="J5" s="45"/>
    </row>
    <row r="6" spans="1:18" x14ac:dyDescent="0.2">
      <c r="A6" s="45" t="s">
        <v>62</v>
      </c>
      <c r="B6" s="45"/>
      <c r="C6" s="45"/>
      <c r="D6" s="45"/>
      <c r="E6" s="45"/>
      <c r="F6" s="45"/>
      <c r="G6" s="45"/>
      <c r="H6" s="45"/>
      <c r="I6" s="45"/>
      <c r="J6" s="45"/>
    </row>
    <row r="7" spans="1:18" x14ac:dyDescent="0.2">
      <c r="A7" s="45" t="s">
        <v>97</v>
      </c>
      <c r="B7" s="45"/>
      <c r="C7" s="45"/>
      <c r="D7" s="45"/>
      <c r="E7" s="45"/>
      <c r="F7" s="45"/>
      <c r="G7" s="45"/>
      <c r="H7" s="45"/>
      <c r="I7" s="45"/>
      <c r="J7" s="45"/>
    </row>
    <row r="8" spans="1:18" x14ac:dyDescent="0.2">
      <c r="A8" s="45"/>
      <c r="B8" s="45"/>
      <c r="C8" s="45"/>
      <c r="D8" s="45"/>
      <c r="E8" s="45"/>
      <c r="F8" s="45"/>
      <c r="G8" s="45"/>
      <c r="H8" s="45"/>
      <c r="I8" s="45"/>
      <c r="J8" s="45"/>
    </row>
    <row r="9" spans="1:18" ht="13.5" thickBot="1" x14ac:dyDescent="0.25">
      <c r="A9" s="45"/>
      <c r="B9" s="45"/>
      <c r="C9" s="45"/>
      <c r="D9" s="45"/>
      <c r="E9" s="45"/>
      <c r="F9" s="45"/>
      <c r="G9" s="45"/>
      <c r="H9" s="45"/>
      <c r="I9" s="45"/>
      <c r="J9" s="45"/>
    </row>
    <row r="10" spans="1:18" ht="38.25" customHeight="1" x14ac:dyDescent="0.2">
      <c r="A10" s="93" t="s">
        <v>39</v>
      </c>
      <c r="B10" s="52" t="s">
        <v>40</v>
      </c>
      <c r="C10" s="48" t="s">
        <v>41</v>
      </c>
      <c r="D10" s="48" t="s">
        <v>42</v>
      </c>
      <c r="E10" s="48" t="s">
        <v>43</v>
      </c>
      <c r="F10" s="53" t="s">
        <v>44</v>
      </c>
      <c r="G10" s="48" t="s">
        <v>45</v>
      </c>
      <c r="H10" s="53" t="s">
        <v>46</v>
      </c>
      <c r="I10" s="54" t="s">
        <v>47</v>
      </c>
      <c r="J10" s="94" t="s">
        <v>58</v>
      </c>
    </row>
    <row r="11" spans="1:18" s="47" customFormat="1" ht="120" x14ac:dyDescent="0.2">
      <c r="A11" s="56">
        <v>1</v>
      </c>
      <c r="B11" s="56" t="s">
        <v>74</v>
      </c>
      <c r="C11" s="68" t="s">
        <v>55</v>
      </c>
      <c r="D11" s="58" t="s">
        <v>56</v>
      </c>
      <c r="E11" s="96" t="s">
        <v>75</v>
      </c>
      <c r="F11" s="58" t="s">
        <v>52</v>
      </c>
      <c r="G11" s="59">
        <v>50</v>
      </c>
      <c r="H11" s="60">
        <v>26500</v>
      </c>
      <c r="I11" s="60"/>
      <c r="J11" s="71">
        <f>H11*G11</f>
        <v>1325000</v>
      </c>
      <c r="K11" s="157">
        <f>G11*H11</f>
        <v>1325000</v>
      </c>
      <c r="L11" t="s">
        <v>75</v>
      </c>
      <c r="M11" s="47" t="b">
        <f>E11=L11</f>
        <v>1</v>
      </c>
      <c r="N11" s="80" t="s">
        <v>101</v>
      </c>
    </row>
    <row r="12" spans="1:18" s="47" customFormat="1" ht="81.75" customHeight="1" x14ac:dyDescent="0.2">
      <c r="A12" s="56">
        <v>2</v>
      </c>
      <c r="B12" s="97" t="s">
        <v>76</v>
      </c>
      <c r="C12" s="97" t="s">
        <v>55</v>
      </c>
      <c r="D12" s="98" t="s">
        <v>65</v>
      </c>
      <c r="E12" s="99" t="s">
        <v>77</v>
      </c>
      <c r="F12" s="100" t="s">
        <v>52</v>
      </c>
      <c r="G12" s="97">
        <v>2000</v>
      </c>
      <c r="H12" s="70">
        <v>290</v>
      </c>
      <c r="I12" s="69"/>
      <c r="J12" s="71">
        <f t="shared" ref="J12:J15" si="0">H12*G12</f>
        <v>580000</v>
      </c>
      <c r="K12" s="157">
        <f t="shared" ref="K12:K15" si="1">G12*H12</f>
        <v>580000</v>
      </c>
      <c r="L12" t="s">
        <v>77</v>
      </c>
      <c r="M12" s="47" t="b">
        <f t="shared" ref="M12:M15" si="2">E12=L12</f>
        <v>1</v>
      </c>
      <c r="N12" s="160" t="s">
        <v>100</v>
      </c>
      <c r="O12" s="160"/>
      <c r="P12" s="160"/>
      <c r="Q12" s="160"/>
      <c r="R12" s="160"/>
    </row>
    <row r="13" spans="1:18" s="47" customFormat="1" ht="50.25" customHeight="1" x14ac:dyDescent="0.2">
      <c r="A13" s="56">
        <v>3</v>
      </c>
      <c r="B13" s="90" t="s">
        <v>64</v>
      </c>
      <c r="C13" s="95" t="s">
        <v>55</v>
      </c>
      <c r="D13" s="95" t="s">
        <v>65</v>
      </c>
      <c r="E13" s="89" t="s">
        <v>63</v>
      </c>
      <c r="F13" s="92" t="s">
        <v>52</v>
      </c>
      <c r="G13" s="57">
        <v>250</v>
      </c>
      <c r="H13" s="69">
        <v>22800</v>
      </c>
      <c r="I13" s="69"/>
      <c r="J13" s="71">
        <f t="shared" si="0"/>
        <v>5700000</v>
      </c>
      <c r="K13" s="157">
        <f t="shared" si="1"/>
        <v>5700000</v>
      </c>
      <c r="L13" s="156" t="s">
        <v>63</v>
      </c>
      <c r="M13" s="47" t="b">
        <f t="shared" si="2"/>
        <v>1</v>
      </c>
      <c r="N13" s="80" t="s">
        <v>80</v>
      </c>
      <c r="O13" s="159"/>
      <c r="P13" s="159"/>
      <c r="Q13" s="159"/>
      <c r="R13" s="159"/>
    </row>
    <row r="14" spans="1:18" s="47" customFormat="1" ht="54.75" customHeight="1" x14ac:dyDescent="0.2">
      <c r="A14" s="56">
        <v>4</v>
      </c>
      <c r="B14" s="102" t="s">
        <v>89</v>
      </c>
      <c r="C14" s="102" t="s">
        <v>55</v>
      </c>
      <c r="D14" s="98" t="s">
        <v>65</v>
      </c>
      <c r="E14" s="103" t="s">
        <v>90</v>
      </c>
      <c r="F14" s="92" t="s">
        <v>52</v>
      </c>
      <c r="G14" s="57">
        <v>200</v>
      </c>
      <c r="H14" s="69">
        <v>2500</v>
      </c>
      <c r="I14" s="69"/>
      <c r="J14" s="71">
        <f t="shared" si="0"/>
        <v>500000</v>
      </c>
      <c r="K14" s="157">
        <f t="shared" si="1"/>
        <v>500000</v>
      </c>
      <c r="L14" s="156" t="s">
        <v>102</v>
      </c>
      <c r="M14" s="47" t="b">
        <f t="shared" si="2"/>
        <v>1</v>
      </c>
    </row>
    <row r="15" spans="1:18" s="47" customFormat="1" ht="56.25" customHeight="1" x14ac:dyDescent="0.2">
      <c r="A15" s="56">
        <v>5</v>
      </c>
      <c r="B15" s="102" t="s">
        <v>91</v>
      </c>
      <c r="C15" s="102" t="s">
        <v>55</v>
      </c>
      <c r="D15" s="98" t="s">
        <v>65</v>
      </c>
      <c r="E15" s="103" t="s">
        <v>104</v>
      </c>
      <c r="F15" s="92" t="s">
        <v>52</v>
      </c>
      <c r="G15" s="91">
        <v>300</v>
      </c>
      <c r="H15" s="69">
        <v>1900</v>
      </c>
      <c r="I15" s="69"/>
      <c r="J15" s="71">
        <f t="shared" si="0"/>
        <v>570000</v>
      </c>
      <c r="K15" s="157">
        <f t="shared" si="1"/>
        <v>570000</v>
      </c>
      <c r="L15" s="156" t="s">
        <v>103</v>
      </c>
      <c r="M15" s="47" t="b">
        <f t="shared" si="2"/>
        <v>1</v>
      </c>
    </row>
    <row r="16" spans="1:18" ht="21.75" customHeight="1" thickBot="1" x14ac:dyDescent="0.25">
      <c r="J16" s="67"/>
      <c r="K16" s="158">
        <f>SUM(K11:K15)</f>
        <v>8675000</v>
      </c>
    </row>
    <row r="17" spans="2:11" s="47" customFormat="1" x14ac:dyDescent="0.2">
      <c r="B17" s="72"/>
      <c r="C17" s="73"/>
      <c r="D17" s="101"/>
      <c r="E17" s="73"/>
      <c r="F17" s="73"/>
      <c r="G17" s="73"/>
      <c r="H17" s="73"/>
      <c r="I17" s="74"/>
      <c r="J17" s="74"/>
    </row>
    <row r="18" spans="2:11" s="47" customFormat="1" x14ac:dyDescent="0.2">
      <c r="B18" s="76" t="s">
        <v>78</v>
      </c>
      <c r="C18" s="75"/>
      <c r="D18" s="81"/>
      <c r="E18" s="75"/>
      <c r="F18" s="75"/>
      <c r="G18" s="75"/>
      <c r="H18" s="75"/>
      <c r="I18" s="77"/>
      <c r="J18" s="77"/>
    </row>
    <row r="19" spans="2:11" s="47" customFormat="1" x14ac:dyDescent="0.2">
      <c r="B19" s="76"/>
      <c r="C19" s="75"/>
      <c r="D19" s="81"/>
      <c r="E19" s="75"/>
      <c r="F19" s="75"/>
      <c r="G19" s="75"/>
      <c r="H19" s="75"/>
      <c r="I19" s="77"/>
      <c r="J19" s="77"/>
    </row>
    <row r="20" spans="2:11" s="47" customFormat="1" x14ac:dyDescent="0.2">
      <c r="B20" s="76"/>
      <c r="C20" s="79" t="s">
        <v>48</v>
      </c>
      <c r="D20" s="81"/>
      <c r="E20" s="75"/>
      <c r="F20" s="75"/>
      <c r="G20" s="75"/>
      <c r="H20" s="75"/>
      <c r="I20" s="77"/>
      <c r="J20" s="77"/>
    </row>
    <row r="21" spans="2:11" s="47" customFormat="1" x14ac:dyDescent="0.2">
      <c r="B21" s="78"/>
      <c r="C21" s="79"/>
      <c r="D21" s="81" t="s">
        <v>79</v>
      </c>
      <c r="E21" s="75"/>
      <c r="F21" s="75"/>
      <c r="G21" s="75"/>
      <c r="H21" s="75"/>
      <c r="I21" s="77"/>
      <c r="J21" s="77"/>
    </row>
    <row r="22" spans="2:11" s="47" customFormat="1" x14ac:dyDescent="0.2">
      <c r="B22" s="78"/>
      <c r="C22" s="75"/>
      <c r="D22" s="81"/>
      <c r="E22" s="75"/>
      <c r="F22" s="75"/>
      <c r="G22" s="75"/>
      <c r="H22" s="75"/>
      <c r="I22" s="77"/>
      <c r="J22" s="77"/>
    </row>
    <row r="23" spans="2:11" s="47" customFormat="1" x14ac:dyDescent="0.2">
      <c r="B23" s="78"/>
      <c r="C23" s="79"/>
      <c r="D23" s="80"/>
      <c r="E23" s="75"/>
      <c r="F23" s="75"/>
      <c r="G23" s="75"/>
      <c r="H23" s="75"/>
      <c r="I23" s="77"/>
      <c r="J23" s="77"/>
      <c r="K23" s="75"/>
    </row>
    <row r="24" spans="2:11" s="47" customFormat="1" x14ac:dyDescent="0.2">
      <c r="B24" s="78"/>
      <c r="C24" s="75"/>
      <c r="D24" s="80"/>
      <c r="E24" s="75"/>
      <c r="F24" s="75"/>
      <c r="G24" s="75"/>
      <c r="H24" s="75"/>
      <c r="I24" s="77"/>
      <c r="J24" s="77"/>
      <c r="K24" s="75"/>
    </row>
    <row r="25" spans="2:11" s="47" customFormat="1" x14ac:dyDescent="0.2">
      <c r="B25" s="78"/>
      <c r="C25" s="79" t="s">
        <v>49</v>
      </c>
      <c r="D25" s="75"/>
      <c r="E25" s="75"/>
      <c r="F25" s="75"/>
      <c r="G25" s="75"/>
      <c r="H25" s="75"/>
      <c r="I25" s="77"/>
      <c r="J25" s="77"/>
      <c r="K25" s="75"/>
    </row>
    <row r="26" spans="2:11" s="47" customFormat="1" x14ac:dyDescent="0.2">
      <c r="B26" s="78"/>
      <c r="C26" s="82"/>
      <c r="D26" s="80" t="s">
        <v>98</v>
      </c>
      <c r="E26" s="75"/>
      <c r="F26" s="75"/>
      <c r="G26" s="75"/>
      <c r="H26" s="75"/>
      <c r="I26" s="77"/>
      <c r="J26" s="77"/>
      <c r="K26" s="75"/>
    </row>
    <row r="27" spans="2:11" s="47" customFormat="1" x14ac:dyDescent="0.2">
      <c r="B27" s="78"/>
      <c r="C27" s="82"/>
      <c r="D27" s="80" t="s">
        <v>51</v>
      </c>
      <c r="E27" s="75"/>
      <c r="F27" s="75"/>
      <c r="G27" s="75"/>
      <c r="H27" s="75"/>
      <c r="I27" s="77"/>
      <c r="J27" s="77"/>
      <c r="K27" s="75"/>
    </row>
    <row r="28" spans="2:11" s="47" customFormat="1" x14ac:dyDescent="0.2">
      <c r="B28" s="78"/>
      <c r="C28" s="82"/>
      <c r="D28" s="75"/>
      <c r="E28" s="75"/>
      <c r="F28" s="75"/>
      <c r="G28" s="75"/>
      <c r="H28" s="75"/>
      <c r="I28" s="77"/>
      <c r="J28" s="77"/>
      <c r="K28" s="75"/>
    </row>
    <row r="29" spans="2:11" s="47" customFormat="1" x14ac:dyDescent="0.2">
      <c r="B29" s="78"/>
      <c r="C29" s="79" t="s">
        <v>66</v>
      </c>
      <c r="D29" s="80" t="s">
        <v>101</v>
      </c>
      <c r="E29" s="75"/>
      <c r="F29" s="75"/>
      <c r="G29" s="75"/>
      <c r="H29" s="75"/>
      <c r="I29" s="77"/>
      <c r="J29" s="77"/>
      <c r="K29" s="75"/>
    </row>
    <row r="30" spans="2:11" s="47" customFormat="1" x14ac:dyDescent="0.2">
      <c r="B30" s="78"/>
      <c r="C30" s="79" t="s">
        <v>67</v>
      </c>
      <c r="D30" s="80" t="s">
        <v>53</v>
      </c>
      <c r="E30" s="75"/>
      <c r="F30" s="75"/>
      <c r="G30" s="75"/>
      <c r="H30" s="75"/>
      <c r="I30" s="77"/>
      <c r="J30" s="77"/>
      <c r="K30" s="75"/>
    </row>
    <row r="31" spans="2:11" s="47" customFormat="1" ht="13.5" thickBot="1" x14ac:dyDescent="0.25">
      <c r="B31" s="83"/>
      <c r="C31" s="84" t="s">
        <v>50</v>
      </c>
      <c r="D31" s="85"/>
      <c r="E31" s="85"/>
      <c r="F31" s="85"/>
      <c r="G31" s="85"/>
      <c r="H31" s="85"/>
      <c r="I31" s="86"/>
      <c r="J31" s="86"/>
      <c r="K31" s="75"/>
    </row>
    <row r="32" spans="2:11" s="47" customFormat="1" ht="13.5" thickBot="1" x14ac:dyDescent="0.25"/>
    <row r="33" spans="2:10" x14ac:dyDescent="0.2">
      <c r="B33" s="72"/>
      <c r="C33" s="73"/>
      <c r="D33" s="101"/>
      <c r="E33" s="73"/>
      <c r="F33" s="73"/>
      <c r="G33" s="73"/>
      <c r="H33" s="73"/>
      <c r="I33" s="74"/>
      <c r="J33" s="74"/>
    </row>
    <row r="34" spans="2:10" x14ac:dyDescent="0.2">
      <c r="B34" s="76" t="s">
        <v>81</v>
      </c>
      <c r="C34" s="75"/>
      <c r="D34" s="81"/>
      <c r="E34" s="75"/>
      <c r="F34" s="75"/>
      <c r="G34" s="75"/>
      <c r="H34" s="75"/>
      <c r="I34" s="77"/>
      <c r="J34" s="77"/>
    </row>
    <row r="35" spans="2:10" x14ac:dyDescent="0.2">
      <c r="B35" s="76"/>
      <c r="C35" s="75"/>
      <c r="D35" s="81"/>
      <c r="E35" s="75"/>
      <c r="F35" s="75"/>
      <c r="G35" s="75"/>
      <c r="H35" s="75"/>
      <c r="I35" s="77"/>
      <c r="J35" s="77"/>
    </row>
    <row r="36" spans="2:10" x14ac:dyDescent="0.2">
      <c r="B36" s="76"/>
      <c r="C36" s="79" t="s">
        <v>48</v>
      </c>
      <c r="D36" s="155" t="s">
        <v>100</v>
      </c>
      <c r="E36" s="155"/>
      <c r="F36" s="155"/>
      <c r="G36" s="155"/>
      <c r="H36" s="155"/>
      <c r="I36" s="77"/>
      <c r="J36" s="77"/>
    </row>
    <row r="37" spans="2:10" ht="13.5" customHeight="1" x14ac:dyDescent="0.2">
      <c r="B37" s="78"/>
      <c r="C37" s="79"/>
      <c r="D37" s="155"/>
      <c r="E37" s="155"/>
      <c r="F37" s="155"/>
      <c r="G37" s="155"/>
      <c r="H37" s="155"/>
      <c r="I37" s="77"/>
      <c r="J37" s="77"/>
    </row>
    <row r="38" spans="2:10" x14ac:dyDescent="0.2">
      <c r="B38" s="78"/>
      <c r="C38" s="75"/>
      <c r="D38" s="81"/>
      <c r="E38" s="75"/>
      <c r="F38" s="75"/>
      <c r="G38" s="75"/>
      <c r="H38" s="75"/>
      <c r="I38" s="77"/>
      <c r="J38" s="77"/>
    </row>
    <row r="39" spans="2:10" x14ac:dyDescent="0.2">
      <c r="B39" s="78"/>
      <c r="C39" s="79"/>
      <c r="D39" s="80"/>
      <c r="E39" s="75"/>
      <c r="F39" s="75"/>
      <c r="G39" s="75"/>
      <c r="H39" s="75"/>
      <c r="I39" s="77"/>
      <c r="J39" s="77"/>
    </row>
    <row r="40" spans="2:10" x14ac:dyDescent="0.2">
      <c r="B40" s="78"/>
      <c r="C40" s="75"/>
      <c r="D40" s="80"/>
      <c r="E40" s="75"/>
      <c r="F40" s="75"/>
      <c r="G40" s="75"/>
      <c r="H40" s="75"/>
      <c r="I40" s="77"/>
      <c r="J40" s="77"/>
    </row>
    <row r="41" spans="2:10" x14ac:dyDescent="0.2">
      <c r="B41" s="78"/>
      <c r="C41" s="79" t="s">
        <v>49</v>
      </c>
      <c r="D41" s="75"/>
      <c r="E41" s="75"/>
      <c r="F41" s="75"/>
      <c r="G41" s="75"/>
      <c r="H41" s="75"/>
      <c r="I41" s="77"/>
      <c r="J41" s="77"/>
    </row>
    <row r="42" spans="2:10" x14ac:dyDescent="0.2">
      <c r="B42" s="78"/>
      <c r="C42" s="82"/>
      <c r="D42" s="80" t="s">
        <v>98</v>
      </c>
      <c r="E42" s="75"/>
      <c r="F42" s="75"/>
      <c r="G42" s="75"/>
      <c r="H42" s="75"/>
      <c r="I42" s="77"/>
      <c r="J42" s="77"/>
    </row>
    <row r="43" spans="2:10" x14ac:dyDescent="0.2">
      <c r="B43" s="78"/>
      <c r="C43" s="82"/>
      <c r="D43" s="80" t="s">
        <v>51</v>
      </c>
      <c r="E43" s="75"/>
      <c r="F43" s="75"/>
      <c r="G43" s="75"/>
      <c r="H43" s="75"/>
      <c r="I43" s="77"/>
      <c r="J43" s="77"/>
    </row>
    <row r="44" spans="2:10" x14ac:dyDescent="0.2">
      <c r="B44" s="78"/>
      <c r="C44" s="82"/>
      <c r="D44" s="75"/>
      <c r="E44" s="75"/>
      <c r="F44" s="75"/>
      <c r="G44" s="75"/>
      <c r="H44" s="75"/>
      <c r="I44" s="77"/>
      <c r="J44" s="77"/>
    </row>
    <row r="45" spans="2:10" x14ac:dyDescent="0.2">
      <c r="B45" s="78"/>
      <c r="C45" s="79" t="s">
        <v>66</v>
      </c>
      <c r="D45" s="80" t="s">
        <v>54</v>
      </c>
      <c r="E45" s="75"/>
      <c r="F45" s="75"/>
      <c r="G45" s="75"/>
      <c r="H45" s="75"/>
      <c r="I45" s="77"/>
      <c r="J45" s="77"/>
    </row>
    <row r="46" spans="2:10" x14ac:dyDescent="0.2">
      <c r="B46" s="78"/>
      <c r="C46" s="79" t="s">
        <v>67</v>
      </c>
      <c r="D46" s="80" t="s">
        <v>99</v>
      </c>
      <c r="E46" s="75"/>
      <c r="F46" s="75"/>
      <c r="G46" s="75"/>
      <c r="H46" s="75"/>
      <c r="I46" s="77"/>
      <c r="J46" s="77"/>
    </row>
    <row r="47" spans="2:10" ht="13.5" thickBot="1" x14ac:dyDescent="0.25">
      <c r="B47" s="83"/>
      <c r="C47" s="84" t="s">
        <v>50</v>
      </c>
      <c r="D47" s="85"/>
      <c r="E47" s="85"/>
      <c r="F47" s="85"/>
      <c r="G47" s="85"/>
      <c r="H47" s="85"/>
      <c r="I47" s="86"/>
      <c r="J47" s="86"/>
    </row>
    <row r="48" spans="2:10" ht="13.5" thickBot="1" x14ac:dyDescent="0.25"/>
    <row r="49" spans="2:10" x14ac:dyDescent="0.2">
      <c r="B49" s="72"/>
      <c r="C49" s="73"/>
      <c r="D49" s="101"/>
      <c r="E49" s="73"/>
      <c r="F49" s="73"/>
      <c r="G49" s="73"/>
      <c r="H49" s="73"/>
      <c r="I49" s="74"/>
      <c r="J49" s="74"/>
    </row>
    <row r="50" spans="2:10" x14ac:dyDescent="0.2">
      <c r="B50" s="76" t="s">
        <v>82</v>
      </c>
      <c r="C50" s="75"/>
      <c r="D50" s="81"/>
      <c r="E50" s="75"/>
      <c r="F50" s="75"/>
      <c r="G50" s="75"/>
      <c r="H50" s="75"/>
      <c r="I50" s="77"/>
      <c r="J50" s="77"/>
    </row>
    <row r="51" spans="2:10" x14ac:dyDescent="0.2">
      <c r="B51" s="76"/>
      <c r="C51" s="75"/>
      <c r="D51" s="81"/>
      <c r="E51" s="75"/>
      <c r="F51" s="75"/>
      <c r="G51" s="75"/>
      <c r="H51" s="75"/>
      <c r="I51" s="77"/>
      <c r="J51" s="77"/>
    </row>
    <row r="52" spans="2:10" x14ac:dyDescent="0.2">
      <c r="B52" s="76"/>
      <c r="C52" s="79" t="s">
        <v>48</v>
      </c>
      <c r="D52" s="81"/>
      <c r="E52" s="75"/>
      <c r="F52" s="75"/>
      <c r="G52" s="75"/>
      <c r="H52" s="75"/>
      <c r="I52" s="77"/>
      <c r="J52" s="77"/>
    </row>
    <row r="53" spans="2:10" x14ac:dyDescent="0.2">
      <c r="B53" s="78"/>
      <c r="C53" s="79"/>
      <c r="D53" s="81" t="s">
        <v>79</v>
      </c>
      <c r="E53" s="75"/>
      <c r="F53" s="75"/>
      <c r="G53" s="75"/>
      <c r="H53" s="75"/>
      <c r="I53" s="77"/>
      <c r="J53" s="77"/>
    </row>
    <row r="54" spans="2:10" x14ac:dyDescent="0.2">
      <c r="B54" s="78"/>
      <c r="C54" s="75"/>
      <c r="D54" s="81"/>
      <c r="E54" s="75"/>
      <c r="F54" s="75"/>
      <c r="G54" s="75"/>
      <c r="H54" s="75"/>
      <c r="I54" s="77"/>
      <c r="J54" s="77"/>
    </row>
    <row r="55" spans="2:10" x14ac:dyDescent="0.2">
      <c r="B55" s="78"/>
      <c r="C55" s="79"/>
      <c r="D55" s="80"/>
      <c r="E55" s="75"/>
      <c r="F55" s="75"/>
      <c r="G55" s="75"/>
      <c r="H55" s="75"/>
      <c r="I55" s="77"/>
      <c r="J55" s="77"/>
    </row>
    <row r="56" spans="2:10" x14ac:dyDescent="0.2">
      <c r="B56" s="78"/>
      <c r="C56" s="75"/>
      <c r="D56" s="80"/>
      <c r="E56" s="75"/>
      <c r="F56" s="75"/>
      <c r="G56" s="75"/>
      <c r="H56" s="75"/>
      <c r="I56" s="77"/>
      <c r="J56" s="77"/>
    </row>
    <row r="57" spans="2:10" x14ac:dyDescent="0.2">
      <c r="B57" s="78"/>
      <c r="C57" s="79" t="s">
        <v>49</v>
      </c>
      <c r="D57" s="75"/>
      <c r="E57" s="75"/>
      <c r="F57" s="75"/>
      <c r="G57" s="75"/>
      <c r="H57" s="75"/>
      <c r="I57" s="77"/>
      <c r="J57" s="77"/>
    </row>
    <row r="58" spans="2:10" x14ac:dyDescent="0.2">
      <c r="B58" s="78"/>
      <c r="C58" s="82"/>
      <c r="D58" s="80" t="s">
        <v>98</v>
      </c>
      <c r="E58" s="75"/>
      <c r="F58" s="75"/>
      <c r="G58" s="75"/>
      <c r="H58" s="75"/>
      <c r="I58" s="77"/>
      <c r="J58" s="77"/>
    </row>
    <row r="59" spans="2:10" x14ac:dyDescent="0.2">
      <c r="B59" s="78"/>
      <c r="C59" s="82"/>
      <c r="D59" s="80" t="s">
        <v>51</v>
      </c>
      <c r="E59" s="75"/>
      <c r="F59" s="75"/>
      <c r="G59" s="75"/>
      <c r="H59" s="75"/>
      <c r="I59" s="77"/>
      <c r="J59" s="77"/>
    </row>
    <row r="60" spans="2:10" x14ac:dyDescent="0.2">
      <c r="B60" s="78"/>
      <c r="C60" s="82"/>
      <c r="D60" s="75"/>
      <c r="E60" s="75"/>
      <c r="F60" s="75"/>
      <c r="G60" s="75"/>
      <c r="H60" s="75"/>
      <c r="I60" s="77"/>
      <c r="J60" s="77"/>
    </row>
    <row r="61" spans="2:10" x14ac:dyDescent="0.2">
      <c r="B61" s="78"/>
      <c r="C61" s="79" t="s">
        <v>66</v>
      </c>
      <c r="D61" s="80" t="s">
        <v>80</v>
      </c>
      <c r="E61" s="75"/>
      <c r="F61" s="75"/>
      <c r="G61" s="75"/>
      <c r="H61" s="75"/>
      <c r="I61" s="77"/>
      <c r="J61" s="77"/>
    </row>
    <row r="62" spans="2:10" x14ac:dyDescent="0.2">
      <c r="B62" s="78"/>
      <c r="C62" s="79" t="s">
        <v>67</v>
      </c>
      <c r="D62" s="80" t="s">
        <v>99</v>
      </c>
      <c r="E62" s="75"/>
      <c r="F62" s="75"/>
      <c r="G62" s="75"/>
      <c r="H62" s="75"/>
      <c r="I62" s="77"/>
      <c r="J62" s="77"/>
    </row>
    <row r="63" spans="2:10" ht="13.5" thickBot="1" x14ac:dyDescent="0.25">
      <c r="B63" s="83"/>
      <c r="C63" s="84" t="s">
        <v>50</v>
      </c>
      <c r="D63" s="85"/>
      <c r="E63" s="85"/>
      <c r="F63" s="85"/>
      <c r="G63" s="85"/>
      <c r="H63" s="85"/>
      <c r="I63" s="86"/>
      <c r="J63" s="86"/>
    </row>
    <row r="64" spans="2:10" ht="13.5" thickBot="1" x14ac:dyDescent="0.25"/>
    <row r="65" spans="2:10" x14ac:dyDescent="0.2">
      <c r="B65" s="72"/>
      <c r="C65" s="73"/>
      <c r="D65" s="101"/>
      <c r="E65" s="73"/>
      <c r="F65" s="73"/>
      <c r="G65" s="73"/>
      <c r="H65" s="73"/>
      <c r="I65" s="74"/>
      <c r="J65" s="74"/>
    </row>
    <row r="66" spans="2:10" x14ac:dyDescent="0.2">
      <c r="B66" s="76" t="s">
        <v>83</v>
      </c>
      <c r="C66" s="75"/>
      <c r="D66" s="81"/>
      <c r="E66" s="75"/>
      <c r="F66" s="75"/>
      <c r="G66" s="75"/>
      <c r="H66" s="75"/>
      <c r="I66" s="77"/>
      <c r="J66" s="77"/>
    </row>
    <row r="67" spans="2:10" x14ac:dyDescent="0.2">
      <c r="B67" s="76"/>
      <c r="C67" s="75"/>
      <c r="D67" s="81"/>
      <c r="E67" s="75"/>
      <c r="F67" s="75"/>
      <c r="G67" s="75"/>
      <c r="H67" s="75"/>
      <c r="I67" s="77"/>
      <c r="J67" s="77"/>
    </row>
    <row r="68" spans="2:10" x14ac:dyDescent="0.2">
      <c r="B68" s="76"/>
      <c r="C68" s="79" t="s">
        <v>48</v>
      </c>
      <c r="D68" s="81"/>
      <c r="E68" s="75"/>
      <c r="F68" s="75"/>
      <c r="G68" s="75"/>
      <c r="H68" s="75"/>
      <c r="I68" s="77"/>
      <c r="J68" s="77"/>
    </row>
    <row r="69" spans="2:10" x14ac:dyDescent="0.2">
      <c r="B69" s="78"/>
      <c r="C69" s="79"/>
      <c r="D69" s="80" t="s">
        <v>54</v>
      </c>
      <c r="E69" s="75"/>
      <c r="F69" s="75"/>
      <c r="G69" s="75"/>
      <c r="H69" s="75"/>
      <c r="I69" s="77"/>
      <c r="J69" s="77"/>
    </row>
    <row r="70" spans="2:10" x14ac:dyDescent="0.2">
      <c r="B70" s="78"/>
      <c r="C70" s="75"/>
      <c r="D70" s="81"/>
      <c r="E70" s="75"/>
      <c r="F70" s="75"/>
      <c r="G70" s="75"/>
      <c r="H70" s="75"/>
      <c r="I70" s="77"/>
      <c r="J70" s="77"/>
    </row>
    <row r="71" spans="2:10" x14ac:dyDescent="0.2">
      <c r="B71" s="78"/>
      <c r="C71" s="79"/>
      <c r="D71" s="80"/>
      <c r="E71" s="75"/>
      <c r="F71" s="75"/>
      <c r="G71" s="75"/>
      <c r="H71" s="75"/>
      <c r="I71" s="77"/>
      <c r="J71" s="77"/>
    </row>
    <row r="72" spans="2:10" x14ac:dyDescent="0.2">
      <c r="B72" s="78"/>
      <c r="C72" s="75"/>
      <c r="D72" s="80"/>
      <c r="E72" s="75"/>
      <c r="F72" s="75"/>
      <c r="G72" s="75"/>
      <c r="H72" s="75"/>
      <c r="I72" s="77"/>
      <c r="J72" s="77"/>
    </row>
    <row r="73" spans="2:10" x14ac:dyDescent="0.2">
      <c r="B73" s="78"/>
      <c r="C73" s="79" t="s">
        <v>49</v>
      </c>
      <c r="D73" s="75"/>
      <c r="E73" s="75"/>
      <c r="F73" s="75"/>
      <c r="G73" s="75"/>
      <c r="H73" s="75"/>
      <c r="I73" s="77"/>
      <c r="J73" s="77"/>
    </row>
    <row r="74" spans="2:10" x14ac:dyDescent="0.2">
      <c r="B74" s="78"/>
      <c r="C74" s="82"/>
      <c r="D74" s="80" t="s">
        <v>98</v>
      </c>
      <c r="E74" s="75"/>
      <c r="F74" s="75"/>
      <c r="G74" s="75"/>
      <c r="H74" s="75"/>
      <c r="I74" s="77"/>
      <c r="J74" s="77"/>
    </row>
    <row r="75" spans="2:10" x14ac:dyDescent="0.2">
      <c r="B75" s="78"/>
      <c r="C75" s="82"/>
      <c r="D75" s="80" t="s">
        <v>51</v>
      </c>
      <c r="E75" s="75"/>
      <c r="F75" s="75"/>
      <c r="G75" s="75"/>
      <c r="H75" s="75"/>
      <c r="I75" s="77"/>
      <c r="J75" s="77"/>
    </row>
    <row r="76" spans="2:10" x14ac:dyDescent="0.2">
      <c r="B76" s="78"/>
      <c r="C76" s="82"/>
      <c r="D76" s="75"/>
      <c r="E76" s="75"/>
      <c r="F76" s="75"/>
      <c r="G76" s="75"/>
      <c r="H76" s="75"/>
      <c r="I76" s="77"/>
      <c r="J76" s="77"/>
    </row>
    <row r="77" spans="2:10" x14ac:dyDescent="0.2">
      <c r="B77" s="78"/>
      <c r="C77" s="79" t="s">
        <v>66</v>
      </c>
      <c r="D77" s="80" t="s">
        <v>54</v>
      </c>
      <c r="E77" s="75"/>
      <c r="F77" s="75"/>
      <c r="G77" s="75"/>
      <c r="H77" s="75"/>
      <c r="I77" s="77"/>
      <c r="J77" s="77"/>
    </row>
    <row r="78" spans="2:10" x14ac:dyDescent="0.2">
      <c r="B78" s="78"/>
      <c r="C78" s="79" t="s">
        <v>67</v>
      </c>
      <c r="D78" s="80" t="s">
        <v>99</v>
      </c>
      <c r="E78" s="75"/>
      <c r="F78" s="75"/>
      <c r="G78" s="75"/>
      <c r="H78" s="75"/>
      <c r="I78" s="77"/>
      <c r="J78" s="77"/>
    </row>
    <row r="79" spans="2:10" ht="13.5" thickBot="1" x14ac:dyDescent="0.25">
      <c r="B79" s="83"/>
      <c r="C79" s="84" t="s">
        <v>50</v>
      </c>
      <c r="D79" s="85"/>
      <c r="E79" s="85"/>
      <c r="F79" s="85"/>
      <c r="G79" s="85"/>
      <c r="H79" s="85"/>
      <c r="I79" s="86"/>
      <c r="J79" s="86"/>
    </row>
    <row r="80" spans="2:10" ht="13.5" thickBot="1" x14ac:dyDescent="0.25"/>
    <row r="81" spans="2:10" x14ac:dyDescent="0.2">
      <c r="B81" s="72"/>
      <c r="C81" s="73"/>
      <c r="D81" s="101"/>
      <c r="E81" s="73"/>
      <c r="F81" s="73"/>
      <c r="G81" s="73"/>
      <c r="H81" s="73"/>
      <c r="I81" s="74"/>
      <c r="J81" s="74"/>
    </row>
    <row r="82" spans="2:10" x14ac:dyDescent="0.2">
      <c r="B82" s="76" t="s">
        <v>84</v>
      </c>
      <c r="C82" s="75"/>
      <c r="D82" s="81"/>
      <c r="E82" s="75"/>
      <c r="F82" s="75"/>
      <c r="G82" s="75"/>
      <c r="H82" s="75"/>
      <c r="I82" s="77"/>
      <c r="J82" s="77"/>
    </row>
    <row r="83" spans="2:10" x14ac:dyDescent="0.2">
      <c r="B83" s="76"/>
      <c r="C83" s="75"/>
      <c r="D83" s="81"/>
      <c r="E83" s="75"/>
      <c r="F83" s="75"/>
      <c r="G83" s="75"/>
      <c r="H83" s="75"/>
      <c r="I83" s="77"/>
      <c r="J83" s="77"/>
    </row>
    <row r="84" spans="2:10" x14ac:dyDescent="0.2">
      <c r="B84" s="76"/>
      <c r="C84" s="79" t="s">
        <v>48</v>
      </c>
      <c r="D84" s="81"/>
      <c r="E84" s="75"/>
      <c r="F84" s="75"/>
      <c r="G84" s="75"/>
      <c r="H84" s="75"/>
      <c r="I84" s="77"/>
      <c r="J84" s="77"/>
    </row>
    <row r="85" spans="2:10" x14ac:dyDescent="0.2">
      <c r="B85" s="78"/>
      <c r="C85" s="79"/>
      <c r="D85" s="80" t="s">
        <v>54</v>
      </c>
      <c r="E85" s="75"/>
      <c r="F85" s="75"/>
      <c r="G85" s="75"/>
      <c r="H85" s="75"/>
      <c r="I85" s="77"/>
      <c r="J85" s="77"/>
    </row>
    <row r="86" spans="2:10" x14ac:dyDescent="0.2">
      <c r="B86" s="78"/>
      <c r="C86" s="75"/>
      <c r="D86" s="81"/>
      <c r="E86" s="75"/>
      <c r="F86" s="75"/>
      <c r="G86" s="75"/>
      <c r="H86" s="75"/>
      <c r="I86" s="77"/>
      <c r="J86" s="77"/>
    </row>
    <row r="87" spans="2:10" x14ac:dyDescent="0.2">
      <c r="B87" s="78"/>
      <c r="C87" s="79"/>
      <c r="D87" s="80"/>
      <c r="E87" s="75"/>
      <c r="F87" s="75"/>
      <c r="G87" s="75"/>
      <c r="H87" s="75"/>
      <c r="I87" s="77"/>
      <c r="J87" s="77"/>
    </row>
    <row r="88" spans="2:10" x14ac:dyDescent="0.2">
      <c r="B88" s="78"/>
      <c r="C88" s="75"/>
      <c r="D88" s="80"/>
      <c r="E88" s="75"/>
      <c r="F88" s="75"/>
      <c r="G88" s="75"/>
      <c r="H88" s="75"/>
      <c r="I88" s="77"/>
      <c r="J88" s="77"/>
    </row>
    <row r="89" spans="2:10" x14ac:dyDescent="0.2">
      <c r="B89" s="78"/>
      <c r="C89" s="79" t="s">
        <v>49</v>
      </c>
      <c r="D89" s="75"/>
      <c r="E89" s="75"/>
      <c r="F89" s="75"/>
      <c r="G89" s="75"/>
      <c r="H89" s="75"/>
      <c r="I89" s="77"/>
      <c r="J89" s="77"/>
    </row>
    <row r="90" spans="2:10" x14ac:dyDescent="0.2">
      <c r="B90" s="78"/>
      <c r="C90" s="82"/>
      <c r="D90" s="80" t="s">
        <v>98</v>
      </c>
      <c r="E90" s="75"/>
      <c r="F90" s="75"/>
      <c r="G90" s="75"/>
      <c r="H90" s="75"/>
      <c r="I90" s="77"/>
      <c r="J90" s="77"/>
    </row>
    <row r="91" spans="2:10" x14ac:dyDescent="0.2">
      <c r="B91" s="78"/>
      <c r="C91" s="82"/>
      <c r="D91" s="80" t="s">
        <v>51</v>
      </c>
      <c r="E91" s="75"/>
      <c r="F91" s="75"/>
      <c r="G91" s="75"/>
      <c r="H91" s="75"/>
      <c r="I91" s="77"/>
      <c r="J91" s="77"/>
    </row>
    <row r="92" spans="2:10" x14ac:dyDescent="0.2">
      <c r="B92" s="78"/>
      <c r="C92" s="82"/>
      <c r="D92" s="75"/>
      <c r="E92" s="75"/>
      <c r="F92" s="75"/>
      <c r="G92" s="75"/>
      <c r="H92" s="75"/>
      <c r="I92" s="77"/>
      <c r="J92" s="77"/>
    </row>
    <row r="93" spans="2:10" x14ac:dyDescent="0.2">
      <c r="B93" s="78"/>
      <c r="C93" s="79" t="s">
        <v>66</v>
      </c>
      <c r="D93" s="80" t="s">
        <v>54</v>
      </c>
      <c r="E93" s="75"/>
      <c r="F93" s="75"/>
      <c r="G93" s="75"/>
      <c r="H93" s="75"/>
      <c r="I93" s="77"/>
      <c r="J93" s="77"/>
    </row>
    <row r="94" spans="2:10" x14ac:dyDescent="0.2">
      <c r="B94" s="78"/>
      <c r="C94" s="79" t="s">
        <v>67</v>
      </c>
      <c r="D94" s="80" t="s">
        <v>99</v>
      </c>
      <c r="E94" s="75"/>
      <c r="F94" s="75"/>
      <c r="G94" s="75"/>
      <c r="H94" s="75"/>
      <c r="I94" s="77"/>
      <c r="J94" s="77"/>
    </row>
    <row r="95" spans="2:10" ht="13.5" thickBot="1" x14ac:dyDescent="0.25">
      <c r="B95" s="83"/>
      <c r="C95" s="84" t="s">
        <v>50</v>
      </c>
      <c r="D95" s="85"/>
      <c r="E95" s="85"/>
      <c r="F95" s="85"/>
      <c r="G95" s="85"/>
      <c r="H95" s="85"/>
      <c r="I95" s="86"/>
      <c r="J95" s="86"/>
    </row>
  </sheetData>
  <mergeCells count="3">
    <mergeCell ref="B2:I2"/>
    <mergeCell ref="D36:H37"/>
    <mergeCell ref="N12:R12"/>
  </mergeCells>
  <pageMargins left="0.7" right="0.7" top="0.75" bottom="0.75" header="0.3" footer="0.3"/>
  <pageSetup paperSize="9" scale="8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J17"/>
  <sheetViews>
    <sheetView zoomScaleNormal="100" workbookViewId="0">
      <selection activeCell="K13" sqref="K13"/>
    </sheetView>
  </sheetViews>
  <sheetFormatPr baseColWidth="10" defaultColWidth="9.140625" defaultRowHeight="12.75" x14ac:dyDescent="0.2"/>
  <cols>
    <col min="1" max="1" width="5.5703125" style="1" customWidth="1"/>
    <col min="2" max="2" width="15.140625" style="1" customWidth="1"/>
    <col min="3" max="3" width="14.140625" style="1" customWidth="1"/>
    <col min="4" max="4" width="26" style="1" customWidth="1"/>
    <col min="5" max="5" width="8" style="1" customWidth="1"/>
    <col min="6" max="6" width="7.85546875" style="1" customWidth="1"/>
    <col min="7" max="7" width="28.5703125" style="1" customWidth="1"/>
    <col min="8" max="8" width="9.28515625" style="1" customWidth="1"/>
    <col min="9" max="9" width="15.5703125" style="1" customWidth="1"/>
    <col min="10" max="10" width="14.7109375" style="1" customWidth="1"/>
    <col min="11" max="11" width="15.5703125" style="1" customWidth="1"/>
    <col min="12" max="14" width="5.85546875" style="1" customWidth="1"/>
    <col min="15" max="15" width="12.5703125" style="1" customWidth="1"/>
    <col min="16" max="1024" width="9.140625" style="1"/>
  </cols>
  <sheetData>
    <row r="1" spans="1:11" ht="27" customHeight="1" x14ac:dyDescent="0.2">
      <c r="A1" s="120" t="s">
        <v>0</v>
      </c>
      <c r="B1" s="120"/>
      <c r="C1" s="120"/>
      <c r="D1" s="120"/>
      <c r="E1" s="120"/>
      <c r="F1" s="120"/>
      <c r="G1" s="120"/>
      <c r="H1" s="120"/>
      <c r="I1" s="120"/>
      <c r="J1" s="2" t="s">
        <v>1</v>
      </c>
      <c r="K1" s="104" t="s">
        <v>93</v>
      </c>
    </row>
    <row r="2" spans="1:11" ht="18.75" customHeight="1" thickBot="1" x14ac:dyDescent="0.25">
      <c r="A2" s="3"/>
      <c r="B2" s="4"/>
      <c r="C2" s="4"/>
      <c r="D2" s="5"/>
      <c r="E2" s="5"/>
      <c r="F2" s="5"/>
      <c r="G2" s="5"/>
      <c r="H2" s="5"/>
      <c r="I2" s="5"/>
      <c r="J2" s="5"/>
      <c r="K2" s="6"/>
    </row>
    <row r="3" spans="1:11" ht="18.75" customHeight="1" thickBot="1" x14ac:dyDescent="0.25">
      <c r="A3" s="121" t="s">
        <v>2</v>
      </c>
      <c r="B3" s="121"/>
      <c r="C3" s="121"/>
      <c r="D3" s="122" t="s">
        <v>73</v>
      </c>
      <c r="E3" s="123"/>
      <c r="F3" s="123"/>
      <c r="G3" s="123"/>
      <c r="H3" s="123"/>
      <c r="I3" s="123"/>
      <c r="J3" s="123"/>
      <c r="K3" s="124"/>
    </row>
    <row r="4" spans="1:11" ht="18.75" customHeight="1" thickBot="1" x14ac:dyDescent="0.25">
      <c r="A4" s="125" t="s">
        <v>3</v>
      </c>
      <c r="B4" s="125"/>
      <c r="C4" s="125"/>
      <c r="D4" s="122" t="s">
        <v>71</v>
      </c>
      <c r="E4" s="123"/>
      <c r="F4" s="123"/>
      <c r="G4" s="123"/>
      <c r="H4" s="123"/>
      <c r="I4" s="123"/>
      <c r="J4" s="123"/>
      <c r="K4" s="124"/>
    </row>
    <row r="5" spans="1:11" ht="18.75" customHeight="1" thickBot="1" x14ac:dyDescent="0.25">
      <c r="A5" s="125" t="s">
        <v>4</v>
      </c>
      <c r="B5" s="125"/>
      <c r="C5" s="125"/>
      <c r="D5" s="122" t="s">
        <v>72</v>
      </c>
      <c r="E5" s="123"/>
      <c r="F5" s="123"/>
      <c r="G5" s="123"/>
      <c r="H5" s="123"/>
      <c r="I5" s="123"/>
      <c r="J5" s="123"/>
      <c r="K5" s="124"/>
    </row>
    <row r="6" spans="1:11" ht="16.5" customHeight="1" thickBot="1" x14ac:dyDescent="0.25">
      <c r="A6" s="121" t="s">
        <v>5</v>
      </c>
      <c r="B6" s="121"/>
      <c r="C6" s="121"/>
      <c r="D6" s="122" t="s">
        <v>72</v>
      </c>
      <c r="E6" s="123"/>
      <c r="F6" s="123"/>
      <c r="G6" s="123"/>
      <c r="H6" s="123"/>
      <c r="I6" s="123"/>
      <c r="J6" s="123"/>
      <c r="K6" s="124"/>
    </row>
    <row r="7" spans="1:11" ht="16.5" customHeight="1" thickBot="1" x14ac:dyDescent="0.25">
      <c r="A7" s="125" t="s">
        <v>6</v>
      </c>
      <c r="B7" s="125"/>
      <c r="C7" s="125"/>
      <c r="D7" s="126" t="s">
        <v>95</v>
      </c>
      <c r="E7" s="126"/>
      <c r="F7" s="126"/>
      <c r="G7" s="126"/>
      <c r="H7" s="126"/>
      <c r="I7" s="126"/>
      <c r="J7" s="126"/>
      <c r="K7" s="126"/>
    </row>
    <row r="8" spans="1:11" ht="40.5" customHeight="1" thickBot="1" x14ac:dyDescent="0.25">
      <c r="A8" s="107" t="s">
        <v>7</v>
      </c>
      <c r="B8" s="107"/>
      <c r="C8" s="107"/>
      <c r="D8" s="108" t="s">
        <v>60</v>
      </c>
      <c r="E8" s="108"/>
      <c r="F8" s="108"/>
      <c r="G8" s="108"/>
      <c r="H8" s="108"/>
      <c r="I8" s="108"/>
      <c r="J8" s="108"/>
      <c r="K8" s="108"/>
    </row>
    <row r="9" spans="1:11" ht="16.5" thickBot="1" x14ac:dyDescent="0.25">
      <c r="A9" s="7"/>
      <c r="B9" s="8"/>
      <c r="C9" s="8"/>
      <c r="D9" s="9"/>
      <c r="E9" s="9"/>
      <c r="F9" s="9"/>
      <c r="G9" s="9"/>
      <c r="H9" s="9"/>
      <c r="I9" s="9"/>
      <c r="J9" s="9"/>
      <c r="K9" s="10"/>
    </row>
    <row r="10" spans="1:11" ht="18.75" customHeight="1" thickBot="1" x14ac:dyDescent="0.25">
      <c r="A10" s="109" t="s">
        <v>8</v>
      </c>
      <c r="B10" s="110" t="s">
        <v>9</v>
      </c>
      <c r="C10" s="111" t="s">
        <v>10</v>
      </c>
      <c r="D10" s="112"/>
      <c r="E10" s="112"/>
      <c r="F10" s="112"/>
      <c r="G10" s="112"/>
      <c r="H10" s="112" t="s">
        <v>11</v>
      </c>
      <c r="I10" s="112" t="s">
        <v>12</v>
      </c>
      <c r="J10" s="112" t="s">
        <v>13</v>
      </c>
      <c r="K10" s="113" t="s">
        <v>14</v>
      </c>
    </row>
    <row r="11" spans="1:11" ht="24" customHeight="1" thickBot="1" x14ac:dyDescent="0.25">
      <c r="A11" s="109"/>
      <c r="B11" s="110"/>
      <c r="C11" s="111"/>
      <c r="D11" s="112"/>
      <c r="E11" s="112"/>
      <c r="F11" s="112"/>
      <c r="G11" s="112"/>
      <c r="H11" s="112"/>
      <c r="I11" s="112"/>
      <c r="J11" s="112"/>
      <c r="K11" s="113"/>
    </row>
    <row r="12" spans="1:11" ht="51.75" customHeight="1" thickBot="1" x14ac:dyDescent="0.25">
      <c r="A12" s="50">
        <v>1</v>
      </c>
      <c r="B12" s="56" t="s">
        <v>74</v>
      </c>
      <c r="C12" s="114" t="s">
        <v>75</v>
      </c>
      <c r="D12" s="115"/>
      <c r="E12" s="115"/>
      <c r="F12" s="115"/>
      <c r="G12" s="116"/>
      <c r="H12" s="46" t="s">
        <v>96</v>
      </c>
      <c r="I12" s="49" t="s">
        <v>87</v>
      </c>
      <c r="J12" s="60">
        <v>26500</v>
      </c>
      <c r="K12" s="59">
        <v>50</v>
      </c>
    </row>
    <row r="13" spans="1:11" ht="51.75" customHeight="1" thickBot="1" x14ac:dyDescent="0.25">
      <c r="A13" s="55">
        <v>2</v>
      </c>
      <c r="B13" s="97" t="s">
        <v>76</v>
      </c>
      <c r="C13" s="114" t="s">
        <v>77</v>
      </c>
      <c r="D13" s="115"/>
      <c r="E13" s="115"/>
      <c r="F13" s="115"/>
      <c r="G13" s="116"/>
      <c r="H13" s="46" t="s">
        <v>96</v>
      </c>
      <c r="I13" s="49" t="s">
        <v>87</v>
      </c>
      <c r="J13" s="70">
        <v>290</v>
      </c>
      <c r="K13" s="97">
        <v>2000</v>
      </c>
    </row>
    <row r="14" spans="1:11" ht="51.75" customHeight="1" thickBot="1" x14ac:dyDescent="0.25">
      <c r="A14" s="51">
        <v>3</v>
      </c>
      <c r="B14" s="90" t="s">
        <v>64</v>
      </c>
      <c r="C14" s="114" t="s">
        <v>63</v>
      </c>
      <c r="D14" s="115"/>
      <c r="E14" s="115"/>
      <c r="F14" s="115"/>
      <c r="G14" s="116"/>
      <c r="H14" s="46" t="s">
        <v>96</v>
      </c>
      <c r="I14" s="49" t="s">
        <v>87</v>
      </c>
      <c r="J14" s="69">
        <v>22800</v>
      </c>
      <c r="K14" s="57">
        <v>250</v>
      </c>
    </row>
    <row r="15" spans="1:11" ht="51.75" customHeight="1" thickBot="1" x14ac:dyDescent="0.25">
      <c r="A15" s="51">
        <v>4</v>
      </c>
      <c r="B15" s="90" t="s">
        <v>89</v>
      </c>
      <c r="C15" s="117" t="s">
        <v>90</v>
      </c>
      <c r="D15" s="118"/>
      <c r="E15" s="118"/>
      <c r="F15" s="118"/>
      <c r="G15" s="119"/>
      <c r="H15" s="46" t="s">
        <v>96</v>
      </c>
      <c r="I15" s="49" t="s">
        <v>87</v>
      </c>
      <c r="J15" s="69">
        <v>2500</v>
      </c>
      <c r="K15" s="57">
        <v>200</v>
      </c>
    </row>
    <row r="16" spans="1:11" ht="51.75" customHeight="1" thickBot="1" x14ac:dyDescent="0.25">
      <c r="A16" s="51">
        <v>5</v>
      </c>
      <c r="B16" s="90" t="s">
        <v>91</v>
      </c>
      <c r="C16" s="117" t="s">
        <v>92</v>
      </c>
      <c r="D16" s="118"/>
      <c r="E16" s="118"/>
      <c r="F16" s="118"/>
      <c r="G16" s="119"/>
      <c r="H16" s="46" t="s">
        <v>96</v>
      </c>
      <c r="I16" s="49" t="s">
        <v>87</v>
      </c>
      <c r="J16" s="69">
        <v>1900</v>
      </c>
      <c r="K16" s="91">
        <v>300</v>
      </c>
    </row>
    <row r="17" spans="1:11" ht="25.5" customHeight="1" thickBot="1" x14ac:dyDescent="0.25">
      <c r="A17" s="105" t="s">
        <v>88</v>
      </c>
      <c r="B17" s="105"/>
      <c r="C17" s="105"/>
      <c r="D17" s="105"/>
      <c r="E17" s="105"/>
      <c r="F17" s="105"/>
      <c r="G17" s="105"/>
      <c r="H17" s="105"/>
      <c r="I17" s="105"/>
      <c r="J17" s="106">
        <v>8675000</v>
      </c>
      <c r="K17" s="106"/>
    </row>
  </sheetData>
  <mergeCells count="27">
    <mergeCell ref="A5:C5"/>
    <mergeCell ref="D5:K5"/>
    <mergeCell ref="A6:C6"/>
    <mergeCell ref="D6:K6"/>
    <mergeCell ref="A7:C7"/>
    <mergeCell ref="D7:K7"/>
    <mergeCell ref="A1:I1"/>
    <mergeCell ref="A3:C3"/>
    <mergeCell ref="D3:K3"/>
    <mergeCell ref="A4:C4"/>
    <mergeCell ref="D4:K4"/>
    <mergeCell ref="A17:I17"/>
    <mergeCell ref="J17:K17"/>
    <mergeCell ref="A8:C8"/>
    <mergeCell ref="D8:K8"/>
    <mergeCell ref="A10:A11"/>
    <mergeCell ref="B10:B11"/>
    <mergeCell ref="C10:G11"/>
    <mergeCell ref="H10:H11"/>
    <mergeCell ref="I10:I11"/>
    <mergeCell ref="J10:J11"/>
    <mergeCell ref="K10:K11"/>
    <mergeCell ref="C12:G12"/>
    <mergeCell ref="C13:G13"/>
    <mergeCell ref="C14:G14"/>
    <mergeCell ref="C15:G15"/>
    <mergeCell ref="C16:G16"/>
  </mergeCells>
  <printOptions horizontalCentered="1"/>
  <pageMargins left="0.196527777777778" right="0.196527777777778" top="0.98402777777777795" bottom="0.98402777777777795" header="0.51180555555555496" footer="0.51180555555555496"/>
  <pageSetup paperSize="9" scale="90" firstPageNumber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46"/>
  <sheetViews>
    <sheetView topLeftCell="A6" zoomScale="110" zoomScaleNormal="110" workbookViewId="0">
      <selection activeCell="A10" sqref="A10:Q10"/>
    </sheetView>
  </sheetViews>
  <sheetFormatPr baseColWidth="10" defaultColWidth="11" defaultRowHeight="12.75" x14ac:dyDescent="0.2"/>
  <cols>
    <col min="1" max="5" width="4.42578125" customWidth="1"/>
    <col min="6" max="6" width="5.140625" bestFit="1" customWidth="1"/>
    <col min="7" max="7" width="4.42578125" style="11" customWidth="1"/>
    <col min="8" max="14" width="4.42578125" customWidth="1"/>
    <col min="15" max="16" width="14.85546875" customWidth="1"/>
    <col min="17" max="17" width="14.7109375" customWidth="1"/>
  </cols>
  <sheetData>
    <row r="1" spans="1:17" ht="15.75" customHeight="1" x14ac:dyDescent="0.25">
      <c r="A1" s="150" t="s">
        <v>15</v>
      </c>
      <c r="B1" s="150"/>
      <c r="C1" s="150"/>
      <c r="D1" s="151">
        <v>2022</v>
      </c>
      <c r="E1" s="151"/>
      <c r="F1" s="12"/>
      <c r="G1" s="12"/>
      <c r="H1" s="13"/>
      <c r="I1" s="13"/>
      <c r="J1" s="13"/>
      <c r="K1" s="13"/>
      <c r="L1" s="13"/>
      <c r="M1" s="13"/>
      <c r="N1" s="13"/>
      <c r="O1" s="14"/>
      <c r="P1" s="152" t="s">
        <v>16</v>
      </c>
      <c r="Q1" s="152"/>
    </row>
    <row r="2" spans="1:17" ht="15.75" customHeight="1" x14ac:dyDescent="0.2">
      <c r="A2" s="15"/>
      <c r="B2" s="16"/>
      <c r="C2" s="16"/>
      <c r="D2" s="16"/>
      <c r="E2" s="16"/>
      <c r="F2" s="16"/>
      <c r="G2" s="17"/>
      <c r="H2" s="18"/>
      <c r="I2" s="18"/>
      <c r="J2" s="18"/>
      <c r="K2" s="18"/>
      <c r="L2" s="18"/>
      <c r="M2" s="18"/>
      <c r="N2" s="18"/>
      <c r="O2" s="16"/>
      <c r="P2" s="152"/>
      <c r="Q2" s="152"/>
    </row>
    <row r="3" spans="1:17" x14ac:dyDescent="0.2">
      <c r="A3" s="15"/>
      <c r="B3" s="16"/>
      <c r="C3" s="16"/>
      <c r="D3" s="16"/>
      <c r="E3" s="16"/>
      <c r="F3" s="16"/>
      <c r="G3" s="17"/>
      <c r="H3" s="16"/>
      <c r="I3" s="16"/>
      <c r="J3" s="16"/>
      <c r="K3" s="16"/>
      <c r="L3" s="16"/>
      <c r="M3" s="16"/>
      <c r="N3" s="16"/>
      <c r="O3" s="16"/>
      <c r="P3" s="16"/>
      <c r="Q3" s="19"/>
    </row>
    <row r="4" spans="1:17" s="20" customFormat="1" ht="18" customHeight="1" x14ac:dyDescent="0.2">
      <c r="A4" s="153" t="s">
        <v>17</v>
      </c>
      <c r="B4" s="153"/>
      <c r="C4" s="153"/>
      <c r="D4" s="153"/>
      <c r="E4" s="153"/>
      <c r="F4" s="153"/>
      <c r="G4" s="149" t="s">
        <v>70</v>
      </c>
      <c r="H4" s="149"/>
      <c r="I4" s="149"/>
      <c r="J4" s="149"/>
      <c r="K4" s="149"/>
      <c r="L4" s="149"/>
      <c r="M4" s="149"/>
      <c r="N4" s="149"/>
      <c r="O4" s="149"/>
      <c r="P4" s="149"/>
      <c r="Q4" s="149"/>
    </row>
    <row r="5" spans="1:17" s="20" customFormat="1" ht="18" customHeight="1" x14ac:dyDescent="0.2">
      <c r="A5" s="148" t="s">
        <v>3</v>
      </c>
      <c r="B5" s="148"/>
      <c r="C5" s="148"/>
      <c r="D5" s="148"/>
      <c r="E5" s="148"/>
      <c r="F5" s="148"/>
      <c r="G5" s="149" t="s">
        <v>71</v>
      </c>
      <c r="H5" s="149"/>
      <c r="I5" s="149"/>
      <c r="J5" s="149"/>
      <c r="K5" s="149"/>
      <c r="L5" s="149"/>
      <c r="M5" s="149"/>
      <c r="N5" s="149"/>
      <c r="O5" s="149"/>
      <c r="P5" s="149"/>
      <c r="Q5" s="149"/>
    </row>
    <row r="6" spans="1:17" s="20" customFormat="1" ht="18" customHeight="1" x14ac:dyDescent="0.2">
      <c r="A6" s="148" t="s">
        <v>4</v>
      </c>
      <c r="B6" s="148"/>
      <c r="C6" s="148"/>
      <c r="D6" s="148"/>
      <c r="E6" s="148"/>
      <c r="F6" s="148"/>
      <c r="G6" s="149" t="s">
        <v>72</v>
      </c>
      <c r="H6" s="149"/>
      <c r="I6" s="149"/>
      <c r="J6" s="149"/>
      <c r="K6" s="149"/>
      <c r="L6" s="149"/>
      <c r="M6" s="149"/>
      <c r="N6" s="149"/>
      <c r="O6" s="149"/>
      <c r="P6" s="149"/>
      <c r="Q6" s="149"/>
    </row>
    <row r="7" spans="1:17" s="20" customFormat="1" ht="22.5" customHeight="1" x14ac:dyDescent="0.2">
      <c r="A7" s="148" t="s">
        <v>5</v>
      </c>
      <c r="B7" s="148"/>
      <c r="C7" s="148"/>
      <c r="D7" s="148"/>
      <c r="E7" s="148"/>
      <c r="F7" s="148"/>
      <c r="G7" s="149" t="s">
        <v>72</v>
      </c>
      <c r="H7" s="149"/>
      <c r="I7" s="149"/>
      <c r="J7" s="149"/>
      <c r="K7" s="149"/>
      <c r="L7" s="149"/>
      <c r="M7" s="149"/>
      <c r="N7" s="149"/>
      <c r="O7" s="149"/>
      <c r="P7" s="149"/>
      <c r="Q7" s="149"/>
    </row>
    <row r="8" spans="1:17" ht="18" customHeight="1" x14ac:dyDescent="0.2">
      <c r="A8" s="142" t="s">
        <v>18</v>
      </c>
      <c r="B8" s="142"/>
      <c r="C8" s="142"/>
      <c r="D8" s="142"/>
      <c r="E8" s="142"/>
      <c r="F8" s="142"/>
      <c r="G8" s="142"/>
      <c r="H8" s="142"/>
      <c r="I8" s="142"/>
      <c r="J8" s="142"/>
      <c r="K8" s="142"/>
      <c r="L8" s="142"/>
      <c r="M8" s="142"/>
      <c r="N8" s="142"/>
      <c r="O8" s="142"/>
      <c r="P8" s="142"/>
      <c r="Q8" s="142"/>
    </row>
    <row r="9" spans="1:17" ht="18" customHeight="1" x14ac:dyDescent="0.2">
      <c r="A9" s="143" t="s">
        <v>19</v>
      </c>
      <c r="B9" s="143"/>
      <c r="C9" s="143"/>
      <c r="D9" s="143"/>
      <c r="E9" s="143"/>
      <c r="F9" s="143"/>
      <c r="G9" s="143"/>
      <c r="H9" s="143"/>
      <c r="I9" s="143"/>
      <c r="J9" s="143"/>
      <c r="K9" s="143"/>
      <c r="L9" s="143"/>
      <c r="M9" s="143"/>
      <c r="N9" s="143"/>
      <c r="O9" s="143"/>
      <c r="P9" s="143"/>
      <c r="Q9" s="143"/>
    </row>
    <row r="10" spans="1:17" ht="66" customHeight="1" x14ac:dyDescent="0.2">
      <c r="A10" s="162" t="s">
        <v>94</v>
      </c>
      <c r="B10" s="162"/>
      <c r="C10" s="162"/>
      <c r="D10" s="162"/>
      <c r="E10" s="162"/>
      <c r="F10" s="162"/>
      <c r="G10" s="162"/>
      <c r="H10" s="162"/>
      <c r="I10" s="162"/>
      <c r="J10" s="162"/>
      <c r="K10" s="162"/>
      <c r="L10" s="162"/>
      <c r="M10" s="162"/>
      <c r="N10" s="162"/>
      <c r="O10" s="162"/>
      <c r="P10" s="162"/>
      <c r="Q10" s="162"/>
    </row>
    <row r="11" spans="1:17" ht="9" customHeight="1" x14ac:dyDescent="0.2">
      <c r="A11" s="21"/>
      <c r="B11" s="22"/>
      <c r="C11" s="22"/>
      <c r="D11" s="22"/>
      <c r="E11" s="22"/>
      <c r="F11" s="22"/>
      <c r="G11" s="23"/>
      <c r="H11" s="22"/>
      <c r="I11" s="22"/>
      <c r="J11" s="22"/>
      <c r="K11" s="22"/>
      <c r="L11" s="22"/>
      <c r="M11" s="22"/>
      <c r="N11" s="22"/>
      <c r="O11" s="22"/>
      <c r="P11" s="22"/>
      <c r="Q11" s="24"/>
    </row>
    <row r="12" spans="1:17" ht="15.75" customHeight="1" x14ac:dyDescent="0.2">
      <c r="A12" s="144" t="s">
        <v>20</v>
      </c>
      <c r="B12" s="144"/>
      <c r="C12" s="144"/>
      <c r="D12" s="144"/>
      <c r="E12" s="144"/>
      <c r="F12" s="144"/>
      <c r="G12" s="144"/>
      <c r="H12" s="144"/>
      <c r="I12" s="144"/>
      <c r="J12" s="144"/>
      <c r="K12" s="144"/>
      <c r="L12" s="144"/>
      <c r="M12" s="144"/>
      <c r="N12" s="144"/>
      <c r="O12" s="144"/>
      <c r="P12" s="144"/>
      <c r="Q12" s="144"/>
    </row>
    <row r="13" spans="1:17" ht="15.75" customHeight="1" x14ac:dyDescent="0.2">
      <c r="A13" s="145" t="s">
        <v>21</v>
      </c>
      <c r="B13" s="145"/>
      <c r="C13" s="145"/>
      <c r="D13" s="145"/>
      <c r="E13" s="145"/>
      <c r="F13" s="145"/>
      <c r="G13" s="145"/>
      <c r="H13" s="145"/>
      <c r="I13" s="145"/>
      <c r="J13" s="145"/>
      <c r="K13" s="145"/>
      <c r="L13" s="145"/>
      <c r="M13" s="145"/>
      <c r="N13" s="145"/>
      <c r="O13" s="146" t="s">
        <v>22</v>
      </c>
      <c r="P13" s="146"/>
      <c r="Q13" s="147" t="s">
        <v>23</v>
      </c>
    </row>
    <row r="14" spans="1:17" ht="15.75" customHeight="1" thickBot="1" x14ac:dyDescent="0.25">
      <c r="A14" s="25" t="s">
        <v>24</v>
      </c>
      <c r="B14" s="26" t="s">
        <v>25</v>
      </c>
      <c r="C14" s="26" t="s">
        <v>26</v>
      </c>
      <c r="D14" s="26" t="s">
        <v>27</v>
      </c>
      <c r="E14" s="26" t="s">
        <v>28</v>
      </c>
      <c r="F14" s="26" t="s">
        <v>29</v>
      </c>
      <c r="G14" s="27" t="s">
        <v>30</v>
      </c>
      <c r="H14" s="26" t="s">
        <v>31</v>
      </c>
      <c r="I14" s="26" t="s">
        <v>32</v>
      </c>
      <c r="J14" s="26" t="s">
        <v>33</v>
      </c>
      <c r="K14" s="26" t="s">
        <v>33</v>
      </c>
      <c r="L14" s="26" t="s">
        <v>34</v>
      </c>
      <c r="M14" s="28" t="s">
        <v>35</v>
      </c>
      <c r="N14" s="29" t="s">
        <v>36</v>
      </c>
      <c r="O14" s="146"/>
      <c r="P14" s="146"/>
      <c r="Q14" s="147"/>
    </row>
    <row r="15" spans="1:17" s="47" customFormat="1" ht="17.25" customHeight="1" thickBot="1" x14ac:dyDescent="0.25">
      <c r="A15" s="63">
        <v>1</v>
      </c>
      <c r="B15" s="64">
        <v>0</v>
      </c>
      <c r="C15" s="64">
        <v>0</v>
      </c>
      <c r="D15" s="64">
        <v>1</v>
      </c>
      <c r="E15" s="64">
        <v>0</v>
      </c>
      <c r="F15" s="64">
        <v>4901</v>
      </c>
      <c r="G15" s="64">
        <v>1</v>
      </c>
      <c r="H15" s="64">
        <v>3</v>
      </c>
      <c r="I15" s="64">
        <v>2</v>
      </c>
      <c r="J15" s="64">
        <v>1</v>
      </c>
      <c r="K15" s="64">
        <v>4</v>
      </c>
      <c r="L15" s="64">
        <v>0</v>
      </c>
      <c r="M15" s="65">
        <v>1</v>
      </c>
      <c r="N15" s="64" t="s">
        <v>38</v>
      </c>
      <c r="O15" s="136" t="s">
        <v>57</v>
      </c>
      <c r="P15" s="136"/>
      <c r="Q15" s="62">
        <v>7350000</v>
      </c>
    </row>
    <row r="16" spans="1:17" s="47" customFormat="1" ht="14.25" customHeight="1" thickBot="1" x14ac:dyDescent="0.25">
      <c r="A16" s="161">
        <v>1</v>
      </c>
      <c r="B16" s="64">
        <v>0</v>
      </c>
      <c r="C16" s="64">
        <v>0</v>
      </c>
      <c r="D16" s="64">
        <v>1</v>
      </c>
      <c r="E16" s="64">
        <v>0</v>
      </c>
      <c r="F16" s="64">
        <v>4901</v>
      </c>
      <c r="G16" s="64">
        <v>1</v>
      </c>
      <c r="H16" s="64">
        <v>3</v>
      </c>
      <c r="I16" s="64">
        <v>2</v>
      </c>
      <c r="J16" s="64">
        <v>5</v>
      </c>
      <c r="K16" s="64">
        <v>4</v>
      </c>
      <c r="L16" s="64">
        <v>0</v>
      </c>
      <c r="M16" s="65">
        <v>1</v>
      </c>
      <c r="N16" s="64" t="s">
        <v>38</v>
      </c>
      <c r="O16" s="137" t="s">
        <v>85</v>
      </c>
      <c r="P16" s="137"/>
      <c r="Q16" s="66">
        <v>1325000</v>
      </c>
    </row>
    <row r="17" spans="1:17" s="47" customFormat="1" ht="14.25" customHeight="1" thickBot="1" x14ac:dyDescent="0.25">
      <c r="A17" s="63"/>
      <c r="B17" s="64"/>
      <c r="C17" s="64"/>
      <c r="D17" s="64"/>
      <c r="E17" s="64"/>
      <c r="F17" s="64"/>
      <c r="G17" s="64"/>
      <c r="H17" s="64"/>
      <c r="I17" s="64"/>
      <c r="J17" s="64"/>
      <c r="K17" s="64"/>
      <c r="L17" s="64"/>
      <c r="M17" s="65"/>
      <c r="N17" s="64"/>
      <c r="O17" s="140"/>
      <c r="P17" s="141"/>
      <c r="Q17" s="87"/>
    </row>
    <row r="18" spans="1:17" s="47" customFormat="1" ht="17.25" customHeight="1" thickBot="1" x14ac:dyDescent="0.25">
      <c r="A18" s="63"/>
      <c r="B18" s="64"/>
      <c r="C18" s="64"/>
      <c r="D18" s="64"/>
      <c r="E18" s="64"/>
      <c r="F18" s="64"/>
      <c r="G18" s="64"/>
      <c r="H18" s="64"/>
      <c r="I18" s="64"/>
      <c r="J18" s="64"/>
      <c r="K18" s="64"/>
      <c r="L18" s="64"/>
      <c r="M18" s="65"/>
      <c r="N18" s="64"/>
      <c r="O18" s="137"/>
      <c r="P18" s="137"/>
      <c r="Q18" s="62"/>
    </row>
    <row r="19" spans="1:17" s="47" customFormat="1" ht="17.25" customHeight="1" thickBot="1" x14ac:dyDescent="0.25">
      <c r="A19" s="63"/>
      <c r="B19" s="64"/>
      <c r="C19" s="64"/>
      <c r="D19" s="64"/>
      <c r="E19" s="64"/>
      <c r="F19" s="64"/>
      <c r="G19" s="64"/>
      <c r="H19" s="64"/>
      <c r="I19" s="64"/>
      <c r="J19" s="64"/>
      <c r="K19" s="64"/>
      <c r="L19" s="64"/>
      <c r="M19" s="65"/>
      <c r="N19" s="64"/>
      <c r="O19" s="137"/>
      <c r="P19" s="137"/>
      <c r="Q19" s="62"/>
    </row>
    <row r="20" spans="1:17" s="47" customFormat="1" ht="17.25" customHeight="1" thickBot="1" x14ac:dyDescent="0.25">
      <c r="A20" s="63"/>
      <c r="B20" s="64"/>
      <c r="C20" s="64"/>
      <c r="D20" s="64"/>
      <c r="E20" s="64"/>
      <c r="F20" s="64"/>
      <c r="G20" s="64"/>
      <c r="H20" s="64"/>
      <c r="I20" s="64"/>
      <c r="J20" s="64"/>
      <c r="K20" s="64"/>
      <c r="L20" s="64"/>
      <c r="M20" s="65"/>
      <c r="N20" s="64"/>
      <c r="O20" s="136"/>
      <c r="P20" s="136"/>
      <c r="Q20" s="62"/>
    </row>
    <row r="21" spans="1:17" s="47" customFormat="1" ht="13.5" thickBot="1" x14ac:dyDescent="0.25">
      <c r="A21" s="63"/>
      <c r="B21" s="64"/>
      <c r="C21" s="64"/>
      <c r="D21" s="64"/>
      <c r="E21" s="64"/>
      <c r="F21" s="64"/>
      <c r="G21" s="64"/>
      <c r="H21" s="64"/>
      <c r="I21" s="64"/>
      <c r="J21" s="64"/>
      <c r="K21" s="64"/>
      <c r="L21" s="64"/>
      <c r="M21" s="65"/>
      <c r="N21" s="64"/>
      <c r="O21" s="140"/>
      <c r="P21" s="141"/>
      <c r="Q21" s="66"/>
    </row>
    <row r="22" spans="1:17" s="47" customFormat="1" ht="17.25" customHeight="1" thickBot="1" x14ac:dyDescent="0.25">
      <c r="A22" s="63"/>
      <c r="B22" s="64"/>
      <c r="C22" s="64"/>
      <c r="D22" s="64"/>
      <c r="E22" s="64"/>
      <c r="F22" s="64"/>
      <c r="G22" s="64"/>
      <c r="H22" s="64"/>
      <c r="I22" s="64"/>
      <c r="J22" s="64"/>
      <c r="K22" s="64"/>
      <c r="L22" s="64"/>
      <c r="M22" s="65"/>
      <c r="N22" s="64"/>
      <c r="O22" s="136"/>
      <c r="P22" s="136"/>
      <c r="Q22" s="62"/>
    </row>
    <row r="23" spans="1:17" s="47" customFormat="1" ht="17.25" customHeight="1" thickBot="1" x14ac:dyDescent="0.25">
      <c r="A23" s="63"/>
      <c r="B23" s="64"/>
      <c r="C23" s="64"/>
      <c r="D23" s="64"/>
      <c r="E23" s="64"/>
      <c r="F23" s="64"/>
      <c r="G23" s="64"/>
      <c r="H23" s="64"/>
      <c r="I23" s="64"/>
      <c r="J23" s="64"/>
      <c r="K23" s="64"/>
      <c r="L23" s="64"/>
      <c r="M23" s="65"/>
      <c r="N23" s="64"/>
      <c r="O23" s="136"/>
      <c r="P23" s="136"/>
      <c r="Q23" s="62"/>
    </row>
    <row r="24" spans="1:17" s="47" customFormat="1" ht="14.25" customHeight="1" thickBot="1" x14ac:dyDescent="0.25">
      <c r="A24" s="63"/>
      <c r="B24" s="64"/>
      <c r="C24" s="64"/>
      <c r="D24" s="64"/>
      <c r="E24" s="64"/>
      <c r="F24" s="64"/>
      <c r="G24" s="64"/>
      <c r="H24" s="64"/>
      <c r="I24" s="64"/>
      <c r="J24" s="64"/>
      <c r="K24" s="64"/>
      <c r="L24" s="64"/>
      <c r="M24" s="65"/>
      <c r="N24" s="64"/>
      <c r="O24" s="137"/>
      <c r="P24" s="137"/>
      <c r="Q24" s="66"/>
    </row>
    <row r="25" spans="1:17" s="47" customFormat="1" ht="14.25" customHeight="1" thickBot="1" x14ac:dyDescent="0.25">
      <c r="A25" s="63"/>
      <c r="B25" s="64"/>
      <c r="C25" s="64"/>
      <c r="D25" s="64"/>
      <c r="E25" s="64"/>
      <c r="F25" s="64"/>
      <c r="G25" s="64"/>
      <c r="H25" s="64"/>
      <c r="I25" s="64"/>
      <c r="J25" s="64"/>
      <c r="K25" s="64"/>
      <c r="L25" s="64"/>
      <c r="M25" s="65"/>
      <c r="N25" s="64"/>
      <c r="O25" s="137"/>
      <c r="P25" s="137"/>
      <c r="Q25" s="66"/>
    </row>
    <row r="26" spans="1:17" s="47" customFormat="1" ht="17.25" customHeight="1" thickBot="1" x14ac:dyDescent="0.25">
      <c r="A26" s="63"/>
      <c r="B26" s="64"/>
      <c r="C26" s="64"/>
      <c r="D26" s="64"/>
      <c r="E26" s="64"/>
      <c r="F26" s="64"/>
      <c r="G26" s="64"/>
      <c r="H26" s="64"/>
      <c r="I26" s="64"/>
      <c r="J26" s="64"/>
      <c r="K26" s="64"/>
      <c r="L26" s="64"/>
      <c r="M26" s="65"/>
      <c r="N26" s="64"/>
      <c r="O26" s="138"/>
      <c r="P26" s="139"/>
      <c r="Q26" s="62"/>
    </row>
    <row r="27" spans="1:17" s="47" customFormat="1" ht="17.25" customHeight="1" x14ac:dyDescent="0.2">
      <c r="A27" s="63"/>
      <c r="B27" s="64"/>
      <c r="C27" s="64"/>
      <c r="D27" s="64"/>
      <c r="E27" s="64"/>
      <c r="F27" s="64"/>
      <c r="G27" s="64"/>
      <c r="H27" s="64"/>
      <c r="I27" s="64"/>
      <c r="J27" s="64"/>
      <c r="K27" s="64"/>
      <c r="L27" s="64"/>
      <c r="M27" s="65"/>
      <c r="N27" s="64"/>
      <c r="O27" s="136"/>
      <c r="P27" s="136"/>
      <c r="Q27" s="62"/>
    </row>
    <row r="28" spans="1:17" ht="17.25" customHeight="1" x14ac:dyDescent="0.2">
      <c r="A28" s="30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2"/>
      <c r="N28" s="33"/>
      <c r="O28" s="127"/>
      <c r="P28" s="127"/>
      <c r="Q28" s="34"/>
    </row>
    <row r="29" spans="1:17" ht="17.25" customHeight="1" x14ac:dyDescent="0.2">
      <c r="A29" s="30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2"/>
      <c r="N29" s="33"/>
      <c r="O29" s="127"/>
      <c r="P29" s="127"/>
      <c r="Q29" s="34"/>
    </row>
    <row r="30" spans="1:17" ht="17.25" customHeight="1" x14ac:dyDescent="0.2">
      <c r="A30" s="30"/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2"/>
      <c r="N30" s="33"/>
      <c r="O30" s="127"/>
      <c r="P30" s="127"/>
      <c r="Q30" s="34"/>
    </row>
    <row r="31" spans="1:17" ht="17.25" customHeight="1" x14ac:dyDescent="0.2">
      <c r="A31" s="30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2"/>
      <c r="N31" s="33"/>
      <c r="O31" s="127"/>
      <c r="P31" s="127"/>
      <c r="Q31" s="34"/>
    </row>
    <row r="32" spans="1:17" ht="17.25" customHeight="1" x14ac:dyDescent="0.2">
      <c r="A32" s="30"/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2"/>
      <c r="N32" s="33"/>
      <c r="O32" s="127"/>
      <c r="P32" s="127"/>
      <c r="Q32" s="34"/>
    </row>
    <row r="33" spans="1:18" ht="17.25" customHeight="1" x14ac:dyDescent="0.2">
      <c r="A33" s="30"/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2"/>
      <c r="N33" s="33"/>
      <c r="O33" s="127"/>
      <c r="P33" s="127"/>
      <c r="Q33" s="34"/>
    </row>
    <row r="34" spans="1:18" ht="17.25" customHeight="1" x14ac:dyDescent="0.2">
      <c r="A34" s="30"/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2"/>
      <c r="N34" s="33"/>
      <c r="O34" s="127"/>
      <c r="P34" s="127"/>
      <c r="Q34" s="34"/>
    </row>
    <row r="35" spans="1:18" ht="17.25" customHeight="1" x14ac:dyDescent="0.2">
      <c r="A35" s="30"/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2"/>
      <c r="N35" s="33"/>
      <c r="O35" s="127"/>
      <c r="P35" s="127"/>
      <c r="Q35" s="34"/>
    </row>
    <row r="36" spans="1:18" ht="17.25" customHeight="1" x14ac:dyDescent="0.2">
      <c r="A36" s="30"/>
      <c r="B36" s="31"/>
      <c r="C36" s="31"/>
      <c r="D36" s="31"/>
      <c r="E36" s="31"/>
      <c r="F36" s="33"/>
      <c r="G36" s="31"/>
      <c r="H36" s="31"/>
      <c r="I36" s="31"/>
      <c r="J36" s="31"/>
      <c r="K36" s="31"/>
      <c r="L36" s="31"/>
      <c r="M36" s="32"/>
      <c r="N36" s="33"/>
      <c r="O36" s="128"/>
      <c r="P36" s="128"/>
      <c r="Q36" s="34"/>
    </row>
    <row r="37" spans="1:18" ht="17.25" customHeight="1" x14ac:dyDescent="0.2">
      <c r="A37" s="30"/>
      <c r="B37" s="31"/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2"/>
      <c r="N37" s="33"/>
      <c r="O37" s="128"/>
      <c r="P37" s="128"/>
      <c r="Q37" s="34"/>
    </row>
    <row r="38" spans="1:18" ht="17.25" customHeight="1" x14ac:dyDescent="0.2">
      <c r="A38" s="30"/>
      <c r="B38" s="31"/>
      <c r="C38" s="31"/>
      <c r="D38" s="31"/>
      <c r="E38" s="31"/>
      <c r="F38" s="33"/>
      <c r="G38" s="31"/>
      <c r="H38" s="31"/>
      <c r="I38" s="31"/>
      <c r="J38" s="31"/>
      <c r="K38" s="31"/>
      <c r="L38" s="31"/>
      <c r="M38" s="32"/>
      <c r="N38" s="33"/>
      <c r="O38" s="128"/>
      <c r="P38" s="128"/>
      <c r="Q38" s="34"/>
    </row>
    <row r="39" spans="1:18" ht="17.25" customHeight="1" x14ac:dyDescent="0.2">
      <c r="A39" s="30"/>
      <c r="B39" s="31"/>
      <c r="C39" s="31"/>
      <c r="D39" s="31"/>
      <c r="E39" s="31"/>
      <c r="F39" s="33"/>
      <c r="G39" s="31"/>
      <c r="H39" s="31"/>
      <c r="I39" s="31"/>
      <c r="J39" s="31"/>
      <c r="K39" s="31"/>
      <c r="L39" s="31"/>
      <c r="M39" s="32"/>
      <c r="N39" s="33"/>
      <c r="O39" s="128"/>
      <c r="P39" s="128"/>
      <c r="Q39" s="34"/>
    </row>
    <row r="40" spans="1:18" ht="17.25" customHeight="1" x14ac:dyDescent="0.2">
      <c r="A40" s="35"/>
      <c r="B40" s="36"/>
      <c r="C40" s="36"/>
      <c r="D40" s="36"/>
      <c r="E40" s="36"/>
      <c r="F40" s="37"/>
      <c r="G40" s="36"/>
      <c r="H40" s="36"/>
      <c r="I40" s="36"/>
      <c r="J40" s="36"/>
      <c r="K40" s="36"/>
      <c r="L40" s="36"/>
      <c r="M40" s="38"/>
      <c r="N40" s="39"/>
      <c r="O40" s="132"/>
      <c r="P40" s="132"/>
      <c r="Q40" s="34"/>
      <c r="R40" s="16"/>
    </row>
    <row r="41" spans="1:18" ht="17.25" customHeight="1" x14ac:dyDescent="0.2">
      <c r="A41" s="40"/>
      <c r="B41" s="41"/>
      <c r="C41" s="41"/>
      <c r="D41" s="41"/>
      <c r="E41" s="41"/>
      <c r="F41" s="41"/>
      <c r="G41" s="41"/>
      <c r="H41" s="41"/>
      <c r="I41" s="41"/>
      <c r="J41" s="41"/>
      <c r="K41" s="41"/>
      <c r="L41" s="41"/>
      <c r="M41" s="42"/>
      <c r="N41" s="41"/>
      <c r="O41" s="133"/>
      <c r="P41" s="133"/>
      <c r="Q41" s="43"/>
    </row>
    <row r="42" spans="1:18" ht="20.25" customHeight="1" x14ac:dyDescent="0.2">
      <c r="A42" s="134" t="s">
        <v>86</v>
      </c>
      <c r="B42" s="134"/>
      <c r="C42" s="134"/>
      <c r="D42" s="134"/>
      <c r="E42" s="134"/>
      <c r="F42" s="134"/>
      <c r="G42" s="134"/>
      <c r="H42" s="134"/>
      <c r="I42" s="134"/>
      <c r="J42" s="134"/>
      <c r="K42" s="134"/>
      <c r="L42" s="134"/>
      <c r="M42" s="134"/>
      <c r="N42" s="134"/>
      <c r="O42" s="134"/>
      <c r="P42" s="134"/>
      <c r="Q42" s="44">
        <f>SUM(Q15:Q41)</f>
        <v>8675000</v>
      </c>
    </row>
    <row r="43" spans="1:18" ht="18" customHeight="1" x14ac:dyDescent="0.2">
      <c r="A43" s="135"/>
      <c r="B43" s="135"/>
      <c r="C43" s="135"/>
      <c r="D43" s="135"/>
      <c r="E43" s="135"/>
      <c r="F43" s="135"/>
      <c r="G43" s="135"/>
      <c r="H43" s="135"/>
      <c r="I43" s="135"/>
      <c r="J43" s="135"/>
      <c r="K43" s="135"/>
      <c r="L43" s="135"/>
      <c r="M43" s="135"/>
      <c r="N43" s="135"/>
      <c r="O43" s="135"/>
      <c r="P43" s="135"/>
      <c r="Q43" s="135"/>
    </row>
    <row r="44" spans="1:18" ht="17.25" customHeight="1" x14ac:dyDescent="0.2">
      <c r="A44" s="129" t="s">
        <v>37</v>
      </c>
      <c r="B44" s="129"/>
      <c r="C44" s="129"/>
      <c r="D44" s="129"/>
      <c r="E44" s="129"/>
      <c r="F44" s="129"/>
      <c r="G44" s="130"/>
      <c r="H44" s="130"/>
      <c r="I44" s="130"/>
      <c r="J44" s="130"/>
      <c r="K44" s="130"/>
      <c r="L44" s="130"/>
      <c r="M44" s="130"/>
      <c r="N44" s="130"/>
      <c r="O44" s="130"/>
      <c r="P44" s="130"/>
      <c r="Q44" s="130"/>
    </row>
    <row r="45" spans="1:18" s="88" customFormat="1" ht="18" customHeight="1" x14ac:dyDescent="0.2">
      <c r="A45" s="131" t="s">
        <v>59</v>
      </c>
      <c r="B45" s="131"/>
      <c r="C45" s="131"/>
      <c r="D45" s="131"/>
      <c r="E45" s="131"/>
      <c r="F45" s="131"/>
      <c r="G45" s="131"/>
      <c r="H45" s="131"/>
      <c r="I45" s="131"/>
      <c r="J45" s="131"/>
      <c r="K45" s="131"/>
      <c r="L45" s="131"/>
      <c r="M45" s="131"/>
      <c r="N45" s="131"/>
      <c r="O45" s="131"/>
      <c r="P45" s="131"/>
      <c r="Q45" s="131"/>
    </row>
    <row r="46" spans="1:18" s="88" customFormat="1" ht="63.75" customHeight="1" x14ac:dyDescent="0.2">
      <c r="A46" s="131"/>
      <c r="B46" s="131"/>
      <c r="C46" s="131"/>
      <c r="D46" s="131"/>
      <c r="E46" s="131"/>
      <c r="F46" s="131"/>
      <c r="G46" s="131"/>
      <c r="H46" s="131"/>
      <c r="I46" s="131"/>
      <c r="J46" s="131"/>
      <c r="K46" s="131"/>
      <c r="L46" s="131"/>
      <c r="M46" s="131"/>
      <c r="N46" s="131"/>
      <c r="O46" s="131"/>
      <c r="P46" s="131"/>
      <c r="Q46" s="131"/>
    </row>
  </sheetData>
  <mergeCells count="50">
    <mergeCell ref="A1:C1"/>
    <mergeCell ref="D1:E1"/>
    <mergeCell ref="P1:Q2"/>
    <mergeCell ref="A4:F4"/>
    <mergeCell ref="G4:Q4"/>
    <mergeCell ref="A5:F5"/>
    <mergeCell ref="G5:Q5"/>
    <mergeCell ref="A6:F6"/>
    <mergeCell ref="G6:Q6"/>
    <mergeCell ref="A7:F7"/>
    <mergeCell ref="G7:Q7"/>
    <mergeCell ref="A8:Q8"/>
    <mergeCell ref="A9:Q9"/>
    <mergeCell ref="A10:Q10"/>
    <mergeCell ref="A12:Q12"/>
    <mergeCell ref="A13:N13"/>
    <mergeCell ref="O13:P14"/>
    <mergeCell ref="Q13:Q14"/>
    <mergeCell ref="O15:P15"/>
    <mergeCell ref="O27:P27"/>
    <mergeCell ref="O28:P28"/>
    <mergeCell ref="O18:P18"/>
    <mergeCell ref="O19:P19"/>
    <mergeCell ref="O16:P16"/>
    <mergeCell ref="O26:P26"/>
    <mergeCell ref="O17:P17"/>
    <mergeCell ref="O24:P24"/>
    <mergeCell ref="O20:P20"/>
    <mergeCell ref="O22:P22"/>
    <mergeCell ref="O23:P23"/>
    <mergeCell ref="O21:P21"/>
    <mergeCell ref="O25:P25"/>
    <mergeCell ref="A45:Q46"/>
    <mergeCell ref="O39:P39"/>
    <mergeCell ref="O40:P40"/>
    <mergeCell ref="O41:P41"/>
    <mergeCell ref="A42:P42"/>
    <mergeCell ref="A43:Q43"/>
    <mergeCell ref="O36:P36"/>
    <mergeCell ref="O37:P37"/>
    <mergeCell ref="O38:P38"/>
    <mergeCell ref="A44:F44"/>
    <mergeCell ref="G44:Q44"/>
    <mergeCell ref="O29:P29"/>
    <mergeCell ref="O34:P34"/>
    <mergeCell ref="O35:P35"/>
    <mergeCell ref="O30:P30"/>
    <mergeCell ref="O31:P31"/>
    <mergeCell ref="O32:P32"/>
    <mergeCell ref="O33:P33"/>
  </mergeCells>
  <printOptions horizontalCentered="1"/>
  <pageMargins left="0.25" right="0.25" top="0.75" bottom="0.7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Necesidades Trimestrales</vt:lpstr>
      <vt:lpstr> NotaPedido</vt:lpstr>
      <vt:lpstr>Autor Gastar</vt:lpstr>
      <vt:lpstr>' NotaPedido'!Área_de_impresión</vt:lpstr>
      <vt:lpstr>'Autor Gastar'!Área_de_impresión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farce</dc:creator>
  <cp:lastModifiedBy>ELIAS QUINTAR</cp:lastModifiedBy>
  <cp:revision>3</cp:revision>
  <cp:lastPrinted>2022-03-22T14:16:32Z</cp:lastPrinted>
  <dcterms:created xsi:type="dcterms:W3CDTF">2020-07-17T23:44:49Z</dcterms:created>
  <dcterms:modified xsi:type="dcterms:W3CDTF">2022-03-25T13:01:18Z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