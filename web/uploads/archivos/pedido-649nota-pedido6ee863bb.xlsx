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92CAC297-D53D-476B-A679-583AD824F71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NotaPedido'!$A$1:$K$14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A10" i="3" l="1"/>
  <c r="G7" i="3"/>
  <c r="G6" i="3" l="1"/>
  <c r="D1" i="3"/>
  <c r="K13" i="2" l="1"/>
  <c r="J13" i="2"/>
  <c r="C13" i="2"/>
  <c r="B13" i="2"/>
  <c r="K12" i="2"/>
  <c r="J12" i="2"/>
  <c r="C12" i="2"/>
  <c r="B12" i="2"/>
  <c r="D7" i="2"/>
  <c r="D4" i="2"/>
  <c r="G5" i="3" s="1"/>
  <c r="D3" i="2"/>
  <c r="G4" i="3" l="1"/>
  <c r="I13" i="1"/>
  <c r="I12" i="1"/>
  <c r="I11" i="1"/>
  <c r="I10" i="1" l="1"/>
  <c r="I14" i="1" s="1"/>
  <c r="Q15" i="3" s="1"/>
  <c r="Q16" i="3"/>
  <c r="J14" i="2"/>
</calcChain>
</file>

<file path=xl/sharedStrings.xml><?xml version="1.0" encoding="utf-8"?>
<sst xmlns="http://schemas.openxmlformats.org/spreadsheetml/2006/main" count="110" uniqueCount="90">
  <si>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</si>
  <si>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</si>
  <si>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</si>
  <si>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</si>
  <si>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</si>
  <si>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</si>
  <si>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</si>
  <si>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</si>
  <si>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</si>
  <si>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</si>
  <si>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</si>
  <si>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</si>
  <si>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</si>
  <si>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</si>
  <si>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</si>
  <si>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</si>
  <si>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2.9.1-6951.30</t>
  </si>
  <si>
    <t>ELEMENTOS DE LIMPIEZA</t>
  </si>
  <si>
    <t>2.9.1</t>
  </si>
  <si>
    <t>LIMPIADORES; TIPO: LAVANDINA, PRESENTACION: ENVASE X 5 L</t>
  </si>
  <si>
    <t>UNIDAD</t>
  </si>
  <si>
    <t>2.9.1-6961.42</t>
  </si>
  <si>
    <t>ELEM. P/LIMPIEZA SANITARIOS; TIPO: DESODORANTE P/ PISO, PRESENTACION: ENVASE X 5 L, COMPUESTOS BIODEGRADABLES: SI</t>
  </si>
  <si>
    <t>2.9.1-6951.306</t>
  </si>
  <si>
    <t>LIMPIADORES; TIPO: DETERGENTE, PRESENTACION: ENVASE X 900 mL, BIODEGRADABLE: SI</t>
  </si>
  <si>
    <t>2.9.1-6951.23</t>
  </si>
  <si>
    <t>2.5.4</t>
  </si>
  <si>
    <t>LIMPIADORES; TIPO: ACAROINA, PRESENTACION: ENVASE X 1 L</t>
  </si>
  <si>
    <t>Especificidades de todos los Items.</t>
  </si>
  <si>
    <t>Descripción técnica</t>
  </si>
  <si>
    <t>DESCRIPCION ITEM 1:  LAVANDINA LIQUIDA CONCENTRADA, PRESENTACION: BIDON.</t>
  </si>
  <si>
    <t>DESCRIPCION ITEM 2: DESODORANTE PARA PISO LIQUIDO CONCENTRADO. PRESENTACION: BIDON.</t>
  </si>
  <si>
    <t>DESCRIPCION ITEM 3: DETERGENTE LIQUIDO CONCENTRADO</t>
  </si>
  <si>
    <t>DESCRIPCION ITEM 4: CREOLINA/ACAROINA , LIQUIDO CONCENTRADO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</si>
  <si>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</si>
  <si>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</si>
  <si>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</si>
  <si>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Integra.- </t>
  </si>
  <si>
    <t>Mantenimiento</t>
  </si>
  <si>
    <t>30 DIAS</t>
  </si>
  <si>
    <t>Garantia</t>
  </si>
  <si>
    <t>6 MESES.</t>
  </si>
  <si>
    <t>NOTA DE PEDIDO</t>
  </si>
  <si>
    <t>N°</t>
  </si>
  <si>
    <t>40/2021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</si>
  <si>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</si>
  <si>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</si>
  <si>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</si>
  <si>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</si>
  <si>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</si>
  <si>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Policía Adicional- Policía de Catamarca.</t>
  </si>
  <si>
    <t>PERIODO UTILIZACIÓN:</t>
  </si>
  <si>
    <t>OBJETO:</t>
  </si>
  <si>
    <t>Adquisición de Papel A-4 y Oficio para División Policia Adicional- Policia de Catamarca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</si>
  <si>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</si>
  <si>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</si>
  <si>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</si>
  <si>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</si>
  <si>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</si>
  <si>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</si>
  <si>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</si>
  <si>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</si>
  <si>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PAPELES EN HOJA; TIPO DE PAPEL: BLANCO, DIMENSION: A4, GRAMAJE: 90 GR, PRESENTACION: ENVASE X 500 HOJAS, CERTIFICADO FORESTAL (GFS): SIN, PORC. FIBRAS RECICLADAS: 60 %, CERT. FIBRA ALTERNATIVA (FCA): SIN</t>
  </si>
  <si>
    <t>Costo total estimado: Ciento Setenta y Ocho Mil Ciento Dieciocho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</si>
  <si>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</si>
  <si>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</si>
  <si>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</si>
  <si>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</si>
  <si>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</si>
  <si>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</si>
  <si>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</si>
  <si>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</si>
  <si>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</si>
  <si>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</si>
  <si>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</si>
  <si>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</si>
  <si>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</si>
  <si>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</si>
  <si>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</si>
  <si>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</si>
  <si>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</si>
  <si>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</si>
  <si>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</si>
  <si>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</si>
  <si>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</si>
  <si>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</si>
  <si>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PAPEL DE ESCRITORIO Y CARTÓN</t>
  </si>
  <si>
    <t>TOTAL DE PESOS:  Ciento Setenta y Ocho Mil Ciento Dieciocho con 00/100.-</t>
  </si>
  <si>
    <t>Son Pesos Dos millones ochocientos noventa y cinco mil cuatrocientos setenta con 00/100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</si>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</sst>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6" fillId="3" borderId="0" xfId="0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center" vertical="center"/>
    </xf>
    <xf numFmtId="0" fontId="6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0" fontId="10" fillId="3" borderId="0" xfId="0" applyFont="1" applyFill="1" applyAlignment="1">
      <alignment horizontal="left" wrapText="1"/>
    </xf>
    <xf numFmtId="0" fontId="11" fillId="3" borderId="17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50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69" fontId="11" fillId="3" borderId="2" xfId="0" applyNumberFormat="1" applyFont="1" applyFill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/>
    </xf>
    <xf numFmtId="0" fontId="6" fillId="3" borderId="47" xfId="0" applyFont="1" applyFill="1" applyBorder="1"/>
    <xf numFmtId="0" fontId="13" fillId="3" borderId="45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wrapText="1"/>
    </xf>
    <xf numFmtId="3" fontId="6" fillId="3" borderId="45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169" fontId="6" fillId="3" borderId="17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/>
    <xf numFmtId="0" fontId="6" fillId="3" borderId="7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/>
    <xf numFmtId="0" fontId="14" fillId="3" borderId="8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0" xfId="0" applyFont="1" applyFill="1" applyAlignment="1">
      <alignment horizontal="left" vertical="center"/>
    </xf>
    <xf numFmtId="49" fontId="6" fillId="3" borderId="0" xfId="0" applyNumberFormat="1" applyFont="1" applyFill="1"/>
    <xf numFmtId="0" fontId="16" fillId="3" borderId="13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6" fillId="3" borderId="15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 indent="1"/>
    </xf>
    <xf numFmtId="0" fontId="6" fillId="3" borderId="52" xfId="0" applyFont="1" applyFill="1" applyBorder="1" applyAlignment="1">
      <alignment horizontal="center" vertical="center" wrapText="1"/>
    </xf>
    <xf numFmtId="3" fontId="18" fillId="3" borderId="0" xfId="0" applyNumberFormat="1" applyFont="1" applyFill="1" applyBorder="1" applyAlignment="1"/>
    <xf numFmtId="168" fontId="6" fillId="3" borderId="0" xfId="0" applyNumberFormat="1" applyFont="1" applyFill="1" applyAlignment="1">
      <alignment horizontal="left"/>
    </xf>
    <xf numFmtId="0" fontId="6" fillId="3" borderId="13" xfId="0" applyFont="1" applyFill="1" applyBorder="1"/>
    <xf numFmtId="0" fontId="6" fillId="3" borderId="27" xfId="0" applyFont="1" applyFill="1" applyBorder="1"/>
    <xf numFmtId="0" fontId="6" fillId="3" borderId="15" xfId="0" applyFont="1" applyFill="1" applyBorder="1"/>
    <xf numFmtId="0" fontId="6" fillId="3" borderId="15" xfId="0" applyFont="1" applyFill="1" applyBorder="1" applyAlignment="1">
      <alignment horizontal="left"/>
    </xf>
    <xf numFmtId="0" fontId="6" fillId="3" borderId="28" xfId="0" applyFont="1" applyFill="1" applyBorder="1"/>
    <xf numFmtId="0" fontId="15" fillId="3" borderId="30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left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/>
    </xf>
    <xf numFmtId="166" fontId="6" fillId="3" borderId="36" xfId="3" applyNumberFormat="1" applyFont="1" applyFill="1" applyBorder="1" applyAlignment="1" applyProtection="1">
      <alignment horizontal="center" vertical="center"/>
    </xf>
    <xf numFmtId="166" fontId="15" fillId="3" borderId="37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169" fontId="6" fillId="3" borderId="4" xfId="1" applyNumberFormat="1" applyFont="1" applyFill="1" applyBorder="1" applyAlignment="1" applyProtection="1">
      <alignment horizontal="center" vertical="center"/>
    </xf>
    <xf numFmtId="3" fontId="6" fillId="3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69" fontId="6" fillId="3" borderId="54" xfId="1" applyNumberFormat="1" applyFont="1" applyFill="1" applyBorder="1" applyAlignment="1" applyProtection="1">
      <alignment horizontal="center" vertical="center"/>
    </xf>
    <xf numFmtId="169" fontId="6" fillId="3" borderId="48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 wrapText="1"/>
    </xf>
    <xf numFmtId="0" fontId="6" fillId="3" borderId="0" xfId="0" applyFont="1" applyFill="1" applyBorder="1" applyAlignment="1">
      <alignment horizontal="left" vertical="top" wrapText="1"/>
    </xf>
    <xf numFmtId="0" fontId="6" fillId="3" borderId="63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wrapText="1" indent="1"/>
    </xf>
    <xf numFmtId="0" fontId="6" fillId="3" borderId="0" xfId="0" applyFont="1" applyFill="1" applyBorder="1" applyAlignment="1">
      <alignment horizontal="left" vertical="center" wrapText="1"/>
    </xf>
    <xf numFmtId="0" fontId="6" fillId="3" borderId="63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wrapText="1"/>
    </xf>
    <xf numFmtId="0" fontId="6" fillId="3" borderId="9" xfId="0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 indent="1"/>
    </xf>
    <xf numFmtId="0" fontId="17" fillId="3" borderId="18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left" vertical="center" wrapText="1" indent="1"/>
    </xf>
    <xf numFmtId="0" fontId="5" fillId="3" borderId="22" xfId="0" applyFont="1" applyFill="1" applyBorder="1" applyAlignment="1">
      <alignment horizontal="left" vertical="center" wrapText="1" indent="1"/>
    </xf>
    <xf numFmtId="0" fontId="5" fillId="3" borderId="57" xfId="0" applyFont="1" applyFill="1" applyBorder="1" applyAlignment="1">
      <alignment horizontal="left" vertical="center" wrapText="1" indent="1"/>
    </xf>
    <xf numFmtId="0" fontId="5" fillId="3" borderId="23" xfId="0" applyFont="1" applyFill="1" applyBorder="1" applyAlignment="1">
      <alignment horizontal="left" vertical="center" wrapText="1" indent="1"/>
    </xf>
    <xf numFmtId="167" fontId="17" fillId="3" borderId="17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 indent="1"/>
    </xf>
    <xf numFmtId="0" fontId="18" fillId="3" borderId="17" xfId="0" applyFont="1" applyFill="1" applyBorder="1" applyAlignment="1">
      <alignment horizontal="center" vertical="center"/>
    </xf>
    <xf numFmtId="0" fontId="18" fillId="3" borderId="55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56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left" vertical="center"/>
    </xf>
    <xf numFmtId="0" fontId="6" fillId="3" borderId="54" xfId="0" applyFont="1" applyFill="1" applyBorder="1" applyAlignment="1">
      <alignment horizontal="left" wrapText="1"/>
    </xf>
    <xf numFmtId="0" fontId="6" fillId="3" borderId="58" xfId="0" applyFont="1" applyFill="1" applyBorder="1" applyAlignment="1">
      <alignment horizontal="left" wrapText="1"/>
    </xf>
    <xf numFmtId="0" fontId="6" fillId="3" borderId="59" xfId="0" applyFont="1" applyFill="1" applyBorder="1" applyAlignment="1">
      <alignment horizontal="left" wrapText="1"/>
    </xf>
    <xf numFmtId="0" fontId="6" fillId="3" borderId="60" xfId="0" applyFont="1" applyFill="1" applyBorder="1" applyAlignment="1">
      <alignment horizontal="left" wrapText="1"/>
    </xf>
    <xf numFmtId="0" fontId="6" fillId="3" borderId="61" xfId="0" applyFont="1" applyFill="1" applyBorder="1" applyAlignment="1">
      <alignment horizontal="left" wrapText="1"/>
    </xf>
    <xf numFmtId="0" fontId="6" fillId="3" borderId="62" xfId="0" applyFont="1" applyFill="1" applyBorder="1" applyAlignment="1">
      <alignment horizontal="left" wrapText="1"/>
    </xf>
    <xf numFmtId="0" fontId="6" fillId="3" borderId="22" xfId="0" applyFont="1" applyFill="1" applyBorder="1" applyAlignment="1">
      <alignment horizontal="center"/>
    </xf>
    <xf numFmtId="3" fontId="18" fillId="3" borderId="23" xfId="0" applyNumberFormat="1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/>
    <xf numFmtId="0" fontId="19" fillId="3" borderId="14" xfId="0" applyFont="1" applyFill="1" applyBorder="1" applyAlignment="1">
      <alignment horizontal="left" indent="1"/>
    </xf>
    <xf numFmtId="0" fontId="6" fillId="3" borderId="16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6" fillId="3" borderId="40" xfId="0" applyFont="1" applyFill="1" applyBorder="1" applyAlignment="1">
      <alignment horizontal="left" vertical="center" wrapText="1"/>
    </xf>
    <xf numFmtId="0" fontId="20" fillId="3" borderId="14" xfId="0" applyFont="1" applyFill="1" applyBorder="1" applyAlignment="1">
      <alignment horizontal="left"/>
    </xf>
    <xf numFmtId="0" fontId="6" fillId="3" borderId="35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19" fillId="3" borderId="25" xfId="0" applyFont="1" applyFill="1" applyBorder="1" applyAlignment="1"/>
    <xf numFmtId="0" fontId="19" fillId="3" borderId="26" xfId="0" applyFont="1" applyFill="1" applyBorder="1" applyAlignment="1">
      <alignment horizontal="left" vertical="center" wrapText="1" indent="1"/>
    </xf>
    <xf numFmtId="0" fontId="15" fillId="3" borderId="24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vertical="center" wrapText="1"/>
    </xf>
    <xf numFmtId="0" fontId="18" fillId="3" borderId="38" xfId="0" applyFont="1" applyFill="1" applyBorder="1" applyAlignment="1">
      <alignment vertical="center" wrapText="1"/>
    </xf>
    <xf numFmtId="0" fontId="18" fillId="3" borderId="20" xfId="0" applyFont="1" applyFill="1" applyBorder="1" applyAlignment="1">
      <alignment vertical="center" wrapText="1"/>
    </xf>
    <xf numFmtId="0" fontId="19" fillId="3" borderId="29" xfId="0" applyFont="1" applyFill="1" applyBorder="1" applyAlignment="1">
      <alignment vertical="center" wrapText="1"/>
    </xf>
    <xf numFmtId="0" fontId="19" fillId="3" borderId="25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0" fontId="19" fillId="3" borderId="13" xfId="0" applyFont="1" applyFill="1" applyBorder="1" applyAlignment="1">
      <alignment horizontal="left" vertical="center" wrapText="1"/>
    </xf>
    <xf numFmtId="0" fontId="19" fillId="3" borderId="27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19" fillId="3" borderId="28" xfId="0" applyFont="1" applyFill="1" applyBorder="1" applyAlignment="1">
      <alignment horizontal="left" vertical="center" wrapText="1"/>
    </xf>
    <xf numFmtId="0" fontId="18" fillId="3" borderId="37" xfId="0" applyFont="1" applyFill="1" applyBorder="1" applyAlignment="1">
      <alignment horizontal="left" vertical="center" wrapText="1"/>
    </xf>
    <xf numFmtId="0" fontId="15" fillId="3" borderId="18" xfId="0" applyFont="1" applyFill="1" applyBorder="1" applyAlignment="1">
      <alignment vertical="center"/>
    </xf>
    <xf numFmtId="0" fontId="15" fillId="3" borderId="44" xfId="0" applyFont="1" applyFill="1" applyBorder="1" applyAlignment="1">
      <alignment vertical="center"/>
    </xf>
    <xf numFmtId="0" fontId="15" fillId="3" borderId="29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3"/>
  <sheetViews>
    <sheetView tabSelected="1" zoomScale="70" zoomScaleNormal="70" workbookViewId="0">
      <selection activeCell="C21" sqref="C21:E21"/>
    </sheetView>
  </sheetViews>
  <sheetFormatPr baseColWidth="10" defaultColWidth="11" defaultRowHeight="13.5" x14ac:dyDescent="0.25"/>
  <cols>
    <col min="1" max="1" width="7.140625" style="1" customWidth="1"/>
    <col min="2" max="2" width="14.28515625" style="1" customWidth="1"/>
    <col min="3" max="3" width="23.7109375" style="1" customWidth="1"/>
    <col min="4" max="4" width="8.42578125" style="3" customWidth="1"/>
    <col min="5" max="5" width="147.7109375" style="21" customWidth="1"/>
    <col min="6" max="6" width="11" style="1"/>
    <col min="7" max="7" width="12.7109375" style="1" customWidth="1"/>
    <col min="8" max="8" width="13.85546875" style="1" customWidth="1"/>
    <col min="9" max="9" width="18.5703125" style="2" customWidth="1"/>
    <col min="10" max="16384" width="11" style="3"/>
  </cols>
  <sheetData>
    <row r="2" spans="1:9" ht="28.5" x14ac:dyDescent="0.4">
      <c r="B2" s="77" t="s">
        <v>0</v>
      </c>
      <c r="C2" s="77"/>
      <c r="D2" s="77"/>
      <c r="E2" s="77"/>
      <c r="F2" s="77"/>
      <c r="G2" s="77"/>
      <c r="H2" s="77"/>
    </row>
    <row r="4" spans="1:9" ht="18" customHeight="1" x14ac:dyDescent="0.25">
      <c r="A4" s="78" t="s">
        <v>1</v>
      </c>
      <c r="B4" s="78"/>
      <c r="C4" s="79" t="s">
        <v>2</v>
      </c>
      <c r="D4" s="79"/>
      <c r="E4" s="79"/>
      <c r="F4" s="4"/>
      <c r="G4" s="4"/>
      <c r="H4" s="4"/>
    </row>
    <row r="5" spans="1:9" ht="18" customHeight="1" x14ac:dyDescent="0.25">
      <c r="A5" s="78" t="s">
        <v>3</v>
      </c>
      <c r="B5" s="78"/>
      <c r="C5" s="79" t="s">
        <v>4</v>
      </c>
      <c r="D5" s="79"/>
      <c r="E5" s="79"/>
      <c r="F5" s="4"/>
      <c r="G5" s="4"/>
      <c r="H5" s="4"/>
    </row>
    <row r="6" spans="1:9" ht="16.5" customHeight="1" x14ac:dyDescent="0.25">
      <c r="A6" s="78" t="s">
        <v>5</v>
      </c>
      <c r="B6" s="78"/>
      <c r="C6" s="5">
        <v>2021</v>
      </c>
      <c r="D6" s="6"/>
      <c r="E6" s="6"/>
      <c r="F6" s="4"/>
      <c r="G6" s="4"/>
      <c r="H6" s="4"/>
    </row>
    <row r="7" spans="1:9" ht="16.5" customHeight="1" x14ac:dyDescent="0.25">
      <c r="A7" s="78" t="s">
        <v>6</v>
      </c>
      <c r="B7" s="78"/>
      <c r="C7" s="5">
        <v>4</v>
      </c>
      <c r="D7" s="6"/>
      <c r="E7" s="6"/>
      <c r="F7" s="4"/>
      <c r="G7" s="4"/>
      <c r="H7" s="4"/>
    </row>
    <row r="8" spans="1:9" ht="14.25" thickBot="1" x14ac:dyDescent="0.3">
      <c r="B8" s="4"/>
      <c r="C8" s="4"/>
      <c r="D8" s="7"/>
      <c r="E8" s="7"/>
      <c r="F8" s="4"/>
      <c r="G8" s="4"/>
      <c r="H8" s="4"/>
    </row>
    <row r="9" spans="1:9" ht="39.75" thickTop="1" thickBot="1" x14ac:dyDescent="0.3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 t="s">
        <v>12</v>
      </c>
      <c r="G9" s="14" t="s">
        <v>13</v>
      </c>
      <c r="H9" s="14" t="s">
        <v>14</v>
      </c>
      <c r="I9" s="15" t="s">
        <v>15</v>
      </c>
    </row>
    <row r="10" spans="1:9" ht="15" thickBot="1" x14ac:dyDescent="0.3">
      <c r="A10" s="16">
        <v>1</v>
      </c>
      <c r="B10" s="17" t="s">
        <v>16</v>
      </c>
      <c r="C10" s="18" t="s">
        <v>17</v>
      </c>
      <c r="D10" s="18" t="s">
        <v>18</v>
      </c>
      <c r="E10" s="19" t="s">
        <v>19</v>
      </c>
      <c r="F10" s="70" t="s">
        <v>20</v>
      </c>
      <c r="G10" s="67">
        <v>500</v>
      </c>
      <c r="H10" s="71">
        <v>405.34</v>
      </c>
      <c r="I10" s="72">
        <f>H10*G10</f>
        <v>202670</v>
      </c>
    </row>
    <row r="11" spans="1:9" ht="15" thickBot="1" x14ac:dyDescent="0.3">
      <c r="A11" s="16">
        <v>2</v>
      </c>
      <c r="B11" s="17" t="s">
        <v>21</v>
      </c>
      <c r="C11" s="18" t="s">
        <v>17</v>
      </c>
      <c r="D11" s="18" t="s">
        <v>18</v>
      </c>
      <c r="E11" s="19" t="s">
        <v>22</v>
      </c>
      <c r="F11" s="70" t="s">
        <v>20</v>
      </c>
      <c r="G11" s="67">
        <v>500</v>
      </c>
      <c r="H11" s="71">
        <v>495</v>
      </c>
      <c r="I11" s="72">
        <f>H11*G11</f>
        <v>247500</v>
      </c>
    </row>
    <row r="12" spans="1:9" ht="15" thickBot="1" x14ac:dyDescent="0.3">
      <c r="A12" s="16">
        <v>3</v>
      </c>
      <c r="B12" s="17" t="s">
        <v>23</v>
      </c>
      <c r="C12" s="18" t="s">
        <v>17</v>
      </c>
      <c r="D12" s="18" t="s">
        <v>18</v>
      </c>
      <c r="E12" s="19" t="s">
        <v>24</v>
      </c>
      <c r="F12" s="70" t="s">
        <v>20</v>
      </c>
      <c r="G12" s="67">
        <v>300</v>
      </c>
      <c r="H12" s="71">
        <v>95.99</v>
      </c>
      <c r="I12" s="72">
        <f>H12*G12</f>
        <v>28797</v>
      </c>
    </row>
    <row r="13" spans="1:9" ht="15" thickBot="1" x14ac:dyDescent="0.3">
      <c r="A13" s="16">
        <v>4</v>
      </c>
      <c r="B13" s="17" t="s">
        <v>25</v>
      </c>
      <c r="C13" s="18" t="s">
        <v>17</v>
      </c>
      <c r="D13" s="18" t="s">
        <v>26</v>
      </c>
      <c r="E13" s="19" t="s">
        <v>27</v>
      </c>
      <c r="F13" s="70" t="s">
        <v>20</v>
      </c>
      <c r="G13" s="67">
        <v>300</v>
      </c>
      <c r="H13" s="71">
        <v>514.79999999999995</v>
      </c>
      <c r="I13" s="72">
        <f>H13*G13</f>
        <v>154440</v>
      </c>
    </row>
    <row r="14" spans="1:9" ht="14.25" thickBot="1" x14ac:dyDescent="0.3">
      <c r="I14" s="22">
        <f>SUM(I10:I13)</f>
        <v>633407</v>
      </c>
    </row>
    <row r="15" spans="1:9" x14ac:dyDescent="0.25">
      <c r="B15" s="23" t="s">
        <v>28</v>
      </c>
      <c r="C15" s="24"/>
      <c r="D15" s="25"/>
      <c r="E15" s="26"/>
    </row>
    <row r="16" spans="1:9" ht="1.5" customHeight="1" x14ac:dyDescent="0.25">
      <c r="B16" s="27"/>
      <c r="C16" s="28"/>
      <c r="D16" s="29"/>
      <c r="E16" s="73"/>
    </row>
    <row r="17" spans="1:9" ht="15" customHeight="1" x14ac:dyDescent="0.25">
      <c r="B17" s="30" t="s">
        <v>29</v>
      </c>
      <c r="C17" s="28"/>
      <c r="D17" s="29"/>
      <c r="E17" s="73"/>
    </row>
    <row r="18" spans="1:9" ht="18" customHeight="1" x14ac:dyDescent="0.25">
      <c r="B18" s="30"/>
      <c r="C18" s="80" t="s">
        <v>30</v>
      </c>
      <c r="D18" s="80"/>
      <c r="E18" s="81"/>
    </row>
    <row r="19" spans="1:9" ht="15" customHeight="1" x14ac:dyDescent="0.25">
      <c r="B19" s="30"/>
      <c r="C19" s="75" t="s">
        <v>31</v>
      </c>
      <c r="D19" s="75"/>
      <c r="E19" s="76"/>
    </row>
    <row r="20" spans="1:9" ht="15.75" customHeight="1" x14ac:dyDescent="0.25">
      <c r="B20" s="30"/>
      <c r="C20" s="75" t="s">
        <v>32</v>
      </c>
      <c r="D20" s="75"/>
      <c r="E20" s="76"/>
    </row>
    <row r="21" spans="1:9" ht="15" customHeight="1" x14ac:dyDescent="0.25">
      <c r="B21" s="30"/>
      <c r="C21" s="75" t="s">
        <v>33</v>
      </c>
      <c r="D21" s="75"/>
      <c r="E21" s="76"/>
    </row>
    <row r="22" spans="1:9" s="31" customFormat="1" ht="13.5" customHeight="1" x14ac:dyDescent="0.2">
      <c r="A22" s="1"/>
      <c r="B22" s="30"/>
      <c r="C22" s="80"/>
      <c r="D22" s="80"/>
      <c r="E22" s="84"/>
      <c r="F22" s="1"/>
      <c r="G22" s="1"/>
      <c r="H22" s="1"/>
      <c r="I22" s="2"/>
    </row>
    <row r="23" spans="1:9" x14ac:dyDescent="0.25">
      <c r="B23" s="30" t="s">
        <v>34</v>
      </c>
      <c r="C23" s="28"/>
      <c r="D23" s="29"/>
      <c r="E23" s="73"/>
    </row>
    <row r="24" spans="1:9" ht="82.5" customHeight="1" x14ac:dyDescent="0.25">
      <c r="B24" s="27"/>
      <c r="C24" s="80" t="s">
        <v>35</v>
      </c>
      <c r="D24" s="80"/>
      <c r="E24" s="84"/>
    </row>
    <row r="25" spans="1:9" x14ac:dyDescent="0.25">
      <c r="B25" s="27"/>
      <c r="C25" s="85"/>
      <c r="D25" s="85"/>
      <c r="E25" s="85"/>
    </row>
    <row r="26" spans="1:9" x14ac:dyDescent="0.25">
      <c r="B26" s="30" t="s">
        <v>36</v>
      </c>
      <c r="C26" s="28"/>
      <c r="D26" s="29"/>
      <c r="E26" s="73"/>
    </row>
    <row r="27" spans="1:9" ht="25.5" customHeight="1" x14ac:dyDescent="0.25">
      <c r="B27" s="27"/>
      <c r="C27" s="80" t="s">
        <v>37</v>
      </c>
      <c r="D27" s="80"/>
      <c r="E27" s="84"/>
    </row>
    <row r="28" spans="1:9" x14ac:dyDescent="0.25">
      <c r="B28" s="30" t="s">
        <v>38</v>
      </c>
      <c r="C28" s="32"/>
      <c r="D28" s="33"/>
      <c r="E28" s="74"/>
    </row>
    <row r="29" spans="1:9" ht="18.75" customHeight="1" x14ac:dyDescent="0.25">
      <c r="B29" s="27"/>
      <c r="C29" s="86" t="s">
        <v>39</v>
      </c>
      <c r="D29" s="86"/>
      <c r="E29" s="87"/>
    </row>
    <row r="30" spans="1:9" x14ac:dyDescent="0.25">
      <c r="B30" s="30" t="s">
        <v>40</v>
      </c>
      <c r="C30" s="28"/>
      <c r="D30" s="29"/>
      <c r="E30" s="73"/>
    </row>
    <row r="31" spans="1:9" x14ac:dyDescent="0.25">
      <c r="B31" s="30"/>
      <c r="C31" s="82" t="s">
        <v>41</v>
      </c>
      <c r="D31" s="82"/>
      <c r="E31" s="83"/>
    </row>
    <row r="32" spans="1:9" ht="14.25" thickBot="1" x14ac:dyDescent="0.3">
      <c r="B32" s="34"/>
      <c r="C32" s="35"/>
      <c r="D32" s="36"/>
      <c r="E32" s="37"/>
    </row>
    <row r="33" spans="1:9" x14ac:dyDescent="0.25">
      <c r="B33" s="38"/>
    </row>
    <row r="34" spans="1:9" x14ac:dyDescent="0.25">
      <c r="B34" s="38"/>
    </row>
    <row r="43" spans="1:9" x14ac:dyDescent="0.25">
      <c r="A43" s="39"/>
      <c r="B43" s="39"/>
      <c r="C43" s="39"/>
      <c r="D43" s="39"/>
      <c r="E43" s="3"/>
      <c r="F43" s="3"/>
      <c r="G43" s="3"/>
      <c r="H43" s="3"/>
      <c r="I43" s="3"/>
    </row>
  </sheetData>
  <mergeCells count="17">
    <mergeCell ref="C31:E31"/>
    <mergeCell ref="C22:E22"/>
    <mergeCell ref="C24:E24"/>
    <mergeCell ref="C25:E25"/>
    <mergeCell ref="C27:E27"/>
    <mergeCell ref="C29:E29"/>
    <mergeCell ref="C21:E21"/>
    <mergeCell ref="B2:H2"/>
    <mergeCell ref="A4:B4"/>
    <mergeCell ref="C4:E4"/>
    <mergeCell ref="A5:B5"/>
    <mergeCell ref="C5:E5"/>
    <mergeCell ref="A6:B6"/>
    <mergeCell ref="A7:B7"/>
    <mergeCell ref="C18:E18"/>
    <mergeCell ref="C19:E19"/>
    <mergeCell ref="C20:E2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D8" sqref="D8:K8"/>
    </sheetView>
  </sheetViews>
  <sheetFormatPr baseColWidth="10" defaultColWidth="9.140625" defaultRowHeight="13.5" x14ac:dyDescent="0.25"/>
  <cols>
    <col min="1" max="1" width="5.42578125" style="42" customWidth="1"/>
    <col min="2" max="2" width="14.5703125" style="42" customWidth="1"/>
    <col min="3" max="3" width="14.140625" style="42" customWidth="1"/>
    <col min="4" max="4" width="26" style="42" customWidth="1"/>
    <col min="5" max="5" width="8" style="42" customWidth="1"/>
    <col min="6" max="6" width="7.85546875" style="42" customWidth="1"/>
    <col min="7" max="7" width="71.85546875" style="42" customWidth="1"/>
    <col min="8" max="8" width="8.42578125" style="42" customWidth="1"/>
    <col min="9" max="9" width="13.5703125" style="42" customWidth="1"/>
    <col min="10" max="10" width="11.42578125" style="42" customWidth="1"/>
    <col min="11" max="11" width="10.85546875" style="42" customWidth="1"/>
    <col min="12" max="14" width="5.85546875" style="42" customWidth="1"/>
    <col min="15" max="15" width="12.5703125" style="42" customWidth="1"/>
    <col min="16" max="1024" width="9.140625" style="42"/>
    <col min="1025" max="16384" width="9.140625" style="3"/>
  </cols>
  <sheetData>
    <row r="1" spans="1:1024" ht="18" customHeight="1" x14ac:dyDescent="0.25">
      <c r="A1" s="88" t="s">
        <v>42</v>
      </c>
      <c r="B1" s="88"/>
      <c r="C1" s="88"/>
      <c r="D1" s="88"/>
      <c r="E1" s="88"/>
      <c r="F1" s="88"/>
      <c r="G1" s="88"/>
      <c r="H1" s="88"/>
      <c r="I1" s="88"/>
      <c r="J1" s="40" t="s">
        <v>43</v>
      </c>
      <c r="K1" s="41" t="s">
        <v>44</v>
      </c>
    </row>
    <row r="2" spans="1:1024" ht="18.75" customHeight="1" thickBot="1" x14ac:dyDescent="0.3">
      <c r="A2" s="43"/>
      <c r="B2" s="43"/>
      <c r="C2" s="43"/>
      <c r="D2" s="44"/>
      <c r="E2" s="44"/>
      <c r="F2" s="44"/>
      <c r="G2" s="44"/>
      <c r="H2" s="44"/>
      <c r="I2" s="44"/>
      <c r="J2" s="44"/>
      <c r="K2" s="44"/>
    </row>
    <row r="3" spans="1:1024" ht="18.75" customHeight="1" thickBot="1" x14ac:dyDescent="0.3">
      <c r="A3" s="89" t="s">
        <v>45</v>
      </c>
      <c r="B3" s="89"/>
      <c r="C3" s="89"/>
      <c r="D3" s="90" t="str">
        <f>'Necesidades Trimestrales'!C4</f>
        <v>90 - Ministerio de Seguridad</v>
      </c>
      <c r="E3" s="90"/>
      <c r="F3" s="90"/>
      <c r="G3" s="90"/>
      <c r="H3" s="90"/>
      <c r="I3" s="90"/>
      <c r="J3" s="90"/>
      <c r="K3" s="90"/>
    </row>
    <row r="4" spans="1:1024" ht="18.75" customHeight="1" thickBot="1" x14ac:dyDescent="0.3">
      <c r="A4" s="91" t="s">
        <v>46</v>
      </c>
      <c r="B4" s="91"/>
      <c r="C4" s="91"/>
      <c r="D4" s="90" t="str">
        <f>'Necesidades Trimestrales'!C5</f>
        <v>7 - Direccion de Administracion de la Policia de la Provincia de Catamarca</v>
      </c>
      <c r="E4" s="90"/>
      <c r="F4" s="90"/>
      <c r="G4" s="90"/>
      <c r="H4" s="90"/>
      <c r="I4" s="90"/>
      <c r="J4" s="90"/>
      <c r="K4" s="90"/>
    </row>
    <row r="5" spans="1:1024" ht="18.75" customHeight="1" thickBot="1" x14ac:dyDescent="0.3">
      <c r="A5" s="91" t="s">
        <v>47</v>
      </c>
      <c r="B5" s="91"/>
      <c r="C5" s="91"/>
      <c r="D5" s="90" t="s">
        <v>48</v>
      </c>
      <c r="E5" s="90"/>
      <c r="F5" s="90"/>
      <c r="G5" s="90"/>
      <c r="H5" s="90"/>
      <c r="I5" s="90"/>
      <c r="J5" s="90"/>
      <c r="K5" s="90"/>
    </row>
    <row r="6" spans="1:1024" ht="16.5" customHeight="1" thickBot="1" x14ac:dyDescent="0.3">
      <c r="A6" s="89" t="s">
        <v>49</v>
      </c>
      <c r="B6" s="89"/>
      <c r="C6" s="89"/>
      <c r="D6" s="90" t="s">
        <v>50</v>
      </c>
      <c r="E6" s="90"/>
      <c r="F6" s="90"/>
      <c r="G6" s="90"/>
      <c r="H6" s="90"/>
      <c r="I6" s="90"/>
      <c r="J6" s="90"/>
      <c r="K6" s="90"/>
    </row>
    <row r="7" spans="1:1024" ht="16.5" customHeight="1" thickBot="1" x14ac:dyDescent="0.3">
      <c r="A7" s="91" t="s">
        <v>51</v>
      </c>
      <c r="B7" s="91"/>
      <c r="C7" s="91"/>
      <c r="D7" s="92" t="str">
        <f>'Necesidades Trimestrales'!C7 &amp; "° Trimestre - Año " &amp; 'Necesidades Trimestrales'!C6</f>
        <v>4° Trimestre - Año 2021</v>
      </c>
      <c r="E7" s="92"/>
      <c r="F7" s="92"/>
      <c r="G7" s="92"/>
      <c r="H7" s="92"/>
      <c r="I7" s="92"/>
      <c r="J7" s="92"/>
      <c r="K7" s="92"/>
    </row>
    <row r="8" spans="1:1024" ht="16.5" customHeight="1" thickBot="1" x14ac:dyDescent="0.3">
      <c r="A8" s="105" t="s">
        <v>52</v>
      </c>
      <c r="B8" s="105"/>
      <c r="C8" s="105"/>
      <c r="D8" s="97" t="s">
        <v>53</v>
      </c>
      <c r="E8" s="97"/>
      <c r="F8" s="97"/>
      <c r="G8" s="97"/>
      <c r="H8" s="97"/>
      <c r="I8" s="97"/>
      <c r="J8" s="97"/>
      <c r="K8" s="97"/>
    </row>
    <row r="9" spans="1:1024" ht="18" thickBot="1" x14ac:dyDescent="0.3">
      <c r="A9" s="45"/>
      <c r="B9" s="45"/>
      <c r="C9" s="45"/>
      <c r="D9" s="46"/>
      <c r="E9" s="46"/>
      <c r="F9" s="46"/>
      <c r="G9" s="46"/>
      <c r="H9" s="46"/>
      <c r="I9" s="46"/>
      <c r="J9" s="46"/>
      <c r="K9" s="46"/>
    </row>
    <row r="10" spans="1:1024" ht="14.25" thickBot="1" x14ac:dyDescent="0.3">
      <c r="A10" s="98" t="s">
        <v>54</v>
      </c>
      <c r="B10" s="99" t="s">
        <v>55</v>
      </c>
      <c r="C10" s="100" t="s">
        <v>56</v>
      </c>
      <c r="D10" s="100"/>
      <c r="E10" s="100"/>
      <c r="F10" s="100"/>
      <c r="G10" s="101"/>
      <c r="H10" s="99" t="s">
        <v>57</v>
      </c>
      <c r="I10" s="100" t="s">
        <v>58</v>
      </c>
      <c r="J10" s="100" t="s">
        <v>59</v>
      </c>
      <c r="K10" s="101" t="s">
        <v>60</v>
      </c>
    </row>
    <row r="11" spans="1:1024" ht="14.25" thickBot="1" x14ac:dyDescent="0.3">
      <c r="A11" s="98"/>
      <c r="B11" s="99"/>
      <c r="C11" s="100"/>
      <c r="D11" s="100"/>
      <c r="E11" s="100"/>
      <c r="F11" s="100"/>
      <c r="G11" s="101"/>
      <c r="H11" s="102"/>
      <c r="I11" s="103"/>
      <c r="J11" s="103"/>
      <c r="K11" s="104"/>
    </row>
    <row r="12" spans="1:1024" ht="28.5" customHeight="1" x14ac:dyDescent="0.25">
      <c r="A12" s="47">
        <v>6</v>
      </c>
      <c r="B12" s="17" t="str">
        <f>'Necesidades Trimestrales'!B12</f>
        <v>2.9.1-6951.306</v>
      </c>
      <c r="C12" s="106" t="str">
        <f>'Necesidades Trimestrales'!E12</f>
        <v>LIMPIADORES; TIPO: DETERGENTE, PRESENTACION: ENVASE X 900 mL, BIODEGRADABLE: SI</v>
      </c>
      <c r="D12" s="107"/>
      <c r="E12" s="107"/>
      <c r="F12" s="107"/>
      <c r="G12" s="108"/>
      <c r="H12" s="66" t="s">
        <v>61</v>
      </c>
      <c r="I12" s="69" t="s">
        <v>20</v>
      </c>
      <c r="J12" s="68">
        <f>'Necesidades Trimestrales'!H12</f>
        <v>95.99</v>
      </c>
      <c r="K12" s="20">
        <f>'Necesidades Trimestrales'!G12</f>
        <v>300</v>
      </c>
    </row>
    <row r="13" spans="1:1024" ht="28.5" customHeight="1" thickBot="1" x14ac:dyDescent="0.3">
      <c r="A13" s="47">
        <v>7</v>
      </c>
      <c r="B13" s="17" t="str">
        <f>'Necesidades Trimestrales'!B13</f>
        <v>2.9.1-6951.23</v>
      </c>
      <c r="C13" s="109" t="str">
        <f>'Necesidades Trimestrales'!E13</f>
        <v>LIMPIADORES; TIPO: ACAROINA, PRESENTACION: ENVASE X 1 L</v>
      </c>
      <c r="D13" s="110" t="s">
        <v>62</v>
      </c>
      <c r="E13" s="110" t="s">
        <v>62</v>
      </c>
      <c r="F13" s="110" t="s">
        <v>62</v>
      </c>
      <c r="G13" s="111" t="s">
        <v>62</v>
      </c>
      <c r="H13" s="66" t="s">
        <v>61</v>
      </c>
      <c r="I13" s="69" t="s">
        <v>20</v>
      </c>
      <c r="J13" s="68">
        <f>'Necesidades Trimestrales'!H13</f>
        <v>514.79999999999995</v>
      </c>
      <c r="K13" s="20">
        <f>'Necesidades Trimestrales'!G13</f>
        <v>300</v>
      </c>
    </row>
    <row r="14" spans="1:1024" ht="16.5" customHeight="1" thickBot="1" x14ac:dyDescent="0.3">
      <c r="A14" s="93" t="s">
        <v>63</v>
      </c>
      <c r="B14" s="94"/>
      <c r="C14" s="94"/>
      <c r="D14" s="94"/>
      <c r="E14" s="94"/>
      <c r="F14" s="94"/>
      <c r="G14" s="94"/>
      <c r="H14" s="94"/>
      <c r="I14" s="95"/>
      <c r="J14" s="96">
        <f>SUMPRODUCT(+J12:J13,K12:K13)</f>
        <v>183237</v>
      </c>
      <c r="K14" s="9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</row>
  </sheetData>
  <mergeCells count="24">
    <mergeCell ref="A14:I14"/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15" zoomScaleNormal="115" workbookViewId="0">
      <selection activeCell="A21" sqref="A21"/>
    </sheetView>
  </sheetViews>
  <sheetFormatPr baseColWidth="10" defaultColWidth="11" defaultRowHeight="13.5" x14ac:dyDescent="0.25"/>
  <cols>
    <col min="1" max="6" width="4.42578125" style="3" customWidth="1"/>
    <col min="7" max="7" width="4.42578125" style="21" customWidth="1"/>
    <col min="8" max="8" width="4.42578125" style="3" customWidth="1"/>
    <col min="9" max="9" width="5.140625" style="3" customWidth="1"/>
    <col min="10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 x14ac:dyDescent="0.25">
      <c r="A1" s="112" t="s">
        <v>5</v>
      </c>
      <c r="B1" s="112"/>
      <c r="C1" s="112"/>
      <c r="D1" s="113">
        <f>'Necesidades Trimestrales'!C6</f>
        <v>2021</v>
      </c>
      <c r="E1" s="113"/>
      <c r="F1" s="48"/>
      <c r="G1" s="48"/>
      <c r="H1" s="49"/>
      <c r="I1" s="49"/>
      <c r="J1" s="49"/>
      <c r="K1" s="49"/>
      <c r="L1" s="49"/>
      <c r="M1" s="49"/>
      <c r="N1" s="49"/>
      <c r="P1" s="114" t="s">
        <v>64</v>
      </c>
      <c r="Q1" s="114"/>
    </row>
    <row r="2" spans="1:17" ht="15.75" customHeight="1" x14ac:dyDescent="0.25">
      <c r="H2" s="49"/>
      <c r="I2" s="49"/>
      <c r="J2" s="49"/>
      <c r="K2" s="49"/>
      <c r="L2" s="49"/>
      <c r="M2" s="49"/>
      <c r="N2" s="49"/>
      <c r="P2" s="114"/>
      <c r="Q2" s="114"/>
    </row>
    <row r="4" spans="1:17" ht="18" customHeight="1" thickBot="1" x14ac:dyDescent="0.35">
      <c r="A4" s="115" t="s">
        <v>65</v>
      </c>
      <c r="B4" s="115"/>
      <c r="C4" s="115"/>
      <c r="D4" s="115"/>
      <c r="E4" s="115"/>
      <c r="F4" s="115"/>
      <c r="G4" s="116" t="str">
        <f>' NotaPedido'!D3</f>
        <v>90 - Ministerio de Seguridad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ht="18" customHeight="1" thickBot="1" x14ac:dyDescent="0.35">
      <c r="A5" s="117" t="s">
        <v>46</v>
      </c>
      <c r="B5" s="118"/>
      <c r="C5" s="118"/>
      <c r="D5" s="118"/>
      <c r="E5" s="118"/>
      <c r="F5" s="119"/>
      <c r="G5" s="116" t="str">
        <f>' NotaPedido'!D4</f>
        <v>7 - Direccion de Administracion de la Policia de la Provincia de Catamarca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ht="18" customHeight="1" thickBot="1" x14ac:dyDescent="0.35">
      <c r="A6" s="117" t="s">
        <v>47</v>
      </c>
      <c r="B6" s="118"/>
      <c r="C6" s="118"/>
      <c r="D6" s="118"/>
      <c r="E6" s="118"/>
      <c r="F6" s="119"/>
      <c r="G6" s="116" t="str">
        <f>' NotaPedido'!D5</f>
        <v>Policía de la Provincia de Catamarca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8" customHeight="1" thickBot="1" x14ac:dyDescent="0.35">
      <c r="A7" s="117" t="s">
        <v>49</v>
      </c>
      <c r="B7" s="118"/>
      <c r="C7" s="118"/>
      <c r="D7" s="118"/>
      <c r="E7" s="118"/>
      <c r="F7" s="119"/>
      <c r="G7" s="116" t="str">
        <f>' NotaPedido'!D6</f>
        <v>División Policía Adicional- Policía de Catamarca.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3">
      <c r="A8" s="120" t="s">
        <v>66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3">
      <c r="A9" s="123" t="s">
        <v>67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29"/>
      <c r="P9" s="29"/>
      <c r="Q9" s="50"/>
    </row>
    <row r="10" spans="1:17" ht="54.75" customHeight="1" x14ac:dyDescent="0.25">
      <c r="A10" s="12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40/2021,  afectando la erogación resultante a los créditos presupuestarios aprobados a favor de esta Unidad Ejecutora, conforme al siguiente detalle: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</row>
    <row r="11" spans="1:17" ht="9" customHeight="1" x14ac:dyDescent="0.25">
      <c r="A11" s="51"/>
      <c r="B11" s="52"/>
      <c r="C11" s="52"/>
      <c r="D11" s="52"/>
      <c r="E11" s="52"/>
      <c r="F11" s="52"/>
      <c r="G11" s="53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7" ht="15.75" customHeight="1" x14ac:dyDescent="0.25">
      <c r="A12" s="125" t="s">
        <v>68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7" ht="15.75" customHeight="1" x14ac:dyDescent="0.25">
      <c r="A13" s="126" t="s">
        <v>69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70</v>
      </c>
      <c r="P13" s="127"/>
      <c r="Q13" s="128" t="s">
        <v>71</v>
      </c>
    </row>
    <row r="14" spans="1:17" ht="15.75" customHeight="1" thickBot="1" x14ac:dyDescent="0.3">
      <c r="A14" s="55" t="s">
        <v>72</v>
      </c>
      <c r="B14" s="56" t="s">
        <v>73</v>
      </c>
      <c r="C14" s="56" t="s">
        <v>74</v>
      </c>
      <c r="D14" s="56" t="s">
        <v>75</v>
      </c>
      <c r="E14" s="56" t="s">
        <v>76</v>
      </c>
      <c r="F14" s="56" t="s">
        <v>77</v>
      </c>
      <c r="G14" s="57" t="s">
        <v>78</v>
      </c>
      <c r="H14" s="56" t="s">
        <v>79</v>
      </c>
      <c r="I14" s="56" t="s">
        <v>80</v>
      </c>
      <c r="J14" s="56" t="s">
        <v>81</v>
      </c>
      <c r="K14" s="56" t="s">
        <v>81</v>
      </c>
      <c r="L14" s="56" t="s">
        <v>82</v>
      </c>
      <c r="M14" s="58" t="s">
        <v>83</v>
      </c>
      <c r="N14" s="59" t="s">
        <v>84</v>
      </c>
      <c r="O14" s="127"/>
      <c r="P14" s="127"/>
      <c r="Q14" s="128"/>
    </row>
    <row r="15" spans="1:17" ht="17.25" customHeight="1" x14ac:dyDescent="0.25">
      <c r="A15" s="60">
        <v>16</v>
      </c>
      <c r="B15" s="61">
        <v>0</v>
      </c>
      <c r="C15" s="61">
        <v>0</v>
      </c>
      <c r="D15" s="61">
        <v>2</v>
      </c>
      <c r="E15" s="61">
        <v>0</v>
      </c>
      <c r="F15" s="61">
        <v>10</v>
      </c>
      <c r="G15" s="61">
        <v>2</v>
      </c>
      <c r="H15" s="61">
        <v>210</v>
      </c>
      <c r="I15" s="62" t="str">
        <f>LEFT(G15,5)</f>
        <v>2</v>
      </c>
      <c r="J15" s="61">
        <v>1</v>
      </c>
      <c r="K15" s="61">
        <v>2</v>
      </c>
      <c r="L15" s="61">
        <v>0</v>
      </c>
      <c r="M15" s="63">
        <v>1</v>
      </c>
      <c r="N15" s="61" t="s">
        <v>85</v>
      </c>
      <c r="O15" s="121" t="s">
        <v>86</v>
      </c>
      <c r="P15" s="122"/>
      <c r="Q15" s="64">
        <f>'Necesidades Trimestrales'!I14</f>
        <v>633407</v>
      </c>
    </row>
    <row r="16" spans="1:17" ht="20.25" customHeight="1" thickBot="1" x14ac:dyDescent="0.3">
      <c r="A16" s="139" t="s">
        <v>87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65">
        <f>Q15</f>
        <v>633407</v>
      </c>
    </row>
    <row r="17" spans="1:17" ht="18" customHeight="1" thickBot="1" x14ac:dyDescent="0.3">
      <c r="A17" s="140" t="s">
        <v>88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2"/>
    </row>
    <row r="18" spans="1:17" ht="17.25" customHeight="1" thickBot="1" x14ac:dyDescent="0.3">
      <c r="A18" s="129" t="s">
        <v>89</v>
      </c>
      <c r="B18" s="130"/>
      <c r="C18" s="130"/>
      <c r="D18" s="130"/>
      <c r="E18" s="130"/>
      <c r="F18" s="131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</row>
    <row r="19" spans="1:17" ht="18" customHeight="1" x14ac:dyDescent="0.25">
      <c r="A19" s="133" t="s">
        <v>53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</row>
    <row r="20" spans="1:17" ht="15" customHeight="1" thickBot="1" x14ac:dyDescent="0.3">
      <c r="A20" s="136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8"/>
    </row>
  </sheetData>
  <mergeCells count="24">
    <mergeCell ref="A18:F18"/>
    <mergeCell ref="G18:Q18"/>
    <mergeCell ref="A19:Q20"/>
    <mergeCell ref="A16:P16"/>
    <mergeCell ref="A17:Q17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RODOLFO SARTOR</cp:lastModifiedBy>
  <cp:revision>2</cp:revision>
  <dcterms:created xsi:type="dcterms:W3CDTF">2020-07-17T23:44:49Z</dcterms:created>
  <dcterms:modified xsi:type="dcterms:W3CDTF">2021-12-02T16:09:38Z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