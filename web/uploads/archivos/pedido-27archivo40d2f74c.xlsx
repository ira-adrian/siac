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7BFA172A-88AC-4322-9293-322FF6A1EC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</sheets>
  <definedNames>
    <definedName name="_xlnm._FilterDatabase" localSheetId="0" hidden="1">'SAF 011'!$A$9:$AY$9</definedName>
  </definedNames>
  <calcPr calcId="181029"/>
</workbook>
</file>

<file path=xl/calcChain.xml><?xml version="1.0" encoding="utf-8"?>
<calcChain xmlns="http://schemas.openxmlformats.org/spreadsheetml/2006/main">
  <c r="AQ10" i="1" l="1"/>
  <c r="W10" i="1"/>
  <c r="AY10" i="1" l="1"/>
  <c r="AR10" i="1"/>
  <c r="X10" i="1"/>
  <c r="AY11" i="1" l="1"/>
</calcChain>
</file>

<file path=xl/sharedStrings.xml><?xml version="1.0" encoding="utf-8"?>
<sst xmlns="http://schemas.openxmlformats.org/spreadsheetml/2006/main" count="77" uniqueCount="77">
  <si>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</si>
  <si>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</si>
  <si>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</si>
  <si>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</si>
  <si>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</si>
  <si>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</si>
  <si>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</si>
  <si>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</si>
  <si>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</si>
  <si>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</si>
  <si>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</si>
  <si>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</si>
  <si>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</si>
  <si>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</si>
  <si>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</si>
  <si>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</si>
  <si>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</si>
  <si>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</si>
  <si>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</si>
  <si>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</si>
  <si>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</si>
  <si>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</si>
  <si>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</si>
  <si>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</si>
  <si>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</si>
  <si>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</si>
  <si>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</si>
  <si>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</si>
  <si>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</si>
  <si>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</si>
  <si>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</si>
  <si>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</si>
  <si>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</si>
  <si>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</si>
  <si>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</si>
  <si>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</si>
  <si>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</si>
  <si>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</si>
  <si>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</si>
  <si>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</si>
  <si>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</si>
  <si>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</si>
  <si>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</si>
  <si>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</si>
  <si>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</si>
  <si>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</si>
  <si>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</si>
  <si>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</si>
  <si>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</si>
  <si>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</si>
  <si>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</si>
  <si>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</si>
  <si>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QUIMICOS</t>
  </si>
  <si>
    <t>PRIMERO</t>
  </si>
  <si>
    <t>TOTAL SAME</t>
  </si>
  <si>
    <t>CRONICAS</t>
  </si>
  <si>
    <t>TOTAL CRONICAS</t>
  </si>
  <si>
    <t>EPIDEMIOLOGIA</t>
  </si>
  <si>
    <t>TOTAL EPIDEMIOLOGIA</t>
  </si>
  <si>
    <t>AREA 1</t>
  </si>
  <si>
    <t>TOTAL AREA 1</t>
  </si>
  <si>
    <t>2.5.1-9018.8</t>
  </si>
  <si>
    <t>GASES; COMPUESTO QUIMICO: OXIGENO, CALIDAD: MEDICINAL, PRESENTACION: TUBO X 6 M3</t>
  </si>
  <si>
    <t>M3</t>
  </si>
  <si>
    <t>TOTAL DEL RUBRO OXIGENO</t>
  </si>
  <si>
    <t>DETALLE TECNICO Y ESPECIFICACIONES</t>
  </si>
  <si>
    <t>ANEXO</t>
  </si>
  <si>
    <t>Plazos de entrega</t>
  </si>
  <si>
    <t>Lugar de Entrega:</t>
  </si>
  <si>
    <t>Calidad Minima esperada</t>
  </si>
  <si>
    <t>Mantenimiento</t>
  </si>
  <si>
    <t>cuarenta y cinco (45) días</t>
  </si>
  <si>
    <t>diez (10) dias habiles</t>
  </si>
  <si>
    <t>HABILITACION SANITARIA CORRESPONDIENTE PARA EL CASO DE SER FABRICANTE (CERTIFICADO DE ANMAT), DISTRIBUIDOR OFERENTES PROVINCIALES (HABILITACION SANITARIA PROVINCIAL ), DISTRIBUIDOR OFERENTES NO PROVINCIALES CERTIFICADO DE ANMAR)</t>
  </si>
  <si>
    <t>OXIGENO EN FORMA LÍQUIDA: en recipientes cilíndricos del tipo criogénico. Las conexiones de salida de las válvulas deben garantizar su inviolabilidad.
EXIGENCIAS GENERALES ROTULADO: el rotulo del envase de los gases medicinales deberá contar con los siguientes datos: 
cruz griega color verde que identifica a los gases medicinales
nombre genérico del gas que contiene
N.º de certificado otorgado por la autoridad sanitaria
Composición 
Especificaciones técnicas (contenido y presión)
Identificación de la empresa titular y del fabricante
Numero de lote
Nombre y matricula del director técnico
Fechas de llenado y vencimiento
Condiciones de almacenamiento
Instructivo s/ manipulación correcta y segura
Debe incluir la leyenda: “el empleo y dosificación de este gas debe ser prescripto por un médico”
Durante el transporte (cisterna): se incluirá un protocolo de análisis del lote, firmado y fechado por el director técnico.
El mencionado certificado deberá ser archivado por el destinatario durante un plazo no menor a un año posterior a la fecha de vencimiento</t>
  </si>
  <si>
    <t xml:space="preserve"> -546 M3 EN LA DIR. PROV. DE SAME - CASEROS N° 864 - en el horario de 8:00hs a 12:00hs de lunes a viernes</t>
  </si>
  <si>
    <t xml:space="preserve"> -8.082 M3  EN LA DIR. PROV. DE ASISTENCIA SANITARIA NIVEL I Y II - CHACABUCO N° 169 - en el horario de 8:00hs a 12:00hs de lunes a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</si>
</sst>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70" formatCode="_(\$* #,##0.00_);_(\$* \(#,##0.00\);_(\$* \-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2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2" fillId="0" borderId="0"/>
    <xf numFmtId="168" fontId="8" fillId="0" borderId="0" applyBorder="0" applyProtection="0"/>
    <xf numFmtId="0" fontId="13" fillId="0" borderId="8" applyProtection="0"/>
    <xf numFmtId="0" fontId="14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3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5" fillId="0" borderId="0"/>
    <xf numFmtId="0" fontId="16" fillId="0" borderId="0"/>
  </cellStyleXfs>
  <cellXfs count="9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/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0" fontId="9" fillId="0" borderId="0" xfId="0" applyFont="1"/>
    <xf numFmtId="0" fontId="9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9" fillId="0" borderId="4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11" fillId="0" borderId="3" xfId="0" applyNumberFormat="1" applyFont="1" applyBorder="1" applyAlignment="1">
      <alignment horizontal="center" vertical="center"/>
    </xf>
    <xf numFmtId="0" fontId="9" fillId="0" borderId="4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7" fillId="0" borderId="7" xfId="2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7" fontId="11" fillId="0" borderId="3" xfId="0" applyNumberFormat="1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4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7" fillId="2" borderId="4" xfId="4" applyFont="1" applyFill="1" applyBorder="1" applyAlignment="1">
      <alignment horizontal="left" vertical="center" wrapText="1"/>
    </xf>
    <xf numFmtId="0" fontId="11" fillId="0" borderId="5" xfId="0" applyFont="1" applyBorder="1"/>
    <xf numFmtId="0" fontId="11" fillId="0" borderId="0" xfId="0" applyFont="1"/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3" fontId="9" fillId="0" borderId="4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8" fillId="0" borderId="11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0" fontId="21" fillId="0" borderId="0" xfId="0" applyFont="1"/>
    <xf numFmtId="4" fontId="0" fillId="0" borderId="0" xfId="0" applyNumberFormat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 wrapText="1"/>
    </xf>
    <xf numFmtId="3" fontId="2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</cellXfs>
  <cellStyles count="32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7" xr:uid="{00000000-0005-0000-0000-00000F000000}"/>
    <cellStyle name="Normal 3 2" xfId="12" xr:uid="{00000000-0005-0000-0000-000010000000}"/>
    <cellStyle name="Normal 3 2 2" xfId="18" xr:uid="{00000000-0005-0000-0000-000011000000}"/>
    <cellStyle name="Normal 3 3" xfId="17" xr:uid="{00000000-0005-0000-0000-000012000000}"/>
    <cellStyle name="Normal 3 4" xfId="22" xr:uid="{00000000-0005-0000-0000-000013000000}"/>
    <cellStyle name="Normal 3 4 2" xfId="27" xr:uid="{00000000-0005-0000-0000-000014000000}"/>
    <cellStyle name="Normal 4" xfId="6" xr:uid="{00000000-0005-0000-0000-000015000000}"/>
    <cellStyle name="Normal 4 2" xfId="19" xr:uid="{00000000-0005-0000-0000-000016000000}"/>
    <cellStyle name="Normal 4 3" xfId="23" xr:uid="{00000000-0005-0000-0000-000017000000}"/>
    <cellStyle name="Normal 4 3 2" xfId="28" xr:uid="{00000000-0005-0000-0000-000018000000}"/>
    <cellStyle name="Normal 5" xfId="4" xr:uid="{00000000-0005-0000-0000-000019000000}"/>
    <cellStyle name="Normal 5 2" xfId="25" xr:uid="{00000000-0005-0000-0000-00001A000000}"/>
    <cellStyle name="Normal 6" xfId="13" xr:uid="{00000000-0005-0000-0000-00001B000000}"/>
    <cellStyle name="Normal 7" xfId="24" xr:uid="{00000000-0005-0000-0000-00001C000000}"/>
    <cellStyle name="Normal 8" xfId="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4"/>
  <sheetViews>
    <sheetView tabSelected="1" topLeftCell="A7" zoomScale="80" zoomScaleNormal="80" workbookViewId="0">
      <selection activeCell="AZ14" sqref="AZ14"/>
    </sheetView>
  </sheetViews>
  <sheetFormatPr baseColWidth="10" defaultRowHeight="15" x14ac:dyDescent="0.25"/>
  <cols>
    <col min="1" max="1" width="4.7109375" style="30" bestFit="1" customWidth="1"/>
    <col min="2" max="2" width="27.140625" style="30" customWidth="1"/>
    <col min="3" max="3" width="37.42578125" style="30" customWidth="1"/>
    <col min="4" max="4" width="5.85546875" style="30" bestFit="1" customWidth="1"/>
    <col min="5" max="5" width="72.28515625" style="31" bestFit="1" customWidth="1"/>
    <col min="6" max="6" width="10.28515625" style="30" bestFit="1" customWidth="1"/>
    <col min="7" max="7" width="16.7109375" style="30" hidden="1" customWidth="1"/>
    <col min="8" max="8" width="10.7109375" style="30" hidden="1" customWidth="1"/>
    <col min="9" max="9" width="7.7109375" style="30" hidden="1" customWidth="1"/>
    <col min="10" max="10" width="14.140625" style="30" hidden="1" customWidth="1"/>
    <col min="11" max="11" width="9.42578125" style="30" hidden="1" customWidth="1"/>
    <col min="12" max="12" width="14" style="30" hidden="1" customWidth="1"/>
    <col min="13" max="13" width="8.140625" style="30" hidden="1" customWidth="1"/>
    <col min="14" max="14" width="16.5703125" style="30" hidden="1" customWidth="1"/>
    <col min="15" max="15" width="4.42578125" style="30" hidden="1" customWidth="1"/>
    <col min="16" max="16" width="12.28515625" style="30" hidden="1" customWidth="1"/>
    <col min="17" max="17" width="14.28515625" style="30" hidden="1" customWidth="1"/>
    <col min="18" max="18" width="15.7109375" style="30" hidden="1" customWidth="1"/>
    <col min="19" max="19" width="10.28515625" style="32" hidden="1" customWidth="1"/>
    <col min="20" max="20" width="10.28515625" style="57" hidden="1" customWidth="1"/>
    <col min="21" max="21" width="14.28515625" style="30" hidden="1" customWidth="1"/>
    <col min="22" max="22" width="12.42578125" style="30" hidden="1" customWidth="1"/>
    <col min="23" max="23" width="5.7109375" style="30" hidden="1" customWidth="1"/>
    <col min="24" max="24" width="12.28515625" style="30" hidden="1" customWidth="1"/>
    <col min="25" max="25" width="9.85546875" style="30" hidden="1" customWidth="1"/>
    <col min="26" max="26" width="13.28515625" style="30" hidden="1" customWidth="1"/>
    <col min="27" max="28" width="14" style="30" hidden="1" customWidth="1"/>
    <col min="29" max="29" width="5.5703125" style="30" hidden="1" customWidth="1"/>
    <col min="30" max="30" width="12" style="30" hidden="1" customWidth="1"/>
    <col min="31" max="31" width="9.85546875" style="30" hidden="1" customWidth="1"/>
    <col min="32" max="32" width="16.140625" style="30" hidden="1" customWidth="1"/>
    <col min="33" max="33" width="12.140625" style="30" hidden="1" customWidth="1"/>
    <col min="34" max="34" width="16.28515625" style="30" hidden="1" customWidth="1"/>
    <col min="35" max="36" width="10.28515625" style="30" hidden="1" customWidth="1"/>
    <col min="37" max="37" width="4.5703125" style="30" hidden="1" customWidth="1"/>
    <col min="38" max="38" width="11" style="30" hidden="1" customWidth="1"/>
    <col min="39" max="39" width="6.28515625" style="30" hidden="1" customWidth="1"/>
    <col min="40" max="40" width="13.28515625" style="57" hidden="1" customWidth="1"/>
    <col min="41" max="41" width="14.42578125" style="30" hidden="1" customWidth="1"/>
    <col min="42" max="42" width="13.28515625" style="30" hidden="1" customWidth="1"/>
    <col min="43" max="43" width="13.85546875" style="30" hidden="1" customWidth="1"/>
    <col min="44" max="44" width="13.85546875" style="57" hidden="1" customWidth="1"/>
    <col min="45" max="45" width="14.85546875" style="39" hidden="1" customWidth="1"/>
    <col min="46" max="46" width="14.85546875" style="43" hidden="1" customWidth="1"/>
    <col min="47" max="47" width="7.140625" style="39" hidden="1" customWidth="1"/>
    <col min="48" max="48" width="13.42578125" style="45" hidden="1" customWidth="1"/>
    <col min="49" max="49" width="10.140625" style="32" bestFit="1" customWidth="1"/>
    <col min="50" max="50" width="10.140625" style="33" bestFit="1" customWidth="1"/>
    <col min="51" max="51" width="15.7109375" style="33" bestFit="1" customWidth="1"/>
    <col min="52" max="52" width="23" bestFit="1" customWidth="1"/>
  </cols>
  <sheetData>
    <row r="1" spans="1:53" x14ac:dyDescent="0.25">
      <c r="A1" s="79">
        <v>2022</v>
      </c>
      <c r="B1" s="1"/>
      <c r="C1" s="2"/>
      <c r="D1" s="2"/>
      <c r="E1" s="3"/>
      <c r="F1" s="2"/>
      <c r="G1" s="2"/>
      <c r="H1" s="2"/>
      <c r="I1" s="2"/>
      <c r="J1" s="2"/>
      <c r="K1" s="2"/>
      <c r="L1" s="2"/>
      <c r="M1" s="4"/>
      <c r="N1" s="5"/>
      <c r="O1" s="6"/>
      <c r="P1" s="2"/>
      <c r="Q1" s="4"/>
      <c r="R1" s="2"/>
      <c r="S1" s="6"/>
      <c r="T1" s="8"/>
      <c r="U1" s="4"/>
      <c r="V1" s="2"/>
      <c r="W1" s="6"/>
      <c r="X1" s="2"/>
      <c r="Y1" s="6"/>
      <c r="Z1" s="2"/>
      <c r="AA1" s="6"/>
      <c r="AB1" s="2"/>
      <c r="AC1" s="6"/>
      <c r="AD1" s="2"/>
      <c r="AE1" s="6"/>
      <c r="AF1" s="2"/>
      <c r="AG1" s="6"/>
      <c r="AH1" s="2"/>
      <c r="AI1" s="6"/>
      <c r="AJ1" s="2"/>
      <c r="AK1" s="6"/>
      <c r="AL1" s="2"/>
      <c r="AM1" s="6"/>
      <c r="AN1" s="8"/>
      <c r="AO1" s="6"/>
      <c r="AP1" s="2"/>
      <c r="AQ1" s="6"/>
      <c r="AR1" s="8"/>
      <c r="AS1" s="42"/>
      <c r="AT1" s="2"/>
      <c r="AU1" s="42"/>
      <c r="AV1" s="2"/>
      <c r="AW1" s="6"/>
      <c r="AX1" s="7"/>
      <c r="AY1" s="8"/>
    </row>
    <row r="2" spans="1:53" s="73" customFormat="1" ht="18.75" x14ac:dyDescent="0.3">
      <c r="A2" s="71"/>
      <c r="B2" s="90" t="s">
        <v>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72"/>
    </row>
    <row r="3" spans="1:53" x14ac:dyDescent="0.25">
      <c r="A3" s="2"/>
      <c r="B3" s="1"/>
      <c r="C3" s="2"/>
      <c r="D3" s="2"/>
      <c r="E3" s="3"/>
      <c r="F3" s="2"/>
      <c r="G3" s="2"/>
      <c r="H3" s="2"/>
      <c r="I3" s="2"/>
      <c r="J3" s="2"/>
      <c r="K3" s="2"/>
      <c r="L3" s="2"/>
      <c r="M3" s="4"/>
      <c r="N3" s="5"/>
      <c r="O3" s="6"/>
      <c r="P3" s="2"/>
      <c r="Q3" s="4"/>
      <c r="R3" s="2"/>
      <c r="S3" s="6"/>
      <c r="T3" s="8"/>
      <c r="U3" s="4"/>
      <c r="V3" s="2"/>
      <c r="W3" s="6"/>
      <c r="X3" s="2"/>
      <c r="Y3" s="6"/>
      <c r="Z3" s="2"/>
      <c r="AA3" s="6"/>
      <c r="AB3" s="2"/>
      <c r="AC3" s="6"/>
      <c r="AD3" s="2"/>
      <c r="AE3" s="6"/>
      <c r="AF3" s="2"/>
      <c r="AG3" s="6"/>
      <c r="AH3" s="2"/>
      <c r="AI3" s="6"/>
      <c r="AJ3" s="2"/>
      <c r="AK3" s="6"/>
      <c r="AL3" s="2"/>
      <c r="AM3" s="6"/>
      <c r="AN3" s="8"/>
      <c r="AO3" s="6"/>
      <c r="AP3" s="2"/>
      <c r="AQ3" s="6"/>
      <c r="AR3" s="8"/>
      <c r="AS3" s="42"/>
      <c r="AT3" s="2"/>
      <c r="AU3" s="42"/>
      <c r="AV3" s="2"/>
      <c r="AW3" s="6"/>
      <c r="AX3" s="7"/>
      <c r="AY3" s="8"/>
    </row>
    <row r="4" spans="1:53" x14ac:dyDescent="0.25">
      <c r="A4" s="89" t="s">
        <v>1</v>
      </c>
      <c r="B4" s="89"/>
      <c r="C4" s="59" t="s">
        <v>2</v>
      </c>
      <c r="D4" s="59"/>
      <c r="E4" s="59"/>
      <c r="F4" s="9"/>
      <c r="G4" s="9"/>
      <c r="H4" s="9"/>
      <c r="I4" s="9"/>
      <c r="J4" s="9"/>
      <c r="K4" s="9"/>
      <c r="L4" s="9"/>
      <c r="M4" s="10"/>
      <c r="N4" s="11"/>
      <c r="O4" s="12"/>
      <c r="P4" s="9"/>
      <c r="Q4" s="10"/>
      <c r="R4" s="9"/>
      <c r="S4" s="12"/>
      <c r="T4" s="56"/>
      <c r="U4" s="10"/>
      <c r="V4" s="9"/>
      <c r="W4" s="12"/>
      <c r="X4" s="9"/>
      <c r="Y4" s="12"/>
      <c r="Z4" s="9"/>
      <c r="AA4" s="12"/>
      <c r="AB4" s="9"/>
      <c r="AC4" s="12"/>
      <c r="AD4" s="9"/>
      <c r="AE4" s="12"/>
      <c r="AF4" s="9"/>
      <c r="AG4" s="12"/>
      <c r="AH4" s="9"/>
      <c r="AI4" s="12"/>
      <c r="AJ4" s="9"/>
      <c r="AK4" s="12"/>
      <c r="AL4" s="9"/>
      <c r="AM4" s="12"/>
      <c r="AN4" s="56"/>
      <c r="AO4" s="12"/>
      <c r="AP4" s="9"/>
      <c r="AQ4" s="12"/>
      <c r="AR4" s="56"/>
      <c r="AS4" s="36"/>
      <c r="AT4" s="9"/>
      <c r="AU4" s="36"/>
      <c r="AV4" s="9"/>
      <c r="AW4" s="12"/>
      <c r="AX4" s="7"/>
      <c r="AY4" s="8"/>
    </row>
    <row r="5" spans="1:53" ht="15" customHeight="1" x14ac:dyDescent="0.25">
      <c r="A5" s="89" t="s">
        <v>3</v>
      </c>
      <c r="B5" s="89"/>
      <c r="C5" s="59" t="s">
        <v>4</v>
      </c>
      <c r="D5" s="59"/>
      <c r="E5" s="59"/>
      <c r="F5" s="9"/>
      <c r="G5" s="9"/>
      <c r="H5" s="9"/>
      <c r="I5" s="9"/>
      <c r="J5" s="9"/>
      <c r="K5" s="9"/>
      <c r="L5" s="9"/>
      <c r="M5" s="10"/>
      <c r="N5" s="11"/>
      <c r="O5" s="12"/>
      <c r="P5" s="9"/>
      <c r="Q5" s="10"/>
      <c r="R5" s="9"/>
      <c r="S5" s="12"/>
      <c r="T5" s="56"/>
      <c r="U5" s="10"/>
      <c r="V5" s="9"/>
      <c r="W5" s="12"/>
      <c r="X5" s="9"/>
      <c r="Y5" s="12"/>
      <c r="Z5" s="9"/>
      <c r="AA5" s="12"/>
      <c r="AB5" s="9"/>
      <c r="AC5" s="12"/>
      <c r="AD5" s="9"/>
      <c r="AE5" s="12"/>
      <c r="AF5" s="9"/>
      <c r="AG5" s="12"/>
      <c r="AH5" s="9"/>
      <c r="AI5" s="12"/>
      <c r="AJ5" s="9"/>
      <c r="AK5" s="12"/>
      <c r="AL5" s="9"/>
      <c r="AM5" s="12"/>
      <c r="AN5" s="56"/>
      <c r="AO5" s="12"/>
      <c r="AP5" s="9"/>
      <c r="AQ5" s="12"/>
      <c r="AR5" s="56"/>
      <c r="AS5" s="36"/>
      <c r="AT5" s="9"/>
      <c r="AU5" s="36"/>
      <c r="AV5" s="9"/>
      <c r="AW5" s="12"/>
      <c r="AX5" s="7"/>
      <c r="AY5" s="8"/>
    </row>
    <row r="6" spans="1:53" x14ac:dyDescent="0.25">
      <c r="A6" s="89" t="s">
        <v>5</v>
      </c>
      <c r="B6" s="89"/>
      <c r="C6" s="60">
        <v>2022</v>
      </c>
      <c r="D6" s="61"/>
      <c r="E6" s="60"/>
      <c r="F6" s="9"/>
      <c r="G6" s="9"/>
      <c r="H6" s="9"/>
      <c r="I6" s="9"/>
      <c r="J6" s="9"/>
      <c r="K6" s="9"/>
      <c r="L6" s="9"/>
      <c r="M6" s="10"/>
      <c r="N6" s="11"/>
      <c r="O6" s="12"/>
      <c r="P6" s="9"/>
      <c r="Q6" s="10"/>
      <c r="R6" s="9"/>
      <c r="S6" s="12"/>
      <c r="T6" s="56"/>
      <c r="U6" s="10"/>
      <c r="V6" s="9"/>
      <c r="W6" s="12"/>
      <c r="X6" s="9"/>
      <c r="Y6" s="12"/>
      <c r="Z6" s="9"/>
      <c r="AA6" s="12"/>
      <c r="AB6" s="9"/>
      <c r="AC6" s="12"/>
      <c r="AD6" s="9"/>
      <c r="AE6" s="12"/>
      <c r="AF6" s="9"/>
      <c r="AG6" s="12"/>
      <c r="AH6" s="9"/>
      <c r="AI6" s="12"/>
      <c r="AJ6" s="9"/>
      <c r="AK6" s="12"/>
      <c r="AL6" s="9"/>
      <c r="AM6" s="12"/>
      <c r="AN6" s="56"/>
      <c r="AO6" s="12"/>
      <c r="AP6" s="9"/>
      <c r="AQ6" s="12"/>
      <c r="AR6" s="56"/>
      <c r="AS6" s="36"/>
      <c r="AT6" s="9"/>
      <c r="AU6" s="36"/>
      <c r="AV6" s="9"/>
      <c r="AW6" s="12"/>
      <c r="AX6" s="7"/>
      <c r="AY6" s="8"/>
    </row>
    <row r="7" spans="1:53" x14ac:dyDescent="0.25">
      <c r="A7" s="89" t="s">
        <v>6</v>
      </c>
      <c r="B7" s="89"/>
      <c r="C7" s="60" t="s">
        <v>53</v>
      </c>
      <c r="D7" s="61"/>
      <c r="E7" s="60"/>
      <c r="F7" s="9"/>
      <c r="G7" s="9"/>
      <c r="H7" s="9"/>
      <c r="I7" s="9"/>
      <c r="J7" s="9"/>
      <c r="K7" s="9"/>
      <c r="L7" s="9"/>
      <c r="M7" s="10"/>
      <c r="N7" s="11"/>
      <c r="O7" s="12"/>
      <c r="P7" s="9"/>
      <c r="Q7" s="10"/>
      <c r="R7" s="9"/>
      <c r="S7" s="12"/>
      <c r="T7" s="56"/>
      <c r="U7" s="10"/>
      <c r="V7" s="9"/>
      <c r="W7" s="12"/>
      <c r="X7" s="9"/>
      <c r="Y7" s="12"/>
      <c r="Z7" s="9"/>
      <c r="AA7" s="12"/>
      <c r="AB7" s="9"/>
      <c r="AC7" s="12"/>
      <c r="AD7" s="9"/>
      <c r="AE7" s="12"/>
      <c r="AF7" s="9"/>
      <c r="AG7" s="12"/>
      <c r="AH7" s="9"/>
      <c r="AI7" s="12"/>
      <c r="AJ7" s="9"/>
      <c r="AK7" s="12"/>
      <c r="AL7" s="9"/>
      <c r="AM7" s="12"/>
      <c r="AN7" s="56"/>
      <c r="AO7" s="12"/>
      <c r="AP7" s="9"/>
      <c r="AQ7" s="12"/>
      <c r="AR7" s="56"/>
      <c r="AS7" s="36"/>
      <c r="AT7" s="9"/>
      <c r="AU7" s="36"/>
      <c r="AV7" s="9"/>
      <c r="AW7" s="12"/>
      <c r="AX7" s="7"/>
      <c r="AY7" s="8"/>
    </row>
    <row r="8" spans="1:53" x14ac:dyDescent="0.25">
      <c r="A8" s="2"/>
      <c r="B8" s="9"/>
      <c r="C8" s="9"/>
      <c r="D8" s="9"/>
      <c r="E8" s="13"/>
      <c r="F8" s="9"/>
      <c r="G8" s="9"/>
      <c r="H8" s="9"/>
      <c r="I8" s="9"/>
      <c r="J8" s="9"/>
      <c r="K8" s="9"/>
      <c r="L8" s="9"/>
      <c r="M8" s="10"/>
      <c r="N8" s="11"/>
      <c r="O8" s="12"/>
      <c r="P8" s="9"/>
      <c r="Q8" s="10"/>
      <c r="R8" s="9"/>
      <c r="S8" s="12"/>
      <c r="T8" s="56"/>
      <c r="U8" s="10"/>
      <c r="V8" s="9"/>
      <c r="W8" s="12"/>
      <c r="X8" s="9"/>
      <c r="Y8" s="12"/>
      <c r="Z8" s="9"/>
      <c r="AA8" s="12"/>
      <c r="AB8" s="9"/>
      <c r="AC8" s="12"/>
      <c r="AD8" s="9"/>
      <c r="AE8" s="12"/>
      <c r="AF8" s="9"/>
      <c r="AG8" s="12"/>
      <c r="AH8" s="9"/>
      <c r="AI8" s="12"/>
      <c r="AJ8" s="9"/>
      <c r="AK8" s="12"/>
      <c r="AL8" s="9"/>
      <c r="AM8" s="12"/>
      <c r="AN8" s="56"/>
      <c r="AO8" s="12"/>
      <c r="AP8" s="9"/>
      <c r="AQ8" s="12"/>
      <c r="AR8" s="56"/>
      <c r="AS8" s="36"/>
      <c r="AT8" s="9"/>
      <c r="AU8" s="36"/>
      <c r="AV8" s="9"/>
      <c r="AW8" s="12"/>
      <c r="AX8" s="7"/>
      <c r="AY8" s="8"/>
    </row>
    <row r="9" spans="1:53" ht="51" x14ac:dyDescent="0.25">
      <c r="A9" s="14" t="s">
        <v>7</v>
      </c>
      <c r="B9" s="14" t="s">
        <v>8</v>
      </c>
      <c r="C9" s="15" t="s">
        <v>9</v>
      </c>
      <c r="D9" s="14" t="s">
        <v>10</v>
      </c>
      <c r="E9" s="16" t="s">
        <v>11</v>
      </c>
      <c r="F9" s="15" t="s">
        <v>12</v>
      </c>
      <c r="G9" s="15" t="s">
        <v>13</v>
      </c>
      <c r="H9" s="15" t="s">
        <v>14</v>
      </c>
      <c r="I9" s="44" t="s">
        <v>15</v>
      </c>
      <c r="J9" s="15" t="s">
        <v>16</v>
      </c>
      <c r="K9" s="15" t="s">
        <v>17</v>
      </c>
      <c r="L9" s="15" t="s">
        <v>18</v>
      </c>
      <c r="M9" s="17" t="s">
        <v>19</v>
      </c>
      <c r="N9" s="18" t="s">
        <v>20</v>
      </c>
      <c r="O9" s="19" t="s">
        <v>21</v>
      </c>
      <c r="P9" s="15" t="s">
        <v>22</v>
      </c>
      <c r="Q9" s="17" t="s">
        <v>23</v>
      </c>
      <c r="R9" s="15" t="s">
        <v>24</v>
      </c>
      <c r="S9" s="19" t="s">
        <v>25</v>
      </c>
      <c r="T9" s="22" t="s">
        <v>26</v>
      </c>
      <c r="U9" s="17" t="s">
        <v>27</v>
      </c>
      <c r="V9" s="15" t="s">
        <v>28</v>
      </c>
      <c r="W9" s="19" t="s">
        <v>29</v>
      </c>
      <c r="X9" s="15" t="s">
        <v>54</v>
      </c>
      <c r="Y9" s="19" t="s">
        <v>30</v>
      </c>
      <c r="Z9" s="15" t="s">
        <v>31</v>
      </c>
      <c r="AA9" s="19" t="s">
        <v>32</v>
      </c>
      <c r="AB9" s="15" t="s">
        <v>33</v>
      </c>
      <c r="AC9" s="20" t="s">
        <v>34</v>
      </c>
      <c r="AD9" s="15" t="s">
        <v>35</v>
      </c>
      <c r="AE9" s="19" t="s">
        <v>36</v>
      </c>
      <c r="AF9" s="15" t="s">
        <v>37</v>
      </c>
      <c r="AG9" s="19" t="s">
        <v>38</v>
      </c>
      <c r="AH9" s="15" t="s">
        <v>39</v>
      </c>
      <c r="AI9" s="19" t="s">
        <v>55</v>
      </c>
      <c r="AJ9" s="15" t="s">
        <v>56</v>
      </c>
      <c r="AK9" s="19" t="s">
        <v>40</v>
      </c>
      <c r="AL9" s="15" t="s">
        <v>41</v>
      </c>
      <c r="AM9" s="20" t="s">
        <v>42</v>
      </c>
      <c r="AN9" s="22" t="s">
        <v>43</v>
      </c>
      <c r="AO9" s="20" t="s">
        <v>44</v>
      </c>
      <c r="AP9" s="15" t="s">
        <v>45</v>
      </c>
      <c r="AQ9" s="19" t="s">
        <v>46</v>
      </c>
      <c r="AR9" s="22" t="s">
        <v>47</v>
      </c>
      <c r="AS9" s="41" t="s">
        <v>57</v>
      </c>
      <c r="AT9" s="15" t="s">
        <v>58</v>
      </c>
      <c r="AU9" s="41" t="s">
        <v>59</v>
      </c>
      <c r="AV9" s="15" t="s">
        <v>60</v>
      </c>
      <c r="AW9" s="19" t="s">
        <v>48</v>
      </c>
      <c r="AX9" s="21" t="s">
        <v>49</v>
      </c>
      <c r="AY9" s="22" t="s">
        <v>50</v>
      </c>
      <c r="AZ9" s="23" t="s">
        <v>51</v>
      </c>
      <c r="BA9" s="34"/>
    </row>
    <row r="10" spans="1:53" s="28" customFormat="1" ht="35.25" customHeight="1" thickBot="1" x14ac:dyDescent="0.25">
      <c r="A10" s="49">
        <v>1</v>
      </c>
      <c r="B10" s="50" t="s">
        <v>61</v>
      </c>
      <c r="C10" s="51" t="s">
        <v>52</v>
      </c>
      <c r="D10" s="52">
        <v>251</v>
      </c>
      <c r="E10" s="53" t="s">
        <v>62</v>
      </c>
      <c r="F10" s="52" t="s">
        <v>63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58"/>
      <c r="T10" s="35"/>
      <c r="U10" s="29"/>
      <c r="V10" s="29"/>
      <c r="W10" s="58" t="e">
        <f>+#REF!</f>
        <v>#REF!</v>
      </c>
      <c r="X10" s="29" t="e">
        <f>+W10*AX10</f>
        <v>#REF!</v>
      </c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35"/>
      <c r="AO10" s="29"/>
      <c r="AP10" s="29"/>
      <c r="AQ10" s="58" t="e">
        <f>+#REF!</f>
        <v>#REF!</v>
      </c>
      <c r="AR10" s="35" t="e">
        <f>+AQ10*AX10</f>
        <v>#REF!</v>
      </c>
      <c r="AS10" s="38"/>
      <c r="AT10" s="29"/>
      <c r="AU10" s="38"/>
      <c r="AV10" s="29"/>
      <c r="AW10" s="40">
        <v>8628</v>
      </c>
      <c r="AX10" s="35">
        <v>350</v>
      </c>
      <c r="AY10" s="35">
        <f>+AW10*AX10</f>
        <v>3019800</v>
      </c>
      <c r="AZ10" s="24"/>
    </row>
    <row r="11" spans="1:53" s="55" customFormat="1" ht="13.5" thickBot="1" x14ac:dyDescent="0.25">
      <c r="A11" s="46"/>
      <c r="B11" s="26"/>
      <c r="C11" s="26"/>
      <c r="D11" s="26"/>
      <c r="E11" s="25" t="s">
        <v>64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7"/>
      <c r="T11" s="47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47"/>
      <c r="AO11" s="26"/>
      <c r="AP11" s="26"/>
      <c r="AQ11" s="26"/>
      <c r="AR11" s="47"/>
      <c r="AS11" s="37"/>
      <c r="AT11" s="26"/>
      <c r="AU11" s="37"/>
      <c r="AV11" s="26"/>
      <c r="AW11" s="40"/>
      <c r="AX11" s="47"/>
      <c r="AY11" s="48">
        <f>+AY10</f>
        <v>3019800</v>
      </c>
      <c r="AZ11" s="54"/>
    </row>
    <row r="12" spans="1:53" ht="15.75" thickBot="1" x14ac:dyDescent="0.3">
      <c r="AW12" s="74"/>
    </row>
    <row r="13" spans="1:53" ht="15" customHeight="1" x14ac:dyDescent="0.25">
      <c r="B13" s="88" t="s">
        <v>65</v>
      </c>
      <c r="C13" s="86" t="s">
        <v>66</v>
      </c>
      <c r="D13" s="86"/>
      <c r="E13" s="86"/>
      <c r="F13" s="87"/>
    </row>
    <row r="14" spans="1:53" ht="265.5" customHeight="1" x14ac:dyDescent="0.25">
      <c r="B14" s="85"/>
      <c r="C14" s="81" t="s">
        <v>74</v>
      </c>
      <c r="D14" s="81"/>
      <c r="E14" s="81"/>
      <c r="F14" s="82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</row>
    <row r="15" spans="1:53" s="34" customFormat="1" ht="51" customHeight="1" x14ac:dyDescent="0.25">
      <c r="A15" s="45"/>
      <c r="B15" s="85"/>
      <c r="C15" s="81" t="s">
        <v>73</v>
      </c>
      <c r="D15" s="81"/>
      <c r="E15" s="81"/>
      <c r="F15" s="82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32"/>
      <c r="T15" s="57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57"/>
      <c r="AO15" s="45"/>
      <c r="AP15" s="45"/>
      <c r="AQ15" s="45"/>
      <c r="AR15" s="57"/>
      <c r="AS15" s="39"/>
      <c r="AT15" s="45"/>
      <c r="AU15" s="39"/>
      <c r="AV15" s="45"/>
      <c r="AW15" s="32"/>
      <c r="AX15" s="57"/>
      <c r="AY15" s="57"/>
    </row>
    <row r="16" spans="1:53" x14ac:dyDescent="0.25">
      <c r="B16" s="62"/>
      <c r="C16" s="75"/>
      <c r="D16" s="75"/>
      <c r="E16" s="75"/>
      <c r="F16" s="76"/>
    </row>
    <row r="17" spans="2:6" x14ac:dyDescent="0.25">
      <c r="B17" s="78" t="s">
        <v>67</v>
      </c>
      <c r="C17" s="77" t="s">
        <v>72</v>
      </c>
      <c r="D17" s="63"/>
      <c r="E17" s="64"/>
      <c r="F17" s="65"/>
    </row>
    <row r="18" spans="2:6" x14ac:dyDescent="0.25">
      <c r="B18" s="78"/>
      <c r="C18" s="63"/>
      <c r="D18" s="63"/>
      <c r="E18" s="64"/>
      <c r="F18" s="65"/>
    </row>
    <row r="19" spans="2:6" x14ac:dyDescent="0.25">
      <c r="B19" s="85" t="s">
        <v>68</v>
      </c>
      <c r="C19" s="81" t="s">
        <v>75</v>
      </c>
      <c r="D19" s="81"/>
      <c r="E19" s="81"/>
      <c r="F19" s="82"/>
    </row>
    <row r="20" spans="2:6" ht="30.75" customHeight="1" x14ac:dyDescent="0.25">
      <c r="B20" s="85"/>
      <c r="C20" s="81" t="s">
        <v>76</v>
      </c>
      <c r="D20" s="81"/>
      <c r="E20" s="81"/>
      <c r="F20" s="82"/>
    </row>
    <row r="21" spans="2:6" x14ac:dyDescent="0.25">
      <c r="B21" s="78"/>
      <c r="C21" s="83"/>
      <c r="D21" s="83"/>
      <c r="E21" s="83"/>
      <c r="F21" s="84"/>
    </row>
    <row r="22" spans="2:6" x14ac:dyDescent="0.25">
      <c r="B22" s="78" t="s">
        <v>69</v>
      </c>
      <c r="C22" s="63"/>
      <c r="D22" s="63"/>
      <c r="E22" s="64"/>
      <c r="F22" s="65"/>
    </row>
    <row r="23" spans="2:6" x14ac:dyDescent="0.25">
      <c r="B23" s="78"/>
      <c r="C23" s="63"/>
      <c r="D23" s="63"/>
      <c r="E23" s="64"/>
      <c r="F23" s="65"/>
    </row>
    <row r="24" spans="2:6" ht="15.75" thickBot="1" x14ac:dyDescent="0.3">
      <c r="B24" s="66" t="s">
        <v>70</v>
      </c>
      <c r="C24" s="67" t="s">
        <v>71</v>
      </c>
      <c r="D24" s="68"/>
      <c r="E24" s="69"/>
      <c r="F24" s="70"/>
    </row>
  </sheetData>
  <mergeCells count="13">
    <mergeCell ref="A7:B7"/>
    <mergeCell ref="B2:AX2"/>
    <mergeCell ref="A4:B4"/>
    <mergeCell ref="A5:B5"/>
    <mergeCell ref="A6:B6"/>
    <mergeCell ref="C19:F19"/>
    <mergeCell ref="C20:F20"/>
    <mergeCell ref="C21:F21"/>
    <mergeCell ref="B19:B20"/>
    <mergeCell ref="C13:F13"/>
    <mergeCell ref="C15:F15"/>
    <mergeCell ref="B13:B15"/>
    <mergeCell ref="C14:F14"/>
  </mergeCells>
  <conditionalFormatting sqref="B1:B9 E1:E9">
    <cfRule type="duplicateValues" dxfId="11" priority="224"/>
  </conditionalFormatting>
  <conditionalFormatting sqref="E1:E9 B1:B9">
    <cfRule type="duplicateValues" dxfId="10" priority="225"/>
  </conditionalFormatting>
  <conditionalFormatting sqref="B10">
    <cfRule type="duplicateValues" dxfId="9" priority="1"/>
  </conditionalFormatting>
  <conditionalFormatting sqref="E10">
    <cfRule type="duplicateValues" dxfId="8" priority="2"/>
  </conditionalFormatting>
  <conditionalFormatting sqref="E10 B10">
    <cfRule type="duplicateValues" dxfId="7" priority="3"/>
  </conditionalFormatting>
  <conditionalFormatting sqref="E10">
    <cfRule type="duplicateValues" dxfId="6" priority="4"/>
  </conditionalFormatting>
  <conditionalFormatting sqref="E10">
    <cfRule type="duplicateValues" dxfId="5" priority="5"/>
    <cfRule type="duplicateValues" dxfId="4" priority="6"/>
  </conditionalFormatting>
  <conditionalFormatting sqref="B1:B9">
    <cfRule type="duplicateValues" dxfId="3" priority="412"/>
  </conditionalFormatting>
  <conditionalFormatting sqref="E1:E9">
    <cfRule type="duplicateValues" dxfId="2" priority="413"/>
  </conditionalFormatting>
  <conditionalFormatting sqref="E1:E9">
    <cfRule type="duplicateValues" dxfId="1" priority="414"/>
    <cfRule type="duplicateValues" dxfId="0" priority="41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SAF 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2022-02-02T12:18:54Z</dcterms:modified>
</cp:coreProperties>
</file>