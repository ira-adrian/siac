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76D362BF-5D0C-47B9-B533-9655E60DE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<sst xmlns="http://schemas.openxmlformats.org/spreadsheetml/2006/main" count="131" uniqueCount="125">
  <si>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</si>
  <si>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</si>
  <si>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</si>
  <si>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</si>
  <si>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</si>
  <si>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</si>
  <si>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</si>
  <si>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</si>
  <si>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</si>
  <si>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</si>
  <si>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</si>
  <si>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</si>
  <si>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</si>
  <si>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</si>
  <si>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</si>
  <si>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</si>
  <si>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</si>
  <si>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</si>
  <si>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</si>
  <si>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</si>
  <si>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</si>
  <si>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</si>
  <si>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</si>
  <si>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</si>
  <si>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</si>
  <si>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</si>
  <si>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</si>
  <si>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</si>
  <si>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</si>
  <si>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</si>
  <si>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</si>
  <si>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</si>
  <si>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</si>
  <si>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</si>
  <si>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</si>
  <si>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</si>
  <si>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</si>
  <si>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</si>
  <si>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</si>
  <si>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</si>
  <si>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</si>
  <si>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</si>
  <si>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</si>
  <si>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</si>
  <si>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</si>
  <si>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</si>
  <si>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</si>
  <si>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</si>
  <si>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</si>
  <si>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</si>
  <si>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</si>
  <si>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</si>
  <si>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</si>
  <si>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</si>
  <si>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</si>
  <si>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</si>
  <si>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</si>
  <si>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</si>
  <si>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</si>
  <si>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</si>
  <si>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</si>
  <si>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</si>
  <si>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</si>
  <si>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</si>
  <si>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</si>
  <si>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</si>
  <si>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</si>
  <si>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</si>
  <si>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</si>
  <si>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</si>
  <si>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</si>
  <si>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</si>
  <si>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</si>
  <si>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</si>
  <si>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</si>
  <si>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</si>
  <si>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</si>
  <si>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</si>
  <si>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</si>
  <si>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</si>
  <si>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</si>
  <si>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</si>
  <si>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</si>
  <si>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</si>
  <si>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</si>
  <si>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</si>
  <si>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</si>
  <si>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</si>
  <si>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</si>
  <si>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</si>
  <si>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</si>
  <si>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</si>
  <si>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</si>
  <si>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</si>
  <si>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</si>
  <si>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</si>
  <si>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</si>
  <si>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</si>
  <si>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</si>
  <si>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</si>
  <si>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</si>
  <si>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</si>
  <si>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</si>
  <si>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</si>
  <si>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</si>
  <si>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</si>
  <si>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</si>
  <si>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</si>
  <si>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</si>
  <si>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</si>
  <si>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</si>
  <si>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</si>
  <si>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</si>
  <si>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</si>
  <si>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</si>
  <si>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</si>
  <si>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</si>
  <si>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</si>
  <si>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</si>
  <si>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</si>
  <si>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</si>
  <si>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</si>
  <si>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</si>
  <si>
    <t xml:space="preserve">PRECIO UNITARIO 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</si>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</sst>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Border="1" applyAlignment="1">
      <alignment horizontal="center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zoomScale="90" zoomScaleNormal="90" workbookViewId="0">
      <selection activeCell="BE6" sqref="BE6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7.42578125" style="29" customWidth="1"/>
    <col min="52" max="52" width="2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120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51</v>
      </c>
      <c r="Y9" s="20" t="s">
        <v>64</v>
      </c>
      <c r="Z9" s="16" t="s">
        <v>65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57</v>
      </c>
      <c r="AJ9" s="23" t="s">
        <v>58</v>
      </c>
      <c r="AK9" s="20" t="s">
        <v>61</v>
      </c>
      <c r="AL9" s="16" t="s">
        <v>62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52</v>
      </c>
      <c r="AT9" s="23" t="s">
        <v>53</v>
      </c>
      <c r="AU9" s="44" t="s">
        <v>55</v>
      </c>
      <c r="AV9" s="23" t="s">
        <v>56</v>
      </c>
      <c r="AW9" s="44" t="s">
        <v>59</v>
      </c>
      <c r="AX9" s="16" t="s">
        <v>60</v>
      </c>
      <c r="AY9" s="20" t="s">
        <v>124</v>
      </c>
      <c r="AZ9" s="22" t="s">
        <v>123</v>
      </c>
      <c r="BA9" s="23" t="s">
        <v>44</v>
      </c>
      <c r="BB9" s="24" t="s">
        <v>45</v>
      </c>
      <c r="BC9" s="31"/>
    </row>
    <row r="10" spans="1:55" s="50" customFormat="1" ht="308.25" customHeight="1" thickBot="1" x14ac:dyDescent="0.25">
      <c r="A10" s="56">
        <v>1</v>
      </c>
      <c r="B10" s="56" t="s">
        <v>49</v>
      </c>
      <c r="C10" s="57" t="s">
        <v>47</v>
      </c>
      <c r="D10" s="56" t="s">
        <v>48</v>
      </c>
      <c r="E10" s="58" t="s">
        <v>50</v>
      </c>
      <c r="F10" s="56" t="s">
        <v>46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5875</v>
      </c>
      <c r="AB10" s="53">
        <f>+AA10*AZ10</f>
        <v>5669375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v>5900</v>
      </c>
      <c r="AZ10" s="40">
        <v>965</v>
      </c>
      <c r="BA10" s="71">
        <f t="shared" ref="BA10" si="0">+AY10*AZ10</f>
        <v>5693500</v>
      </c>
      <c r="BB10" s="62" t="s">
        <v>54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63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5693500</v>
      </c>
      <c r="BB11" s="69"/>
    </row>
    <row r="14" spans="1:55" ht="15.75" thickBot="1" x14ac:dyDescent="0.3"/>
    <row r="15" spans="1:55" ht="45" x14ac:dyDescent="0.25">
      <c r="C15" s="127" t="s">
        <v>103</v>
      </c>
      <c r="D15" s="158" t="s">
        <v>104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105</v>
      </c>
      <c r="D17" s="160" t="s">
        <v>106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107</v>
      </c>
      <c r="D19" s="162" t="s">
        <v>108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109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110</v>
      </c>
      <c r="D23" s="135" t="s">
        <v>111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77" t="s">
        <v>66</v>
      </c>
      <c r="B1" s="177"/>
      <c r="C1" s="177"/>
      <c r="D1" s="177"/>
      <c r="E1" s="177"/>
      <c r="F1" s="177"/>
      <c r="G1" s="177"/>
      <c r="H1" s="177"/>
      <c r="I1" s="177"/>
      <c r="J1" s="148" t="s">
        <v>67</v>
      </c>
      <c r="K1" s="78" t="s">
        <v>116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78" t="s">
        <v>68</v>
      </c>
      <c r="B3" s="178"/>
      <c r="C3" s="17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74" t="s">
        <v>69</v>
      </c>
      <c r="B4" s="174"/>
      <c r="C4" s="174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74" t="s">
        <v>70</v>
      </c>
      <c r="B5" s="174"/>
      <c r="C5" s="174"/>
      <c r="D5" s="154" t="s">
        <v>118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78" t="s">
        <v>71</v>
      </c>
      <c r="B6" s="178"/>
      <c r="C6" s="178"/>
      <c r="D6" s="154" t="s">
        <v>118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74" t="s">
        <v>72</v>
      </c>
      <c r="B7" s="174"/>
      <c r="C7" s="174"/>
      <c r="D7" s="154" t="s">
        <v>119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75" t="s">
        <v>73</v>
      </c>
      <c r="B8" s="175"/>
      <c r="C8" s="175"/>
      <c r="D8" s="157" t="s">
        <v>112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6" t="s">
        <v>74</v>
      </c>
      <c r="B10" s="170" t="s">
        <v>75</v>
      </c>
      <c r="C10" s="170" t="s">
        <v>76</v>
      </c>
      <c r="D10" s="170"/>
      <c r="E10" s="170"/>
      <c r="F10" s="170"/>
      <c r="G10" s="170"/>
      <c r="H10" s="170" t="s">
        <v>77</v>
      </c>
      <c r="I10" s="170" t="s">
        <v>78</v>
      </c>
      <c r="J10" s="173" t="s">
        <v>79</v>
      </c>
      <c r="K10" s="171" t="s">
        <v>80</v>
      </c>
    </row>
    <row r="11" spans="1:11" ht="28.5" customHeight="1" thickBot="1" x14ac:dyDescent="0.3">
      <c r="A11" s="176"/>
      <c r="B11" s="170"/>
      <c r="C11" s="170"/>
      <c r="D11" s="170"/>
      <c r="E11" s="170"/>
      <c r="F11" s="170"/>
      <c r="G11" s="170"/>
      <c r="H11" s="170"/>
      <c r="I11" s="170"/>
      <c r="J11" s="173"/>
      <c r="K11" s="171"/>
    </row>
    <row r="12" spans="1:11" ht="85.5" customHeight="1" x14ac:dyDescent="0.25">
      <c r="A12" s="87">
        <v>1</v>
      </c>
      <c r="B12" s="147" t="str">
        <f>'SAF 011'!B10</f>
        <v>2.1.1-705.137</v>
      </c>
      <c r="C12" s="172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2"/>
      <c r="E12" s="172"/>
      <c r="F12" s="172"/>
      <c r="G12" s="172"/>
      <c r="H12" s="88" t="s">
        <v>113</v>
      </c>
      <c r="I12" s="89" t="str">
        <f>'SAF 011'!F10</f>
        <v>UNIDAD</v>
      </c>
      <c r="J12" s="151">
        <f>'SAF 011'!AZ10</f>
        <v>965</v>
      </c>
      <c r="K12" s="90">
        <f>'SAF 011'!AA10</f>
        <v>5875</v>
      </c>
    </row>
    <row r="13" spans="1:11" ht="16.5" thickBot="1" x14ac:dyDescent="0.3">
      <c r="A13" s="142"/>
      <c r="B13" s="143"/>
      <c r="C13" s="169"/>
      <c r="D13" s="169"/>
      <c r="E13" s="169"/>
      <c r="F13" s="169"/>
      <c r="G13" s="169"/>
      <c r="H13" s="144"/>
      <c r="I13" s="145"/>
      <c r="J13" s="152"/>
      <c r="K13" s="146"/>
    </row>
    <row r="14" spans="1:11" ht="37.5" customHeight="1" thickBot="1" x14ac:dyDescent="0.3">
      <c r="A14" s="166" t="s">
        <v>121</v>
      </c>
      <c r="B14" s="166"/>
      <c r="C14" s="166"/>
      <c r="D14" s="166"/>
      <c r="E14" s="166"/>
      <c r="F14" s="166"/>
      <c r="G14" s="166"/>
      <c r="H14" s="166"/>
      <c r="I14" s="166"/>
      <c r="J14" s="167">
        <f>+J12*K12</f>
        <v>5669375</v>
      </c>
      <c r="K14" s="168"/>
    </row>
  </sheetData>
  <mergeCells count="18">
    <mergeCell ref="A5:C5"/>
    <mergeCell ref="A1:I1"/>
    <mergeCell ref="A3:C3"/>
    <mergeCell ref="A4:C4"/>
    <mergeCell ref="A6:C6"/>
    <mergeCell ref="A7:C7"/>
    <mergeCell ref="A8:C8"/>
    <mergeCell ref="A10:A11"/>
    <mergeCell ref="B10:B11"/>
    <mergeCell ref="C10:G11"/>
    <mergeCell ref="A14:I14"/>
    <mergeCell ref="J14:K14"/>
    <mergeCell ref="C13:G13"/>
    <mergeCell ref="H10:H11"/>
    <mergeCell ref="K10:K11"/>
    <mergeCell ref="C12:G12"/>
    <mergeCell ref="I10:I11"/>
    <mergeCell ref="J10:J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6" t="s">
        <v>5</v>
      </c>
      <c r="B1" s="196"/>
      <c r="C1" s="196"/>
      <c r="D1" s="197">
        <v>2022</v>
      </c>
      <c r="E1" s="197"/>
      <c r="F1" s="91"/>
      <c r="G1" s="91"/>
      <c r="H1" s="92"/>
      <c r="I1" s="92"/>
      <c r="J1" s="92"/>
      <c r="K1" s="92"/>
      <c r="L1" s="92"/>
      <c r="M1" s="92"/>
      <c r="N1" s="92"/>
      <c r="O1" s="93"/>
      <c r="P1" s="198" t="s">
        <v>81</v>
      </c>
      <c r="Q1" s="198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98"/>
      <c r="Q2" s="198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99" t="s">
        <v>82</v>
      </c>
      <c r="B4" s="199"/>
      <c r="C4" s="199"/>
      <c r="D4" s="199"/>
      <c r="E4" s="199"/>
      <c r="F4" s="199"/>
      <c r="G4" s="200" t="str">
        <f>NP!D3</f>
        <v>040 - MINISTERIO DE SALUD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ht="15.75" thickBot="1" x14ac:dyDescent="0.3">
      <c r="A5" s="201" t="s">
        <v>69</v>
      </c>
      <c r="B5" s="201"/>
      <c r="C5" s="201"/>
      <c r="D5" s="201"/>
      <c r="E5" s="201"/>
      <c r="F5" s="201"/>
      <c r="G5" s="200" t="str">
        <f>NP!D4</f>
        <v>011 - DIRECCION PROVINCIAL DE ADMINISTRACION - MINISTERIO DE SALUD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17" ht="15.75" thickBot="1" x14ac:dyDescent="0.3">
      <c r="A6" s="201" t="s">
        <v>70</v>
      </c>
      <c r="B6" s="201"/>
      <c r="C6" s="201"/>
      <c r="D6" s="201"/>
      <c r="E6" s="201"/>
      <c r="F6" s="201"/>
      <c r="G6" s="200" t="str">
        <f>NP!D5</f>
        <v>162 - DIRECCION PROVINCIAL DE MATERNIDAD, INFANCIA Y ADOLESCENCIA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15.75" thickBot="1" x14ac:dyDescent="0.3">
      <c r="A7" s="201" t="s">
        <v>71</v>
      </c>
      <c r="B7" s="201"/>
      <c r="C7" s="201"/>
      <c r="D7" s="201"/>
      <c r="E7" s="201"/>
      <c r="F7" s="201"/>
      <c r="G7" s="200" t="str">
        <f>NP!D6</f>
        <v>162 - DIRECCION PROVINCIAL DE MATERNIDAD, INFANCIA Y ADOLESCENCIA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</row>
    <row r="8" spans="1:17" ht="15.75" thickBot="1" x14ac:dyDescent="0.3">
      <c r="A8" s="202" t="s">
        <v>83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27.75" customHeight="1" x14ac:dyDescent="0.25">
      <c r="A9" s="195" t="s">
        <v>84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</row>
    <row r="10" spans="1:17" ht="57" customHeight="1" x14ac:dyDescent="0.25">
      <c r="A10" s="188" t="s">
        <v>117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85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86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87</v>
      </c>
      <c r="P13" s="191"/>
      <c r="Q13" s="192" t="s">
        <v>88</v>
      </c>
    </row>
    <row r="14" spans="1:17" ht="15.75" thickBot="1" x14ac:dyDescent="0.3">
      <c r="A14" s="103" t="s">
        <v>89</v>
      </c>
      <c r="B14" s="104" t="s">
        <v>90</v>
      </c>
      <c r="C14" s="104" t="s">
        <v>91</v>
      </c>
      <c r="D14" s="104" t="s">
        <v>92</v>
      </c>
      <c r="E14" s="104" t="s">
        <v>93</v>
      </c>
      <c r="F14" s="104" t="s">
        <v>94</v>
      </c>
      <c r="G14" s="105" t="s">
        <v>95</v>
      </c>
      <c r="H14" s="104" t="s">
        <v>96</v>
      </c>
      <c r="I14" s="104" t="s">
        <v>97</v>
      </c>
      <c r="J14" s="104" t="s">
        <v>98</v>
      </c>
      <c r="K14" s="104" t="s">
        <v>98</v>
      </c>
      <c r="L14" s="104" t="s">
        <v>99</v>
      </c>
      <c r="M14" s="106" t="s">
        <v>100</v>
      </c>
      <c r="N14" s="107" t="s">
        <v>101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1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114</v>
      </c>
      <c r="O15" s="193" t="s">
        <v>115</v>
      </c>
      <c r="P15" s="193"/>
      <c r="Q15" s="111">
        <f>NP!J14</f>
        <v>5669375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82"/>
      <c r="P16" s="182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4"/>
      <c r="P17" s="194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82"/>
      <c r="P32" s="182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82"/>
      <c r="P33" s="182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82"/>
      <c r="P34" s="182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82"/>
      <c r="P35" s="182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83"/>
      <c r="P36" s="183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184"/>
      <c r="P37" s="184"/>
      <c r="Q37" s="125"/>
    </row>
    <row r="38" spans="1:17" ht="30" customHeight="1" thickBot="1" x14ac:dyDescent="0.3">
      <c r="A38" s="185" t="s">
        <v>122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26">
        <f>SUM(Q15:Q37)</f>
        <v>5669375</v>
      </c>
    </row>
    <row r="39" spans="1:17" ht="15.75" thickBot="1" x14ac:dyDescent="0.3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</row>
    <row r="40" spans="1:17" ht="15.75" thickBot="1" x14ac:dyDescent="0.3">
      <c r="A40" s="179" t="s">
        <v>102</v>
      </c>
      <c r="B40" s="179"/>
      <c r="C40" s="179"/>
      <c r="D40" s="179"/>
      <c r="E40" s="179"/>
      <c r="F40" s="17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</row>
    <row r="41" spans="1:17" ht="15.75" thickBot="1" x14ac:dyDescent="0.3">
      <c r="A41" s="181" t="str">
        <f>NP!D8</f>
        <v>ADQ. DEL RUBRO ALIMENTOS PARA PERSONAS (LECHE FORTIFICADA)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</row>
    <row r="42" spans="1:17" ht="15.75" thickBot="1" x14ac:dyDescent="0.3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dcterms:created xsi:type="dcterms:W3CDTF">2021-11-12T17:27:33Z</dcterms:created>
  <dcterms:modified xsi:type="dcterms:W3CDTF">2022-11-11T13:03:58Z</dcterms:modified>
</cp:coreProperties>
</file>