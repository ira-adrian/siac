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4DE16E01-F4A5-426B-B182-177568E2659A}" xr6:coauthVersionLast="47" xr6:coauthVersionMax="47" xr10:uidLastSave="{00000000-0000-0000-0000-000000000000}"/>
  <bookViews>
    <workbookView xWindow="-120" yWindow="-120" windowWidth="29040" windowHeight="15840" tabRatio="500" xr2:uid="{00000000-000D-0000-FFFF-FFFF00000000}"/>
  </bookViews>
  <sheets>
    <sheet name="Necesidades Trimestrales (2)" sheetId="4" r:id="rId1"/>
    <sheet name=" NotaPedido" sheetId="2" r:id="rId2"/>
    <sheet name="Autor Gastar" sheetId="3" r:id="rId3"/>
    <sheet name="Nota de Pedido" sheetId="5" r:id="rId4"/>
    <sheet name="Autor Gastar " sheetId="8" r:id="rId5"/>
  </sheets>
  <definedNames>
    <definedName name="_xlnm.Print_Area" localSheetId="1">' NotaPedido'!$A$1:$K$32</definedName>
    <definedName name="_xlnm.Print_Area" localSheetId="2">'Autor Gastar'!$A$1:$Q$30</definedName>
    <definedName name="_xlnm.Print_Area" localSheetId="4">'Autor Gastar '!$A$1:$Q$28</definedName>
    <definedName name="_xlnm.Print_Area" localSheetId="0">'Necesidades Trimestrales (2)'!$A$1:$I$31</definedName>
  </definedNames>
  <calcPr calcId="181029"/>
</workbook>
</file>

<file path=xl/calcChain.xml><?xml version="1.0" encoding="utf-8"?>
<calcChain xmlns="http://schemas.openxmlformats.org/spreadsheetml/2006/main">
  <c r="Q21" i="8" l="1"/>
  <c r="G7" i="8"/>
  <c r="G5" i="8"/>
  <c r="G4" i="8"/>
  <c r="J24" i="5"/>
  <c r="I28" i="4" l="1"/>
  <c r="D28" i="4"/>
  <c r="I27" i="4"/>
  <c r="D27" i="4"/>
  <c r="I16" i="4"/>
  <c r="I17" i="4"/>
  <c r="I18" i="4"/>
  <c r="I19" i="4"/>
  <c r="I20" i="4"/>
  <c r="I21" i="4"/>
  <c r="I22" i="4"/>
  <c r="I23" i="4"/>
  <c r="I24" i="4"/>
  <c r="I25" i="4"/>
  <c r="I26" i="4"/>
  <c r="I29" i="4"/>
  <c r="D16" i="4"/>
  <c r="D17" i="4"/>
  <c r="D18" i="4"/>
  <c r="D19" i="4"/>
  <c r="D20" i="4"/>
  <c r="D21" i="4"/>
  <c r="D22" i="4"/>
  <c r="D23" i="4"/>
  <c r="D24" i="4"/>
  <c r="D25" i="4"/>
  <c r="D26" i="4"/>
  <c r="D29" i="4"/>
  <c r="D10" i="4" l="1"/>
  <c r="D11" i="4"/>
  <c r="I33" i="4"/>
  <c r="D33" i="4"/>
  <c r="I32" i="4"/>
  <c r="D32" i="4"/>
  <c r="I15" i="4"/>
  <c r="I30" i="4" s="1"/>
  <c r="D15" i="4"/>
  <c r="I12" i="4"/>
  <c r="D12" i="4"/>
  <c r="I11" i="4"/>
  <c r="I10" i="4"/>
  <c r="I34" i="4" l="1"/>
  <c r="L10" i="4"/>
  <c r="I13" i="4"/>
  <c r="I37" i="4" l="1"/>
  <c r="J32" i="2"/>
  <c r="Q23" i="3" l="1"/>
  <c r="G4" i="3" l="1"/>
  <c r="G6" i="3" l="1"/>
  <c r="G7" i="3"/>
  <c r="G5" i="3"/>
  <c r="A10" i="3" l="1"/>
</calcChain>
</file>

<file path=xl/sharedStrings.xml><?xml version="1.0" encoding="utf-8"?>
<sst xmlns="http://schemas.openxmlformats.org/spreadsheetml/2006/main" count="657" uniqueCount="163">
  <si>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</si>
  <si>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</si>
  <si>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</si>
  <si>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</si>
  <si>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</si>
  <si>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</si>
  <si>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</si>
  <si>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</si>
  <si>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</si>
  <si>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</si>
  <si>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</si>
  <si>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</si>
  <si>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</si>
  <si>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</si>
  <si>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</si>
  <si>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</si>
  <si>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</si>
  <si>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</si>
  <si>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</si>
  <si>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</si>
  <si>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</si>
  <si>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</si>
  <si>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</si>
  <si>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</si>
  <si>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</si>
  <si>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</si>
  <si>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</si>
  <si>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</si>
  <si>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</si>
  <si>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</si>
  <si>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</si>
  <si>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</si>
  <si>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</si>
  <si>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</si>
  <si>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</si>
  <si>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</si>
  <si>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</si>
  <si>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</si>
  <si>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</si>
  <si>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</si>
  <si>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</si>
  <si>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</si>
  <si>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</si>
  <si>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</si>
  <si>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</si>
  <si>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</si>
  <si>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</si>
  <si>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</si>
  <si>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</si>
  <si>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</si>
  <si>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</si>
  <si>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</si>
  <si>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</si>
  <si>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</si>
  <si>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</si>
  <si>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</si>
  <si>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</si>
  <si>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</si>
  <si>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</si>
  <si>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</si>
  <si>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</si>
  <si>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1.1</t>
  </si>
  <si>
    <t>Equipo Educacional y Recreativo</t>
  </si>
  <si>
    <t>4.3.5-9163.90</t>
  </si>
  <si>
    <t>Garantía del fabricante minima de seis (6) meses.</t>
  </si>
  <si>
    <r>
      <t xml:space="preserve">Mantenimiento: </t>
    </r>
    <r>
      <rPr>
        <sz val="10"/>
        <rFont val="Times New Roman"/>
        <family val="1"/>
      </rPr>
      <t>treinta (30) dias corridos</t>
    </r>
  </si>
  <si>
    <r>
      <t>Mantenimiento:</t>
    </r>
    <r>
      <rPr>
        <sz val="10"/>
        <rFont val="Times New Roman"/>
        <family val="1"/>
      </rPr>
      <t xml:space="preserve"> treinta (30) dias corridos</t>
    </r>
  </si>
  <si>
    <t>DIRECCION PROVINCIAL DE GESTION ADMINISTRATIVA RECURSOS HUMANOS</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</si>
  <si>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</si>
  <si>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</si>
  <si>
    <t>Especificidades Item N° 3:</t>
  </si>
  <si>
    <t>Especificidades Item N° 4:</t>
  </si>
  <si>
    <t>Especificidades Item N° 5:</t>
  </si>
  <si>
    <t>Especificidades Item N° 6:</t>
  </si>
  <si>
    <t>Especificidades Item N° 7:</t>
  </si>
  <si>
    <t>Especificidades Item N° 8:</t>
  </si>
  <si>
    <t>Especificidades Item N° 9:</t>
  </si>
  <si>
    <t>Especificidades Item N° 10:</t>
  </si>
  <si>
    <t>Especificidades Item N° 11:</t>
  </si>
  <si>
    <t>Especificidades Item N° 12:</t>
  </si>
  <si>
    <t>Especificidades Item N° 13:</t>
  </si>
  <si>
    <t>Especificidades Item N° 14:</t>
  </si>
  <si>
    <t>Especificidades Item N° 15:</t>
  </si>
  <si>
    <t>Especificidades Item N° 16:</t>
  </si>
  <si>
    <t>Especificidades Item N° 17:</t>
  </si>
  <si>
    <t>Especificidades Item N° 18:</t>
  </si>
  <si>
    <t>Especificidades Item N° 19:</t>
  </si>
  <si>
    <t>Garantía del fabricante minima de un (1) año.</t>
  </si>
  <si>
    <t>Garantía del fabricante minima de de un (1) año.</t>
  </si>
  <si>
    <t>COMPUTADORAS; TIPO: NOTEBOOK, CODIGO ETAP: PC-008, VERSION ETAP: 22.0</t>
  </si>
  <si>
    <t>INFORMATICA</t>
  </si>
  <si>
    <t>4.3.6-6160.208</t>
  </si>
  <si>
    <t>COMPUTADORAS; TIPO: DE ESCRITORIO, CODIGO ETAP: PC-002-00, VERSION ETAP: 23.0</t>
  </si>
  <si>
    <t>4.3.6-6160.221</t>
  </si>
  <si>
    <t>4.3.5-9163.80</t>
  </si>
  <si>
    <t>EQUIPOS DIDACTICOS TECNICOS; NOMBRE: LENTES, TIPO: REALIDAD VIRTUAL</t>
  </si>
  <si>
    <t>EQUIPOS DIDACTICOS TECNICOS; NOMBRE: KIT EXPERIMENTAL , TIPO: SEGÚN PLIEGO</t>
  </si>
  <si>
    <t>4.3.5-9138.2</t>
  </si>
  <si>
    <t>PIZARRAS INTERACTIVAS; DIMENSION: 170 X 120 X 12 Cm, SOFTWARE: SMART BOARD, RESOLUCION: 6000 X 6000</t>
  </si>
  <si>
    <t>4.3.5-1615.69</t>
  </si>
  <si>
    <t>PROYECTORES; PANTALLA: SIN, RESOLUCION: 800 X 600 SVGA, LENTE: FIJO ZOOM</t>
  </si>
  <si>
    <t>4.3.9-8112.1</t>
  </si>
  <si>
    <t>TELESCOPIOS; TIPO: REFLECTOR, AUMENTO: 40-64/200, DISTANCIA FOCAL: 800 mm, DIAM.LENTE: 60 mm, DIAM. LENTE: 60 mm</t>
  </si>
  <si>
    <t>AERONAVES; TIPO: NO TRIPULADA, ENVERGADURA: 350 mm, POTENCIA: 100 W, VELOCIDAD MAXIMA: 20 M/SEG</t>
  </si>
  <si>
    <t>4.3.2-8803.26</t>
  </si>
  <si>
    <t>TRANSPORTE Y DEPOSITO</t>
  </si>
  <si>
    <t>4.3.2-8803.25</t>
  </si>
  <si>
    <t>AERONAVES; TIPO: NO TRIPULADA, ENVERGADURA: 80 Cm, POTENCIA: SIN, VELOCIDAD MAXIMA: 50 Km/h</t>
  </si>
  <si>
    <t>4.3.6-9604.3</t>
  </si>
  <si>
    <t>TABLETA PC; RESOLUCION: 1280 X 800 PXL, PANTALLA: 9,4 pulg, MEMORIA: 32 Gb, MEMORIA RAM: 32 Gb</t>
  </si>
  <si>
    <t>2.9.3-6368.12</t>
  </si>
  <si>
    <t>CONTROLADORES DE PROCESO; TIPO: MODULO DE EXPANSION, SALIDA: SIN, FORMATO: MODULAR, ALIMENTACION: 24 VCC, INDICADOR: A LED, TIPO DE ENTRADA: DISCRETA</t>
  </si>
  <si>
    <t>4.3.5-5563.16</t>
  </si>
  <si>
    <t>PIZARRONES; MATERIAL: LAMINADO PLASTICO, TAMAÑO: 200 X 120 Cm, SOPORTE: SOBRE PARED, DIMENSION PLANO: 200 X 120 Cm</t>
  </si>
  <si>
    <t>4.3.5-9163.64</t>
  </si>
  <si>
    <t>EQUIPOS DIDACTICOS TECNICOS; NOMBRE: SISTEMA DE SONIDO, TIPO: ESTEREO</t>
  </si>
  <si>
    <t>Equipos Varios</t>
  </si>
  <si>
    <t>PESOS: DOCE MILLONES TRESCIENTOS SETENTA Y DOS MIL CON 00/100.-</t>
  </si>
  <si>
    <t>Costo total estimado:  PESOS DOCE MILLONES TRESCIENTOS SETENTA Y DOS MIL CON 00/100.-</t>
  </si>
  <si>
    <t>3° TRIMESTRE 2021</t>
  </si>
  <si>
    <t xml:space="preserve"> SECRETARIA DE INNOVACION TECNOLOGICA</t>
  </si>
  <si>
    <t xml:space="preserve">ADQUISICIÓN DE  DIVERSOS EQUIPOS DESTINADO  A LA SECRETARIA INNOVACIÓN TECNOLOGICA DEPENDIENTE DEL MINISTERIO DE CIENCIA E INNOVACIÓN TECNOLOGICA.- </t>
  </si>
  <si>
    <t xml:space="preserve">ADQUISICIÓN DE  DIVERSOS EQUIPOS DESTINADO A LA SECRETARIA INNOVACIÓN TECNOLOGICA DEPENDIENTE DEL MINISTERIO DE CIENCIA E INNOVACIÓN TECNOLOGICA.- </t>
  </si>
  <si>
    <t>Equipos para Computación</t>
  </si>
  <si>
    <t>Equipo de Transporte, Tracción y Elevación</t>
  </si>
  <si>
    <t>Útiles y Materiales eléctricos</t>
  </si>
  <si>
    <t xml:space="preserve">NOTEBOOK - alto rendimiento – Pantalla HD 14” Resolución 1366px x 768px mínimo.  Procesador Tipo  Intel Core i5-8265U 4.2 GHz. Memoria del Sistema 8 GB. DDR4 SDRAM. Conectividad Lector de Tarjeta 4 en 1. HDMI. USB 4 (2X 3.29), (2X3.2 Type C). DISCO RIGIDO 256 GB SSD mínimo. Sistema Operativo WINDOWS 10 Pro. Batería de 65 Wh mínimo. Wifi.
</t>
  </si>
  <si>
    <t>COMPUTADORA ESTÁNDAR - alto rendimiento - CPU: CORE I7 10700F * Motherboard: MSI H310M PRO-VHD PLUS * Memoria RAM Memoria Ddr4 8Gb 2666Mhz (CB8GU2666) * Video: Intel HD 630 (Integrado) * DISCO RIGIDO: 1TB 7200RPM SATA3 * Fuente: 500W (c/Gabinete) *
TECLADO+MOUSE+PARLANTES * Placa WiFi USB DUAL Frecuencias 2,4 y 5 Ghz *.
Monitor LED 19” mínimo Resolución de 1366px-768px.</t>
  </si>
  <si>
    <t>TABLET: Sistema operativo: Android.  Con procesador de 2GHz. ○ Resolución de pantalla de 1280px x 800px.  Con lector microSD.  32 gb de almacenamiento ○ Memoria expandible. ○Sistema de altavoces.</t>
  </si>
  <si>
    <t>#Sistema de proyección: 0.55" SVGA. Resolución nativa: 800x600. Tipo DC: DC3. Brillo: 3600lm. Relación de contraste con modo SuperEco: 22000:1. Visualización de colores: 1,07 mil millones de colores. Distancia de alcance: 1.19m-13.11m (100" @3.98m). Compatibilidad con HDTV: 480i, 480p, 576i, 576p, 720p, 1080i, 1080p.</t>
  </si>
  <si>
    <t>Lentes ajustables OLED de 1.600 x 1.400 píxeles.  Debe contar con sensores externos de movimiento. Tasa de refresco de 60Hz. Dimensiones  Aproximadas: 190x105x115mm. Peso: 468 gramos. Sonido integrado en correas de ajuste.  Conexiones: micro-USB y minijack para auriculares externos. Sistema operativo basado en Android. Bluetooth integrado.</t>
  </si>
  <si>
    <t>Súper Kit de la robótica educativa.
•	800 componentes estructurales y de movimiento.
•	4 motores inteligentes, 7 sensores (2 de contacto, 1 de distancia, 1 giroscopio, 1 de color, 2 touch LED).
•	1 cerebro del robot, control remoto y baterías incluidas.
•	Caja contenedora y bandeja de almacenamiento incluidas para el almacenamiento organizado de todas las piezas.</t>
  </si>
  <si>
    <t>Kit áulico + competencia
•	Kit de robot Clawbot con 4 motores.
•	Paquete de sistema VEXnet.
•	Motor adicional de 2 hilos 393.
•	Batería de robot NiMH 3000mAh.
•	Baterías de control remoto (joystick) y cargadores.</t>
  </si>
  <si>
    <t>Procesador Raspberry PI 4. 2 Gb de memoria.  Wifi integrada en la placa. Bluetooth de baja energía integrada en la placa.  Puerto general de entrada salida (GPIO) de 40 pines integrado en la placa.  4 puertos USB2 integrados en la placa.  Puerto de tamaño completo HDMI para conexión de una cámara.  Puerto de display para conectar una pantalla Touch Screen.  Puerto para conexión de una memoria Micro SD para contener el sistema operativo y datos.  Fuente de alimentación de 110/240 V 50 Hz C.A., mejorada con corriente de salida de 3 A, para alimentar la placa. Dos disipadores de aluminio.  Memoria Micro SD Samsung de 32 GB clase 10, precargada con NOOBS Micro SD to USB adapter ○ Pantalla Touch Screen TFT de 7 pulgadas, definición de 800 por 480 pixeles, con teclado de detección capacitiva, para 10 dedos. Teclado inalámbrico de 2,4 Ghz, con mouse integrado.  Gabinete completo.</t>
  </si>
  <si>
    <t>• 1)-Arduino Uno SMD compatible Chipset de comunicación USB CH340. • 2)-Integrado 74HC595N. • 3)- Buzzer.  • 4)- Sensor infrarrojo.  • 5)- Receptor Sensor Infrarrojo 1838B. • 6)-Ball switch. • 7)- Juegos de cables macho-macho. •  8)- Sensor de temperatura LM35. • 9)-Protectores para pulsadores. • 10)- Pulsadores. •  11)- Modulo Joystick. • 12)- Fotoresistores. • 13)-Protoboard de 830 puntos. •  14)- Control remoto de 21 botones. •  15)- Modulo RTC. •16).Motor paso a paso 28BYJ-48. • 17)- Cables de protoboard macho-hembra (paquete de 20 unidades, 20cm de longitud por cable).   • 18)- Modulo Relay rele de 1 canal con entrada TTL. • 19)-Cable USB A/B. •  20)- Display de 1 digito, 8 segmentos.  •  21)- Display de 4 dígitos, 8 segmentos. • 22)- Modulo controlador de motores paso a paso SBT0811. • 23)- Matriz led 8x8.  • 24)- Matriz de pulsadores 4x4. • 25)- Juego de resistencias  1K / 10K / 220R. • 26)- kit con lector RFID-RC522, llavero, tarjeta y juego de pines. • 27)- Adaptador de batería de 9V a pin de carga. • 28)- Modulo sensor micrófono KY-037. • 29)- Modulo RGB KY-016.      • 30)- Servo sg90. •31)- Sensor de Nivel de agua. •  32)- Display LCD 16*2 fondo azul. • 33)- Juego de Leds. • 34)- Modulo dht11 de temperatura y humedad. • 35)- Potenciómetro B10k. (Todo en portafolio de plástico).</t>
  </si>
  <si>
    <t>• 1). Arduino Mega 2560 CH340. • 2). Cable USB A/B. Arduino. • 3).Tira pines macho-macho. • 4).Juegos de cables macho-macho. • 5). 10 Cables hembra macho Dupont. • 6).Protoboard 830 puntos. • 7).Juego de resistencias  10 1K / 10 10K / 10 220R. • 8).15 leds de diferentes colores. • 9).Display de 4 dígitos, 7 segmentos. • 10).Display de 1 dígitos, 7 segmentos. • 11).Matriz led 8x8. • 12).Kit con lector RFID-RC522, llavero, tarjeta y juego de pines. • 13).Display LCD 16*2 fondo azul. • 14).Módulos DHT11 de temperatura y humedad. • 15).Modulo Joystick. • 16).Porta pila para  6 pilas AA. • 17).Driver motor SBT0811 UNL2003 para motores paso a paso. • 18).Motor paso a paso 28BYJ-48. • 19).Control remoto de 17 botones. • 20).4 Pulsadores. •  21).4 Protectores para pulsadores. • 22).Integrado SN74HC595N. • 23).Sensor temperatura LM35DZ. • 24).Sensor Receptor infrarrojo VS1838B. • 25).3 Fotoresistores. • 26).Mini Buzzer PCB. • 27).Buzzer R/TMB12A05. • 28).Diodo Led receptor infrarrojo. • 29).2 Sensor de inclinación SW-520D. • 30).Potenciómetro B10K. • 31).Modulo Rele 5V 10A. • 32).Servo motor SG90.• 33).Led RGB 5mm. • 34).Sensor Ultrasónico. • 35).Sensor de movimiento Pir  HCSR501. • 36).Modulo sensor de gas MQ2. • 37).Modulo Sensor De Humedad de suelo. • 38).Acelerómetro Adxl345. (Todo en portafolio de plástico)</t>
  </si>
  <si>
    <t>1) 1 Núcleo basado en Arduino Nano con Pantalla incorporada al núcleo. 2) 8 puertos de entrada / salida con conectores RJ11. 3) Conexión vía: USB / Bluetooth / Infrarrojo. 4) 17 sensores, actuadores y motores. 5) 2 motorreductores. 6) 1 motor  7) 1 LED bicolor. 8) 1 Sensor pulsador.  9) 1 Servomotor. 10) 1 Sensor ultrasónico. 11) 2 Sensores de velocidad encoder. 12) 1 Sensor de gas.  13) 1 Sensor de luz.  14) 1 Sensor de humedad del suelo.  15) 1 Sensor barrera infrarroja.  16) 1 Sensor de temperatura y humedad.  17) 1 Sensor de sonido. ○ 2 Sensores seguidores de lineas.  18) 485 Bloques, engranajes y accesorios.  19) 2 Pilas recargables tipo 18650 incluidas. 20) Carga por puerto microUSB estándar.  21) Cargador 220v. incluido. 22)- Software de Programación. 23)- APP para celulares y tablets</t>
  </si>
  <si>
    <t>Equipo de sonido completo con: *2 BAFLES 4757 BOCINA Y BALA. *1 CONSOLA 12 CANALES MOON MC 12. *1 POTENCIA MOON PM 600. *1 AURICULAR. *2 MICRÓFONOS.* CABLES PARA SU CONEXIÓN.</t>
  </si>
  <si>
    <t>Pizarra de medida estándar, hecha de madera MDF liviana y resistente, con marco Rígido color negro mate y suave,  laminado FORMICA vitrificado con  excelente borrado en seco sin dejar marcas.</t>
  </si>
  <si>
    <t xml:space="preserve">Drones Educativos, Debe incluir una batería incluida.  Resolución de cámara: Full HD.  Debe poseer 4 motores. Tipo de drone: aéreo.  Manejo a control remoto. </t>
  </si>
  <si>
    <t xml:space="preserve">Drones Profesional, Resolución máxima de la cámara 4K.  Tiempo máximo de vuelo 31 m. Cantidad de baterías 3.  </t>
  </si>
  <si>
    <t>Especificidades Item N° 20:</t>
  </si>
  <si>
    <t>Tipo Driver Monster motor shield VNH2SP30: circuito integrado VNH2SP30. Voltaje máximo de 16 volts. Capacidad máxima de corriente: 30 A. Capacidad continua de corriente: 14 A .Sensado de corriente a través de un pin analógico de Arduino. Resistencia en encendido de mosfet: 19 miliohms. Frecuencia de PWM máxima 20 Khz. Apagado térmico automático. Apagado por alto y bajo voltaje .Espacio disponible en el PCB para colocar terminales o soldar cables directamente</t>
  </si>
  <si>
    <t>026/2021</t>
  </si>
  <si>
    <t>Pizarras interactivas multitáctil 78”. Lápiz telescópico incluido. Método de Entrada Sistema de sensor de imagen por infrarrojos. Interfaz al ordenador USB 1.1, USB 2.1. Especificaciones de operatividad +5 - +35°C, 20-80% de humedad sin conden. Cable USB (5.0 m), Software StarBoard v.9.41 o posterior, guía de inicio rápido para hardware y software, brazos para montaje en pared, lápiz telescópico.</t>
  </si>
  <si>
    <t>TELESCOPIO: Tipo Celestron Astromaster 130EQ. Diseño Reflector Newtoniano. Montura Ecuatorial Alemana. Compatible con Motor Impulsor Celestron. Buscador StarPointer. Óptica compatible con uso Astronómico y Terrestre. Armado rápido y fácil sin herramientas. Sólido trípode con patas de acero de 1.25 pulgadas mínimo. Óptica de vidrio con tratamiento para imágenes claras y definidas. Bandeja porta-objetos. Software de Astronomía con más de 10000 objetos, mapas imprimibles e imágenes.</t>
  </si>
  <si>
    <t>Lápiz 3D. Modo de extrusión: automático. Temperatura Ajustable: 130-235 grados. Debe tener un Diseño ergonómico. Debe ser Fácil de usar, práctico y liviano. Área de impresión: ilimitada. Debe ser utilizado con filamento PLA de 1,75 mm</t>
  </si>
  <si>
    <t>IMPRESORA 3D; TIPO: LAPICES 3D, DIMENSION: 17.5 CM x 1.7 CM x 2CM, TEMPERATURA AJUSTABLE: 130-235 GRADOS, MATERIAL DE IMPRESION: ABS Y PLA, VOLTAJE: DC 5V 2A 10W</t>
  </si>
  <si>
    <t>4.3.6-9707.21</t>
  </si>
  <si>
    <t>IMPRESORA 3D; TIPO: FDM, DIMENSION: 220 X 220 X 260mm, RESOLUCION: SEGÚN  PLIEGO, PRECISION: SEGÚN PLIEGO, ESPESOR CAPA: SEGÚN PLIEGO</t>
  </si>
  <si>
    <t>4.3.6-9707.20</t>
  </si>
  <si>
    <t>Tecnología de Impresión 3D: FDM. Cantidad de extrusores: 2. Apta para filamentos ABS, PLA y Nylon. Largo de la zona de impresión: 220mm. Ancho de la zona de impresión: 220mm. Altura de la zona de impresión: 260mm. Resolución mínima y máxima de la capa: 390um – 100um. Temperatura máxima de la cama caliente: 110°C</t>
  </si>
  <si>
    <t>Costo total estimado: INFORMATICA</t>
  </si>
  <si>
    <t>EQUIPO</t>
  </si>
  <si>
    <t>Costo total estimado:EQUIPOS</t>
  </si>
  <si>
    <t>Costo total estimado: TRANSPORTE Y DEPOSITO</t>
  </si>
  <si>
    <t>025/2021</t>
  </si>
  <si>
    <t xml:space="preserve"> SECRETARIA DE CIENCIA Y TECNOLOGIA</t>
  </si>
  <si>
    <t xml:space="preserve">ADQUISICIÓN DE DIVERSOS EQUIPOS  DESTINADO A LA SECRETARIA DE CIENCIA Y TECNNOLOGIA  DEPENDIENTE DEL MINISTERIO DE CIENCIA E INNOVACIÓN TECNOLOGICA.- </t>
  </si>
  <si>
    <t>Costo total estimado:  PESOS SEIS MILLONES DOSCIENTOS CUARENTA Y DOS MIL CON 00/100.-</t>
  </si>
  <si>
    <t>Autorizo la realización de los  trámites correspondientes, a fin de proveer a  este Organismo los bienes y/o servicios que se detallan en Nota  de Pedido N° 25/2021,  afectando la erogación resultante a los créditos presupuestarios aprobados a favor de esta Unidad Ejecutora, conforme al siguiente detalle:</t>
  </si>
  <si>
    <t>PESOS: SEIS MILLONES DOSCIENTOS CUARENTA Y DOS MIL CON 00/100.-</t>
  </si>
  <si>
    <t xml:space="preserve">ADQUISICIÓN DE  DIVERSOS EQUIPOS DESTINADO  A LA SECRETARIA SECRETARIA DE CIENCIA Y TECNOLOGIA DEPENDIENTE DEL MINISTERIO DE CIENCIA E INNOVACIÓN TECNOLOGICA.-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</si>
</sst>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_);_(@_)"/>
    <numFmt numFmtId="165" formatCode="_-* #,##0.00&quot; €&quot;_-;\-* #,##0.00&quot; €&quot;_-;_-* \-??&quot; €&quot;_-;_-@_-"/>
    <numFmt numFmtId="166" formatCode="[$$-2C0A]\ #,##0.00;[$$-2C0A]&quot; -&quot;#,##0.00"/>
    <numFmt numFmtId="167" formatCode="[$$-2C0A]\ #,##0.00"/>
    <numFmt numFmtId="168" formatCode="dd\-mm\-yy;@"/>
    <numFmt numFmtId="169" formatCode="_-[$$-2C0A]\ * #,##0.00_-;\-[$$-2C0A]\ * #,##0.00_-;_-[$$-2C0A]\ * &quot;-&quot;??_-;_-@_-"/>
    <numFmt numFmtId="170" formatCode="&quot;$&quot;\ #,##0.00"/>
    <numFmt numFmtId="171" formatCode="_-[$$-2C0A]\ * #,##0.00_-;\-[$$-2C0A]\ * #,##0.00_-;_-[$$-2C0A]\ * &quot;-&quot;??_-;_-@"/>
  </numFmts>
  <fonts count="28"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u/>
      <sz val="10"/>
      <name val="Times New Roman"/>
      <family val="1"/>
    </font>
    <font>
      <sz val="10"/>
      <color theme="0"/>
      <name val="Times New Roman"/>
      <family val="1"/>
    </font>
    <font>
      <sz val="11"/>
      <name val="Times New Roman"/>
      <family val="1"/>
    </font>
    <font>
      <b/>
      <sz val="11"/>
      <color rgb="FF333333"/>
      <name val="Arial"/>
      <family val="2"/>
    </font>
    <font>
      <sz val="11"/>
      <color rgb="FF333333"/>
      <name val="Arial"/>
      <family val="2"/>
    </font>
    <font>
      <sz val="11"/>
      <name val="Arial"/>
      <family val="2"/>
    </font>
    <font>
      <b/>
      <sz val="9"/>
      <color rgb="FF333333"/>
      <name val="Arial"/>
      <family val="2"/>
    </font>
    <font>
      <b/>
      <sz val="11"/>
      <name val="Arial"/>
      <family val="2"/>
    </font>
    <font>
      <b/>
      <sz val="11"/>
      <name val="Times New Roman"/>
      <family val="1"/>
    </font>
    <font>
      <b/>
      <sz val="12"/>
      <color rgb="FFFF0000"/>
      <name val="Times New Roman"/>
      <family val="1"/>
    </font>
  </fonts>
  <fills count="8">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
      <patternFill patternType="solid">
        <fgColor rgb="FFC0C0C0"/>
        <bgColor rgb="FFC0C0C0"/>
      </patternFill>
    </fill>
    <fill>
      <patternFill patternType="solid">
        <fgColor rgb="FFCCFFFF"/>
        <bgColor rgb="FFCCFFFF"/>
      </patternFill>
    </fill>
    <fill>
      <patternFill patternType="solid">
        <fgColor theme="0"/>
        <bgColor rgb="FFC0C0C0"/>
      </patternFill>
    </fill>
  </fills>
  <borders count="48">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thin">
        <color rgb="FF3D3D3D"/>
      </right>
      <top style="medium">
        <color rgb="FF3D3D3D"/>
      </top>
      <bottom style="thin">
        <color rgb="FF3D3D3D"/>
      </bottom>
      <diagonal/>
    </border>
    <border>
      <left style="thin">
        <color rgb="FF3D3D3D"/>
      </left>
      <right style="thin">
        <color rgb="FF3D3D3D"/>
      </right>
      <top style="thin">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ck">
        <color rgb="FF000000"/>
      </left>
      <right style="thick">
        <color rgb="FF000000"/>
      </right>
      <top style="thick">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medium">
        <color auto="1"/>
      </top>
      <bottom style="medium">
        <color auto="1"/>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80">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4" xfId="0" applyBorder="1"/>
    <xf numFmtId="0" fontId="0" fillId="0" borderId="12" xfId="0" applyBorder="1"/>
    <xf numFmtId="0" fontId="0" fillId="0" borderId="12" xfId="0" applyBorder="1" applyAlignment="1">
      <alignment horizontal="left"/>
    </xf>
    <xf numFmtId="0" fontId="0" fillId="0" borderId="25" xfId="0" applyBorder="1"/>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8" xfId="0" applyFont="1" applyBorder="1" applyAlignment="1">
      <alignment horizontal="left" vertical="center"/>
    </xf>
    <xf numFmtId="0" fontId="14" fillId="0" borderId="29" xfId="0" applyFont="1" applyBorder="1" applyAlignment="1">
      <alignment horizontal="center" vertical="center"/>
    </xf>
    <xf numFmtId="0" fontId="14" fillId="0" borderId="23" xfId="0" applyFont="1" applyBorder="1" applyAlignment="1">
      <alignment horizontal="center" vertical="center"/>
    </xf>
    <xf numFmtId="0" fontId="0" fillId="0" borderId="30" xfId="0" applyFont="1" applyBorder="1" applyAlignment="1">
      <alignment horizontal="center" vertical="center"/>
    </xf>
    <xf numFmtId="0" fontId="0" fillId="0" borderId="31" xfId="0" applyFont="1" applyBorder="1" applyAlignment="1">
      <alignment horizontal="center" vertical="center"/>
    </xf>
    <xf numFmtId="0" fontId="0" fillId="0" borderId="31" xfId="0" applyBorder="1" applyAlignment="1">
      <alignment horizontal="center" vertical="center"/>
    </xf>
    <xf numFmtId="0" fontId="12" fillId="0" borderId="31" xfId="0" applyFont="1" applyBorder="1" applyAlignment="1">
      <alignment horizontal="center" vertical="center"/>
    </xf>
    <xf numFmtId="0" fontId="16" fillId="0" borderId="0" xfId="0" applyFont="1"/>
    <xf numFmtId="0" fontId="18" fillId="0" borderId="2" xfId="0" applyFont="1" applyBorder="1"/>
    <xf numFmtId="0" fontId="16" fillId="0" borderId="3" xfId="0" applyFont="1" applyBorder="1"/>
    <xf numFmtId="0" fontId="16" fillId="0" borderId="4" xfId="0" applyFont="1" applyBorder="1"/>
    <xf numFmtId="0" fontId="16" fillId="0" borderId="5" xfId="0" applyFont="1" applyBorder="1"/>
    <xf numFmtId="0" fontId="16" fillId="0" borderId="0" xfId="0" applyFont="1" applyBorder="1"/>
    <xf numFmtId="0" fontId="16" fillId="0" borderId="6" xfId="0" applyFont="1" applyBorder="1"/>
    <xf numFmtId="0" fontId="18" fillId="0" borderId="5" xfId="0" applyFont="1" applyBorder="1" applyAlignment="1">
      <alignment horizontal="left" indent="3"/>
    </xf>
    <xf numFmtId="0" fontId="16" fillId="0" borderId="5" xfId="0" applyFont="1" applyBorder="1" applyAlignment="1">
      <alignment horizontal="left" indent="3"/>
    </xf>
    <xf numFmtId="0" fontId="16" fillId="0" borderId="0" xfId="0" applyFont="1" applyBorder="1" applyAlignment="1">
      <alignment horizontal="center" wrapText="1"/>
    </xf>
    <xf numFmtId="0" fontId="16" fillId="0" borderId="6" xfId="0" applyFont="1" applyBorder="1" applyAlignment="1">
      <alignment horizontal="center" wrapText="1"/>
    </xf>
    <xf numFmtId="0" fontId="16" fillId="0" borderId="7" xfId="0" applyFont="1" applyBorder="1" applyAlignment="1">
      <alignment horizontal="left" indent="3"/>
    </xf>
    <xf numFmtId="0" fontId="16" fillId="0" borderId="8" xfId="0" applyFont="1" applyBorder="1"/>
    <xf numFmtId="0" fontId="16" fillId="0" borderId="9" xfId="0" applyFont="1" applyBorder="1"/>
    <xf numFmtId="0" fontId="6" fillId="4" borderId="11" xfId="0" applyFont="1" applyFill="1" applyBorder="1" applyAlignment="1">
      <alignment horizontal="center" vertical="center"/>
    </xf>
    <xf numFmtId="0" fontId="0" fillId="4" borderId="30" xfId="0" applyFont="1" applyFill="1" applyBorder="1" applyAlignment="1">
      <alignment horizontal="center" vertical="center"/>
    </xf>
    <xf numFmtId="0" fontId="15" fillId="0" borderId="0" xfId="0" applyFont="1"/>
    <xf numFmtId="167" fontId="2" fillId="0" borderId="0" xfId="0" applyNumberFormat="1" applyFont="1" applyBorder="1" applyAlignment="1">
      <alignment vertical="center"/>
    </xf>
    <xf numFmtId="166" fontId="14" fillId="3" borderId="32" xfId="0" applyNumberFormat="1" applyFont="1" applyFill="1" applyBorder="1" applyAlignment="1">
      <alignment horizontal="center" vertical="center"/>
    </xf>
    <xf numFmtId="0" fontId="0" fillId="4" borderId="31" xfId="0" applyFont="1" applyFill="1" applyBorder="1" applyAlignment="1">
      <alignment horizontal="center" vertical="center"/>
    </xf>
    <xf numFmtId="166" fontId="0" fillId="0" borderId="31" xfId="3" applyNumberFormat="1" applyFont="1" applyBorder="1" applyAlignment="1" applyProtection="1">
      <alignment horizontal="center" vertical="center"/>
    </xf>
    <xf numFmtId="0" fontId="9" fillId="0" borderId="14" xfId="0" applyFont="1" applyBorder="1" applyAlignment="1">
      <alignment horizontal="center" vertical="center"/>
    </xf>
    <xf numFmtId="0" fontId="9" fillId="0" borderId="14" xfId="0" applyFont="1" applyBorder="1" applyAlignment="1">
      <alignment horizontal="left" vertical="center"/>
    </xf>
    <xf numFmtId="0" fontId="4" fillId="4" borderId="14" xfId="0" applyFont="1" applyFill="1" applyBorder="1" applyAlignment="1">
      <alignment horizontal="center" vertical="center"/>
    </xf>
    <xf numFmtId="0" fontId="4" fillId="3" borderId="14" xfId="0" applyFont="1" applyFill="1" applyBorder="1" applyAlignment="1">
      <alignment horizontal="center" vertical="center" wrapText="1"/>
    </xf>
    <xf numFmtId="166" fontId="4" fillId="3" borderId="14" xfId="1" applyNumberFormat="1" applyFont="1" applyFill="1" applyBorder="1" applyAlignment="1" applyProtection="1">
      <alignment horizontal="right" vertical="center" wrapText="1"/>
    </xf>
    <xf numFmtId="3" fontId="4" fillId="3" borderId="14" xfId="0" applyNumberFormat="1" applyFont="1" applyFill="1" applyBorder="1" applyAlignment="1">
      <alignment horizontal="center" vertical="center"/>
    </xf>
    <xf numFmtId="169" fontId="0" fillId="3" borderId="30" xfId="3" applyNumberFormat="1" applyFont="1" applyFill="1" applyBorder="1" applyAlignment="1" applyProtection="1">
      <alignment horizontal="center" vertical="center"/>
    </xf>
    <xf numFmtId="169" fontId="0" fillId="0" borderId="31" xfId="3" applyNumberFormat="1" applyFont="1" applyBorder="1" applyAlignment="1" applyProtection="1">
      <alignment horizontal="center" vertical="center"/>
    </xf>
    <xf numFmtId="167" fontId="19" fillId="0" borderId="0" xfId="0" applyNumberFormat="1" applyFont="1"/>
    <xf numFmtId="0" fontId="16" fillId="0" borderId="0" xfId="0" applyFont="1" applyAlignment="1">
      <alignment horizontal="center" vertical="center"/>
    </xf>
    <xf numFmtId="0" fontId="16" fillId="0" borderId="0" xfId="0" applyFont="1" applyAlignment="1">
      <alignment horizontal="center"/>
    </xf>
    <xf numFmtId="0" fontId="20" fillId="0" borderId="0" xfId="0" applyFont="1" applyAlignment="1">
      <alignment horizontal="left" vertical="top"/>
    </xf>
    <xf numFmtId="170" fontId="16" fillId="0" borderId="0" xfId="0" applyNumberFormat="1" applyFont="1" applyAlignment="1">
      <alignment horizontal="center"/>
    </xf>
    <xf numFmtId="0" fontId="22" fillId="0" borderId="0" xfId="0" applyFont="1" applyAlignment="1">
      <alignment horizontal="left" wrapText="1"/>
    </xf>
    <xf numFmtId="0" fontId="22" fillId="0" borderId="0" xfId="0" applyFont="1" applyAlignment="1">
      <alignment horizontal="center" wrapText="1"/>
    </xf>
    <xf numFmtId="170" fontId="22" fillId="0" borderId="0" xfId="0" applyNumberFormat="1" applyFont="1" applyAlignment="1">
      <alignment horizontal="center" wrapText="1"/>
    </xf>
    <xf numFmtId="0" fontId="23" fillId="0" borderId="0" xfId="0" applyFont="1"/>
    <xf numFmtId="0" fontId="21" fillId="5" borderId="0" xfId="0" applyFont="1" applyFill="1" applyBorder="1" applyAlignment="1">
      <alignment horizontal="left" wrapText="1"/>
    </xf>
    <xf numFmtId="0" fontId="21" fillId="5" borderId="0" xfId="0" applyFont="1" applyFill="1" applyBorder="1" applyAlignment="1">
      <alignment horizontal="left" vertical="top" wrapText="1"/>
    </xf>
    <xf numFmtId="0" fontId="22" fillId="0" borderId="0" xfId="0" applyFont="1" applyAlignment="1">
      <alignment horizontal="center" vertical="center" wrapText="1"/>
    </xf>
    <xf numFmtId="0" fontId="22" fillId="0" borderId="0" xfId="0" applyFont="1" applyAlignment="1">
      <alignment horizontal="left" vertical="top" wrapText="1"/>
    </xf>
    <xf numFmtId="0" fontId="21" fillId="6" borderId="36" xfId="0" applyFont="1" applyFill="1" applyBorder="1" applyAlignment="1">
      <alignment horizontal="center" vertical="center" wrapText="1"/>
    </xf>
    <xf numFmtId="0" fontId="24" fillId="6" borderId="36" xfId="0" applyFont="1" applyFill="1" applyBorder="1" applyAlignment="1">
      <alignment horizontal="center" vertical="center" wrapText="1"/>
    </xf>
    <xf numFmtId="170" fontId="21" fillId="6" borderId="36" xfId="0" applyNumberFormat="1" applyFont="1" applyFill="1" applyBorder="1" applyAlignment="1">
      <alignment horizontal="center" vertical="center" wrapText="1"/>
    </xf>
    <xf numFmtId="0" fontId="23" fillId="0" borderId="37" xfId="0" applyFont="1" applyBorder="1" applyAlignment="1">
      <alignment horizontal="center" vertical="center"/>
    </xf>
    <xf numFmtId="170" fontId="23" fillId="0" borderId="37" xfId="0" applyNumberFormat="1" applyFont="1" applyBorder="1" applyAlignment="1">
      <alignment horizontal="center" vertical="center"/>
    </xf>
    <xf numFmtId="171" fontId="23" fillId="0" borderId="37" xfId="0" applyNumberFormat="1" applyFont="1" applyBorder="1" applyAlignment="1">
      <alignment vertical="center"/>
    </xf>
    <xf numFmtId="0" fontId="16" fillId="0" borderId="0" xfId="0" applyFont="1" applyAlignment="1">
      <alignment vertical="center"/>
    </xf>
    <xf numFmtId="0" fontId="23" fillId="0" borderId="37" xfId="0" applyFont="1" applyBorder="1" applyAlignment="1">
      <alignment horizontal="center" vertical="center" wrapText="1"/>
    </xf>
    <xf numFmtId="0" fontId="23" fillId="0" borderId="37" xfId="0" applyFont="1" applyBorder="1" applyAlignment="1">
      <alignment horizontal="left" vertical="center" wrapText="1"/>
    </xf>
    <xf numFmtId="0" fontId="23" fillId="6" borderId="38" xfId="0" applyFont="1" applyFill="1" applyBorder="1" applyAlignment="1">
      <alignment vertical="center" wrapText="1"/>
    </xf>
    <xf numFmtId="0" fontId="25" fillId="6" borderId="39" xfId="0" applyFont="1" applyFill="1" applyBorder="1" applyAlignment="1">
      <alignment horizontal="center" vertical="center" wrapText="1"/>
    </xf>
    <xf numFmtId="0" fontId="23" fillId="6" borderId="40" xfId="0" applyFont="1" applyFill="1" applyBorder="1" applyAlignment="1">
      <alignment vertical="center" wrapText="1"/>
    </xf>
    <xf numFmtId="171" fontId="25" fillId="6" borderId="37" xfId="0" applyNumberFormat="1" applyFont="1" applyFill="1" applyBorder="1"/>
    <xf numFmtId="167" fontId="16" fillId="0" borderId="0" xfId="0" applyNumberFormat="1" applyFont="1" applyAlignment="1">
      <alignment horizontal="center" vertical="center"/>
    </xf>
    <xf numFmtId="0" fontId="23" fillId="0" borderId="39" xfId="0" applyFont="1" applyBorder="1" applyAlignment="1">
      <alignment horizontal="center" vertical="center" wrapText="1"/>
    </xf>
    <xf numFmtId="0" fontId="23" fillId="0" borderId="38" xfId="0" applyFont="1" applyBorder="1" applyAlignment="1">
      <alignment horizontal="center" vertical="center" wrapText="1"/>
    </xf>
    <xf numFmtId="0" fontId="23" fillId="0" borderId="40" xfId="0" applyFont="1" applyBorder="1" applyAlignment="1">
      <alignment horizontal="center" vertical="center" wrapText="1"/>
    </xf>
    <xf numFmtId="171" fontId="23" fillId="0" borderId="37" xfId="0" applyNumberFormat="1" applyFont="1" applyBorder="1"/>
    <xf numFmtId="0" fontId="23" fillId="0" borderId="0" xfId="0" applyFont="1" applyAlignment="1">
      <alignment horizontal="left" vertical="top"/>
    </xf>
    <xf numFmtId="170" fontId="23" fillId="0" borderId="0" xfId="0" applyNumberFormat="1" applyFont="1" applyAlignment="1">
      <alignment horizontal="center"/>
    </xf>
    <xf numFmtId="171" fontId="23" fillId="0" borderId="0" xfId="0" applyNumberFormat="1" applyFont="1"/>
    <xf numFmtId="0" fontId="20" fillId="0" borderId="37" xfId="0" applyFont="1" applyBorder="1" applyAlignment="1">
      <alignment horizontal="center" vertical="center"/>
    </xf>
    <xf numFmtId="170" fontId="20" fillId="0" borderId="37" xfId="0" applyNumberFormat="1" applyFont="1" applyBorder="1" applyAlignment="1">
      <alignment horizontal="center" vertical="center"/>
    </xf>
    <xf numFmtId="171" fontId="20" fillId="0" borderId="37" xfId="0" applyNumberFormat="1" applyFont="1" applyBorder="1" applyAlignment="1">
      <alignment vertical="center"/>
    </xf>
    <xf numFmtId="0" fontId="20" fillId="0" borderId="42" xfId="0" applyFont="1" applyBorder="1" applyAlignment="1">
      <alignment horizontal="center" vertical="center"/>
    </xf>
    <xf numFmtId="0" fontId="20" fillId="0" borderId="43" xfId="0" applyFont="1" applyBorder="1" applyAlignment="1">
      <alignment horizontal="center" vertical="center"/>
    </xf>
    <xf numFmtId="171" fontId="26" fillId="6" borderId="41" xfId="0" applyNumberFormat="1" applyFont="1" applyFill="1" applyBorder="1" applyAlignment="1">
      <alignment vertical="center"/>
    </xf>
    <xf numFmtId="0" fontId="20" fillId="0" borderId="38" xfId="0" applyFont="1" applyBorder="1" applyAlignment="1">
      <alignment vertical="center"/>
    </xf>
    <xf numFmtId="0" fontId="20" fillId="0" borderId="38" xfId="0" applyFont="1" applyBorder="1" applyAlignment="1">
      <alignment horizontal="center" vertical="center"/>
    </xf>
    <xf numFmtId="0" fontId="20" fillId="0" borderId="38" xfId="0" applyFont="1" applyBorder="1" applyAlignment="1">
      <alignment horizontal="left" vertical="center"/>
    </xf>
    <xf numFmtId="170" fontId="20" fillId="0" borderId="38" xfId="0" applyNumberFormat="1" applyFont="1" applyBorder="1" applyAlignment="1">
      <alignment horizontal="center" vertical="center"/>
    </xf>
    <xf numFmtId="171" fontId="20" fillId="0" borderId="38" xfId="0" applyNumberFormat="1" applyFont="1" applyBorder="1" applyAlignment="1">
      <alignment vertical="center"/>
    </xf>
    <xf numFmtId="0" fontId="23" fillId="7" borderId="37" xfId="0" applyFont="1" applyFill="1" applyBorder="1" applyAlignment="1">
      <alignment horizontal="center" vertical="center"/>
    </xf>
    <xf numFmtId="0" fontId="23" fillId="7" borderId="37" xfId="0" applyFont="1" applyFill="1" applyBorder="1" applyAlignment="1">
      <alignment horizontal="left" vertical="center" wrapText="1"/>
    </xf>
    <xf numFmtId="170" fontId="23" fillId="7" borderId="37" xfId="0" applyNumberFormat="1" applyFont="1" applyFill="1" applyBorder="1" applyAlignment="1">
      <alignment horizontal="center" vertical="center"/>
    </xf>
    <xf numFmtId="169" fontId="16" fillId="0" borderId="0" xfId="0" applyNumberFormat="1" applyFont="1"/>
    <xf numFmtId="0" fontId="20" fillId="7" borderId="37" xfId="0" applyFont="1" applyFill="1" applyBorder="1" applyAlignment="1">
      <alignment horizontal="center" vertical="center"/>
    </xf>
    <xf numFmtId="0" fontId="20" fillId="7" borderId="37" xfId="0" applyFont="1" applyFill="1" applyBorder="1" applyAlignment="1">
      <alignment horizontal="left" vertical="center" wrapText="1"/>
    </xf>
    <xf numFmtId="0" fontId="22" fillId="7" borderId="37" xfId="0" applyFont="1" applyFill="1" applyBorder="1" applyAlignment="1">
      <alignment horizontal="center" vertical="center" wrapText="1"/>
    </xf>
    <xf numFmtId="0" fontId="22" fillId="7" borderId="37" xfId="0" applyFont="1" applyFill="1" applyBorder="1" applyAlignment="1">
      <alignment horizontal="left" vertical="top" wrapText="1"/>
    </xf>
    <xf numFmtId="0" fontId="22" fillId="7" borderId="37" xfId="0" applyFont="1" applyFill="1" applyBorder="1" applyAlignment="1">
      <alignment horizontal="center" wrapText="1"/>
    </xf>
    <xf numFmtId="170" fontId="22" fillId="7" borderId="37" xfId="0" applyNumberFormat="1" applyFont="1" applyFill="1" applyBorder="1" applyAlignment="1">
      <alignment horizontal="center" wrapText="1"/>
    </xf>
    <xf numFmtId="0" fontId="27" fillId="4" borderId="11" xfId="0" applyFont="1" applyFill="1" applyBorder="1" applyAlignment="1">
      <alignment horizontal="center" vertical="center"/>
    </xf>
    <xf numFmtId="0" fontId="23" fillId="6" borderId="38" xfId="0" applyFont="1" applyFill="1" applyBorder="1" applyAlignment="1">
      <alignment horizontal="left" vertical="center" wrapText="1"/>
    </xf>
    <xf numFmtId="0" fontId="23" fillId="0" borderId="38" xfId="0" applyFont="1" applyBorder="1" applyAlignment="1">
      <alignment horizontal="left" vertical="center" wrapText="1"/>
    </xf>
    <xf numFmtId="0" fontId="22" fillId="7" borderId="37" xfId="0" applyFont="1" applyFill="1" applyBorder="1" applyAlignment="1">
      <alignment horizontal="left" vertical="center" wrapText="1"/>
    </xf>
    <xf numFmtId="0" fontId="23" fillId="0" borderId="0" xfId="0" applyFont="1" applyAlignment="1">
      <alignment horizontal="left"/>
    </xf>
    <xf numFmtId="0" fontId="20" fillId="7" borderId="37" xfId="0" applyFont="1" applyFill="1" applyBorder="1" applyAlignment="1">
      <alignment horizontal="left" vertical="center"/>
    </xf>
    <xf numFmtId="0" fontId="23" fillId="0" borderId="37" xfId="0" applyFont="1" applyBorder="1" applyAlignment="1">
      <alignment vertical="center"/>
    </xf>
    <xf numFmtId="0" fontId="23" fillId="0" borderId="38" xfId="0" applyFont="1" applyBorder="1" applyAlignment="1">
      <alignment vertical="center" wrapText="1"/>
    </xf>
    <xf numFmtId="0" fontId="22" fillId="7" borderId="37" xfId="0" applyFont="1" applyFill="1" applyBorder="1" applyAlignment="1">
      <alignment vertical="center" wrapText="1"/>
    </xf>
    <xf numFmtId="0" fontId="23" fillId="0" borderId="0" xfId="0" applyFont="1" applyAlignment="1">
      <alignment vertical="center"/>
    </xf>
    <xf numFmtId="0" fontId="20" fillId="4" borderId="37" xfId="0" applyFont="1" applyFill="1" applyBorder="1" applyAlignment="1">
      <alignment vertical="center"/>
    </xf>
    <xf numFmtId="0" fontId="23" fillId="6" borderId="0" xfId="0" applyFont="1" applyFill="1" applyBorder="1" applyAlignment="1">
      <alignment vertical="center"/>
    </xf>
    <xf numFmtId="0" fontId="16" fillId="4" borderId="0" xfId="0" applyFont="1" applyFill="1" applyBorder="1" applyAlignment="1">
      <alignment horizontal="left" wrapText="1"/>
    </xf>
    <xf numFmtId="0" fontId="16" fillId="4" borderId="6" xfId="0" applyFont="1" applyFill="1" applyBorder="1" applyAlignment="1">
      <alignment horizontal="left" wrapText="1"/>
    </xf>
    <xf numFmtId="0" fontId="16" fillId="4" borderId="0" xfId="0" applyFont="1" applyFill="1" applyBorder="1" applyAlignment="1">
      <alignment horizontal="left" vertical="center" wrapText="1"/>
    </xf>
    <xf numFmtId="0" fontId="16" fillId="4" borderId="6" xfId="0" applyFont="1" applyFill="1" applyBorder="1" applyAlignment="1">
      <alignment horizontal="left" vertical="center" wrapText="1"/>
    </xf>
    <xf numFmtId="0" fontId="21" fillId="0" borderId="0" xfId="0" applyFont="1" applyAlignment="1">
      <alignment horizontal="left" vertical="center" wrapText="1"/>
    </xf>
    <xf numFmtId="0" fontId="0" fillId="0" borderId="0" xfId="0" applyFont="1" applyAlignment="1"/>
    <xf numFmtId="0" fontId="17" fillId="0" borderId="0" xfId="0" applyFont="1" applyAlignment="1">
      <alignment horizontal="center"/>
    </xf>
    <xf numFmtId="0" fontId="21" fillId="5" borderId="0" xfId="0" applyFont="1" applyFill="1" applyBorder="1" applyAlignment="1">
      <alignment horizontal="left" wrapText="1"/>
    </xf>
    <xf numFmtId="0" fontId="15" fillId="0" borderId="0" xfId="0" applyFont="1" applyBorder="1"/>
    <xf numFmtId="0" fontId="26" fillId="6" borderId="44" xfId="0" applyFont="1" applyFill="1" applyBorder="1" applyAlignment="1">
      <alignment horizontal="center" vertical="center" wrapText="1"/>
    </xf>
    <xf numFmtId="0" fontId="15" fillId="0" borderId="45" xfId="0" applyFont="1" applyBorder="1" applyAlignment="1">
      <alignment vertical="center"/>
    </xf>
    <xf numFmtId="0" fontId="15" fillId="0" borderId="46" xfId="0" applyFont="1" applyBorder="1" applyAlignment="1">
      <alignment vertical="center"/>
    </xf>
    <xf numFmtId="0" fontId="8" fillId="3" borderId="14" xfId="0" applyFont="1" applyFill="1" applyBorder="1" applyAlignment="1">
      <alignment horizontal="left" vertical="center" wrapText="1" indent="1"/>
    </xf>
    <xf numFmtId="167" fontId="7" fillId="3" borderId="14" xfId="0" applyNumberFormat="1" applyFont="1" applyFill="1" applyBorder="1" applyAlignment="1">
      <alignment horizontal="center" vertical="center"/>
    </xf>
    <xf numFmtId="0" fontId="4" fillId="0" borderId="19" xfId="0" applyFont="1" applyBorder="1" applyAlignment="1">
      <alignment horizontal="left" vertical="center" wrapText="1"/>
    </xf>
    <xf numFmtId="0" fontId="4" fillId="0" borderId="47" xfId="0" applyFont="1" applyBorder="1" applyAlignment="1">
      <alignment horizontal="left" vertical="center" wrapText="1"/>
    </xf>
    <xf numFmtId="0" fontId="4" fillId="0" borderId="20" xfId="0" applyFont="1" applyBorder="1" applyAlignment="1">
      <alignment horizontal="left" vertical="center" wrapText="1"/>
    </xf>
    <xf numFmtId="0" fontId="7" fillId="0" borderId="16" xfId="0" applyFont="1" applyBorder="1" applyAlignment="1">
      <alignment horizontal="left" vertical="center"/>
    </xf>
    <xf numFmtId="0" fontId="1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3"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10" fillId="0" borderId="19" xfId="0" applyFont="1" applyBorder="1" applyAlignment="1">
      <alignment vertical="center" wrapText="1"/>
    </xf>
    <xf numFmtId="0" fontId="10" fillId="0" borderId="33" xfId="0" applyFont="1" applyBorder="1" applyAlignment="1">
      <alignment vertical="center" wrapText="1"/>
    </xf>
    <xf numFmtId="0" fontId="10" fillId="0" borderId="17" xfId="0" applyFont="1" applyBorder="1" applyAlignment="1">
      <alignment vertical="center" wrapText="1"/>
    </xf>
    <xf numFmtId="0" fontId="12" fillId="0" borderId="26" xfId="0" applyFont="1" applyBorder="1" applyAlignment="1">
      <alignment vertical="center" wrapText="1"/>
    </xf>
    <xf numFmtId="0" fontId="15" fillId="4" borderId="32" xfId="0" applyFont="1" applyFill="1" applyBorder="1" applyAlignment="1">
      <alignment horizontal="left" vertical="center" wrapText="1" indent="1"/>
    </xf>
    <xf numFmtId="0" fontId="2" fillId="4" borderId="32" xfId="0" applyFont="1" applyFill="1" applyBorder="1" applyAlignment="1">
      <alignment horizontal="left" vertical="center" wrapText="1" indent="1"/>
    </xf>
    <xf numFmtId="0" fontId="0" fillId="0" borderId="31" xfId="0" applyFont="1" applyBorder="1" applyAlignment="1">
      <alignment horizontal="left" vertical="center"/>
    </xf>
    <xf numFmtId="0" fontId="0" fillId="0" borderId="31" xfId="0" applyBorder="1" applyAlignment="1">
      <alignment horizontal="left" vertical="center"/>
    </xf>
    <xf numFmtId="0" fontId="10" fillId="3" borderId="32" xfId="0" applyFont="1" applyFill="1" applyBorder="1" applyAlignment="1">
      <alignment horizontal="left" vertical="center" wrapText="1"/>
    </xf>
    <xf numFmtId="0" fontId="0" fillId="0" borderId="21" xfId="0" applyBorder="1"/>
    <xf numFmtId="0" fontId="15" fillId="0" borderId="30" xfId="0" applyFont="1" applyBorder="1" applyAlignment="1">
      <alignment horizontal="left" vertical="center" wrapText="1"/>
    </xf>
    <xf numFmtId="0" fontId="0" fillId="0" borderId="30" xfId="0" applyFont="1" applyBorder="1" applyAlignment="1">
      <alignment horizontal="left" vertical="center" wrapText="1"/>
    </xf>
    <xf numFmtId="0" fontId="15" fillId="0" borderId="31" xfId="0" applyFont="1" applyBorder="1" applyAlignment="1">
      <alignment horizontal="left" vertical="center" wrapText="1"/>
    </xf>
    <xf numFmtId="0" fontId="0" fillId="0" borderId="31" xfId="0" applyFont="1" applyBorder="1" applyAlignment="1">
      <alignment horizontal="left" vertical="center" wrapText="1"/>
    </xf>
    <xf numFmtId="0" fontId="15" fillId="0" borderId="31" xfId="0" applyFont="1" applyBorder="1" applyAlignment="1">
      <alignment horizontal="left" vertical="center"/>
    </xf>
    <xf numFmtId="0" fontId="12" fillId="0" borderId="22" xfId="0" applyFont="1" applyBorder="1"/>
    <xf numFmtId="0" fontId="12" fillId="0" borderId="23" xfId="0" applyFont="1" applyBorder="1" applyAlignment="1">
      <alignment horizontal="left" vertical="center" wrapText="1" indent="1"/>
    </xf>
    <xf numFmtId="0" fontId="14" fillId="0" borderId="21" xfId="0" applyFont="1" applyBorder="1" applyAlignment="1">
      <alignment horizontal="center" vertical="center"/>
    </xf>
    <xf numFmtId="0" fontId="14" fillId="0" borderId="11" xfId="0" applyFont="1" applyBorder="1" applyAlignment="1">
      <alignment horizontal="center" vertical="center"/>
    </xf>
    <xf numFmtId="0" fontId="14" fillId="0" borderId="21" xfId="0" applyFont="1" applyBorder="1" applyAlignment="1">
      <alignment horizontal="center" vertical="center" wrapText="1"/>
    </xf>
    <xf numFmtId="0" fontId="14" fillId="0" borderId="26" xfId="0" applyFont="1" applyBorder="1" applyAlignment="1">
      <alignment horizontal="center" vertical="center"/>
    </xf>
    <xf numFmtId="0" fontId="4" fillId="0" borderId="13" xfId="0" applyFont="1" applyBorder="1" applyAlignment="1">
      <alignment horizontal="left" vertical="center" wrapText="1"/>
    </xf>
    <xf numFmtId="0" fontId="4" fillId="0" borderId="34" xfId="0" applyFont="1" applyBorder="1" applyAlignment="1">
      <alignment horizontal="left" vertical="center" wrapText="1"/>
    </xf>
    <xf numFmtId="0" fontId="4" fillId="0" borderId="35" xfId="0" applyFont="1" applyBorder="1" applyAlignment="1">
      <alignment horizontal="left" vertical="center" wrapText="1"/>
    </xf>
    <xf numFmtId="0" fontId="12" fillId="0" borderId="11" xfId="0" applyFont="1" applyBorder="1" applyAlignment="1">
      <alignment horizontal="left" indent="1"/>
    </xf>
    <xf numFmtId="0" fontId="13" fillId="0" borderId="11" xfId="0" applyFont="1" applyBorder="1" applyAlignment="1">
      <alignment horizontal="left"/>
    </xf>
    <xf numFmtId="0" fontId="2" fillId="0" borderId="11" xfId="0" applyFont="1" applyBorder="1" applyAlignment="1">
      <alignment horizontal="left" indent="1"/>
    </xf>
    <xf numFmtId="0" fontId="0" fillId="0" borderId="19" xfId="0" applyFont="1" applyBorder="1" applyAlignment="1">
      <alignment horizontal="center"/>
    </xf>
    <xf numFmtId="3" fontId="10" fillId="0" borderId="20" xfId="0" applyNumberFormat="1" applyFont="1" applyBorder="1" applyAlignment="1">
      <alignment horizontal="center"/>
    </xf>
    <xf numFmtId="0" fontId="11" fillId="0" borderId="11" xfId="0" applyFont="1" applyBorder="1" applyAlignment="1">
      <alignment horizontal="center" vertical="center" wrapText="1"/>
    </xf>
    <xf numFmtId="0" fontId="2" fillId="0" borderId="11" xfId="0" applyFont="1" applyBorder="1"/>
    <xf numFmtId="0" fontId="4" fillId="0" borderId="14" xfId="0" applyFont="1" applyBorder="1" applyAlignment="1">
      <alignment horizontal="left" vertical="center" wrapText="1"/>
    </xf>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400-000002000000}"/>
            </a:ext>
          </a:extLst>
        </xdr:cNvPr>
        <xdr:cNvSpPr/>
      </xdr:nvSpPr>
      <xdr:spPr>
        <a:xfrm>
          <a:off x="6838845"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400-000003000000}"/>
            </a:ext>
          </a:extLst>
        </xdr:cNvPr>
        <xdr:cNvSpPr/>
      </xdr:nvSpPr>
      <xdr:spPr>
        <a:xfrm>
          <a:off x="6838845"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400-000004000000}"/>
            </a:ext>
          </a:extLst>
        </xdr:cNvPr>
        <xdr:cNvSpPr/>
      </xdr:nvSpPr>
      <xdr:spPr>
        <a:xfrm>
          <a:off x="6838845"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400-000005000000}"/>
            </a:ext>
          </a:extLst>
        </xdr:cNvPr>
        <xdr:cNvSpPr/>
      </xdr:nvSpPr>
      <xdr:spPr>
        <a:xfrm>
          <a:off x="6838845"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342"/>
  <sheetViews>
    <sheetView tabSelected="1" topLeftCell="A21" zoomScale="96" zoomScaleNormal="96" workbookViewId="0">
      <selection activeCell="E271" sqref="E271"/>
    </sheetView>
  </sheetViews>
  <sheetFormatPr baseColWidth="10" defaultColWidth="11" defaultRowHeight="12.75" x14ac:dyDescent="0.2"/>
  <cols>
    <col min="1" max="1" width="4.5703125" style="26" customWidth="1"/>
    <col min="2" max="2" width="15.7109375" style="26" customWidth="1"/>
    <col min="3" max="3" width="33" style="26" customWidth="1"/>
    <col min="4" max="4" width="7.140625" style="26" customWidth="1"/>
    <col min="5" max="5" width="59.42578125" style="26" customWidth="1"/>
    <col min="6" max="6" width="11" style="26"/>
    <col min="7" max="7" width="12.42578125" style="26" customWidth="1"/>
    <col min="8" max="8" width="13.28515625" style="26" customWidth="1"/>
    <col min="9" max="9" width="18.140625" style="26" customWidth="1"/>
    <col min="10" max="10" width="0" style="26" hidden="1" customWidth="1"/>
    <col min="11" max="11" width="11" style="26"/>
    <col min="12" max="12" width="14.140625" style="26" customWidth="1"/>
    <col min="13" max="16384" width="11" style="26"/>
  </cols>
  <sheetData>
    <row r="2" spans="1:12" ht="27" x14ac:dyDescent="0.35">
      <c r="B2" s="128" t="s">
        <v>0</v>
      </c>
      <c r="C2" s="127"/>
      <c r="D2" s="127"/>
      <c r="E2" s="127"/>
      <c r="F2" s="127"/>
      <c r="G2" s="127"/>
      <c r="H2" s="127"/>
    </row>
    <row r="3" spans="1:12" ht="8.25" customHeight="1" x14ac:dyDescent="0.2">
      <c r="B3" s="56"/>
      <c r="C3" s="57"/>
      <c r="E3" s="58"/>
      <c r="H3" s="59"/>
    </row>
    <row r="4" spans="1:12" ht="27.75" customHeight="1" x14ac:dyDescent="0.25">
      <c r="A4" s="126" t="s">
        <v>1</v>
      </c>
      <c r="B4" s="127"/>
      <c r="C4" s="129" t="s">
        <v>59</v>
      </c>
      <c r="D4" s="130"/>
      <c r="E4" s="130"/>
      <c r="F4" s="60"/>
      <c r="G4" s="61"/>
      <c r="H4" s="62"/>
      <c r="I4" s="63"/>
    </row>
    <row r="5" spans="1:12" ht="18" customHeight="1" x14ac:dyDescent="0.25">
      <c r="A5" s="126" t="s">
        <v>2</v>
      </c>
      <c r="B5" s="127"/>
      <c r="C5" s="129" t="s">
        <v>60</v>
      </c>
      <c r="D5" s="130"/>
      <c r="E5" s="130"/>
      <c r="F5" s="60"/>
      <c r="G5" s="61"/>
      <c r="H5" s="62"/>
      <c r="I5" s="63"/>
    </row>
    <row r="6" spans="1:12" ht="16.5" customHeight="1" x14ac:dyDescent="0.25">
      <c r="A6" s="126" t="s">
        <v>3</v>
      </c>
      <c r="B6" s="127"/>
      <c r="C6" s="64">
        <v>2021</v>
      </c>
      <c r="D6" s="64"/>
      <c r="E6" s="65"/>
      <c r="F6" s="60"/>
      <c r="G6" s="61"/>
      <c r="H6" s="62"/>
      <c r="I6" s="63"/>
    </row>
    <row r="7" spans="1:12" ht="16.5" customHeight="1" x14ac:dyDescent="0.25">
      <c r="A7" s="126" t="s">
        <v>4</v>
      </c>
      <c r="B7" s="127"/>
      <c r="C7" s="64">
        <v>3</v>
      </c>
      <c r="D7" s="64"/>
      <c r="E7" s="65"/>
      <c r="F7" s="60"/>
      <c r="G7" s="61"/>
      <c r="H7" s="62"/>
      <c r="I7" s="63"/>
    </row>
    <row r="8" spans="1:12" ht="15" thickBot="1" x14ac:dyDescent="0.25">
      <c r="A8" s="63"/>
      <c r="B8" s="66"/>
      <c r="C8" s="61"/>
      <c r="D8" s="60"/>
      <c r="E8" s="67"/>
      <c r="F8" s="60"/>
      <c r="G8" s="61"/>
      <c r="H8" s="62"/>
      <c r="I8" s="63"/>
    </row>
    <row r="9" spans="1:12" ht="45.75" thickTop="1" x14ac:dyDescent="0.2">
      <c r="A9" s="68" t="s">
        <v>5</v>
      </c>
      <c r="B9" s="68" t="s">
        <v>6</v>
      </c>
      <c r="C9" s="68" t="s">
        <v>7</v>
      </c>
      <c r="D9" s="68" t="s">
        <v>8</v>
      </c>
      <c r="E9" s="68" t="s">
        <v>9</v>
      </c>
      <c r="F9" s="69" t="s">
        <v>10</v>
      </c>
      <c r="G9" s="68" t="s">
        <v>11</v>
      </c>
      <c r="H9" s="70" t="s">
        <v>12</v>
      </c>
      <c r="I9" s="68" t="s">
        <v>13</v>
      </c>
    </row>
    <row r="10" spans="1:12" ht="51.75" customHeight="1" x14ac:dyDescent="0.2">
      <c r="A10" s="71">
        <v>1</v>
      </c>
      <c r="B10" s="116" t="s">
        <v>91</v>
      </c>
      <c r="C10" s="101" t="s">
        <v>90</v>
      </c>
      <c r="D10" s="75" t="str">
        <f t="shared" ref="D10:D12" si="0">LEFT(B10,5)</f>
        <v>4.3.6</v>
      </c>
      <c r="E10" s="101" t="s">
        <v>89</v>
      </c>
      <c r="F10" s="71" t="s">
        <v>14</v>
      </c>
      <c r="G10" s="71">
        <v>22</v>
      </c>
      <c r="H10" s="72">
        <v>125000</v>
      </c>
      <c r="I10" s="73">
        <f t="shared" ref="I10:I12" si="1">H10*G10</f>
        <v>2750000</v>
      </c>
      <c r="J10" s="74"/>
      <c r="L10" s="55" t="e">
        <f>I10+I11+I12+#REF!+#REF!</f>
        <v>#REF!</v>
      </c>
    </row>
    <row r="11" spans="1:12" ht="51" customHeight="1" x14ac:dyDescent="0.2">
      <c r="A11" s="71">
        <v>2</v>
      </c>
      <c r="B11" s="116" t="s">
        <v>93</v>
      </c>
      <c r="C11" s="101" t="s">
        <v>90</v>
      </c>
      <c r="D11" s="75" t="str">
        <f t="shared" si="0"/>
        <v>4.3.6</v>
      </c>
      <c r="E11" s="76" t="s">
        <v>92</v>
      </c>
      <c r="F11" s="75" t="s">
        <v>14</v>
      </c>
      <c r="G11" s="100">
        <v>8</v>
      </c>
      <c r="H11" s="102">
        <v>140000</v>
      </c>
      <c r="I11" s="73">
        <f t="shared" si="1"/>
        <v>1120000</v>
      </c>
      <c r="J11" s="74"/>
    </row>
    <row r="12" spans="1:12" ht="51" customHeight="1" x14ac:dyDescent="0.2">
      <c r="A12" s="71">
        <v>3</v>
      </c>
      <c r="B12" s="116" t="s">
        <v>108</v>
      </c>
      <c r="C12" s="101" t="s">
        <v>90</v>
      </c>
      <c r="D12" s="75" t="str">
        <f t="shared" si="0"/>
        <v>4.3.6</v>
      </c>
      <c r="E12" s="76" t="s">
        <v>109</v>
      </c>
      <c r="F12" s="75" t="s">
        <v>14</v>
      </c>
      <c r="G12" s="100">
        <v>15</v>
      </c>
      <c r="H12" s="102">
        <v>40000</v>
      </c>
      <c r="I12" s="73">
        <f t="shared" si="1"/>
        <v>600000</v>
      </c>
      <c r="J12" s="74"/>
    </row>
    <row r="13" spans="1:12" ht="15" x14ac:dyDescent="0.25">
      <c r="A13" s="121"/>
      <c r="B13" s="77"/>
      <c r="C13" s="111"/>
      <c r="D13" s="77"/>
      <c r="E13" s="78" t="s">
        <v>152</v>
      </c>
      <c r="F13" s="77"/>
      <c r="G13" s="77"/>
      <c r="H13" s="79"/>
      <c r="I13" s="80">
        <f>SUM(I10:I12)</f>
        <v>4470000</v>
      </c>
      <c r="J13" s="81"/>
    </row>
    <row r="14" spans="1:12" ht="13.5" customHeight="1" x14ac:dyDescent="0.2">
      <c r="A14" s="82"/>
      <c r="B14" s="117"/>
      <c r="C14" s="112"/>
      <c r="D14" s="83"/>
      <c r="E14" s="83"/>
      <c r="F14" s="83"/>
      <c r="G14" s="83"/>
      <c r="H14" s="84"/>
      <c r="I14" s="85"/>
      <c r="J14" s="81"/>
    </row>
    <row r="15" spans="1:12" ht="42.75" x14ac:dyDescent="0.2">
      <c r="A15" s="71">
        <v>4</v>
      </c>
      <c r="B15" s="118" t="s">
        <v>150</v>
      </c>
      <c r="C15" s="113" t="s">
        <v>153</v>
      </c>
      <c r="D15" s="106" t="str">
        <f t="shared" ref="D15:D29" si="2">LEFT(B15,5)</f>
        <v>4.3.6</v>
      </c>
      <c r="E15" s="107" t="s">
        <v>149</v>
      </c>
      <c r="F15" s="108" t="s">
        <v>14</v>
      </c>
      <c r="G15" s="108">
        <v>13</v>
      </c>
      <c r="H15" s="109">
        <v>150000</v>
      </c>
      <c r="I15" s="85">
        <f t="shared" ref="I15:I29" si="3">H15*G15</f>
        <v>1950000</v>
      </c>
    </row>
    <row r="16" spans="1:12" ht="57" x14ac:dyDescent="0.2">
      <c r="A16" s="71">
        <v>5</v>
      </c>
      <c r="B16" s="118" t="s">
        <v>148</v>
      </c>
      <c r="C16" s="113" t="s">
        <v>153</v>
      </c>
      <c r="D16" s="106" t="str">
        <f t="shared" si="2"/>
        <v>4.3.6</v>
      </c>
      <c r="E16" s="107" t="s">
        <v>147</v>
      </c>
      <c r="F16" s="108" t="s">
        <v>14</v>
      </c>
      <c r="G16" s="108">
        <v>10</v>
      </c>
      <c r="H16" s="109">
        <v>6000</v>
      </c>
      <c r="I16" s="85">
        <f t="shared" si="3"/>
        <v>60000</v>
      </c>
    </row>
    <row r="17" spans="1:10" ht="28.5" x14ac:dyDescent="0.2">
      <c r="A17" s="71">
        <v>6</v>
      </c>
      <c r="B17" s="118" t="s">
        <v>99</v>
      </c>
      <c r="C17" s="113" t="s">
        <v>153</v>
      </c>
      <c r="D17" s="106" t="str">
        <f t="shared" si="2"/>
        <v>4.3.5</v>
      </c>
      <c r="E17" s="107" t="s">
        <v>100</v>
      </c>
      <c r="F17" s="108" t="s">
        <v>14</v>
      </c>
      <c r="G17" s="108">
        <v>8</v>
      </c>
      <c r="H17" s="109">
        <v>77000</v>
      </c>
      <c r="I17" s="85">
        <f t="shared" si="3"/>
        <v>616000</v>
      </c>
    </row>
    <row r="18" spans="1:10" ht="28.5" x14ac:dyDescent="0.2">
      <c r="A18" s="71">
        <v>7</v>
      </c>
      <c r="B18" s="118" t="s">
        <v>94</v>
      </c>
      <c r="C18" s="113" t="s">
        <v>153</v>
      </c>
      <c r="D18" s="106" t="str">
        <f t="shared" si="2"/>
        <v>4.3.5</v>
      </c>
      <c r="E18" s="107" t="s">
        <v>95</v>
      </c>
      <c r="F18" s="108" t="s">
        <v>14</v>
      </c>
      <c r="G18" s="108">
        <v>10</v>
      </c>
      <c r="H18" s="109">
        <v>187000</v>
      </c>
      <c r="I18" s="85">
        <f t="shared" si="3"/>
        <v>1870000</v>
      </c>
    </row>
    <row r="19" spans="1:10" ht="28.5" x14ac:dyDescent="0.2">
      <c r="A19" s="71">
        <v>8</v>
      </c>
      <c r="B19" s="118" t="s">
        <v>63</v>
      </c>
      <c r="C19" s="113" t="s">
        <v>153</v>
      </c>
      <c r="D19" s="106" t="str">
        <f t="shared" si="2"/>
        <v>4.3.5</v>
      </c>
      <c r="E19" s="107" t="s">
        <v>96</v>
      </c>
      <c r="F19" s="108" t="s">
        <v>14</v>
      </c>
      <c r="G19" s="108">
        <v>10</v>
      </c>
      <c r="H19" s="109">
        <v>190000</v>
      </c>
      <c r="I19" s="85">
        <f t="shared" si="3"/>
        <v>1900000</v>
      </c>
    </row>
    <row r="20" spans="1:10" ht="28.5" x14ac:dyDescent="0.2">
      <c r="A20" s="71">
        <v>9</v>
      </c>
      <c r="B20" s="118" t="s">
        <v>63</v>
      </c>
      <c r="C20" s="113" t="s">
        <v>153</v>
      </c>
      <c r="D20" s="106" t="str">
        <f t="shared" si="2"/>
        <v>4.3.5</v>
      </c>
      <c r="E20" s="107" t="s">
        <v>96</v>
      </c>
      <c r="F20" s="108" t="s">
        <v>14</v>
      </c>
      <c r="G20" s="108">
        <v>4</v>
      </c>
      <c r="H20" s="109">
        <v>310000</v>
      </c>
      <c r="I20" s="85">
        <f t="shared" si="3"/>
        <v>1240000</v>
      </c>
    </row>
    <row r="21" spans="1:10" ht="28.5" x14ac:dyDescent="0.2">
      <c r="A21" s="71">
        <v>10</v>
      </c>
      <c r="B21" s="118" t="s">
        <v>63</v>
      </c>
      <c r="C21" s="113" t="s">
        <v>153</v>
      </c>
      <c r="D21" s="106" t="str">
        <f t="shared" si="2"/>
        <v>4.3.5</v>
      </c>
      <c r="E21" s="107" t="s">
        <v>96</v>
      </c>
      <c r="F21" s="108" t="s">
        <v>14</v>
      </c>
      <c r="G21" s="108">
        <v>20</v>
      </c>
      <c r="H21" s="109">
        <v>60000</v>
      </c>
      <c r="I21" s="85">
        <f t="shared" si="3"/>
        <v>1200000</v>
      </c>
    </row>
    <row r="22" spans="1:10" ht="28.5" x14ac:dyDescent="0.2">
      <c r="A22" s="71">
        <v>11</v>
      </c>
      <c r="B22" s="118" t="s">
        <v>63</v>
      </c>
      <c r="C22" s="113" t="s">
        <v>153</v>
      </c>
      <c r="D22" s="106" t="str">
        <f t="shared" si="2"/>
        <v>4.3.5</v>
      </c>
      <c r="E22" s="107" t="s">
        <v>96</v>
      </c>
      <c r="F22" s="108" t="s">
        <v>14</v>
      </c>
      <c r="G22" s="108">
        <v>30</v>
      </c>
      <c r="H22" s="109">
        <v>16000</v>
      </c>
      <c r="I22" s="85">
        <f t="shared" si="3"/>
        <v>480000</v>
      </c>
    </row>
    <row r="23" spans="1:10" ht="28.5" x14ac:dyDescent="0.2">
      <c r="A23" s="71">
        <v>12</v>
      </c>
      <c r="B23" s="118" t="s">
        <v>63</v>
      </c>
      <c r="C23" s="113" t="s">
        <v>153</v>
      </c>
      <c r="D23" s="106" t="str">
        <f t="shared" si="2"/>
        <v>4.3.5</v>
      </c>
      <c r="E23" s="107" t="s">
        <v>96</v>
      </c>
      <c r="F23" s="108" t="s">
        <v>14</v>
      </c>
      <c r="G23" s="108">
        <v>60</v>
      </c>
      <c r="H23" s="109">
        <v>15000</v>
      </c>
      <c r="I23" s="85">
        <f t="shared" si="3"/>
        <v>900000</v>
      </c>
    </row>
    <row r="24" spans="1:10" ht="28.5" x14ac:dyDescent="0.2">
      <c r="A24" s="71">
        <v>13</v>
      </c>
      <c r="B24" s="118" t="s">
        <v>63</v>
      </c>
      <c r="C24" s="113" t="s">
        <v>153</v>
      </c>
      <c r="D24" s="106" t="str">
        <f t="shared" si="2"/>
        <v>4.3.5</v>
      </c>
      <c r="E24" s="107" t="s">
        <v>96</v>
      </c>
      <c r="F24" s="108" t="s">
        <v>14</v>
      </c>
      <c r="G24" s="108">
        <v>40</v>
      </c>
      <c r="H24" s="109">
        <v>61000</v>
      </c>
      <c r="I24" s="85">
        <f t="shared" si="3"/>
        <v>2440000</v>
      </c>
    </row>
    <row r="25" spans="1:10" ht="28.5" x14ac:dyDescent="0.2">
      <c r="A25" s="71">
        <v>14</v>
      </c>
      <c r="B25" s="118" t="s">
        <v>114</v>
      </c>
      <c r="C25" s="113" t="s">
        <v>153</v>
      </c>
      <c r="D25" s="106" t="str">
        <f t="shared" si="2"/>
        <v>4.3.5</v>
      </c>
      <c r="E25" s="107" t="s">
        <v>115</v>
      </c>
      <c r="F25" s="108" t="s">
        <v>14</v>
      </c>
      <c r="G25" s="108">
        <v>5</v>
      </c>
      <c r="H25" s="109">
        <v>130000</v>
      </c>
      <c r="I25" s="85">
        <f t="shared" si="3"/>
        <v>650000</v>
      </c>
    </row>
    <row r="26" spans="1:10" ht="42.75" x14ac:dyDescent="0.2">
      <c r="A26" s="71">
        <v>15</v>
      </c>
      <c r="B26" s="118" t="s">
        <v>97</v>
      </c>
      <c r="C26" s="113" t="s">
        <v>153</v>
      </c>
      <c r="D26" s="106" t="str">
        <f t="shared" si="2"/>
        <v>4.3.5</v>
      </c>
      <c r="E26" s="107" t="s">
        <v>98</v>
      </c>
      <c r="F26" s="108" t="s">
        <v>14</v>
      </c>
      <c r="G26" s="108">
        <v>4</v>
      </c>
      <c r="H26" s="109">
        <v>95000</v>
      </c>
      <c r="I26" s="85">
        <f t="shared" si="3"/>
        <v>380000</v>
      </c>
    </row>
    <row r="27" spans="1:10" ht="42.75" x14ac:dyDescent="0.2">
      <c r="A27" s="71">
        <v>16</v>
      </c>
      <c r="B27" s="118" t="s">
        <v>112</v>
      </c>
      <c r="C27" s="113" t="s">
        <v>153</v>
      </c>
      <c r="D27" s="106" t="str">
        <f t="shared" si="2"/>
        <v>4.3.5</v>
      </c>
      <c r="E27" s="107" t="s">
        <v>113</v>
      </c>
      <c r="F27" s="108" t="s">
        <v>14</v>
      </c>
      <c r="G27" s="108">
        <v>7</v>
      </c>
      <c r="H27" s="109">
        <v>6000</v>
      </c>
      <c r="I27" s="85">
        <f t="shared" si="3"/>
        <v>42000</v>
      </c>
    </row>
    <row r="28" spans="1:10" ht="42.75" x14ac:dyDescent="0.2">
      <c r="A28" s="71">
        <v>17</v>
      </c>
      <c r="B28" s="118" t="s">
        <v>101</v>
      </c>
      <c r="C28" s="113" t="s">
        <v>153</v>
      </c>
      <c r="D28" s="106" t="str">
        <f t="shared" si="2"/>
        <v>4.3.9</v>
      </c>
      <c r="E28" s="107" t="s">
        <v>102</v>
      </c>
      <c r="F28" s="108" t="s">
        <v>14</v>
      </c>
      <c r="G28" s="108">
        <v>1</v>
      </c>
      <c r="H28" s="109">
        <v>65000</v>
      </c>
      <c r="I28" s="85">
        <f t="shared" si="3"/>
        <v>65000</v>
      </c>
    </row>
    <row r="29" spans="1:10" ht="57" x14ac:dyDescent="0.2">
      <c r="A29" s="71">
        <v>18</v>
      </c>
      <c r="B29" s="118" t="s">
        <v>110</v>
      </c>
      <c r="C29" s="113" t="s">
        <v>153</v>
      </c>
      <c r="D29" s="106" t="str">
        <f t="shared" si="2"/>
        <v>2.9.3</v>
      </c>
      <c r="E29" s="107" t="s">
        <v>111</v>
      </c>
      <c r="F29" s="108" t="s">
        <v>14</v>
      </c>
      <c r="G29" s="108">
        <v>30</v>
      </c>
      <c r="H29" s="109">
        <v>3200</v>
      </c>
      <c r="I29" s="85">
        <f t="shared" si="3"/>
        <v>96000</v>
      </c>
    </row>
    <row r="30" spans="1:10" ht="37.5" customHeight="1" x14ac:dyDescent="0.25">
      <c r="A30" s="121"/>
      <c r="B30" s="77"/>
      <c r="C30" s="111"/>
      <c r="D30" s="77"/>
      <c r="E30" s="78" t="s">
        <v>154</v>
      </c>
      <c r="F30" s="77"/>
      <c r="G30" s="77"/>
      <c r="H30" s="79"/>
      <c r="I30" s="80">
        <f>SUM(I15:I29)</f>
        <v>13889000</v>
      </c>
      <c r="J30" s="81"/>
    </row>
    <row r="31" spans="1:10" ht="13.5" customHeight="1" x14ac:dyDescent="0.2">
      <c r="A31" s="119"/>
      <c r="B31" s="119"/>
      <c r="C31" s="114"/>
      <c r="D31" s="63"/>
      <c r="E31" s="86"/>
      <c r="F31" s="63"/>
      <c r="G31" s="63"/>
      <c r="H31" s="87"/>
      <c r="I31" s="88"/>
    </row>
    <row r="32" spans="1:10" ht="77.25" customHeight="1" x14ac:dyDescent="0.2">
      <c r="A32" s="93">
        <v>19</v>
      </c>
      <c r="B32" s="120" t="s">
        <v>104</v>
      </c>
      <c r="C32" s="115" t="s">
        <v>105</v>
      </c>
      <c r="D32" s="104" t="str">
        <f t="shared" ref="D32:D33" si="4">LEFT(B32,5)</f>
        <v>4.3.2</v>
      </c>
      <c r="E32" s="105" t="s">
        <v>103</v>
      </c>
      <c r="F32" s="89" t="s">
        <v>14</v>
      </c>
      <c r="G32" s="89">
        <v>5</v>
      </c>
      <c r="H32" s="90">
        <v>30000</v>
      </c>
      <c r="I32" s="91">
        <f>H32*G32</f>
        <v>150000</v>
      </c>
    </row>
    <row r="33" spans="1:9" ht="40.5" customHeight="1" x14ac:dyDescent="0.2">
      <c r="A33" s="92">
        <v>20</v>
      </c>
      <c r="B33" s="120" t="s">
        <v>106</v>
      </c>
      <c r="C33" s="115" t="s">
        <v>105</v>
      </c>
      <c r="D33" s="104" t="str">
        <f t="shared" si="4"/>
        <v>4.3.2</v>
      </c>
      <c r="E33" s="105" t="s">
        <v>107</v>
      </c>
      <c r="F33" s="89" t="s">
        <v>14</v>
      </c>
      <c r="G33" s="89">
        <v>1</v>
      </c>
      <c r="H33" s="90">
        <v>105000</v>
      </c>
      <c r="I33" s="91">
        <f>H33*G33</f>
        <v>105000</v>
      </c>
    </row>
    <row r="34" spans="1:9" ht="41.25" customHeight="1" x14ac:dyDescent="0.2">
      <c r="A34" s="131" t="s">
        <v>155</v>
      </c>
      <c r="B34" s="132"/>
      <c r="C34" s="132"/>
      <c r="D34" s="132"/>
      <c r="E34" s="132"/>
      <c r="F34" s="132"/>
      <c r="G34" s="132"/>
      <c r="H34" s="133"/>
      <c r="I34" s="94">
        <f>SUM(I32:I33)</f>
        <v>255000</v>
      </c>
    </row>
    <row r="35" spans="1:9" ht="15" x14ac:dyDescent="0.2">
      <c r="A35" s="95"/>
      <c r="B35" s="96"/>
      <c r="C35" s="96"/>
      <c r="D35" s="95"/>
      <c r="E35" s="97"/>
      <c r="F35" s="95"/>
      <c r="G35" s="95"/>
      <c r="H35" s="98"/>
      <c r="I35" s="99"/>
    </row>
    <row r="37" spans="1:9" ht="17.25" customHeight="1" thickBot="1" x14ac:dyDescent="0.25">
      <c r="I37" s="103">
        <f>I34+I30+I13</f>
        <v>18614000</v>
      </c>
    </row>
    <row r="38" spans="1:9" ht="12.75" customHeight="1" x14ac:dyDescent="0.2">
      <c r="B38" s="27" t="s">
        <v>15</v>
      </c>
      <c r="C38" s="28"/>
      <c r="D38" s="28"/>
      <c r="E38" s="29"/>
    </row>
    <row r="39" spans="1:9" ht="13.5" customHeight="1" x14ac:dyDescent="0.2">
      <c r="B39" s="30"/>
      <c r="C39" s="31"/>
      <c r="D39" s="31"/>
      <c r="E39" s="32"/>
    </row>
    <row r="40" spans="1:9" ht="15" customHeight="1" x14ac:dyDescent="0.2">
      <c r="B40" s="33" t="s">
        <v>16</v>
      </c>
      <c r="C40" s="31"/>
      <c r="D40" s="31"/>
      <c r="E40" s="32"/>
    </row>
    <row r="41" spans="1:9" ht="66" customHeight="1" x14ac:dyDescent="0.2">
      <c r="B41" s="33"/>
      <c r="C41" s="124" t="s">
        <v>126</v>
      </c>
      <c r="D41" s="124"/>
      <c r="E41" s="125"/>
    </row>
    <row r="42" spans="1:9" x14ac:dyDescent="0.2">
      <c r="B42" s="33" t="s">
        <v>17</v>
      </c>
      <c r="C42" s="31"/>
      <c r="D42" s="31"/>
      <c r="E42" s="32"/>
    </row>
    <row r="43" spans="1:9" ht="61.5" customHeight="1" x14ac:dyDescent="0.2">
      <c r="B43" s="34"/>
      <c r="C43" s="124" t="s">
        <v>69</v>
      </c>
      <c r="D43" s="124"/>
      <c r="E43" s="125"/>
    </row>
    <row r="44" spans="1:9" x14ac:dyDescent="0.2">
      <c r="B44" s="34"/>
      <c r="C44" s="124"/>
      <c r="D44" s="124"/>
      <c r="E44" s="125"/>
    </row>
    <row r="45" spans="1:9" ht="12" customHeight="1" x14ac:dyDescent="0.2">
      <c r="B45" s="33" t="s">
        <v>18</v>
      </c>
      <c r="C45" s="31"/>
      <c r="D45" s="31"/>
      <c r="E45" s="32"/>
    </row>
    <row r="46" spans="1:9" ht="25.5" customHeight="1" x14ac:dyDescent="0.2">
      <c r="B46" s="34"/>
      <c r="C46" s="122"/>
      <c r="D46" s="122"/>
      <c r="E46" s="123"/>
    </row>
    <row r="47" spans="1:9" x14ac:dyDescent="0.2">
      <c r="B47" s="33" t="s">
        <v>65</v>
      </c>
      <c r="C47" s="35"/>
      <c r="D47" s="35"/>
      <c r="E47" s="36"/>
    </row>
    <row r="48" spans="1:9" ht="12.75" customHeight="1" x14ac:dyDescent="0.2">
      <c r="B48" s="34"/>
      <c r="C48" s="122"/>
      <c r="D48" s="122"/>
      <c r="E48" s="123"/>
    </row>
    <row r="49" spans="2:5" x14ac:dyDescent="0.2">
      <c r="B49" s="33" t="s">
        <v>19</v>
      </c>
      <c r="C49" s="31"/>
      <c r="D49" s="31"/>
      <c r="E49" s="32"/>
    </row>
    <row r="50" spans="2:5" ht="12.75" customHeight="1" x14ac:dyDescent="0.2">
      <c r="B50" s="33"/>
      <c r="C50" s="122" t="s">
        <v>87</v>
      </c>
      <c r="D50" s="122"/>
      <c r="E50" s="123"/>
    </row>
    <row r="51" spans="2:5" ht="13.5" thickBot="1" x14ac:dyDescent="0.25">
      <c r="B51" s="37"/>
      <c r="C51" s="38"/>
      <c r="D51" s="38"/>
      <c r="E51" s="39"/>
    </row>
    <row r="52" spans="2:5" ht="12.75" customHeight="1" thickBot="1" x14ac:dyDescent="0.25"/>
    <row r="53" spans="2:5" x14ac:dyDescent="0.2">
      <c r="B53" s="27" t="s">
        <v>20</v>
      </c>
      <c r="C53" s="28"/>
      <c r="D53" s="28"/>
      <c r="E53" s="29"/>
    </row>
    <row r="54" spans="2:5" x14ac:dyDescent="0.2">
      <c r="B54" s="30"/>
      <c r="C54" s="31"/>
      <c r="D54" s="31"/>
      <c r="E54" s="32"/>
    </row>
    <row r="55" spans="2:5" x14ac:dyDescent="0.2">
      <c r="B55" s="33" t="s">
        <v>16</v>
      </c>
      <c r="C55" s="31"/>
      <c r="D55" s="31"/>
      <c r="E55" s="32"/>
    </row>
    <row r="56" spans="2:5" ht="62.25" customHeight="1" x14ac:dyDescent="0.2">
      <c r="B56" s="33"/>
      <c r="C56" s="124" t="s">
        <v>127</v>
      </c>
      <c r="D56" s="124"/>
      <c r="E56" s="125"/>
    </row>
    <row r="57" spans="2:5" x14ac:dyDescent="0.2">
      <c r="B57" s="33" t="s">
        <v>17</v>
      </c>
      <c r="C57" s="31"/>
      <c r="D57" s="31"/>
      <c r="E57" s="32"/>
    </row>
    <row r="58" spans="2:5" ht="62.25" customHeight="1" x14ac:dyDescent="0.2">
      <c r="B58" s="34"/>
      <c r="C58" s="124" t="s">
        <v>68</v>
      </c>
      <c r="D58" s="124"/>
      <c r="E58" s="125"/>
    </row>
    <row r="59" spans="2:5" x14ac:dyDescent="0.2">
      <c r="B59" s="34"/>
      <c r="C59" s="124"/>
      <c r="D59" s="124"/>
      <c r="E59" s="125"/>
    </row>
    <row r="60" spans="2:5" ht="12" customHeight="1" x14ac:dyDescent="0.2">
      <c r="B60" s="33" t="s">
        <v>18</v>
      </c>
      <c r="C60" s="31"/>
      <c r="D60" s="31"/>
      <c r="E60" s="32"/>
    </row>
    <row r="61" spans="2:5" ht="13.5" customHeight="1" x14ac:dyDescent="0.2">
      <c r="B61" s="34"/>
      <c r="C61" s="122"/>
      <c r="D61" s="122"/>
      <c r="E61" s="123"/>
    </row>
    <row r="62" spans="2:5" ht="17.25" customHeight="1" x14ac:dyDescent="0.2">
      <c r="B62" s="33" t="s">
        <v>66</v>
      </c>
      <c r="C62" s="35"/>
      <c r="D62" s="35"/>
      <c r="E62" s="36"/>
    </row>
    <row r="63" spans="2:5" x14ac:dyDescent="0.2">
      <c r="B63" s="34"/>
      <c r="C63" s="122"/>
      <c r="D63" s="122"/>
      <c r="E63" s="123"/>
    </row>
    <row r="64" spans="2:5" ht="15" customHeight="1" x14ac:dyDescent="0.2">
      <c r="B64" s="33" t="s">
        <v>19</v>
      </c>
      <c r="C64" s="31"/>
      <c r="D64" s="31"/>
      <c r="E64" s="32"/>
    </row>
    <row r="65" spans="2:5" ht="11.25" customHeight="1" x14ac:dyDescent="0.2">
      <c r="B65" s="33"/>
      <c r="C65" s="122" t="s">
        <v>87</v>
      </c>
      <c r="D65" s="122"/>
      <c r="E65" s="123"/>
    </row>
    <row r="66" spans="2:5" ht="13.5" thickBot="1" x14ac:dyDescent="0.25">
      <c r="B66" s="37"/>
      <c r="C66" s="38"/>
      <c r="D66" s="38"/>
      <c r="E66" s="39"/>
    </row>
    <row r="67" spans="2:5" ht="12.75" customHeight="1" x14ac:dyDescent="0.2"/>
    <row r="68" spans="2:5" ht="13.5" thickBot="1" x14ac:dyDescent="0.25"/>
    <row r="69" spans="2:5" x14ac:dyDescent="0.2">
      <c r="B69" s="27" t="s">
        <v>70</v>
      </c>
      <c r="C69" s="28"/>
      <c r="D69" s="28"/>
      <c r="E69" s="29"/>
    </row>
    <row r="70" spans="2:5" x14ac:dyDescent="0.2">
      <c r="B70" s="30"/>
      <c r="C70" s="31"/>
      <c r="D70" s="31"/>
      <c r="E70" s="32"/>
    </row>
    <row r="71" spans="2:5" ht="12.75" customHeight="1" x14ac:dyDescent="0.2">
      <c r="B71" s="33" t="s">
        <v>16</v>
      </c>
      <c r="C71" s="31"/>
      <c r="D71" s="31"/>
      <c r="E71" s="32"/>
    </row>
    <row r="72" spans="2:5" x14ac:dyDescent="0.2">
      <c r="B72" s="33"/>
      <c r="C72" s="124" t="s">
        <v>128</v>
      </c>
      <c r="D72" s="124"/>
      <c r="E72" s="125"/>
    </row>
    <row r="73" spans="2:5" ht="20.25" customHeight="1" x14ac:dyDescent="0.2">
      <c r="B73" s="33" t="s">
        <v>17</v>
      </c>
      <c r="C73" s="31"/>
      <c r="D73" s="31"/>
      <c r="E73" s="32"/>
    </row>
    <row r="74" spans="2:5" x14ac:dyDescent="0.2">
      <c r="B74" s="34"/>
      <c r="C74" s="124" t="s">
        <v>69</v>
      </c>
      <c r="D74" s="124"/>
      <c r="E74" s="125"/>
    </row>
    <row r="75" spans="2:5" ht="65.25" customHeight="1" x14ac:dyDescent="0.2">
      <c r="B75" s="34"/>
      <c r="C75" s="124"/>
      <c r="D75" s="124"/>
      <c r="E75" s="125"/>
    </row>
    <row r="76" spans="2:5" ht="0.75" hidden="1" customHeight="1" x14ac:dyDescent="0.2">
      <c r="B76" s="33" t="s">
        <v>18</v>
      </c>
      <c r="C76" s="31"/>
      <c r="D76" s="31"/>
      <c r="E76" s="32"/>
    </row>
    <row r="77" spans="2:5" hidden="1" x14ac:dyDescent="0.2">
      <c r="B77" s="34"/>
      <c r="C77" s="122"/>
      <c r="D77" s="122"/>
      <c r="E77" s="123"/>
    </row>
    <row r="78" spans="2:5" x14ac:dyDescent="0.2">
      <c r="B78" s="33" t="s">
        <v>65</v>
      </c>
      <c r="C78" s="35"/>
      <c r="D78" s="35"/>
      <c r="E78" s="36"/>
    </row>
    <row r="79" spans="2:5" x14ac:dyDescent="0.2">
      <c r="B79" s="34"/>
      <c r="C79" s="122"/>
      <c r="D79" s="122"/>
      <c r="E79" s="123"/>
    </row>
    <row r="80" spans="2:5" ht="12.75" customHeight="1" x14ac:dyDescent="0.2">
      <c r="B80" s="33" t="s">
        <v>19</v>
      </c>
      <c r="C80" s="31"/>
      <c r="D80" s="31"/>
      <c r="E80" s="32"/>
    </row>
    <row r="81" spans="2:5" x14ac:dyDescent="0.2">
      <c r="B81" s="33"/>
      <c r="C81" s="122" t="s">
        <v>64</v>
      </c>
      <c r="D81" s="122"/>
      <c r="E81" s="123"/>
    </row>
    <row r="82" spans="2:5" ht="12.75" customHeight="1" thickBot="1" x14ac:dyDescent="0.25">
      <c r="B82" s="37"/>
      <c r="C82" s="38"/>
      <c r="D82" s="38"/>
      <c r="E82" s="39"/>
    </row>
    <row r="84" spans="2:5" ht="13.5" thickBot="1" x14ac:dyDescent="0.25"/>
    <row r="85" spans="2:5" x14ac:dyDescent="0.2">
      <c r="B85" s="27" t="s">
        <v>71</v>
      </c>
      <c r="C85" s="28"/>
      <c r="D85" s="28"/>
      <c r="E85" s="29"/>
    </row>
    <row r="86" spans="2:5" ht="12.75" customHeight="1" x14ac:dyDescent="0.2">
      <c r="B86" s="30"/>
      <c r="C86" s="31"/>
      <c r="D86" s="31"/>
      <c r="E86" s="32"/>
    </row>
    <row r="87" spans="2:5" x14ac:dyDescent="0.2">
      <c r="B87" s="33" t="s">
        <v>16</v>
      </c>
      <c r="C87" s="31"/>
      <c r="D87" s="31"/>
      <c r="E87" s="32"/>
    </row>
    <row r="88" spans="2:5" ht="55.5" customHeight="1" x14ac:dyDescent="0.2">
      <c r="B88" s="33"/>
      <c r="C88" s="124" t="s">
        <v>151</v>
      </c>
      <c r="D88" s="124"/>
      <c r="E88" s="125"/>
    </row>
    <row r="89" spans="2:5" x14ac:dyDescent="0.2">
      <c r="B89" s="33" t="s">
        <v>17</v>
      </c>
      <c r="C89" s="31"/>
      <c r="D89" s="31"/>
      <c r="E89" s="32"/>
    </row>
    <row r="90" spans="2:5" ht="12.75" customHeight="1" x14ac:dyDescent="0.2">
      <c r="B90" s="34"/>
      <c r="C90" s="124" t="s">
        <v>69</v>
      </c>
      <c r="D90" s="124"/>
      <c r="E90" s="125"/>
    </row>
    <row r="91" spans="2:5" ht="55.5" customHeight="1" x14ac:dyDescent="0.2">
      <c r="B91" s="34"/>
      <c r="C91" s="124"/>
      <c r="D91" s="124"/>
      <c r="E91" s="125"/>
    </row>
    <row r="92" spans="2:5" x14ac:dyDescent="0.2">
      <c r="B92" s="33" t="s">
        <v>18</v>
      </c>
      <c r="C92" s="31"/>
      <c r="D92" s="31"/>
      <c r="E92" s="32"/>
    </row>
    <row r="93" spans="2:5" x14ac:dyDescent="0.2">
      <c r="B93" s="34"/>
      <c r="C93" s="122"/>
      <c r="D93" s="122"/>
      <c r="E93" s="123"/>
    </row>
    <row r="94" spans="2:5" x14ac:dyDescent="0.2">
      <c r="B94" s="33" t="s">
        <v>65</v>
      </c>
      <c r="C94" s="35"/>
      <c r="D94" s="35"/>
      <c r="E94" s="36"/>
    </row>
    <row r="95" spans="2:5" ht="12.75" customHeight="1" x14ac:dyDescent="0.2">
      <c r="B95" s="34"/>
      <c r="C95" s="122"/>
      <c r="D95" s="122"/>
      <c r="E95" s="123"/>
    </row>
    <row r="96" spans="2:5" ht="14.25" customHeight="1" x14ac:dyDescent="0.2">
      <c r="B96" s="33" t="s">
        <v>19</v>
      </c>
      <c r="C96" s="31"/>
      <c r="D96" s="31"/>
      <c r="E96" s="32"/>
    </row>
    <row r="97" spans="2:5" ht="12.75" customHeight="1" x14ac:dyDescent="0.2">
      <c r="B97" s="33"/>
      <c r="C97" s="122" t="s">
        <v>87</v>
      </c>
      <c r="D97" s="122"/>
      <c r="E97" s="123"/>
    </row>
    <row r="98" spans="2:5" ht="13.5" thickBot="1" x14ac:dyDescent="0.25">
      <c r="B98" s="37"/>
      <c r="C98" s="38"/>
      <c r="D98" s="38"/>
      <c r="E98" s="39"/>
    </row>
    <row r="99" spans="2:5" ht="13.5" thickBot="1" x14ac:dyDescent="0.25"/>
    <row r="100" spans="2:5" x14ac:dyDescent="0.2">
      <c r="B100" s="27" t="s">
        <v>72</v>
      </c>
      <c r="C100" s="28"/>
      <c r="D100" s="28"/>
      <c r="E100" s="29"/>
    </row>
    <row r="101" spans="2:5" ht="12.75" customHeight="1" x14ac:dyDescent="0.2">
      <c r="B101" s="30"/>
      <c r="C101" s="31"/>
      <c r="D101" s="31"/>
      <c r="E101" s="32"/>
    </row>
    <row r="102" spans="2:5" x14ac:dyDescent="0.2">
      <c r="B102" s="33" t="s">
        <v>16</v>
      </c>
      <c r="C102" s="31"/>
      <c r="D102" s="31"/>
      <c r="E102" s="32"/>
    </row>
    <row r="103" spans="2:5" ht="51.75" customHeight="1" x14ac:dyDescent="0.2">
      <c r="B103" s="33"/>
      <c r="C103" s="124" t="s">
        <v>146</v>
      </c>
      <c r="D103" s="124"/>
      <c r="E103" s="125"/>
    </row>
    <row r="104" spans="2:5" x14ac:dyDescent="0.2">
      <c r="B104" s="33" t="s">
        <v>17</v>
      </c>
      <c r="C104" s="31"/>
      <c r="D104" s="31"/>
      <c r="E104" s="32"/>
    </row>
    <row r="105" spans="2:5" ht="12.75" customHeight="1" x14ac:dyDescent="0.2">
      <c r="B105" s="34"/>
      <c r="C105" s="124" t="s">
        <v>69</v>
      </c>
      <c r="D105" s="124"/>
      <c r="E105" s="125"/>
    </row>
    <row r="106" spans="2:5" ht="74.25" customHeight="1" x14ac:dyDescent="0.2">
      <c r="B106" s="34"/>
      <c r="C106" s="124"/>
      <c r="D106" s="124"/>
      <c r="E106" s="125"/>
    </row>
    <row r="107" spans="2:5" x14ac:dyDescent="0.2">
      <c r="B107" s="33" t="s">
        <v>18</v>
      </c>
      <c r="C107" s="31"/>
      <c r="D107" s="31"/>
      <c r="E107" s="32"/>
    </row>
    <row r="108" spans="2:5" x14ac:dyDescent="0.2">
      <c r="B108" s="34"/>
      <c r="C108" s="122"/>
      <c r="D108" s="122"/>
      <c r="E108" s="123"/>
    </row>
    <row r="109" spans="2:5" x14ac:dyDescent="0.2">
      <c r="B109" s="33" t="s">
        <v>65</v>
      </c>
      <c r="C109" s="35"/>
      <c r="D109" s="35"/>
      <c r="E109" s="36"/>
    </row>
    <row r="110" spans="2:5" ht="12.75" customHeight="1" x14ac:dyDescent="0.2">
      <c r="B110" s="34"/>
      <c r="C110" s="122"/>
      <c r="D110" s="122"/>
      <c r="E110" s="123"/>
    </row>
    <row r="111" spans="2:5" x14ac:dyDescent="0.2">
      <c r="B111" s="33" t="s">
        <v>19</v>
      </c>
      <c r="C111" s="31"/>
      <c r="D111" s="31"/>
      <c r="E111" s="32"/>
    </row>
    <row r="112" spans="2:5" ht="12.75" customHeight="1" x14ac:dyDescent="0.2">
      <c r="B112" s="33"/>
      <c r="C112" s="122" t="s">
        <v>87</v>
      </c>
      <c r="D112" s="122"/>
      <c r="E112" s="123"/>
    </row>
    <row r="113" spans="2:5" ht="13.5" thickBot="1" x14ac:dyDescent="0.25">
      <c r="B113" s="37"/>
      <c r="C113" s="38"/>
      <c r="D113" s="38"/>
      <c r="E113" s="39"/>
    </row>
    <row r="114" spans="2:5" ht="13.5" thickBot="1" x14ac:dyDescent="0.25"/>
    <row r="115" spans="2:5" x14ac:dyDescent="0.2">
      <c r="B115" s="27" t="s">
        <v>73</v>
      </c>
      <c r="C115" s="28"/>
      <c r="D115" s="28"/>
      <c r="E115" s="29"/>
    </row>
    <row r="116" spans="2:5" ht="12.75" customHeight="1" x14ac:dyDescent="0.2">
      <c r="B116" s="30"/>
      <c r="C116" s="31"/>
      <c r="D116" s="31"/>
      <c r="E116" s="32"/>
    </row>
    <row r="117" spans="2:5" x14ac:dyDescent="0.2">
      <c r="B117" s="33" t="s">
        <v>16</v>
      </c>
      <c r="C117" s="31"/>
      <c r="D117" s="31"/>
      <c r="E117" s="32"/>
    </row>
    <row r="118" spans="2:5" ht="41.25" customHeight="1" x14ac:dyDescent="0.2">
      <c r="B118" s="33"/>
      <c r="C118" s="124" t="s">
        <v>129</v>
      </c>
      <c r="D118" s="124"/>
      <c r="E118" s="125"/>
    </row>
    <row r="119" spans="2:5" x14ac:dyDescent="0.2">
      <c r="B119" s="33" t="s">
        <v>17</v>
      </c>
      <c r="C119" s="31"/>
      <c r="D119" s="31"/>
      <c r="E119" s="32"/>
    </row>
    <row r="120" spans="2:5" ht="12.75" customHeight="1" x14ac:dyDescent="0.2">
      <c r="B120" s="34"/>
      <c r="C120" s="124" t="s">
        <v>69</v>
      </c>
      <c r="D120" s="124"/>
      <c r="E120" s="125"/>
    </row>
    <row r="121" spans="2:5" ht="72.75" customHeight="1" x14ac:dyDescent="0.2">
      <c r="B121" s="34"/>
      <c r="C121" s="124"/>
      <c r="D121" s="124"/>
      <c r="E121" s="125"/>
    </row>
    <row r="122" spans="2:5" x14ac:dyDescent="0.2">
      <c r="B122" s="33" t="s">
        <v>18</v>
      </c>
      <c r="C122" s="31"/>
      <c r="D122" s="31"/>
      <c r="E122" s="32"/>
    </row>
    <row r="123" spans="2:5" ht="14.25" customHeight="1" x14ac:dyDescent="0.2">
      <c r="B123" s="34"/>
      <c r="C123" s="122"/>
      <c r="D123" s="122"/>
      <c r="E123" s="123"/>
    </row>
    <row r="124" spans="2:5" x14ac:dyDescent="0.2">
      <c r="B124" s="33" t="s">
        <v>65</v>
      </c>
      <c r="C124" s="35"/>
      <c r="D124" s="35"/>
      <c r="E124" s="36"/>
    </row>
    <row r="125" spans="2:5" ht="12.75" customHeight="1" x14ac:dyDescent="0.2">
      <c r="B125" s="34"/>
      <c r="C125" s="122"/>
      <c r="D125" s="122"/>
      <c r="E125" s="123"/>
    </row>
    <row r="126" spans="2:5" x14ac:dyDescent="0.2">
      <c r="B126" s="33" t="s">
        <v>19</v>
      </c>
      <c r="C126" s="31"/>
      <c r="D126" s="31"/>
      <c r="E126" s="32"/>
    </row>
    <row r="127" spans="2:5" ht="12.75" customHeight="1" x14ac:dyDescent="0.2">
      <c r="B127" s="33"/>
      <c r="C127" s="122" t="s">
        <v>87</v>
      </c>
      <c r="D127" s="122"/>
      <c r="E127" s="123"/>
    </row>
    <row r="128" spans="2:5" ht="13.5" thickBot="1" x14ac:dyDescent="0.25">
      <c r="B128" s="37"/>
      <c r="C128" s="38"/>
      <c r="D128" s="38"/>
      <c r="E128" s="39"/>
    </row>
    <row r="129" spans="2:5" ht="13.5" thickBot="1" x14ac:dyDescent="0.25"/>
    <row r="130" spans="2:5" ht="14.25" customHeight="1" x14ac:dyDescent="0.2">
      <c r="B130" s="27" t="s">
        <v>74</v>
      </c>
      <c r="C130" s="28"/>
      <c r="D130" s="28"/>
      <c r="E130" s="29"/>
    </row>
    <row r="131" spans="2:5" ht="12.75" customHeight="1" x14ac:dyDescent="0.2">
      <c r="B131" s="30"/>
      <c r="C131" s="31"/>
      <c r="D131" s="31"/>
      <c r="E131" s="32"/>
    </row>
    <row r="132" spans="2:5" x14ac:dyDescent="0.2">
      <c r="B132" s="33" t="s">
        <v>16</v>
      </c>
      <c r="C132" s="31"/>
      <c r="D132" s="31"/>
      <c r="E132" s="32"/>
    </row>
    <row r="133" spans="2:5" ht="77.25" customHeight="1" x14ac:dyDescent="0.2">
      <c r="B133" s="33"/>
      <c r="C133" s="124" t="s">
        <v>130</v>
      </c>
      <c r="D133" s="124"/>
      <c r="E133" s="125"/>
    </row>
    <row r="134" spans="2:5" x14ac:dyDescent="0.2">
      <c r="B134" s="33" t="s">
        <v>17</v>
      </c>
      <c r="C134" s="31"/>
      <c r="D134" s="31"/>
      <c r="E134" s="32"/>
    </row>
    <row r="135" spans="2:5" ht="12.75" customHeight="1" x14ac:dyDescent="0.2">
      <c r="B135" s="34"/>
      <c r="C135" s="124" t="s">
        <v>69</v>
      </c>
      <c r="D135" s="124"/>
      <c r="E135" s="125"/>
    </row>
    <row r="136" spans="2:5" ht="75.75" customHeight="1" x14ac:dyDescent="0.2">
      <c r="B136" s="34"/>
      <c r="C136" s="124"/>
      <c r="D136" s="124"/>
      <c r="E136" s="125"/>
    </row>
    <row r="137" spans="2:5" x14ac:dyDescent="0.2">
      <c r="B137" s="33" t="s">
        <v>18</v>
      </c>
      <c r="C137" s="31"/>
      <c r="D137" s="31"/>
      <c r="E137" s="32"/>
    </row>
    <row r="138" spans="2:5" x14ac:dyDescent="0.2">
      <c r="B138" s="34"/>
      <c r="C138" s="122"/>
      <c r="D138" s="122"/>
      <c r="E138" s="123"/>
    </row>
    <row r="139" spans="2:5" x14ac:dyDescent="0.2">
      <c r="B139" s="33" t="s">
        <v>65</v>
      </c>
      <c r="C139" s="35"/>
      <c r="D139" s="35"/>
      <c r="E139" s="36"/>
    </row>
    <row r="140" spans="2:5" ht="12.75" customHeight="1" x14ac:dyDescent="0.2">
      <c r="B140" s="34"/>
      <c r="C140" s="122"/>
      <c r="D140" s="122"/>
      <c r="E140" s="123"/>
    </row>
    <row r="141" spans="2:5" x14ac:dyDescent="0.2">
      <c r="B141" s="33" t="s">
        <v>19</v>
      </c>
      <c r="C141" s="31"/>
      <c r="D141" s="31"/>
      <c r="E141" s="32"/>
    </row>
    <row r="142" spans="2:5" ht="12.75" customHeight="1" x14ac:dyDescent="0.2">
      <c r="B142" s="33"/>
      <c r="C142" s="122" t="s">
        <v>87</v>
      </c>
      <c r="D142" s="122"/>
      <c r="E142" s="123"/>
    </row>
    <row r="143" spans="2:5" ht="13.5" thickBot="1" x14ac:dyDescent="0.25">
      <c r="B143" s="37"/>
      <c r="C143" s="38"/>
      <c r="D143" s="38"/>
      <c r="E143" s="39"/>
    </row>
    <row r="144" spans="2:5" ht="13.5" thickBot="1" x14ac:dyDescent="0.25"/>
    <row r="145" spans="2:5" x14ac:dyDescent="0.2">
      <c r="B145" s="27" t="s">
        <v>75</v>
      </c>
      <c r="C145" s="28"/>
      <c r="D145" s="28"/>
      <c r="E145" s="29"/>
    </row>
    <row r="146" spans="2:5" ht="12.75" customHeight="1" x14ac:dyDescent="0.2">
      <c r="B146" s="30"/>
      <c r="C146" s="31"/>
      <c r="D146" s="31"/>
      <c r="E146" s="32"/>
    </row>
    <row r="147" spans="2:5" x14ac:dyDescent="0.2">
      <c r="B147" s="33" t="s">
        <v>16</v>
      </c>
      <c r="C147" s="31"/>
      <c r="D147" s="31"/>
      <c r="E147" s="32"/>
    </row>
    <row r="148" spans="2:5" ht="102" customHeight="1" x14ac:dyDescent="0.2">
      <c r="B148" s="33"/>
      <c r="C148" s="124" t="s">
        <v>131</v>
      </c>
      <c r="D148" s="124"/>
      <c r="E148" s="125"/>
    </row>
    <row r="149" spans="2:5" x14ac:dyDescent="0.2">
      <c r="B149" s="33" t="s">
        <v>17</v>
      </c>
      <c r="C149" s="31"/>
      <c r="D149" s="31"/>
      <c r="E149" s="32"/>
    </row>
    <row r="150" spans="2:5" ht="79.5" customHeight="1" x14ac:dyDescent="0.2">
      <c r="B150" s="34"/>
      <c r="C150" s="124" t="s">
        <v>69</v>
      </c>
      <c r="D150" s="124"/>
      <c r="E150" s="125"/>
    </row>
    <row r="151" spans="2:5" x14ac:dyDescent="0.2">
      <c r="B151" s="34"/>
      <c r="C151" s="124"/>
      <c r="D151" s="124"/>
      <c r="E151" s="125"/>
    </row>
    <row r="152" spans="2:5" ht="12.75" customHeight="1" x14ac:dyDescent="0.2">
      <c r="B152" s="33" t="s">
        <v>18</v>
      </c>
      <c r="C152" s="31"/>
      <c r="D152" s="31"/>
      <c r="E152" s="32"/>
    </row>
    <row r="153" spans="2:5" ht="22.5" customHeight="1" x14ac:dyDescent="0.2">
      <c r="B153" s="34"/>
      <c r="C153" s="122"/>
      <c r="D153" s="122"/>
      <c r="E153" s="123"/>
    </row>
    <row r="154" spans="2:5" x14ac:dyDescent="0.2">
      <c r="B154" s="33" t="s">
        <v>65</v>
      </c>
      <c r="C154" s="35"/>
      <c r="D154" s="35"/>
      <c r="E154" s="36"/>
    </row>
    <row r="155" spans="2:5" ht="12.75" customHeight="1" x14ac:dyDescent="0.2">
      <c r="B155" s="34"/>
      <c r="C155" s="122"/>
      <c r="D155" s="122"/>
      <c r="E155" s="123"/>
    </row>
    <row r="156" spans="2:5" x14ac:dyDescent="0.2">
      <c r="B156" s="33" t="s">
        <v>19</v>
      </c>
      <c r="C156" s="31"/>
      <c r="D156" s="31"/>
      <c r="E156" s="32"/>
    </row>
    <row r="157" spans="2:5" x14ac:dyDescent="0.2">
      <c r="B157" s="33"/>
      <c r="C157" s="122" t="s">
        <v>87</v>
      </c>
      <c r="D157" s="122"/>
      <c r="E157" s="123"/>
    </row>
    <row r="158" spans="2:5" ht="13.5" thickBot="1" x14ac:dyDescent="0.25">
      <c r="B158" s="37"/>
      <c r="C158" s="38"/>
      <c r="D158" s="38"/>
      <c r="E158" s="39"/>
    </row>
    <row r="159" spans="2:5" ht="12.75" customHeight="1" thickBot="1" x14ac:dyDescent="0.25"/>
    <row r="160" spans="2:5" x14ac:dyDescent="0.2">
      <c r="B160" s="27" t="s">
        <v>76</v>
      </c>
      <c r="C160" s="28"/>
      <c r="D160" s="28"/>
      <c r="E160" s="29"/>
    </row>
    <row r="161" spans="2:5" x14ac:dyDescent="0.2">
      <c r="B161" s="30"/>
      <c r="C161" s="31"/>
      <c r="D161" s="31"/>
      <c r="E161" s="32"/>
    </row>
    <row r="162" spans="2:5" ht="12.75" customHeight="1" x14ac:dyDescent="0.2">
      <c r="B162" s="33" t="s">
        <v>16</v>
      </c>
      <c r="C162" s="31"/>
      <c r="D162" s="31"/>
      <c r="E162" s="32"/>
    </row>
    <row r="163" spans="2:5" ht="107.25" customHeight="1" x14ac:dyDescent="0.2">
      <c r="B163" s="33"/>
      <c r="C163" s="124" t="s">
        <v>132</v>
      </c>
      <c r="D163" s="124"/>
      <c r="E163" s="125"/>
    </row>
    <row r="164" spans="2:5" ht="12.75" customHeight="1" x14ac:dyDescent="0.2">
      <c r="B164" s="33" t="s">
        <v>17</v>
      </c>
      <c r="C164" s="31"/>
      <c r="D164" s="31"/>
      <c r="E164" s="32"/>
    </row>
    <row r="165" spans="2:5" ht="56.25" customHeight="1" x14ac:dyDescent="0.2">
      <c r="B165" s="34"/>
      <c r="C165" s="124" t="s">
        <v>69</v>
      </c>
      <c r="D165" s="124"/>
      <c r="E165" s="125"/>
    </row>
    <row r="166" spans="2:5" x14ac:dyDescent="0.2">
      <c r="B166" s="34"/>
      <c r="C166" s="124"/>
      <c r="D166" s="124"/>
      <c r="E166" s="125"/>
    </row>
    <row r="167" spans="2:5" ht="12.75" customHeight="1" x14ac:dyDescent="0.2">
      <c r="B167" s="33" t="s">
        <v>18</v>
      </c>
      <c r="C167" s="31"/>
      <c r="D167" s="31"/>
      <c r="E167" s="32"/>
    </row>
    <row r="168" spans="2:5" ht="22.5" customHeight="1" x14ac:dyDescent="0.2">
      <c r="B168" s="34"/>
      <c r="C168" s="122"/>
      <c r="D168" s="122"/>
      <c r="E168" s="123"/>
    </row>
    <row r="169" spans="2:5" x14ac:dyDescent="0.2">
      <c r="B169" s="33" t="s">
        <v>65</v>
      </c>
      <c r="C169" s="35"/>
      <c r="D169" s="35"/>
      <c r="E169" s="36"/>
    </row>
    <row r="170" spans="2:5" x14ac:dyDescent="0.2">
      <c r="B170" s="34"/>
      <c r="C170" s="122"/>
      <c r="D170" s="122"/>
      <c r="E170" s="123"/>
    </row>
    <row r="171" spans="2:5" ht="12.75" customHeight="1" x14ac:dyDescent="0.2">
      <c r="B171" s="33" t="s">
        <v>19</v>
      </c>
      <c r="C171" s="31"/>
      <c r="D171" s="31"/>
      <c r="E171" s="32"/>
    </row>
    <row r="172" spans="2:5" x14ac:dyDescent="0.2">
      <c r="B172" s="33"/>
      <c r="C172" s="122" t="s">
        <v>88</v>
      </c>
      <c r="D172" s="122"/>
      <c r="E172" s="123"/>
    </row>
    <row r="173" spans="2:5" ht="13.5" thickBot="1" x14ac:dyDescent="0.25">
      <c r="B173" s="37"/>
      <c r="C173" s="38"/>
      <c r="D173" s="38"/>
      <c r="E173" s="39"/>
    </row>
    <row r="174" spans="2:5" ht="12.75" customHeight="1" thickBot="1" x14ac:dyDescent="0.25"/>
    <row r="175" spans="2:5" x14ac:dyDescent="0.2">
      <c r="B175" s="27" t="s">
        <v>77</v>
      </c>
      <c r="C175" s="28"/>
      <c r="D175" s="28"/>
      <c r="E175" s="29"/>
    </row>
    <row r="176" spans="2:5" x14ac:dyDescent="0.2">
      <c r="B176" s="30"/>
      <c r="C176" s="31"/>
      <c r="D176" s="31"/>
      <c r="E176" s="32"/>
    </row>
    <row r="177" spans="2:5" x14ac:dyDescent="0.2">
      <c r="B177" s="33" t="s">
        <v>16</v>
      </c>
      <c r="C177" s="31"/>
      <c r="D177" s="31"/>
      <c r="E177" s="32"/>
    </row>
    <row r="178" spans="2:5" ht="132" customHeight="1" x14ac:dyDescent="0.2">
      <c r="B178" s="33"/>
      <c r="C178" s="124" t="s">
        <v>133</v>
      </c>
      <c r="D178" s="124"/>
      <c r="E178" s="125"/>
    </row>
    <row r="179" spans="2:5" x14ac:dyDescent="0.2">
      <c r="B179" s="33" t="s">
        <v>17</v>
      </c>
      <c r="C179" s="31"/>
      <c r="D179" s="31"/>
      <c r="E179" s="32"/>
    </row>
    <row r="180" spans="2:5" ht="54" customHeight="1" x14ac:dyDescent="0.2">
      <c r="B180" s="34"/>
      <c r="C180" s="124" t="s">
        <v>69</v>
      </c>
      <c r="D180" s="124"/>
      <c r="E180" s="125"/>
    </row>
    <row r="181" spans="2:5" x14ac:dyDescent="0.2">
      <c r="B181" s="34"/>
      <c r="C181" s="124"/>
      <c r="D181" s="124"/>
      <c r="E181" s="125"/>
    </row>
    <row r="182" spans="2:5" ht="12.75" customHeight="1" x14ac:dyDescent="0.2">
      <c r="B182" s="33" t="s">
        <v>18</v>
      </c>
      <c r="C182" s="31"/>
      <c r="D182" s="31"/>
      <c r="E182" s="32"/>
    </row>
    <row r="183" spans="2:5" ht="16.5" customHeight="1" x14ac:dyDescent="0.2">
      <c r="B183" s="34"/>
      <c r="C183" s="122"/>
      <c r="D183" s="122"/>
      <c r="E183" s="123"/>
    </row>
    <row r="184" spans="2:5" x14ac:dyDescent="0.2">
      <c r="B184" s="33" t="s">
        <v>65</v>
      </c>
      <c r="C184" s="35"/>
      <c r="D184" s="35"/>
      <c r="E184" s="36"/>
    </row>
    <row r="185" spans="2:5" x14ac:dyDescent="0.2">
      <c r="B185" s="34"/>
      <c r="C185" s="122"/>
      <c r="D185" s="122"/>
      <c r="E185" s="123"/>
    </row>
    <row r="186" spans="2:5" x14ac:dyDescent="0.2">
      <c r="B186" s="33" t="s">
        <v>19</v>
      </c>
      <c r="C186" s="31"/>
      <c r="D186" s="31"/>
      <c r="E186" s="32"/>
    </row>
    <row r="187" spans="2:5" x14ac:dyDescent="0.2">
      <c r="B187" s="33"/>
      <c r="C187" s="122" t="s">
        <v>88</v>
      </c>
      <c r="D187" s="122"/>
      <c r="E187" s="123"/>
    </row>
    <row r="188" spans="2:5" ht="13.5" thickBot="1" x14ac:dyDescent="0.25">
      <c r="B188" s="37"/>
      <c r="C188" s="38"/>
      <c r="D188" s="38"/>
      <c r="E188" s="39"/>
    </row>
    <row r="189" spans="2:5" ht="12.75" customHeight="1" thickBot="1" x14ac:dyDescent="0.25"/>
    <row r="190" spans="2:5" x14ac:dyDescent="0.2">
      <c r="B190" s="27" t="s">
        <v>78</v>
      </c>
      <c r="C190" s="28"/>
      <c r="D190" s="28"/>
      <c r="E190" s="29"/>
    </row>
    <row r="191" spans="2:5" x14ac:dyDescent="0.2">
      <c r="B191" s="30"/>
      <c r="C191" s="31"/>
      <c r="D191" s="31"/>
      <c r="E191" s="32"/>
    </row>
    <row r="192" spans="2:5" x14ac:dyDescent="0.2">
      <c r="B192" s="33" t="s">
        <v>16</v>
      </c>
      <c r="C192" s="31"/>
      <c r="D192" s="31"/>
      <c r="E192" s="32"/>
    </row>
    <row r="193" spans="2:5" ht="155.25" customHeight="1" x14ac:dyDescent="0.2">
      <c r="B193" s="33"/>
      <c r="C193" s="124" t="s">
        <v>134</v>
      </c>
      <c r="D193" s="124"/>
      <c r="E193" s="125"/>
    </row>
    <row r="194" spans="2:5" x14ac:dyDescent="0.2">
      <c r="B194" s="33" t="s">
        <v>17</v>
      </c>
      <c r="C194" s="31"/>
      <c r="D194" s="31"/>
      <c r="E194" s="32"/>
    </row>
    <row r="195" spans="2:5" ht="54" customHeight="1" x14ac:dyDescent="0.2">
      <c r="B195" s="34"/>
      <c r="C195" s="124" t="s">
        <v>69</v>
      </c>
      <c r="D195" s="124"/>
      <c r="E195" s="125"/>
    </row>
    <row r="196" spans="2:5" x14ac:dyDescent="0.2">
      <c r="B196" s="34"/>
      <c r="C196" s="124"/>
      <c r="D196" s="124"/>
      <c r="E196" s="125"/>
    </row>
    <row r="197" spans="2:5" ht="12.75" customHeight="1" x14ac:dyDescent="0.2">
      <c r="B197" s="33" t="s">
        <v>18</v>
      </c>
      <c r="C197" s="31"/>
      <c r="D197" s="31"/>
      <c r="E197" s="32"/>
    </row>
    <row r="198" spans="2:5" ht="19.5" customHeight="1" x14ac:dyDescent="0.2">
      <c r="B198" s="34"/>
      <c r="C198" s="122"/>
      <c r="D198" s="122"/>
      <c r="E198" s="123"/>
    </row>
    <row r="199" spans="2:5" x14ac:dyDescent="0.2">
      <c r="B199" s="33" t="s">
        <v>65</v>
      </c>
      <c r="C199" s="35"/>
      <c r="D199" s="35"/>
      <c r="E199" s="36"/>
    </row>
    <row r="200" spans="2:5" x14ac:dyDescent="0.2">
      <c r="B200" s="34"/>
      <c r="C200" s="122"/>
      <c r="D200" s="122"/>
      <c r="E200" s="123"/>
    </row>
    <row r="201" spans="2:5" x14ac:dyDescent="0.2">
      <c r="B201" s="33" t="s">
        <v>19</v>
      </c>
      <c r="C201" s="31"/>
      <c r="D201" s="31"/>
      <c r="E201" s="32"/>
    </row>
    <row r="202" spans="2:5" x14ac:dyDescent="0.2">
      <c r="B202" s="33"/>
      <c r="C202" s="122" t="s">
        <v>88</v>
      </c>
      <c r="D202" s="122"/>
      <c r="E202" s="123"/>
    </row>
    <row r="203" spans="2:5" ht="13.5" thickBot="1" x14ac:dyDescent="0.25">
      <c r="B203" s="37"/>
      <c r="C203" s="38"/>
      <c r="D203" s="38"/>
      <c r="E203" s="39"/>
    </row>
    <row r="204" spans="2:5" ht="12.75" customHeight="1" x14ac:dyDescent="0.2"/>
    <row r="206" spans="2:5" ht="13.5" thickBot="1" x14ac:dyDescent="0.25"/>
    <row r="207" spans="2:5" x14ac:dyDescent="0.2">
      <c r="B207" s="27" t="s">
        <v>79</v>
      </c>
      <c r="C207" s="28"/>
      <c r="D207" s="28"/>
      <c r="E207" s="29"/>
    </row>
    <row r="208" spans="2:5" x14ac:dyDescent="0.2">
      <c r="B208" s="30"/>
      <c r="C208" s="31"/>
      <c r="D208" s="31"/>
      <c r="E208" s="32"/>
    </row>
    <row r="209" spans="2:5" x14ac:dyDescent="0.2">
      <c r="B209" s="33" t="s">
        <v>16</v>
      </c>
      <c r="C209" s="31"/>
      <c r="D209" s="31"/>
      <c r="E209" s="32"/>
    </row>
    <row r="210" spans="2:5" ht="166.5" customHeight="1" x14ac:dyDescent="0.2">
      <c r="B210" s="33"/>
      <c r="C210" s="124" t="s">
        <v>135</v>
      </c>
      <c r="D210" s="124"/>
      <c r="E210" s="125"/>
    </row>
    <row r="211" spans="2:5" x14ac:dyDescent="0.2">
      <c r="B211" s="33" t="s">
        <v>17</v>
      </c>
      <c r="C211" s="31"/>
      <c r="D211" s="31"/>
      <c r="E211" s="32"/>
    </row>
    <row r="212" spans="2:5" ht="12.75" customHeight="1" x14ac:dyDescent="0.2">
      <c r="B212" s="34"/>
      <c r="C212" s="124" t="s">
        <v>69</v>
      </c>
      <c r="D212" s="124"/>
      <c r="E212" s="125"/>
    </row>
    <row r="213" spans="2:5" ht="65.25" customHeight="1" x14ac:dyDescent="0.2">
      <c r="B213" s="34"/>
      <c r="C213" s="124"/>
      <c r="D213" s="124"/>
      <c r="E213" s="125"/>
    </row>
    <row r="214" spans="2:5" x14ac:dyDescent="0.2">
      <c r="B214" s="33" t="s">
        <v>18</v>
      </c>
      <c r="C214" s="31"/>
      <c r="D214" s="31"/>
      <c r="E214" s="32"/>
    </row>
    <row r="215" spans="2:5" x14ac:dyDescent="0.2">
      <c r="B215" s="34"/>
      <c r="C215" s="122"/>
      <c r="D215" s="122"/>
      <c r="E215" s="123"/>
    </row>
    <row r="216" spans="2:5" x14ac:dyDescent="0.2">
      <c r="B216" s="33" t="s">
        <v>65</v>
      </c>
      <c r="C216" s="35"/>
      <c r="D216" s="35"/>
      <c r="E216" s="36"/>
    </row>
    <row r="217" spans="2:5" x14ac:dyDescent="0.2">
      <c r="B217" s="34"/>
      <c r="C217" s="122"/>
      <c r="D217" s="122"/>
      <c r="E217" s="123"/>
    </row>
    <row r="218" spans="2:5" x14ac:dyDescent="0.2">
      <c r="B218" s="33" t="s">
        <v>19</v>
      </c>
      <c r="C218" s="31"/>
      <c r="D218" s="31"/>
      <c r="E218" s="32"/>
    </row>
    <row r="219" spans="2:5" ht="12.75" customHeight="1" x14ac:dyDescent="0.2">
      <c r="B219" s="33"/>
      <c r="C219" s="122" t="s">
        <v>88</v>
      </c>
      <c r="D219" s="122"/>
      <c r="E219" s="123"/>
    </row>
    <row r="220" spans="2:5" ht="13.5" thickBot="1" x14ac:dyDescent="0.25">
      <c r="B220" s="37"/>
      <c r="C220" s="38"/>
      <c r="D220" s="38"/>
      <c r="E220" s="39"/>
    </row>
    <row r="221" spans="2:5" ht="13.5" thickBot="1" x14ac:dyDescent="0.25"/>
    <row r="222" spans="2:5" x14ac:dyDescent="0.2">
      <c r="B222" s="27" t="s">
        <v>80</v>
      </c>
      <c r="C222" s="28"/>
      <c r="D222" s="28"/>
      <c r="E222" s="29"/>
    </row>
    <row r="223" spans="2:5" x14ac:dyDescent="0.2">
      <c r="B223" s="30"/>
      <c r="C223" s="31"/>
      <c r="D223" s="31"/>
      <c r="E223" s="32"/>
    </row>
    <row r="224" spans="2:5" x14ac:dyDescent="0.2">
      <c r="B224" s="33" t="s">
        <v>16</v>
      </c>
      <c r="C224" s="31"/>
      <c r="D224" s="31"/>
      <c r="E224" s="32"/>
    </row>
    <row r="225" spans="2:5" ht="120" customHeight="1" x14ac:dyDescent="0.2">
      <c r="B225" s="33"/>
      <c r="C225" s="124" t="s">
        <v>136</v>
      </c>
      <c r="D225" s="124"/>
      <c r="E225" s="125"/>
    </row>
    <row r="226" spans="2:5" x14ac:dyDescent="0.2">
      <c r="B226" s="33" t="s">
        <v>17</v>
      </c>
      <c r="C226" s="31"/>
      <c r="D226" s="31"/>
      <c r="E226" s="32"/>
    </row>
    <row r="227" spans="2:5" ht="12.75" customHeight="1" x14ac:dyDescent="0.2">
      <c r="B227" s="34"/>
      <c r="C227" s="124" t="s">
        <v>69</v>
      </c>
      <c r="D227" s="124"/>
      <c r="E227" s="125"/>
    </row>
    <row r="228" spans="2:5" ht="71.25" customHeight="1" x14ac:dyDescent="0.2">
      <c r="B228" s="34"/>
      <c r="C228" s="124"/>
      <c r="D228" s="124"/>
      <c r="E228" s="125"/>
    </row>
    <row r="229" spans="2:5" x14ac:dyDescent="0.2">
      <c r="B229" s="33" t="s">
        <v>18</v>
      </c>
      <c r="C229" s="31"/>
      <c r="D229" s="31"/>
      <c r="E229" s="32"/>
    </row>
    <row r="230" spans="2:5" x14ac:dyDescent="0.2">
      <c r="B230" s="34"/>
      <c r="C230" s="122"/>
      <c r="D230" s="122"/>
      <c r="E230" s="123"/>
    </row>
    <row r="231" spans="2:5" x14ac:dyDescent="0.2">
      <c r="B231" s="33" t="s">
        <v>65</v>
      </c>
      <c r="C231" s="35"/>
      <c r="D231" s="35"/>
      <c r="E231" s="36"/>
    </row>
    <row r="232" spans="2:5" x14ac:dyDescent="0.2">
      <c r="B232" s="34"/>
      <c r="C232" s="122"/>
      <c r="D232" s="122"/>
      <c r="E232" s="123"/>
    </row>
    <row r="233" spans="2:5" x14ac:dyDescent="0.2">
      <c r="B233" s="33" t="s">
        <v>19</v>
      </c>
      <c r="C233" s="31"/>
      <c r="D233" s="31"/>
      <c r="E233" s="32"/>
    </row>
    <row r="234" spans="2:5" ht="12.75" customHeight="1" x14ac:dyDescent="0.2">
      <c r="B234" s="33"/>
      <c r="C234" s="122" t="s">
        <v>88</v>
      </c>
      <c r="D234" s="122"/>
      <c r="E234" s="123"/>
    </row>
    <row r="235" spans="2:5" ht="13.5" thickBot="1" x14ac:dyDescent="0.25">
      <c r="B235" s="37"/>
      <c r="C235" s="38"/>
      <c r="D235" s="38"/>
      <c r="E235" s="39"/>
    </row>
    <row r="236" spans="2:5" ht="13.5" thickBot="1" x14ac:dyDescent="0.25"/>
    <row r="237" spans="2:5" x14ac:dyDescent="0.2">
      <c r="B237" s="27" t="s">
        <v>81</v>
      </c>
      <c r="C237" s="28"/>
      <c r="D237" s="28"/>
      <c r="E237" s="29"/>
    </row>
    <row r="238" spans="2:5" x14ac:dyDescent="0.2">
      <c r="B238" s="30"/>
      <c r="C238" s="31"/>
      <c r="D238" s="31"/>
      <c r="E238" s="32"/>
    </row>
    <row r="239" spans="2:5" x14ac:dyDescent="0.2">
      <c r="B239" s="33" t="s">
        <v>16</v>
      </c>
      <c r="C239" s="31"/>
      <c r="D239" s="31"/>
      <c r="E239" s="32"/>
    </row>
    <row r="240" spans="2:5" ht="40.5" customHeight="1" x14ac:dyDescent="0.2">
      <c r="B240" s="33"/>
      <c r="C240" s="124" t="s">
        <v>137</v>
      </c>
      <c r="D240" s="124"/>
      <c r="E240" s="125"/>
    </row>
    <row r="241" spans="2:5" x14ac:dyDescent="0.2">
      <c r="B241" s="33" t="s">
        <v>17</v>
      </c>
      <c r="C241" s="31"/>
      <c r="D241" s="31"/>
      <c r="E241" s="32"/>
    </row>
    <row r="242" spans="2:5" ht="12.75" customHeight="1" x14ac:dyDescent="0.2">
      <c r="B242" s="34"/>
      <c r="C242" s="124" t="s">
        <v>69</v>
      </c>
      <c r="D242" s="124"/>
      <c r="E242" s="125"/>
    </row>
    <row r="243" spans="2:5" ht="66" customHeight="1" x14ac:dyDescent="0.2">
      <c r="B243" s="34"/>
      <c r="C243" s="124"/>
      <c r="D243" s="124"/>
      <c r="E243" s="125"/>
    </row>
    <row r="244" spans="2:5" x14ac:dyDescent="0.2">
      <c r="B244" s="33" t="s">
        <v>18</v>
      </c>
      <c r="C244" s="31"/>
      <c r="D244" s="31"/>
      <c r="E244" s="32"/>
    </row>
    <row r="245" spans="2:5" x14ac:dyDescent="0.2">
      <c r="B245" s="34"/>
      <c r="C245" s="122"/>
      <c r="D245" s="122"/>
      <c r="E245" s="123"/>
    </row>
    <row r="246" spans="2:5" x14ac:dyDescent="0.2">
      <c r="B246" s="33" t="s">
        <v>65</v>
      </c>
      <c r="C246" s="35"/>
      <c r="D246" s="35"/>
      <c r="E246" s="36"/>
    </row>
    <row r="247" spans="2:5" x14ac:dyDescent="0.2">
      <c r="B247" s="34"/>
      <c r="C247" s="122"/>
      <c r="D247" s="122"/>
      <c r="E247" s="123"/>
    </row>
    <row r="248" spans="2:5" x14ac:dyDescent="0.2">
      <c r="B248" s="33" t="s">
        <v>19</v>
      </c>
      <c r="C248" s="31"/>
      <c r="D248" s="31"/>
      <c r="E248" s="32"/>
    </row>
    <row r="249" spans="2:5" ht="12.75" customHeight="1" x14ac:dyDescent="0.2">
      <c r="B249" s="33"/>
      <c r="C249" s="122" t="s">
        <v>87</v>
      </c>
      <c r="D249" s="122"/>
      <c r="E249" s="123"/>
    </row>
    <row r="250" spans="2:5" ht="13.5" thickBot="1" x14ac:dyDescent="0.25">
      <c r="B250" s="37"/>
      <c r="C250" s="38"/>
      <c r="D250" s="38"/>
      <c r="E250" s="39"/>
    </row>
    <row r="251" spans="2:5" ht="13.5" thickBot="1" x14ac:dyDescent="0.25"/>
    <row r="252" spans="2:5" x14ac:dyDescent="0.2">
      <c r="B252" s="27" t="s">
        <v>82</v>
      </c>
      <c r="C252" s="28"/>
      <c r="D252" s="28"/>
      <c r="E252" s="29"/>
    </row>
    <row r="253" spans="2:5" x14ac:dyDescent="0.2">
      <c r="B253" s="30"/>
      <c r="C253" s="31"/>
      <c r="D253" s="31"/>
      <c r="E253" s="32"/>
    </row>
    <row r="254" spans="2:5" x14ac:dyDescent="0.2">
      <c r="B254" s="33" t="s">
        <v>16</v>
      </c>
      <c r="C254" s="31"/>
      <c r="D254" s="31"/>
      <c r="E254" s="32"/>
    </row>
    <row r="255" spans="2:5" ht="87" customHeight="1" x14ac:dyDescent="0.2">
      <c r="B255" s="33"/>
      <c r="C255" s="124" t="s">
        <v>144</v>
      </c>
      <c r="D255" s="124"/>
      <c r="E255" s="125"/>
    </row>
    <row r="256" spans="2:5" x14ac:dyDescent="0.2">
      <c r="B256" s="33" t="s">
        <v>17</v>
      </c>
      <c r="C256" s="31"/>
      <c r="D256" s="31"/>
      <c r="E256" s="32"/>
    </row>
    <row r="257" spans="2:5" ht="12.75" customHeight="1" x14ac:dyDescent="0.2">
      <c r="B257" s="34"/>
      <c r="C257" s="124" t="s">
        <v>69</v>
      </c>
      <c r="D257" s="124"/>
      <c r="E257" s="125"/>
    </row>
    <row r="258" spans="2:5" ht="72.75" customHeight="1" x14ac:dyDescent="0.2">
      <c r="B258" s="34"/>
      <c r="C258" s="124"/>
      <c r="D258" s="124"/>
      <c r="E258" s="125"/>
    </row>
    <row r="259" spans="2:5" x14ac:dyDescent="0.2">
      <c r="B259" s="33" t="s">
        <v>18</v>
      </c>
      <c r="C259" s="31"/>
      <c r="D259" s="31"/>
      <c r="E259" s="32"/>
    </row>
    <row r="260" spans="2:5" x14ac:dyDescent="0.2">
      <c r="B260" s="34"/>
      <c r="C260" s="122"/>
      <c r="D260" s="122"/>
      <c r="E260" s="123"/>
    </row>
    <row r="261" spans="2:5" x14ac:dyDescent="0.2">
      <c r="B261" s="33" t="s">
        <v>65</v>
      </c>
      <c r="C261" s="35"/>
      <c r="D261" s="35"/>
      <c r="E261" s="36"/>
    </row>
    <row r="262" spans="2:5" x14ac:dyDescent="0.2">
      <c r="B262" s="34"/>
      <c r="C262" s="122"/>
      <c r="D262" s="122"/>
      <c r="E262" s="123"/>
    </row>
    <row r="263" spans="2:5" x14ac:dyDescent="0.2">
      <c r="B263" s="33" t="s">
        <v>19</v>
      </c>
      <c r="C263" s="31"/>
      <c r="D263" s="31"/>
      <c r="E263" s="32"/>
    </row>
    <row r="264" spans="2:5" ht="12.75" customHeight="1" x14ac:dyDescent="0.2">
      <c r="B264" s="33"/>
      <c r="C264" s="122" t="s">
        <v>87</v>
      </c>
      <c r="D264" s="122"/>
      <c r="E264" s="123"/>
    </row>
    <row r="265" spans="2:5" ht="13.5" thickBot="1" x14ac:dyDescent="0.25">
      <c r="B265" s="37"/>
      <c r="C265" s="38"/>
      <c r="D265" s="38"/>
      <c r="E265" s="39"/>
    </row>
    <row r="266" spans="2:5" ht="13.5" thickBot="1" x14ac:dyDescent="0.25"/>
    <row r="267" spans="2:5" x14ac:dyDescent="0.2">
      <c r="B267" s="27" t="s">
        <v>83</v>
      </c>
      <c r="C267" s="28"/>
      <c r="D267" s="28"/>
      <c r="E267" s="29"/>
    </row>
    <row r="268" spans="2:5" x14ac:dyDescent="0.2">
      <c r="B268" s="30"/>
      <c r="C268" s="31"/>
      <c r="D268" s="31"/>
      <c r="E268" s="32"/>
    </row>
    <row r="269" spans="2:5" x14ac:dyDescent="0.2">
      <c r="B269" s="33" t="s">
        <v>16</v>
      </c>
      <c r="C269" s="31"/>
      <c r="D269" s="31"/>
      <c r="E269" s="32"/>
    </row>
    <row r="270" spans="2:5" ht="80.25" customHeight="1" x14ac:dyDescent="0.2">
      <c r="B270" s="33"/>
      <c r="C270" s="124" t="s">
        <v>138</v>
      </c>
      <c r="D270" s="124"/>
      <c r="E270" s="125"/>
    </row>
    <row r="271" spans="2:5" ht="19.5" customHeight="1" x14ac:dyDescent="0.2">
      <c r="B271" s="33" t="s">
        <v>17</v>
      </c>
      <c r="C271" s="31"/>
      <c r="D271" s="31"/>
      <c r="E271" s="32"/>
    </row>
    <row r="272" spans="2:5" x14ac:dyDescent="0.2">
      <c r="B272" s="34"/>
      <c r="C272" s="124" t="s">
        <v>69</v>
      </c>
      <c r="D272" s="124"/>
      <c r="E272" s="125"/>
    </row>
    <row r="273" spans="2:5" ht="60" customHeight="1" x14ac:dyDescent="0.2">
      <c r="B273" s="34"/>
      <c r="C273" s="124"/>
      <c r="D273" s="124"/>
      <c r="E273" s="125"/>
    </row>
    <row r="274" spans="2:5" ht="15.75" customHeight="1" x14ac:dyDescent="0.2">
      <c r="B274" s="33" t="s">
        <v>18</v>
      </c>
      <c r="C274" s="31"/>
      <c r="D274" s="31"/>
      <c r="E274" s="32"/>
    </row>
    <row r="275" spans="2:5" x14ac:dyDescent="0.2">
      <c r="B275" s="34"/>
      <c r="C275" s="122"/>
      <c r="D275" s="122"/>
      <c r="E275" s="123"/>
    </row>
    <row r="276" spans="2:5" x14ac:dyDescent="0.2">
      <c r="B276" s="33" t="s">
        <v>65</v>
      </c>
      <c r="C276" s="35"/>
      <c r="D276" s="35"/>
      <c r="E276" s="36"/>
    </row>
    <row r="277" spans="2:5" x14ac:dyDescent="0.2">
      <c r="B277" s="34"/>
      <c r="C277" s="122"/>
      <c r="D277" s="122"/>
      <c r="E277" s="123"/>
    </row>
    <row r="278" spans="2:5" x14ac:dyDescent="0.2">
      <c r="B278" s="33" t="s">
        <v>19</v>
      </c>
      <c r="C278" s="31"/>
      <c r="D278" s="31"/>
      <c r="E278" s="32"/>
    </row>
    <row r="279" spans="2:5" x14ac:dyDescent="0.2">
      <c r="B279" s="33"/>
      <c r="C279" s="122" t="s">
        <v>87</v>
      </c>
      <c r="D279" s="122"/>
      <c r="E279" s="123"/>
    </row>
    <row r="280" spans="2:5" ht="13.5" thickBot="1" x14ac:dyDescent="0.25">
      <c r="B280" s="37"/>
      <c r="C280" s="38"/>
      <c r="D280" s="38"/>
      <c r="E280" s="39"/>
    </row>
    <row r="282" spans="2:5" ht="13.5" thickBot="1" x14ac:dyDescent="0.25"/>
    <row r="283" spans="2:5" x14ac:dyDescent="0.2">
      <c r="B283" s="27" t="s">
        <v>84</v>
      </c>
      <c r="C283" s="28"/>
      <c r="D283" s="28"/>
      <c r="E283" s="29"/>
    </row>
    <row r="284" spans="2:5" x14ac:dyDescent="0.2">
      <c r="B284" s="30"/>
      <c r="C284" s="31"/>
      <c r="D284" s="31"/>
      <c r="E284" s="32"/>
    </row>
    <row r="285" spans="2:5" x14ac:dyDescent="0.2">
      <c r="B285" s="33" t="s">
        <v>16</v>
      </c>
      <c r="C285" s="31"/>
      <c r="D285" s="31"/>
      <c r="E285" s="32"/>
    </row>
    <row r="286" spans="2:5" ht="87.75" customHeight="1" x14ac:dyDescent="0.2">
      <c r="B286" s="33"/>
      <c r="C286" s="124" t="s">
        <v>145</v>
      </c>
      <c r="D286" s="124"/>
      <c r="E286" s="125"/>
    </row>
    <row r="287" spans="2:5" x14ac:dyDescent="0.2">
      <c r="B287" s="33" t="s">
        <v>17</v>
      </c>
      <c r="C287" s="31"/>
      <c r="D287" s="31"/>
      <c r="E287" s="32"/>
    </row>
    <row r="288" spans="2:5" x14ac:dyDescent="0.2">
      <c r="B288" s="34"/>
      <c r="C288" s="124" t="s">
        <v>69</v>
      </c>
      <c r="D288" s="124"/>
      <c r="E288" s="125"/>
    </row>
    <row r="289" spans="2:5" ht="61.5" customHeight="1" x14ac:dyDescent="0.2">
      <c r="B289" s="34"/>
      <c r="C289" s="124"/>
      <c r="D289" s="124"/>
      <c r="E289" s="125"/>
    </row>
    <row r="290" spans="2:5" x14ac:dyDescent="0.2">
      <c r="B290" s="33" t="s">
        <v>18</v>
      </c>
      <c r="C290" s="31"/>
      <c r="D290" s="31"/>
      <c r="E290" s="32"/>
    </row>
    <row r="291" spans="2:5" x14ac:dyDescent="0.2">
      <c r="B291" s="34"/>
      <c r="C291" s="122"/>
      <c r="D291" s="122"/>
      <c r="E291" s="123"/>
    </row>
    <row r="292" spans="2:5" x14ac:dyDescent="0.2">
      <c r="B292" s="33" t="s">
        <v>65</v>
      </c>
      <c r="C292" s="35"/>
      <c r="D292" s="35"/>
      <c r="E292" s="36"/>
    </row>
    <row r="293" spans="2:5" x14ac:dyDescent="0.2">
      <c r="B293" s="34"/>
      <c r="C293" s="122"/>
      <c r="D293" s="122"/>
      <c r="E293" s="123"/>
    </row>
    <row r="294" spans="2:5" x14ac:dyDescent="0.2">
      <c r="B294" s="33" t="s">
        <v>19</v>
      </c>
      <c r="C294" s="31"/>
      <c r="D294" s="31"/>
      <c r="E294" s="32"/>
    </row>
    <row r="295" spans="2:5" x14ac:dyDescent="0.2">
      <c r="B295" s="33"/>
      <c r="C295" s="122" t="s">
        <v>87</v>
      </c>
      <c r="D295" s="122"/>
      <c r="E295" s="123"/>
    </row>
    <row r="296" spans="2:5" ht="13.5" thickBot="1" x14ac:dyDescent="0.25">
      <c r="B296" s="37"/>
      <c r="C296" s="38"/>
      <c r="D296" s="38"/>
      <c r="E296" s="39"/>
    </row>
    <row r="298" spans="2:5" ht="13.5" thickBot="1" x14ac:dyDescent="0.25"/>
    <row r="299" spans="2:5" x14ac:dyDescent="0.2">
      <c r="B299" s="27" t="s">
        <v>85</v>
      </c>
      <c r="C299" s="28"/>
      <c r="D299" s="28"/>
      <c r="E299" s="29"/>
    </row>
    <row r="300" spans="2:5" x14ac:dyDescent="0.2">
      <c r="B300" s="30"/>
      <c r="C300" s="31"/>
      <c r="D300" s="31"/>
      <c r="E300" s="32"/>
    </row>
    <row r="301" spans="2:5" x14ac:dyDescent="0.2">
      <c r="B301" s="33" t="s">
        <v>16</v>
      </c>
      <c r="C301" s="31"/>
      <c r="D301" s="31"/>
      <c r="E301" s="32"/>
    </row>
    <row r="302" spans="2:5" ht="65.25" customHeight="1" x14ac:dyDescent="0.2">
      <c r="B302" s="33"/>
      <c r="C302" s="124" t="s">
        <v>142</v>
      </c>
      <c r="D302" s="124"/>
      <c r="E302" s="125"/>
    </row>
    <row r="303" spans="2:5" x14ac:dyDescent="0.2">
      <c r="B303" s="33" t="s">
        <v>17</v>
      </c>
      <c r="C303" s="31"/>
      <c r="D303" s="31"/>
      <c r="E303" s="32"/>
    </row>
    <row r="304" spans="2:5" x14ac:dyDescent="0.2">
      <c r="B304" s="34"/>
      <c r="C304" s="124" t="s">
        <v>69</v>
      </c>
      <c r="D304" s="124"/>
      <c r="E304" s="125"/>
    </row>
    <row r="305" spans="2:5" ht="71.25" customHeight="1" x14ac:dyDescent="0.2">
      <c r="B305" s="34"/>
      <c r="C305" s="124"/>
      <c r="D305" s="124"/>
      <c r="E305" s="125"/>
    </row>
    <row r="306" spans="2:5" x14ac:dyDescent="0.2">
      <c r="B306" s="33" t="s">
        <v>18</v>
      </c>
      <c r="C306" s="31"/>
      <c r="D306" s="31"/>
      <c r="E306" s="32"/>
    </row>
    <row r="307" spans="2:5" x14ac:dyDescent="0.2">
      <c r="B307" s="34"/>
      <c r="C307" s="122"/>
      <c r="D307" s="122"/>
      <c r="E307" s="123"/>
    </row>
    <row r="308" spans="2:5" x14ac:dyDescent="0.2">
      <c r="B308" s="33" t="s">
        <v>65</v>
      </c>
      <c r="C308" s="35"/>
      <c r="D308" s="35"/>
      <c r="E308" s="36"/>
    </row>
    <row r="309" spans="2:5" x14ac:dyDescent="0.2">
      <c r="B309" s="34"/>
      <c r="C309" s="122"/>
      <c r="D309" s="122"/>
      <c r="E309" s="123"/>
    </row>
    <row r="310" spans="2:5" x14ac:dyDescent="0.2">
      <c r="B310" s="33" t="s">
        <v>19</v>
      </c>
      <c r="C310" s="31"/>
      <c r="D310" s="31"/>
      <c r="E310" s="32"/>
    </row>
    <row r="311" spans="2:5" x14ac:dyDescent="0.2">
      <c r="B311" s="33"/>
      <c r="C311" s="122" t="s">
        <v>87</v>
      </c>
      <c r="D311" s="122"/>
      <c r="E311" s="123"/>
    </row>
    <row r="312" spans="2:5" ht="13.5" thickBot="1" x14ac:dyDescent="0.25">
      <c r="B312" s="37"/>
      <c r="C312" s="38"/>
      <c r="D312" s="38"/>
      <c r="E312" s="39"/>
    </row>
    <row r="313" spans="2:5" ht="13.5" thickBot="1" x14ac:dyDescent="0.25"/>
    <row r="314" spans="2:5" x14ac:dyDescent="0.2">
      <c r="B314" s="27" t="s">
        <v>86</v>
      </c>
      <c r="C314" s="28"/>
      <c r="D314" s="28"/>
      <c r="E314" s="29"/>
    </row>
    <row r="315" spans="2:5" x14ac:dyDescent="0.2">
      <c r="B315" s="30"/>
      <c r="C315" s="31"/>
      <c r="D315" s="31"/>
      <c r="E315" s="32"/>
    </row>
    <row r="316" spans="2:5" x14ac:dyDescent="0.2">
      <c r="B316" s="33" t="s">
        <v>16</v>
      </c>
      <c r="C316" s="31"/>
      <c r="D316" s="31"/>
      <c r="E316" s="32"/>
    </row>
    <row r="317" spans="2:5" ht="52.5" customHeight="1" x14ac:dyDescent="0.2">
      <c r="B317" s="33"/>
      <c r="C317" s="124" t="s">
        <v>139</v>
      </c>
      <c r="D317" s="124"/>
      <c r="E317" s="125"/>
    </row>
    <row r="318" spans="2:5" x14ac:dyDescent="0.2">
      <c r="B318" s="33" t="s">
        <v>17</v>
      </c>
      <c r="C318" s="31"/>
      <c r="D318" s="31"/>
      <c r="E318" s="32"/>
    </row>
    <row r="319" spans="2:5" x14ac:dyDescent="0.2">
      <c r="B319" s="34"/>
      <c r="C319" s="124" t="s">
        <v>69</v>
      </c>
      <c r="D319" s="124"/>
      <c r="E319" s="125"/>
    </row>
    <row r="320" spans="2:5" ht="69.75" customHeight="1" x14ac:dyDescent="0.2">
      <c r="B320" s="34"/>
      <c r="C320" s="124"/>
      <c r="D320" s="124"/>
      <c r="E320" s="125"/>
    </row>
    <row r="321" spans="2:5" x14ac:dyDescent="0.2">
      <c r="B321" s="33" t="s">
        <v>18</v>
      </c>
      <c r="C321" s="31"/>
      <c r="D321" s="31"/>
      <c r="E321" s="32"/>
    </row>
    <row r="322" spans="2:5" x14ac:dyDescent="0.2">
      <c r="B322" s="34"/>
      <c r="C322" s="122"/>
      <c r="D322" s="122"/>
      <c r="E322" s="123"/>
    </row>
    <row r="323" spans="2:5" x14ac:dyDescent="0.2">
      <c r="B323" s="33" t="s">
        <v>65</v>
      </c>
      <c r="C323" s="35"/>
      <c r="D323" s="35"/>
      <c r="E323" s="36"/>
    </row>
    <row r="324" spans="2:5" x14ac:dyDescent="0.2">
      <c r="B324" s="34"/>
      <c r="C324" s="122"/>
      <c r="D324" s="122"/>
      <c r="E324" s="123"/>
    </row>
    <row r="325" spans="2:5" x14ac:dyDescent="0.2">
      <c r="B325" s="33" t="s">
        <v>19</v>
      </c>
      <c r="C325" s="31"/>
      <c r="D325" s="31"/>
      <c r="E325" s="32"/>
    </row>
    <row r="326" spans="2:5" x14ac:dyDescent="0.2">
      <c r="B326" s="33"/>
      <c r="C326" s="122" t="s">
        <v>87</v>
      </c>
      <c r="D326" s="122"/>
      <c r="E326" s="123"/>
    </row>
    <row r="327" spans="2:5" ht="13.5" thickBot="1" x14ac:dyDescent="0.25">
      <c r="B327" s="37"/>
      <c r="C327" s="38"/>
      <c r="D327" s="38"/>
      <c r="E327" s="39"/>
    </row>
    <row r="328" spans="2:5" ht="13.5" thickBot="1" x14ac:dyDescent="0.25"/>
    <row r="329" spans="2:5" x14ac:dyDescent="0.2">
      <c r="B329" s="27" t="s">
        <v>141</v>
      </c>
      <c r="C329" s="28"/>
      <c r="D329" s="28"/>
      <c r="E329" s="29"/>
    </row>
    <row r="330" spans="2:5" x14ac:dyDescent="0.2">
      <c r="B330" s="30"/>
      <c r="C330" s="31"/>
      <c r="D330" s="31"/>
      <c r="E330" s="32"/>
    </row>
    <row r="331" spans="2:5" x14ac:dyDescent="0.2">
      <c r="B331" s="33" t="s">
        <v>16</v>
      </c>
      <c r="C331" s="31"/>
      <c r="D331" s="31"/>
      <c r="E331" s="32"/>
    </row>
    <row r="332" spans="2:5" ht="34.5" customHeight="1" x14ac:dyDescent="0.2">
      <c r="B332" s="33"/>
      <c r="C332" s="124" t="s">
        <v>140</v>
      </c>
      <c r="D332" s="124"/>
      <c r="E332" s="125"/>
    </row>
    <row r="333" spans="2:5" x14ac:dyDescent="0.2">
      <c r="B333" s="33" t="s">
        <v>17</v>
      </c>
      <c r="C333" s="31"/>
      <c r="D333" s="31"/>
      <c r="E333" s="32"/>
    </row>
    <row r="334" spans="2:5" x14ac:dyDescent="0.2">
      <c r="B334" s="34"/>
      <c r="C334" s="124" t="s">
        <v>69</v>
      </c>
      <c r="D334" s="124"/>
      <c r="E334" s="125"/>
    </row>
    <row r="335" spans="2:5" ht="72.75" customHeight="1" x14ac:dyDescent="0.2">
      <c r="B335" s="34"/>
      <c r="C335" s="124"/>
      <c r="D335" s="124"/>
      <c r="E335" s="125"/>
    </row>
    <row r="336" spans="2:5" x14ac:dyDescent="0.2">
      <c r="B336" s="33" t="s">
        <v>18</v>
      </c>
      <c r="C336" s="31"/>
      <c r="D336" s="31"/>
      <c r="E336" s="32"/>
    </row>
    <row r="337" spans="2:5" x14ac:dyDescent="0.2">
      <c r="B337" s="34"/>
      <c r="C337" s="122"/>
      <c r="D337" s="122"/>
      <c r="E337" s="123"/>
    </row>
    <row r="338" spans="2:5" x14ac:dyDescent="0.2">
      <c r="B338" s="33" t="s">
        <v>65</v>
      </c>
      <c r="C338" s="35"/>
      <c r="D338" s="35"/>
      <c r="E338" s="36"/>
    </row>
    <row r="339" spans="2:5" x14ac:dyDescent="0.2">
      <c r="B339" s="34"/>
      <c r="C339" s="122"/>
      <c r="D339" s="122"/>
      <c r="E339" s="123"/>
    </row>
    <row r="340" spans="2:5" x14ac:dyDescent="0.2">
      <c r="B340" s="33" t="s">
        <v>19</v>
      </c>
      <c r="C340" s="31"/>
      <c r="D340" s="31"/>
      <c r="E340" s="32"/>
    </row>
    <row r="341" spans="2:5" x14ac:dyDescent="0.2">
      <c r="B341" s="33"/>
      <c r="C341" s="122" t="s">
        <v>87</v>
      </c>
      <c r="D341" s="122"/>
      <c r="E341" s="123"/>
    </row>
    <row r="342" spans="2:5" ht="13.5" thickBot="1" x14ac:dyDescent="0.25">
      <c r="B342" s="37"/>
      <c r="C342" s="38"/>
      <c r="D342" s="38"/>
      <c r="E342" s="39"/>
    </row>
  </sheetData>
  <mergeCells count="108">
    <mergeCell ref="C103:E103"/>
    <mergeCell ref="C105:E106"/>
    <mergeCell ref="C112:E112"/>
    <mergeCell ref="C118:E118"/>
    <mergeCell ref="C120:E121"/>
    <mergeCell ref="C108:E108"/>
    <mergeCell ref="C110:E110"/>
    <mergeCell ref="C155:E155"/>
    <mergeCell ref="C123:E123"/>
    <mergeCell ref="C125:E125"/>
    <mergeCell ref="C138:E138"/>
    <mergeCell ref="C127:E127"/>
    <mergeCell ref="C133:E133"/>
    <mergeCell ref="C135:E136"/>
    <mergeCell ref="C142:E142"/>
    <mergeCell ref="C148:E148"/>
    <mergeCell ref="C150:E151"/>
    <mergeCell ref="C140:E140"/>
    <mergeCell ref="C153:E153"/>
    <mergeCell ref="C74:E75"/>
    <mergeCell ref="C77:E77"/>
    <mergeCell ref="C79:E79"/>
    <mergeCell ref="C81:E81"/>
    <mergeCell ref="C93:E93"/>
    <mergeCell ref="C95:E95"/>
    <mergeCell ref="C88:E88"/>
    <mergeCell ref="C90:E91"/>
    <mergeCell ref="C97:E97"/>
    <mergeCell ref="C157:E157"/>
    <mergeCell ref="C163:E163"/>
    <mergeCell ref="C165:E166"/>
    <mergeCell ref="C168:E168"/>
    <mergeCell ref="C170:E170"/>
    <mergeCell ref="A7:B7"/>
    <mergeCell ref="B2:H2"/>
    <mergeCell ref="A4:B4"/>
    <mergeCell ref="C4:E4"/>
    <mergeCell ref="A5:B5"/>
    <mergeCell ref="C5:E5"/>
    <mergeCell ref="A6:B6"/>
    <mergeCell ref="C41:E41"/>
    <mergeCell ref="C43:E44"/>
    <mergeCell ref="C46:E46"/>
    <mergeCell ref="C48:E48"/>
    <mergeCell ref="A34:H34"/>
    <mergeCell ref="C50:E50"/>
    <mergeCell ref="C56:E56"/>
    <mergeCell ref="C58:E59"/>
    <mergeCell ref="C61:E61"/>
    <mergeCell ref="C63:E63"/>
    <mergeCell ref="C65:E65"/>
    <mergeCell ref="C72:E72"/>
    <mergeCell ref="C187:E187"/>
    <mergeCell ref="C193:E193"/>
    <mergeCell ref="C195:E196"/>
    <mergeCell ref="C198:E198"/>
    <mergeCell ref="C200:E200"/>
    <mergeCell ref="C172:E172"/>
    <mergeCell ref="C178:E178"/>
    <mergeCell ref="C180:E181"/>
    <mergeCell ref="C183:E183"/>
    <mergeCell ref="C185:E185"/>
    <mergeCell ref="C219:E219"/>
    <mergeCell ref="C225:E225"/>
    <mergeCell ref="C227:E228"/>
    <mergeCell ref="C230:E230"/>
    <mergeCell ref="C232:E232"/>
    <mergeCell ref="C202:E202"/>
    <mergeCell ref="C210:E210"/>
    <mergeCell ref="C212:E213"/>
    <mergeCell ref="C215:E215"/>
    <mergeCell ref="C217:E217"/>
    <mergeCell ref="C249:E249"/>
    <mergeCell ref="C255:E255"/>
    <mergeCell ref="C257:E258"/>
    <mergeCell ref="C260:E260"/>
    <mergeCell ref="C262:E262"/>
    <mergeCell ref="C234:E234"/>
    <mergeCell ref="C240:E240"/>
    <mergeCell ref="C242:E243"/>
    <mergeCell ref="C245:E245"/>
    <mergeCell ref="C247:E247"/>
    <mergeCell ref="C279:E279"/>
    <mergeCell ref="C317:E317"/>
    <mergeCell ref="C319:E320"/>
    <mergeCell ref="C322:E322"/>
    <mergeCell ref="C324:E324"/>
    <mergeCell ref="C264:E264"/>
    <mergeCell ref="C270:E270"/>
    <mergeCell ref="C272:E273"/>
    <mergeCell ref="C275:E275"/>
    <mergeCell ref="C277:E277"/>
    <mergeCell ref="C311:E311"/>
    <mergeCell ref="C295:E295"/>
    <mergeCell ref="C302:E302"/>
    <mergeCell ref="C304:E305"/>
    <mergeCell ref="C307:E307"/>
    <mergeCell ref="C309:E309"/>
    <mergeCell ref="C341:E341"/>
    <mergeCell ref="C286:E286"/>
    <mergeCell ref="C288:E289"/>
    <mergeCell ref="C291:E291"/>
    <mergeCell ref="C293:E293"/>
    <mergeCell ref="C326:E326"/>
    <mergeCell ref="C332:E332"/>
    <mergeCell ref="C334:E335"/>
    <mergeCell ref="C337:E337"/>
    <mergeCell ref="C339:E339"/>
  </mergeCells>
  <pageMargins left="0.70866141732283472" right="0.70866141732283472" top="0.74803149606299213" bottom="0.74803149606299213" header="0.51181102362204722" footer="0.51181102362204722"/>
  <pageSetup paperSize="5" scale="61" firstPageNumber="0"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32"/>
  <sheetViews>
    <sheetView zoomScale="80" zoomScaleNormal="80" workbookViewId="0">
      <selection activeCell="D5" sqref="D5:K5"/>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2" width="12.28515625" style="2" customWidth="1"/>
    <col min="13" max="14" width="5.85546875" style="2" customWidth="1"/>
    <col min="15" max="15" width="12.5703125" style="2" customWidth="1"/>
    <col min="16" max="1024" width="9.140625" style="2"/>
  </cols>
  <sheetData>
    <row r="1" spans="1:12" ht="18" customHeight="1" x14ac:dyDescent="0.2">
      <c r="A1" s="144" t="s">
        <v>21</v>
      </c>
      <c r="B1" s="144"/>
      <c r="C1" s="144"/>
      <c r="D1" s="144"/>
      <c r="E1" s="144"/>
      <c r="F1" s="144"/>
      <c r="G1" s="144"/>
      <c r="H1" s="144"/>
      <c r="I1" s="144"/>
      <c r="J1" s="3" t="s">
        <v>22</v>
      </c>
      <c r="K1" s="40" t="s">
        <v>143</v>
      </c>
    </row>
    <row r="2" spans="1:12" ht="18.75" customHeight="1" thickBot="1" x14ac:dyDescent="0.25">
      <c r="A2" s="4"/>
      <c r="B2" s="4"/>
      <c r="C2" s="4"/>
      <c r="D2" s="5"/>
      <c r="E2" s="5"/>
      <c r="F2" s="5"/>
      <c r="G2" s="5"/>
      <c r="H2" s="5"/>
      <c r="I2" s="5"/>
      <c r="J2" s="5"/>
      <c r="K2" s="5"/>
    </row>
    <row r="3" spans="1:12" ht="18.75" customHeight="1" thickBot="1" x14ac:dyDescent="0.25">
      <c r="A3" s="145" t="s">
        <v>56</v>
      </c>
      <c r="B3" s="145"/>
      <c r="C3" s="145"/>
      <c r="D3" s="146" t="s">
        <v>59</v>
      </c>
      <c r="E3" s="146"/>
      <c r="F3" s="146"/>
      <c r="G3" s="146"/>
      <c r="H3" s="146"/>
      <c r="I3" s="146"/>
      <c r="J3" s="146"/>
      <c r="K3" s="146"/>
    </row>
    <row r="4" spans="1:12" ht="18.75" customHeight="1" thickBot="1" x14ac:dyDescent="0.25">
      <c r="A4" s="147" t="s">
        <v>57</v>
      </c>
      <c r="B4" s="147"/>
      <c r="C4" s="147"/>
      <c r="D4" s="146" t="s">
        <v>60</v>
      </c>
      <c r="E4" s="146"/>
      <c r="F4" s="146"/>
      <c r="G4" s="146"/>
      <c r="H4" s="146"/>
      <c r="I4" s="146"/>
      <c r="J4" s="146"/>
      <c r="K4" s="146"/>
    </row>
    <row r="5" spans="1:12" ht="18.75" customHeight="1" thickBot="1" x14ac:dyDescent="0.25">
      <c r="A5" s="147" t="s">
        <v>35</v>
      </c>
      <c r="B5" s="147"/>
      <c r="C5" s="147"/>
      <c r="D5" s="146" t="s">
        <v>120</v>
      </c>
      <c r="E5" s="146"/>
      <c r="F5" s="146"/>
      <c r="G5" s="146"/>
      <c r="H5" s="146"/>
      <c r="I5" s="146"/>
      <c r="J5" s="146"/>
      <c r="K5" s="146"/>
    </row>
    <row r="6" spans="1:12" ht="17.25" customHeight="1" thickBot="1" x14ac:dyDescent="0.25">
      <c r="A6" s="145" t="s">
        <v>58</v>
      </c>
      <c r="B6" s="145"/>
      <c r="C6" s="145"/>
      <c r="D6" s="146" t="s">
        <v>67</v>
      </c>
      <c r="E6" s="146"/>
      <c r="F6" s="146"/>
      <c r="G6" s="146"/>
      <c r="H6" s="146"/>
      <c r="I6" s="146"/>
      <c r="J6" s="146"/>
      <c r="K6" s="146"/>
    </row>
    <row r="7" spans="1:12" ht="20.25" customHeight="1" x14ac:dyDescent="0.2">
      <c r="A7" s="147" t="s">
        <v>23</v>
      </c>
      <c r="B7" s="147"/>
      <c r="C7" s="147"/>
      <c r="D7" s="146" t="s">
        <v>119</v>
      </c>
      <c r="E7" s="146"/>
      <c r="F7" s="146"/>
      <c r="G7" s="146"/>
      <c r="H7" s="146"/>
      <c r="I7" s="146"/>
      <c r="J7" s="146"/>
      <c r="K7" s="146"/>
    </row>
    <row r="8" spans="1:12" ht="40.5" customHeight="1" x14ac:dyDescent="0.2">
      <c r="A8" s="139" t="s">
        <v>24</v>
      </c>
      <c r="B8" s="139"/>
      <c r="C8" s="139"/>
      <c r="D8" s="140" t="s">
        <v>122</v>
      </c>
      <c r="E8" s="140"/>
      <c r="F8" s="140"/>
      <c r="G8" s="140"/>
      <c r="H8" s="140"/>
      <c r="I8" s="140"/>
      <c r="J8" s="140"/>
      <c r="K8" s="140"/>
    </row>
    <row r="9" spans="1:12" ht="15.75" x14ac:dyDescent="0.2">
      <c r="A9" s="6"/>
      <c r="B9" s="6"/>
      <c r="C9" s="6"/>
      <c r="D9" s="7"/>
      <c r="E9" s="7"/>
      <c r="F9" s="7"/>
      <c r="G9" s="7"/>
      <c r="H9" s="7"/>
      <c r="I9" s="7"/>
      <c r="J9" s="7"/>
      <c r="K9" s="7"/>
    </row>
    <row r="10" spans="1:12" ht="18.75" customHeight="1" x14ac:dyDescent="0.2">
      <c r="A10" s="141" t="s">
        <v>25</v>
      </c>
      <c r="B10" s="142" t="s">
        <v>26</v>
      </c>
      <c r="C10" s="142" t="s">
        <v>27</v>
      </c>
      <c r="D10" s="142"/>
      <c r="E10" s="142"/>
      <c r="F10" s="142"/>
      <c r="G10" s="142"/>
      <c r="H10" s="142" t="s">
        <v>28</v>
      </c>
      <c r="I10" s="142" t="s">
        <v>29</v>
      </c>
      <c r="J10" s="142" t="s">
        <v>30</v>
      </c>
      <c r="K10" s="143" t="s">
        <v>31</v>
      </c>
    </row>
    <row r="11" spans="1:12" ht="24" customHeight="1" thickBot="1" x14ac:dyDescent="0.25">
      <c r="A11" s="141"/>
      <c r="B11" s="142"/>
      <c r="C11" s="142"/>
      <c r="D11" s="142"/>
      <c r="E11" s="142"/>
      <c r="F11" s="142"/>
      <c r="G11" s="142"/>
      <c r="H11" s="142"/>
      <c r="I11" s="142"/>
      <c r="J11" s="142"/>
      <c r="K11" s="143"/>
    </row>
    <row r="12" spans="1:12" ht="49.5" customHeight="1" thickBot="1" x14ac:dyDescent="0.25">
      <c r="A12" s="47">
        <v>1</v>
      </c>
      <c r="B12" s="48" t="s">
        <v>91</v>
      </c>
      <c r="C12" s="136" t="s">
        <v>89</v>
      </c>
      <c r="D12" s="137" t="s">
        <v>89</v>
      </c>
      <c r="E12" s="137" t="s">
        <v>89</v>
      </c>
      <c r="F12" s="137" t="s">
        <v>89</v>
      </c>
      <c r="G12" s="138" t="s">
        <v>89</v>
      </c>
      <c r="H12" s="49" t="s">
        <v>32</v>
      </c>
      <c r="I12" s="50" t="s">
        <v>14</v>
      </c>
      <c r="J12" s="51">
        <v>125000</v>
      </c>
      <c r="K12" s="52">
        <v>22</v>
      </c>
      <c r="L12" s="43"/>
    </row>
    <row r="13" spans="1:12" ht="49.5" customHeight="1" thickBot="1" x14ac:dyDescent="0.25">
      <c r="A13" s="47">
        <v>2</v>
      </c>
      <c r="B13" s="48" t="s">
        <v>93</v>
      </c>
      <c r="C13" s="136" t="s">
        <v>92</v>
      </c>
      <c r="D13" s="137" t="s">
        <v>92</v>
      </c>
      <c r="E13" s="137" t="s">
        <v>92</v>
      </c>
      <c r="F13" s="137" t="s">
        <v>92</v>
      </c>
      <c r="G13" s="138" t="s">
        <v>92</v>
      </c>
      <c r="H13" s="49" t="s">
        <v>32</v>
      </c>
      <c r="I13" s="50" t="s">
        <v>14</v>
      </c>
      <c r="J13" s="51">
        <v>140000</v>
      </c>
      <c r="K13" s="52">
        <v>5</v>
      </c>
      <c r="L13" s="43"/>
    </row>
    <row r="14" spans="1:12" ht="49.5" customHeight="1" thickBot="1" x14ac:dyDescent="0.25">
      <c r="A14" s="47">
        <v>3</v>
      </c>
      <c r="B14" s="48" t="s">
        <v>108</v>
      </c>
      <c r="C14" s="136" t="s">
        <v>109</v>
      </c>
      <c r="D14" s="137" t="s">
        <v>109</v>
      </c>
      <c r="E14" s="137" t="s">
        <v>109</v>
      </c>
      <c r="F14" s="137" t="s">
        <v>109</v>
      </c>
      <c r="G14" s="138" t="s">
        <v>109</v>
      </c>
      <c r="H14" s="49" t="s">
        <v>32</v>
      </c>
      <c r="I14" s="50" t="s">
        <v>14</v>
      </c>
      <c r="J14" s="51">
        <v>40000</v>
      </c>
      <c r="K14" s="52">
        <v>15</v>
      </c>
      <c r="L14" s="43"/>
    </row>
    <row r="15" spans="1:12" ht="49.5" customHeight="1" thickBot="1" x14ac:dyDescent="0.25">
      <c r="A15" s="47">
        <v>4</v>
      </c>
      <c r="B15" s="48" t="s">
        <v>150</v>
      </c>
      <c r="C15" s="136" t="s">
        <v>149</v>
      </c>
      <c r="D15" s="137" t="s">
        <v>149</v>
      </c>
      <c r="E15" s="137" t="s">
        <v>149</v>
      </c>
      <c r="F15" s="137" t="s">
        <v>149</v>
      </c>
      <c r="G15" s="138" t="s">
        <v>149</v>
      </c>
      <c r="H15" s="49" t="s">
        <v>32</v>
      </c>
      <c r="I15" s="50" t="s">
        <v>14</v>
      </c>
      <c r="J15" s="51">
        <v>150000</v>
      </c>
      <c r="K15" s="52">
        <v>5</v>
      </c>
      <c r="L15" s="43"/>
    </row>
    <row r="16" spans="1:12" ht="49.5" customHeight="1" thickBot="1" x14ac:dyDescent="0.25">
      <c r="A16" s="47">
        <v>5</v>
      </c>
      <c r="B16" s="48" t="s">
        <v>148</v>
      </c>
      <c r="C16" s="136" t="s">
        <v>147</v>
      </c>
      <c r="D16" s="137" t="s">
        <v>147</v>
      </c>
      <c r="E16" s="137" t="s">
        <v>147</v>
      </c>
      <c r="F16" s="137" t="s">
        <v>147</v>
      </c>
      <c r="G16" s="138" t="s">
        <v>147</v>
      </c>
      <c r="H16" s="49" t="s">
        <v>32</v>
      </c>
      <c r="I16" s="50" t="s">
        <v>14</v>
      </c>
      <c r="J16" s="51">
        <v>6000</v>
      </c>
      <c r="K16" s="52">
        <v>10</v>
      </c>
      <c r="L16" s="43"/>
    </row>
    <row r="17" spans="1:12" ht="49.5" customHeight="1" thickBot="1" x14ac:dyDescent="0.25">
      <c r="A17" s="47">
        <v>6</v>
      </c>
      <c r="B17" s="48" t="s">
        <v>99</v>
      </c>
      <c r="C17" s="136" t="s">
        <v>100</v>
      </c>
      <c r="D17" s="137" t="s">
        <v>100</v>
      </c>
      <c r="E17" s="137" t="s">
        <v>100</v>
      </c>
      <c r="F17" s="137" t="s">
        <v>100</v>
      </c>
      <c r="G17" s="138" t="s">
        <v>100</v>
      </c>
      <c r="H17" s="49" t="s">
        <v>32</v>
      </c>
      <c r="I17" s="50" t="s">
        <v>14</v>
      </c>
      <c r="J17" s="51">
        <v>77000</v>
      </c>
      <c r="K17" s="52">
        <v>4</v>
      </c>
      <c r="L17" s="43"/>
    </row>
    <row r="18" spans="1:12" ht="49.5" customHeight="1" thickBot="1" x14ac:dyDescent="0.25">
      <c r="A18" s="47">
        <v>7</v>
      </c>
      <c r="B18" s="48" t="s">
        <v>94</v>
      </c>
      <c r="C18" s="136" t="s">
        <v>95</v>
      </c>
      <c r="D18" s="137" t="s">
        <v>95</v>
      </c>
      <c r="E18" s="137" t="s">
        <v>95</v>
      </c>
      <c r="F18" s="137" t="s">
        <v>95</v>
      </c>
      <c r="G18" s="138" t="s">
        <v>95</v>
      </c>
      <c r="H18" s="49" t="s">
        <v>32</v>
      </c>
      <c r="I18" s="50" t="s">
        <v>14</v>
      </c>
      <c r="J18" s="51">
        <v>187000</v>
      </c>
      <c r="K18" s="52">
        <v>5</v>
      </c>
      <c r="L18" s="43"/>
    </row>
    <row r="19" spans="1:12" ht="49.5" customHeight="1" thickBot="1" x14ac:dyDescent="0.25">
      <c r="A19" s="47">
        <v>8</v>
      </c>
      <c r="B19" s="48" t="s">
        <v>63</v>
      </c>
      <c r="C19" s="136" t="s">
        <v>96</v>
      </c>
      <c r="D19" s="137" t="s">
        <v>96</v>
      </c>
      <c r="E19" s="137" t="s">
        <v>96</v>
      </c>
      <c r="F19" s="137" t="s">
        <v>96</v>
      </c>
      <c r="G19" s="138" t="s">
        <v>96</v>
      </c>
      <c r="H19" s="49" t="s">
        <v>32</v>
      </c>
      <c r="I19" s="50" t="s">
        <v>14</v>
      </c>
      <c r="J19" s="51">
        <v>190000</v>
      </c>
      <c r="K19" s="52">
        <v>10</v>
      </c>
      <c r="L19" s="43"/>
    </row>
    <row r="20" spans="1:12" ht="49.5" customHeight="1" thickBot="1" x14ac:dyDescent="0.25">
      <c r="A20" s="47">
        <v>9</v>
      </c>
      <c r="B20" s="48" t="s">
        <v>63</v>
      </c>
      <c r="C20" s="136" t="s">
        <v>96</v>
      </c>
      <c r="D20" s="137" t="s">
        <v>96</v>
      </c>
      <c r="E20" s="137" t="s">
        <v>96</v>
      </c>
      <c r="F20" s="137" t="s">
        <v>96</v>
      </c>
      <c r="G20" s="138" t="s">
        <v>96</v>
      </c>
      <c r="H20" s="49" t="s">
        <v>32</v>
      </c>
      <c r="I20" s="50" t="s">
        <v>14</v>
      </c>
      <c r="J20" s="51">
        <v>310000</v>
      </c>
      <c r="K20" s="52">
        <v>4</v>
      </c>
      <c r="L20" s="43"/>
    </row>
    <row r="21" spans="1:12" ht="49.5" customHeight="1" thickBot="1" x14ac:dyDescent="0.25">
      <c r="A21" s="47">
        <v>10</v>
      </c>
      <c r="B21" s="48" t="s">
        <v>63</v>
      </c>
      <c r="C21" s="136" t="s">
        <v>96</v>
      </c>
      <c r="D21" s="137" t="s">
        <v>96</v>
      </c>
      <c r="E21" s="137" t="s">
        <v>96</v>
      </c>
      <c r="F21" s="137" t="s">
        <v>96</v>
      </c>
      <c r="G21" s="138" t="s">
        <v>96</v>
      </c>
      <c r="H21" s="49" t="s">
        <v>32</v>
      </c>
      <c r="I21" s="50" t="s">
        <v>14</v>
      </c>
      <c r="J21" s="51">
        <v>60000</v>
      </c>
      <c r="K21" s="52">
        <v>10</v>
      </c>
      <c r="L21" s="43"/>
    </row>
    <row r="22" spans="1:12" ht="49.5" customHeight="1" thickBot="1" x14ac:dyDescent="0.25">
      <c r="A22" s="47">
        <v>11</v>
      </c>
      <c r="B22" s="48" t="s">
        <v>63</v>
      </c>
      <c r="C22" s="136" t="s">
        <v>96</v>
      </c>
      <c r="D22" s="137" t="s">
        <v>96</v>
      </c>
      <c r="E22" s="137" t="s">
        <v>96</v>
      </c>
      <c r="F22" s="137" t="s">
        <v>96</v>
      </c>
      <c r="G22" s="138" t="s">
        <v>96</v>
      </c>
      <c r="H22" s="49" t="s">
        <v>32</v>
      </c>
      <c r="I22" s="50" t="s">
        <v>14</v>
      </c>
      <c r="J22" s="51">
        <v>16000</v>
      </c>
      <c r="K22" s="52">
        <v>20</v>
      </c>
      <c r="L22" s="43"/>
    </row>
    <row r="23" spans="1:12" ht="49.5" customHeight="1" thickBot="1" x14ac:dyDescent="0.25">
      <c r="A23" s="47">
        <v>12</v>
      </c>
      <c r="B23" s="48" t="s">
        <v>63</v>
      </c>
      <c r="C23" s="136" t="s">
        <v>96</v>
      </c>
      <c r="D23" s="137" t="s">
        <v>96</v>
      </c>
      <c r="E23" s="137" t="s">
        <v>96</v>
      </c>
      <c r="F23" s="137" t="s">
        <v>96</v>
      </c>
      <c r="G23" s="138" t="s">
        <v>96</v>
      </c>
      <c r="H23" s="49" t="s">
        <v>32</v>
      </c>
      <c r="I23" s="50" t="s">
        <v>14</v>
      </c>
      <c r="J23" s="51">
        <v>15000</v>
      </c>
      <c r="K23" s="52">
        <v>10</v>
      </c>
      <c r="L23" s="43"/>
    </row>
    <row r="24" spans="1:12" ht="49.5" customHeight="1" thickBot="1" x14ac:dyDescent="0.25">
      <c r="A24" s="47">
        <v>13</v>
      </c>
      <c r="B24" s="48" t="s">
        <v>63</v>
      </c>
      <c r="C24" s="136" t="s">
        <v>96</v>
      </c>
      <c r="D24" s="137" t="s">
        <v>96</v>
      </c>
      <c r="E24" s="137" t="s">
        <v>96</v>
      </c>
      <c r="F24" s="137" t="s">
        <v>96</v>
      </c>
      <c r="G24" s="138" t="s">
        <v>96</v>
      </c>
      <c r="H24" s="49" t="s">
        <v>32</v>
      </c>
      <c r="I24" s="50" t="s">
        <v>14</v>
      </c>
      <c r="J24" s="51">
        <v>61000</v>
      </c>
      <c r="K24" s="52">
        <v>20</v>
      </c>
      <c r="L24" s="43"/>
    </row>
    <row r="25" spans="1:12" ht="49.5" customHeight="1" thickBot="1" x14ac:dyDescent="0.25">
      <c r="A25" s="47">
        <v>14</v>
      </c>
      <c r="B25" s="48" t="s">
        <v>114</v>
      </c>
      <c r="C25" s="136" t="s">
        <v>115</v>
      </c>
      <c r="D25" s="137" t="s">
        <v>115</v>
      </c>
      <c r="E25" s="137" t="s">
        <v>115</v>
      </c>
      <c r="F25" s="137" t="s">
        <v>115</v>
      </c>
      <c r="G25" s="138" t="s">
        <v>115</v>
      </c>
      <c r="H25" s="49" t="s">
        <v>32</v>
      </c>
      <c r="I25" s="50" t="s">
        <v>14</v>
      </c>
      <c r="J25" s="51">
        <v>130000</v>
      </c>
      <c r="K25" s="52">
        <v>3</v>
      </c>
      <c r="L25" s="43"/>
    </row>
    <row r="26" spans="1:12" ht="49.5" customHeight="1" thickBot="1" x14ac:dyDescent="0.25">
      <c r="A26" s="47">
        <v>15</v>
      </c>
      <c r="B26" s="48" t="s">
        <v>97</v>
      </c>
      <c r="C26" s="136" t="s">
        <v>98</v>
      </c>
      <c r="D26" s="137" t="s">
        <v>98</v>
      </c>
      <c r="E26" s="137" t="s">
        <v>98</v>
      </c>
      <c r="F26" s="137" t="s">
        <v>98</v>
      </c>
      <c r="G26" s="138" t="s">
        <v>98</v>
      </c>
      <c r="H26" s="49" t="s">
        <v>32</v>
      </c>
      <c r="I26" s="50" t="s">
        <v>14</v>
      </c>
      <c r="J26" s="51">
        <v>95000</v>
      </c>
      <c r="K26" s="52">
        <v>1</v>
      </c>
      <c r="L26" s="43"/>
    </row>
    <row r="27" spans="1:12" ht="49.5" customHeight="1" thickBot="1" x14ac:dyDescent="0.25">
      <c r="A27" s="47">
        <v>16</v>
      </c>
      <c r="B27" s="48" t="s">
        <v>112</v>
      </c>
      <c r="C27" s="136" t="s">
        <v>113</v>
      </c>
      <c r="D27" s="137" t="s">
        <v>113</v>
      </c>
      <c r="E27" s="137" t="s">
        <v>113</v>
      </c>
      <c r="F27" s="137" t="s">
        <v>113</v>
      </c>
      <c r="G27" s="138" t="s">
        <v>113</v>
      </c>
      <c r="H27" s="49" t="s">
        <v>32</v>
      </c>
      <c r="I27" s="50" t="s">
        <v>14</v>
      </c>
      <c r="J27" s="51">
        <v>6000</v>
      </c>
      <c r="K27" s="52">
        <v>3</v>
      </c>
      <c r="L27" s="43"/>
    </row>
    <row r="28" spans="1:12" ht="49.5" customHeight="1" thickBot="1" x14ac:dyDescent="0.25">
      <c r="A28" s="47">
        <v>17</v>
      </c>
      <c r="B28" s="48" t="s">
        <v>104</v>
      </c>
      <c r="C28" s="136" t="s">
        <v>103</v>
      </c>
      <c r="D28" s="137" t="s">
        <v>103</v>
      </c>
      <c r="E28" s="137" t="s">
        <v>103</v>
      </c>
      <c r="F28" s="137" t="s">
        <v>103</v>
      </c>
      <c r="G28" s="138" t="s">
        <v>103</v>
      </c>
      <c r="H28" s="49" t="s">
        <v>32</v>
      </c>
      <c r="I28" s="50" t="s">
        <v>14</v>
      </c>
      <c r="J28" s="51">
        <v>30000</v>
      </c>
      <c r="K28" s="52">
        <v>5</v>
      </c>
      <c r="L28" s="43"/>
    </row>
    <row r="29" spans="1:12" ht="49.5" customHeight="1" thickBot="1" x14ac:dyDescent="0.25">
      <c r="A29" s="47">
        <v>18</v>
      </c>
      <c r="B29" s="48" t="s">
        <v>106</v>
      </c>
      <c r="C29" s="136" t="s">
        <v>107</v>
      </c>
      <c r="D29" s="137" t="s">
        <v>107</v>
      </c>
      <c r="E29" s="137" t="s">
        <v>107</v>
      </c>
      <c r="F29" s="137" t="s">
        <v>107</v>
      </c>
      <c r="G29" s="138" t="s">
        <v>107</v>
      </c>
      <c r="H29" s="49" t="s">
        <v>32</v>
      </c>
      <c r="I29" s="50" t="s">
        <v>14</v>
      </c>
      <c r="J29" s="51">
        <v>105000</v>
      </c>
      <c r="K29" s="52">
        <v>1</v>
      </c>
      <c r="L29" s="43"/>
    </row>
    <row r="30" spans="1:12" ht="49.5" customHeight="1" thickBot="1" x14ac:dyDescent="0.25">
      <c r="A30" s="47">
        <v>19</v>
      </c>
      <c r="B30" s="48" t="s">
        <v>101</v>
      </c>
      <c r="C30" s="136" t="s">
        <v>102</v>
      </c>
      <c r="D30" s="137" t="s">
        <v>102</v>
      </c>
      <c r="E30" s="137" t="s">
        <v>102</v>
      </c>
      <c r="F30" s="137" t="s">
        <v>102</v>
      </c>
      <c r="G30" s="138" t="s">
        <v>102</v>
      </c>
      <c r="H30" s="49" t="s">
        <v>32</v>
      </c>
      <c r="I30" s="50" t="s">
        <v>14</v>
      </c>
      <c r="J30" s="51">
        <v>65000</v>
      </c>
      <c r="K30" s="52">
        <v>1</v>
      </c>
      <c r="L30" s="43"/>
    </row>
    <row r="31" spans="1:12" ht="65.25" customHeight="1" thickBot="1" x14ac:dyDescent="0.25">
      <c r="A31" s="47">
        <v>20</v>
      </c>
      <c r="B31" s="48" t="s">
        <v>110</v>
      </c>
      <c r="C31" s="136" t="s">
        <v>111</v>
      </c>
      <c r="D31" s="137" t="s">
        <v>111</v>
      </c>
      <c r="E31" s="137" t="s">
        <v>111</v>
      </c>
      <c r="F31" s="137" t="s">
        <v>111</v>
      </c>
      <c r="G31" s="138" t="s">
        <v>111</v>
      </c>
      <c r="H31" s="49" t="s">
        <v>32</v>
      </c>
      <c r="I31" s="50" t="s">
        <v>14</v>
      </c>
      <c r="J31" s="51">
        <v>3200</v>
      </c>
      <c r="K31" s="52">
        <v>5</v>
      </c>
      <c r="L31" s="43"/>
    </row>
    <row r="32" spans="1:12" ht="38.25" customHeight="1" thickBot="1" x14ac:dyDescent="0.25">
      <c r="A32" s="134" t="s">
        <v>118</v>
      </c>
      <c r="B32" s="134"/>
      <c r="C32" s="134"/>
      <c r="D32" s="134"/>
      <c r="E32" s="134"/>
      <c r="F32" s="134"/>
      <c r="G32" s="134"/>
      <c r="H32" s="134"/>
      <c r="I32" s="134"/>
      <c r="J32" s="135">
        <f>SUMPRODUCT(J12:J31,K12:K31)</f>
        <v>12372000</v>
      </c>
      <c r="K32" s="135"/>
      <c r="L32" s="43"/>
    </row>
  </sheetData>
  <mergeCells count="42">
    <mergeCell ref="C27:G27"/>
    <mergeCell ref="C28:G28"/>
    <mergeCell ref="C29:G29"/>
    <mergeCell ref="C30:G30"/>
    <mergeCell ref="C21:G21"/>
    <mergeCell ref="C22:G22"/>
    <mergeCell ref="C23:G23"/>
    <mergeCell ref="C24:G24"/>
    <mergeCell ref="C26:G26"/>
    <mergeCell ref="C25:G25"/>
    <mergeCell ref="C16:G16"/>
    <mergeCell ref="C17:G17"/>
    <mergeCell ref="C18:G18"/>
    <mergeCell ref="C19:G19"/>
    <mergeCell ref="C20:G20"/>
    <mergeCell ref="A1:I1"/>
    <mergeCell ref="A6:C6"/>
    <mergeCell ref="D6:K6"/>
    <mergeCell ref="A7:C7"/>
    <mergeCell ref="D7:K7"/>
    <mergeCell ref="A3:C3"/>
    <mergeCell ref="D3:K3"/>
    <mergeCell ref="A4:C4"/>
    <mergeCell ref="D4:K4"/>
    <mergeCell ref="A5:C5"/>
    <mergeCell ref="D5:K5"/>
    <mergeCell ref="A32:I32"/>
    <mergeCell ref="J32:K32"/>
    <mergeCell ref="C12:G12"/>
    <mergeCell ref="C31:G31"/>
    <mergeCell ref="A8:C8"/>
    <mergeCell ref="D8:K8"/>
    <mergeCell ref="A10:A11"/>
    <mergeCell ref="B10:B11"/>
    <mergeCell ref="C10:G11"/>
    <mergeCell ref="H10:H11"/>
    <mergeCell ref="I10:I11"/>
    <mergeCell ref="J10:J11"/>
    <mergeCell ref="K10:K11"/>
    <mergeCell ref="C13:G13"/>
    <mergeCell ref="C14:G14"/>
    <mergeCell ref="C15:G15"/>
  </mergeCells>
  <printOptions horizontalCentered="1"/>
  <pageMargins left="0.196527777777778" right="0.196527777777778" top="0.98402777777777795" bottom="0.98402777777777795" header="0.51180555555555496" footer="0.51180555555555496"/>
  <pageSetup paperSize="5" scale="68" firstPageNumber="0"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zoomScale="130" zoomScaleNormal="130" workbookViewId="0">
      <selection activeCell="O19" sqref="O19:P19"/>
    </sheetView>
  </sheetViews>
  <sheetFormatPr baseColWidth="10" defaultColWidth="11" defaultRowHeight="12.75" x14ac:dyDescent="0.2"/>
  <cols>
    <col min="1" max="4" width="4.42578125" customWidth="1"/>
    <col min="5" max="5" width="4.140625" customWidth="1"/>
    <col min="6" max="6" width="5.42578125" customWidth="1"/>
    <col min="7" max="7" width="4.42578125" style="8" customWidth="1"/>
    <col min="8" max="14" width="4.42578125" customWidth="1"/>
    <col min="15" max="15" width="14.85546875" customWidth="1"/>
    <col min="16" max="16" width="14" customWidth="1"/>
    <col min="17" max="17" width="14.7109375" customWidth="1"/>
  </cols>
  <sheetData>
    <row r="1" spans="1:17" ht="15.75" customHeight="1" x14ac:dyDescent="0.25">
      <c r="A1" s="175" t="s">
        <v>3</v>
      </c>
      <c r="B1" s="175"/>
      <c r="C1" s="175"/>
      <c r="D1" s="176">
        <v>2021</v>
      </c>
      <c r="E1" s="176"/>
      <c r="F1" s="9"/>
      <c r="G1" s="9"/>
      <c r="H1" s="10"/>
      <c r="I1" s="10"/>
      <c r="J1" s="10"/>
      <c r="K1" s="10"/>
      <c r="L1" s="10"/>
      <c r="M1" s="10"/>
      <c r="N1" s="10"/>
      <c r="P1" s="177" t="s">
        <v>33</v>
      </c>
      <c r="Q1" s="177"/>
    </row>
    <row r="2" spans="1:17" ht="15.75" customHeight="1" x14ac:dyDescent="0.2">
      <c r="H2" s="10"/>
      <c r="I2" s="10"/>
      <c r="J2" s="10"/>
      <c r="K2" s="10"/>
      <c r="L2" s="10"/>
      <c r="M2" s="10"/>
      <c r="N2" s="10"/>
      <c r="P2" s="177"/>
      <c r="Q2" s="177"/>
    </row>
    <row r="4" spans="1:17" s="11" customFormat="1" ht="18" customHeight="1" thickBot="1" x14ac:dyDescent="0.25">
      <c r="A4" s="178" t="s">
        <v>34</v>
      </c>
      <c r="B4" s="178"/>
      <c r="C4" s="178"/>
      <c r="D4" s="178"/>
      <c r="E4" s="178"/>
      <c r="F4" s="178"/>
      <c r="G4" s="172" t="str">
        <f>' NotaPedido'!D3</f>
        <v>70 - MINISTERIO DE CIENCIA E INNOVACION TECNOLOGICA</v>
      </c>
      <c r="H4" s="172"/>
      <c r="I4" s="172"/>
      <c r="J4" s="172"/>
      <c r="K4" s="172"/>
      <c r="L4" s="172"/>
      <c r="M4" s="172"/>
      <c r="N4" s="172"/>
      <c r="O4" s="172"/>
      <c r="P4" s="172"/>
      <c r="Q4" s="172"/>
    </row>
    <row r="5" spans="1:17" s="11" customFormat="1" ht="18" customHeight="1" thickBot="1" x14ac:dyDescent="0.25">
      <c r="A5" s="169" t="s">
        <v>57</v>
      </c>
      <c r="B5" s="170"/>
      <c r="C5" s="170"/>
      <c r="D5" s="170"/>
      <c r="E5" s="170"/>
      <c r="F5" s="171"/>
      <c r="G5" s="172" t="str">
        <f>' NotaPedido'!D4</f>
        <v>20 - MINISTERIO DE CIENCIA E INNOVACION TECNOLOGICA</v>
      </c>
      <c r="H5" s="172"/>
      <c r="I5" s="172"/>
      <c r="J5" s="172"/>
      <c r="K5" s="172"/>
      <c r="L5" s="172"/>
      <c r="M5" s="172"/>
      <c r="N5" s="172"/>
      <c r="O5" s="172"/>
      <c r="P5" s="172"/>
      <c r="Q5" s="172"/>
    </row>
    <row r="6" spans="1:17" s="11" customFormat="1" ht="18" customHeight="1" thickBot="1" x14ac:dyDescent="0.25">
      <c r="A6" s="169" t="s">
        <v>35</v>
      </c>
      <c r="B6" s="170"/>
      <c r="C6" s="170"/>
      <c r="D6" s="170"/>
      <c r="E6" s="170"/>
      <c r="F6" s="171"/>
      <c r="G6" s="172" t="str">
        <f>' NotaPedido'!D5</f>
        <v xml:space="preserve"> SECRETARIA DE INNOVACION TECNOLOGICA</v>
      </c>
      <c r="H6" s="172"/>
      <c r="I6" s="172"/>
      <c r="J6" s="172"/>
      <c r="K6" s="172"/>
      <c r="L6" s="172"/>
      <c r="M6" s="172"/>
      <c r="N6" s="172"/>
      <c r="O6" s="172"/>
      <c r="P6" s="172"/>
      <c r="Q6" s="172"/>
    </row>
    <row r="7" spans="1:17" s="11" customFormat="1" ht="18" customHeight="1" thickBot="1" x14ac:dyDescent="0.25">
      <c r="A7" s="169" t="s">
        <v>58</v>
      </c>
      <c r="B7" s="170"/>
      <c r="C7" s="170"/>
      <c r="D7" s="170"/>
      <c r="E7" s="170"/>
      <c r="F7" s="171"/>
      <c r="G7" s="174" t="str">
        <f>' NotaPedido'!D6</f>
        <v>DIRECCION PROVINCIAL DE GESTION ADMINISTRATIVA RECURSOS HUMANOS</v>
      </c>
      <c r="H7" s="174"/>
      <c r="I7" s="174"/>
      <c r="J7" s="174"/>
      <c r="K7" s="174"/>
      <c r="L7" s="174"/>
      <c r="M7" s="174"/>
      <c r="N7" s="174"/>
      <c r="O7" s="174"/>
      <c r="P7" s="174"/>
      <c r="Q7" s="174"/>
    </row>
    <row r="8" spans="1:17" ht="18" customHeight="1" thickBot="1" x14ac:dyDescent="0.25">
      <c r="A8" s="173" t="s">
        <v>36</v>
      </c>
      <c r="B8" s="173"/>
      <c r="C8" s="173"/>
      <c r="D8" s="173"/>
      <c r="E8" s="173"/>
      <c r="F8" s="173"/>
      <c r="G8" s="173"/>
      <c r="H8" s="173"/>
      <c r="I8" s="173"/>
      <c r="J8" s="173"/>
      <c r="K8" s="173"/>
      <c r="L8" s="173"/>
      <c r="M8" s="173"/>
      <c r="N8" s="173"/>
      <c r="O8" s="173"/>
      <c r="P8" s="173"/>
      <c r="Q8" s="173"/>
    </row>
    <row r="9" spans="1:17" ht="18" customHeight="1" x14ac:dyDescent="0.2">
      <c r="A9" s="163" t="s">
        <v>37</v>
      </c>
      <c r="B9" s="163"/>
      <c r="C9" s="163"/>
      <c r="D9" s="163"/>
      <c r="E9" s="163"/>
      <c r="F9" s="163"/>
      <c r="G9" s="163"/>
      <c r="H9" s="163"/>
      <c r="I9" s="163"/>
      <c r="J9" s="163"/>
      <c r="K9" s="163"/>
      <c r="L9" s="163"/>
      <c r="M9" s="163"/>
      <c r="N9" s="163"/>
      <c r="O9" s="1"/>
      <c r="P9" s="1"/>
      <c r="Q9" s="12"/>
    </row>
    <row r="10" spans="1:17" ht="54.75" customHeight="1" x14ac:dyDescent="0.2">
      <c r="A10" s="164"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026/2021,  afectando la erogación resultante a los créditos presupuestarios aprobados a favor de esta Unidad Ejecutora, conforme al siguiente detalle:</v>
      </c>
      <c r="B10" s="164"/>
      <c r="C10" s="164"/>
      <c r="D10" s="164"/>
      <c r="E10" s="164"/>
      <c r="F10" s="164"/>
      <c r="G10" s="164"/>
      <c r="H10" s="164"/>
      <c r="I10" s="164"/>
      <c r="J10" s="164"/>
      <c r="K10" s="164"/>
      <c r="L10" s="164"/>
      <c r="M10" s="164"/>
      <c r="N10" s="164"/>
      <c r="O10" s="164"/>
      <c r="P10" s="164"/>
      <c r="Q10" s="164"/>
    </row>
    <row r="11" spans="1:17" ht="9" customHeight="1" x14ac:dyDescent="0.2">
      <c r="A11" s="13"/>
      <c r="B11" s="14"/>
      <c r="C11" s="14"/>
      <c r="D11" s="14"/>
      <c r="E11" s="14"/>
      <c r="F11" s="14"/>
      <c r="G11" s="15"/>
      <c r="H11" s="14"/>
      <c r="I11" s="14"/>
      <c r="J11" s="14"/>
      <c r="K11" s="14"/>
      <c r="L11" s="14"/>
      <c r="M11" s="14"/>
      <c r="N11" s="14"/>
      <c r="O11" s="14"/>
      <c r="P11" s="14"/>
      <c r="Q11" s="16"/>
    </row>
    <row r="12" spans="1:17" ht="15.75" customHeight="1" x14ac:dyDescent="0.2">
      <c r="A12" s="165" t="s">
        <v>38</v>
      </c>
      <c r="B12" s="165"/>
      <c r="C12" s="165"/>
      <c r="D12" s="165"/>
      <c r="E12" s="165"/>
      <c r="F12" s="165"/>
      <c r="G12" s="165"/>
      <c r="H12" s="165"/>
      <c r="I12" s="165"/>
      <c r="J12" s="165"/>
      <c r="K12" s="165"/>
      <c r="L12" s="165"/>
      <c r="M12" s="165"/>
      <c r="N12" s="165"/>
      <c r="O12" s="165"/>
      <c r="P12" s="165"/>
      <c r="Q12" s="165"/>
    </row>
    <row r="13" spans="1:17" ht="15.75" customHeight="1" x14ac:dyDescent="0.2">
      <c r="A13" s="166" t="s">
        <v>39</v>
      </c>
      <c r="B13" s="166"/>
      <c r="C13" s="166"/>
      <c r="D13" s="166"/>
      <c r="E13" s="166"/>
      <c r="F13" s="166"/>
      <c r="G13" s="166"/>
      <c r="H13" s="166"/>
      <c r="I13" s="166"/>
      <c r="J13" s="166"/>
      <c r="K13" s="166"/>
      <c r="L13" s="166"/>
      <c r="M13" s="166"/>
      <c r="N13" s="166"/>
      <c r="O13" s="167" t="s">
        <v>40</v>
      </c>
      <c r="P13" s="167"/>
      <c r="Q13" s="168" t="s">
        <v>41</v>
      </c>
    </row>
    <row r="14" spans="1:17" ht="15.75" customHeight="1" thickBot="1" x14ac:dyDescent="0.25">
      <c r="A14" s="17" t="s">
        <v>42</v>
      </c>
      <c r="B14" s="18" t="s">
        <v>43</v>
      </c>
      <c r="C14" s="18" t="s">
        <v>44</v>
      </c>
      <c r="D14" s="18" t="s">
        <v>45</v>
      </c>
      <c r="E14" s="18" t="s">
        <v>46</v>
      </c>
      <c r="F14" s="18" t="s">
        <v>47</v>
      </c>
      <c r="G14" s="19" t="s">
        <v>48</v>
      </c>
      <c r="H14" s="18" t="s">
        <v>49</v>
      </c>
      <c r="I14" s="18" t="s">
        <v>50</v>
      </c>
      <c r="J14" s="18" t="s">
        <v>51</v>
      </c>
      <c r="K14" s="18" t="s">
        <v>51</v>
      </c>
      <c r="L14" s="18" t="s">
        <v>52</v>
      </c>
      <c r="M14" s="20" t="s">
        <v>53</v>
      </c>
      <c r="N14" s="21" t="s">
        <v>54</v>
      </c>
      <c r="O14" s="167"/>
      <c r="P14" s="167"/>
      <c r="Q14" s="168"/>
    </row>
    <row r="15" spans="1:17" ht="27.75" customHeight="1" x14ac:dyDescent="0.2">
      <c r="A15" s="41">
        <v>3</v>
      </c>
      <c r="B15" s="41">
        <v>0</v>
      </c>
      <c r="C15" s="41">
        <v>0</v>
      </c>
      <c r="D15" s="41">
        <v>1</v>
      </c>
      <c r="E15" s="41">
        <v>0</v>
      </c>
      <c r="F15" s="41">
        <v>4901</v>
      </c>
      <c r="G15" s="41">
        <v>3</v>
      </c>
      <c r="H15" s="41">
        <v>5</v>
      </c>
      <c r="I15" s="22">
        <v>4</v>
      </c>
      <c r="J15" s="22">
        <v>3</v>
      </c>
      <c r="K15" s="22">
        <v>6</v>
      </c>
      <c r="L15" s="41">
        <v>0</v>
      </c>
      <c r="M15" s="41">
        <v>1</v>
      </c>
      <c r="N15" s="41" t="s">
        <v>61</v>
      </c>
      <c r="O15" s="158" t="s">
        <v>123</v>
      </c>
      <c r="P15" s="159"/>
      <c r="Q15" s="53">
        <v>4860000</v>
      </c>
    </row>
    <row r="16" spans="1:17" ht="28.5" customHeight="1" x14ac:dyDescent="0.2">
      <c r="A16" s="45">
        <v>3</v>
      </c>
      <c r="B16" s="45">
        <v>0</v>
      </c>
      <c r="C16" s="45">
        <v>0</v>
      </c>
      <c r="D16" s="45">
        <v>1</v>
      </c>
      <c r="E16" s="45">
        <v>0</v>
      </c>
      <c r="F16" s="45">
        <v>4901</v>
      </c>
      <c r="G16" s="45">
        <v>3</v>
      </c>
      <c r="H16" s="45">
        <v>5</v>
      </c>
      <c r="I16" s="23">
        <v>4</v>
      </c>
      <c r="J16" s="23">
        <v>3</v>
      </c>
      <c r="K16" s="23">
        <v>5</v>
      </c>
      <c r="L16" s="45">
        <v>0</v>
      </c>
      <c r="M16" s="45">
        <v>1</v>
      </c>
      <c r="N16" s="45" t="s">
        <v>61</v>
      </c>
      <c r="O16" s="160" t="s">
        <v>62</v>
      </c>
      <c r="P16" s="161"/>
      <c r="Q16" s="54">
        <v>7176000</v>
      </c>
    </row>
    <row r="17" spans="1:18" ht="24.75" customHeight="1" x14ac:dyDescent="0.2">
      <c r="A17" s="45">
        <v>3</v>
      </c>
      <c r="B17" s="45">
        <v>0</v>
      </c>
      <c r="C17" s="45">
        <v>0</v>
      </c>
      <c r="D17" s="45">
        <v>1</v>
      </c>
      <c r="E17" s="45">
        <v>0</v>
      </c>
      <c r="F17" s="45">
        <v>4901</v>
      </c>
      <c r="G17" s="45">
        <v>3</v>
      </c>
      <c r="H17" s="45">
        <v>5</v>
      </c>
      <c r="I17" s="23">
        <v>4</v>
      </c>
      <c r="J17" s="23">
        <v>3</v>
      </c>
      <c r="K17" s="23">
        <v>2</v>
      </c>
      <c r="L17" s="45">
        <v>0</v>
      </c>
      <c r="M17" s="45">
        <v>1</v>
      </c>
      <c r="N17" s="45" t="s">
        <v>61</v>
      </c>
      <c r="O17" s="160" t="s">
        <v>124</v>
      </c>
      <c r="P17" s="161"/>
      <c r="Q17" s="54">
        <v>255000</v>
      </c>
    </row>
    <row r="18" spans="1:18" ht="27" customHeight="1" x14ac:dyDescent="0.2">
      <c r="A18" s="45">
        <v>3</v>
      </c>
      <c r="B18" s="45">
        <v>0</v>
      </c>
      <c r="C18" s="45">
        <v>0</v>
      </c>
      <c r="D18" s="45">
        <v>1</v>
      </c>
      <c r="E18" s="45">
        <v>0</v>
      </c>
      <c r="F18" s="45">
        <v>4901</v>
      </c>
      <c r="G18" s="45">
        <v>3</v>
      </c>
      <c r="H18" s="45">
        <v>5</v>
      </c>
      <c r="I18" s="23">
        <v>4</v>
      </c>
      <c r="J18" s="23">
        <v>3</v>
      </c>
      <c r="K18" s="23">
        <v>9</v>
      </c>
      <c r="L18" s="45">
        <v>0</v>
      </c>
      <c r="M18" s="45">
        <v>1</v>
      </c>
      <c r="N18" s="45" t="s">
        <v>61</v>
      </c>
      <c r="O18" s="162" t="s">
        <v>116</v>
      </c>
      <c r="P18" s="154"/>
      <c r="Q18" s="54">
        <v>65000</v>
      </c>
    </row>
    <row r="19" spans="1:18" ht="31.5" customHeight="1" x14ac:dyDescent="0.2">
      <c r="A19" s="45">
        <v>3</v>
      </c>
      <c r="B19" s="45">
        <v>0</v>
      </c>
      <c r="C19" s="45">
        <v>0</v>
      </c>
      <c r="D19" s="45">
        <v>1</v>
      </c>
      <c r="E19" s="45">
        <v>0</v>
      </c>
      <c r="F19" s="45">
        <v>4901</v>
      </c>
      <c r="G19" s="45">
        <v>3</v>
      </c>
      <c r="H19" s="45">
        <v>5</v>
      </c>
      <c r="I19" s="23">
        <v>2</v>
      </c>
      <c r="J19" s="23">
        <v>9</v>
      </c>
      <c r="K19" s="23">
        <v>3</v>
      </c>
      <c r="L19" s="45">
        <v>0</v>
      </c>
      <c r="M19" s="45">
        <v>1</v>
      </c>
      <c r="N19" s="45" t="s">
        <v>61</v>
      </c>
      <c r="O19" s="162" t="s">
        <v>125</v>
      </c>
      <c r="P19" s="154"/>
      <c r="Q19" s="54">
        <v>16000</v>
      </c>
    </row>
    <row r="20" spans="1:18" ht="17.25" customHeight="1" x14ac:dyDescent="0.2">
      <c r="A20" s="23"/>
      <c r="B20" s="23"/>
      <c r="C20" s="23"/>
      <c r="D20" s="23"/>
      <c r="E20" s="23"/>
      <c r="F20" s="23"/>
      <c r="G20" s="23"/>
      <c r="H20" s="23"/>
      <c r="I20" s="23"/>
      <c r="J20" s="23"/>
      <c r="K20" s="23"/>
      <c r="L20" s="23"/>
      <c r="M20" s="23"/>
      <c r="N20" s="23"/>
      <c r="O20" s="154"/>
      <c r="P20" s="154"/>
      <c r="Q20" s="46"/>
    </row>
    <row r="21" spans="1:18" ht="8.25" customHeight="1" x14ac:dyDescent="0.2">
      <c r="A21" s="25"/>
      <c r="B21" s="25"/>
      <c r="C21" s="25"/>
      <c r="D21" s="25"/>
      <c r="E21" s="25"/>
      <c r="F21" s="24"/>
      <c r="G21" s="25"/>
      <c r="H21" s="25"/>
      <c r="I21" s="25"/>
      <c r="J21" s="25"/>
      <c r="K21" s="25"/>
      <c r="L21" s="25"/>
      <c r="M21" s="25"/>
      <c r="N21" s="25"/>
      <c r="O21" s="155"/>
      <c r="P21" s="155"/>
      <c r="Q21" s="46"/>
      <c r="R21" s="1"/>
    </row>
    <row r="22" spans="1:18" ht="17.25" customHeight="1" x14ac:dyDescent="0.2">
      <c r="A22" s="24"/>
      <c r="B22" s="24"/>
      <c r="C22" s="24"/>
      <c r="D22" s="24"/>
      <c r="E22" s="24"/>
      <c r="F22" s="24"/>
      <c r="G22" s="24"/>
      <c r="H22" s="24"/>
      <c r="I22" s="24"/>
      <c r="J22" s="24"/>
      <c r="K22" s="24"/>
      <c r="L22" s="24"/>
      <c r="M22" s="24"/>
      <c r="N22" s="24"/>
      <c r="O22" s="155"/>
      <c r="P22" s="155"/>
      <c r="Q22" s="46"/>
    </row>
    <row r="23" spans="1:18" ht="32.25" customHeight="1" thickBot="1" x14ac:dyDescent="0.25">
      <c r="A23" s="156" t="s">
        <v>117</v>
      </c>
      <c r="B23" s="156"/>
      <c r="C23" s="156"/>
      <c r="D23" s="156"/>
      <c r="E23" s="156"/>
      <c r="F23" s="156"/>
      <c r="G23" s="156"/>
      <c r="H23" s="156"/>
      <c r="I23" s="156"/>
      <c r="J23" s="156"/>
      <c r="K23" s="156"/>
      <c r="L23" s="156"/>
      <c r="M23" s="156"/>
      <c r="N23" s="156"/>
      <c r="O23" s="156"/>
      <c r="P23" s="156"/>
      <c r="Q23" s="44">
        <f>SUM(Q15:Q22)</f>
        <v>12372000</v>
      </c>
    </row>
    <row r="24" spans="1:18" ht="18" customHeight="1" thickBot="1" x14ac:dyDescent="0.25">
      <c r="A24" s="157"/>
      <c r="B24" s="157"/>
      <c r="C24" s="157"/>
      <c r="D24" s="157"/>
      <c r="E24" s="157"/>
      <c r="F24" s="157"/>
      <c r="G24" s="157"/>
      <c r="H24" s="157"/>
      <c r="I24" s="157"/>
      <c r="J24" s="157"/>
      <c r="K24" s="157"/>
      <c r="L24" s="157"/>
      <c r="M24" s="157"/>
      <c r="N24" s="157"/>
      <c r="O24" s="157"/>
      <c r="P24" s="157"/>
      <c r="Q24" s="157"/>
    </row>
    <row r="25" spans="1:18" ht="17.25" customHeight="1" thickBot="1" x14ac:dyDescent="0.25">
      <c r="A25" s="148" t="s">
        <v>55</v>
      </c>
      <c r="B25" s="149"/>
      <c r="C25" s="149"/>
      <c r="D25" s="149"/>
      <c r="E25" s="149"/>
      <c r="F25" s="150"/>
      <c r="G25" s="151"/>
      <c r="H25" s="151"/>
      <c r="I25" s="151"/>
      <c r="J25" s="151"/>
      <c r="K25" s="151"/>
      <c r="L25" s="151"/>
      <c r="M25" s="151"/>
      <c r="N25" s="151"/>
      <c r="O25" s="151"/>
      <c r="P25" s="151"/>
      <c r="Q25" s="151"/>
    </row>
    <row r="26" spans="1:18" ht="18" customHeight="1" thickBot="1" x14ac:dyDescent="0.25">
      <c r="A26" s="152" t="s">
        <v>121</v>
      </c>
      <c r="B26" s="153"/>
      <c r="C26" s="153"/>
      <c r="D26" s="153"/>
      <c r="E26" s="153"/>
      <c r="F26" s="153"/>
      <c r="G26" s="153"/>
      <c r="H26" s="153"/>
      <c r="I26" s="153"/>
      <c r="J26" s="153"/>
      <c r="K26" s="153"/>
      <c r="L26" s="153"/>
      <c r="M26" s="153"/>
      <c r="N26" s="153"/>
      <c r="O26" s="153"/>
      <c r="P26" s="153"/>
      <c r="Q26" s="153"/>
    </row>
    <row r="27" spans="1:18" ht="21.75" customHeight="1" x14ac:dyDescent="0.2">
      <c r="A27" s="153"/>
      <c r="B27" s="153"/>
      <c r="C27" s="153"/>
      <c r="D27" s="153"/>
      <c r="E27" s="153"/>
      <c r="F27" s="153"/>
      <c r="G27" s="153"/>
      <c r="H27" s="153"/>
      <c r="I27" s="153"/>
      <c r="J27" s="153"/>
      <c r="K27" s="153"/>
      <c r="L27" s="153"/>
      <c r="M27" s="153"/>
      <c r="N27" s="153"/>
      <c r="O27" s="153"/>
      <c r="P27" s="153"/>
      <c r="Q27" s="153"/>
    </row>
    <row r="30" spans="1:18" x14ac:dyDescent="0.2">
      <c r="A30" s="42"/>
    </row>
  </sheetData>
  <mergeCells count="31">
    <mergeCell ref="A1:C1"/>
    <mergeCell ref="D1:E1"/>
    <mergeCell ref="P1:Q2"/>
    <mergeCell ref="A4:F4"/>
    <mergeCell ref="G4:Q4"/>
    <mergeCell ref="A5:F5"/>
    <mergeCell ref="G5:Q5"/>
    <mergeCell ref="A8:Q8"/>
    <mergeCell ref="A6:F6"/>
    <mergeCell ref="G6:Q6"/>
    <mergeCell ref="A7:F7"/>
    <mergeCell ref="G7:Q7"/>
    <mergeCell ref="A9:N9"/>
    <mergeCell ref="A10:Q10"/>
    <mergeCell ref="A12:Q12"/>
    <mergeCell ref="A13:N13"/>
    <mergeCell ref="O13:P14"/>
    <mergeCell ref="Q13:Q14"/>
    <mergeCell ref="O15:P15"/>
    <mergeCell ref="O16:P16"/>
    <mergeCell ref="O17:P17"/>
    <mergeCell ref="O18:P18"/>
    <mergeCell ref="O19:P19"/>
    <mergeCell ref="A25:F25"/>
    <mergeCell ref="G25:Q25"/>
    <mergeCell ref="A26:Q27"/>
    <mergeCell ref="O20:P20"/>
    <mergeCell ref="O21:P21"/>
    <mergeCell ref="O22:P22"/>
    <mergeCell ref="A23:P23"/>
    <mergeCell ref="A24:Q24"/>
  </mergeCells>
  <printOptions horizontalCentered="1"/>
  <pageMargins left="0.39374999999999999" right="0.39374999999999999" top="0.98402777777777795" bottom="0.98402777777777795" header="0.51180555555555496" footer="0.51180555555555496"/>
  <pageSetup paperSize="5" scale="90" firstPageNumber="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4"/>
  <sheetViews>
    <sheetView topLeftCell="A19" workbookViewId="0">
      <selection activeCell="A24" sqref="A24:I24"/>
    </sheetView>
  </sheetViews>
  <sheetFormatPr baseColWidth="10" defaultRowHeight="12.75" x14ac:dyDescent="0.2"/>
  <cols>
    <col min="2" max="2" width="14.42578125" customWidth="1"/>
    <col min="7" max="7" width="19.42578125" customWidth="1"/>
    <col min="10" max="10" width="14.42578125" customWidth="1"/>
    <col min="11" max="11" width="12.85546875" customWidth="1"/>
  </cols>
  <sheetData>
    <row r="1" spans="1:11" ht="16.5" thickBot="1" x14ac:dyDescent="0.25">
      <c r="A1" s="144" t="s">
        <v>21</v>
      </c>
      <c r="B1" s="144"/>
      <c r="C1" s="144"/>
      <c r="D1" s="144"/>
      <c r="E1" s="144"/>
      <c r="F1" s="144"/>
      <c r="G1" s="144"/>
      <c r="H1" s="144"/>
      <c r="I1" s="144"/>
      <c r="J1" s="3" t="s">
        <v>22</v>
      </c>
      <c r="K1" s="110" t="s">
        <v>156</v>
      </c>
    </row>
    <row r="2" spans="1:11" ht="16.5" thickBot="1" x14ac:dyDescent="0.25">
      <c r="A2" s="4"/>
      <c r="B2" s="4"/>
      <c r="C2" s="4"/>
      <c r="D2" s="5"/>
      <c r="E2" s="5"/>
      <c r="F2" s="5"/>
      <c r="G2" s="5"/>
      <c r="H2" s="5"/>
      <c r="I2" s="5"/>
      <c r="J2" s="5"/>
      <c r="K2" s="5"/>
    </row>
    <row r="3" spans="1:11" ht="16.5" thickBot="1" x14ac:dyDescent="0.25">
      <c r="A3" s="145" t="s">
        <v>56</v>
      </c>
      <c r="B3" s="145"/>
      <c r="C3" s="145"/>
      <c r="D3" s="146" t="s">
        <v>59</v>
      </c>
      <c r="E3" s="146"/>
      <c r="F3" s="146"/>
      <c r="G3" s="146"/>
      <c r="H3" s="146"/>
      <c r="I3" s="146"/>
      <c r="J3" s="146"/>
      <c r="K3" s="146"/>
    </row>
    <row r="4" spans="1:11" ht="16.5" thickBot="1" x14ac:dyDescent="0.25">
      <c r="A4" s="147" t="s">
        <v>57</v>
      </c>
      <c r="B4" s="147"/>
      <c r="C4" s="147"/>
      <c r="D4" s="146" t="s">
        <v>60</v>
      </c>
      <c r="E4" s="146"/>
      <c r="F4" s="146"/>
      <c r="G4" s="146"/>
      <c r="H4" s="146"/>
      <c r="I4" s="146"/>
      <c r="J4" s="146"/>
      <c r="K4" s="146"/>
    </row>
    <row r="5" spans="1:11" ht="16.5" thickBot="1" x14ac:dyDescent="0.25">
      <c r="A5" s="147" t="s">
        <v>35</v>
      </c>
      <c r="B5" s="147"/>
      <c r="C5" s="147"/>
      <c r="D5" s="146" t="s">
        <v>157</v>
      </c>
      <c r="E5" s="146"/>
      <c r="F5" s="146"/>
      <c r="G5" s="146"/>
      <c r="H5" s="146"/>
      <c r="I5" s="146"/>
      <c r="J5" s="146"/>
      <c r="K5" s="146"/>
    </row>
    <row r="6" spans="1:11" ht="16.5" thickBot="1" x14ac:dyDescent="0.25">
      <c r="A6" s="145" t="s">
        <v>58</v>
      </c>
      <c r="B6" s="145"/>
      <c r="C6" s="145"/>
      <c r="D6" s="146" t="s">
        <v>67</v>
      </c>
      <c r="E6" s="146"/>
      <c r="F6" s="146"/>
      <c r="G6" s="146"/>
      <c r="H6" s="146"/>
      <c r="I6" s="146"/>
      <c r="J6" s="146"/>
      <c r="K6" s="146"/>
    </row>
    <row r="7" spans="1:11" ht="16.5" thickBot="1" x14ac:dyDescent="0.25">
      <c r="A7" s="147" t="s">
        <v>23</v>
      </c>
      <c r="B7" s="147"/>
      <c r="C7" s="147"/>
      <c r="D7" s="146" t="s">
        <v>119</v>
      </c>
      <c r="E7" s="146"/>
      <c r="F7" s="146"/>
      <c r="G7" s="146"/>
      <c r="H7" s="146"/>
      <c r="I7" s="146"/>
      <c r="J7" s="146"/>
      <c r="K7" s="146"/>
    </row>
    <row r="8" spans="1:11" ht="35.25" customHeight="1" thickBot="1" x14ac:dyDescent="0.25">
      <c r="A8" s="139" t="s">
        <v>24</v>
      </c>
      <c r="B8" s="139"/>
      <c r="C8" s="139"/>
      <c r="D8" s="140" t="s">
        <v>158</v>
      </c>
      <c r="E8" s="140"/>
      <c r="F8" s="140"/>
      <c r="G8" s="140"/>
      <c r="H8" s="140"/>
      <c r="I8" s="140"/>
      <c r="J8" s="140"/>
      <c r="K8" s="140"/>
    </row>
    <row r="9" spans="1:11" ht="16.5" thickBot="1" x14ac:dyDescent="0.25">
      <c r="A9" s="6"/>
      <c r="B9" s="6"/>
      <c r="C9" s="6"/>
      <c r="D9" s="7"/>
      <c r="E9" s="7"/>
      <c r="F9" s="7"/>
      <c r="G9" s="7"/>
      <c r="H9" s="7"/>
      <c r="I9" s="7"/>
      <c r="J9" s="7"/>
      <c r="K9" s="7"/>
    </row>
    <row r="10" spans="1:11" ht="13.5" thickBot="1" x14ac:dyDescent="0.25">
      <c r="A10" s="141" t="s">
        <v>25</v>
      </c>
      <c r="B10" s="142" t="s">
        <v>26</v>
      </c>
      <c r="C10" s="142" t="s">
        <v>27</v>
      </c>
      <c r="D10" s="142"/>
      <c r="E10" s="142"/>
      <c r="F10" s="142"/>
      <c r="G10" s="142"/>
      <c r="H10" s="142" t="s">
        <v>28</v>
      </c>
      <c r="I10" s="142" t="s">
        <v>29</v>
      </c>
      <c r="J10" s="142" t="s">
        <v>30</v>
      </c>
      <c r="K10" s="143" t="s">
        <v>31</v>
      </c>
    </row>
    <row r="11" spans="1:11" ht="13.5" thickBot="1" x14ac:dyDescent="0.25">
      <c r="A11" s="141"/>
      <c r="B11" s="142"/>
      <c r="C11" s="142"/>
      <c r="D11" s="142"/>
      <c r="E11" s="142"/>
      <c r="F11" s="142"/>
      <c r="G11" s="142"/>
      <c r="H11" s="142"/>
      <c r="I11" s="142"/>
      <c r="J11" s="142"/>
      <c r="K11" s="143"/>
    </row>
    <row r="12" spans="1:11" ht="28.7" customHeight="1" thickBot="1" x14ac:dyDescent="0.25">
      <c r="A12" s="47">
        <v>1</v>
      </c>
      <c r="B12" s="48" t="s">
        <v>93</v>
      </c>
      <c r="C12" s="136" t="s">
        <v>92</v>
      </c>
      <c r="D12" s="137" t="s">
        <v>92</v>
      </c>
      <c r="E12" s="137" t="s">
        <v>92</v>
      </c>
      <c r="F12" s="137" t="s">
        <v>92</v>
      </c>
      <c r="G12" s="138" t="s">
        <v>92</v>
      </c>
      <c r="H12" s="49" t="s">
        <v>32</v>
      </c>
      <c r="I12" s="50" t="s">
        <v>14</v>
      </c>
      <c r="J12" s="51">
        <v>140000</v>
      </c>
      <c r="K12" s="52">
        <v>3</v>
      </c>
    </row>
    <row r="13" spans="1:11" ht="28.7" customHeight="1" thickBot="1" x14ac:dyDescent="0.25">
      <c r="A13" s="47">
        <v>2</v>
      </c>
      <c r="B13" s="48" t="s">
        <v>150</v>
      </c>
      <c r="C13" s="179" t="s">
        <v>149</v>
      </c>
      <c r="D13" s="179" t="s">
        <v>149</v>
      </c>
      <c r="E13" s="179" t="s">
        <v>149</v>
      </c>
      <c r="F13" s="179" t="s">
        <v>149</v>
      </c>
      <c r="G13" s="179" t="s">
        <v>149</v>
      </c>
      <c r="H13" s="49" t="s">
        <v>32</v>
      </c>
      <c r="I13" s="50" t="s">
        <v>14</v>
      </c>
      <c r="J13" s="51">
        <v>150000</v>
      </c>
      <c r="K13" s="52">
        <v>8</v>
      </c>
    </row>
    <row r="14" spans="1:11" ht="28.7" customHeight="1" thickBot="1" x14ac:dyDescent="0.25">
      <c r="A14" s="47">
        <v>3</v>
      </c>
      <c r="B14" s="48" t="s">
        <v>99</v>
      </c>
      <c r="C14" s="179" t="s">
        <v>100</v>
      </c>
      <c r="D14" s="179" t="s">
        <v>100</v>
      </c>
      <c r="E14" s="179" t="s">
        <v>100</v>
      </c>
      <c r="F14" s="179" t="s">
        <v>100</v>
      </c>
      <c r="G14" s="179" t="s">
        <v>100</v>
      </c>
      <c r="H14" s="49" t="s">
        <v>32</v>
      </c>
      <c r="I14" s="50" t="s">
        <v>14</v>
      </c>
      <c r="J14" s="51">
        <v>77000</v>
      </c>
      <c r="K14" s="52">
        <v>4</v>
      </c>
    </row>
    <row r="15" spans="1:11" ht="28.7" customHeight="1" thickBot="1" x14ac:dyDescent="0.25">
      <c r="A15" s="47">
        <v>4</v>
      </c>
      <c r="B15" s="48" t="s">
        <v>94</v>
      </c>
      <c r="C15" s="179" t="s">
        <v>95</v>
      </c>
      <c r="D15" s="179" t="s">
        <v>95</v>
      </c>
      <c r="E15" s="179" t="s">
        <v>95</v>
      </c>
      <c r="F15" s="179" t="s">
        <v>95</v>
      </c>
      <c r="G15" s="179" t="s">
        <v>95</v>
      </c>
      <c r="H15" s="49" t="s">
        <v>32</v>
      </c>
      <c r="I15" s="50" t="s">
        <v>14</v>
      </c>
      <c r="J15" s="51">
        <v>187000</v>
      </c>
      <c r="K15" s="52">
        <v>5</v>
      </c>
    </row>
    <row r="16" spans="1:11" ht="28.7" customHeight="1" thickBot="1" x14ac:dyDescent="0.25">
      <c r="A16" s="47">
        <v>5</v>
      </c>
      <c r="B16" s="48" t="s">
        <v>63</v>
      </c>
      <c r="C16" s="179" t="s">
        <v>96</v>
      </c>
      <c r="D16" s="179" t="s">
        <v>96</v>
      </c>
      <c r="E16" s="179" t="s">
        <v>96</v>
      </c>
      <c r="F16" s="179" t="s">
        <v>96</v>
      </c>
      <c r="G16" s="179" t="s">
        <v>96</v>
      </c>
      <c r="H16" s="49" t="s">
        <v>32</v>
      </c>
      <c r="I16" s="50" t="s">
        <v>14</v>
      </c>
      <c r="J16" s="51">
        <v>60000</v>
      </c>
      <c r="K16" s="52">
        <v>10</v>
      </c>
    </row>
    <row r="17" spans="1:11" ht="28.7" customHeight="1" thickBot="1" x14ac:dyDescent="0.25">
      <c r="A17" s="47">
        <v>6</v>
      </c>
      <c r="B17" s="48" t="s">
        <v>63</v>
      </c>
      <c r="C17" s="179" t="s">
        <v>96</v>
      </c>
      <c r="D17" s="179" t="s">
        <v>96</v>
      </c>
      <c r="E17" s="179" t="s">
        <v>96</v>
      </c>
      <c r="F17" s="179" t="s">
        <v>96</v>
      </c>
      <c r="G17" s="179" t="s">
        <v>96</v>
      </c>
      <c r="H17" s="49" t="s">
        <v>32</v>
      </c>
      <c r="I17" s="50" t="s">
        <v>14</v>
      </c>
      <c r="J17" s="51">
        <v>16000</v>
      </c>
      <c r="K17" s="52">
        <v>10</v>
      </c>
    </row>
    <row r="18" spans="1:11" ht="28.7" customHeight="1" thickBot="1" x14ac:dyDescent="0.25">
      <c r="A18" s="47">
        <v>7</v>
      </c>
      <c r="B18" s="48" t="s">
        <v>63</v>
      </c>
      <c r="C18" s="179" t="s">
        <v>96</v>
      </c>
      <c r="D18" s="179" t="s">
        <v>96</v>
      </c>
      <c r="E18" s="179" t="s">
        <v>96</v>
      </c>
      <c r="F18" s="179" t="s">
        <v>96</v>
      </c>
      <c r="G18" s="179" t="s">
        <v>96</v>
      </c>
      <c r="H18" s="49" t="s">
        <v>32</v>
      </c>
      <c r="I18" s="50" t="s">
        <v>14</v>
      </c>
      <c r="J18" s="51">
        <v>15000</v>
      </c>
      <c r="K18" s="52">
        <v>50</v>
      </c>
    </row>
    <row r="19" spans="1:11" ht="28.7" customHeight="1" thickBot="1" x14ac:dyDescent="0.25">
      <c r="A19" s="47">
        <v>8</v>
      </c>
      <c r="B19" s="48" t="s">
        <v>63</v>
      </c>
      <c r="C19" s="179" t="s">
        <v>96</v>
      </c>
      <c r="D19" s="179" t="s">
        <v>96</v>
      </c>
      <c r="E19" s="179" t="s">
        <v>96</v>
      </c>
      <c r="F19" s="179" t="s">
        <v>96</v>
      </c>
      <c r="G19" s="179" t="s">
        <v>96</v>
      </c>
      <c r="H19" s="49" t="s">
        <v>32</v>
      </c>
      <c r="I19" s="50" t="s">
        <v>14</v>
      </c>
      <c r="J19" s="51">
        <v>61000</v>
      </c>
      <c r="K19" s="52">
        <v>20</v>
      </c>
    </row>
    <row r="20" spans="1:11" ht="28.7" customHeight="1" thickBot="1" x14ac:dyDescent="0.25">
      <c r="A20" s="47">
        <v>9</v>
      </c>
      <c r="B20" s="48" t="s">
        <v>114</v>
      </c>
      <c r="C20" s="179" t="s">
        <v>115</v>
      </c>
      <c r="D20" s="179" t="s">
        <v>115</v>
      </c>
      <c r="E20" s="179" t="s">
        <v>115</v>
      </c>
      <c r="F20" s="179" t="s">
        <v>115</v>
      </c>
      <c r="G20" s="179" t="s">
        <v>115</v>
      </c>
      <c r="H20" s="49" t="s">
        <v>32</v>
      </c>
      <c r="I20" s="50" t="s">
        <v>14</v>
      </c>
      <c r="J20" s="51">
        <v>130000</v>
      </c>
      <c r="K20" s="52">
        <v>2</v>
      </c>
    </row>
    <row r="21" spans="1:11" ht="28.7" customHeight="1" thickBot="1" x14ac:dyDescent="0.25">
      <c r="A21" s="47">
        <v>10</v>
      </c>
      <c r="B21" s="48" t="s">
        <v>97</v>
      </c>
      <c r="C21" s="179" t="s">
        <v>98</v>
      </c>
      <c r="D21" s="179" t="s">
        <v>98</v>
      </c>
      <c r="E21" s="179" t="s">
        <v>98</v>
      </c>
      <c r="F21" s="179" t="s">
        <v>98</v>
      </c>
      <c r="G21" s="179" t="s">
        <v>98</v>
      </c>
      <c r="H21" s="49" t="s">
        <v>32</v>
      </c>
      <c r="I21" s="50" t="s">
        <v>14</v>
      </c>
      <c r="J21" s="51">
        <v>95000</v>
      </c>
      <c r="K21" s="52">
        <v>3</v>
      </c>
    </row>
    <row r="22" spans="1:11" ht="28.7" customHeight="1" thickBot="1" x14ac:dyDescent="0.25">
      <c r="A22" s="47">
        <v>11</v>
      </c>
      <c r="B22" s="48" t="s">
        <v>112</v>
      </c>
      <c r="C22" s="179" t="s">
        <v>113</v>
      </c>
      <c r="D22" s="179" t="s">
        <v>113</v>
      </c>
      <c r="E22" s="179" t="s">
        <v>113</v>
      </c>
      <c r="F22" s="179" t="s">
        <v>113</v>
      </c>
      <c r="G22" s="179" t="s">
        <v>113</v>
      </c>
      <c r="H22" s="49" t="s">
        <v>32</v>
      </c>
      <c r="I22" s="50" t="s">
        <v>14</v>
      </c>
      <c r="J22" s="51">
        <v>6000</v>
      </c>
      <c r="K22" s="52">
        <v>4</v>
      </c>
    </row>
    <row r="23" spans="1:11" ht="44.25" customHeight="1" thickBot="1" x14ac:dyDescent="0.25">
      <c r="A23" s="47">
        <v>12</v>
      </c>
      <c r="B23" s="48" t="s">
        <v>110</v>
      </c>
      <c r="C23" s="179" t="s">
        <v>111</v>
      </c>
      <c r="D23" s="179" t="s">
        <v>111</v>
      </c>
      <c r="E23" s="179" t="s">
        <v>111</v>
      </c>
      <c r="F23" s="179" t="s">
        <v>111</v>
      </c>
      <c r="G23" s="179" t="s">
        <v>111</v>
      </c>
      <c r="H23" s="49" t="s">
        <v>32</v>
      </c>
      <c r="I23" s="50" t="s">
        <v>14</v>
      </c>
      <c r="J23" s="51">
        <v>3200</v>
      </c>
      <c r="K23" s="52">
        <v>25</v>
      </c>
    </row>
    <row r="24" spans="1:11" ht="16.5" thickBot="1" x14ac:dyDescent="0.25">
      <c r="A24" s="134" t="s">
        <v>159</v>
      </c>
      <c r="B24" s="134"/>
      <c r="C24" s="134"/>
      <c r="D24" s="134"/>
      <c r="E24" s="134"/>
      <c r="F24" s="134"/>
      <c r="G24" s="134"/>
      <c r="H24" s="134"/>
      <c r="I24" s="134"/>
      <c r="J24" s="135">
        <f>SUMPRODUCT(J12:J23,K12:K23)</f>
        <v>6242000</v>
      </c>
      <c r="K24" s="135"/>
    </row>
  </sheetData>
  <mergeCells count="34">
    <mergeCell ref="A5:C5"/>
    <mergeCell ref="D5:K5"/>
    <mergeCell ref="A1:I1"/>
    <mergeCell ref="A3:C3"/>
    <mergeCell ref="D3:K3"/>
    <mergeCell ref="A4:C4"/>
    <mergeCell ref="D4:K4"/>
    <mergeCell ref="A6:C6"/>
    <mergeCell ref="D6:K6"/>
    <mergeCell ref="A7:C7"/>
    <mergeCell ref="D7:K7"/>
    <mergeCell ref="A8:C8"/>
    <mergeCell ref="D8:K8"/>
    <mergeCell ref="C16:G16"/>
    <mergeCell ref="A10:A11"/>
    <mergeCell ref="B10:B11"/>
    <mergeCell ref="C10:G11"/>
    <mergeCell ref="H10:H11"/>
    <mergeCell ref="K10:K11"/>
    <mergeCell ref="C12:G12"/>
    <mergeCell ref="C13:G13"/>
    <mergeCell ref="C14:G14"/>
    <mergeCell ref="C15:G15"/>
    <mergeCell ref="I10:I11"/>
    <mergeCell ref="J10:J11"/>
    <mergeCell ref="C23:G23"/>
    <mergeCell ref="A24:I24"/>
    <mergeCell ref="J24:K24"/>
    <mergeCell ref="C17:G17"/>
    <mergeCell ref="C18:G18"/>
    <mergeCell ref="C19:G19"/>
    <mergeCell ref="C20:G20"/>
    <mergeCell ref="C21:G21"/>
    <mergeCell ref="C22:G2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8"/>
  <sheetViews>
    <sheetView topLeftCell="A4" zoomScale="130" zoomScaleNormal="130" workbookViewId="0">
      <selection activeCell="O17" sqref="O17:P17"/>
    </sheetView>
  </sheetViews>
  <sheetFormatPr baseColWidth="10" defaultColWidth="11" defaultRowHeight="12.75" x14ac:dyDescent="0.2"/>
  <cols>
    <col min="1" max="4" width="4.42578125" customWidth="1"/>
    <col min="5" max="5" width="4.140625" customWidth="1"/>
    <col min="6" max="6" width="5.42578125" customWidth="1"/>
    <col min="7" max="7" width="4.42578125" style="8" customWidth="1"/>
    <col min="8" max="14" width="4.42578125" customWidth="1"/>
    <col min="15" max="15" width="14.85546875" customWidth="1"/>
    <col min="16" max="16" width="14" customWidth="1"/>
    <col min="17" max="17" width="14.7109375" customWidth="1"/>
  </cols>
  <sheetData>
    <row r="1" spans="1:17" ht="15.75" customHeight="1" thickBot="1" x14ac:dyDescent="0.3">
      <c r="A1" s="175" t="s">
        <v>3</v>
      </c>
      <c r="B1" s="175"/>
      <c r="C1" s="175"/>
      <c r="D1" s="176">
        <v>2021</v>
      </c>
      <c r="E1" s="176"/>
      <c r="F1" s="9"/>
      <c r="G1" s="9"/>
      <c r="H1" s="10"/>
      <c r="I1" s="10"/>
      <c r="J1" s="10"/>
      <c r="K1" s="10"/>
      <c r="L1" s="10"/>
      <c r="M1" s="10"/>
      <c r="N1" s="10"/>
      <c r="P1" s="177" t="s">
        <v>33</v>
      </c>
      <c r="Q1" s="177"/>
    </row>
    <row r="2" spans="1:17" ht="15.75" customHeight="1" thickBot="1" x14ac:dyDescent="0.25">
      <c r="H2" s="10"/>
      <c r="I2" s="10"/>
      <c r="J2" s="10"/>
      <c r="K2" s="10"/>
      <c r="L2" s="10"/>
      <c r="M2" s="10"/>
      <c r="N2" s="10"/>
      <c r="P2" s="177"/>
      <c r="Q2" s="177"/>
    </row>
    <row r="4" spans="1:17" s="11" customFormat="1" ht="18" customHeight="1" thickBot="1" x14ac:dyDescent="0.25">
      <c r="A4" s="178" t="s">
        <v>34</v>
      </c>
      <c r="B4" s="178"/>
      <c r="C4" s="178"/>
      <c r="D4" s="178"/>
      <c r="E4" s="178"/>
      <c r="F4" s="178"/>
      <c r="G4" s="172" t="str">
        <f>' NotaPedido'!D3</f>
        <v>70 - MINISTERIO DE CIENCIA E INNOVACION TECNOLOGICA</v>
      </c>
      <c r="H4" s="172"/>
      <c r="I4" s="172"/>
      <c r="J4" s="172"/>
      <c r="K4" s="172"/>
      <c r="L4" s="172"/>
      <c r="M4" s="172"/>
      <c r="N4" s="172"/>
      <c r="O4" s="172"/>
      <c r="P4" s="172"/>
      <c r="Q4" s="172"/>
    </row>
    <row r="5" spans="1:17" s="11" customFormat="1" ht="18" customHeight="1" thickBot="1" x14ac:dyDescent="0.25">
      <c r="A5" s="169" t="s">
        <v>57</v>
      </c>
      <c r="B5" s="170"/>
      <c r="C5" s="170"/>
      <c r="D5" s="170"/>
      <c r="E5" s="170"/>
      <c r="F5" s="171"/>
      <c r="G5" s="172" t="str">
        <f>' NotaPedido'!D4</f>
        <v>20 - MINISTERIO DE CIENCIA E INNOVACION TECNOLOGICA</v>
      </c>
      <c r="H5" s="172"/>
      <c r="I5" s="172"/>
      <c r="J5" s="172"/>
      <c r="K5" s="172"/>
      <c r="L5" s="172"/>
      <c r="M5" s="172"/>
      <c r="N5" s="172"/>
      <c r="O5" s="172"/>
      <c r="P5" s="172"/>
      <c r="Q5" s="172"/>
    </row>
    <row r="6" spans="1:17" s="11" customFormat="1" ht="18" customHeight="1" thickBot="1" x14ac:dyDescent="0.25">
      <c r="A6" s="169" t="s">
        <v>35</v>
      </c>
      <c r="B6" s="170"/>
      <c r="C6" s="170"/>
      <c r="D6" s="170"/>
      <c r="E6" s="170"/>
      <c r="F6" s="171"/>
      <c r="G6" s="172" t="s">
        <v>157</v>
      </c>
      <c r="H6" s="172"/>
      <c r="I6" s="172"/>
      <c r="J6" s="172"/>
      <c r="K6" s="172"/>
      <c r="L6" s="172"/>
      <c r="M6" s="172"/>
      <c r="N6" s="172"/>
      <c r="O6" s="172"/>
      <c r="P6" s="172"/>
      <c r="Q6" s="172"/>
    </row>
    <row r="7" spans="1:17" s="11" customFormat="1" ht="18" customHeight="1" thickBot="1" x14ac:dyDescent="0.25">
      <c r="A7" s="169" t="s">
        <v>58</v>
      </c>
      <c r="B7" s="170"/>
      <c r="C7" s="170"/>
      <c r="D7" s="170"/>
      <c r="E7" s="170"/>
      <c r="F7" s="171"/>
      <c r="G7" s="174" t="str">
        <f>' NotaPedido'!D6</f>
        <v>DIRECCION PROVINCIAL DE GESTION ADMINISTRATIVA RECURSOS HUMANOS</v>
      </c>
      <c r="H7" s="174"/>
      <c r="I7" s="174"/>
      <c r="J7" s="174"/>
      <c r="K7" s="174"/>
      <c r="L7" s="174"/>
      <c r="M7" s="174"/>
      <c r="N7" s="174"/>
      <c r="O7" s="174"/>
      <c r="P7" s="174"/>
      <c r="Q7" s="174"/>
    </row>
    <row r="8" spans="1:17" ht="18" customHeight="1" thickBot="1" x14ac:dyDescent="0.25">
      <c r="A8" s="173" t="s">
        <v>36</v>
      </c>
      <c r="B8" s="173"/>
      <c r="C8" s="173"/>
      <c r="D8" s="173"/>
      <c r="E8" s="173"/>
      <c r="F8" s="173"/>
      <c r="G8" s="173"/>
      <c r="H8" s="173"/>
      <c r="I8" s="173"/>
      <c r="J8" s="173"/>
      <c r="K8" s="173"/>
      <c r="L8" s="173"/>
      <c r="M8" s="173"/>
      <c r="N8" s="173"/>
      <c r="O8" s="173"/>
      <c r="P8" s="173"/>
      <c r="Q8" s="173"/>
    </row>
    <row r="9" spans="1:17" ht="18" customHeight="1" x14ac:dyDescent="0.2">
      <c r="A9" s="163" t="s">
        <v>37</v>
      </c>
      <c r="B9" s="163"/>
      <c r="C9" s="163"/>
      <c r="D9" s="163"/>
      <c r="E9" s="163"/>
      <c r="F9" s="163"/>
      <c r="G9" s="163"/>
      <c r="H9" s="163"/>
      <c r="I9" s="163"/>
      <c r="J9" s="163"/>
      <c r="K9" s="163"/>
      <c r="L9" s="163"/>
      <c r="M9" s="163"/>
      <c r="N9" s="163"/>
      <c r="O9" s="1"/>
      <c r="P9" s="1"/>
      <c r="Q9" s="12"/>
    </row>
    <row r="10" spans="1:17" ht="54.75" customHeight="1" x14ac:dyDescent="0.2">
      <c r="A10" s="164" t="s">
        <v>160</v>
      </c>
      <c r="B10" s="164"/>
      <c r="C10" s="164"/>
      <c r="D10" s="164"/>
      <c r="E10" s="164"/>
      <c r="F10" s="164"/>
      <c r="G10" s="164"/>
      <c r="H10" s="164"/>
      <c r="I10" s="164"/>
      <c r="J10" s="164"/>
      <c r="K10" s="164"/>
      <c r="L10" s="164"/>
      <c r="M10" s="164"/>
      <c r="N10" s="164"/>
      <c r="O10" s="164"/>
      <c r="P10" s="164"/>
      <c r="Q10" s="164"/>
    </row>
    <row r="11" spans="1:17" ht="9" customHeight="1" thickBot="1" x14ac:dyDescent="0.25">
      <c r="A11" s="13"/>
      <c r="B11" s="14"/>
      <c r="C11" s="14"/>
      <c r="D11" s="14"/>
      <c r="E11" s="14"/>
      <c r="F11" s="14"/>
      <c r="G11" s="15"/>
      <c r="H11" s="14"/>
      <c r="I11" s="14"/>
      <c r="J11" s="14"/>
      <c r="K11" s="14"/>
      <c r="L11" s="14"/>
      <c r="M11" s="14"/>
      <c r="N11" s="14"/>
      <c r="O11" s="14"/>
      <c r="P11" s="14"/>
      <c r="Q11" s="16"/>
    </row>
    <row r="12" spans="1:17" ht="15.75" customHeight="1" thickBot="1" x14ac:dyDescent="0.25">
      <c r="A12" s="165" t="s">
        <v>38</v>
      </c>
      <c r="B12" s="165"/>
      <c r="C12" s="165"/>
      <c r="D12" s="165"/>
      <c r="E12" s="165"/>
      <c r="F12" s="165"/>
      <c r="G12" s="165"/>
      <c r="H12" s="165"/>
      <c r="I12" s="165"/>
      <c r="J12" s="165"/>
      <c r="K12" s="165"/>
      <c r="L12" s="165"/>
      <c r="M12" s="165"/>
      <c r="N12" s="165"/>
      <c r="O12" s="165"/>
      <c r="P12" s="165"/>
      <c r="Q12" s="165"/>
    </row>
    <row r="13" spans="1:17" ht="15.75" customHeight="1" thickBot="1" x14ac:dyDescent="0.25">
      <c r="A13" s="166" t="s">
        <v>39</v>
      </c>
      <c r="B13" s="166"/>
      <c r="C13" s="166"/>
      <c r="D13" s="166"/>
      <c r="E13" s="166"/>
      <c r="F13" s="166"/>
      <c r="G13" s="166"/>
      <c r="H13" s="166"/>
      <c r="I13" s="166"/>
      <c r="J13" s="166"/>
      <c r="K13" s="166"/>
      <c r="L13" s="166"/>
      <c r="M13" s="166"/>
      <c r="N13" s="166"/>
      <c r="O13" s="167" t="s">
        <v>40</v>
      </c>
      <c r="P13" s="167"/>
      <c r="Q13" s="168" t="s">
        <v>41</v>
      </c>
    </row>
    <row r="14" spans="1:17" ht="15.75" customHeight="1" thickBot="1" x14ac:dyDescent="0.25">
      <c r="A14" s="17" t="s">
        <v>42</v>
      </c>
      <c r="B14" s="18" t="s">
        <v>43</v>
      </c>
      <c r="C14" s="18" t="s">
        <v>44</v>
      </c>
      <c r="D14" s="18" t="s">
        <v>45</v>
      </c>
      <c r="E14" s="18" t="s">
        <v>46</v>
      </c>
      <c r="F14" s="18" t="s">
        <v>47</v>
      </c>
      <c r="G14" s="19" t="s">
        <v>48</v>
      </c>
      <c r="H14" s="18" t="s">
        <v>49</v>
      </c>
      <c r="I14" s="18" t="s">
        <v>50</v>
      </c>
      <c r="J14" s="18" t="s">
        <v>51</v>
      </c>
      <c r="K14" s="18" t="s">
        <v>51</v>
      </c>
      <c r="L14" s="18" t="s">
        <v>52</v>
      </c>
      <c r="M14" s="20" t="s">
        <v>53</v>
      </c>
      <c r="N14" s="21" t="s">
        <v>54</v>
      </c>
      <c r="O14" s="167"/>
      <c r="P14" s="167"/>
      <c r="Q14" s="168"/>
    </row>
    <row r="15" spans="1:17" ht="27.75" customHeight="1" x14ac:dyDescent="0.2">
      <c r="A15" s="41">
        <v>2</v>
      </c>
      <c r="B15" s="41">
        <v>0</v>
      </c>
      <c r="C15" s="41">
        <v>0</v>
      </c>
      <c r="D15" s="41">
        <v>1</v>
      </c>
      <c r="E15" s="41">
        <v>0</v>
      </c>
      <c r="F15" s="41">
        <v>4901</v>
      </c>
      <c r="G15" s="41">
        <v>3</v>
      </c>
      <c r="H15" s="41">
        <v>5</v>
      </c>
      <c r="I15" s="22">
        <v>4</v>
      </c>
      <c r="J15" s="22">
        <v>3</v>
      </c>
      <c r="K15" s="22">
        <v>6</v>
      </c>
      <c r="L15" s="41">
        <v>0</v>
      </c>
      <c r="M15" s="41">
        <v>1</v>
      </c>
      <c r="N15" s="41" t="s">
        <v>61</v>
      </c>
      <c r="O15" s="158" t="s">
        <v>123</v>
      </c>
      <c r="P15" s="159"/>
      <c r="Q15" s="53">
        <v>1620000</v>
      </c>
    </row>
    <row r="16" spans="1:17" ht="28.5" customHeight="1" x14ac:dyDescent="0.2">
      <c r="A16" s="45">
        <v>2</v>
      </c>
      <c r="B16" s="45">
        <v>0</v>
      </c>
      <c r="C16" s="45">
        <v>0</v>
      </c>
      <c r="D16" s="45">
        <v>1</v>
      </c>
      <c r="E16" s="45">
        <v>0</v>
      </c>
      <c r="F16" s="45">
        <v>4901</v>
      </c>
      <c r="G16" s="45">
        <v>3</v>
      </c>
      <c r="H16" s="45">
        <v>5</v>
      </c>
      <c r="I16" s="23">
        <v>4</v>
      </c>
      <c r="J16" s="23">
        <v>3</v>
      </c>
      <c r="K16" s="23">
        <v>5</v>
      </c>
      <c r="L16" s="45">
        <v>0</v>
      </c>
      <c r="M16" s="45">
        <v>1</v>
      </c>
      <c r="N16" s="45" t="s">
        <v>61</v>
      </c>
      <c r="O16" s="160" t="s">
        <v>62</v>
      </c>
      <c r="P16" s="161"/>
      <c r="Q16" s="54">
        <v>4542000</v>
      </c>
    </row>
    <row r="17" spans="1:18" ht="31.5" customHeight="1" x14ac:dyDescent="0.2">
      <c r="A17" s="45">
        <v>2</v>
      </c>
      <c r="B17" s="45">
        <v>0</v>
      </c>
      <c r="C17" s="45">
        <v>0</v>
      </c>
      <c r="D17" s="45">
        <v>1</v>
      </c>
      <c r="E17" s="45">
        <v>0</v>
      </c>
      <c r="F17" s="45">
        <v>4901</v>
      </c>
      <c r="G17" s="45">
        <v>3</v>
      </c>
      <c r="H17" s="45">
        <v>5</v>
      </c>
      <c r="I17" s="23">
        <v>2</v>
      </c>
      <c r="J17" s="23">
        <v>9</v>
      </c>
      <c r="K17" s="23">
        <v>3</v>
      </c>
      <c r="L17" s="45">
        <v>0</v>
      </c>
      <c r="M17" s="45">
        <v>1</v>
      </c>
      <c r="N17" s="45" t="s">
        <v>61</v>
      </c>
      <c r="O17" s="162" t="s">
        <v>125</v>
      </c>
      <c r="P17" s="154"/>
      <c r="Q17" s="54">
        <v>80000</v>
      </c>
    </row>
    <row r="18" spans="1:18" ht="17.25" customHeight="1" x14ac:dyDescent="0.2">
      <c r="A18" s="23"/>
      <c r="B18" s="23"/>
      <c r="C18" s="23"/>
      <c r="D18" s="23"/>
      <c r="E18" s="23"/>
      <c r="F18" s="23"/>
      <c r="G18" s="23"/>
      <c r="H18" s="23"/>
      <c r="I18" s="23"/>
      <c r="J18" s="23"/>
      <c r="K18" s="23"/>
      <c r="L18" s="23"/>
      <c r="M18" s="23"/>
      <c r="N18" s="23"/>
      <c r="O18" s="154"/>
      <c r="P18" s="154"/>
      <c r="Q18" s="46"/>
    </row>
    <row r="19" spans="1:18" ht="8.25" customHeight="1" x14ac:dyDescent="0.2">
      <c r="A19" s="25"/>
      <c r="B19" s="25"/>
      <c r="C19" s="25"/>
      <c r="D19" s="25"/>
      <c r="E19" s="25"/>
      <c r="F19" s="24"/>
      <c r="G19" s="25"/>
      <c r="H19" s="25"/>
      <c r="I19" s="25"/>
      <c r="J19" s="25"/>
      <c r="K19" s="25"/>
      <c r="L19" s="25"/>
      <c r="M19" s="25"/>
      <c r="N19" s="25"/>
      <c r="O19" s="155"/>
      <c r="P19" s="155"/>
      <c r="Q19" s="46"/>
      <c r="R19" s="1"/>
    </row>
    <row r="20" spans="1:18" ht="17.25" customHeight="1" x14ac:dyDescent="0.2">
      <c r="A20" s="24"/>
      <c r="B20" s="24"/>
      <c r="C20" s="24"/>
      <c r="D20" s="24"/>
      <c r="E20" s="24"/>
      <c r="F20" s="24"/>
      <c r="G20" s="24"/>
      <c r="H20" s="24"/>
      <c r="I20" s="24"/>
      <c r="J20" s="24"/>
      <c r="K20" s="24"/>
      <c r="L20" s="24"/>
      <c r="M20" s="24"/>
      <c r="N20" s="24"/>
      <c r="O20" s="155"/>
      <c r="P20" s="155"/>
      <c r="Q20" s="46"/>
    </row>
    <row r="21" spans="1:18" ht="32.25" customHeight="1" thickBot="1" x14ac:dyDescent="0.25">
      <c r="A21" s="156" t="s">
        <v>161</v>
      </c>
      <c r="B21" s="156"/>
      <c r="C21" s="156"/>
      <c r="D21" s="156"/>
      <c r="E21" s="156"/>
      <c r="F21" s="156"/>
      <c r="G21" s="156"/>
      <c r="H21" s="156"/>
      <c r="I21" s="156"/>
      <c r="J21" s="156"/>
      <c r="K21" s="156"/>
      <c r="L21" s="156"/>
      <c r="M21" s="156"/>
      <c r="N21" s="156"/>
      <c r="O21" s="156"/>
      <c r="P21" s="156"/>
      <c r="Q21" s="44">
        <f>SUM(Q15:Q20)</f>
        <v>6242000</v>
      </c>
    </row>
    <row r="22" spans="1:18" ht="18" customHeight="1" thickBot="1" x14ac:dyDescent="0.25">
      <c r="A22" s="157"/>
      <c r="B22" s="157"/>
      <c r="C22" s="157"/>
      <c r="D22" s="157"/>
      <c r="E22" s="157"/>
      <c r="F22" s="157"/>
      <c r="G22" s="157"/>
      <c r="H22" s="157"/>
      <c r="I22" s="157"/>
      <c r="J22" s="157"/>
      <c r="K22" s="157"/>
      <c r="L22" s="157"/>
      <c r="M22" s="157"/>
      <c r="N22" s="157"/>
      <c r="O22" s="157"/>
      <c r="P22" s="157"/>
      <c r="Q22" s="157"/>
    </row>
    <row r="23" spans="1:18" ht="17.25" customHeight="1" thickBot="1" x14ac:dyDescent="0.25">
      <c r="A23" s="148" t="s">
        <v>55</v>
      </c>
      <c r="B23" s="149"/>
      <c r="C23" s="149"/>
      <c r="D23" s="149"/>
      <c r="E23" s="149"/>
      <c r="F23" s="150"/>
      <c r="G23" s="151"/>
      <c r="H23" s="151"/>
      <c r="I23" s="151"/>
      <c r="J23" s="151"/>
      <c r="K23" s="151"/>
      <c r="L23" s="151"/>
      <c r="M23" s="151"/>
      <c r="N23" s="151"/>
      <c r="O23" s="151"/>
      <c r="P23" s="151"/>
      <c r="Q23" s="151"/>
    </row>
    <row r="24" spans="1:18" ht="18" customHeight="1" thickBot="1" x14ac:dyDescent="0.25">
      <c r="A24" s="152" t="s">
        <v>162</v>
      </c>
      <c r="B24" s="153"/>
      <c r="C24" s="153"/>
      <c r="D24" s="153"/>
      <c r="E24" s="153"/>
      <c r="F24" s="153"/>
      <c r="G24" s="153"/>
      <c r="H24" s="153"/>
      <c r="I24" s="153"/>
      <c r="J24" s="153"/>
      <c r="K24" s="153"/>
      <c r="L24" s="153"/>
      <c r="M24" s="153"/>
      <c r="N24" s="153"/>
      <c r="O24" s="153"/>
      <c r="P24" s="153"/>
      <c r="Q24" s="153"/>
    </row>
    <row r="25" spans="1:18" ht="21.75" customHeight="1" thickBot="1" x14ac:dyDescent="0.25">
      <c r="A25" s="153"/>
      <c r="B25" s="153"/>
      <c r="C25" s="153"/>
      <c r="D25" s="153"/>
      <c r="E25" s="153"/>
      <c r="F25" s="153"/>
      <c r="G25" s="153"/>
      <c r="H25" s="153"/>
      <c r="I25" s="153"/>
      <c r="J25" s="153"/>
      <c r="K25" s="153"/>
      <c r="L25" s="153"/>
      <c r="M25" s="153"/>
      <c r="N25" s="153"/>
      <c r="O25" s="153"/>
      <c r="P25" s="153"/>
      <c r="Q25" s="153"/>
    </row>
    <row r="28" spans="1:18" x14ac:dyDescent="0.2">
      <c r="A28" s="42"/>
    </row>
  </sheetData>
  <mergeCells count="29">
    <mergeCell ref="A5:F5"/>
    <mergeCell ref="G5:Q5"/>
    <mergeCell ref="A1:C1"/>
    <mergeCell ref="D1:E1"/>
    <mergeCell ref="P1:Q2"/>
    <mergeCell ref="A4:F4"/>
    <mergeCell ref="G4:Q4"/>
    <mergeCell ref="O15:P15"/>
    <mergeCell ref="A6:F6"/>
    <mergeCell ref="G6:Q6"/>
    <mergeCell ref="A7:F7"/>
    <mergeCell ref="G7:Q7"/>
    <mergeCell ref="A8:Q8"/>
    <mergeCell ref="A9:N9"/>
    <mergeCell ref="A10:Q10"/>
    <mergeCell ref="A12:Q12"/>
    <mergeCell ref="A13:N13"/>
    <mergeCell ref="O13:P14"/>
    <mergeCell ref="Q13:Q14"/>
    <mergeCell ref="A24:Q25"/>
    <mergeCell ref="O16:P16"/>
    <mergeCell ref="O17:P17"/>
    <mergeCell ref="O18:P18"/>
    <mergeCell ref="O19:P19"/>
    <mergeCell ref="O20:P20"/>
    <mergeCell ref="A21:P21"/>
    <mergeCell ref="A22:Q22"/>
    <mergeCell ref="A23:F23"/>
    <mergeCell ref="G23:Q23"/>
  </mergeCells>
  <printOptions horizontalCentered="1"/>
  <pageMargins left="0.39374999999999999" right="0.39374999999999999" top="0.98402777777777795" bottom="0.98402777777777795" header="0.51180555555555496" footer="0.51180555555555496"/>
  <pageSetup paperSize="5"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Necesidades Trimestrales (2)</vt:lpstr>
      <vt:lpstr> NotaPedido</vt:lpstr>
      <vt:lpstr>Autor Gastar</vt:lpstr>
      <vt:lpstr>Nota de Pedido</vt:lpstr>
      <vt:lpstr>Autor Gastar </vt:lpstr>
      <vt:lpstr>' NotaPedido'!Área_de_impresión</vt:lpstr>
      <vt:lpstr>'Autor Gastar'!Área_de_impresión</vt:lpstr>
      <vt:lpstr>'Autor Gastar '!Área_de_impresión</vt:lpstr>
      <vt:lpstr>'Necesidades Trimestrales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ELIAS QUINTAR</cp:lastModifiedBy>
  <cp:revision>2</cp:revision>
  <cp:lastPrinted>2021-08-11T15:15:48Z</cp:lastPrinted>
  <dcterms:created xsi:type="dcterms:W3CDTF">2020-07-17T23:44:49Z</dcterms:created>
  <dcterms:modified xsi:type="dcterms:W3CDTF">2021-08-24T11:35:51Z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