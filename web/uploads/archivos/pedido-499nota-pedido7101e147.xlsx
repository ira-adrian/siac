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4948B43A-9F1F-441E-8E6C-5EDB465FAD06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  <sheet name="Hoja1" sheetId="4" r:id="rId4"/>
  </sheets>
  <definedNames>
    <definedName name="_xlnm._FilterDatabase" localSheetId="0" hidden="1">'Necesidades Trimestrales'!$B$10:$B$46</definedName>
    <definedName name="_xlnm.Print_Area" localSheetId="1">' NotaPedido'!$A$1:$K$51</definedName>
    <definedName name="_xlnm.Print_Area" localSheetId="2">'Autor Gastar'!$A$1:$Q$25</definedName>
  </definedNames>
  <calcPr calcId="181029"/>
</workbook>
</file>

<file path=xl/calcChain.xml><?xml version="1.0" encoding="utf-8"?>
<calcChain xmlns="http://schemas.openxmlformats.org/spreadsheetml/2006/main">
  <c r="I48" i="1" l="1"/>
  <c r="I47" i="1"/>
  <c r="Q21" i="3" l="1"/>
  <c r="C48" i="2" l="1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6" i="2"/>
  <c r="C25" i="2"/>
  <c r="C24" i="2"/>
  <c r="C23" i="2"/>
  <c r="C19" i="2"/>
  <c r="C18" i="2"/>
  <c r="C17" i="2"/>
  <c r="C16" i="2"/>
  <c r="C15" i="2"/>
  <c r="C14" i="2"/>
  <c r="C13" i="2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G6" i="3" l="1"/>
  <c r="G7" i="3"/>
  <c r="D7" i="2"/>
  <c r="D3" i="2"/>
  <c r="G4" i="3" s="1"/>
  <c r="D4" i="2"/>
  <c r="G5" i="3" s="1"/>
  <c r="D1" i="3" l="1"/>
  <c r="I12" i="2"/>
</calcChain>
</file>

<file path=xl/sharedStrings.xml><?xml version="1.0" encoding="utf-8"?>
<sst xmlns="http://schemas.openxmlformats.org/spreadsheetml/2006/main" count="409" uniqueCount="155">
  <si>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</si>
  <si>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</si>
  <si>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</si>
  <si>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</si>
  <si>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</si>
  <si>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</si>
  <si>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</si>
  <si>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</si>
  <si>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</si>
  <si>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</si>
  <si>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</si>
  <si>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</si>
  <si>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</si>
  <si>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</si>
  <si>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</si>
  <si>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</si>
  <si>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</si>
  <si>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</si>
  <si>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</si>
  <si>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</si>
  <si>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</si>
  <si>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</si>
  <si>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</si>
  <si>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</si>
  <si>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</si>
  <si>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</si>
  <si>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</si>
  <si>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</si>
  <si>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</si>
  <si>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</si>
  <si>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</si>
  <si>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</si>
  <si>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</si>
  <si>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</si>
  <si>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</si>
  <si>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</si>
  <si>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</si>
  <si>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</si>
  <si>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</si>
  <si>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</si>
  <si>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</si>
  <si>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</si>
  <si>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</si>
  <si>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</si>
  <si>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</si>
  <si>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</si>
  <si>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</si>
  <si>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</si>
  <si>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</si>
  <si>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</si>
  <si>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</si>
  <si>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</si>
  <si>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</si>
  <si>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70 - MINISTERIO DE CIENCIA E INNOVACION TECNOLOGICA</t>
  </si>
  <si>
    <t>20 - MINISTERIO DE CIENCIA E INNOVACION TECNOLOGICA</t>
  </si>
  <si>
    <t xml:space="preserve"> MINISTERIO DE CIENCIA E INNOVACION TECNOLOGICA</t>
  </si>
  <si>
    <t>Garantía</t>
  </si>
  <si>
    <t>1.1</t>
  </si>
  <si>
    <r>
      <rPr>
        <b/>
        <u/>
        <sz val="8"/>
        <color rgb="FF000000"/>
        <rFont val="Calibri"/>
        <family val="2"/>
      </rPr>
      <t>Mantenimiento:</t>
    </r>
    <r>
      <rPr>
        <b/>
        <sz val="8"/>
        <color rgb="FF000000"/>
        <rFont val="Calibri"/>
        <family val="2"/>
      </rPr>
      <t xml:space="preserve"> 30 DIAS</t>
    </r>
  </si>
  <si>
    <t>Unidad</t>
  </si>
  <si>
    <t xml:space="preserve">CAPE PABELLON 26  DENTRO DE LOS DIEZ (10) DIAS DE RECIBIDA LA ORDEN DE COMPRA </t>
  </si>
  <si>
    <t>NO</t>
  </si>
  <si>
    <t>DIRECCION PROVINCIAL DE GESTION ADMINISTRATIVA</t>
  </si>
  <si>
    <t>LIBRERIA,PAP. Y UTILES OFICINA</t>
  </si>
  <si>
    <t xml:space="preserve">LIBRERIA,PAP. Y UTILES OFICINA </t>
  </si>
  <si>
    <t xml:space="preserve">ADQUISICION DE ELEMENTOS DE LIBRERIA PARA SER UTILIZADOS EN LAS DIFERENTES OFICINAS DEPENDIENTES DEL MINISTERIO DE CIENCIA E INNOVACION TECNOLOGICA.-  </t>
  </si>
  <si>
    <t>2.3.1-928.8</t>
  </si>
  <si>
    <t>ARANDELAS DE CARTON; DIAMETRO: 1 pulg, PRESENTACION: CAJA X 500 UNIDADES</t>
  </si>
  <si>
    <t>2.3.1-6590.516</t>
  </si>
  <si>
    <t>SOBRES DE PAPEL; TIPO: MADERA, TAMAÑO: A4, GRAMAJE: 80 GR/M2, PRESENTACION: UNIDAD, CERTIFICADO FORESTAL (GFS): SIN, PORC. FIBRAS RECICLADAS: 0 %, CERT. FIBRA ALTERNATIVA (FCA): SIN</t>
  </si>
  <si>
    <t>SOBRES DE PAPEL; TIPO: PAPEL MADERA, TAMAÑO: OFICIO Cm, GRAMAJE: 80 GR/M2, PRESENTACION: UNIDAD, CERTIFICADO FORESTAL (GFS): SIN, PORC. FIBRAS RECICLADAS: SIN VALOR</t>
  </si>
  <si>
    <t>2.3.1-6590.472</t>
  </si>
  <si>
    <t>2.9.2-261.14</t>
  </si>
  <si>
    <t>ABROCHADORAS DE PAPEL; TIPO: PINZA, P/BROCHES: 10/50, MATERIAL: METALICA, MEDIDA: 10/50</t>
  </si>
  <si>
    <t>2.9.2-1062.12</t>
  </si>
  <si>
    <t>PAPELES ANOTADOR AUTOADHESIVOS; PRESENTACION: 100 HOJAS, LARGO X ANCHO: 76 X 76 mm</t>
  </si>
  <si>
    <t>2.9.2-274.3</t>
  </si>
  <si>
    <t>BIBLIORATOS; ANCHO 80mm - ANILLO 2 Y PALANCA - TAMAÑO OFICIO - MATERIAL CARTON</t>
  </si>
  <si>
    <t>BIBLIORATOS; TAMAÑO: CARTA, ANCHO: 80 mm, TAPAS: CARTON, ANILLO: 2 Y PALANCA, COLOR: NEGRO, LOMO: SIN VALOR, MATERIAL: CARTON</t>
  </si>
  <si>
    <t>2.9.2-274.2</t>
  </si>
  <si>
    <t>2.9.2-323.4</t>
  </si>
  <si>
    <t>CORRECTORES DE ESCRITURA; CAPACIDAD: 7 mL, ENVASE: LAPIZ (PUNTA METAL), PRESENTACION: LAPIZ (PUNTA METAL) X 7 Ml</t>
  </si>
  <si>
    <t>CLIPS P/PAPEL; NUMERO: 5, CANT. X CAJA: 100, MATERIAL: METAL, PRESENTACION: CAJA X 100</t>
  </si>
  <si>
    <t>2.9.2-660.13</t>
  </si>
  <si>
    <t>2.9.2-700.28</t>
  </si>
  <si>
    <t>BROCHES P/ABROCHADORA; NUMERO: 10/50, PRESENTACION: CAJA X 1000 UNIDADES</t>
  </si>
  <si>
    <t>LAPIZ; TIPO: COMUN NRO 2, COLOR: NEGRO</t>
  </si>
  <si>
    <t>2.9.2-848.5</t>
  </si>
  <si>
    <t>2.9.2-317.31</t>
  </si>
  <si>
    <t>BOLIGRAFOS; TRAZO: MEDIO</t>
  </si>
  <si>
    <t>2.9.2-850.180</t>
  </si>
  <si>
    <t>CAJAS DE ARCHIVO; MATERIAL: PLASTICO, DIMENSION: 36 X 25 X 12 Cm</t>
  </si>
  <si>
    <t>2.3.1</t>
  </si>
  <si>
    <t>2.9.2</t>
  </si>
  <si>
    <t>2.9.2-758.7</t>
  </si>
  <si>
    <t>TIJERAS P/CORTAR PAPELES; LONG.DE CUERPO: 15 Cm, MATERIAL: ACERO BRUÑIDO, CUCHILLA: REDONDEADAS, MANGO: SIN VALOR</t>
  </si>
  <si>
    <t>GOMAS DE BORRAR; MATERIAL: CAUCHO, CANT. X CAJA: 30, USO: LAPIZ, DIMENSION: 4 X 1 X 1 Cm, PRESENTACION: CAJA X 30</t>
  </si>
  <si>
    <t>2.9.2-661.1</t>
  </si>
  <si>
    <t>2.9.2-858.15</t>
  </si>
  <si>
    <t>PERFORADORAS; TAMAÑO: GRANDE, N° PERFORACIONES: MULTIPLE, DIST. ENTRE AGUJ.: REGULABLE, GUIA POSICION PAPEL: CON, MATERIAL ESTRUCTURA: BASE DE MADERA, MATERIAL: BASE DE MADERA</t>
  </si>
  <si>
    <t>REGLAS GRADUADAS; LONG.DE CUERPO: 20 Cm, TIPO: PLANA, MATERIAL: PLASTICO</t>
  </si>
  <si>
    <t>2.9.2-674.8</t>
  </si>
  <si>
    <t>2.9.2-866.3</t>
  </si>
  <si>
    <t>MAQUINAS SACABROCHES; EXTRACTOR: HIERRO, CUERPO: PLASTICO, MATERIAL: PLASTICO, MATERIAL DEL CUERPO: PLASTICO</t>
  </si>
  <si>
    <t>CINTAS ADHESIVAS; TIPO: EMBALAR, ANCHO: 48 mm, LARGO ROLLO: 50 M, MATERIAL: PLASTICO, ACCESORIO: SIN, LARGO: 50 M</t>
  </si>
  <si>
    <t>2.9.2-1153.90</t>
  </si>
  <si>
    <t>2.9.2-1354.22</t>
  </si>
  <si>
    <t>RESALTADORES; ACCESORIO SIN - TIPO PUNTA 5 (CHANFLEADA) mm</t>
  </si>
  <si>
    <t>2.9.2-291.4</t>
  </si>
  <si>
    <t>ALMOHADILLAS P/SELLOS; MEDIDA: 5 X 9 Cm, MATERIAL: PLASTICO</t>
  </si>
  <si>
    <t>2.9.2-1450.30</t>
  </si>
  <si>
    <t>TINTAS P/SELLOS; TIPO DE SELLO: DE GOMA, ENVASE: 60 CM3, COLOR: AZUL, PRESENTACION: ENVASE X 60 CM3</t>
  </si>
  <si>
    <t>TINTAS P/SELLOS; ENVASE: 30 CM3, COLOR: NEGRO, TIPO DE SELLO: DE GOMA, PRESENTACION: ENVASE X 30 CM3</t>
  </si>
  <si>
    <t>2.9.2-1450.2</t>
  </si>
  <si>
    <t>2.9.2-1611.19</t>
  </si>
  <si>
    <t>FOLIOS TRANSPARENTES; TAMAÑO: A4, PERFORACIONES: 5, MATERIAL: PLASTICO (POLIETILENO)</t>
  </si>
  <si>
    <t>FOLIOS TRANSPARENTES; MATERIAL: PLASTICO (POLIETILENO), TAMAÑO: OFICIO, PERFORACIONES: 5 UNIVERSALES</t>
  </si>
  <si>
    <t>2.9.2-1611.1</t>
  </si>
  <si>
    <t>2.3.1-6587.361</t>
  </si>
  <si>
    <t>PAPELES ENCUADERNADOS; CANT. DE HOJAS: 200, TAMAÑO: 22,5 X 34,5 Cm, TIPO: LIBRO DE ACTAS, CERTIFICADO FORESTAL (GFS): SIN, PORC. FIBRAS RECICLADAS: 0 %, CERT. FIBRA ALTERNATIVA (FCA): SIN</t>
  </si>
  <si>
    <t>CARPETAS; MATERIAL PVC - TAMAÑO OFICIO</t>
  </si>
  <si>
    <t>CARPETAS; MATERIAL PVC - TAMAÑO A4</t>
  </si>
  <si>
    <t>2.9.2-1358.34</t>
  </si>
  <si>
    <t>2.9.2-1358.35</t>
  </si>
  <si>
    <t>2.9.2-9597.4</t>
  </si>
  <si>
    <t>MEMORIAS USB; CAPACIDAD: 16 Gb, TIPO: PEN DRIVE</t>
  </si>
  <si>
    <t>PAPELES EN HOJA; TIPO DE PAPEL: TACO MULTICOLOR, DIMENSION: 9 X 9 Cm, GRAMAJE: NO CORRESPONDE, PRESENTACION: ENVASE X 400 HOJAS, CERTIFICADO FORESTAL (GFS): SIN, PORC. FIBRAS RECICLADAS: 0 %, CERT. FIBRA ALTERNATIVA (FCA): SIN</t>
  </si>
  <si>
    <t>ORGANIZADORES DE ESCRITORIO; CANTIDAD FUNCIONES: 10, MATERIAL: PLASTICO</t>
  </si>
  <si>
    <t>2.3.1-6563.951</t>
  </si>
  <si>
    <t>2.9.2-1951.7</t>
  </si>
  <si>
    <t>Útiles de Escritorio, Oficina y Enseñanza</t>
  </si>
  <si>
    <t>Especificidades Item N° 12:</t>
  </si>
  <si>
    <t>Especificidades Item N° 13:</t>
  </si>
  <si>
    <t>Especificidades Item N° 14:</t>
  </si>
  <si>
    <t>Especificidades Item N° 15:</t>
  </si>
  <si>
    <r>
      <t xml:space="preserve">Descripción técnica: </t>
    </r>
    <r>
      <rPr>
        <sz val="8"/>
        <color rgb="FF000000"/>
        <rFont val="Calibri"/>
        <family val="2"/>
      </rPr>
      <t>Lapicera Color Azul.</t>
    </r>
  </si>
  <si>
    <r>
      <t xml:space="preserve">Descripción técnica: </t>
    </r>
    <r>
      <rPr>
        <sz val="8"/>
        <color rgb="FF000000"/>
        <rFont val="Calibri"/>
        <family val="2"/>
      </rPr>
      <t>Lapicera Color Negra.</t>
    </r>
  </si>
  <si>
    <r>
      <t xml:space="preserve">Descripción técnica: </t>
    </r>
    <r>
      <rPr>
        <sz val="8"/>
        <color rgb="FF000000"/>
        <rFont val="Calibri"/>
        <family val="2"/>
      </rPr>
      <t>Lapicera Color Rojo.</t>
    </r>
  </si>
  <si>
    <r>
      <t>Descripción técnica:</t>
    </r>
    <r>
      <rPr>
        <sz val="8"/>
        <color rgb="FF000000"/>
        <rFont val="Calibri"/>
        <family val="2"/>
      </rPr>
      <t xml:space="preserve"> Lapicera Color Verde.</t>
    </r>
  </si>
  <si>
    <r>
      <t>Especificidades Item N° 23:</t>
    </r>
    <r>
      <rPr>
        <sz val="8"/>
        <color rgb="FF000000"/>
        <rFont val="Calibri"/>
        <family val="2"/>
      </rPr>
      <t xml:space="preserve"> </t>
    </r>
  </si>
  <si>
    <r>
      <t>Descripción técnica:</t>
    </r>
    <r>
      <rPr>
        <sz val="8"/>
        <color rgb="FF000000"/>
        <rFont val="Calibri"/>
        <family val="2"/>
      </rPr>
      <t xml:space="preserve"> Resaltador Color Amarillo Fluor.</t>
    </r>
  </si>
  <si>
    <t>Especificidades Item N° 24:</t>
  </si>
  <si>
    <t>Especificidades Item N° 25:</t>
  </si>
  <si>
    <r>
      <t xml:space="preserve">Descripción técnica: </t>
    </r>
    <r>
      <rPr>
        <sz val="8"/>
        <color rgb="FF000000"/>
        <rFont val="Calibri"/>
        <family val="2"/>
      </rPr>
      <t>Resaltador Color Verde.</t>
    </r>
  </si>
  <si>
    <t>Especificidades Item N° 26:</t>
  </si>
  <si>
    <r>
      <t>Descripción técnica:</t>
    </r>
    <r>
      <rPr>
        <sz val="8"/>
        <color rgb="FF000000"/>
        <rFont val="Calibri"/>
        <family val="2"/>
      </rPr>
      <t xml:space="preserve"> Resaltador Color Celeste.</t>
    </r>
  </si>
  <si>
    <r>
      <t xml:space="preserve">Descripción técnica: </t>
    </r>
    <r>
      <rPr>
        <sz val="8"/>
        <color rgb="FF000000"/>
        <rFont val="Calibri"/>
        <family val="2"/>
      </rPr>
      <t>Resaltador Color Naranja.</t>
    </r>
  </si>
  <si>
    <t>006/2020</t>
  </si>
  <si>
    <t>2.3.1-6563.953</t>
  </si>
  <si>
    <t>PAPELES EN HOJA; TIPO DE PAPEL: OBRA, DIMENSION: 21 X 29,7 Cm, GRAMAJE: 80 GR/M2, PRESENTACION: ENVASE X 500 HOJAS, CERTIFICADO FORESTAL (GFS): SIN, PORC. FIBRAS RECICLADAS: 0 %, CERT. FIBRA ALTERNATIVA (FCA): SIN</t>
  </si>
  <si>
    <t>2.3.1-6563.920</t>
  </si>
  <si>
    <t>PAPELES EN HOJA; TIPO DE PAPEL: OBRA, DIMENSION: 21,6 X 35,6 Cm, GRAMAJE: 80 GR/M2, PRESENTACION: PAQUETE X 500 HOJAS, CERTIFICADO FORESTAL (GFS): SIN, PORC. FIBRAS RECICLADAS: 0 %, CERT. FIBRA ALTERNATIVA (FCA): SIN</t>
  </si>
  <si>
    <t>Costo total estimado: SETECIENTOS OCHO MIL CIENTO OCHO CON  80/100.</t>
  </si>
  <si>
    <r>
      <t xml:space="preserve">Autorizo la realización de los  trámites correspondientes, a fin de proveer a  este Organismo los bienes y/o servicios que se detallan en </t>
    </r>
    <r>
      <rPr>
        <b/>
        <sz val="11"/>
        <rFont val="Arial"/>
        <family val="2"/>
      </rPr>
      <t>Nota  de Pedido N° 006-2020</t>
    </r>
    <r>
      <rPr>
        <sz val="11"/>
        <rFont val="Arial"/>
        <family val="2"/>
        <charset val="1"/>
      </rPr>
      <t>,  afectando la erogación resultante a los créditos presupuestarios aprobados a favor de esta Unidad Ejecutora, conforme al siguiente detalle:</t>
    </r>
  </si>
  <si>
    <t>TOTAL DE PESOS: SETECIENTOS OCHO MIL CIENTO OCHO CON 80/100.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</si>
</sst>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4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b/>
      <sz val="9"/>
      <color rgb="FF000000"/>
      <name val="Times New Roman"/>
      <family val="1"/>
    </font>
    <font>
      <u/>
      <sz val="9"/>
      <name val="Times New Roman"/>
      <family val="1"/>
    </font>
    <font>
      <b/>
      <u/>
      <sz val="8"/>
      <color rgb="FF000000"/>
      <name val="Calibri"/>
      <family val="2"/>
    </font>
    <font>
      <sz val="8"/>
      <name val="Arial"/>
      <family val="2"/>
      <charset val="1"/>
    </font>
    <font>
      <b/>
      <sz val="8"/>
      <color rgb="FF000000"/>
      <name val="Calibri"/>
      <family val="2"/>
    </font>
    <font>
      <b/>
      <u/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9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8"/>
      <color rgb="FF000000"/>
      <name val="Calibri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5" fontId="14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</cellStyleXfs>
  <cellXfs count="150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3" xfId="0" applyBorder="1"/>
    <xf numFmtId="0" fontId="0" fillId="0" borderId="17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18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3" fillId="0" borderId="40" xfId="0" applyFont="1" applyBorder="1" applyAlignment="1">
      <alignment vertical="center"/>
    </xf>
    <xf numFmtId="0" fontId="0" fillId="0" borderId="40" xfId="0" applyBorder="1"/>
    <xf numFmtId="0" fontId="15" fillId="0" borderId="0" xfId="0" applyFont="1" applyFill="1"/>
    <xf numFmtId="0" fontId="18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0" fillId="0" borderId="0" xfId="0" applyFont="1" applyFill="1"/>
    <xf numFmtId="0" fontId="20" fillId="0" borderId="0" xfId="0" applyFont="1" applyFill="1" applyBorder="1"/>
    <xf numFmtId="0" fontId="20" fillId="0" borderId="0" xfId="0" applyFont="1" applyFill="1" applyBorder="1" applyAlignment="1">
      <alignment horizontal="center" wrapText="1"/>
    </xf>
    <xf numFmtId="0" fontId="27" fillId="0" borderId="0" xfId="0" applyFont="1"/>
    <xf numFmtId="0" fontId="28" fillId="0" borderId="0" xfId="0" applyFont="1" applyBorder="1" applyAlignment="1">
      <alignment vertical="center"/>
    </xf>
    <xf numFmtId="0" fontId="24" fillId="0" borderId="0" xfId="0" applyFont="1"/>
    <xf numFmtId="0" fontId="29" fillId="0" borderId="0" xfId="0" applyFont="1"/>
    <xf numFmtId="0" fontId="24" fillId="0" borderId="0" xfId="0" applyFont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right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20" fillId="0" borderId="0" xfId="0" applyFont="1" applyFill="1" applyBorder="1" applyAlignment="1">
      <alignment horizontal="left" indent="3"/>
    </xf>
    <xf numFmtId="0" fontId="26" fillId="0" borderId="0" xfId="0" applyFont="1" applyFill="1" applyBorder="1" applyAlignment="1">
      <alignment horizontal="left" indent="3"/>
    </xf>
    <xf numFmtId="0" fontId="26" fillId="0" borderId="0" xfId="0" applyFont="1" applyFill="1" applyBorder="1"/>
    <xf numFmtId="167" fontId="20" fillId="0" borderId="0" xfId="0" applyNumberFormat="1" applyFont="1" applyFill="1"/>
    <xf numFmtId="167" fontId="15" fillId="0" borderId="0" xfId="0" applyNumberFormat="1" applyFont="1" applyFill="1"/>
    <xf numFmtId="0" fontId="15" fillId="0" borderId="0" xfId="0" applyNumberFormat="1" applyFont="1" applyFill="1"/>
    <xf numFmtId="49" fontId="7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left" vertical="center" wrapText="1"/>
    </xf>
    <xf numFmtId="166" fontId="20" fillId="0" borderId="7" xfId="1" applyNumberFormat="1" applyFont="1" applyFill="1" applyBorder="1" applyAlignment="1" applyProtection="1">
      <alignment horizontal="center" vertical="center" wrapText="1"/>
    </xf>
    <xf numFmtId="0" fontId="23" fillId="0" borderId="7" xfId="0" applyFont="1" applyFill="1" applyBorder="1" applyAlignment="1">
      <alignment horizontal="left" vertical="center" wrapText="1"/>
    </xf>
    <xf numFmtId="167" fontId="21" fillId="0" borderId="7" xfId="0" applyNumberFormat="1" applyFont="1" applyFill="1" applyBorder="1" applyAlignment="1">
      <alignment horizontal="center" vertical="center" wrapText="1"/>
    </xf>
    <xf numFmtId="0" fontId="35" fillId="0" borderId="7" xfId="0" applyFont="1" applyFill="1" applyBorder="1" applyAlignment="1">
      <alignment horizontal="center" vertical="center"/>
    </xf>
    <xf numFmtId="0" fontId="35" fillId="0" borderId="7" xfId="0" applyFont="1" applyFill="1" applyBorder="1" applyAlignment="1">
      <alignment horizontal="center" vertical="center" wrapText="1"/>
    </xf>
    <xf numFmtId="0" fontId="36" fillId="0" borderId="7" xfId="0" applyFont="1" applyFill="1" applyBorder="1" applyAlignment="1">
      <alignment horizontal="center" vertical="center"/>
    </xf>
    <xf numFmtId="170" fontId="21" fillId="0" borderId="7" xfId="0" applyNumberFormat="1" applyFont="1" applyFill="1" applyBorder="1" applyAlignment="1">
      <alignment horizontal="center" vertical="center" wrapText="1"/>
    </xf>
    <xf numFmtId="0" fontId="36" fillId="0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Alignment="1">
      <alignment wrapText="1"/>
    </xf>
    <xf numFmtId="166" fontId="0" fillId="0" borderId="47" xfId="3" applyNumberFormat="1" applyFont="1" applyBorder="1" applyAlignment="1" applyProtection="1">
      <alignment horizontal="center" vertical="center"/>
    </xf>
    <xf numFmtId="169" fontId="1" fillId="0" borderId="48" xfId="5" applyNumberFormat="1" applyBorder="1"/>
    <xf numFmtId="169" fontId="1" fillId="0" borderId="7" xfId="5" applyNumberFormat="1" applyBorder="1"/>
    <xf numFmtId="170" fontId="20" fillId="0" borderId="0" xfId="0" applyNumberFormat="1" applyFont="1" applyFill="1"/>
    <xf numFmtId="0" fontId="20" fillId="0" borderId="49" xfId="0" applyFont="1" applyFill="1" applyBorder="1" applyAlignment="1">
      <alignment horizontal="center" vertical="center"/>
    </xf>
    <xf numFmtId="0" fontId="21" fillId="0" borderId="49" xfId="0" applyFont="1" applyFill="1" applyBorder="1" applyAlignment="1">
      <alignment horizontal="center" vertical="center" wrapText="1"/>
    </xf>
    <xf numFmtId="0" fontId="21" fillId="0" borderId="49" xfId="0" applyFont="1" applyFill="1" applyBorder="1" applyAlignment="1">
      <alignment horizontal="left" vertical="center" wrapText="1"/>
    </xf>
    <xf numFmtId="170" fontId="21" fillId="0" borderId="49" xfId="0" applyNumberFormat="1" applyFont="1" applyFill="1" applyBorder="1" applyAlignment="1">
      <alignment horizontal="center" vertical="center" wrapText="1"/>
    </xf>
    <xf numFmtId="166" fontId="38" fillId="0" borderId="26" xfId="3" applyNumberFormat="1" applyFont="1" applyBorder="1" applyAlignment="1" applyProtection="1">
      <alignment horizontal="center" vertical="center"/>
    </xf>
    <xf numFmtId="0" fontId="17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left" vertical="top" wrapText="1"/>
    </xf>
    <xf numFmtId="0" fontId="32" fillId="0" borderId="9" xfId="0" applyFont="1" applyFill="1" applyBorder="1" applyAlignment="1">
      <alignment horizontal="left" vertical="center"/>
    </xf>
    <xf numFmtId="0" fontId="33" fillId="0" borderId="10" xfId="0" applyFont="1" applyFill="1" applyBorder="1" applyAlignment="1">
      <alignment horizontal="left" vertical="center" wrapText="1" indent="1"/>
    </xf>
    <xf numFmtId="0" fontId="34" fillId="0" borderId="9" xfId="0" applyFont="1" applyFill="1" applyBorder="1" applyAlignment="1">
      <alignment horizontal="center" vertical="center"/>
    </xf>
    <xf numFmtId="0" fontId="34" fillId="0" borderId="4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2" fillId="0" borderId="6" xfId="0" applyFont="1" applyFill="1" applyBorder="1" applyAlignment="1">
      <alignment horizontal="left" vertical="center" wrapText="1"/>
    </xf>
    <xf numFmtId="0" fontId="31" fillId="0" borderId="7" xfId="0" applyFont="1" applyFill="1" applyBorder="1" applyAlignment="1">
      <alignment horizontal="left" vertical="center" wrapText="1" indent="1"/>
    </xf>
    <xf numFmtId="0" fontId="32" fillId="0" borderId="8" xfId="0" applyFont="1" applyFill="1" applyBorder="1" applyAlignment="1">
      <alignment horizontal="left" vertical="center" wrapText="1"/>
    </xf>
    <xf numFmtId="0" fontId="34" fillId="0" borderId="11" xfId="0" applyFont="1" applyFill="1" applyBorder="1" applyAlignment="1">
      <alignment horizontal="center" vertical="center" wrapText="1"/>
    </xf>
    <xf numFmtId="0" fontId="34" fillId="0" borderId="44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4" fillId="0" borderId="45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46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 indent="1"/>
    </xf>
    <xf numFmtId="167" fontId="39" fillId="0" borderId="7" xfId="0" applyNumberFormat="1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left" vertical="center" wrapText="1"/>
    </xf>
    <xf numFmtId="0" fontId="35" fillId="0" borderId="46" xfId="0" applyFont="1" applyFill="1" applyBorder="1" applyAlignment="1">
      <alignment horizontal="left" vertical="center" wrapText="1"/>
    </xf>
    <xf numFmtId="0" fontId="35" fillId="0" borderId="13" xfId="0" applyFont="1" applyFill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top" wrapText="1"/>
    </xf>
    <xf numFmtId="0" fontId="8" fillId="0" borderId="46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11" fillId="0" borderId="4" xfId="0" applyFont="1" applyBorder="1" applyAlignment="1">
      <alignment horizontal="left" indent="1"/>
    </xf>
    <xf numFmtId="0" fontId="5" fillId="0" borderId="6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/>
    </xf>
    <xf numFmtId="0" fontId="23" fillId="0" borderId="42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wrapText="1"/>
    </xf>
    <xf numFmtId="0" fontId="23" fillId="0" borderId="41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3" fillId="0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9" fillId="0" borderId="36" xfId="0" applyFont="1" applyBorder="1" applyAlignment="1">
      <alignment horizontal="left" vertical="center" wrapText="1"/>
    </xf>
    <xf numFmtId="0" fontId="0" fillId="0" borderId="14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31"/>
  <sheetViews>
    <sheetView tabSelected="1" zoomScaleNormal="100" workbookViewId="0">
      <selection activeCell="E21" sqref="E21"/>
    </sheetView>
  </sheetViews>
  <sheetFormatPr baseColWidth="10" defaultColWidth="11" defaultRowHeight="12.75" x14ac:dyDescent="0.2"/>
  <cols>
    <col min="1" max="1" width="3.28515625" style="29" customWidth="1"/>
    <col min="2" max="2" width="12.85546875" style="29" customWidth="1"/>
    <col min="3" max="3" width="27.5703125" style="29" customWidth="1"/>
    <col min="4" max="4" width="5.28515625" style="29" customWidth="1"/>
    <col min="5" max="5" width="76" style="29" customWidth="1"/>
    <col min="6" max="6" width="8.7109375" style="29" customWidth="1"/>
    <col min="7" max="7" width="11" style="29" customWidth="1"/>
    <col min="8" max="8" width="10.7109375" style="29" customWidth="1"/>
    <col min="9" max="9" width="15.7109375" style="29" customWidth="1"/>
    <col min="10" max="10" width="11" style="29"/>
    <col min="11" max="11" width="11.28515625" style="29" bestFit="1" customWidth="1"/>
    <col min="12" max="16384" width="11" style="29"/>
  </cols>
  <sheetData>
    <row r="2" spans="1:11" ht="27" x14ac:dyDescent="0.35">
      <c r="B2" s="89" t="s">
        <v>0</v>
      </c>
      <c r="C2" s="89"/>
      <c r="D2" s="89"/>
      <c r="E2" s="89"/>
      <c r="F2" s="89"/>
      <c r="G2" s="89"/>
      <c r="H2" s="89"/>
    </row>
    <row r="4" spans="1:11" ht="15.75" x14ac:dyDescent="0.25">
      <c r="A4" s="90" t="s">
        <v>1</v>
      </c>
      <c r="B4" s="90"/>
      <c r="C4" s="91" t="s">
        <v>53</v>
      </c>
      <c r="D4" s="91"/>
      <c r="E4" s="91"/>
      <c r="F4" s="30"/>
      <c r="G4" s="31"/>
      <c r="H4" s="30"/>
    </row>
    <row r="5" spans="1:11" ht="18" customHeight="1" x14ac:dyDescent="0.25">
      <c r="A5" s="88" t="s">
        <v>2</v>
      </c>
      <c r="B5" s="88"/>
      <c r="C5" s="91" t="s">
        <v>54</v>
      </c>
      <c r="D5" s="91"/>
      <c r="E5" s="91"/>
      <c r="F5" s="30"/>
      <c r="G5" s="31"/>
      <c r="H5" s="30"/>
    </row>
    <row r="6" spans="1:11" ht="16.5" customHeight="1" x14ac:dyDescent="0.25">
      <c r="A6" s="88" t="s">
        <v>3</v>
      </c>
      <c r="B6" s="88"/>
      <c r="C6" s="32">
        <v>2020</v>
      </c>
      <c r="D6" s="33"/>
      <c r="E6" s="33"/>
      <c r="F6" s="30"/>
      <c r="G6" s="31"/>
      <c r="H6" s="30"/>
    </row>
    <row r="7" spans="1:11" ht="16.5" customHeight="1" x14ac:dyDescent="0.25">
      <c r="A7" s="88" t="s">
        <v>4</v>
      </c>
      <c r="B7" s="88"/>
      <c r="C7" s="32">
        <v>4</v>
      </c>
      <c r="D7" s="33"/>
      <c r="E7" s="33"/>
      <c r="F7" s="30"/>
      <c r="G7" s="31"/>
      <c r="H7" s="30"/>
    </row>
    <row r="8" spans="1:11" ht="13.5" thickBot="1" x14ac:dyDescent="0.25">
      <c r="B8" s="30"/>
      <c r="C8" s="31"/>
      <c r="D8" s="30"/>
      <c r="E8" s="30"/>
      <c r="F8" s="30"/>
      <c r="G8" s="31"/>
      <c r="H8" s="30"/>
    </row>
    <row r="9" spans="1:11" ht="37.5" thickTop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42" t="s">
        <v>10</v>
      </c>
      <c r="G9" s="42" t="s">
        <v>11</v>
      </c>
      <c r="H9" s="42" t="s">
        <v>12</v>
      </c>
      <c r="I9" s="42" t="s">
        <v>13</v>
      </c>
      <c r="J9" s="43"/>
    </row>
    <row r="10" spans="1:11" ht="24.75" thickBot="1" x14ac:dyDescent="0.25">
      <c r="A10" s="66">
        <v>1</v>
      </c>
      <c r="B10" s="67" t="s">
        <v>66</v>
      </c>
      <c r="C10" s="67" t="s">
        <v>63</v>
      </c>
      <c r="D10" s="67" t="s">
        <v>92</v>
      </c>
      <c r="E10" s="68" t="s">
        <v>67</v>
      </c>
      <c r="F10" s="67" t="s">
        <v>59</v>
      </c>
      <c r="G10" s="67">
        <v>40</v>
      </c>
      <c r="H10" s="69">
        <v>60</v>
      </c>
      <c r="I10" s="69">
        <f t="shared" ref="I10:I48" si="0">+G10*H10</f>
        <v>2400</v>
      </c>
      <c r="J10" s="62"/>
      <c r="K10" s="63"/>
    </row>
    <row r="11" spans="1:11" ht="36.75" thickBot="1" x14ac:dyDescent="0.25">
      <c r="A11" s="66">
        <v>2</v>
      </c>
      <c r="B11" s="67" t="s">
        <v>68</v>
      </c>
      <c r="C11" s="67" t="s">
        <v>63</v>
      </c>
      <c r="D11" s="67" t="s">
        <v>92</v>
      </c>
      <c r="E11" s="70" t="s">
        <v>69</v>
      </c>
      <c r="F11" s="67" t="s">
        <v>59</v>
      </c>
      <c r="G11" s="67">
        <v>500</v>
      </c>
      <c r="H11" s="75">
        <v>8</v>
      </c>
      <c r="I11" s="71">
        <f t="shared" si="0"/>
        <v>4000</v>
      </c>
      <c r="J11" s="43"/>
      <c r="K11" s="64"/>
    </row>
    <row r="12" spans="1:11" ht="36" customHeight="1" thickBot="1" x14ac:dyDescent="0.25">
      <c r="A12" s="66">
        <v>3</v>
      </c>
      <c r="B12" s="67" t="s">
        <v>71</v>
      </c>
      <c r="C12" s="67" t="s">
        <v>63</v>
      </c>
      <c r="D12" s="67" t="s">
        <v>92</v>
      </c>
      <c r="E12" s="70" t="s">
        <v>70</v>
      </c>
      <c r="F12" s="67" t="s">
        <v>59</v>
      </c>
      <c r="G12" s="67">
        <v>500</v>
      </c>
      <c r="H12" s="75">
        <v>8.5</v>
      </c>
      <c r="I12" s="75">
        <f t="shared" si="0"/>
        <v>4250</v>
      </c>
      <c r="J12" s="43"/>
      <c r="K12" s="64"/>
    </row>
    <row r="13" spans="1:11" ht="24.75" thickBot="1" x14ac:dyDescent="0.25">
      <c r="A13" s="66">
        <v>4</v>
      </c>
      <c r="B13" s="67" t="s">
        <v>72</v>
      </c>
      <c r="C13" s="67" t="s">
        <v>63</v>
      </c>
      <c r="D13" s="67" t="s">
        <v>93</v>
      </c>
      <c r="E13" s="70" t="s">
        <v>73</v>
      </c>
      <c r="F13" s="67" t="s">
        <v>59</v>
      </c>
      <c r="G13" s="67">
        <v>30</v>
      </c>
      <c r="H13" s="75">
        <v>280</v>
      </c>
      <c r="I13" s="75">
        <f t="shared" si="0"/>
        <v>8400</v>
      </c>
      <c r="J13" s="82"/>
      <c r="K13" s="63"/>
    </row>
    <row r="14" spans="1:11" ht="24.75" thickBot="1" x14ac:dyDescent="0.25">
      <c r="A14" s="66">
        <v>5</v>
      </c>
      <c r="B14" s="67" t="s">
        <v>74</v>
      </c>
      <c r="C14" s="67" t="s">
        <v>63</v>
      </c>
      <c r="D14" s="67" t="s">
        <v>93</v>
      </c>
      <c r="E14" s="70" t="s">
        <v>75</v>
      </c>
      <c r="F14" s="67" t="s">
        <v>59</v>
      </c>
      <c r="G14" s="67">
        <v>50</v>
      </c>
      <c r="H14" s="75">
        <v>35</v>
      </c>
      <c r="I14" s="75">
        <f t="shared" si="0"/>
        <v>1750</v>
      </c>
      <c r="J14" s="43"/>
    </row>
    <row r="15" spans="1:11" ht="24.75" thickBot="1" x14ac:dyDescent="0.25">
      <c r="A15" s="66">
        <v>6</v>
      </c>
      <c r="B15" s="67" t="s">
        <v>76</v>
      </c>
      <c r="C15" s="67" t="s">
        <v>63</v>
      </c>
      <c r="D15" s="67" t="s">
        <v>93</v>
      </c>
      <c r="E15" s="70" t="s">
        <v>77</v>
      </c>
      <c r="F15" s="67" t="s">
        <v>59</v>
      </c>
      <c r="G15" s="67">
        <v>100</v>
      </c>
      <c r="H15" s="75">
        <v>180</v>
      </c>
      <c r="I15" s="75">
        <f t="shared" si="0"/>
        <v>18000</v>
      </c>
      <c r="J15" s="43"/>
    </row>
    <row r="16" spans="1:11" ht="24.75" thickBot="1" x14ac:dyDescent="0.25">
      <c r="A16" s="66">
        <v>7</v>
      </c>
      <c r="B16" s="67" t="s">
        <v>79</v>
      </c>
      <c r="C16" s="67" t="s">
        <v>63</v>
      </c>
      <c r="D16" s="67" t="s">
        <v>93</v>
      </c>
      <c r="E16" s="68" t="s">
        <v>78</v>
      </c>
      <c r="F16" s="67" t="s">
        <v>59</v>
      </c>
      <c r="G16" s="67">
        <v>100</v>
      </c>
      <c r="H16" s="75">
        <v>180</v>
      </c>
      <c r="I16" s="75">
        <f t="shared" si="0"/>
        <v>18000</v>
      </c>
      <c r="J16" s="43"/>
    </row>
    <row r="17" spans="1:10" ht="24.75" thickBot="1" x14ac:dyDescent="0.25">
      <c r="A17" s="66">
        <v>8</v>
      </c>
      <c r="B17" s="67" t="s">
        <v>80</v>
      </c>
      <c r="C17" s="67" t="s">
        <v>63</v>
      </c>
      <c r="D17" s="67" t="s">
        <v>93</v>
      </c>
      <c r="E17" s="68" t="s">
        <v>81</v>
      </c>
      <c r="F17" s="67" t="s">
        <v>59</v>
      </c>
      <c r="G17" s="67">
        <v>50</v>
      </c>
      <c r="H17" s="75">
        <v>40</v>
      </c>
      <c r="I17" s="75">
        <f t="shared" si="0"/>
        <v>2000</v>
      </c>
      <c r="J17" s="43"/>
    </row>
    <row r="18" spans="1:10" ht="24.75" thickBot="1" x14ac:dyDescent="0.25">
      <c r="A18" s="66">
        <v>9</v>
      </c>
      <c r="B18" s="67" t="s">
        <v>83</v>
      </c>
      <c r="C18" s="67" t="s">
        <v>63</v>
      </c>
      <c r="D18" s="67" t="s">
        <v>93</v>
      </c>
      <c r="E18" s="68" t="s">
        <v>82</v>
      </c>
      <c r="F18" s="67" t="s">
        <v>59</v>
      </c>
      <c r="G18" s="67">
        <v>50</v>
      </c>
      <c r="H18" s="75">
        <v>35</v>
      </c>
      <c r="I18" s="75">
        <f t="shared" si="0"/>
        <v>1750</v>
      </c>
      <c r="J18" s="43"/>
    </row>
    <row r="19" spans="1:10" ht="24.75" thickBot="1" x14ac:dyDescent="0.25">
      <c r="A19" s="66">
        <v>10</v>
      </c>
      <c r="B19" s="67" t="s">
        <v>84</v>
      </c>
      <c r="C19" s="67" t="s">
        <v>63</v>
      </c>
      <c r="D19" s="67" t="s">
        <v>93</v>
      </c>
      <c r="E19" s="68" t="s">
        <v>85</v>
      </c>
      <c r="F19" s="67" t="s">
        <v>59</v>
      </c>
      <c r="G19" s="67">
        <v>100</v>
      </c>
      <c r="H19" s="75">
        <v>20</v>
      </c>
      <c r="I19" s="75">
        <f t="shared" si="0"/>
        <v>2000</v>
      </c>
      <c r="J19" s="43"/>
    </row>
    <row r="20" spans="1:10" ht="24.75" thickBot="1" x14ac:dyDescent="0.25">
      <c r="A20" s="66">
        <v>11</v>
      </c>
      <c r="B20" s="67" t="s">
        <v>87</v>
      </c>
      <c r="C20" s="67" t="s">
        <v>63</v>
      </c>
      <c r="D20" s="67" t="s">
        <v>93</v>
      </c>
      <c r="E20" s="68" t="s">
        <v>86</v>
      </c>
      <c r="F20" s="67" t="s">
        <v>59</v>
      </c>
      <c r="G20" s="67">
        <v>240</v>
      </c>
      <c r="H20" s="75">
        <v>5.5</v>
      </c>
      <c r="I20" s="75">
        <f t="shared" si="0"/>
        <v>1320</v>
      </c>
      <c r="J20" s="43"/>
    </row>
    <row r="21" spans="1:10" ht="24.75" thickBot="1" x14ac:dyDescent="0.25">
      <c r="A21" s="66">
        <v>12</v>
      </c>
      <c r="B21" s="67" t="s">
        <v>88</v>
      </c>
      <c r="C21" s="67" t="s">
        <v>63</v>
      </c>
      <c r="D21" s="67" t="s">
        <v>93</v>
      </c>
      <c r="E21" s="68" t="s">
        <v>89</v>
      </c>
      <c r="F21" s="67" t="s">
        <v>59</v>
      </c>
      <c r="G21" s="67">
        <v>500</v>
      </c>
      <c r="H21" s="75">
        <v>22.5</v>
      </c>
      <c r="I21" s="75">
        <f t="shared" si="0"/>
        <v>11250</v>
      </c>
      <c r="J21" s="43"/>
    </row>
    <row r="22" spans="1:10" ht="24.75" thickBot="1" x14ac:dyDescent="0.25">
      <c r="A22" s="66">
        <v>13</v>
      </c>
      <c r="B22" s="67" t="s">
        <v>88</v>
      </c>
      <c r="C22" s="67" t="s">
        <v>63</v>
      </c>
      <c r="D22" s="67" t="s">
        <v>93</v>
      </c>
      <c r="E22" s="68" t="s">
        <v>89</v>
      </c>
      <c r="F22" s="67" t="s">
        <v>59</v>
      </c>
      <c r="G22" s="67">
        <v>500</v>
      </c>
      <c r="H22" s="75">
        <v>22.5</v>
      </c>
      <c r="I22" s="75">
        <f t="shared" si="0"/>
        <v>11250</v>
      </c>
      <c r="J22" s="43"/>
    </row>
    <row r="23" spans="1:10" ht="24.75" thickBot="1" x14ac:dyDescent="0.25">
      <c r="A23" s="66">
        <v>14</v>
      </c>
      <c r="B23" s="67" t="s">
        <v>88</v>
      </c>
      <c r="C23" s="67" t="s">
        <v>63</v>
      </c>
      <c r="D23" s="67" t="s">
        <v>93</v>
      </c>
      <c r="E23" s="68" t="s">
        <v>89</v>
      </c>
      <c r="F23" s="67" t="s">
        <v>59</v>
      </c>
      <c r="G23" s="67">
        <v>500</v>
      </c>
      <c r="H23" s="75">
        <v>22.5</v>
      </c>
      <c r="I23" s="75">
        <f t="shared" si="0"/>
        <v>11250</v>
      </c>
      <c r="J23" s="43"/>
    </row>
    <row r="24" spans="1:10" ht="24.75" thickBot="1" x14ac:dyDescent="0.25">
      <c r="A24" s="66">
        <v>15</v>
      </c>
      <c r="B24" s="67" t="s">
        <v>88</v>
      </c>
      <c r="C24" s="67" t="s">
        <v>63</v>
      </c>
      <c r="D24" s="67" t="s">
        <v>93</v>
      </c>
      <c r="E24" s="68" t="s">
        <v>89</v>
      </c>
      <c r="F24" s="67" t="s">
        <v>59</v>
      </c>
      <c r="G24" s="67">
        <v>500</v>
      </c>
      <c r="H24" s="75">
        <v>22.5</v>
      </c>
      <c r="I24" s="75">
        <f t="shared" si="0"/>
        <v>11250</v>
      </c>
      <c r="J24" s="43"/>
    </row>
    <row r="25" spans="1:10" ht="24.75" thickBot="1" x14ac:dyDescent="0.25">
      <c r="A25" s="66">
        <v>16</v>
      </c>
      <c r="B25" s="67" t="s">
        <v>90</v>
      </c>
      <c r="C25" s="67" t="s">
        <v>63</v>
      </c>
      <c r="D25" s="67" t="s">
        <v>93</v>
      </c>
      <c r="E25" s="68" t="s">
        <v>91</v>
      </c>
      <c r="F25" s="67" t="s">
        <v>59</v>
      </c>
      <c r="G25" s="67">
        <v>200</v>
      </c>
      <c r="H25" s="75">
        <v>166</v>
      </c>
      <c r="I25" s="75">
        <f t="shared" si="0"/>
        <v>33200</v>
      </c>
      <c r="J25" s="43"/>
    </row>
    <row r="26" spans="1:10" ht="24.75" thickBot="1" x14ac:dyDescent="0.25">
      <c r="A26" s="66">
        <v>17</v>
      </c>
      <c r="B26" s="67" t="s">
        <v>94</v>
      </c>
      <c r="C26" s="67" t="s">
        <v>63</v>
      </c>
      <c r="D26" s="67" t="s">
        <v>93</v>
      </c>
      <c r="E26" s="68" t="s">
        <v>95</v>
      </c>
      <c r="F26" s="67" t="s">
        <v>59</v>
      </c>
      <c r="G26" s="67">
        <v>40</v>
      </c>
      <c r="H26" s="75">
        <v>135</v>
      </c>
      <c r="I26" s="75">
        <f t="shared" si="0"/>
        <v>5400</v>
      </c>
      <c r="J26" s="43"/>
    </row>
    <row r="27" spans="1:10" ht="24.75" thickBot="1" x14ac:dyDescent="0.25">
      <c r="A27" s="66">
        <v>18</v>
      </c>
      <c r="B27" s="67" t="s">
        <v>97</v>
      </c>
      <c r="C27" s="67" t="s">
        <v>63</v>
      </c>
      <c r="D27" s="67" t="s">
        <v>93</v>
      </c>
      <c r="E27" s="68" t="s">
        <v>96</v>
      </c>
      <c r="F27" s="67" t="s">
        <v>59</v>
      </c>
      <c r="G27" s="67">
        <v>10</v>
      </c>
      <c r="H27" s="75">
        <v>360</v>
      </c>
      <c r="I27" s="75">
        <f t="shared" si="0"/>
        <v>3600</v>
      </c>
      <c r="J27" s="43"/>
    </row>
    <row r="28" spans="1:10" ht="36.75" thickBot="1" x14ac:dyDescent="0.25">
      <c r="A28" s="66">
        <v>19</v>
      </c>
      <c r="B28" s="67" t="s">
        <v>98</v>
      </c>
      <c r="C28" s="67" t="s">
        <v>63</v>
      </c>
      <c r="D28" s="67" t="s">
        <v>93</v>
      </c>
      <c r="E28" s="68" t="s">
        <v>99</v>
      </c>
      <c r="F28" s="67" t="s">
        <v>59</v>
      </c>
      <c r="G28" s="67">
        <v>6</v>
      </c>
      <c r="H28" s="75">
        <v>1580</v>
      </c>
      <c r="I28" s="75">
        <f t="shared" si="0"/>
        <v>9480</v>
      </c>
      <c r="J28" s="43"/>
    </row>
    <row r="29" spans="1:10" ht="24.75" thickBot="1" x14ac:dyDescent="0.25">
      <c r="A29" s="66">
        <v>20</v>
      </c>
      <c r="B29" s="67" t="s">
        <v>101</v>
      </c>
      <c r="C29" s="67" t="s">
        <v>63</v>
      </c>
      <c r="D29" s="67" t="s">
        <v>93</v>
      </c>
      <c r="E29" s="68" t="s">
        <v>100</v>
      </c>
      <c r="F29" s="67" t="s">
        <v>59</v>
      </c>
      <c r="G29" s="67">
        <v>150</v>
      </c>
      <c r="H29" s="75">
        <v>15</v>
      </c>
      <c r="I29" s="75">
        <f t="shared" si="0"/>
        <v>2250</v>
      </c>
      <c r="J29" s="43"/>
    </row>
    <row r="30" spans="1:10" ht="24.75" thickBot="1" x14ac:dyDescent="0.25">
      <c r="A30" s="66">
        <v>21</v>
      </c>
      <c r="B30" s="67" t="s">
        <v>102</v>
      </c>
      <c r="C30" s="67" t="s">
        <v>63</v>
      </c>
      <c r="D30" s="67" t="s">
        <v>93</v>
      </c>
      <c r="E30" s="68" t="s">
        <v>103</v>
      </c>
      <c r="F30" s="67" t="s">
        <v>59</v>
      </c>
      <c r="G30" s="67">
        <v>40</v>
      </c>
      <c r="H30" s="75">
        <v>66</v>
      </c>
      <c r="I30" s="75">
        <f t="shared" si="0"/>
        <v>2640</v>
      </c>
      <c r="J30" s="43"/>
    </row>
    <row r="31" spans="1:10" ht="24.75" thickBot="1" x14ac:dyDescent="0.25">
      <c r="A31" s="66">
        <v>22</v>
      </c>
      <c r="B31" s="67" t="s">
        <v>105</v>
      </c>
      <c r="C31" s="67" t="s">
        <v>63</v>
      </c>
      <c r="D31" s="67" t="s">
        <v>93</v>
      </c>
      <c r="E31" s="68" t="s">
        <v>104</v>
      </c>
      <c r="F31" s="67" t="s">
        <v>59</v>
      </c>
      <c r="G31" s="67">
        <v>50</v>
      </c>
      <c r="H31" s="75">
        <v>68</v>
      </c>
      <c r="I31" s="75">
        <f t="shared" si="0"/>
        <v>3400</v>
      </c>
      <c r="J31" s="43"/>
    </row>
    <row r="32" spans="1:10" ht="24.75" thickBot="1" x14ac:dyDescent="0.25">
      <c r="A32" s="66">
        <v>23</v>
      </c>
      <c r="B32" s="67" t="s">
        <v>106</v>
      </c>
      <c r="C32" s="67" t="s">
        <v>63</v>
      </c>
      <c r="D32" s="67" t="s">
        <v>93</v>
      </c>
      <c r="E32" s="68" t="s">
        <v>107</v>
      </c>
      <c r="F32" s="67" t="s">
        <v>59</v>
      </c>
      <c r="G32" s="67">
        <v>72</v>
      </c>
      <c r="H32" s="75">
        <v>42.6</v>
      </c>
      <c r="I32" s="75">
        <f t="shared" si="0"/>
        <v>3067.2000000000003</v>
      </c>
      <c r="J32" s="43"/>
    </row>
    <row r="33" spans="1:10" ht="24.75" thickBot="1" x14ac:dyDescent="0.25">
      <c r="A33" s="66">
        <v>24</v>
      </c>
      <c r="B33" s="67" t="s">
        <v>106</v>
      </c>
      <c r="C33" s="67" t="s">
        <v>63</v>
      </c>
      <c r="D33" s="67" t="s">
        <v>93</v>
      </c>
      <c r="E33" s="68" t="s">
        <v>107</v>
      </c>
      <c r="F33" s="67" t="s">
        <v>59</v>
      </c>
      <c r="G33" s="67">
        <v>72</v>
      </c>
      <c r="H33" s="75">
        <v>42.6</v>
      </c>
      <c r="I33" s="75">
        <f t="shared" si="0"/>
        <v>3067.2000000000003</v>
      </c>
      <c r="J33" s="43"/>
    </row>
    <row r="34" spans="1:10" ht="24.75" thickBot="1" x14ac:dyDescent="0.25">
      <c r="A34" s="66">
        <v>25</v>
      </c>
      <c r="B34" s="67" t="s">
        <v>106</v>
      </c>
      <c r="C34" s="67" t="s">
        <v>63</v>
      </c>
      <c r="D34" s="67" t="s">
        <v>93</v>
      </c>
      <c r="E34" s="68" t="s">
        <v>107</v>
      </c>
      <c r="F34" s="67" t="s">
        <v>59</v>
      </c>
      <c r="G34" s="67">
        <v>72</v>
      </c>
      <c r="H34" s="75">
        <v>42.6</v>
      </c>
      <c r="I34" s="75">
        <f t="shared" si="0"/>
        <v>3067.2000000000003</v>
      </c>
      <c r="J34" s="43"/>
    </row>
    <row r="35" spans="1:10" ht="24.75" thickBot="1" x14ac:dyDescent="0.25">
      <c r="A35" s="66">
        <v>26</v>
      </c>
      <c r="B35" s="67" t="s">
        <v>106</v>
      </c>
      <c r="C35" s="67" t="s">
        <v>63</v>
      </c>
      <c r="D35" s="67" t="s">
        <v>93</v>
      </c>
      <c r="E35" s="68" t="s">
        <v>107</v>
      </c>
      <c r="F35" s="67" t="s">
        <v>59</v>
      </c>
      <c r="G35" s="67">
        <v>72</v>
      </c>
      <c r="H35" s="75">
        <v>42.6</v>
      </c>
      <c r="I35" s="75">
        <f t="shared" si="0"/>
        <v>3067.2000000000003</v>
      </c>
      <c r="J35" s="43"/>
    </row>
    <row r="36" spans="1:10" ht="24.75" thickBot="1" x14ac:dyDescent="0.25">
      <c r="A36" s="66">
        <v>27</v>
      </c>
      <c r="B36" s="67" t="s">
        <v>108</v>
      </c>
      <c r="C36" s="67" t="s">
        <v>63</v>
      </c>
      <c r="D36" s="67" t="s">
        <v>93</v>
      </c>
      <c r="E36" s="68" t="s">
        <v>109</v>
      </c>
      <c r="F36" s="67" t="s">
        <v>59</v>
      </c>
      <c r="G36" s="67">
        <v>20</v>
      </c>
      <c r="H36" s="75">
        <v>150</v>
      </c>
      <c r="I36" s="75">
        <f t="shared" si="0"/>
        <v>3000</v>
      </c>
      <c r="J36" s="43"/>
    </row>
    <row r="37" spans="1:10" ht="24.75" thickBot="1" x14ac:dyDescent="0.25">
      <c r="A37" s="66">
        <v>28</v>
      </c>
      <c r="B37" s="67" t="s">
        <v>110</v>
      </c>
      <c r="C37" s="67" t="s">
        <v>63</v>
      </c>
      <c r="D37" s="67" t="s">
        <v>93</v>
      </c>
      <c r="E37" s="68" t="s">
        <v>111</v>
      </c>
      <c r="F37" s="67" t="s">
        <v>59</v>
      </c>
      <c r="G37" s="67">
        <v>20</v>
      </c>
      <c r="H37" s="75">
        <v>168</v>
      </c>
      <c r="I37" s="75">
        <f t="shared" si="0"/>
        <v>3360</v>
      </c>
      <c r="J37" s="43"/>
    </row>
    <row r="38" spans="1:10" ht="24.75" thickBot="1" x14ac:dyDescent="0.25">
      <c r="A38" s="66">
        <v>29</v>
      </c>
      <c r="B38" s="67" t="s">
        <v>113</v>
      </c>
      <c r="C38" s="67" t="s">
        <v>63</v>
      </c>
      <c r="D38" s="67" t="s">
        <v>93</v>
      </c>
      <c r="E38" s="68" t="s">
        <v>112</v>
      </c>
      <c r="F38" s="67" t="s">
        <v>59</v>
      </c>
      <c r="G38" s="67">
        <v>20</v>
      </c>
      <c r="H38" s="75">
        <v>168</v>
      </c>
      <c r="I38" s="75">
        <f t="shared" si="0"/>
        <v>3360</v>
      </c>
      <c r="J38" s="43"/>
    </row>
    <row r="39" spans="1:10" ht="24.75" thickBot="1" x14ac:dyDescent="0.25">
      <c r="A39" s="66">
        <v>30</v>
      </c>
      <c r="B39" s="67" t="s">
        <v>114</v>
      </c>
      <c r="C39" s="67" t="s">
        <v>63</v>
      </c>
      <c r="D39" s="67" t="s">
        <v>93</v>
      </c>
      <c r="E39" s="68" t="s">
        <v>115</v>
      </c>
      <c r="F39" s="67" t="s">
        <v>59</v>
      </c>
      <c r="G39" s="67">
        <v>2500</v>
      </c>
      <c r="H39" s="75">
        <v>2.8</v>
      </c>
      <c r="I39" s="75">
        <f t="shared" si="0"/>
        <v>7000</v>
      </c>
      <c r="J39" s="43"/>
    </row>
    <row r="40" spans="1:10" ht="24.75" thickBot="1" x14ac:dyDescent="0.25">
      <c r="A40" s="66">
        <v>31</v>
      </c>
      <c r="B40" s="67" t="s">
        <v>117</v>
      </c>
      <c r="C40" s="67" t="s">
        <v>63</v>
      </c>
      <c r="D40" s="67" t="s">
        <v>93</v>
      </c>
      <c r="E40" s="68" t="s">
        <v>116</v>
      </c>
      <c r="F40" s="67" t="s">
        <v>59</v>
      </c>
      <c r="G40" s="67">
        <v>2500</v>
      </c>
      <c r="H40" s="75">
        <v>3.4</v>
      </c>
      <c r="I40" s="75">
        <f t="shared" si="0"/>
        <v>8500</v>
      </c>
      <c r="J40" s="43"/>
    </row>
    <row r="41" spans="1:10" ht="36.75" thickBot="1" x14ac:dyDescent="0.25">
      <c r="A41" s="66">
        <v>32</v>
      </c>
      <c r="B41" s="67" t="s">
        <v>118</v>
      </c>
      <c r="C41" s="67" t="s">
        <v>63</v>
      </c>
      <c r="D41" s="67" t="s">
        <v>92</v>
      </c>
      <c r="E41" s="68" t="s">
        <v>119</v>
      </c>
      <c r="F41" s="67" t="s">
        <v>59</v>
      </c>
      <c r="G41" s="67">
        <v>16</v>
      </c>
      <c r="H41" s="75">
        <v>500</v>
      </c>
      <c r="I41" s="75">
        <f t="shared" si="0"/>
        <v>8000</v>
      </c>
      <c r="J41" s="43"/>
    </row>
    <row r="42" spans="1:10" ht="24.75" thickBot="1" x14ac:dyDescent="0.25">
      <c r="A42" s="66">
        <v>33</v>
      </c>
      <c r="B42" s="67" t="s">
        <v>122</v>
      </c>
      <c r="C42" s="67" t="s">
        <v>63</v>
      </c>
      <c r="D42" s="67" t="s">
        <v>93</v>
      </c>
      <c r="E42" s="68" t="s">
        <v>120</v>
      </c>
      <c r="F42" s="67" t="s">
        <v>59</v>
      </c>
      <c r="G42" s="67">
        <v>200</v>
      </c>
      <c r="H42" s="75">
        <v>30</v>
      </c>
      <c r="I42" s="75">
        <f t="shared" si="0"/>
        <v>6000</v>
      </c>
      <c r="J42" s="43"/>
    </row>
    <row r="43" spans="1:10" ht="24.75" thickBot="1" x14ac:dyDescent="0.25">
      <c r="A43" s="66">
        <v>34</v>
      </c>
      <c r="B43" s="67" t="s">
        <v>123</v>
      </c>
      <c r="C43" s="67" t="s">
        <v>63</v>
      </c>
      <c r="D43" s="67" t="s">
        <v>93</v>
      </c>
      <c r="E43" s="68" t="s">
        <v>121</v>
      </c>
      <c r="F43" s="67" t="s">
        <v>59</v>
      </c>
      <c r="G43" s="67">
        <v>200</v>
      </c>
      <c r="H43" s="75">
        <v>30</v>
      </c>
      <c r="I43" s="75">
        <f t="shared" si="0"/>
        <v>6000</v>
      </c>
      <c r="J43" s="43"/>
    </row>
    <row r="44" spans="1:10" ht="24.75" thickBot="1" x14ac:dyDescent="0.25">
      <c r="A44" s="66">
        <v>35</v>
      </c>
      <c r="B44" s="67" t="s">
        <v>124</v>
      </c>
      <c r="C44" s="67" t="s">
        <v>63</v>
      </c>
      <c r="D44" s="67" t="s">
        <v>93</v>
      </c>
      <c r="E44" s="68" t="s">
        <v>125</v>
      </c>
      <c r="F44" s="67" t="s">
        <v>59</v>
      </c>
      <c r="G44" s="67">
        <v>10</v>
      </c>
      <c r="H44" s="75">
        <v>627</v>
      </c>
      <c r="I44" s="75">
        <f t="shared" si="0"/>
        <v>6270</v>
      </c>
      <c r="J44" s="43"/>
    </row>
    <row r="45" spans="1:10" ht="48.75" thickBot="1" x14ac:dyDescent="0.25">
      <c r="A45" s="66">
        <v>36</v>
      </c>
      <c r="B45" s="67" t="s">
        <v>128</v>
      </c>
      <c r="C45" s="67" t="s">
        <v>63</v>
      </c>
      <c r="D45" s="67" t="s">
        <v>92</v>
      </c>
      <c r="E45" s="68" t="s">
        <v>126</v>
      </c>
      <c r="F45" s="67" t="s">
        <v>59</v>
      </c>
      <c r="G45" s="67">
        <v>30</v>
      </c>
      <c r="H45" s="75">
        <v>107</v>
      </c>
      <c r="I45" s="75">
        <f t="shared" si="0"/>
        <v>3210</v>
      </c>
      <c r="J45" s="43"/>
    </row>
    <row r="46" spans="1:10" ht="24.75" thickBot="1" x14ac:dyDescent="0.25">
      <c r="A46" s="83">
        <v>37</v>
      </c>
      <c r="B46" s="84" t="s">
        <v>129</v>
      </c>
      <c r="C46" s="84" t="s">
        <v>63</v>
      </c>
      <c r="D46" s="84" t="s">
        <v>93</v>
      </c>
      <c r="E46" s="85" t="s">
        <v>127</v>
      </c>
      <c r="F46" s="84" t="s">
        <v>59</v>
      </c>
      <c r="G46" s="84">
        <v>15</v>
      </c>
      <c r="H46" s="86">
        <v>820</v>
      </c>
      <c r="I46" s="86">
        <f t="shared" si="0"/>
        <v>12300</v>
      </c>
      <c r="J46" s="43"/>
    </row>
    <row r="47" spans="1:10" ht="37.5" customHeight="1" thickBot="1" x14ac:dyDescent="0.25">
      <c r="A47" s="66">
        <v>38</v>
      </c>
      <c r="B47" s="67" t="s">
        <v>148</v>
      </c>
      <c r="C47" s="67" t="s">
        <v>63</v>
      </c>
      <c r="D47" s="67" t="s">
        <v>92</v>
      </c>
      <c r="E47" s="68" t="s">
        <v>149</v>
      </c>
      <c r="F47" s="67" t="s">
        <v>59</v>
      </c>
      <c r="G47" s="67">
        <v>500</v>
      </c>
      <c r="H47" s="75">
        <v>420</v>
      </c>
      <c r="I47" s="75">
        <f t="shared" si="0"/>
        <v>210000</v>
      </c>
      <c r="J47" s="43"/>
    </row>
    <row r="48" spans="1:10" ht="41.25" customHeight="1" thickBot="1" x14ac:dyDescent="0.25">
      <c r="A48" s="66">
        <v>39</v>
      </c>
      <c r="B48" s="67" t="s">
        <v>150</v>
      </c>
      <c r="C48" s="67" t="s">
        <v>63</v>
      </c>
      <c r="D48" s="67" t="s">
        <v>92</v>
      </c>
      <c r="E48" s="68" t="s">
        <v>151</v>
      </c>
      <c r="F48" s="67" t="s">
        <v>59</v>
      </c>
      <c r="G48" s="67">
        <v>500</v>
      </c>
      <c r="H48" s="75">
        <v>500</v>
      </c>
      <c r="I48" s="75">
        <f t="shared" si="0"/>
        <v>250000</v>
      </c>
      <c r="J48" s="43"/>
    </row>
    <row r="49" spans="1:10" x14ac:dyDescent="0.2">
      <c r="A49" s="43"/>
      <c r="B49" s="43"/>
      <c r="C49" s="43"/>
      <c r="D49" s="43"/>
      <c r="E49" s="43"/>
      <c r="F49" s="43"/>
      <c r="G49" s="43"/>
      <c r="H49" s="43"/>
      <c r="I49" s="43"/>
      <c r="J49" s="43"/>
    </row>
    <row r="50" spans="1:10" x14ac:dyDescent="0.2">
      <c r="A50" s="43"/>
      <c r="B50" s="46" t="s">
        <v>131</v>
      </c>
      <c r="C50" s="47"/>
      <c r="D50" s="47"/>
      <c r="E50" s="47"/>
      <c r="F50" s="47"/>
      <c r="G50" s="47"/>
      <c r="H50" s="47"/>
      <c r="I50" s="43"/>
      <c r="J50" s="43"/>
    </row>
    <row r="51" spans="1:10" x14ac:dyDescent="0.2">
      <c r="A51" s="43"/>
      <c r="B51" s="46" t="s">
        <v>135</v>
      </c>
      <c r="C51" s="47"/>
      <c r="D51" s="47"/>
      <c r="E51" s="47"/>
      <c r="F51" s="47"/>
      <c r="G51" s="47"/>
      <c r="H51" s="47"/>
      <c r="I51" s="43"/>
      <c r="J51" s="43"/>
    </row>
    <row r="52" spans="1:10" x14ac:dyDescent="0.2">
      <c r="A52" s="43"/>
      <c r="B52" s="48"/>
      <c r="C52" s="47"/>
      <c r="D52" s="47"/>
      <c r="E52" s="47"/>
      <c r="F52" s="47"/>
      <c r="G52" s="47"/>
      <c r="H52" s="47"/>
      <c r="I52" s="43"/>
      <c r="J52" s="43"/>
    </row>
    <row r="53" spans="1:10" x14ac:dyDescent="0.2">
      <c r="A53" s="43"/>
      <c r="B53" s="46" t="s">
        <v>132</v>
      </c>
      <c r="C53" s="47"/>
      <c r="D53" s="47"/>
      <c r="E53" s="47"/>
      <c r="F53" s="47"/>
      <c r="G53" s="47"/>
      <c r="H53" s="47"/>
      <c r="I53" s="43"/>
      <c r="J53" s="43"/>
    </row>
    <row r="54" spans="1:10" x14ac:dyDescent="0.2">
      <c r="A54" s="43"/>
      <c r="B54" s="46" t="s">
        <v>136</v>
      </c>
      <c r="C54" s="47"/>
      <c r="D54" s="47"/>
      <c r="E54" s="47"/>
      <c r="F54" s="47"/>
      <c r="G54" s="47"/>
      <c r="H54" s="47"/>
      <c r="I54" s="43"/>
      <c r="J54" s="43"/>
    </row>
    <row r="55" spans="1:10" x14ac:dyDescent="0.2">
      <c r="A55" s="43"/>
      <c r="B55" s="46"/>
      <c r="C55" s="47"/>
      <c r="D55" s="47"/>
      <c r="E55" s="47"/>
      <c r="F55" s="47"/>
      <c r="G55" s="47"/>
      <c r="H55" s="47"/>
      <c r="I55" s="43"/>
      <c r="J55" s="43"/>
    </row>
    <row r="56" spans="1:10" x14ac:dyDescent="0.2">
      <c r="A56" s="43"/>
      <c r="B56" s="46" t="s">
        <v>133</v>
      </c>
      <c r="C56" s="47"/>
      <c r="D56" s="47"/>
      <c r="E56" s="47"/>
      <c r="F56" s="47"/>
      <c r="G56" s="47"/>
      <c r="H56" s="47"/>
      <c r="I56" s="43"/>
      <c r="J56" s="43"/>
    </row>
    <row r="57" spans="1:10" x14ac:dyDescent="0.2">
      <c r="A57" s="43"/>
      <c r="B57" s="46" t="s">
        <v>137</v>
      </c>
      <c r="C57" s="47"/>
      <c r="D57" s="47"/>
      <c r="E57" s="47"/>
      <c r="F57" s="47"/>
      <c r="G57" s="47"/>
      <c r="H57" s="47"/>
      <c r="I57" s="43"/>
      <c r="J57" s="43"/>
    </row>
    <row r="58" spans="1:10" x14ac:dyDescent="0.2">
      <c r="A58" s="43"/>
      <c r="B58" s="46"/>
      <c r="C58" s="47"/>
      <c r="D58" s="47"/>
      <c r="E58" s="47"/>
      <c r="F58" s="47"/>
      <c r="G58" s="47"/>
      <c r="H58" s="47"/>
      <c r="I58" s="43"/>
      <c r="J58" s="43"/>
    </row>
    <row r="59" spans="1:10" x14ac:dyDescent="0.2">
      <c r="A59" s="43"/>
      <c r="B59" s="46" t="s">
        <v>134</v>
      </c>
      <c r="C59" s="47"/>
      <c r="D59" s="47"/>
      <c r="E59" s="47"/>
      <c r="F59" s="47"/>
      <c r="G59" s="47"/>
      <c r="H59" s="47"/>
      <c r="I59" s="43"/>
      <c r="J59" s="43"/>
    </row>
    <row r="60" spans="1:10" x14ac:dyDescent="0.2">
      <c r="A60" s="43"/>
      <c r="B60" s="46" t="s">
        <v>138</v>
      </c>
      <c r="C60" s="47"/>
      <c r="D60" s="47"/>
      <c r="E60" s="47"/>
      <c r="F60" s="47"/>
      <c r="G60" s="47"/>
      <c r="H60" s="47"/>
      <c r="I60" s="43"/>
      <c r="J60" s="43"/>
    </row>
    <row r="61" spans="1:10" x14ac:dyDescent="0.2">
      <c r="A61" s="43"/>
      <c r="B61" s="46"/>
      <c r="C61" s="47"/>
      <c r="D61" s="47"/>
      <c r="E61" s="47"/>
      <c r="F61" s="47"/>
      <c r="G61" s="47"/>
      <c r="H61" s="47"/>
      <c r="I61" s="43"/>
      <c r="J61" s="43"/>
    </row>
    <row r="62" spans="1:10" x14ac:dyDescent="0.2">
      <c r="A62" s="43"/>
      <c r="B62" s="46" t="s">
        <v>139</v>
      </c>
      <c r="C62" s="47"/>
      <c r="D62" s="47"/>
      <c r="E62" s="47"/>
      <c r="F62" s="47"/>
      <c r="G62" s="47"/>
      <c r="H62" s="47"/>
      <c r="I62" s="43"/>
      <c r="J62" s="43"/>
    </row>
    <row r="63" spans="1:10" x14ac:dyDescent="0.2">
      <c r="A63" s="43"/>
      <c r="B63" s="46" t="s">
        <v>140</v>
      </c>
      <c r="C63" s="47"/>
      <c r="D63" s="47"/>
      <c r="E63" s="47"/>
      <c r="F63" s="47"/>
      <c r="G63" s="47"/>
      <c r="H63" s="47"/>
      <c r="I63" s="43"/>
      <c r="J63" s="43"/>
    </row>
    <row r="64" spans="1:10" x14ac:dyDescent="0.2">
      <c r="A64" s="43"/>
      <c r="B64" s="46"/>
      <c r="C64" s="47"/>
      <c r="D64" s="47"/>
      <c r="E64" s="47"/>
      <c r="F64" s="47"/>
      <c r="G64" s="47"/>
      <c r="H64" s="47"/>
      <c r="I64" s="43"/>
      <c r="J64" s="43"/>
    </row>
    <row r="65" spans="1:10" x14ac:dyDescent="0.2">
      <c r="A65" s="43"/>
      <c r="B65" s="46" t="s">
        <v>141</v>
      </c>
      <c r="C65" s="47"/>
      <c r="D65" s="47"/>
      <c r="E65" s="47"/>
      <c r="F65" s="47"/>
      <c r="G65" s="47"/>
      <c r="H65" s="47"/>
      <c r="I65" s="43"/>
      <c r="J65" s="43"/>
    </row>
    <row r="66" spans="1:10" x14ac:dyDescent="0.2">
      <c r="A66" s="43"/>
      <c r="B66" s="46" t="s">
        <v>145</v>
      </c>
      <c r="C66" s="47"/>
      <c r="D66" s="47"/>
      <c r="E66" s="47"/>
      <c r="F66" s="47"/>
      <c r="G66" s="47"/>
      <c r="H66" s="47"/>
      <c r="I66" s="43"/>
      <c r="J66" s="43"/>
    </row>
    <row r="67" spans="1:10" x14ac:dyDescent="0.2">
      <c r="A67" s="43"/>
      <c r="B67" s="46"/>
      <c r="C67" s="47"/>
      <c r="D67" s="47"/>
      <c r="E67" s="47"/>
      <c r="F67" s="47"/>
      <c r="G67" s="47"/>
      <c r="H67" s="47"/>
      <c r="I67" s="43"/>
      <c r="J67" s="43"/>
    </row>
    <row r="68" spans="1:10" x14ac:dyDescent="0.2">
      <c r="A68" s="43"/>
      <c r="B68" s="46" t="s">
        <v>142</v>
      </c>
      <c r="C68" s="47"/>
      <c r="D68" s="47"/>
      <c r="E68" s="47"/>
      <c r="F68" s="47"/>
      <c r="G68" s="47"/>
      <c r="H68" s="47"/>
      <c r="I68" s="43"/>
      <c r="J68" s="43"/>
    </row>
    <row r="69" spans="1:10" x14ac:dyDescent="0.2">
      <c r="A69" s="43"/>
      <c r="B69" s="46" t="s">
        <v>143</v>
      </c>
      <c r="C69" s="47"/>
      <c r="D69" s="47"/>
      <c r="E69" s="47"/>
      <c r="F69" s="47"/>
      <c r="G69" s="47"/>
      <c r="H69" s="47"/>
      <c r="I69" s="43"/>
      <c r="J69" s="43"/>
    </row>
    <row r="70" spans="1:10" x14ac:dyDescent="0.2">
      <c r="A70" s="43"/>
      <c r="B70" s="46"/>
      <c r="C70" s="47"/>
      <c r="D70" s="47"/>
      <c r="E70" s="47"/>
      <c r="F70" s="47"/>
      <c r="G70" s="47"/>
      <c r="H70" s="47"/>
      <c r="I70" s="43"/>
      <c r="J70" s="43"/>
    </row>
    <row r="71" spans="1:10" x14ac:dyDescent="0.2">
      <c r="A71" s="43"/>
      <c r="B71" s="46" t="s">
        <v>144</v>
      </c>
      <c r="C71" s="47"/>
      <c r="D71" s="47"/>
      <c r="E71" s="47"/>
      <c r="F71" s="47"/>
      <c r="G71" s="47"/>
      <c r="H71" s="47"/>
      <c r="I71" s="43"/>
      <c r="J71" s="43"/>
    </row>
    <row r="72" spans="1:10" x14ac:dyDescent="0.2">
      <c r="A72" s="43"/>
      <c r="B72" s="46" t="s">
        <v>146</v>
      </c>
      <c r="C72" s="47"/>
      <c r="D72" s="47"/>
      <c r="E72" s="47"/>
      <c r="F72" s="47"/>
      <c r="G72" s="47"/>
      <c r="H72" s="47"/>
      <c r="I72" s="43"/>
      <c r="J72" s="43"/>
    </row>
    <row r="73" spans="1:10" x14ac:dyDescent="0.2">
      <c r="A73" s="43"/>
      <c r="B73" s="46"/>
      <c r="C73" s="47"/>
      <c r="D73" s="47"/>
      <c r="E73" s="47"/>
      <c r="F73" s="47"/>
      <c r="G73" s="47"/>
      <c r="H73" s="47"/>
      <c r="I73" s="43"/>
      <c r="J73" s="43"/>
    </row>
    <row r="74" spans="1:10" ht="32.25" customHeight="1" x14ac:dyDescent="0.2">
      <c r="A74" s="43"/>
      <c r="B74" s="46" t="s">
        <v>14</v>
      </c>
      <c r="C74" s="48" t="s">
        <v>60</v>
      </c>
      <c r="D74" s="48"/>
      <c r="E74" s="48"/>
      <c r="F74" s="48"/>
      <c r="G74" s="48"/>
      <c r="H74" s="48"/>
      <c r="I74" s="43"/>
      <c r="J74" s="43"/>
    </row>
    <row r="75" spans="1:10" ht="17.25" customHeight="1" x14ac:dyDescent="0.2">
      <c r="A75" s="43"/>
      <c r="B75" s="46"/>
      <c r="C75" s="48"/>
      <c r="D75" s="48"/>
      <c r="E75" s="48"/>
      <c r="F75" s="48"/>
      <c r="G75" s="48"/>
      <c r="H75" s="48"/>
      <c r="I75" s="43"/>
      <c r="J75" s="43"/>
    </row>
    <row r="76" spans="1:10" x14ac:dyDescent="0.2">
      <c r="A76" s="43"/>
      <c r="B76" s="49" t="s">
        <v>15</v>
      </c>
      <c r="C76" s="48"/>
      <c r="D76" s="48"/>
      <c r="E76" s="48"/>
      <c r="F76" s="48"/>
      <c r="G76" s="48"/>
      <c r="H76" s="48"/>
      <c r="I76" s="43"/>
      <c r="J76" s="43"/>
    </row>
    <row r="77" spans="1:10" x14ac:dyDescent="0.2">
      <c r="A77" s="43"/>
      <c r="B77" s="49" t="s">
        <v>58</v>
      </c>
      <c r="C77" s="48"/>
      <c r="D77" s="48"/>
      <c r="E77" s="48"/>
      <c r="F77" s="48"/>
      <c r="G77" s="48"/>
      <c r="H77" s="48"/>
      <c r="I77" s="43"/>
      <c r="J77" s="43"/>
    </row>
    <row r="78" spans="1:10" x14ac:dyDescent="0.2">
      <c r="A78" s="43"/>
      <c r="B78" s="49" t="s">
        <v>56</v>
      </c>
      <c r="C78" s="46"/>
      <c r="D78" s="48"/>
      <c r="E78" s="48"/>
      <c r="F78" s="48"/>
      <c r="G78" s="48"/>
      <c r="H78" s="48"/>
      <c r="I78" s="43"/>
      <c r="J78" s="43"/>
    </row>
    <row r="79" spans="1:10" ht="26.25" customHeight="1" x14ac:dyDescent="0.2">
      <c r="A79" s="44"/>
      <c r="B79" s="59"/>
      <c r="C79" s="93"/>
      <c r="D79" s="93"/>
      <c r="E79" s="93"/>
      <c r="F79" s="43"/>
      <c r="G79" s="43"/>
      <c r="H79" s="43"/>
      <c r="I79" s="43"/>
      <c r="J79" s="43"/>
    </row>
    <row r="80" spans="1:10" x14ac:dyDescent="0.2">
      <c r="A80" s="44"/>
      <c r="B80" s="60"/>
      <c r="C80" s="45"/>
      <c r="D80" s="45"/>
      <c r="E80" s="45"/>
      <c r="F80" s="43"/>
      <c r="G80" s="43"/>
      <c r="H80" s="43"/>
      <c r="I80" s="43"/>
      <c r="J80" s="43"/>
    </row>
    <row r="81" spans="1:10" ht="26.25" customHeight="1" x14ac:dyDescent="0.2">
      <c r="A81" s="44"/>
      <c r="B81" s="59"/>
      <c r="C81" s="93"/>
      <c r="D81" s="93"/>
      <c r="E81" s="93"/>
      <c r="F81" s="43"/>
      <c r="G81" s="43"/>
      <c r="H81" s="43"/>
      <c r="I81" s="43"/>
      <c r="J81" s="43"/>
    </row>
    <row r="82" spans="1:10" x14ac:dyDescent="0.2">
      <c r="A82" s="44"/>
      <c r="B82" s="60"/>
      <c r="C82" s="44"/>
      <c r="D82" s="44"/>
      <c r="E82" s="44"/>
      <c r="F82" s="43"/>
      <c r="G82" s="43"/>
      <c r="H82" s="43"/>
      <c r="I82" s="43"/>
      <c r="J82" s="43"/>
    </row>
    <row r="83" spans="1:10" ht="23.25" customHeight="1" x14ac:dyDescent="0.2">
      <c r="A83" s="44"/>
      <c r="B83" s="60"/>
      <c r="C83" s="92"/>
      <c r="D83" s="92"/>
      <c r="E83" s="92"/>
      <c r="F83" s="43"/>
      <c r="G83" s="43"/>
      <c r="H83" s="43"/>
      <c r="I83" s="43"/>
      <c r="J83" s="43"/>
    </row>
    <row r="84" spans="1:10" x14ac:dyDescent="0.2">
      <c r="A84" s="44"/>
      <c r="B84" s="59"/>
      <c r="C84" s="44"/>
      <c r="D84" s="44"/>
      <c r="E84" s="44"/>
      <c r="F84" s="43"/>
      <c r="G84" s="43"/>
      <c r="H84" s="43"/>
      <c r="I84" s="43"/>
      <c r="J84" s="43"/>
    </row>
    <row r="85" spans="1:10" x14ac:dyDescent="0.2">
      <c r="A85" s="44"/>
      <c r="B85" s="44"/>
      <c r="C85" s="44"/>
      <c r="D85" s="44"/>
      <c r="E85" s="44"/>
      <c r="F85" s="43"/>
      <c r="G85" s="43"/>
      <c r="H85" s="43"/>
      <c r="I85" s="43"/>
      <c r="J85" s="43"/>
    </row>
    <row r="86" spans="1:10" x14ac:dyDescent="0.2">
      <c r="A86" s="44"/>
      <c r="B86" s="61"/>
      <c r="C86" s="44"/>
      <c r="D86" s="44"/>
      <c r="E86" s="44"/>
      <c r="F86" s="43"/>
      <c r="G86" s="43"/>
      <c r="H86" s="43"/>
      <c r="I86" s="43"/>
      <c r="J86" s="43"/>
    </row>
    <row r="87" spans="1:10" ht="7.5" customHeight="1" x14ac:dyDescent="0.2">
      <c r="A87" s="44"/>
      <c r="B87" s="44"/>
      <c r="C87" s="44"/>
      <c r="D87" s="44"/>
      <c r="E87" s="44"/>
      <c r="F87" s="43"/>
      <c r="G87" s="43"/>
      <c r="H87" s="43"/>
      <c r="I87" s="43"/>
      <c r="J87" s="43"/>
    </row>
    <row r="88" spans="1:10" x14ac:dyDescent="0.2">
      <c r="A88" s="44"/>
      <c r="B88" s="60"/>
      <c r="C88" s="44"/>
      <c r="D88" s="44"/>
      <c r="E88" s="44"/>
      <c r="F88" s="43"/>
      <c r="G88" s="43"/>
      <c r="H88" s="43"/>
      <c r="I88" s="43"/>
      <c r="J88" s="43"/>
    </row>
    <row r="89" spans="1:10" ht="50.25" customHeight="1" x14ac:dyDescent="0.2">
      <c r="A89" s="44"/>
      <c r="B89" s="60"/>
      <c r="C89" s="94"/>
      <c r="D89" s="94"/>
      <c r="E89" s="94"/>
      <c r="F89" s="43"/>
      <c r="G89" s="43"/>
      <c r="H89" s="43"/>
      <c r="I89" s="43"/>
      <c r="J89" s="43"/>
    </row>
    <row r="90" spans="1:10" x14ac:dyDescent="0.2">
      <c r="A90" s="44"/>
      <c r="B90" s="60"/>
      <c r="C90" s="44"/>
      <c r="D90" s="44"/>
      <c r="E90" s="44"/>
      <c r="F90" s="43"/>
      <c r="G90" s="43"/>
      <c r="H90" s="43"/>
      <c r="I90" s="43"/>
      <c r="J90" s="43"/>
    </row>
    <row r="91" spans="1:10" x14ac:dyDescent="0.2">
      <c r="A91" s="44"/>
      <c r="B91" s="59"/>
      <c r="C91" s="92"/>
      <c r="D91" s="92"/>
      <c r="E91" s="92"/>
      <c r="F91" s="43"/>
      <c r="G91" s="43"/>
      <c r="H91" s="43"/>
      <c r="I91" s="43"/>
      <c r="J91" s="43"/>
    </row>
    <row r="92" spans="1:10" x14ac:dyDescent="0.2">
      <c r="A92" s="44"/>
      <c r="B92" s="59"/>
      <c r="C92" s="92"/>
      <c r="D92" s="92"/>
      <c r="E92" s="92"/>
      <c r="F92" s="43"/>
      <c r="G92" s="43"/>
      <c r="H92" s="43"/>
      <c r="I92" s="43"/>
      <c r="J92" s="43"/>
    </row>
    <row r="93" spans="1:10" x14ac:dyDescent="0.2">
      <c r="A93" s="44"/>
      <c r="B93" s="60"/>
      <c r="C93" s="44"/>
      <c r="D93" s="44"/>
      <c r="E93" s="44"/>
      <c r="F93" s="43"/>
      <c r="G93" s="43"/>
      <c r="H93" s="43"/>
      <c r="I93" s="43"/>
      <c r="J93" s="43"/>
    </row>
    <row r="94" spans="1:10" x14ac:dyDescent="0.2">
      <c r="A94" s="44"/>
      <c r="B94" s="59"/>
      <c r="C94" s="93"/>
      <c r="D94" s="93"/>
      <c r="E94" s="93"/>
      <c r="F94" s="43"/>
      <c r="G94" s="43"/>
      <c r="H94" s="43"/>
      <c r="I94" s="43"/>
      <c r="J94" s="43"/>
    </row>
    <row r="95" spans="1:10" x14ac:dyDescent="0.2">
      <c r="A95" s="44"/>
      <c r="B95" s="60"/>
      <c r="C95" s="45"/>
      <c r="D95" s="45"/>
      <c r="E95" s="45"/>
      <c r="F95" s="43"/>
      <c r="G95" s="43"/>
      <c r="H95" s="43"/>
      <c r="I95" s="43"/>
      <c r="J95" s="43"/>
    </row>
    <row r="96" spans="1:10" x14ac:dyDescent="0.2">
      <c r="A96" s="44"/>
      <c r="B96" s="59"/>
      <c r="C96" s="93"/>
      <c r="D96" s="93"/>
      <c r="E96" s="93"/>
      <c r="F96" s="43"/>
      <c r="G96" s="43"/>
      <c r="H96" s="43"/>
      <c r="I96" s="43"/>
      <c r="J96" s="43"/>
    </row>
    <row r="97" spans="1:10" x14ac:dyDescent="0.2">
      <c r="A97" s="44"/>
      <c r="B97" s="60"/>
      <c r="C97" s="44"/>
      <c r="D97" s="44"/>
      <c r="E97" s="44"/>
      <c r="F97" s="43"/>
      <c r="G97" s="43"/>
      <c r="H97" s="43"/>
      <c r="I97" s="43"/>
      <c r="J97" s="43"/>
    </row>
    <row r="98" spans="1:10" x14ac:dyDescent="0.2">
      <c r="A98" s="44"/>
      <c r="B98" s="60"/>
      <c r="C98" s="92"/>
      <c r="D98" s="92"/>
      <c r="E98" s="92"/>
      <c r="F98" s="43"/>
      <c r="G98" s="43"/>
      <c r="H98" s="43"/>
      <c r="I98" s="43"/>
      <c r="J98" s="43"/>
    </row>
    <row r="99" spans="1:10" x14ac:dyDescent="0.2">
      <c r="A99" s="44"/>
      <c r="B99" s="59"/>
      <c r="C99" s="44"/>
      <c r="D99" s="44"/>
      <c r="E99" s="44"/>
      <c r="F99" s="43"/>
      <c r="G99" s="43"/>
      <c r="H99" s="43"/>
      <c r="I99" s="43"/>
      <c r="J99" s="43"/>
    </row>
    <row r="100" spans="1:10" x14ac:dyDescent="0.2">
      <c r="A100" s="44"/>
      <c r="B100" s="44"/>
      <c r="C100" s="44"/>
      <c r="D100" s="44"/>
      <c r="E100" s="44"/>
      <c r="F100" s="43"/>
      <c r="G100" s="43"/>
      <c r="H100" s="43"/>
      <c r="I100" s="43"/>
      <c r="J100" s="43"/>
    </row>
    <row r="101" spans="1:10" x14ac:dyDescent="0.2">
      <c r="A101" s="44"/>
      <c r="B101" s="44"/>
      <c r="C101" s="44"/>
      <c r="D101" s="44"/>
      <c r="E101" s="44"/>
      <c r="F101" s="43"/>
      <c r="G101" s="43"/>
      <c r="H101" s="43"/>
      <c r="I101" s="43"/>
      <c r="J101" s="43"/>
    </row>
    <row r="102" spans="1:10" x14ac:dyDescent="0.2">
      <c r="A102" s="44"/>
      <c r="B102" s="44"/>
      <c r="C102" s="44"/>
      <c r="D102" s="44"/>
      <c r="E102" s="44"/>
      <c r="F102" s="43"/>
      <c r="G102" s="43"/>
      <c r="H102" s="43"/>
      <c r="I102" s="43"/>
      <c r="J102" s="43"/>
    </row>
    <row r="103" spans="1:10" x14ac:dyDescent="0.2">
      <c r="A103" s="44"/>
      <c r="B103" s="44"/>
      <c r="C103" s="44"/>
      <c r="D103" s="44"/>
      <c r="E103" s="44"/>
      <c r="F103" s="43"/>
      <c r="G103" s="43"/>
      <c r="H103" s="43"/>
      <c r="I103" s="43"/>
      <c r="J103" s="43"/>
    </row>
    <row r="104" spans="1:10" x14ac:dyDescent="0.2">
      <c r="A104" s="44"/>
      <c r="B104" s="61"/>
      <c r="C104" s="44"/>
      <c r="D104" s="44"/>
      <c r="E104" s="44"/>
      <c r="F104" s="43"/>
      <c r="G104" s="43"/>
      <c r="H104" s="43"/>
      <c r="I104" s="43"/>
      <c r="J104" s="43"/>
    </row>
    <row r="105" spans="1:10" x14ac:dyDescent="0.2">
      <c r="A105" s="44"/>
      <c r="B105" s="44"/>
      <c r="C105" s="44"/>
      <c r="D105" s="44"/>
      <c r="E105" s="44"/>
      <c r="F105" s="43"/>
      <c r="G105" s="43"/>
      <c r="H105" s="43"/>
      <c r="I105" s="43"/>
      <c r="J105" s="43"/>
    </row>
    <row r="106" spans="1:10" x14ac:dyDescent="0.2">
      <c r="A106" s="44"/>
      <c r="B106" s="60"/>
      <c r="C106" s="44"/>
      <c r="D106" s="44"/>
      <c r="E106" s="44"/>
      <c r="F106" s="43"/>
      <c r="G106" s="43"/>
      <c r="H106" s="43"/>
      <c r="I106" s="43"/>
      <c r="J106" s="43"/>
    </row>
    <row r="107" spans="1:10" ht="57.75" customHeight="1" x14ac:dyDescent="0.2">
      <c r="A107" s="44"/>
      <c r="B107" s="60"/>
      <c r="C107" s="94"/>
      <c r="D107" s="94"/>
      <c r="E107" s="94"/>
      <c r="F107" s="43"/>
      <c r="G107" s="43"/>
      <c r="H107" s="43"/>
      <c r="I107" s="43"/>
      <c r="J107" s="43"/>
    </row>
    <row r="108" spans="1:10" ht="32.25" customHeight="1" x14ac:dyDescent="0.2">
      <c r="A108" s="44"/>
      <c r="B108" s="60"/>
      <c r="C108" s="44"/>
      <c r="D108" s="44"/>
      <c r="E108" s="44"/>
      <c r="F108" s="43"/>
      <c r="G108" s="43"/>
      <c r="H108" s="43"/>
      <c r="I108" s="43"/>
      <c r="J108" s="43"/>
    </row>
    <row r="109" spans="1:10" x14ac:dyDescent="0.2">
      <c r="A109" s="44"/>
      <c r="B109" s="59"/>
      <c r="C109" s="92"/>
      <c r="D109" s="92"/>
      <c r="E109" s="92"/>
      <c r="F109" s="43"/>
      <c r="G109" s="43"/>
      <c r="H109" s="43"/>
      <c r="I109" s="43"/>
      <c r="J109" s="43"/>
    </row>
    <row r="110" spans="1:10" x14ac:dyDescent="0.2">
      <c r="A110" s="44"/>
      <c r="B110" s="59"/>
      <c r="C110" s="92"/>
      <c r="D110" s="92"/>
      <c r="E110" s="92"/>
      <c r="F110" s="43"/>
      <c r="G110" s="43"/>
      <c r="H110" s="43"/>
      <c r="I110" s="43"/>
      <c r="J110" s="43"/>
    </row>
    <row r="111" spans="1:10" x14ac:dyDescent="0.2">
      <c r="A111" s="44"/>
      <c r="B111" s="60"/>
      <c r="C111" s="44"/>
      <c r="D111" s="44"/>
      <c r="E111" s="44"/>
      <c r="F111" s="43"/>
      <c r="G111" s="43"/>
      <c r="H111" s="43"/>
      <c r="I111" s="43"/>
      <c r="J111" s="43"/>
    </row>
    <row r="112" spans="1:10" x14ac:dyDescent="0.2">
      <c r="A112" s="44"/>
      <c r="B112" s="59"/>
      <c r="C112" s="93"/>
      <c r="D112" s="93"/>
      <c r="E112" s="93"/>
      <c r="F112" s="43"/>
      <c r="G112" s="43"/>
      <c r="H112" s="43"/>
      <c r="I112" s="43"/>
      <c r="J112" s="43"/>
    </row>
    <row r="113" spans="1:10" x14ac:dyDescent="0.2">
      <c r="A113" s="44"/>
      <c r="B113" s="60"/>
      <c r="C113" s="45"/>
      <c r="D113" s="45"/>
      <c r="E113" s="45"/>
      <c r="F113" s="43"/>
      <c r="G113" s="43"/>
      <c r="H113" s="43"/>
      <c r="I113" s="43"/>
      <c r="J113" s="43"/>
    </row>
    <row r="114" spans="1:10" x14ac:dyDescent="0.2">
      <c r="A114" s="44"/>
      <c r="B114" s="59"/>
      <c r="C114" s="93"/>
      <c r="D114" s="93"/>
      <c r="E114" s="93"/>
      <c r="F114" s="43"/>
      <c r="G114" s="43"/>
      <c r="H114" s="43"/>
      <c r="I114" s="43"/>
      <c r="J114" s="43"/>
    </row>
    <row r="115" spans="1:10" x14ac:dyDescent="0.2">
      <c r="A115" s="44"/>
      <c r="B115" s="60"/>
      <c r="C115" s="44"/>
      <c r="D115" s="44"/>
      <c r="E115" s="44"/>
      <c r="F115" s="43"/>
      <c r="G115" s="43"/>
      <c r="H115" s="43"/>
      <c r="I115" s="43"/>
      <c r="J115" s="43"/>
    </row>
    <row r="116" spans="1:10" x14ac:dyDescent="0.2">
      <c r="A116" s="44"/>
      <c r="B116" s="60"/>
      <c r="C116" s="92"/>
      <c r="D116" s="92"/>
      <c r="E116" s="92"/>
      <c r="F116" s="43"/>
      <c r="G116" s="43"/>
      <c r="H116" s="43"/>
      <c r="I116" s="43"/>
      <c r="J116" s="43"/>
    </row>
    <row r="117" spans="1:10" x14ac:dyDescent="0.2">
      <c r="A117" s="44"/>
      <c r="B117" s="59"/>
      <c r="C117" s="44"/>
      <c r="D117" s="44"/>
      <c r="E117" s="44"/>
      <c r="F117" s="43"/>
      <c r="G117" s="43"/>
      <c r="H117" s="43"/>
      <c r="I117" s="43"/>
      <c r="J117" s="43"/>
    </row>
    <row r="118" spans="1:10" x14ac:dyDescent="0.2">
      <c r="A118" s="44"/>
      <c r="B118" s="44"/>
      <c r="C118" s="44"/>
      <c r="D118" s="44"/>
      <c r="E118" s="44"/>
      <c r="F118" s="43"/>
      <c r="G118" s="43"/>
      <c r="H118" s="43"/>
      <c r="I118" s="43"/>
      <c r="J118" s="43"/>
    </row>
    <row r="119" spans="1:10" x14ac:dyDescent="0.2">
      <c r="A119" s="43"/>
      <c r="B119" s="43"/>
      <c r="C119" s="43"/>
      <c r="D119" s="43"/>
      <c r="E119" s="43"/>
      <c r="F119" s="43"/>
      <c r="G119" s="43"/>
      <c r="H119" s="43"/>
      <c r="I119" s="43"/>
      <c r="J119" s="43"/>
    </row>
    <row r="120" spans="1:10" x14ac:dyDescent="0.2">
      <c r="A120" s="43"/>
      <c r="B120" s="43"/>
      <c r="C120" s="43"/>
      <c r="D120" s="43"/>
      <c r="E120" s="43"/>
      <c r="F120" s="43"/>
      <c r="G120" s="43"/>
      <c r="H120" s="43"/>
      <c r="I120" s="43"/>
      <c r="J120" s="43"/>
    </row>
    <row r="121" spans="1:10" x14ac:dyDescent="0.2">
      <c r="A121" s="43"/>
      <c r="B121" s="43"/>
      <c r="C121" s="43"/>
      <c r="D121" s="43"/>
      <c r="E121" s="43"/>
      <c r="F121" s="43"/>
      <c r="G121" s="43"/>
      <c r="H121" s="43"/>
      <c r="I121" s="43"/>
      <c r="J121" s="43"/>
    </row>
    <row r="122" spans="1:10" x14ac:dyDescent="0.2">
      <c r="A122" s="43"/>
      <c r="B122" s="43"/>
      <c r="C122" s="43"/>
      <c r="D122" s="43"/>
      <c r="E122" s="43"/>
      <c r="F122" s="43"/>
      <c r="G122" s="43"/>
      <c r="H122" s="43"/>
      <c r="I122" s="43"/>
      <c r="J122" s="43"/>
    </row>
    <row r="123" spans="1:10" x14ac:dyDescent="0.2">
      <c r="A123" s="43"/>
      <c r="B123" s="43"/>
      <c r="C123" s="43"/>
      <c r="D123" s="43"/>
      <c r="E123" s="43"/>
      <c r="F123" s="43"/>
      <c r="G123" s="43"/>
      <c r="H123" s="43"/>
      <c r="I123" s="43"/>
      <c r="J123" s="43"/>
    </row>
    <row r="124" spans="1:10" x14ac:dyDescent="0.2">
      <c r="A124" s="43"/>
      <c r="B124" s="43"/>
      <c r="C124" s="43"/>
      <c r="D124" s="43"/>
      <c r="E124" s="43"/>
      <c r="F124" s="43"/>
      <c r="G124" s="43"/>
      <c r="H124" s="43"/>
      <c r="I124" s="43"/>
      <c r="J124" s="43"/>
    </row>
    <row r="125" spans="1:10" x14ac:dyDescent="0.2">
      <c r="A125" s="43"/>
      <c r="B125" s="43"/>
      <c r="C125" s="43"/>
      <c r="D125" s="43"/>
      <c r="E125" s="43"/>
      <c r="F125" s="43"/>
      <c r="G125" s="43"/>
      <c r="H125" s="43"/>
      <c r="I125" s="43"/>
      <c r="J125" s="43"/>
    </row>
    <row r="126" spans="1:10" x14ac:dyDescent="0.2">
      <c r="A126" s="43"/>
      <c r="B126" s="43"/>
      <c r="C126" s="43"/>
      <c r="D126" s="43"/>
      <c r="E126" s="43"/>
      <c r="F126" s="43"/>
      <c r="G126" s="43"/>
      <c r="H126" s="43"/>
      <c r="I126" s="43"/>
      <c r="J126" s="43"/>
    </row>
    <row r="127" spans="1:10" x14ac:dyDescent="0.2">
      <c r="A127" s="43"/>
      <c r="B127" s="43"/>
      <c r="C127" s="43"/>
      <c r="D127" s="43"/>
      <c r="E127" s="43"/>
      <c r="F127" s="43"/>
      <c r="G127" s="43"/>
      <c r="H127" s="43"/>
      <c r="I127" s="43"/>
      <c r="J127" s="43"/>
    </row>
    <row r="128" spans="1:10" x14ac:dyDescent="0.2">
      <c r="A128" s="43"/>
      <c r="B128" s="43"/>
      <c r="C128" s="43"/>
      <c r="D128" s="43"/>
      <c r="E128" s="43"/>
      <c r="F128" s="43"/>
      <c r="G128" s="43"/>
      <c r="H128" s="43"/>
      <c r="I128" s="43"/>
      <c r="J128" s="43"/>
    </row>
    <row r="129" spans="1:10" x14ac:dyDescent="0.2">
      <c r="A129" s="43"/>
      <c r="B129" s="43"/>
      <c r="C129" s="43"/>
      <c r="D129" s="43"/>
      <c r="E129" s="43"/>
      <c r="F129" s="43"/>
      <c r="G129" s="43"/>
      <c r="H129" s="43"/>
      <c r="I129" s="43"/>
      <c r="J129" s="43"/>
    </row>
    <row r="130" spans="1:10" x14ac:dyDescent="0.2">
      <c r="A130" s="43"/>
      <c r="B130" s="43"/>
      <c r="C130" s="43"/>
      <c r="D130" s="43"/>
      <c r="E130" s="43"/>
      <c r="F130" s="43"/>
      <c r="G130" s="43"/>
      <c r="H130" s="43"/>
      <c r="I130" s="43"/>
      <c r="J130" s="43"/>
    </row>
    <row r="131" spans="1:10" x14ac:dyDescent="0.2">
      <c r="A131" s="43"/>
      <c r="B131" s="43"/>
      <c r="C131" s="43"/>
      <c r="D131" s="43"/>
      <c r="E131" s="43"/>
      <c r="F131" s="43"/>
      <c r="G131" s="43"/>
      <c r="H131" s="43"/>
      <c r="I131" s="43"/>
      <c r="J131" s="43"/>
    </row>
  </sheetData>
  <autoFilter ref="B10:B46" xr:uid="{00000000-0009-0000-0000-000000000000}"/>
  <mergeCells count="22">
    <mergeCell ref="C116:E116"/>
    <mergeCell ref="C107:E107"/>
    <mergeCell ref="C109:E109"/>
    <mergeCell ref="C110:E110"/>
    <mergeCell ref="C112:E112"/>
    <mergeCell ref="C114:E114"/>
    <mergeCell ref="C92:E92"/>
    <mergeCell ref="C94:E94"/>
    <mergeCell ref="C96:E96"/>
    <mergeCell ref="C98:E98"/>
    <mergeCell ref="C79:E79"/>
    <mergeCell ref="C81:E81"/>
    <mergeCell ref="C83:E83"/>
    <mergeCell ref="C89:E89"/>
    <mergeCell ref="C91:E91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27"/>
  <sheetViews>
    <sheetView topLeftCell="A43" zoomScale="80" zoomScaleNormal="80" workbookViewId="0">
      <selection activeCell="J51" sqref="J51:K51"/>
    </sheetView>
  </sheetViews>
  <sheetFormatPr baseColWidth="10" defaultColWidth="9.140625" defaultRowHeight="12.75" x14ac:dyDescent="0.2"/>
  <cols>
    <col min="1" max="1" width="19" style="2" customWidth="1"/>
    <col min="2" max="2" width="17.85546875" style="2" customWidth="1"/>
    <col min="3" max="3" width="8.7109375" style="2" customWidth="1"/>
    <col min="4" max="4" width="85.5703125" style="2" customWidth="1"/>
    <col min="5" max="5" width="10.42578125" style="2" bestFit="1" customWidth="1"/>
    <col min="6" max="6" width="7.85546875" style="2" customWidth="1"/>
    <col min="7" max="7" width="20.5703125" style="2" customWidth="1"/>
    <col min="8" max="8" width="7.85546875" style="2" customWidth="1"/>
    <col min="9" max="9" width="9.140625" style="2" customWidth="1"/>
    <col min="10" max="10" width="11" style="2" customWidth="1"/>
    <col min="11" max="11" width="11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99" t="s">
        <v>16</v>
      </c>
      <c r="B1" s="99"/>
      <c r="C1" s="99"/>
      <c r="D1" s="99"/>
      <c r="E1" s="99"/>
      <c r="F1" s="99"/>
      <c r="G1" s="99"/>
      <c r="H1" s="99"/>
      <c r="I1" s="99"/>
      <c r="J1" s="3" t="s">
        <v>17</v>
      </c>
      <c r="K1" s="65" t="s">
        <v>147</v>
      </c>
      <c r="L1" s="56"/>
    </row>
    <row r="2" spans="1:12" ht="18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2"/>
      <c r="K2" s="53"/>
      <c r="L2" s="56"/>
    </row>
    <row r="3" spans="1:12" ht="18.75" customHeight="1" thickBot="1" x14ac:dyDescent="0.25">
      <c r="A3" s="100" t="s">
        <v>50</v>
      </c>
      <c r="B3" s="100"/>
      <c r="C3" s="100"/>
      <c r="D3" s="101" t="str">
        <f>'Necesidades Trimestrales'!C4</f>
        <v>70 - MINISTERIO DE CIENCIA E INNOVACION TECNOLOGICA</v>
      </c>
      <c r="E3" s="101"/>
      <c r="F3" s="101"/>
      <c r="G3" s="101"/>
      <c r="H3" s="101"/>
      <c r="I3" s="101"/>
      <c r="J3" s="101"/>
      <c r="K3" s="101"/>
    </row>
    <row r="4" spans="1:12" ht="18.75" customHeight="1" thickBot="1" x14ac:dyDescent="0.25">
      <c r="A4" s="102" t="s">
        <v>51</v>
      </c>
      <c r="B4" s="102"/>
      <c r="C4" s="102"/>
      <c r="D4" s="101" t="str">
        <f>'Necesidades Trimestrales'!C5</f>
        <v>20 - MINISTERIO DE CIENCIA E INNOVACION TECNOLOGICA</v>
      </c>
      <c r="E4" s="101"/>
      <c r="F4" s="101"/>
      <c r="G4" s="101"/>
      <c r="H4" s="101"/>
      <c r="I4" s="101"/>
      <c r="J4" s="101"/>
      <c r="K4" s="101"/>
    </row>
    <row r="5" spans="1:12" ht="18.75" customHeight="1" thickBot="1" x14ac:dyDescent="0.25">
      <c r="A5" s="102" t="s">
        <v>29</v>
      </c>
      <c r="B5" s="102"/>
      <c r="C5" s="102"/>
      <c r="D5" s="101" t="s">
        <v>55</v>
      </c>
      <c r="E5" s="101"/>
      <c r="F5" s="101"/>
      <c r="G5" s="101"/>
      <c r="H5" s="101"/>
      <c r="I5" s="101"/>
      <c r="J5" s="101"/>
      <c r="K5" s="101"/>
    </row>
    <row r="6" spans="1:12" ht="16.5" customHeight="1" thickBot="1" x14ac:dyDescent="0.25">
      <c r="A6" s="100" t="s">
        <v>52</v>
      </c>
      <c r="B6" s="100"/>
      <c r="C6" s="100"/>
      <c r="D6" s="101" t="s">
        <v>62</v>
      </c>
      <c r="E6" s="101"/>
      <c r="F6" s="101"/>
      <c r="G6" s="101"/>
      <c r="H6" s="101"/>
      <c r="I6" s="101"/>
      <c r="J6" s="101"/>
      <c r="K6" s="101"/>
    </row>
    <row r="7" spans="1:12" ht="16.5" customHeight="1" x14ac:dyDescent="0.2">
      <c r="A7" s="102" t="s">
        <v>18</v>
      </c>
      <c r="B7" s="102"/>
      <c r="C7" s="102"/>
      <c r="D7" s="101" t="str">
        <f>'Necesidades Trimestrales'!C7 &amp; "° Trimestre - Año " &amp; 'Necesidades Trimestrales'!C6</f>
        <v>4° Trimestre - Año 2020</v>
      </c>
      <c r="E7" s="101"/>
      <c r="F7" s="101"/>
      <c r="G7" s="101"/>
      <c r="H7" s="101"/>
      <c r="I7" s="101"/>
      <c r="J7" s="101"/>
      <c r="K7" s="101"/>
    </row>
    <row r="8" spans="1:12" ht="33.75" customHeight="1" x14ac:dyDescent="0.2">
      <c r="A8" s="95" t="s">
        <v>19</v>
      </c>
      <c r="B8" s="95"/>
      <c r="C8" s="95"/>
      <c r="D8" s="96" t="s">
        <v>65</v>
      </c>
      <c r="E8" s="96"/>
      <c r="F8" s="96"/>
      <c r="G8" s="96"/>
      <c r="H8" s="96"/>
      <c r="I8" s="96"/>
      <c r="J8" s="96"/>
      <c r="K8" s="96"/>
    </row>
    <row r="9" spans="1:12" ht="15.75" x14ac:dyDescent="0.2">
      <c r="A9" s="54"/>
      <c r="B9" s="54"/>
      <c r="C9" s="54"/>
      <c r="D9" s="55"/>
      <c r="E9" s="55"/>
      <c r="F9" s="55"/>
      <c r="G9" s="55"/>
      <c r="H9" s="55"/>
      <c r="I9" s="55"/>
      <c r="J9" s="55"/>
      <c r="K9" s="55"/>
    </row>
    <row r="10" spans="1:12" ht="18.75" customHeight="1" thickBot="1" x14ac:dyDescent="0.25">
      <c r="A10" s="97" t="s">
        <v>20</v>
      </c>
      <c r="B10" s="103" t="s">
        <v>21</v>
      </c>
      <c r="C10" s="103" t="s">
        <v>22</v>
      </c>
      <c r="D10" s="103"/>
      <c r="E10" s="103"/>
      <c r="F10" s="103"/>
      <c r="G10" s="103"/>
      <c r="H10" s="103" t="s">
        <v>23</v>
      </c>
      <c r="I10" s="103" t="s">
        <v>24</v>
      </c>
      <c r="J10" s="103" t="s">
        <v>25</v>
      </c>
      <c r="K10" s="105" t="s">
        <v>26</v>
      </c>
    </row>
    <row r="11" spans="1:12" ht="24" customHeight="1" thickBot="1" x14ac:dyDescent="0.25">
      <c r="A11" s="98"/>
      <c r="B11" s="104"/>
      <c r="C11" s="104"/>
      <c r="D11" s="104"/>
      <c r="E11" s="104"/>
      <c r="F11" s="104"/>
      <c r="G11" s="104"/>
      <c r="H11" s="104"/>
      <c r="I11" s="104"/>
      <c r="J11" s="104"/>
      <c r="K11" s="106"/>
    </row>
    <row r="12" spans="1:12" ht="32.25" customHeight="1" thickBot="1" x14ac:dyDescent="0.25">
      <c r="A12" s="72">
        <v>1</v>
      </c>
      <c r="B12" s="67" t="s">
        <v>66</v>
      </c>
      <c r="C12" s="112" t="s">
        <v>67</v>
      </c>
      <c r="D12" s="113"/>
      <c r="E12" s="113"/>
      <c r="F12" s="113"/>
      <c r="G12" s="114"/>
      <c r="H12" s="72" t="s">
        <v>61</v>
      </c>
      <c r="I12" s="73" t="str">
        <f>'Necesidades Trimestrales'!F10</f>
        <v>Unidad</v>
      </c>
      <c r="J12" s="69">
        <v>60</v>
      </c>
      <c r="K12" s="67">
        <v>40</v>
      </c>
    </row>
    <row r="13" spans="1:12" ht="42.75" customHeight="1" thickBot="1" x14ac:dyDescent="0.25">
      <c r="A13" s="74">
        <v>2</v>
      </c>
      <c r="B13" s="67" t="s">
        <v>68</v>
      </c>
      <c r="C13" s="112" t="str">
        <f>+'Necesidades Trimestrales'!E11</f>
        <v>SOBRES DE PAPEL; TIPO: MADERA, TAMAÑO: A4, GRAMAJE: 80 GR/M2, PRESENTACION: UNIDAD, CERTIFICADO FORESTAL (GFS): SIN, PORC. FIBRAS RECICLADAS: 0 %, CERT. FIBRA ALTERNATIVA (FCA): SIN</v>
      </c>
      <c r="D13" s="113"/>
      <c r="E13" s="113"/>
      <c r="F13" s="113"/>
      <c r="G13" s="114"/>
      <c r="H13" s="72" t="s">
        <v>61</v>
      </c>
      <c r="I13" s="73" t="s">
        <v>59</v>
      </c>
      <c r="J13" s="75">
        <v>8</v>
      </c>
      <c r="K13" s="67">
        <v>500</v>
      </c>
    </row>
    <row r="14" spans="1:12" ht="34.5" customHeight="1" thickBot="1" x14ac:dyDescent="0.25">
      <c r="A14" s="72">
        <v>3</v>
      </c>
      <c r="B14" s="67" t="s">
        <v>71</v>
      </c>
      <c r="C14" s="112" t="str">
        <f>+'Necesidades Trimestrales'!E12</f>
        <v>SOBRES DE PAPEL; TIPO: PAPEL MADERA, TAMAÑO: OFICIO Cm, GRAMAJE: 80 GR/M2, PRESENTACION: UNIDAD, CERTIFICADO FORESTAL (GFS): SIN, PORC. FIBRAS RECICLADAS: SIN VALOR</v>
      </c>
      <c r="D14" s="113"/>
      <c r="E14" s="113"/>
      <c r="F14" s="113"/>
      <c r="G14" s="114"/>
      <c r="H14" s="72" t="s">
        <v>61</v>
      </c>
      <c r="I14" s="73" t="s">
        <v>59</v>
      </c>
      <c r="J14" s="75">
        <v>8.5</v>
      </c>
      <c r="K14" s="67">
        <v>500</v>
      </c>
    </row>
    <row r="15" spans="1:12" ht="36.75" customHeight="1" thickBot="1" x14ac:dyDescent="0.25">
      <c r="A15" s="74">
        <v>4</v>
      </c>
      <c r="B15" s="67" t="s">
        <v>72</v>
      </c>
      <c r="C15" s="115" t="str">
        <f>+'Necesidades Trimestrales'!E13</f>
        <v>ABROCHADORAS DE PAPEL; TIPO: PINZA, P/BROCHES: 10/50, MATERIAL: METALICA, MEDIDA: 10/50</v>
      </c>
      <c r="D15" s="116"/>
      <c r="E15" s="116"/>
      <c r="F15" s="116"/>
      <c r="G15" s="117"/>
      <c r="H15" s="72" t="s">
        <v>61</v>
      </c>
      <c r="I15" s="73" t="s">
        <v>59</v>
      </c>
      <c r="J15" s="75">
        <v>280</v>
      </c>
      <c r="K15" s="67">
        <v>30</v>
      </c>
    </row>
    <row r="16" spans="1:12" ht="20.25" customHeight="1" thickBot="1" x14ac:dyDescent="0.25">
      <c r="A16" s="72">
        <v>5</v>
      </c>
      <c r="B16" s="67" t="s">
        <v>74</v>
      </c>
      <c r="C16" s="118" t="str">
        <f>+'Necesidades Trimestrales'!E14</f>
        <v>PAPELES ANOTADOR AUTOADHESIVOS; PRESENTACION: 100 HOJAS, LARGO X ANCHO: 76 X 76 mm</v>
      </c>
      <c r="D16" s="119"/>
      <c r="E16" s="119"/>
      <c r="F16" s="119"/>
      <c r="G16" s="120"/>
      <c r="H16" s="72" t="s">
        <v>61</v>
      </c>
      <c r="I16" s="73" t="s">
        <v>59</v>
      </c>
      <c r="J16" s="75">
        <v>35</v>
      </c>
      <c r="K16" s="67">
        <v>50</v>
      </c>
    </row>
    <row r="17" spans="1:1024" ht="20.25" customHeight="1" thickBot="1" x14ac:dyDescent="0.25">
      <c r="A17" s="74">
        <v>6</v>
      </c>
      <c r="B17" s="67" t="s">
        <v>76</v>
      </c>
      <c r="C17" s="115" t="str">
        <f>+'Necesidades Trimestrales'!E15</f>
        <v>BIBLIORATOS; ANCHO 80mm - ANILLO 2 Y PALANCA - TAMAÑO OFICIO - MATERIAL CARTON</v>
      </c>
      <c r="D17" s="116"/>
      <c r="E17" s="116"/>
      <c r="F17" s="116"/>
      <c r="G17" s="117"/>
      <c r="H17" s="72" t="s">
        <v>61</v>
      </c>
      <c r="I17" s="73" t="s">
        <v>59</v>
      </c>
      <c r="J17" s="75">
        <v>180</v>
      </c>
      <c r="K17" s="67">
        <v>100</v>
      </c>
    </row>
    <row r="18" spans="1:1024" ht="36.75" customHeight="1" thickBot="1" x14ac:dyDescent="0.25">
      <c r="A18" s="72">
        <v>7</v>
      </c>
      <c r="B18" s="67" t="s">
        <v>79</v>
      </c>
      <c r="C18" s="115" t="str">
        <f>+'Necesidades Trimestrales'!E16</f>
        <v>BIBLIORATOS; TAMAÑO: CARTA, ANCHO: 80 mm, TAPAS: CARTON, ANILLO: 2 Y PALANCA, COLOR: NEGRO, LOMO: SIN VALOR, MATERIAL: CARTON</v>
      </c>
      <c r="D18" s="116"/>
      <c r="E18" s="116"/>
      <c r="F18" s="116"/>
      <c r="G18" s="117"/>
      <c r="H18" s="72" t="s">
        <v>61</v>
      </c>
      <c r="I18" s="73" t="s">
        <v>59</v>
      </c>
      <c r="J18" s="75">
        <v>180</v>
      </c>
      <c r="K18" s="67">
        <v>100</v>
      </c>
    </row>
    <row r="19" spans="1:1024" ht="33" customHeight="1" thickBot="1" x14ac:dyDescent="0.25">
      <c r="A19" s="74">
        <v>8</v>
      </c>
      <c r="B19" s="67" t="s">
        <v>80</v>
      </c>
      <c r="C19" s="115" t="str">
        <f>+'Necesidades Trimestrales'!E17</f>
        <v>CORRECTORES DE ESCRITURA; CAPACIDAD: 7 mL, ENVASE: LAPIZ (PUNTA METAL), PRESENTACION: LAPIZ (PUNTA METAL) X 7 Ml</v>
      </c>
      <c r="D19" s="116"/>
      <c r="E19" s="116"/>
      <c r="F19" s="116"/>
      <c r="G19" s="117"/>
      <c r="H19" s="72" t="s">
        <v>61</v>
      </c>
      <c r="I19" s="73" t="s">
        <v>59</v>
      </c>
      <c r="J19" s="75">
        <v>40</v>
      </c>
      <c r="K19" s="67">
        <v>50</v>
      </c>
    </row>
    <row r="20" spans="1:1024" s="28" customFormat="1" ht="20.25" customHeight="1" thickBot="1" x14ac:dyDescent="0.25">
      <c r="A20" s="72">
        <v>9</v>
      </c>
      <c r="B20" s="67" t="s">
        <v>83</v>
      </c>
      <c r="C20" s="115" t="s">
        <v>82</v>
      </c>
      <c r="D20" s="116"/>
      <c r="E20" s="116"/>
      <c r="F20" s="116"/>
      <c r="G20" s="117"/>
      <c r="H20" s="72" t="s">
        <v>61</v>
      </c>
      <c r="I20" s="73" t="s">
        <v>59</v>
      </c>
      <c r="J20" s="75">
        <v>35</v>
      </c>
      <c r="K20" s="67">
        <v>50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  <c r="AIB20" s="27"/>
      <c r="AIC20" s="27"/>
      <c r="AID20" s="27"/>
      <c r="AIE20" s="27"/>
      <c r="AIF20" s="27"/>
      <c r="AIG20" s="27"/>
      <c r="AIH20" s="27"/>
      <c r="AII20" s="27"/>
      <c r="AIJ20" s="27"/>
      <c r="AIK20" s="27"/>
      <c r="AIL20" s="27"/>
      <c r="AIM20" s="27"/>
      <c r="AIN20" s="27"/>
      <c r="AIO20" s="27"/>
      <c r="AIP20" s="27"/>
      <c r="AIQ20" s="27"/>
      <c r="AIR20" s="27"/>
      <c r="AIS20" s="27"/>
      <c r="AIT20" s="27"/>
      <c r="AIU20" s="27"/>
      <c r="AIV20" s="27"/>
      <c r="AIW20" s="27"/>
      <c r="AIX20" s="27"/>
      <c r="AIY20" s="27"/>
      <c r="AIZ20" s="27"/>
      <c r="AJA20" s="27"/>
      <c r="AJB20" s="27"/>
      <c r="AJC20" s="27"/>
      <c r="AJD20" s="27"/>
      <c r="AJE20" s="27"/>
      <c r="AJF20" s="27"/>
      <c r="AJG20" s="27"/>
      <c r="AJH20" s="27"/>
      <c r="AJI20" s="27"/>
      <c r="AJJ20" s="27"/>
      <c r="AJK20" s="27"/>
      <c r="AJL20" s="27"/>
      <c r="AJM20" s="27"/>
      <c r="AJN20" s="27"/>
      <c r="AJO20" s="27"/>
      <c r="AJP20" s="27"/>
      <c r="AJQ20" s="27"/>
      <c r="AJR20" s="27"/>
      <c r="AJS20" s="27"/>
      <c r="AJT20" s="27"/>
      <c r="AJU20" s="27"/>
      <c r="AJV20" s="27"/>
      <c r="AJW20" s="27"/>
      <c r="AJX20" s="27"/>
      <c r="AJY20" s="27"/>
      <c r="AJZ20" s="27"/>
      <c r="AKA20" s="27"/>
      <c r="AKB20" s="27"/>
      <c r="AKC20" s="27"/>
      <c r="AKD20" s="27"/>
      <c r="AKE20" s="27"/>
      <c r="AKF20" s="27"/>
      <c r="AKG20" s="27"/>
      <c r="AKH20" s="27"/>
      <c r="AKI20" s="27"/>
      <c r="AKJ20" s="27"/>
      <c r="AKK20" s="27"/>
      <c r="AKL20" s="27"/>
      <c r="AKM20" s="27"/>
      <c r="AKN20" s="27"/>
      <c r="AKO20" s="27"/>
      <c r="AKP20" s="27"/>
      <c r="AKQ20" s="27"/>
      <c r="AKR20" s="27"/>
      <c r="AKS20" s="27"/>
      <c r="AKT20" s="27"/>
      <c r="AKU20" s="27"/>
      <c r="AKV20" s="27"/>
      <c r="AKW20" s="27"/>
      <c r="AKX20" s="27"/>
      <c r="AKY20" s="27"/>
      <c r="AKZ20" s="27"/>
      <c r="ALA20" s="27"/>
      <c r="ALB20" s="27"/>
      <c r="ALC20" s="27"/>
      <c r="ALD20" s="27"/>
      <c r="ALE20" s="27"/>
      <c r="ALF20" s="27"/>
      <c r="ALG20" s="27"/>
      <c r="ALH20" s="27"/>
      <c r="ALI20" s="27"/>
      <c r="ALJ20" s="27"/>
      <c r="ALK20" s="27"/>
      <c r="ALL20" s="27"/>
      <c r="ALM20" s="27"/>
      <c r="ALN20" s="27"/>
      <c r="ALO20" s="27"/>
      <c r="ALP20" s="27"/>
      <c r="ALQ20" s="27"/>
      <c r="ALR20" s="27"/>
      <c r="ALS20" s="27"/>
      <c r="ALT20" s="27"/>
      <c r="ALU20" s="27"/>
      <c r="ALV20" s="27"/>
      <c r="ALW20" s="27"/>
      <c r="ALX20" s="27"/>
      <c r="ALY20" s="27"/>
      <c r="ALZ20" s="27"/>
      <c r="AMA20" s="27"/>
      <c r="AMB20" s="27"/>
      <c r="AMC20" s="27"/>
      <c r="AMD20" s="27"/>
      <c r="AME20" s="27"/>
      <c r="AMF20" s="27"/>
      <c r="AMG20" s="27"/>
      <c r="AMH20" s="27"/>
      <c r="AMI20" s="27"/>
      <c r="AMJ20" s="27"/>
    </row>
    <row r="21" spans="1:1024" ht="20.25" customHeight="1" thickBot="1" x14ac:dyDescent="0.25">
      <c r="A21" s="74">
        <v>10</v>
      </c>
      <c r="B21" s="67" t="s">
        <v>84</v>
      </c>
      <c r="C21" s="115" t="s">
        <v>85</v>
      </c>
      <c r="D21" s="116"/>
      <c r="E21" s="116"/>
      <c r="F21" s="116"/>
      <c r="G21" s="117"/>
      <c r="H21" s="72" t="s">
        <v>61</v>
      </c>
      <c r="I21" s="73" t="s">
        <v>59</v>
      </c>
      <c r="J21" s="75">
        <v>20</v>
      </c>
      <c r="K21" s="67">
        <v>100</v>
      </c>
    </row>
    <row r="22" spans="1:1024" ht="20.25" customHeight="1" thickBot="1" x14ac:dyDescent="0.25">
      <c r="A22" s="72">
        <v>11</v>
      </c>
      <c r="B22" s="67" t="s">
        <v>87</v>
      </c>
      <c r="C22" s="115" t="s">
        <v>86</v>
      </c>
      <c r="D22" s="116"/>
      <c r="E22" s="116"/>
      <c r="F22" s="116"/>
      <c r="G22" s="117"/>
      <c r="H22" s="72" t="s">
        <v>61</v>
      </c>
      <c r="I22" s="73" t="s">
        <v>59</v>
      </c>
      <c r="J22" s="75">
        <v>5.5</v>
      </c>
      <c r="K22" s="67">
        <v>240</v>
      </c>
    </row>
    <row r="23" spans="1:1024" s="57" customFormat="1" ht="20.25" customHeight="1" thickBot="1" x14ac:dyDescent="0.25">
      <c r="A23" s="74">
        <v>12</v>
      </c>
      <c r="B23" s="67" t="s">
        <v>88</v>
      </c>
      <c r="C23" s="107" t="str">
        <f>+'Necesidades Trimestrales'!E21</f>
        <v>BOLIGRAFOS; TRAZO: MEDIO</v>
      </c>
      <c r="D23" s="108"/>
      <c r="E23" s="108"/>
      <c r="F23" s="108"/>
      <c r="G23" s="109"/>
      <c r="H23" s="72" t="s">
        <v>61</v>
      </c>
      <c r="I23" s="73" t="s">
        <v>59</v>
      </c>
      <c r="J23" s="75">
        <v>22.5</v>
      </c>
      <c r="K23" s="67">
        <v>500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  <c r="FK23" s="56"/>
      <c r="FL23" s="56"/>
      <c r="FM23" s="56"/>
      <c r="FN23" s="56"/>
      <c r="FO23" s="56"/>
      <c r="FP23" s="56"/>
      <c r="FQ23" s="56"/>
      <c r="FR23" s="56"/>
      <c r="FS23" s="56"/>
      <c r="FT23" s="56"/>
      <c r="FU23" s="56"/>
      <c r="FV23" s="56"/>
      <c r="FW23" s="56"/>
      <c r="FX23" s="56"/>
      <c r="FY23" s="56"/>
      <c r="FZ23" s="56"/>
      <c r="GA23" s="56"/>
      <c r="GB23" s="56"/>
      <c r="GC23" s="56"/>
      <c r="GD23" s="56"/>
      <c r="GE23" s="56"/>
      <c r="GF23" s="56"/>
      <c r="GG23" s="56"/>
      <c r="GH23" s="56"/>
      <c r="GI23" s="56"/>
      <c r="GJ23" s="56"/>
      <c r="GK23" s="56"/>
      <c r="GL23" s="56"/>
      <c r="GM23" s="56"/>
      <c r="GN23" s="56"/>
      <c r="GO23" s="56"/>
      <c r="GP23" s="56"/>
      <c r="GQ23" s="56"/>
      <c r="GR23" s="56"/>
      <c r="GS23" s="56"/>
      <c r="GT23" s="56"/>
      <c r="GU23" s="56"/>
      <c r="GV23" s="56"/>
      <c r="GW23" s="56"/>
      <c r="GX23" s="56"/>
      <c r="GY23" s="56"/>
      <c r="GZ23" s="56"/>
      <c r="HA23" s="56"/>
      <c r="HB23" s="56"/>
      <c r="HC23" s="56"/>
      <c r="HD23" s="56"/>
      <c r="HE23" s="56"/>
      <c r="HF23" s="56"/>
      <c r="HG23" s="56"/>
      <c r="HH23" s="56"/>
      <c r="HI23" s="56"/>
      <c r="HJ23" s="56"/>
      <c r="HK23" s="56"/>
      <c r="HL23" s="56"/>
      <c r="HM23" s="56"/>
      <c r="HN23" s="56"/>
      <c r="HO23" s="56"/>
      <c r="HP23" s="56"/>
      <c r="HQ23" s="56"/>
      <c r="HR23" s="56"/>
      <c r="HS23" s="56"/>
      <c r="HT23" s="56"/>
      <c r="HU23" s="56"/>
      <c r="HV23" s="56"/>
      <c r="HW23" s="56"/>
      <c r="HX23" s="56"/>
      <c r="HY23" s="56"/>
      <c r="HZ23" s="56"/>
      <c r="IA23" s="56"/>
      <c r="IB23" s="56"/>
      <c r="IC23" s="56"/>
      <c r="ID23" s="56"/>
      <c r="IE23" s="56"/>
      <c r="IF23" s="56"/>
      <c r="IG23" s="56"/>
      <c r="IH23" s="56"/>
      <c r="II23" s="56"/>
      <c r="IJ23" s="56"/>
      <c r="IK23" s="56"/>
      <c r="IL23" s="56"/>
      <c r="IM23" s="56"/>
      <c r="IN23" s="56"/>
      <c r="IO23" s="56"/>
      <c r="IP23" s="56"/>
      <c r="IQ23" s="56"/>
      <c r="IR23" s="56"/>
      <c r="IS23" s="56"/>
      <c r="IT23" s="56"/>
      <c r="IU23" s="56"/>
      <c r="IV23" s="56"/>
      <c r="IW23" s="56"/>
      <c r="IX23" s="56"/>
      <c r="IY23" s="56"/>
      <c r="IZ23" s="56"/>
      <c r="JA23" s="56"/>
      <c r="JB23" s="56"/>
      <c r="JC23" s="56"/>
      <c r="JD23" s="56"/>
      <c r="JE23" s="56"/>
      <c r="JF23" s="56"/>
      <c r="JG23" s="56"/>
      <c r="JH23" s="56"/>
      <c r="JI23" s="56"/>
      <c r="JJ23" s="56"/>
      <c r="JK23" s="56"/>
      <c r="JL23" s="56"/>
      <c r="JM23" s="56"/>
      <c r="JN23" s="56"/>
      <c r="JO23" s="56"/>
      <c r="JP23" s="56"/>
      <c r="JQ23" s="56"/>
      <c r="JR23" s="56"/>
      <c r="JS23" s="56"/>
      <c r="JT23" s="56"/>
      <c r="JU23" s="56"/>
      <c r="JV23" s="56"/>
      <c r="JW23" s="56"/>
      <c r="JX23" s="56"/>
      <c r="JY23" s="56"/>
      <c r="JZ23" s="56"/>
      <c r="KA23" s="56"/>
      <c r="KB23" s="56"/>
      <c r="KC23" s="56"/>
      <c r="KD23" s="56"/>
      <c r="KE23" s="56"/>
      <c r="KF23" s="56"/>
      <c r="KG23" s="56"/>
      <c r="KH23" s="56"/>
      <c r="KI23" s="56"/>
      <c r="KJ23" s="56"/>
      <c r="KK23" s="56"/>
      <c r="KL23" s="56"/>
      <c r="KM23" s="56"/>
      <c r="KN23" s="56"/>
      <c r="KO23" s="56"/>
      <c r="KP23" s="56"/>
      <c r="KQ23" s="56"/>
      <c r="KR23" s="56"/>
      <c r="KS23" s="56"/>
      <c r="KT23" s="56"/>
      <c r="KU23" s="56"/>
      <c r="KV23" s="56"/>
      <c r="KW23" s="56"/>
      <c r="KX23" s="56"/>
      <c r="KY23" s="56"/>
      <c r="KZ23" s="56"/>
      <c r="LA23" s="56"/>
      <c r="LB23" s="56"/>
      <c r="LC23" s="56"/>
      <c r="LD23" s="56"/>
      <c r="LE23" s="56"/>
      <c r="LF23" s="56"/>
      <c r="LG23" s="56"/>
      <c r="LH23" s="56"/>
      <c r="LI23" s="56"/>
      <c r="LJ23" s="56"/>
      <c r="LK23" s="56"/>
      <c r="LL23" s="56"/>
      <c r="LM23" s="56"/>
      <c r="LN23" s="56"/>
      <c r="LO23" s="56"/>
      <c r="LP23" s="56"/>
      <c r="LQ23" s="56"/>
      <c r="LR23" s="56"/>
      <c r="LS23" s="56"/>
      <c r="LT23" s="56"/>
      <c r="LU23" s="56"/>
      <c r="LV23" s="56"/>
      <c r="LW23" s="56"/>
      <c r="LX23" s="56"/>
      <c r="LY23" s="56"/>
      <c r="LZ23" s="56"/>
      <c r="MA23" s="56"/>
      <c r="MB23" s="56"/>
      <c r="MC23" s="56"/>
      <c r="MD23" s="56"/>
      <c r="ME23" s="56"/>
      <c r="MF23" s="56"/>
      <c r="MG23" s="56"/>
      <c r="MH23" s="56"/>
      <c r="MI23" s="56"/>
      <c r="MJ23" s="56"/>
      <c r="MK23" s="56"/>
      <c r="ML23" s="56"/>
      <c r="MM23" s="56"/>
      <c r="MN23" s="56"/>
      <c r="MO23" s="56"/>
      <c r="MP23" s="56"/>
      <c r="MQ23" s="56"/>
      <c r="MR23" s="56"/>
      <c r="MS23" s="56"/>
      <c r="MT23" s="56"/>
      <c r="MU23" s="56"/>
      <c r="MV23" s="56"/>
      <c r="MW23" s="56"/>
      <c r="MX23" s="56"/>
      <c r="MY23" s="56"/>
      <c r="MZ23" s="56"/>
      <c r="NA23" s="56"/>
      <c r="NB23" s="56"/>
      <c r="NC23" s="56"/>
      <c r="ND23" s="56"/>
      <c r="NE23" s="56"/>
      <c r="NF23" s="56"/>
      <c r="NG23" s="56"/>
      <c r="NH23" s="56"/>
      <c r="NI23" s="56"/>
      <c r="NJ23" s="56"/>
      <c r="NK23" s="56"/>
      <c r="NL23" s="56"/>
      <c r="NM23" s="56"/>
      <c r="NN23" s="56"/>
      <c r="NO23" s="56"/>
      <c r="NP23" s="56"/>
      <c r="NQ23" s="56"/>
      <c r="NR23" s="56"/>
      <c r="NS23" s="56"/>
      <c r="NT23" s="56"/>
      <c r="NU23" s="56"/>
      <c r="NV23" s="56"/>
      <c r="NW23" s="56"/>
      <c r="NX23" s="56"/>
      <c r="NY23" s="56"/>
      <c r="NZ23" s="56"/>
      <c r="OA23" s="56"/>
      <c r="OB23" s="56"/>
      <c r="OC23" s="56"/>
      <c r="OD23" s="56"/>
      <c r="OE23" s="56"/>
      <c r="OF23" s="56"/>
      <c r="OG23" s="56"/>
      <c r="OH23" s="56"/>
      <c r="OI23" s="56"/>
      <c r="OJ23" s="56"/>
      <c r="OK23" s="56"/>
      <c r="OL23" s="56"/>
      <c r="OM23" s="56"/>
      <c r="ON23" s="56"/>
      <c r="OO23" s="56"/>
      <c r="OP23" s="56"/>
      <c r="OQ23" s="56"/>
      <c r="OR23" s="56"/>
      <c r="OS23" s="56"/>
      <c r="OT23" s="56"/>
      <c r="OU23" s="56"/>
      <c r="OV23" s="56"/>
      <c r="OW23" s="56"/>
      <c r="OX23" s="56"/>
      <c r="OY23" s="56"/>
      <c r="OZ23" s="56"/>
      <c r="PA23" s="56"/>
      <c r="PB23" s="56"/>
      <c r="PC23" s="56"/>
      <c r="PD23" s="56"/>
      <c r="PE23" s="56"/>
      <c r="PF23" s="56"/>
      <c r="PG23" s="56"/>
      <c r="PH23" s="56"/>
      <c r="PI23" s="56"/>
      <c r="PJ23" s="56"/>
      <c r="PK23" s="56"/>
      <c r="PL23" s="56"/>
      <c r="PM23" s="56"/>
      <c r="PN23" s="56"/>
      <c r="PO23" s="56"/>
      <c r="PP23" s="56"/>
      <c r="PQ23" s="56"/>
      <c r="PR23" s="56"/>
      <c r="PS23" s="56"/>
      <c r="PT23" s="56"/>
      <c r="PU23" s="56"/>
      <c r="PV23" s="56"/>
      <c r="PW23" s="56"/>
      <c r="PX23" s="56"/>
      <c r="PY23" s="56"/>
      <c r="PZ23" s="56"/>
      <c r="QA23" s="56"/>
      <c r="QB23" s="56"/>
      <c r="QC23" s="56"/>
      <c r="QD23" s="56"/>
      <c r="QE23" s="56"/>
      <c r="QF23" s="56"/>
      <c r="QG23" s="56"/>
      <c r="QH23" s="56"/>
      <c r="QI23" s="56"/>
      <c r="QJ23" s="56"/>
      <c r="QK23" s="56"/>
      <c r="QL23" s="56"/>
      <c r="QM23" s="56"/>
      <c r="QN23" s="56"/>
      <c r="QO23" s="56"/>
      <c r="QP23" s="56"/>
      <c r="QQ23" s="56"/>
      <c r="QR23" s="56"/>
      <c r="QS23" s="56"/>
      <c r="QT23" s="56"/>
      <c r="QU23" s="56"/>
      <c r="QV23" s="56"/>
      <c r="QW23" s="56"/>
      <c r="QX23" s="56"/>
      <c r="QY23" s="56"/>
      <c r="QZ23" s="56"/>
      <c r="RA23" s="56"/>
      <c r="RB23" s="56"/>
      <c r="RC23" s="56"/>
      <c r="RD23" s="56"/>
      <c r="RE23" s="56"/>
      <c r="RF23" s="56"/>
      <c r="RG23" s="56"/>
      <c r="RH23" s="56"/>
      <c r="RI23" s="56"/>
      <c r="RJ23" s="56"/>
      <c r="RK23" s="56"/>
      <c r="RL23" s="56"/>
      <c r="RM23" s="56"/>
      <c r="RN23" s="56"/>
      <c r="RO23" s="56"/>
      <c r="RP23" s="56"/>
      <c r="RQ23" s="56"/>
      <c r="RR23" s="56"/>
      <c r="RS23" s="56"/>
      <c r="RT23" s="56"/>
      <c r="RU23" s="56"/>
      <c r="RV23" s="56"/>
      <c r="RW23" s="56"/>
      <c r="RX23" s="56"/>
      <c r="RY23" s="56"/>
      <c r="RZ23" s="56"/>
      <c r="SA23" s="56"/>
      <c r="SB23" s="56"/>
      <c r="SC23" s="56"/>
      <c r="SD23" s="56"/>
      <c r="SE23" s="56"/>
      <c r="SF23" s="56"/>
      <c r="SG23" s="56"/>
      <c r="SH23" s="56"/>
      <c r="SI23" s="56"/>
      <c r="SJ23" s="56"/>
      <c r="SK23" s="56"/>
      <c r="SL23" s="56"/>
      <c r="SM23" s="56"/>
      <c r="SN23" s="56"/>
      <c r="SO23" s="56"/>
      <c r="SP23" s="56"/>
      <c r="SQ23" s="56"/>
      <c r="SR23" s="56"/>
      <c r="SS23" s="56"/>
      <c r="ST23" s="56"/>
      <c r="SU23" s="56"/>
      <c r="SV23" s="56"/>
      <c r="SW23" s="56"/>
      <c r="SX23" s="56"/>
      <c r="SY23" s="56"/>
      <c r="SZ23" s="56"/>
      <c r="TA23" s="56"/>
      <c r="TB23" s="56"/>
      <c r="TC23" s="56"/>
      <c r="TD23" s="56"/>
      <c r="TE23" s="56"/>
      <c r="TF23" s="56"/>
      <c r="TG23" s="56"/>
      <c r="TH23" s="56"/>
      <c r="TI23" s="56"/>
      <c r="TJ23" s="56"/>
      <c r="TK23" s="56"/>
      <c r="TL23" s="56"/>
      <c r="TM23" s="56"/>
      <c r="TN23" s="56"/>
      <c r="TO23" s="56"/>
      <c r="TP23" s="56"/>
      <c r="TQ23" s="56"/>
      <c r="TR23" s="56"/>
      <c r="TS23" s="56"/>
      <c r="TT23" s="56"/>
      <c r="TU23" s="56"/>
      <c r="TV23" s="56"/>
      <c r="TW23" s="56"/>
      <c r="TX23" s="56"/>
      <c r="TY23" s="56"/>
      <c r="TZ23" s="56"/>
      <c r="UA23" s="56"/>
      <c r="UB23" s="56"/>
      <c r="UC23" s="56"/>
      <c r="UD23" s="56"/>
      <c r="UE23" s="56"/>
      <c r="UF23" s="56"/>
      <c r="UG23" s="56"/>
      <c r="UH23" s="56"/>
      <c r="UI23" s="56"/>
      <c r="UJ23" s="56"/>
      <c r="UK23" s="56"/>
      <c r="UL23" s="56"/>
      <c r="UM23" s="56"/>
      <c r="UN23" s="56"/>
      <c r="UO23" s="56"/>
      <c r="UP23" s="56"/>
      <c r="UQ23" s="56"/>
      <c r="UR23" s="56"/>
      <c r="US23" s="56"/>
      <c r="UT23" s="56"/>
      <c r="UU23" s="56"/>
      <c r="UV23" s="56"/>
      <c r="UW23" s="56"/>
      <c r="UX23" s="56"/>
      <c r="UY23" s="56"/>
      <c r="UZ23" s="56"/>
      <c r="VA23" s="56"/>
      <c r="VB23" s="56"/>
      <c r="VC23" s="56"/>
      <c r="VD23" s="56"/>
      <c r="VE23" s="56"/>
      <c r="VF23" s="56"/>
      <c r="VG23" s="56"/>
      <c r="VH23" s="56"/>
      <c r="VI23" s="56"/>
      <c r="VJ23" s="56"/>
      <c r="VK23" s="56"/>
      <c r="VL23" s="56"/>
      <c r="VM23" s="56"/>
      <c r="VN23" s="56"/>
      <c r="VO23" s="56"/>
      <c r="VP23" s="56"/>
      <c r="VQ23" s="56"/>
      <c r="VR23" s="56"/>
      <c r="VS23" s="56"/>
      <c r="VT23" s="56"/>
      <c r="VU23" s="56"/>
      <c r="VV23" s="56"/>
      <c r="VW23" s="56"/>
      <c r="VX23" s="56"/>
      <c r="VY23" s="56"/>
      <c r="VZ23" s="56"/>
      <c r="WA23" s="56"/>
      <c r="WB23" s="56"/>
      <c r="WC23" s="56"/>
      <c r="WD23" s="56"/>
      <c r="WE23" s="56"/>
      <c r="WF23" s="56"/>
      <c r="WG23" s="56"/>
      <c r="WH23" s="56"/>
      <c r="WI23" s="56"/>
      <c r="WJ23" s="56"/>
      <c r="WK23" s="56"/>
      <c r="WL23" s="56"/>
      <c r="WM23" s="56"/>
      <c r="WN23" s="56"/>
      <c r="WO23" s="56"/>
      <c r="WP23" s="56"/>
      <c r="WQ23" s="56"/>
      <c r="WR23" s="56"/>
      <c r="WS23" s="56"/>
      <c r="WT23" s="56"/>
      <c r="WU23" s="56"/>
      <c r="WV23" s="56"/>
      <c r="WW23" s="56"/>
      <c r="WX23" s="56"/>
      <c r="WY23" s="56"/>
      <c r="WZ23" s="56"/>
      <c r="XA23" s="56"/>
      <c r="XB23" s="56"/>
      <c r="XC23" s="56"/>
      <c r="XD23" s="56"/>
      <c r="XE23" s="56"/>
      <c r="XF23" s="56"/>
      <c r="XG23" s="56"/>
      <c r="XH23" s="56"/>
      <c r="XI23" s="56"/>
      <c r="XJ23" s="56"/>
      <c r="XK23" s="56"/>
      <c r="XL23" s="56"/>
      <c r="XM23" s="56"/>
      <c r="XN23" s="56"/>
      <c r="XO23" s="56"/>
      <c r="XP23" s="56"/>
      <c r="XQ23" s="56"/>
      <c r="XR23" s="56"/>
      <c r="XS23" s="56"/>
      <c r="XT23" s="56"/>
      <c r="XU23" s="56"/>
      <c r="XV23" s="56"/>
      <c r="XW23" s="56"/>
      <c r="XX23" s="56"/>
      <c r="XY23" s="56"/>
      <c r="XZ23" s="56"/>
      <c r="YA23" s="56"/>
      <c r="YB23" s="56"/>
      <c r="YC23" s="56"/>
      <c r="YD23" s="56"/>
      <c r="YE23" s="56"/>
      <c r="YF23" s="56"/>
      <c r="YG23" s="56"/>
      <c r="YH23" s="56"/>
      <c r="YI23" s="56"/>
      <c r="YJ23" s="56"/>
      <c r="YK23" s="56"/>
      <c r="YL23" s="56"/>
      <c r="YM23" s="56"/>
      <c r="YN23" s="56"/>
      <c r="YO23" s="56"/>
      <c r="YP23" s="56"/>
      <c r="YQ23" s="56"/>
      <c r="YR23" s="56"/>
      <c r="YS23" s="56"/>
      <c r="YT23" s="56"/>
      <c r="YU23" s="56"/>
      <c r="YV23" s="56"/>
      <c r="YW23" s="56"/>
      <c r="YX23" s="56"/>
      <c r="YY23" s="56"/>
      <c r="YZ23" s="56"/>
      <c r="ZA23" s="56"/>
      <c r="ZB23" s="56"/>
      <c r="ZC23" s="56"/>
      <c r="ZD23" s="56"/>
      <c r="ZE23" s="56"/>
      <c r="ZF23" s="56"/>
      <c r="ZG23" s="56"/>
      <c r="ZH23" s="56"/>
      <c r="ZI23" s="56"/>
      <c r="ZJ23" s="56"/>
      <c r="ZK23" s="56"/>
      <c r="ZL23" s="56"/>
      <c r="ZM23" s="56"/>
      <c r="ZN23" s="56"/>
      <c r="ZO23" s="56"/>
      <c r="ZP23" s="56"/>
      <c r="ZQ23" s="56"/>
      <c r="ZR23" s="56"/>
      <c r="ZS23" s="56"/>
      <c r="ZT23" s="56"/>
      <c r="ZU23" s="56"/>
      <c r="ZV23" s="56"/>
      <c r="ZW23" s="56"/>
      <c r="ZX23" s="56"/>
      <c r="ZY23" s="56"/>
      <c r="ZZ23" s="56"/>
      <c r="AAA23" s="56"/>
      <c r="AAB23" s="56"/>
      <c r="AAC23" s="56"/>
      <c r="AAD23" s="56"/>
      <c r="AAE23" s="56"/>
      <c r="AAF23" s="56"/>
      <c r="AAG23" s="56"/>
      <c r="AAH23" s="56"/>
      <c r="AAI23" s="56"/>
      <c r="AAJ23" s="56"/>
      <c r="AAK23" s="56"/>
      <c r="AAL23" s="56"/>
      <c r="AAM23" s="56"/>
      <c r="AAN23" s="56"/>
      <c r="AAO23" s="56"/>
      <c r="AAP23" s="56"/>
      <c r="AAQ23" s="56"/>
      <c r="AAR23" s="56"/>
      <c r="AAS23" s="56"/>
      <c r="AAT23" s="56"/>
      <c r="AAU23" s="56"/>
      <c r="AAV23" s="56"/>
      <c r="AAW23" s="56"/>
      <c r="AAX23" s="56"/>
      <c r="AAY23" s="56"/>
      <c r="AAZ23" s="56"/>
      <c r="ABA23" s="56"/>
      <c r="ABB23" s="56"/>
      <c r="ABC23" s="56"/>
      <c r="ABD23" s="56"/>
      <c r="ABE23" s="56"/>
      <c r="ABF23" s="56"/>
      <c r="ABG23" s="56"/>
      <c r="ABH23" s="56"/>
      <c r="ABI23" s="56"/>
      <c r="ABJ23" s="56"/>
      <c r="ABK23" s="56"/>
      <c r="ABL23" s="56"/>
      <c r="ABM23" s="56"/>
      <c r="ABN23" s="56"/>
      <c r="ABO23" s="56"/>
      <c r="ABP23" s="56"/>
      <c r="ABQ23" s="56"/>
      <c r="ABR23" s="56"/>
      <c r="ABS23" s="56"/>
      <c r="ABT23" s="56"/>
      <c r="ABU23" s="56"/>
      <c r="ABV23" s="56"/>
      <c r="ABW23" s="56"/>
      <c r="ABX23" s="56"/>
      <c r="ABY23" s="56"/>
      <c r="ABZ23" s="56"/>
      <c r="ACA23" s="56"/>
      <c r="ACB23" s="56"/>
      <c r="ACC23" s="56"/>
      <c r="ACD23" s="56"/>
      <c r="ACE23" s="56"/>
      <c r="ACF23" s="56"/>
      <c r="ACG23" s="56"/>
      <c r="ACH23" s="56"/>
      <c r="ACI23" s="56"/>
      <c r="ACJ23" s="56"/>
      <c r="ACK23" s="56"/>
      <c r="ACL23" s="56"/>
      <c r="ACM23" s="56"/>
      <c r="ACN23" s="56"/>
      <c r="ACO23" s="56"/>
      <c r="ACP23" s="56"/>
      <c r="ACQ23" s="56"/>
      <c r="ACR23" s="56"/>
      <c r="ACS23" s="56"/>
      <c r="ACT23" s="56"/>
      <c r="ACU23" s="56"/>
      <c r="ACV23" s="56"/>
      <c r="ACW23" s="56"/>
      <c r="ACX23" s="56"/>
      <c r="ACY23" s="56"/>
      <c r="ACZ23" s="56"/>
      <c r="ADA23" s="56"/>
      <c r="ADB23" s="56"/>
      <c r="ADC23" s="56"/>
      <c r="ADD23" s="56"/>
      <c r="ADE23" s="56"/>
      <c r="ADF23" s="56"/>
      <c r="ADG23" s="56"/>
      <c r="ADH23" s="56"/>
      <c r="ADI23" s="56"/>
      <c r="ADJ23" s="56"/>
      <c r="ADK23" s="56"/>
      <c r="ADL23" s="56"/>
      <c r="ADM23" s="56"/>
      <c r="ADN23" s="56"/>
      <c r="ADO23" s="56"/>
      <c r="ADP23" s="56"/>
      <c r="ADQ23" s="56"/>
      <c r="ADR23" s="56"/>
      <c r="ADS23" s="56"/>
      <c r="ADT23" s="56"/>
      <c r="ADU23" s="56"/>
      <c r="ADV23" s="56"/>
      <c r="ADW23" s="56"/>
      <c r="ADX23" s="56"/>
      <c r="ADY23" s="56"/>
      <c r="ADZ23" s="56"/>
      <c r="AEA23" s="56"/>
      <c r="AEB23" s="56"/>
      <c r="AEC23" s="56"/>
      <c r="AED23" s="56"/>
      <c r="AEE23" s="56"/>
      <c r="AEF23" s="56"/>
      <c r="AEG23" s="56"/>
      <c r="AEH23" s="56"/>
      <c r="AEI23" s="56"/>
      <c r="AEJ23" s="56"/>
      <c r="AEK23" s="56"/>
      <c r="AEL23" s="56"/>
      <c r="AEM23" s="56"/>
      <c r="AEN23" s="56"/>
      <c r="AEO23" s="56"/>
      <c r="AEP23" s="56"/>
      <c r="AEQ23" s="56"/>
      <c r="AER23" s="56"/>
      <c r="AES23" s="56"/>
      <c r="AET23" s="56"/>
      <c r="AEU23" s="56"/>
      <c r="AEV23" s="56"/>
      <c r="AEW23" s="56"/>
      <c r="AEX23" s="56"/>
      <c r="AEY23" s="56"/>
      <c r="AEZ23" s="56"/>
      <c r="AFA23" s="56"/>
      <c r="AFB23" s="56"/>
      <c r="AFC23" s="56"/>
      <c r="AFD23" s="56"/>
      <c r="AFE23" s="56"/>
      <c r="AFF23" s="56"/>
      <c r="AFG23" s="56"/>
      <c r="AFH23" s="56"/>
      <c r="AFI23" s="56"/>
      <c r="AFJ23" s="56"/>
      <c r="AFK23" s="56"/>
      <c r="AFL23" s="56"/>
      <c r="AFM23" s="56"/>
      <c r="AFN23" s="56"/>
      <c r="AFO23" s="56"/>
      <c r="AFP23" s="56"/>
      <c r="AFQ23" s="56"/>
      <c r="AFR23" s="56"/>
      <c r="AFS23" s="56"/>
      <c r="AFT23" s="56"/>
      <c r="AFU23" s="56"/>
      <c r="AFV23" s="56"/>
      <c r="AFW23" s="56"/>
      <c r="AFX23" s="56"/>
      <c r="AFY23" s="56"/>
      <c r="AFZ23" s="56"/>
      <c r="AGA23" s="56"/>
      <c r="AGB23" s="56"/>
      <c r="AGC23" s="56"/>
      <c r="AGD23" s="56"/>
      <c r="AGE23" s="56"/>
      <c r="AGF23" s="56"/>
      <c r="AGG23" s="56"/>
      <c r="AGH23" s="56"/>
      <c r="AGI23" s="56"/>
      <c r="AGJ23" s="56"/>
      <c r="AGK23" s="56"/>
      <c r="AGL23" s="56"/>
      <c r="AGM23" s="56"/>
      <c r="AGN23" s="56"/>
      <c r="AGO23" s="56"/>
      <c r="AGP23" s="56"/>
      <c r="AGQ23" s="56"/>
      <c r="AGR23" s="56"/>
      <c r="AGS23" s="56"/>
      <c r="AGT23" s="56"/>
      <c r="AGU23" s="56"/>
      <c r="AGV23" s="56"/>
      <c r="AGW23" s="56"/>
      <c r="AGX23" s="56"/>
      <c r="AGY23" s="56"/>
      <c r="AGZ23" s="56"/>
      <c r="AHA23" s="56"/>
      <c r="AHB23" s="56"/>
      <c r="AHC23" s="56"/>
      <c r="AHD23" s="56"/>
      <c r="AHE23" s="56"/>
      <c r="AHF23" s="56"/>
      <c r="AHG23" s="56"/>
      <c r="AHH23" s="56"/>
      <c r="AHI23" s="56"/>
      <c r="AHJ23" s="56"/>
      <c r="AHK23" s="56"/>
      <c r="AHL23" s="56"/>
      <c r="AHM23" s="56"/>
      <c r="AHN23" s="56"/>
      <c r="AHO23" s="56"/>
      <c r="AHP23" s="56"/>
      <c r="AHQ23" s="56"/>
      <c r="AHR23" s="56"/>
      <c r="AHS23" s="56"/>
      <c r="AHT23" s="56"/>
      <c r="AHU23" s="56"/>
      <c r="AHV23" s="56"/>
      <c r="AHW23" s="56"/>
      <c r="AHX23" s="56"/>
      <c r="AHY23" s="56"/>
      <c r="AHZ23" s="56"/>
      <c r="AIA23" s="56"/>
      <c r="AIB23" s="56"/>
      <c r="AIC23" s="56"/>
      <c r="AID23" s="56"/>
      <c r="AIE23" s="56"/>
      <c r="AIF23" s="56"/>
      <c r="AIG23" s="56"/>
      <c r="AIH23" s="56"/>
      <c r="AII23" s="56"/>
      <c r="AIJ23" s="56"/>
      <c r="AIK23" s="56"/>
      <c r="AIL23" s="56"/>
      <c r="AIM23" s="56"/>
      <c r="AIN23" s="56"/>
      <c r="AIO23" s="56"/>
      <c r="AIP23" s="56"/>
      <c r="AIQ23" s="56"/>
      <c r="AIR23" s="56"/>
      <c r="AIS23" s="56"/>
      <c r="AIT23" s="56"/>
      <c r="AIU23" s="56"/>
      <c r="AIV23" s="56"/>
      <c r="AIW23" s="56"/>
      <c r="AIX23" s="56"/>
      <c r="AIY23" s="56"/>
      <c r="AIZ23" s="56"/>
      <c r="AJA23" s="56"/>
      <c r="AJB23" s="56"/>
      <c r="AJC23" s="56"/>
      <c r="AJD23" s="56"/>
      <c r="AJE23" s="56"/>
      <c r="AJF23" s="56"/>
      <c r="AJG23" s="56"/>
      <c r="AJH23" s="56"/>
      <c r="AJI23" s="56"/>
      <c r="AJJ23" s="56"/>
      <c r="AJK23" s="56"/>
      <c r="AJL23" s="56"/>
      <c r="AJM23" s="56"/>
      <c r="AJN23" s="56"/>
      <c r="AJO23" s="56"/>
      <c r="AJP23" s="56"/>
      <c r="AJQ23" s="56"/>
      <c r="AJR23" s="56"/>
      <c r="AJS23" s="56"/>
      <c r="AJT23" s="56"/>
      <c r="AJU23" s="56"/>
      <c r="AJV23" s="56"/>
      <c r="AJW23" s="56"/>
      <c r="AJX23" s="56"/>
      <c r="AJY23" s="56"/>
      <c r="AJZ23" s="56"/>
      <c r="AKA23" s="56"/>
      <c r="AKB23" s="56"/>
      <c r="AKC23" s="56"/>
      <c r="AKD23" s="56"/>
      <c r="AKE23" s="56"/>
      <c r="AKF23" s="56"/>
      <c r="AKG23" s="56"/>
      <c r="AKH23" s="56"/>
      <c r="AKI23" s="56"/>
      <c r="AKJ23" s="56"/>
      <c r="AKK23" s="56"/>
      <c r="AKL23" s="56"/>
      <c r="AKM23" s="56"/>
      <c r="AKN23" s="56"/>
      <c r="AKO23" s="56"/>
      <c r="AKP23" s="56"/>
      <c r="AKQ23" s="56"/>
      <c r="AKR23" s="56"/>
      <c r="AKS23" s="56"/>
      <c r="AKT23" s="56"/>
      <c r="AKU23" s="56"/>
      <c r="AKV23" s="56"/>
      <c r="AKW23" s="56"/>
      <c r="AKX23" s="56"/>
      <c r="AKY23" s="56"/>
      <c r="AKZ23" s="56"/>
      <c r="ALA23" s="56"/>
      <c r="ALB23" s="56"/>
      <c r="ALC23" s="56"/>
      <c r="ALD23" s="56"/>
      <c r="ALE23" s="56"/>
      <c r="ALF23" s="56"/>
      <c r="ALG23" s="56"/>
      <c r="ALH23" s="56"/>
      <c r="ALI23" s="56"/>
      <c r="ALJ23" s="56"/>
      <c r="ALK23" s="56"/>
      <c r="ALL23" s="56"/>
      <c r="ALM23" s="56"/>
      <c r="ALN23" s="56"/>
      <c r="ALO23" s="56"/>
      <c r="ALP23" s="56"/>
      <c r="ALQ23" s="56"/>
      <c r="ALR23" s="56"/>
      <c r="ALS23" s="56"/>
      <c r="ALT23" s="56"/>
      <c r="ALU23" s="56"/>
      <c r="ALV23" s="56"/>
      <c r="ALW23" s="56"/>
      <c r="ALX23" s="56"/>
      <c r="ALY23" s="56"/>
      <c r="ALZ23" s="56"/>
      <c r="AMA23" s="56"/>
      <c r="AMB23" s="56"/>
      <c r="AMC23" s="56"/>
      <c r="AMD23" s="56"/>
      <c r="AME23" s="56"/>
      <c r="AMF23" s="56"/>
      <c r="AMG23" s="56"/>
      <c r="AMH23" s="56"/>
      <c r="AMI23" s="56"/>
      <c r="AMJ23" s="56"/>
    </row>
    <row r="24" spans="1:1024" s="57" customFormat="1" ht="20.25" customHeight="1" thickBot="1" x14ac:dyDescent="0.25">
      <c r="A24" s="72">
        <v>13</v>
      </c>
      <c r="B24" s="67" t="s">
        <v>88</v>
      </c>
      <c r="C24" s="107" t="str">
        <f>+'Necesidades Trimestrales'!E22</f>
        <v>BOLIGRAFOS; TRAZO: MEDIO</v>
      </c>
      <c r="D24" s="108"/>
      <c r="E24" s="108"/>
      <c r="F24" s="108"/>
      <c r="G24" s="109"/>
      <c r="H24" s="72" t="s">
        <v>61</v>
      </c>
      <c r="I24" s="73" t="s">
        <v>59</v>
      </c>
      <c r="J24" s="75">
        <v>22.5</v>
      </c>
      <c r="K24" s="67">
        <v>500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6"/>
      <c r="IQ24" s="56"/>
      <c r="IR24" s="56"/>
      <c r="IS24" s="56"/>
      <c r="IT24" s="56"/>
      <c r="IU24" s="56"/>
      <c r="IV24" s="56"/>
      <c r="IW24" s="56"/>
      <c r="IX24" s="56"/>
      <c r="IY24" s="56"/>
      <c r="IZ24" s="56"/>
      <c r="JA24" s="56"/>
      <c r="JB24" s="56"/>
      <c r="JC24" s="56"/>
      <c r="JD24" s="56"/>
      <c r="JE24" s="56"/>
      <c r="JF24" s="56"/>
      <c r="JG24" s="56"/>
      <c r="JH24" s="56"/>
      <c r="JI24" s="56"/>
      <c r="JJ24" s="56"/>
      <c r="JK24" s="56"/>
      <c r="JL24" s="56"/>
      <c r="JM24" s="56"/>
      <c r="JN24" s="56"/>
      <c r="JO24" s="56"/>
      <c r="JP24" s="56"/>
      <c r="JQ24" s="56"/>
      <c r="JR24" s="56"/>
      <c r="JS24" s="56"/>
      <c r="JT24" s="56"/>
      <c r="JU24" s="56"/>
      <c r="JV24" s="56"/>
      <c r="JW24" s="56"/>
      <c r="JX24" s="56"/>
      <c r="JY24" s="56"/>
      <c r="JZ24" s="56"/>
      <c r="KA24" s="56"/>
      <c r="KB24" s="56"/>
      <c r="KC24" s="56"/>
      <c r="KD24" s="56"/>
      <c r="KE24" s="56"/>
      <c r="KF24" s="56"/>
      <c r="KG24" s="56"/>
      <c r="KH24" s="56"/>
      <c r="KI24" s="56"/>
      <c r="KJ24" s="56"/>
      <c r="KK24" s="56"/>
      <c r="KL24" s="56"/>
      <c r="KM24" s="56"/>
      <c r="KN24" s="56"/>
      <c r="KO24" s="56"/>
      <c r="KP24" s="56"/>
      <c r="KQ24" s="56"/>
      <c r="KR24" s="56"/>
      <c r="KS24" s="56"/>
      <c r="KT24" s="56"/>
      <c r="KU24" s="56"/>
      <c r="KV24" s="56"/>
      <c r="KW24" s="56"/>
      <c r="KX24" s="56"/>
      <c r="KY24" s="56"/>
      <c r="KZ24" s="56"/>
      <c r="LA24" s="56"/>
      <c r="LB24" s="56"/>
      <c r="LC24" s="56"/>
      <c r="LD24" s="56"/>
      <c r="LE24" s="56"/>
      <c r="LF24" s="56"/>
      <c r="LG24" s="56"/>
      <c r="LH24" s="56"/>
      <c r="LI24" s="56"/>
      <c r="LJ24" s="56"/>
      <c r="LK24" s="56"/>
      <c r="LL24" s="56"/>
      <c r="LM24" s="56"/>
      <c r="LN24" s="56"/>
      <c r="LO24" s="56"/>
      <c r="LP24" s="56"/>
      <c r="LQ24" s="56"/>
      <c r="LR24" s="56"/>
      <c r="LS24" s="56"/>
      <c r="LT24" s="56"/>
      <c r="LU24" s="56"/>
      <c r="LV24" s="56"/>
      <c r="LW24" s="56"/>
      <c r="LX24" s="56"/>
      <c r="LY24" s="56"/>
      <c r="LZ24" s="56"/>
      <c r="MA24" s="56"/>
      <c r="MB24" s="56"/>
      <c r="MC24" s="56"/>
      <c r="MD24" s="56"/>
      <c r="ME24" s="56"/>
      <c r="MF24" s="56"/>
      <c r="MG24" s="56"/>
      <c r="MH24" s="56"/>
      <c r="MI24" s="56"/>
      <c r="MJ24" s="56"/>
      <c r="MK24" s="56"/>
      <c r="ML24" s="56"/>
      <c r="MM24" s="56"/>
      <c r="MN24" s="56"/>
      <c r="MO24" s="56"/>
      <c r="MP24" s="56"/>
      <c r="MQ24" s="56"/>
      <c r="MR24" s="56"/>
      <c r="MS24" s="56"/>
      <c r="MT24" s="56"/>
      <c r="MU24" s="56"/>
      <c r="MV24" s="56"/>
      <c r="MW24" s="56"/>
      <c r="MX24" s="56"/>
      <c r="MY24" s="56"/>
      <c r="MZ24" s="56"/>
      <c r="NA24" s="56"/>
      <c r="NB24" s="56"/>
      <c r="NC24" s="56"/>
      <c r="ND24" s="56"/>
      <c r="NE24" s="56"/>
      <c r="NF24" s="56"/>
      <c r="NG24" s="56"/>
      <c r="NH24" s="56"/>
      <c r="NI24" s="56"/>
      <c r="NJ24" s="56"/>
      <c r="NK24" s="56"/>
      <c r="NL24" s="56"/>
      <c r="NM24" s="56"/>
      <c r="NN24" s="56"/>
      <c r="NO24" s="56"/>
      <c r="NP24" s="56"/>
      <c r="NQ24" s="56"/>
      <c r="NR24" s="56"/>
      <c r="NS24" s="56"/>
      <c r="NT24" s="56"/>
      <c r="NU24" s="56"/>
      <c r="NV24" s="56"/>
      <c r="NW24" s="56"/>
      <c r="NX24" s="56"/>
      <c r="NY24" s="56"/>
      <c r="NZ24" s="56"/>
      <c r="OA24" s="56"/>
      <c r="OB24" s="56"/>
      <c r="OC24" s="56"/>
      <c r="OD24" s="56"/>
      <c r="OE24" s="56"/>
      <c r="OF24" s="56"/>
      <c r="OG24" s="56"/>
      <c r="OH24" s="56"/>
      <c r="OI24" s="56"/>
      <c r="OJ24" s="56"/>
      <c r="OK24" s="56"/>
      <c r="OL24" s="56"/>
      <c r="OM24" s="56"/>
      <c r="ON24" s="56"/>
      <c r="OO24" s="56"/>
      <c r="OP24" s="56"/>
      <c r="OQ24" s="56"/>
      <c r="OR24" s="56"/>
      <c r="OS24" s="56"/>
      <c r="OT24" s="56"/>
      <c r="OU24" s="56"/>
      <c r="OV24" s="56"/>
      <c r="OW24" s="56"/>
      <c r="OX24" s="56"/>
      <c r="OY24" s="56"/>
      <c r="OZ24" s="56"/>
      <c r="PA24" s="56"/>
      <c r="PB24" s="56"/>
      <c r="PC24" s="56"/>
      <c r="PD24" s="56"/>
      <c r="PE24" s="56"/>
      <c r="PF24" s="56"/>
      <c r="PG24" s="56"/>
      <c r="PH24" s="56"/>
      <c r="PI24" s="56"/>
      <c r="PJ24" s="56"/>
      <c r="PK24" s="56"/>
      <c r="PL24" s="56"/>
      <c r="PM24" s="56"/>
      <c r="PN24" s="56"/>
      <c r="PO24" s="56"/>
      <c r="PP24" s="56"/>
      <c r="PQ24" s="56"/>
      <c r="PR24" s="56"/>
      <c r="PS24" s="56"/>
      <c r="PT24" s="56"/>
      <c r="PU24" s="56"/>
      <c r="PV24" s="56"/>
      <c r="PW24" s="56"/>
      <c r="PX24" s="56"/>
      <c r="PY24" s="56"/>
      <c r="PZ24" s="56"/>
      <c r="QA24" s="56"/>
      <c r="QB24" s="56"/>
      <c r="QC24" s="56"/>
      <c r="QD24" s="56"/>
      <c r="QE24" s="56"/>
      <c r="QF24" s="56"/>
      <c r="QG24" s="56"/>
      <c r="QH24" s="56"/>
      <c r="QI24" s="56"/>
      <c r="QJ24" s="56"/>
      <c r="QK24" s="56"/>
      <c r="QL24" s="56"/>
      <c r="QM24" s="56"/>
      <c r="QN24" s="56"/>
      <c r="QO24" s="56"/>
      <c r="QP24" s="56"/>
      <c r="QQ24" s="56"/>
      <c r="QR24" s="56"/>
      <c r="QS24" s="56"/>
      <c r="QT24" s="56"/>
      <c r="QU24" s="56"/>
      <c r="QV24" s="56"/>
      <c r="QW24" s="56"/>
      <c r="QX24" s="56"/>
      <c r="QY24" s="56"/>
      <c r="QZ24" s="56"/>
      <c r="RA24" s="56"/>
      <c r="RB24" s="56"/>
      <c r="RC24" s="56"/>
      <c r="RD24" s="56"/>
      <c r="RE24" s="56"/>
      <c r="RF24" s="56"/>
      <c r="RG24" s="56"/>
      <c r="RH24" s="56"/>
      <c r="RI24" s="56"/>
      <c r="RJ24" s="56"/>
      <c r="RK24" s="56"/>
      <c r="RL24" s="56"/>
      <c r="RM24" s="56"/>
      <c r="RN24" s="56"/>
      <c r="RO24" s="56"/>
      <c r="RP24" s="56"/>
      <c r="RQ24" s="56"/>
      <c r="RR24" s="56"/>
      <c r="RS24" s="56"/>
      <c r="RT24" s="56"/>
      <c r="RU24" s="56"/>
      <c r="RV24" s="56"/>
      <c r="RW24" s="56"/>
      <c r="RX24" s="56"/>
      <c r="RY24" s="56"/>
      <c r="RZ24" s="56"/>
      <c r="SA24" s="56"/>
      <c r="SB24" s="56"/>
      <c r="SC24" s="56"/>
      <c r="SD24" s="56"/>
      <c r="SE24" s="56"/>
      <c r="SF24" s="56"/>
      <c r="SG24" s="56"/>
      <c r="SH24" s="56"/>
      <c r="SI24" s="56"/>
      <c r="SJ24" s="56"/>
      <c r="SK24" s="56"/>
      <c r="SL24" s="56"/>
      <c r="SM24" s="56"/>
      <c r="SN24" s="56"/>
      <c r="SO24" s="56"/>
      <c r="SP24" s="56"/>
      <c r="SQ24" s="56"/>
      <c r="SR24" s="56"/>
      <c r="SS24" s="56"/>
      <c r="ST24" s="56"/>
      <c r="SU24" s="56"/>
      <c r="SV24" s="56"/>
      <c r="SW24" s="56"/>
      <c r="SX24" s="56"/>
      <c r="SY24" s="56"/>
      <c r="SZ24" s="56"/>
      <c r="TA24" s="56"/>
      <c r="TB24" s="56"/>
      <c r="TC24" s="56"/>
      <c r="TD24" s="56"/>
      <c r="TE24" s="56"/>
      <c r="TF24" s="56"/>
      <c r="TG24" s="56"/>
      <c r="TH24" s="56"/>
      <c r="TI24" s="56"/>
      <c r="TJ24" s="56"/>
      <c r="TK24" s="56"/>
      <c r="TL24" s="56"/>
      <c r="TM24" s="56"/>
      <c r="TN24" s="56"/>
      <c r="TO24" s="56"/>
      <c r="TP24" s="56"/>
      <c r="TQ24" s="56"/>
      <c r="TR24" s="56"/>
      <c r="TS24" s="56"/>
      <c r="TT24" s="56"/>
      <c r="TU24" s="56"/>
      <c r="TV24" s="56"/>
      <c r="TW24" s="56"/>
      <c r="TX24" s="56"/>
      <c r="TY24" s="56"/>
      <c r="TZ24" s="56"/>
      <c r="UA24" s="56"/>
      <c r="UB24" s="56"/>
      <c r="UC24" s="56"/>
      <c r="UD24" s="56"/>
      <c r="UE24" s="56"/>
      <c r="UF24" s="56"/>
      <c r="UG24" s="56"/>
      <c r="UH24" s="56"/>
      <c r="UI24" s="56"/>
      <c r="UJ24" s="56"/>
      <c r="UK24" s="56"/>
      <c r="UL24" s="56"/>
      <c r="UM24" s="56"/>
      <c r="UN24" s="56"/>
      <c r="UO24" s="56"/>
      <c r="UP24" s="56"/>
      <c r="UQ24" s="56"/>
      <c r="UR24" s="56"/>
      <c r="US24" s="56"/>
      <c r="UT24" s="56"/>
      <c r="UU24" s="56"/>
      <c r="UV24" s="56"/>
      <c r="UW24" s="56"/>
      <c r="UX24" s="56"/>
      <c r="UY24" s="56"/>
      <c r="UZ24" s="56"/>
      <c r="VA24" s="56"/>
      <c r="VB24" s="56"/>
      <c r="VC24" s="56"/>
      <c r="VD24" s="56"/>
      <c r="VE24" s="56"/>
      <c r="VF24" s="56"/>
      <c r="VG24" s="56"/>
      <c r="VH24" s="56"/>
      <c r="VI24" s="56"/>
      <c r="VJ24" s="56"/>
      <c r="VK24" s="56"/>
      <c r="VL24" s="56"/>
      <c r="VM24" s="56"/>
      <c r="VN24" s="56"/>
      <c r="VO24" s="56"/>
      <c r="VP24" s="56"/>
      <c r="VQ24" s="56"/>
      <c r="VR24" s="56"/>
      <c r="VS24" s="56"/>
      <c r="VT24" s="56"/>
      <c r="VU24" s="56"/>
      <c r="VV24" s="56"/>
      <c r="VW24" s="56"/>
      <c r="VX24" s="56"/>
      <c r="VY24" s="56"/>
      <c r="VZ24" s="56"/>
      <c r="WA24" s="56"/>
      <c r="WB24" s="56"/>
      <c r="WC24" s="56"/>
      <c r="WD24" s="56"/>
      <c r="WE24" s="56"/>
      <c r="WF24" s="56"/>
      <c r="WG24" s="56"/>
      <c r="WH24" s="56"/>
      <c r="WI24" s="56"/>
      <c r="WJ24" s="56"/>
      <c r="WK24" s="56"/>
      <c r="WL24" s="56"/>
      <c r="WM24" s="56"/>
      <c r="WN24" s="56"/>
      <c r="WO24" s="56"/>
      <c r="WP24" s="56"/>
      <c r="WQ24" s="56"/>
      <c r="WR24" s="56"/>
      <c r="WS24" s="56"/>
      <c r="WT24" s="56"/>
      <c r="WU24" s="56"/>
      <c r="WV24" s="56"/>
      <c r="WW24" s="56"/>
      <c r="WX24" s="56"/>
      <c r="WY24" s="56"/>
      <c r="WZ24" s="56"/>
      <c r="XA24" s="56"/>
      <c r="XB24" s="56"/>
      <c r="XC24" s="56"/>
      <c r="XD24" s="56"/>
      <c r="XE24" s="56"/>
      <c r="XF24" s="56"/>
      <c r="XG24" s="56"/>
      <c r="XH24" s="56"/>
      <c r="XI24" s="56"/>
      <c r="XJ24" s="56"/>
      <c r="XK24" s="56"/>
      <c r="XL24" s="56"/>
      <c r="XM24" s="56"/>
      <c r="XN24" s="56"/>
      <c r="XO24" s="56"/>
      <c r="XP24" s="56"/>
      <c r="XQ24" s="56"/>
      <c r="XR24" s="56"/>
      <c r="XS24" s="56"/>
      <c r="XT24" s="56"/>
      <c r="XU24" s="56"/>
      <c r="XV24" s="56"/>
      <c r="XW24" s="56"/>
      <c r="XX24" s="56"/>
      <c r="XY24" s="56"/>
      <c r="XZ24" s="56"/>
      <c r="YA24" s="56"/>
      <c r="YB24" s="56"/>
      <c r="YC24" s="56"/>
      <c r="YD24" s="56"/>
      <c r="YE24" s="56"/>
      <c r="YF24" s="56"/>
      <c r="YG24" s="56"/>
      <c r="YH24" s="56"/>
      <c r="YI24" s="56"/>
      <c r="YJ24" s="56"/>
      <c r="YK24" s="56"/>
      <c r="YL24" s="56"/>
      <c r="YM24" s="56"/>
      <c r="YN24" s="56"/>
      <c r="YO24" s="56"/>
      <c r="YP24" s="56"/>
      <c r="YQ24" s="56"/>
      <c r="YR24" s="56"/>
      <c r="YS24" s="56"/>
      <c r="YT24" s="56"/>
      <c r="YU24" s="56"/>
      <c r="YV24" s="56"/>
      <c r="YW24" s="56"/>
      <c r="YX24" s="56"/>
      <c r="YY24" s="56"/>
      <c r="YZ24" s="56"/>
      <c r="ZA24" s="56"/>
      <c r="ZB24" s="56"/>
      <c r="ZC24" s="56"/>
      <c r="ZD24" s="56"/>
      <c r="ZE24" s="56"/>
      <c r="ZF24" s="56"/>
      <c r="ZG24" s="56"/>
      <c r="ZH24" s="56"/>
      <c r="ZI24" s="56"/>
      <c r="ZJ24" s="56"/>
      <c r="ZK24" s="56"/>
      <c r="ZL24" s="56"/>
      <c r="ZM24" s="56"/>
      <c r="ZN24" s="56"/>
      <c r="ZO24" s="56"/>
      <c r="ZP24" s="56"/>
      <c r="ZQ24" s="56"/>
      <c r="ZR24" s="56"/>
      <c r="ZS24" s="56"/>
      <c r="ZT24" s="56"/>
      <c r="ZU24" s="56"/>
      <c r="ZV24" s="56"/>
      <c r="ZW24" s="56"/>
      <c r="ZX24" s="56"/>
      <c r="ZY24" s="56"/>
      <c r="ZZ24" s="56"/>
      <c r="AAA24" s="56"/>
      <c r="AAB24" s="56"/>
      <c r="AAC24" s="56"/>
      <c r="AAD24" s="56"/>
      <c r="AAE24" s="56"/>
      <c r="AAF24" s="56"/>
      <c r="AAG24" s="56"/>
      <c r="AAH24" s="56"/>
      <c r="AAI24" s="56"/>
      <c r="AAJ24" s="56"/>
      <c r="AAK24" s="56"/>
      <c r="AAL24" s="56"/>
      <c r="AAM24" s="56"/>
      <c r="AAN24" s="56"/>
      <c r="AAO24" s="56"/>
      <c r="AAP24" s="56"/>
      <c r="AAQ24" s="56"/>
      <c r="AAR24" s="56"/>
      <c r="AAS24" s="56"/>
      <c r="AAT24" s="56"/>
      <c r="AAU24" s="56"/>
      <c r="AAV24" s="56"/>
      <c r="AAW24" s="56"/>
      <c r="AAX24" s="56"/>
      <c r="AAY24" s="56"/>
      <c r="AAZ24" s="56"/>
      <c r="ABA24" s="56"/>
      <c r="ABB24" s="56"/>
      <c r="ABC24" s="56"/>
      <c r="ABD24" s="56"/>
      <c r="ABE24" s="56"/>
      <c r="ABF24" s="56"/>
      <c r="ABG24" s="56"/>
      <c r="ABH24" s="56"/>
      <c r="ABI24" s="56"/>
      <c r="ABJ24" s="56"/>
      <c r="ABK24" s="56"/>
      <c r="ABL24" s="56"/>
      <c r="ABM24" s="56"/>
      <c r="ABN24" s="56"/>
      <c r="ABO24" s="56"/>
      <c r="ABP24" s="56"/>
      <c r="ABQ24" s="56"/>
      <c r="ABR24" s="56"/>
      <c r="ABS24" s="56"/>
      <c r="ABT24" s="56"/>
      <c r="ABU24" s="56"/>
      <c r="ABV24" s="56"/>
      <c r="ABW24" s="56"/>
      <c r="ABX24" s="56"/>
      <c r="ABY24" s="56"/>
      <c r="ABZ24" s="56"/>
      <c r="ACA24" s="56"/>
      <c r="ACB24" s="56"/>
      <c r="ACC24" s="56"/>
      <c r="ACD24" s="56"/>
      <c r="ACE24" s="56"/>
      <c r="ACF24" s="56"/>
      <c r="ACG24" s="56"/>
      <c r="ACH24" s="56"/>
      <c r="ACI24" s="56"/>
      <c r="ACJ24" s="56"/>
      <c r="ACK24" s="56"/>
      <c r="ACL24" s="56"/>
      <c r="ACM24" s="56"/>
      <c r="ACN24" s="56"/>
      <c r="ACO24" s="56"/>
      <c r="ACP24" s="56"/>
      <c r="ACQ24" s="56"/>
      <c r="ACR24" s="56"/>
      <c r="ACS24" s="56"/>
      <c r="ACT24" s="56"/>
      <c r="ACU24" s="56"/>
      <c r="ACV24" s="56"/>
      <c r="ACW24" s="56"/>
      <c r="ACX24" s="56"/>
      <c r="ACY24" s="56"/>
      <c r="ACZ24" s="56"/>
      <c r="ADA24" s="56"/>
      <c r="ADB24" s="56"/>
      <c r="ADC24" s="56"/>
      <c r="ADD24" s="56"/>
      <c r="ADE24" s="56"/>
      <c r="ADF24" s="56"/>
      <c r="ADG24" s="56"/>
      <c r="ADH24" s="56"/>
      <c r="ADI24" s="56"/>
      <c r="ADJ24" s="56"/>
      <c r="ADK24" s="56"/>
      <c r="ADL24" s="56"/>
      <c r="ADM24" s="56"/>
      <c r="ADN24" s="56"/>
      <c r="ADO24" s="56"/>
      <c r="ADP24" s="56"/>
      <c r="ADQ24" s="56"/>
      <c r="ADR24" s="56"/>
      <c r="ADS24" s="56"/>
      <c r="ADT24" s="56"/>
      <c r="ADU24" s="56"/>
      <c r="ADV24" s="56"/>
      <c r="ADW24" s="56"/>
      <c r="ADX24" s="56"/>
      <c r="ADY24" s="56"/>
      <c r="ADZ24" s="56"/>
      <c r="AEA24" s="56"/>
      <c r="AEB24" s="56"/>
      <c r="AEC24" s="56"/>
      <c r="AED24" s="56"/>
      <c r="AEE24" s="56"/>
      <c r="AEF24" s="56"/>
      <c r="AEG24" s="56"/>
      <c r="AEH24" s="56"/>
      <c r="AEI24" s="56"/>
      <c r="AEJ24" s="56"/>
      <c r="AEK24" s="56"/>
      <c r="AEL24" s="56"/>
      <c r="AEM24" s="56"/>
      <c r="AEN24" s="56"/>
      <c r="AEO24" s="56"/>
      <c r="AEP24" s="56"/>
      <c r="AEQ24" s="56"/>
      <c r="AER24" s="56"/>
      <c r="AES24" s="56"/>
      <c r="AET24" s="56"/>
      <c r="AEU24" s="56"/>
      <c r="AEV24" s="56"/>
      <c r="AEW24" s="56"/>
      <c r="AEX24" s="56"/>
      <c r="AEY24" s="56"/>
      <c r="AEZ24" s="56"/>
      <c r="AFA24" s="56"/>
      <c r="AFB24" s="56"/>
      <c r="AFC24" s="56"/>
      <c r="AFD24" s="56"/>
      <c r="AFE24" s="56"/>
      <c r="AFF24" s="56"/>
      <c r="AFG24" s="56"/>
      <c r="AFH24" s="56"/>
      <c r="AFI24" s="56"/>
      <c r="AFJ24" s="56"/>
      <c r="AFK24" s="56"/>
      <c r="AFL24" s="56"/>
      <c r="AFM24" s="56"/>
      <c r="AFN24" s="56"/>
      <c r="AFO24" s="56"/>
      <c r="AFP24" s="56"/>
      <c r="AFQ24" s="56"/>
      <c r="AFR24" s="56"/>
      <c r="AFS24" s="56"/>
      <c r="AFT24" s="56"/>
      <c r="AFU24" s="56"/>
      <c r="AFV24" s="56"/>
      <c r="AFW24" s="56"/>
      <c r="AFX24" s="56"/>
      <c r="AFY24" s="56"/>
      <c r="AFZ24" s="56"/>
      <c r="AGA24" s="56"/>
      <c r="AGB24" s="56"/>
      <c r="AGC24" s="56"/>
      <c r="AGD24" s="56"/>
      <c r="AGE24" s="56"/>
      <c r="AGF24" s="56"/>
      <c r="AGG24" s="56"/>
      <c r="AGH24" s="56"/>
      <c r="AGI24" s="56"/>
      <c r="AGJ24" s="56"/>
      <c r="AGK24" s="56"/>
      <c r="AGL24" s="56"/>
      <c r="AGM24" s="56"/>
      <c r="AGN24" s="56"/>
      <c r="AGO24" s="56"/>
      <c r="AGP24" s="56"/>
      <c r="AGQ24" s="56"/>
      <c r="AGR24" s="56"/>
      <c r="AGS24" s="56"/>
      <c r="AGT24" s="56"/>
      <c r="AGU24" s="56"/>
      <c r="AGV24" s="56"/>
      <c r="AGW24" s="56"/>
      <c r="AGX24" s="56"/>
      <c r="AGY24" s="56"/>
      <c r="AGZ24" s="56"/>
      <c r="AHA24" s="56"/>
      <c r="AHB24" s="56"/>
      <c r="AHC24" s="56"/>
      <c r="AHD24" s="56"/>
      <c r="AHE24" s="56"/>
      <c r="AHF24" s="56"/>
      <c r="AHG24" s="56"/>
      <c r="AHH24" s="56"/>
      <c r="AHI24" s="56"/>
      <c r="AHJ24" s="56"/>
      <c r="AHK24" s="56"/>
      <c r="AHL24" s="56"/>
      <c r="AHM24" s="56"/>
      <c r="AHN24" s="56"/>
      <c r="AHO24" s="56"/>
      <c r="AHP24" s="56"/>
      <c r="AHQ24" s="56"/>
      <c r="AHR24" s="56"/>
      <c r="AHS24" s="56"/>
      <c r="AHT24" s="56"/>
      <c r="AHU24" s="56"/>
      <c r="AHV24" s="56"/>
      <c r="AHW24" s="56"/>
      <c r="AHX24" s="56"/>
      <c r="AHY24" s="56"/>
      <c r="AHZ24" s="56"/>
      <c r="AIA24" s="56"/>
      <c r="AIB24" s="56"/>
      <c r="AIC24" s="56"/>
      <c r="AID24" s="56"/>
      <c r="AIE24" s="56"/>
      <c r="AIF24" s="56"/>
      <c r="AIG24" s="56"/>
      <c r="AIH24" s="56"/>
      <c r="AII24" s="56"/>
      <c r="AIJ24" s="56"/>
      <c r="AIK24" s="56"/>
      <c r="AIL24" s="56"/>
      <c r="AIM24" s="56"/>
      <c r="AIN24" s="56"/>
      <c r="AIO24" s="56"/>
      <c r="AIP24" s="56"/>
      <c r="AIQ24" s="56"/>
      <c r="AIR24" s="56"/>
      <c r="AIS24" s="56"/>
      <c r="AIT24" s="56"/>
      <c r="AIU24" s="56"/>
      <c r="AIV24" s="56"/>
      <c r="AIW24" s="56"/>
      <c r="AIX24" s="56"/>
      <c r="AIY24" s="56"/>
      <c r="AIZ24" s="56"/>
      <c r="AJA24" s="56"/>
      <c r="AJB24" s="56"/>
      <c r="AJC24" s="56"/>
      <c r="AJD24" s="56"/>
      <c r="AJE24" s="56"/>
      <c r="AJF24" s="56"/>
      <c r="AJG24" s="56"/>
      <c r="AJH24" s="56"/>
      <c r="AJI24" s="56"/>
      <c r="AJJ24" s="56"/>
      <c r="AJK24" s="56"/>
      <c r="AJL24" s="56"/>
      <c r="AJM24" s="56"/>
      <c r="AJN24" s="56"/>
      <c r="AJO24" s="56"/>
      <c r="AJP24" s="56"/>
      <c r="AJQ24" s="56"/>
      <c r="AJR24" s="56"/>
      <c r="AJS24" s="56"/>
      <c r="AJT24" s="56"/>
      <c r="AJU24" s="56"/>
      <c r="AJV24" s="56"/>
      <c r="AJW24" s="56"/>
      <c r="AJX24" s="56"/>
      <c r="AJY24" s="56"/>
      <c r="AJZ24" s="56"/>
      <c r="AKA24" s="56"/>
      <c r="AKB24" s="56"/>
      <c r="AKC24" s="56"/>
      <c r="AKD24" s="56"/>
      <c r="AKE24" s="56"/>
      <c r="AKF24" s="56"/>
      <c r="AKG24" s="56"/>
      <c r="AKH24" s="56"/>
      <c r="AKI24" s="56"/>
      <c r="AKJ24" s="56"/>
      <c r="AKK24" s="56"/>
      <c r="AKL24" s="56"/>
      <c r="AKM24" s="56"/>
      <c r="AKN24" s="56"/>
      <c r="AKO24" s="56"/>
      <c r="AKP24" s="56"/>
      <c r="AKQ24" s="56"/>
      <c r="AKR24" s="56"/>
      <c r="AKS24" s="56"/>
      <c r="AKT24" s="56"/>
      <c r="AKU24" s="56"/>
      <c r="AKV24" s="56"/>
      <c r="AKW24" s="56"/>
      <c r="AKX24" s="56"/>
      <c r="AKY24" s="56"/>
      <c r="AKZ24" s="56"/>
      <c r="ALA24" s="56"/>
      <c r="ALB24" s="56"/>
      <c r="ALC24" s="56"/>
      <c r="ALD24" s="56"/>
      <c r="ALE24" s="56"/>
      <c r="ALF24" s="56"/>
      <c r="ALG24" s="56"/>
      <c r="ALH24" s="56"/>
      <c r="ALI24" s="56"/>
      <c r="ALJ24" s="56"/>
      <c r="ALK24" s="56"/>
      <c r="ALL24" s="56"/>
      <c r="ALM24" s="56"/>
      <c r="ALN24" s="56"/>
      <c r="ALO24" s="56"/>
      <c r="ALP24" s="56"/>
      <c r="ALQ24" s="56"/>
      <c r="ALR24" s="56"/>
      <c r="ALS24" s="56"/>
      <c r="ALT24" s="56"/>
      <c r="ALU24" s="56"/>
      <c r="ALV24" s="56"/>
      <c r="ALW24" s="56"/>
      <c r="ALX24" s="56"/>
      <c r="ALY24" s="56"/>
      <c r="ALZ24" s="56"/>
      <c r="AMA24" s="56"/>
      <c r="AMB24" s="56"/>
      <c r="AMC24" s="56"/>
      <c r="AMD24" s="56"/>
      <c r="AME24" s="56"/>
      <c r="AMF24" s="56"/>
      <c r="AMG24" s="56"/>
      <c r="AMH24" s="56"/>
      <c r="AMI24" s="56"/>
      <c r="AMJ24" s="56"/>
    </row>
    <row r="25" spans="1:1024" s="57" customFormat="1" ht="20.25" customHeight="1" thickBot="1" x14ac:dyDescent="0.25">
      <c r="A25" s="74">
        <v>14</v>
      </c>
      <c r="B25" s="67" t="s">
        <v>88</v>
      </c>
      <c r="C25" s="107" t="str">
        <f>+'Necesidades Trimestrales'!E23</f>
        <v>BOLIGRAFOS; TRAZO: MEDIO</v>
      </c>
      <c r="D25" s="108"/>
      <c r="E25" s="108"/>
      <c r="F25" s="108"/>
      <c r="G25" s="109"/>
      <c r="H25" s="72" t="s">
        <v>61</v>
      </c>
      <c r="I25" s="73" t="s">
        <v>59</v>
      </c>
      <c r="J25" s="75">
        <v>22.5</v>
      </c>
      <c r="K25" s="67">
        <v>500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  <c r="FK25" s="56"/>
      <c r="FL25" s="56"/>
      <c r="FM25" s="56"/>
      <c r="FN25" s="56"/>
      <c r="FO25" s="56"/>
      <c r="FP25" s="56"/>
      <c r="FQ25" s="56"/>
      <c r="FR25" s="56"/>
      <c r="FS25" s="56"/>
      <c r="FT25" s="56"/>
      <c r="FU25" s="56"/>
      <c r="FV25" s="56"/>
      <c r="FW25" s="56"/>
      <c r="FX25" s="56"/>
      <c r="FY25" s="56"/>
      <c r="FZ25" s="56"/>
      <c r="GA25" s="56"/>
      <c r="GB25" s="56"/>
      <c r="GC25" s="56"/>
      <c r="GD25" s="56"/>
      <c r="GE25" s="56"/>
      <c r="GF25" s="56"/>
      <c r="GG25" s="56"/>
      <c r="GH25" s="56"/>
      <c r="GI25" s="56"/>
      <c r="GJ25" s="56"/>
      <c r="GK25" s="56"/>
      <c r="GL25" s="56"/>
      <c r="GM25" s="56"/>
      <c r="GN25" s="56"/>
      <c r="GO25" s="56"/>
      <c r="GP25" s="56"/>
      <c r="GQ25" s="56"/>
      <c r="GR25" s="56"/>
      <c r="GS25" s="56"/>
      <c r="GT25" s="56"/>
      <c r="GU25" s="56"/>
      <c r="GV25" s="56"/>
      <c r="GW25" s="56"/>
      <c r="GX25" s="56"/>
      <c r="GY25" s="56"/>
      <c r="GZ25" s="56"/>
      <c r="HA25" s="56"/>
      <c r="HB25" s="56"/>
      <c r="HC25" s="56"/>
      <c r="HD25" s="56"/>
      <c r="HE25" s="56"/>
      <c r="HF25" s="56"/>
      <c r="HG25" s="56"/>
      <c r="HH25" s="56"/>
      <c r="HI25" s="56"/>
      <c r="HJ25" s="56"/>
      <c r="HK25" s="56"/>
      <c r="HL25" s="56"/>
      <c r="HM25" s="56"/>
      <c r="HN25" s="56"/>
      <c r="HO25" s="56"/>
      <c r="HP25" s="56"/>
      <c r="HQ25" s="56"/>
      <c r="HR25" s="56"/>
      <c r="HS25" s="56"/>
      <c r="HT25" s="56"/>
      <c r="HU25" s="56"/>
      <c r="HV25" s="56"/>
      <c r="HW25" s="56"/>
      <c r="HX25" s="56"/>
      <c r="HY25" s="56"/>
      <c r="HZ25" s="56"/>
      <c r="IA25" s="56"/>
      <c r="IB25" s="56"/>
      <c r="IC25" s="56"/>
      <c r="ID25" s="56"/>
      <c r="IE25" s="56"/>
      <c r="IF25" s="56"/>
      <c r="IG25" s="56"/>
      <c r="IH25" s="56"/>
      <c r="II25" s="56"/>
      <c r="IJ25" s="56"/>
      <c r="IK25" s="56"/>
      <c r="IL25" s="56"/>
      <c r="IM25" s="56"/>
      <c r="IN25" s="56"/>
      <c r="IO25" s="56"/>
      <c r="IP25" s="56"/>
      <c r="IQ25" s="56"/>
      <c r="IR25" s="56"/>
      <c r="IS25" s="56"/>
      <c r="IT25" s="56"/>
      <c r="IU25" s="56"/>
      <c r="IV25" s="56"/>
      <c r="IW25" s="56"/>
      <c r="IX25" s="56"/>
      <c r="IY25" s="56"/>
      <c r="IZ25" s="56"/>
      <c r="JA25" s="56"/>
      <c r="JB25" s="56"/>
      <c r="JC25" s="56"/>
      <c r="JD25" s="56"/>
      <c r="JE25" s="56"/>
      <c r="JF25" s="56"/>
      <c r="JG25" s="56"/>
      <c r="JH25" s="56"/>
      <c r="JI25" s="56"/>
      <c r="JJ25" s="56"/>
      <c r="JK25" s="56"/>
      <c r="JL25" s="56"/>
      <c r="JM25" s="56"/>
      <c r="JN25" s="56"/>
      <c r="JO25" s="56"/>
      <c r="JP25" s="56"/>
      <c r="JQ25" s="56"/>
      <c r="JR25" s="56"/>
      <c r="JS25" s="56"/>
      <c r="JT25" s="56"/>
      <c r="JU25" s="56"/>
      <c r="JV25" s="56"/>
      <c r="JW25" s="56"/>
      <c r="JX25" s="56"/>
      <c r="JY25" s="56"/>
      <c r="JZ25" s="56"/>
      <c r="KA25" s="56"/>
      <c r="KB25" s="56"/>
      <c r="KC25" s="56"/>
      <c r="KD25" s="56"/>
      <c r="KE25" s="56"/>
      <c r="KF25" s="56"/>
      <c r="KG25" s="56"/>
      <c r="KH25" s="56"/>
      <c r="KI25" s="56"/>
      <c r="KJ25" s="56"/>
      <c r="KK25" s="56"/>
      <c r="KL25" s="56"/>
      <c r="KM25" s="56"/>
      <c r="KN25" s="56"/>
      <c r="KO25" s="56"/>
      <c r="KP25" s="56"/>
      <c r="KQ25" s="56"/>
      <c r="KR25" s="56"/>
      <c r="KS25" s="56"/>
      <c r="KT25" s="56"/>
      <c r="KU25" s="56"/>
      <c r="KV25" s="56"/>
      <c r="KW25" s="56"/>
      <c r="KX25" s="56"/>
      <c r="KY25" s="56"/>
      <c r="KZ25" s="56"/>
      <c r="LA25" s="56"/>
      <c r="LB25" s="56"/>
      <c r="LC25" s="56"/>
      <c r="LD25" s="56"/>
      <c r="LE25" s="56"/>
      <c r="LF25" s="56"/>
      <c r="LG25" s="56"/>
      <c r="LH25" s="56"/>
      <c r="LI25" s="56"/>
      <c r="LJ25" s="56"/>
      <c r="LK25" s="56"/>
      <c r="LL25" s="56"/>
      <c r="LM25" s="56"/>
      <c r="LN25" s="56"/>
      <c r="LO25" s="56"/>
      <c r="LP25" s="56"/>
      <c r="LQ25" s="56"/>
      <c r="LR25" s="56"/>
      <c r="LS25" s="56"/>
      <c r="LT25" s="56"/>
      <c r="LU25" s="56"/>
      <c r="LV25" s="56"/>
      <c r="LW25" s="56"/>
      <c r="LX25" s="56"/>
      <c r="LY25" s="56"/>
      <c r="LZ25" s="56"/>
      <c r="MA25" s="56"/>
      <c r="MB25" s="56"/>
      <c r="MC25" s="56"/>
      <c r="MD25" s="56"/>
      <c r="ME25" s="56"/>
      <c r="MF25" s="56"/>
      <c r="MG25" s="56"/>
      <c r="MH25" s="56"/>
      <c r="MI25" s="56"/>
      <c r="MJ25" s="56"/>
      <c r="MK25" s="56"/>
      <c r="ML25" s="56"/>
      <c r="MM25" s="56"/>
      <c r="MN25" s="56"/>
      <c r="MO25" s="56"/>
      <c r="MP25" s="56"/>
      <c r="MQ25" s="56"/>
      <c r="MR25" s="56"/>
      <c r="MS25" s="56"/>
      <c r="MT25" s="56"/>
      <c r="MU25" s="56"/>
      <c r="MV25" s="56"/>
      <c r="MW25" s="56"/>
      <c r="MX25" s="56"/>
      <c r="MY25" s="56"/>
      <c r="MZ25" s="56"/>
      <c r="NA25" s="56"/>
      <c r="NB25" s="56"/>
      <c r="NC25" s="56"/>
      <c r="ND25" s="56"/>
      <c r="NE25" s="56"/>
      <c r="NF25" s="56"/>
      <c r="NG25" s="56"/>
      <c r="NH25" s="56"/>
      <c r="NI25" s="56"/>
      <c r="NJ25" s="56"/>
      <c r="NK25" s="56"/>
      <c r="NL25" s="56"/>
      <c r="NM25" s="56"/>
      <c r="NN25" s="56"/>
      <c r="NO25" s="56"/>
      <c r="NP25" s="56"/>
      <c r="NQ25" s="56"/>
      <c r="NR25" s="56"/>
      <c r="NS25" s="56"/>
      <c r="NT25" s="56"/>
      <c r="NU25" s="56"/>
      <c r="NV25" s="56"/>
      <c r="NW25" s="56"/>
      <c r="NX25" s="56"/>
      <c r="NY25" s="56"/>
      <c r="NZ25" s="56"/>
      <c r="OA25" s="56"/>
      <c r="OB25" s="56"/>
      <c r="OC25" s="56"/>
      <c r="OD25" s="56"/>
      <c r="OE25" s="56"/>
      <c r="OF25" s="56"/>
      <c r="OG25" s="56"/>
      <c r="OH25" s="56"/>
      <c r="OI25" s="56"/>
      <c r="OJ25" s="56"/>
      <c r="OK25" s="56"/>
      <c r="OL25" s="56"/>
      <c r="OM25" s="56"/>
      <c r="ON25" s="56"/>
      <c r="OO25" s="56"/>
      <c r="OP25" s="56"/>
      <c r="OQ25" s="56"/>
      <c r="OR25" s="56"/>
      <c r="OS25" s="56"/>
      <c r="OT25" s="56"/>
      <c r="OU25" s="56"/>
      <c r="OV25" s="56"/>
      <c r="OW25" s="56"/>
      <c r="OX25" s="56"/>
      <c r="OY25" s="56"/>
      <c r="OZ25" s="56"/>
      <c r="PA25" s="56"/>
      <c r="PB25" s="56"/>
      <c r="PC25" s="56"/>
      <c r="PD25" s="56"/>
      <c r="PE25" s="56"/>
      <c r="PF25" s="56"/>
      <c r="PG25" s="56"/>
      <c r="PH25" s="56"/>
      <c r="PI25" s="56"/>
      <c r="PJ25" s="56"/>
      <c r="PK25" s="56"/>
      <c r="PL25" s="56"/>
      <c r="PM25" s="56"/>
      <c r="PN25" s="56"/>
      <c r="PO25" s="56"/>
      <c r="PP25" s="56"/>
      <c r="PQ25" s="56"/>
      <c r="PR25" s="56"/>
      <c r="PS25" s="56"/>
      <c r="PT25" s="56"/>
      <c r="PU25" s="56"/>
      <c r="PV25" s="56"/>
      <c r="PW25" s="56"/>
      <c r="PX25" s="56"/>
      <c r="PY25" s="56"/>
      <c r="PZ25" s="56"/>
      <c r="QA25" s="56"/>
      <c r="QB25" s="56"/>
      <c r="QC25" s="56"/>
      <c r="QD25" s="56"/>
      <c r="QE25" s="56"/>
      <c r="QF25" s="56"/>
      <c r="QG25" s="56"/>
      <c r="QH25" s="56"/>
      <c r="QI25" s="56"/>
      <c r="QJ25" s="56"/>
      <c r="QK25" s="56"/>
      <c r="QL25" s="56"/>
      <c r="QM25" s="56"/>
      <c r="QN25" s="56"/>
      <c r="QO25" s="56"/>
      <c r="QP25" s="56"/>
      <c r="QQ25" s="56"/>
      <c r="QR25" s="56"/>
      <c r="QS25" s="56"/>
      <c r="QT25" s="56"/>
      <c r="QU25" s="56"/>
      <c r="QV25" s="56"/>
      <c r="QW25" s="56"/>
      <c r="QX25" s="56"/>
      <c r="QY25" s="56"/>
      <c r="QZ25" s="56"/>
      <c r="RA25" s="56"/>
      <c r="RB25" s="56"/>
      <c r="RC25" s="56"/>
      <c r="RD25" s="56"/>
      <c r="RE25" s="56"/>
      <c r="RF25" s="56"/>
      <c r="RG25" s="56"/>
      <c r="RH25" s="56"/>
      <c r="RI25" s="56"/>
      <c r="RJ25" s="56"/>
      <c r="RK25" s="56"/>
      <c r="RL25" s="56"/>
      <c r="RM25" s="56"/>
      <c r="RN25" s="56"/>
      <c r="RO25" s="56"/>
      <c r="RP25" s="56"/>
      <c r="RQ25" s="56"/>
      <c r="RR25" s="56"/>
      <c r="RS25" s="56"/>
      <c r="RT25" s="56"/>
      <c r="RU25" s="56"/>
      <c r="RV25" s="56"/>
      <c r="RW25" s="56"/>
      <c r="RX25" s="56"/>
      <c r="RY25" s="56"/>
      <c r="RZ25" s="56"/>
      <c r="SA25" s="56"/>
      <c r="SB25" s="56"/>
      <c r="SC25" s="56"/>
      <c r="SD25" s="56"/>
      <c r="SE25" s="56"/>
      <c r="SF25" s="56"/>
      <c r="SG25" s="56"/>
      <c r="SH25" s="56"/>
      <c r="SI25" s="56"/>
      <c r="SJ25" s="56"/>
      <c r="SK25" s="56"/>
      <c r="SL25" s="56"/>
      <c r="SM25" s="56"/>
      <c r="SN25" s="56"/>
      <c r="SO25" s="56"/>
      <c r="SP25" s="56"/>
      <c r="SQ25" s="56"/>
      <c r="SR25" s="56"/>
      <c r="SS25" s="56"/>
      <c r="ST25" s="56"/>
      <c r="SU25" s="56"/>
      <c r="SV25" s="56"/>
      <c r="SW25" s="56"/>
      <c r="SX25" s="56"/>
      <c r="SY25" s="56"/>
      <c r="SZ25" s="56"/>
      <c r="TA25" s="56"/>
      <c r="TB25" s="56"/>
      <c r="TC25" s="56"/>
      <c r="TD25" s="56"/>
      <c r="TE25" s="56"/>
      <c r="TF25" s="56"/>
      <c r="TG25" s="56"/>
      <c r="TH25" s="56"/>
      <c r="TI25" s="56"/>
      <c r="TJ25" s="56"/>
      <c r="TK25" s="56"/>
      <c r="TL25" s="56"/>
      <c r="TM25" s="56"/>
      <c r="TN25" s="56"/>
      <c r="TO25" s="56"/>
      <c r="TP25" s="56"/>
      <c r="TQ25" s="56"/>
      <c r="TR25" s="56"/>
      <c r="TS25" s="56"/>
      <c r="TT25" s="56"/>
      <c r="TU25" s="56"/>
      <c r="TV25" s="56"/>
      <c r="TW25" s="56"/>
      <c r="TX25" s="56"/>
      <c r="TY25" s="56"/>
      <c r="TZ25" s="56"/>
      <c r="UA25" s="56"/>
      <c r="UB25" s="56"/>
      <c r="UC25" s="56"/>
      <c r="UD25" s="56"/>
      <c r="UE25" s="56"/>
      <c r="UF25" s="56"/>
      <c r="UG25" s="56"/>
      <c r="UH25" s="56"/>
      <c r="UI25" s="56"/>
      <c r="UJ25" s="56"/>
      <c r="UK25" s="56"/>
      <c r="UL25" s="56"/>
      <c r="UM25" s="56"/>
      <c r="UN25" s="56"/>
      <c r="UO25" s="56"/>
      <c r="UP25" s="56"/>
      <c r="UQ25" s="56"/>
      <c r="UR25" s="56"/>
      <c r="US25" s="56"/>
      <c r="UT25" s="56"/>
      <c r="UU25" s="56"/>
      <c r="UV25" s="56"/>
      <c r="UW25" s="56"/>
      <c r="UX25" s="56"/>
      <c r="UY25" s="56"/>
      <c r="UZ25" s="56"/>
      <c r="VA25" s="56"/>
      <c r="VB25" s="56"/>
      <c r="VC25" s="56"/>
      <c r="VD25" s="56"/>
      <c r="VE25" s="56"/>
      <c r="VF25" s="56"/>
      <c r="VG25" s="56"/>
      <c r="VH25" s="56"/>
      <c r="VI25" s="56"/>
      <c r="VJ25" s="56"/>
      <c r="VK25" s="56"/>
      <c r="VL25" s="56"/>
      <c r="VM25" s="56"/>
      <c r="VN25" s="56"/>
      <c r="VO25" s="56"/>
      <c r="VP25" s="56"/>
      <c r="VQ25" s="56"/>
      <c r="VR25" s="56"/>
      <c r="VS25" s="56"/>
      <c r="VT25" s="56"/>
      <c r="VU25" s="56"/>
      <c r="VV25" s="56"/>
      <c r="VW25" s="56"/>
      <c r="VX25" s="56"/>
      <c r="VY25" s="56"/>
      <c r="VZ25" s="56"/>
      <c r="WA25" s="56"/>
      <c r="WB25" s="56"/>
      <c r="WC25" s="56"/>
      <c r="WD25" s="56"/>
      <c r="WE25" s="56"/>
      <c r="WF25" s="56"/>
      <c r="WG25" s="56"/>
      <c r="WH25" s="56"/>
      <c r="WI25" s="56"/>
      <c r="WJ25" s="56"/>
      <c r="WK25" s="56"/>
      <c r="WL25" s="56"/>
      <c r="WM25" s="56"/>
      <c r="WN25" s="56"/>
      <c r="WO25" s="56"/>
      <c r="WP25" s="56"/>
      <c r="WQ25" s="56"/>
      <c r="WR25" s="56"/>
      <c r="WS25" s="56"/>
      <c r="WT25" s="56"/>
      <c r="WU25" s="56"/>
      <c r="WV25" s="56"/>
      <c r="WW25" s="56"/>
      <c r="WX25" s="56"/>
      <c r="WY25" s="56"/>
      <c r="WZ25" s="56"/>
      <c r="XA25" s="56"/>
      <c r="XB25" s="56"/>
      <c r="XC25" s="56"/>
      <c r="XD25" s="56"/>
      <c r="XE25" s="56"/>
      <c r="XF25" s="56"/>
      <c r="XG25" s="56"/>
      <c r="XH25" s="56"/>
      <c r="XI25" s="56"/>
      <c r="XJ25" s="56"/>
      <c r="XK25" s="56"/>
      <c r="XL25" s="56"/>
      <c r="XM25" s="56"/>
      <c r="XN25" s="56"/>
      <c r="XO25" s="56"/>
      <c r="XP25" s="56"/>
      <c r="XQ25" s="56"/>
      <c r="XR25" s="56"/>
      <c r="XS25" s="56"/>
      <c r="XT25" s="56"/>
      <c r="XU25" s="56"/>
      <c r="XV25" s="56"/>
      <c r="XW25" s="56"/>
      <c r="XX25" s="56"/>
      <c r="XY25" s="56"/>
      <c r="XZ25" s="56"/>
      <c r="YA25" s="56"/>
      <c r="YB25" s="56"/>
      <c r="YC25" s="56"/>
      <c r="YD25" s="56"/>
      <c r="YE25" s="56"/>
      <c r="YF25" s="56"/>
      <c r="YG25" s="56"/>
      <c r="YH25" s="56"/>
      <c r="YI25" s="56"/>
      <c r="YJ25" s="56"/>
      <c r="YK25" s="56"/>
      <c r="YL25" s="56"/>
      <c r="YM25" s="56"/>
      <c r="YN25" s="56"/>
      <c r="YO25" s="56"/>
      <c r="YP25" s="56"/>
      <c r="YQ25" s="56"/>
      <c r="YR25" s="56"/>
      <c r="YS25" s="56"/>
      <c r="YT25" s="56"/>
      <c r="YU25" s="56"/>
      <c r="YV25" s="56"/>
      <c r="YW25" s="56"/>
      <c r="YX25" s="56"/>
      <c r="YY25" s="56"/>
      <c r="YZ25" s="56"/>
      <c r="ZA25" s="56"/>
      <c r="ZB25" s="56"/>
      <c r="ZC25" s="56"/>
      <c r="ZD25" s="56"/>
      <c r="ZE25" s="56"/>
      <c r="ZF25" s="56"/>
      <c r="ZG25" s="56"/>
      <c r="ZH25" s="56"/>
      <c r="ZI25" s="56"/>
      <c r="ZJ25" s="56"/>
      <c r="ZK25" s="56"/>
      <c r="ZL25" s="56"/>
      <c r="ZM25" s="56"/>
      <c r="ZN25" s="56"/>
      <c r="ZO25" s="56"/>
      <c r="ZP25" s="56"/>
      <c r="ZQ25" s="56"/>
      <c r="ZR25" s="56"/>
      <c r="ZS25" s="56"/>
      <c r="ZT25" s="56"/>
      <c r="ZU25" s="56"/>
      <c r="ZV25" s="56"/>
      <c r="ZW25" s="56"/>
      <c r="ZX25" s="56"/>
      <c r="ZY25" s="56"/>
      <c r="ZZ25" s="56"/>
      <c r="AAA25" s="56"/>
      <c r="AAB25" s="56"/>
      <c r="AAC25" s="56"/>
      <c r="AAD25" s="56"/>
      <c r="AAE25" s="56"/>
      <c r="AAF25" s="56"/>
      <c r="AAG25" s="56"/>
      <c r="AAH25" s="56"/>
      <c r="AAI25" s="56"/>
      <c r="AAJ25" s="56"/>
      <c r="AAK25" s="56"/>
      <c r="AAL25" s="56"/>
      <c r="AAM25" s="56"/>
      <c r="AAN25" s="56"/>
      <c r="AAO25" s="56"/>
      <c r="AAP25" s="56"/>
      <c r="AAQ25" s="56"/>
      <c r="AAR25" s="56"/>
      <c r="AAS25" s="56"/>
      <c r="AAT25" s="56"/>
      <c r="AAU25" s="56"/>
      <c r="AAV25" s="56"/>
      <c r="AAW25" s="56"/>
      <c r="AAX25" s="56"/>
      <c r="AAY25" s="56"/>
      <c r="AAZ25" s="56"/>
      <c r="ABA25" s="56"/>
      <c r="ABB25" s="56"/>
      <c r="ABC25" s="56"/>
      <c r="ABD25" s="56"/>
      <c r="ABE25" s="56"/>
      <c r="ABF25" s="56"/>
      <c r="ABG25" s="56"/>
      <c r="ABH25" s="56"/>
      <c r="ABI25" s="56"/>
      <c r="ABJ25" s="56"/>
      <c r="ABK25" s="56"/>
      <c r="ABL25" s="56"/>
      <c r="ABM25" s="56"/>
      <c r="ABN25" s="56"/>
      <c r="ABO25" s="56"/>
      <c r="ABP25" s="56"/>
      <c r="ABQ25" s="56"/>
      <c r="ABR25" s="56"/>
      <c r="ABS25" s="56"/>
      <c r="ABT25" s="56"/>
      <c r="ABU25" s="56"/>
      <c r="ABV25" s="56"/>
      <c r="ABW25" s="56"/>
      <c r="ABX25" s="56"/>
      <c r="ABY25" s="56"/>
      <c r="ABZ25" s="56"/>
      <c r="ACA25" s="56"/>
      <c r="ACB25" s="56"/>
      <c r="ACC25" s="56"/>
      <c r="ACD25" s="56"/>
      <c r="ACE25" s="56"/>
      <c r="ACF25" s="56"/>
      <c r="ACG25" s="56"/>
      <c r="ACH25" s="56"/>
      <c r="ACI25" s="56"/>
      <c r="ACJ25" s="56"/>
      <c r="ACK25" s="56"/>
      <c r="ACL25" s="56"/>
      <c r="ACM25" s="56"/>
      <c r="ACN25" s="56"/>
      <c r="ACO25" s="56"/>
      <c r="ACP25" s="56"/>
      <c r="ACQ25" s="56"/>
      <c r="ACR25" s="56"/>
      <c r="ACS25" s="56"/>
      <c r="ACT25" s="56"/>
      <c r="ACU25" s="56"/>
      <c r="ACV25" s="56"/>
      <c r="ACW25" s="56"/>
      <c r="ACX25" s="56"/>
      <c r="ACY25" s="56"/>
      <c r="ACZ25" s="56"/>
      <c r="ADA25" s="56"/>
      <c r="ADB25" s="56"/>
      <c r="ADC25" s="56"/>
      <c r="ADD25" s="56"/>
      <c r="ADE25" s="56"/>
      <c r="ADF25" s="56"/>
      <c r="ADG25" s="56"/>
      <c r="ADH25" s="56"/>
      <c r="ADI25" s="56"/>
      <c r="ADJ25" s="56"/>
      <c r="ADK25" s="56"/>
      <c r="ADL25" s="56"/>
      <c r="ADM25" s="56"/>
      <c r="ADN25" s="56"/>
      <c r="ADO25" s="56"/>
      <c r="ADP25" s="56"/>
      <c r="ADQ25" s="56"/>
      <c r="ADR25" s="56"/>
      <c r="ADS25" s="56"/>
      <c r="ADT25" s="56"/>
      <c r="ADU25" s="56"/>
      <c r="ADV25" s="56"/>
      <c r="ADW25" s="56"/>
      <c r="ADX25" s="56"/>
      <c r="ADY25" s="56"/>
      <c r="ADZ25" s="56"/>
      <c r="AEA25" s="56"/>
      <c r="AEB25" s="56"/>
      <c r="AEC25" s="56"/>
      <c r="AED25" s="56"/>
      <c r="AEE25" s="56"/>
      <c r="AEF25" s="56"/>
      <c r="AEG25" s="56"/>
      <c r="AEH25" s="56"/>
      <c r="AEI25" s="56"/>
      <c r="AEJ25" s="56"/>
      <c r="AEK25" s="56"/>
      <c r="AEL25" s="56"/>
      <c r="AEM25" s="56"/>
      <c r="AEN25" s="56"/>
      <c r="AEO25" s="56"/>
      <c r="AEP25" s="56"/>
      <c r="AEQ25" s="56"/>
      <c r="AER25" s="56"/>
      <c r="AES25" s="56"/>
      <c r="AET25" s="56"/>
      <c r="AEU25" s="56"/>
      <c r="AEV25" s="56"/>
      <c r="AEW25" s="56"/>
      <c r="AEX25" s="56"/>
      <c r="AEY25" s="56"/>
      <c r="AEZ25" s="56"/>
      <c r="AFA25" s="56"/>
      <c r="AFB25" s="56"/>
      <c r="AFC25" s="56"/>
      <c r="AFD25" s="56"/>
      <c r="AFE25" s="56"/>
      <c r="AFF25" s="56"/>
      <c r="AFG25" s="56"/>
      <c r="AFH25" s="56"/>
      <c r="AFI25" s="56"/>
      <c r="AFJ25" s="56"/>
      <c r="AFK25" s="56"/>
      <c r="AFL25" s="56"/>
      <c r="AFM25" s="56"/>
      <c r="AFN25" s="56"/>
      <c r="AFO25" s="56"/>
      <c r="AFP25" s="56"/>
      <c r="AFQ25" s="56"/>
      <c r="AFR25" s="56"/>
      <c r="AFS25" s="56"/>
      <c r="AFT25" s="56"/>
      <c r="AFU25" s="56"/>
      <c r="AFV25" s="56"/>
      <c r="AFW25" s="56"/>
      <c r="AFX25" s="56"/>
      <c r="AFY25" s="56"/>
      <c r="AFZ25" s="56"/>
      <c r="AGA25" s="56"/>
      <c r="AGB25" s="56"/>
      <c r="AGC25" s="56"/>
      <c r="AGD25" s="56"/>
      <c r="AGE25" s="56"/>
      <c r="AGF25" s="56"/>
      <c r="AGG25" s="56"/>
      <c r="AGH25" s="56"/>
      <c r="AGI25" s="56"/>
      <c r="AGJ25" s="56"/>
      <c r="AGK25" s="56"/>
      <c r="AGL25" s="56"/>
      <c r="AGM25" s="56"/>
      <c r="AGN25" s="56"/>
      <c r="AGO25" s="56"/>
      <c r="AGP25" s="56"/>
      <c r="AGQ25" s="56"/>
      <c r="AGR25" s="56"/>
      <c r="AGS25" s="56"/>
      <c r="AGT25" s="56"/>
      <c r="AGU25" s="56"/>
      <c r="AGV25" s="56"/>
      <c r="AGW25" s="56"/>
      <c r="AGX25" s="56"/>
      <c r="AGY25" s="56"/>
      <c r="AGZ25" s="56"/>
      <c r="AHA25" s="56"/>
      <c r="AHB25" s="56"/>
      <c r="AHC25" s="56"/>
      <c r="AHD25" s="56"/>
      <c r="AHE25" s="56"/>
      <c r="AHF25" s="56"/>
      <c r="AHG25" s="56"/>
      <c r="AHH25" s="56"/>
      <c r="AHI25" s="56"/>
      <c r="AHJ25" s="56"/>
      <c r="AHK25" s="56"/>
      <c r="AHL25" s="56"/>
      <c r="AHM25" s="56"/>
      <c r="AHN25" s="56"/>
      <c r="AHO25" s="56"/>
      <c r="AHP25" s="56"/>
      <c r="AHQ25" s="56"/>
      <c r="AHR25" s="56"/>
      <c r="AHS25" s="56"/>
      <c r="AHT25" s="56"/>
      <c r="AHU25" s="56"/>
      <c r="AHV25" s="56"/>
      <c r="AHW25" s="56"/>
      <c r="AHX25" s="56"/>
      <c r="AHY25" s="56"/>
      <c r="AHZ25" s="56"/>
      <c r="AIA25" s="56"/>
      <c r="AIB25" s="56"/>
      <c r="AIC25" s="56"/>
      <c r="AID25" s="56"/>
      <c r="AIE25" s="56"/>
      <c r="AIF25" s="56"/>
      <c r="AIG25" s="56"/>
      <c r="AIH25" s="56"/>
      <c r="AII25" s="56"/>
      <c r="AIJ25" s="56"/>
      <c r="AIK25" s="56"/>
      <c r="AIL25" s="56"/>
      <c r="AIM25" s="56"/>
      <c r="AIN25" s="56"/>
      <c r="AIO25" s="56"/>
      <c r="AIP25" s="56"/>
      <c r="AIQ25" s="56"/>
      <c r="AIR25" s="56"/>
      <c r="AIS25" s="56"/>
      <c r="AIT25" s="56"/>
      <c r="AIU25" s="56"/>
      <c r="AIV25" s="56"/>
      <c r="AIW25" s="56"/>
      <c r="AIX25" s="56"/>
      <c r="AIY25" s="56"/>
      <c r="AIZ25" s="56"/>
      <c r="AJA25" s="56"/>
      <c r="AJB25" s="56"/>
      <c r="AJC25" s="56"/>
      <c r="AJD25" s="56"/>
      <c r="AJE25" s="56"/>
      <c r="AJF25" s="56"/>
      <c r="AJG25" s="56"/>
      <c r="AJH25" s="56"/>
      <c r="AJI25" s="56"/>
      <c r="AJJ25" s="56"/>
      <c r="AJK25" s="56"/>
      <c r="AJL25" s="56"/>
      <c r="AJM25" s="56"/>
      <c r="AJN25" s="56"/>
      <c r="AJO25" s="56"/>
      <c r="AJP25" s="56"/>
      <c r="AJQ25" s="56"/>
      <c r="AJR25" s="56"/>
      <c r="AJS25" s="56"/>
      <c r="AJT25" s="56"/>
      <c r="AJU25" s="56"/>
      <c r="AJV25" s="56"/>
      <c r="AJW25" s="56"/>
      <c r="AJX25" s="56"/>
      <c r="AJY25" s="56"/>
      <c r="AJZ25" s="56"/>
      <c r="AKA25" s="56"/>
      <c r="AKB25" s="56"/>
      <c r="AKC25" s="56"/>
      <c r="AKD25" s="56"/>
      <c r="AKE25" s="56"/>
      <c r="AKF25" s="56"/>
      <c r="AKG25" s="56"/>
      <c r="AKH25" s="56"/>
      <c r="AKI25" s="56"/>
      <c r="AKJ25" s="56"/>
      <c r="AKK25" s="56"/>
      <c r="AKL25" s="56"/>
      <c r="AKM25" s="56"/>
      <c r="AKN25" s="56"/>
      <c r="AKO25" s="56"/>
      <c r="AKP25" s="56"/>
      <c r="AKQ25" s="56"/>
      <c r="AKR25" s="56"/>
      <c r="AKS25" s="56"/>
      <c r="AKT25" s="56"/>
      <c r="AKU25" s="56"/>
      <c r="AKV25" s="56"/>
      <c r="AKW25" s="56"/>
      <c r="AKX25" s="56"/>
      <c r="AKY25" s="56"/>
      <c r="AKZ25" s="56"/>
      <c r="ALA25" s="56"/>
      <c r="ALB25" s="56"/>
      <c r="ALC25" s="56"/>
      <c r="ALD25" s="56"/>
      <c r="ALE25" s="56"/>
      <c r="ALF25" s="56"/>
      <c r="ALG25" s="56"/>
      <c r="ALH25" s="56"/>
      <c r="ALI25" s="56"/>
      <c r="ALJ25" s="56"/>
      <c r="ALK25" s="56"/>
      <c r="ALL25" s="56"/>
      <c r="ALM25" s="56"/>
      <c r="ALN25" s="56"/>
      <c r="ALO25" s="56"/>
      <c r="ALP25" s="56"/>
      <c r="ALQ25" s="56"/>
      <c r="ALR25" s="56"/>
      <c r="ALS25" s="56"/>
      <c r="ALT25" s="56"/>
      <c r="ALU25" s="56"/>
      <c r="ALV25" s="56"/>
      <c r="ALW25" s="56"/>
      <c r="ALX25" s="56"/>
      <c r="ALY25" s="56"/>
      <c r="ALZ25" s="56"/>
      <c r="AMA25" s="56"/>
      <c r="AMB25" s="56"/>
      <c r="AMC25" s="56"/>
      <c r="AMD25" s="56"/>
      <c r="AME25" s="56"/>
      <c r="AMF25" s="56"/>
      <c r="AMG25" s="56"/>
      <c r="AMH25" s="56"/>
      <c r="AMI25" s="56"/>
      <c r="AMJ25" s="56"/>
    </row>
    <row r="26" spans="1:1024" s="57" customFormat="1" ht="20.25" customHeight="1" thickBot="1" x14ac:dyDescent="0.25">
      <c r="A26" s="72">
        <v>15</v>
      </c>
      <c r="B26" s="67" t="s">
        <v>88</v>
      </c>
      <c r="C26" s="107" t="str">
        <f>+'Necesidades Trimestrales'!E24</f>
        <v>BOLIGRAFOS; TRAZO: MEDIO</v>
      </c>
      <c r="D26" s="108"/>
      <c r="E26" s="108"/>
      <c r="F26" s="108"/>
      <c r="G26" s="109"/>
      <c r="H26" s="72" t="s">
        <v>61</v>
      </c>
      <c r="I26" s="73" t="s">
        <v>59</v>
      </c>
      <c r="J26" s="75">
        <v>22.5</v>
      </c>
      <c r="K26" s="67">
        <v>500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  <c r="GP26" s="56"/>
      <c r="GQ26" s="56"/>
      <c r="GR26" s="56"/>
      <c r="GS26" s="56"/>
      <c r="GT26" s="56"/>
      <c r="GU26" s="56"/>
      <c r="GV26" s="56"/>
      <c r="GW26" s="56"/>
      <c r="GX26" s="56"/>
      <c r="GY26" s="56"/>
      <c r="GZ26" s="56"/>
      <c r="HA26" s="56"/>
      <c r="HB26" s="56"/>
      <c r="HC26" s="56"/>
      <c r="HD26" s="56"/>
      <c r="HE26" s="56"/>
      <c r="HF26" s="56"/>
      <c r="HG26" s="56"/>
      <c r="HH26" s="56"/>
      <c r="HI26" s="56"/>
      <c r="HJ26" s="56"/>
      <c r="HK26" s="56"/>
      <c r="HL26" s="56"/>
      <c r="HM26" s="56"/>
      <c r="HN26" s="56"/>
      <c r="HO26" s="56"/>
      <c r="HP26" s="56"/>
      <c r="HQ26" s="56"/>
      <c r="HR26" s="56"/>
      <c r="HS26" s="56"/>
      <c r="HT26" s="56"/>
      <c r="HU26" s="56"/>
      <c r="HV26" s="56"/>
      <c r="HW26" s="56"/>
      <c r="HX26" s="56"/>
      <c r="HY26" s="56"/>
      <c r="HZ26" s="56"/>
      <c r="IA26" s="56"/>
      <c r="IB26" s="56"/>
      <c r="IC26" s="56"/>
      <c r="ID26" s="56"/>
      <c r="IE26" s="56"/>
      <c r="IF26" s="56"/>
      <c r="IG26" s="56"/>
      <c r="IH26" s="56"/>
      <c r="II26" s="56"/>
      <c r="IJ26" s="56"/>
      <c r="IK26" s="56"/>
      <c r="IL26" s="56"/>
      <c r="IM26" s="56"/>
      <c r="IN26" s="56"/>
      <c r="IO26" s="56"/>
      <c r="IP26" s="56"/>
      <c r="IQ26" s="56"/>
      <c r="IR26" s="56"/>
      <c r="IS26" s="56"/>
      <c r="IT26" s="56"/>
      <c r="IU26" s="56"/>
      <c r="IV26" s="56"/>
      <c r="IW26" s="56"/>
      <c r="IX26" s="56"/>
      <c r="IY26" s="56"/>
      <c r="IZ26" s="56"/>
      <c r="JA26" s="56"/>
      <c r="JB26" s="56"/>
      <c r="JC26" s="56"/>
      <c r="JD26" s="56"/>
      <c r="JE26" s="56"/>
      <c r="JF26" s="56"/>
      <c r="JG26" s="56"/>
      <c r="JH26" s="56"/>
      <c r="JI26" s="56"/>
      <c r="JJ26" s="56"/>
      <c r="JK26" s="56"/>
      <c r="JL26" s="56"/>
      <c r="JM26" s="56"/>
      <c r="JN26" s="56"/>
      <c r="JO26" s="56"/>
      <c r="JP26" s="56"/>
      <c r="JQ26" s="56"/>
      <c r="JR26" s="56"/>
      <c r="JS26" s="56"/>
      <c r="JT26" s="56"/>
      <c r="JU26" s="56"/>
      <c r="JV26" s="56"/>
      <c r="JW26" s="56"/>
      <c r="JX26" s="56"/>
      <c r="JY26" s="56"/>
      <c r="JZ26" s="56"/>
      <c r="KA26" s="56"/>
      <c r="KB26" s="56"/>
      <c r="KC26" s="56"/>
      <c r="KD26" s="56"/>
      <c r="KE26" s="56"/>
      <c r="KF26" s="56"/>
      <c r="KG26" s="56"/>
      <c r="KH26" s="56"/>
      <c r="KI26" s="56"/>
      <c r="KJ26" s="56"/>
      <c r="KK26" s="56"/>
      <c r="KL26" s="56"/>
      <c r="KM26" s="56"/>
      <c r="KN26" s="56"/>
      <c r="KO26" s="56"/>
      <c r="KP26" s="56"/>
      <c r="KQ26" s="56"/>
      <c r="KR26" s="56"/>
      <c r="KS26" s="56"/>
      <c r="KT26" s="56"/>
      <c r="KU26" s="56"/>
      <c r="KV26" s="56"/>
      <c r="KW26" s="56"/>
      <c r="KX26" s="56"/>
      <c r="KY26" s="56"/>
      <c r="KZ26" s="56"/>
      <c r="LA26" s="56"/>
      <c r="LB26" s="56"/>
      <c r="LC26" s="56"/>
      <c r="LD26" s="56"/>
      <c r="LE26" s="56"/>
      <c r="LF26" s="56"/>
      <c r="LG26" s="56"/>
      <c r="LH26" s="56"/>
      <c r="LI26" s="56"/>
      <c r="LJ26" s="56"/>
      <c r="LK26" s="56"/>
      <c r="LL26" s="56"/>
      <c r="LM26" s="56"/>
      <c r="LN26" s="56"/>
      <c r="LO26" s="56"/>
      <c r="LP26" s="56"/>
      <c r="LQ26" s="56"/>
      <c r="LR26" s="56"/>
      <c r="LS26" s="56"/>
      <c r="LT26" s="56"/>
      <c r="LU26" s="56"/>
      <c r="LV26" s="56"/>
      <c r="LW26" s="56"/>
      <c r="LX26" s="56"/>
      <c r="LY26" s="56"/>
      <c r="LZ26" s="56"/>
      <c r="MA26" s="56"/>
      <c r="MB26" s="56"/>
      <c r="MC26" s="56"/>
      <c r="MD26" s="56"/>
      <c r="ME26" s="56"/>
      <c r="MF26" s="56"/>
      <c r="MG26" s="56"/>
      <c r="MH26" s="56"/>
      <c r="MI26" s="56"/>
      <c r="MJ26" s="56"/>
      <c r="MK26" s="56"/>
      <c r="ML26" s="56"/>
      <c r="MM26" s="56"/>
      <c r="MN26" s="56"/>
      <c r="MO26" s="56"/>
      <c r="MP26" s="56"/>
      <c r="MQ26" s="56"/>
      <c r="MR26" s="56"/>
      <c r="MS26" s="56"/>
      <c r="MT26" s="56"/>
      <c r="MU26" s="56"/>
      <c r="MV26" s="56"/>
      <c r="MW26" s="56"/>
      <c r="MX26" s="56"/>
      <c r="MY26" s="56"/>
      <c r="MZ26" s="56"/>
      <c r="NA26" s="56"/>
      <c r="NB26" s="56"/>
      <c r="NC26" s="56"/>
      <c r="ND26" s="56"/>
      <c r="NE26" s="56"/>
      <c r="NF26" s="56"/>
      <c r="NG26" s="56"/>
      <c r="NH26" s="56"/>
      <c r="NI26" s="56"/>
      <c r="NJ26" s="56"/>
      <c r="NK26" s="56"/>
      <c r="NL26" s="56"/>
      <c r="NM26" s="56"/>
      <c r="NN26" s="56"/>
      <c r="NO26" s="56"/>
      <c r="NP26" s="56"/>
      <c r="NQ26" s="56"/>
      <c r="NR26" s="56"/>
      <c r="NS26" s="56"/>
      <c r="NT26" s="56"/>
      <c r="NU26" s="56"/>
      <c r="NV26" s="56"/>
      <c r="NW26" s="56"/>
      <c r="NX26" s="56"/>
      <c r="NY26" s="56"/>
      <c r="NZ26" s="56"/>
      <c r="OA26" s="56"/>
      <c r="OB26" s="56"/>
      <c r="OC26" s="56"/>
      <c r="OD26" s="56"/>
      <c r="OE26" s="56"/>
      <c r="OF26" s="56"/>
      <c r="OG26" s="56"/>
      <c r="OH26" s="56"/>
      <c r="OI26" s="56"/>
      <c r="OJ26" s="56"/>
      <c r="OK26" s="56"/>
      <c r="OL26" s="56"/>
      <c r="OM26" s="56"/>
      <c r="ON26" s="56"/>
      <c r="OO26" s="56"/>
      <c r="OP26" s="56"/>
      <c r="OQ26" s="56"/>
      <c r="OR26" s="56"/>
      <c r="OS26" s="56"/>
      <c r="OT26" s="56"/>
      <c r="OU26" s="56"/>
      <c r="OV26" s="56"/>
      <c r="OW26" s="56"/>
      <c r="OX26" s="56"/>
      <c r="OY26" s="56"/>
      <c r="OZ26" s="56"/>
      <c r="PA26" s="56"/>
      <c r="PB26" s="56"/>
      <c r="PC26" s="56"/>
      <c r="PD26" s="56"/>
      <c r="PE26" s="56"/>
      <c r="PF26" s="56"/>
      <c r="PG26" s="56"/>
      <c r="PH26" s="56"/>
      <c r="PI26" s="56"/>
      <c r="PJ26" s="56"/>
      <c r="PK26" s="56"/>
      <c r="PL26" s="56"/>
      <c r="PM26" s="56"/>
      <c r="PN26" s="56"/>
      <c r="PO26" s="56"/>
      <c r="PP26" s="56"/>
      <c r="PQ26" s="56"/>
      <c r="PR26" s="56"/>
      <c r="PS26" s="56"/>
      <c r="PT26" s="56"/>
      <c r="PU26" s="56"/>
      <c r="PV26" s="56"/>
      <c r="PW26" s="56"/>
      <c r="PX26" s="56"/>
      <c r="PY26" s="56"/>
      <c r="PZ26" s="56"/>
      <c r="QA26" s="56"/>
      <c r="QB26" s="56"/>
      <c r="QC26" s="56"/>
      <c r="QD26" s="56"/>
      <c r="QE26" s="56"/>
      <c r="QF26" s="56"/>
      <c r="QG26" s="56"/>
      <c r="QH26" s="56"/>
      <c r="QI26" s="56"/>
      <c r="QJ26" s="56"/>
      <c r="QK26" s="56"/>
      <c r="QL26" s="56"/>
      <c r="QM26" s="56"/>
      <c r="QN26" s="56"/>
      <c r="QO26" s="56"/>
      <c r="QP26" s="56"/>
      <c r="QQ26" s="56"/>
      <c r="QR26" s="56"/>
      <c r="QS26" s="56"/>
      <c r="QT26" s="56"/>
      <c r="QU26" s="56"/>
      <c r="QV26" s="56"/>
      <c r="QW26" s="56"/>
      <c r="QX26" s="56"/>
      <c r="QY26" s="56"/>
      <c r="QZ26" s="56"/>
      <c r="RA26" s="56"/>
      <c r="RB26" s="56"/>
      <c r="RC26" s="56"/>
      <c r="RD26" s="56"/>
      <c r="RE26" s="56"/>
      <c r="RF26" s="56"/>
      <c r="RG26" s="56"/>
      <c r="RH26" s="56"/>
      <c r="RI26" s="56"/>
      <c r="RJ26" s="56"/>
      <c r="RK26" s="56"/>
      <c r="RL26" s="56"/>
      <c r="RM26" s="56"/>
      <c r="RN26" s="56"/>
      <c r="RO26" s="56"/>
      <c r="RP26" s="56"/>
      <c r="RQ26" s="56"/>
      <c r="RR26" s="56"/>
      <c r="RS26" s="56"/>
      <c r="RT26" s="56"/>
      <c r="RU26" s="56"/>
      <c r="RV26" s="56"/>
      <c r="RW26" s="56"/>
      <c r="RX26" s="56"/>
      <c r="RY26" s="56"/>
      <c r="RZ26" s="56"/>
      <c r="SA26" s="56"/>
      <c r="SB26" s="56"/>
      <c r="SC26" s="56"/>
      <c r="SD26" s="56"/>
      <c r="SE26" s="56"/>
      <c r="SF26" s="56"/>
      <c r="SG26" s="56"/>
      <c r="SH26" s="56"/>
      <c r="SI26" s="56"/>
      <c r="SJ26" s="56"/>
      <c r="SK26" s="56"/>
      <c r="SL26" s="56"/>
      <c r="SM26" s="56"/>
      <c r="SN26" s="56"/>
      <c r="SO26" s="56"/>
      <c r="SP26" s="56"/>
      <c r="SQ26" s="56"/>
      <c r="SR26" s="56"/>
      <c r="SS26" s="56"/>
      <c r="ST26" s="56"/>
      <c r="SU26" s="56"/>
      <c r="SV26" s="56"/>
      <c r="SW26" s="56"/>
      <c r="SX26" s="56"/>
      <c r="SY26" s="56"/>
      <c r="SZ26" s="56"/>
      <c r="TA26" s="56"/>
      <c r="TB26" s="56"/>
      <c r="TC26" s="56"/>
      <c r="TD26" s="56"/>
      <c r="TE26" s="56"/>
      <c r="TF26" s="56"/>
      <c r="TG26" s="56"/>
      <c r="TH26" s="56"/>
      <c r="TI26" s="56"/>
      <c r="TJ26" s="56"/>
      <c r="TK26" s="56"/>
      <c r="TL26" s="56"/>
      <c r="TM26" s="56"/>
      <c r="TN26" s="56"/>
      <c r="TO26" s="56"/>
      <c r="TP26" s="56"/>
      <c r="TQ26" s="56"/>
      <c r="TR26" s="56"/>
      <c r="TS26" s="56"/>
      <c r="TT26" s="56"/>
      <c r="TU26" s="56"/>
      <c r="TV26" s="56"/>
      <c r="TW26" s="56"/>
      <c r="TX26" s="56"/>
      <c r="TY26" s="56"/>
      <c r="TZ26" s="56"/>
      <c r="UA26" s="56"/>
      <c r="UB26" s="56"/>
      <c r="UC26" s="56"/>
      <c r="UD26" s="56"/>
      <c r="UE26" s="56"/>
      <c r="UF26" s="56"/>
      <c r="UG26" s="56"/>
      <c r="UH26" s="56"/>
      <c r="UI26" s="56"/>
      <c r="UJ26" s="56"/>
      <c r="UK26" s="56"/>
      <c r="UL26" s="56"/>
      <c r="UM26" s="56"/>
      <c r="UN26" s="56"/>
      <c r="UO26" s="56"/>
      <c r="UP26" s="56"/>
      <c r="UQ26" s="56"/>
      <c r="UR26" s="56"/>
      <c r="US26" s="56"/>
      <c r="UT26" s="56"/>
      <c r="UU26" s="56"/>
      <c r="UV26" s="56"/>
      <c r="UW26" s="56"/>
      <c r="UX26" s="56"/>
      <c r="UY26" s="56"/>
      <c r="UZ26" s="56"/>
      <c r="VA26" s="56"/>
      <c r="VB26" s="56"/>
      <c r="VC26" s="56"/>
      <c r="VD26" s="56"/>
      <c r="VE26" s="56"/>
      <c r="VF26" s="56"/>
      <c r="VG26" s="56"/>
      <c r="VH26" s="56"/>
      <c r="VI26" s="56"/>
      <c r="VJ26" s="56"/>
      <c r="VK26" s="56"/>
      <c r="VL26" s="56"/>
      <c r="VM26" s="56"/>
      <c r="VN26" s="56"/>
      <c r="VO26" s="56"/>
      <c r="VP26" s="56"/>
      <c r="VQ26" s="56"/>
      <c r="VR26" s="56"/>
      <c r="VS26" s="56"/>
      <c r="VT26" s="56"/>
      <c r="VU26" s="56"/>
      <c r="VV26" s="56"/>
      <c r="VW26" s="56"/>
      <c r="VX26" s="56"/>
      <c r="VY26" s="56"/>
      <c r="VZ26" s="56"/>
      <c r="WA26" s="56"/>
      <c r="WB26" s="56"/>
      <c r="WC26" s="56"/>
      <c r="WD26" s="56"/>
      <c r="WE26" s="56"/>
      <c r="WF26" s="56"/>
      <c r="WG26" s="56"/>
      <c r="WH26" s="56"/>
      <c r="WI26" s="56"/>
      <c r="WJ26" s="56"/>
      <c r="WK26" s="56"/>
      <c r="WL26" s="56"/>
      <c r="WM26" s="56"/>
      <c r="WN26" s="56"/>
      <c r="WO26" s="56"/>
      <c r="WP26" s="56"/>
      <c r="WQ26" s="56"/>
      <c r="WR26" s="56"/>
      <c r="WS26" s="56"/>
      <c r="WT26" s="56"/>
      <c r="WU26" s="56"/>
      <c r="WV26" s="56"/>
      <c r="WW26" s="56"/>
      <c r="WX26" s="56"/>
      <c r="WY26" s="56"/>
      <c r="WZ26" s="56"/>
      <c r="XA26" s="56"/>
      <c r="XB26" s="56"/>
      <c r="XC26" s="56"/>
      <c r="XD26" s="56"/>
      <c r="XE26" s="56"/>
      <c r="XF26" s="56"/>
      <c r="XG26" s="56"/>
      <c r="XH26" s="56"/>
      <c r="XI26" s="56"/>
      <c r="XJ26" s="56"/>
      <c r="XK26" s="56"/>
      <c r="XL26" s="56"/>
      <c r="XM26" s="56"/>
      <c r="XN26" s="56"/>
      <c r="XO26" s="56"/>
      <c r="XP26" s="56"/>
      <c r="XQ26" s="56"/>
      <c r="XR26" s="56"/>
      <c r="XS26" s="56"/>
      <c r="XT26" s="56"/>
      <c r="XU26" s="56"/>
      <c r="XV26" s="56"/>
      <c r="XW26" s="56"/>
      <c r="XX26" s="56"/>
      <c r="XY26" s="56"/>
      <c r="XZ26" s="56"/>
      <c r="YA26" s="56"/>
      <c r="YB26" s="56"/>
      <c r="YC26" s="56"/>
      <c r="YD26" s="56"/>
      <c r="YE26" s="56"/>
      <c r="YF26" s="56"/>
      <c r="YG26" s="56"/>
      <c r="YH26" s="56"/>
      <c r="YI26" s="56"/>
      <c r="YJ26" s="56"/>
      <c r="YK26" s="56"/>
      <c r="YL26" s="56"/>
      <c r="YM26" s="56"/>
      <c r="YN26" s="56"/>
      <c r="YO26" s="56"/>
      <c r="YP26" s="56"/>
      <c r="YQ26" s="56"/>
      <c r="YR26" s="56"/>
      <c r="YS26" s="56"/>
      <c r="YT26" s="56"/>
      <c r="YU26" s="56"/>
      <c r="YV26" s="56"/>
      <c r="YW26" s="56"/>
      <c r="YX26" s="56"/>
      <c r="YY26" s="56"/>
      <c r="YZ26" s="56"/>
      <c r="ZA26" s="56"/>
      <c r="ZB26" s="56"/>
      <c r="ZC26" s="56"/>
      <c r="ZD26" s="56"/>
      <c r="ZE26" s="56"/>
      <c r="ZF26" s="56"/>
      <c r="ZG26" s="56"/>
      <c r="ZH26" s="56"/>
      <c r="ZI26" s="56"/>
      <c r="ZJ26" s="56"/>
      <c r="ZK26" s="56"/>
      <c r="ZL26" s="56"/>
      <c r="ZM26" s="56"/>
      <c r="ZN26" s="56"/>
      <c r="ZO26" s="56"/>
      <c r="ZP26" s="56"/>
      <c r="ZQ26" s="56"/>
      <c r="ZR26" s="56"/>
      <c r="ZS26" s="56"/>
      <c r="ZT26" s="56"/>
      <c r="ZU26" s="56"/>
      <c r="ZV26" s="56"/>
      <c r="ZW26" s="56"/>
      <c r="ZX26" s="56"/>
      <c r="ZY26" s="56"/>
      <c r="ZZ26" s="56"/>
      <c r="AAA26" s="56"/>
      <c r="AAB26" s="56"/>
      <c r="AAC26" s="56"/>
      <c r="AAD26" s="56"/>
      <c r="AAE26" s="56"/>
      <c r="AAF26" s="56"/>
      <c r="AAG26" s="56"/>
      <c r="AAH26" s="56"/>
      <c r="AAI26" s="56"/>
      <c r="AAJ26" s="56"/>
      <c r="AAK26" s="56"/>
      <c r="AAL26" s="56"/>
      <c r="AAM26" s="56"/>
      <c r="AAN26" s="56"/>
      <c r="AAO26" s="56"/>
      <c r="AAP26" s="56"/>
      <c r="AAQ26" s="56"/>
      <c r="AAR26" s="56"/>
      <c r="AAS26" s="56"/>
      <c r="AAT26" s="56"/>
      <c r="AAU26" s="56"/>
      <c r="AAV26" s="56"/>
      <c r="AAW26" s="56"/>
      <c r="AAX26" s="56"/>
      <c r="AAY26" s="56"/>
      <c r="AAZ26" s="56"/>
      <c r="ABA26" s="56"/>
      <c r="ABB26" s="56"/>
      <c r="ABC26" s="56"/>
      <c r="ABD26" s="56"/>
      <c r="ABE26" s="56"/>
      <c r="ABF26" s="56"/>
      <c r="ABG26" s="56"/>
      <c r="ABH26" s="56"/>
      <c r="ABI26" s="56"/>
      <c r="ABJ26" s="56"/>
      <c r="ABK26" s="56"/>
      <c r="ABL26" s="56"/>
      <c r="ABM26" s="56"/>
      <c r="ABN26" s="56"/>
      <c r="ABO26" s="56"/>
      <c r="ABP26" s="56"/>
      <c r="ABQ26" s="56"/>
      <c r="ABR26" s="56"/>
      <c r="ABS26" s="56"/>
      <c r="ABT26" s="56"/>
      <c r="ABU26" s="56"/>
      <c r="ABV26" s="56"/>
      <c r="ABW26" s="56"/>
      <c r="ABX26" s="56"/>
      <c r="ABY26" s="56"/>
      <c r="ABZ26" s="56"/>
      <c r="ACA26" s="56"/>
      <c r="ACB26" s="56"/>
      <c r="ACC26" s="56"/>
      <c r="ACD26" s="56"/>
      <c r="ACE26" s="56"/>
      <c r="ACF26" s="56"/>
      <c r="ACG26" s="56"/>
      <c r="ACH26" s="56"/>
      <c r="ACI26" s="56"/>
      <c r="ACJ26" s="56"/>
      <c r="ACK26" s="56"/>
      <c r="ACL26" s="56"/>
      <c r="ACM26" s="56"/>
      <c r="ACN26" s="56"/>
      <c r="ACO26" s="56"/>
      <c r="ACP26" s="56"/>
      <c r="ACQ26" s="56"/>
      <c r="ACR26" s="56"/>
      <c r="ACS26" s="56"/>
      <c r="ACT26" s="56"/>
      <c r="ACU26" s="56"/>
      <c r="ACV26" s="56"/>
      <c r="ACW26" s="56"/>
      <c r="ACX26" s="56"/>
      <c r="ACY26" s="56"/>
      <c r="ACZ26" s="56"/>
      <c r="ADA26" s="56"/>
      <c r="ADB26" s="56"/>
      <c r="ADC26" s="56"/>
      <c r="ADD26" s="56"/>
      <c r="ADE26" s="56"/>
      <c r="ADF26" s="56"/>
      <c r="ADG26" s="56"/>
      <c r="ADH26" s="56"/>
      <c r="ADI26" s="56"/>
      <c r="ADJ26" s="56"/>
      <c r="ADK26" s="56"/>
      <c r="ADL26" s="56"/>
      <c r="ADM26" s="56"/>
      <c r="ADN26" s="56"/>
      <c r="ADO26" s="56"/>
      <c r="ADP26" s="56"/>
      <c r="ADQ26" s="56"/>
      <c r="ADR26" s="56"/>
      <c r="ADS26" s="56"/>
      <c r="ADT26" s="56"/>
      <c r="ADU26" s="56"/>
      <c r="ADV26" s="56"/>
      <c r="ADW26" s="56"/>
      <c r="ADX26" s="56"/>
      <c r="ADY26" s="56"/>
      <c r="ADZ26" s="56"/>
      <c r="AEA26" s="56"/>
      <c r="AEB26" s="56"/>
      <c r="AEC26" s="56"/>
      <c r="AED26" s="56"/>
      <c r="AEE26" s="56"/>
      <c r="AEF26" s="56"/>
      <c r="AEG26" s="56"/>
      <c r="AEH26" s="56"/>
      <c r="AEI26" s="56"/>
      <c r="AEJ26" s="56"/>
      <c r="AEK26" s="56"/>
      <c r="AEL26" s="56"/>
      <c r="AEM26" s="56"/>
      <c r="AEN26" s="56"/>
      <c r="AEO26" s="56"/>
      <c r="AEP26" s="56"/>
      <c r="AEQ26" s="56"/>
      <c r="AER26" s="56"/>
      <c r="AES26" s="56"/>
      <c r="AET26" s="56"/>
      <c r="AEU26" s="56"/>
      <c r="AEV26" s="56"/>
      <c r="AEW26" s="56"/>
      <c r="AEX26" s="56"/>
      <c r="AEY26" s="56"/>
      <c r="AEZ26" s="56"/>
      <c r="AFA26" s="56"/>
      <c r="AFB26" s="56"/>
      <c r="AFC26" s="56"/>
      <c r="AFD26" s="56"/>
      <c r="AFE26" s="56"/>
      <c r="AFF26" s="56"/>
      <c r="AFG26" s="56"/>
      <c r="AFH26" s="56"/>
      <c r="AFI26" s="56"/>
      <c r="AFJ26" s="56"/>
      <c r="AFK26" s="56"/>
      <c r="AFL26" s="56"/>
      <c r="AFM26" s="56"/>
      <c r="AFN26" s="56"/>
      <c r="AFO26" s="56"/>
      <c r="AFP26" s="56"/>
      <c r="AFQ26" s="56"/>
      <c r="AFR26" s="56"/>
      <c r="AFS26" s="56"/>
      <c r="AFT26" s="56"/>
      <c r="AFU26" s="56"/>
      <c r="AFV26" s="56"/>
      <c r="AFW26" s="56"/>
      <c r="AFX26" s="56"/>
      <c r="AFY26" s="56"/>
      <c r="AFZ26" s="56"/>
      <c r="AGA26" s="56"/>
      <c r="AGB26" s="56"/>
      <c r="AGC26" s="56"/>
      <c r="AGD26" s="56"/>
      <c r="AGE26" s="56"/>
      <c r="AGF26" s="56"/>
      <c r="AGG26" s="56"/>
      <c r="AGH26" s="56"/>
      <c r="AGI26" s="56"/>
      <c r="AGJ26" s="56"/>
      <c r="AGK26" s="56"/>
      <c r="AGL26" s="56"/>
      <c r="AGM26" s="56"/>
      <c r="AGN26" s="56"/>
      <c r="AGO26" s="56"/>
      <c r="AGP26" s="56"/>
      <c r="AGQ26" s="56"/>
      <c r="AGR26" s="56"/>
      <c r="AGS26" s="56"/>
      <c r="AGT26" s="56"/>
      <c r="AGU26" s="56"/>
      <c r="AGV26" s="56"/>
      <c r="AGW26" s="56"/>
      <c r="AGX26" s="56"/>
      <c r="AGY26" s="56"/>
      <c r="AGZ26" s="56"/>
      <c r="AHA26" s="56"/>
      <c r="AHB26" s="56"/>
      <c r="AHC26" s="56"/>
      <c r="AHD26" s="56"/>
      <c r="AHE26" s="56"/>
      <c r="AHF26" s="56"/>
      <c r="AHG26" s="56"/>
      <c r="AHH26" s="56"/>
      <c r="AHI26" s="56"/>
      <c r="AHJ26" s="56"/>
      <c r="AHK26" s="56"/>
      <c r="AHL26" s="56"/>
      <c r="AHM26" s="56"/>
      <c r="AHN26" s="56"/>
      <c r="AHO26" s="56"/>
      <c r="AHP26" s="56"/>
      <c r="AHQ26" s="56"/>
      <c r="AHR26" s="56"/>
      <c r="AHS26" s="56"/>
      <c r="AHT26" s="56"/>
      <c r="AHU26" s="56"/>
      <c r="AHV26" s="56"/>
      <c r="AHW26" s="56"/>
      <c r="AHX26" s="56"/>
      <c r="AHY26" s="56"/>
      <c r="AHZ26" s="56"/>
      <c r="AIA26" s="56"/>
      <c r="AIB26" s="56"/>
      <c r="AIC26" s="56"/>
      <c r="AID26" s="56"/>
      <c r="AIE26" s="56"/>
      <c r="AIF26" s="56"/>
      <c r="AIG26" s="56"/>
      <c r="AIH26" s="56"/>
      <c r="AII26" s="56"/>
      <c r="AIJ26" s="56"/>
      <c r="AIK26" s="56"/>
      <c r="AIL26" s="56"/>
      <c r="AIM26" s="56"/>
      <c r="AIN26" s="56"/>
      <c r="AIO26" s="56"/>
      <c r="AIP26" s="56"/>
      <c r="AIQ26" s="56"/>
      <c r="AIR26" s="56"/>
      <c r="AIS26" s="56"/>
      <c r="AIT26" s="56"/>
      <c r="AIU26" s="56"/>
      <c r="AIV26" s="56"/>
      <c r="AIW26" s="56"/>
      <c r="AIX26" s="56"/>
      <c r="AIY26" s="56"/>
      <c r="AIZ26" s="56"/>
      <c r="AJA26" s="56"/>
      <c r="AJB26" s="56"/>
      <c r="AJC26" s="56"/>
      <c r="AJD26" s="56"/>
      <c r="AJE26" s="56"/>
      <c r="AJF26" s="56"/>
      <c r="AJG26" s="56"/>
      <c r="AJH26" s="56"/>
      <c r="AJI26" s="56"/>
      <c r="AJJ26" s="56"/>
      <c r="AJK26" s="56"/>
      <c r="AJL26" s="56"/>
      <c r="AJM26" s="56"/>
      <c r="AJN26" s="56"/>
      <c r="AJO26" s="56"/>
      <c r="AJP26" s="56"/>
      <c r="AJQ26" s="56"/>
      <c r="AJR26" s="56"/>
      <c r="AJS26" s="56"/>
      <c r="AJT26" s="56"/>
      <c r="AJU26" s="56"/>
      <c r="AJV26" s="56"/>
      <c r="AJW26" s="56"/>
      <c r="AJX26" s="56"/>
      <c r="AJY26" s="56"/>
      <c r="AJZ26" s="56"/>
      <c r="AKA26" s="56"/>
      <c r="AKB26" s="56"/>
      <c r="AKC26" s="56"/>
      <c r="AKD26" s="56"/>
      <c r="AKE26" s="56"/>
      <c r="AKF26" s="56"/>
      <c r="AKG26" s="56"/>
      <c r="AKH26" s="56"/>
      <c r="AKI26" s="56"/>
      <c r="AKJ26" s="56"/>
      <c r="AKK26" s="56"/>
      <c r="AKL26" s="56"/>
      <c r="AKM26" s="56"/>
      <c r="AKN26" s="56"/>
      <c r="AKO26" s="56"/>
      <c r="AKP26" s="56"/>
      <c r="AKQ26" s="56"/>
      <c r="AKR26" s="56"/>
      <c r="AKS26" s="56"/>
      <c r="AKT26" s="56"/>
      <c r="AKU26" s="56"/>
      <c r="AKV26" s="56"/>
      <c r="AKW26" s="56"/>
      <c r="AKX26" s="56"/>
      <c r="AKY26" s="56"/>
      <c r="AKZ26" s="56"/>
      <c r="ALA26" s="56"/>
      <c r="ALB26" s="56"/>
      <c r="ALC26" s="56"/>
      <c r="ALD26" s="56"/>
      <c r="ALE26" s="56"/>
      <c r="ALF26" s="56"/>
      <c r="ALG26" s="56"/>
      <c r="ALH26" s="56"/>
      <c r="ALI26" s="56"/>
      <c r="ALJ26" s="56"/>
      <c r="ALK26" s="56"/>
      <c r="ALL26" s="56"/>
      <c r="ALM26" s="56"/>
      <c r="ALN26" s="56"/>
      <c r="ALO26" s="56"/>
      <c r="ALP26" s="56"/>
      <c r="ALQ26" s="56"/>
      <c r="ALR26" s="56"/>
      <c r="ALS26" s="56"/>
      <c r="ALT26" s="56"/>
      <c r="ALU26" s="56"/>
      <c r="ALV26" s="56"/>
      <c r="ALW26" s="56"/>
      <c r="ALX26" s="56"/>
      <c r="ALY26" s="56"/>
      <c r="ALZ26" s="56"/>
      <c r="AMA26" s="56"/>
      <c r="AMB26" s="56"/>
      <c r="AMC26" s="56"/>
      <c r="AMD26" s="56"/>
      <c r="AME26" s="56"/>
      <c r="AMF26" s="56"/>
      <c r="AMG26" s="56"/>
      <c r="AMH26" s="56"/>
      <c r="AMI26" s="56"/>
      <c r="AMJ26" s="56"/>
    </row>
    <row r="27" spans="1:1024" ht="20.25" customHeight="1" thickBot="1" x14ac:dyDescent="0.25">
      <c r="A27" s="74">
        <v>16</v>
      </c>
      <c r="B27" s="67" t="s">
        <v>90</v>
      </c>
      <c r="C27" s="115" t="s">
        <v>91</v>
      </c>
      <c r="D27" s="116"/>
      <c r="E27" s="116"/>
      <c r="F27" s="116"/>
      <c r="G27" s="117"/>
      <c r="H27" s="72" t="s">
        <v>61</v>
      </c>
      <c r="I27" s="73" t="s">
        <v>59</v>
      </c>
      <c r="J27" s="75">
        <v>166</v>
      </c>
      <c r="K27" s="67">
        <v>200</v>
      </c>
    </row>
    <row r="28" spans="1:1024" ht="34.5" customHeight="1" thickBot="1" x14ac:dyDescent="0.25">
      <c r="A28" s="72">
        <v>17</v>
      </c>
      <c r="B28" s="67" t="s">
        <v>94</v>
      </c>
      <c r="C28" s="115" t="str">
        <f>+'Necesidades Trimestrales'!E26</f>
        <v>TIJERAS P/CORTAR PAPELES; LONG.DE CUERPO: 15 Cm, MATERIAL: ACERO BRUÑIDO, CUCHILLA: REDONDEADAS, MANGO: SIN VALOR</v>
      </c>
      <c r="D28" s="116"/>
      <c r="E28" s="116"/>
      <c r="F28" s="116"/>
      <c r="G28" s="117"/>
      <c r="H28" s="72" t="s">
        <v>61</v>
      </c>
      <c r="I28" s="73" t="s">
        <v>59</v>
      </c>
      <c r="J28" s="75">
        <v>135</v>
      </c>
      <c r="K28" s="67">
        <v>40</v>
      </c>
    </row>
    <row r="29" spans="1:1024" s="78" customFormat="1" ht="16.5" thickBot="1" x14ac:dyDescent="0.25">
      <c r="A29" s="76">
        <v>18</v>
      </c>
      <c r="B29" s="67" t="s">
        <v>97</v>
      </c>
      <c r="C29" s="115" t="str">
        <f>+'Necesidades Trimestrales'!E27</f>
        <v>GOMAS DE BORRAR; MATERIAL: CAUCHO, CANT. X CAJA: 30, USO: LAPIZ, DIMENSION: 4 X 1 X 1 Cm, PRESENTACION: CAJA X 30</v>
      </c>
      <c r="D29" s="116"/>
      <c r="E29" s="116"/>
      <c r="F29" s="116"/>
      <c r="G29" s="117"/>
      <c r="H29" s="73" t="s">
        <v>61</v>
      </c>
      <c r="I29" s="73" t="s">
        <v>59</v>
      </c>
      <c r="J29" s="75">
        <v>360</v>
      </c>
      <c r="K29" s="67">
        <v>10</v>
      </c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7"/>
      <c r="DZ29" s="77"/>
      <c r="EA29" s="77"/>
      <c r="EB29" s="77"/>
      <c r="EC29" s="77"/>
      <c r="ED29" s="77"/>
      <c r="EE29" s="77"/>
      <c r="EF29" s="77"/>
      <c r="EG29" s="77"/>
      <c r="EH29" s="77"/>
      <c r="EI29" s="77"/>
      <c r="EJ29" s="77"/>
      <c r="EK29" s="77"/>
      <c r="EL29" s="77"/>
      <c r="EM29" s="77"/>
      <c r="EN29" s="77"/>
      <c r="EO29" s="77"/>
      <c r="EP29" s="77"/>
      <c r="EQ29" s="77"/>
      <c r="ER29" s="77"/>
      <c r="ES29" s="77"/>
      <c r="ET29" s="77"/>
      <c r="EU29" s="77"/>
      <c r="EV29" s="77"/>
      <c r="EW29" s="77"/>
      <c r="EX29" s="77"/>
      <c r="EY29" s="77"/>
      <c r="EZ29" s="77"/>
      <c r="FA29" s="77"/>
      <c r="FB29" s="77"/>
      <c r="FC29" s="77"/>
      <c r="FD29" s="77"/>
      <c r="FE29" s="77"/>
      <c r="FF29" s="77"/>
      <c r="FG29" s="77"/>
      <c r="FH29" s="77"/>
      <c r="FI29" s="77"/>
      <c r="FJ29" s="77"/>
      <c r="FK29" s="77"/>
      <c r="FL29" s="77"/>
      <c r="FM29" s="77"/>
      <c r="FN29" s="77"/>
      <c r="FO29" s="77"/>
      <c r="FP29" s="77"/>
      <c r="FQ29" s="77"/>
      <c r="FR29" s="77"/>
      <c r="FS29" s="77"/>
      <c r="FT29" s="77"/>
      <c r="FU29" s="77"/>
      <c r="FV29" s="77"/>
      <c r="FW29" s="77"/>
      <c r="FX29" s="77"/>
      <c r="FY29" s="77"/>
      <c r="FZ29" s="77"/>
      <c r="GA29" s="77"/>
      <c r="GB29" s="77"/>
      <c r="GC29" s="77"/>
      <c r="GD29" s="77"/>
      <c r="GE29" s="77"/>
      <c r="GF29" s="77"/>
      <c r="GG29" s="77"/>
      <c r="GH29" s="77"/>
      <c r="GI29" s="77"/>
      <c r="GJ29" s="77"/>
      <c r="GK29" s="77"/>
      <c r="GL29" s="77"/>
      <c r="GM29" s="77"/>
      <c r="GN29" s="77"/>
      <c r="GO29" s="77"/>
      <c r="GP29" s="77"/>
      <c r="GQ29" s="77"/>
      <c r="GR29" s="77"/>
      <c r="GS29" s="77"/>
      <c r="GT29" s="77"/>
      <c r="GU29" s="77"/>
      <c r="GV29" s="77"/>
      <c r="GW29" s="77"/>
      <c r="GX29" s="77"/>
      <c r="GY29" s="77"/>
      <c r="GZ29" s="77"/>
      <c r="HA29" s="77"/>
      <c r="HB29" s="77"/>
      <c r="HC29" s="77"/>
      <c r="HD29" s="77"/>
      <c r="HE29" s="77"/>
      <c r="HF29" s="77"/>
      <c r="HG29" s="77"/>
      <c r="HH29" s="77"/>
      <c r="HI29" s="77"/>
      <c r="HJ29" s="77"/>
      <c r="HK29" s="77"/>
      <c r="HL29" s="77"/>
      <c r="HM29" s="77"/>
      <c r="HN29" s="77"/>
      <c r="HO29" s="77"/>
      <c r="HP29" s="77"/>
      <c r="HQ29" s="77"/>
      <c r="HR29" s="77"/>
      <c r="HS29" s="77"/>
      <c r="HT29" s="77"/>
      <c r="HU29" s="77"/>
      <c r="HV29" s="77"/>
      <c r="HW29" s="77"/>
      <c r="HX29" s="77"/>
      <c r="HY29" s="77"/>
      <c r="HZ29" s="77"/>
      <c r="IA29" s="77"/>
      <c r="IB29" s="77"/>
      <c r="IC29" s="77"/>
      <c r="ID29" s="77"/>
      <c r="IE29" s="77"/>
      <c r="IF29" s="77"/>
      <c r="IG29" s="77"/>
      <c r="IH29" s="77"/>
      <c r="II29" s="77"/>
      <c r="IJ29" s="77"/>
      <c r="IK29" s="77"/>
      <c r="IL29" s="77"/>
      <c r="IM29" s="77"/>
      <c r="IN29" s="77"/>
      <c r="IO29" s="77"/>
      <c r="IP29" s="77"/>
      <c r="IQ29" s="77"/>
      <c r="IR29" s="77"/>
      <c r="IS29" s="77"/>
      <c r="IT29" s="77"/>
      <c r="IU29" s="77"/>
      <c r="IV29" s="77"/>
      <c r="IW29" s="77"/>
      <c r="IX29" s="77"/>
      <c r="IY29" s="77"/>
      <c r="IZ29" s="77"/>
      <c r="JA29" s="77"/>
      <c r="JB29" s="77"/>
      <c r="JC29" s="77"/>
      <c r="JD29" s="77"/>
      <c r="JE29" s="77"/>
      <c r="JF29" s="77"/>
      <c r="JG29" s="77"/>
      <c r="JH29" s="77"/>
      <c r="JI29" s="77"/>
      <c r="JJ29" s="77"/>
      <c r="JK29" s="77"/>
      <c r="JL29" s="77"/>
      <c r="JM29" s="77"/>
      <c r="JN29" s="77"/>
      <c r="JO29" s="77"/>
      <c r="JP29" s="77"/>
      <c r="JQ29" s="77"/>
      <c r="JR29" s="77"/>
      <c r="JS29" s="77"/>
      <c r="JT29" s="77"/>
      <c r="JU29" s="77"/>
      <c r="JV29" s="77"/>
      <c r="JW29" s="77"/>
      <c r="JX29" s="77"/>
      <c r="JY29" s="77"/>
      <c r="JZ29" s="77"/>
      <c r="KA29" s="77"/>
      <c r="KB29" s="77"/>
      <c r="KC29" s="77"/>
      <c r="KD29" s="77"/>
      <c r="KE29" s="77"/>
      <c r="KF29" s="77"/>
      <c r="KG29" s="77"/>
      <c r="KH29" s="77"/>
      <c r="KI29" s="77"/>
      <c r="KJ29" s="77"/>
      <c r="KK29" s="77"/>
      <c r="KL29" s="77"/>
      <c r="KM29" s="77"/>
      <c r="KN29" s="77"/>
      <c r="KO29" s="77"/>
      <c r="KP29" s="77"/>
      <c r="KQ29" s="77"/>
      <c r="KR29" s="77"/>
      <c r="KS29" s="77"/>
      <c r="KT29" s="77"/>
      <c r="KU29" s="77"/>
      <c r="KV29" s="77"/>
      <c r="KW29" s="77"/>
      <c r="KX29" s="77"/>
      <c r="KY29" s="77"/>
      <c r="KZ29" s="77"/>
      <c r="LA29" s="77"/>
      <c r="LB29" s="77"/>
      <c r="LC29" s="77"/>
      <c r="LD29" s="77"/>
      <c r="LE29" s="77"/>
      <c r="LF29" s="77"/>
      <c r="LG29" s="77"/>
      <c r="LH29" s="77"/>
      <c r="LI29" s="77"/>
      <c r="LJ29" s="77"/>
      <c r="LK29" s="77"/>
      <c r="LL29" s="77"/>
      <c r="LM29" s="77"/>
      <c r="LN29" s="77"/>
      <c r="LO29" s="77"/>
      <c r="LP29" s="77"/>
      <c r="LQ29" s="77"/>
      <c r="LR29" s="77"/>
      <c r="LS29" s="77"/>
      <c r="LT29" s="77"/>
      <c r="LU29" s="77"/>
      <c r="LV29" s="77"/>
      <c r="LW29" s="77"/>
      <c r="LX29" s="77"/>
      <c r="LY29" s="77"/>
      <c r="LZ29" s="77"/>
      <c r="MA29" s="77"/>
      <c r="MB29" s="77"/>
      <c r="MC29" s="77"/>
      <c r="MD29" s="77"/>
      <c r="ME29" s="77"/>
      <c r="MF29" s="77"/>
      <c r="MG29" s="77"/>
      <c r="MH29" s="77"/>
      <c r="MI29" s="77"/>
      <c r="MJ29" s="77"/>
      <c r="MK29" s="77"/>
      <c r="ML29" s="77"/>
      <c r="MM29" s="77"/>
      <c r="MN29" s="77"/>
      <c r="MO29" s="77"/>
      <c r="MP29" s="77"/>
      <c r="MQ29" s="77"/>
      <c r="MR29" s="77"/>
      <c r="MS29" s="77"/>
      <c r="MT29" s="77"/>
      <c r="MU29" s="77"/>
      <c r="MV29" s="77"/>
      <c r="MW29" s="77"/>
      <c r="MX29" s="77"/>
      <c r="MY29" s="77"/>
      <c r="MZ29" s="77"/>
      <c r="NA29" s="77"/>
      <c r="NB29" s="77"/>
      <c r="NC29" s="77"/>
      <c r="ND29" s="77"/>
      <c r="NE29" s="77"/>
      <c r="NF29" s="77"/>
      <c r="NG29" s="77"/>
      <c r="NH29" s="77"/>
      <c r="NI29" s="77"/>
      <c r="NJ29" s="77"/>
      <c r="NK29" s="77"/>
      <c r="NL29" s="77"/>
      <c r="NM29" s="77"/>
      <c r="NN29" s="77"/>
      <c r="NO29" s="77"/>
      <c r="NP29" s="77"/>
      <c r="NQ29" s="77"/>
      <c r="NR29" s="77"/>
      <c r="NS29" s="77"/>
      <c r="NT29" s="77"/>
      <c r="NU29" s="77"/>
      <c r="NV29" s="77"/>
      <c r="NW29" s="77"/>
      <c r="NX29" s="77"/>
      <c r="NY29" s="77"/>
      <c r="NZ29" s="77"/>
      <c r="OA29" s="77"/>
      <c r="OB29" s="77"/>
      <c r="OC29" s="77"/>
      <c r="OD29" s="77"/>
      <c r="OE29" s="77"/>
      <c r="OF29" s="77"/>
      <c r="OG29" s="77"/>
      <c r="OH29" s="77"/>
      <c r="OI29" s="77"/>
      <c r="OJ29" s="77"/>
      <c r="OK29" s="77"/>
      <c r="OL29" s="77"/>
      <c r="OM29" s="77"/>
      <c r="ON29" s="77"/>
      <c r="OO29" s="77"/>
      <c r="OP29" s="77"/>
      <c r="OQ29" s="77"/>
      <c r="OR29" s="77"/>
      <c r="OS29" s="77"/>
      <c r="OT29" s="77"/>
      <c r="OU29" s="77"/>
      <c r="OV29" s="77"/>
      <c r="OW29" s="77"/>
      <c r="OX29" s="77"/>
      <c r="OY29" s="77"/>
      <c r="OZ29" s="77"/>
      <c r="PA29" s="77"/>
      <c r="PB29" s="77"/>
      <c r="PC29" s="77"/>
      <c r="PD29" s="77"/>
      <c r="PE29" s="77"/>
      <c r="PF29" s="77"/>
      <c r="PG29" s="77"/>
      <c r="PH29" s="77"/>
      <c r="PI29" s="77"/>
      <c r="PJ29" s="77"/>
      <c r="PK29" s="77"/>
      <c r="PL29" s="77"/>
      <c r="PM29" s="77"/>
      <c r="PN29" s="77"/>
      <c r="PO29" s="77"/>
      <c r="PP29" s="77"/>
      <c r="PQ29" s="77"/>
      <c r="PR29" s="77"/>
      <c r="PS29" s="77"/>
      <c r="PT29" s="77"/>
      <c r="PU29" s="77"/>
      <c r="PV29" s="77"/>
      <c r="PW29" s="77"/>
      <c r="PX29" s="77"/>
      <c r="PY29" s="77"/>
      <c r="PZ29" s="77"/>
      <c r="QA29" s="77"/>
      <c r="QB29" s="77"/>
      <c r="QC29" s="77"/>
      <c r="QD29" s="77"/>
      <c r="QE29" s="77"/>
      <c r="QF29" s="77"/>
      <c r="QG29" s="77"/>
      <c r="QH29" s="77"/>
      <c r="QI29" s="77"/>
      <c r="QJ29" s="77"/>
      <c r="QK29" s="77"/>
      <c r="QL29" s="77"/>
      <c r="QM29" s="77"/>
      <c r="QN29" s="77"/>
      <c r="QO29" s="77"/>
      <c r="QP29" s="77"/>
      <c r="QQ29" s="77"/>
      <c r="QR29" s="77"/>
      <c r="QS29" s="77"/>
      <c r="QT29" s="77"/>
      <c r="QU29" s="77"/>
      <c r="QV29" s="77"/>
      <c r="QW29" s="77"/>
      <c r="QX29" s="77"/>
      <c r="QY29" s="77"/>
      <c r="QZ29" s="77"/>
      <c r="RA29" s="77"/>
      <c r="RB29" s="77"/>
      <c r="RC29" s="77"/>
      <c r="RD29" s="77"/>
      <c r="RE29" s="77"/>
      <c r="RF29" s="77"/>
      <c r="RG29" s="77"/>
      <c r="RH29" s="77"/>
      <c r="RI29" s="77"/>
      <c r="RJ29" s="77"/>
      <c r="RK29" s="77"/>
      <c r="RL29" s="77"/>
      <c r="RM29" s="77"/>
      <c r="RN29" s="77"/>
      <c r="RO29" s="77"/>
      <c r="RP29" s="77"/>
      <c r="RQ29" s="77"/>
      <c r="RR29" s="77"/>
      <c r="RS29" s="77"/>
      <c r="RT29" s="77"/>
      <c r="RU29" s="77"/>
      <c r="RV29" s="77"/>
      <c r="RW29" s="77"/>
      <c r="RX29" s="77"/>
      <c r="RY29" s="77"/>
      <c r="RZ29" s="77"/>
      <c r="SA29" s="77"/>
      <c r="SB29" s="77"/>
      <c r="SC29" s="77"/>
      <c r="SD29" s="77"/>
      <c r="SE29" s="77"/>
      <c r="SF29" s="77"/>
      <c r="SG29" s="77"/>
      <c r="SH29" s="77"/>
      <c r="SI29" s="77"/>
      <c r="SJ29" s="77"/>
      <c r="SK29" s="77"/>
      <c r="SL29" s="77"/>
      <c r="SM29" s="77"/>
      <c r="SN29" s="77"/>
      <c r="SO29" s="77"/>
      <c r="SP29" s="77"/>
      <c r="SQ29" s="77"/>
      <c r="SR29" s="77"/>
      <c r="SS29" s="77"/>
      <c r="ST29" s="77"/>
      <c r="SU29" s="77"/>
      <c r="SV29" s="77"/>
      <c r="SW29" s="77"/>
      <c r="SX29" s="77"/>
      <c r="SY29" s="77"/>
      <c r="SZ29" s="77"/>
      <c r="TA29" s="77"/>
      <c r="TB29" s="77"/>
      <c r="TC29" s="77"/>
      <c r="TD29" s="77"/>
      <c r="TE29" s="77"/>
      <c r="TF29" s="77"/>
      <c r="TG29" s="77"/>
      <c r="TH29" s="77"/>
      <c r="TI29" s="77"/>
      <c r="TJ29" s="77"/>
      <c r="TK29" s="77"/>
      <c r="TL29" s="77"/>
      <c r="TM29" s="77"/>
      <c r="TN29" s="77"/>
      <c r="TO29" s="77"/>
      <c r="TP29" s="77"/>
      <c r="TQ29" s="77"/>
      <c r="TR29" s="77"/>
      <c r="TS29" s="77"/>
      <c r="TT29" s="77"/>
      <c r="TU29" s="77"/>
      <c r="TV29" s="77"/>
      <c r="TW29" s="77"/>
      <c r="TX29" s="77"/>
      <c r="TY29" s="77"/>
      <c r="TZ29" s="77"/>
      <c r="UA29" s="77"/>
      <c r="UB29" s="77"/>
      <c r="UC29" s="77"/>
      <c r="UD29" s="77"/>
      <c r="UE29" s="77"/>
      <c r="UF29" s="77"/>
      <c r="UG29" s="77"/>
      <c r="UH29" s="77"/>
      <c r="UI29" s="77"/>
      <c r="UJ29" s="77"/>
      <c r="UK29" s="77"/>
      <c r="UL29" s="77"/>
      <c r="UM29" s="77"/>
      <c r="UN29" s="77"/>
      <c r="UO29" s="77"/>
      <c r="UP29" s="77"/>
      <c r="UQ29" s="77"/>
      <c r="UR29" s="77"/>
      <c r="US29" s="77"/>
      <c r="UT29" s="77"/>
      <c r="UU29" s="77"/>
      <c r="UV29" s="77"/>
      <c r="UW29" s="77"/>
      <c r="UX29" s="77"/>
      <c r="UY29" s="77"/>
      <c r="UZ29" s="77"/>
      <c r="VA29" s="77"/>
      <c r="VB29" s="77"/>
      <c r="VC29" s="77"/>
      <c r="VD29" s="77"/>
      <c r="VE29" s="77"/>
      <c r="VF29" s="77"/>
      <c r="VG29" s="77"/>
      <c r="VH29" s="77"/>
      <c r="VI29" s="77"/>
      <c r="VJ29" s="77"/>
      <c r="VK29" s="77"/>
      <c r="VL29" s="77"/>
      <c r="VM29" s="77"/>
      <c r="VN29" s="77"/>
      <c r="VO29" s="77"/>
      <c r="VP29" s="77"/>
      <c r="VQ29" s="77"/>
      <c r="VR29" s="77"/>
      <c r="VS29" s="77"/>
      <c r="VT29" s="77"/>
      <c r="VU29" s="77"/>
      <c r="VV29" s="77"/>
      <c r="VW29" s="77"/>
      <c r="VX29" s="77"/>
      <c r="VY29" s="77"/>
      <c r="VZ29" s="77"/>
      <c r="WA29" s="77"/>
      <c r="WB29" s="77"/>
      <c r="WC29" s="77"/>
      <c r="WD29" s="77"/>
      <c r="WE29" s="77"/>
      <c r="WF29" s="77"/>
      <c r="WG29" s="77"/>
      <c r="WH29" s="77"/>
      <c r="WI29" s="77"/>
      <c r="WJ29" s="77"/>
      <c r="WK29" s="77"/>
      <c r="WL29" s="77"/>
      <c r="WM29" s="77"/>
      <c r="WN29" s="77"/>
      <c r="WO29" s="77"/>
      <c r="WP29" s="77"/>
      <c r="WQ29" s="77"/>
      <c r="WR29" s="77"/>
      <c r="WS29" s="77"/>
      <c r="WT29" s="77"/>
      <c r="WU29" s="77"/>
      <c r="WV29" s="77"/>
      <c r="WW29" s="77"/>
      <c r="WX29" s="77"/>
      <c r="WY29" s="77"/>
      <c r="WZ29" s="77"/>
      <c r="XA29" s="77"/>
      <c r="XB29" s="77"/>
      <c r="XC29" s="77"/>
      <c r="XD29" s="77"/>
      <c r="XE29" s="77"/>
      <c r="XF29" s="77"/>
      <c r="XG29" s="77"/>
      <c r="XH29" s="77"/>
      <c r="XI29" s="77"/>
      <c r="XJ29" s="77"/>
      <c r="XK29" s="77"/>
      <c r="XL29" s="77"/>
      <c r="XM29" s="77"/>
      <c r="XN29" s="77"/>
      <c r="XO29" s="77"/>
      <c r="XP29" s="77"/>
      <c r="XQ29" s="77"/>
      <c r="XR29" s="77"/>
      <c r="XS29" s="77"/>
      <c r="XT29" s="77"/>
      <c r="XU29" s="77"/>
      <c r="XV29" s="77"/>
      <c r="XW29" s="77"/>
      <c r="XX29" s="77"/>
      <c r="XY29" s="77"/>
      <c r="XZ29" s="77"/>
      <c r="YA29" s="77"/>
      <c r="YB29" s="77"/>
      <c r="YC29" s="77"/>
      <c r="YD29" s="77"/>
      <c r="YE29" s="77"/>
      <c r="YF29" s="77"/>
      <c r="YG29" s="77"/>
      <c r="YH29" s="77"/>
      <c r="YI29" s="77"/>
      <c r="YJ29" s="77"/>
      <c r="YK29" s="77"/>
      <c r="YL29" s="77"/>
      <c r="YM29" s="77"/>
      <c r="YN29" s="77"/>
      <c r="YO29" s="77"/>
      <c r="YP29" s="77"/>
      <c r="YQ29" s="77"/>
      <c r="YR29" s="77"/>
      <c r="YS29" s="77"/>
      <c r="YT29" s="77"/>
      <c r="YU29" s="77"/>
      <c r="YV29" s="77"/>
      <c r="YW29" s="77"/>
      <c r="YX29" s="77"/>
      <c r="YY29" s="77"/>
      <c r="YZ29" s="77"/>
      <c r="ZA29" s="77"/>
      <c r="ZB29" s="77"/>
      <c r="ZC29" s="77"/>
      <c r="ZD29" s="77"/>
      <c r="ZE29" s="77"/>
      <c r="ZF29" s="77"/>
      <c r="ZG29" s="77"/>
      <c r="ZH29" s="77"/>
      <c r="ZI29" s="77"/>
      <c r="ZJ29" s="77"/>
      <c r="ZK29" s="77"/>
      <c r="ZL29" s="77"/>
      <c r="ZM29" s="77"/>
      <c r="ZN29" s="77"/>
      <c r="ZO29" s="77"/>
      <c r="ZP29" s="77"/>
      <c r="ZQ29" s="77"/>
      <c r="ZR29" s="77"/>
      <c r="ZS29" s="77"/>
      <c r="ZT29" s="77"/>
      <c r="ZU29" s="77"/>
      <c r="ZV29" s="77"/>
      <c r="ZW29" s="77"/>
      <c r="ZX29" s="77"/>
      <c r="ZY29" s="77"/>
      <c r="ZZ29" s="77"/>
      <c r="AAA29" s="77"/>
      <c r="AAB29" s="77"/>
      <c r="AAC29" s="77"/>
      <c r="AAD29" s="77"/>
      <c r="AAE29" s="77"/>
      <c r="AAF29" s="77"/>
      <c r="AAG29" s="77"/>
      <c r="AAH29" s="77"/>
      <c r="AAI29" s="77"/>
      <c r="AAJ29" s="77"/>
      <c r="AAK29" s="77"/>
      <c r="AAL29" s="77"/>
      <c r="AAM29" s="77"/>
      <c r="AAN29" s="77"/>
      <c r="AAO29" s="77"/>
      <c r="AAP29" s="77"/>
      <c r="AAQ29" s="77"/>
      <c r="AAR29" s="77"/>
      <c r="AAS29" s="77"/>
      <c r="AAT29" s="77"/>
      <c r="AAU29" s="77"/>
      <c r="AAV29" s="77"/>
      <c r="AAW29" s="77"/>
      <c r="AAX29" s="77"/>
      <c r="AAY29" s="77"/>
      <c r="AAZ29" s="77"/>
      <c r="ABA29" s="77"/>
      <c r="ABB29" s="77"/>
      <c r="ABC29" s="77"/>
      <c r="ABD29" s="77"/>
      <c r="ABE29" s="77"/>
      <c r="ABF29" s="77"/>
      <c r="ABG29" s="77"/>
      <c r="ABH29" s="77"/>
      <c r="ABI29" s="77"/>
      <c r="ABJ29" s="77"/>
      <c r="ABK29" s="77"/>
      <c r="ABL29" s="77"/>
      <c r="ABM29" s="77"/>
      <c r="ABN29" s="77"/>
      <c r="ABO29" s="77"/>
      <c r="ABP29" s="77"/>
      <c r="ABQ29" s="77"/>
      <c r="ABR29" s="77"/>
      <c r="ABS29" s="77"/>
      <c r="ABT29" s="77"/>
      <c r="ABU29" s="77"/>
      <c r="ABV29" s="77"/>
      <c r="ABW29" s="77"/>
      <c r="ABX29" s="77"/>
      <c r="ABY29" s="77"/>
      <c r="ABZ29" s="77"/>
      <c r="ACA29" s="77"/>
      <c r="ACB29" s="77"/>
      <c r="ACC29" s="77"/>
      <c r="ACD29" s="77"/>
      <c r="ACE29" s="77"/>
      <c r="ACF29" s="77"/>
      <c r="ACG29" s="77"/>
      <c r="ACH29" s="77"/>
      <c r="ACI29" s="77"/>
      <c r="ACJ29" s="77"/>
      <c r="ACK29" s="77"/>
      <c r="ACL29" s="77"/>
      <c r="ACM29" s="77"/>
      <c r="ACN29" s="77"/>
      <c r="ACO29" s="77"/>
      <c r="ACP29" s="77"/>
      <c r="ACQ29" s="77"/>
      <c r="ACR29" s="77"/>
      <c r="ACS29" s="77"/>
      <c r="ACT29" s="77"/>
      <c r="ACU29" s="77"/>
      <c r="ACV29" s="77"/>
      <c r="ACW29" s="77"/>
      <c r="ACX29" s="77"/>
      <c r="ACY29" s="77"/>
      <c r="ACZ29" s="77"/>
      <c r="ADA29" s="77"/>
      <c r="ADB29" s="77"/>
      <c r="ADC29" s="77"/>
      <c r="ADD29" s="77"/>
      <c r="ADE29" s="77"/>
      <c r="ADF29" s="77"/>
      <c r="ADG29" s="77"/>
      <c r="ADH29" s="77"/>
      <c r="ADI29" s="77"/>
      <c r="ADJ29" s="77"/>
      <c r="ADK29" s="77"/>
      <c r="ADL29" s="77"/>
      <c r="ADM29" s="77"/>
      <c r="ADN29" s="77"/>
      <c r="ADO29" s="77"/>
      <c r="ADP29" s="77"/>
      <c r="ADQ29" s="77"/>
      <c r="ADR29" s="77"/>
      <c r="ADS29" s="77"/>
      <c r="ADT29" s="77"/>
      <c r="ADU29" s="77"/>
      <c r="ADV29" s="77"/>
      <c r="ADW29" s="77"/>
      <c r="ADX29" s="77"/>
      <c r="ADY29" s="77"/>
      <c r="ADZ29" s="77"/>
      <c r="AEA29" s="77"/>
      <c r="AEB29" s="77"/>
      <c r="AEC29" s="77"/>
      <c r="AED29" s="77"/>
      <c r="AEE29" s="77"/>
      <c r="AEF29" s="77"/>
      <c r="AEG29" s="77"/>
      <c r="AEH29" s="77"/>
      <c r="AEI29" s="77"/>
      <c r="AEJ29" s="77"/>
      <c r="AEK29" s="77"/>
      <c r="AEL29" s="77"/>
      <c r="AEM29" s="77"/>
      <c r="AEN29" s="77"/>
      <c r="AEO29" s="77"/>
      <c r="AEP29" s="77"/>
      <c r="AEQ29" s="77"/>
      <c r="AER29" s="77"/>
      <c r="AES29" s="77"/>
      <c r="AET29" s="77"/>
      <c r="AEU29" s="77"/>
      <c r="AEV29" s="77"/>
      <c r="AEW29" s="77"/>
      <c r="AEX29" s="77"/>
      <c r="AEY29" s="77"/>
      <c r="AEZ29" s="77"/>
      <c r="AFA29" s="77"/>
      <c r="AFB29" s="77"/>
      <c r="AFC29" s="77"/>
      <c r="AFD29" s="77"/>
      <c r="AFE29" s="77"/>
      <c r="AFF29" s="77"/>
      <c r="AFG29" s="77"/>
      <c r="AFH29" s="77"/>
      <c r="AFI29" s="77"/>
      <c r="AFJ29" s="77"/>
      <c r="AFK29" s="77"/>
      <c r="AFL29" s="77"/>
      <c r="AFM29" s="77"/>
      <c r="AFN29" s="77"/>
      <c r="AFO29" s="77"/>
      <c r="AFP29" s="77"/>
      <c r="AFQ29" s="77"/>
      <c r="AFR29" s="77"/>
      <c r="AFS29" s="77"/>
      <c r="AFT29" s="77"/>
      <c r="AFU29" s="77"/>
      <c r="AFV29" s="77"/>
      <c r="AFW29" s="77"/>
      <c r="AFX29" s="77"/>
      <c r="AFY29" s="77"/>
      <c r="AFZ29" s="77"/>
      <c r="AGA29" s="77"/>
      <c r="AGB29" s="77"/>
      <c r="AGC29" s="77"/>
      <c r="AGD29" s="77"/>
      <c r="AGE29" s="77"/>
      <c r="AGF29" s="77"/>
      <c r="AGG29" s="77"/>
      <c r="AGH29" s="77"/>
      <c r="AGI29" s="77"/>
      <c r="AGJ29" s="77"/>
      <c r="AGK29" s="77"/>
      <c r="AGL29" s="77"/>
      <c r="AGM29" s="77"/>
      <c r="AGN29" s="77"/>
      <c r="AGO29" s="77"/>
      <c r="AGP29" s="77"/>
      <c r="AGQ29" s="77"/>
      <c r="AGR29" s="77"/>
      <c r="AGS29" s="77"/>
      <c r="AGT29" s="77"/>
      <c r="AGU29" s="77"/>
      <c r="AGV29" s="77"/>
      <c r="AGW29" s="77"/>
      <c r="AGX29" s="77"/>
      <c r="AGY29" s="77"/>
      <c r="AGZ29" s="77"/>
      <c r="AHA29" s="77"/>
      <c r="AHB29" s="77"/>
      <c r="AHC29" s="77"/>
      <c r="AHD29" s="77"/>
      <c r="AHE29" s="77"/>
      <c r="AHF29" s="77"/>
      <c r="AHG29" s="77"/>
      <c r="AHH29" s="77"/>
      <c r="AHI29" s="77"/>
      <c r="AHJ29" s="77"/>
      <c r="AHK29" s="77"/>
      <c r="AHL29" s="77"/>
      <c r="AHM29" s="77"/>
      <c r="AHN29" s="77"/>
      <c r="AHO29" s="77"/>
      <c r="AHP29" s="77"/>
      <c r="AHQ29" s="77"/>
      <c r="AHR29" s="77"/>
      <c r="AHS29" s="77"/>
      <c r="AHT29" s="77"/>
      <c r="AHU29" s="77"/>
      <c r="AHV29" s="77"/>
      <c r="AHW29" s="77"/>
      <c r="AHX29" s="77"/>
      <c r="AHY29" s="77"/>
      <c r="AHZ29" s="77"/>
      <c r="AIA29" s="77"/>
      <c r="AIB29" s="77"/>
      <c r="AIC29" s="77"/>
      <c r="AID29" s="77"/>
      <c r="AIE29" s="77"/>
      <c r="AIF29" s="77"/>
      <c r="AIG29" s="77"/>
      <c r="AIH29" s="77"/>
      <c r="AII29" s="77"/>
      <c r="AIJ29" s="77"/>
      <c r="AIK29" s="77"/>
      <c r="AIL29" s="77"/>
      <c r="AIM29" s="77"/>
      <c r="AIN29" s="77"/>
      <c r="AIO29" s="77"/>
      <c r="AIP29" s="77"/>
      <c r="AIQ29" s="77"/>
      <c r="AIR29" s="77"/>
      <c r="AIS29" s="77"/>
      <c r="AIT29" s="77"/>
      <c r="AIU29" s="77"/>
      <c r="AIV29" s="77"/>
      <c r="AIW29" s="77"/>
      <c r="AIX29" s="77"/>
      <c r="AIY29" s="77"/>
      <c r="AIZ29" s="77"/>
      <c r="AJA29" s="77"/>
      <c r="AJB29" s="77"/>
      <c r="AJC29" s="77"/>
      <c r="AJD29" s="77"/>
      <c r="AJE29" s="77"/>
      <c r="AJF29" s="77"/>
      <c r="AJG29" s="77"/>
      <c r="AJH29" s="77"/>
      <c r="AJI29" s="77"/>
      <c r="AJJ29" s="77"/>
      <c r="AJK29" s="77"/>
      <c r="AJL29" s="77"/>
      <c r="AJM29" s="77"/>
      <c r="AJN29" s="77"/>
      <c r="AJO29" s="77"/>
      <c r="AJP29" s="77"/>
      <c r="AJQ29" s="77"/>
      <c r="AJR29" s="77"/>
      <c r="AJS29" s="77"/>
      <c r="AJT29" s="77"/>
      <c r="AJU29" s="77"/>
      <c r="AJV29" s="77"/>
      <c r="AJW29" s="77"/>
      <c r="AJX29" s="77"/>
      <c r="AJY29" s="77"/>
      <c r="AJZ29" s="77"/>
      <c r="AKA29" s="77"/>
      <c r="AKB29" s="77"/>
      <c r="AKC29" s="77"/>
      <c r="AKD29" s="77"/>
      <c r="AKE29" s="77"/>
      <c r="AKF29" s="77"/>
      <c r="AKG29" s="77"/>
      <c r="AKH29" s="77"/>
      <c r="AKI29" s="77"/>
      <c r="AKJ29" s="77"/>
      <c r="AKK29" s="77"/>
      <c r="AKL29" s="77"/>
      <c r="AKM29" s="77"/>
      <c r="AKN29" s="77"/>
      <c r="AKO29" s="77"/>
      <c r="AKP29" s="77"/>
      <c r="AKQ29" s="77"/>
      <c r="AKR29" s="77"/>
      <c r="AKS29" s="77"/>
      <c r="AKT29" s="77"/>
      <c r="AKU29" s="77"/>
      <c r="AKV29" s="77"/>
      <c r="AKW29" s="77"/>
      <c r="AKX29" s="77"/>
      <c r="AKY29" s="77"/>
      <c r="AKZ29" s="77"/>
      <c r="ALA29" s="77"/>
      <c r="ALB29" s="77"/>
      <c r="ALC29" s="77"/>
      <c r="ALD29" s="77"/>
      <c r="ALE29" s="77"/>
      <c r="ALF29" s="77"/>
      <c r="ALG29" s="77"/>
      <c r="ALH29" s="77"/>
      <c r="ALI29" s="77"/>
      <c r="ALJ29" s="77"/>
      <c r="ALK29" s="77"/>
      <c r="ALL29" s="77"/>
      <c r="ALM29" s="77"/>
      <c r="ALN29" s="77"/>
      <c r="ALO29" s="77"/>
      <c r="ALP29" s="77"/>
      <c r="ALQ29" s="77"/>
      <c r="ALR29" s="77"/>
      <c r="ALS29" s="77"/>
      <c r="ALT29" s="77"/>
      <c r="ALU29" s="77"/>
      <c r="ALV29" s="77"/>
      <c r="ALW29" s="77"/>
      <c r="ALX29" s="77"/>
      <c r="ALY29" s="77"/>
      <c r="ALZ29" s="77"/>
      <c r="AMA29" s="77"/>
      <c r="AMB29" s="77"/>
      <c r="AMC29" s="77"/>
      <c r="AMD29" s="77"/>
      <c r="AME29" s="77"/>
      <c r="AMF29" s="77"/>
      <c r="AMG29" s="77"/>
      <c r="AMH29" s="77"/>
      <c r="AMI29" s="77"/>
      <c r="AMJ29" s="77"/>
    </row>
    <row r="30" spans="1:1024" ht="40.5" customHeight="1" thickBot="1" x14ac:dyDescent="0.25">
      <c r="A30" s="72">
        <v>19</v>
      </c>
      <c r="B30" s="67" t="s">
        <v>98</v>
      </c>
      <c r="C30" s="115" t="str">
        <f>+'Necesidades Trimestrales'!E28</f>
        <v>PERFORADORAS; TAMAÑO: GRANDE, N° PERFORACIONES: MULTIPLE, DIST. ENTRE AGUJ.: REGULABLE, GUIA POSICION PAPEL: CON, MATERIAL ESTRUCTURA: BASE DE MADERA, MATERIAL: BASE DE MADERA</v>
      </c>
      <c r="D30" s="116"/>
      <c r="E30" s="116"/>
      <c r="F30" s="116"/>
      <c r="G30" s="117"/>
      <c r="H30" s="72" t="s">
        <v>61</v>
      </c>
      <c r="I30" s="73" t="s">
        <v>59</v>
      </c>
      <c r="J30" s="75">
        <v>1580</v>
      </c>
      <c r="K30" s="67">
        <v>6</v>
      </c>
    </row>
    <row r="31" spans="1:1024" ht="20.25" customHeight="1" thickBot="1" x14ac:dyDescent="0.25">
      <c r="A31" s="74">
        <v>20</v>
      </c>
      <c r="B31" s="67" t="s">
        <v>101</v>
      </c>
      <c r="C31" s="115" t="str">
        <f>+'Necesidades Trimestrales'!E29</f>
        <v>REGLAS GRADUADAS; LONG.DE CUERPO: 20 Cm, TIPO: PLANA, MATERIAL: PLASTICO</v>
      </c>
      <c r="D31" s="116"/>
      <c r="E31" s="116"/>
      <c r="F31" s="116"/>
      <c r="G31" s="117"/>
      <c r="H31" s="72" t="s">
        <v>61</v>
      </c>
      <c r="I31" s="73" t="s">
        <v>59</v>
      </c>
      <c r="J31" s="75">
        <v>15</v>
      </c>
      <c r="K31" s="67">
        <v>150</v>
      </c>
    </row>
    <row r="32" spans="1:1024" ht="36.75" customHeight="1" thickBot="1" x14ac:dyDescent="0.25">
      <c r="A32" s="72">
        <v>21</v>
      </c>
      <c r="B32" s="67" t="s">
        <v>102</v>
      </c>
      <c r="C32" s="115" t="str">
        <f>+'Necesidades Trimestrales'!E30</f>
        <v>MAQUINAS SACABROCHES; EXTRACTOR: HIERRO, CUERPO: PLASTICO, MATERIAL: PLASTICO, MATERIAL DEL CUERPO: PLASTICO</v>
      </c>
      <c r="D32" s="116"/>
      <c r="E32" s="116"/>
      <c r="F32" s="116"/>
      <c r="G32" s="117"/>
      <c r="H32" s="72" t="s">
        <v>61</v>
      </c>
      <c r="I32" s="73" t="s">
        <v>59</v>
      </c>
      <c r="J32" s="75">
        <v>66</v>
      </c>
      <c r="K32" s="67">
        <v>40</v>
      </c>
    </row>
    <row r="33" spans="1:11" ht="35.25" customHeight="1" thickBot="1" x14ac:dyDescent="0.25">
      <c r="A33" s="74">
        <v>22</v>
      </c>
      <c r="B33" s="67" t="s">
        <v>105</v>
      </c>
      <c r="C33" s="115" t="str">
        <f>+'Necesidades Trimestrales'!E31</f>
        <v>CINTAS ADHESIVAS; TIPO: EMBALAR, ANCHO: 48 mm, LARGO ROLLO: 50 M, MATERIAL: PLASTICO, ACCESORIO: SIN, LARGO: 50 M</v>
      </c>
      <c r="D33" s="116"/>
      <c r="E33" s="116"/>
      <c r="F33" s="116"/>
      <c r="G33" s="117"/>
      <c r="H33" s="72" t="s">
        <v>61</v>
      </c>
      <c r="I33" s="73" t="s">
        <v>59</v>
      </c>
      <c r="J33" s="75">
        <v>68</v>
      </c>
      <c r="K33" s="67">
        <v>50</v>
      </c>
    </row>
    <row r="34" spans="1:11" ht="20.25" customHeight="1" thickBot="1" x14ac:dyDescent="0.25">
      <c r="A34" s="72">
        <v>23</v>
      </c>
      <c r="B34" s="67" t="s">
        <v>106</v>
      </c>
      <c r="C34" s="115" t="str">
        <f>+'Necesidades Trimestrales'!E32</f>
        <v>RESALTADORES; ACCESORIO SIN - TIPO PUNTA 5 (CHANFLEADA) mm</v>
      </c>
      <c r="D34" s="116"/>
      <c r="E34" s="116"/>
      <c r="F34" s="116"/>
      <c r="G34" s="117"/>
      <c r="H34" s="72" t="s">
        <v>61</v>
      </c>
      <c r="I34" s="73" t="s">
        <v>59</v>
      </c>
      <c r="J34" s="75">
        <v>42.6</v>
      </c>
      <c r="K34" s="67">
        <v>72</v>
      </c>
    </row>
    <row r="35" spans="1:11" ht="20.25" customHeight="1" thickBot="1" x14ac:dyDescent="0.25">
      <c r="A35" s="74">
        <v>24</v>
      </c>
      <c r="B35" s="67" t="s">
        <v>106</v>
      </c>
      <c r="C35" s="115" t="str">
        <f>+'Necesidades Trimestrales'!E33</f>
        <v>RESALTADORES; ACCESORIO SIN - TIPO PUNTA 5 (CHANFLEADA) mm</v>
      </c>
      <c r="D35" s="116"/>
      <c r="E35" s="116"/>
      <c r="F35" s="116"/>
      <c r="G35" s="117"/>
      <c r="H35" s="72" t="s">
        <v>61</v>
      </c>
      <c r="I35" s="73" t="s">
        <v>59</v>
      </c>
      <c r="J35" s="75">
        <v>42.6</v>
      </c>
      <c r="K35" s="67">
        <v>72</v>
      </c>
    </row>
    <row r="36" spans="1:11" ht="20.25" customHeight="1" thickBot="1" x14ac:dyDescent="0.25">
      <c r="A36" s="72">
        <v>25</v>
      </c>
      <c r="B36" s="67" t="s">
        <v>106</v>
      </c>
      <c r="C36" s="115" t="str">
        <f>+'Necesidades Trimestrales'!E34</f>
        <v>RESALTADORES; ACCESORIO SIN - TIPO PUNTA 5 (CHANFLEADA) mm</v>
      </c>
      <c r="D36" s="116"/>
      <c r="E36" s="116"/>
      <c r="F36" s="116"/>
      <c r="G36" s="117"/>
      <c r="H36" s="72" t="s">
        <v>61</v>
      </c>
      <c r="I36" s="73" t="s">
        <v>59</v>
      </c>
      <c r="J36" s="75">
        <v>42.6</v>
      </c>
      <c r="K36" s="67">
        <v>72</v>
      </c>
    </row>
    <row r="37" spans="1:11" ht="20.25" customHeight="1" thickBot="1" x14ac:dyDescent="0.25">
      <c r="A37" s="74">
        <v>26</v>
      </c>
      <c r="B37" s="67" t="s">
        <v>106</v>
      </c>
      <c r="C37" s="115" t="str">
        <f>+'Necesidades Trimestrales'!E35</f>
        <v>RESALTADORES; ACCESORIO SIN - TIPO PUNTA 5 (CHANFLEADA) mm</v>
      </c>
      <c r="D37" s="116"/>
      <c r="E37" s="116"/>
      <c r="F37" s="116"/>
      <c r="G37" s="117"/>
      <c r="H37" s="72" t="s">
        <v>61</v>
      </c>
      <c r="I37" s="73" t="s">
        <v>59</v>
      </c>
      <c r="J37" s="75">
        <v>42.6</v>
      </c>
      <c r="K37" s="67">
        <v>72</v>
      </c>
    </row>
    <row r="38" spans="1:11" ht="20.25" customHeight="1" thickBot="1" x14ac:dyDescent="0.25">
      <c r="A38" s="72">
        <v>27</v>
      </c>
      <c r="B38" s="67" t="s">
        <v>108</v>
      </c>
      <c r="C38" s="115" t="str">
        <f>+'Necesidades Trimestrales'!E36</f>
        <v>ALMOHADILLAS P/SELLOS; MEDIDA: 5 X 9 Cm, MATERIAL: PLASTICO</v>
      </c>
      <c r="D38" s="116"/>
      <c r="E38" s="116"/>
      <c r="F38" s="116"/>
      <c r="G38" s="117"/>
      <c r="H38" s="72" t="s">
        <v>61</v>
      </c>
      <c r="I38" s="73" t="s">
        <v>59</v>
      </c>
      <c r="J38" s="75">
        <v>150</v>
      </c>
      <c r="K38" s="67">
        <v>20</v>
      </c>
    </row>
    <row r="39" spans="1:11" ht="20.25" customHeight="1" thickBot="1" x14ac:dyDescent="0.25">
      <c r="A39" s="74">
        <v>28</v>
      </c>
      <c r="B39" s="67" t="s">
        <v>110</v>
      </c>
      <c r="C39" s="115" t="str">
        <f>+'Necesidades Trimestrales'!E37</f>
        <v>TINTAS P/SELLOS; TIPO DE SELLO: DE GOMA, ENVASE: 60 CM3, COLOR: AZUL, PRESENTACION: ENVASE X 60 CM3</v>
      </c>
      <c r="D39" s="116"/>
      <c r="E39" s="116"/>
      <c r="F39" s="116"/>
      <c r="G39" s="117"/>
      <c r="H39" s="72" t="s">
        <v>61</v>
      </c>
      <c r="I39" s="73" t="s">
        <v>59</v>
      </c>
      <c r="J39" s="75">
        <v>168</v>
      </c>
      <c r="K39" s="67">
        <v>20</v>
      </c>
    </row>
    <row r="40" spans="1:11" ht="20.25" customHeight="1" thickBot="1" x14ac:dyDescent="0.25">
      <c r="A40" s="72">
        <v>29</v>
      </c>
      <c r="B40" s="67" t="s">
        <v>113</v>
      </c>
      <c r="C40" s="115" t="str">
        <f>+'Necesidades Trimestrales'!E38</f>
        <v>TINTAS P/SELLOS; ENVASE: 30 CM3, COLOR: NEGRO, TIPO DE SELLO: DE GOMA, PRESENTACION: ENVASE X 30 CM3</v>
      </c>
      <c r="D40" s="116"/>
      <c r="E40" s="116"/>
      <c r="F40" s="116"/>
      <c r="G40" s="117"/>
      <c r="H40" s="72" t="s">
        <v>61</v>
      </c>
      <c r="I40" s="73" t="s">
        <v>59</v>
      </c>
      <c r="J40" s="75">
        <v>168</v>
      </c>
      <c r="K40" s="67">
        <v>20</v>
      </c>
    </row>
    <row r="41" spans="1:11" ht="20.25" customHeight="1" thickBot="1" x14ac:dyDescent="0.25">
      <c r="A41" s="74">
        <v>30</v>
      </c>
      <c r="B41" s="67" t="s">
        <v>114</v>
      </c>
      <c r="C41" s="115" t="str">
        <f>+'Necesidades Trimestrales'!E39</f>
        <v>FOLIOS TRANSPARENTES; TAMAÑO: A4, PERFORACIONES: 5, MATERIAL: PLASTICO (POLIETILENO)</v>
      </c>
      <c r="D41" s="116"/>
      <c r="E41" s="116"/>
      <c r="F41" s="116"/>
      <c r="G41" s="117"/>
      <c r="H41" s="72" t="s">
        <v>61</v>
      </c>
      <c r="I41" s="73" t="s">
        <v>59</v>
      </c>
      <c r="J41" s="75">
        <v>2.8</v>
      </c>
      <c r="K41" s="67">
        <v>2500</v>
      </c>
    </row>
    <row r="42" spans="1:11" ht="20.25" customHeight="1" thickBot="1" x14ac:dyDescent="0.25">
      <c r="A42" s="72">
        <v>31</v>
      </c>
      <c r="B42" s="67" t="s">
        <v>117</v>
      </c>
      <c r="C42" s="115" t="str">
        <f>+'Necesidades Trimestrales'!E40</f>
        <v>FOLIOS TRANSPARENTES; MATERIAL: PLASTICO (POLIETILENO), TAMAÑO: OFICIO, PERFORACIONES: 5 UNIVERSALES</v>
      </c>
      <c r="D42" s="116"/>
      <c r="E42" s="116"/>
      <c r="F42" s="116"/>
      <c r="G42" s="117"/>
      <c r="H42" s="72" t="s">
        <v>61</v>
      </c>
      <c r="I42" s="73" t="s">
        <v>59</v>
      </c>
      <c r="J42" s="75">
        <v>3.4</v>
      </c>
      <c r="K42" s="67">
        <v>2500</v>
      </c>
    </row>
    <row r="43" spans="1:11" ht="33" customHeight="1" thickBot="1" x14ac:dyDescent="0.25">
      <c r="A43" s="74">
        <v>32</v>
      </c>
      <c r="B43" s="67" t="s">
        <v>118</v>
      </c>
      <c r="C43" s="115" t="str">
        <f>+'Necesidades Trimestrales'!E41</f>
        <v>PAPELES ENCUADERNADOS; CANT. DE HOJAS: 200, TAMAÑO: 22,5 X 34,5 Cm, TIPO: LIBRO DE ACTAS, CERTIFICADO FORESTAL (GFS): SIN, PORC. FIBRAS RECICLADAS: 0 %, CERT. FIBRA ALTERNATIVA (FCA): SIN</v>
      </c>
      <c r="D43" s="116"/>
      <c r="E43" s="116"/>
      <c r="F43" s="116"/>
      <c r="G43" s="117"/>
      <c r="H43" s="72" t="s">
        <v>61</v>
      </c>
      <c r="I43" s="73" t="s">
        <v>59</v>
      </c>
      <c r="J43" s="75">
        <v>500</v>
      </c>
      <c r="K43" s="67">
        <v>16</v>
      </c>
    </row>
    <row r="44" spans="1:11" ht="20.25" customHeight="1" thickBot="1" x14ac:dyDescent="0.25">
      <c r="A44" s="72">
        <v>33</v>
      </c>
      <c r="B44" s="67" t="s">
        <v>122</v>
      </c>
      <c r="C44" s="115" t="str">
        <f>+'Necesidades Trimestrales'!E42</f>
        <v>CARPETAS; MATERIAL PVC - TAMAÑO OFICIO</v>
      </c>
      <c r="D44" s="116"/>
      <c r="E44" s="116"/>
      <c r="F44" s="116"/>
      <c r="G44" s="117"/>
      <c r="H44" s="72" t="s">
        <v>61</v>
      </c>
      <c r="I44" s="73" t="s">
        <v>59</v>
      </c>
      <c r="J44" s="75">
        <v>30</v>
      </c>
      <c r="K44" s="67">
        <v>200</v>
      </c>
    </row>
    <row r="45" spans="1:11" ht="20.25" customHeight="1" thickBot="1" x14ac:dyDescent="0.25">
      <c r="A45" s="74">
        <v>34</v>
      </c>
      <c r="B45" s="67" t="s">
        <v>123</v>
      </c>
      <c r="C45" s="115" t="str">
        <f>+'Necesidades Trimestrales'!E43</f>
        <v>CARPETAS; MATERIAL PVC - TAMAÑO A4</v>
      </c>
      <c r="D45" s="116"/>
      <c r="E45" s="116"/>
      <c r="F45" s="116"/>
      <c r="G45" s="117"/>
      <c r="H45" s="72" t="s">
        <v>61</v>
      </c>
      <c r="I45" s="73" t="s">
        <v>59</v>
      </c>
      <c r="J45" s="75">
        <v>30</v>
      </c>
      <c r="K45" s="67">
        <v>200</v>
      </c>
    </row>
    <row r="46" spans="1:11" ht="20.25" customHeight="1" thickBot="1" x14ac:dyDescent="0.25">
      <c r="A46" s="72">
        <v>35</v>
      </c>
      <c r="B46" s="67" t="s">
        <v>124</v>
      </c>
      <c r="C46" s="115" t="str">
        <f>+'Necesidades Trimestrales'!E44</f>
        <v>MEMORIAS USB; CAPACIDAD: 16 Gb, TIPO: PEN DRIVE</v>
      </c>
      <c r="D46" s="116"/>
      <c r="E46" s="116"/>
      <c r="F46" s="116"/>
      <c r="G46" s="117"/>
      <c r="H46" s="72" t="s">
        <v>61</v>
      </c>
      <c r="I46" s="73" t="s">
        <v>59</v>
      </c>
      <c r="J46" s="75">
        <v>627</v>
      </c>
      <c r="K46" s="67">
        <v>10</v>
      </c>
    </row>
    <row r="47" spans="1:11" ht="50.25" customHeight="1" thickBot="1" x14ac:dyDescent="0.25">
      <c r="A47" s="74">
        <v>36</v>
      </c>
      <c r="B47" s="67" t="s">
        <v>128</v>
      </c>
      <c r="C47" s="115" t="str">
        <f>+'Necesidades Trimestrales'!E45</f>
        <v>PAPELES EN HOJA; TIPO DE PAPEL: TACO MULTICOLOR, DIMENSION: 9 X 9 Cm, GRAMAJE: NO CORRESPONDE, PRESENTACION: ENVASE X 400 HOJAS, CERTIFICADO FORESTAL (GFS): SIN, PORC. FIBRAS RECICLADAS: 0 %, CERT. FIBRA ALTERNATIVA (FCA): SIN</v>
      </c>
      <c r="D47" s="116"/>
      <c r="E47" s="116"/>
      <c r="F47" s="116"/>
      <c r="G47" s="117"/>
      <c r="H47" s="72" t="s">
        <v>61</v>
      </c>
      <c r="I47" s="73" t="s">
        <v>59</v>
      </c>
      <c r="J47" s="75">
        <v>107</v>
      </c>
      <c r="K47" s="67">
        <v>30</v>
      </c>
    </row>
    <row r="48" spans="1:11" ht="20.25" customHeight="1" thickBot="1" x14ac:dyDescent="0.25">
      <c r="A48" s="72">
        <v>37</v>
      </c>
      <c r="B48" s="67" t="s">
        <v>129</v>
      </c>
      <c r="C48" s="115" t="str">
        <f>+'Necesidades Trimestrales'!E46</f>
        <v>ORGANIZADORES DE ESCRITORIO; CANTIDAD FUNCIONES: 10, MATERIAL: PLASTICO</v>
      </c>
      <c r="D48" s="116"/>
      <c r="E48" s="116"/>
      <c r="F48" s="116"/>
      <c r="G48" s="117"/>
      <c r="H48" s="72" t="s">
        <v>61</v>
      </c>
      <c r="I48" s="73" t="s">
        <v>59</v>
      </c>
      <c r="J48" s="75">
        <v>820</v>
      </c>
      <c r="K48" s="67">
        <v>15</v>
      </c>
    </row>
    <row r="49" spans="1:26" ht="42" customHeight="1" thickBot="1" x14ac:dyDescent="0.25">
      <c r="A49" s="72">
        <v>38</v>
      </c>
      <c r="B49" s="67" t="s">
        <v>148</v>
      </c>
      <c r="C49" s="115" t="s">
        <v>149</v>
      </c>
      <c r="D49" s="116"/>
      <c r="E49" s="116"/>
      <c r="F49" s="116"/>
      <c r="G49" s="117"/>
      <c r="H49" s="72" t="s">
        <v>61</v>
      </c>
      <c r="I49" s="73" t="s">
        <v>59</v>
      </c>
      <c r="J49" s="75">
        <v>420</v>
      </c>
      <c r="K49" s="67">
        <v>500</v>
      </c>
    </row>
    <row r="50" spans="1:26" ht="39.75" customHeight="1" thickBot="1" x14ac:dyDescent="0.25">
      <c r="A50" s="72">
        <v>39</v>
      </c>
      <c r="B50" s="67" t="s">
        <v>150</v>
      </c>
      <c r="C50" s="115" t="s">
        <v>151</v>
      </c>
      <c r="D50" s="116"/>
      <c r="E50" s="116"/>
      <c r="F50" s="116"/>
      <c r="G50" s="117"/>
      <c r="H50" s="72" t="s">
        <v>61</v>
      </c>
      <c r="I50" s="73" t="s">
        <v>59</v>
      </c>
      <c r="J50" s="75">
        <v>500</v>
      </c>
      <c r="K50" s="67">
        <v>500</v>
      </c>
    </row>
    <row r="51" spans="1:26" ht="20.25" customHeight="1" thickBot="1" x14ac:dyDescent="0.25">
      <c r="A51" s="110" t="s">
        <v>152</v>
      </c>
      <c r="B51" s="110"/>
      <c r="C51" s="110"/>
      <c r="D51" s="110"/>
      <c r="E51" s="110"/>
      <c r="F51" s="110"/>
      <c r="G51" s="110"/>
      <c r="H51" s="110"/>
      <c r="I51" s="110"/>
      <c r="J51" s="111">
        <v>708108.80000000005</v>
      </c>
      <c r="K51" s="111"/>
    </row>
    <row r="53" spans="1:26" x14ac:dyDescent="0.2">
      <c r="A53"/>
    </row>
    <row r="54" spans="1:26" x14ac:dyDescent="0.2">
      <c r="A54" s="46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x14ac:dyDescent="0.2">
      <c r="A55" s="46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x14ac:dyDescent="0.2">
      <c r="A56" s="48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x14ac:dyDescent="0.2">
      <c r="A57" s="48"/>
      <c r="B57" s="48"/>
      <c r="C57" s="48"/>
      <c r="D57" s="48"/>
      <c r="E57" s="48"/>
      <c r="F57" s="48"/>
      <c r="G57" s="48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x14ac:dyDescent="0.2">
      <c r="A58" s="46"/>
      <c r="B58" s="48"/>
      <c r="C58" s="48"/>
      <c r="D58" s="48"/>
      <c r="E58" s="48"/>
      <c r="F58" s="48"/>
      <c r="G58" s="48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x14ac:dyDescent="0.2">
      <c r="A59" s="48"/>
      <c r="B59" s="48"/>
      <c r="C59" s="48"/>
      <c r="D59" s="48"/>
      <c r="F59" s="48"/>
      <c r="G59" s="48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x14ac:dyDescent="0.2">
      <c r="A60" s="49"/>
      <c r="B60" s="48"/>
      <c r="C60" s="48"/>
      <c r="D60" s="48"/>
      <c r="E60" s="48"/>
      <c r="F60" s="48"/>
      <c r="G60" s="48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x14ac:dyDescent="0.2">
      <c r="A61" s="49"/>
      <c r="B61" s="48"/>
      <c r="C61" s="48"/>
      <c r="D61" s="48"/>
      <c r="E61" s="48"/>
      <c r="F61" s="48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x14ac:dyDescent="0.2">
      <c r="A62" s="49"/>
      <c r="B62" s="46"/>
      <c r="C62" s="48"/>
      <c r="D62" s="48"/>
      <c r="E62" s="48"/>
      <c r="F62" s="48"/>
      <c r="G62" s="48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x14ac:dyDescent="0.2">
      <c r="A63" s="46"/>
      <c r="B63" s="50"/>
      <c r="C63" s="48"/>
      <c r="D63" s="48"/>
      <c r="E63" s="48"/>
      <c r="F63" s="48"/>
      <c r="G63" s="48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x14ac:dyDescent="0.2">
      <c r="A64" s="46"/>
      <c r="B64" s="48"/>
      <c r="C64" s="48"/>
      <c r="D64" s="48"/>
      <c r="E64" s="48"/>
      <c r="F64" s="48"/>
      <c r="G64" s="48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x14ac:dyDescent="0.2">
      <c r="A65" s="48"/>
      <c r="B65" s="48"/>
      <c r="C65" s="48"/>
      <c r="D65" s="48"/>
      <c r="E65" s="48"/>
      <c r="F65" s="48"/>
      <c r="G65" s="48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x14ac:dyDescent="0.2">
      <c r="A66" s="48"/>
      <c r="B66" s="48"/>
      <c r="C66" s="50"/>
      <c r="D66" s="50"/>
      <c r="E66" s="48"/>
      <c r="F66" s="48"/>
      <c r="G66" s="48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x14ac:dyDescent="0.2">
      <c r="A67" s="48"/>
      <c r="B67" s="46"/>
      <c r="C67" s="48"/>
      <c r="D67" s="48"/>
      <c r="E67" s="48"/>
      <c r="F67" s="48"/>
      <c r="G67" s="48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x14ac:dyDescent="0.2">
      <c r="A68" s="48"/>
      <c r="B68" s="46"/>
      <c r="C68" s="48"/>
      <c r="D68" s="48"/>
      <c r="E68" s="48"/>
      <c r="F68" s="48"/>
      <c r="G68" s="48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x14ac:dyDescent="0.2">
      <c r="A69" s="46"/>
      <c r="B69" s="48"/>
      <c r="C69" s="48"/>
      <c r="D69" s="48"/>
      <c r="E69" s="48"/>
      <c r="F69" s="48"/>
      <c r="G69" s="48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x14ac:dyDescent="0.2">
      <c r="A70" s="48"/>
      <c r="B70" s="48"/>
      <c r="C70" s="48"/>
      <c r="D70" s="48"/>
      <c r="E70" s="48"/>
      <c r="F70" s="48"/>
      <c r="G70" s="48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x14ac:dyDescent="0.2">
      <c r="A71" s="49"/>
      <c r="B71" s="48"/>
      <c r="C71" s="48"/>
      <c r="D71" s="48"/>
      <c r="E71" s="48"/>
      <c r="F71" s="48"/>
      <c r="G71" s="48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x14ac:dyDescent="0.2">
      <c r="A72" s="46"/>
      <c r="B72" s="48"/>
      <c r="C72" s="48"/>
      <c r="D72" s="48"/>
      <c r="E72" s="48"/>
      <c r="F72" s="48"/>
      <c r="G72" s="48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x14ac:dyDescent="0.2">
      <c r="A73" s="46"/>
      <c r="B73" s="48"/>
      <c r="C73" s="48"/>
      <c r="D73" s="48"/>
      <c r="E73" s="48"/>
      <c r="F73" s="48"/>
      <c r="G73" s="48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x14ac:dyDescent="0.2">
      <c r="A74" s="47"/>
      <c r="B74" s="50"/>
      <c r="C74" s="48"/>
      <c r="D74" s="48"/>
      <c r="E74" s="48"/>
      <c r="F74" s="48"/>
      <c r="G74" s="48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x14ac:dyDescent="0.2">
      <c r="A75" s="47"/>
      <c r="B75" s="48"/>
      <c r="C75" s="48"/>
      <c r="D75" s="48"/>
      <c r="E75" s="48"/>
      <c r="F75" s="48"/>
      <c r="G75" s="48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x14ac:dyDescent="0.2">
      <c r="A76" s="47"/>
      <c r="B76" s="48"/>
      <c r="C76" s="48"/>
      <c r="D76" s="48"/>
      <c r="E76" s="48"/>
      <c r="F76" s="48"/>
      <c r="G76" s="48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x14ac:dyDescent="0.2">
      <c r="A77" s="47"/>
      <c r="B77" s="48"/>
      <c r="C77" s="50"/>
      <c r="D77" s="50"/>
      <c r="E77" s="48"/>
      <c r="F77" s="48"/>
      <c r="G77" s="48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x14ac:dyDescent="0.2">
      <c r="A78" s="47"/>
      <c r="B78" s="47"/>
      <c r="C78" s="48"/>
      <c r="D78" s="48"/>
      <c r="E78" s="48"/>
      <c r="F78" s="48"/>
      <c r="G78" s="48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x14ac:dyDescent="0.2">
      <c r="A79" s="47"/>
      <c r="B79" s="47"/>
      <c r="C79" s="48"/>
      <c r="D79" s="48"/>
      <c r="E79" s="48"/>
      <c r="F79" s="48"/>
      <c r="G79" s="48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x14ac:dyDescent="0.2">
      <c r="A80" s="47"/>
      <c r="B80" s="47"/>
      <c r="C80" s="48"/>
      <c r="D80" s="48"/>
      <c r="E80" s="48"/>
      <c r="F80" s="48"/>
      <c r="G80" s="48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x14ac:dyDescent="0.2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x14ac:dyDescent="0.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x14ac:dyDescent="0.2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x14ac:dyDescent="0.2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x14ac:dyDescent="0.2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x14ac:dyDescent="0.2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x14ac:dyDescent="0.2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x14ac:dyDescent="0.2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x14ac:dyDescent="0.2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x14ac:dyDescent="0.2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x14ac:dyDescent="0.2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x14ac:dyDescent="0.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x14ac:dyDescent="0.2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x14ac:dyDescent="0.2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x14ac:dyDescent="0.2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x14ac:dyDescent="0.2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x14ac:dyDescent="0.2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x14ac:dyDescent="0.2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x14ac:dyDescent="0.2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x14ac:dyDescent="0.2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x14ac:dyDescent="0.2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x14ac:dyDescent="0.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x14ac:dyDescent="0.2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x14ac:dyDescent="0.2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x14ac:dyDescent="0.2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x14ac:dyDescent="0.2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x14ac:dyDescent="0.2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x14ac:dyDescent="0.2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x14ac:dyDescent="0.2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x14ac:dyDescent="0.2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x14ac:dyDescent="0.2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x14ac:dyDescent="0.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x14ac:dyDescent="0.2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x14ac:dyDescent="0.2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x14ac:dyDescent="0.2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x14ac:dyDescent="0.2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x14ac:dyDescent="0.2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x14ac:dyDescent="0.2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x14ac:dyDescent="0.2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x14ac:dyDescent="0.2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x14ac:dyDescent="0.2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x14ac:dyDescent="0.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x14ac:dyDescent="0.2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x14ac:dyDescent="0.2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x14ac:dyDescent="0.2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x14ac:dyDescent="0.2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x14ac:dyDescent="0.2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</sheetData>
  <mergeCells count="61">
    <mergeCell ref="C49:G49"/>
    <mergeCell ref="C50:G50"/>
    <mergeCell ref="C47:G47"/>
    <mergeCell ref="C48:G48"/>
    <mergeCell ref="C41:G41"/>
    <mergeCell ref="C42:G42"/>
    <mergeCell ref="C43:G43"/>
    <mergeCell ref="C44:G44"/>
    <mergeCell ref="C45:G45"/>
    <mergeCell ref="C37:G37"/>
    <mergeCell ref="C38:G38"/>
    <mergeCell ref="C39:G39"/>
    <mergeCell ref="C40:G40"/>
    <mergeCell ref="C46:G46"/>
    <mergeCell ref="C32:G32"/>
    <mergeCell ref="C33:G33"/>
    <mergeCell ref="C34:G34"/>
    <mergeCell ref="C35:G35"/>
    <mergeCell ref="C36:G36"/>
    <mergeCell ref="C27:G27"/>
    <mergeCell ref="C28:G28"/>
    <mergeCell ref="C29:G29"/>
    <mergeCell ref="C30:G30"/>
    <mergeCell ref="C31:G31"/>
    <mergeCell ref="A51:I51"/>
    <mergeCell ref="J51:K51"/>
    <mergeCell ref="C12:G12"/>
    <mergeCell ref="C21:G21"/>
    <mergeCell ref="C13:G13"/>
    <mergeCell ref="C14:G14"/>
    <mergeCell ref="C15:G15"/>
    <mergeCell ref="C16:G16"/>
    <mergeCell ref="C17:G17"/>
    <mergeCell ref="C18:G18"/>
    <mergeCell ref="C19:G19"/>
    <mergeCell ref="C20:G20"/>
    <mergeCell ref="C22:G22"/>
    <mergeCell ref="C24:G24"/>
    <mergeCell ref="C25:G25"/>
    <mergeCell ref="C26:G26"/>
    <mergeCell ref="H10:H11"/>
    <mergeCell ref="I10:I11"/>
    <mergeCell ref="J10:J11"/>
    <mergeCell ref="K10:K11"/>
    <mergeCell ref="C23:G23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B10:B11"/>
    <mergeCell ref="C10:G11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topLeftCell="A10" zoomScale="130" zoomScaleNormal="130" workbookViewId="0">
      <selection activeCell="Q21" sqref="Q21"/>
    </sheetView>
  </sheetViews>
  <sheetFormatPr baseColWidth="10" defaultRowHeight="12.75" x14ac:dyDescent="0.2"/>
  <cols>
    <col min="1" max="5" width="4.42578125" customWidth="1"/>
    <col min="6" max="6" width="5.42578125" customWidth="1"/>
    <col min="7" max="7" width="4.42578125" style="4" customWidth="1"/>
    <col min="8" max="14" width="4.42578125" customWidth="1"/>
    <col min="15" max="15" width="14.85546875" customWidth="1"/>
    <col min="16" max="16" width="18.7109375" customWidth="1"/>
    <col min="17" max="17" width="14.7109375" customWidth="1"/>
  </cols>
  <sheetData>
    <row r="1" spans="1:17" ht="15.75" customHeight="1" x14ac:dyDescent="0.25">
      <c r="A1" s="121" t="s">
        <v>3</v>
      </c>
      <c r="B1" s="121"/>
      <c r="C1" s="121"/>
      <c r="D1" s="122">
        <f>'Necesidades Trimestrales'!C6</f>
        <v>2020</v>
      </c>
      <c r="E1" s="122"/>
      <c r="F1" s="5"/>
      <c r="G1" s="5"/>
      <c r="H1" s="6"/>
      <c r="I1" s="6"/>
      <c r="J1" s="6"/>
      <c r="K1" s="6"/>
      <c r="L1" s="6"/>
      <c r="M1" s="6"/>
      <c r="N1" s="6"/>
      <c r="P1" s="123" t="s">
        <v>27</v>
      </c>
      <c r="Q1" s="123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123"/>
      <c r="Q2" s="123"/>
    </row>
    <row r="4" spans="1:17" s="7" customFormat="1" ht="18" customHeight="1" thickBot="1" x14ac:dyDescent="0.25">
      <c r="A4" s="124" t="s">
        <v>28</v>
      </c>
      <c r="B4" s="124"/>
      <c r="C4" s="124"/>
      <c r="D4" s="124"/>
      <c r="E4" s="124"/>
      <c r="F4" s="124"/>
      <c r="G4" s="125" t="str">
        <f>' NotaPedido'!D3</f>
        <v>70 - MINISTERIO DE CIENCIA E INNOVACION TECNOLOGICA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7" customFormat="1" ht="18" customHeight="1" thickBot="1" x14ac:dyDescent="0.25">
      <c r="A5" s="126" t="s">
        <v>51</v>
      </c>
      <c r="B5" s="127"/>
      <c r="C5" s="127"/>
      <c r="D5" s="127"/>
      <c r="E5" s="127"/>
      <c r="F5" s="128"/>
      <c r="G5" s="125" t="str">
        <f>' NotaPedido'!D4</f>
        <v>20 - MINISTERIO DE CIENCIA E INNOVACION TECNOLOGICA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7" customFormat="1" ht="18" customHeight="1" thickBot="1" x14ac:dyDescent="0.25">
      <c r="A6" s="126" t="s">
        <v>29</v>
      </c>
      <c r="B6" s="127"/>
      <c r="C6" s="127"/>
      <c r="D6" s="127"/>
      <c r="E6" s="127"/>
      <c r="F6" s="128"/>
      <c r="G6" s="125" t="str">
        <f>' NotaPedido'!D5</f>
        <v xml:space="preserve"> MINISTERIO DE CIENCIA E INNOVACION TECNOLOGICA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7" customFormat="1" ht="18" customHeight="1" thickBot="1" x14ac:dyDescent="0.25">
      <c r="A7" s="126" t="s">
        <v>52</v>
      </c>
      <c r="B7" s="127"/>
      <c r="C7" s="127"/>
      <c r="D7" s="127"/>
      <c r="E7" s="127"/>
      <c r="F7" s="128"/>
      <c r="G7" s="125" t="str">
        <f>' NotaPedido'!D6</f>
        <v>DIRECCION PROVINCIAL DE GESTION ADMINISTRATIVA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25">
      <c r="A8" s="129" t="s">
        <v>30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 x14ac:dyDescent="0.2">
      <c r="A9" s="135" t="s">
        <v>31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"/>
      <c r="P9" s="1"/>
      <c r="Q9" s="8"/>
    </row>
    <row r="10" spans="1:17" ht="54.75" customHeight="1" x14ac:dyDescent="0.2">
      <c r="A10" s="136" t="s">
        <v>153</v>
      </c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ht="9" customHeight="1" x14ac:dyDescent="0.2">
      <c r="A11" s="9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2"/>
    </row>
    <row r="12" spans="1:17" ht="15.75" customHeight="1" x14ac:dyDescent="0.2">
      <c r="A12" s="137" t="s">
        <v>32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</row>
    <row r="13" spans="1:17" ht="15.75" customHeight="1" x14ac:dyDescent="0.2">
      <c r="A13" s="138" t="s">
        <v>33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9" t="s">
        <v>34</v>
      </c>
      <c r="P13" s="139"/>
      <c r="Q13" s="140" t="s">
        <v>35</v>
      </c>
    </row>
    <row r="14" spans="1:17" ht="15.75" customHeight="1" thickBot="1" x14ac:dyDescent="0.25">
      <c r="A14" s="34" t="s">
        <v>36</v>
      </c>
      <c r="B14" s="35" t="s">
        <v>37</v>
      </c>
      <c r="C14" s="35" t="s">
        <v>38</v>
      </c>
      <c r="D14" s="35" t="s">
        <v>39</v>
      </c>
      <c r="E14" s="35" t="s">
        <v>40</v>
      </c>
      <c r="F14" s="35" t="s">
        <v>41</v>
      </c>
      <c r="G14" s="36" t="s">
        <v>42</v>
      </c>
      <c r="H14" s="35" t="s">
        <v>43</v>
      </c>
      <c r="I14" s="35" t="s">
        <v>44</v>
      </c>
      <c r="J14" s="35" t="s">
        <v>45</v>
      </c>
      <c r="K14" s="35" t="s">
        <v>45</v>
      </c>
      <c r="L14" s="35" t="s">
        <v>46</v>
      </c>
      <c r="M14" s="37" t="s">
        <v>47</v>
      </c>
      <c r="N14" s="38" t="s">
        <v>48</v>
      </c>
      <c r="O14" s="139"/>
      <c r="P14" s="139"/>
      <c r="Q14" s="140"/>
    </row>
    <row r="15" spans="1:17" ht="30.75" customHeight="1" thickBot="1" x14ac:dyDescent="0.3">
      <c r="A15" s="39">
        <v>15</v>
      </c>
      <c r="B15" s="40"/>
      <c r="C15" s="40"/>
      <c r="D15" s="40">
        <v>1</v>
      </c>
      <c r="E15" s="40"/>
      <c r="F15" s="40">
        <v>4901</v>
      </c>
      <c r="G15" s="40">
        <v>3</v>
      </c>
      <c r="H15" s="40">
        <v>350</v>
      </c>
      <c r="I15" s="40">
        <v>2</v>
      </c>
      <c r="J15" s="40">
        <v>3</v>
      </c>
      <c r="K15" s="40">
        <v>1</v>
      </c>
      <c r="L15" s="40"/>
      <c r="M15" s="41">
        <v>1</v>
      </c>
      <c r="N15" s="40" t="s">
        <v>57</v>
      </c>
      <c r="O15" s="130" t="s">
        <v>64</v>
      </c>
      <c r="P15" s="131"/>
      <c r="Q15" s="81">
        <v>481860</v>
      </c>
    </row>
    <row r="16" spans="1:17" ht="30.75" customHeight="1" thickBot="1" x14ac:dyDescent="0.3">
      <c r="A16" s="39">
        <v>15</v>
      </c>
      <c r="B16" s="40"/>
      <c r="C16" s="40"/>
      <c r="D16" s="40">
        <v>1</v>
      </c>
      <c r="E16" s="40"/>
      <c r="F16" s="40">
        <v>4901</v>
      </c>
      <c r="G16" s="40">
        <v>3</v>
      </c>
      <c r="H16" s="40">
        <v>350</v>
      </c>
      <c r="I16" s="40">
        <v>2</v>
      </c>
      <c r="J16" s="40">
        <v>9</v>
      </c>
      <c r="K16" s="40">
        <v>2</v>
      </c>
      <c r="L16" s="40"/>
      <c r="M16" s="41">
        <v>1</v>
      </c>
      <c r="N16" s="40" t="s">
        <v>57</v>
      </c>
      <c r="O16" s="130" t="s">
        <v>130</v>
      </c>
      <c r="P16" s="131"/>
      <c r="Q16" s="80">
        <v>226248.8</v>
      </c>
    </row>
    <row r="17" spans="1:18" ht="25.5" customHeight="1" x14ac:dyDescent="0.2">
      <c r="A17" s="39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1"/>
      <c r="N17" s="40"/>
      <c r="O17" s="132"/>
      <c r="P17" s="133"/>
      <c r="Q17" s="79"/>
    </row>
    <row r="18" spans="1:18" ht="17.25" customHeight="1" x14ac:dyDescent="0.2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  <c r="N18" s="16"/>
      <c r="O18" s="134"/>
      <c r="P18" s="134"/>
      <c r="Q18" s="17"/>
    </row>
    <row r="19" spans="1:18" ht="17.25" customHeight="1" x14ac:dyDescent="0.2">
      <c r="A19" s="18"/>
      <c r="B19" s="19"/>
      <c r="C19" s="19"/>
      <c r="D19" s="19"/>
      <c r="E19" s="19"/>
      <c r="F19" s="20"/>
      <c r="G19" s="19"/>
      <c r="H19" s="19"/>
      <c r="I19" s="19"/>
      <c r="J19" s="19"/>
      <c r="K19" s="19"/>
      <c r="L19" s="19"/>
      <c r="M19" s="21"/>
      <c r="N19" s="22"/>
      <c r="O19" s="146"/>
      <c r="P19" s="146"/>
      <c r="Q19" s="17"/>
      <c r="R19" s="1"/>
    </row>
    <row r="20" spans="1:18" ht="12.75" customHeight="1" thickBot="1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  <c r="N20" s="24"/>
      <c r="O20" s="147"/>
      <c r="P20" s="147"/>
      <c r="Q20" s="26"/>
    </row>
    <row r="21" spans="1:18" ht="28.5" customHeight="1" thickBot="1" x14ac:dyDescent="0.25">
      <c r="A21" s="148" t="s">
        <v>154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87">
        <f>SUM(Q15:Q20)</f>
        <v>708108.80000000005</v>
      </c>
    </row>
    <row r="22" spans="1:18" ht="18" customHeight="1" thickBot="1" x14ac:dyDescent="0.25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</row>
    <row r="23" spans="1:18" ht="17.25" customHeight="1" thickBot="1" x14ac:dyDescent="0.25">
      <c r="A23" s="141" t="s">
        <v>49</v>
      </c>
      <c r="B23" s="142"/>
      <c r="C23" s="142"/>
      <c r="D23" s="142"/>
      <c r="E23" s="142"/>
      <c r="F23" s="143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</row>
    <row r="24" spans="1:18" ht="18" customHeight="1" thickBot="1" x14ac:dyDescent="0.25">
      <c r="A24" s="145" t="s">
        <v>65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</row>
    <row r="25" spans="1:18" ht="41.25" customHeight="1" thickBot="1" x14ac:dyDescent="0.25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  <row r="26" spans="1:18" x14ac:dyDescent="0.2">
      <c r="A26" s="57"/>
      <c r="B26" s="57"/>
      <c r="C26" s="57"/>
      <c r="D26" s="57"/>
      <c r="E26" s="57"/>
      <c r="F26" s="57"/>
      <c r="G26" s="58"/>
      <c r="H26" s="57"/>
      <c r="I26" s="57"/>
      <c r="J26" s="57"/>
      <c r="K26" s="57"/>
      <c r="L26" s="57"/>
      <c r="M26" s="57"/>
      <c r="N26" s="57"/>
      <c r="O26" s="57"/>
      <c r="P26" s="57"/>
      <c r="Q26" s="57"/>
    </row>
    <row r="27" spans="1:18" x14ac:dyDescent="0.2">
      <c r="A27" s="57"/>
      <c r="B27" s="57"/>
      <c r="C27" s="57"/>
      <c r="D27" s="57"/>
      <c r="E27" s="57"/>
      <c r="F27" s="57"/>
      <c r="G27" s="58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spans="1:18" x14ac:dyDescent="0.2">
      <c r="A28" s="57"/>
      <c r="B28" s="57"/>
      <c r="C28" s="57"/>
      <c r="D28" s="57"/>
      <c r="E28" s="57"/>
      <c r="F28" s="57"/>
      <c r="G28" s="58"/>
      <c r="H28" s="57"/>
      <c r="I28" s="57"/>
      <c r="J28" s="57"/>
      <c r="K28" s="57"/>
      <c r="L28" s="57"/>
      <c r="M28" s="57"/>
      <c r="N28" s="57"/>
      <c r="O28" s="57"/>
      <c r="P28" s="57"/>
      <c r="Q28" s="57"/>
    </row>
    <row r="29" spans="1:18" x14ac:dyDescent="0.2">
      <c r="A29" s="57"/>
      <c r="B29" s="57"/>
      <c r="C29" s="57"/>
      <c r="D29" s="57"/>
      <c r="E29" s="57"/>
      <c r="F29" s="57"/>
      <c r="G29" s="58"/>
      <c r="H29" s="57"/>
      <c r="I29" s="57"/>
      <c r="J29" s="57"/>
      <c r="K29" s="57"/>
      <c r="L29" s="57"/>
      <c r="M29" s="57"/>
      <c r="N29" s="57"/>
      <c r="O29" s="57"/>
      <c r="P29" s="57"/>
      <c r="Q29" s="57"/>
    </row>
  </sheetData>
  <mergeCells count="29">
    <mergeCell ref="A23:F23"/>
    <mergeCell ref="G23:Q23"/>
    <mergeCell ref="A24:Q25"/>
    <mergeCell ref="O19:P19"/>
    <mergeCell ref="O20:P20"/>
    <mergeCell ref="A21:P21"/>
    <mergeCell ref="A22:Q22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G4" sqref="G4:G40"/>
    </sheetView>
  </sheetViews>
  <sheetFormatPr baseColWidth="10" defaultRowHeight="12.75" x14ac:dyDescent="0.2"/>
  <cols>
    <col min="1" max="1" width="27.28515625" customWidth="1"/>
    <col min="2" max="2" width="27.5703125" customWidth="1"/>
    <col min="3" max="3" width="23.28515625" customWidth="1"/>
    <col min="7" max="7" width="11.42578125" customWidth="1"/>
  </cols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 NotaPedido</vt:lpstr>
      <vt:lpstr>Autor Gastar</vt:lpstr>
      <vt:lpstr>Hoja1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2020-10-06T13:08:42Z</cp:lastPrinted>
  <dcterms:created xsi:type="dcterms:W3CDTF">2020-07-17T23:44:49Z</dcterms:created>
  <dcterms:modified xsi:type="dcterms:W3CDTF">2021-08-18T12:58:03Z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