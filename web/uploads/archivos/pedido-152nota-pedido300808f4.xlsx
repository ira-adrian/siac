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24E24BF-6B79-4306-BB42-A1B9BA969E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Trimestrales'!$A$9:$I$111</definedName>
    <definedName name="A">'Necesidades Trimestrales'!$C$69</definedName>
    <definedName name="_xlnm.Print_Area" localSheetId="1">' NotaPedido'!$A$1:$I$114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I111" i="1" l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2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2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12" i="2"/>
  <c r="Q18" i="3" l="1"/>
  <c r="I12" i="2" l="1"/>
  <c r="H12" i="2"/>
  <c r="I114" i="2" s="1"/>
</calcChain>
</file>

<file path=xl/sharedStrings.xml><?xml version="1.0" encoding="utf-8"?>
<sst xmlns="http://schemas.openxmlformats.org/spreadsheetml/2006/main" count="601" uniqueCount="191">
  <si>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</si>
  <si>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</si>
  <si>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</si>
  <si>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</si>
  <si>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</si>
  <si>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</si>
  <si>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</si>
  <si>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</si>
  <si>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</si>
  <si>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</si>
  <si>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</si>
  <si>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</si>
  <si>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</si>
  <si>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</si>
  <si>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</si>
  <si>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</si>
  <si>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</si>
  <si>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</si>
  <si>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</si>
  <si>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</si>
  <si>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</si>
  <si>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</si>
  <si>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</si>
  <si>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</si>
  <si>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</si>
  <si>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</si>
  <si>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</si>
  <si>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</si>
  <si>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</si>
  <si>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</si>
  <si>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</si>
  <si>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</si>
  <si>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</si>
  <si>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</si>
  <si>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</si>
  <si>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</si>
  <si>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</si>
  <si>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</si>
  <si>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</si>
  <si>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</si>
  <si>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</si>
  <si>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</si>
  <si>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</si>
  <si>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</si>
  <si>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</si>
  <si>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</si>
  <si>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</si>
  <si>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</si>
  <si>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</si>
  <si>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</si>
  <si>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NO</t>
  </si>
  <si>
    <t>40- Ministerio de Salud</t>
  </si>
  <si>
    <t>SI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</si>
  <si>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</si>
  <si>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</si>
  <si>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</si>
  <si>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</si>
  <si>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</si>
  <si>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</si>
  <si>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</si>
  <si>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</si>
  <si>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 xml:space="preserve">Pedido de Necesidades Trimestrales
</t>
  </si>
  <si>
    <t>28- Maternidad Provincial 25 de Mayo</t>
  </si>
  <si>
    <t>28 - MATERNIDAD PROVINCIAL 25 DE MAYO</t>
  </si>
  <si>
    <t>Año 2021</t>
  </si>
  <si>
    <t>SERVICIO DE FARMACIA -MATERNIDAD PROVINCIAL 25 DE MAYO - HERNANDO DE PEDRAZA 1650</t>
  </si>
  <si>
    <t>HORARIO DE 07:00 A 12:00</t>
  </si>
  <si>
    <t>ALCOHOL 70 % X 1000 ML</t>
  </si>
  <si>
    <t>ALCOHOL 70 % X 500 ML</t>
  </si>
  <si>
    <t>ALCOHOL EN GEL X 250 ML</t>
  </si>
  <si>
    <t>ALCOHOL EN GEL X 500 ML.</t>
  </si>
  <si>
    <t>AMONIO CUATERNARIO X 5 LITROS TIPO SURFANIOS</t>
  </si>
  <si>
    <t>BAJALENGUA X 100 UNIDADES</t>
  </si>
  <si>
    <t>BARBIJO HEMORREPELENTE QUIRURGICO TRIPLE CAPA</t>
  </si>
  <si>
    <t>BARBIJOS DE ALTA EFICIENCIA TIPO N95</t>
  </si>
  <si>
    <t>BOTAS ALTAS DESCARTABLES DE 30 GRAMOS CON TIRA EL PAR</t>
  </si>
  <si>
    <t xml:space="preserve">CAMARA HUMIDIFICADORA DESCARTABLE TIPO GGM  o FISHER PAIKEL </t>
  </si>
  <si>
    <t>CAMARA HUMIDIFICADORA REUTILIZABLE   Tipo GGM Modelo 4809R1V</t>
  </si>
  <si>
    <t>CAMISOLIN DESCARTABLE DE TELA SMS 50 GRAMOS CON MANGA Y PUÑOS DE 1,4 M DE LARGO</t>
  </si>
  <si>
    <t>CANULA NASAL PARA ALTO FLUJO TIPO GGM  ADULTO 5 mm 4825R1V TAMANO M</t>
  </si>
  <si>
    <t xml:space="preserve">CANULA NASAL PARA ALTO FLUJO TIPO GGM  ADULTO 6 mm 4826R1V TAMANO L </t>
  </si>
  <si>
    <t xml:space="preserve">CANULA NASAL PARA ALTO FLUJO TIPO GGM  NEO  3.5 mm 4828 r1v </t>
  </si>
  <si>
    <t>UNIDAD</t>
  </si>
  <si>
    <t>CANULA NASAL PARA ALTO FLUJO TIPO OPT844 / OPT 944 FISHER PAYKEL</t>
  </si>
  <si>
    <t>CANULA NASAL PARA ALTO FLUJO TIPO OPT846/OPT 946  FISHER PAYKEL</t>
  </si>
  <si>
    <t>CANULA NASAL PARA OXIGENOTERAPIA ADULTO</t>
  </si>
  <si>
    <t>CANULA NASAL PARA OXIGENOTERAPIA NEONATAL</t>
  </si>
  <si>
    <t>CANULA PARA TRAQUEOSTOMIA Nº 7 1/2</t>
  </si>
  <si>
    <t>CANULA PARA TRAQUEOSTOMIA Nº 8</t>
  </si>
  <si>
    <t>CANULA PARA TRAQUEOTOMIA N° 9</t>
  </si>
  <si>
    <t>CIRCUITO ANESTESIA EXTENSIBLE ADULTO AUTOCLAVABLE</t>
  </si>
  <si>
    <t>CIRCUITO ANESTESIA EXTENSIBLE ADULTO DESCARTABLE</t>
  </si>
  <si>
    <t>CIRCUITO ANESTESIA EXTENSIBLE NEONATAL AUTOCLAVABLE</t>
  </si>
  <si>
    <t>CIRCUITO ANESTESIA EXTENSIBLE NEONATAL DESCARTABLE</t>
  </si>
  <si>
    <t>CIRCUITO CERRADO P/ASPIRACION 10 FR</t>
  </si>
  <si>
    <t>CIRCUITO CERRADO P/ASPIRACION 12 FR</t>
  </si>
  <si>
    <t>CIRCUITO CERRADO P/ASPIRACION 14 FR</t>
  </si>
  <si>
    <t>CIRCUITO CERRADO P/ASPIRACION 16 FR</t>
  </si>
  <si>
    <t>CIRCUITO RESPIRADOR CON TRAMPA DE AGUA AUTOCLAVABLE ADULTO</t>
  </si>
  <si>
    <t>CIRCUITO RESPIRADOR CON TRAMPA DE AGUA AUTOCLAVABLE NEONATAL</t>
  </si>
  <si>
    <t>CIRCUITO RESPIRADOR CON TRAMPA DE AGUA DESCARTABLE ADULTO</t>
  </si>
  <si>
    <t>CIRCUITO RESPIRADOR CON TRAMPA DE AGUA DESCARTABLE NEONATAL</t>
  </si>
  <si>
    <t xml:space="preserve">CLORHEXIDINA 4% JABON X 500 ML CON VALVULA DISPENSADORA </t>
  </si>
  <si>
    <t>COFIAS PLIZADAS CON AJUSTE ELASTIZADO</t>
  </si>
  <si>
    <t>DETERGENTE TRES ENZIMAS ( LIPASA, AMILASA,PROTEASA ) BIDON X 5 LITROS</t>
  </si>
  <si>
    <t xml:space="preserve">FILTRO HME ADULTO HIGROBAC INTERCAMBIADOR CALOR/HUMEDAD </t>
  </si>
  <si>
    <t>FILTRO HME BACTERIAL VIRAL PARA CIRCUITO RESPIRADOR</t>
  </si>
  <si>
    <t>GUANTES DE CIRUGIA ESTERIL N° 7 1/2 PAR NITRILO CAÑA LARGA</t>
  </si>
  <si>
    <t>GUANTES DE CIRUGIA ESTERIL Nº 6 1/2 PAR. ANATOMICOS . CAÑA LARGA SIN TALCO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</si>
  <si>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</si>
  <si>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</si>
  <si>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</si>
  <si>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EXAMINACION TAMAÑO L X 100</t>
  </si>
  <si>
    <t>GUANTES DE EXAMINACION TAMAÑO M X 100</t>
  </si>
  <si>
    <t>GUANTES DE EXAMINACON TAMAÑO S X 100</t>
  </si>
  <si>
    <t>GUANTES DE VINILO TAMAÑO L X 100</t>
  </si>
  <si>
    <t>GUANTES DE VINILO TAMAÑO M X 100</t>
  </si>
  <si>
    <t>KIT DESCARTABLE CAMISOLIN 50 GRS + COFIA + BOTAS PAR</t>
  </si>
  <si>
    <t>LLAVE DE TRES VIAS</t>
  </si>
  <si>
    <t>MAMELUCO LAMINADO TALLE L</t>
  </si>
  <si>
    <t>MAMELUCO LAMINADO TALLE M</t>
  </si>
  <si>
    <t>MAMELUCO LAMINADO TALLE XL</t>
  </si>
  <si>
    <t>MAMELUCO LAMINADO TALLE XXL</t>
  </si>
  <si>
    <t>MASCARA CON BOLSA RESERVORIO</t>
  </si>
  <si>
    <t>MASCARA DE OXIGENO CON REGULADORES</t>
  </si>
  <si>
    <t>MASCARA PARA NEBULIZAR ADULTO COMPLETA MASCARA+PIPETA+TUBULADURA</t>
  </si>
  <si>
    <t>MASCARA PARA NEBULIZAR PEDIATRICA COMPLETA MASCARA+PIPETA+TUBULADURA</t>
  </si>
  <si>
    <t>MASCARA PERFOMAX TOTAL FACE  TALLE G PARA VNI</t>
  </si>
  <si>
    <t>MASCARA PERFOMAX TOTAL FACE  TALLE XG PARA VNI</t>
  </si>
  <si>
    <t>MONOPERSUFATO DE POTASIO DESINFECTANTE DE SUPERFICIE SOBRE PARA PREPARAR UN LITRO DE SOLUCION TIPO LT8</t>
  </si>
  <si>
    <t xml:space="preserve">OXIMETRO DE PULSO </t>
  </si>
  <si>
    <t>SENSOR ADULTO DESCARTABLE TIPO NELLCOR COVIDIEN X 12</t>
  </si>
  <si>
    <t xml:space="preserve">SENSOR NEONATAL DESCARTABLE TIPO NELLCOR COVIDIEN X 12 </t>
  </si>
  <si>
    <t>SENSOR P/SATUROMETRIA PEDIATRICO REUTILIZABLE 04-15KG T/PHILIPS</t>
  </si>
  <si>
    <t>SENSOR P/SATUROMETRIA PEDIATRICO REUTILIZABLE 15-50KG T/PHILIPS</t>
  </si>
  <si>
    <t>SET DE VIA CENTRAL DOBLE LUMEN 4  FRENCH  /30 CM 22/22 G TIPO ARROW</t>
  </si>
  <si>
    <t>SET DE VIA CENTRAL DOBLE LUMEN 7 FRENCH TIPO ARROW</t>
  </si>
  <si>
    <t>SET DE VIA CENTRAL SIMPLE LUMEN 3  FRENCH   TIPO ARROW</t>
  </si>
  <si>
    <t>SET DE VIA CENTRAL SIMPLE LUMEN 7 FRENCH TIPO ARROW</t>
  </si>
  <si>
    <t>SET.P/CATET.VENA CENTRAL 5 FR/13 CM 2 LUM.20/18G T</t>
  </si>
  <si>
    <t>SET.P/CATET.VENA CENTRAL 5 FR/20 CM 2 LUM.</t>
  </si>
  <si>
    <t>SET.P/CATET.VENA CENTRAL 5 FR/30 CM 2 LUM.</t>
  </si>
  <si>
    <t>SONDA P/ASP.MUCUS C/REG.2,3 MM X 7 FR K-26P</t>
  </si>
  <si>
    <t>SONDA P/ASP.MUCUS C/REG.2,7 MM X 8 FR K-28P</t>
  </si>
  <si>
    <t>SONDA P/NUTRI.ENT.C/LASTRE Y MADRIL 398-16</t>
  </si>
  <si>
    <t>SONDA PARA ASPIRACION MUCUS  K32P CON REGULADOR</t>
  </si>
  <si>
    <t>SONDA PARA ASPIRACION MUCUS K29P CON REGULADOR</t>
  </si>
  <si>
    <t>SONDA PARA ASPIRACION MUCUS K30P CON REGULADOR</t>
  </si>
  <si>
    <t>SONDA PARA ASPIRACION MUCUS K31P CON REGULADOR</t>
  </si>
  <si>
    <t>SONDA PARA ASPIRACION MUCUS K33P CON REGULADOR</t>
  </si>
  <si>
    <t>SONDA PARA ASPIRACION MUCUS K35P CON REGULADOR</t>
  </si>
  <si>
    <t>SONDA PARA MUESTRA DE SECRECION TRAQUEAL B-2941 TIPO TUBO DE LUKEN</t>
  </si>
  <si>
    <t>TERMOMETRO DIGITAL</t>
  </si>
  <si>
    <t>TUBO ENDOTRAQUEAL CON BALON Nº 3</t>
  </si>
  <si>
    <t>TUBO ENDOTRAQUEAL CON BALON Nº 3.5</t>
  </si>
  <si>
    <t>TUBO ENDOTRAQUEAL CON BALON Nº 7</t>
  </si>
  <si>
    <t>TUBO ENDOTRAQUEAL CON BALON Nº 71/2</t>
  </si>
  <si>
    <t>TUBO ENDOTRAQUEAL CON BALON Nº 8</t>
  </si>
  <si>
    <t>TUBO ENDOTRAQUEAL CON BALON Nº 81/2</t>
  </si>
  <si>
    <t>TUBO ENDOTRAQUEAL Nº 4 CON BALON</t>
  </si>
  <si>
    <t>TUBO ENDOTRAQUEALES TIPO RUSH S/B 2,5</t>
  </si>
  <si>
    <t>TUBO ENDOTRAQUEALES TIPO RUSH S/B 3</t>
  </si>
  <si>
    <t>TUBO ENDOTRAQUEALES TIPO RUSH S/B 3,5</t>
  </si>
  <si>
    <t>TUBO MAYO GUEDEL N 5</t>
  </si>
  <si>
    <t xml:space="preserve">TUBO MAYO GUEDEL N°1 </t>
  </si>
  <si>
    <t xml:space="preserve">TUBO MAYO GUEDEL N°2 </t>
  </si>
  <si>
    <t xml:space="preserve">TUBO MAYO GUEDEL N°3 </t>
  </si>
  <si>
    <t xml:space="preserve">TUBO MAYO GUEDEL N°4 </t>
  </si>
  <si>
    <t>TUBULADURA  PVC   6 X 9 X 50 USO MEDICINAL</t>
  </si>
  <si>
    <t>TUBULADURA PVC 8 X11 X 50  USO MEDICINAL</t>
  </si>
  <si>
    <t>2.9.5</t>
  </si>
  <si>
    <t xml:space="preserve">PROD. MEDICO/FARMACEUTICOS/LAB
</t>
  </si>
  <si>
    <t>Para la adquisición de Descartables COVID, para ser destinados al Servicio de Farmacia de la Maternidad Provincial 25 de Mayo.-</t>
  </si>
  <si>
    <t>80/2021</t>
  </si>
  <si>
    <t>ADQUISICION DE DESCARTABLES COVID</t>
  </si>
  <si>
    <t>169-Direccion Asistencial</t>
  </si>
  <si>
    <t>Servicio de Farmacia</t>
  </si>
  <si>
    <t>Autorizo la realización de los  trámites correspondientes, a fin de proveer a  este Organismo los bienes y/o servicios que se detallan en Nota  de Pedido N° 80/2021 ,  afectando la erogación resultante a los créditos presupuestarios aprobados a favor de esta Unidad Ejecutora, conforme al siguiente detalle:"</t>
  </si>
  <si>
    <t>Utiles menores medicos, quirurgicos y de Lab.</t>
  </si>
  <si>
    <t xml:space="preserve">169-Direccion Asistencial </t>
  </si>
  <si>
    <t xml:space="preserve">Servicio de Farmacia </t>
  </si>
  <si>
    <t>2.5.1</t>
  </si>
  <si>
    <t xml:space="preserve">1-Para oferentes de la Provincia de Catamarca deberán presentar Habilitación Provincial para comercializar el producto que cotizan. 
2-Para el resto de oferentes deberán presentar Certificado de Inscripción de ANMAT vigente al momento de la oferta, el mismo deberá ser correspondiente al objeto de la contratación y de encontrarse vencido adjuntar la solicitud de renovación. 
3-No se aceptarán ofertas de productos no registrados y autorizada su venta por ANMAT. Se deberá especificar en cada ítem de la propuesta, marca y número de certificado otorgado por dicho ente regulador. 
4-Los productos deberán tener un vencimiento posterior a doce (12) meses a partir de la fecha de su recepción.
5- El profesional a cargo de la evaluación de calidad podrá solicitar muestras
</t>
  </si>
  <si>
    <t xml:space="preserve">20 dias corridos desde la firma del documento contractual </t>
  </si>
  <si>
    <t>30 DIAS</t>
  </si>
  <si>
    <t xml:space="preserve">Compuestos Quimicos </t>
  </si>
  <si>
    <t>Especificidades Item N° 1 A 102 :</t>
  </si>
  <si>
    <t>2° TRIMESTRE</t>
  </si>
  <si>
    <t>2 ° Trimestre -Año 2021</t>
  </si>
  <si>
    <r>
      <rPr>
        <b/>
        <u/>
        <sz val="14"/>
        <rFont val="Times New Roman"/>
        <family val="1"/>
      </rPr>
      <t>Costo total:</t>
    </r>
    <r>
      <rPr>
        <b/>
        <sz val="14"/>
        <rFont val="Times New Roman"/>
        <family val="1"/>
      </rPr>
      <t xml:space="preserve"> TREINTA Y DOS MILLONES QUINIENTOS TREINTA Y DOS MIL QUINIENTOS TREINTA Y SIETE CON 50/100</t>
    </r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</si>
  <si>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TREINTA Y DOS MILLONES QUINIENTOS TREINTA Y DOS MIL QUINIENTOS TREINTA Y SIETE CON 50/100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</si>
</sst>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</numFmts>
  <fonts count="3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u/>
      <sz val="14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E9D9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1" applyProtection="0"/>
    <xf numFmtId="0" fontId="3" fillId="2" borderId="0" applyBorder="0" applyProtection="0"/>
    <xf numFmtId="0" fontId="14" fillId="0" borderId="0"/>
    <xf numFmtId="44" fontId="22" fillId="0" borderId="0" applyFont="0" applyFill="0" applyBorder="0" applyAlignment="0" applyProtection="0"/>
    <xf numFmtId="0" fontId="14" fillId="0" borderId="0"/>
    <xf numFmtId="0" fontId="14" fillId="0" borderId="0"/>
  </cellStyleXfs>
  <cellXfs count="16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2" fillId="0" borderId="0" xfId="0" applyFont="1"/>
    <xf numFmtId="0" fontId="15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44" fontId="14" fillId="0" borderId="0" xfId="0" applyNumberFormat="1" applyFont="1" applyAlignment="1"/>
    <xf numFmtId="0" fontId="5" fillId="4" borderId="5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/>
    </xf>
    <xf numFmtId="8" fontId="2" fillId="4" borderId="0" xfId="0" applyNumberFormat="1" applyFont="1" applyFill="1" applyBorder="1" applyAlignment="1">
      <alignment vertical="center"/>
    </xf>
    <xf numFmtId="0" fontId="15" fillId="4" borderId="0" xfId="0" applyFont="1" applyFill="1"/>
    <xf numFmtId="0" fontId="24" fillId="4" borderId="0" xfId="0" applyFont="1" applyFill="1" applyBorder="1" applyAlignment="1">
      <alignment horizontal="left" vertical="center"/>
    </xf>
    <xf numFmtId="44" fontId="2" fillId="0" borderId="0" xfId="0" applyNumberFormat="1" applyFont="1" applyBorder="1" applyAlignment="1">
      <alignment vertical="center"/>
    </xf>
    <xf numFmtId="165" fontId="0" fillId="0" borderId="0" xfId="0" applyNumberFormat="1"/>
    <xf numFmtId="0" fontId="15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 wrapText="1"/>
    </xf>
    <xf numFmtId="0" fontId="15" fillId="0" borderId="29" xfId="0" applyFont="1" applyBorder="1"/>
    <xf numFmtId="0" fontId="15" fillId="0" borderId="32" xfId="0" applyFont="1" applyBorder="1"/>
    <xf numFmtId="0" fontId="31" fillId="0" borderId="34" xfId="0" applyFont="1" applyBorder="1"/>
    <xf numFmtId="0" fontId="15" fillId="0" borderId="35" xfId="0" applyFont="1" applyBorder="1"/>
    <xf numFmtId="0" fontId="31" fillId="0" borderId="35" xfId="0" applyFont="1" applyBorder="1"/>
    <xf numFmtId="0" fontId="31" fillId="0" borderId="35" xfId="0" applyFont="1" applyBorder="1" applyAlignment="1">
      <alignment horizontal="left" indent="3"/>
    </xf>
    <xf numFmtId="0" fontId="15" fillId="0" borderId="35" xfId="0" applyFont="1" applyBorder="1" applyAlignment="1">
      <alignment horizontal="left" indent="3"/>
    </xf>
    <xf numFmtId="0" fontId="15" fillId="0" borderId="36" xfId="0" applyFont="1" applyBorder="1" applyAlignment="1">
      <alignment horizontal="left" indent="3"/>
    </xf>
    <xf numFmtId="0" fontId="15" fillId="0" borderId="3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8" fillId="0" borderId="9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44" fontId="24" fillId="4" borderId="9" xfId="4" applyFont="1" applyFill="1" applyBorder="1" applyAlignment="1">
      <alignment vertical="center"/>
    </xf>
    <xf numFmtId="0" fontId="24" fillId="4" borderId="9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44" fontId="28" fillId="4" borderId="9" xfId="0" applyNumberFormat="1" applyFont="1" applyFill="1" applyBorder="1" applyAlignment="1">
      <alignment vertical="center"/>
    </xf>
    <xf numFmtId="0" fontId="18" fillId="4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 wrapText="1"/>
    </xf>
    <xf numFmtId="1" fontId="20" fillId="0" borderId="9" xfId="0" applyNumberFormat="1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left" vertical="center" wrapText="1"/>
    </xf>
    <xf numFmtId="0" fontId="25" fillId="0" borderId="9" xfId="0" applyFont="1" applyFill="1" applyBorder="1" applyAlignment="1">
      <alignment horizontal="center" vertical="center" wrapText="1"/>
    </xf>
    <xf numFmtId="44" fontId="24" fillId="0" borderId="9" xfId="4" applyFont="1" applyFill="1" applyBorder="1" applyAlignment="1">
      <alignment vertic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31" fillId="0" borderId="36" xfId="0" applyFont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44" fontId="13" fillId="0" borderId="9" xfId="0" applyNumberFormat="1" applyFont="1" applyFill="1" applyBorder="1" applyAlignment="1">
      <alignment horizontal="center" vertical="center"/>
    </xf>
    <xf numFmtId="44" fontId="14" fillId="0" borderId="38" xfId="0" applyNumberFormat="1" applyFont="1" applyBorder="1" applyAlignment="1">
      <alignment horizontal="center" vertical="center"/>
    </xf>
    <xf numFmtId="44" fontId="14" fillId="0" borderId="56" xfId="0" applyNumberFormat="1" applyFont="1" applyBorder="1" applyAlignment="1">
      <alignment horizontal="center" vertical="center"/>
    </xf>
    <xf numFmtId="44" fontId="14" fillId="0" borderId="57" xfId="0" applyNumberFormat="1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38" fillId="5" borderId="4" xfId="0" applyFont="1" applyFill="1" applyBorder="1" applyAlignment="1">
      <alignment vertical="center"/>
    </xf>
    <xf numFmtId="44" fontId="24" fillId="4" borderId="9" xfId="4" applyFont="1" applyFill="1" applyBorder="1" applyAlignment="1">
      <alignment vertical="center" wrapText="1"/>
    </xf>
    <xf numFmtId="0" fontId="19" fillId="0" borderId="9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37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25" fillId="4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 indent="1"/>
    </xf>
    <xf numFmtId="0" fontId="7" fillId="4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36" fillId="0" borderId="34" xfId="0" applyFont="1" applyFill="1" applyBorder="1" applyAlignment="1">
      <alignment vertical="center" wrapText="1"/>
    </xf>
    <xf numFmtId="0" fontId="36" fillId="0" borderId="29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11" fillId="0" borderId="52" xfId="0" applyFont="1" applyFill="1" applyBorder="1" applyAlignment="1">
      <alignment horizontal="left" vertical="center" wrapText="1" indent="1"/>
    </xf>
    <xf numFmtId="0" fontId="11" fillId="0" borderId="53" xfId="0" applyFont="1" applyFill="1" applyBorder="1" applyAlignment="1">
      <alignment horizontal="left" vertical="center" wrapText="1" indent="1"/>
    </xf>
    <xf numFmtId="0" fontId="11" fillId="0" borderId="54" xfId="0" applyFont="1" applyFill="1" applyBorder="1" applyAlignment="1">
      <alignment horizontal="left" vertical="center" wrapText="1" indent="1"/>
    </xf>
    <xf numFmtId="0" fontId="11" fillId="0" borderId="55" xfId="0" applyFont="1" applyFill="1" applyBorder="1" applyAlignment="1">
      <alignment horizontal="left" vertical="center" wrapText="1" indent="1"/>
    </xf>
    <xf numFmtId="0" fontId="24" fillId="0" borderId="42" xfId="0" applyFont="1" applyFill="1" applyBorder="1" applyAlignment="1">
      <alignment horizontal="left" vertical="center" wrapText="1"/>
    </xf>
    <xf numFmtId="0" fontId="24" fillId="0" borderId="44" xfId="0" applyFont="1" applyFill="1" applyBorder="1" applyAlignment="1">
      <alignment horizontal="lef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  <xf numFmtId="0" fontId="24" fillId="0" borderId="40" xfId="0" applyFont="1" applyFill="1" applyBorder="1" applyAlignment="1">
      <alignment horizontal="left" vertical="center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39" xfId="0" applyFont="1" applyFill="1" applyBorder="1" applyAlignment="1">
      <alignment horizontal="left" vertical="center" wrapText="1"/>
    </xf>
    <xf numFmtId="0" fontId="24" fillId="0" borderId="46" xfId="0" applyFont="1" applyFill="1" applyBorder="1" applyAlignment="1">
      <alignment horizontal="left" vertical="center" wrapText="1"/>
    </xf>
    <xf numFmtId="0" fontId="11" fillId="0" borderId="16" xfId="0" applyFont="1" applyFill="1" applyBorder="1"/>
    <xf numFmtId="0" fontId="11" fillId="0" borderId="17" xfId="0" applyFont="1" applyFill="1" applyBorder="1" applyAlignment="1">
      <alignment horizontal="left" vertical="center" wrapText="1" indent="1"/>
    </xf>
    <xf numFmtId="0" fontId="13" fillId="0" borderId="1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indent="1"/>
    </xf>
    <xf numFmtId="0" fontId="12" fillId="0" borderId="6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24" xfId="0" applyFont="1" applyFill="1" applyBorder="1" applyAlignment="1">
      <alignment horizontal="left" vertical="center" wrapText="1" indent="1"/>
    </xf>
    <xf numFmtId="0" fontId="11" fillId="0" borderId="25" xfId="0" applyFont="1" applyFill="1" applyBorder="1" applyAlignment="1">
      <alignment horizontal="left" vertical="center" wrapText="1" indent="1"/>
    </xf>
    <xf numFmtId="0" fontId="0" fillId="0" borderId="13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</cellXfs>
  <cellStyles count="7">
    <cellStyle name="Encabezado 1" xfId="1" xr:uid="{00000000-0005-0000-0000-000000000000}"/>
    <cellStyle name="Moneda" xfId="4" builtinId="4"/>
    <cellStyle name="Neutral 1" xfId="2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30"/>
  <sheetViews>
    <sheetView tabSelected="1" zoomScale="90" zoomScaleNormal="90" workbookViewId="0">
      <selection activeCell="E44" sqref="E44"/>
    </sheetView>
  </sheetViews>
  <sheetFormatPr baseColWidth="10" defaultColWidth="11" defaultRowHeight="12.75" x14ac:dyDescent="0.2"/>
  <cols>
    <col min="1" max="1" width="4.5703125" style="30" customWidth="1"/>
    <col min="2" max="2" width="13.140625" style="30" customWidth="1"/>
    <col min="3" max="3" width="35.28515625" style="39" customWidth="1"/>
    <col min="4" max="4" width="8.42578125" style="34" customWidth="1"/>
    <col min="5" max="5" width="76.5703125" style="34" customWidth="1"/>
    <col min="6" max="6" width="11" style="39"/>
    <col min="7" max="7" width="12.7109375" style="39" customWidth="1"/>
    <col min="8" max="8" width="15.42578125" style="34" customWidth="1"/>
    <col min="9" max="9" width="18.5703125" style="34" customWidth="1"/>
    <col min="10" max="10" width="13.140625" style="7" customWidth="1"/>
    <col min="11" max="16384" width="11" style="7"/>
  </cols>
  <sheetData>
    <row r="2" spans="1:9" ht="27.6" customHeight="1" x14ac:dyDescent="0.2">
      <c r="C2" s="91" t="s">
        <v>61</v>
      </c>
      <c r="D2" s="91"/>
      <c r="E2" s="91"/>
      <c r="F2" s="91"/>
      <c r="G2" s="91"/>
      <c r="H2" s="87"/>
    </row>
    <row r="4" spans="1:9" ht="18" customHeight="1" x14ac:dyDescent="0.25">
      <c r="A4" s="102" t="s">
        <v>0</v>
      </c>
      <c r="B4" s="102"/>
      <c r="C4" s="103" t="s">
        <v>49</v>
      </c>
      <c r="D4" s="103"/>
      <c r="E4" s="103"/>
      <c r="F4" s="36"/>
      <c r="G4" s="36"/>
      <c r="H4" s="35"/>
    </row>
    <row r="5" spans="1:9" ht="18" customHeight="1" x14ac:dyDescent="0.25">
      <c r="A5" s="102" t="s">
        <v>1</v>
      </c>
      <c r="B5" s="102"/>
      <c r="C5" s="103" t="s">
        <v>63</v>
      </c>
      <c r="D5" s="103"/>
      <c r="E5" s="103"/>
      <c r="F5" s="36"/>
      <c r="G5" s="36"/>
      <c r="H5" s="35"/>
    </row>
    <row r="6" spans="1:9" ht="16.5" customHeight="1" x14ac:dyDescent="0.25">
      <c r="A6" s="102" t="s">
        <v>2</v>
      </c>
      <c r="B6" s="102"/>
      <c r="C6" s="40" t="s">
        <v>64</v>
      </c>
      <c r="D6" s="37"/>
      <c r="E6" s="38"/>
      <c r="F6" s="36"/>
      <c r="G6" s="36"/>
      <c r="H6" s="35"/>
    </row>
    <row r="7" spans="1:9" ht="16.5" customHeight="1" x14ac:dyDescent="0.25">
      <c r="A7" s="102" t="s">
        <v>3</v>
      </c>
      <c r="B7" s="102"/>
      <c r="C7" s="40" t="s">
        <v>187</v>
      </c>
      <c r="D7" s="37"/>
      <c r="E7" s="38"/>
      <c r="F7" s="36"/>
      <c r="G7" s="36"/>
      <c r="H7" s="35"/>
    </row>
    <row r="8" spans="1:9" ht="13.5" thickBot="1" x14ac:dyDescent="0.25">
      <c r="C8" s="36"/>
      <c r="D8" s="36"/>
      <c r="E8" s="35"/>
      <c r="F8" s="36"/>
      <c r="G8" s="36"/>
      <c r="H8" s="35"/>
    </row>
    <row r="9" spans="1:9" ht="39" thickBot="1" x14ac:dyDescent="0.25">
      <c r="A9" s="60" t="s">
        <v>4</v>
      </c>
      <c r="B9" s="60" t="s">
        <v>53</v>
      </c>
      <c r="C9" s="52" t="s">
        <v>5</v>
      </c>
      <c r="D9" s="52" t="s">
        <v>54</v>
      </c>
      <c r="E9" s="52" t="s">
        <v>6</v>
      </c>
      <c r="F9" s="52" t="s">
        <v>7</v>
      </c>
      <c r="G9" s="52" t="s">
        <v>8</v>
      </c>
      <c r="H9" s="52" t="s">
        <v>9</v>
      </c>
      <c r="I9" s="52" t="s">
        <v>10</v>
      </c>
    </row>
    <row r="10" spans="1:9" ht="25.5" customHeight="1" thickBot="1" x14ac:dyDescent="0.25">
      <c r="A10" s="61">
        <v>1</v>
      </c>
      <c r="B10" s="61"/>
      <c r="C10" s="62" t="s">
        <v>171</v>
      </c>
      <c r="D10" s="63" t="s">
        <v>181</v>
      </c>
      <c r="E10" s="64" t="s">
        <v>67</v>
      </c>
      <c r="F10" s="65" t="s">
        <v>82</v>
      </c>
      <c r="G10" s="65">
        <v>4000</v>
      </c>
      <c r="H10" s="66">
        <v>194</v>
      </c>
      <c r="I10" s="66">
        <f>G10*H10</f>
        <v>776000</v>
      </c>
    </row>
    <row r="11" spans="1:9" ht="25.5" customHeight="1" thickBot="1" x14ac:dyDescent="0.25">
      <c r="A11" s="61">
        <v>2</v>
      </c>
      <c r="B11" s="61"/>
      <c r="C11" s="62" t="s">
        <v>171</v>
      </c>
      <c r="D11" s="63" t="s">
        <v>181</v>
      </c>
      <c r="E11" s="64" t="s">
        <v>68</v>
      </c>
      <c r="F11" s="65" t="s">
        <v>82</v>
      </c>
      <c r="G11" s="65">
        <v>6000</v>
      </c>
      <c r="H11" s="66">
        <v>90</v>
      </c>
      <c r="I11" s="66">
        <f t="shared" ref="I11:I70" si="0">G11*H11</f>
        <v>540000</v>
      </c>
    </row>
    <row r="12" spans="1:9" ht="25.5" customHeight="1" thickBot="1" x14ac:dyDescent="0.25">
      <c r="A12" s="61">
        <v>3</v>
      </c>
      <c r="B12" s="61"/>
      <c r="C12" s="62" t="s">
        <v>171</v>
      </c>
      <c r="D12" s="63" t="s">
        <v>181</v>
      </c>
      <c r="E12" s="64" t="s">
        <v>69</v>
      </c>
      <c r="F12" s="65" t="s">
        <v>82</v>
      </c>
      <c r="G12" s="65">
        <v>3000</v>
      </c>
      <c r="H12" s="66">
        <v>95</v>
      </c>
      <c r="I12" s="66">
        <f t="shared" si="0"/>
        <v>285000</v>
      </c>
    </row>
    <row r="13" spans="1:9" ht="25.5" customHeight="1" thickBot="1" x14ac:dyDescent="0.25">
      <c r="A13" s="61">
        <v>4</v>
      </c>
      <c r="B13" s="61"/>
      <c r="C13" s="62" t="s">
        <v>171</v>
      </c>
      <c r="D13" s="63" t="s">
        <v>181</v>
      </c>
      <c r="E13" s="64" t="s">
        <v>70</v>
      </c>
      <c r="F13" s="65" t="s">
        <v>82</v>
      </c>
      <c r="G13" s="65">
        <v>1500</v>
      </c>
      <c r="H13" s="66">
        <v>145</v>
      </c>
      <c r="I13" s="66">
        <f t="shared" si="0"/>
        <v>217500</v>
      </c>
    </row>
    <row r="14" spans="1:9" ht="25.5" customHeight="1" thickBot="1" x14ac:dyDescent="0.25">
      <c r="A14" s="61">
        <v>5</v>
      </c>
      <c r="B14" s="61"/>
      <c r="C14" s="62" t="s">
        <v>171</v>
      </c>
      <c r="D14" s="63" t="s">
        <v>181</v>
      </c>
      <c r="E14" s="64" t="s">
        <v>71</v>
      </c>
      <c r="F14" s="65" t="s">
        <v>82</v>
      </c>
      <c r="G14" s="65">
        <v>50</v>
      </c>
      <c r="H14" s="66">
        <v>7919.45</v>
      </c>
      <c r="I14" s="66">
        <f t="shared" si="0"/>
        <v>395972.5</v>
      </c>
    </row>
    <row r="15" spans="1:9" ht="25.5" customHeight="1" thickBot="1" x14ac:dyDescent="0.25">
      <c r="A15" s="61">
        <v>6</v>
      </c>
      <c r="B15" s="61"/>
      <c r="C15" s="62" t="s">
        <v>171</v>
      </c>
      <c r="D15" s="63" t="s">
        <v>170</v>
      </c>
      <c r="E15" s="64" t="s">
        <v>72</v>
      </c>
      <c r="F15" s="65" t="s">
        <v>82</v>
      </c>
      <c r="G15" s="65">
        <v>5000</v>
      </c>
      <c r="H15" s="66">
        <v>149.72999999999999</v>
      </c>
      <c r="I15" s="66">
        <f t="shared" si="0"/>
        <v>748650</v>
      </c>
    </row>
    <row r="16" spans="1:9" ht="25.5" customHeight="1" thickBot="1" x14ac:dyDescent="0.25">
      <c r="A16" s="61">
        <v>7</v>
      </c>
      <c r="B16" s="61"/>
      <c r="C16" s="62" t="s">
        <v>171</v>
      </c>
      <c r="D16" s="63" t="s">
        <v>170</v>
      </c>
      <c r="E16" s="64" t="s">
        <v>73</v>
      </c>
      <c r="F16" s="65" t="s">
        <v>82</v>
      </c>
      <c r="G16" s="65">
        <v>64000</v>
      </c>
      <c r="H16" s="66">
        <v>12</v>
      </c>
      <c r="I16" s="66">
        <f t="shared" si="0"/>
        <v>768000</v>
      </c>
    </row>
    <row r="17" spans="1:9" ht="25.5" customHeight="1" thickBot="1" x14ac:dyDescent="0.25">
      <c r="A17" s="61">
        <v>8</v>
      </c>
      <c r="B17" s="61"/>
      <c r="C17" s="62" t="s">
        <v>171</v>
      </c>
      <c r="D17" s="63" t="s">
        <v>170</v>
      </c>
      <c r="E17" s="64" t="s">
        <v>74</v>
      </c>
      <c r="F17" s="65" t="s">
        <v>82</v>
      </c>
      <c r="G17" s="65">
        <v>2000</v>
      </c>
      <c r="H17" s="66">
        <v>145.19999999999999</v>
      </c>
      <c r="I17" s="66">
        <f t="shared" si="0"/>
        <v>290400</v>
      </c>
    </row>
    <row r="18" spans="1:9" ht="25.5" customHeight="1" thickBot="1" x14ac:dyDescent="0.25">
      <c r="A18" s="61">
        <v>9</v>
      </c>
      <c r="B18" s="61"/>
      <c r="C18" s="62" t="s">
        <v>171</v>
      </c>
      <c r="D18" s="63" t="s">
        <v>170</v>
      </c>
      <c r="E18" s="64" t="s">
        <v>75</v>
      </c>
      <c r="F18" s="65" t="s">
        <v>82</v>
      </c>
      <c r="G18" s="65">
        <v>30000</v>
      </c>
      <c r="H18" s="66">
        <v>12.7</v>
      </c>
      <c r="I18" s="66">
        <f t="shared" si="0"/>
        <v>381000</v>
      </c>
    </row>
    <row r="19" spans="1:9" ht="25.5" customHeight="1" thickBot="1" x14ac:dyDescent="0.25">
      <c r="A19" s="61">
        <v>10</v>
      </c>
      <c r="B19" s="61"/>
      <c r="C19" s="62" t="s">
        <v>171</v>
      </c>
      <c r="D19" s="63" t="s">
        <v>170</v>
      </c>
      <c r="E19" s="64" t="s">
        <v>76</v>
      </c>
      <c r="F19" s="65" t="s">
        <v>82</v>
      </c>
      <c r="G19" s="65">
        <v>100</v>
      </c>
      <c r="H19" s="66">
        <v>2700</v>
      </c>
      <c r="I19" s="66">
        <f t="shared" si="0"/>
        <v>270000</v>
      </c>
    </row>
    <row r="20" spans="1:9" ht="25.5" customHeight="1" thickBot="1" x14ac:dyDescent="0.25">
      <c r="A20" s="61">
        <v>11</v>
      </c>
      <c r="B20" s="61"/>
      <c r="C20" s="62" t="s">
        <v>171</v>
      </c>
      <c r="D20" s="63" t="s">
        <v>170</v>
      </c>
      <c r="E20" s="64" t="s">
        <v>77</v>
      </c>
      <c r="F20" s="65" t="s">
        <v>82</v>
      </c>
      <c r="G20" s="65">
        <v>100</v>
      </c>
      <c r="H20" s="66">
        <v>21400</v>
      </c>
      <c r="I20" s="66">
        <f t="shared" si="0"/>
        <v>2140000</v>
      </c>
    </row>
    <row r="21" spans="1:9" ht="25.5" customHeight="1" thickBot="1" x14ac:dyDescent="0.25">
      <c r="A21" s="61">
        <v>12</v>
      </c>
      <c r="B21" s="61"/>
      <c r="C21" s="62" t="s">
        <v>171</v>
      </c>
      <c r="D21" s="63" t="s">
        <v>170</v>
      </c>
      <c r="E21" s="64" t="s">
        <v>78</v>
      </c>
      <c r="F21" s="65" t="s">
        <v>82</v>
      </c>
      <c r="G21" s="65">
        <v>30000</v>
      </c>
      <c r="H21" s="66">
        <v>190</v>
      </c>
      <c r="I21" s="66">
        <f t="shared" si="0"/>
        <v>5700000</v>
      </c>
    </row>
    <row r="22" spans="1:9" ht="25.5" customHeight="1" thickBot="1" x14ac:dyDescent="0.25">
      <c r="A22" s="61">
        <v>13</v>
      </c>
      <c r="B22" s="61"/>
      <c r="C22" s="62" t="s">
        <v>171</v>
      </c>
      <c r="D22" s="63" t="s">
        <v>170</v>
      </c>
      <c r="E22" s="64" t="s">
        <v>79</v>
      </c>
      <c r="F22" s="65" t="s">
        <v>82</v>
      </c>
      <c r="G22" s="65">
        <v>500</v>
      </c>
      <c r="H22" s="66">
        <v>4200</v>
      </c>
      <c r="I22" s="66">
        <f t="shared" si="0"/>
        <v>2100000</v>
      </c>
    </row>
    <row r="23" spans="1:9" ht="25.5" customHeight="1" thickBot="1" x14ac:dyDescent="0.25">
      <c r="A23" s="61">
        <v>14</v>
      </c>
      <c r="B23" s="61"/>
      <c r="C23" s="62" t="s">
        <v>171</v>
      </c>
      <c r="D23" s="63" t="s">
        <v>170</v>
      </c>
      <c r="E23" s="64" t="s">
        <v>80</v>
      </c>
      <c r="F23" s="65" t="s">
        <v>82</v>
      </c>
      <c r="G23" s="65">
        <v>500</v>
      </c>
      <c r="H23" s="66">
        <v>4200</v>
      </c>
      <c r="I23" s="66">
        <f t="shared" si="0"/>
        <v>2100000</v>
      </c>
    </row>
    <row r="24" spans="1:9" ht="25.5" customHeight="1" thickBot="1" x14ac:dyDescent="0.25">
      <c r="A24" s="61">
        <v>15</v>
      </c>
      <c r="B24" s="61"/>
      <c r="C24" s="62" t="s">
        <v>171</v>
      </c>
      <c r="D24" s="63" t="s">
        <v>170</v>
      </c>
      <c r="E24" s="64" t="s">
        <v>81</v>
      </c>
      <c r="F24" s="65" t="s">
        <v>82</v>
      </c>
      <c r="G24" s="65">
        <v>100</v>
      </c>
      <c r="H24" s="66">
        <v>4200</v>
      </c>
      <c r="I24" s="66">
        <f t="shared" si="0"/>
        <v>420000</v>
      </c>
    </row>
    <row r="25" spans="1:9" ht="25.5" customHeight="1" thickBot="1" x14ac:dyDescent="0.25">
      <c r="A25" s="61">
        <v>16</v>
      </c>
      <c r="B25" s="61"/>
      <c r="C25" s="62" t="s">
        <v>171</v>
      </c>
      <c r="D25" s="63" t="s">
        <v>170</v>
      </c>
      <c r="E25" s="64" t="s">
        <v>83</v>
      </c>
      <c r="F25" s="65" t="s">
        <v>82</v>
      </c>
      <c r="G25" s="65">
        <v>100</v>
      </c>
      <c r="H25" s="66">
        <v>5750</v>
      </c>
      <c r="I25" s="66">
        <f t="shared" si="0"/>
        <v>575000</v>
      </c>
    </row>
    <row r="26" spans="1:9" ht="25.5" customHeight="1" thickBot="1" x14ac:dyDescent="0.25">
      <c r="A26" s="61">
        <v>17</v>
      </c>
      <c r="B26" s="61"/>
      <c r="C26" s="62" t="s">
        <v>171</v>
      </c>
      <c r="D26" s="63" t="s">
        <v>170</v>
      </c>
      <c r="E26" s="64" t="s">
        <v>84</v>
      </c>
      <c r="F26" s="65" t="s">
        <v>82</v>
      </c>
      <c r="G26" s="65">
        <v>100</v>
      </c>
      <c r="H26" s="66">
        <v>5750</v>
      </c>
      <c r="I26" s="66">
        <f t="shared" si="0"/>
        <v>575000</v>
      </c>
    </row>
    <row r="27" spans="1:9" ht="25.5" customHeight="1" thickBot="1" x14ac:dyDescent="0.25">
      <c r="A27" s="61">
        <v>18</v>
      </c>
      <c r="B27" s="61"/>
      <c r="C27" s="62" t="s">
        <v>171</v>
      </c>
      <c r="D27" s="63" t="s">
        <v>170</v>
      </c>
      <c r="E27" s="64" t="s">
        <v>85</v>
      </c>
      <c r="F27" s="65" t="s">
        <v>82</v>
      </c>
      <c r="G27" s="65">
        <v>300</v>
      </c>
      <c r="H27" s="66">
        <v>109.8</v>
      </c>
      <c r="I27" s="66">
        <f t="shared" si="0"/>
        <v>32940</v>
      </c>
    </row>
    <row r="28" spans="1:9" ht="25.5" customHeight="1" thickBot="1" x14ac:dyDescent="0.25">
      <c r="A28" s="61">
        <v>19</v>
      </c>
      <c r="B28" s="61"/>
      <c r="C28" s="62" t="s">
        <v>171</v>
      </c>
      <c r="D28" s="63" t="s">
        <v>170</v>
      </c>
      <c r="E28" s="64" t="s">
        <v>86</v>
      </c>
      <c r="F28" s="65" t="s">
        <v>82</v>
      </c>
      <c r="G28" s="65">
        <v>2000</v>
      </c>
      <c r="H28" s="66">
        <v>65.36</v>
      </c>
      <c r="I28" s="66">
        <f t="shared" si="0"/>
        <v>130720</v>
      </c>
    </row>
    <row r="29" spans="1:9" ht="25.5" customHeight="1" thickBot="1" x14ac:dyDescent="0.25">
      <c r="A29" s="61">
        <v>20</v>
      </c>
      <c r="B29" s="61"/>
      <c r="C29" s="62" t="s">
        <v>171</v>
      </c>
      <c r="D29" s="63" t="s">
        <v>170</v>
      </c>
      <c r="E29" s="64" t="s">
        <v>87</v>
      </c>
      <c r="F29" s="65" t="s">
        <v>82</v>
      </c>
      <c r="G29" s="65">
        <v>10</v>
      </c>
      <c r="H29" s="66">
        <v>589.4</v>
      </c>
      <c r="I29" s="66">
        <f t="shared" si="0"/>
        <v>5894</v>
      </c>
    </row>
    <row r="30" spans="1:9" ht="25.5" customHeight="1" thickBot="1" x14ac:dyDescent="0.25">
      <c r="A30" s="61">
        <v>21</v>
      </c>
      <c r="B30" s="61"/>
      <c r="C30" s="62" t="s">
        <v>171</v>
      </c>
      <c r="D30" s="63" t="s">
        <v>170</v>
      </c>
      <c r="E30" s="64" t="s">
        <v>88</v>
      </c>
      <c r="F30" s="65" t="s">
        <v>82</v>
      </c>
      <c r="G30" s="65">
        <v>10</v>
      </c>
      <c r="H30" s="66">
        <v>589.4</v>
      </c>
      <c r="I30" s="66">
        <f t="shared" si="0"/>
        <v>5894</v>
      </c>
    </row>
    <row r="31" spans="1:9" ht="25.5" customHeight="1" thickBot="1" x14ac:dyDescent="0.25">
      <c r="A31" s="61">
        <v>22</v>
      </c>
      <c r="B31" s="61"/>
      <c r="C31" s="62" t="s">
        <v>171</v>
      </c>
      <c r="D31" s="63" t="s">
        <v>170</v>
      </c>
      <c r="E31" s="64" t="s">
        <v>89</v>
      </c>
      <c r="F31" s="65" t="s">
        <v>82</v>
      </c>
      <c r="G31" s="65">
        <v>10</v>
      </c>
      <c r="H31" s="66">
        <v>589.4</v>
      </c>
      <c r="I31" s="66">
        <f t="shared" si="0"/>
        <v>5894</v>
      </c>
    </row>
    <row r="32" spans="1:9" ht="25.5" customHeight="1" thickBot="1" x14ac:dyDescent="0.25">
      <c r="A32" s="61">
        <v>23</v>
      </c>
      <c r="B32" s="61"/>
      <c r="C32" s="62" t="s">
        <v>171</v>
      </c>
      <c r="D32" s="63" t="s">
        <v>170</v>
      </c>
      <c r="E32" s="64" t="s">
        <v>90</v>
      </c>
      <c r="F32" s="65" t="s">
        <v>82</v>
      </c>
      <c r="G32" s="65">
        <v>100</v>
      </c>
      <c r="H32" s="89">
        <v>1950</v>
      </c>
      <c r="I32" s="66">
        <f t="shared" si="0"/>
        <v>195000</v>
      </c>
    </row>
    <row r="33" spans="1:9" ht="25.5" customHeight="1" thickBot="1" x14ac:dyDescent="0.25">
      <c r="A33" s="61">
        <v>24</v>
      </c>
      <c r="B33" s="61"/>
      <c r="C33" s="62" t="s">
        <v>171</v>
      </c>
      <c r="D33" s="63" t="s">
        <v>170</v>
      </c>
      <c r="E33" s="64" t="s">
        <v>91</v>
      </c>
      <c r="F33" s="65" t="s">
        <v>82</v>
      </c>
      <c r="G33" s="65">
        <v>100</v>
      </c>
      <c r="H33" s="66">
        <v>510</v>
      </c>
      <c r="I33" s="66">
        <f t="shared" si="0"/>
        <v>51000</v>
      </c>
    </row>
    <row r="34" spans="1:9" ht="25.5" customHeight="1" thickBot="1" x14ac:dyDescent="0.25">
      <c r="A34" s="61">
        <v>25</v>
      </c>
      <c r="B34" s="61"/>
      <c r="C34" s="62" t="s">
        <v>171</v>
      </c>
      <c r="D34" s="63" t="s">
        <v>170</v>
      </c>
      <c r="E34" s="64" t="s">
        <v>92</v>
      </c>
      <c r="F34" s="65" t="s">
        <v>82</v>
      </c>
      <c r="G34" s="65">
        <v>100</v>
      </c>
      <c r="H34" s="89">
        <v>1950</v>
      </c>
      <c r="I34" s="66">
        <f t="shared" si="0"/>
        <v>195000</v>
      </c>
    </row>
    <row r="35" spans="1:9" ht="25.5" customHeight="1" thickBot="1" x14ac:dyDescent="0.25">
      <c r="A35" s="61">
        <v>26</v>
      </c>
      <c r="B35" s="61"/>
      <c r="C35" s="62" t="s">
        <v>171</v>
      </c>
      <c r="D35" s="63" t="s">
        <v>170</v>
      </c>
      <c r="E35" s="64" t="s">
        <v>93</v>
      </c>
      <c r="F35" s="65" t="s">
        <v>82</v>
      </c>
      <c r="G35" s="65">
        <v>100</v>
      </c>
      <c r="H35" s="66">
        <v>510</v>
      </c>
      <c r="I35" s="66">
        <f t="shared" si="0"/>
        <v>51000</v>
      </c>
    </row>
    <row r="36" spans="1:9" ht="25.5" customHeight="1" thickBot="1" x14ac:dyDescent="0.25">
      <c r="A36" s="61">
        <v>27</v>
      </c>
      <c r="B36" s="61"/>
      <c r="C36" s="62" t="s">
        <v>171</v>
      </c>
      <c r="D36" s="63" t="s">
        <v>170</v>
      </c>
      <c r="E36" s="64" t="s">
        <v>94</v>
      </c>
      <c r="F36" s="65" t="s">
        <v>82</v>
      </c>
      <c r="G36" s="65">
        <v>100</v>
      </c>
      <c r="H36" s="66">
        <v>1200</v>
      </c>
      <c r="I36" s="66">
        <f t="shared" si="0"/>
        <v>120000</v>
      </c>
    </row>
    <row r="37" spans="1:9" ht="25.5" customHeight="1" thickBot="1" x14ac:dyDescent="0.25">
      <c r="A37" s="61">
        <v>28</v>
      </c>
      <c r="B37" s="61"/>
      <c r="C37" s="62" t="s">
        <v>171</v>
      </c>
      <c r="D37" s="63" t="s">
        <v>170</v>
      </c>
      <c r="E37" s="64" t="s">
        <v>95</v>
      </c>
      <c r="F37" s="65" t="s">
        <v>82</v>
      </c>
      <c r="G37" s="65">
        <v>100</v>
      </c>
      <c r="H37" s="66">
        <v>1200</v>
      </c>
      <c r="I37" s="66">
        <f t="shared" si="0"/>
        <v>120000</v>
      </c>
    </row>
    <row r="38" spans="1:9" ht="25.5" customHeight="1" thickBot="1" x14ac:dyDescent="0.25">
      <c r="A38" s="61">
        <v>29</v>
      </c>
      <c r="B38" s="61"/>
      <c r="C38" s="62" t="s">
        <v>171</v>
      </c>
      <c r="D38" s="63" t="s">
        <v>170</v>
      </c>
      <c r="E38" s="64" t="s">
        <v>96</v>
      </c>
      <c r="F38" s="65" t="s">
        <v>82</v>
      </c>
      <c r="G38" s="65">
        <v>100</v>
      </c>
      <c r="H38" s="66">
        <v>1200</v>
      </c>
      <c r="I38" s="66">
        <f t="shared" si="0"/>
        <v>120000</v>
      </c>
    </row>
    <row r="39" spans="1:9" ht="25.5" customHeight="1" thickBot="1" x14ac:dyDescent="0.25">
      <c r="A39" s="61">
        <v>30</v>
      </c>
      <c r="B39" s="61"/>
      <c r="C39" s="62" t="s">
        <v>171</v>
      </c>
      <c r="D39" s="63" t="s">
        <v>170</v>
      </c>
      <c r="E39" s="64" t="s">
        <v>97</v>
      </c>
      <c r="F39" s="65" t="s">
        <v>82</v>
      </c>
      <c r="G39" s="65">
        <v>100</v>
      </c>
      <c r="H39" s="66">
        <v>1200</v>
      </c>
      <c r="I39" s="66">
        <f t="shared" si="0"/>
        <v>120000</v>
      </c>
    </row>
    <row r="40" spans="1:9" ht="25.5" customHeight="1" thickBot="1" x14ac:dyDescent="0.25">
      <c r="A40" s="61">
        <v>31</v>
      </c>
      <c r="B40" s="61"/>
      <c r="C40" s="62" t="s">
        <v>171</v>
      </c>
      <c r="D40" s="63" t="s">
        <v>170</v>
      </c>
      <c r="E40" s="64" t="s">
        <v>98</v>
      </c>
      <c r="F40" s="65" t="s">
        <v>82</v>
      </c>
      <c r="G40" s="65">
        <v>50</v>
      </c>
      <c r="H40" s="66">
        <v>16100</v>
      </c>
      <c r="I40" s="66">
        <f t="shared" si="0"/>
        <v>805000</v>
      </c>
    </row>
    <row r="41" spans="1:9" ht="25.5" customHeight="1" thickBot="1" x14ac:dyDescent="0.25">
      <c r="A41" s="61">
        <v>32</v>
      </c>
      <c r="B41" s="61"/>
      <c r="C41" s="62" t="s">
        <v>171</v>
      </c>
      <c r="D41" s="63" t="s">
        <v>170</v>
      </c>
      <c r="E41" s="64" t="s">
        <v>99</v>
      </c>
      <c r="F41" s="65" t="s">
        <v>82</v>
      </c>
      <c r="G41" s="65">
        <v>50</v>
      </c>
      <c r="H41" s="66">
        <v>22000</v>
      </c>
      <c r="I41" s="66">
        <f t="shared" si="0"/>
        <v>1100000</v>
      </c>
    </row>
    <row r="42" spans="1:9" ht="25.5" customHeight="1" thickBot="1" x14ac:dyDescent="0.25">
      <c r="A42" s="61">
        <v>33</v>
      </c>
      <c r="B42" s="61"/>
      <c r="C42" s="62" t="s">
        <v>171</v>
      </c>
      <c r="D42" s="63" t="s">
        <v>170</v>
      </c>
      <c r="E42" s="64" t="s">
        <v>100</v>
      </c>
      <c r="F42" s="65" t="s">
        <v>82</v>
      </c>
      <c r="G42" s="65">
        <v>50</v>
      </c>
      <c r="H42" s="66">
        <v>1870</v>
      </c>
      <c r="I42" s="66">
        <f t="shared" si="0"/>
        <v>93500</v>
      </c>
    </row>
    <row r="43" spans="1:9" ht="25.5" customHeight="1" thickBot="1" x14ac:dyDescent="0.25">
      <c r="A43" s="61">
        <v>34</v>
      </c>
      <c r="B43" s="61"/>
      <c r="C43" s="62" t="s">
        <v>171</v>
      </c>
      <c r="D43" s="63" t="s">
        <v>170</v>
      </c>
      <c r="E43" s="64" t="s">
        <v>101</v>
      </c>
      <c r="F43" s="65" t="s">
        <v>82</v>
      </c>
      <c r="G43" s="65">
        <v>50</v>
      </c>
      <c r="H43" s="66">
        <v>1870</v>
      </c>
      <c r="I43" s="66">
        <f t="shared" si="0"/>
        <v>93500</v>
      </c>
    </row>
    <row r="44" spans="1:9" ht="25.5" customHeight="1" thickBot="1" x14ac:dyDescent="0.25">
      <c r="A44" s="90">
        <v>35</v>
      </c>
      <c r="B44" s="90"/>
      <c r="C44" s="62" t="s">
        <v>171</v>
      </c>
      <c r="D44" s="63" t="s">
        <v>181</v>
      </c>
      <c r="E44" s="64" t="s">
        <v>102</v>
      </c>
      <c r="F44" s="65" t="s">
        <v>82</v>
      </c>
      <c r="G44" s="65">
        <v>1000</v>
      </c>
      <c r="H44" s="66">
        <v>466.8</v>
      </c>
      <c r="I44" s="66">
        <f t="shared" si="0"/>
        <v>466800</v>
      </c>
    </row>
    <row r="45" spans="1:9" ht="25.5" customHeight="1" thickBot="1" x14ac:dyDescent="0.25">
      <c r="A45" s="61">
        <v>36</v>
      </c>
      <c r="B45" s="61"/>
      <c r="C45" s="62" t="s">
        <v>171</v>
      </c>
      <c r="D45" s="63" t="s">
        <v>170</v>
      </c>
      <c r="E45" s="64" t="s">
        <v>103</v>
      </c>
      <c r="F45" s="65" t="s">
        <v>82</v>
      </c>
      <c r="G45" s="65">
        <v>20000</v>
      </c>
      <c r="H45" s="66">
        <v>7.55</v>
      </c>
      <c r="I45" s="66">
        <f t="shared" si="0"/>
        <v>151000</v>
      </c>
    </row>
    <row r="46" spans="1:9" ht="25.5" customHeight="1" thickBot="1" x14ac:dyDescent="0.25">
      <c r="A46" s="61">
        <v>37</v>
      </c>
      <c r="B46" s="61"/>
      <c r="C46" s="62" t="s">
        <v>171</v>
      </c>
      <c r="D46" s="63" t="s">
        <v>181</v>
      </c>
      <c r="E46" s="64" t="s">
        <v>104</v>
      </c>
      <c r="F46" s="65" t="s">
        <v>82</v>
      </c>
      <c r="G46" s="65">
        <v>100</v>
      </c>
      <c r="H46" s="66">
        <v>3966.38</v>
      </c>
      <c r="I46" s="66">
        <f t="shared" si="0"/>
        <v>396638</v>
      </c>
    </row>
    <row r="47" spans="1:9" ht="25.5" customHeight="1" thickBot="1" x14ac:dyDescent="0.25">
      <c r="A47" s="61">
        <v>38</v>
      </c>
      <c r="B47" s="61"/>
      <c r="C47" s="62" t="s">
        <v>171</v>
      </c>
      <c r="D47" s="63" t="s">
        <v>170</v>
      </c>
      <c r="E47" s="64" t="s">
        <v>105</v>
      </c>
      <c r="F47" s="65" t="s">
        <v>82</v>
      </c>
      <c r="G47" s="65">
        <v>300</v>
      </c>
      <c r="H47" s="66">
        <v>180</v>
      </c>
      <c r="I47" s="66">
        <f t="shared" si="0"/>
        <v>54000</v>
      </c>
    </row>
    <row r="48" spans="1:9" ht="25.5" customHeight="1" thickBot="1" x14ac:dyDescent="0.25">
      <c r="A48" s="61">
        <v>39</v>
      </c>
      <c r="B48" s="61"/>
      <c r="C48" s="62" t="s">
        <v>171</v>
      </c>
      <c r="D48" s="63" t="s">
        <v>170</v>
      </c>
      <c r="E48" s="64" t="s">
        <v>106</v>
      </c>
      <c r="F48" s="65" t="s">
        <v>82</v>
      </c>
      <c r="G48" s="65">
        <v>300</v>
      </c>
      <c r="H48" s="66">
        <v>160</v>
      </c>
      <c r="I48" s="66">
        <f t="shared" si="0"/>
        <v>48000</v>
      </c>
    </row>
    <row r="49" spans="1:9" ht="25.5" customHeight="1" thickBot="1" x14ac:dyDescent="0.25">
      <c r="A49" s="61">
        <v>40</v>
      </c>
      <c r="B49" s="61"/>
      <c r="C49" s="62" t="s">
        <v>171</v>
      </c>
      <c r="D49" s="63" t="s">
        <v>170</v>
      </c>
      <c r="E49" s="64" t="s">
        <v>107</v>
      </c>
      <c r="F49" s="65" t="s">
        <v>82</v>
      </c>
      <c r="G49" s="65">
        <v>6000</v>
      </c>
      <c r="H49" s="66">
        <v>31</v>
      </c>
      <c r="I49" s="66">
        <f t="shared" si="0"/>
        <v>186000</v>
      </c>
    </row>
    <row r="50" spans="1:9" ht="25.5" customHeight="1" thickBot="1" x14ac:dyDescent="0.25">
      <c r="A50" s="61">
        <v>41</v>
      </c>
      <c r="B50" s="61"/>
      <c r="C50" s="62" t="s">
        <v>171</v>
      </c>
      <c r="D50" s="63" t="s">
        <v>170</v>
      </c>
      <c r="E50" s="64" t="s">
        <v>108</v>
      </c>
      <c r="F50" s="65" t="s">
        <v>82</v>
      </c>
      <c r="G50" s="65">
        <v>6000</v>
      </c>
      <c r="H50" s="66">
        <v>31</v>
      </c>
      <c r="I50" s="66">
        <f t="shared" si="0"/>
        <v>186000</v>
      </c>
    </row>
    <row r="51" spans="1:9" ht="25.5" customHeight="1" thickBot="1" x14ac:dyDescent="0.25">
      <c r="A51" s="61">
        <v>42</v>
      </c>
      <c r="B51" s="61"/>
      <c r="C51" s="62" t="s">
        <v>171</v>
      </c>
      <c r="D51" s="63" t="s">
        <v>170</v>
      </c>
      <c r="E51" s="64" t="s">
        <v>109</v>
      </c>
      <c r="F51" s="65" t="s">
        <v>82</v>
      </c>
      <c r="G51" s="65">
        <v>7500</v>
      </c>
      <c r="H51" s="66">
        <v>31</v>
      </c>
      <c r="I51" s="66">
        <f t="shared" si="0"/>
        <v>232500</v>
      </c>
    </row>
    <row r="52" spans="1:9" ht="25.5" customHeight="1" thickBot="1" x14ac:dyDescent="0.25">
      <c r="A52" s="61">
        <v>43</v>
      </c>
      <c r="B52" s="61"/>
      <c r="C52" s="62" t="s">
        <v>171</v>
      </c>
      <c r="D52" s="63" t="s">
        <v>170</v>
      </c>
      <c r="E52" s="64" t="s">
        <v>110</v>
      </c>
      <c r="F52" s="65" t="s">
        <v>82</v>
      </c>
      <c r="G52" s="65">
        <v>8000</v>
      </c>
      <c r="H52" s="66">
        <v>31</v>
      </c>
      <c r="I52" s="66">
        <f t="shared" si="0"/>
        <v>248000</v>
      </c>
    </row>
    <row r="53" spans="1:9" ht="25.5" customHeight="1" thickBot="1" x14ac:dyDescent="0.25">
      <c r="A53" s="61">
        <v>44</v>
      </c>
      <c r="B53" s="61"/>
      <c r="C53" s="62" t="s">
        <v>171</v>
      </c>
      <c r="D53" s="63" t="s">
        <v>170</v>
      </c>
      <c r="E53" s="64" t="s">
        <v>111</v>
      </c>
      <c r="F53" s="65" t="s">
        <v>82</v>
      </c>
      <c r="G53" s="65">
        <v>6000</v>
      </c>
      <c r="H53" s="66">
        <v>31</v>
      </c>
      <c r="I53" s="66">
        <f t="shared" si="0"/>
        <v>186000</v>
      </c>
    </row>
    <row r="54" spans="1:9" ht="25.5" customHeight="1" thickBot="1" x14ac:dyDescent="0.25">
      <c r="A54" s="61">
        <v>45</v>
      </c>
      <c r="B54" s="61"/>
      <c r="C54" s="62" t="s">
        <v>171</v>
      </c>
      <c r="D54" s="63" t="s">
        <v>170</v>
      </c>
      <c r="E54" s="64" t="s">
        <v>112</v>
      </c>
      <c r="F54" s="65" t="s">
        <v>82</v>
      </c>
      <c r="G54" s="65">
        <v>500</v>
      </c>
      <c r="H54" s="66">
        <v>990</v>
      </c>
      <c r="I54" s="66">
        <f t="shared" si="0"/>
        <v>495000</v>
      </c>
    </row>
    <row r="55" spans="1:9" ht="25.5" customHeight="1" thickBot="1" x14ac:dyDescent="0.25">
      <c r="A55" s="61">
        <v>46</v>
      </c>
      <c r="B55" s="61"/>
      <c r="C55" s="62" t="s">
        <v>171</v>
      </c>
      <c r="D55" s="63" t="s">
        <v>170</v>
      </c>
      <c r="E55" s="64" t="s">
        <v>113</v>
      </c>
      <c r="F55" s="65" t="s">
        <v>82</v>
      </c>
      <c r="G55" s="65">
        <v>700</v>
      </c>
      <c r="H55" s="66">
        <v>990</v>
      </c>
      <c r="I55" s="66">
        <f t="shared" si="0"/>
        <v>693000</v>
      </c>
    </row>
    <row r="56" spans="1:9" ht="25.5" customHeight="1" thickBot="1" x14ac:dyDescent="0.25">
      <c r="A56" s="61">
        <v>47</v>
      </c>
      <c r="B56" s="61"/>
      <c r="C56" s="62" t="s">
        <v>171</v>
      </c>
      <c r="D56" s="63" t="s">
        <v>170</v>
      </c>
      <c r="E56" s="64" t="s">
        <v>114</v>
      </c>
      <c r="F56" s="65" t="s">
        <v>82</v>
      </c>
      <c r="G56" s="65">
        <v>1000</v>
      </c>
      <c r="H56" s="66">
        <v>990</v>
      </c>
      <c r="I56" s="66">
        <f t="shared" si="0"/>
        <v>990000</v>
      </c>
    </row>
    <row r="57" spans="1:9" ht="25.5" customHeight="1" thickBot="1" x14ac:dyDescent="0.25">
      <c r="A57" s="61">
        <v>48</v>
      </c>
      <c r="B57" s="61"/>
      <c r="C57" s="62" t="s">
        <v>171</v>
      </c>
      <c r="D57" s="63" t="s">
        <v>170</v>
      </c>
      <c r="E57" s="64" t="s">
        <v>115</v>
      </c>
      <c r="F57" s="65" t="s">
        <v>82</v>
      </c>
      <c r="G57" s="65">
        <v>30</v>
      </c>
      <c r="H57" s="66">
        <v>890</v>
      </c>
      <c r="I57" s="66">
        <f t="shared" si="0"/>
        <v>26700</v>
      </c>
    </row>
    <row r="58" spans="1:9" ht="25.5" customHeight="1" thickBot="1" x14ac:dyDescent="0.25">
      <c r="A58" s="61">
        <v>49</v>
      </c>
      <c r="B58" s="61"/>
      <c r="C58" s="62" t="s">
        <v>171</v>
      </c>
      <c r="D58" s="63" t="s">
        <v>170</v>
      </c>
      <c r="E58" s="64" t="s">
        <v>116</v>
      </c>
      <c r="F58" s="65" t="s">
        <v>82</v>
      </c>
      <c r="G58" s="65">
        <v>30</v>
      </c>
      <c r="H58" s="66">
        <v>890</v>
      </c>
      <c r="I58" s="66">
        <f t="shared" si="0"/>
        <v>26700</v>
      </c>
    </row>
    <row r="59" spans="1:9" ht="25.5" customHeight="1" thickBot="1" x14ac:dyDescent="0.25">
      <c r="A59" s="61">
        <v>50</v>
      </c>
      <c r="B59" s="61"/>
      <c r="C59" s="62" t="s">
        <v>171</v>
      </c>
      <c r="D59" s="63" t="s">
        <v>170</v>
      </c>
      <c r="E59" s="64" t="s">
        <v>117</v>
      </c>
      <c r="F59" s="65" t="s">
        <v>82</v>
      </c>
      <c r="G59" s="65">
        <v>12000</v>
      </c>
      <c r="H59" s="66">
        <v>230</v>
      </c>
      <c r="I59" s="66">
        <f t="shared" si="0"/>
        <v>2760000</v>
      </c>
    </row>
    <row r="60" spans="1:9" ht="25.5" customHeight="1" thickBot="1" x14ac:dyDescent="0.25">
      <c r="A60" s="61">
        <v>51</v>
      </c>
      <c r="B60" s="61"/>
      <c r="C60" s="62" t="s">
        <v>171</v>
      </c>
      <c r="D60" s="63" t="s">
        <v>170</v>
      </c>
      <c r="E60" s="64" t="s">
        <v>118</v>
      </c>
      <c r="F60" s="65" t="s">
        <v>82</v>
      </c>
      <c r="G60" s="65">
        <v>5000</v>
      </c>
      <c r="H60" s="66">
        <v>24.55</v>
      </c>
      <c r="I60" s="66">
        <f t="shared" si="0"/>
        <v>122750</v>
      </c>
    </row>
    <row r="61" spans="1:9" ht="25.5" customHeight="1" thickBot="1" x14ac:dyDescent="0.25">
      <c r="A61" s="61">
        <v>52</v>
      </c>
      <c r="B61" s="61"/>
      <c r="C61" s="62" t="s">
        <v>171</v>
      </c>
      <c r="D61" s="63" t="s">
        <v>170</v>
      </c>
      <c r="E61" s="64" t="s">
        <v>119</v>
      </c>
      <c r="F61" s="65" t="s">
        <v>82</v>
      </c>
      <c r="G61" s="65">
        <v>50</v>
      </c>
      <c r="H61" s="66">
        <v>1050</v>
      </c>
      <c r="I61" s="66">
        <f t="shared" si="0"/>
        <v>52500</v>
      </c>
    </row>
    <row r="62" spans="1:9" ht="25.5" customHeight="1" thickBot="1" x14ac:dyDescent="0.25">
      <c r="A62" s="61">
        <v>53</v>
      </c>
      <c r="B62" s="61"/>
      <c r="C62" s="62" t="s">
        <v>171</v>
      </c>
      <c r="D62" s="63" t="s">
        <v>170</v>
      </c>
      <c r="E62" s="64" t="s">
        <v>120</v>
      </c>
      <c r="F62" s="65" t="s">
        <v>82</v>
      </c>
      <c r="G62" s="65">
        <v>50</v>
      </c>
      <c r="H62" s="66">
        <v>1050</v>
      </c>
      <c r="I62" s="66">
        <f t="shared" si="0"/>
        <v>52500</v>
      </c>
    </row>
    <row r="63" spans="1:9" ht="25.5" customHeight="1" thickBot="1" x14ac:dyDescent="0.25">
      <c r="A63" s="61">
        <v>54</v>
      </c>
      <c r="B63" s="61"/>
      <c r="C63" s="62" t="s">
        <v>171</v>
      </c>
      <c r="D63" s="63" t="s">
        <v>170</v>
      </c>
      <c r="E63" s="64" t="s">
        <v>121</v>
      </c>
      <c r="F63" s="65" t="s">
        <v>82</v>
      </c>
      <c r="G63" s="65">
        <v>50</v>
      </c>
      <c r="H63" s="66">
        <v>1050</v>
      </c>
      <c r="I63" s="66">
        <f t="shared" si="0"/>
        <v>52500</v>
      </c>
    </row>
    <row r="64" spans="1:9" ht="25.5" customHeight="1" thickBot="1" x14ac:dyDescent="0.25">
      <c r="A64" s="61">
        <v>55</v>
      </c>
      <c r="B64" s="61"/>
      <c r="C64" s="62" t="s">
        <v>171</v>
      </c>
      <c r="D64" s="63" t="s">
        <v>170</v>
      </c>
      <c r="E64" s="64" t="s">
        <v>122</v>
      </c>
      <c r="F64" s="65" t="s">
        <v>82</v>
      </c>
      <c r="G64" s="65">
        <v>50</v>
      </c>
      <c r="H64" s="66">
        <v>1050</v>
      </c>
      <c r="I64" s="66">
        <f t="shared" si="0"/>
        <v>52500</v>
      </c>
    </row>
    <row r="65" spans="1:9" ht="25.5" customHeight="1" thickBot="1" x14ac:dyDescent="0.25">
      <c r="A65" s="61">
        <v>56</v>
      </c>
      <c r="B65" s="61"/>
      <c r="C65" s="62" t="s">
        <v>171</v>
      </c>
      <c r="D65" s="63" t="s">
        <v>170</v>
      </c>
      <c r="E65" s="64" t="s">
        <v>123</v>
      </c>
      <c r="F65" s="65" t="s">
        <v>82</v>
      </c>
      <c r="G65" s="65">
        <v>100</v>
      </c>
      <c r="H65" s="66">
        <v>357</v>
      </c>
      <c r="I65" s="66">
        <f t="shared" si="0"/>
        <v>35700</v>
      </c>
    </row>
    <row r="66" spans="1:9" ht="25.5" customHeight="1" thickBot="1" x14ac:dyDescent="0.25">
      <c r="A66" s="61">
        <v>57</v>
      </c>
      <c r="B66" s="61"/>
      <c r="C66" s="62" t="s">
        <v>171</v>
      </c>
      <c r="D66" s="63" t="s">
        <v>170</v>
      </c>
      <c r="E66" s="64" t="s">
        <v>124</v>
      </c>
      <c r="F66" s="65" t="s">
        <v>82</v>
      </c>
      <c r="G66" s="65">
        <v>200</v>
      </c>
      <c r="H66" s="66">
        <v>187.2</v>
      </c>
      <c r="I66" s="66">
        <f t="shared" si="0"/>
        <v>37440</v>
      </c>
    </row>
    <row r="67" spans="1:9" ht="25.5" customHeight="1" thickBot="1" x14ac:dyDescent="0.25">
      <c r="A67" s="61">
        <v>58</v>
      </c>
      <c r="B67" s="61"/>
      <c r="C67" s="62" t="s">
        <v>171</v>
      </c>
      <c r="D67" s="63" t="s">
        <v>170</v>
      </c>
      <c r="E67" s="64" t="s">
        <v>125</v>
      </c>
      <c r="F67" s="65" t="s">
        <v>82</v>
      </c>
      <c r="G67" s="65">
        <v>100</v>
      </c>
      <c r="H67" s="66">
        <v>325</v>
      </c>
      <c r="I67" s="66">
        <f t="shared" si="0"/>
        <v>32500</v>
      </c>
    </row>
    <row r="68" spans="1:9" ht="25.5" customHeight="1" thickBot="1" x14ac:dyDescent="0.25">
      <c r="A68" s="61">
        <v>59</v>
      </c>
      <c r="B68" s="61"/>
      <c r="C68" s="62" t="s">
        <v>171</v>
      </c>
      <c r="D68" s="63" t="s">
        <v>170</v>
      </c>
      <c r="E68" s="64" t="s">
        <v>126</v>
      </c>
      <c r="F68" s="65" t="s">
        <v>82</v>
      </c>
      <c r="G68" s="65">
        <v>100</v>
      </c>
      <c r="H68" s="66">
        <v>130</v>
      </c>
      <c r="I68" s="66">
        <f t="shared" si="0"/>
        <v>13000</v>
      </c>
    </row>
    <row r="69" spans="1:9" ht="25.5" customHeight="1" thickBot="1" x14ac:dyDescent="0.25">
      <c r="A69" s="61">
        <v>60</v>
      </c>
      <c r="B69" s="61"/>
      <c r="C69" s="62" t="s">
        <v>171</v>
      </c>
      <c r="D69" s="63" t="s">
        <v>170</v>
      </c>
      <c r="E69" s="64" t="s">
        <v>127</v>
      </c>
      <c r="F69" s="65" t="s">
        <v>82</v>
      </c>
      <c r="G69" s="65">
        <v>10</v>
      </c>
      <c r="H69" s="66">
        <v>29900</v>
      </c>
      <c r="I69" s="66">
        <f t="shared" si="0"/>
        <v>299000</v>
      </c>
    </row>
    <row r="70" spans="1:9" ht="25.5" customHeight="1" thickBot="1" x14ac:dyDescent="0.25">
      <c r="A70" s="61">
        <v>61</v>
      </c>
      <c r="B70" s="61"/>
      <c r="C70" s="62" t="s">
        <v>171</v>
      </c>
      <c r="D70" s="63" t="s">
        <v>170</v>
      </c>
      <c r="E70" s="64" t="s">
        <v>128</v>
      </c>
      <c r="F70" s="65" t="s">
        <v>82</v>
      </c>
      <c r="G70" s="65">
        <v>10</v>
      </c>
      <c r="H70" s="66">
        <v>29900</v>
      </c>
      <c r="I70" s="66">
        <f t="shared" si="0"/>
        <v>299000</v>
      </c>
    </row>
    <row r="71" spans="1:9" ht="25.5" customHeight="1" thickBot="1" x14ac:dyDescent="0.25">
      <c r="A71" s="61">
        <v>62</v>
      </c>
      <c r="B71" s="61"/>
      <c r="C71" s="62" t="s">
        <v>171</v>
      </c>
      <c r="D71" s="63" t="s">
        <v>181</v>
      </c>
      <c r="E71" s="64" t="s">
        <v>129</v>
      </c>
      <c r="F71" s="65" t="s">
        <v>82</v>
      </c>
      <c r="G71" s="65">
        <v>1000</v>
      </c>
      <c r="H71" s="66">
        <v>160</v>
      </c>
      <c r="I71" s="66">
        <f t="shared" ref="I71:I111" si="1">G71*H71</f>
        <v>160000</v>
      </c>
    </row>
    <row r="72" spans="1:9" ht="25.5" customHeight="1" thickBot="1" x14ac:dyDescent="0.25">
      <c r="A72" s="61">
        <v>63</v>
      </c>
      <c r="B72" s="61"/>
      <c r="C72" s="62" t="s">
        <v>171</v>
      </c>
      <c r="D72" s="63" t="s">
        <v>170</v>
      </c>
      <c r="E72" s="64" t="s">
        <v>130</v>
      </c>
      <c r="F72" s="65" t="s">
        <v>82</v>
      </c>
      <c r="G72" s="65">
        <v>50</v>
      </c>
      <c r="H72" s="66">
        <v>2900</v>
      </c>
      <c r="I72" s="66">
        <f t="shared" si="1"/>
        <v>145000</v>
      </c>
    </row>
    <row r="73" spans="1:9" ht="25.5" customHeight="1" thickBot="1" x14ac:dyDescent="0.25">
      <c r="A73" s="61">
        <v>64</v>
      </c>
      <c r="B73" s="61"/>
      <c r="C73" s="62" t="s">
        <v>171</v>
      </c>
      <c r="D73" s="63" t="s">
        <v>170</v>
      </c>
      <c r="E73" s="64" t="s">
        <v>131</v>
      </c>
      <c r="F73" s="65" t="s">
        <v>82</v>
      </c>
      <c r="G73" s="65">
        <v>10</v>
      </c>
      <c r="H73" s="66">
        <v>7200</v>
      </c>
      <c r="I73" s="66">
        <f t="shared" si="1"/>
        <v>72000</v>
      </c>
    </row>
    <row r="74" spans="1:9" ht="25.5" customHeight="1" thickBot="1" x14ac:dyDescent="0.25">
      <c r="A74" s="61">
        <v>65</v>
      </c>
      <c r="B74" s="61"/>
      <c r="C74" s="62" t="s">
        <v>171</v>
      </c>
      <c r="D74" s="63" t="s">
        <v>170</v>
      </c>
      <c r="E74" s="64" t="s">
        <v>132</v>
      </c>
      <c r="F74" s="65" t="s">
        <v>82</v>
      </c>
      <c r="G74" s="65">
        <v>10</v>
      </c>
      <c r="H74" s="66">
        <v>6500</v>
      </c>
      <c r="I74" s="66">
        <f t="shared" si="1"/>
        <v>65000</v>
      </c>
    </row>
    <row r="75" spans="1:9" ht="25.5" customHeight="1" thickBot="1" x14ac:dyDescent="0.25">
      <c r="A75" s="61">
        <v>66</v>
      </c>
      <c r="B75" s="61"/>
      <c r="C75" s="62" t="s">
        <v>171</v>
      </c>
      <c r="D75" s="63" t="s">
        <v>170</v>
      </c>
      <c r="E75" s="64" t="s">
        <v>133</v>
      </c>
      <c r="F75" s="65" t="s">
        <v>82</v>
      </c>
      <c r="G75" s="65">
        <v>20</v>
      </c>
      <c r="H75" s="89">
        <v>4500</v>
      </c>
      <c r="I75" s="66">
        <f t="shared" si="1"/>
        <v>90000</v>
      </c>
    </row>
    <row r="76" spans="1:9" ht="25.5" customHeight="1" thickBot="1" x14ac:dyDescent="0.25">
      <c r="A76" s="61">
        <v>67</v>
      </c>
      <c r="B76" s="61"/>
      <c r="C76" s="62" t="s">
        <v>171</v>
      </c>
      <c r="D76" s="63" t="s">
        <v>170</v>
      </c>
      <c r="E76" s="64" t="s">
        <v>134</v>
      </c>
      <c r="F76" s="65" t="s">
        <v>82</v>
      </c>
      <c r="G76" s="65">
        <v>20</v>
      </c>
      <c r="H76" s="89">
        <v>4500</v>
      </c>
      <c r="I76" s="66">
        <f t="shared" si="1"/>
        <v>90000</v>
      </c>
    </row>
    <row r="77" spans="1:9" ht="25.5" customHeight="1" thickBot="1" x14ac:dyDescent="0.25">
      <c r="A77" s="61">
        <v>68</v>
      </c>
      <c r="B77" s="61"/>
      <c r="C77" s="62" t="s">
        <v>171</v>
      </c>
      <c r="D77" s="63" t="s">
        <v>170</v>
      </c>
      <c r="E77" s="64" t="s">
        <v>135</v>
      </c>
      <c r="F77" s="65" t="s">
        <v>82</v>
      </c>
      <c r="G77" s="65">
        <v>10</v>
      </c>
      <c r="H77" s="66">
        <v>12275</v>
      </c>
      <c r="I77" s="66">
        <f t="shared" si="1"/>
        <v>122750</v>
      </c>
    </row>
    <row r="78" spans="1:9" ht="25.5" customHeight="1" thickBot="1" x14ac:dyDescent="0.25">
      <c r="A78" s="61">
        <v>69</v>
      </c>
      <c r="B78" s="61"/>
      <c r="C78" s="62" t="s">
        <v>171</v>
      </c>
      <c r="D78" s="63" t="s">
        <v>170</v>
      </c>
      <c r="E78" s="64" t="s">
        <v>136</v>
      </c>
      <c r="F78" s="65" t="s">
        <v>82</v>
      </c>
      <c r="G78" s="65">
        <v>100</v>
      </c>
      <c r="H78" s="66">
        <v>4556</v>
      </c>
      <c r="I78" s="66">
        <f t="shared" si="1"/>
        <v>455600</v>
      </c>
    </row>
    <row r="79" spans="1:9" ht="25.5" customHeight="1" thickBot="1" x14ac:dyDescent="0.25">
      <c r="A79" s="61">
        <v>70</v>
      </c>
      <c r="B79" s="61"/>
      <c r="C79" s="62" t="s">
        <v>171</v>
      </c>
      <c r="D79" s="63" t="s">
        <v>170</v>
      </c>
      <c r="E79" s="64" t="s">
        <v>137</v>
      </c>
      <c r="F79" s="65" t="s">
        <v>82</v>
      </c>
      <c r="G79" s="65">
        <v>10</v>
      </c>
      <c r="H79" s="66">
        <v>2499</v>
      </c>
      <c r="I79" s="66">
        <f t="shared" si="1"/>
        <v>24990</v>
      </c>
    </row>
    <row r="80" spans="1:9" ht="25.5" customHeight="1" thickBot="1" x14ac:dyDescent="0.25">
      <c r="A80" s="61">
        <v>71</v>
      </c>
      <c r="B80" s="61"/>
      <c r="C80" s="62" t="s">
        <v>171</v>
      </c>
      <c r="D80" s="63" t="s">
        <v>170</v>
      </c>
      <c r="E80" s="64" t="s">
        <v>138</v>
      </c>
      <c r="F80" s="65" t="s">
        <v>82</v>
      </c>
      <c r="G80" s="65">
        <v>100</v>
      </c>
      <c r="H80" s="66">
        <v>2499</v>
      </c>
      <c r="I80" s="66">
        <f t="shared" si="1"/>
        <v>249900</v>
      </c>
    </row>
    <row r="81" spans="1:9" ht="25.5" customHeight="1" thickBot="1" x14ac:dyDescent="0.25">
      <c r="A81" s="61">
        <v>72</v>
      </c>
      <c r="B81" s="61"/>
      <c r="C81" s="62" t="s">
        <v>171</v>
      </c>
      <c r="D81" s="63" t="s">
        <v>170</v>
      </c>
      <c r="E81" s="64" t="s">
        <v>139</v>
      </c>
      <c r="F81" s="65" t="s">
        <v>82</v>
      </c>
      <c r="G81" s="65">
        <v>10</v>
      </c>
      <c r="H81" s="66">
        <v>4555</v>
      </c>
      <c r="I81" s="66">
        <f t="shared" si="1"/>
        <v>45550</v>
      </c>
    </row>
    <row r="82" spans="1:9" ht="25.5" customHeight="1" thickBot="1" x14ac:dyDescent="0.25">
      <c r="A82" s="61">
        <v>73</v>
      </c>
      <c r="B82" s="61"/>
      <c r="C82" s="62" t="s">
        <v>171</v>
      </c>
      <c r="D82" s="63" t="s">
        <v>170</v>
      </c>
      <c r="E82" s="64" t="s">
        <v>140</v>
      </c>
      <c r="F82" s="65" t="s">
        <v>82</v>
      </c>
      <c r="G82" s="65">
        <v>10</v>
      </c>
      <c r="H82" s="66">
        <v>4555</v>
      </c>
      <c r="I82" s="66">
        <f t="shared" si="1"/>
        <v>45550</v>
      </c>
    </row>
    <row r="83" spans="1:9" ht="25.5" customHeight="1" thickBot="1" x14ac:dyDescent="0.25">
      <c r="A83" s="61">
        <v>74</v>
      </c>
      <c r="B83" s="61"/>
      <c r="C83" s="62" t="s">
        <v>171</v>
      </c>
      <c r="D83" s="63" t="s">
        <v>170</v>
      </c>
      <c r="E83" s="64" t="s">
        <v>141</v>
      </c>
      <c r="F83" s="65" t="s">
        <v>82</v>
      </c>
      <c r="G83" s="65">
        <v>10</v>
      </c>
      <c r="H83" s="66">
        <v>5450</v>
      </c>
      <c r="I83" s="66">
        <f t="shared" si="1"/>
        <v>54500</v>
      </c>
    </row>
    <row r="84" spans="1:9" ht="25.5" customHeight="1" thickBot="1" x14ac:dyDescent="0.25">
      <c r="A84" s="61">
        <v>75</v>
      </c>
      <c r="B84" s="61"/>
      <c r="C84" s="62" t="s">
        <v>171</v>
      </c>
      <c r="D84" s="63" t="s">
        <v>170</v>
      </c>
      <c r="E84" s="64" t="s">
        <v>142</v>
      </c>
      <c r="F84" s="65" t="s">
        <v>82</v>
      </c>
      <c r="G84" s="65">
        <v>100</v>
      </c>
      <c r="H84" s="66">
        <v>36</v>
      </c>
      <c r="I84" s="66">
        <f t="shared" si="1"/>
        <v>3600</v>
      </c>
    </row>
    <row r="85" spans="1:9" ht="25.5" customHeight="1" thickBot="1" x14ac:dyDescent="0.25">
      <c r="A85" s="61">
        <v>76</v>
      </c>
      <c r="B85" s="61"/>
      <c r="C85" s="62" t="s">
        <v>171</v>
      </c>
      <c r="D85" s="63" t="s">
        <v>170</v>
      </c>
      <c r="E85" s="64" t="s">
        <v>143</v>
      </c>
      <c r="F85" s="65" t="s">
        <v>82</v>
      </c>
      <c r="G85" s="65">
        <v>100</v>
      </c>
      <c r="H85" s="66">
        <v>35</v>
      </c>
      <c r="I85" s="66">
        <f t="shared" si="1"/>
        <v>3500</v>
      </c>
    </row>
    <row r="86" spans="1:9" ht="25.5" customHeight="1" thickBot="1" x14ac:dyDescent="0.25">
      <c r="A86" s="61">
        <v>77</v>
      </c>
      <c r="B86" s="61"/>
      <c r="C86" s="62" t="s">
        <v>171</v>
      </c>
      <c r="D86" s="63" t="s">
        <v>170</v>
      </c>
      <c r="E86" s="64" t="s">
        <v>144</v>
      </c>
      <c r="F86" s="65" t="s">
        <v>82</v>
      </c>
      <c r="G86" s="65">
        <v>100</v>
      </c>
      <c r="H86" s="66">
        <v>4701</v>
      </c>
      <c r="I86" s="66">
        <f t="shared" si="1"/>
        <v>470100</v>
      </c>
    </row>
    <row r="87" spans="1:9" ht="25.5" customHeight="1" thickBot="1" x14ac:dyDescent="0.25">
      <c r="A87" s="61">
        <v>78</v>
      </c>
      <c r="B87" s="61"/>
      <c r="C87" s="62" t="s">
        <v>171</v>
      </c>
      <c r="D87" s="63" t="s">
        <v>170</v>
      </c>
      <c r="E87" s="64" t="s">
        <v>145</v>
      </c>
      <c r="F87" s="65" t="s">
        <v>82</v>
      </c>
      <c r="G87" s="65">
        <v>1000</v>
      </c>
      <c r="H87" s="66">
        <v>38</v>
      </c>
      <c r="I87" s="66">
        <f t="shared" si="1"/>
        <v>38000</v>
      </c>
    </row>
    <row r="88" spans="1:9" ht="25.5" customHeight="1" thickBot="1" x14ac:dyDescent="0.25">
      <c r="A88" s="61">
        <v>79</v>
      </c>
      <c r="B88" s="61"/>
      <c r="C88" s="62" t="s">
        <v>171</v>
      </c>
      <c r="D88" s="63" t="s">
        <v>170</v>
      </c>
      <c r="E88" s="64" t="s">
        <v>146</v>
      </c>
      <c r="F88" s="65" t="s">
        <v>82</v>
      </c>
      <c r="G88" s="65">
        <v>1000</v>
      </c>
      <c r="H88" s="66">
        <v>37.950000000000003</v>
      </c>
      <c r="I88" s="66">
        <f t="shared" si="1"/>
        <v>37950</v>
      </c>
    </row>
    <row r="89" spans="1:9" ht="25.5" customHeight="1" thickBot="1" x14ac:dyDescent="0.25">
      <c r="A89" s="61">
        <v>80</v>
      </c>
      <c r="B89" s="61"/>
      <c r="C89" s="62" t="s">
        <v>171</v>
      </c>
      <c r="D89" s="63" t="s">
        <v>170</v>
      </c>
      <c r="E89" s="64" t="s">
        <v>147</v>
      </c>
      <c r="F89" s="65" t="s">
        <v>82</v>
      </c>
      <c r="G89" s="65">
        <v>500</v>
      </c>
      <c r="H89" s="66">
        <v>33.67</v>
      </c>
      <c r="I89" s="66">
        <f t="shared" si="1"/>
        <v>16835</v>
      </c>
    </row>
    <row r="90" spans="1:9" ht="25.5" customHeight="1" thickBot="1" x14ac:dyDescent="0.25">
      <c r="A90" s="61">
        <v>81</v>
      </c>
      <c r="B90" s="61"/>
      <c r="C90" s="62" t="s">
        <v>171</v>
      </c>
      <c r="D90" s="63" t="s">
        <v>170</v>
      </c>
      <c r="E90" s="64" t="s">
        <v>148</v>
      </c>
      <c r="F90" s="65" t="s">
        <v>82</v>
      </c>
      <c r="G90" s="65">
        <v>2000</v>
      </c>
      <c r="H90" s="66">
        <v>32.56</v>
      </c>
      <c r="I90" s="66">
        <f t="shared" si="1"/>
        <v>65120.000000000007</v>
      </c>
    </row>
    <row r="91" spans="1:9" ht="25.5" customHeight="1" thickBot="1" x14ac:dyDescent="0.25">
      <c r="A91" s="61">
        <v>82</v>
      </c>
      <c r="B91" s="61"/>
      <c r="C91" s="62" t="s">
        <v>171</v>
      </c>
      <c r="D91" s="63" t="s">
        <v>170</v>
      </c>
      <c r="E91" s="64" t="s">
        <v>149</v>
      </c>
      <c r="F91" s="65" t="s">
        <v>82</v>
      </c>
      <c r="G91" s="65">
        <v>5000</v>
      </c>
      <c r="H91" s="66">
        <v>31.77</v>
      </c>
      <c r="I91" s="66">
        <f t="shared" si="1"/>
        <v>158850</v>
      </c>
    </row>
    <row r="92" spans="1:9" ht="25.5" customHeight="1" thickBot="1" x14ac:dyDescent="0.25">
      <c r="A92" s="61">
        <v>83</v>
      </c>
      <c r="B92" s="61"/>
      <c r="C92" s="62" t="s">
        <v>171</v>
      </c>
      <c r="D92" s="63" t="s">
        <v>170</v>
      </c>
      <c r="E92" s="64" t="s">
        <v>150</v>
      </c>
      <c r="F92" s="65" t="s">
        <v>82</v>
      </c>
      <c r="G92" s="65">
        <v>5000</v>
      </c>
      <c r="H92" s="66">
        <v>35.43</v>
      </c>
      <c r="I92" s="66">
        <f t="shared" si="1"/>
        <v>177150</v>
      </c>
    </row>
    <row r="93" spans="1:9" ht="25.5" customHeight="1" thickBot="1" x14ac:dyDescent="0.25">
      <c r="A93" s="61">
        <v>84</v>
      </c>
      <c r="B93" s="61"/>
      <c r="C93" s="62" t="s">
        <v>171</v>
      </c>
      <c r="D93" s="63" t="s">
        <v>170</v>
      </c>
      <c r="E93" s="64" t="s">
        <v>151</v>
      </c>
      <c r="F93" s="65" t="s">
        <v>82</v>
      </c>
      <c r="G93" s="65">
        <v>100</v>
      </c>
      <c r="H93" s="66">
        <v>734</v>
      </c>
      <c r="I93" s="66">
        <f t="shared" si="1"/>
        <v>73400</v>
      </c>
    </row>
    <row r="94" spans="1:9" ht="25.5" customHeight="1" thickBot="1" x14ac:dyDescent="0.25">
      <c r="A94" s="61">
        <v>85</v>
      </c>
      <c r="B94" s="61"/>
      <c r="C94" s="62" t="s">
        <v>171</v>
      </c>
      <c r="D94" s="63" t="s">
        <v>170</v>
      </c>
      <c r="E94" s="64" t="s">
        <v>152</v>
      </c>
      <c r="F94" s="65" t="s">
        <v>82</v>
      </c>
      <c r="G94" s="65">
        <v>100</v>
      </c>
      <c r="H94" s="66">
        <v>350</v>
      </c>
      <c r="I94" s="66">
        <f t="shared" si="1"/>
        <v>35000</v>
      </c>
    </row>
    <row r="95" spans="1:9" ht="25.5" customHeight="1" thickBot="1" x14ac:dyDescent="0.25">
      <c r="A95" s="61">
        <v>86</v>
      </c>
      <c r="B95" s="61"/>
      <c r="C95" s="62" t="s">
        <v>171</v>
      </c>
      <c r="D95" s="63" t="s">
        <v>170</v>
      </c>
      <c r="E95" s="64" t="s">
        <v>153</v>
      </c>
      <c r="F95" s="65" t="s">
        <v>82</v>
      </c>
      <c r="G95" s="65">
        <v>30</v>
      </c>
      <c r="H95" s="66">
        <v>115</v>
      </c>
      <c r="I95" s="66">
        <f t="shared" si="1"/>
        <v>3450</v>
      </c>
    </row>
    <row r="96" spans="1:9" ht="25.5" customHeight="1" thickBot="1" x14ac:dyDescent="0.25">
      <c r="A96" s="61">
        <v>87</v>
      </c>
      <c r="B96" s="61"/>
      <c r="C96" s="62" t="s">
        <v>171</v>
      </c>
      <c r="D96" s="63" t="s">
        <v>170</v>
      </c>
      <c r="E96" s="64" t="s">
        <v>154</v>
      </c>
      <c r="F96" s="65" t="s">
        <v>82</v>
      </c>
      <c r="G96" s="65">
        <v>30</v>
      </c>
      <c r="H96" s="66">
        <v>115</v>
      </c>
      <c r="I96" s="66">
        <f t="shared" si="1"/>
        <v>3450</v>
      </c>
    </row>
    <row r="97" spans="1:9" ht="25.5" customHeight="1" thickBot="1" x14ac:dyDescent="0.25">
      <c r="A97" s="61">
        <v>88</v>
      </c>
      <c r="B97" s="61"/>
      <c r="C97" s="62" t="s">
        <v>171</v>
      </c>
      <c r="D97" s="63" t="s">
        <v>170</v>
      </c>
      <c r="E97" s="64" t="s">
        <v>155</v>
      </c>
      <c r="F97" s="65" t="s">
        <v>82</v>
      </c>
      <c r="G97" s="65">
        <v>50</v>
      </c>
      <c r="H97" s="66">
        <v>115</v>
      </c>
      <c r="I97" s="66">
        <f t="shared" si="1"/>
        <v>5750</v>
      </c>
    </row>
    <row r="98" spans="1:9" ht="25.5" customHeight="1" thickBot="1" x14ac:dyDescent="0.25">
      <c r="A98" s="61">
        <v>89</v>
      </c>
      <c r="B98" s="61"/>
      <c r="C98" s="62" t="s">
        <v>171</v>
      </c>
      <c r="D98" s="63" t="s">
        <v>170</v>
      </c>
      <c r="E98" s="64" t="s">
        <v>156</v>
      </c>
      <c r="F98" s="65" t="s">
        <v>82</v>
      </c>
      <c r="G98" s="65">
        <v>50</v>
      </c>
      <c r="H98" s="66">
        <v>115</v>
      </c>
      <c r="I98" s="66">
        <f t="shared" si="1"/>
        <v>5750</v>
      </c>
    </row>
    <row r="99" spans="1:9" ht="25.5" customHeight="1" thickBot="1" x14ac:dyDescent="0.25">
      <c r="A99" s="61">
        <v>90</v>
      </c>
      <c r="B99" s="61"/>
      <c r="C99" s="62" t="s">
        <v>171</v>
      </c>
      <c r="D99" s="63" t="s">
        <v>170</v>
      </c>
      <c r="E99" s="64" t="s">
        <v>157</v>
      </c>
      <c r="F99" s="65" t="s">
        <v>82</v>
      </c>
      <c r="G99" s="65">
        <v>20</v>
      </c>
      <c r="H99" s="66">
        <v>115</v>
      </c>
      <c r="I99" s="66">
        <f t="shared" si="1"/>
        <v>2300</v>
      </c>
    </row>
    <row r="100" spans="1:9" ht="25.5" customHeight="1" thickBot="1" x14ac:dyDescent="0.25">
      <c r="A100" s="61">
        <v>91</v>
      </c>
      <c r="B100" s="61"/>
      <c r="C100" s="62" t="s">
        <v>171</v>
      </c>
      <c r="D100" s="63" t="s">
        <v>170</v>
      </c>
      <c r="E100" s="64" t="s">
        <v>158</v>
      </c>
      <c r="F100" s="65" t="s">
        <v>82</v>
      </c>
      <c r="G100" s="65">
        <v>20</v>
      </c>
      <c r="H100" s="66">
        <v>115</v>
      </c>
      <c r="I100" s="66">
        <f t="shared" si="1"/>
        <v>2300</v>
      </c>
    </row>
    <row r="101" spans="1:9" ht="25.5" customHeight="1" thickBot="1" x14ac:dyDescent="0.25">
      <c r="A101" s="61">
        <v>92</v>
      </c>
      <c r="B101" s="61"/>
      <c r="C101" s="62" t="s">
        <v>171</v>
      </c>
      <c r="D101" s="63" t="s">
        <v>170</v>
      </c>
      <c r="E101" s="64" t="s">
        <v>159</v>
      </c>
      <c r="F101" s="65" t="s">
        <v>82</v>
      </c>
      <c r="G101" s="65">
        <v>20</v>
      </c>
      <c r="H101" s="66">
        <v>115</v>
      </c>
      <c r="I101" s="66">
        <f t="shared" si="1"/>
        <v>2300</v>
      </c>
    </row>
    <row r="102" spans="1:9" ht="25.5" customHeight="1" thickBot="1" x14ac:dyDescent="0.25">
      <c r="A102" s="61">
        <v>93</v>
      </c>
      <c r="B102" s="61"/>
      <c r="C102" s="62" t="s">
        <v>171</v>
      </c>
      <c r="D102" s="63" t="s">
        <v>170</v>
      </c>
      <c r="E102" s="64" t="s">
        <v>160</v>
      </c>
      <c r="F102" s="65" t="s">
        <v>82</v>
      </c>
      <c r="G102" s="65">
        <v>20</v>
      </c>
      <c r="H102" s="66">
        <v>250</v>
      </c>
      <c r="I102" s="66">
        <f t="shared" si="1"/>
        <v>5000</v>
      </c>
    </row>
    <row r="103" spans="1:9" ht="25.5" customHeight="1" thickBot="1" x14ac:dyDescent="0.25">
      <c r="A103" s="61">
        <v>94</v>
      </c>
      <c r="B103" s="61"/>
      <c r="C103" s="62" t="s">
        <v>171</v>
      </c>
      <c r="D103" s="63" t="s">
        <v>170</v>
      </c>
      <c r="E103" s="64" t="s">
        <v>161</v>
      </c>
      <c r="F103" s="65" t="s">
        <v>82</v>
      </c>
      <c r="G103" s="65">
        <v>20</v>
      </c>
      <c r="H103" s="66">
        <v>250</v>
      </c>
      <c r="I103" s="66">
        <f t="shared" si="1"/>
        <v>5000</v>
      </c>
    </row>
    <row r="104" spans="1:9" ht="25.5" customHeight="1" thickBot="1" x14ac:dyDescent="0.25">
      <c r="A104" s="61">
        <v>95</v>
      </c>
      <c r="B104" s="61"/>
      <c r="C104" s="62" t="s">
        <v>171</v>
      </c>
      <c r="D104" s="63" t="s">
        <v>170</v>
      </c>
      <c r="E104" s="64" t="s">
        <v>162</v>
      </c>
      <c r="F104" s="65" t="s">
        <v>82</v>
      </c>
      <c r="G104" s="65">
        <v>20</v>
      </c>
      <c r="H104" s="66">
        <v>250</v>
      </c>
      <c r="I104" s="66">
        <f t="shared" si="1"/>
        <v>5000</v>
      </c>
    </row>
    <row r="105" spans="1:9" ht="25.5" customHeight="1" thickBot="1" x14ac:dyDescent="0.25">
      <c r="A105" s="61">
        <v>96</v>
      </c>
      <c r="B105" s="61"/>
      <c r="C105" s="62" t="s">
        <v>171</v>
      </c>
      <c r="D105" s="63" t="s">
        <v>170</v>
      </c>
      <c r="E105" s="64" t="s">
        <v>163</v>
      </c>
      <c r="F105" s="65" t="s">
        <v>82</v>
      </c>
      <c r="G105" s="65">
        <v>20</v>
      </c>
      <c r="H105" s="66">
        <v>58</v>
      </c>
      <c r="I105" s="66">
        <f t="shared" si="1"/>
        <v>1160</v>
      </c>
    </row>
    <row r="106" spans="1:9" ht="25.5" customHeight="1" thickBot="1" x14ac:dyDescent="0.25">
      <c r="A106" s="61">
        <v>97</v>
      </c>
      <c r="B106" s="61"/>
      <c r="C106" s="62" t="s">
        <v>171</v>
      </c>
      <c r="D106" s="63" t="s">
        <v>170</v>
      </c>
      <c r="E106" s="64" t="s">
        <v>164</v>
      </c>
      <c r="F106" s="65" t="s">
        <v>82</v>
      </c>
      <c r="G106" s="65">
        <v>20</v>
      </c>
      <c r="H106" s="66">
        <v>58</v>
      </c>
      <c r="I106" s="66">
        <f t="shared" si="1"/>
        <v>1160</v>
      </c>
    </row>
    <row r="107" spans="1:9" ht="25.5" customHeight="1" thickBot="1" x14ac:dyDescent="0.25">
      <c r="A107" s="61">
        <v>98</v>
      </c>
      <c r="B107" s="61"/>
      <c r="C107" s="62" t="s">
        <v>171</v>
      </c>
      <c r="D107" s="63" t="s">
        <v>170</v>
      </c>
      <c r="E107" s="64" t="s">
        <v>165</v>
      </c>
      <c r="F107" s="65" t="s">
        <v>82</v>
      </c>
      <c r="G107" s="65">
        <v>20</v>
      </c>
      <c r="H107" s="66">
        <v>58</v>
      </c>
      <c r="I107" s="66">
        <f t="shared" si="1"/>
        <v>1160</v>
      </c>
    </row>
    <row r="108" spans="1:9" ht="25.5" customHeight="1" thickBot="1" x14ac:dyDescent="0.25">
      <c r="A108" s="61">
        <v>99</v>
      </c>
      <c r="B108" s="61"/>
      <c r="C108" s="62" t="s">
        <v>171</v>
      </c>
      <c r="D108" s="63" t="s">
        <v>170</v>
      </c>
      <c r="E108" s="64" t="s">
        <v>166</v>
      </c>
      <c r="F108" s="65" t="s">
        <v>82</v>
      </c>
      <c r="G108" s="65">
        <v>20</v>
      </c>
      <c r="H108" s="66">
        <v>58</v>
      </c>
      <c r="I108" s="66">
        <f t="shared" si="1"/>
        <v>1160</v>
      </c>
    </row>
    <row r="109" spans="1:9" ht="25.5" customHeight="1" thickBot="1" x14ac:dyDescent="0.25">
      <c r="A109" s="61">
        <v>100</v>
      </c>
      <c r="B109" s="61"/>
      <c r="C109" s="62" t="s">
        <v>171</v>
      </c>
      <c r="D109" s="63" t="s">
        <v>170</v>
      </c>
      <c r="E109" s="64" t="s">
        <v>167</v>
      </c>
      <c r="F109" s="65" t="s">
        <v>82</v>
      </c>
      <c r="G109" s="65">
        <v>20</v>
      </c>
      <c r="H109" s="66">
        <v>58</v>
      </c>
      <c r="I109" s="66">
        <f t="shared" si="1"/>
        <v>1160</v>
      </c>
    </row>
    <row r="110" spans="1:9" ht="25.5" customHeight="1" thickBot="1" x14ac:dyDescent="0.25">
      <c r="A110" s="61">
        <v>101</v>
      </c>
      <c r="B110" s="61"/>
      <c r="C110" s="62" t="s">
        <v>171</v>
      </c>
      <c r="D110" s="63" t="s">
        <v>170</v>
      </c>
      <c r="E110" s="64" t="s">
        <v>168</v>
      </c>
      <c r="F110" s="65" t="s">
        <v>82</v>
      </c>
      <c r="G110" s="65">
        <v>30</v>
      </c>
      <c r="H110" s="66">
        <v>1500</v>
      </c>
      <c r="I110" s="66">
        <f t="shared" si="1"/>
        <v>45000</v>
      </c>
    </row>
    <row r="111" spans="1:9" ht="25.5" customHeight="1" thickBot="1" x14ac:dyDescent="0.25">
      <c r="A111" s="61">
        <v>102</v>
      </c>
      <c r="B111" s="61"/>
      <c r="C111" s="62" t="s">
        <v>171</v>
      </c>
      <c r="D111" s="63" t="s">
        <v>170</v>
      </c>
      <c r="E111" s="88" t="s">
        <v>169</v>
      </c>
      <c r="F111" s="65" t="s">
        <v>82</v>
      </c>
      <c r="G111" s="65">
        <v>10</v>
      </c>
      <c r="H111" s="66">
        <v>1750</v>
      </c>
      <c r="I111" s="66">
        <f t="shared" si="1"/>
        <v>17500</v>
      </c>
    </row>
    <row r="113" spans="3:6" ht="13.5" thickBot="1" x14ac:dyDescent="0.25"/>
    <row r="114" spans="3:6" x14ac:dyDescent="0.2">
      <c r="C114" s="43" t="s">
        <v>186</v>
      </c>
      <c r="D114" s="41"/>
      <c r="E114" s="41"/>
      <c r="F114" s="50"/>
    </row>
    <row r="115" spans="3:6" x14ac:dyDescent="0.2">
      <c r="C115" s="44"/>
      <c r="D115" s="67"/>
      <c r="E115" s="67"/>
      <c r="F115" s="49"/>
    </row>
    <row r="116" spans="3:6" ht="24.6" customHeight="1" thickBot="1" x14ac:dyDescent="0.25">
      <c r="C116" s="69" t="s">
        <v>55</v>
      </c>
      <c r="D116" s="98"/>
      <c r="E116" s="98"/>
      <c r="F116" s="99"/>
    </row>
    <row r="117" spans="3:6" ht="113.25" customHeight="1" x14ac:dyDescent="0.2">
      <c r="C117" s="43"/>
      <c r="D117" s="100" t="s">
        <v>182</v>
      </c>
      <c r="E117" s="100"/>
      <c r="F117" s="101"/>
    </row>
    <row r="118" spans="3:6" x14ac:dyDescent="0.2">
      <c r="C118" s="46"/>
      <c r="D118" s="96"/>
      <c r="E118" s="96"/>
      <c r="F118" s="97"/>
    </row>
    <row r="119" spans="3:6" x14ac:dyDescent="0.2">
      <c r="C119" s="45" t="s">
        <v>56</v>
      </c>
      <c r="D119" s="94" t="s">
        <v>183</v>
      </c>
      <c r="E119" s="94"/>
      <c r="F119" s="95"/>
    </row>
    <row r="120" spans="3:6" x14ac:dyDescent="0.2">
      <c r="C120" s="46"/>
      <c r="D120" s="67"/>
      <c r="E120" s="68"/>
      <c r="F120" s="49"/>
    </row>
    <row r="121" spans="3:6" x14ac:dyDescent="0.2">
      <c r="C121" s="45" t="s">
        <v>57</v>
      </c>
      <c r="D121" s="94" t="s">
        <v>65</v>
      </c>
      <c r="E121" s="94"/>
      <c r="F121" s="95"/>
    </row>
    <row r="122" spans="3:6" x14ac:dyDescent="0.2">
      <c r="C122" s="47"/>
      <c r="D122" s="94" t="s">
        <v>66</v>
      </c>
      <c r="E122" s="94"/>
      <c r="F122" s="95"/>
    </row>
    <row r="123" spans="3:6" x14ac:dyDescent="0.2">
      <c r="C123" s="47"/>
      <c r="D123" s="68"/>
      <c r="E123" s="68"/>
      <c r="F123" s="49"/>
    </row>
    <row r="124" spans="3:6" x14ac:dyDescent="0.2">
      <c r="C124" s="45" t="s">
        <v>58</v>
      </c>
      <c r="D124" s="67"/>
      <c r="E124" s="67"/>
      <c r="F124" s="49"/>
    </row>
    <row r="125" spans="3:6" x14ac:dyDescent="0.2">
      <c r="C125" s="44"/>
      <c r="D125" s="92"/>
      <c r="E125" s="92"/>
      <c r="F125" s="93"/>
    </row>
    <row r="126" spans="3:6" x14ac:dyDescent="0.2">
      <c r="C126" s="45" t="s">
        <v>59</v>
      </c>
      <c r="D126" s="92" t="s">
        <v>184</v>
      </c>
      <c r="E126" s="92"/>
      <c r="F126" s="93"/>
    </row>
    <row r="127" spans="3:6" x14ac:dyDescent="0.2">
      <c r="C127" s="44"/>
      <c r="D127" s="92"/>
      <c r="E127" s="92"/>
      <c r="F127" s="93"/>
    </row>
    <row r="128" spans="3:6" x14ac:dyDescent="0.2">
      <c r="C128" s="45" t="s">
        <v>60</v>
      </c>
      <c r="D128" s="67"/>
      <c r="E128" s="67"/>
      <c r="F128" s="49"/>
    </row>
    <row r="129" spans="3:6" x14ac:dyDescent="0.2">
      <c r="C129" s="46"/>
      <c r="D129" s="94"/>
      <c r="E129" s="94"/>
      <c r="F129" s="95"/>
    </row>
    <row r="130" spans="3:6" ht="13.5" thickBot="1" x14ac:dyDescent="0.25">
      <c r="C130" s="48"/>
      <c r="D130" s="42"/>
      <c r="E130" s="42"/>
      <c r="F130" s="51"/>
    </row>
  </sheetData>
  <autoFilter ref="A9:I111" xr:uid="{00000000-0009-0000-0000-000000000000}"/>
  <mergeCells count="17">
    <mergeCell ref="A6:B6"/>
    <mergeCell ref="A7:B7"/>
    <mergeCell ref="A4:B4"/>
    <mergeCell ref="C4:E4"/>
    <mergeCell ref="A5:B5"/>
    <mergeCell ref="C5:E5"/>
    <mergeCell ref="C2:G2"/>
    <mergeCell ref="D127:F127"/>
    <mergeCell ref="D129:F129"/>
    <mergeCell ref="D118:F118"/>
    <mergeCell ref="D119:F119"/>
    <mergeCell ref="D121:F121"/>
    <mergeCell ref="D122:F122"/>
    <mergeCell ref="D125:F125"/>
    <mergeCell ref="D126:F126"/>
    <mergeCell ref="D116:F116"/>
    <mergeCell ref="D117:F117"/>
  </mergeCells>
  <phoneticPr fontId="32" type="noConversion"/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118"/>
  <sheetViews>
    <sheetView topLeftCell="A113" zoomScale="90" zoomScaleNormal="90" workbookViewId="0">
      <selection activeCell="A114" sqref="A114:H114"/>
    </sheetView>
  </sheetViews>
  <sheetFormatPr baseColWidth="10" defaultColWidth="9.140625" defaultRowHeight="12.75" x14ac:dyDescent="0.2"/>
  <cols>
    <col min="1" max="1" width="6.42578125" style="25" customWidth="1"/>
    <col min="2" max="2" width="17.5703125" style="25" customWidth="1"/>
    <col min="3" max="3" width="14.140625" style="25" customWidth="1"/>
    <col min="4" max="4" width="48.140625" style="25" customWidth="1"/>
    <col min="5" max="5" width="29.140625" style="25" customWidth="1"/>
    <col min="6" max="6" width="12.42578125" style="25" customWidth="1"/>
    <col min="7" max="7" width="15.5703125" style="25" customWidth="1"/>
    <col min="8" max="8" width="14.7109375" style="25" customWidth="1"/>
    <col min="9" max="9" width="19.28515625" style="25" bestFit="1" customWidth="1"/>
    <col min="10" max="10" width="28.7109375" style="2" customWidth="1"/>
    <col min="11" max="1000" width="9.140625" style="2"/>
  </cols>
  <sheetData>
    <row r="1" spans="1:10" ht="18" customHeight="1" thickBot="1" x14ac:dyDescent="0.25">
      <c r="A1" s="109" t="s">
        <v>11</v>
      </c>
      <c r="B1" s="109"/>
      <c r="C1" s="109"/>
      <c r="D1" s="109"/>
      <c r="E1" s="109"/>
      <c r="F1" s="109"/>
      <c r="G1" s="109"/>
      <c r="H1" s="19" t="s">
        <v>12</v>
      </c>
      <c r="I1" s="20" t="s">
        <v>173</v>
      </c>
    </row>
    <row r="2" spans="1:10" ht="18.75" customHeight="1" thickBot="1" x14ac:dyDescent="0.25">
      <c r="A2" s="21"/>
      <c r="B2" s="21"/>
      <c r="C2" s="21"/>
      <c r="D2" s="22"/>
      <c r="E2" s="22"/>
      <c r="F2" s="22"/>
      <c r="G2" s="22"/>
      <c r="H2" s="22"/>
      <c r="I2" s="22"/>
    </row>
    <row r="3" spans="1:10" ht="18.75" customHeight="1" thickBot="1" x14ac:dyDescent="0.25">
      <c r="A3" s="110" t="s">
        <v>45</v>
      </c>
      <c r="B3" s="110"/>
      <c r="C3" s="110"/>
      <c r="D3" s="118" t="s">
        <v>51</v>
      </c>
      <c r="E3" s="119"/>
      <c r="F3" s="119"/>
      <c r="G3" s="119"/>
      <c r="H3" s="119"/>
      <c r="I3" s="120"/>
    </row>
    <row r="4" spans="1:10" ht="18.75" customHeight="1" thickBot="1" x14ac:dyDescent="0.25">
      <c r="A4" s="111" t="s">
        <v>46</v>
      </c>
      <c r="B4" s="111"/>
      <c r="C4" s="111"/>
      <c r="D4" s="118" t="s">
        <v>62</v>
      </c>
      <c r="E4" s="119"/>
      <c r="F4" s="119"/>
      <c r="G4" s="119"/>
      <c r="H4" s="119"/>
      <c r="I4" s="120"/>
    </row>
    <row r="5" spans="1:10" ht="21.75" customHeight="1" thickBot="1" x14ac:dyDescent="0.25">
      <c r="A5" s="111" t="s">
        <v>24</v>
      </c>
      <c r="B5" s="111"/>
      <c r="C5" s="111"/>
      <c r="D5" s="115" t="s">
        <v>175</v>
      </c>
      <c r="E5" s="116"/>
      <c r="F5" s="116"/>
      <c r="G5" s="116"/>
      <c r="H5" s="116"/>
      <c r="I5" s="117"/>
    </row>
    <row r="6" spans="1:10" ht="16.5" customHeight="1" thickBot="1" x14ac:dyDescent="0.25">
      <c r="A6" s="110" t="s">
        <v>47</v>
      </c>
      <c r="B6" s="110"/>
      <c r="C6" s="110"/>
      <c r="D6" s="115" t="s">
        <v>176</v>
      </c>
      <c r="E6" s="116"/>
      <c r="F6" s="116"/>
      <c r="G6" s="116"/>
      <c r="H6" s="116"/>
      <c r="I6" s="117"/>
    </row>
    <row r="7" spans="1:10" ht="16.5" customHeight="1" thickBot="1" x14ac:dyDescent="0.25">
      <c r="A7" s="111" t="s">
        <v>13</v>
      </c>
      <c r="B7" s="111"/>
      <c r="C7" s="111"/>
      <c r="D7" s="112" t="s">
        <v>188</v>
      </c>
      <c r="E7" s="112"/>
      <c r="F7" s="112"/>
      <c r="G7" s="112"/>
      <c r="H7" s="112"/>
      <c r="I7" s="112"/>
    </row>
    <row r="8" spans="1:10" ht="16.5" customHeight="1" thickBot="1" x14ac:dyDescent="0.25">
      <c r="A8" s="113" t="s">
        <v>14</v>
      </c>
      <c r="B8" s="113"/>
      <c r="C8" s="113"/>
      <c r="D8" s="114" t="s">
        <v>174</v>
      </c>
      <c r="E8" s="114"/>
      <c r="F8" s="114"/>
      <c r="G8" s="114"/>
      <c r="H8" s="114"/>
      <c r="I8" s="114"/>
    </row>
    <row r="9" spans="1:10" ht="16.5" thickBot="1" x14ac:dyDescent="0.25">
      <c r="A9" s="23"/>
      <c r="B9" s="23"/>
      <c r="C9" s="23"/>
      <c r="D9" s="24"/>
      <c r="E9" s="24"/>
      <c r="F9" s="24"/>
      <c r="G9" s="24"/>
      <c r="H9" s="24"/>
      <c r="I9" s="24"/>
    </row>
    <row r="10" spans="1:10" ht="18.75" customHeight="1" thickBot="1" x14ac:dyDescent="0.25">
      <c r="A10" s="108" t="s">
        <v>15</v>
      </c>
      <c r="B10" s="107" t="s">
        <v>16</v>
      </c>
      <c r="C10" s="107" t="s">
        <v>17</v>
      </c>
      <c r="D10" s="107"/>
      <c r="E10" s="107"/>
      <c r="F10" s="107" t="s">
        <v>18</v>
      </c>
      <c r="G10" s="107" t="s">
        <v>19</v>
      </c>
      <c r="H10" s="107" t="s">
        <v>20</v>
      </c>
      <c r="I10" s="107" t="s">
        <v>21</v>
      </c>
    </row>
    <row r="11" spans="1:10" ht="24" customHeight="1" thickBot="1" x14ac:dyDescent="0.25">
      <c r="A11" s="108"/>
      <c r="B11" s="107"/>
      <c r="C11" s="107"/>
      <c r="D11" s="107"/>
      <c r="E11" s="107"/>
      <c r="F11" s="107"/>
      <c r="G11" s="107"/>
      <c r="H11" s="107"/>
      <c r="I11" s="107"/>
    </row>
    <row r="12" spans="1:10" ht="43.5" customHeight="1" thickBot="1" x14ac:dyDescent="0.25">
      <c r="A12" s="53">
        <f>'Necesidades Trimestrales'!A10</f>
        <v>1</v>
      </c>
      <c r="B12" s="54">
        <v>0</v>
      </c>
      <c r="C12" s="104" t="str">
        <f>'Necesidades Trimestrales'!E10</f>
        <v>ALCOHOL 70 % X 1000 ML</v>
      </c>
      <c r="D12" s="104"/>
      <c r="E12" s="104"/>
      <c r="F12" s="55" t="s">
        <v>50</v>
      </c>
      <c r="G12" s="55" t="str">
        <f>'Necesidades Trimestrales'!F10</f>
        <v>UNIDAD</v>
      </c>
      <c r="H12" s="56">
        <f>'Necesidades Trimestrales'!H10</f>
        <v>194</v>
      </c>
      <c r="I12" s="57">
        <f>'Necesidades Trimestrales'!G10</f>
        <v>4000</v>
      </c>
      <c r="J12" s="32"/>
    </row>
    <row r="13" spans="1:10" ht="45" customHeight="1" thickBot="1" x14ac:dyDescent="0.25">
      <c r="A13" s="53">
        <f>'Necesidades Trimestrales'!A11</f>
        <v>2</v>
      </c>
      <c r="B13" s="54">
        <v>0</v>
      </c>
      <c r="C13" s="104" t="str">
        <f>'Necesidades Trimestrales'!E11</f>
        <v>ALCOHOL 70 % X 500 ML</v>
      </c>
      <c r="D13" s="104"/>
      <c r="E13" s="104"/>
      <c r="F13" s="55" t="s">
        <v>50</v>
      </c>
      <c r="G13" s="55" t="str">
        <f>'Necesidades Trimestrales'!F11</f>
        <v>UNIDAD</v>
      </c>
      <c r="H13" s="56">
        <f>'Necesidades Trimestrales'!H11</f>
        <v>90</v>
      </c>
      <c r="I13" s="57">
        <f>'Necesidades Trimestrales'!G11</f>
        <v>6000</v>
      </c>
      <c r="J13" s="32"/>
    </row>
    <row r="14" spans="1:10" ht="45" customHeight="1" thickBot="1" x14ac:dyDescent="0.25">
      <c r="A14" s="53">
        <f>'Necesidades Trimestrales'!A12</f>
        <v>3</v>
      </c>
      <c r="B14" s="54">
        <v>0</v>
      </c>
      <c r="C14" s="104" t="str">
        <f>'Necesidades Trimestrales'!E12</f>
        <v>ALCOHOL EN GEL X 250 ML</v>
      </c>
      <c r="D14" s="104"/>
      <c r="E14" s="104"/>
      <c r="F14" s="55" t="s">
        <v>50</v>
      </c>
      <c r="G14" s="55" t="str">
        <f>'Necesidades Trimestrales'!F12</f>
        <v>UNIDAD</v>
      </c>
      <c r="H14" s="56">
        <f>'Necesidades Trimestrales'!H12</f>
        <v>95</v>
      </c>
      <c r="I14" s="57">
        <f>'Necesidades Trimestrales'!G12</f>
        <v>3000</v>
      </c>
      <c r="J14" s="32"/>
    </row>
    <row r="15" spans="1:10" ht="37.5" customHeight="1" thickBot="1" x14ac:dyDescent="0.25">
      <c r="A15" s="53">
        <f>'Necesidades Trimestrales'!A13</f>
        <v>4</v>
      </c>
      <c r="B15" s="54">
        <v>0</v>
      </c>
      <c r="C15" s="104" t="str">
        <f>'Necesidades Trimestrales'!E13</f>
        <v>ALCOHOL EN GEL X 500 ML.</v>
      </c>
      <c r="D15" s="104"/>
      <c r="E15" s="104"/>
      <c r="F15" s="55" t="s">
        <v>50</v>
      </c>
      <c r="G15" s="55" t="str">
        <f>'Necesidades Trimestrales'!F13</f>
        <v>UNIDAD</v>
      </c>
      <c r="H15" s="56">
        <f>'Necesidades Trimestrales'!H13</f>
        <v>145</v>
      </c>
      <c r="I15" s="57">
        <f>'Necesidades Trimestrales'!G13</f>
        <v>1500</v>
      </c>
      <c r="J15" s="32"/>
    </row>
    <row r="16" spans="1:10" ht="41.25" customHeight="1" thickBot="1" x14ac:dyDescent="0.25">
      <c r="A16" s="53">
        <f>'Necesidades Trimestrales'!A14</f>
        <v>5</v>
      </c>
      <c r="B16" s="54">
        <v>0</v>
      </c>
      <c r="C16" s="104" t="str">
        <f>'Necesidades Trimestrales'!E14</f>
        <v>AMONIO CUATERNARIO X 5 LITROS TIPO SURFANIOS</v>
      </c>
      <c r="D16" s="104"/>
      <c r="E16" s="104"/>
      <c r="F16" s="55" t="s">
        <v>50</v>
      </c>
      <c r="G16" s="55" t="str">
        <f>'Necesidades Trimestrales'!F14</f>
        <v>UNIDAD</v>
      </c>
      <c r="H16" s="56">
        <f>'Necesidades Trimestrales'!H14</f>
        <v>7919.45</v>
      </c>
      <c r="I16" s="57">
        <f>'Necesidades Trimestrales'!G14</f>
        <v>50</v>
      </c>
      <c r="J16" s="32"/>
    </row>
    <row r="17" spans="1:10" ht="48.75" customHeight="1" thickBot="1" x14ac:dyDescent="0.25">
      <c r="A17" s="53">
        <f>'Necesidades Trimestrales'!A15</f>
        <v>6</v>
      </c>
      <c r="B17" s="54">
        <v>0</v>
      </c>
      <c r="C17" s="104" t="str">
        <f>'Necesidades Trimestrales'!E15</f>
        <v>BAJALENGUA X 100 UNIDADES</v>
      </c>
      <c r="D17" s="104"/>
      <c r="E17" s="104"/>
      <c r="F17" s="55" t="s">
        <v>50</v>
      </c>
      <c r="G17" s="55" t="str">
        <f>'Necesidades Trimestrales'!F15</f>
        <v>UNIDAD</v>
      </c>
      <c r="H17" s="56">
        <f>'Necesidades Trimestrales'!H15</f>
        <v>149.72999999999999</v>
      </c>
      <c r="I17" s="57">
        <f>'Necesidades Trimestrales'!G15</f>
        <v>5000</v>
      </c>
      <c r="J17" s="32"/>
    </row>
    <row r="18" spans="1:10" ht="48.75" customHeight="1" thickBot="1" x14ac:dyDescent="0.25">
      <c r="A18" s="53">
        <f>'Necesidades Trimestrales'!A16</f>
        <v>7</v>
      </c>
      <c r="B18" s="54">
        <v>0</v>
      </c>
      <c r="C18" s="104" t="str">
        <f>'Necesidades Trimestrales'!E16</f>
        <v>BARBIJO HEMORREPELENTE QUIRURGICO TRIPLE CAPA</v>
      </c>
      <c r="D18" s="104"/>
      <c r="E18" s="104"/>
      <c r="F18" s="55" t="s">
        <v>50</v>
      </c>
      <c r="G18" s="55" t="str">
        <f>'Necesidades Trimestrales'!F16</f>
        <v>UNIDAD</v>
      </c>
      <c r="H18" s="56">
        <f>'Necesidades Trimestrales'!H16</f>
        <v>12</v>
      </c>
      <c r="I18" s="57">
        <f>'Necesidades Trimestrales'!G16</f>
        <v>64000</v>
      </c>
      <c r="J18" s="32"/>
    </row>
    <row r="19" spans="1:10" ht="37.5" customHeight="1" thickBot="1" x14ac:dyDescent="0.25">
      <c r="A19" s="53">
        <f>'Necesidades Trimestrales'!A17</f>
        <v>8</v>
      </c>
      <c r="B19" s="54">
        <v>0</v>
      </c>
      <c r="C19" s="104" t="str">
        <f>'Necesidades Trimestrales'!E17</f>
        <v>BARBIJOS DE ALTA EFICIENCIA TIPO N95</v>
      </c>
      <c r="D19" s="104"/>
      <c r="E19" s="104"/>
      <c r="F19" s="55" t="s">
        <v>50</v>
      </c>
      <c r="G19" s="55" t="str">
        <f>'Necesidades Trimestrales'!F17</f>
        <v>UNIDAD</v>
      </c>
      <c r="H19" s="56">
        <f>'Necesidades Trimestrales'!H17</f>
        <v>145.19999999999999</v>
      </c>
      <c r="I19" s="57">
        <f>'Necesidades Trimestrales'!G17</f>
        <v>2000</v>
      </c>
      <c r="J19" s="32"/>
    </row>
    <row r="20" spans="1:10" ht="39.75" customHeight="1" thickBot="1" x14ac:dyDescent="0.25">
      <c r="A20" s="53">
        <f>'Necesidades Trimestrales'!A18</f>
        <v>9</v>
      </c>
      <c r="B20" s="54">
        <v>0</v>
      </c>
      <c r="C20" s="104" t="str">
        <f>'Necesidades Trimestrales'!E18</f>
        <v>BOTAS ALTAS DESCARTABLES DE 30 GRAMOS CON TIRA EL PAR</v>
      </c>
      <c r="D20" s="104"/>
      <c r="E20" s="104"/>
      <c r="F20" s="55" t="s">
        <v>50</v>
      </c>
      <c r="G20" s="55" t="str">
        <f>'Necesidades Trimestrales'!F18</f>
        <v>UNIDAD</v>
      </c>
      <c r="H20" s="56">
        <f>'Necesidades Trimestrales'!H18</f>
        <v>12.7</v>
      </c>
      <c r="I20" s="57">
        <f>'Necesidades Trimestrales'!G18</f>
        <v>30000</v>
      </c>
      <c r="J20" s="32"/>
    </row>
    <row r="21" spans="1:10" ht="39.75" customHeight="1" thickBot="1" x14ac:dyDescent="0.25">
      <c r="A21" s="53">
        <f>'Necesidades Trimestrales'!A19</f>
        <v>10</v>
      </c>
      <c r="B21" s="54">
        <v>0</v>
      </c>
      <c r="C21" s="104" t="str">
        <f>'Necesidades Trimestrales'!E19</f>
        <v xml:space="preserve">CAMARA HUMIDIFICADORA DESCARTABLE TIPO GGM  o FISHER PAIKEL </v>
      </c>
      <c r="D21" s="104"/>
      <c r="E21" s="104"/>
      <c r="F21" s="55" t="s">
        <v>50</v>
      </c>
      <c r="G21" s="55" t="str">
        <f>'Necesidades Trimestrales'!F19</f>
        <v>UNIDAD</v>
      </c>
      <c r="H21" s="56">
        <f>'Necesidades Trimestrales'!H19</f>
        <v>2700</v>
      </c>
      <c r="I21" s="57">
        <f>'Necesidades Trimestrales'!G19</f>
        <v>100</v>
      </c>
      <c r="J21" s="32"/>
    </row>
    <row r="22" spans="1:10" ht="39" customHeight="1" thickBot="1" x14ac:dyDescent="0.25">
      <c r="A22" s="53">
        <f>'Necesidades Trimestrales'!A20</f>
        <v>11</v>
      </c>
      <c r="B22" s="54">
        <v>0</v>
      </c>
      <c r="C22" s="104" t="str">
        <f>'Necesidades Trimestrales'!E20</f>
        <v>CAMARA HUMIDIFICADORA REUTILIZABLE   Tipo GGM Modelo 4809R1V</v>
      </c>
      <c r="D22" s="104"/>
      <c r="E22" s="104"/>
      <c r="F22" s="55" t="s">
        <v>50</v>
      </c>
      <c r="G22" s="55" t="str">
        <f>'Necesidades Trimestrales'!F20</f>
        <v>UNIDAD</v>
      </c>
      <c r="H22" s="56">
        <f>'Necesidades Trimestrales'!H20</f>
        <v>21400</v>
      </c>
      <c r="I22" s="57">
        <f>'Necesidades Trimestrales'!G20</f>
        <v>100</v>
      </c>
      <c r="J22" s="32"/>
    </row>
    <row r="23" spans="1:10" ht="39" customHeight="1" thickBot="1" x14ac:dyDescent="0.25">
      <c r="A23" s="53">
        <f>'Necesidades Trimestrales'!A21</f>
        <v>12</v>
      </c>
      <c r="B23" s="54">
        <v>0</v>
      </c>
      <c r="C23" s="104" t="str">
        <f>'Necesidades Trimestrales'!E21</f>
        <v>CAMISOLIN DESCARTABLE DE TELA SMS 50 GRAMOS CON MANGA Y PUÑOS DE 1,4 M DE LARGO</v>
      </c>
      <c r="D23" s="104"/>
      <c r="E23" s="104"/>
      <c r="F23" s="55" t="s">
        <v>50</v>
      </c>
      <c r="G23" s="55" t="str">
        <f>'Necesidades Trimestrales'!F21</f>
        <v>UNIDAD</v>
      </c>
      <c r="H23" s="56">
        <f>'Necesidades Trimestrales'!H21</f>
        <v>190</v>
      </c>
      <c r="I23" s="57">
        <f>'Necesidades Trimestrales'!G21</f>
        <v>30000</v>
      </c>
      <c r="J23" s="32"/>
    </row>
    <row r="24" spans="1:10" ht="40.5" customHeight="1" thickBot="1" x14ac:dyDescent="0.25">
      <c r="A24" s="53">
        <f>'Necesidades Trimestrales'!A22</f>
        <v>13</v>
      </c>
      <c r="B24" s="54">
        <v>0</v>
      </c>
      <c r="C24" s="104" t="str">
        <f>'Necesidades Trimestrales'!E22</f>
        <v>CANULA NASAL PARA ALTO FLUJO TIPO GGM  ADULTO 5 mm 4825R1V TAMANO M</v>
      </c>
      <c r="D24" s="104"/>
      <c r="E24" s="104"/>
      <c r="F24" s="55" t="s">
        <v>50</v>
      </c>
      <c r="G24" s="55" t="str">
        <f>'Necesidades Trimestrales'!F22</f>
        <v>UNIDAD</v>
      </c>
      <c r="H24" s="56">
        <f>'Necesidades Trimestrales'!H22</f>
        <v>4200</v>
      </c>
      <c r="I24" s="57">
        <f>'Necesidades Trimestrales'!G22</f>
        <v>500</v>
      </c>
      <c r="J24" s="32"/>
    </row>
    <row r="25" spans="1:10" ht="47.25" customHeight="1" thickBot="1" x14ac:dyDescent="0.25">
      <c r="A25" s="53">
        <f>'Necesidades Trimestrales'!A23</f>
        <v>14</v>
      </c>
      <c r="B25" s="54">
        <v>0</v>
      </c>
      <c r="C25" s="104" t="str">
        <f>'Necesidades Trimestrales'!E23</f>
        <v xml:space="preserve">CANULA NASAL PARA ALTO FLUJO TIPO GGM  ADULTO 6 mm 4826R1V TAMANO L </v>
      </c>
      <c r="D25" s="104"/>
      <c r="E25" s="104"/>
      <c r="F25" s="55" t="s">
        <v>50</v>
      </c>
      <c r="G25" s="55" t="str">
        <f>'Necesidades Trimestrales'!F23</f>
        <v>UNIDAD</v>
      </c>
      <c r="H25" s="56">
        <f>'Necesidades Trimestrales'!H23</f>
        <v>4200</v>
      </c>
      <c r="I25" s="57">
        <f>'Necesidades Trimestrales'!G23</f>
        <v>500</v>
      </c>
      <c r="J25" s="32"/>
    </row>
    <row r="26" spans="1:10" ht="48" customHeight="1" thickBot="1" x14ac:dyDescent="0.25">
      <c r="A26" s="53">
        <f>'Necesidades Trimestrales'!A24</f>
        <v>15</v>
      </c>
      <c r="B26" s="54">
        <v>0</v>
      </c>
      <c r="C26" s="104" t="str">
        <f>'Necesidades Trimestrales'!E24</f>
        <v xml:space="preserve">CANULA NASAL PARA ALTO FLUJO TIPO GGM  NEO  3.5 mm 4828 r1v </v>
      </c>
      <c r="D26" s="104"/>
      <c r="E26" s="104"/>
      <c r="F26" s="55" t="s">
        <v>50</v>
      </c>
      <c r="G26" s="55" t="str">
        <f>'Necesidades Trimestrales'!F24</f>
        <v>UNIDAD</v>
      </c>
      <c r="H26" s="56">
        <f>'Necesidades Trimestrales'!H24</f>
        <v>4200</v>
      </c>
      <c r="I26" s="57">
        <f>'Necesidades Trimestrales'!G24</f>
        <v>100</v>
      </c>
      <c r="J26" s="32"/>
    </row>
    <row r="27" spans="1:10" ht="39" customHeight="1" thickBot="1" x14ac:dyDescent="0.25">
      <c r="A27" s="53">
        <f>'Necesidades Trimestrales'!A25</f>
        <v>16</v>
      </c>
      <c r="B27" s="54">
        <v>0</v>
      </c>
      <c r="C27" s="104" t="str">
        <f>'Necesidades Trimestrales'!E25</f>
        <v>CANULA NASAL PARA ALTO FLUJO TIPO OPT844 / OPT 944 FISHER PAYKEL</v>
      </c>
      <c r="D27" s="104"/>
      <c r="E27" s="104"/>
      <c r="F27" s="55" t="s">
        <v>50</v>
      </c>
      <c r="G27" s="55" t="str">
        <f>'Necesidades Trimestrales'!F25</f>
        <v>UNIDAD</v>
      </c>
      <c r="H27" s="56">
        <f>'Necesidades Trimestrales'!H25</f>
        <v>5750</v>
      </c>
      <c r="I27" s="57">
        <f>'Necesidades Trimestrales'!G25</f>
        <v>100</v>
      </c>
      <c r="J27" s="32"/>
    </row>
    <row r="28" spans="1:10" ht="39" customHeight="1" thickBot="1" x14ac:dyDescent="0.25">
      <c r="A28" s="53">
        <f>'Necesidades Trimestrales'!A26</f>
        <v>17</v>
      </c>
      <c r="B28" s="54">
        <v>0</v>
      </c>
      <c r="C28" s="104" t="str">
        <f>'Necesidades Trimestrales'!E26</f>
        <v>CANULA NASAL PARA ALTO FLUJO TIPO OPT846/OPT 946  FISHER PAYKEL</v>
      </c>
      <c r="D28" s="104"/>
      <c r="E28" s="104"/>
      <c r="F28" s="55" t="s">
        <v>50</v>
      </c>
      <c r="G28" s="55" t="str">
        <f>'Necesidades Trimestrales'!F26</f>
        <v>UNIDAD</v>
      </c>
      <c r="H28" s="56">
        <f>'Necesidades Trimestrales'!H26</f>
        <v>5750</v>
      </c>
      <c r="I28" s="57">
        <f>'Necesidades Trimestrales'!G26</f>
        <v>100</v>
      </c>
      <c r="J28" s="32"/>
    </row>
    <row r="29" spans="1:10" ht="47.25" customHeight="1" thickBot="1" x14ac:dyDescent="0.25">
      <c r="A29" s="53">
        <f>'Necesidades Trimestrales'!A27</f>
        <v>18</v>
      </c>
      <c r="B29" s="54">
        <v>0</v>
      </c>
      <c r="C29" s="104" t="str">
        <f>'Necesidades Trimestrales'!E27</f>
        <v>CANULA NASAL PARA OXIGENOTERAPIA ADULTO</v>
      </c>
      <c r="D29" s="104"/>
      <c r="E29" s="104"/>
      <c r="F29" s="55" t="s">
        <v>50</v>
      </c>
      <c r="G29" s="55" t="str">
        <f>'Necesidades Trimestrales'!F27</f>
        <v>UNIDAD</v>
      </c>
      <c r="H29" s="56">
        <f>'Necesidades Trimestrales'!H27</f>
        <v>109.8</v>
      </c>
      <c r="I29" s="57">
        <f>'Necesidades Trimestrales'!G27</f>
        <v>300</v>
      </c>
      <c r="J29" s="32"/>
    </row>
    <row r="30" spans="1:10" ht="42.75" customHeight="1" thickBot="1" x14ac:dyDescent="0.25">
      <c r="A30" s="53">
        <f>'Necesidades Trimestrales'!A28</f>
        <v>19</v>
      </c>
      <c r="B30" s="54">
        <v>0</v>
      </c>
      <c r="C30" s="104" t="str">
        <f>'Necesidades Trimestrales'!E28</f>
        <v>CANULA NASAL PARA OXIGENOTERAPIA NEONATAL</v>
      </c>
      <c r="D30" s="104"/>
      <c r="E30" s="104"/>
      <c r="F30" s="55" t="s">
        <v>50</v>
      </c>
      <c r="G30" s="55" t="str">
        <f>'Necesidades Trimestrales'!F28</f>
        <v>UNIDAD</v>
      </c>
      <c r="H30" s="56">
        <f>'Necesidades Trimestrales'!H28</f>
        <v>65.36</v>
      </c>
      <c r="I30" s="57">
        <f>'Necesidades Trimestrales'!G28</f>
        <v>2000</v>
      </c>
      <c r="J30" s="32"/>
    </row>
    <row r="31" spans="1:10" ht="45.75" customHeight="1" thickBot="1" x14ac:dyDescent="0.25">
      <c r="A31" s="53">
        <f>'Necesidades Trimestrales'!A29</f>
        <v>20</v>
      </c>
      <c r="B31" s="54">
        <v>0</v>
      </c>
      <c r="C31" s="104" t="str">
        <f>'Necesidades Trimestrales'!E29</f>
        <v>CANULA PARA TRAQUEOSTOMIA Nº 7 1/2</v>
      </c>
      <c r="D31" s="104"/>
      <c r="E31" s="104"/>
      <c r="F31" s="55" t="s">
        <v>50</v>
      </c>
      <c r="G31" s="55" t="str">
        <f>'Necesidades Trimestrales'!F29</f>
        <v>UNIDAD</v>
      </c>
      <c r="H31" s="56">
        <f>'Necesidades Trimestrales'!H29</f>
        <v>589.4</v>
      </c>
      <c r="I31" s="57">
        <f>'Necesidades Trimestrales'!G29</f>
        <v>10</v>
      </c>
      <c r="J31" s="32"/>
    </row>
    <row r="32" spans="1:10" ht="42" customHeight="1" thickBot="1" x14ac:dyDescent="0.25">
      <c r="A32" s="53">
        <f>'Necesidades Trimestrales'!A30</f>
        <v>21</v>
      </c>
      <c r="B32" s="54">
        <v>0</v>
      </c>
      <c r="C32" s="104" t="str">
        <f>'Necesidades Trimestrales'!E30</f>
        <v>CANULA PARA TRAQUEOSTOMIA Nº 8</v>
      </c>
      <c r="D32" s="104"/>
      <c r="E32" s="104"/>
      <c r="F32" s="55" t="s">
        <v>50</v>
      </c>
      <c r="G32" s="55" t="str">
        <f>'Necesidades Trimestrales'!F30</f>
        <v>UNIDAD</v>
      </c>
      <c r="H32" s="56">
        <f>'Necesidades Trimestrales'!H30</f>
        <v>589.4</v>
      </c>
      <c r="I32" s="57">
        <f>'Necesidades Trimestrales'!G30</f>
        <v>10</v>
      </c>
      <c r="J32" s="32"/>
    </row>
    <row r="33" spans="1:10" ht="41.25" customHeight="1" thickBot="1" x14ac:dyDescent="0.25">
      <c r="A33" s="53">
        <f>'Necesidades Trimestrales'!A31</f>
        <v>22</v>
      </c>
      <c r="B33" s="54">
        <v>0</v>
      </c>
      <c r="C33" s="104" t="str">
        <f>'Necesidades Trimestrales'!E31</f>
        <v>CANULA PARA TRAQUEOTOMIA N° 9</v>
      </c>
      <c r="D33" s="104"/>
      <c r="E33" s="104"/>
      <c r="F33" s="55" t="s">
        <v>50</v>
      </c>
      <c r="G33" s="55" t="str">
        <f>'Necesidades Trimestrales'!F31</f>
        <v>UNIDAD</v>
      </c>
      <c r="H33" s="56">
        <f>'Necesidades Trimestrales'!H31</f>
        <v>589.4</v>
      </c>
      <c r="I33" s="57">
        <f>'Necesidades Trimestrales'!G31</f>
        <v>10</v>
      </c>
      <c r="J33" s="32"/>
    </row>
    <row r="34" spans="1:10" ht="45.75" customHeight="1" thickBot="1" x14ac:dyDescent="0.25">
      <c r="A34" s="53">
        <f>'Necesidades Trimestrales'!A32</f>
        <v>23</v>
      </c>
      <c r="B34" s="54">
        <v>0</v>
      </c>
      <c r="C34" s="104" t="str">
        <f>'Necesidades Trimestrales'!E32</f>
        <v>CIRCUITO ANESTESIA EXTENSIBLE ADULTO AUTOCLAVABLE</v>
      </c>
      <c r="D34" s="104"/>
      <c r="E34" s="104"/>
      <c r="F34" s="55" t="s">
        <v>50</v>
      </c>
      <c r="G34" s="55" t="str">
        <f>'Necesidades Trimestrales'!F32</f>
        <v>UNIDAD</v>
      </c>
      <c r="H34" s="56">
        <f>'Necesidades Trimestrales'!H32</f>
        <v>1950</v>
      </c>
      <c r="I34" s="57">
        <f>'Necesidades Trimestrales'!G32</f>
        <v>100</v>
      </c>
      <c r="J34" s="32"/>
    </row>
    <row r="35" spans="1:10" ht="27" customHeight="1" thickBot="1" x14ac:dyDescent="0.25">
      <c r="A35" s="53">
        <f>'Necesidades Trimestrales'!A33</f>
        <v>24</v>
      </c>
      <c r="B35" s="54">
        <v>0</v>
      </c>
      <c r="C35" s="104" t="str">
        <f>'Necesidades Trimestrales'!E33</f>
        <v>CIRCUITO ANESTESIA EXTENSIBLE ADULTO DESCARTABLE</v>
      </c>
      <c r="D35" s="104"/>
      <c r="E35" s="104"/>
      <c r="F35" s="55" t="s">
        <v>50</v>
      </c>
      <c r="G35" s="55" t="str">
        <f>'Necesidades Trimestrales'!F33</f>
        <v>UNIDAD</v>
      </c>
      <c r="H35" s="56">
        <f>'Necesidades Trimestrales'!H33</f>
        <v>510</v>
      </c>
      <c r="I35" s="57">
        <f>'Necesidades Trimestrales'!G33</f>
        <v>100</v>
      </c>
      <c r="J35" s="32"/>
    </row>
    <row r="36" spans="1:10" ht="30" customHeight="1" thickBot="1" x14ac:dyDescent="0.25">
      <c r="A36" s="53">
        <f>'Necesidades Trimestrales'!A34</f>
        <v>25</v>
      </c>
      <c r="B36" s="54">
        <v>0</v>
      </c>
      <c r="C36" s="104" t="str">
        <f>'Necesidades Trimestrales'!E34</f>
        <v>CIRCUITO ANESTESIA EXTENSIBLE NEONATAL AUTOCLAVABLE</v>
      </c>
      <c r="D36" s="104"/>
      <c r="E36" s="104"/>
      <c r="F36" s="55" t="s">
        <v>50</v>
      </c>
      <c r="G36" s="55" t="str">
        <f>'Necesidades Trimestrales'!F34</f>
        <v>UNIDAD</v>
      </c>
      <c r="H36" s="56">
        <f>'Necesidades Trimestrales'!H34</f>
        <v>1950</v>
      </c>
      <c r="I36" s="57">
        <f>'Necesidades Trimestrales'!G34</f>
        <v>100</v>
      </c>
      <c r="J36" s="32"/>
    </row>
    <row r="37" spans="1:10" ht="36.75" customHeight="1" thickBot="1" x14ac:dyDescent="0.25">
      <c r="A37" s="53">
        <f>'Necesidades Trimestrales'!A35</f>
        <v>26</v>
      </c>
      <c r="B37" s="54">
        <v>0</v>
      </c>
      <c r="C37" s="104" t="str">
        <f>'Necesidades Trimestrales'!E35</f>
        <v>CIRCUITO ANESTESIA EXTENSIBLE NEONATAL DESCARTABLE</v>
      </c>
      <c r="D37" s="104"/>
      <c r="E37" s="104"/>
      <c r="F37" s="55" t="s">
        <v>50</v>
      </c>
      <c r="G37" s="55" t="str">
        <f>'Necesidades Trimestrales'!F35</f>
        <v>UNIDAD</v>
      </c>
      <c r="H37" s="56">
        <f>'Necesidades Trimestrales'!H35</f>
        <v>510</v>
      </c>
      <c r="I37" s="57">
        <f>'Necesidades Trimestrales'!G35</f>
        <v>100</v>
      </c>
      <c r="J37" s="32"/>
    </row>
    <row r="38" spans="1:10" ht="33.75" customHeight="1" thickBot="1" x14ac:dyDescent="0.25">
      <c r="A38" s="53">
        <f>'Necesidades Trimestrales'!A36</f>
        <v>27</v>
      </c>
      <c r="B38" s="54">
        <v>0</v>
      </c>
      <c r="C38" s="104" t="str">
        <f>'Necesidades Trimestrales'!E36</f>
        <v>CIRCUITO CERRADO P/ASPIRACION 10 FR</v>
      </c>
      <c r="D38" s="104"/>
      <c r="E38" s="104"/>
      <c r="F38" s="55" t="s">
        <v>50</v>
      </c>
      <c r="G38" s="55" t="str">
        <f>'Necesidades Trimestrales'!F36</f>
        <v>UNIDAD</v>
      </c>
      <c r="H38" s="56">
        <f>'Necesidades Trimestrales'!H36</f>
        <v>1200</v>
      </c>
      <c r="I38" s="57">
        <f>'Necesidades Trimestrales'!G36</f>
        <v>100</v>
      </c>
      <c r="J38" s="32"/>
    </row>
    <row r="39" spans="1:10" ht="40.5" customHeight="1" thickBot="1" x14ac:dyDescent="0.25">
      <c r="A39" s="53">
        <f>'Necesidades Trimestrales'!A37</f>
        <v>28</v>
      </c>
      <c r="B39" s="54">
        <v>0</v>
      </c>
      <c r="C39" s="104" t="str">
        <f>'Necesidades Trimestrales'!E37</f>
        <v>CIRCUITO CERRADO P/ASPIRACION 12 FR</v>
      </c>
      <c r="D39" s="104"/>
      <c r="E39" s="104"/>
      <c r="F39" s="55" t="s">
        <v>50</v>
      </c>
      <c r="G39" s="55" t="str">
        <f>'Necesidades Trimestrales'!F37</f>
        <v>UNIDAD</v>
      </c>
      <c r="H39" s="56">
        <f>'Necesidades Trimestrales'!H37</f>
        <v>1200</v>
      </c>
      <c r="I39" s="57">
        <f>'Necesidades Trimestrales'!G37</f>
        <v>100</v>
      </c>
      <c r="J39" s="32"/>
    </row>
    <row r="40" spans="1:10" ht="36.75" customHeight="1" thickBot="1" x14ac:dyDescent="0.25">
      <c r="A40" s="53">
        <f>'Necesidades Trimestrales'!A38</f>
        <v>29</v>
      </c>
      <c r="B40" s="54">
        <v>0</v>
      </c>
      <c r="C40" s="104" t="str">
        <f>'Necesidades Trimestrales'!E38</f>
        <v>CIRCUITO CERRADO P/ASPIRACION 14 FR</v>
      </c>
      <c r="D40" s="104"/>
      <c r="E40" s="104"/>
      <c r="F40" s="55" t="s">
        <v>50</v>
      </c>
      <c r="G40" s="55" t="str">
        <f>'Necesidades Trimestrales'!F38</f>
        <v>UNIDAD</v>
      </c>
      <c r="H40" s="56">
        <f>'Necesidades Trimestrales'!H38</f>
        <v>1200</v>
      </c>
      <c r="I40" s="57">
        <f>'Necesidades Trimestrales'!G38</f>
        <v>100</v>
      </c>
      <c r="J40" s="32"/>
    </row>
    <row r="41" spans="1:10" ht="40.5" customHeight="1" thickBot="1" x14ac:dyDescent="0.25">
      <c r="A41" s="53">
        <f>'Necesidades Trimestrales'!A39</f>
        <v>30</v>
      </c>
      <c r="B41" s="54">
        <v>0</v>
      </c>
      <c r="C41" s="104" t="str">
        <f>'Necesidades Trimestrales'!E39</f>
        <v>CIRCUITO CERRADO P/ASPIRACION 16 FR</v>
      </c>
      <c r="D41" s="104"/>
      <c r="E41" s="104"/>
      <c r="F41" s="55" t="s">
        <v>50</v>
      </c>
      <c r="G41" s="55" t="str">
        <f>'Necesidades Trimestrales'!F39</f>
        <v>UNIDAD</v>
      </c>
      <c r="H41" s="56">
        <f>'Necesidades Trimestrales'!H39</f>
        <v>1200</v>
      </c>
      <c r="I41" s="57">
        <f>'Necesidades Trimestrales'!G39</f>
        <v>100</v>
      </c>
      <c r="J41" s="32"/>
    </row>
    <row r="42" spans="1:10" ht="40.5" customHeight="1" thickBot="1" x14ac:dyDescent="0.25">
      <c r="A42" s="53">
        <f>'Necesidades Trimestrales'!A40</f>
        <v>31</v>
      </c>
      <c r="B42" s="54">
        <v>0</v>
      </c>
      <c r="C42" s="104" t="str">
        <f>'Necesidades Trimestrales'!E40</f>
        <v>CIRCUITO RESPIRADOR CON TRAMPA DE AGUA AUTOCLAVABLE ADULTO</v>
      </c>
      <c r="D42" s="104"/>
      <c r="E42" s="104"/>
      <c r="F42" s="55" t="s">
        <v>50</v>
      </c>
      <c r="G42" s="55" t="str">
        <f>'Necesidades Trimestrales'!F40</f>
        <v>UNIDAD</v>
      </c>
      <c r="H42" s="56">
        <f>'Necesidades Trimestrales'!H40</f>
        <v>16100</v>
      </c>
      <c r="I42" s="57">
        <f>'Necesidades Trimestrales'!G40</f>
        <v>50</v>
      </c>
      <c r="J42" s="32"/>
    </row>
    <row r="43" spans="1:10" ht="48" customHeight="1" thickBot="1" x14ac:dyDescent="0.25">
      <c r="A43" s="53">
        <f>'Necesidades Trimestrales'!A41</f>
        <v>32</v>
      </c>
      <c r="B43" s="54">
        <v>0</v>
      </c>
      <c r="C43" s="104" t="str">
        <f>'Necesidades Trimestrales'!E41</f>
        <v>CIRCUITO RESPIRADOR CON TRAMPA DE AGUA AUTOCLAVABLE NEONATAL</v>
      </c>
      <c r="D43" s="104"/>
      <c r="E43" s="104"/>
      <c r="F43" s="55" t="s">
        <v>50</v>
      </c>
      <c r="G43" s="55" t="str">
        <f>'Necesidades Trimestrales'!F41</f>
        <v>UNIDAD</v>
      </c>
      <c r="H43" s="56">
        <f>'Necesidades Trimestrales'!H41</f>
        <v>22000</v>
      </c>
      <c r="I43" s="57">
        <f>'Necesidades Trimestrales'!G41</f>
        <v>50</v>
      </c>
      <c r="J43" s="32"/>
    </row>
    <row r="44" spans="1:10" ht="42" customHeight="1" thickBot="1" x14ac:dyDescent="0.25">
      <c r="A44" s="53">
        <f>'Necesidades Trimestrales'!A42</f>
        <v>33</v>
      </c>
      <c r="B44" s="54">
        <v>0</v>
      </c>
      <c r="C44" s="104" t="str">
        <f>'Necesidades Trimestrales'!E42</f>
        <v>CIRCUITO RESPIRADOR CON TRAMPA DE AGUA DESCARTABLE ADULTO</v>
      </c>
      <c r="D44" s="104"/>
      <c r="E44" s="104"/>
      <c r="F44" s="55" t="s">
        <v>50</v>
      </c>
      <c r="G44" s="55" t="str">
        <f>'Necesidades Trimestrales'!F42</f>
        <v>UNIDAD</v>
      </c>
      <c r="H44" s="56">
        <f>'Necesidades Trimestrales'!H42</f>
        <v>1870</v>
      </c>
      <c r="I44" s="57">
        <f>'Necesidades Trimestrales'!G42</f>
        <v>50</v>
      </c>
      <c r="J44" s="32"/>
    </row>
    <row r="45" spans="1:10" ht="39" customHeight="1" thickBot="1" x14ac:dyDescent="0.25">
      <c r="A45" s="53">
        <f>'Necesidades Trimestrales'!A43</f>
        <v>34</v>
      </c>
      <c r="B45" s="54">
        <v>0</v>
      </c>
      <c r="C45" s="104" t="str">
        <f>'Necesidades Trimestrales'!E43</f>
        <v>CIRCUITO RESPIRADOR CON TRAMPA DE AGUA DESCARTABLE NEONATAL</v>
      </c>
      <c r="D45" s="104"/>
      <c r="E45" s="104"/>
      <c r="F45" s="55" t="s">
        <v>50</v>
      </c>
      <c r="G45" s="55" t="str">
        <f>'Necesidades Trimestrales'!F43</f>
        <v>UNIDAD</v>
      </c>
      <c r="H45" s="56">
        <f>'Necesidades Trimestrales'!H43</f>
        <v>1870</v>
      </c>
      <c r="I45" s="57">
        <f>'Necesidades Trimestrales'!G43</f>
        <v>50</v>
      </c>
      <c r="J45" s="32"/>
    </row>
    <row r="46" spans="1:10" ht="49.5" customHeight="1" thickBot="1" x14ac:dyDescent="0.25">
      <c r="A46" s="53">
        <f>'Necesidades Trimestrales'!A44</f>
        <v>35</v>
      </c>
      <c r="B46" s="54">
        <v>0</v>
      </c>
      <c r="C46" s="104" t="str">
        <f>'Necesidades Trimestrales'!E44</f>
        <v xml:space="preserve">CLORHEXIDINA 4% JABON X 500 ML CON VALVULA DISPENSADORA </v>
      </c>
      <c r="D46" s="104"/>
      <c r="E46" s="104"/>
      <c r="F46" s="55" t="s">
        <v>50</v>
      </c>
      <c r="G46" s="55" t="str">
        <f>'Necesidades Trimestrales'!F44</f>
        <v>UNIDAD</v>
      </c>
      <c r="H46" s="56">
        <f>'Necesidades Trimestrales'!H44</f>
        <v>466.8</v>
      </c>
      <c r="I46" s="57">
        <f>'Necesidades Trimestrales'!G44</f>
        <v>1000</v>
      </c>
      <c r="J46" s="32"/>
    </row>
    <row r="47" spans="1:10" ht="48" customHeight="1" thickBot="1" x14ac:dyDescent="0.25">
      <c r="A47" s="53">
        <f>'Necesidades Trimestrales'!A45</f>
        <v>36</v>
      </c>
      <c r="B47" s="54">
        <v>0</v>
      </c>
      <c r="C47" s="104" t="str">
        <f>'Necesidades Trimestrales'!E45</f>
        <v>COFIAS PLIZADAS CON AJUSTE ELASTIZADO</v>
      </c>
      <c r="D47" s="104"/>
      <c r="E47" s="104"/>
      <c r="F47" s="55" t="s">
        <v>50</v>
      </c>
      <c r="G47" s="55" t="str">
        <f>'Necesidades Trimestrales'!F45</f>
        <v>UNIDAD</v>
      </c>
      <c r="H47" s="56">
        <f>'Necesidades Trimestrales'!H45</f>
        <v>7.55</v>
      </c>
      <c r="I47" s="57">
        <f>'Necesidades Trimestrales'!G45</f>
        <v>20000</v>
      </c>
      <c r="J47" s="32"/>
    </row>
    <row r="48" spans="1:10" ht="46.5" customHeight="1" thickBot="1" x14ac:dyDescent="0.25">
      <c r="A48" s="53">
        <f>'Necesidades Trimestrales'!A46</f>
        <v>37</v>
      </c>
      <c r="B48" s="54">
        <v>0</v>
      </c>
      <c r="C48" s="104" t="str">
        <f>'Necesidades Trimestrales'!E46</f>
        <v>DETERGENTE TRES ENZIMAS ( LIPASA, AMILASA,PROTEASA ) BIDON X 5 LITROS</v>
      </c>
      <c r="D48" s="104"/>
      <c r="E48" s="104"/>
      <c r="F48" s="55" t="s">
        <v>50</v>
      </c>
      <c r="G48" s="55" t="str">
        <f>'Necesidades Trimestrales'!F46</f>
        <v>UNIDAD</v>
      </c>
      <c r="H48" s="56">
        <f>'Necesidades Trimestrales'!H46</f>
        <v>3966.38</v>
      </c>
      <c r="I48" s="57">
        <f>'Necesidades Trimestrales'!G46</f>
        <v>100</v>
      </c>
      <c r="J48" s="32"/>
    </row>
    <row r="49" spans="1:10" ht="45" customHeight="1" thickBot="1" x14ac:dyDescent="0.25">
      <c r="A49" s="53">
        <f>'Necesidades Trimestrales'!A47</f>
        <v>38</v>
      </c>
      <c r="B49" s="54">
        <v>0</v>
      </c>
      <c r="C49" s="104" t="str">
        <f>'Necesidades Trimestrales'!E47</f>
        <v xml:space="preserve">FILTRO HME ADULTO HIGROBAC INTERCAMBIADOR CALOR/HUMEDAD </v>
      </c>
      <c r="D49" s="104"/>
      <c r="E49" s="104"/>
      <c r="F49" s="55" t="s">
        <v>50</v>
      </c>
      <c r="G49" s="55" t="str">
        <f>'Necesidades Trimestrales'!F47</f>
        <v>UNIDAD</v>
      </c>
      <c r="H49" s="56">
        <f>'Necesidades Trimestrales'!H47</f>
        <v>180</v>
      </c>
      <c r="I49" s="57">
        <f>'Necesidades Trimestrales'!G47</f>
        <v>300</v>
      </c>
      <c r="J49" s="32"/>
    </row>
    <row r="50" spans="1:10" ht="39.75" customHeight="1" thickBot="1" x14ac:dyDescent="0.25">
      <c r="A50" s="53">
        <f>'Necesidades Trimestrales'!A48</f>
        <v>39</v>
      </c>
      <c r="B50" s="54">
        <v>0</v>
      </c>
      <c r="C50" s="104" t="str">
        <f>'Necesidades Trimestrales'!E48</f>
        <v>FILTRO HME BACTERIAL VIRAL PARA CIRCUITO RESPIRADOR</v>
      </c>
      <c r="D50" s="104"/>
      <c r="E50" s="104"/>
      <c r="F50" s="55" t="s">
        <v>50</v>
      </c>
      <c r="G50" s="55" t="str">
        <f>'Necesidades Trimestrales'!F48</f>
        <v>UNIDAD</v>
      </c>
      <c r="H50" s="56">
        <f>'Necesidades Trimestrales'!H48</f>
        <v>160</v>
      </c>
      <c r="I50" s="57">
        <f>'Necesidades Trimestrales'!G48</f>
        <v>300</v>
      </c>
      <c r="J50" s="32"/>
    </row>
    <row r="51" spans="1:10" ht="42" customHeight="1" thickBot="1" x14ac:dyDescent="0.25">
      <c r="A51" s="53">
        <f>'Necesidades Trimestrales'!A49</f>
        <v>40</v>
      </c>
      <c r="B51" s="54">
        <v>0</v>
      </c>
      <c r="C51" s="104" t="str">
        <f>'Necesidades Trimestrales'!E49</f>
        <v>GUANTES DE CIRUGIA ESTERIL N° 7 1/2 PAR NITRILO CAÑA LARGA</v>
      </c>
      <c r="D51" s="104"/>
      <c r="E51" s="104"/>
      <c r="F51" s="55" t="s">
        <v>50</v>
      </c>
      <c r="G51" s="55" t="str">
        <f>'Necesidades Trimestrales'!F49</f>
        <v>UNIDAD</v>
      </c>
      <c r="H51" s="56">
        <f>'Necesidades Trimestrales'!H49</f>
        <v>31</v>
      </c>
      <c r="I51" s="57">
        <f>'Necesidades Trimestrales'!G49</f>
        <v>6000</v>
      </c>
      <c r="J51" s="32"/>
    </row>
    <row r="52" spans="1:10" ht="41.25" customHeight="1" thickBot="1" x14ac:dyDescent="0.25">
      <c r="A52" s="53">
        <f>'Necesidades Trimestrales'!A50</f>
        <v>41</v>
      </c>
      <c r="B52" s="54">
        <v>0</v>
      </c>
      <c r="C52" s="104" t="str">
        <f>'Necesidades Trimestrales'!E50</f>
        <v>GUANTES DE CIRUGIA ESTERIL Nº 6 1/2 PAR. ANATOMICOS . CAÑA LARGA SIN TALCO</v>
      </c>
      <c r="D52" s="104"/>
      <c r="E52" s="104"/>
      <c r="F52" s="55" t="s">
        <v>50</v>
      </c>
      <c r="G52" s="55" t="str">
        <f>'Necesidades Trimestrales'!F50</f>
        <v>UNIDAD</v>
      </c>
      <c r="H52" s="56">
        <f>'Necesidades Trimestrales'!H50</f>
        <v>31</v>
      </c>
      <c r="I52" s="57">
        <f>'Necesidades Trimestrales'!G50</f>
        <v>6000</v>
      </c>
      <c r="J52" s="32"/>
    </row>
    <row r="53" spans="1:10" ht="38.25" customHeight="1" thickBot="1" x14ac:dyDescent="0.25">
      <c r="A53" s="53">
        <f>'Necesidades Trimestrales'!A51</f>
        <v>42</v>
      </c>
      <c r="B53" s="54">
        <v>0</v>
      </c>
      <c r="C53" s="104" t="str">
        <f>'Necesidades Trimestrales'!E51</f>
        <v>GUANTES DE CIRUGIA ESTERIL Nº 7  PAR. ANATOMICOS . CAÑA LARGA SIN TALCO</v>
      </c>
      <c r="D53" s="104"/>
      <c r="E53" s="104"/>
      <c r="F53" s="55" t="s">
        <v>50</v>
      </c>
      <c r="G53" s="55" t="str">
        <f>'Necesidades Trimestrales'!F51</f>
        <v>UNIDAD</v>
      </c>
      <c r="H53" s="56">
        <f>'Necesidades Trimestrales'!H51</f>
        <v>31</v>
      </c>
      <c r="I53" s="57">
        <f>'Necesidades Trimestrales'!G51</f>
        <v>7500</v>
      </c>
      <c r="J53" s="32"/>
    </row>
    <row r="54" spans="1:10" ht="37.5" customHeight="1" thickBot="1" x14ac:dyDescent="0.25">
      <c r="A54" s="53">
        <f>'Necesidades Trimestrales'!A52</f>
        <v>43</v>
      </c>
      <c r="B54" s="54">
        <v>0</v>
      </c>
      <c r="C54" s="104" t="str">
        <f>'Necesidades Trimestrales'!E52</f>
        <v>GUANTES DE CIRUGIA ESTERIL Nº 7 1/2 PAR.  ANATOMICOS . CAÑA LARGA SIN TALCO</v>
      </c>
      <c r="D54" s="104"/>
      <c r="E54" s="104"/>
      <c r="F54" s="55" t="s">
        <v>50</v>
      </c>
      <c r="G54" s="55" t="str">
        <f>'Necesidades Trimestrales'!F52</f>
        <v>UNIDAD</v>
      </c>
      <c r="H54" s="56">
        <f>'Necesidades Trimestrales'!H52</f>
        <v>31</v>
      </c>
      <c r="I54" s="57">
        <f>'Necesidades Trimestrales'!G52</f>
        <v>8000</v>
      </c>
      <c r="J54" s="32"/>
    </row>
    <row r="55" spans="1:10" ht="40.5" customHeight="1" thickBot="1" x14ac:dyDescent="0.25">
      <c r="A55" s="53">
        <f>'Necesidades Trimestrales'!A53</f>
        <v>44</v>
      </c>
      <c r="B55" s="54">
        <v>0</v>
      </c>
      <c r="C55" s="104" t="str">
        <f>'Necesidades Trimestrales'!E53</f>
        <v>GUANTES DE CIRUGIA ESTERIL Nº 8 PAR.  ANATOMICOS . CAÑA LARGA SIN TALCO</v>
      </c>
      <c r="D55" s="104"/>
      <c r="E55" s="104"/>
      <c r="F55" s="55" t="s">
        <v>50</v>
      </c>
      <c r="G55" s="55" t="str">
        <f>'Necesidades Trimestrales'!F53</f>
        <v>UNIDAD</v>
      </c>
      <c r="H55" s="56">
        <f>'Necesidades Trimestrales'!H53</f>
        <v>31</v>
      </c>
      <c r="I55" s="57">
        <f>'Necesidades Trimestrales'!G53</f>
        <v>6000</v>
      </c>
      <c r="J55" s="32"/>
    </row>
    <row r="56" spans="1:10" ht="42.75" customHeight="1" thickBot="1" x14ac:dyDescent="0.25">
      <c r="A56" s="53">
        <f>'Necesidades Trimestrales'!A54</f>
        <v>45</v>
      </c>
      <c r="B56" s="54">
        <v>0</v>
      </c>
      <c r="C56" s="104" t="str">
        <f>'Necesidades Trimestrales'!E54</f>
        <v>GUANTES DE EXAMINACION TAMAÑO L X 100</v>
      </c>
      <c r="D56" s="104"/>
      <c r="E56" s="104"/>
      <c r="F56" s="55" t="s">
        <v>50</v>
      </c>
      <c r="G56" s="55" t="str">
        <f>'Necesidades Trimestrales'!F54</f>
        <v>UNIDAD</v>
      </c>
      <c r="H56" s="56">
        <f>'Necesidades Trimestrales'!H54</f>
        <v>990</v>
      </c>
      <c r="I56" s="57">
        <f>'Necesidades Trimestrales'!G54</f>
        <v>500</v>
      </c>
      <c r="J56" s="32"/>
    </row>
    <row r="57" spans="1:10" ht="35.25" customHeight="1" thickBot="1" x14ac:dyDescent="0.25">
      <c r="A57" s="53">
        <f>'Necesidades Trimestrales'!A55</f>
        <v>46</v>
      </c>
      <c r="B57" s="54">
        <v>0</v>
      </c>
      <c r="C57" s="104" t="str">
        <f>'Necesidades Trimestrales'!E55</f>
        <v>GUANTES DE EXAMINACION TAMAÑO M X 100</v>
      </c>
      <c r="D57" s="104"/>
      <c r="E57" s="104"/>
      <c r="F57" s="55" t="s">
        <v>50</v>
      </c>
      <c r="G57" s="55" t="str">
        <f>'Necesidades Trimestrales'!F55</f>
        <v>UNIDAD</v>
      </c>
      <c r="H57" s="56">
        <f>'Necesidades Trimestrales'!H55</f>
        <v>990</v>
      </c>
      <c r="I57" s="57">
        <f>'Necesidades Trimestrales'!G55</f>
        <v>700</v>
      </c>
      <c r="J57" s="32"/>
    </row>
    <row r="58" spans="1:10" ht="34.5" customHeight="1" thickBot="1" x14ac:dyDescent="0.25">
      <c r="A58" s="53">
        <f>'Necesidades Trimestrales'!A56</f>
        <v>47</v>
      </c>
      <c r="B58" s="54">
        <v>0</v>
      </c>
      <c r="C58" s="104" t="str">
        <f>'Necesidades Trimestrales'!E56</f>
        <v>GUANTES DE EXAMINACON TAMAÑO S X 100</v>
      </c>
      <c r="D58" s="104"/>
      <c r="E58" s="104"/>
      <c r="F58" s="55" t="s">
        <v>50</v>
      </c>
      <c r="G58" s="55" t="str">
        <f>'Necesidades Trimestrales'!F56</f>
        <v>UNIDAD</v>
      </c>
      <c r="H58" s="56">
        <f>'Necesidades Trimestrales'!H56</f>
        <v>990</v>
      </c>
      <c r="I58" s="57">
        <f>'Necesidades Trimestrales'!G56</f>
        <v>1000</v>
      </c>
      <c r="J58" s="32"/>
    </row>
    <row r="59" spans="1:10" ht="38.25" customHeight="1" thickBot="1" x14ac:dyDescent="0.25">
      <c r="A59" s="53">
        <f>'Necesidades Trimestrales'!A57</f>
        <v>48</v>
      </c>
      <c r="B59" s="54">
        <v>0</v>
      </c>
      <c r="C59" s="104" t="str">
        <f>'Necesidades Trimestrales'!E57</f>
        <v>GUANTES DE VINILO TAMAÑO L X 100</v>
      </c>
      <c r="D59" s="104"/>
      <c r="E59" s="104"/>
      <c r="F59" s="55" t="s">
        <v>50</v>
      </c>
      <c r="G59" s="55" t="str">
        <f>'Necesidades Trimestrales'!F57</f>
        <v>UNIDAD</v>
      </c>
      <c r="H59" s="56">
        <f>'Necesidades Trimestrales'!H57</f>
        <v>890</v>
      </c>
      <c r="I59" s="57">
        <f>'Necesidades Trimestrales'!G57</f>
        <v>30</v>
      </c>
      <c r="J59" s="32"/>
    </row>
    <row r="60" spans="1:10" ht="33" customHeight="1" thickBot="1" x14ac:dyDescent="0.25">
      <c r="A60" s="53">
        <f>'Necesidades Trimestrales'!A58</f>
        <v>49</v>
      </c>
      <c r="B60" s="54">
        <v>0</v>
      </c>
      <c r="C60" s="104" t="str">
        <f>'Necesidades Trimestrales'!E58</f>
        <v>GUANTES DE VINILO TAMAÑO M X 100</v>
      </c>
      <c r="D60" s="104"/>
      <c r="E60" s="104"/>
      <c r="F60" s="55" t="s">
        <v>50</v>
      </c>
      <c r="G60" s="55" t="str">
        <f>'Necesidades Trimestrales'!F58</f>
        <v>UNIDAD</v>
      </c>
      <c r="H60" s="56">
        <f>'Necesidades Trimestrales'!H58</f>
        <v>890</v>
      </c>
      <c r="I60" s="57">
        <f>'Necesidades Trimestrales'!G58</f>
        <v>30</v>
      </c>
      <c r="J60" s="32"/>
    </row>
    <row r="61" spans="1:10" ht="37.5" customHeight="1" thickBot="1" x14ac:dyDescent="0.25">
      <c r="A61" s="53">
        <f>'Necesidades Trimestrales'!A59</f>
        <v>50</v>
      </c>
      <c r="B61" s="54">
        <v>0</v>
      </c>
      <c r="C61" s="104" t="str">
        <f>'Necesidades Trimestrales'!E59</f>
        <v>KIT DESCARTABLE CAMISOLIN 50 GRS + COFIA + BOTAS PAR</v>
      </c>
      <c r="D61" s="104"/>
      <c r="E61" s="104"/>
      <c r="F61" s="55" t="s">
        <v>50</v>
      </c>
      <c r="G61" s="55" t="str">
        <f>'Necesidades Trimestrales'!F59</f>
        <v>UNIDAD</v>
      </c>
      <c r="H61" s="56">
        <f>'Necesidades Trimestrales'!H59</f>
        <v>230</v>
      </c>
      <c r="I61" s="57">
        <f>'Necesidades Trimestrales'!G59</f>
        <v>12000</v>
      </c>
      <c r="J61" s="32"/>
    </row>
    <row r="62" spans="1:10" ht="32.25" customHeight="1" thickBot="1" x14ac:dyDescent="0.25">
      <c r="A62" s="53">
        <f>'Necesidades Trimestrales'!A60</f>
        <v>51</v>
      </c>
      <c r="B62" s="54">
        <v>0</v>
      </c>
      <c r="C62" s="104" t="str">
        <f>'Necesidades Trimestrales'!E60</f>
        <v>LLAVE DE TRES VIAS</v>
      </c>
      <c r="D62" s="104"/>
      <c r="E62" s="104"/>
      <c r="F62" s="55" t="s">
        <v>50</v>
      </c>
      <c r="G62" s="55" t="str">
        <f>'Necesidades Trimestrales'!F60</f>
        <v>UNIDAD</v>
      </c>
      <c r="H62" s="56">
        <f>'Necesidades Trimestrales'!H60</f>
        <v>24.55</v>
      </c>
      <c r="I62" s="57">
        <f>'Necesidades Trimestrales'!G60</f>
        <v>5000</v>
      </c>
      <c r="J62" s="32"/>
    </row>
    <row r="63" spans="1:10" ht="27.75" customHeight="1" thickBot="1" x14ac:dyDescent="0.25">
      <c r="A63" s="53">
        <f>'Necesidades Trimestrales'!A61</f>
        <v>52</v>
      </c>
      <c r="B63" s="54">
        <v>0</v>
      </c>
      <c r="C63" s="104" t="str">
        <f>'Necesidades Trimestrales'!E61</f>
        <v>MAMELUCO LAMINADO TALLE L</v>
      </c>
      <c r="D63" s="104"/>
      <c r="E63" s="104"/>
      <c r="F63" s="55" t="s">
        <v>50</v>
      </c>
      <c r="G63" s="55" t="str">
        <f>'Necesidades Trimestrales'!F61</f>
        <v>UNIDAD</v>
      </c>
      <c r="H63" s="56">
        <f>'Necesidades Trimestrales'!H61</f>
        <v>1050</v>
      </c>
      <c r="I63" s="57">
        <f>'Necesidades Trimestrales'!G61</f>
        <v>50</v>
      </c>
      <c r="J63" s="32"/>
    </row>
    <row r="64" spans="1:10" ht="39.75" customHeight="1" thickBot="1" x14ac:dyDescent="0.25">
      <c r="A64" s="53">
        <f>'Necesidades Trimestrales'!A62</f>
        <v>53</v>
      </c>
      <c r="B64" s="54">
        <v>0</v>
      </c>
      <c r="C64" s="104" t="str">
        <f>'Necesidades Trimestrales'!E62</f>
        <v>MAMELUCO LAMINADO TALLE M</v>
      </c>
      <c r="D64" s="104"/>
      <c r="E64" s="104"/>
      <c r="F64" s="55" t="s">
        <v>50</v>
      </c>
      <c r="G64" s="55" t="str">
        <f>'Necesidades Trimestrales'!F62</f>
        <v>UNIDAD</v>
      </c>
      <c r="H64" s="56">
        <f>'Necesidades Trimestrales'!H62</f>
        <v>1050</v>
      </c>
      <c r="I64" s="57">
        <f>'Necesidades Trimestrales'!G62</f>
        <v>50</v>
      </c>
      <c r="J64" s="32"/>
    </row>
    <row r="65" spans="1:10" ht="30" customHeight="1" thickBot="1" x14ac:dyDescent="0.25">
      <c r="A65" s="53">
        <f>'Necesidades Trimestrales'!A63</f>
        <v>54</v>
      </c>
      <c r="B65" s="54">
        <v>0</v>
      </c>
      <c r="C65" s="104" t="str">
        <f>'Necesidades Trimestrales'!E63</f>
        <v>MAMELUCO LAMINADO TALLE XL</v>
      </c>
      <c r="D65" s="104"/>
      <c r="E65" s="104"/>
      <c r="F65" s="55" t="s">
        <v>52</v>
      </c>
      <c r="G65" s="55" t="str">
        <f>'Necesidades Trimestrales'!F63</f>
        <v>UNIDAD</v>
      </c>
      <c r="H65" s="56">
        <f>'Necesidades Trimestrales'!H63</f>
        <v>1050</v>
      </c>
      <c r="I65" s="57">
        <f>'Necesidades Trimestrales'!G63</f>
        <v>50</v>
      </c>
      <c r="J65" s="32"/>
    </row>
    <row r="66" spans="1:10" ht="30" customHeight="1" thickBot="1" x14ac:dyDescent="0.25">
      <c r="A66" s="53">
        <f>'Necesidades Trimestrales'!A64</f>
        <v>55</v>
      </c>
      <c r="B66" s="54">
        <v>0</v>
      </c>
      <c r="C66" s="104" t="str">
        <f>'Necesidades Trimestrales'!E64</f>
        <v>MAMELUCO LAMINADO TALLE XXL</v>
      </c>
      <c r="D66" s="104"/>
      <c r="E66" s="104"/>
      <c r="F66" s="55" t="s">
        <v>50</v>
      </c>
      <c r="G66" s="55" t="str">
        <f>'Necesidades Trimestrales'!F64</f>
        <v>UNIDAD</v>
      </c>
      <c r="H66" s="56">
        <f>'Necesidades Trimestrales'!H64</f>
        <v>1050</v>
      </c>
      <c r="I66" s="57">
        <f>'Necesidades Trimestrales'!G64</f>
        <v>50</v>
      </c>
      <c r="J66" s="32"/>
    </row>
    <row r="67" spans="1:10" ht="33.75" customHeight="1" thickBot="1" x14ac:dyDescent="0.25">
      <c r="A67" s="53">
        <f>'Necesidades Trimestrales'!A65</f>
        <v>56</v>
      </c>
      <c r="B67" s="54">
        <v>0</v>
      </c>
      <c r="C67" s="104" t="str">
        <f>'Necesidades Trimestrales'!E65</f>
        <v>MASCARA CON BOLSA RESERVORIO</v>
      </c>
      <c r="D67" s="104"/>
      <c r="E67" s="104"/>
      <c r="F67" s="55" t="s">
        <v>50</v>
      </c>
      <c r="G67" s="55" t="str">
        <f>'Necesidades Trimestrales'!F65</f>
        <v>UNIDAD</v>
      </c>
      <c r="H67" s="56">
        <f>'Necesidades Trimestrales'!H65</f>
        <v>357</v>
      </c>
      <c r="I67" s="57">
        <f>'Necesidades Trimestrales'!G65</f>
        <v>100</v>
      </c>
      <c r="J67" s="32"/>
    </row>
    <row r="68" spans="1:10" ht="47.25" customHeight="1" thickBot="1" x14ac:dyDescent="0.25">
      <c r="A68" s="53">
        <f>'Necesidades Trimestrales'!A66</f>
        <v>57</v>
      </c>
      <c r="B68" s="54">
        <v>0</v>
      </c>
      <c r="C68" s="104" t="str">
        <f>'Necesidades Trimestrales'!E66</f>
        <v>MASCARA DE OXIGENO CON REGULADORES</v>
      </c>
      <c r="D68" s="104"/>
      <c r="E68" s="104"/>
      <c r="F68" s="55" t="s">
        <v>50</v>
      </c>
      <c r="G68" s="55" t="str">
        <f>'Necesidades Trimestrales'!F66</f>
        <v>UNIDAD</v>
      </c>
      <c r="H68" s="56">
        <f>'Necesidades Trimestrales'!H66</f>
        <v>187.2</v>
      </c>
      <c r="I68" s="57">
        <f>'Necesidades Trimestrales'!G66</f>
        <v>200</v>
      </c>
      <c r="J68" s="32"/>
    </row>
    <row r="69" spans="1:10" ht="33" customHeight="1" thickBot="1" x14ac:dyDescent="0.25">
      <c r="A69" s="53">
        <f>'Necesidades Trimestrales'!A67</f>
        <v>58</v>
      </c>
      <c r="B69" s="54">
        <v>0</v>
      </c>
      <c r="C69" s="104" t="str">
        <f>'Necesidades Trimestrales'!E67</f>
        <v>MASCARA PARA NEBULIZAR ADULTO COMPLETA MASCARA+PIPETA+TUBULADURA</v>
      </c>
      <c r="D69" s="104"/>
      <c r="E69" s="104"/>
      <c r="F69" s="55" t="s">
        <v>50</v>
      </c>
      <c r="G69" s="55" t="str">
        <f>'Necesidades Trimestrales'!F67</f>
        <v>UNIDAD</v>
      </c>
      <c r="H69" s="56">
        <f>'Necesidades Trimestrales'!H67</f>
        <v>325</v>
      </c>
      <c r="I69" s="57">
        <f>'Necesidades Trimestrales'!G67</f>
        <v>100</v>
      </c>
      <c r="J69" s="32"/>
    </row>
    <row r="70" spans="1:10" ht="38.25" customHeight="1" thickBot="1" x14ac:dyDescent="0.25">
      <c r="A70" s="53">
        <f>'Necesidades Trimestrales'!A68</f>
        <v>59</v>
      </c>
      <c r="B70" s="54">
        <v>0</v>
      </c>
      <c r="C70" s="104" t="str">
        <f>'Necesidades Trimestrales'!E68</f>
        <v>MASCARA PARA NEBULIZAR PEDIATRICA COMPLETA MASCARA+PIPETA+TUBULADURA</v>
      </c>
      <c r="D70" s="104"/>
      <c r="E70" s="104"/>
      <c r="F70" s="55" t="s">
        <v>50</v>
      </c>
      <c r="G70" s="55" t="str">
        <f>'Necesidades Trimestrales'!F68</f>
        <v>UNIDAD</v>
      </c>
      <c r="H70" s="56">
        <f>'Necesidades Trimestrales'!H68</f>
        <v>130</v>
      </c>
      <c r="I70" s="57">
        <f>'Necesidades Trimestrales'!G68</f>
        <v>100</v>
      </c>
      <c r="J70" s="32"/>
    </row>
    <row r="71" spans="1:10" ht="34.5" customHeight="1" thickBot="1" x14ac:dyDescent="0.25">
      <c r="A71" s="53">
        <f>'Necesidades Trimestrales'!A69</f>
        <v>60</v>
      </c>
      <c r="B71" s="54">
        <v>0</v>
      </c>
      <c r="C71" s="104" t="str">
        <f>'Necesidades Trimestrales'!E69</f>
        <v>MASCARA PERFOMAX TOTAL FACE  TALLE G PARA VNI</v>
      </c>
      <c r="D71" s="104"/>
      <c r="E71" s="104"/>
      <c r="F71" s="55" t="s">
        <v>50</v>
      </c>
      <c r="G71" s="55" t="str">
        <f>'Necesidades Trimestrales'!F69</f>
        <v>UNIDAD</v>
      </c>
      <c r="H71" s="56">
        <f>'Necesidades Trimestrales'!H69</f>
        <v>29900</v>
      </c>
      <c r="I71" s="57">
        <f>'Necesidades Trimestrales'!G69</f>
        <v>10</v>
      </c>
      <c r="J71" s="32"/>
    </row>
    <row r="72" spans="1:10" ht="33" customHeight="1" thickBot="1" x14ac:dyDescent="0.25">
      <c r="A72" s="53">
        <f>'Necesidades Trimestrales'!A70</f>
        <v>61</v>
      </c>
      <c r="B72" s="54">
        <v>0</v>
      </c>
      <c r="C72" s="104" t="str">
        <f>'Necesidades Trimestrales'!E70</f>
        <v>MASCARA PERFOMAX TOTAL FACE  TALLE XG PARA VNI</v>
      </c>
      <c r="D72" s="104"/>
      <c r="E72" s="104"/>
      <c r="F72" s="55" t="s">
        <v>50</v>
      </c>
      <c r="G72" s="55" t="str">
        <f>'Necesidades Trimestrales'!F70</f>
        <v>UNIDAD</v>
      </c>
      <c r="H72" s="56">
        <f>'Necesidades Trimestrales'!H70</f>
        <v>29900</v>
      </c>
      <c r="I72" s="57">
        <f>'Necesidades Trimestrales'!G70</f>
        <v>10</v>
      </c>
      <c r="J72" s="32"/>
    </row>
    <row r="73" spans="1:10" ht="32.25" customHeight="1" thickBot="1" x14ac:dyDescent="0.25">
      <c r="A73" s="53">
        <f>'Necesidades Trimestrales'!A71</f>
        <v>62</v>
      </c>
      <c r="B73" s="54">
        <v>0</v>
      </c>
      <c r="C73" s="104" t="str">
        <f>'Necesidades Trimestrales'!E71</f>
        <v>MONOPERSUFATO DE POTASIO DESINFECTANTE DE SUPERFICIE SOBRE PARA PREPARAR UN LITRO DE SOLUCION TIPO LT8</v>
      </c>
      <c r="D73" s="104"/>
      <c r="E73" s="104"/>
      <c r="F73" s="55" t="s">
        <v>50</v>
      </c>
      <c r="G73" s="55" t="str">
        <f>'Necesidades Trimestrales'!F71</f>
        <v>UNIDAD</v>
      </c>
      <c r="H73" s="56">
        <f>'Necesidades Trimestrales'!H71</f>
        <v>160</v>
      </c>
      <c r="I73" s="57">
        <f>'Necesidades Trimestrales'!G71</f>
        <v>1000</v>
      </c>
      <c r="J73" s="32"/>
    </row>
    <row r="74" spans="1:10" ht="33" customHeight="1" thickBot="1" x14ac:dyDescent="0.25">
      <c r="A74" s="53">
        <f>'Necesidades Trimestrales'!A72</f>
        <v>63</v>
      </c>
      <c r="B74" s="54">
        <v>0</v>
      </c>
      <c r="C74" s="104" t="str">
        <f>'Necesidades Trimestrales'!E72</f>
        <v xml:space="preserve">OXIMETRO DE PULSO </v>
      </c>
      <c r="D74" s="104"/>
      <c r="E74" s="104"/>
      <c r="F74" s="55" t="s">
        <v>50</v>
      </c>
      <c r="G74" s="55" t="str">
        <f>'Necesidades Trimestrales'!F72</f>
        <v>UNIDAD</v>
      </c>
      <c r="H74" s="56">
        <f>'Necesidades Trimestrales'!H72</f>
        <v>2900</v>
      </c>
      <c r="I74" s="57">
        <f>'Necesidades Trimestrales'!G72</f>
        <v>50</v>
      </c>
      <c r="J74" s="32"/>
    </row>
    <row r="75" spans="1:10" ht="36" customHeight="1" thickBot="1" x14ac:dyDescent="0.25">
      <c r="A75" s="53">
        <f>'Necesidades Trimestrales'!A73</f>
        <v>64</v>
      </c>
      <c r="B75" s="54">
        <v>0</v>
      </c>
      <c r="C75" s="104" t="str">
        <f>'Necesidades Trimestrales'!E73</f>
        <v>SENSOR ADULTO DESCARTABLE TIPO NELLCOR COVIDIEN X 12</v>
      </c>
      <c r="D75" s="104"/>
      <c r="E75" s="104"/>
      <c r="F75" s="55" t="s">
        <v>50</v>
      </c>
      <c r="G75" s="55" t="str">
        <f>'Necesidades Trimestrales'!F73</f>
        <v>UNIDAD</v>
      </c>
      <c r="H75" s="56">
        <f>'Necesidades Trimestrales'!H73</f>
        <v>7200</v>
      </c>
      <c r="I75" s="57">
        <f>'Necesidades Trimestrales'!G73</f>
        <v>10</v>
      </c>
      <c r="J75" s="32"/>
    </row>
    <row r="76" spans="1:10" ht="36" customHeight="1" thickBot="1" x14ac:dyDescent="0.25">
      <c r="A76" s="53">
        <f>'Necesidades Trimestrales'!A74</f>
        <v>65</v>
      </c>
      <c r="B76" s="54">
        <v>0</v>
      </c>
      <c r="C76" s="104" t="str">
        <f>'Necesidades Trimestrales'!E74</f>
        <v xml:space="preserve">SENSOR NEONATAL DESCARTABLE TIPO NELLCOR COVIDIEN X 12 </v>
      </c>
      <c r="D76" s="104"/>
      <c r="E76" s="104"/>
      <c r="F76" s="55" t="s">
        <v>50</v>
      </c>
      <c r="G76" s="55" t="str">
        <f>'Necesidades Trimestrales'!F74</f>
        <v>UNIDAD</v>
      </c>
      <c r="H76" s="56">
        <f>'Necesidades Trimestrales'!H74</f>
        <v>6500</v>
      </c>
      <c r="I76" s="57">
        <f>'Necesidades Trimestrales'!G74</f>
        <v>10</v>
      </c>
      <c r="J76" s="32"/>
    </row>
    <row r="77" spans="1:10" ht="34.5" customHeight="1" thickBot="1" x14ac:dyDescent="0.25">
      <c r="A77" s="53">
        <f>'Necesidades Trimestrales'!A75</f>
        <v>66</v>
      </c>
      <c r="B77" s="54">
        <v>0</v>
      </c>
      <c r="C77" s="104" t="str">
        <f>'Necesidades Trimestrales'!E75</f>
        <v>SENSOR P/SATUROMETRIA PEDIATRICO REUTILIZABLE 04-15KG T/PHILIPS</v>
      </c>
      <c r="D77" s="104"/>
      <c r="E77" s="104"/>
      <c r="F77" s="55" t="s">
        <v>50</v>
      </c>
      <c r="G77" s="55" t="str">
        <f>'Necesidades Trimestrales'!F75</f>
        <v>UNIDAD</v>
      </c>
      <c r="H77" s="56">
        <f>'Necesidades Trimestrales'!H75</f>
        <v>4500</v>
      </c>
      <c r="I77" s="57">
        <f>'Necesidades Trimestrales'!G75</f>
        <v>20</v>
      </c>
      <c r="J77" s="32"/>
    </row>
    <row r="78" spans="1:10" ht="36.75" customHeight="1" thickBot="1" x14ac:dyDescent="0.25">
      <c r="A78" s="53">
        <f>'Necesidades Trimestrales'!A76</f>
        <v>67</v>
      </c>
      <c r="B78" s="54">
        <v>0</v>
      </c>
      <c r="C78" s="104" t="str">
        <f>'Necesidades Trimestrales'!E76</f>
        <v>SENSOR P/SATUROMETRIA PEDIATRICO REUTILIZABLE 15-50KG T/PHILIPS</v>
      </c>
      <c r="D78" s="104"/>
      <c r="E78" s="104"/>
      <c r="F78" s="55" t="s">
        <v>50</v>
      </c>
      <c r="G78" s="55" t="str">
        <f>'Necesidades Trimestrales'!F76</f>
        <v>UNIDAD</v>
      </c>
      <c r="H78" s="56">
        <f>'Necesidades Trimestrales'!H76</f>
        <v>4500</v>
      </c>
      <c r="I78" s="57">
        <f>'Necesidades Trimestrales'!G76</f>
        <v>20</v>
      </c>
      <c r="J78" s="32"/>
    </row>
    <row r="79" spans="1:10" ht="36.75" customHeight="1" thickBot="1" x14ac:dyDescent="0.25">
      <c r="A79" s="53">
        <f>'Necesidades Trimestrales'!A77</f>
        <v>68</v>
      </c>
      <c r="B79" s="54">
        <v>0</v>
      </c>
      <c r="C79" s="104" t="str">
        <f>'Necesidades Trimestrales'!E77</f>
        <v>SET DE VIA CENTRAL DOBLE LUMEN 4  FRENCH  /30 CM 22/22 G TIPO ARROW</v>
      </c>
      <c r="D79" s="104"/>
      <c r="E79" s="104"/>
      <c r="F79" s="55" t="s">
        <v>50</v>
      </c>
      <c r="G79" s="55" t="str">
        <f>'Necesidades Trimestrales'!F77</f>
        <v>UNIDAD</v>
      </c>
      <c r="H79" s="56">
        <f>'Necesidades Trimestrales'!H77</f>
        <v>12275</v>
      </c>
      <c r="I79" s="57">
        <f>'Necesidades Trimestrales'!G77</f>
        <v>10</v>
      </c>
      <c r="J79" s="32"/>
    </row>
    <row r="80" spans="1:10" ht="37.5" customHeight="1" thickBot="1" x14ac:dyDescent="0.25">
      <c r="A80" s="53">
        <f>'Necesidades Trimestrales'!A78</f>
        <v>69</v>
      </c>
      <c r="B80" s="54">
        <v>0</v>
      </c>
      <c r="C80" s="104" t="str">
        <f>'Necesidades Trimestrales'!E78</f>
        <v>SET DE VIA CENTRAL DOBLE LUMEN 7 FRENCH TIPO ARROW</v>
      </c>
      <c r="D80" s="104"/>
      <c r="E80" s="104"/>
      <c r="F80" s="55" t="s">
        <v>50</v>
      </c>
      <c r="G80" s="55" t="str">
        <f>'Necesidades Trimestrales'!F78</f>
        <v>UNIDAD</v>
      </c>
      <c r="H80" s="56">
        <f>'Necesidades Trimestrales'!H78</f>
        <v>4556</v>
      </c>
      <c r="I80" s="57">
        <f>'Necesidades Trimestrales'!G78</f>
        <v>100</v>
      </c>
      <c r="J80" s="32"/>
    </row>
    <row r="81" spans="1:10" ht="38.25" customHeight="1" thickBot="1" x14ac:dyDescent="0.25">
      <c r="A81" s="53">
        <f>'Necesidades Trimestrales'!A79</f>
        <v>70</v>
      </c>
      <c r="B81" s="54">
        <v>0</v>
      </c>
      <c r="C81" s="104" t="str">
        <f>'Necesidades Trimestrales'!E79</f>
        <v>SET DE VIA CENTRAL SIMPLE LUMEN 3  FRENCH   TIPO ARROW</v>
      </c>
      <c r="D81" s="104"/>
      <c r="E81" s="104"/>
      <c r="F81" s="55" t="s">
        <v>50</v>
      </c>
      <c r="G81" s="55" t="str">
        <f>'Necesidades Trimestrales'!F79</f>
        <v>UNIDAD</v>
      </c>
      <c r="H81" s="56">
        <f>'Necesidades Trimestrales'!H79</f>
        <v>2499</v>
      </c>
      <c r="I81" s="57">
        <f>'Necesidades Trimestrales'!G79</f>
        <v>10</v>
      </c>
      <c r="J81" s="32"/>
    </row>
    <row r="82" spans="1:10" ht="31.5" customHeight="1" thickBot="1" x14ac:dyDescent="0.25">
      <c r="A82" s="53">
        <f>'Necesidades Trimestrales'!A80</f>
        <v>71</v>
      </c>
      <c r="B82" s="54">
        <v>0</v>
      </c>
      <c r="C82" s="104" t="str">
        <f>'Necesidades Trimestrales'!E80</f>
        <v>SET DE VIA CENTRAL SIMPLE LUMEN 7 FRENCH TIPO ARROW</v>
      </c>
      <c r="D82" s="104"/>
      <c r="E82" s="104"/>
      <c r="F82" s="55" t="s">
        <v>50</v>
      </c>
      <c r="G82" s="55" t="str">
        <f>'Necesidades Trimestrales'!F80</f>
        <v>UNIDAD</v>
      </c>
      <c r="H82" s="56">
        <f>'Necesidades Trimestrales'!H80</f>
        <v>2499</v>
      </c>
      <c r="I82" s="57">
        <f>'Necesidades Trimestrales'!G80</f>
        <v>100</v>
      </c>
      <c r="J82" s="32"/>
    </row>
    <row r="83" spans="1:10" ht="36" customHeight="1" thickBot="1" x14ac:dyDescent="0.25">
      <c r="A83" s="53">
        <f>'Necesidades Trimestrales'!A81</f>
        <v>72</v>
      </c>
      <c r="B83" s="54">
        <v>0</v>
      </c>
      <c r="C83" s="104" t="str">
        <f>'Necesidades Trimestrales'!E81</f>
        <v>SET.P/CATET.VENA CENTRAL 5 FR/13 CM 2 LUM.20/18G T</v>
      </c>
      <c r="D83" s="104"/>
      <c r="E83" s="104"/>
      <c r="F83" s="55" t="s">
        <v>50</v>
      </c>
      <c r="G83" s="55" t="str">
        <f>'Necesidades Trimestrales'!F81</f>
        <v>UNIDAD</v>
      </c>
      <c r="H83" s="56">
        <f>'Necesidades Trimestrales'!H81</f>
        <v>4555</v>
      </c>
      <c r="I83" s="57">
        <f>'Necesidades Trimestrales'!G81</f>
        <v>10</v>
      </c>
      <c r="J83" s="32"/>
    </row>
    <row r="84" spans="1:10" ht="36" customHeight="1" thickBot="1" x14ac:dyDescent="0.25">
      <c r="A84" s="53">
        <f>'Necesidades Trimestrales'!A82</f>
        <v>73</v>
      </c>
      <c r="B84" s="54">
        <v>0</v>
      </c>
      <c r="C84" s="104" t="str">
        <f>'Necesidades Trimestrales'!E82</f>
        <v>SET.P/CATET.VENA CENTRAL 5 FR/20 CM 2 LUM.</v>
      </c>
      <c r="D84" s="104"/>
      <c r="E84" s="104"/>
      <c r="F84" s="57" t="s">
        <v>50</v>
      </c>
      <c r="G84" s="55" t="str">
        <f>'Necesidades Trimestrales'!F82</f>
        <v>UNIDAD</v>
      </c>
      <c r="H84" s="56">
        <f>'Necesidades Trimestrales'!H82</f>
        <v>4555</v>
      </c>
      <c r="I84" s="57">
        <f>'Necesidades Trimestrales'!G82</f>
        <v>10</v>
      </c>
      <c r="J84" s="32"/>
    </row>
    <row r="85" spans="1:10" ht="38.25" customHeight="1" thickBot="1" x14ac:dyDescent="0.25">
      <c r="A85" s="53">
        <f>'Necesidades Trimestrales'!A83</f>
        <v>74</v>
      </c>
      <c r="B85" s="54">
        <v>0</v>
      </c>
      <c r="C85" s="104" t="str">
        <f>'Necesidades Trimestrales'!E83</f>
        <v>SET.P/CATET.VENA CENTRAL 5 FR/30 CM 2 LUM.</v>
      </c>
      <c r="D85" s="104"/>
      <c r="E85" s="104"/>
      <c r="F85" s="57" t="s">
        <v>50</v>
      </c>
      <c r="G85" s="55" t="str">
        <f>'Necesidades Trimestrales'!F83</f>
        <v>UNIDAD</v>
      </c>
      <c r="H85" s="56">
        <f>'Necesidades Trimestrales'!H83</f>
        <v>5450</v>
      </c>
      <c r="I85" s="57">
        <f>'Necesidades Trimestrales'!G83</f>
        <v>10</v>
      </c>
      <c r="J85" s="32"/>
    </row>
    <row r="86" spans="1:10" ht="42.75" customHeight="1" thickBot="1" x14ac:dyDescent="0.25">
      <c r="A86" s="53">
        <f>'Necesidades Trimestrales'!A84</f>
        <v>75</v>
      </c>
      <c r="B86" s="54">
        <v>0</v>
      </c>
      <c r="C86" s="104" t="str">
        <f>'Necesidades Trimestrales'!E84</f>
        <v>SONDA P/ASP.MUCUS C/REG.2,3 MM X 7 FR K-26P</v>
      </c>
      <c r="D86" s="104"/>
      <c r="E86" s="104"/>
      <c r="F86" s="57" t="s">
        <v>50</v>
      </c>
      <c r="G86" s="55" t="str">
        <f>'Necesidades Trimestrales'!F84</f>
        <v>UNIDAD</v>
      </c>
      <c r="H86" s="56">
        <f>'Necesidades Trimestrales'!H84</f>
        <v>36</v>
      </c>
      <c r="I86" s="57">
        <f>'Necesidades Trimestrales'!G84</f>
        <v>100</v>
      </c>
      <c r="J86" s="32"/>
    </row>
    <row r="87" spans="1:10" ht="36" customHeight="1" thickBot="1" x14ac:dyDescent="0.25">
      <c r="A87" s="53">
        <f>'Necesidades Trimestrales'!A85</f>
        <v>76</v>
      </c>
      <c r="B87" s="54">
        <v>0</v>
      </c>
      <c r="C87" s="104" t="str">
        <f>'Necesidades Trimestrales'!E85</f>
        <v>SONDA P/ASP.MUCUS C/REG.2,7 MM X 8 FR K-28P</v>
      </c>
      <c r="D87" s="104"/>
      <c r="E87" s="104"/>
      <c r="F87" s="57" t="s">
        <v>50</v>
      </c>
      <c r="G87" s="55" t="str">
        <f>'Necesidades Trimestrales'!F85</f>
        <v>UNIDAD</v>
      </c>
      <c r="H87" s="56">
        <f>'Necesidades Trimestrales'!H85</f>
        <v>35</v>
      </c>
      <c r="I87" s="57">
        <f>'Necesidades Trimestrales'!G85</f>
        <v>100</v>
      </c>
      <c r="J87" s="32"/>
    </row>
    <row r="88" spans="1:10" ht="37.5" customHeight="1" thickBot="1" x14ac:dyDescent="0.25">
      <c r="A88" s="53">
        <f>'Necesidades Trimestrales'!A86</f>
        <v>77</v>
      </c>
      <c r="B88" s="54">
        <v>0</v>
      </c>
      <c r="C88" s="104" t="str">
        <f>'Necesidades Trimestrales'!E86</f>
        <v>SONDA P/NUTRI.ENT.C/LASTRE Y MADRIL 398-16</v>
      </c>
      <c r="D88" s="104"/>
      <c r="E88" s="104"/>
      <c r="F88" s="57" t="s">
        <v>50</v>
      </c>
      <c r="G88" s="55" t="str">
        <f>'Necesidades Trimestrales'!F86</f>
        <v>UNIDAD</v>
      </c>
      <c r="H88" s="56">
        <f>'Necesidades Trimestrales'!H86</f>
        <v>4701</v>
      </c>
      <c r="I88" s="57">
        <f>'Necesidades Trimestrales'!G86</f>
        <v>100</v>
      </c>
      <c r="J88" s="32"/>
    </row>
    <row r="89" spans="1:10" ht="50.25" customHeight="1" thickBot="1" x14ac:dyDescent="0.25">
      <c r="A89" s="53">
        <f>'Necesidades Trimestrales'!A87</f>
        <v>78</v>
      </c>
      <c r="B89" s="54">
        <v>0</v>
      </c>
      <c r="C89" s="104" t="str">
        <f>'Necesidades Trimestrales'!E87</f>
        <v>SONDA PARA ASPIRACION MUCUS  K32P CON REGULADOR</v>
      </c>
      <c r="D89" s="104"/>
      <c r="E89" s="104"/>
      <c r="F89" s="57" t="s">
        <v>50</v>
      </c>
      <c r="G89" s="55" t="str">
        <f>'Necesidades Trimestrales'!F87</f>
        <v>UNIDAD</v>
      </c>
      <c r="H89" s="56">
        <f>'Necesidades Trimestrales'!H87</f>
        <v>38</v>
      </c>
      <c r="I89" s="57">
        <f>'Necesidades Trimestrales'!G87</f>
        <v>1000</v>
      </c>
      <c r="J89" s="32"/>
    </row>
    <row r="90" spans="1:10" ht="40.5" customHeight="1" thickBot="1" x14ac:dyDescent="0.25">
      <c r="A90" s="53">
        <f>'Necesidades Trimestrales'!A88</f>
        <v>79</v>
      </c>
      <c r="B90" s="54">
        <v>0</v>
      </c>
      <c r="C90" s="104" t="str">
        <f>'Necesidades Trimestrales'!E88</f>
        <v>SONDA PARA ASPIRACION MUCUS K29P CON REGULADOR</v>
      </c>
      <c r="D90" s="104"/>
      <c r="E90" s="104"/>
      <c r="F90" s="57" t="s">
        <v>50</v>
      </c>
      <c r="G90" s="55" t="str">
        <f>'Necesidades Trimestrales'!F88</f>
        <v>UNIDAD</v>
      </c>
      <c r="H90" s="56">
        <f>'Necesidades Trimestrales'!H88</f>
        <v>37.950000000000003</v>
      </c>
      <c r="I90" s="57">
        <f>'Necesidades Trimestrales'!G88</f>
        <v>1000</v>
      </c>
      <c r="J90" s="32"/>
    </row>
    <row r="91" spans="1:10" ht="30.75" customHeight="1" thickBot="1" x14ac:dyDescent="0.25">
      <c r="A91" s="53">
        <f>'Necesidades Trimestrales'!A89</f>
        <v>80</v>
      </c>
      <c r="B91" s="54">
        <v>0</v>
      </c>
      <c r="C91" s="104" t="str">
        <f>'Necesidades Trimestrales'!E89</f>
        <v>SONDA PARA ASPIRACION MUCUS K30P CON REGULADOR</v>
      </c>
      <c r="D91" s="104"/>
      <c r="E91" s="104"/>
      <c r="F91" s="57" t="s">
        <v>50</v>
      </c>
      <c r="G91" s="55" t="str">
        <f>'Necesidades Trimestrales'!F89</f>
        <v>UNIDAD</v>
      </c>
      <c r="H91" s="56">
        <f>'Necesidades Trimestrales'!H89</f>
        <v>33.67</v>
      </c>
      <c r="I91" s="57">
        <f>'Necesidades Trimestrales'!G89</f>
        <v>500</v>
      </c>
      <c r="J91" s="32"/>
    </row>
    <row r="92" spans="1:10" ht="36.75" customHeight="1" thickBot="1" x14ac:dyDescent="0.25">
      <c r="A92" s="53">
        <f>'Necesidades Trimestrales'!A90</f>
        <v>81</v>
      </c>
      <c r="B92" s="54">
        <v>0</v>
      </c>
      <c r="C92" s="104" t="str">
        <f>'Necesidades Trimestrales'!E90</f>
        <v>SONDA PARA ASPIRACION MUCUS K31P CON REGULADOR</v>
      </c>
      <c r="D92" s="104"/>
      <c r="E92" s="104"/>
      <c r="F92" s="57" t="s">
        <v>50</v>
      </c>
      <c r="G92" s="55" t="str">
        <f>'Necesidades Trimestrales'!F90</f>
        <v>UNIDAD</v>
      </c>
      <c r="H92" s="56">
        <f>'Necesidades Trimestrales'!H90</f>
        <v>32.56</v>
      </c>
      <c r="I92" s="57">
        <f>'Necesidades Trimestrales'!G90</f>
        <v>2000</v>
      </c>
      <c r="J92" s="32"/>
    </row>
    <row r="93" spans="1:10" ht="27.75" customHeight="1" thickBot="1" x14ac:dyDescent="0.25">
      <c r="A93" s="53">
        <f>'Necesidades Trimestrales'!A91</f>
        <v>82</v>
      </c>
      <c r="B93" s="54">
        <v>0</v>
      </c>
      <c r="C93" s="104" t="str">
        <f>'Necesidades Trimestrales'!E91</f>
        <v>SONDA PARA ASPIRACION MUCUS K33P CON REGULADOR</v>
      </c>
      <c r="D93" s="104"/>
      <c r="E93" s="104"/>
      <c r="F93" s="57" t="s">
        <v>50</v>
      </c>
      <c r="G93" s="55" t="str">
        <f>'Necesidades Trimestrales'!F91</f>
        <v>UNIDAD</v>
      </c>
      <c r="H93" s="56">
        <f>'Necesidades Trimestrales'!H91</f>
        <v>31.77</v>
      </c>
      <c r="I93" s="57">
        <f>'Necesidades Trimestrales'!G91</f>
        <v>5000</v>
      </c>
      <c r="J93" s="32"/>
    </row>
    <row r="94" spans="1:10" ht="40.5" customHeight="1" thickBot="1" x14ac:dyDescent="0.25">
      <c r="A94" s="53">
        <f>'Necesidades Trimestrales'!A92</f>
        <v>83</v>
      </c>
      <c r="B94" s="54">
        <v>0</v>
      </c>
      <c r="C94" s="104" t="str">
        <f>'Necesidades Trimestrales'!E92</f>
        <v>SONDA PARA ASPIRACION MUCUS K35P CON REGULADOR</v>
      </c>
      <c r="D94" s="104"/>
      <c r="E94" s="104"/>
      <c r="F94" s="57" t="s">
        <v>50</v>
      </c>
      <c r="G94" s="55" t="str">
        <f>'Necesidades Trimestrales'!F92</f>
        <v>UNIDAD</v>
      </c>
      <c r="H94" s="56">
        <f>'Necesidades Trimestrales'!H92</f>
        <v>35.43</v>
      </c>
      <c r="I94" s="57">
        <f>'Necesidades Trimestrales'!G92</f>
        <v>5000</v>
      </c>
      <c r="J94" s="32"/>
    </row>
    <row r="95" spans="1:10" ht="33" customHeight="1" thickBot="1" x14ac:dyDescent="0.25">
      <c r="A95" s="53">
        <f>'Necesidades Trimestrales'!A93</f>
        <v>84</v>
      </c>
      <c r="B95" s="54">
        <v>0</v>
      </c>
      <c r="C95" s="104" t="str">
        <f>'Necesidades Trimestrales'!E93</f>
        <v>SONDA PARA MUESTRA DE SECRECION TRAQUEAL B-2941 TIPO TUBO DE LUKEN</v>
      </c>
      <c r="D95" s="104"/>
      <c r="E95" s="104"/>
      <c r="F95" s="57" t="s">
        <v>50</v>
      </c>
      <c r="G95" s="55" t="str">
        <f>'Necesidades Trimestrales'!F93</f>
        <v>UNIDAD</v>
      </c>
      <c r="H95" s="56">
        <f>'Necesidades Trimestrales'!H93</f>
        <v>734</v>
      </c>
      <c r="I95" s="57">
        <f>'Necesidades Trimestrales'!G93</f>
        <v>100</v>
      </c>
      <c r="J95" s="32"/>
    </row>
    <row r="96" spans="1:10" ht="48.75" customHeight="1" thickBot="1" x14ac:dyDescent="0.25">
      <c r="A96" s="53">
        <f>'Necesidades Trimestrales'!A94</f>
        <v>85</v>
      </c>
      <c r="B96" s="54">
        <v>0</v>
      </c>
      <c r="C96" s="104" t="str">
        <f>'Necesidades Trimestrales'!E94</f>
        <v>TERMOMETRO DIGITAL</v>
      </c>
      <c r="D96" s="104"/>
      <c r="E96" s="104"/>
      <c r="F96" s="57" t="s">
        <v>50</v>
      </c>
      <c r="G96" s="55" t="str">
        <f>'Necesidades Trimestrales'!F94</f>
        <v>UNIDAD</v>
      </c>
      <c r="H96" s="56">
        <f>'Necesidades Trimestrales'!H94</f>
        <v>350</v>
      </c>
      <c r="I96" s="57">
        <f>'Necesidades Trimestrales'!G94</f>
        <v>100</v>
      </c>
      <c r="J96" s="32"/>
    </row>
    <row r="97" spans="1:10" ht="36.75" customHeight="1" thickBot="1" x14ac:dyDescent="0.25">
      <c r="A97" s="53">
        <f>'Necesidades Trimestrales'!A95</f>
        <v>86</v>
      </c>
      <c r="B97" s="54">
        <v>0</v>
      </c>
      <c r="C97" s="104" t="str">
        <f>'Necesidades Trimestrales'!E95</f>
        <v>TUBO ENDOTRAQUEAL CON BALON Nº 3</v>
      </c>
      <c r="D97" s="104"/>
      <c r="E97" s="104"/>
      <c r="F97" s="58" t="s">
        <v>50</v>
      </c>
      <c r="G97" s="55" t="str">
        <f>'Necesidades Trimestrales'!F95</f>
        <v>UNIDAD</v>
      </c>
      <c r="H97" s="56">
        <f>'Necesidades Trimestrales'!H95</f>
        <v>115</v>
      </c>
      <c r="I97" s="57">
        <f>'Necesidades Trimestrales'!G95</f>
        <v>30</v>
      </c>
      <c r="J97" s="32"/>
    </row>
    <row r="98" spans="1:10" ht="35.25" customHeight="1" thickBot="1" x14ac:dyDescent="0.25">
      <c r="A98" s="53">
        <f>'Necesidades Trimestrales'!A96</f>
        <v>87</v>
      </c>
      <c r="B98" s="54">
        <v>0</v>
      </c>
      <c r="C98" s="104" t="str">
        <f>'Necesidades Trimestrales'!E96</f>
        <v>TUBO ENDOTRAQUEAL CON BALON Nº 3.5</v>
      </c>
      <c r="D98" s="104"/>
      <c r="E98" s="104"/>
      <c r="F98" s="58" t="s">
        <v>50</v>
      </c>
      <c r="G98" s="55" t="str">
        <f>'Necesidades Trimestrales'!F96</f>
        <v>UNIDAD</v>
      </c>
      <c r="H98" s="56">
        <f>'Necesidades Trimestrales'!H96</f>
        <v>115</v>
      </c>
      <c r="I98" s="57">
        <f>'Necesidades Trimestrales'!G96</f>
        <v>30</v>
      </c>
      <c r="J98" s="32"/>
    </row>
    <row r="99" spans="1:10" ht="31.5" customHeight="1" thickBot="1" x14ac:dyDescent="0.25">
      <c r="A99" s="53">
        <f>'Necesidades Trimestrales'!A97</f>
        <v>88</v>
      </c>
      <c r="B99" s="54">
        <v>0</v>
      </c>
      <c r="C99" s="104" t="str">
        <f>'Necesidades Trimestrales'!E97</f>
        <v>TUBO ENDOTRAQUEAL CON BALON Nº 7</v>
      </c>
      <c r="D99" s="104"/>
      <c r="E99" s="104"/>
      <c r="F99" s="58" t="s">
        <v>50</v>
      </c>
      <c r="G99" s="55" t="str">
        <f>'Necesidades Trimestrales'!F97</f>
        <v>UNIDAD</v>
      </c>
      <c r="H99" s="56">
        <f>'Necesidades Trimestrales'!H97</f>
        <v>115</v>
      </c>
      <c r="I99" s="57">
        <f>'Necesidades Trimestrales'!G97</f>
        <v>50</v>
      </c>
      <c r="J99" s="32"/>
    </row>
    <row r="100" spans="1:10" ht="35.25" customHeight="1" thickBot="1" x14ac:dyDescent="0.25">
      <c r="A100" s="53">
        <f>'Necesidades Trimestrales'!A98</f>
        <v>89</v>
      </c>
      <c r="B100" s="54">
        <v>0</v>
      </c>
      <c r="C100" s="104" t="str">
        <f>'Necesidades Trimestrales'!E98</f>
        <v>TUBO ENDOTRAQUEAL CON BALON Nº 71/2</v>
      </c>
      <c r="D100" s="104"/>
      <c r="E100" s="104"/>
      <c r="F100" s="58" t="s">
        <v>50</v>
      </c>
      <c r="G100" s="55" t="str">
        <f>'Necesidades Trimestrales'!F98</f>
        <v>UNIDAD</v>
      </c>
      <c r="H100" s="56">
        <f>'Necesidades Trimestrales'!H98</f>
        <v>115</v>
      </c>
      <c r="I100" s="57">
        <f>'Necesidades Trimestrales'!G98</f>
        <v>50</v>
      </c>
      <c r="J100" s="32"/>
    </row>
    <row r="101" spans="1:10" ht="25.5" customHeight="1" thickBot="1" x14ac:dyDescent="0.25">
      <c r="A101" s="53">
        <f>'Necesidades Trimestrales'!A99</f>
        <v>90</v>
      </c>
      <c r="B101" s="54">
        <v>0</v>
      </c>
      <c r="C101" s="104" t="str">
        <f>'Necesidades Trimestrales'!E99</f>
        <v>TUBO ENDOTRAQUEAL CON BALON Nº 8</v>
      </c>
      <c r="D101" s="104"/>
      <c r="E101" s="104"/>
      <c r="F101" s="58" t="s">
        <v>50</v>
      </c>
      <c r="G101" s="55" t="str">
        <f>'Necesidades Trimestrales'!F99</f>
        <v>UNIDAD</v>
      </c>
      <c r="H101" s="56">
        <f>'Necesidades Trimestrales'!H99</f>
        <v>115</v>
      </c>
      <c r="I101" s="57">
        <f>'Necesidades Trimestrales'!G99</f>
        <v>20</v>
      </c>
      <c r="J101" s="32"/>
    </row>
    <row r="102" spans="1:10" ht="31.5" customHeight="1" thickBot="1" x14ac:dyDescent="0.25">
      <c r="A102" s="53">
        <f>'Necesidades Trimestrales'!A100</f>
        <v>91</v>
      </c>
      <c r="B102" s="54">
        <v>0</v>
      </c>
      <c r="C102" s="104" t="str">
        <f>'Necesidades Trimestrales'!E100</f>
        <v>TUBO ENDOTRAQUEAL CON BALON Nº 81/2</v>
      </c>
      <c r="D102" s="104"/>
      <c r="E102" s="104"/>
      <c r="F102" s="58" t="s">
        <v>50</v>
      </c>
      <c r="G102" s="55" t="str">
        <f>'Necesidades Trimestrales'!F100</f>
        <v>UNIDAD</v>
      </c>
      <c r="H102" s="56">
        <f>'Necesidades Trimestrales'!H100</f>
        <v>115</v>
      </c>
      <c r="I102" s="57">
        <f>'Necesidades Trimestrales'!G100</f>
        <v>20</v>
      </c>
      <c r="J102" s="32"/>
    </row>
    <row r="103" spans="1:10" ht="32.25" customHeight="1" thickBot="1" x14ac:dyDescent="0.25">
      <c r="A103" s="53">
        <f>'Necesidades Trimestrales'!A101</f>
        <v>92</v>
      </c>
      <c r="B103" s="54">
        <v>0</v>
      </c>
      <c r="C103" s="104" t="str">
        <f>'Necesidades Trimestrales'!E101</f>
        <v>TUBO ENDOTRAQUEAL Nº 4 CON BALON</v>
      </c>
      <c r="D103" s="104"/>
      <c r="E103" s="104"/>
      <c r="F103" s="58" t="s">
        <v>50</v>
      </c>
      <c r="G103" s="55" t="str">
        <f>'Necesidades Trimestrales'!F101</f>
        <v>UNIDAD</v>
      </c>
      <c r="H103" s="56">
        <f>'Necesidades Trimestrales'!H101</f>
        <v>115</v>
      </c>
      <c r="I103" s="57">
        <f>'Necesidades Trimestrales'!G101</f>
        <v>20</v>
      </c>
      <c r="J103" s="32"/>
    </row>
    <row r="104" spans="1:10" ht="33" customHeight="1" thickBot="1" x14ac:dyDescent="0.25">
      <c r="A104" s="53">
        <f>'Necesidades Trimestrales'!A102</f>
        <v>93</v>
      </c>
      <c r="B104" s="54">
        <v>0</v>
      </c>
      <c r="C104" s="104" t="str">
        <f>'Necesidades Trimestrales'!E102</f>
        <v>TUBO ENDOTRAQUEALES TIPO RUSH S/B 2,5</v>
      </c>
      <c r="D104" s="104"/>
      <c r="E104" s="104"/>
      <c r="F104" s="58" t="s">
        <v>50</v>
      </c>
      <c r="G104" s="55" t="str">
        <f>'Necesidades Trimestrales'!F102</f>
        <v>UNIDAD</v>
      </c>
      <c r="H104" s="56">
        <f>'Necesidades Trimestrales'!H102</f>
        <v>250</v>
      </c>
      <c r="I104" s="57">
        <f>'Necesidades Trimestrales'!G102</f>
        <v>20</v>
      </c>
      <c r="J104" s="32"/>
    </row>
    <row r="105" spans="1:10" ht="36.75" customHeight="1" thickBot="1" x14ac:dyDescent="0.25">
      <c r="A105" s="53">
        <f>'Necesidades Trimestrales'!A103</f>
        <v>94</v>
      </c>
      <c r="B105" s="54">
        <v>0</v>
      </c>
      <c r="C105" s="104" t="str">
        <f>'Necesidades Trimestrales'!E103</f>
        <v>TUBO ENDOTRAQUEALES TIPO RUSH S/B 3</v>
      </c>
      <c r="D105" s="104"/>
      <c r="E105" s="104"/>
      <c r="F105" s="58" t="s">
        <v>50</v>
      </c>
      <c r="G105" s="55" t="str">
        <f>'Necesidades Trimestrales'!F103</f>
        <v>UNIDAD</v>
      </c>
      <c r="H105" s="56">
        <f>'Necesidades Trimestrales'!H103</f>
        <v>250</v>
      </c>
      <c r="I105" s="57">
        <f>'Necesidades Trimestrales'!G103</f>
        <v>20</v>
      </c>
      <c r="J105" s="32"/>
    </row>
    <row r="106" spans="1:10" ht="31.5" customHeight="1" thickBot="1" x14ac:dyDescent="0.25">
      <c r="A106" s="53">
        <f>'Necesidades Trimestrales'!A104</f>
        <v>95</v>
      </c>
      <c r="B106" s="54">
        <v>0</v>
      </c>
      <c r="C106" s="104" t="str">
        <f>'Necesidades Trimestrales'!E104</f>
        <v>TUBO ENDOTRAQUEALES TIPO RUSH S/B 3,5</v>
      </c>
      <c r="D106" s="104"/>
      <c r="E106" s="104"/>
      <c r="F106" s="58" t="s">
        <v>50</v>
      </c>
      <c r="G106" s="55" t="str">
        <f>'Necesidades Trimestrales'!F104</f>
        <v>UNIDAD</v>
      </c>
      <c r="H106" s="56">
        <f>'Necesidades Trimestrales'!H104</f>
        <v>250</v>
      </c>
      <c r="I106" s="57">
        <f>'Necesidades Trimestrales'!G104</f>
        <v>20</v>
      </c>
      <c r="J106" s="32"/>
    </row>
    <row r="107" spans="1:10" ht="36" customHeight="1" thickBot="1" x14ac:dyDescent="0.25">
      <c r="A107" s="53">
        <f>'Necesidades Trimestrales'!A105</f>
        <v>96</v>
      </c>
      <c r="B107" s="54">
        <v>0</v>
      </c>
      <c r="C107" s="104" t="str">
        <f>'Necesidades Trimestrales'!E105</f>
        <v>TUBO MAYO GUEDEL N 5</v>
      </c>
      <c r="D107" s="104"/>
      <c r="E107" s="104"/>
      <c r="F107" s="58" t="s">
        <v>50</v>
      </c>
      <c r="G107" s="55" t="str">
        <f>'Necesidades Trimestrales'!F105</f>
        <v>UNIDAD</v>
      </c>
      <c r="H107" s="56">
        <f>'Necesidades Trimestrales'!H105</f>
        <v>58</v>
      </c>
      <c r="I107" s="57">
        <f>'Necesidades Trimestrales'!G105</f>
        <v>20</v>
      </c>
      <c r="J107" s="32"/>
    </row>
    <row r="108" spans="1:10" ht="34.5" customHeight="1" thickBot="1" x14ac:dyDescent="0.25">
      <c r="A108" s="53">
        <f>'Necesidades Trimestrales'!A106</f>
        <v>97</v>
      </c>
      <c r="B108" s="54">
        <v>0</v>
      </c>
      <c r="C108" s="104" t="str">
        <f>'Necesidades Trimestrales'!E106</f>
        <v xml:space="preserve">TUBO MAYO GUEDEL N°1 </v>
      </c>
      <c r="D108" s="104"/>
      <c r="E108" s="104"/>
      <c r="F108" s="58" t="s">
        <v>50</v>
      </c>
      <c r="G108" s="55" t="str">
        <f>'Necesidades Trimestrales'!F106</f>
        <v>UNIDAD</v>
      </c>
      <c r="H108" s="56">
        <f>'Necesidades Trimestrales'!H106</f>
        <v>58</v>
      </c>
      <c r="I108" s="57">
        <f>'Necesidades Trimestrales'!G106</f>
        <v>20</v>
      </c>
      <c r="J108" s="32"/>
    </row>
    <row r="109" spans="1:10" ht="44.25" customHeight="1" thickBot="1" x14ac:dyDescent="0.25">
      <c r="A109" s="53">
        <f>'Necesidades Trimestrales'!A107</f>
        <v>98</v>
      </c>
      <c r="B109" s="54">
        <v>0</v>
      </c>
      <c r="C109" s="104" t="str">
        <f>'Necesidades Trimestrales'!E107</f>
        <v xml:space="preserve">TUBO MAYO GUEDEL N°2 </v>
      </c>
      <c r="D109" s="104"/>
      <c r="E109" s="104"/>
      <c r="F109" s="58" t="s">
        <v>50</v>
      </c>
      <c r="G109" s="55" t="str">
        <f>'Necesidades Trimestrales'!F107</f>
        <v>UNIDAD</v>
      </c>
      <c r="H109" s="56">
        <f>'Necesidades Trimestrales'!H107</f>
        <v>58</v>
      </c>
      <c r="I109" s="57">
        <f>'Necesidades Trimestrales'!G107</f>
        <v>20</v>
      </c>
      <c r="J109" s="32"/>
    </row>
    <row r="110" spans="1:10" ht="39" customHeight="1" thickBot="1" x14ac:dyDescent="0.25">
      <c r="A110" s="53">
        <f>'Necesidades Trimestrales'!A108</f>
        <v>99</v>
      </c>
      <c r="B110" s="54">
        <v>0</v>
      </c>
      <c r="C110" s="104" t="str">
        <f>'Necesidades Trimestrales'!E108</f>
        <v xml:space="preserve">TUBO MAYO GUEDEL N°3 </v>
      </c>
      <c r="D110" s="104"/>
      <c r="E110" s="104"/>
      <c r="F110" s="58" t="s">
        <v>50</v>
      </c>
      <c r="G110" s="55" t="str">
        <f>'Necesidades Trimestrales'!F108</f>
        <v>UNIDAD</v>
      </c>
      <c r="H110" s="56">
        <f>'Necesidades Trimestrales'!H108</f>
        <v>58</v>
      </c>
      <c r="I110" s="57">
        <f>'Necesidades Trimestrales'!G108</f>
        <v>20</v>
      </c>
      <c r="J110" s="32"/>
    </row>
    <row r="111" spans="1:10" ht="33.75" customHeight="1" thickBot="1" x14ac:dyDescent="0.25">
      <c r="A111" s="53">
        <f>'Necesidades Trimestrales'!A109</f>
        <v>100</v>
      </c>
      <c r="B111" s="54">
        <v>0</v>
      </c>
      <c r="C111" s="104" t="str">
        <f>'Necesidades Trimestrales'!E109</f>
        <v xml:space="preserve">TUBO MAYO GUEDEL N°4 </v>
      </c>
      <c r="D111" s="104"/>
      <c r="E111" s="104"/>
      <c r="F111" s="58" t="s">
        <v>50</v>
      </c>
      <c r="G111" s="55" t="str">
        <f>'Necesidades Trimestrales'!F109</f>
        <v>UNIDAD</v>
      </c>
      <c r="H111" s="56">
        <f>'Necesidades Trimestrales'!H109</f>
        <v>58</v>
      </c>
      <c r="I111" s="57">
        <f>'Necesidades Trimestrales'!G109</f>
        <v>20</v>
      </c>
      <c r="J111" s="32"/>
    </row>
    <row r="112" spans="1:10" ht="38.25" customHeight="1" thickBot="1" x14ac:dyDescent="0.25">
      <c r="A112" s="53">
        <f>'Necesidades Trimestrales'!A110</f>
        <v>101</v>
      </c>
      <c r="B112" s="54">
        <v>0</v>
      </c>
      <c r="C112" s="104" t="str">
        <f>'Necesidades Trimestrales'!E110</f>
        <v>TUBULADURA  PVC   6 X 9 X 50 USO MEDICINAL</v>
      </c>
      <c r="D112" s="104"/>
      <c r="E112" s="104"/>
      <c r="F112" s="58" t="s">
        <v>50</v>
      </c>
      <c r="G112" s="55" t="str">
        <f>'Necesidades Trimestrales'!F110</f>
        <v>UNIDAD</v>
      </c>
      <c r="H112" s="56">
        <f>'Necesidades Trimestrales'!H110</f>
        <v>1500</v>
      </c>
      <c r="I112" s="57">
        <f>'Necesidades Trimestrales'!G110</f>
        <v>30</v>
      </c>
      <c r="J112" s="32"/>
    </row>
    <row r="113" spans="1:10" ht="41.25" customHeight="1" thickBot="1" x14ac:dyDescent="0.25">
      <c r="A113" s="53">
        <f>'Necesidades Trimestrales'!A111</f>
        <v>102</v>
      </c>
      <c r="B113" s="54">
        <v>0</v>
      </c>
      <c r="C113" s="104" t="str">
        <f>'Necesidades Trimestrales'!E111</f>
        <v>TUBULADURA PVC 8 X11 X 50  USO MEDICINAL</v>
      </c>
      <c r="D113" s="104"/>
      <c r="E113" s="104"/>
      <c r="F113" s="58" t="s">
        <v>50</v>
      </c>
      <c r="G113" s="55" t="str">
        <f>'Necesidades Trimestrales'!F111</f>
        <v>UNIDAD</v>
      </c>
      <c r="H113" s="56">
        <f>'Necesidades Trimestrales'!H111</f>
        <v>1750</v>
      </c>
      <c r="I113" s="57">
        <f>'Necesidades Trimestrales'!G111</f>
        <v>10</v>
      </c>
      <c r="J113" s="32"/>
    </row>
    <row r="114" spans="1:10" ht="37.5" customHeight="1" thickBot="1" x14ac:dyDescent="0.25">
      <c r="A114" s="105" t="s">
        <v>189</v>
      </c>
      <c r="B114" s="106"/>
      <c r="C114" s="106"/>
      <c r="D114" s="106"/>
      <c r="E114" s="106"/>
      <c r="F114" s="106"/>
      <c r="G114" s="106"/>
      <c r="H114" s="106"/>
      <c r="I114" s="59">
        <f>SUMPRODUCT(H12:H113*I12:I113)</f>
        <v>32532537.5</v>
      </c>
      <c r="J114" s="32"/>
    </row>
    <row r="115" spans="1:10" ht="61.5" customHeight="1" x14ac:dyDescent="0.2">
      <c r="B115" s="26"/>
      <c r="C115" s="27"/>
      <c r="D115" s="27"/>
      <c r="E115" s="27"/>
      <c r="F115" s="28"/>
      <c r="H115" s="29"/>
    </row>
    <row r="116" spans="1:10" x14ac:dyDescent="0.2">
      <c r="D116" s="31"/>
      <c r="E116" s="31"/>
      <c r="F116" s="31"/>
    </row>
    <row r="117" spans="1:10" x14ac:dyDescent="0.2">
      <c r="D117" s="31"/>
      <c r="E117" s="31"/>
      <c r="F117" s="31"/>
    </row>
    <row r="118" spans="1:10" x14ac:dyDescent="0.2">
      <c r="D118" s="31"/>
      <c r="E118" s="31"/>
      <c r="F118" s="31"/>
    </row>
  </sheetData>
  <mergeCells count="123">
    <mergeCell ref="C113:E113"/>
    <mergeCell ref="C23:E23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96:E96"/>
    <mergeCell ref="C91:E91"/>
    <mergeCell ref="C92:E92"/>
    <mergeCell ref="C66:E66"/>
    <mergeCell ref="C68:E68"/>
    <mergeCell ref="C80:E80"/>
    <mergeCell ref="C15:E15"/>
    <mergeCell ref="C16:E16"/>
    <mergeCell ref="C25:E25"/>
    <mergeCell ref="C26:E26"/>
    <mergeCell ref="C31:E31"/>
    <mergeCell ref="C35:E35"/>
    <mergeCell ref="C36:E36"/>
    <mergeCell ref="C111:E111"/>
    <mergeCell ref="C112:E112"/>
    <mergeCell ref="C70:E70"/>
    <mergeCell ref="C72:E72"/>
    <mergeCell ref="C57:E57"/>
    <mergeCell ref="C60:E60"/>
    <mergeCell ref="C67:E67"/>
    <mergeCell ref="C54:E54"/>
    <mergeCell ref="C71:E71"/>
    <mergeCell ref="C63:E63"/>
    <mergeCell ref="F10:F11"/>
    <mergeCell ref="C37:E37"/>
    <mergeCell ref="C38:E38"/>
    <mergeCell ref="C46:E46"/>
    <mergeCell ref="C47:E47"/>
    <mergeCell ref="C48:E48"/>
    <mergeCell ref="C49:E49"/>
    <mergeCell ref="C52:E52"/>
    <mergeCell ref="C50:E50"/>
    <mergeCell ref="C41:E41"/>
    <mergeCell ref="C39:E39"/>
    <mergeCell ref="C40:E40"/>
    <mergeCell ref="C51:E51"/>
    <mergeCell ref="C45:E45"/>
    <mergeCell ref="C10:E11"/>
    <mergeCell ref="C32:E32"/>
    <mergeCell ref="C64:E64"/>
    <mergeCell ref="C59:E59"/>
    <mergeCell ref="C58:E58"/>
    <mergeCell ref="C65:E65"/>
    <mergeCell ref="C69:E69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C56:E56"/>
    <mergeCell ref="C61:E61"/>
    <mergeCell ref="C62:E62"/>
    <mergeCell ref="C29:E29"/>
    <mergeCell ref="C53:E53"/>
    <mergeCell ref="C55:E55"/>
    <mergeCell ref="A114:H114"/>
    <mergeCell ref="I10:I11"/>
    <mergeCell ref="C42:E42"/>
    <mergeCell ref="C43:E43"/>
    <mergeCell ref="C44:E44"/>
    <mergeCell ref="C24:E24"/>
    <mergeCell ref="C18:E18"/>
    <mergeCell ref="C19:E19"/>
    <mergeCell ref="C20:E20"/>
    <mergeCell ref="H10:H11"/>
    <mergeCell ref="C21:E21"/>
    <mergeCell ref="C22:E22"/>
    <mergeCell ref="C30:E30"/>
    <mergeCell ref="C27:E27"/>
    <mergeCell ref="C28:E28"/>
    <mergeCell ref="B10:B11"/>
    <mergeCell ref="G10:G11"/>
    <mergeCell ref="C17:E17"/>
    <mergeCell ref="C12:E12"/>
    <mergeCell ref="C13:E13"/>
    <mergeCell ref="C14:E14"/>
    <mergeCell ref="C33:E33"/>
    <mergeCell ref="C34:E34"/>
    <mergeCell ref="A10:A11"/>
    <mergeCell ref="C95:E95"/>
    <mergeCell ref="C93:E93"/>
    <mergeCell ref="C94:E94"/>
    <mergeCell ref="C84:E84"/>
    <mergeCell ref="C85:E85"/>
    <mergeCell ref="C86:E86"/>
    <mergeCell ref="C83:E83"/>
    <mergeCell ref="C82:E82"/>
    <mergeCell ref="C73:E73"/>
    <mergeCell ref="C77:E77"/>
    <mergeCell ref="C78:E78"/>
    <mergeCell ref="C81:E81"/>
    <mergeCell ref="C87:E87"/>
    <mergeCell ref="C88:E88"/>
    <mergeCell ref="C89:E89"/>
    <mergeCell ref="C90:E90"/>
    <mergeCell ref="C79:E79"/>
    <mergeCell ref="C74:E74"/>
    <mergeCell ref="C75:E75"/>
    <mergeCell ref="C76:E76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zoomScale="120" zoomScaleNormal="120" workbookViewId="0">
      <selection activeCell="F32" sqref="F32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710937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61" t="s">
        <v>2</v>
      </c>
      <c r="B1" s="161"/>
      <c r="C1" s="161"/>
      <c r="D1" s="162">
        <v>2021</v>
      </c>
      <c r="E1" s="162"/>
      <c r="F1" s="4"/>
      <c r="G1" s="4"/>
      <c r="H1" s="5"/>
      <c r="I1" s="5"/>
      <c r="J1" s="5"/>
      <c r="K1" s="5"/>
      <c r="L1" s="5"/>
      <c r="M1" s="5"/>
      <c r="N1" s="5"/>
      <c r="P1" s="163" t="s">
        <v>22</v>
      </c>
      <c r="Q1" s="163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163"/>
      <c r="Q2" s="163"/>
    </row>
    <row r="4" spans="1:19" s="6" customFormat="1" ht="18" customHeight="1" thickBot="1" x14ac:dyDescent="0.25">
      <c r="A4" s="164" t="s">
        <v>23</v>
      </c>
      <c r="B4" s="164"/>
      <c r="C4" s="164"/>
      <c r="D4" s="164"/>
      <c r="E4" s="164"/>
      <c r="F4" s="164"/>
      <c r="G4" s="165" t="s">
        <v>51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9" s="6" customFormat="1" ht="18" customHeight="1" thickBot="1" x14ac:dyDescent="0.25">
      <c r="A5" s="153" t="s">
        <v>46</v>
      </c>
      <c r="B5" s="154"/>
      <c r="C5" s="154"/>
      <c r="D5" s="154"/>
      <c r="E5" s="154"/>
      <c r="F5" s="155"/>
      <c r="G5" s="156" t="s">
        <v>62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9" s="6" customFormat="1" ht="30.75" customHeight="1" thickBot="1" x14ac:dyDescent="0.25">
      <c r="A6" s="153" t="s">
        <v>24</v>
      </c>
      <c r="B6" s="154"/>
      <c r="C6" s="154"/>
      <c r="D6" s="154"/>
      <c r="E6" s="154"/>
      <c r="F6" s="155"/>
      <c r="G6" s="158" t="s">
        <v>179</v>
      </c>
      <c r="H6" s="159"/>
      <c r="I6" s="159"/>
      <c r="J6" s="159"/>
      <c r="K6" s="159"/>
      <c r="L6" s="159"/>
      <c r="M6" s="159"/>
      <c r="N6" s="159"/>
      <c r="O6" s="159"/>
      <c r="P6" s="159"/>
      <c r="Q6" s="160"/>
    </row>
    <row r="7" spans="1:19" s="6" customFormat="1" ht="18" customHeight="1" thickBot="1" x14ac:dyDescent="0.25">
      <c r="A7" s="153" t="s">
        <v>47</v>
      </c>
      <c r="B7" s="154"/>
      <c r="C7" s="154"/>
      <c r="D7" s="154"/>
      <c r="E7" s="154"/>
      <c r="F7" s="155"/>
      <c r="G7" s="158" t="s">
        <v>180</v>
      </c>
      <c r="H7" s="159"/>
      <c r="I7" s="159"/>
      <c r="J7" s="159"/>
      <c r="K7" s="159"/>
      <c r="L7" s="159"/>
      <c r="M7" s="159"/>
      <c r="N7" s="159"/>
      <c r="O7" s="159"/>
      <c r="P7" s="159"/>
      <c r="Q7" s="160"/>
    </row>
    <row r="8" spans="1:19" ht="18" customHeight="1" thickBot="1" x14ac:dyDescent="0.25">
      <c r="A8" s="157" t="s">
        <v>25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9" ht="18" customHeight="1" x14ac:dyDescent="0.2">
      <c r="A9" s="142" t="s">
        <v>26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8"/>
      <c r="P9" s="8"/>
      <c r="Q9" s="9"/>
    </row>
    <row r="10" spans="1:19" ht="54.75" customHeight="1" x14ac:dyDescent="0.2">
      <c r="A10" s="143" t="s">
        <v>177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44" t="s">
        <v>27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9" ht="15.75" customHeight="1" thickBot="1" x14ac:dyDescent="0.25">
      <c r="A13" s="145" t="s">
        <v>28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6"/>
      <c r="O13" s="147" t="s">
        <v>29</v>
      </c>
      <c r="P13" s="148"/>
      <c r="Q13" s="151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82" t="s">
        <v>43</v>
      </c>
      <c r="O14" s="149"/>
      <c r="P14" s="150"/>
      <c r="Q14" s="152"/>
    </row>
    <row r="15" spans="1:19" ht="22.5" customHeight="1" x14ac:dyDescent="0.2">
      <c r="A15" s="72">
        <v>42</v>
      </c>
      <c r="B15" s="73"/>
      <c r="C15" s="73"/>
      <c r="D15" s="73">
        <v>2</v>
      </c>
      <c r="E15" s="73"/>
      <c r="F15" s="73">
        <v>4901</v>
      </c>
      <c r="G15" s="73">
        <v>3</v>
      </c>
      <c r="H15" s="74">
        <v>1</v>
      </c>
      <c r="I15" s="73">
        <v>2</v>
      </c>
      <c r="J15" s="73">
        <v>5</v>
      </c>
      <c r="K15" s="73">
        <v>1</v>
      </c>
      <c r="L15" s="73"/>
      <c r="M15" s="73">
        <v>1</v>
      </c>
      <c r="N15" s="79" t="s">
        <v>48</v>
      </c>
      <c r="O15" s="140" t="s">
        <v>185</v>
      </c>
      <c r="P15" s="141"/>
      <c r="Q15" s="84">
        <v>3237910.5</v>
      </c>
      <c r="R15" s="33"/>
      <c r="S15" s="18"/>
    </row>
    <row r="16" spans="1:19" ht="22.5" customHeight="1" x14ac:dyDescent="0.2">
      <c r="A16" s="75">
        <v>42</v>
      </c>
      <c r="B16" s="70"/>
      <c r="C16" s="70"/>
      <c r="D16" s="70">
        <v>2</v>
      </c>
      <c r="E16" s="70"/>
      <c r="F16" s="70">
        <v>4901</v>
      </c>
      <c r="G16" s="70">
        <v>3</v>
      </c>
      <c r="H16" s="71">
        <v>1</v>
      </c>
      <c r="I16" s="70">
        <v>2</v>
      </c>
      <c r="J16" s="70">
        <v>9</v>
      </c>
      <c r="K16" s="70">
        <v>5</v>
      </c>
      <c r="L16" s="70"/>
      <c r="M16" s="70">
        <v>1</v>
      </c>
      <c r="N16" s="80" t="s">
        <v>48</v>
      </c>
      <c r="O16" s="138" t="s">
        <v>178</v>
      </c>
      <c r="P16" s="139"/>
      <c r="Q16" s="85">
        <v>29294627</v>
      </c>
      <c r="R16" s="1"/>
    </row>
    <row r="17" spans="1:17" ht="27.75" customHeight="1" thickBot="1" x14ac:dyDescent="0.25">
      <c r="A17" s="76"/>
      <c r="B17" s="77"/>
      <c r="C17" s="77"/>
      <c r="D17" s="77"/>
      <c r="E17" s="77"/>
      <c r="F17" s="77"/>
      <c r="G17" s="77"/>
      <c r="H17" s="78"/>
      <c r="I17" s="77"/>
      <c r="J17" s="77"/>
      <c r="K17" s="77"/>
      <c r="L17" s="77"/>
      <c r="M17" s="77"/>
      <c r="N17" s="81"/>
      <c r="O17" s="131"/>
      <c r="P17" s="132"/>
      <c r="Q17" s="86"/>
    </row>
    <row r="18" spans="1:17" ht="24.75" customHeight="1" thickBot="1" x14ac:dyDescent="0.25">
      <c r="A18" s="133" t="s">
        <v>190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83">
        <f>SUM(Q15:Q17)</f>
        <v>32532537.5</v>
      </c>
    </row>
    <row r="19" spans="1:17" ht="18" customHeight="1" thickBot="1" x14ac:dyDescent="0.2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7"/>
    </row>
    <row r="20" spans="1:17" ht="17.25" customHeight="1" x14ac:dyDescent="0.2">
      <c r="A20" s="121" t="s">
        <v>44</v>
      </c>
      <c r="B20" s="122"/>
      <c r="C20" s="122"/>
      <c r="D20" s="122"/>
      <c r="E20" s="122"/>
      <c r="F20" s="122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</row>
    <row r="21" spans="1:17" ht="18" customHeight="1" thickBot="1" x14ac:dyDescent="0.25">
      <c r="A21" s="125" t="s">
        <v>172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</row>
    <row r="22" spans="1:17" ht="15" customHeight="1" thickBot="1" x14ac:dyDescent="0.25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30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  <mergeCell ref="A10:Q10"/>
    <mergeCell ref="A12:Q12"/>
    <mergeCell ref="A13:N13"/>
    <mergeCell ref="O13:P14"/>
    <mergeCell ref="Q13:Q14"/>
    <mergeCell ref="A20:F20"/>
    <mergeCell ref="G20:Q20"/>
    <mergeCell ref="A21:Q22"/>
    <mergeCell ref="O17:P17"/>
    <mergeCell ref="A18:P18"/>
    <mergeCell ref="A19:Q19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2021-03-12T12:55:44Z</cp:lastPrinted>
  <dcterms:created xsi:type="dcterms:W3CDTF">2020-07-17T23:44:49Z</dcterms:created>
  <dcterms:modified xsi:type="dcterms:W3CDTF">2021-08-12T12:59:29Z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