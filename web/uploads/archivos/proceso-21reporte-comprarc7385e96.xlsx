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341A0164-E866-4271-B595-26D344A39B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16" i="2" l="1"/>
  <c r="M16" i="2"/>
  <c r="Q16" i="2"/>
  <c r="U16" i="2"/>
  <c r="Y16" i="2"/>
  <c r="AC16" i="2"/>
</calcChain>
</file>

<file path=xl/sharedStrings.xml><?xml version="1.0" encoding="utf-8"?>
<sst xmlns="http://schemas.openxmlformats.org/spreadsheetml/2006/main" count="96" uniqueCount="61">
  <si>
    <t>Número expediente:</t>
  </si>
  <si>
    <t>EX-2022-00547895-   -CAT-SCA#MEC</t>
  </si>
  <si>
    <t>Número proceso de compra:</t>
  </si>
  <si>
    <t>100-0022-CPR22</t>
  </si>
  <si>
    <t>Nombre descriptivo proceso de compra:</t>
  </si>
  <si>
    <t>Adquisición de Equipos Informáticos destinados a distintas dependencias del Ministerio de Educación</t>
  </si>
  <si>
    <t>Unidad Operativa de Compras:</t>
  </si>
  <si>
    <t>Secretaria de Compras y Abastecimiento</t>
  </si>
  <si>
    <t>Fecha de Apertura:</t>
  </si>
  <si>
    <t>18/04/2022</t>
  </si>
  <si>
    <t>Renglón</t>
  </si>
  <si>
    <t>MDP SISTEMAS DIGITALES S.R.L.</t>
  </si>
  <si>
    <t>CORADIR S.A.</t>
  </si>
  <si>
    <t>YAMIL PACHA</t>
  </si>
  <si>
    <t>Juan Manuel Olveira Luraschi</t>
  </si>
  <si>
    <t>MIGUEL ANGEL MURO</t>
  </si>
  <si>
    <t>MARTIN ABEL LAGORIA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</si>
  <si>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</si>
  <si>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</si>
  <si>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</si>
  <si>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</si>
  <si>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</si>
  <si>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</si>
  <si>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</si>
  <si>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</si>
  <si>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</si>
  <si>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</si>
  <si>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4.3.6-6160.221 </t>
  </si>
  <si>
    <t xml:space="preserve">COMPUTADORAS; TIPO: DE ESCRITORIO, CODIGO ETAP: PC-002-00, VERSION ETAP: 23.0 
</t>
  </si>
  <si>
    <t xml:space="preserve">UNIDAD </t>
  </si>
  <si>
    <t xml:space="preserve">PC EXO READY D1-H2548L    10maGen - Intel® 
Pentium® Gold G6405  Linux Mint  4 GB DDR4 
| 2400 Mhz  HDD 500GB + DVD RW  
Chipset Intel® H510  Intel® HD Graphics  GLan / 
HDMI / VGA  GABINETE EXO WB-10 KIT Incluye Monitor 
EXO LED SW19VH2  </t>
  </si>
  <si>
    <t xml:space="preserve">Computadora Personal  </t>
  </si>
  <si>
    <t xml:space="preserve">MARCA PC: CX MODELO PC: CX73428 ESPECIFICACIONES CX SLIM 5835 
BLACK ALUM 600W USB 3.0 S/CR TECLADO CX SLIM WK-718 
TECLA CHOCOLATE USB MOUSE CX MEQ-037 RUBBER BLACK COLOR FINISH 
 USB    MB MSI S1200 H510M-A PRO 
BOX M-ATX PROCESADOR: CPU INTEL CORE I3-10100 S1200 TRAY SIN 
FAN COOLER CPU COOLER INTEL ALUMINUM FAN MEMORIA DDR4 4GB 
ALMACENAMIENTO: SSD 240 MONITOR 19 PHILIPS VGA HDMI VESA (193V5LHSB2/55) 
GARANTÍA: ACORDE AL PLIEGO </t>
  </si>
  <si>
    <t xml:space="preserve">COMPUTADORAS; TIPO: DE ESCRITORIO, CODIGO ETAP: PC-002-00, VERSION ETAP: 23.0. 
MARCA: GFAST </t>
  </si>
  <si>
    <t xml:space="preserve">computadora pc marca solarmax intel pentium dual core 4gb 500hdd 
</t>
  </si>
  <si>
    <t xml:space="preserve">2 </t>
  </si>
  <si>
    <t xml:space="preserve">4.3.6-6160.232 </t>
  </si>
  <si>
    <t xml:space="preserve">COMPUTADORAS; TIPO: ESCRITORIO, CODIGO ETAP: PC ESCRITORIO, VERSION ETAP: 25.0 
</t>
  </si>
  <si>
    <t xml:space="preserve">PC EXO READY D1-S3182L    10maGen - Intel® 
Core™ i3-10100  Linux Mint  RAM 8 GB DDR4 
| 2400 Mhz  SSD 256GB  Chipset Intel® H510 
 Intel® HD Graphics  GLan / HDMI / VGA 
 GABINETE EXO WB-10 KIT Incluye Monitor EXO LED SW19VH2 
</t>
  </si>
  <si>
    <t xml:space="preserve">Computadora Personal </t>
  </si>
  <si>
    <t xml:space="preserve">PC CX + MONITOR + PLACA DE RED (WIFI) MARCA 
PC: CX MODELO PC: CX73429 PC CX AMD RYZEN 5 
4650G+8G+SSD240 (MSI) GAB CX SLIM 5835 BLACK ALUM 600W USB 
3.0 S/CR TECLADO CX SLIM WK-718 TECLA CHOCOLATE USB MOUSE 
CX MEQ-037 RUBBER BLACK COLOR FINISH USB MB MSI AM4 
A520M-A PRO BOX M-ATX PROCESADOR: CPU AMD RYZEN 5 4650G 
PRO AM4 65W MPK MEMORIA: DDR4 8GB ALMACENAMIENTO: SSD 240GB 
PLACA RED PCI-E TP-LINK WN881ND 11N 300MBPS 2X2DBI MONITOR 19 
PHILIPS VGA HDMI VESA 193V5LHSB2/55  </t>
  </si>
  <si>
    <t xml:space="preserve">COMPUTADORAS; TIPO: ESCRITORIO, CODIGO ETAP: PC ESCRITORIO, VERSION ETAP: 25.0. 
MARCA: GFAST </t>
  </si>
  <si>
    <t xml:space="preserve">computadora pc cpu marca solarmax intel core i3 10ma 8gb 
240gb ssd monitor marca phillips 19¨ </t>
  </si>
  <si>
    <t xml:space="preserve">3 </t>
  </si>
  <si>
    <t xml:space="preserve">PC EXO READY D1-S5485L    10maGen - Intel® 
Core™ i5-10400  Linux Mint  RAM 16 GB DDR4 
| 2400 Mhz  SSD 512GB  Chipset Intel® H510 
 Intel® HD Graphics  GLan / HDMI / VGA 
 GABINETE EXO WB-10 KIT Incluye Monitor EXO LED SW19VH2 
</t>
  </si>
  <si>
    <t xml:space="preserve">PC CX + MONITOR + PLACA DE RED (WIFI) PC 
MARCA: CX PC MODELO: CX73387 PC GAMEMAX AMD 4700S+16G+SSD480G+VGA 2GB 
GAB GAMEMAX NOVA N5 MID-TOWER ATX 1*FAN RGB MB + 
CPU + MEMORIA AMD 4700S MINI ITX Rendimiento del CPU 
entre Ryzen 5 y Ryzen 7. Tiene 8 núcleos y 
16 hilos MEMORIA: Ram 16GB on board ALMACENAMIENTO: SSD 480GB 
FUENTE 500W GAMEMAX 80 PLUS BRONZE VP-500 FA PLACA DE 
VIDEO: VGA 2GB RX 550 POWER COLOR DDR5 LOW PROFILE 
MONITOR 19 PHILIPS VGA HDMI VESA 193V5LHSB2/55 PLACA RED PCI-E 
TP-LINK WN881ND 11N 300MBPS 2X2DBI MONITOR 19 PHILIPS VGA HDMI 
VESA 193V5LHSB2/55 GARANTÍA DE LOS PRODUCTOS: ACORDE AL PLIEGO </t>
  </si>
  <si>
    <t xml:space="preserve">computadora pc cpu solarmax intel core I5 10ma 16 gb 
480g ssd </t>
  </si>
  <si>
    <t xml:space="preserve">4 </t>
  </si>
  <si>
    <t xml:space="preserve">4.3.6-6170.58 </t>
  </si>
  <si>
    <t xml:space="preserve">DIG. DE IMAGENES/ESCANER; TIPO: ESTANDAR, CODIGO ETAP: SC-002, VERSION ETAP: 
22.0 </t>
  </si>
  <si>
    <t xml:space="preserve">Kodak Alaris i940 </t>
  </si>
  <si>
    <t xml:space="preserve">5 </t>
  </si>
  <si>
    <t xml:space="preserve">4.3.6-6161.113 </t>
  </si>
  <si>
    <t xml:space="preserve">IMPRESORAS; TIPO: IMPRESORA MULTIFUNCION, CODIGO ETAP: PR-010, VERSION ETAP: PRIMAVERA 
2006 V 13 </t>
  </si>
  <si>
    <t xml:space="preserve">Multifunción HP 2375 </t>
  </si>
  <si>
    <t xml:space="preserve">IMPRESORAS; TIPO: IMPRESORA MULTIFUNCION, MARCA CANON PIXMA G3110  </t>
  </si>
  <si>
    <t xml:space="preserve">6 </t>
  </si>
  <si>
    <t xml:space="preserve">4.3.6-6161.294 </t>
  </si>
  <si>
    <t xml:space="preserve">IMPRESORAS; TIPO: LASER MONOCROMATICA, CODIGO ETAP: PR-017, VERSION ETAP: 19.0 
</t>
  </si>
  <si>
    <t xml:space="preserve">IMPRESORAS; TIPO: LASER MONOCROMATICA, MARCA HP LASER MONO M107A USB 
4ZB77A-D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</si>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</sst>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6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6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16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16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S9:V16" totalsRowCount="1">
  <tableColumns count="4">
    <tableColumn id="1" xr3:uid="{00000000-0010-0000-0400-000001000000}" name="Precio unitario"/>
    <tableColumn id="2" xr3:uid="{00000000-0010-0000-0400-000002000000}" name="Cantidad ofertada"/>
    <tableColumn id="3" xr3:uid="{00000000-0010-0000-0400-000003000000}" name="Total por renglón" totalsRowFunction="sum"/>
    <tableColumn id="4" xr3:uid="{00000000-0010-0000-0400-000004000000}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W9:Z16" totalsRowCount="1">
  <tableColumns count="4">
    <tableColumn id="1" xr3:uid="{00000000-0010-0000-0500-000001000000}" name="Precio unitario"/>
    <tableColumn id="2" xr3:uid="{00000000-0010-0000-0500-000002000000}" name="Cantidad ofertada"/>
    <tableColumn id="3" xr3:uid="{00000000-0010-0000-0500-000003000000}" name="Total por renglón" totalsRowFunction="sum"/>
    <tableColumn id="4" xr3:uid="{00000000-0010-0000-0500-000004000000}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AA9:AD16" totalsRowCount="1">
  <tableColumns count="4">
    <tableColumn id="1" xr3:uid="{00000000-0010-0000-0600-000001000000}" name="Precio unitario"/>
    <tableColumn id="2" xr3:uid="{00000000-0010-0000-0600-000002000000}" name="Cantidad ofertada"/>
    <tableColumn id="3" xr3:uid="{00000000-0010-0000-0600-000003000000}" name="Total por renglón" totalsRowFunction="sum"/>
    <tableColumn id="4" xr3:uid="{00000000-0010-0000-06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88.140625" customWidth="1"/>
    <col min="5" max="5" width="90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5" customWidth="1"/>
    <col min="11" max="11" width="14.28515625" customWidth="1"/>
    <col min="12" max="12" width="17.28515625" customWidth="1"/>
    <col min="13" max="13" width="16.5703125" customWidth="1"/>
    <col min="14" max="14" width="21.42578125" customWidth="1"/>
    <col min="15" max="15" width="14.28515625" customWidth="1"/>
    <col min="16" max="16" width="17.28515625" customWidth="1"/>
    <col min="17" max="17" width="16.5703125" customWidth="1"/>
    <col min="18" max="18" width="75.140625" customWidth="1"/>
    <col min="19" max="19" width="14.28515625" customWidth="1"/>
    <col min="20" max="20" width="17.28515625" customWidth="1"/>
    <col min="21" max="21" width="16.5703125" customWidth="1"/>
    <col min="22" max="22" width="78.5703125" customWidth="1"/>
    <col min="23" max="23" width="14.28515625" customWidth="1"/>
    <col min="24" max="24" width="17.28515625" customWidth="1"/>
    <col min="25" max="25" width="16.5703125" customWidth="1"/>
    <col min="26" max="26" width="60.7109375" customWidth="1"/>
    <col min="27" max="27" width="14.28515625" customWidth="1"/>
    <col min="28" max="28" width="17.28515625" customWidth="1"/>
    <col min="29" max="29" width="16.5703125" customWidth="1"/>
    <col min="30" max="30" width="74.28515625" customWidth="1"/>
  </cols>
  <sheetData>
    <row r="1" spans="1:30" x14ac:dyDescent="0.25">
      <c r="D1" s="2" t="s">
        <v>0</v>
      </c>
      <c r="E1" s="2" t="s">
        <v>1</v>
      </c>
    </row>
    <row r="2" spans="1:30" x14ac:dyDescent="0.25">
      <c r="D2" s="2" t="s">
        <v>2</v>
      </c>
      <c r="E2" s="2" t="s">
        <v>3</v>
      </c>
    </row>
    <row r="3" spans="1:30" x14ac:dyDescent="0.25">
      <c r="D3" s="2" t="s">
        <v>4</v>
      </c>
      <c r="E3" s="2" t="s">
        <v>5</v>
      </c>
    </row>
    <row r="4" spans="1:30" x14ac:dyDescent="0.25">
      <c r="D4" s="2" t="s">
        <v>6</v>
      </c>
      <c r="E4" s="2" t="s">
        <v>7</v>
      </c>
    </row>
    <row r="5" spans="1:30" x14ac:dyDescent="0.25">
      <c r="D5" s="2" t="s">
        <v>8</v>
      </c>
      <c r="E5" s="2" t="s">
        <v>9</v>
      </c>
    </row>
    <row r="8" spans="1:3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</row>
    <row r="9" spans="1:30" x14ac:dyDescent="0.25">
      <c r="A9" t="s">
        <v>10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s="3" t="s">
        <v>22</v>
      </c>
      <c r="H9" s="3" t="s">
        <v>23</v>
      </c>
      <c r="I9" t="s">
        <v>24</v>
      </c>
      <c r="J9" t="s">
        <v>25</v>
      </c>
      <c r="K9" s="3" t="s">
        <v>22</v>
      </c>
      <c r="L9" s="3" t="s">
        <v>23</v>
      </c>
      <c r="M9" t="s">
        <v>24</v>
      </c>
      <c r="N9" t="s">
        <v>25</v>
      </c>
      <c r="O9" s="3" t="s">
        <v>22</v>
      </c>
      <c r="P9" s="3" t="s">
        <v>23</v>
      </c>
      <c r="Q9" t="s">
        <v>24</v>
      </c>
      <c r="R9" t="s">
        <v>25</v>
      </c>
      <c r="S9" s="3" t="s">
        <v>22</v>
      </c>
      <c r="T9" s="3" t="s">
        <v>23</v>
      </c>
      <c r="U9" t="s">
        <v>24</v>
      </c>
      <c r="V9" t="s">
        <v>25</v>
      </c>
      <c r="W9" s="3" t="s">
        <v>22</v>
      </c>
      <c r="X9" s="3" t="s">
        <v>23</v>
      </c>
      <c r="Y9" t="s">
        <v>24</v>
      </c>
      <c r="Z9" t="s">
        <v>25</v>
      </c>
      <c r="AA9" s="3" t="s">
        <v>22</v>
      </c>
      <c r="AB9" s="3" t="s">
        <v>23</v>
      </c>
      <c r="AC9" t="s">
        <v>24</v>
      </c>
      <c r="AD9" t="s">
        <v>25</v>
      </c>
    </row>
    <row r="10" spans="1:30" ht="135" x14ac:dyDescent="0.25">
      <c r="A10" t="s">
        <v>26</v>
      </c>
      <c r="B10" t="s">
        <v>26</v>
      </c>
      <c r="C10" t="s">
        <v>27</v>
      </c>
      <c r="D10" s="4" t="s">
        <v>28</v>
      </c>
      <c r="E10">
        <v>50</v>
      </c>
      <c r="F10" t="s">
        <v>29</v>
      </c>
      <c r="G10" s="3">
        <v>79950</v>
      </c>
      <c r="H10" s="3">
        <v>50</v>
      </c>
      <c r="I10" s="5">
        <v>3997500</v>
      </c>
      <c r="J10" s="4" t="s">
        <v>30</v>
      </c>
      <c r="K10" s="3">
        <v>91237</v>
      </c>
      <c r="L10" s="3">
        <v>50</v>
      </c>
      <c r="M10" s="5">
        <v>4561850</v>
      </c>
      <c r="N10" t="s">
        <v>31</v>
      </c>
      <c r="O10" s="3">
        <v>87999</v>
      </c>
      <c r="P10" s="3">
        <v>50</v>
      </c>
      <c r="Q10" s="5">
        <v>4399950</v>
      </c>
      <c r="R10" s="4" t="s">
        <v>32</v>
      </c>
      <c r="S10" s="3">
        <v>100921</v>
      </c>
      <c r="T10" s="3">
        <v>50</v>
      </c>
      <c r="U10" s="5">
        <v>5046050</v>
      </c>
      <c r="V10" s="4" t="s">
        <v>33</v>
      </c>
      <c r="W10" s="3">
        <v>84922</v>
      </c>
      <c r="X10" s="3">
        <v>50</v>
      </c>
      <c r="Y10" s="5">
        <v>4246100</v>
      </c>
      <c r="Z10" s="4" t="s">
        <v>34</v>
      </c>
      <c r="AA10" s="3"/>
      <c r="AB10" s="3"/>
      <c r="AC10" s="5"/>
    </row>
    <row r="11" spans="1:30" ht="135" x14ac:dyDescent="0.25">
      <c r="A11" t="s">
        <v>35</v>
      </c>
      <c r="B11" t="s">
        <v>26</v>
      </c>
      <c r="C11" t="s">
        <v>36</v>
      </c>
      <c r="D11" s="4" t="s">
        <v>37</v>
      </c>
      <c r="E11">
        <v>25</v>
      </c>
      <c r="F11" t="s">
        <v>29</v>
      </c>
      <c r="G11" s="3">
        <v>91200</v>
      </c>
      <c r="H11" s="3">
        <v>25</v>
      </c>
      <c r="I11" s="5">
        <v>2280000</v>
      </c>
      <c r="J11" s="4" t="s">
        <v>38</v>
      </c>
      <c r="K11" s="3">
        <v>99989</v>
      </c>
      <c r="L11" s="3">
        <v>25</v>
      </c>
      <c r="M11" s="5">
        <v>2499725</v>
      </c>
      <c r="N11" t="s">
        <v>39</v>
      </c>
      <c r="O11" s="3">
        <v>117134</v>
      </c>
      <c r="P11" s="3">
        <v>25</v>
      </c>
      <c r="Q11" s="5">
        <v>2928350</v>
      </c>
      <c r="R11" s="4" t="s">
        <v>40</v>
      </c>
      <c r="S11" s="3">
        <v>136475</v>
      </c>
      <c r="T11" s="3">
        <v>25</v>
      </c>
      <c r="U11" s="5">
        <v>3411875</v>
      </c>
      <c r="V11" s="4" t="s">
        <v>41</v>
      </c>
      <c r="W11" s="3">
        <v>101213</v>
      </c>
      <c r="X11" s="3">
        <v>25</v>
      </c>
      <c r="Y11" s="5">
        <v>2530325</v>
      </c>
      <c r="Z11" s="4" t="s">
        <v>42</v>
      </c>
      <c r="AA11" s="3"/>
      <c r="AB11" s="3"/>
      <c r="AC11" s="5"/>
    </row>
    <row r="12" spans="1:30" ht="180" x14ac:dyDescent="0.25">
      <c r="A12" t="s">
        <v>43</v>
      </c>
      <c r="B12" t="s">
        <v>26</v>
      </c>
      <c r="C12" t="s">
        <v>36</v>
      </c>
      <c r="D12" s="4" t="s">
        <v>37</v>
      </c>
      <c r="E12">
        <v>5</v>
      </c>
      <c r="F12" t="s">
        <v>29</v>
      </c>
      <c r="G12" s="3">
        <v>113200</v>
      </c>
      <c r="H12" s="3">
        <v>5</v>
      </c>
      <c r="I12" s="5">
        <v>566000</v>
      </c>
      <c r="J12" s="4" t="s">
        <v>44</v>
      </c>
      <c r="K12" s="3">
        <v>144857</v>
      </c>
      <c r="L12" s="3">
        <v>5</v>
      </c>
      <c r="M12" s="5">
        <v>724285</v>
      </c>
      <c r="N12" t="s">
        <v>39</v>
      </c>
      <c r="O12" s="3">
        <v>120563</v>
      </c>
      <c r="P12" s="3">
        <v>5</v>
      </c>
      <c r="Q12" s="5">
        <v>602815</v>
      </c>
      <c r="R12" s="4" t="s">
        <v>45</v>
      </c>
      <c r="S12" s="3"/>
      <c r="T12" s="3"/>
      <c r="U12" s="5"/>
      <c r="W12" s="3">
        <v>129497</v>
      </c>
      <c r="X12" s="3">
        <v>5</v>
      </c>
      <c r="Y12" s="5">
        <v>647485</v>
      </c>
      <c r="Z12" s="4" t="s">
        <v>46</v>
      </c>
      <c r="AA12" s="3"/>
      <c r="AB12" s="3"/>
      <c r="AC12" s="5"/>
    </row>
    <row r="13" spans="1:30" ht="30" x14ac:dyDescent="0.25">
      <c r="A13" t="s">
        <v>47</v>
      </c>
      <c r="B13" t="s">
        <v>26</v>
      </c>
      <c r="C13" t="s">
        <v>48</v>
      </c>
      <c r="D13" s="4" t="s">
        <v>49</v>
      </c>
      <c r="E13">
        <v>20</v>
      </c>
      <c r="F13" t="s">
        <v>29</v>
      </c>
      <c r="G13" s="3"/>
      <c r="H13" s="3"/>
      <c r="I13" s="5"/>
      <c r="K13" s="3"/>
      <c r="L13" s="3"/>
      <c r="M13" s="5"/>
      <c r="O13" s="3"/>
      <c r="P13" s="3"/>
      <c r="Q13" s="5"/>
      <c r="S13" s="3">
        <v>47365</v>
      </c>
      <c r="T13" s="3">
        <v>20</v>
      </c>
      <c r="U13" s="5">
        <v>947300</v>
      </c>
      <c r="V13" t="s">
        <v>50</v>
      </c>
      <c r="W13" s="3"/>
      <c r="X13" s="3"/>
      <c r="Y13" s="5"/>
      <c r="AA13" s="3"/>
      <c r="AB13" s="3"/>
      <c r="AC13" s="5"/>
    </row>
    <row r="14" spans="1:30" ht="45" x14ac:dyDescent="0.25">
      <c r="A14" t="s">
        <v>51</v>
      </c>
      <c r="B14" t="s">
        <v>26</v>
      </c>
      <c r="C14" t="s">
        <v>52</v>
      </c>
      <c r="D14" s="4" t="s">
        <v>53</v>
      </c>
      <c r="E14">
        <v>50</v>
      </c>
      <c r="F14" t="s">
        <v>29</v>
      </c>
      <c r="G14" s="3"/>
      <c r="H14" s="3"/>
      <c r="I14" s="5"/>
      <c r="K14" s="3"/>
      <c r="L14" s="3"/>
      <c r="M14" s="5"/>
      <c r="O14" s="3"/>
      <c r="P14" s="3"/>
      <c r="Q14" s="5"/>
      <c r="S14" s="3">
        <v>15505</v>
      </c>
      <c r="T14" s="3">
        <v>50</v>
      </c>
      <c r="U14" s="5">
        <v>775250</v>
      </c>
      <c r="V14" t="s">
        <v>54</v>
      </c>
      <c r="W14" s="3"/>
      <c r="X14" s="3"/>
      <c r="Y14" s="5"/>
      <c r="AA14" s="3">
        <v>49990</v>
      </c>
      <c r="AB14" s="3">
        <v>50</v>
      </c>
      <c r="AC14" s="5">
        <v>2499500</v>
      </c>
      <c r="AD14" t="s">
        <v>55</v>
      </c>
    </row>
    <row r="15" spans="1:30" ht="45" x14ac:dyDescent="0.25">
      <c r="A15" t="s">
        <v>56</v>
      </c>
      <c r="B15" t="s">
        <v>26</v>
      </c>
      <c r="C15" t="s">
        <v>57</v>
      </c>
      <c r="D15" s="4" t="s">
        <v>58</v>
      </c>
      <c r="E15">
        <v>50</v>
      </c>
      <c r="F15" t="s">
        <v>29</v>
      </c>
      <c r="G15" s="3"/>
      <c r="H15" s="3"/>
      <c r="I15" s="5"/>
      <c r="K15" s="3"/>
      <c r="L15" s="3"/>
      <c r="M15" s="5"/>
      <c r="O15" s="3"/>
      <c r="P15" s="3"/>
      <c r="Q15" s="5"/>
      <c r="S15" s="3"/>
      <c r="T15" s="3"/>
      <c r="U15" s="5"/>
      <c r="W15" s="3"/>
      <c r="X15" s="3"/>
      <c r="Y15" s="5"/>
      <c r="AA15" s="3">
        <v>39990</v>
      </c>
      <c r="AB15" s="3">
        <v>50</v>
      </c>
      <c r="AC15" s="5">
        <v>1999500</v>
      </c>
      <c r="AD15" s="4" t="s">
        <v>59</v>
      </c>
    </row>
    <row r="16" spans="1:30" x14ac:dyDescent="0.25">
      <c r="C16" t="s">
        <v>60</v>
      </c>
      <c r="D16" s="4"/>
      <c r="G16" s="3"/>
      <c r="H16" s="3"/>
      <c r="I16" s="5">
        <f>SUBTOTAL(109,Table2[Total por renglón])</f>
        <v>6843500</v>
      </c>
      <c r="K16" s="3"/>
      <c r="L16" s="3"/>
      <c r="M16" s="5">
        <f>SUBTOTAL(109,Table3[Total por renglón])</f>
        <v>7785860</v>
      </c>
      <c r="O16" s="3"/>
      <c r="P16" s="3"/>
      <c r="Q16" s="5">
        <f>SUBTOTAL(109,Table4[Total por renglón])</f>
        <v>7931115</v>
      </c>
      <c r="S16" s="3"/>
      <c r="T16" s="3"/>
      <c r="U16" s="5">
        <f>SUBTOTAL(109,Table5[Total por renglón])</f>
        <v>10180475</v>
      </c>
      <c r="W16" s="3"/>
      <c r="X16" s="3"/>
      <c r="Y16" s="5">
        <f>SUBTOTAL(109,Table6[Total por renglón])</f>
        <v>7423910</v>
      </c>
      <c r="AA16" s="3"/>
      <c r="AB16" s="3"/>
      <c r="AC16" s="5">
        <f>SUBTOTAL(109,Table7[Total por renglón])</f>
        <v>4499000</v>
      </c>
      <c r="AD16" s="4"/>
    </row>
  </sheetData>
  <mergeCells count="7">
    <mergeCell ref="AA8:AD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2022-04-18T16:17:08Z</dcterms:created>
  <dcterms:modified xsi:type="dcterms:W3CDTF">2022-04-18T16:17:35Z</dcterms:modified>
</cp:coreProperties>
</file>