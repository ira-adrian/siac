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istema genitourinario y hormonas\salud\"/>
    </mc:Choice>
  </mc:AlternateContent>
  <xr:revisionPtr revIDLastSave="0" documentId="13_ncr:1_{4BBE6E7D-1AD6-49DE-8C6C-885EBED76F20}" xr6:coauthVersionLast="47" xr6:coauthVersionMax="47" xr10:uidLastSave="{00000000-0000-0000-0000-000000000000}"/>
  <bookViews>
    <workbookView xWindow="-120" yWindow="-120" windowWidth="29040" windowHeight="15840" tabRatio="628" activeTab="1" xr2:uid="{00000000-000D-0000-FFFF-FFFF00000000}"/>
  </bookViews>
  <sheets>
    <sheet name="Necesidades Trimestrales" sheetId="1" r:id="rId1"/>
    <sheet name=" NotaPedido DPFARMACIA" sheetId="2" r:id="rId2"/>
    <sheet name="Autor Gastar DPFARMACIA" sheetId="3" r:id="rId3"/>
    <sheet name=" NotaPedido DPSAME" sheetId="4" r:id="rId4"/>
    <sheet name="Autor Gastar DPSAME" sheetId="5" r:id="rId5"/>
    <sheet name=" NotaPedido DPMIA" sheetId="6" r:id="rId6"/>
    <sheet name="Autor Gastar DPMIA" sheetId="7" r:id="rId7"/>
  </sheets>
  <definedNames>
    <definedName name="_xlnm._FilterDatabase" localSheetId="1" hidden="1">' NotaPedido DPFARMACIA'!$A$10:$AMK$42</definedName>
    <definedName name="_xlnm._FilterDatabase" localSheetId="5" hidden="1">' NotaPedido DPMIA'!$A$10:$AMK$18</definedName>
    <definedName name="_xlnm._FilterDatabase" localSheetId="3" hidden="1">' NotaPedido DPSAME'!$A$10:$AMK$15</definedName>
    <definedName name="_xlnm._FilterDatabase" localSheetId="0" hidden="1">'Necesidades Trimestrales'!$A$9:$J$40</definedName>
    <definedName name="_xlnm.Print_Area" localSheetId="1">' NotaPedido DPFARMACIA'!$A$1:$L$42</definedName>
    <definedName name="_xlnm.Print_Area" localSheetId="5">' NotaPedido DPMIA'!$A$1:$L$18</definedName>
    <definedName name="_xlnm.Print_Area" localSheetId="3">' NotaPedido DPSAME'!$A$1:$L$15</definedName>
    <definedName name="_xlnm.Print_Area" localSheetId="2">'Autor Gastar DPFARMACIA'!$A$1:$Q$27</definedName>
    <definedName name="_xlnm.Print_Area" localSheetId="6">'Autor Gastar DPMIA'!$A$1:$Q$27</definedName>
    <definedName name="_xlnm.Print_Area" localSheetId="4">'Autor Gastar DPSAME'!$A$1:$Q$27</definedName>
    <definedName name="_xlnm.Print_Area" localSheetId="0">'Necesidades Trimestrales'!#REF!</definedName>
  </definedNames>
  <calcPr calcId="181029"/>
</workbook>
</file>

<file path=xl/calcChain.xml><?xml version="1.0" encoding="utf-8"?>
<calcChain xmlns="http://schemas.openxmlformats.org/spreadsheetml/2006/main">
  <c r="K12" i="6" l="1"/>
  <c r="K13" i="6"/>
  <c r="K14" i="6"/>
  <c r="K15" i="6"/>
  <c r="K16" i="6"/>
  <c r="K12" i="4"/>
  <c r="K13" i="4"/>
  <c r="A26" i="7"/>
  <c r="A10" i="7"/>
  <c r="G7" i="7"/>
  <c r="G6" i="7"/>
  <c r="D1" i="7"/>
  <c r="J16" i="6"/>
  <c r="I16" i="6"/>
  <c r="C16" i="6"/>
  <c r="B16" i="6"/>
  <c r="J15" i="6"/>
  <c r="I15" i="6"/>
  <c r="C15" i="6"/>
  <c r="B15" i="6"/>
  <c r="J14" i="6"/>
  <c r="I14" i="6"/>
  <c r="C14" i="6"/>
  <c r="B14" i="6"/>
  <c r="J13" i="6"/>
  <c r="I13" i="6"/>
  <c r="C13" i="6"/>
  <c r="B13" i="6"/>
  <c r="J12" i="6"/>
  <c r="I12" i="6"/>
  <c r="C12" i="6"/>
  <c r="B12" i="6"/>
  <c r="C4" i="6"/>
  <c r="G5" i="7" s="1"/>
  <c r="C3" i="6"/>
  <c r="G4" i="7" s="1"/>
  <c r="A26" i="5"/>
  <c r="A10" i="5"/>
  <c r="G7" i="5"/>
  <c r="G6" i="5"/>
  <c r="D1" i="5"/>
  <c r="J13" i="4"/>
  <c r="I13" i="4"/>
  <c r="C13" i="4"/>
  <c r="B13" i="4"/>
  <c r="J12" i="4"/>
  <c r="I12" i="4"/>
  <c r="C12" i="4"/>
  <c r="B12" i="4"/>
  <c r="C4" i="4"/>
  <c r="G5" i="5" s="1"/>
  <c r="C3" i="4"/>
  <c r="G4" i="5" s="1"/>
  <c r="A26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12" i="2"/>
  <c r="J18" i="6" l="1"/>
  <c r="Q23" i="7" s="1"/>
  <c r="J15" i="4"/>
  <c r="Q15" i="5" s="1"/>
  <c r="Q23" i="5" s="1"/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9" i="2"/>
  <c r="I30" i="2"/>
  <c r="I31" i="2"/>
  <c r="I32" i="2"/>
  <c r="I33" i="2"/>
  <c r="I34" i="2"/>
  <c r="I36" i="2"/>
  <c r="I37" i="2"/>
  <c r="I38" i="2"/>
  <c r="I39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I3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15" i="2"/>
  <c r="I28" i="2"/>
  <c r="I35" i="2"/>
  <c r="I40" i="2"/>
  <c r="I41" i="1" l="1"/>
  <c r="J42" i="2"/>
  <c r="Q15" i="3" s="1"/>
  <c r="Q23" i="3" s="1"/>
  <c r="A10" i="3" l="1"/>
  <c r="G6" i="3" l="1"/>
  <c r="G7" i="3"/>
  <c r="C3" i="2"/>
  <c r="G4" i="3" s="1"/>
  <c r="C4" i="2"/>
  <c r="G5" i="3" s="1"/>
  <c r="D1" i="3" l="1"/>
</calcChain>
</file>

<file path=xl/sharedStrings.xml><?xml version="1.0" encoding="utf-8"?>
<sst xmlns="http://schemas.openxmlformats.org/spreadsheetml/2006/main" count="349" uniqueCount="160">
  <si>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</si>
  <si>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</si>
  <si>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</si>
  <si>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</si>
  <si>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</si>
  <si>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</si>
  <si>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</si>
  <si>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</si>
  <si>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</si>
  <si>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</si>
  <si>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</si>
  <si>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</si>
  <si>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</si>
  <si>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</si>
  <si>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</si>
  <si>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</si>
  <si>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</si>
  <si>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</si>
  <si>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</si>
  <si>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</si>
  <si>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</si>
  <si>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</si>
  <si>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</si>
  <si>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</si>
  <si>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</si>
  <si>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</si>
  <si>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</si>
  <si>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</si>
  <si>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</si>
  <si>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</si>
  <si>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</si>
  <si>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</si>
  <si>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</si>
  <si>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</si>
  <si>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</si>
  <si>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</si>
  <si>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</si>
  <si>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</si>
  <si>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</si>
  <si>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</si>
  <si>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</si>
  <si>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</si>
  <si>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</si>
  <si>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</si>
  <si>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</si>
  <si>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</si>
  <si>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</si>
  <si>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</si>
  <si>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</si>
  <si>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</si>
  <si>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</si>
  <si>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</si>
  <si>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</si>
  <si>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Cuatrimestral</t>
  </si>
  <si>
    <t>COMPRIMIDO</t>
  </si>
  <si>
    <t>FRASCO</t>
  </si>
  <si>
    <t>TABLETAS</t>
  </si>
  <si>
    <t>ENVASE</t>
  </si>
  <si>
    <t>AMPOLLA</t>
  </si>
  <si>
    <t>UNIDAD</t>
  </si>
  <si>
    <t>GOTERO</t>
  </si>
  <si>
    <t>CAJA</t>
  </si>
  <si>
    <t>Adquisición de TERAPIA DERMATOLOGICA/SISTEMA GENITOURINARIO Y HORMONAS SEXUALES /HORMONAS SISTEMICAS /CORTICOIDES SISTEMICOS/RESPIRATORIO/ANTIHISTAMINICOS</t>
  </si>
  <si>
    <t>2.5.2-1855.83</t>
  </si>
  <si>
    <t>2.5.2-2476.50</t>
  </si>
  <si>
    <t>2.5.2-1902.14</t>
  </si>
  <si>
    <t>2.5.2-1855.7</t>
  </si>
  <si>
    <t>2.5.2-2476.74</t>
  </si>
  <si>
    <t>2.5.2-2476.36</t>
  </si>
  <si>
    <t>2.5.2-2476.44</t>
  </si>
  <si>
    <t>2.5.2-1853.4</t>
  </si>
  <si>
    <t>2.5.2-1855.47</t>
  </si>
  <si>
    <t>2.5.2-1855.77</t>
  </si>
  <si>
    <t>2.5.2-1875.9</t>
  </si>
  <si>
    <t>2.5.2-1902.10</t>
  </si>
  <si>
    <t>2.5.2-2476.12</t>
  </si>
  <si>
    <t>2.5.2-2476.3</t>
  </si>
  <si>
    <t>2.5.2-1850.6</t>
  </si>
  <si>
    <t>2.5.2-2200.4</t>
  </si>
  <si>
    <t>2.5.2-2200.19</t>
  </si>
  <si>
    <t>2.5.2-1855.105</t>
  </si>
  <si>
    <t>2.5.2-1821.487</t>
  </si>
  <si>
    <t>2.5.2-1723.122</t>
  </si>
  <si>
    <t>2.5.2-1853.2</t>
  </si>
  <si>
    <t>CORTICOESTEROIDES; TIPO: ASOCIACION, DROGA GENERICA: BETAMETASONA ACETATO+FOSFATO, FORMA FARMACEUTICA: AMPOLLA, PRESENTACION: ENVASE X 2 mL</t>
  </si>
  <si>
    <t>ANTIALERGICOS-ANTIHISTAMINICOS; TIPO: MONODROGA, DROGA GENERICA: BUDESONIDA 1 MG/ML, FORMA FARMACEUTICA: GOTAS, PRESENTACION: ENVASE X 20 mL</t>
  </si>
  <si>
    <t>CORTICOESTEROIDES; TIPO: MONODROGA, DROGA GENERICA: DEXAMETASONA, FORMA FARMACEUTICA: AMPOLLA, PRESENTACION: 8 mGr</t>
  </si>
  <si>
    <t>ANTIALERGICOS-ANTIHISTAMINICOS; TIPO: MONODROGA, DROGA GENERICA: DIFENHIDRAMINA 250 MG, FORMA FARMACEUTICA: JARABE, PRESENTACION: FRASCO X 120 mL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</si>
  <si>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</si>
  <si>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</si>
  <si>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</si>
  <si>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</si>
  <si>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</si>
  <si>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</si>
  <si>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</si>
  <si>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ANTIALERGICOS-ANTIHISTAMINICOS; TIPO: MONODROGA, DROGA GENERICA: LORATADINA, FORMA FARMACEUTICA: COMPRIMIDO, PRESENTACION: 10 mGr</t>
  </si>
  <si>
    <t>ANTIALERGICOS-ANTIHISTAMINICOS; TIPO: ASOCIACION, DROGA GENERICA: LORATADINA, FORMA FARMACEUTICA: JARABE, PRESENTACION: 60 mL</t>
  </si>
  <si>
    <t>GESTAGENO; TIPO: MONODROGA, DROGA GENERICA: MEDROXIPROGESTERONA, FORMA FARMACEUTICA: AMPOLLA, PRESENTACION: 150 mGr</t>
  </si>
  <si>
    <t>CORTICOIDES; DROGA GENERICA: MEPREDNISONA, FORMA FARMACEUTICA: COMPRIMIDO, PRESENTACION: 4 mGr,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</si>
  <si>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</si>
  <si>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</si>
  <si>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ANTISEPTICOS LOCALES P/PERSONA; TIPO: MONODROGA, DROGA GENERICA: NITROFURAZONA, FORMA FARMACEUTICA: APOSITO, PRESENTACION: ENVASE X 20 UN</t>
  </si>
  <si>
    <t>OCITOCICOS; TIPO: MONODROGA, DROGA GENERICA: OXITOCINA SINTÉTICA, PRESENTACION: 10 UI, FORMA FARMACEUTICA: AMPOLLA</t>
  </si>
  <si>
    <t>PROD. MEDICO/FARMACEUTICOS/LAB</t>
  </si>
  <si>
    <t>CORTICOIDES; DROGA GENERICA: MEPREDNISONA, FORMA FARMACEUTICA: COMPRIMIDO, PRESENTACION: 40 mGr, TIPO: MONODROGA</t>
  </si>
  <si>
    <t>ANTIVIRALES; TIPO: MONODROGA, DROGA GENERICA: ACICLOVIR 5 %, FORMA FARMACEUTICA: CREMA, PRESENTACION: ENVASE X 5 GR</t>
  </si>
  <si>
    <t>2.5.2-1829.25</t>
  </si>
  <si>
    <t>APOSITOS; TIPO: HIDROCOLOIDE, TAMAÑO: 10 X 10 Cm</t>
  </si>
  <si>
    <t>2.9.5-427.39</t>
  </si>
  <si>
    <t>2.5.2-1875.74</t>
  </si>
  <si>
    <t>LAXANTES; TIPO: MONODROGA, DROGA GENERICA: VASELINA, FORMA FARMACEUTICA: SOLIDO, PRESENTACION: 1000 GR</t>
  </si>
  <si>
    <t>2.5.2-2481.3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</si>
  <si>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</si>
  <si>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</si>
  <si>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</si>
  <si>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</si>
  <si>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ANTIASMATICO BRONCODILATADOR; TIPO: MONODROGA, DROGA GENERICA: AMINOFILINA 240MGR, FORMA FARMACEUTICA: AMPOLLA, PRESENTACION: ENVASE X 10 ML</t>
  </si>
  <si>
    <t>ANTIASMATICO BRONCODILATADOR; TIPO: MONODROGA, DROGA GENERICA: BUDESONIDE 200 µGR, FORMA FARMACEUTICA: AEROSOL, PRESENTACION: 100 DOSIS</t>
  </si>
  <si>
    <t>2.5.2-1875.134</t>
  </si>
  <si>
    <t>DROGAS UTERINAS; TIPO: MONODROGA, DROGA GENERICA: CARBETOCIN 100 MCG, FORMA FARMACEUTICA: AMPOLLA, PRESENTACION: UNIDAD</t>
  </si>
  <si>
    <t>2.5.2-9051.3</t>
  </si>
  <si>
    <t>CORTICOIDES; DROGA GENÉRICA: MEPREDNISONA 4 ML/MG, FORMA FARMACEÚTICA: GOTAS</t>
  </si>
  <si>
    <t>2.5.2-2200.41</t>
  </si>
  <si>
    <t>ANESTÉSICOS LOCALES; TIPO: ANALGÉSICO LOCAL Y ANTIBACTERIANO, DROGA GENÉRICA: LIDOCAÍNA + SULFADIAZINA + VITAMINA A, FORMA FARMACEÚTICA: CREMA, PRESENTACIÓN: ENVASE X 100 GR</t>
  </si>
  <si>
    <t>2.5.2-1883.189</t>
  </si>
  <si>
    <t>QUIMICOS</t>
  </si>
  <si>
    <t>LINIMENTOS; NOMBRE DEL PRODUCTO: OLEO CALCAREO, CALIDAD: MEDICINAL, PRESENTACION: ENVASE X 250 CM3</t>
  </si>
  <si>
    <t>SI</t>
  </si>
  <si>
    <t>Calidad Minima esperada:</t>
  </si>
  <si>
    <t>DESCRIPCION</t>
  </si>
  <si>
    <t>011 - DIRECCION PROVINCIAL DE ADMINISTRACION - MS</t>
  </si>
  <si>
    <t>040 - MINISTERIO DE SALUD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</si>
  <si>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</si>
  <si>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</si>
  <si>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</si>
  <si>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</si>
  <si>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</si>
  <si>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</si>
  <si>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</si>
  <si>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</si>
  <si>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Ítem 29: Con AEROCAMARA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</si>
  <si>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D.P. DE FARMACIA E INSUMOS DE 08:00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</si>
  <si>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VEINTE (20) DIAS HABILES</t>
    </r>
  </si>
  <si>
    <t>TOTAL RUBRO</t>
  </si>
  <si>
    <t>469 - DIRECCION PROVINCIAL DE FARMACIA E INSUMOS</t>
  </si>
  <si>
    <t>Costo total estimado: TREINTA MILLONES VEINTIOCHO MIL QUINIENTOS SESENTA Y DOS con 00/100.</t>
  </si>
  <si>
    <t xml:space="preserve"> 17/2022</t>
  </si>
  <si>
    <t>748 - DIRECCION PROVINCIAL SISTEMA DE ATENCION MEDICA DE EMERGENCIA</t>
  </si>
  <si>
    <t xml:space="preserve"> 14/2022</t>
  </si>
  <si>
    <t>PRODUCTOS FARMACEUTICOS Y MEDICINALES</t>
  </si>
  <si>
    <t>TOTAL DE PESOS: TREINTA MILLONES VEINTIOCHO MIL QUINIENTOS SESENTA Y DOS con 00/100.</t>
  </si>
  <si>
    <t>Costo total estimado: CIENTO SEIS MIL OCHOCIENTOS con 00/100.</t>
  </si>
  <si>
    <t>TOTAL DE PESOS: CIENTO SEIS MIL OCHOCIENTOS con 00/100.</t>
  </si>
  <si>
    <t xml:space="preserve"> 04/2022</t>
  </si>
  <si>
    <t>162 - DIRECCION PROVINCIAL MATERNIDAD, INFANCIA Y ADOLESCENCIA</t>
  </si>
  <si>
    <t>TOTAL DE PESOS: NUEVE MILLONES CUATROCIENTOS TRES MIL CIENTO TREINTA con 00/100.</t>
  </si>
  <si>
    <t>Costo total estimado: NUEVE MILLONES CUATROCIENTOS TRES MIL CIENTO TREINTA con 00/100.</t>
  </si>
  <si>
    <t>ITEM 9 (400 un.), 15 (400 un.) - DIR. PROV. SAME - CASEROS N° 864 - en el horario de 8:00hs a 12:00hs de lunes a viernes</t>
  </si>
  <si>
    <t>ITEM 5 (500 un.), 8, 13 (100 un.), 17 (500 un.), 21 - DIR. PROV. MATERNIDAD, INFANCIA Y ADOLESCENCIA - CHACABUCO N° 169 - en el horario de 8:00hs a 12:00hs de lunes a viernes</t>
  </si>
  <si>
    <t>ITEM 1, 2, 3, 4, 5 (20.000 un.), 6, 7, 9 (90.000 un.), 10, 11, 12, 13, 14, 15 (2.000 un.), 16, 17 (3.000 un.), 18, 19, 20, 22, 23, 24, 25, 26, 27, 28, 29, 30, 31 - DIR. PROV. DE FARMACIA - CHACABUCO N° 169 - en el horario de 8:00hs a 12:00hs de lunes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</si>
</sst>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_-[$$-2C0A]\ * #,##0.00_-;\-[$$-2C0A]\ * #,##0.00_-;_-[$$-2C0A]\ * &quot;-&quot;??_-;_-@_-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22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7" fillId="0" borderId="14" xfId="0" applyNumberFormat="1" applyFont="1" applyFill="1" applyBorder="1" applyAlignment="1">
      <alignment horizontal="center" vertical="center"/>
    </xf>
    <xf numFmtId="44" fontId="17" fillId="0" borderId="14" xfId="1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left" vertical="center" wrapText="1"/>
    </xf>
    <xf numFmtId="44" fontId="30" fillId="0" borderId="14" xfId="8" applyNumberFormat="1" applyFont="1" applyFill="1" applyBorder="1" applyAlignment="1">
      <alignment horizontal="left" vertical="center"/>
    </xf>
    <xf numFmtId="0" fontId="17" fillId="0" borderId="14" xfId="0" applyFont="1" applyFill="1" applyBorder="1" applyAlignment="1">
      <alignment vertical="center" wrapText="1"/>
    </xf>
    <xf numFmtId="0" fontId="18" fillId="0" borderId="0" xfId="0" applyFont="1" applyFill="1" applyAlignment="1">
      <alignment horizontal="left" vertical="center"/>
    </xf>
    <xf numFmtId="0" fontId="17" fillId="0" borderId="14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vertical="center"/>
    </xf>
    <xf numFmtId="44" fontId="17" fillId="0" borderId="14" xfId="1" applyNumberFormat="1" applyFont="1" applyFill="1" applyBorder="1" applyAlignment="1">
      <alignment horizontal="right" vertical="center"/>
    </xf>
    <xf numFmtId="0" fontId="18" fillId="0" borderId="0" xfId="0" applyFont="1" applyFill="1"/>
    <xf numFmtId="0" fontId="0" fillId="0" borderId="14" xfId="0" applyFill="1" applyBorder="1" applyAlignment="1">
      <alignment vertical="center" wrapText="1"/>
    </xf>
    <xf numFmtId="0" fontId="34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 wrapText="1"/>
    </xf>
    <xf numFmtId="167" fontId="7" fillId="0" borderId="14" xfId="1" applyNumberFormat="1" applyFont="1" applyFill="1" applyBorder="1" applyAlignment="1" applyProtection="1">
      <alignment horizontal="right" vertical="center" wrapText="1"/>
    </xf>
    <xf numFmtId="3" fontId="7" fillId="0" borderId="14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2" fillId="0" borderId="14" xfId="12" applyFill="1" applyBorder="1" applyAlignment="1">
      <alignment horizontal="center" vertical="center"/>
    </xf>
    <xf numFmtId="164" fontId="18" fillId="0" borderId="0" xfId="0" applyNumberFormat="1" applyFont="1" applyFill="1"/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0" fontId="25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 wrapText="1"/>
    </xf>
    <xf numFmtId="0" fontId="26" fillId="0" borderId="14" xfId="0" applyFont="1" applyFill="1" applyBorder="1" applyAlignment="1">
      <alignment horizontal="center" vertical="center" wrapText="1"/>
    </xf>
    <xf numFmtId="164" fontId="26" fillId="0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3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8" xfId="0" applyFont="1" applyFill="1" applyBorder="1"/>
    <xf numFmtId="0" fontId="18" fillId="0" borderId="8" xfId="0" applyFont="1" applyFill="1" applyBorder="1" applyAlignment="1">
      <alignment horizontal="left" vertical="center"/>
    </xf>
    <xf numFmtId="0" fontId="18" fillId="0" borderId="9" xfId="0" applyFont="1" applyFill="1" applyBorder="1"/>
    <xf numFmtId="44" fontId="18" fillId="0" borderId="0" xfId="0" applyNumberFormat="1" applyFont="1" applyFill="1"/>
    <xf numFmtId="0" fontId="8" fillId="0" borderId="10" xfId="0" applyFont="1" applyFill="1" applyBorder="1" applyAlignment="1">
      <alignment horizontal="right" vertical="center"/>
    </xf>
    <xf numFmtId="0" fontId="9" fillId="0" borderId="11" xfId="0" applyFont="1" applyFill="1" applyBorder="1" applyAlignment="1">
      <alignment horizontal="center" vertical="center"/>
    </xf>
    <xf numFmtId="0" fontId="0" fillId="0" borderId="0" xfId="0" applyFill="1"/>
    <xf numFmtId="0" fontId="8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 indent="1"/>
    </xf>
    <xf numFmtId="0" fontId="32" fillId="0" borderId="0" xfId="0" applyFont="1" applyFill="1" applyBorder="1" applyAlignment="1">
      <alignment horizontal="left" vertical="center" wrapText="1" indent="1"/>
    </xf>
    <xf numFmtId="0" fontId="28" fillId="0" borderId="2" xfId="7" applyFont="1" applyFill="1" applyBorder="1" applyAlignment="1">
      <alignment horizontal="center" vertical="center" wrapText="1"/>
    </xf>
    <xf numFmtId="0" fontId="28" fillId="0" borderId="5" xfId="7" applyFont="1" applyFill="1" applyBorder="1" applyAlignment="1">
      <alignment horizontal="center" vertical="center" wrapText="1"/>
    </xf>
    <xf numFmtId="0" fontId="18" fillId="0" borderId="0" xfId="7" applyFont="1" applyFill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/>
    </xf>
    <xf numFmtId="0" fontId="18" fillId="0" borderId="0" xfId="7" applyFont="1" applyFill="1" applyBorder="1" applyAlignment="1">
      <alignment horizontal="left" vertical="center"/>
    </xf>
    <xf numFmtId="0" fontId="18" fillId="0" borderId="0" xfId="7" applyFont="1" applyFill="1" applyBorder="1" applyAlignment="1">
      <alignment horizontal="center" vertical="center"/>
    </xf>
    <xf numFmtId="0" fontId="18" fillId="0" borderId="0" xfId="7" applyFont="1" applyFill="1" applyBorder="1" applyAlignment="1">
      <alignment vertical="center"/>
    </xf>
    <xf numFmtId="0" fontId="18" fillId="0" borderId="0" xfId="7" applyFont="1" applyBorder="1" applyAlignment="1">
      <alignment horizontal="center" vertical="center"/>
    </xf>
    <xf numFmtId="0" fontId="18" fillId="0" borderId="0" xfId="7" applyFont="1" applyBorder="1" applyAlignment="1">
      <alignment horizontal="left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/>
    </xf>
    <xf numFmtId="0" fontId="36" fillId="0" borderId="48" xfId="0" applyFont="1" applyFill="1" applyBorder="1" applyAlignment="1">
      <alignment vertical="center"/>
    </xf>
    <xf numFmtId="44" fontId="37" fillId="0" borderId="14" xfId="8" applyNumberFormat="1" applyFont="1" applyFill="1" applyBorder="1" applyAlignment="1">
      <alignment horizontal="left" vertical="center"/>
    </xf>
    <xf numFmtId="0" fontId="7" fillId="0" borderId="49" xfId="0" applyFont="1" applyFill="1" applyBorder="1" applyAlignment="1">
      <alignment horizontal="center" vertical="center"/>
    </xf>
    <xf numFmtId="0" fontId="2" fillId="0" borderId="49" xfId="12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 wrapText="1"/>
    </xf>
    <xf numFmtId="167" fontId="7" fillId="0" borderId="49" xfId="1" applyNumberFormat="1" applyFont="1" applyFill="1" applyBorder="1" applyAlignment="1" applyProtection="1">
      <alignment horizontal="right" vertical="center" wrapText="1"/>
    </xf>
    <xf numFmtId="3" fontId="7" fillId="0" borderId="49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Fill="1" applyBorder="1"/>
    <xf numFmtId="0" fontId="0" fillId="0" borderId="10" xfId="0" applyFill="1" applyBorder="1"/>
    <xf numFmtId="0" fontId="0" fillId="0" borderId="21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22" xfId="0" applyFill="1" applyBorder="1"/>
    <xf numFmtId="0" fontId="16" fillId="0" borderId="24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left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67" fontId="0" fillId="0" borderId="30" xfId="3" applyNumberFormat="1" applyFont="1" applyFill="1" applyBorder="1" applyAlignment="1" applyProtection="1">
      <alignment horizontal="center" vertical="center"/>
    </xf>
    <xf numFmtId="167" fontId="16" fillId="0" borderId="40" xfId="0" applyNumberFormat="1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167" fontId="0" fillId="0" borderId="35" xfId="3" applyNumberFormat="1" applyFont="1" applyFill="1" applyBorder="1" applyAlignment="1" applyProtection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167" fontId="0" fillId="0" borderId="39" xfId="3" applyNumberFormat="1" applyFont="1" applyFill="1" applyBorder="1" applyAlignment="1" applyProtection="1">
      <alignment horizontal="center" vertical="center"/>
    </xf>
    <xf numFmtId="0" fontId="36" fillId="0" borderId="17" xfId="0" applyFont="1" applyFill="1" applyBorder="1" applyAlignment="1">
      <alignment vertical="center"/>
    </xf>
    <xf numFmtId="171" fontId="0" fillId="0" borderId="0" xfId="0" applyNumberFormat="1"/>
    <xf numFmtId="171" fontId="5" fillId="0" borderId="0" xfId="0" applyNumberFormat="1" applyFont="1"/>
    <xf numFmtId="171" fontId="5" fillId="0" borderId="0" xfId="0" applyNumberFormat="1" applyFont="1" applyFill="1"/>
    <xf numFmtId="171" fontId="0" fillId="0" borderId="0" xfId="0" applyNumberFormat="1" applyFill="1"/>
    <xf numFmtId="0" fontId="17" fillId="0" borderId="34" xfId="0" applyFont="1" applyFill="1" applyBorder="1" applyAlignment="1">
      <alignment horizontal="center" vertical="center"/>
    </xf>
    <xf numFmtId="44" fontId="18" fillId="0" borderId="0" xfId="0" applyNumberFormat="1" applyFont="1" applyFill="1" applyAlignment="1">
      <alignment vertical="center"/>
    </xf>
    <xf numFmtId="164" fontId="18" fillId="0" borderId="0" xfId="0" applyNumberFormat="1" applyFont="1" applyFill="1" applyAlignment="1">
      <alignment vertical="center"/>
    </xf>
    <xf numFmtId="0" fontId="28" fillId="0" borderId="5" xfId="7" applyFont="1" applyBorder="1" applyAlignment="1">
      <alignment horizontal="center" vertical="center" wrapText="1"/>
    </xf>
    <xf numFmtId="0" fontId="18" fillId="0" borderId="0" xfId="6" applyFont="1" applyFill="1" applyBorder="1" applyAlignment="1">
      <alignment vertical="center" wrapText="1"/>
    </xf>
    <xf numFmtId="0" fontId="18" fillId="0" borderId="7" xfId="0" applyFont="1" applyFill="1" applyBorder="1"/>
    <xf numFmtId="0" fontId="18" fillId="0" borderId="2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0" fontId="18" fillId="0" borderId="4" xfId="0" applyFont="1" applyFill="1" applyBorder="1" applyAlignment="1">
      <alignment vertical="center"/>
    </xf>
    <xf numFmtId="170" fontId="23" fillId="0" borderId="0" xfId="0" applyNumberFormat="1" applyFont="1" applyFill="1" applyAlignment="1">
      <alignment vertical="center"/>
    </xf>
    <xf numFmtId="0" fontId="18" fillId="0" borderId="5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6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vertical="center"/>
    </xf>
    <xf numFmtId="0" fontId="29" fillId="0" borderId="5" xfId="7" applyFont="1" applyFill="1" applyBorder="1" applyAlignment="1">
      <alignment horizontal="left" vertical="center" wrapText="1"/>
    </xf>
    <xf numFmtId="0" fontId="28" fillId="0" borderId="0" xfId="7" applyFont="1" applyFill="1" applyBorder="1" applyAlignment="1">
      <alignment horizontal="left" vertical="center" wrapText="1"/>
    </xf>
    <xf numFmtId="0" fontId="18" fillId="0" borderId="5" xfId="6" applyFont="1" applyFill="1" applyBorder="1" applyAlignment="1">
      <alignment horizontal="left" vertical="center" wrapText="1"/>
    </xf>
    <xf numFmtId="0" fontId="18" fillId="0" borderId="0" xfId="6" applyFont="1" applyFill="1" applyBorder="1" applyAlignment="1">
      <alignment horizontal="left" vertical="center" wrapText="1"/>
    </xf>
    <xf numFmtId="0" fontId="18" fillId="0" borderId="6" xfId="6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8" fillId="0" borderId="3" xfId="7" applyFont="1" applyFill="1" applyBorder="1" applyAlignment="1">
      <alignment horizontal="left" vertical="center" wrapText="1"/>
    </xf>
    <xf numFmtId="0" fontId="18" fillId="0" borderId="4" xfId="7" applyFont="1" applyFill="1" applyBorder="1" applyAlignment="1">
      <alignment horizontal="left" vertical="center" wrapText="1"/>
    </xf>
    <xf numFmtId="0" fontId="18" fillId="0" borderId="0" xfId="7" applyFont="1" applyFill="1" applyBorder="1" applyAlignment="1">
      <alignment horizontal="left" vertical="center" wrapText="1"/>
    </xf>
    <xf numFmtId="0" fontId="18" fillId="0" borderId="6" xfId="7" applyFont="1" applyFill="1" applyBorder="1" applyAlignment="1">
      <alignment horizontal="left" vertical="center" wrapText="1"/>
    </xf>
    <xf numFmtId="0" fontId="28" fillId="0" borderId="5" xfId="7" applyFont="1" applyFill="1" applyBorder="1" applyAlignment="1">
      <alignment horizontal="center" vertical="center" wrapText="1"/>
    </xf>
    <xf numFmtId="0" fontId="36" fillId="0" borderId="16" xfId="0" applyFont="1" applyFill="1" applyBorder="1" applyAlignment="1">
      <alignment horizontal="center" vertical="center"/>
    </xf>
    <xf numFmtId="0" fontId="36" fillId="0" borderId="48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wrapText="1" indent="1"/>
    </xf>
    <xf numFmtId="0" fontId="7" fillId="0" borderId="1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168" fontId="38" fillId="0" borderId="7" xfId="0" applyNumberFormat="1" applyFont="1" applyFill="1" applyBorder="1" applyAlignment="1">
      <alignment horizontal="center" vertical="center"/>
    </xf>
    <xf numFmtId="168" fontId="38" fillId="0" borderId="9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 wrapText="1"/>
    </xf>
    <xf numFmtId="0" fontId="10" fillId="0" borderId="45" xfId="0" applyFont="1" applyFill="1" applyBorder="1" applyAlignment="1">
      <alignment horizontal="left" vertical="center" wrapText="1"/>
    </xf>
    <xf numFmtId="0" fontId="10" fillId="0" borderId="46" xfId="0" applyFont="1" applyFill="1" applyBorder="1" applyAlignment="1">
      <alignment horizontal="left" vertical="center" wrapText="1"/>
    </xf>
    <xf numFmtId="0" fontId="10" fillId="0" borderId="47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/>
    </xf>
    <xf numFmtId="0" fontId="10" fillId="0" borderId="44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 wrapText="1" indent="1"/>
    </xf>
    <xf numFmtId="0" fontId="9" fillId="0" borderId="41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0" borderId="40" xfId="0" applyFont="1" applyFill="1" applyBorder="1" applyAlignment="1">
      <alignment horizontal="left" vertical="center" wrapText="1"/>
    </xf>
    <xf numFmtId="0" fontId="0" fillId="0" borderId="18" xfId="0" applyFill="1" applyBorder="1"/>
    <xf numFmtId="0" fontId="17" fillId="0" borderId="28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4" fillId="0" borderId="19" xfId="0" applyFont="1" applyFill="1" applyBorder="1"/>
    <xf numFmtId="0" fontId="14" fillId="0" borderId="20" xfId="0" applyFont="1" applyFill="1" applyBorder="1" applyAlignment="1">
      <alignment horizontal="left" vertical="center" wrapText="1" indent="1"/>
    </xf>
    <xf numFmtId="0" fontId="16" fillId="0" borderId="18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indent="1"/>
    </xf>
    <xf numFmtId="0" fontId="15" fillId="0" borderId="11" xfId="0" applyFont="1" applyFill="1" applyBorder="1" applyAlignment="1">
      <alignment horizontal="left"/>
    </xf>
    <xf numFmtId="0" fontId="0" fillId="0" borderId="16" xfId="0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9" fillId="0" borderId="16" xfId="0" applyFont="1" applyFill="1" applyBorder="1" applyAlignment="1">
      <alignment horizontal="left" vertical="center" wrapText="1"/>
    </xf>
    <xf numFmtId="0" fontId="9" fillId="0" borderId="4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168" fontId="38" fillId="0" borderId="16" xfId="0" applyNumberFormat="1" applyFont="1" applyFill="1" applyBorder="1" applyAlignment="1">
      <alignment horizontal="center" vertical="center"/>
    </xf>
    <xf numFmtId="168" fontId="38" fillId="0" borderId="17" xfId="0" applyNumberFormat="1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17" fillId="0" borderId="50" xfId="0" applyFont="1" applyFill="1" applyBorder="1" applyAlignment="1">
      <alignment horizontal="left" vertical="center" wrapText="1"/>
    </xf>
    <xf numFmtId="0" fontId="0" fillId="0" borderId="51" xfId="0" applyFont="1" applyFill="1" applyBorder="1" applyAlignment="1">
      <alignment horizontal="left" vertical="center" wrapText="1"/>
    </xf>
  </cellXfs>
  <cellStyles count="14">
    <cellStyle name="Encabezado 1" xfId="2" xr:uid="{00000000-0005-0000-0000-000000000000}"/>
    <cellStyle name="Millares 2" xfId="10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  <cellStyle name="Normal 3" xfId="11" xr:uid="{00000000-0005-0000-0000-000009000000}"/>
    <cellStyle name="Normal 4" xfId="9" xr:uid="{00000000-0005-0000-0000-00000A000000}"/>
    <cellStyle name="Normal 5" xfId="8" xr:uid="{00000000-0005-0000-0000-00000B000000}"/>
    <cellStyle name="Normal 6" xfId="12" xr:uid="{00000000-0005-0000-0000-00000C000000}"/>
    <cellStyle name="Normal 7" xfId="13" xr:uid="{00000000-0005-0000-0000-00000D000000}"/>
  </cellStyles>
  <dxfs count="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5"/>
  <sheetViews>
    <sheetView zoomScaleNormal="100" workbookViewId="0">
      <selection activeCell="M13" sqref="M13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37.5703125" style="31" customWidth="1"/>
    <col min="4" max="4" width="8.42578125" style="31" customWidth="1"/>
    <col min="5" max="5" width="81.42578125" style="27" customWidth="1"/>
    <col min="6" max="6" width="15.28515625" style="31" customWidth="1"/>
    <col min="7" max="7" width="15" style="31" bestFit="1" customWidth="1"/>
    <col min="8" max="8" width="14.42578125" style="31" bestFit="1" customWidth="1"/>
    <col min="9" max="9" width="17" style="31" customWidth="1"/>
    <col min="10" max="10" width="12" style="41" customWidth="1"/>
    <col min="11" max="11" width="10" style="27" customWidth="1"/>
    <col min="12" max="12" width="11" style="31"/>
    <col min="13" max="13" width="11.7109375" style="31" bestFit="1" customWidth="1"/>
    <col min="14" max="16384" width="11" style="31"/>
  </cols>
  <sheetData>
    <row r="2" spans="1:11" ht="27" x14ac:dyDescent="0.35">
      <c r="B2" s="156" t="s">
        <v>0</v>
      </c>
      <c r="C2" s="156"/>
      <c r="D2" s="156"/>
      <c r="E2" s="156"/>
      <c r="F2" s="156"/>
      <c r="G2" s="156"/>
      <c r="H2" s="156"/>
      <c r="I2" s="156"/>
    </row>
    <row r="4" spans="1:11" ht="15.75" x14ac:dyDescent="0.25">
      <c r="A4" s="148" t="s">
        <v>1</v>
      </c>
      <c r="B4" s="148"/>
      <c r="C4" s="157" t="s">
        <v>131</v>
      </c>
      <c r="D4" s="157"/>
      <c r="E4" s="157"/>
      <c r="F4" s="157"/>
      <c r="G4" s="42"/>
      <c r="H4" s="43"/>
      <c r="I4" s="42"/>
    </row>
    <row r="5" spans="1:11" ht="15.75" x14ac:dyDescent="0.25">
      <c r="A5" s="148" t="s">
        <v>2</v>
      </c>
      <c r="B5" s="148"/>
      <c r="C5" s="157" t="s">
        <v>130</v>
      </c>
      <c r="D5" s="157"/>
      <c r="E5" s="157"/>
      <c r="F5" s="157"/>
      <c r="G5" s="42"/>
      <c r="H5" s="43"/>
      <c r="I5" s="42"/>
    </row>
    <row r="6" spans="1:11" ht="15.75" x14ac:dyDescent="0.25">
      <c r="A6" s="148" t="s">
        <v>3</v>
      </c>
      <c r="B6" s="148"/>
      <c r="C6" s="44">
        <v>2022</v>
      </c>
      <c r="D6" s="45"/>
      <c r="E6" s="46"/>
      <c r="F6" s="45"/>
      <c r="G6" s="42"/>
      <c r="H6" s="43"/>
      <c r="I6" s="42"/>
    </row>
    <row r="7" spans="1:11" ht="15.75" x14ac:dyDescent="0.25">
      <c r="A7" s="148" t="s">
        <v>4</v>
      </c>
      <c r="B7" s="148"/>
      <c r="C7" s="44">
        <v>2</v>
      </c>
      <c r="D7" s="45"/>
      <c r="E7" s="46"/>
      <c r="F7" s="45"/>
      <c r="G7" s="42"/>
      <c r="H7" s="43"/>
      <c r="I7" s="42"/>
    </row>
    <row r="8" spans="1:11" ht="13.5" thickBot="1" x14ac:dyDescent="0.25">
      <c r="B8" s="42"/>
      <c r="C8" s="43"/>
      <c r="D8" s="42"/>
      <c r="E8" s="47"/>
      <c r="F8" s="42"/>
      <c r="G8" s="42"/>
      <c r="H8" s="43"/>
      <c r="I8" s="42"/>
    </row>
    <row r="9" spans="1:11" s="51" customFormat="1" ht="39" thickBot="1" x14ac:dyDescent="0.25">
      <c r="A9" s="48" t="s">
        <v>5</v>
      </c>
      <c r="B9" s="48" t="s">
        <v>6</v>
      </c>
      <c r="C9" s="48" t="s">
        <v>7</v>
      </c>
      <c r="D9" s="48" t="s">
        <v>8</v>
      </c>
      <c r="E9" s="48" t="s">
        <v>129</v>
      </c>
      <c r="F9" s="48" t="s">
        <v>9</v>
      </c>
      <c r="G9" s="48" t="s">
        <v>10</v>
      </c>
      <c r="H9" s="48" t="s">
        <v>11</v>
      </c>
      <c r="I9" s="49" t="s">
        <v>12</v>
      </c>
      <c r="J9" s="50"/>
    </row>
    <row r="10" spans="1:11" ht="45.75" customHeight="1" thickBot="1" x14ac:dyDescent="0.25">
      <c r="A10" s="20">
        <v>1</v>
      </c>
      <c r="B10" s="20" t="s">
        <v>115</v>
      </c>
      <c r="C10" s="32" t="s">
        <v>103</v>
      </c>
      <c r="D10" s="23">
        <v>252</v>
      </c>
      <c r="E10" s="28" t="s">
        <v>114</v>
      </c>
      <c r="F10" s="20" t="s">
        <v>56</v>
      </c>
      <c r="G10" s="21">
        <v>1000</v>
      </c>
      <c r="H10" s="22">
        <v>113.3</v>
      </c>
      <c r="I10" s="25">
        <f t="shared" ref="I10:I18" si="0">+G10*H10</f>
        <v>113300</v>
      </c>
      <c r="J10" s="31"/>
      <c r="K10" s="31"/>
    </row>
    <row r="11" spans="1:11" ht="45.75" customHeight="1" thickBot="1" x14ac:dyDescent="0.25">
      <c r="A11" s="20">
        <v>2</v>
      </c>
      <c r="B11" s="20" t="s">
        <v>106</v>
      </c>
      <c r="C11" s="32" t="s">
        <v>103</v>
      </c>
      <c r="D11" s="23">
        <v>252</v>
      </c>
      <c r="E11" s="24" t="s">
        <v>105</v>
      </c>
      <c r="F11" s="20" t="s">
        <v>57</v>
      </c>
      <c r="G11" s="21">
        <v>100</v>
      </c>
      <c r="H11" s="22">
        <v>641.47</v>
      </c>
      <c r="I11" s="25">
        <f t="shared" si="0"/>
        <v>64147</v>
      </c>
      <c r="J11" s="33"/>
      <c r="K11" s="31"/>
    </row>
    <row r="12" spans="1:11" ht="45.75" customHeight="1" thickBot="1" x14ac:dyDescent="0.25">
      <c r="A12" s="20">
        <v>3</v>
      </c>
      <c r="B12" s="20" t="s">
        <v>109</v>
      </c>
      <c r="C12" s="26" t="s">
        <v>103</v>
      </c>
      <c r="D12" s="23">
        <v>252</v>
      </c>
      <c r="E12" s="28" t="s">
        <v>116</v>
      </c>
      <c r="F12" s="20" t="s">
        <v>58</v>
      </c>
      <c r="G12" s="21">
        <v>1200</v>
      </c>
      <c r="H12" s="22">
        <v>86</v>
      </c>
      <c r="I12" s="25">
        <f t="shared" si="0"/>
        <v>103200</v>
      </c>
      <c r="J12" s="27"/>
      <c r="K12" s="31"/>
    </row>
    <row r="13" spans="1:11" ht="45.75" customHeight="1" thickBot="1" x14ac:dyDescent="0.25">
      <c r="A13" s="20">
        <v>4</v>
      </c>
      <c r="B13" s="20" t="s">
        <v>108</v>
      </c>
      <c r="C13" s="32" t="s">
        <v>103</v>
      </c>
      <c r="D13" s="23">
        <v>252</v>
      </c>
      <c r="E13" s="24" t="s">
        <v>107</v>
      </c>
      <c r="F13" s="20" t="s">
        <v>59</v>
      </c>
      <c r="G13" s="21">
        <v>100</v>
      </c>
      <c r="H13" s="22">
        <v>380</v>
      </c>
      <c r="I13" s="25">
        <f t="shared" si="0"/>
        <v>38000</v>
      </c>
      <c r="J13" s="31"/>
      <c r="K13" s="31"/>
    </row>
    <row r="14" spans="1:11" ht="45.75" customHeight="1" thickBot="1" x14ac:dyDescent="0.25">
      <c r="A14" s="20">
        <v>5</v>
      </c>
      <c r="B14" s="20" t="s">
        <v>63</v>
      </c>
      <c r="C14" s="32" t="s">
        <v>103</v>
      </c>
      <c r="D14" s="23">
        <v>252</v>
      </c>
      <c r="E14" s="24" t="s">
        <v>84</v>
      </c>
      <c r="F14" s="20" t="s">
        <v>58</v>
      </c>
      <c r="G14" s="21">
        <v>20500</v>
      </c>
      <c r="H14" s="22">
        <v>447</v>
      </c>
      <c r="I14" s="25">
        <f t="shared" si="0"/>
        <v>9163500</v>
      </c>
      <c r="J14" s="31"/>
      <c r="K14" s="31"/>
    </row>
    <row r="15" spans="1:11" ht="45.75" customHeight="1" thickBot="1" x14ac:dyDescent="0.25">
      <c r="A15" s="20">
        <v>6</v>
      </c>
      <c r="B15" s="20" t="s">
        <v>118</v>
      </c>
      <c r="C15" s="32" t="s">
        <v>103</v>
      </c>
      <c r="D15" s="23">
        <v>252</v>
      </c>
      <c r="E15" s="28" t="s">
        <v>117</v>
      </c>
      <c r="F15" s="20" t="s">
        <v>59</v>
      </c>
      <c r="G15" s="21">
        <v>3000</v>
      </c>
      <c r="H15" s="22">
        <v>659</v>
      </c>
      <c r="I15" s="25">
        <f t="shared" si="0"/>
        <v>1977000</v>
      </c>
      <c r="J15" s="31"/>
      <c r="K15" s="31"/>
    </row>
    <row r="16" spans="1:11" ht="45.75" customHeight="1" thickBot="1" x14ac:dyDescent="0.25">
      <c r="A16" s="20">
        <v>7</v>
      </c>
      <c r="B16" s="20" t="s">
        <v>64</v>
      </c>
      <c r="C16" s="32" t="s">
        <v>103</v>
      </c>
      <c r="D16" s="23">
        <v>252</v>
      </c>
      <c r="E16" s="24" t="s">
        <v>85</v>
      </c>
      <c r="F16" s="20" t="s">
        <v>57</v>
      </c>
      <c r="G16" s="21">
        <v>100</v>
      </c>
      <c r="H16" s="22">
        <v>327</v>
      </c>
      <c r="I16" s="25">
        <f t="shared" si="0"/>
        <v>32700</v>
      </c>
      <c r="J16" s="31"/>
      <c r="K16" s="31"/>
    </row>
    <row r="17" spans="1:11" ht="45.75" customHeight="1" thickBot="1" x14ac:dyDescent="0.25">
      <c r="A17" s="20">
        <v>8</v>
      </c>
      <c r="B17" s="20" t="s">
        <v>65</v>
      </c>
      <c r="C17" s="26" t="s">
        <v>103</v>
      </c>
      <c r="D17" s="23">
        <v>252</v>
      </c>
      <c r="E17" s="28" t="s">
        <v>119</v>
      </c>
      <c r="F17" s="20" t="s">
        <v>58</v>
      </c>
      <c r="G17" s="21">
        <v>15</v>
      </c>
      <c r="H17" s="22">
        <v>5090</v>
      </c>
      <c r="I17" s="25">
        <f t="shared" si="0"/>
        <v>76350</v>
      </c>
      <c r="J17" s="27"/>
      <c r="K17" s="31"/>
    </row>
    <row r="18" spans="1:11" ht="45.75" customHeight="1" thickBot="1" x14ac:dyDescent="0.25">
      <c r="A18" s="20">
        <v>9</v>
      </c>
      <c r="B18" s="20" t="s">
        <v>66</v>
      </c>
      <c r="C18" s="32" t="s">
        <v>103</v>
      </c>
      <c r="D18" s="23">
        <v>252</v>
      </c>
      <c r="E18" s="24" t="s">
        <v>86</v>
      </c>
      <c r="F18" s="20" t="s">
        <v>58</v>
      </c>
      <c r="G18" s="21">
        <v>90400</v>
      </c>
      <c r="H18" s="22">
        <v>45</v>
      </c>
      <c r="I18" s="25">
        <f t="shared" si="0"/>
        <v>4068000</v>
      </c>
      <c r="J18" s="31"/>
      <c r="K18" s="31"/>
    </row>
    <row r="19" spans="1:11" ht="45.75" customHeight="1" thickBot="1" x14ac:dyDescent="0.25">
      <c r="A19" s="20">
        <v>10</v>
      </c>
      <c r="B19" s="20" t="s">
        <v>67</v>
      </c>
      <c r="C19" s="32" t="s">
        <v>103</v>
      </c>
      <c r="D19" s="23">
        <v>252</v>
      </c>
      <c r="E19" s="24" t="s">
        <v>87</v>
      </c>
      <c r="F19" s="20" t="s">
        <v>55</v>
      </c>
      <c r="G19" s="21">
        <v>20000</v>
      </c>
      <c r="H19" s="22">
        <v>139</v>
      </c>
      <c r="I19" s="25">
        <f t="shared" ref="I19:I40" si="1">+G19*H19</f>
        <v>2780000</v>
      </c>
      <c r="J19" s="31"/>
      <c r="K19" s="31"/>
    </row>
    <row r="20" spans="1:11" ht="45.75" customHeight="1" thickBot="1" x14ac:dyDescent="0.25">
      <c r="A20" s="20">
        <v>11</v>
      </c>
      <c r="B20" s="20" t="s">
        <v>68</v>
      </c>
      <c r="C20" s="32" t="s">
        <v>103</v>
      </c>
      <c r="D20" s="23">
        <v>252</v>
      </c>
      <c r="E20" s="24" t="s">
        <v>88</v>
      </c>
      <c r="F20" s="20" t="s">
        <v>54</v>
      </c>
      <c r="G20" s="21">
        <v>30000</v>
      </c>
      <c r="H20" s="22">
        <v>4.6500000000000004</v>
      </c>
      <c r="I20" s="25">
        <f t="shared" si="1"/>
        <v>139500</v>
      </c>
      <c r="J20" s="31"/>
      <c r="K20" s="31"/>
    </row>
    <row r="21" spans="1:11" ht="45.75" customHeight="1" thickBot="1" x14ac:dyDescent="0.25">
      <c r="A21" s="20">
        <v>12</v>
      </c>
      <c r="B21" s="20" t="s">
        <v>69</v>
      </c>
      <c r="C21" s="32" t="s">
        <v>103</v>
      </c>
      <c r="D21" s="23">
        <v>252</v>
      </c>
      <c r="E21" s="24" t="s">
        <v>89</v>
      </c>
      <c r="F21" s="20" t="s">
        <v>58</v>
      </c>
      <c r="G21" s="21">
        <v>35000</v>
      </c>
      <c r="H21" s="22">
        <v>55</v>
      </c>
      <c r="I21" s="25">
        <f t="shared" si="1"/>
        <v>1925000</v>
      </c>
      <c r="J21" s="31"/>
      <c r="K21" s="31"/>
    </row>
    <row r="22" spans="1:11" ht="45.75" customHeight="1" thickBot="1" x14ac:dyDescent="0.25">
      <c r="A22" s="20">
        <v>13</v>
      </c>
      <c r="B22" s="20" t="s">
        <v>70</v>
      </c>
      <c r="C22" s="32" t="s">
        <v>103</v>
      </c>
      <c r="D22" s="23">
        <v>252</v>
      </c>
      <c r="E22" s="24" t="s">
        <v>90</v>
      </c>
      <c r="F22" s="20" t="s">
        <v>58</v>
      </c>
      <c r="G22" s="21">
        <v>2100</v>
      </c>
      <c r="H22" s="22">
        <v>57.8</v>
      </c>
      <c r="I22" s="25">
        <f t="shared" si="1"/>
        <v>121380</v>
      </c>
      <c r="J22" s="31"/>
      <c r="K22" s="31"/>
    </row>
    <row r="23" spans="1:11" ht="45.75" customHeight="1" thickBot="1" x14ac:dyDescent="0.25">
      <c r="A23" s="20">
        <v>14</v>
      </c>
      <c r="B23" s="20" t="s">
        <v>71</v>
      </c>
      <c r="C23" s="32" t="s">
        <v>103</v>
      </c>
      <c r="D23" s="23">
        <v>252</v>
      </c>
      <c r="E23" s="24" t="s">
        <v>91</v>
      </c>
      <c r="F23" s="20" t="s">
        <v>58</v>
      </c>
      <c r="G23" s="21">
        <v>3000</v>
      </c>
      <c r="H23" s="22">
        <v>120</v>
      </c>
      <c r="I23" s="25">
        <f t="shared" si="1"/>
        <v>360000</v>
      </c>
      <c r="J23" s="31"/>
      <c r="K23" s="31"/>
    </row>
    <row r="24" spans="1:11" ht="45.75" customHeight="1" thickBot="1" x14ac:dyDescent="0.25">
      <c r="A24" s="20">
        <v>15</v>
      </c>
      <c r="B24" s="20" t="s">
        <v>72</v>
      </c>
      <c r="C24" s="32" t="s">
        <v>103</v>
      </c>
      <c r="D24" s="23">
        <v>252</v>
      </c>
      <c r="E24" s="24" t="s">
        <v>92</v>
      </c>
      <c r="F24" s="20" t="s">
        <v>58</v>
      </c>
      <c r="G24" s="21">
        <v>2400</v>
      </c>
      <c r="H24" s="22">
        <v>222</v>
      </c>
      <c r="I24" s="25">
        <f t="shared" si="1"/>
        <v>532800</v>
      </c>
      <c r="J24" s="31"/>
      <c r="K24" s="31"/>
    </row>
    <row r="25" spans="1:11" ht="45.75" customHeight="1" thickBot="1" x14ac:dyDescent="0.25">
      <c r="A25" s="20">
        <v>16</v>
      </c>
      <c r="B25" s="20" t="s">
        <v>73</v>
      </c>
      <c r="C25" s="32" t="s">
        <v>103</v>
      </c>
      <c r="D25" s="23">
        <v>252</v>
      </c>
      <c r="E25" s="24" t="s">
        <v>93</v>
      </c>
      <c r="F25" s="20" t="s">
        <v>60</v>
      </c>
      <c r="G25" s="21">
        <v>500</v>
      </c>
      <c r="H25" s="22">
        <v>98</v>
      </c>
      <c r="I25" s="25">
        <f t="shared" si="1"/>
        <v>49000</v>
      </c>
      <c r="J25" s="31"/>
      <c r="K25" s="31"/>
    </row>
    <row r="26" spans="1:11" ht="45.75" customHeight="1" thickBot="1" x14ac:dyDescent="0.25">
      <c r="A26" s="20">
        <v>17</v>
      </c>
      <c r="B26" s="20" t="s">
        <v>74</v>
      </c>
      <c r="C26" s="32" t="s">
        <v>103</v>
      </c>
      <c r="D26" s="23">
        <v>252</v>
      </c>
      <c r="E26" s="24" t="s">
        <v>94</v>
      </c>
      <c r="F26" s="20" t="s">
        <v>58</v>
      </c>
      <c r="G26" s="21">
        <v>3500</v>
      </c>
      <c r="H26" s="22">
        <v>45</v>
      </c>
      <c r="I26" s="25">
        <f t="shared" si="1"/>
        <v>157500</v>
      </c>
      <c r="J26" s="27"/>
      <c r="K26" s="31"/>
    </row>
    <row r="27" spans="1:11" ht="26.25" thickBot="1" x14ac:dyDescent="0.25">
      <c r="A27" s="20">
        <v>18</v>
      </c>
      <c r="B27" s="20" t="s">
        <v>120</v>
      </c>
      <c r="C27" s="26" t="s">
        <v>125</v>
      </c>
      <c r="D27" s="23">
        <v>252</v>
      </c>
      <c r="E27" s="24" t="s">
        <v>126</v>
      </c>
      <c r="F27" s="20" t="s">
        <v>59</v>
      </c>
      <c r="G27" s="21">
        <v>50</v>
      </c>
      <c r="H27" s="22">
        <v>364</v>
      </c>
      <c r="I27" s="25">
        <f t="shared" si="1"/>
        <v>18200</v>
      </c>
      <c r="J27" s="31"/>
      <c r="K27" s="31"/>
    </row>
    <row r="28" spans="1:11" ht="45.75" customHeight="1" thickBot="1" x14ac:dyDescent="0.25">
      <c r="A28" s="20">
        <v>19</v>
      </c>
      <c r="B28" s="20" t="s">
        <v>75</v>
      </c>
      <c r="C28" s="32" t="s">
        <v>103</v>
      </c>
      <c r="D28" s="23">
        <v>252</v>
      </c>
      <c r="E28" s="24" t="s">
        <v>95</v>
      </c>
      <c r="F28" s="20" t="s">
        <v>54</v>
      </c>
      <c r="G28" s="21">
        <v>50000</v>
      </c>
      <c r="H28" s="22">
        <v>2.99</v>
      </c>
      <c r="I28" s="25">
        <f t="shared" si="1"/>
        <v>149500</v>
      </c>
      <c r="J28" s="31"/>
      <c r="K28" s="31"/>
    </row>
    <row r="29" spans="1:11" ht="45.75" customHeight="1" thickBot="1" x14ac:dyDescent="0.25">
      <c r="A29" s="20">
        <v>20</v>
      </c>
      <c r="B29" s="20" t="s">
        <v>76</v>
      </c>
      <c r="C29" s="32" t="s">
        <v>103</v>
      </c>
      <c r="D29" s="23">
        <v>252</v>
      </c>
      <c r="E29" s="24" t="s">
        <v>96</v>
      </c>
      <c r="F29" s="20" t="s">
        <v>55</v>
      </c>
      <c r="G29" s="21">
        <v>6000</v>
      </c>
      <c r="H29" s="22">
        <v>230</v>
      </c>
      <c r="I29" s="25">
        <f t="shared" si="1"/>
        <v>1380000</v>
      </c>
      <c r="J29" s="31"/>
      <c r="K29" s="31"/>
    </row>
    <row r="30" spans="1:11" ht="45.75" customHeight="1" thickBot="1" x14ac:dyDescent="0.25">
      <c r="A30" s="20">
        <v>21</v>
      </c>
      <c r="B30" s="20" t="s">
        <v>77</v>
      </c>
      <c r="C30" s="32" t="s">
        <v>103</v>
      </c>
      <c r="D30" s="23">
        <v>252</v>
      </c>
      <c r="E30" s="24" t="s">
        <v>97</v>
      </c>
      <c r="F30" s="20" t="s">
        <v>58</v>
      </c>
      <c r="G30" s="21">
        <v>15000</v>
      </c>
      <c r="H30" s="22">
        <v>605</v>
      </c>
      <c r="I30" s="25">
        <f t="shared" si="1"/>
        <v>9075000</v>
      </c>
      <c r="J30" s="31"/>
      <c r="K30" s="31"/>
    </row>
    <row r="31" spans="1:11" ht="45.75" customHeight="1" thickBot="1" x14ac:dyDescent="0.25">
      <c r="A31" s="20">
        <v>22</v>
      </c>
      <c r="B31" s="20" t="s">
        <v>78</v>
      </c>
      <c r="C31" s="32" t="s">
        <v>103</v>
      </c>
      <c r="D31" s="23">
        <v>252</v>
      </c>
      <c r="E31" s="24" t="s">
        <v>98</v>
      </c>
      <c r="F31" s="20" t="s">
        <v>54</v>
      </c>
      <c r="G31" s="21">
        <v>500</v>
      </c>
      <c r="H31" s="22">
        <v>9.8000000000000007</v>
      </c>
      <c r="I31" s="25">
        <f t="shared" si="1"/>
        <v>4900</v>
      </c>
      <c r="J31" s="31"/>
      <c r="K31" s="31"/>
    </row>
    <row r="32" spans="1:11" ht="45.75" customHeight="1" thickBot="1" x14ac:dyDescent="0.25">
      <c r="A32" s="20">
        <v>23</v>
      </c>
      <c r="B32" s="20" t="s">
        <v>122</v>
      </c>
      <c r="C32" s="26" t="s">
        <v>103</v>
      </c>
      <c r="D32" s="23">
        <v>252</v>
      </c>
      <c r="E32" s="28" t="s">
        <v>121</v>
      </c>
      <c r="F32" s="20" t="s">
        <v>60</v>
      </c>
      <c r="G32" s="21">
        <v>4000</v>
      </c>
      <c r="H32" s="30">
        <v>315</v>
      </c>
      <c r="I32" s="25">
        <f t="shared" si="1"/>
        <v>1260000</v>
      </c>
      <c r="J32" s="27"/>
      <c r="K32" s="31"/>
    </row>
    <row r="33" spans="1:11" ht="45.75" customHeight="1" thickBot="1" x14ac:dyDescent="0.25">
      <c r="A33" s="20">
        <v>24</v>
      </c>
      <c r="B33" s="20" t="s">
        <v>79</v>
      </c>
      <c r="C33" s="32" t="s">
        <v>103</v>
      </c>
      <c r="D33" s="23">
        <v>252</v>
      </c>
      <c r="E33" s="24" t="s">
        <v>104</v>
      </c>
      <c r="F33" s="20" t="s">
        <v>54</v>
      </c>
      <c r="G33" s="21">
        <v>1000</v>
      </c>
      <c r="H33" s="30">
        <v>45</v>
      </c>
      <c r="I33" s="25">
        <f t="shared" si="1"/>
        <v>45000</v>
      </c>
      <c r="J33" s="31"/>
      <c r="K33" s="31"/>
    </row>
    <row r="34" spans="1:11" ht="45.75" customHeight="1" thickBot="1" x14ac:dyDescent="0.25">
      <c r="A34" s="20">
        <v>25</v>
      </c>
      <c r="B34" s="20" t="s">
        <v>80</v>
      </c>
      <c r="C34" s="32" t="s">
        <v>103</v>
      </c>
      <c r="D34" s="23">
        <v>252</v>
      </c>
      <c r="E34" s="24" t="s">
        <v>99</v>
      </c>
      <c r="F34" s="20" t="s">
        <v>54</v>
      </c>
      <c r="G34" s="21">
        <v>500</v>
      </c>
      <c r="H34" s="30">
        <v>17.350000000000001</v>
      </c>
      <c r="I34" s="25">
        <f t="shared" si="1"/>
        <v>8675</v>
      </c>
      <c r="J34" s="31"/>
      <c r="K34" s="31"/>
    </row>
    <row r="35" spans="1:11" ht="45.75" customHeight="1" thickBot="1" x14ac:dyDescent="0.25">
      <c r="A35" s="20">
        <v>26</v>
      </c>
      <c r="B35" s="20" t="s">
        <v>81</v>
      </c>
      <c r="C35" s="32" t="s">
        <v>103</v>
      </c>
      <c r="D35" s="23">
        <v>252</v>
      </c>
      <c r="E35" s="24" t="s">
        <v>100</v>
      </c>
      <c r="F35" s="20" t="s">
        <v>59</v>
      </c>
      <c r="G35" s="21">
        <v>1000</v>
      </c>
      <c r="H35" s="30">
        <v>47.24</v>
      </c>
      <c r="I35" s="25">
        <f t="shared" si="1"/>
        <v>47240</v>
      </c>
      <c r="J35" s="31"/>
      <c r="K35" s="31"/>
    </row>
    <row r="36" spans="1:11" ht="45.75" customHeight="1" thickBot="1" x14ac:dyDescent="0.25">
      <c r="A36" s="20">
        <v>27</v>
      </c>
      <c r="B36" s="20" t="s">
        <v>82</v>
      </c>
      <c r="C36" s="32" t="s">
        <v>103</v>
      </c>
      <c r="D36" s="23">
        <v>252</v>
      </c>
      <c r="E36" s="24" t="s">
        <v>101</v>
      </c>
      <c r="F36" s="20" t="s">
        <v>61</v>
      </c>
      <c r="G36" s="21">
        <v>200</v>
      </c>
      <c r="H36" s="30">
        <v>663</v>
      </c>
      <c r="I36" s="25">
        <f t="shared" si="1"/>
        <v>132600</v>
      </c>
      <c r="J36" s="31"/>
      <c r="K36" s="31"/>
    </row>
    <row r="37" spans="1:11" ht="45.75" customHeight="1" thickBot="1" x14ac:dyDescent="0.25">
      <c r="A37" s="20">
        <v>28</v>
      </c>
      <c r="B37" s="20" t="s">
        <v>83</v>
      </c>
      <c r="C37" s="32" t="s">
        <v>103</v>
      </c>
      <c r="D37" s="23">
        <v>252</v>
      </c>
      <c r="E37" s="24" t="s">
        <v>102</v>
      </c>
      <c r="F37" s="20" t="s">
        <v>58</v>
      </c>
      <c r="G37" s="21">
        <v>10000</v>
      </c>
      <c r="H37" s="30">
        <v>45</v>
      </c>
      <c r="I37" s="25">
        <f t="shared" si="1"/>
        <v>450000</v>
      </c>
      <c r="J37" s="31"/>
      <c r="K37" s="31"/>
    </row>
    <row r="38" spans="1:11" ht="45.75" customHeight="1" thickBot="1" x14ac:dyDescent="0.25">
      <c r="A38" s="20">
        <v>29</v>
      </c>
      <c r="B38" s="20" t="s">
        <v>112</v>
      </c>
      <c r="C38" s="26" t="s">
        <v>103</v>
      </c>
      <c r="D38" s="23">
        <v>252</v>
      </c>
      <c r="E38" s="24" t="s">
        <v>113</v>
      </c>
      <c r="F38" s="20" t="s">
        <v>59</v>
      </c>
      <c r="G38" s="21">
        <v>5000</v>
      </c>
      <c r="H38" s="30">
        <v>580</v>
      </c>
      <c r="I38" s="25">
        <f t="shared" si="1"/>
        <v>2900000</v>
      </c>
      <c r="J38" s="27"/>
      <c r="K38" s="29"/>
    </row>
    <row r="39" spans="1:11" ht="45.75" customHeight="1" thickBot="1" x14ac:dyDescent="0.25">
      <c r="A39" s="20">
        <v>30</v>
      </c>
      <c r="B39" s="20" t="s">
        <v>124</v>
      </c>
      <c r="C39" s="32" t="s">
        <v>103</v>
      </c>
      <c r="D39" s="23">
        <v>252</v>
      </c>
      <c r="E39" s="28" t="s">
        <v>123</v>
      </c>
      <c r="F39" s="20" t="s">
        <v>57</v>
      </c>
      <c r="G39" s="21">
        <v>2000</v>
      </c>
      <c r="H39" s="30">
        <v>1120</v>
      </c>
      <c r="I39" s="25">
        <f t="shared" si="1"/>
        <v>2240000</v>
      </c>
      <c r="J39" s="31"/>
      <c r="K39" s="31"/>
    </row>
    <row r="40" spans="1:11" ht="45.75" customHeight="1" thickBot="1" x14ac:dyDescent="0.25">
      <c r="A40" s="20">
        <v>31</v>
      </c>
      <c r="B40" s="20" t="s">
        <v>111</v>
      </c>
      <c r="C40" s="32" t="s">
        <v>103</v>
      </c>
      <c r="D40" s="23">
        <v>252</v>
      </c>
      <c r="E40" s="24" t="s">
        <v>110</v>
      </c>
      <c r="F40" s="20" t="s">
        <v>59</v>
      </c>
      <c r="G40" s="21">
        <v>100</v>
      </c>
      <c r="H40" s="22">
        <v>1260</v>
      </c>
      <c r="I40" s="25">
        <f t="shared" si="1"/>
        <v>126000</v>
      </c>
      <c r="J40" s="31"/>
      <c r="K40" s="31"/>
    </row>
    <row r="41" spans="1:11" ht="25.5" customHeight="1" thickBot="1" x14ac:dyDescent="0.25">
      <c r="A41" s="154" t="s">
        <v>143</v>
      </c>
      <c r="B41" s="155"/>
      <c r="C41" s="155"/>
      <c r="D41" s="155"/>
      <c r="E41" s="155"/>
      <c r="F41" s="155"/>
      <c r="G41" s="82"/>
      <c r="H41" s="121"/>
      <c r="I41" s="83">
        <f>SUM(I10:I40)</f>
        <v>39538492</v>
      </c>
      <c r="J41" s="31"/>
      <c r="K41" s="31"/>
    </row>
    <row r="42" spans="1:11" ht="13.5" thickBot="1" x14ac:dyDescent="0.25"/>
    <row r="43" spans="1:11" ht="103.5" customHeight="1" x14ac:dyDescent="0.2">
      <c r="C43" s="68" t="s">
        <v>132</v>
      </c>
      <c r="D43" s="149" t="s">
        <v>133</v>
      </c>
      <c r="E43" s="149"/>
      <c r="F43" s="150"/>
      <c r="I43" s="58"/>
    </row>
    <row r="44" spans="1:11" ht="15" x14ac:dyDescent="0.2">
      <c r="C44" s="69"/>
      <c r="D44" s="70"/>
      <c r="E44" s="71"/>
      <c r="F44" s="72"/>
      <c r="I44" s="58"/>
    </row>
    <row r="45" spans="1:11" s="29" customFormat="1" ht="15" x14ac:dyDescent="0.2">
      <c r="C45" s="69" t="s">
        <v>134</v>
      </c>
      <c r="D45" s="73" t="s">
        <v>135</v>
      </c>
      <c r="E45" s="71"/>
      <c r="F45" s="72"/>
      <c r="I45" s="127"/>
      <c r="J45" s="128"/>
      <c r="K45" s="27"/>
    </row>
    <row r="46" spans="1:11" s="29" customFormat="1" ht="15" x14ac:dyDescent="0.2">
      <c r="C46" s="69"/>
      <c r="D46" s="74"/>
      <c r="E46" s="71"/>
      <c r="F46" s="72"/>
      <c r="I46" s="127"/>
      <c r="J46" s="128"/>
      <c r="K46" s="27"/>
    </row>
    <row r="47" spans="1:11" s="29" customFormat="1" ht="33" customHeight="1" x14ac:dyDescent="0.2">
      <c r="C47" s="153" t="s">
        <v>136</v>
      </c>
      <c r="D47" s="151" t="s">
        <v>159</v>
      </c>
      <c r="E47" s="151"/>
      <c r="F47" s="152"/>
      <c r="I47" s="127"/>
      <c r="J47" s="128"/>
      <c r="K47" s="27"/>
    </row>
    <row r="48" spans="1:11" s="29" customFormat="1" ht="15" customHeight="1" x14ac:dyDescent="0.2">
      <c r="C48" s="153"/>
      <c r="D48" s="151" t="s">
        <v>157</v>
      </c>
      <c r="E48" s="151"/>
      <c r="F48" s="152"/>
      <c r="I48" s="127"/>
      <c r="J48" s="128"/>
      <c r="K48" s="27"/>
    </row>
    <row r="49" spans="2:11" s="29" customFormat="1" ht="36" customHeight="1" x14ac:dyDescent="0.2">
      <c r="C49" s="153"/>
      <c r="D49" s="151" t="s">
        <v>158</v>
      </c>
      <c r="E49" s="151"/>
      <c r="F49" s="152"/>
      <c r="I49" s="127"/>
      <c r="J49" s="128"/>
      <c r="K49" s="27"/>
    </row>
    <row r="50" spans="2:11" s="29" customFormat="1" ht="15" x14ac:dyDescent="0.2">
      <c r="C50" s="69"/>
      <c r="D50" s="75"/>
      <c r="E50" s="71"/>
      <c r="F50" s="72"/>
      <c r="I50" s="127"/>
      <c r="J50" s="128"/>
      <c r="K50" s="27"/>
    </row>
    <row r="51" spans="2:11" s="29" customFormat="1" ht="15" x14ac:dyDescent="0.2">
      <c r="C51" s="129" t="s">
        <v>137</v>
      </c>
      <c r="D51" s="76"/>
      <c r="E51" s="71"/>
      <c r="F51" s="72"/>
      <c r="I51" s="127"/>
      <c r="J51" s="128"/>
      <c r="K51" s="27"/>
    </row>
    <row r="52" spans="2:11" s="29" customFormat="1" ht="15" x14ac:dyDescent="0.2">
      <c r="C52" s="129"/>
      <c r="D52" s="76"/>
      <c r="E52" s="71"/>
      <c r="F52" s="72"/>
      <c r="I52" s="127"/>
      <c r="J52" s="128"/>
      <c r="K52" s="27"/>
    </row>
    <row r="53" spans="2:11" s="29" customFormat="1" ht="15" x14ac:dyDescent="0.2">
      <c r="C53" s="129" t="s">
        <v>138</v>
      </c>
      <c r="D53" s="77" t="s">
        <v>139</v>
      </c>
      <c r="E53" s="71"/>
      <c r="F53" s="72"/>
      <c r="I53" s="127"/>
      <c r="J53" s="128"/>
      <c r="K53" s="27"/>
    </row>
    <row r="54" spans="2:11" ht="13.5" thickBot="1" x14ac:dyDescent="0.25">
      <c r="C54" s="78"/>
      <c r="D54" s="79"/>
      <c r="E54" s="80"/>
      <c r="F54" s="81"/>
      <c r="I54" s="58"/>
    </row>
    <row r="55" spans="2:11" x14ac:dyDescent="0.2">
      <c r="I55" s="58"/>
    </row>
    <row r="56" spans="2:11" ht="13.5" thickBot="1" x14ac:dyDescent="0.25">
      <c r="I56" s="58"/>
    </row>
    <row r="57" spans="2:11" s="29" customFormat="1" ht="18" customHeight="1" x14ac:dyDescent="0.2">
      <c r="B57" s="132" t="s">
        <v>52</v>
      </c>
      <c r="C57" s="133"/>
      <c r="D57" s="133"/>
      <c r="E57" s="52"/>
      <c r="F57" s="134"/>
      <c r="G57" s="54"/>
      <c r="H57" s="50"/>
      <c r="I57" s="135"/>
      <c r="J57" s="128"/>
      <c r="K57" s="27"/>
    </row>
    <row r="58" spans="2:11" s="29" customFormat="1" ht="12.75" customHeight="1" x14ac:dyDescent="0.2">
      <c r="B58" s="136"/>
      <c r="C58" s="137"/>
      <c r="D58" s="137"/>
      <c r="E58" s="53"/>
      <c r="F58" s="138"/>
      <c r="G58" s="54"/>
      <c r="H58" s="50"/>
      <c r="I58" s="135"/>
      <c r="J58" s="128"/>
      <c r="K58" s="27"/>
    </row>
    <row r="59" spans="2:11" s="29" customFormat="1" ht="18" customHeight="1" x14ac:dyDescent="0.2">
      <c r="B59" s="136" t="s">
        <v>140</v>
      </c>
      <c r="C59" s="137"/>
      <c r="D59" s="137"/>
      <c r="E59" s="53"/>
      <c r="F59" s="138"/>
      <c r="G59" s="54"/>
      <c r="H59" s="50"/>
      <c r="I59" s="135"/>
      <c r="J59" s="128"/>
      <c r="K59" s="27"/>
    </row>
    <row r="60" spans="2:11" s="29" customFormat="1" ht="7.5" customHeight="1" x14ac:dyDescent="0.2">
      <c r="B60" s="136"/>
      <c r="C60" s="137"/>
      <c r="D60" s="137"/>
      <c r="E60" s="53"/>
      <c r="F60" s="138"/>
      <c r="G60" s="54"/>
      <c r="H60" s="50"/>
      <c r="I60" s="135"/>
      <c r="J60" s="128"/>
      <c r="K60" s="27"/>
    </row>
    <row r="61" spans="2:11" s="29" customFormat="1" ht="30.75" customHeight="1" x14ac:dyDescent="0.2">
      <c r="B61" s="145" t="s">
        <v>141</v>
      </c>
      <c r="C61" s="146"/>
      <c r="D61" s="146"/>
      <c r="E61" s="146"/>
      <c r="F61" s="147"/>
      <c r="G61" s="130"/>
      <c r="H61" s="54"/>
      <c r="I61" s="135"/>
      <c r="J61" s="128"/>
      <c r="K61" s="27"/>
    </row>
    <row r="62" spans="2:11" s="29" customFormat="1" ht="18" customHeight="1" x14ac:dyDescent="0.2">
      <c r="B62" s="145" t="s">
        <v>142</v>
      </c>
      <c r="C62" s="146"/>
      <c r="D62" s="146"/>
      <c r="E62" s="146"/>
      <c r="F62" s="147"/>
      <c r="G62" s="54"/>
      <c r="H62" s="54"/>
      <c r="I62" s="135"/>
      <c r="J62" s="128"/>
      <c r="K62" s="27"/>
    </row>
    <row r="63" spans="2:11" s="29" customFormat="1" ht="18" customHeight="1" x14ac:dyDescent="0.2">
      <c r="B63" s="143" t="s">
        <v>128</v>
      </c>
      <c r="C63" s="144"/>
      <c r="D63" s="139"/>
      <c r="E63" s="140"/>
      <c r="F63" s="141"/>
      <c r="G63" s="54"/>
      <c r="H63" s="54"/>
      <c r="I63" s="135"/>
      <c r="J63" s="128"/>
      <c r="K63" s="27"/>
    </row>
    <row r="64" spans="2:11" s="29" customFormat="1" ht="18" customHeight="1" x14ac:dyDescent="0.2">
      <c r="B64" s="142" t="s">
        <v>51</v>
      </c>
      <c r="C64" s="137"/>
      <c r="D64" s="137"/>
      <c r="E64" s="53"/>
      <c r="F64" s="138"/>
      <c r="G64" s="137"/>
      <c r="J64" s="128"/>
      <c r="K64" s="27"/>
    </row>
    <row r="65" spans="2:6" ht="13.5" thickBot="1" x14ac:dyDescent="0.25">
      <c r="B65" s="131"/>
      <c r="C65" s="55"/>
      <c r="D65" s="55"/>
      <c r="E65" s="56"/>
      <c r="F65" s="57"/>
    </row>
  </sheetData>
  <mergeCells count="16">
    <mergeCell ref="B2:I2"/>
    <mergeCell ref="A4:B4"/>
    <mergeCell ref="C4:F4"/>
    <mergeCell ref="A5:B5"/>
    <mergeCell ref="C5:F5"/>
    <mergeCell ref="B63:C63"/>
    <mergeCell ref="B62:F62"/>
    <mergeCell ref="A6:B6"/>
    <mergeCell ref="A7:B7"/>
    <mergeCell ref="D43:F43"/>
    <mergeCell ref="D47:F47"/>
    <mergeCell ref="C47:C49"/>
    <mergeCell ref="A41:F41"/>
    <mergeCell ref="D48:F48"/>
    <mergeCell ref="D49:F49"/>
    <mergeCell ref="B61:F61"/>
  </mergeCells>
  <conditionalFormatting sqref="B63">
    <cfRule type="duplicateValues" dxfId="5" priority="9"/>
  </conditionalFormatting>
  <conditionalFormatting sqref="B63">
    <cfRule type="duplicateValues" dxfId="4" priority="10"/>
  </conditionalFormatting>
  <conditionalFormatting sqref="C45:C47 C50:C53">
    <cfRule type="duplicateValues" dxfId="3" priority="1"/>
  </conditionalFormatting>
  <conditionalFormatting sqref="C45:C47 C50:C53">
    <cfRule type="duplicateValues" dxfId="2" priority="2"/>
  </conditionalFormatting>
  <conditionalFormatting sqref="C45:C47 C50:C53">
    <cfRule type="duplicateValues" dxfId="1" priority="3"/>
  </conditionalFormatting>
  <conditionalFormatting sqref="C45:C47 C50:C53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2"/>
  <sheetViews>
    <sheetView tabSelected="1" zoomScale="85" zoomScaleNormal="85" workbookViewId="0">
      <selection activeCell="L33" sqref="L33"/>
    </sheetView>
  </sheetViews>
  <sheetFormatPr baseColWidth="10" defaultColWidth="9.140625" defaultRowHeight="12.75" x14ac:dyDescent="0.2"/>
  <cols>
    <col min="1" max="1" width="5.5703125" style="34" customWidth="1"/>
    <col min="2" max="2" width="16.5703125" style="34" bestFit="1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55" style="34" customWidth="1"/>
    <col min="8" max="8" width="13.42578125" style="34" customWidth="1"/>
    <col min="9" max="9" width="16" style="34" customWidth="1"/>
    <col min="10" max="10" width="15.5703125" style="34" customWidth="1"/>
    <col min="11" max="11" width="14" style="34" customWidth="1"/>
    <col min="12" max="12" width="15.5703125" style="34" customWidth="1"/>
    <col min="13" max="13" width="5.85546875" style="34" customWidth="1"/>
    <col min="14" max="14" width="9.42578125" style="34" customWidth="1"/>
    <col min="15" max="15" width="5.85546875" style="34" customWidth="1"/>
    <col min="16" max="16" width="12.5703125" style="34" customWidth="1"/>
    <col min="17" max="1025" width="9.140625" style="34"/>
    <col min="1026" max="16384" width="9.140625" style="61"/>
  </cols>
  <sheetData>
    <row r="1" spans="1:13 1025:1025" ht="16.5" thickBot="1" x14ac:dyDescent="0.25">
      <c r="A1" s="174" t="s">
        <v>13</v>
      </c>
      <c r="B1" s="174"/>
      <c r="C1" s="174"/>
      <c r="D1" s="174"/>
      <c r="E1" s="174"/>
      <c r="F1" s="174"/>
      <c r="G1" s="174"/>
      <c r="H1" s="174"/>
      <c r="I1" s="174"/>
      <c r="J1" s="59" t="s">
        <v>14</v>
      </c>
      <c r="K1" s="60" t="s">
        <v>146</v>
      </c>
      <c r="AMK1" s="61"/>
    </row>
    <row r="2" spans="1:13 1025:1025" ht="16.5" thickBot="1" x14ac:dyDescent="0.25">
      <c r="A2" s="62"/>
      <c r="B2" s="62"/>
      <c r="C2" s="62"/>
      <c r="D2" s="63"/>
      <c r="E2" s="63"/>
      <c r="F2" s="63"/>
      <c r="G2" s="63"/>
      <c r="H2" s="64"/>
      <c r="I2" s="63"/>
      <c r="J2" s="63"/>
      <c r="K2" s="63"/>
      <c r="L2" s="63"/>
    </row>
    <row r="3" spans="1:13 1025:1025" ht="16.5" customHeight="1" thickBot="1" x14ac:dyDescent="0.25">
      <c r="A3" s="175" t="s">
        <v>46</v>
      </c>
      <c r="B3" s="176"/>
      <c r="C3" s="181" t="str">
        <f>'Necesidades Trimestrales'!C4</f>
        <v>040 - MINISTERIO DE SALUD</v>
      </c>
      <c r="D3" s="181"/>
      <c r="E3" s="181"/>
      <c r="F3" s="181"/>
      <c r="G3" s="181"/>
      <c r="H3" s="181"/>
      <c r="I3" s="181"/>
      <c r="J3" s="181"/>
      <c r="K3" s="181"/>
      <c r="AMK3" s="61"/>
    </row>
    <row r="4" spans="1:13 1025:1025" ht="16.5" thickBot="1" x14ac:dyDescent="0.25">
      <c r="A4" s="175" t="s">
        <v>47</v>
      </c>
      <c r="B4" s="176"/>
      <c r="C4" s="181" t="str">
        <f>'Necesidades Trimestrales'!C5</f>
        <v>011 - DIRECCION PROVINCIAL DE ADMINISTRACION - MS</v>
      </c>
      <c r="D4" s="181"/>
      <c r="E4" s="181"/>
      <c r="F4" s="181"/>
      <c r="G4" s="181"/>
      <c r="H4" s="181"/>
      <c r="I4" s="181"/>
      <c r="J4" s="181"/>
      <c r="K4" s="181"/>
      <c r="AMK4" s="61"/>
    </row>
    <row r="5" spans="1:13 1025:1025" ht="16.5" customHeight="1" thickBot="1" x14ac:dyDescent="0.25">
      <c r="A5" s="175" t="s">
        <v>25</v>
      </c>
      <c r="B5" s="176"/>
      <c r="C5" s="181" t="s">
        <v>144</v>
      </c>
      <c r="D5" s="181"/>
      <c r="E5" s="181"/>
      <c r="F5" s="181"/>
      <c r="G5" s="181"/>
      <c r="H5" s="181"/>
      <c r="I5" s="181"/>
      <c r="J5" s="181"/>
      <c r="K5" s="181"/>
      <c r="AMK5" s="61"/>
    </row>
    <row r="6" spans="1:13 1025:1025" ht="16.5" customHeight="1" thickBot="1" x14ac:dyDescent="0.25">
      <c r="A6" s="175" t="s">
        <v>48</v>
      </c>
      <c r="B6" s="176"/>
      <c r="C6" s="181" t="s">
        <v>144</v>
      </c>
      <c r="D6" s="181"/>
      <c r="E6" s="181"/>
      <c r="F6" s="181"/>
      <c r="G6" s="181"/>
      <c r="H6" s="181"/>
      <c r="I6" s="181"/>
      <c r="J6" s="181"/>
      <c r="K6" s="181"/>
      <c r="AMK6" s="61"/>
    </row>
    <row r="7" spans="1:13 1025:1025" ht="16.5" customHeight="1" thickBot="1" x14ac:dyDescent="0.25">
      <c r="A7" s="177" t="s">
        <v>15</v>
      </c>
      <c r="B7" s="178"/>
      <c r="C7" s="181" t="s">
        <v>53</v>
      </c>
      <c r="D7" s="181"/>
      <c r="E7" s="181"/>
      <c r="F7" s="181"/>
      <c r="G7" s="181"/>
      <c r="H7" s="181"/>
      <c r="I7" s="181"/>
      <c r="J7" s="181"/>
      <c r="K7" s="181"/>
      <c r="AMK7" s="61"/>
    </row>
    <row r="8" spans="1:13 1025:1025" ht="41.25" customHeight="1" thickBot="1" x14ac:dyDescent="0.25">
      <c r="A8" s="179" t="s">
        <v>16</v>
      </c>
      <c r="B8" s="180"/>
      <c r="C8" s="182" t="s">
        <v>62</v>
      </c>
      <c r="D8" s="183"/>
      <c r="E8" s="183"/>
      <c r="F8" s="183"/>
      <c r="G8" s="183"/>
      <c r="H8" s="183"/>
      <c r="I8" s="183"/>
      <c r="J8" s="183"/>
      <c r="K8" s="184"/>
      <c r="AMK8" s="61"/>
    </row>
    <row r="9" spans="1:13 1025:1025" ht="16.5" thickBot="1" x14ac:dyDescent="0.25">
      <c r="A9" s="65"/>
      <c r="B9" s="65"/>
      <c r="C9" s="65"/>
      <c r="D9" s="66"/>
      <c r="E9" s="66"/>
      <c r="F9" s="66"/>
      <c r="G9" s="66"/>
      <c r="H9" s="67"/>
      <c r="I9" s="66"/>
      <c r="J9" s="66"/>
      <c r="K9" s="66"/>
      <c r="L9" s="66"/>
    </row>
    <row r="10" spans="1:13 1025:1025" ht="13.5" thickBot="1" x14ac:dyDescent="0.25">
      <c r="A10" s="173" t="s">
        <v>17</v>
      </c>
      <c r="B10" s="173" t="s">
        <v>6</v>
      </c>
      <c r="C10" s="167" t="s">
        <v>18</v>
      </c>
      <c r="D10" s="167"/>
      <c r="E10" s="167"/>
      <c r="F10" s="167"/>
      <c r="G10" s="167"/>
      <c r="H10" s="167" t="s">
        <v>19</v>
      </c>
      <c r="I10" s="167" t="s">
        <v>20</v>
      </c>
      <c r="J10" s="167" t="s">
        <v>21</v>
      </c>
      <c r="K10" s="167" t="s">
        <v>22</v>
      </c>
      <c r="AMK10" s="61"/>
    </row>
    <row r="11" spans="1:13 1025:1025" ht="35.25" customHeight="1" thickBot="1" x14ac:dyDescent="0.25">
      <c r="A11" s="173"/>
      <c r="B11" s="173"/>
      <c r="C11" s="167"/>
      <c r="D11" s="167"/>
      <c r="E11" s="167"/>
      <c r="F11" s="167"/>
      <c r="G11" s="167"/>
      <c r="H11" s="167"/>
      <c r="I11" s="167"/>
      <c r="J11" s="167"/>
      <c r="K11" s="167"/>
      <c r="AMK11" s="61"/>
    </row>
    <row r="12" spans="1:13 1025:1025" ht="46.5" customHeight="1" thickBot="1" x14ac:dyDescent="0.25">
      <c r="A12" s="39">
        <v>1</v>
      </c>
      <c r="B12" s="40" t="str">
        <f>+'Necesidades Trimestrales'!B10</f>
        <v>2.5.2-1875.133</v>
      </c>
      <c r="C12" s="158" t="str">
        <f>+'Necesidades Trimestrales'!E10</f>
        <v>ANTIASMATICO BRONCODILATADOR; TIPO: MONODROGA, DROGA GENERICA: N-ACETIL CISTEINA 600 MGR, FORMA FARMACEUTICA: TABLETA EFERVESCENTE, PRESENTACION: UNIDAD</v>
      </c>
      <c r="D12" s="158"/>
      <c r="E12" s="158"/>
      <c r="F12" s="158"/>
      <c r="G12" s="158"/>
      <c r="H12" s="39" t="s">
        <v>50</v>
      </c>
      <c r="I12" s="35" t="str">
        <f>+'Necesidades Trimestrales'!F10</f>
        <v>TABLETAS</v>
      </c>
      <c r="J12" s="36">
        <f>+'Necesidades Trimestrales'!H10</f>
        <v>113.3</v>
      </c>
      <c r="K12" s="37" t="e">
        <f>'Necesidades Trimestrales'!#REF!</f>
        <v>#REF!</v>
      </c>
      <c r="AMK12" s="61"/>
    </row>
    <row r="13" spans="1:13 1025:1025" ht="46.5" customHeight="1" thickBot="1" x14ac:dyDescent="0.25">
      <c r="A13" s="39">
        <v>2</v>
      </c>
      <c r="B13" s="40" t="str">
        <f>+'Necesidades Trimestrales'!B11</f>
        <v>2.5.2-1829.25</v>
      </c>
      <c r="C13" s="158" t="str">
        <f>+'Necesidades Trimestrales'!E11</f>
        <v>ANTIVIRALES; TIPO: MONODROGA, DROGA GENERICA: ACICLOVIR 5 %, FORMA FARMACEUTICA: CREMA, PRESENTACION: ENVASE X 5 GR</v>
      </c>
      <c r="D13" s="158"/>
      <c r="E13" s="158"/>
      <c r="F13" s="158"/>
      <c r="G13" s="158"/>
      <c r="H13" s="39" t="s">
        <v>50</v>
      </c>
      <c r="I13" s="35" t="str">
        <f>+'Necesidades Trimestrales'!F11</f>
        <v>ENVASE</v>
      </c>
      <c r="J13" s="36">
        <f>+'Necesidades Trimestrales'!H11</f>
        <v>641.47</v>
      </c>
      <c r="K13" s="37" t="e">
        <f>'Necesidades Trimestrales'!#REF!</f>
        <v>#REF!</v>
      </c>
      <c r="L13" s="161"/>
      <c r="M13" s="162"/>
      <c r="AMK13" s="61"/>
    </row>
    <row r="14" spans="1:13 1025:1025" ht="46.5" customHeight="1" thickBot="1" x14ac:dyDescent="0.25">
      <c r="A14" s="39">
        <v>3</v>
      </c>
      <c r="B14" s="40" t="str">
        <f>+'Necesidades Trimestrales'!B12</f>
        <v>2.5.2-1875.74</v>
      </c>
      <c r="C14" s="158" t="str">
        <f>+'Necesidades Trimestrales'!E12</f>
        <v>ANTIASMATICO BRONCODILATADOR; TIPO: MONODROGA, DROGA GENERICA: AMINOFILINA 240MGR, FORMA FARMACEUTICA: AMPOLLA, PRESENTACION: ENVASE X 10 ML</v>
      </c>
      <c r="D14" s="158"/>
      <c r="E14" s="158"/>
      <c r="F14" s="158"/>
      <c r="G14" s="158"/>
      <c r="H14" s="39" t="s">
        <v>50</v>
      </c>
      <c r="I14" s="35" t="str">
        <f>+'Necesidades Trimestrales'!F12</f>
        <v>AMPOLLA</v>
      </c>
      <c r="J14" s="36">
        <f>+'Necesidades Trimestrales'!H12</f>
        <v>86</v>
      </c>
      <c r="K14" s="37" t="e">
        <f>'Necesidades Trimestrales'!#REF!</f>
        <v>#REF!</v>
      </c>
      <c r="AMK14" s="61"/>
    </row>
    <row r="15" spans="1:13 1025:1025" ht="46.5" customHeight="1" thickBot="1" x14ac:dyDescent="0.25">
      <c r="A15" s="39">
        <v>4</v>
      </c>
      <c r="B15" s="40" t="str">
        <f>+'Necesidades Trimestrales'!B13</f>
        <v>2.9.5-427.39</v>
      </c>
      <c r="C15" s="158" t="str">
        <f>+'Necesidades Trimestrales'!E13</f>
        <v>APOSITOS; TIPO: HIDROCOLOIDE, TAMAÑO: 10 X 10 Cm</v>
      </c>
      <c r="D15" s="158"/>
      <c r="E15" s="158"/>
      <c r="F15" s="158"/>
      <c r="G15" s="158"/>
      <c r="H15" s="39" t="s">
        <v>50</v>
      </c>
      <c r="I15" s="35" t="str">
        <f>+'Necesidades Trimestrales'!F13</f>
        <v>UNIDAD</v>
      </c>
      <c r="J15" s="36">
        <f>+'Necesidades Trimestrales'!H13</f>
        <v>380</v>
      </c>
      <c r="K15" s="37" t="e">
        <f>'Necesidades Trimestrales'!#REF!</f>
        <v>#REF!</v>
      </c>
      <c r="AMK15" s="61"/>
    </row>
    <row r="16" spans="1:13 1025:1025" ht="46.5" customHeight="1" thickBot="1" x14ac:dyDescent="0.25">
      <c r="A16" s="39">
        <v>5</v>
      </c>
      <c r="B16" s="40" t="str">
        <f>+'Necesidades Trimestrales'!B14</f>
        <v>2.5.2-1855.83</v>
      </c>
      <c r="C16" s="158" t="str">
        <f>+'Necesidades Trimestrales'!E14</f>
        <v>CORTICOESTEROIDES; TIPO: ASOCIACION, DROGA GENERICA: BETAMETASONA ACETATO+FOSFATO, FORMA FARMACEUTICA: AMPOLLA, PRESENTACION: ENVASE X 2 mL</v>
      </c>
      <c r="D16" s="158"/>
      <c r="E16" s="158"/>
      <c r="F16" s="158"/>
      <c r="G16" s="158"/>
      <c r="H16" s="39" t="s">
        <v>50</v>
      </c>
      <c r="I16" s="35" t="str">
        <f>+'Necesidades Trimestrales'!F14</f>
        <v>AMPOLLA</v>
      </c>
      <c r="J16" s="36">
        <f>+'Necesidades Trimestrales'!H14</f>
        <v>447</v>
      </c>
      <c r="K16" s="37" t="e">
        <f>'Necesidades Trimestrales'!#REF!</f>
        <v>#REF!</v>
      </c>
      <c r="AMK16" s="61"/>
    </row>
    <row r="17" spans="1:13 1025:1025" ht="46.5" customHeight="1" thickBot="1" x14ac:dyDescent="0.25">
      <c r="A17" s="39">
        <v>6</v>
      </c>
      <c r="B17" s="40" t="str">
        <f>+'Necesidades Trimestrales'!B15</f>
        <v>2.5.2-1875.134</v>
      </c>
      <c r="C17" s="158" t="str">
        <f>+'Necesidades Trimestrales'!E15</f>
        <v>ANTIASMATICO BRONCODILATADOR; TIPO: MONODROGA, DROGA GENERICA: BUDESONIDE 200 µGR, FORMA FARMACEUTICA: AEROSOL, PRESENTACION: 100 DOSIS</v>
      </c>
      <c r="D17" s="158"/>
      <c r="E17" s="158"/>
      <c r="F17" s="158"/>
      <c r="G17" s="158"/>
      <c r="H17" s="39" t="s">
        <v>50</v>
      </c>
      <c r="I17" s="35" t="str">
        <f>+'Necesidades Trimestrales'!F15</f>
        <v>UNIDAD</v>
      </c>
      <c r="J17" s="36">
        <f>+'Necesidades Trimestrales'!H15</f>
        <v>659</v>
      </c>
      <c r="K17" s="37" t="e">
        <f>'Necesidades Trimestrales'!#REF!</f>
        <v>#REF!</v>
      </c>
      <c r="AMK17" s="61"/>
    </row>
    <row r="18" spans="1:13 1025:1025" ht="46.5" customHeight="1" thickBot="1" x14ac:dyDescent="0.25">
      <c r="A18" s="39">
        <v>7</v>
      </c>
      <c r="B18" s="40" t="str">
        <f>+'Necesidades Trimestrales'!B16</f>
        <v>2.5.2-2476.50</v>
      </c>
      <c r="C18" s="158" t="str">
        <f>+'Necesidades Trimestrales'!E16</f>
        <v>ANTIALERGICOS-ANTIHISTAMINICOS; TIPO: MONODROGA, DROGA GENERICA: BUDESONIDA 1 MG/ML, FORMA FARMACEUTICA: GOTAS, PRESENTACION: ENVASE X 20 mL</v>
      </c>
      <c r="D18" s="158"/>
      <c r="E18" s="158"/>
      <c r="F18" s="158"/>
      <c r="G18" s="158"/>
      <c r="H18" s="39" t="s">
        <v>50</v>
      </c>
      <c r="I18" s="35" t="str">
        <f>+'Necesidades Trimestrales'!F16</f>
        <v>ENVASE</v>
      </c>
      <c r="J18" s="36">
        <f>+'Necesidades Trimestrales'!H16</f>
        <v>327</v>
      </c>
      <c r="K18" s="37" t="e">
        <f>'Necesidades Trimestrales'!#REF!</f>
        <v>#REF!</v>
      </c>
      <c r="AMK18" s="61"/>
    </row>
    <row r="19" spans="1:13 1025:1025" ht="46.5" customHeight="1" thickBot="1" x14ac:dyDescent="0.25">
      <c r="A19" s="39">
        <v>8</v>
      </c>
      <c r="B19" s="40" t="str">
        <f>+'Necesidades Trimestrales'!B18</f>
        <v>2.5.2-1855.7</v>
      </c>
      <c r="C19" s="158" t="str">
        <f>+'Necesidades Trimestrales'!E18</f>
        <v>CORTICOESTEROIDES; TIPO: MONODROGA, DROGA GENERICA: DEXAMETASONA, FORMA FARMACEUTICA: AMPOLLA, PRESENTACION: 8 mGr</v>
      </c>
      <c r="D19" s="158"/>
      <c r="E19" s="158"/>
      <c r="F19" s="158"/>
      <c r="G19" s="158"/>
      <c r="H19" s="39" t="s">
        <v>50</v>
      </c>
      <c r="I19" s="35" t="str">
        <f>+'Necesidades Trimestrales'!F18</f>
        <v>AMPOLLA</v>
      </c>
      <c r="J19" s="36">
        <f>+'Necesidades Trimestrales'!H18</f>
        <v>45</v>
      </c>
      <c r="K19" s="37" t="e">
        <f>'Necesidades Trimestrales'!#REF!</f>
        <v>#REF!</v>
      </c>
      <c r="AMK19" s="61"/>
    </row>
    <row r="20" spans="1:13 1025:1025" ht="46.5" customHeight="1" thickBot="1" x14ac:dyDescent="0.25">
      <c r="A20" s="39">
        <v>9</v>
      </c>
      <c r="B20" s="40" t="str">
        <f>+'Necesidades Trimestrales'!B19</f>
        <v>2.5.2-2476.74</v>
      </c>
      <c r="C20" s="158" t="str">
        <f>+'Necesidades Trimestrales'!E19</f>
        <v>ANTIALERGICOS-ANTIHISTAMINICOS; TIPO: MONODROGA, DROGA GENERICA: DIFENHIDRAMINA 250 MG, FORMA FARMACEUTICA: JARABE, PRESENTACION: FRASCO X 120 mL</v>
      </c>
      <c r="D20" s="158"/>
      <c r="E20" s="158"/>
      <c r="F20" s="158"/>
      <c r="G20" s="158"/>
      <c r="H20" s="39" t="s">
        <v>50</v>
      </c>
      <c r="I20" s="35" t="str">
        <f>+'Necesidades Trimestrales'!F19</f>
        <v>FRASCO</v>
      </c>
      <c r="J20" s="36">
        <f>+'Necesidades Trimestrales'!H19</f>
        <v>139</v>
      </c>
      <c r="K20" s="37" t="e">
        <f>'Necesidades Trimestrales'!#REF!</f>
        <v>#REF!</v>
      </c>
      <c r="AMK20" s="61"/>
    </row>
    <row r="21" spans="1:13 1025:1025" ht="46.5" customHeight="1" thickBot="1" x14ac:dyDescent="0.25">
      <c r="A21" s="39">
        <v>10</v>
      </c>
      <c r="B21" s="40" t="str">
        <f>+'Necesidades Trimestrales'!B20</f>
        <v>2.5.2-2476.36</v>
      </c>
      <c r="C21" s="158" t="str">
        <f>+'Necesidades Trimestrales'!E20</f>
        <v>ANTIALERGICOS-ANTIHISTAMINICOS; TIPO: MONODROGA, DROGA GENERICA: DIFENHIDRAMINA, FORMA FARMACEUTICA: COMPRIMIDO, PRESENTACION: 50 mGr</v>
      </c>
      <c r="D21" s="158"/>
      <c r="E21" s="158"/>
      <c r="F21" s="158"/>
      <c r="G21" s="158"/>
      <c r="H21" s="39" t="s">
        <v>50</v>
      </c>
      <c r="I21" s="35" t="str">
        <f>+'Necesidades Trimestrales'!F20</f>
        <v>COMPRIMIDO</v>
      </c>
      <c r="J21" s="36">
        <f>+'Necesidades Trimestrales'!H20</f>
        <v>4.6500000000000004</v>
      </c>
      <c r="K21" s="37" t="e">
        <f>'Necesidades Trimestrales'!#REF!</f>
        <v>#REF!</v>
      </c>
      <c r="AMK21" s="61"/>
    </row>
    <row r="22" spans="1:13 1025:1025" ht="46.5" customHeight="1" thickBot="1" x14ac:dyDescent="0.25">
      <c r="A22" s="39">
        <v>11</v>
      </c>
      <c r="B22" s="40" t="str">
        <f>+'Necesidades Trimestrales'!B21</f>
        <v>2.5.2-2476.44</v>
      </c>
      <c r="C22" s="158" t="str">
        <f>+'Necesidades Trimestrales'!E21</f>
        <v>ANTIALERGICOS-ANTIHISTAMINICOS; TIPO: MONODROGA, DROGA GENERICA: DIFENHIDRAMINA, FORMA FARMACEUTICA: AMPOLLA, PRESENTACION: 10 mGr</v>
      </c>
      <c r="D22" s="158"/>
      <c r="E22" s="158"/>
      <c r="F22" s="158"/>
      <c r="G22" s="158"/>
      <c r="H22" s="39" t="s">
        <v>50</v>
      </c>
      <c r="I22" s="35" t="str">
        <f>+'Necesidades Trimestrales'!F21</f>
        <v>AMPOLLA</v>
      </c>
      <c r="J22" s="36">
        <f>+'Necesidades Trimestrales'!H21</f>
        <v>55</v>
      </c>
      <c r="K22" s="37" t="e">
        <f>'Necesidades Trimestrales'!#REF!</f>
        <v>#REF!</v>
      </c>
      <c r="AMK22" s="61"/>
    </row>
    <row r="23" spans="1:13 1025:1025" ht="46.5" customHeight="1" thickBot="1" x14ac:dyDescent="0.25">
      <c r="A23" s="39">
        <v>12</v>
      </c>
      <c r="B23" s="40" t="str">
        <f>+'Necesidades Trimestrales'!B22</f>
        <v>2.5.2-1853.4</v>
      </c>
      <c r="C23" s="158" t="str">
        <f>+'Necesidades Trimestrales'!E22</f>
        <v>OCITOCICOS; TIPO: MONODROGA, DROGA GENERICA: ERGONOVINA, PRESENTACION: 0.2 mGr, FORMA FARMACEUTICA: AMPOLLAS</v>
      </c>
      <c r="D23" s="158"/>
      <c r="E23" s="158"/>
      <c r="F23" s="158"/>
      <c r="G23" s="158"/>
      <c r="H23" s="39" t="s">
        <v>50</v>
      </c>
      <c r="I23" s="35" t="str">
        <f>+'Necesidades Trimestrales'!F22</f>
        <v>AMPOLLA</v>
      </c>
      <c r="J23" s="36">
        <f>+'Necesidades Trimestrales'!H22</f>
        <v>57.8</v>
      </c>
      <c r="K23" s="37" t="e">
        <f>'Necesidades Trimestrales'!#REF!</f>
        <v>#REF!</v>
      </c>
      <c r="AMK23" s="61"/>
    </row>
    <row r="24" spans="1:13 1025:1025" ht="33" customHeight="1" thickBot="1" x14ac:dyDescent="0.25">
      <c r="A24" s="39">
        <v>13</v>
      </c>
      <c r="B24" s="40" t="str">
        <f>+'Necesidades Trimestrales'!B23</f>
        <v>2.5.2-1855.47</v>
      </c>
      <c r="C24" s="158" t="str">
        <f>+'Necesidades Trimestrales'!E23</f>
        <v>CORTICOESTEROIDES; TIPO: MONODROGA, DROGA GENERICA: HIDROCORTISONA, FORMA FARMACEUTICA: AMPOLLA/FRASCO, PRESENTACION: 100 mGr</v>
      </c>
      <c r="D24" s="158"/>
      <c r="E24" s="158"/>
      <c r="F24" s="158"/>
      <c r="G24" s="158"/>
      <c r="H24" s="39" t="s">
        <v>50</v>
      </c>
      <c r="I24" s="35" t="str">
        <f>+'Necesidades Trimestrales'!F23</f>
        <v>AMPOLLA</v>
      </c>
      <c r="J24" s="36">
        <f>+'Necesidades Trimestrales'!H23</f>
        <v>120</v>
      </c>
      <c r="K24" s="37" t="e">
        <f>'Necesidades Trimestrales'!#REF!</f>
        <v>#REF!</v>
      </c>
      <c r="AMK24" s="61"/>
    </row>
    <row r="25" spans="1:13 1025:1025" ht="46.5" customHeight="1" thickBot="1" x14ac:dyDescent="0.25">
      <c r="A25" s="39">
        <v>14</v>
      </c>
      <c r="B25" s="40" t="str">
        <f>+'Necesidades Trimestrales'!B24</f>
        <v>2.5.2-1855.77</v>
      </c>
      <c r="C25" s="158" t="str">
        <f>+'Necesidades Trimestrales'!E24</f>
        <v>CORTICOESTEROIDES; TIPO: MONODROGA, DROGA GENERICA: HIDROCORTISONA, FORMA FARMACEUTICA: FRASCO AMPOLLA, PRESENTACION: ENVASE X 500 mGr</v>
      </c>
      <c r="D25" s="158"/>
      <c r="E25" s="158"/>
      <c r="F25" s="158"/>
      <c r="G25" s="158"/>
      <c r="H25" s="39" t="s">
        <v>50</v>
      </c>
      <c r="I25" s="35" t="str">
        <f>+'Necesidades Trimestrales'!F24</f>
        <v>AMPOLLA</v>
      </c>
      <c r="J25" s="36">
        <f>+'Necesidades Trimestrales'!H24</f>
        <v>222</v>
      </c>
      <c r="K25" s="37" t="e">
        <f>'Necesidades Trimestrales'!#REF!</f>
        <v>#REF!</v>
      </c>
      <c r="AMK25" s="61"/>
    </row>
    <row r="26" spans="1:13 1025:1025" ht="46.5" customHeight="1" thickBot="1" x14ac:dyDescent="0.25">
      <c r="A26" s="39">
        <v>15</v>
      </c>
      <c r="B26" s="40" t="str">
        <f>+'Necesidades Trimestrales'!B25</f>
        <v>2.5.2-1875.9</v>
      </c>
      <c r="C26" s="158" t="str">
        <f>+'Necesidades Trimestrales'!E25</f>
        <v>ANTIASMATICO BRONCODILATADOR; TIPO: MONODROGA, DROGA GENERICA: BROMURO DE IPRATROPIO, FORMA FARMACEUTICA: SOLUCION, PRESENTACION: 20 mL</v>
      </c>
      <c r="D26" s="158"/>
      <c r="E26" s="158"/>
      <c r="F26" s="158"/>
      <c r="G26" s="158"/>
      <c r="H26" s="39" t="s">
        <v>50</v>
      </c>
      <c r="I26" s="35" t="str">
        <f>+'Necesidades Trimestrales'!F25</f>
        <v>GOTERO</v>
      </c>
      <c r="J26" s="36">
        <f>+'Necesidades Trimestrales'!H25</f>
        <v>98</v>
      </c>
      <c r="K26" s="37" t="e">
        <f>'Necesidades Trimestrales'!#REF!</f>
        <v>#REF!</v>
      </c>
      <c r="L26" s="159"/>
      <c r="M26" s="160"/>
      <c r="AMK26" s="61"/>
    </row>
    <row r="27" spans="1:13 1025:1025" ht="46.5" customHeight="1" thickBot="1" x14ac:dyDescent="0.25">
      <c r="A27" s="39">
        <v>16</v>
      </c>
      <c r="B27" s="40" t="str">
        <f>+'Necesidades Trimestrales'!B26</f>
        <v>2.5.2-1902.10</v>
      </c>
      <c r="C27" s="158" t="str">
        <f>+'Necesidades Trimestrales'!E26</f>
        <v>DROGAS UTERINAS; TIPO: MONODROGA, DROGA GENERICA: ISOXUPRINA 10 mGr, FORMA FARMACEUTICA: AMPOLLA, PRESENTACION: UNIDAD</v>
      </c>
      <c r="D27" s="158"/>
      <c r="E27" s="158"/>
      <c r="F27" s="158"/>
      <c r="G27" s="158"/>
      <c r="H27" s="39" t="s">
        <v>50</v>
      </c>
      <c r="I27" s="35" t="str">
        <f>+'Necesidades Trimestrales'!F26</f>
        <v>AMPOLLA</v>
      </c>
      <c r="J27" s="36">
        <f>+'Necesidades Trimestrales'!H26</f>
        <v>45</v>
      </c>
      <c r="K27" s="37" t="e">
        <f>'Necesidades Trimestrales'!#REF!</f>
        <v>#REF!</v>
      </c>
      <c r="AMK27" s="61"/>
    </row>
    <row r="28" spans="1:13 1025:1025" ht="46.5" customHeight="1" thickBot="1" x14ac:dyDescent="0.25">
      <c r="A28" s="39">
        <v>17</v>
      </c>
      <c r="B28" s="40" t="str">
        <f>+'Necesidades Trimestrales'!B27</f>
        <v>2.5.2-9051.3</v>
      </c>
      <c r="C28" s="158" t="str">
        <f>+'Necesidades Trimestrales'!E27</f>
        <v>LINIMENTOS; NOMBRE DEL PRODUCTO: OLEO CALCAREO, CALIDAD: MEDICINAL, PRESENTACION: ENVASE X 250 CM3</v>
      </c>
      <c r="D28" s="158"/>
      <c r="E28" s="158"/>
      <c r="F28" s="158"/>
      <c r="G28" s="158"/>
      <c r="H28" s="39" t="s">
        <v>50</v>
      </c>
      <c r="I28" s="35" t="str">
        <f>+'Necesidades Trimestrales'!F27</f>
        <v>UNIDAD</v>
      </c>
      <c r="J28" s="36">
        <f>+'Necesidades Trimestrales'!H27</f>
        <v>364</v>
      </c>
      <c r="K28" s="37" t="e">
        <f>'Necesidades Trimestrales'!#REF!</f>
        <v>#REF!</v>
      </c>
      <c r="AMK28" s="61"/>
    </row>
    <row r="29" spans="1:13 1025:1025" ht="46.5" customHeight="1" thickBot="1" x14ac:dyDescent="0.25">
      <c r="A29" s="39">
        <v>18</v>
      </c>
      <c r="B29" s="40" t="str">
        <f>+'Necesidades Trimestrales'!B28</f>
        <v>2.5.2-2476.12</v>
      </c>
      <c r="C29" s="158" t="str">
        <f>+'Necesidades Trimestrales'!E28</f>
        <v>ANTIALERGICOS-ANTIHISTAMINICOS; TIPO: MONODROGA, DROGA GENERICA: LORATADINA, FORMA FARMACEUTICA: COMPRIMIDO, PRESENTACION: 10 mGr</v>
      </c>
      <c r="D29" s="158"/>
      <c r="E29" s="158"/>
      <c r="F29" s="158"/>
      <c r="G29" s="158"/>
      <c r="H29" s="39" t="s">
        <v>50</v>
      </c>
      <c r="I29" s="35" t="str">
        <f>+'Necesidades Trimestrales'!F28</f>
        <v>COMPRIMIDO</v>
      </c>
      <c r="J29" s="36">
        <f>+'Necesidades Trimestrales'!H28</f>
        <v>2.99</v>
      </c>
      <c r="K29" s="37" t="e">
        <f>'Necesidades Trimestrales'!#REF!</f>
        <v>#REF!</v>
      </c>
      <c r="AMK29" s="61"/>
    </row>
    <row r="30" spans="1:13 1025:1025" ht="46.5" customHeight="1" thickBot="1" x14ac:dyDescent="0.25">
      <c r="A30" s="39">
        <v>19</v>
      </c>
      <c r="B30" s="40" t="str">
        <f>+'Necesidades Trimestrales'!B29</f>
        <v>2.5.2-2476.3</v>
      </c>
      <c r="C30" s="158" t="str">
        <f>+'Necesidades Trimestrales'!E29</f>
        <v>ANTIALERGICOS-ANTIHISTAMINICOS; TIPO: ASOCIACION, DROGA GENERICA: LORATADINA, FORMA FARMACEUTICA: JARABE, PRESENTACION: 60 mL</v>
      </c>
      <c r="D30" s="158"/>
      <c r="E30" s="158"/>
      <c r="F30" s="158"/>
      <c r="G30" s="158"/>
      <c r="H30" s="39" t="s">
        <v>50</v>
      </c>
      <c r="I30" s="35" t="str">
        <f>+'Necesidades Trimestrales'!F29</f>
        <v>FRASCO</v>
      </c>
      <c r="J30" s="36">
        <f>+'Necesidades Trimestrales'!H29</f>
        <v>230</v>
      </c>
      <c r="K30" s="37" t="e">
        <f>'Necesidades Trimestrales'!#REF!</f>
        <v>#REF!</v>
      </c>
      <c r="AMK30" s="61"/>
    </row>
    <row r="31" spans="1:13 1025:1025" ht="46.5" customHeight="1" thickBot="1" x14ac:dyDescent="0.25">
      <c r="A31" s="39">
        <v>20</v>
      </c>
      <c r="B31" s="40" t="str">
        <f>+'Necesidades Trimestrales'!B31</f>
        <v>2.5.2-2200.4</v>
      </c>
      <c r="C31" s="158" t="str">
        <f>+'Necesidades Trimestrales'!E31</f>
        <v>CORTICOIDES; DROGA GENERICA: MEPREDNISONA, FORMA FARMACEUTICA: COMPRIMIDO, PRESENTACION: 4 mGr, TIPO: MONODROGA</v>
      </c>
      <c r="D31" s="158"/>
      <c r="E31" s="158"/>
      <c r="F31" s="158"/>
      <c r="G31" s="158"/>
      <c r="H31" s="39" t="s">
        <v>50</v>
      </c>
      <c r="I31" s="35" t="str">
        <f>+'Necesidades Trimestrales'!F31</f>
        <v>COMPRIMIDO</v>
      </c>
      <c r="J31" s="36">
        <f>+'Necesidades Trimestrales'!H31</f>
        <v>9.8000000000000007</v>
      </c>
      <c r="K31" s="37" t="e">
        <f>'Necesidades Trimestrales'!#REF!</f>
        <v>#REF!</v>
      </c>
      <c r="AMK31" s="61"/>
    </row>
    <row r="32" spans="1:13 1025:1025" ht="46.5" customHeight="1" thickBot="1" x14ac:dyDescent="0.25">
      <c r="A32" s="39">
        <v>21</v>
      </c>
      <c r="B32" s="40" t="str">
        <f>+'Necesidades Trimestrales'!B32</f>
        <v>2.5.2-2200.41</v>
      </c>
      <c r="C32" s="158" t="str">
        <f>+'Necesidades Trimestrales'!E32</f>
        <v>CORTICOIDES; DROGA GENÉRICA: MEPREDNISONA 4 ML/MG, FORMA FARMACEÚTICA: GOTAS</v>
      </c>
      <c r="D32" s="158"/>
      <c r="E32" s="158"/>
      <c r="F32" s="158"/>
      <c r="G32" s="158"/>
      <c r="H32" s="39" t="s">
        <v>50</v>
      </c>
      <c r="I32" s="35" t="str">
        <f>+'Necesidades Trimestrales'!F32</f>
        <v>GOTERO</v>
      </c>
      <c r="J32" s="36">
        <f>+'Necesidades Trimestrales'!H32</f>
        <v>315</v>
      </c>
      <c r="K32" s="37" t="e">
        <f>'Necesidades Trimestrales'!#REF!</f>
        <v>#REF!</v>
      </c>
      <c r="AMK32" s="61"/>
    </row>
    <row r="33" spans="1:12 1025:1025" ht="46.5" customHeight="1" thickBot="1" x14ac:dyDescent="0.25">
      <c r="A33" s="39">
        <v>22</v>
      </c>
      <c r="B33" s="40" t="str">
        <f>+'Necesidades Trimestrales'!B33</f>
        <v>2.5.2-2200.19</v>
      </c>
      <c r="C33" s="158" t="str">
        <f>+'Necesidades Trimestrales'!E33</f>
        <v>CORTICOIDES; DROGA GENERICA: MEPREDNISONA, FORMA FARMACEUTICA: COMPRIMIDO, PRESENTACION: 40 mGr, TIPO: MONODROGA</v>
      </c>
      <c r="D33" s="158"/>
      <c r="E33" s="158"/>
      <c r="F33" s="158"/>
      <c r="G33" s="158"/>
      <c r="H33" s="39" t="s">
        <v>50</v>
      </c>
      <c r="I33" s="35" t="str">
        <f>+'Necesidades Trimestrales'!F33</f>
        <v>COMPRIMIDO</v>
      </c>
      <c r="J33" s="36">
        <f>+'Necesidades Trimestrales'!H33</f>
        <v>45</v>
      </c>
      <c r="K33" s="37" t="e">
        <f>'Necesidades Trimestrales'!#REF!</f>
        <v>#REF!</v>
      </c>
      <c r="AMK33" s="61"/>
    </row>
    <row r="34" spans="1:12 1025:1025" ht="46.5" customHeight="1" thickBot="1" x14ac:dyDescent="0.25">
      <c r="A34" s="39">
        <v>23</v>
      </c>
      <c r="B34" s="40" t="str">
        <f>+'Necesidades Trimestrales'!B34</f>
        <v>2.5.2-1855.105</v>
      </c>
      <c r="C34" s="158" t="str">
        <f>+'Necesidades Trimestrales'!E34</f>
        <v>CORTICOESTEROIDES; TIPO: MONODROGA, DROGA GENERICA: MEPREDNISONA 8 mGr, FORMA FARMACEUTICA: COMPRIMIDO, PRESENTACION: UNIDAD</v>
      </c>
      <c r="D34" s="158"/>
      <c r="E34" s="158"/>
      <c r="F34" s="158"/>
      <c r="G34" s="158"/>
      <c r="H34" s="39" t="s">
        <v>50</v>
      </c>
      <c r="I34" s="35" t="str">
        <f>+'Necesidades Trimestrales'!F34</f>
        <v>COMPRIMIDO</v>
      </c>
      <c r="J34" s="36">
        <f>+'Necesidades Trimestrales'!H34</f>
        <v>17.350000000000001</v>
      </c>
      <c r="K34" s="37" t="e">
        <f>'Necesidades Trimestrales'!#REF!</f>
        <v>#REF!</v>
      </c>
      <c r="AMK34" s="61"/>
    </row>
    <row r="35" spans="1:12 1025:1025" ht="46.5" customHeight="1" thickBot="1" x14ac:dyDescent="0.25">
      <c r="A35" s="39">
        <v>24</v>
      </c>
      <c r="B35" s="40" t="str">
        <f>+'Necesidades Trimestrales'!B35</f>
        <v>2.5.2-1821.487</v>
      </c>
      <c r="C35" s="158" t="str">
        <f>+'Necesidades Trimestrales'!E35</f>
        <v>ANTIBIOTICOS P/PERSONAS; TIPO: MONODROGA, DROGA GENERICA: METRONIDAZOL, FORMA FARMACEUTICA: OVULO, PRESENTACION: UNIDAD</v>
      </c>
      <c r="D35" s="158"/>
      <c r="E35" s="158"/>
      <c r="F35" s="158"/>
      <c r="G35" s="158"/>
      <c r="H35" s="39" t="s">
        <v>50</v>
      </c>
      <c r="I35" s="35" t="str">
        <f>+'Necesidades Trimestrales'!F35</f>
        <v>UNIDAD</v>
      </c>
      <c r="J35" s="36">
        <f>+'Necesidades Trimestrales'!H35</f>
        <v>47.24</v>
      </c>
      <c r="K35" s="37" t="e">
        <f>'Necesidades Trimestrales'!#REF!</f>
        <v>#REF!</v>
      </c>
      <c r="AMK35" s="61"/>
    </row>
    <row r="36" spans="1:12 1025:1025" ht="46.5" customHeight="1" thickBot="1" x14ac:dyDescent="0.25">
      <c r="A36" s="39">
        <v>25</v>
      </c>
      <c r="B36" s="40" t="str">
        <f>+'Necesidades Trimestrales'!B36</f>
        <v>2.5.2-1723.122</v>
      </c>
      <c r="C36" s="158" t="str">
        <f>+'Necesidades Trimestrales'!E36</f>
        <v>ANTISEPTICOS LOCALES P/PERSONA; TIPO: MONODROGA, DROGA GENERICA: NITROFURAZONA, FORMA FARMACEUTICA: APOSITO, PRESENTACION: ENVASE X 20 UN</v>
      </c>
      <c r="D36" s="158"/>
      <c r="E36" s="158"/>
      <c r="F36" s="158"/>
      <c r="G36" s="158"/>
      <c r="H36" s="39" t="s">
        <v>50</v>
      </c>
      <c r="I36" s="35" t="str">
        <f>+'Necesidades Trimestrales'!F36</f>
        <v>CAJA</v>
      </c>
      <c r="J36" s="36">
        <f>+'Necesidades Trimestrales'!H36</f>
        <v>663</v>
      </c>
      <c r="K36" s="37" t="e">
        <f>'Necesidades Trimestrales'!#REF!</f>
        <v>#REF!</v>
      </c>
      <c r="AMK36" s="61"/>
    </row>
    <row r="37" spans="1:12 1025:1025" ht="46.5" customHeight="1" thickBot="1" x14ac:dyDescent="0.25">
      <c r="A37" s="39">
        <v>26</v>
      </c>
      <c r="B37" s="40" t="str">
        <f>+'Necesidades Trimestrales'!B37</f>
        <v>2.5.2-1853.2</v>
      </c>
      <c r="C37" s="158" t="str">
        <f>+'Necesidades Trimestrales'!E37</f>
        <v>OCITOCICOS; TIPO: MONODROGA, DROGA GENERICA: OXITOCINA SINTÉTICA, PRESENTACION: 10 UI, FORMA FARMACEUTICA: AMPOLLA</v>
      </c>
      <c r="D37" s="158"/>
      <c r="E37" s="158"/>
      <c r="F37" s="158"/>
      <c r="G37" s="158"/>
      <c r="H37" s="39" t="s">
        <v>50</v>
      </c>
      <c r="I37" s="35" t="str">
        <f>+'Necesidades Trimestrales'!F37</f>
        <v>AMPOLLA</v>
      </c>
      <c r="J37" s="36">
        <f>+'Necesidades Trimestrales'!H37</f>
        <v>45</v>
      </c>
      <c r="K37" s="37" t="e">
        <f>'Necesidades Trimestrales'!#REF!</f>
        <v>#REF!</v>
      </c>
      <c r="AMK37" s="61"/>
    </row>
    <row r="38" spans="1:12 1025:1025" ht="46.5" customHeight="1" thickBot="1" x14ac:dyDescent="0.25">
      <c r="A38" s="39">
        <v>27</v>
      </c>
      <c r="B38" s="40" t="str">
        <f>+'Necesidades Trimestrales'!B38</f>
        <v>2.5.2-1875.55</v>
      </c>
      <c r="C38" s="158" t="str">
        <f>+'Necesidades Trimestrales'!E38</f>
        <v>ANTIASMATICO BRONCODILATADOR; TIPO: MONODROGA, DROGA GENERICA: SALBUTAMOL, FORMA FARMACEUTICA: AEROSOL, PRESENTACION: 250 DOSIS</v>
      </c>
      <c r="D38" s="158"/>
      <c r="E38" s="158"/>
      <c r="F38" s="158"/>
      <c r="G38" s="158"/>
      <c r="H38" s="39" t="s">
        <v>127</v>
      </c>
      <c r="I38" s="35" t="str">
        <f>+'Necesidades Trimestrales'!F38</f>
        <v>UNIDAD</v>
      </c>
      <c r="J38" s="36">
        <f>+'Necesidades Trimestrales'!H38</f>
        <v>580</v>
      </c>
      <c r="K38" s="37" t="e">
        <f>'Necesidades Trimestrales'!#REF!</f>
        <v>#REF!</v>
      </c>
      <c r="AMK38" s="61"/>
    </row>
    <row r="39" spans="1:12 1025:1025" ht="46.5" customHeight="1" thickBot="1" x14ac:dyDescent="0.25">
      <c r="A39" s="39">
        <v>28</v>
      </c>
      <c r="B39" s="40" t="str">
        <f>+'Necesidades Trimestrales'!B39</f>
        <v>2.5.2-1883.189</v>
      </c>
      <c r="C39" s="158" t="str">
        <f>+'Necesidades Trimestrales'!E39</f>
        <v>ANESTÉSICOS LOCALES; TIPO: ANALGÉSICO LOCAL Y ANTIBACTERIANO, DROGA GENÉRICA: LIDOCAÍNA + SULFADIAZINA + VITAMINA A, FORMA FARMACEÚTICA: CREMA, PRESENTACIÓN: ENVASE X 100 GR</v>
      </c>
      <c r="D39" s="158"/>
      <c r="E39" s="158"/>
      <c r="F39" s="158"/>
      <c r="G39" s="158"/>
      <c r="H39" s="39" t="s">
        <v>50</v>
      </c>
      <c r="I39" s="35" t="str">
        <f>+'Necesidades Trimestrales'!F39</f>
        <v>ENVASE</v>
      </c>
      <c r="J39" s="36">
        <f>+'Necesidades Trimestrales'!H39</f>
        <v>1120</v>
      </c>
      <c r="K39" s="37" t="e">
        <f>'Necesidades Trimestrales'!#REF!</f>
        <v>#REF!</v>
      </c>
      <c r="AMK39" s="61"/>
    </row>
    <row r="40" spans="1:12 1025:1025" ht="46.5" customHeight="1" thickBot="1" x14ac:dyDescent="0.25">
      <c r="A40" s="84">
        <v>29</v>
      </c>
      <c r="B40" s="85" t="str">
        <f>+'Necesidades Trimestrales'!B40</f>
        <v>2.5.2-2481.3</v>
      </c>
      <c r="C40" s="163" t="str">
        <f>+'Necesidades Trimestrales'!E40</f>
        <v>LAXANTES; TIPO: MONODROGA, DROGA GENERICA: VASELINA, FORMA FARMACEUTICA: SOLIDO, PRESENTACION: 1000 GR</v>
      </c>
      <c r="D40" s="163"/>
      <c r="E40" s="163"/>
      <c r="F40" s="163"/>
      <c r="G40" s="163"/>
      <c r="H40" s="84" t="s">
        <v>50</v>
      </c>
      <c r="I40" s="86" t="str">
        <f>+'Necesidades Trimestrales'!F40</f>
        <v>UNIDAD</v>
      </c>
      <c r="J40" s="87">
        <f>+'Necesidades Trimestrales'!H40</f>
        <v>1260</v>
      </c>
      <c r="K40" s="88" t="e">
        <f>'Necesidades Trimestrales'!#REF!</f>
        <v>#REF!</v>
      </c>
      <c r="AMK40" s="61"/>
    </row>
    <row r="41" spans="1:12 1025:1025" ht="21" customHeight="1" thickBot="1" x14ac:dyDescent="0.25">
      <c r="A41" s="39"/>
      <c r="B41" s="40"/>
      <c r="C41" s="164"/>
      <c r="D41" s="165"/>
      <c r="E41" s="165"/>
      <c r="F41" s="165"/>
      <c r="G41" s="166"/>
      <c r="H41" s="39"/>
      <c r="I41" s="35"/>
      <c r="J41" s="36"/>
      <c r="K41" s="37"/>
      <c r="AMK41" s="61"/>
    </row>
    <row r="42" spans="1:12 1025:1025" ht="42.75" customHeight="1" thickBot="1" x14ac:dyDescent="0.25">
      <c r="A42" s="170" t="s">
        <v>145</v>
      </c>
      <c r="B42" s="171"/>
      <c r="C42" s="171"/>
      <c r="D42" s="171"/>
      <c r="E42" s="171"/>
      <c r="F42" s="171"/>
      <c r="G42" s="171"/>
      <c r="H42" s="171"/>
      <c r="I42" s="172"/>
      <c r="J42" s="168" t="e">
        <f>SUMPRODUCT(J12:J40,K12:K40)</f>
        <v>#REF!</v>
      </c>
      <c r="K42" s="169"/>
      <c r="L42" s="38"/>
    </row>
  </sheetData>
  <mergeCells count="54">
    <mergeCell ref="A7:B7"/>
    <mergeCell ref="A8:B8"/>
    <mergeCell ref="C6:K6"/>
    <mergeCell ref="C7:K7"/>
    <mergeCell ref="C3:K3"/>
    <mergeCell ref="C4:K4"/>
    <mergeCell ref="C5:K5"/>
    <mergeCell ref="C8:K8"/>
    <mergeCell ref="A1:I1"/>
    <mergeCell ref="A3:B3"/>
    <mergeCell ref="A4:B4"/>
    <mergeCell ref="A5:B5"/>
    <mergeCell ref="A6:B6"/>
    <mergeCell ref="H10:H11"/>
    <mergeCell ref="I10:I11"/>
    <mergeCell ref="J10:J11"/>
    <mergeCell ref="K10:K11"/>
    <mergeCell ref="J42:K42"/>
    <mergeCell ref="A42:I42"/>
    <mergeCell ref="A10:A11"/>
    <mergeCell ref="C36:G36"/>
    <mergeCell ref="C37:G37"/>
    <mergeCell ref="B10:B11"/>
    <mergeCell ref="C16:G16"/>
    <mergeCell ref="C10:G11"/>
    <mergeCell ref="C29:G29"/>
    <mergeCell ref="C30:G30"/>
    <mergeCell ref="C31:G31"/>
    <mergeCell ref="C32:G32"/>
    <mergeCell ref="C12:G12"/>
    <mergeCell ref="C13:G13"/>
    <mergeCell ref="C20:G20"/>
    <mergeCell ref="C17:G17"/>
    <mergeCell ref="C18:G18"/>
    <mergeCell ref="C40:G40"/>
    <mergeCell ref="C33:G33"/>
    <mergeCell ref="C41:G41"/>
    <mergeCell ref="C39:G39"/>
    <mergeCell ref="C34:G34"/>
    <mergeCell ref="C35:G35"/>
    <mergeCell ref="C38:G38"/>
    <mergeCell ref="C28:G28"/>
    <mergeCell ref="C26:G26"/>
    <mergeCell ref="C27:G27"/>
    <mergeCell ref="L26:M26"/>
    <mergeCell ref="L13:M13"/>
    <mergeCell ref="C14:G14"/>
    <mergeCell ref="C19:G19"/>
    <mergeCell ref="C15:G15"/>
    <mergeCell ref="C24:G24"/>
    <mergeCell ref="C25:G25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9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208" t="s">
        <v>3</v>
      </c>
      <c r="B1" s="208"/>
      <c r="C1" s="208"/>
      <c r="D1" s="209">
        <f>'Necesidades Trimestrales'!C6</f>
        <v>2022</v>
      </c>
      <c r="E1" s="209"/>
      <c r="F1" s="3"/>
      <c r="G1" s="3"/>
      <c r="H1" s="4"/>
      <c r="I1" s="4"/>
      <c r="J1" s="4"/>
      <c r="K1" s="4"/>
      <c r="L1" s="4"/>
      <c r="M1" s="4"/>
      <c r="N1" s="4"/>
      <c r="P1" s="210" t="s">
        <v>23</v>
      </c>
      <c r="Q1" s="21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210"/>
      <c r="Q2" s="210"/>
    </row>
    <row r="4" spans="1:17" s="5" customFormat="1" ht="18" customHeight="1" thickBot="1" x14ac:dyDescent="0.25">
      <c r="A4" s="211" t="s">
        <v>24</v>
      </c>
      <c r="B4" s="211"/>
      <c r="C4" s="211"/>
      <c r="D4" s="211"/>
      <c r="E4" s="211"/>
      <c r="F4" s="211"/>
      <c r="G4" s="212" t="str">
        <f>' NotaPedido DPFARMACIA'!C3</f>
        <v>040 - MINISTERIO DE SALUD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s="89" customFormat="1" ht="18" customHeight="1" thickBot="1" x14ac:dyDescent="0.25">
      <c r="A5" s="203" t="s">
        <v>47</v>
      </c>
      <c r="B5" s="204"/>
      <c r="C5" s="204"/>
      <c r="D5" s="204"/>
      <c r="E5" s="204"/>
      <c r="F5" s="205"/>
      <c r="G5" s="206" t="str">
        <f>' NotaPedido DPFARMACIA'!C4</f>
        <v>011 - DIRECCION PROVINCIAL DE ADMINISTRACION - MS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89" customFormat="1" ht="18" customHeight="1" thickBot="1" x14ac:dyDescent="0.25">
      <c r="A6" s="203" t="s">
        <v>25</v>
      </c>
      <c r="B6" s="204"/>
      <c r="C6" s="204"/>
      <c r="D6" s="204"/>
      <c r="E6" s="204"/>
      <c r="F6" s="205"/>
      <c r="G6" s="206" t="str">
        <f>' NotaPedido DPFARMACIA'!C5</f>
        <v>469 - DIRECCION PROVINCIAL DE FARMACIA E INSUMOS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89" customFormat="1" ht="18" customHeight="1" thickBot="1" x14ac:dyDescent="0.25">
      <c r="A7" s="203" t="s">
        <v>48</v>
      </c>
      <c r="B7" s="204"/>
      <c r="C7" s="204"/>
      <c r="D7" s="204"/>
      <c r="E7" s="204"/>
      <c r="F7" s="205"/>
      <c r="G7" s="206" t="str">
        <f>' NotaPedido DPFARMACIA'!C6</f>
        <v>469 - DIRECCION PROVINCIAL DE FARMACIA E INSUMOS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s="61" customFormat="1" ht="18" customHeight="1" thickBot="1" x14ac:dyDescent="0.25">
      <c r="A8" s="207" t="s">
        <v>26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s="61" customFormat="1" ht="18" customHeight="1" x14ac:dyDescent="0.2">
      <c r="A9" s="197" t="s">
        <v>27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90"/>
      <c r="P9" s="90"/>
      <c r="Q9" s="91"/>
    </row>
    <row r="10" spans="1:17" s="61" customFormat="1" ht="54.75" customHeight="1" x14ac:dyDescent="0.2">
      <c r="A10" s="198" t="str">
        <f>"Autorizo la realización de los  trámites correspondientes, a fin de proveer a  este Organismo los bienes y/o servicios que se detallan en Nota  de Pedido N° " &amp; ' NotaPedido DPFARMACIA'!K1&amp;",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17/2022,  afectando la erogación resultante a los créditos presupuestarios aprobados a favor de esta Unidad Ejecutora, conforme al siguiente detalle: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</row>
    <row r="11" spans="1:17" s="61" customFormat="1" ht="9" customHeight="1" x14ac:dyDescent="0.2">
      <c r="A11" s="92"/>
      <c r="B11" s="93"/>
      <c r="C11" s="93"/>
      <c r="D11" s="93"/>
      <c r="E11" s="93"/>
      <c r="F11" s="93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5"/>
    </row>
    <row r="12" spans="1:17" s="61" customFormat="1" ht="15.75" customHeight="1" x14ac:dyDescent="0.2">
      <c r="A12" s="199" t="s">
        <v>28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s="61" customFormat="1" ht="15.75" customHeight="1" x14ac:dyDescent="0.2">
      <c r="A13" s="200" t="s">
        <v>29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30</v>
      </c>
      <c r="P13" s="201"/>
      <c r="Q13" s="202" t="s">
        <v>31</v>
      </c>
    </row>
    <row r="14" spans="1:17" s="61" customFormat="1" ht="15.75" customHeight="1" x14ac:dyDescent="0.2">
      <c r="A14" s="96" t="s">
        <v>32</v>
      </c>
      <c r="B14" s="97" t="s">
        <v>33</v>
      </c>
      <c r="C14" s="97" t="s">
        <v>34</v>
      </c>
      <c r="D14" s="97" t="s">
        <v>35</v>
      </c>
      <c r="E14" s="97" t="s">
        <v>36</v>
      </c>
      <c r="F14" s="97" t="s">
        <v>37</v>
      </c>
      <c r="G14" s="98" t="s">
        <v>38</v>
      </c>
      <c r="H14" s="97" t="s">
        <v>39</v>
      </c>
      <c r="I14" s="97" t="s">
        <v>40</v>
      </c>
      <c r="J14" s="97" t="s">
        <v>41</v>
      </c>
      <c r="K14" s="97" t="s">
        <v>41</v>
      </c>
      <c r="L14" s="97" t="s">
        <v>42</v>
      </c>
      <c r="M14" s="99" t="s">
        <v>43</v>
      </c>
      <c r="N14" s="100" t="s">
        <v>44</v>
      </c>
      <c r="O14" s="201"/>
      <c r="P14" s="201"/>
      <c r="Q14" s="202"/>
    </row>
    <row r="15" spans="1:17" s="61" customFormat="1" ht="33.75" customHeight="1" x14ac:dyDescent="0.2">
      <c r="A15" s="101">
        <v>30</v>
      </c>
      <c r="B15" s="102"/>
      <c r="C15" s="102"/>
      <c r="D15" s="102">
        <v>1</v>
      </c>
      <c r="E15" s="102"/>
      <c r="F15" s="102">
        <v>4901</v>
      </c>
      <c r="G15" s="102">
        <v>3</v>
      </c>
      <c r="H15" s="102">
        <v>1</v>
      </c>
      <c r="I15" s="102">
        <v>2</v>
      </c>
      <c r="J15" s="102">
        <v>5</v>
      </c>
      <c r="K15" s="102">
        <v>2</v>
      </c>
      <c r="L15" s="102"/>
      <c r="M15" s="103">
        <v>1</v>
      </c>
      <c r="N15" s="104" t="s">
        <v>49</v>
      </c>
      <c r="O15" s="195" t="s">
        <v>149</v>
      </c>
      <c r="P15" s="196"/>
      <c r="Q15" s="105" t="e">
        <f>' NotaPedido DPFARMACIA'!J42</f>
        <v>#REF!</v>
      </c>
    </row>
    <row r="16" spans="1:17" ht="17.25" customHeight="1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9"/>
      <c r="O16" s="190"/>
      <c r="P16" s="190"/>
      <c r="Q16" s="10"/>
    </row>
    <row r="17" spans="1:18" ht="17.25" customHeight="1" x14ac:dyDescent="0.2">
      <c r="A17" s="6"/>
      <c r="B17" s="7"/>
      <c r="C17" s="7"/>
      <c r="D17" s="7"/>
      <c r="E17" s="7"/>
      <c r="F17" s="9"/>
      <c r="G17" s="7"/>
      <c r="H17" s="7"/>
      <c r="I17" s="7"/>
      <c r="J17" s="7"/>
      <c r="K17" s="7"/>
      <c r="L17" s="7"/>
      <c r="M17" s="8"/>
      <c r="N17" s="9"/>
      <c r="O17" s="190"/>
      <c r="P17" s="190"/>
      <c r="Q17" s="10"/>
    </row>
    <row r="18" spans="1:18" ht="17.25" customHeight="1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9"/>
      <c r="O18" s="190"/>
      <c r="P18" s="190"/>
      <c r="Q18" s="10"/>
    </row>
    <row r="19" spans="1:18" ht="17.25" customHeight="1" x14ac:dyDescent="0.2">
      <c r="A19" s="6"/>
      <c r="B19" s="7"/>
      <c r="C19" s="7"/>
      <c r="D19" s="7"/>
      <c r="E19" s="7"/>
      <c r="F19" s="9"/>
      <c r="G19" s="7"/>
      <c r="H19" s="7"/>
      <c r="I19" s="7"/>
      <c r="J19" s="7"/>
      <c r="K19" s="7"/>
      <c r="L19" s="7"/>
      <c r="M19" s="8"/>
      <c r="N19" s="9"/>
      <c r="O19" s="190"/>
      <c r="P19" s="190"/>
      <c r="Q19" s="10"/>
    </row>
    <row r="20" spans="1:18" ht="17.25" customHeight="1" x14ac:dyDescent="0.2">
      <c r="A20" s="6"/>
      <c r="B20" s="7"/>
      <c r="C20" s="7"/>
      <c r="D20" s="7"/>
      <c r="E20" s="7"/>
      <c r="F20" s="9"/>
      <c r="G20" s="7"/>
      <c r="H20" s="7"/>
      <c r="I20" s="7"/>
      <c r="J20" s="7"/>
      <c r="K20" s="7"/>
      <c r="L20" s="7"/>
      <c r="M20" s="8"/>
      <c r="N20" s="9"/>
      <c r="O20" s="190"/>
      <c r="P20" s="190"/>
      <c r="Q20" s="10"/>
    </row>
    <row r="21" spans="1:18" ht="17.25" customHeight="1" x14ac:dyDescent="0.2">
      <c r="A21" s="11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14"/>
      <c r="N21" s="15"/>
      <c r="O21" s="191"/>
      <c r="P21" s="191"/>
      <c r="Q21" s="10"/>
      <c r="R21" s="1"/>
    </row>
    <row r="22" spans="1:18" ht="17.25" customHeight="1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7"/>
      <c r="O22" s="192"/>
      <c r="P22" s="192"/>
      <c r="Q22" s="19"/>
    </row>
    <row r="23" spans="1:18" s="61" customFormat="1" ht="29.25" customHeight="1" x14ac:dyDescent="0.2">
      <c r="A23" s="193" t="s">
        <v>150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06" t="e">
        <f>SUM(Q15:Q22)</f>
        <v>#REF!</v>
      </c>
    </row>
    <row r="24" spans="1:18" s="61" customFormat="1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8" s="61" customFormat="1" ht="17.25" customHeight="1" thickBot="1" x14ac:dyDescent="0.25">
      <c r="A25" s="185" t="s">
        <v>45</v>
      </c>
      <c r="B25" s="186"/>
      <c r="C25" s="186"/>
      <c r="D25" s="186"/>
      <c r="E25" s="186"/>
      <c r="F25" s="187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1:18" s="61" customFormat="1" ht="18" customHeight="1" thickBot="1" x14ac:dyDescent="0.25">
      <c r="A26" s="189" t="str">
        <f>' NotaPedido DPFARMACIA'!C8</f>
        <v>Adquisición de TERAPIA DERMATOLOGICA/SISTEMA GENITOURINARIO Y HORMONAS SEXUALES /HORMONAS SISTEMICAS /CORTICOIDES SISTEMICOS/RESPIRATORIO/ANTIHISTAMINICOS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</row>
    <row r="27" spans="1:18" s="61" customFormat="1" ht="15" customHeight="1" x14ac:dyDescent="0.2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15"/>
  <sheetViews>
    <sheetView zoomScale="85" zoomScaleNormal="85" workbookViewId="0">
      <selection activeCell="M23" sqref="M23"/>
    </sheetView>
  </sheetViews>
  <sheetFormatPr baseColWidth="10" defaultColWidth="9.140625" defaultRowHeight="12.75" x14ac:dyDescent="0.2"/>
  <cols>
    <col min="1" max="1" width="5.5703125" style="34" customWidth="1"/>
    <col min="2" max="2" width="16.5703125" style="34" bestFit="1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55" style="34" customWidth="1"/>
    <col min="8" max="8" width="13.42578125" style="34" customWidth="1"/>
    <col min="9" max="9" width="16" style="34" customWidth="1"/>
    <col min="10" max="10" width="15.5703125" style="34" customWidth="1"/>
    <col min="11" max="11" width="14" style="34" customWidth="1"/>
    <col min="12" max="12" width="15.5703125" style="34" customWidth="1"/>
    <col min="13" max="13" width="5.85546875" style="34" customWidth="1"/>
    <col min="14" max="14" width="9.42578125" style="34" customWidth="1"/>
    <col min="15" max="15" width="5.85546875" style="34" customWidth="1"/>
    <col min="16" max="16" width="12.5703125" style="34" customWidth="1"/>
    <col min="17" max="1025" width="9.140625" style="34"/>
    <col min="1026" max="16384" width="9.140625" style="61"/>
  </cols>
  <sheetData>
    <row r="1" spans="1:12 1025:1025" ht="16.5" thickBot="1" x14ac:dyDescent="0.25">
      <c r="A1" s="174" t="s">
        <v>13</v>
      </c>
      <c r="B1" s="174"/>
      <c r="C1" s="174"/>
      <c r="D1" s="174"/>
      <c r="E1" s="174"/>
      <c r="F1" s="174"/>
      <c r="G1" s="174"/>
      <c r="H1" s="174"/>
      <c r="I1" s="174"/>
      <c r="J1" s="59" t="s">
        <v>14</v>
      </c>
      <c r="K1" s="60" t="s">
        <v>148</v>
      </c>
      <c r="AMK1" s="61"/>
    </row>
    <row r="2" spans="1:12 1025:1025" ht="16.5" thickBot="1" x14ac:dyDescent="0.25">
      <c r="A2" s="62"/>
      <c r="B2" s="62"/>
      <c r="C2" s="62"/>
      <c r="D2" s="63"/>
      <c r="E2" s="63"/>
      <c r="F2" s="63"/>
      <c r="G2" s="63"/>
      <c r="H2" s="64"/>
      <c r="I2" s="63"/>
      <c r="J2" s="63"/>
      <c r="K2" s="63"/>
      <c r="L2" s="63"/>
    </row>
    <row r="3" spans="1:12 1025:1025" ht="16.5" customHeight="1" thickBot="1" x14ac:dyDescent="0.25">
      <c r="A3" s="175" t="s">
        <v>46</v>
      </c>
      <c r="B3" s="176"/>
      <c r="C3" s="181" t="str">
        <f>'Necesidades Trimestrales'!C4</f>
        <v>040 - MINISTERIO DE SALUD</v>
      </c>
      <c r="D3" s="181"/>
      <c r="E3" s="181"/>
      <c r="F3" s="181"/>
      <c r="G3" s="181"/>
      <c r="H3" s="181"/>
      <c r="I3" s="181"/>
      <c r="J3" s="181"/>
      <c r="K3" s="181"/>
      <c r="AMK3" s="61"/>
    </row>
    <row r="4" spans="1:12 1025:1025" ht="16.5" thickBot="1" x14ac:dyDescent="0.25">
      <c r="A4" s="175" t="s">
        <v>47</v>
      </c>
      <c r="B4" s="176"/>
      <c r="C4" s="181" t="str">
        <f>'Necesidades Trimestrales'!C5</f>
        <v>011 - DIRECCION PROVINCIAL DE ADMINISTRACION - MS</v>
      </c>
      <c r="D4" s="181"/>
      <c r="E4" s="181"/>
      <c r="F4" s="181"/>
      <c r="G4" s="181"/>
      <c r="H4" s="181"/>
      <c r="I4" s="181"/>
      <c r="J4" s="181"/>
      <c r="K4" s="181"/>
      <c r="AMK4" s="61"/>
    </row>
    <row r="5" spans="1:12 1025:1025" ht="16.5" customHeight="1" thickBot="1" x14ac:dyDescent="0.25">
      <c r="A5" s="175" t="s">
        <v>25</v>
      </c>
      <c r="B5" s="176"/>
      <c r="C5" s="181" t="s">
        <v>147</v>
      </c>
      <c r="D5" s="181"/>
      <c r="E5" s="181"/>
      <c r="F5" s="181"/>
      <c r="G5" s="181"/>
      <c r="H5" s="181"/>
      <c r="I5" s="181"/>
      <c r="J5" s="181"/>
      <c r="K5" s="181"/>
      <c r="AMK5" s="61"/>
    </row>
    <row r="6" spans="1:12 1025:1025" ht="16.5" customHeight="1" thickBot="1" x14ac:dyDescent="0.25">
      <c r="A6" s="175" t="s">
        <v>48</v>
      </c>
      <c r="B6" s="176"/>
      <c r="C6" s="181" t="s">
        <v>147</v>
      </c>
      <c r="D6" s="181"/>
      <c r="E6" s="181"/>
      <c r="F6" s="181"/>
      <c r="G6" s="181"/>
      <c r="H6" s="181"/>
      <c r="I6" s="181"/>
      <c r="J6" s="181"/>
      <c r="K6" s="181"/>
      <c r="AMK6" s="61"/>
    </row>
    <row r="7" spans="1:12 1025:1025" ht="16.5" customHeight="1" thickBot="1" x14ac:dyDescent="0.25">
      <c r="A7" s="177" t="s">
        <v>15</v>
      </c>
      <c r="B7" s="178"/>
      <c r="C7" s="181" t="s">
        <v>53</v>
      </c>
      <c r="D7" s="181"/>
      <c r="E7" s="181"/>
      <c r="F7" s="181"/>
      <c r="G7" s="181"/>
      <c r="H7" s="181"/>
      <c r="I7" s="181"/>
      <c r="J7" s="181"/>
      <c r="K7" s="181"/>
      <c r="AMK7" s="61"/>
    </row>
    <row r="8" spans="1:12 1025:1025" ht="41.25" customHeight="1" thickBot="1" x14ac:dyDescent="0.25">
      <c r="A8" s="179" t="s">
        <v>16</v>
      </c>
      <c r="B8" s="180"/>
      <c r="C8" s="182" t="s">
        <v>62</v>
      </c>
      <c r="D8" s="183"/>
      <c r="E8" s="183"/>
      <c r="F8" s="183"/>
      <c r="G8" s="183"/>
      <c r="H8" s="183"/>
      <c r="I8" s="183"/>
      <c r="J8" s="183"/>
      <c r="K8" s="184"/>
      <c r="AMK8" s="61"/>
    </row>
    <row r="9" spans="1:12 1025:1025" ht="16.5" thickBot="1" x14ac:dyDescent="0.25">
      <c r="A9" s="65"/>
      <c r="B9" s="65"/>
      <c r="C9" s="65"/>
      <c r="D9" s="66"/>
      <c r="E9" s="66"/>
      <c r="F9" s="66"/>
      <c r="G9" s="66"/>
      <c r="H9" s="67"/>
      <c r="I9" s="66"/>
      <c r="J9" s="66"/>
      <c r="K9" s="66"/>
      <c r="L9" s="66"/>
    </row>
    <row r="10" spans="1:12 1025:1025" ht="13.5" thickBot="1" x14ac:dyDescent="0.25">
      <c r="A10" s="173" t="s">
        <v>17</v>
      </c>
      <c r="B10" s="173" t="s">
        <v>6</v>
      </c>
      <c r="C10" s="167" t="s">
        <v>18</v>
      </c>
      <c r="D10" s="167"/>
      <c r="E10" s="167"/>
      <c r="F10" s="167"/>
      <c r="G10" s="167"/>
      <c r="H10" s="167" t="s">
        <v>19</v>
      </c>
      <c r="I10" s="167" t="s">
        <v>20</v>
      </c>
      <c r="J10" s="167" t="s">
        <v>21</v>
      </c>
      <c r="K10" s="167" t="s">
        <v>22</v>
      </c>
      <c r="AMK10" s="61"/>
    </row>
    <row r="11" spans="1:12 1025:1025" ht="35.25" customHeight="1" thickBot="1" x14ac:dyDescent="0.25">
      <c r="A11" s="173"/>
      <c r="B11" s="173"/>
      <c r="C11" s="167"/>
      <c r="D11" s="167"/>
      <c r="E11" s="167"/>
      <c r="F11" s="167"/>
      <c r="G11" s="167"/>
      <c r="H11" s="167"/>
      <c r="I11" s="167"/>
      <c r="J11" s="167"/>
      <c r="K11" s="167"/>
      <c r="AMK11" s="61"/>
    </row>
    <row r="12" spans="1:12 1025:1025" ht="46.5" customHeight="1" thickBot="1" x14ac:dyDescent="0.25">
      <c r="A12" s="39">
        <v>1</v>
      </c>
      <c r="B12" s="40" t="str">
        <f>+'Necesidades Trimestrales'!B18</f>
        <v>2.5.2-1855.7</v>
      </c>
      <c r="C12" s="158" t="str">
        <f>+'Necesidades Trimestrales'!E18</f>
        <v>CORTICOESTEROIDES; TIPO: MONODROGA, DROGA GENERICA: DEXAMETASONA, FORMA FARMACEUTICA: AMPOLLA, PRESENTACION: 8 mGr</v>
      </c>
      <c r="D12" s="158"/>
      <c r="E12" s="158"/>
      <c r="F12" s="158"/>
      <c r="G12" s="158"/>
      <c r="H12" s="39" t="s">
        <v>50</v>
      </c>
      <c r="I12" s="35" t="str">
        <f>+'Necesidades Trimestrales'!F18</f>
        <v>AMPOLLA</v>
      </c>
      <c r="J12" s="36">
        <f>+'Necesidades Trimestrales'!H18</f>
        <v>45</v>
      </c>
      <c r="K12" s="37" t="e">
        <f>'Necesidades Trimestrales'!#REF!</f>
        <v>#REF!</v>
      </c>
      <c r="AMK12" s="61"/>
    </row>
    <row r="13" spans="1:12 1025:1025" ht="46.5" customHeight="1" thickBot="1" x14ac:dyDescent="0.25">
      <c r="A13" s="39">
        <v>2</v>
      </c>
      <c r="B13" s="40" t="str">
        <f>+'Necesidades Trimestrales'!B24</f>
        <v>2.5.2-1855.77</v>
      </c>
      <c r="C13" s="158" t="str">
        <f>+'Necesidades Trimestrales'!E24</f>
        <v>CORTICOESTEROIDES; TIPO: MONODROGA, DROGA GENERICA: HIDROCORTISONA, FORMA FARMACEUTICA: FRASCO AMPOLLA, PRESENTACION: ENVASE X 500 mGr</v>
      </c>
      <c r="D13" s="158"/>
      <c r="E13" s="158"/>
      <c r="F13" s="158"/>
      <c r="G13" s="158"/>
      <c r="H13" s="39" t="s">
        <v>50</v>
      </c>
      <c r="I13" s="35" t="str">
        <f>+'Necesidades Trimestrales'!F24</f>
        <v>AMPOLLA</v>
      </c>
      <c r="J13" s="36">
        <f>+'Necesidades Trimestrales'!H24</f>
        <v>222</v>
      </c>
      <c r="K13" s="37" t="e">
        <f>'Necesidades Trimestrales'!#REF!</f>
        <v>#REF!</v>
      </c>
      <c r="AMK13" s="61"/>
    </row>
    <row r="14" spans="1:12 1025:1025" ht="17.25" customHeight="1" thickBot="1" x14ac:dyDescent="0.25">
      <c r="A14" s="39"/>
      <c r="B14" s="40"/>
      <c r="C14" s="158"/>
      <c r="D14" s="158"/>
      <c r="E14" s="158"/>
      <c r="F14" s="158"/>
      <c r="G14" s="158"/>
      <c r="H14" s="39"/>
      <c r="I14" s="35"/>
      <c r="J14" s="36"/>
      <c r="K14" s="37"/>
      <c r="AMK14" s="61"/>
    </row>
    <row r="15" spans="1:12 1025:1025" ht="34.5" customHeight="1" thickBot="1" x14ac:dyDescent="0.25">
      <c r="A15" s="213" t="s">
        <v>151</v>
      </c>
      <c r="B15" s="214"/>
      <c r="C15" s="214"/>
      <c r="D15" s="214"/>
      <c r="E15" s="214"/>
      <c r="F15" s="214"/>
      <c r="G15" s="214"/>
      <c r="H15" s="214"/>
      <c r="I15" s="215"/>
      <c r="J15" s="216" t="e">
        <f>SUMPRODUCT(J12:J14,K12:K14)</f>
        <v>#REF!</v>
      </c>
      <c r="K15" s="217"/>
      <c r="L15" s="38"/>
    </row>
  </sheetData>
  <mergeCells count="25">
    <mergeCell ref="A5:B5"/>
    <mergeCell ref="C5:K5"/>
    <mergeCell ref="A1:I1"/>
    <mergeCell ref="A3:B3"/>
    <mergeCell ref="C3:K3"/>
    <mergeCell ref="A4:B4"/>
    <mergeCell ref="C4:K4"/>
    <mergeCell ref="A6:B6"/>
    <mergeCell ref="C6:K6"/>
    <mergeCell ref="A7:B7"/>
    <mergeCell ref="C7:K7"/>
    <mergeCell ref="A8:B8"/>
    <mergeCell ref="C8:K8"/>
    <mergeCell ref="K10:K11"/>
    <mergeCell ref="A10:A11"/>
    <mergeCell ref="B10:B11"/>
    <mergeCell ref="C10:G11"/>
    <mergeCell ref="H10:H11"/>
    <mergeCell ref="I10:I11"/>
    <mergeCell ref="J10:J11"/>
    <mergeCell ref="C14:G14"/>
    <mergeCell ref="A15:I15"/>
    <mergeCell ref="J15:K15"/>
    <mergeCell ref="C13:G13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zoomScale="130" zoomScaleNormal="130" workbookViewId="0">
      <selection activeCell="I32" sqref="I3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08" t="s">
        <v>3</v>
      </c>
      <c r="B1" s="208"/>
      <c r="C1" s="208"/>
      <c r="D1" s="209">
        <f>'Necesidades Trimestrales'!C6</f>
        <v>2022</v>
      </c>
      <c r="E1" s="209"/>
      <c r="F1" s="3"/>
      <c r="G1" s="3"/>
      <c r="H1" s="4"/>
      <c r="I1" s="4"/>
      <c r="J1" s="4"/>
      <c r="K1" s="4"/>
      <c r="L1" s="4"/>
      <c r="M1" s="4"/>
      <c r="N1" s="4"/>
      <c r="P1" s="210" t="s">
        <v>23</v>
      </c>
      <c r="Q1" s="210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210"/>
      <c r="Q2" s="210"/>
    </row>
    <row r="4" spans="1:17" s="5" customFormat="1" ht="18" customHeight="1" thickBot="1" x14ac:dyDescent="0.25">
      <c r="A4" s="211" t="s">
        <v>24</v>
      </c>
      <c r="B4" s="211"/>
      <c r="C4" s="211"/>
      <c r="D4" s="211"/>
      <c r="E4" s="211"/>
      <c r="F4" s="211"/>
      <c r="G4" s="212" t="str">
        <f>' NotaPedido DPSAME'!C3</f>
        <v>040 - MINISTERIO DE SALUD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s="89" customFormat="1" ht="18" customHeight="1" thickBot="1" x14ac:dyDescent="0.25">
      <c r="A5" s="203" t="s">
        <v>47</v>
      </c>
      <c r="B5" s="204"/>
      <c r="C5" s="204"/>
      <c r="D5" s="204"/>
      <c r="E5" s="204"/>
      <c r="F5" s="205"/>
      <c r="G5" s="206" t="str">
        <f>' NotaPedido DPSAME'!C4</f>
        <v>011 - DIRECCION PROVINCIAL DE ADMINISTRACION - MS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</row>
    <row r="6" spans="1:17" s="89" customFormat="1" ht="18" customHeight="1" thickBot="1" x14ac:dyDescent="0.25">
      <c r="A6" s="203" t="s">
        <v>25</v>
      </c>
      <c r="B6" s="204"/>
      <c r="C6" s="204"/>
      <c r="D6" s="204"/>
      <c r="E6" s="204"/>
      <c r="F6" s="205"/>
      <c r="G6" s="206" t="str">
        <f>' NotaPedido DPSAME'!C5</f>
        <v>748 - DIRECCION PROVINCIAL SISTEMA DE ATENCION MEDICA DE EMERGENCIA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s="89" customFormat="1" ht="18" customHeight="1" thickBot="1" x14ac:dyDescent="0.25">
      <c r="A7" s="203" t="s">
        <v>48</v>
      </c>
      <c r="B7" s="204"/>
      <c r="C7" s="204"/>
      <c r="D7" s="204"/>
      <c r="E7" s="204"/>
      <c r="F7" s="205"/>
      <c r="G7" s="206" t="str">
        <f>' NotaPedido DPSAME'!C6</f>
        <v>748 - DIRECCION PROVINCIAL SISTEMA DE ATENCION MEDICA DE EMERGENCIA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</row>
    <row r="8" spans="1:17" s="61" customFormat="1" ht="18" customHeight="1" thickBot="1" x14ac:dyDescent="0.25">
      <c r="A8" s="207" t="s">
        <v>26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</row>
    <row r="9" spans="1:17" s="61" customFormat="1" ht="18" customHeight="1" x14ac:dyDescent="0.2">
      <c r="A9" s="197" t="s">
        <v>27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90"/>
      <c r="P9" s="90"/>
      <c r="Q9" s="91"/>
    </row>
    <row r="10" spans="1:17" s="61" customFormat="1" ht="54.75" customHeight="1" x14ac:dyDescent="0.2">
      <c r="A10" s="198" t="str">
        <f>"Autorizo la realización de los  trámites correspondientes, a fin de proveer a  este Organismo los bienes y/o servicios que se detallan en Nota  de Pedido N° " &amp; ' NotaPedido DPSAME'!K1&amp;",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14/2022,  afectando la erogación resultante a los créditos presupuestarios aprobados a favor de esta Unidad Ejecutora, conforme al siguiente detalle: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</row>
    <row r="11" spans="1:17" s="61" customFormat="1" ht="9" customHeight="1" thickBot="1" x14ac:dyDescent="0.25">
      <c r="A11" s="92"/>
      <c r="B11" s="93"/>
      <c r="C11" s="93"/>
      <c r="D11" s="93"/>
      <c r="E11" s="93"/>
      <c r="F11" s="93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5"/>
    </row>
    <row r="12" spans="1:17" s="61" customFormat="1" ht="15.75" customHeight="1" thickBot="1" x14ac:dyDescent="0.25">
      <c r="A12" s="199" t="s">
        <v>28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</row>
    <row r="13" spans="1:17" s="61" customFormat="1" ht="15.75" customHeight="1" thickBot="1" x14ac:dyDescent="0.25">
      <c r="A13" s="200" t="s">
        <v>29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30</v>
      </c>
      <c r="P13" s="201"/>
      <c r="Q13" s="202" t="s">
        <v>31</v>
      </c>
    </row>
    <row r="14" spans="1:17" s="61" customFormat="1" ht="15.75" customHeight="1" thickBot="1" x14ac:dyDescent="0.25">
      <c r="A14" s="96" t="s">
        <v>32</v>
      </c>
      <c r="B14" s="97" t="s">
        <v>33</v>
      </c>
      <c r="C14" s="97" t="s">
        <v>34</v>
      </c>
      <c r="D14" s="97" t="s">
        <v>35</v>
      </c>
      <c r="E14" s="97" t="s">
        <v>36</v>
      </c>
      <c r="F14" s="97" t="s">
        <v>37</v>
      </c>
      <c r="G14" s="98" t="s">
        <v>38</v>
      </c>
      <c r="H14" s="97" t="s">
        <v>39</v>
      </c>
      <c r="I14" s="97" t="s">
        <v>40</v>
      </c>
      <c r="J14" s="97" t="s">
        <v>41</v>
      </c>
      <c r="K14" s="97" t="s">
        <v>41</v>
      </c>
      <c r="L14" s="97" t="s">
        <v>42</v>
      </c>
      <c r="M14" s="99" t="s">
        <v>43</v>
      </c>
      <c r="N14" s="100" t="s">
        <v>44</v>
      </c>
      <c r="O14" s="201"/>
      <c r="P14" s="201"/>
      <c r="Q14" s="202"/>
    </row>
    <row r="15" spans="1:17" s="61" customFormat="1" ht="36" customHeight="1" x14ac:dyDescent="0.2">
      <c r="A15" s="101">
        <v>31</v>
      </c>
      <c r="B15" s="102"/>
      <c r="C15" s="102"/>
      <c r="D15" s="102">
        <v>1</v>
      </c>
      <c r="E15" s="102"/>
      <c r="F15" s="102">
        <v>4901</v>
      </c>
      <c r="G15" s="102">
        <v>3</v>
      </c>
      <c r="H15" s="102">
        <v>1</v>
      </c>
      <c r="I15" s="102">
        <v>2</v>
      </c>
      <c r="J15" s="102">
        <v>5</v>
      </c>
      <c r="K15" s="102">
        <v>2</v>
      </c>
      <c r="L15" s="102"/>
      <c r="M15" s="103">
        <v>1</v>
      </c>
      <c r="N15" s="104" t="s">
        <v>49</v>
      </c>
      <c r="O15" s="195" t="s">
        <v>149</v>
      </c>
      <c r="P15" s="196"/>
      <c r="Q15" s="105" t="e">
        <f>' NotaPedido DPSAME'!J15</f>
        <v>#REF!</v>
      </c>
    </row>
    <row r="16" spans="1:17" s="61" customFormat="1" ht="17.25" customHeight="1" x14ac:dyDescent="0.2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9"/>
      <c r="N16" s="110"/>
      <c r="O16" s="218"/>
      <c r="P16" s="218"/>
      <c r="Q16" s="111"/>
    </row>
    <row r="17" spans="1:18" s="61" customFormat="1" ht="17.25" customHeight="1" x14ac:dyDescent="0.2">
      <c r="A17" s="107"/>
      <c r="B17" s="108"/>
      <c r="C17" s="108"/>
      <c r="D17" s="108"/>
      <c r="E17" s="108"/>
      <c r="F17" s="110"/>
      <c r="G17" s="108"/>
      <c r="H17" s="108"/>
      <c r="I17" s="108"/>
      <c r="J17" s="108"/>
      <c r="K17" s="108"/>
      <c r="L17" s="108"/>
      <c r="M17" s="109"/>
      <c r="N17" s="110"/>
      <c r="O17" s="218"/>
      <c r="P17" s="218"/>
      <c r="Q17" s="111"/>
    </row>
    <row r="18" spans="1:18" s="61" customFormat="1" ht="17.25" customHeight="1" x14ac:dyDescent="0.2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9"/>
      <c r="N18" s="110"/>
      <c r="O18" s="218"/>
      <c r="P18" s="218"/>
      <c r="Q18" s="111"/>
    </row>
    <row r="19" spans="1:18" s="61" customFormat="1" ht="17.25" customHeight="1" x14ac:dyDescent="0.2">
      <c r="A19" s="107"/>
      <c r="B19" s="108"/>
      <c r="C19" s="108"/>
      <c r="D19" s="108"/>
      <c r="E19" s="108"/>
      <c r="F19" s="110"/>
      <c r="G19" s="108"/>
      <c r="H19" s="108"/>
      <c r="I19" s="108"/>
      <c r="J19" s="108"/>
      <c r="K19" s="108"/>
      <c r="L19" s="108"/>
      <c r="M19" s="109"/>
      <c r="N19" s="110"/>
      <c r="O19" s="218"/>
      <c r="P19" s="218"/>
      <c r="Q19" s="111"/>
    </row>
    <row r="20" spans="1:18" s="61" customFormat="1" ht="17.25" customHeight="1" x14ac:dyDescent="0.2">
      <c r="A20" s="107"/>
      <c r="B20" s="108"/>
      <c r="C20" s="108"/>
      <c r="D20" s="108"/>
      <c r="E20" s="108"/>
      <c r="F20" s="110"/>
      <c r="G20" s="108"/>
      <c r="H20" s="108"/>
      <c r="I20" s="108"/>
      <c r="J20" s="108"/>
      <c r="K20" s="108"/>
      <c r="L20" s="108"/>
      <c r="M20" s="109"/>
      <c r="N20" s="110"/>
      <c r="O20" s="218"/>
      <c r="P20" s="218"/>
      <c r="Q20" s="111"/>
    </row>
    <row r="21" spans="1:18" s="61" customFormat="1" ht="17.25" customHeight="1" x14ac:dyDescent="0.2">
      <c r="A21" s="112"/>
      <c r="B21" s="113"/>
      <c r="C21" s="113"/>
      <c r="D21" s="113"/>
      <c r="E21" s="113"/>
      <c r="F21" s="114"/>
      <c r="G21" s="113"/>
      <c r="H21" s="113"/>
      <c r="I21" s="113"/>
      <c r="J21" s="113"/>
      <c r="K21" s="113"/>
      <c r="L21" s="113"/>
      <c r="M21" s="115"/>
      <c r="N21" s="116"/>
      <c r="O21" s="219"/>
      <c r="P21" s="219"/>
      <c r="Q21" s="111"/>
      <c r="R21" s="90"/>
    </row>
    <row r="22" spans="1:18" s="61" customFormat="1" ht="17.25" customHeight="1" thickBot="1" x14ac:dyDescent="0.25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9"/>
      <c r="N22" s="118"/>
      <c r="O22" s="220"/>
      <c r="P22" s="220"/>
      <c r="Q22" s="120"/>
    </row>
    <row r="23" spans="1:18" s="61" customFormat="1" ht="29.25" customHeight="1" thickBot="1" x14ac:dyDescent="0.25">
      <c r="A23" s="193" t="s">
        <v>152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06" t="e">
        <f>SUM(Q15:Q22)</f>
        <v>#REF!</v>
      </c>
    </row>
    <row r="24" spans="1:18" s="61" customFormat="1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8" s="61" customFormat="1" ht="17.25" customHeight="1" thickBot="1" x14ac:dyDescent="0.25">
      <c r="A25" s="185" t="s">
        <v>45</v>
      </c>
      <c r="B25" s="186"/>
      <c r="C25" s="186"/>
      <c r="D25" s="186"/>
      <c r="E25" s="186"/>
      <c r="F25" s="187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1:18" s="61" customFormat="1" ht="18" customHeight="1" thickBot="1" x14ac:dyDescent="0.25">
      <c r="A26" s="189" t="str">
        <f>' NotaPedido DPSAME'!C8</f>
        <v>Adquisición de TERAPIA DERMATOLOGICA/SISTEMA GENITOURINARIO Y HORMONAS SEXUALES /HORMONAS SISTEMICAS /CORTICOIDES SISTEMICOS/RESPIRATORIO/ANTIHISTAMINICOS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</row>
    <row r="27" spans="1:18" s="61" customFormat="1" ht="30" customHeight="1" thickBot="1" x14ac:dyDescent="0.25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18"/>
  <sheetViews>
    <sheetView zoomScaleNormal="100" workbookViewId="0">
      <selection activeCell="P12" sqref="P12"/>
    </sheetView>
  </sheetViews>
  <sheetFormatPr baseColWidth="10" defaultColWidth="9.140625" defaultRowHeight="12.75" x14ac:dyDescent="0.2"/>
  <cols>
    <col min="1" max="1" width="5.5703125" style="34" customWidth="1"/>
    <col min="2" max="2" width="16.5703125" style="34" bestFit="1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55" style="34" customWidth="1"/>
    <col min="8" max="8" width="13.42578125" style="34" customWidth="1"/>
    <col min="9" max="9" width="16" style="34" customWidth="1"/>
    <col min="10" max="10" width="15.5703125" style="34" customWidth="1"/>
    <col min="11" max="11" width="14" style="34" customWidth="1"/>
    <col min="12" max="12" width="15.5703125" style="34" customWidth="1"/>
    <col min="13" max="13" width="5.85546875" style="34" customWidth="1"/>
    <col min="14" max="14" width="9.42578125" style="34" customWidth="1"/>
    <col min="15" max="15" width="5.85546875" style="34" customWidth="1"/>
    <col min="16" max="16" width="12.5703125" style="34" customWidth="1"/>
    <col min="17" max="1025" width="9.140625" style="34"/>
    <col min="1026" max="16384" width="9.140625" style="61"/>
  </cols>
  <sheetData>
    <row r="1" spans="1:12 1025:1025" ht="16.5" thickBot="1" x14ac:dyDescent="0.25">
      <c r="A1" s="174" t="s">
        <v>13</v>
      </c>
      <c r="B1" s="174"/>
      <c r="C1" s="174"/>
      <c r="D1" s="174"/>
      <c r="E1" s="174"/>
      <c r="F1" s="174"/>
      <c r="G1" s="174"/>
      <c r="H1" s="174"/>
      <c r="I1" s="174"/>
      <c r="J1" s="59" t="s">
        <v>14</v>
      </c>
      <c r="K1" s="60" t="s">
        <v>153</v>
      </c>
      <c r="AMK1" s="61"/>
    </row>
    <row r="2" spans="1:12 1025:1025" ht="16.5" thickBot="1" x14ac:dyDescent="0.25">
      <c r="A2" s="62"/>
      <c r="B2" s="62"/>
      <c r="C2" s="62"/>
      <c r="D2" s="63"/>
      <c r="E2" s="63"/>
      <c r="F2" s="63"/>
      <c r="G2" s="63"/>
      <c r="H2" s="64"/>
      <c r="I2" s="63"/>
      <c r="J2" s="63"/>
      <c r="K2" s="63"/>
      <c r="L2" s="63"/>
    </row>
    <row r="3" spans="1:12 1025:1025" ht="16.5" customHeight="1" thickBot="1" x14ac:dyDescent="0.25">
      <c r="A3" s="175" t="s">
        <v>46</v>
      </c>
      <c r="B3" s="176"/>
      <c r="C3" s="181" t="str">
        <f>'Necesidades Trimestrales'!C4</f>
        <v>040 - MINISTERIO DE SALUD</v>
      </c>
      <c r="D3" s="181"/>
      <c r="E3" s="181"/>
      <c r="F3" s="181"/>
      <c r="G3" s="181"/>
      <c r="H3" s="181"/>
      <c r="I3" s="181"/>
      <c r="J3" s="181"/>
      <c r="K3" s="181"/>
      <c r="AMK3" s="61"/>
    </row>
    <row r="4" spans="1:12 1025:1025" ht="16.5" thickBot="1" x14ac:dyDescent="0.25">
      <c r="A4" s="175" t="s">
        <v>47</v>
      </c>
      <c r="B4" s="176"/>
      <c r="C4" s="181" t="str">
        <f>'Necesidades Trimestrales'!C5</f>
        <v>011 - DIRECCION PROVINCIAL DE ADMINISTRACION - MS</v>
      </c>
      <c r="D4" s="181"/>
      <c r="E4" s="181"/>
      <c r="F4" s="181"/>
      <c r="G4" s="181"/>
      <c r="H4" s="181"/>
      <c r="I4" s="181"/>
      <c r="J4" s="181"/>
      <c r="K4" s="181"/>
      <c r="AMK4" s="61"/>
    </row>
    <row r="5" spans="1:12 1025:1025" ht="16.5" customHeight="1" thickBot="1" x14ac:dyDescent="0.25">
      <c r="A5" s="175" t="s">
        <v>25</v>
      </c>
      <c r="B5" s="176"/>
      <c r="C5" s="181" t="s">
        <v>154</v>
      </c>
      <c r="D5" s="181"/>
      <c r="E5" s="181"/>
      <c r="F5" s="181"/>
      <c r="G5" s="181"/>
      <c r="H5" s="181"/>
      <c r="I5" s="181"/>
      <c r="J5" s="181"/>
      <c r="K5" s="181"/>
      <c r="AMK5" s="61"/>
    </row>
    <row r="6" spans="1:12 1025:1025" ht="16.5" customHeight="1" thickBot="1" x14ac:dyDescent="0.25">
      <c r="A6" s="175" t="s">
        <v>48</v>
      </c>
      <c r="B6" s="176"/>
      <c r="C6" s="181" t="s">
        <v>154</v>
      </c>
      <c r="D6" s="181"/>
      <c r="E6" s="181"/>
      <c r="F6" s="181"/>
      <c r="G6" s="181"/>
      <c r="H6" s="181"/>
      <c r="I6" s="181"/>
      <c r="J6" s="181"/>
      <c r="K6" s="181"/>
      <c r="AMK6" s="61"/>
    </row>
    <row r="7" spans="1:12 1025:1025" ht="16.5" customHeight="1" thickBot="1" x14ac:dyDescent="0.25">
      <c r="A7" s="177" t="s">
        <v>15</v>
      </c>
      <c r="B7" s="178"/>
      <c r="C7" s="181" t="s">
        <v>53</v>
      </c>
      <c r="D7" s="181"/>
      <c r="E7" s="181"/>
      <c r="F7" s="181"/>
      <c r="G7" s="181"/>
      <c r="H7" s="181"/>
      <c r="I7" s="181"/>
      <c r="J7" s="181"/>
      <c r="K7" s="181"/>
      <c r="AMK7" s="61"/>
    </row>
    <row r="8" spans="1:12 1025:1025" ht="41.25" customHeight="1" thickBot="1" x14ac:dyDescent="0.25">
      <c r="A8" s="179" t="s">
        <v>16</v>
      </c>
      <c r="B8" s="180"/>
      <c r="C8" s="182" t="s">
        <v>62</v>
      </c>
      <c r="D8" s="183"/>
      <c r="E8" s="183"/>
      <c r="F8" s="183"/>
      <c r="G8" s="183"/>
      <c r="H8" s="183"/>
      <c r="I8" s="183"/>
      <c r="J8" s="183"/>
      <c r="K8" s="184"/>
      <c r="AMK8" s="61"/>
    </row>
    <row r="9" spans="1:12 1025:1025" ht="16.5" thickBot="1" x14ac:dyDescent="0.25">
      <c r="A9" s="65"/>
      <c r="B9" s="65"/>
      <c r="C9" s="65"/>
      <c r="D9" s="66"/>
      <c r="E9" s="66"/>
      <c r="F9" s="66"/>
      <c r="G9" s="66"/>
      <c r="H9" s="67"/>
      <c r="I9" s="66"/>
      <c r="J9" s="66"/>
      <c r="K9" s="66"/>
      <c r="L9" s="66"/>
    </row>
    <row r="10" spans="1:12 1025:1025" ht="13.5" thickBot="1" x14ac:dyDescent="0.25">
      <c r="A10" s="173" t="s">
        <v>17</v>
      </c>
      <c r="B10" s="173" t="s">
        <v>6</v>
      </c>
      <c r="C10" s="167" t="s">
        <v>18</v>
      </c>
      <c r="D10" s="167"/>
      <c r="E10" s="167"/>
      <c r="F10" s="167"/>
      <c r="G10" s="167"/>
      <c r="H10" s="167" t="s">
        <v>19</v>
      </c>
      <c r="I10" s="167" t="s">
        <v>20</v>
      </c>
      <c r="J10" s="167" t="s">
        <v>21</v>
      </c>
      <c r="K10" s="167" t="s">
        <v>22</v>
      </c>
      <c r="AMK10" s="61"/>
    </row>
    <row r="11" spans="1:12 1025:1025" ht="35.25" customHeight="1" thickBot="1" x14ac:dyDescent="0.25">
      <c r="A11" s="173"/>
      <c r="B11" s="173"/>
      <c r="C11" s="167"/>
      <c r="D11" s="167"/>
      <c r="E11" s="167"/>
      <c r="F11" s="167"/>
      <c r="G11" s="167"/>
      <c r="H11" s="167"/>
      <c r="I11" s="167"/>
      <c r="J11" s="167"/>
      <c r="K11" s="167"/>
      <c r="AMK11" s="61"/>
    </row>
    <row r="12" spans="1:12 1025:1025" ht="46.5" customHeight="1" thickBot="1" x14ac:dyDescent="0.25">
      <c r="A12" s="39">
        <v>1</v>
      </c>
      <c r="B12" s="40" t="str">
        <f>+'Necesidades Trimestrales'!B14</f>
        <v>2.5.2-1855.83</v>
      </c>
      <c r="C12" s="158" t="str">
        <f>+'Necesidades Trimestrales'!E14</f>
        <v>CORTICOESTEROIDES; TIPO: ASOCIACION, DROGA GENERICA: BETAMETASONA ACETATO+FOSFATO, FORMA FARMACEUTICA: AMPOLLA, PRESENTACION: ENVASE X 2 mL</v>
      </c>
      <c r="D12" s="158"/>
      <c r="E12" s="158"/>
      <c r="F12" s="158"/>
      <c r="G12" s="158"/>
      <c r="H12" s="39" t="s">
        <v>50</v>
      </c>
      <c r="I12" s="35" t="str">
        <f>+'Necesidades Trimestrales'!F14</f>
        <v>AMPOLLA</v>
      </c>
      <c r="J12" s="36">
        <f>+'Necesidades Trimestrales'!H14</f>
        <v>447</v>
      </c>
      <c r="K12" s="37" t="e">
        <f>'Necesidades Trimestrales'!#REF!</f>
        <v>#REF!</v>
      </c>
      <c r="AMK12" s="61"/>
    </row>
    <row r="13" spans="1:12 1025:1025" ht="46.5" customHeight="1" thickBot="1" x14ac:dyDescent="0.25">
      <c r="A13" s="39">
        <v>2</v>
      </c>
      <c r="B13" s="40" t="str">
        <f>+'Necesidades Trimestrales'!B17</f>
        <v>2.5.2-1902.14</v>
      </c>
      <c r="C13" s="158" t="str">
        <f>+'Necesidades Trimestrales'!E17</f>
        <v>DROGAS UTERINAS; TIPO: MONODROGA, DROGA GENERICA: CARBETOCIN 100 MCG, FORMA FARMACEUTICA: AMPOLLA, PRESENTACION: UNIDAD</v>
      </c>
      <c r="D13" s="158"/>
      <c r="E13" s="158"/>
      <c r="F13" s="158"/>
      <c r="G13" s="158"/>
      <c r="H13" s="39" t="s">
        <v>50</v>
      </c>
      <c r="I13" s="35" t="str">
        <f>+'Necesidades Trimestrales'!F17</f>
        <v>AMPOLLA</v>
      </c>
      <c r="J13" s="36">
        <f>+'Necesidades Trimestrales'!H17</f>
        <v>5090</v>
      </c>
      <c r="K13" s="37" t="e">
        <f>'Necesidades Trimestrales'!#REF!</f>
        <v>#REF!</v>
      </c>
      <c r="AMK13" s="61"/>
    </row>
    <row r="14" spans="1:12 1025:1025" ht="46.5" customHeight="1" thickBot="1" x14ac:dyDescent="0.25">
      <c r="A14" s="39">
        <v>3</v>
      </c>
      <c r="B14" s="40" t="str">
        <f>+'Necesidades Trimestrales'!B22</f>
        <v>2.5.2-1853.4</v>
      </c>
      <c r="C14" s="158" t="str">
        <f>+'Necesidades Trimestrales'!E22</f>
        <v>OCITOCICOS; TIPO: MONODROGA, DROGA GENERICA: ERGONOVINA, PRESENTACION: 0.2 mGr, FORMA FARMACEUTICA: AMPOLLAS</v>
      </c>
      <c r="D14" s="158"/>
      <c r="E14" s="158"/>
      <c r="F14" s="158"/>
      <c r="G14" s="158"/>
      <c r="H14" s="39" t="s">
        <v>50</v>
      </c>
      <c r="I14" s="35" t="str">
        <f>+'Necesidades Trimestrales'!F22</f>
        <v>AMPOLLA</v>
      </c>
      <c r="J14" s="36">
        <f>+'Necesidades Trimestrales'!H22</f>
        <v>57.8</v>
      </c>
      <c r="K14" s="37" t="e">
        <f>'Necesidades Trimestrales'!#REF!</f>
        <v>#REF!</v>
      </c>
      <c r="AMK14" s="61"/>
    </row>
    <row r="15" spans="1:12 1025:1025" ht="46.5" customHeight="1" thickBot="1" x14ac:dyDescent="0.25">
      <c r="A15" s="39">
        <v>4</v>
      </c>
      <c r="B15" s="40" t="str">
        <f>+'Necesidades Trimestrales'!B26</f>
        <v>2.5.2-1902.10</v>
      </c>
      <c r="C15" s="158" t="str">
        <f>+'Necesidades Trimestrales'!E26</f>
        <v>DROGAS UTERINAS; TIPO: MONODROGA, DROGA GENERICA: ISOXUPRINA 10 mGr, FORMA FARMACEUTICA: AMPOLLA, PRESENTACION: UNIDAD</v>
      </c>
      <c r="D15" s="158"/>
      <c r="E15" s="158"/>
      <c r="F15" s="158"/>
      <c r="G15" s="158"/>
      <c r="H15" s="39" t="s">
        <v>50</v>
      </c>
      <c r="I15" s="35" t="str">
        <f>+'Necesidades Trimestrales'!F26</f>
        <v>AMPOLLA</v>
      </c>
      <c r="J15" s="36">
        <f>+'Necesidades Trimestrales'!H26</f>
        <v>45</v>
      </c>
      <c r="K15" s="37" t="e">
        <f>'Necesidades Trimestrales'!#REF!</f>
        <v>#REF!</v>
      </c>
      <c r="AMK15" s="61"/>
    </row>
    <row r="16" spans="1:12 1025:1025" ht="46.5" customHeight="1" thickBot="1" x14ac:dyDescent="0.25">
      <c r="A16" s="39">
        <v>5</v>
      </c>
      <c r="B16" s="40" t="str">
        <f>+'Necesidades Trimestrales'!B30</f>
        <v>2.5.2-1850.6</v>
      </c>
      <c r="C16" s="158" t="str">
        <f>+'Necesidades Trimestrales'!E30</f>
        <v>GESTAGENO; TIPO: MONODROGA, DROGA GENERICA: MEDROXIPROGESTERONA, FORMA FARMACEUTICA: AMPOLLA, PRESENTACION: 150 mGr</v>
      </c>
      <c r="D16" s="158"/>
      <c r="E16" s="158"/>
      <c r="F16" s="158"/>
      <c r="G16" s="158"/>
      <c r="H16" s="39" t="s">
        <v>50</v>
      </c>
      <c r="I16" s="35" t="str">
        <f>+'Necesidades Trimestrales'!F30</f>
        <v>AMPOLLA</v>
      </c>
      <c r="J16" s="36">
        <f>+'Necesidades Trimestrales'!H30</f>
        <v>605</v>
      </c>
      <c r="K16" s="37" t="e">
        <f>'Necesidades Trimestrales'!#REF!</f>
        <v>#REF!</v>
      </c>
      <c r="AMK16" s="61"/>
    </row>
    <row r="17" spans="1:12 1025:1025" ht="19.5" customHeight="1" thickBot="1" x14ac:dyDescent="0.25">
      <c r="A17" s="39"/>
      <c r="B17" s="40"/>
      <c r="C17" s="158"/>
      <c r="D17" s="158"/>
      <c r="E17" s="158"/>
      <c r="F17" s="158"/>
      <c r="G17" s="158"/>
      <c r="H17" s="39"/>
      <c r="I17" s="35"/>
      <c r="J17" s="36"/>
      <c r="K17" s="37"/>
      <c r="AMK17" s="61"/>
    </row>
    <row r="18" spans="1:12 1025:1025" ht="48" customHeight="1" thickBot="1" x14ac:dyDescent="0.25">
      <c r="A18" s="213" t="s">
        <v>156</v>
      </c>
      <c r="B18" s="214"/>
      <c r="C18" s="214"/>
      <c r="D18" s="214"/>
      <c r="E18" s="214"/>
      <c r="F18" s="214"/>
      <c r="G18" s="214"/>
      <c r="H18" s="214"/>
      <c r="I18" s="215"/>
      <c r="J18" s="216" t="e">
        <f>SUMPRODUCT(J12:J17,K12:K17)</f>
        <v>#REF!</v>
      </c>
      <c r="K18" s="217"/>
      <c r="L18" s="38"/>
    </row>
  </sheetData>
  <mergeCells count="28">
    <mergeCell ref="A5:B5"/>
    <mergeCell ref="C5:K5"/>
    <mergeCell ref="A1:I1"/>
    <mergeCell ref="A3:B3"/>
    <mergeCell ref="C3:K3"/>
    <mergeCell ref="A4:B4"/>
    <mergeCell ref="C4:K4"/>
    <mergeCell ref="A6:B6"/>
    <mergeCell ref="C6:K6"/>
    <mergeCell ref="A7:B7"/>
    <mergeCell ref="C7:K7"/>
    <mergeCell ref="A8:B8"/>
    <mergeCell ref="C8:K8"/>
    <mergeCell ref="C14:G14"/>
    <mergeCell ref="C12:G12"/>
    <mergeCell ref="C13:G13"/>
    <mergeCell ref="K10:K11"/>
    <mergeCell ref="A10:A11"/>
    <mergeCell ref="B10:B11"/>
    <mergeCell ref="C10:G11"/>
    <mergeCell ref="H10:H11"/>
    <mergeCell ref="I10:I11"/>
    <mergeCell ref="J10:J11"/>
    <mergeCell ref="C17:G17"/>
    <mergeCell ref="A18:I18"/>
    <mergeCell ref="J18:K18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zoomScale="130" zoomScaleNormal="130" workbookViewId="0">
      <selection activeCell="R41" sqref="R4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4.42578125" style="122" bestFit="1" customWidth="1"/>
  </cols>
  <sheetData>
    <row r="1" spans="1:19" ht="15.75" customHeight="1" thickBot="1" x14ac:dyDescent="0.3">
      <c r="A1" s="208" t="s">
        <v>3</v>
      </c>
      <c r="B1" s="208"/>
      <c r="C1" s="208"/>
      <c r="D1" s="209">
        <f>'Necesidades Trimestrales'!C6</f>
        <v>2022</v>
      </c>
      <c r="E1" s="209"/>
      <c r="F1" s="3"/>
      <c r="G1" s="3"/>
      <c r="H1" s="4"/>
      <c r="I1" s="4"/>
      <c r="J1" s="4"/>
      <c r="K1" s="4"/>
      <c r="L1" s="4"/>
      <c r="M1" s="4"/>
      <c r="N1" s="4"/>
      <c r="P1" s="210" t="s">
        <v>23</v>
      </c>
      <c r="Q1" s="210"/>
    </row>
    <row r="2" spans="1:19" ht="15.75" customHeight="1" thickBot="1" x14ac:dyDescent="0.25">
      <c r="H2" s="4"/>
      <c r="I2" s="4"/>
      <c r="J2" s="4"/>
      <c r="K2" s="4"/>
      <c r="L2" s="4"/>
      <c r="M2" s="4"/>
      <c r="N2" s="4"/>
      <c r="P2" s="210"/>
      <c r="Q2" s="210"/>
    </row>
    <row r="4" spans="1:19" s="5" customFormat="1" ht="18" customHeight="1" thickBot="1" x14ac:dyDescent="0.25">
      <c r="A4" s="211" t="s">
        <v>24</v>
      </c>
      <c r="B4" s="211"/>
      <c r="C4" s="211"/>
      <c r="D4" s="211"/>
      <c r="E4" s="211"/>
      <c r="F4" s="211"/>
      <c r="G4" s="212" t="str">
        <f>' NotaPedido DPMIA'!C3</f>
        <v>040 - MINISTERIO DE SALUD</v>
      </c>
      <c r="H4" s="212"/>
      <c r="I4" s="212"/>
      <c r="J4" s="212"/>
      <c r="K4" s="212"/>
      <c r="L4" s="212"/>
      <c r="M4" s="212"/>
      <c r="N4" s="212"/>
      <c r="O4" s="212"/>
      <c r="P4" s="212"/>
      <c r="Q4" s="212"/>
      <c r="S4" s="123"/>
    </row>
    <row r="5" spans="1:19" s="89" customFormat="1" ht="18" customHeight="1" thickBot="1" x14ac:dyDescent="0.25">
      <c r="A5" s="203" t="s">
        <v>47</v>
      </c>
      <c r="B5" s="204"/>
      <c r="C5" s="204"/>
      <c r="D5" s="204"/>
      <c r="E5" s="204"/>
      <c r="F5" s="205"/>
      <c r="G5" s="206" t="str">
        <f>' NotaPedido DPMIA'!C4</f>
        <v>011 - DIRECCION PROVINCIAL DE ADMINISTRACION - MS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  <c r="S5" s="124"/>
    </row>
    <row r="6" spans="1:19" s="89" customFormat="1" ht="18" customHeight="1" thickBot="1" x14ac:dyDescent="0.25">
      <c r="A6" s="203" t="s">
        <v>25</v>
      </c>
      <c r="B6" s="204"/>
      <c r="C6" s="204"/>
      <c r="D6" s="204"/>
      <c r="E6" s="204"/>
      <c r="F6" s="205"/>
      <c r="G6" s="206" t="str">
        <f>' NotaPedido DPMIA'!C5</f>
        <v>162 - DIRECCION PROVINCIAL MATERNIDAD, INFANCIA Y ADOLESCENCIA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  <c r="S6" s="124"/>
    </row>
    <row r="7" spans="1:19" s="89" customFormat="1" ht="18" customHeight="1" thickBot="1" x14ac:dyDescent="0.25">
      <c r="A7" s="203" t="s">
        <v>48</v>
      </c>
      <c r="B7" s="204"/>
      <c r="C7" s="204"/>
      <c r="D7" s="204"/>
      <c r="E7" s="204"/>
      <c r="F7" s="205"/>
      <c r="G7" s="206" t="str">
        <f>' NotaPedido DPMIA'!C6</f>
        <v>162 - DIRECCION PROVINCIAL MATERNIDAD, INFANCIA Y ADOLESCENCIA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S7" s="124"/>
    </row>
    <row r="8" spans="1:19" s="61" customFormat="1" ht="18" customHeight="1" thickBot="1" x14ac:dyDescent="0.25">
      <c r="A8" s="207" t="s">
        <v>26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S8" s="125"/>
    </row>
    <row r="9" spans="1:19" s="61" customFormat="1" ht="18" customHeight="1" x14ac:dyDescent="0.2">
      <c r="A9" s="197" t="s">
        <v>27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90"/>
      <c r="P9" s="90"/>
      <c r="Q9" s="91"/>
      <c r="S9" s="125"/>
    </row>
    <row r="10" spans="1:19" s="61" customFormat="1" ht="54.75" customHeight="1" x14ac:dyDescent="0.2">
      <c r="A10" s="198" t="str">
        <f>"Autorizo la realización de los  trámites correspondientes, a fin de proveer a  este Organismo los bienes y/o servicios que se detallan en Nota  de Pedido N° " &amp; ' NotaPedido DPMIA'!K1&amp;",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 04/2022,  afectando la erogación resultante a los créditos presupuestarios aprobados a favor de esta Unidad Ejecutora, conforme al siguiente detalle: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S10" s="125"/>
    </row>
    <row r="11" spans="1:19" s="61" customFormat="1" ht="9" customHeight="1" thickBot="1" x14ac:dyDescent="0.25">
      <c r="A11" s="92"/>
      <c r="B11" s="93"/>
      <c r="C11" s="93"/>
      <c r="D11" s="93"/>
      <c r="E11" s="93"/>
      <c r="F11" s="93"/>
      <c r="G11" s="94"/>
      <c r="H11" s="93"/>
      <c r="I11" s="93"/>
      <c r="J11" s="93"/>
      <c r="K11" s="93"/>
      <c r="L11" s="93"/>
      <c r="M11" s="93"/>
      <c r="N11" s="93"/>
      <c r="O11" s="93"/>
      <c r="P11" s="93"/>
      <c r="Q11" s="95"/>
      <c r="S11" s="125"/>
    </row>
    <row r="12" spans="1:19" s="61" customFormat="1" ht="15.75" customHeight="1" thickBot="1" x14ac:dyDescent="0.25">
      <c r="A12" s="199" t="s">
        <v>28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S12" s="125"/>
    </row>
    <row r="13" spans="1:19" s="61" customFormat="1" ht="15.75" customHeight="1" thickBot="1" x14ac:dyDescent="0.25">
      <c r="A13" s="200" t="s">
        <v>29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1" t="s">
        <v>30</v>
      </c>
      <c r="P13" s="201"/>
      <c r="Q13" s="202" t="s">
        <v>31</v>
      </c>
      <c r="S13" s="125"/>
    </row>
    <row r="14" spans="1:19" s="61" customFormat="1" ht="15.75" customHeight="1" thickBot="1" x14ac:dyDescent="0.25">
      <c r="A14" s="96" t="s">
        <v>32</v>
      </c>
      <c r="B14" s="97" t="s">
        <v>33</v>
      </c>
      <c r="C14" s="97" t="s">
        <v>34</v>
      </c>
      <c r="D14" s="97" t="s">
        <v>35</v>
      </c>
      <c r="E14" s="97" t="s">
        <v>36</v>
      </c>
      <c r="F14" s="97" t="s">
        <v>37</v>
      </c>
      <c r="G14" s="98" t="s">
        <v>38</v>
      </c>
      <c r="H14" s="97" t="s">
        <v>39</v>
      </c>
      <c r="I14" s="97" t="s">
        <v>40</v>
      </c>
      <c r="J14" s="97" t="s">
        <v>41</v>
      </c>
      <c r="K14" s="97" t="s">
        <v>41</v>
      </c>
      <c r="L14" s="97" t="s">
        <v>42</v>
      </c>
      <c r="M14" s="99" t="s">
        <v>43</v>
      </c>
      <c r="N14" s="100" t="s">
        <v>44</v>
      </c>
      <c r="O14" s="201"/>
      <c r="P14" s="201"/>
      <c r="Q14" s="202"/>
      <c r="S14" s="125"/>
    </row>
    <row r="15" spans="1:19" s="61" customFormat="1" ht="33.75" customHeight="1" x14ac:dyDescent="0.2">
      <c r="A15" s="101">
        <v>20</v>
      </c>
      <c r="B15" s="102"/>
      <c r="C15" s="102"/>
      <c r="D15" s="102">
        <v>1</v>
      </c>
      <c r="E15" s="102"/>
      <c r="F15" s="102">
        <v>4901</v>
      </c>
      <c r="G15" s="102">
        <v>3</v>
      </c>
      <c r="H15" s="102">
        <v>1</v>
      </c>
      <c r="I15" s="102">
        <v>2</v>
      </c>
      <c r="J15" s="102">
        <v>5</v>
      </c>
      <c r="K15" s="102">
        <v>2</v>
      </c>
      <c r="L15" s="102"/>
      <c r="M15" s="103">
        <v>1</v>
      </c>
      <c r="N15" s="104" t="s">
        <v>49</v>
      </c>
      <c r="O15" s="195" t="s">
        <v>149</v>
      </c>
      <c r="P15" s="196"/>
      <c r="Q15" s="105">
        <v>5360428</v>
      </c>
      <c r="S15" s="125"/>
    </row>
    <row r="16" spans="1:19" s="61" customFormat="1" ht="33" customHeight="1" x14ac:dyDescent="0.2">
      <c r="A16" s="107">
        <v>20</v>
      </c>
      <c r="B16" s="108"/>
      <c r="C16" s="108"/>
      <c r="D16" s="108">
        <v>3</v>
      </c>
      <c r="E16" s="108"/>
      <c r="F16" s="108">
        <v>4901</v>
      </c>
      <c r="G16" s="108">
        <v>3</v>
      </c>
      <c r="H16" s="108">
        <v>1</v>
      </c>
      <c r="I16" s="108">
        <v>2</v>
      </c>
      <c r="J16" s="108">
        <v>5</v>
      </c>
      <c r="K16" s="108">
        <v>2</v>
      </c>
      <c r="L16" s="108"/>
      <c r="M16" s="109">
        <v>1</v>
      </c>
      <c r="N16" s="126" t="s">
        <v>49</v>
      </c>
      <c r="O16" s="221" t="s">
        <v>149</v>
      </c>
      <c r="P16" s="222"/>
      <c r="Q16" s="111">
        <v>4042702</v>
      </c>
      <c r="S16" s="125"/>
    </row>
    <row r="17" spans="1:19" ht="17.25" customHeight="1" x14ac:dyDescent="0.2">
      <c r="A17" s="6"/>
      <c r="B17" s="7"/>
      <c r="C17" s="7"/>
      <c r="D17" s="7"/>
      <c r="E17" s="7"/>
      <c r="F17" s="9"/>
      <c r="G17" s="7"/>
      <c r="H17" s="7"/>
      <c r="I17" s="7"/>
      <c r="J17" s="7"/>
      <c r="K17" s="7"/>
      <c r="L17" s="7"/>
      <c r="M17" s="8"/>
      <c r="N17" s="9"/>
      <c r="O17" s="190"/>
      <c r="P17" s="190"/>
      <c r="Q17" s="10"/>
    </row>
    <row r="18" spans="1:19" ht="17.25" customHeight="1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9"/>
      <c r="O18" s="190"/>
      <c r="P18" s="190"/>
      <c r="Q18" s="10"/>
    </row>
    <row r="19" spans="1:19" ht="17.25" customHeight="1" x14ac:dyDescent="0.2">
      <c r="A19" s="6"/>
      <c r="B19" s="7"/>
      <c r="C19" s="7"/>
      <c r="D19" s="7"/>
      <c r="E19" s="7"/>
      <c r="F19" s="9"/>
      <c r="G19" s="7"/>
      <c r="H19" s="7"/>
      <c r="I19" s="7"/>
      <c r="J19" s="7"/>
      <c r="K19" s="7"/>
      <c r="L19" s="7"/>
      <c r="M19" s="8"/>
      <c r="N19" s="9"/>
      <c r="O19" s="190"/>
      <c r="P19" s="190"/>
      <c r="Q19" s="10"/>
    </row>
    <row r="20" spans="1:19" ht="17.25" customHeight="1" x14ac:dyDescent="0.2">
      <c r="A20" s="6"/>
      <c r="B20" s="7"/>
      <c r="C20" s="7"/>
      <c r="D20" s="7"/>
      <c r="E20" s="7"/>
      <c r="F20" s="9"/>
      <c r="G20" s="7"/>
      <c r="H20" s="7"/>
      <c r="I20" s="7"/>
      <c r="J20" s="7"/>
      <c r="K20" s="7"/>
      <c r="L20" s="7"/>
      <c r="M20" s="8"/>
      <c r="N20" s="9"/>
      <c r="O20" s="190"/>
      <c r="P20" s="190"/>
      <c r="Q20" s="10"/>
    </row>
    <row r="21" spans="1:19" ht="17.25" customHeight="1" x14ac:dyDescent="0.2">
      <c r="A21" s="11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14"/>
      <c r="N21" s="15"/>
      <c r="O21" s="191"/>
      <c r="P21" s="191"/>
      <c r="Q21" s="10"/>
      <c r="R21" s="1"/>
    </row>
    <row r="22" spans="1:19" ht="17.25" customHeight="1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7"/>
      <c r="O22" s="192"/>
      <c r="P22" s="192"/>
      <c r="Q22" s="19"/>
    </row>
    <row r="23" spans="1:19" s="61" customFormat="1" ht="29.25" customHeight="1" thickBot="1" x14ac:dyDescent="0.25">
      <c r="A23" s="193" t="s">
        <v>155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06">
        <f>SUM(Q15:Q22)</f>
        <v>9403130</v>
      </c>
      <c r="S23" s="125"/>
    </row>
    <row r="24" spans="1:19" s="61" customFormat="1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S24" s="125"/>
    </row>
    <row r="25" spans="1:19" s="61" customFormat="1" ht="17.25" customHeight="1" thickBot="1" x14ac:dyDescent="0.25">
      <c r="A25" s="185" t="s">
        <v>45</v>
      </c>
      <c r="B25" s="186"/>
      <c r="C25" s="186"/>
      <c r="D25" s="186"/>
      <c r="E25" s="186"/>
      <c r="F25" s="187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S25" s="125"/>
    </row>
    <row r="26" spans="1:19" s="61" customFormat="1" ht="18" customHeight="1" thickBot="1" x14ac:dyDescent="0.25">
      <c r="A26" s="189" t="str">
        <f>' NotaPedido DPMIA'!C8</f>
        <v>Adquisición de TERAPIA DERMATOLOGICA/SISTEMA GENITOURINARIO Y HORMONAS SEXUALES /HORMONAS SISTEMICAS /CORTICOIDES SISTEMICOS/RESPIRATORIO/ANTIHISTAMINICOS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S26" s="125"/>
    </row>
    <row r="27" spans="1:19" s="61" customFormat="1" ht="15" customHeight="1" thickBot="1" x14ac:dyDescent="0.25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S27" s="12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</vt:lpstr>
      <vt:lpstr> NotaPedido DPFARMACIA</vt:lpstr>
      <vt:lpstr>Autor Gastar DPFARMACIA</vt:lpstr>
      <vt:lpstr> NotaPedido DPSAME</vt:lpstr>
      <vt:lpstr>Autor Gastar DPSAME</vt:lpstr>
      <vt:lpstr> NotaPedido DPMIA</vt:lpstr>
      <vt:lpstr>Autor Gastar DPMIA</vt:lpstr>
      <vt:lpstr>' NotaPedido DPFARMACIA'!Área_de_impresión</vt:lpstr>
      <vt:lpstr>' NotaPedido DPMIA'!Área_de_impresión</vt:lpstr>
      <vt:lpstr>' NotaPedido DPSAME'!Área_de_impresión</vt:lpstr>
      <vt:lpstr>'Autor Gastar DPFARMACIA'!Área_de_impresión</vt:lpstr>
      <vt:lpstr>'Autor Gastar DPMIA'!Área_de_impresión</vt:lpstr>
      <vt:lpstr>'Autor Gastar DPSAME'!Área_de_impresión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2022-06-02T12:51:07Z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