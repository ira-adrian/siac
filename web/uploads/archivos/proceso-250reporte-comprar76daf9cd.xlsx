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40. Alimentación Entera Serv Nutricion\3. Analisis\"/>
    </mc:Choice>
  </mc:AlternateContent>
  <xr:revisionPtr revIDLastSave="0" documentId="13_ncr:1_{B5BCC07B-D8C5-4D75-BC6B-A6A99383FD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2" l="1"/>
  <c r="M16" i="2"/>
  <c r="Q16" i="2"/>
</calcChain>
</file>

<file path=xl/sharedStrings.xml><?xml version="1.0" encoding="utf-8"?>
<sst xmlns="http://schemas.openxmlformats.org/spreadsheetml/2006/main" count="80" uniqueCount="60">
  <si>
    <t>Número expediente:</t>
  </si>
  <si>
    <t>EX-2022-02123911-   -CAT-SCA#MEC</t>
  </si>
  <si>
    <t>Número proceso de compra:</t>
  </si>
  <si>
    <t>100-0204-CDI22</t>
  </si>
  <si>
    <t>Nombre descriptivo proceso de compra:</t>
  </si>
  <si>
    <t>Adquisición de Alimentos Enterales para ser destinados al Servicio de Nutrición del HISJB</t>
  </si>
  <si>
    <t>Unidad Operativa de Compras:</t>
  </si>
  <si>
    <t>Secretaria de Compras y Abastecimiento</t>
  </si>
  <si>
    <t>Fecha de Apertura:</t>
  </si>
  <si>
    <t>11/11/2022</t>
  </si>
  <si>
    <t>Renglón</t>
  </si>
  <si>
    <t>PRODUMED SRL</t>
  </si>
  <si>
    <t xml:space="preserve">DNM FARMA SA </t>
  </si>
  <si>
    <t>DROGUERIA PHARMA CENTER S.R.L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</si>
  <si>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</si>
  <si>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</si>
  <si>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</si>
  <si>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</si>
  <si>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</si>
  <si>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</si>
  <si>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</si>
  <si>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</si>
  <si>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</si>
  <si>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</si>
  <si>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2.5.2-1903.103 </t>
  </si>
  <si>
    <t xml:space="preserve">RECONSTITUYENTE GENERAL; DROGA GENERICA: ALIMENTO ENTERAL PARA SONDA FORTIFICADO CON 
FIBRAS, FORMA FARMACEUTICA: ENVASE, PRESENTACION: 1 L, TIPO: ASOCIACION </t>
  </si>
  <si>
    <t xml:space="preserve">UNIDAD </t>
  </si>
  <si>
    <t xml:space="preserve">ALIMENTACION ENTERAL COMPLETA X 1000 ML FRESUBIN ORIGINAL DE FRESENIUS 
KABI ANMAT - RNPA 056-00-000699 </t>
  </si>
  <si>
    <t xml:space="preserve">NUTRICION NUTRISON 1.0 X 1000 ML NUTRICIA BAGO (N-1-8) C/P 
</t>
  </si>
  <si>
    <t xml:space="preserve">RECONSTITUYENTE GENERAL; DROGA GENERICA: ALIMENTO ENTERAL PARA SONDA FORTIFICADO CON 
FIBRAS, FORMA FARMACEUTICA: ENVASE, PRESENTACION: 1 L, FRESEUBIN/BBRAUN RNPA 056-00-006285 
</t>
  </si>
  <si>
    <t xml:space="preserve">2 </t>
  </si>
  <si>
    <t xml:space="preserve">2.5.2-1903.106 </t>
  </si>
  <si>
    <t xml:space="preserve">"RECONSTITUYENTE GENERAL; TIPO: ASOCIACIÓN; DROGA GENÉRICA: ALIMENTO ENTERAL PARA SONDA 
SIN FIBRA, NORMOCALÓRICO, INCREMENTADO EN GLUTAMINA Y ARGININA CON APORTE 
DE ACIDOS GRASOS YTRIGLICÉRIDOS; FORMA FARMACEÚTICA: SOLUCIÓN; PRESENTACIÓN: ENVASE X 
500 CM3" </t>
  </si>
  <si>
    <t xml:space="preserve">ALIMENTACION ENTERAL COMPLETA X 500 ML / 500 CC RECONVAN 
DE FRESENIUS KABI ANMAT RNPA 056-00001387 </t>
  </si>
  <si>
    <t xml:space="preserve"> NUTRICION NUTRISON ADVANCED CUBISON X 1 LT C/P  
 </t>
  </si>
  <si>
    <t xml:space="preserve">"RECONSTITUYENTE GENERAL; TIPO: ASOCIACIÓN; DROGA GENÉRICA: ALIMENTO ENTERAL PARA SONDA 
SIN FIBRA, NORMOCALÓRICO, INCREMENTADO EN GLUTAMINA Y ARGININA CON APORTE 
DE ACIDOS GRASOS YTRIGLICÉRIDOS; FORMA FARMACEÚTICA: SOLUCIÓN; PRESENTACIÓN: ENVASE X 
500 CM3" FRESEUBIN/BBRAUN RNPA 056-00-001387 </t>
  </si>
  <si>
    <t xml:space="preserve">3 </t>
  </si>
  <si>
    <t xml:space="preserve">2.5.2-1903.104 </t>
  </si>
  <si>
    <t xml:space="preserve">RECONSTITUYENTE GENERAL; DROGA GENERICA: ALIMENTO ENTERAL PARA SONDA BAJO INDICE 
GLUCEMICO, FORMA FARMACEUTICA: ENVASE, PRESENTACION: 1 L, TIPO: ASOCIACION </t>
  </si>
  <si>
    <t xml:space="preserve"> NUTRICION ADVANCED DIASON X 1000 ML NUTRICIA-BAGO C/P  
 </t>
  </si>
  <si>
    <t xml:space="preserve">RECONSTITUYENTE GENERAL; DROGA GENERICA: ALIMENTO ENTERAL PARA SONDA BAJO INDICE 
GLUCEMICO, FORMA FARMACEUTICA: ENVASE, PRESENTACION: 1 L,  FRESEUBIN/BBRAUN RNPA 
056-00-004022 </t>
  </si>
  <si>
    <t xml:space="preserve">4 </t>
  </si>
  <si>
    <t xml:space="preserve">2.5.2-1903.107 </t>
  </si>
  <si>
    <t xml:space="preserve">RECONSTITUYENTE GENERAL; TIPO: ASOCIACIÓN; DROGA GENÉRICA: ALIMENTO ENTERAL PARA SONDA 
FORTIFICADO CON FIBRAS 1,5 KCAL/ ML + EPA + DHA; 
FORMA FARMACEÚTICA: ENVASE; PRESENTACIÓN: 500 ML </t>
  </si>
  <si>
    <t xml:space="preserve">ALIMENTACION ENTERAL COMPLETA DE ALTA DENSIDAD CALORICA X 500 CC 
FRESUBIN ENERGY DE FRESENIUS KABI ANMAT RNPA 056-00-000740  </t>
  </si>
  <si>
    <t xml:space="preserve"> NUTRICION ADVANCED PROTISON X 500 ML NUTRICIA-BAGO (LIC)  
 </t>
  </si>
  <si>
    <t xml:space="preserve">RECONSTITUYENTE GENERAL; TIPO: ASOCIACIÓN; DROGA GENÉRICA: ALIMENTO ENTERAL PARA SONDA 
FORTIFICADO CON FIBRAS 1,5 KCAL/ ML + EPA + DHA; 
FORMA FARMACEÚTICA: ENVASE; PRESENTACIÓN: 500 ML FRESEUBIN/BBRAUN RNPA 056-00-004022 </t>
  </si>
  <si>
    <t xml:space="preserve">5 </t>
  </si>
  <si>
    <t xml:space="preserve">2.5.2-1903.105 </t>
  </si>
  <si>
    <t xml:space="preserve">RECONSTITUYENTE GENERAL; TIPO: ASOCIACION, DROGA GENERICA: ALIMENTO ENTERAL PARA SONDA 
BAJO INDICE GLUCEMICO, FORMA FARMACEUTICA: SOLUCION, PRESENTACION: ENVASE X 500 
CM3 </t>
  </si>
  <si>
    <t xml:space="preserve">ALIMENTACION ENTERAL COMPLETA X 500 CC - DIBEN DE 500 
CC DE FRESENIUS KABI ANMAT RNPA 056-00-000701  </t>
  </si>
  <si>
    <t xml:space="preserve">NUTRICION ADVANCED DIASON X 1000 ML NUTRICIA-BAGO C/P   
</t>
  </si>
  <si>
    <t xml:space="preserve">RECONSTITUYENTE GENERAL; TIPO: ASOCIACION, DROGA GENERICA: ALIMENTO ENTERAL PARA SONDA 
BAJO INDICE GLUCEMICO, FORMA FARMACEUTICA: SOLUCION, PRESENTACION: ENVASE X 500 
CM3 DIBEN/BBRAUN RNPA 056-00-005791 </t>
  </si>
  <si>
    <t xml:space="preserve">6 </t>
  </si>
  <si>
    <t xml:space="preserve">2.5.2-1903.108 </t>
  </si>
  <si>
    <t xml:space="preserve">RECONSTITUYENTE GENERAL; TIPO: ASOCIACIÓN; DROGA GENÉRICA: CON FIBRAS 4GRS/ BOTELLA 
, 1,5 KCAL/ ML HIPERCALÓRICO E HIPERPROTEICO; FORMA FARMACEÚTICA: LÍQUIDO; 
PRESENTACIÓN: BOTELLA X 200 ML </t>
  </si>
  <si>
    <t xml:space="preserve">SUPLEMENTO ORAL BEBIBLE BOTELLA X 200 ML DIBEN DRINK DE 
FRESENIUS KABI ANMAT RNPA 056-00-005713 </t>
  </si>
  <si>
    <t xml:space="preserve"> NUTRICION DIASIP VAINILLA X 200 ML BOTELLA NUTRICIA-BAGO  
 </t>
  </si>
  <si>
    <t xml:space="preserve">RECONSTITUYENTE GENERAL; TIPO: ASOCIACIÓN; DROGA GENÉRICA: CON FIBRAS 4GRS/ BOTELLA 
, 1,5 KCAL/ ML HIPERCALÓRICO E HIPERPROTEICO; FORMA FARMACEÚTICA: LÍQUIDO; 
PRESENTACIÓN: BOTELLA X 200 ML DIBEN/BBRAUN RNPA 056-00-005712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</si>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</sst>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6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6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1" customWidth="1"/>
    <col min="5" max="5" width="79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3.140625" customWidth="1"/>
    <col min="11" max="11" width="14.28515625" customWidth="1"/>
    <col min="12" max="12" width="17.28515625" customWidth="1"/>
    <col min="13" max="13" width="16.5703125" customWidth="1"/>
    <col min="14" max="14" width="58" customWidth="1"/>
    <col min="15" max="15" width="14.28515625" customWidth="1"/>
    <col min="16" max="16" width="17.28515625" customWidth="1"/>
    <col min="17" max="17" width="16.5703125" customWidth="1"/>
    <col min="18" max="18" width="92.14062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60" x14ac:dyDescent="0.25">
      <c r="A10" t="s">
        <v>23</v>
      </c>
      <c r="B10" t="s">
        <v>23</v>
      </c>
      <c r="C10" t="s">
        <v>24</v>
      </c>
      <c r="D10" s="4" t="s">
        <v>25</v>
      </c>
      <c r="E10">
        <v>2000</v>
      </c>
      <c r="F10" t="s">
        <v>26</v>
      </c>
      <c r="G10" s="3">
        <v>1425</v>
      </c>
      <c r="H10" s="3">
        <v>2000</v>
      </c>
      <c r="I10" s="5">
        <v>2850000</v>
      </c>
      <c r="J10" s="4" t="s">
        <v>27</v>
      </c>
      <c r="K10" s="3">
        <v>679.03</v>
      </c>
      <c r="L10" s="3">
        <v>2000</v>
      </c>
      <c r="M10" s="5">
        <v>1358060</v>
      </c>
      <c r="N10" s="4" t="s">
        <v>28</v>
      </c>
      <c r="O10" s="3">
        <v>2297.6999999999998</v>
      </c>
      <c r="P10" s="3">
        <v>2000</v>
      </c>
      <c r="Q10" s="5">
        <v>4595400</v>
      </c>
      <c r="R10" s="4" t="s">
        <v>29</v>
      </c>
    </row>
    <row r="11" spans="1:18" ht="75" x14ac:dyDescent="0.25">
      <c r="A11" t="s">
        <v>30</v>
      </c>
      <c r="B11" t="s">
        <v>23</v>
      </c>
      <c r="C11" t="s">
        <v>31</v>
      </c>
      <c r="D11" s="4" t="s">
        <v>32</v>
      </c>
      <c r="E11">
        <v>2500</v>
      </c>
      <c r="F11" t="s">
        <v>26</v>
      </c>
      <c r="G11" s="3">
        <v>1415.6</v>
      </c>
      <c r="H11" s="3">
        <v>2500</v>
      </c>
      <c r="I11" s="5">
        <v>3539000</v>
      </c>
      <c r="J11" s="4" t="s">
        <v>33</v>
      </c>
      <c r="K11" s="3">
        <v>722.93</v>
      </c>
      <c r="L11" s="3">
        <v>2500</v>
      </c>
      <c r="M11" s="5">
        <v>1807325</v>
      </c>
      <c r="N11" s="4" t="s">
        <v>34</v>
      </c>
      <c r="O11" s="3">
        <v>1638</v>
      </c>
      <c r="P11" s="3">
        <v>2500</v>
      </c>
      <c r="Q11" s="5">
        <v>4095000</v>
      </c>
      <c r="R11" s="4" t="s">
        <v>35</v>
      </c>
    </row>
    <row r="12" spans="1:18" ht="45" x14ac:dyDescent="0.25">
      <c r="A12" t="s">
        <v>36</v>
      </c>
      <c r="B12" t="s">
        <v>23</v>
      </c>
      <c r="C12" t="s">
        <v>37</v>
      </c>
      <c r="D12" s="4" t="s">
        <v>38</v>
      </c>
      <c r="E12">
        <v>2000</v>
      </c>
      <c r="F12" t="s">
        <v>26</v>
      </c>
      <c r="G12" s="3"/>
      <c r="H12" s="3"/>
      <c r="I12" s="5"/>
      <c r="K12" s="3">
        <v>737.56</v>
      </c>
      <c r="L12" s="3">
        <v>2000</v>
      </c>
      <c r="M12" s="5">
        <v>1475120</v>
      </c>
      <c r="N12" s="4" t="s">
        <v>39</v>
      </c>
      <c r="O12" s="3">
        <v>2767.5</v>
      </c>
      <c r="P12" s="3">
        <v>2000</v>
      </c>
      <c r="Q12" s="5">
        <v>5535000</v>
      </c>
      <c r="R12" s="4" t="s">
        <v>40</v>
      </c>
    </row>
    <row r="13" spans="1:18" ht="60" x14ac:dyDescent="0.25">
      <c r="A13" t="s">
        <v>41</v>
      </c>
      <c r="B13" t="s">
        <v>23</v>
      </c>
      <c r="C13" t="s">
        <v>42</v>
      </c>
      <c r="D13" s="4" t="s">
        <v>43</v>
      </c>
      <c r="E13">
        <v>1500</v>
      </c>
      <c r="F13" t="s">
        <v>26</v>
      </c>
      <c r="G13" s="3">
        <v>1417.62</v>
      </c>
      <c r="H13" s="3">
        <v>1500</v>
      </c>
      <c r="I13" s="5">
        <v>2126430</v>
      </c>
      <c r="J13" s="4" t="s">
        <v>44</v>
      </c>
      <c r="K13" s="3">
        <v>448.78</v>
      </c>
      <c r="L13" s="3">
        <v>1500</v>
      </c>
      <c r="M13" s="5">
        <v>673170</v>
      </c>
      <c r="N13" s="4" t="s">
        <v>45</v>
      </c>
      <c r="O13" s="3">
        <v>1745</v>
      </c>
      <c r="P13" s="3">
        <v>1500</v>
      </c>
      <c r="Q13" s="5">
        <v>2617500</v>
      </c>
      <c r="R13" s="4" t="s">
        <v>46</v>
      </c>
    </row>
    <row r="14" spans="1:18" ht="60" x14ac:dyDescent="0.25">
      <c r="A14" t="s">
        <v>47</v>
      </c>
      <c r="B14" t="s">
        <v>23</v>
      </c>
      <c r="C14" t="s">
        <v>48</v>
      </c>
      <c r="D14" s="4" t="s">
        <v>49</v>
      </c>
      <c r="E14">
        <v>3000</v>
      </c>
      <c r="F14" t="s">
        <v>26</v>
      </c>
      <c r="G14" s="3">
        <v>1145</v>
      </c>
      <c r="H14" s="3">
        <v>3000</v>
      </c>
      <c r="I14" s="5">
        <v>3435000</v>
      </c>
      <c r="J14" s="4" t="s">
        <v>50</v>
      </c>
      <c r="K14" s="3">
        <v>737.56</v>
      </c>
      <c r="L14" s="3">
        <v>3000</v>
      </c>
      <c r="M14" s="5">
        <v>2212680</v>
      </c>
      <c r="N14" s="4" t="s">
        <v>51</v>
      </c>
      <c r="O14" s="3">
        <v>1423.8</v>
      </c>
      <c r="P14" s="3">
        <v>3000</v>
      </c>
      <c r="Q14" s="5">
        <v>4271400</v>
      </c>
      <c r="R14" s="4" t="s">
        <v>52</v>
      </c>
    </row>
    <row r="15" spans="1:18" ht="45" x14ac:dyDescent="0.25">
      <c r="A15" t="s">
        <v>53</v>
      </c>
      <c r="B15" t="s">
        <v>23</v>
      </c>
      <c r="C15" t="s">
        <v>54</v>
      </c>
      <c r="D15" s="4" t="s">
        <v>55</v>
      </c>
      <c r="E15">
        <v>1000</v>
      </c>
      <c r="F15" t="s">
        <v>26</v>
      </c>
      <c r="G15" s="3">
        <v>927.66</v>
      </c>
      <c r="H15" s="3">
        <v>1000</v>
      </c>
      <c r="I15" s="5">
        <v>927660</v>
      </c>
      <c r="J15" s="4" t="s">
        <v>56</v>
      </c>
      <c r="K15" s="3">
        <v>295.12</v>
      </c>
      <c r="L15" s="3">
        <v>1000</v>
      </c>
      <c r="M15" s="5">
        <v>295120</v>
      </c>
      <c r="N15" s="4" t="s">
        <v>57</v>
      </c>
      <c r="O15" s="3">
        <v>857</v>
      </c>
      <c r="P15" s="3">
        <v>1000</v>
      </c>
      <c r="Q15" s="5">
        <v>857000</v>
      </c>
      <c r="R15" s="4" t="s">
        <v>58</v>
      </c>
    </row>
    <row r="16" spans="1:18" x14ac:dyDescent="0.25">
      <c r="C16" t="s">
        <v>59</v>
      </c>
      <c r="D16" s="4"/>
      <c r="G16" s="3"/>
      <c r="H16" s="3"/>
      <c r="I16" s="5">
        <f>SUBTOTAL(109,Table2[Total por renglón])</f>
        <v>12878090</v>
      </c>
      <c r="J16" s="4"/>
      <c r="K16" s="3"/>
      <c r="L16" s="3"/>
      <c r="M16" s="5">
        <f>SUBTOTAL(109,Table3[Total por renglón])</f>
        <v>7821475</v>
      </c>
      <c r="N16" s="4"/>
      <c r="O16" s="3"/>
      <c r="P16" s="3"/>
      <c r="Q16" s="5">
        <f>SUBTOTAL(109,Table4[Total por renglón])</f>
        <v>21971300</v>
      </c>
      <c r="R16" s="4"/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2022-11-11T16:45:40Z</dcterms:created>
  <dcterms:modified xsi:type="dcterms:W3CDTF">2022-11-15T10:56:06Z</dcterms:modified>
</cp:coreProperties>
</file>