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defaultThemeVersion="124226"/>
  <mc:AlternateContent xmlns:mc="http://schemas.openxmlformats.org/markup-compatibility/2006">
    <mc:Choice Requires="x15">
      <x15ac:absPath xmlns:x15ac="http://schemas.microsoft.com/office/spreadsheetml/2010/11/ac" url="C:\Users\RODOLFO SARTOR\Downloads\"/>
    </mc:Choice>
  </mc:AlternateContent>
  <xr:revisionPtr revIDLastSave="0" documentId="8_{62F75126-36EC-43E4-AD00-66BB413FB7C4}" xr6:coauthVersionLast="47" xr6:coauthVersionMax="47" xr10:uidLastSave="{00000000-0000-0000-0000-000000000000}"/>
  <bookViews>
    <workbookView xWindow="-120" yWindow="-120" windowWidth="20730" windowHeight="11160" tabRatio="500" activeTab="1" xr2:uid="{00000000-000D-0000-FFFF-FFFF00000000}"/>
  </bookViews>
  <sheets>
    <sheet name="Necesidades Trimestrales" sheetId="1" r:id="rId1"/>
    <sheet name="NDP" sheetId="2" r:id="rId2"/>
    <sheet name="APG" sheetId="4" r:id="rId3"/>
  </sheets>
  <externalReferences>
    <externalReference r:id="rId4"/>
  </externalReferences>
  <definedNames>
    <definedName name="_xlnm.Print_Area" localSheetId="0">'Necesidades Trimestrales'!$A$1:$I$27</definedName>
  </definedNames>
  <calcPr calcId="181029"/>
</workbook>
</file>

<file path=xl/calcChain.xml><?xml version="1.0" encoding="utf-8"?>
<calcChain xmlns="http://schemas.openxmlformats.org/spreadsheetml/2006/main">
  <c r="H12" i="2" l="1"/>
  <c r="H11" i="2"/>
  <c r="Q20" i="4"/>
  <c r="G5" i="4"/>
  <c r="G4" i="4"/>
  <c r="D10" i="1" l="1"/>
  <c r="D9" i="1" l="1"/>
  <c r="I9" i="1"/>
  <c r="I10" i="1"/>
</calcChain>
</file>

<file path=xl/sharedStrings.xml><?xml version="1.0" encoding="utf-8"?>
<sst xmlns="http://schemas.openxmlformats.org/spreadsheetml/2006/main" count="95" uniqueCount="70">
  <si>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</si>
  <si>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</si>
  <si>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</si>
  <si>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</si>
  <si>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</si>
  <si>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</si>
  <si>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</si>
  <si>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</si>
  <si>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</si>
  <si>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</si>
  <si>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</si>
  <si>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</si>
  <si>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</si>
  <si>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</si>
  <si>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Descripción técnica</t>
  </si>
  <si>
    <t>Plazos y lugares de entrega</t>
  </si>
  <si>
    <t>Calidad Minima esperada</t>
  </si>
  <si>
    <t>Mantenimiento</t>
  </si>
  <si>
    <t>Garantia</t>
  </si>
  <si>
    <t>50 - MINISTERIO DE EDUCACIÓN</t>
  </si>
  <si>
    <t>26 - DIRECCIÓN PROVINCIAL DE ADMINISTRACIÓN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</si>
  <si>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Educación, sito en Avenida Republica de Venezuela S/N° - CAPE- Pabellón N° 15 San Fernando del Valle de Catamarca.  Se presentará Remito que deberá cumplimentar lo dispuesto por la R.G. AFIP  1415/03, sin excepción.</t>
  </si>
  <si>
    <t>LIBRERIA,PAP. Y UTILES OFICINA</t>
  </si>
  <si>
    <t>Unidad</t>
  </si>
  <si>
    <t>2.3.1-6563.129</t>
  </si>
  <si>
    <t>2.3.1-6563.131</t>
  </si>
  <si>
    <t>PAPELES EN HOJA; TIPO PAPEL: PAPEL OBRA, DIMENSION: 21 X 29,7 Cm, GRAMAJE: 80 GR/M, PRESENTACION: RESMA X 500 HOJAS, TIPO DE PAPEL: PAPEL OBRA</t>
  </si>
  <si>
    <t>PAPELES EN HOJA; TIPO PAPEL: PAPEL OBRA, DIMENSION: 21,59 X 35,56 Cm, GRAMAJE: 80 GR/M2, PRESENTACION: RESMA X 500 HOJAS, TIPO DE PAPEL: PAPEL OBRA</t>
  </si>
  <si>
    <t>Especificidades Items N° 1 al 2:</t>
  </si>
  <si>
    <t>NOTA DE PEDIDO</t>
  </si>
  <si>
    <t xml:space="preserve">JURISDICCIÓN: </t>
  </si>
  <si>
    <t>SAF:</t>
  </si>
  <si>
    <t>UNIDAD EJECUTORA:</t>
  </si>
  <si>
    <t>MINISTERIO DE EDUCACIÓN</t>
  </si>
  <si>
    <t xml:space="preserve">DEPENDENCIA SOLICITANTE: </t>
  </si>
  <si>
    <t>PERIODO UTILIZACIÓN:</t>
  </si>
  <si>
    <t>3 (TRES) MESES</t>
  </si>
  <si>
    <t>OBJETO:</t>
  </si>
  <si>
    <t>Adjunta Detalle Técnico</t>
  </si>
  <si>
    <t>NO</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</si>
  <si>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</si>
  <si>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</si>
  <si>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</si>
  <si>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</si>
  <si>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</si>
  <si>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</si>
  <si>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</si>
  <si>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</si>
  <si>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</si>
  <si>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</si>
  <si>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</si>
  <si>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</si>
  <si>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</si>
  <si>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</si>
  <si>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</si>
  <si>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</si>
  <si>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</si>
  <si>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</si>
  <si>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</si>
  <si>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</si>
  <si>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</si>
  <si>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</si>
  <si>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</si>
  <si>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N° 05 -2022</t>
  </si>
  <si>
    <t>ADQUISICIÓN DE PAPEL</t>
  </si>
  <si>
    <t>PAPEL DE ESCRITORIO Y CARTÓN</t>
  </si>
  <si>
    <t>Autorizo la realización de los  trámites correspondientes, a fin de proveer a  este Organismo los bienes que se detallan en Nota  de Pedido N°05/22, afectando la erogación resultante a los créditos presupuestarios aprobados a favor de esta Unidad Ejecutora, conforme al siguiente detalle:</t>
  </si>
  <si>
    <t xml:space="preserve">   ADQUISICIÓN DE PAPEL PARA DEPENDENCIAS DEL MINISTERIO DE EDUCACIÓN.-</t>
  </si>
  <si>
    <t xml:space="preserve">Costo total estimado:  PESOS NOVECIENTOS NOVENTA Y NUEVE MIL CUATROCIENTOS CON 00/100 </t>
  </si>
  <si>
    <t>TOTAL DE PESOS: NOVECIENTOS NOVENTA Y NUEVE MIL CUATROCIENTOS CON 00/100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</si>
</sst>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quot; €&quot;_-;\-* #,##0.00&quot; €&quot;_-;_-* \-??&quot; €&quot;_-;_-@_-"/>
    <numFmt numFmtId="165" formatCode="[$$-2C0A]\ #,##0.00;[$$-2C0A]&quot; -&quot;#,##0.00"/>
    <numFmt numFmtId="166" formatCode="dd\-mm\-yy;@"/>
    <numFmt numFmtId="167" formatCode="_(\$* #,##0.00_);_(\$* \(#,##0.00\);_(\$* \-??_);_(@_)"/>
    <numFmt numFmtId="168" formatCode="[$$-2C0A]\ #,##0.00"/>
  </numFmts>
  <fonts count="26" x14ac:knownFonts="1">
    <font>
      <sz val="10"/>
      <name val="Arial"/>
      <charset val="1"/>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7"/>
      <name val="Times New Roman"/>
      <family val="1"/>
    </font>
    <font>
      <sz val="7"/>
      <color rgb="FF000000"/>
      <name val="Times New Roman"/>
      <family val="1"/>
    </font>
    <font>
      <b/>
      <sz val="11"/>
      <color theme="1"/>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9"/>
      <name val="Times New Roman"/>
      <family val="1"/>
      <charset val="1"/>
    </font>
    <font>
      <sz val="10"/>
      <name val="Arial"/>
      <family val="2"/>
      <charset val="1"/>
    </font>
    <font>
      <sz val="11"/>
      <name val="Times New Roman"/>
      <family val="1"/>
    </font>
    <font>
      <b/>
      <u/>
      <sz val="11"/>
      <name val="Times New Roman"/>
      <family val="1"/>
    </font>
    <font>
      <b/>
      <sz val="9"/>
      <name val="Times New Roman"/>
      <family val="1"/>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s>
  <borders count="58">
    <border>
      <left/>
      <right/>
      <top/>
      <bottom/>
      <diagonal/>
    </border>
    <border>
      <left/>
      <right/>
      <top/>
      <bottom style="thick">
        <color rgb="FF33CCCC"/>
      </bottom>
      <diagonal/>
    </border>
    <border>
      <left style="thick">
        <color auto="1"/>
      </left>
      <right style="thick">
        <color auto="1"/>
      </right>
      <top style="thick">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auto="1"/>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medium">
        <color rgb="FF3D3D3D"/>
      </top>
      <bottom style="thin">
        <color rgb="FF3D3D3D"/>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s>
  <cellStyleXfs count="5">
    <xf numFmtId="0" fontId="0" fillId="0" borderId="0"/>
    <xf numFmtId="164" fontId="3" fillId="0" borderId="0" applyBorder="0" applyProtection="0"/>
    <xf numFmtId="0" fontId="1" fillId="0" borderId="1" applyProtection="0"/>
    <xf numFmtId="0" fontId="2" fillId="2" borderId="0" applyBorder="0" applyProtection="0"/>
    <xf numFmtId="167" fontId="22" fillId="0" borderId="0" applyBorder="0" applyProtection="0"/>
  </cellStyleXfs>
  <cellXfs count="133">
    <xf numFmtId="0" fontId="0" fillId="0" borderId="0" xfId="0"/>
    <xf numFmtId="0" fontId="4" fillId="0" borderId="0" xfId="0" applyFont="1"/>
    <xf numFmtId="0" fontId="7" fillId="0" borderId="0" xfId="0" applyFont="1" applyAlignment="1">
      <alignment horizontal="left" wrapText="1"/>
    </xf>
    <xf numFmtId="0" fontId="7" fillId="0" borderId="0" xfId="0" applyFont="1" applyAlignment="1">
      <alignment horizontal="center" wrapText="1"/>
    </xf>
    <xf numFmtId="0" fontId="8" fillId="0" borderId="2" xfId="0" applyFont="1" applyBorder="1" applyAlignment="1">
      <alignment horizontal="center" vertical="center" wrapText="1"/>
    </xf>
    <xf numFmtId="0" fontId="11" fillId="0" borderId="7" xfId="0" applyFont="1" applyBorder="1"/>
    <xf numFmtId="0" fontId="4" fillId="0" borderId="8" xfId="0" applyFont="1" applyBorder="1"/>
    <xf numFmtId="0" fontId="4" fillId="0" borderId="9" xfId="0" applyFont="1" applyBorder="1"/>
    <xf numFmtId="0" fontId="4" fillId="0" borderId="10" xfId="0" applyFont="1" applyBorder="1"/>
    <xf numFmtId="0" fontId="4" fillId="0" borderId="0" xfId="0" applyFont="1" applyBorder="1"/>
    <xf numFmtId="0" fontId="4" fillId="0" borderId="11" xfId="0" applyFont="1" applyBorder="1"/>
    <xf numFmtId="0" fontId="11" fillId="0" borderId="10" xfId="0" applyFont="1" applyBorder="1" applyAlignment="1">
      <alignment horizontal="left" indent="3"/>
    </xf>
    <xf numFmtId="0" fontId="4" fillId="0" borderId="10" xfId="0" applyFont="1" applyBorder="1" applyAlignment="1">
      <alignment horizontal="left" indent="3"/>
    </xf>
    <xf numFmtId="0" fontId="4" fillId="0" borderId="0" xfId="0" applyFont="1" applyBorder="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left" indent="3"/>
    </xf>
    <xf numFmtId="0" fontId="4" fillId="0" borderId="13" xfId="0" applyFont="1" applyBorder="1"/>
    <xf numFmtId="0" fontId="4" fillId="0" borderId="14" xfId="0" applyFont="1" applyBorder="1"/>
    <xf numFmtId="0" fontId="10" fillId="4" borderId="4" xfId="0" applyFont="1" applyFill="1" applyBorder="1" applyAlignment="1">
      <alignment horizontal="center" vertical="center" wrapText="1"/>
    </xf>
    <xf numFmtId="165" fontId="9" fillId="4" borderId="4" xfId="1" applyNumberFormat="1" applyFont="1" applyFill="1" applyBorder="1" applyAlignment="1" applyProtection="1">
      <alignment horizontal="right" vertical="center" wrapText="1"/>
    </xf>
    <xf numFmtId="165" fontId="9" fillId="4" borderId="5" xfId="1" applyNumberFormat="1" applyFont="1" applyFill="1" applyBorder="1" applyAlignment="1" applyProtection="1">
      <alignment horizontal="right" vertical="center" wrapText="1"/>
    </xf>
    <xf numFmtId="0" fontId="12" fillId="4" borderId="0" xfId="0" applyFont="1" applyFill="1" applyAlignment="1">
      <alignment horizontal="left" wrapText="1" indent="1"/>
    </xf>
    <xf numFmtId="0" fontId="8" fillId="3" borderId="0" xfId="0" applyFont="1" applyFill="1" applyAlignment="1">
      <alignment horizontal="left" wrapText="1"/>
    </xf>
    <xf numFmtId="0" fontId="9" fillId="0" borderId="0" xfId="0" applyFont="1" applyBorder="1" applyAlignment="1">
      <alignment horizontal="center" vertical="center"/>
    </xf>
    <xf numFmtId="0" fontId="10" fillId="4" borderId="0" xfId="0" applyFont="1" applyFill="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165" fontId="9" fillId="4" borderId="0" xfId="1" applyNumberFormat="1" applyFont="1" applyFill="1" applyBorder="1" applyAlignment="1" applyProtection="1">
      <alignment horizontal="right" vertical="center" wrapText="1"/>
    </xf>
    <xf numFmtId="0" fontId="10" fillId="4" borderId="8" xfId="0" applyFont="1" applyFill="1" applyBorder="1" applyAlignment="1">
      <alignment horizontal="center" vertical="center" wrapText="1"/>
    </xf>
    <xf numFmtId="0" fontId="10" fillId="0" borderId="8" xfId="0" applyFont="1" applyBorder="1" applyAlignment="1">
      <alignment horizontal="center" vertical="center" wrapText="1"/>
    </xf>
    <xf numFmtId="0" fontId="9" fillId="3" borderId="3" xfId="0" applyFont="1" applyFill="1" applyBorder="1" applyAlignment="1">
      <alignment horizontal="center" vertical="center"/>
    </xf>
    <xf numFmtId="0" fontId="9" fillId="3" borderId="0" xfId="0" applyFont="1" applyFill="1"/>
    <xf numFmtId="0" fontId="13" fillId="3" borderId="6" xfId="0" applyFont="1" applyFill="1" applyBorder="1"/>
    <xf numFmtId="0" fontId="14" fillId="3" borderId="6" xfId="0" applyFont="1" applyFill="1" applyBorder="1" applyAlignment="1">
      <alignment horizontal="center" vertical="center" wrapText="1"/>
    </xf>
    <xf numFmtId="0" fontId="17" fillId="5" borderId="15" xfId="0" applyFont="1" applyFill="1" applyBorder="1" applyAlignment="1">
      <alignment horizontal="left" vertical="center"/>
    </xf>
    <xf numFmtId="0" fontId="18" fillId="0" borderId="10" xfId="0" applyFont="1" applyBorder="1" applyAlignment="1">
      <alignment vertical="center"/>
    </xf>
    <xf numFmtId="0" fontId="18" fillId="0" borderId="0" xfId="0" applyFont="1" applyBorder="1" applyAlignment="1">
      <alignment vertical="center"/>
    </xf>
    <xf numFmtId="0" fontId="18" fillId="0" borderId="11" xfId="0" applyFont="1" applyBorder="1" applyAlignment="1">
      <alignment vertical="center"/>
    </xf>
    <xf numFmtId="0" fontId="6" fillId="0" borderId="15" xfId="0" applyFont="1" applyBorder="1" applyAlignment="1">
      <alignment horizontal="center" vertical="center" wrapText="1"/>
    </xf>
    <xf numFmtId="0" fontId="20" fillId="0" borderId="15" xfId="0" applyFont="1" applyBorder="1" applyAlignment="1">
      <alignment horizontal="center" vertical="center" wrapText="1"/>
    </xf>
    <xf numFmtId="0" fontId="9" fillId="0" borderId="19" xfId="0" applyFont="1" applyBorder="1" applyAlignment="1">
      <alignment horizontal="center" vertical="center"/>
    </xf>
    <xf numFmtId="0" fontId="10" fillId="4" borderId="6" xfId="0" applyFont="1" applyFill="1" applyBorder="1" applyAlignment="1">
      <alignment horizontal="center" vertical="center" wrapText="1"/>
    </xf>
    <xf numFmtId="0" fontId="10" fillId="0" borderId="6" xfId="0" applyFont="1" applyBorder="1" applyAlignment="1">
      <alignment horizontal="left" vertical="center" wrapText="1"/>
    </xf>
    <xf numFmtId="0" fontId="21" fillId="0" borderId="20" xfId="0" applyFont="1" applyFill="1" applyBorder="1" applyAlignment="1">
      <alignment horizontal="center" vertical="center"/>
    </xf>
    <xf numFmtId="0" fontId="10" fillId="4" borderId="20" xfId="0" applyFont="1" applyFill="1" applyBorder="1" applyAlignment="1">
      <alignment horizontal="center" vertical="center" wrapText="1"/>
    </xf>
    <xf numFmtId="165" fontId="9" fillId="4" borderId="6" xfId="1" applyNumberFormat="1" applyFont="1" applyFill="1" applyBorder="1" applyAlignment="1" applyProtection="1">
      <alignment horizontal="right" vertical="center" wrapText="1"/>
    </xf>
    <xf numFmtId="3" fontId="17" fillId="0" borderId="8" xfId="0" applyNumberFormat="1" applyFont="1" applyBorder="1"/>
    <xf numFmtId="166" fontId="23" fillId="0" borderId="8" xfId="0" applyNumberFormat="1" applyFont="1" applyBorder="1" applyAlignment="1">
      <alignment horizontal="left"/>
    </xf>
    <xf numFmtId="0" fontId="23" fillId="0" borderId="8" xfId="0" applyFont="1" applyBorder="1"/>
    <xf numFmtId="0" fontId="23" fillId="0" borderId="10" xfId="0" applyFont="1" applyBorder="1"/>
    <xf numFmtId="0" fontId="23" fillId="0" borderId="0" xfId="0" applyFont="1"/>
    <xf numFmtId="0" fontId="23" fillId="0" borderId="0" xfId="0" applyFont="1" applyAlignment="1">
      <alignment horizontal="left"/>
    </xf>
    <xf numFmtId="166" fontId="23" fillId="0" borderId="0" xfId="0" applyNumberFormat="1" applyFont="1" applyAlignment="1">
      <alignment horizontal="left"/>
    </xf>
    <xf numFmtId="0" fontId="23" fillId="0" borderId="11" xfId="0" applyFont="1" applyBorder="1"/>
    <xf numFmtId="0" fontId="25" fillId="0" borderId="36" xfId="0" applyFont="1" applyBorder="1" applyAlignment="1">
      <alignment horizontal="center" vertical="center"/>
    </xf>
    <xf numFmtId="0" fontId="25" fillId="0" borderId="37" xfId="0" applyFont="1" applyBorder="1" applyAlignment="1">
      <alignment horizontal="center" vertical="center"/>
    </xf>
    <xf numFmtId="0" fontId="25" fillId="0" borderId="37" xfId="0" applyFont="1" applyBorder="1" applyAlignment="1">
      <alignment horizontal="left" vertical="center"/>
    </xf>
    <xf numFmtId="0" fontId="25" fillId="0" borderId="38" xfId="0" applyFont="1" applyBorder="1" applyAlignment="1">
      <alignment horizontal="center" vertical="center"/>
    </xf>
    <xf numFmtId="0" fontId="25" fillId="0" borderId="39" xfId="0" applyFont="1" applyBorder="1" applyAlignment="1">
      <alignment horizontal="center" vertical="center"/>
    </xf>
    <xf numFmtId="0" fontId="9" fillId="0" borderId="40" xfId="0" applyFont="1" applyBorder="1" applyAlignment="1">
      <alignment horizontal="center" vertical="center"/>
    </xf>
    <xf numFmtId="0" fontId="9" fillId="0" borderId="41" xfId="0" applyFont="1" applyBorder="1" applyAlignment="1">
      <alignment horizontal="center" vertical="center"/>
    </xf>
    <xf numFmtId="0" fontId="9" fillId="0" borderId="42" xfId="0" applyFont="1" applyBorder="1" applyAlignment="1">
      <alignment horizontal="center" vertical="center"/>
    </xf>
    <xf numFmtId="165" fontId="9" fillId="0" borderId="45" xfId="4" applyNumberFormat="1" applyFont="1" applyBorder="1" applyAlignment="1" applyProtection="1">
      <alignment horizontal="center" vertical="center"/>
    </xf>
    <xf numFmtId="0" fontId="23" fillId="0" borderId="46" xfId="0" applyFont="1" applyBorder="1" applyAlignment="1">
      <alignment horizontal="center" vertical="center"/>
    </xf>
    <xf numFmtId="0" fontId="23" fillId="0" borderId="47" xfId="0" applyFont="1" applyBorder="1" applyAlignment="1">
      <alignment horizontal="center" vertical="center"/>
    </xf>
    <xf numFmtId="0" fontId="23" fillId="0" borderId="48" xfId="0" applyFont="1" applyBorder="1" applyAlignment="1">
      <alignment horizontal="center" vertical="center"/>
    </xf>
    <xf numFmtId="0" fontId="23" fillId="0" borderId="49" xfId="0" applyFont="1" applyBorder="1" applyAlignment="1">
      <alignment horizontal="center" vertical="center"/>
    </xf>
    <xf numFmtId="165" fontId="23" fillId="0" borderId="50" xfId="4" applyNumberFormat="1" applyFont="1" applyBorder="1" applyAlignment="1" applyProtection="1">
      <alignment horizontal="center" vertical="center"/>
    </xf>
    <xf numFmtId="0" fontId="23" fillId="0" borderId="51" xfId="0" applyFont="1" applyBorder="1" applyAlignment="1">
      <alignment horizontal="center" vertical="center"/>
    </xf>
    <xf numFmtId="0" fontId="23" fillId="0" borderId="52" xfId="0" applyFont="1" applyBorder="1" applyAlignment="1">
      <alignment horizontal="center" vertical="center"/>
    </xf>
    <xf numFmtId="0" fontId="23" fillId="0" borderId="53" xfId="0" applyFont="1" applyBorder="1" applyAlignment="1">
      <alignment horizontal="center" vertical="center"/>
    </xf>
    <xf numFmtId="165" fontId="23" fillId="0" borderId="54" xfId="4" applyNumberFormat="1" applyFont="1" applyBorder="1" applyAlignment="1" applyProtection="1">
      <alignment horizontal="center" vertical="center"/>
    </xf>
    <xf numFmtId="165" fontId="25" fillId="0" borderId="56" xfId="0" applyNumberFormat="1" applyFont="1" applyBorder="1" applyAlignment="1">
      <alignment horizontal="center" vertical="center"/>
    </xf>
    <xf numFmtId="0" fontId="13" fillId="3" borderId="6" xfId="0" applyFont="1" applyFill="1" applyBorder="1" applyAlignment="1">
      <alignment wrapText="1"/>
    </xf>
    <xf numFmtId="168" fontId="0" fillId="0" borderId="0" xfId="0" applyNumberFormat="1"/>
    <xf numFmtId="0" fontId="4" fillId="4" borderId="0" xfId="0" applyFont="1" applyFill="1" applyBorder="1" applyAlignment="1">
      <alignment horizontal="left" wrapText="1"/>
    </xf>
    <xf numFmtId="0" fontId="4" fillId="4" borderId="11" xfId="0" applyFont="1" applyFill="1" applyBorder="1" applyAlignment="1">
      <alignment horizontal="left" wrapText="1"/>
    </xf>
    <xf numFmtId="0" fontId="4" fillId="4" borderId="0" xfId="0" applyFont="1" applyFill="1" applyBorder="1" applyAlignment="1">
      <alignment horizontal="left"/>
    </xf>
    <xf numFmtId="0" fontId="4" fillId="4" borderId="11" xfId="0" applyFont="1" applyFill="1" applyBorder="1" applyAlignment="1">
      <alignment horizontal="left"/>
    </xf>
    <xf numFmtId="0" fontId="6" fillId="0" borderId="0" xfId="0" applyFont="1" applyBorder="1" applyAlignment="1">
      <alignment horizontal="left" vertical="center" wrapText="1"/>
    </xf>
    <xf numFmtId="0" fontId="5" fillId="0" borderId="0" xfId="0" applyFont="1" applyBorder="1" applyAlignment="1">
      <alignment horizontal="center"/>
    </xf>
    <xf numFmtId="0" fontId="12" fillId="4" borderId="0" xfId="0" applyFont="1" applyFill="1" applyBorder="1" applyAlignment="1">
      <alignment horizontal="left" wrapText="1" indent="1"/>
    </xf>
    <xf numFmtId="0" fontId="19" fillId="0" borderId="15" xfId="0" applyFont="1" applyFill="1" applyBorder="1" applyAlignment="1">
      <alignment horizontal="left" vertical="center" wrapText="1"/>
    </xf>
    <xf numFmtId="0" fontId="20" fillId="3" borderId="15" xfId="0" applyFont="1" applyFill="1" applyBorder="1" applyAlignment="1">
      <alignment horizontal="left"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20" fillId="0" borderId="15" xfId="0" applyFont="1" applyFill="1" applyBorder="1" applyAlignment="1">
      <alignment vertical="center" wrapText="1"/>
    </xf>
    <xf numFmtId="0" fontId="20" fillId="0" borderId="15" xfId="0" applyFont="1" applyFill="1" applyBorder="1" applyAlignment="1">
      <alignment horizontal="left" vertical="center" wrapText="1"/>
    </xf>
    <xf numFmtId="0" fontId="19" fillId="0" borderId="16" xfId="0" applyFont="1" applyBorder="1" applyAlignment="1">
      <alignment horizontal="left" vertical="center"/>
    </xf>
    <xf numFmtId="0" fontId="19" fillId="0" borderId="17" xfId="0" applyFont="1" applyBorder="1" applyAlignment="1">
      <alignment horizontal="left" vertical="center"/>
    </xf>
    <xf numFmtId="0" fontId="19" fillId="0" borderId="18" xfId="0" applyFont="1" applyBorder="1" applyAlignment="1">
      <alignment horizontal="left" vertical="center"/>
    </xf>
    <xf numFmtId="0" fontId="15" fillId="0" borderId="6" xfId="0" applyFont="1" applyBorder="1" applyAlignment="1">
      <alignment horizontal="left" vertical="top" wrapText="1"/>
    </xf>
    <xf numFmtId="0" fontId="20" fillId="0" borderId="15" xfId="0" applyFont="1" applyBorder="1" applyAlignment="1">
      <alignment horizontal="left" vertical="center" wrapText="1"/>
    </xf>
    <xf numFmtId="0" fontId="20" fillId="0" borderId="15" xfId="0" applyFont="1" applyBorder="1" applyAlignment="1">
      <alignment vertical="center" wrapText="1"/>
    </xf>
    <xf numFmtId="0" fontId="23" fillId="0" borderId="30" xfId="0" applyFont="1" applyBorder="1" applyAlignment="1">
      <alignment horizontal="left"/>
    </xf>
    <xf numFmtId="0" fontId="23" fillId="0" borderId="16" xfId="0" applyFont="1" applyBorder="1" applyAlignment="1">
      <alignment horizontal="center"/>
    </xf>
    <xf numFmtId="0" fontId="17" fillId="0" borderId="18" xfId="0" applyFont="1" applyBorder="1" applyAlignment="1">
      <alignment horizontal="center"/>
    </xf>
    <xf numFmtId="0" fontId="17" fillId="0" borderId="21" xfId="0" applyFont="1" applyBorder="1" applyAlignment="1">
      <alignment horizontal="center" vertical="center" wrapText="1"/>
    </xf>
    <xf numFmtId="0" fontId="23" fillId="0" borderId="22" xfId="0" applyFont="1" applyFill="1" applyBorder="1"/>
    <xf numFmtId="0" fontId="23" fillId="0" borderId="23" xfId="0" applyFont="1" applyFill="1" applyBorder="1" applyAlignment="1"/>
    <xf numFmtId="0" fontId="23" fillId="0" borderId="22" xfId="0" applyFont="1" applyFill="1" applyBorder="1" applyAlignment="1">
      <alignment horizontal="left" vertical="center" wrapText="1"/>
    </xf>
    <xf numFmtId="0" fontId="23" fillId="3" borderId="24" xfId="0" applyFont="1" applyFill="1" applyBorder="1" applyAlignment="1">
      <alignment horizontal="left" vertical="center"/>
    </xf>
    <xf numFmtId="0" fontId="23" fillId="3" borderId="25"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27" xfId="0" applyFont="1" applyFill="1" applyBorder="1" applyAlignment="1">
      <alignment wrapText="1"/>
    </xf>
    <xf numFmtId="0" fontId="23" fillId="3" borderId="25" xfId="0" applyFont="1" applyFill="1" applyBorder="1" applyAlignment="1">
      <alignment wrapText="1"/>
    </xf>
    <xf numFmtId="0" fontId="23" fillId="3" borderId="28" xfId="0" applyFont="1" applyFill="1" applyBorder="1" applyAlignment="1">
      <alignment wrapText="1"/>
    </xf>
    <xf numFmtId="0" fontId="23" fillId="0" borderId="24" xfId="0" applyFont="1" applyBorder="1" applyAlignment="1">
      <alignment horizontal="left" vertical="center"/>
    </xf>
    <xf numFmtId="0" fontId="23" fillId="0" borderId="25" xfId="0" applyFont="1" applyBorder="1" applyAlignment="1">
      <alignment horizontal="left" vertical="center"/>
    </xf>
    <xf numFmtId="0" fontId="23" fillId="0" borderId="26" xfId="0" applyFont="1" applyBorder="1" applyAlignment="1">
      <alignment horizontal="left" vertical="center"/>
    </xf>
    <xf numFmtId="0" fontId="23" fillId="0" borderId="23" xfId="0" applyFont="1" applyBorder="1" applyAlignment="1"/>
    <xf numFmtId="0" fontId="24" fillId="0" borderId="29" xfId="0" applyFont="1" applyBorder="1" applyAlignment="1">
      <alignment horizontal="left"/>
    </xf>
    <xf numFmtId="0" fontId="25" fillId="0" borderId="15" xfId="0" applyFont="1" applyBorder="1" applyAlignment="1">
      <alignment vertical="center" wrapText="1"/>
    </xf>
    <xf numFmtId="0" fontId="9" fillId="0" borderId="35" xfId="0" applyFont="1" applyBorder="1" applyAlignment="1">
      <alignment vertical="center" wrapText="1"/>
    </xf>
    <xf numFmtId="0" fontId="9" fillId="0" borderId="57" xfId="0" applyFont="1" applyBorder="1" applyAlignment="1">
      <alignment horizontal="left" vertical="center" wrapText="1" indent="1"/>
    </xf>
    <xf numFmtId="49" fontId="23" fillId="0" borderId="10" xfId="0" applyNumberFormat="1" applyFont="1" applyBorder="1" applyAlignment="1">
      <alignment horizontal="left" vertical="center" wrapText="1"/>
    </xf>
    <xf numFmtId="49" fontId="23" fillId="0" borderId="0" xfId="0" applyNumberFormat="1" applyFont="1" applyBorder="1" applyAlignment="1">
      <alignment horizontal="left" vertical="center" wrapText="1"/>
    </xf>
    <xf numFmtId="49" fontId="23" fillId="0" borderId="11" xfId="0" applyNumberFormat="1" applyFont="1" applyBorder="1" applyAlignment="1">
      <alignment horizontal="left" vertical="center" wrapText="1"/>
    </xf>
    <xf numFmtId="49" fontId="23" fillId="0" borderId="31" xfId="0" applyNumberFormat="1" applyFont="1" applyBorder="1" applyAlignment="1">
      <alignment horizontal="left" vertical="center" wrapText="1"/>
    </xf>
    <xf numFmtId="49" fontId="23" fillId="0" borderId="32" xfId="0" applyNumberFormat="1" applyFont="1" applyBorder="1" applyAlignment="1">
      <alignment horizontal="left" vertical="center" wrapText="1"/>
    </xf>
    <xf numFmtId="49" fontId="23" fillId="0" borderId="33" xfId="0" applyNumberFormat="1" applyFont="1" applyBorder="1" applyAlignment="1">
      <alignment horizontal="left" vertical="center" wrapText="1"/>
    </xf>
    <xf numFmtId="0" fontId="23" fillId="0" borderId="49" xfId="0" applyFont="1" applyBorder="1" applyAlignment="1">
      <alignment horizontal="center"/>
    </xf>
    <xf numFmtId="0" fontId="23" fillId="0" borderId="49" xfId="0" applyFont="1" applyBorder="1" applyAlignment="1">
      <alignment horizontal="center" vertical="center"/>
    </xf>
    <xf numFmtId="0" fontId="23" fillId="0" borderId="52" xfId="0" applyFont="1" applyBorder="1" applyAlignment="1">
      <alignment horizontal="left" vertical="center"/>
    </xf>
    <xf numFmtId="0" fontId="25" fillId="0" borderId="55" xfId="0" applyFont="1" applyBorder="1" applyAlignment="1">
      <alignment horizontal="left" vertical="center" wrapText="1"/>
    </xf>
    <xf numFmtId="0" fontId="9" fillId="0" borderId="30" xfId="0" applyFont="1" applyBorder="1"/>
    <xf numFmtId="0" fontId="25" fillId="0" borderId="30" xfId="0" applyFont="1" applyBorder="1" applyAlignment="1">
      <alignment horizontal="center" vertical="center"/>
    </xf>
    <xf numFmtId="0" fontId="25" fillId="0" borderId="22" xfId="0" applyFont="1" applyBorder="1" applyAlignment="1">
      <alignment horizontal="center" vertical="center"/>
    </xf>
    <xf numFmtId="0" fontId="25" fillId="0" borderId="34" xfId="0" applyFont="1" applyBorder="1" applyAlignment="1">
      <alignment horizontal="center" vertical="center" wrapText="1"/>
    </xf>
    <xf numFmtId="0" fontId="25" fillId="0" borderId="35" xfId="0" applyFont="1" applyBorder="1" applyAlignment="1">
      <alignment horizontal="center" vertical="center"/>
    </xf>
    <xf numFmtId="0" fontId="9" fillId="0" borderId="43" xfId="0" applyFont="1" applyBorder="1" applyAlignment="1">
      <alignment horizontal="left" vertical="center" wrapText="1"/>
    </xf>
    <xf numFmtId="0" fontId="9" fillId="0" borderId="44" xfId="0" applyFont="1" applyBorder="1" applyAlignment="1">
      <alignment horizontal="left" vertical="center" wrapText="1"/>
    </xf>
  </cellXfs>
  <cellStyles count="5">
    <cellStyle name="Encabezado 1" xfId="2" xr:uid="{00000000-0005-0000-0000-000000000000}"/>
    <cellStyle name="Moneda" xfId="1" builtinId="4"/>
    <cellStyle name="Moneda_AUTORIZACION Y NOTA DE PEDIDO" xfId="4" xr:uid="{00000000-0005-0000-0000-000002000000}"/>
    <cellStyle name="Neutral 1" xfId="3"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atos%20cativiela\datos%20cativiela\YANI\Para%20sec%20de%20cpras\Limpieza%20-%202022\NT,%20NDP%20Y%20AP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NDP"/>
      <sheetName val="APG"/>
    </sheetNames>
    <sheetDataSet>
      <sheetData sheetId="0"/>
      <sheetData sheetId="1">
        <row r="3">
          <cell r="C3" t="str">
            <v>50 - MINISTERIO DE EDUCACIÓN</v>
          </cell>
        </row>
        <row r="4">
          <cell r="C4" t="str">
            <v>26 - DIRECCIÓN PROVINCIAL DE ADMINISTRACIÓN</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opLeftCell="A10" zoomScaleNormal="100" workbookViewId="0">
      <selection activeCell="C16" sqref="C16:E16"/>
    </sheetView>
  </sheetViews>
  <sheetFormatPr baseColWidth="10" defaultColWidth="11" defaultRowHeight="12.75" x14ac:dyDescent="0.2"/>
  <cols>
    <col min="1" max="1" width="4.5703125" style="1" customWidth="1"/>
    <col min="2" max="2" width="12.140625" style="1" customWidth="1"/>
    <col min="3" max="3" width="22.5703125" style="1" customWidth="1"/>
    <col min="4" max="4" width="8.42578125" style="1" customWidth="1"/>
    <col min="5" max="5" width="88.5703125" style="1" customWidth="1"/>
    <col min="6" max="6" width="11" style="1"/>
    <col min="7" max="7" width="12.7109375" style="1" customWidth="1"/>
    <col min="8" max="8" width="13.85546875" style="1" customWidth="1"/>
    <col min="9" max="9" width="13" style="1" customWidth="1"/>
    <col min="10" max="16384" width="11" style="1"/>
  </cols>
  <sheetData>
    <row r="1" spans="1:9" ht="27" x14ac:dyDescent="0.35">
      <c r="B1" s="80" t="s">
        <v>0</v>
      </c>
      <c r="C1" s="80"/>
      <c r="D1" s="80"/>
      <c r="E1" s="80"/>
      <c r="F1" s="80"/>
      <c r="G1" s="80"/>
      <c r="H1" s="80"/>
    </row>
    <row r="3" spans="1:9" ht="18" customHeight="1" x14ac:dyDescent="0.25">
      <c r="A3" s="79" t="s">
        <v>1</v>
      </c>
      <c r="B3" s="79"/>
      <c r="C3" s="81" t="s">
        <v>19</v>
      </c>
      <c r="D3" s="81"/>
      <c r="E3" s="81"/>
      <c r="F3" s="2"/>
      <c r="G3" s="3"/>
      <c r="H3" s="2"/>
    </row>
    <row r="4" spans="1:9" ht="18" customHeight="1" x14ac:dyDescent="0.25">
      <c r="A4" s="79" t="s">
        <v>2</v>
      </c>
      <c r="B4" s="79"/>
      <c r="C4" s="81" t="s">
        <v>20</v>
      </c>
      <c r="D4" s="81"/>
      <c r="E4" s="81"/>
      <c r="F4" s="2"/>
      <c r="G4" s="3"/>
      <c r="H4" s="2"/>
    </row>
    <row r="5" spans="1:9" ht="16.5" customHeight="1" x14ac:dyDescent="0.25">
      <c r="A5" s="79" t="s">
        <v>3</v>
      </c>
      <c r="B5" s="79"/>
      <c r="C5" s="21">
        <v>2022</v>
      </c>
      <c r="D5" s="22"/>
      <c r="E5" s="22"/>
      <c r="F5" s="2"/>
      <c r="G5" s="3"/>
      <c r="H5" s="2"/>
    </row>
    <row r="6" spans="1:9" ht="16.5" customHeight="1" x14ac:dyDescent="0.25">
      <c r="A6" s="79" t="s">
        <v>4</v>
      </c>
      <c r="B6" s="79"/>
      <c r="C6" s="21">
        <v>1</v>
      </c>
      <c r="D6" s="22"/>
      <c r="E6" s="22"/>
      <c r="F6" s="2"/>
      <c r="G6" s="3"/>
      <c r="H6" s="2"/>
    </row>
    <row r="7" spans="1:9" x14ac:dyDescent="0.2">
      <c r="B7" s="2"/>
      <c r="C7" s="3"/>
      <c r="D7" s="2"/>
      <c r="E7" s="2"/>
      <c r="F7" s="2"/>
      <c r="G7" s="3"/>
      <c r="H7" s="2"/>
    </row>
    <row r="8" spans="1:9" ht="37.5" customHeight="1" thickTop="1" thickBot="1" x14ac:dyDescent="0.25">
      <c r="A8" s="4" t="s">
        <v>5</v>
      </c>
      <c r="B8" s="4" t="s">
        <v>6</v>
      </c>
      <c r="C8" s="4" t="s">
        <v>7</v>
      </c>
      <c r="D8" s="4" t="s">
        <v>8</v>
      </c>
      <c r="E8" s="4" t="s">
        <v>9</v>
      </c>
      <c r="F8" s="4" t="s">
        <v>10</v>
      </c>
      <c r="G8" s="4" t="s">
        <v>11</v>
      </c>
      <c r="H8" s="4" t="s">
        <v>12</v>
      </c>
      <c r="I8" s="4" t="s">
        <v>13</v>
      </c>
    </row>
    <row r="9" spans="1:9" s="31" customFormat="1" ht="21" customHeight="1" thickBot="1" x14ac:dyDescent="0.25">
      <c r="A9" s="30">
        <v>1</v>
      </c>
      <c r="B9" s="32" t="s">
        <v>24</v>
      </c>
      <c r="C9" s="32" t="s">
        <v>22</v>
      </c>
      <c r="D9" s="33" t="str">
        <f>LEFT(B9,5)</f>
        <v>2.3.1</v>
      </c>
      <c r="E9" s="73" t="s">
        <v>26</v>
      </c>
      <c r="F9" s="18" t="s">
        <v>23</v>
      </c>
      <c r="G9" s="18">
        <v>350</v>
      </c>
      <c r="H9" s="19">
        <v>770</v>
      </c>
      <c r="I9" s="20">
        <f>G9*H9</f>
        <v>269500</v>
      </c>
    </row>
    <row r="10" spans="1:9" s="31" customFormat="1" ht="24.75" customHeight="1" thickBot="1" x14ac:dyDescent="0.25">
      <c r="A10" s="30">
        <v>2</v>
      </c>
      <c r="B10" s="32" t="s">
        <v>25</v>
      </c>
      <c r="C10" s="32" t="s">
        <v>22</v>
      </c>
      <c r="D10" s="33" t="str">
        <f>LEFT(B10,5)</f>
        <v>2.3.1</v>
      </c>
      <c r="E10" s="73" t="s">
        <v>27</v>
      </c>
      <c r="F10" s="18" t="s">
        <v>23</v>
      </c>
      <c r="G10" s="18">
        <v>900</v>
      </c>
      <c r="H10" s="19">
        <v>811</v>
      </c>
      <c r="I10" s="20">
        <f>(G10*H10)</f>
        <v>729900</v>
      </c>
    </row>
    <row r="11" spans="1:9" ht="13.5" thickBot="1" x14ac:dyDescent="0.25">
      <c r="A11" s="23"/>
      <c r="B11" s="28"/>
      <c r="C11" s="25"/>
      <c r="D11" s="29"/>
      <c r="E11" s="26"/>
      <c r="F11" s="24"/>
      <c r="G11" s="24"/>
      <c r="H11" s="27"/>
      <c r="I11" s="27"/>
    </row>
    <row r="12" spans="1:9" ht="13.5" thickBot="1" x14ac:dyDescent="0.25">
      <c r="A12" s="23"/>
      <c r="B12" s="28"/>
      <c r="C12" s="25"/>
      <c r="D12" s="29"/>
      <c r="E12" s="26"/>
      <c r="F12" s="24"/>
      <c r="G12" s="24"/>
      <c r="H12" s="27"/>
      <c r="I12" s="27"/>
    </row>
    <row r="13" spans="1:9" x14ac:dyDescent="0.2">
      <c r="B13" s="5" t="s">
        <v>28</v>
      </c>
      <c r="C13" s="6"/>
      <c r="D13" s="6"/>
      <c r="E13" s="7"/>
    </row>
    <row r="14" spans="1:9" ht="5.25" customHeight="1" x14ac:dyDescent="0.2">
      <c r="B14" s="8"/>
      <c r="C14" s="9"/>
      <c r="D14" s="9"/>
      <c r="E14" s="10"/>
    </row>
    <row r="15" spans="1:9" x14ac:dyDescent="0.2">
      <c r="B15" s="11" t="s">
        <v>14</v>
      </c>
      <c r="C15" s="9"/>
      <c r="D15" s="9"/>
      <c r="E15" s="10"/>
    </row>
    <row r="16" spans="1:9" ht="22.5" customHeight="1" x14ac:dyDescent="0.2">
      <c r="B16" s="11"/>
      <c r="C16" s="75"/>
      <c r="D16" s="75"/>
      <c r="E16" s="76"/>
    </row>
    <row r="17" spans="2:5" x14ac:dyDescent="0.2">
      <c r="B17" s="11" t="s">
        <v>15</v>
      </c>
      <c r="C17" s="9"/>
      <c r="D17" s="9"/>
      <c r="E17" s="10"/>
    </row>
    <row r="18" spans="2:5" ht="25.5" customHeight="1" x14ac:dyDescent="0.2">
      <c r="B18" s="12"/>
      <c r="C18" s="75" t="s">
        <v>21</v>
      </c>
      <c r="D18" s="75"/>
      <c r="E18" s="76"/>
    </row>
    <row r="19" spans="2:5" ht="37.5" customHeight="1" x14ac:dyDescent="0.2">
      <c r="B19" s="12"/>
      <c r="C19" s="75"/>
      <c r="D19" s="75"/>
      <c r="E19" s="76"/>
    </row>
    <row r="20" spans="2:5" x14ac:dyDescent="0.2">
      <c r="B20" s="11" t="s">
        <v>16</v>
      </c>
      <c r="C20" s="9"/>
      <c r="D20" s="9"/>
      <c r="E20" s="10"/>
    </row>
    <row r="21" spans="2:5" ht="9.75" customHeight="1" x14ac:dyDescent="0.2">
      <c r="B21" s="12"/>
      <c r="C21" s="75"/>
      <c r="D21" s="75"/>
      <c r="E21" s="76"/>
    </row>
    <row r="22" spans="2:5" x14ac:dyDescent="0.2">
      <c r="B22" s="11" t="s">
        <v>17</v>
      </c>
      <c r="C22" s="13"/>
      <c r="D22" s="13"/>
      <c r="E22" s="14"/>
    </row>
    <row r="23" spans="2:5" ht="7.5" customHeight="1" x14ac:dyDescent="0.2">
      <c r="B23" s="12"/>
      <c r="C23" s="75"/>
      <c r="D23" s="75"/>
      <c r="E23" s="76"/>
    </row>
    <row r="24" spans="2:5" x14ac:dyDescent="0.2">
      <c r="B24" s="11" t="s">
        <v>18</v>
      </c>
      <c r="C24" s="9"/>
      <c r="D24" s="9"/>
      <c r="E24" s="10"/>
    </row>
    <row r="25" spans="2:5" ht="13.5" customHeight="1" x14ac:dyDescent="0.2">
      <c r="B25" s="11"/>
      <c r="C25" s="75"/>
      <c r="D25" s="77"/>
      <c r="E25" s="78"/>
    </row>
    <row r="26" spans="2:5" ht="7.5" customHeight="1" thickBot="1" x14ac:dyDescent="0.25">
      <c r="B26" s="15"/>
      <c r="C26" s="16"/>
      <c r="D26" s="16"/>
      <c r="E26" s="17"/>
    </row>
  </sheetData>
  <mergeCells count="12">
    <mergeCell ref="B1:H1"/>
    <mergeCell ref="A3:B3"/>
    <mergeCell ref="C3:E3"/>
    <mergeCell ref="A4:B4"/>
    <mergeCell ref="C4:E4"/>
    <mergeCell ref="C21:E21"/>
    <mergeCell ref="C23:E23"/>
    <mergeCell ref="C25:E25"/>
    <mergeCell ref="A5:B5"/>
    <mergeCell ref="A6:B6"/>
    <mergeCell ref="C16:E16"/>
    <mergeCell ref="C18:E19"/>
  </mergeCells>
  <pageMargins left="0.70866141732283472" right="0.70866141732283472" top="0.74803149606299213" bottom="0.74803149606299213" header="0.51181102362204722" footer="0.51181102362204722"/>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tabSelected="1" topLeftCell="A7" workbookViewId="0">
      <selection activeCell="C11" sqref="C11"/>
    </sheetView>
  </sheetViews>
  <sheetFormatPr baseColWidth="10" defaultRowHeight="12.75" x14ac:dyDescent="0.2"/>
  <cols>
    <col min="3" max="3" width="25.7109375" customWidth="1"/>
    <col min="8" max="8" width="11.7109375" bestFit="1" customWidth="1"/>
  </cols>
  <sheetData>
    <row r="1" spans="1:8" ht="16.5" thickBot="1" x14ac:dyDescent="0.25">
      <c r="A1" s="84" t="s">
        <v>29</v>
      </c>
      <c r="B1" s="85"/>
      <c r="C1" s="85"/>
      <c r="D1" s="85"/>
      <c r="E1" s="85"/>
      <c r="F1" s="86"/>
      <c r="G1" s="34" t="s">
        <v>63</v>
      </c>
    </row>
    <row r="2" spans="1:8" ht="15" thickBot="1" x14ac:dyDescent="0.25">
      <c r="A2" s="35"/>
      <c r="B2" s="36"/>
      <c r="C2" s="36"/>
      <c r="D2" s="36"/>
      <c r="E2" s="36"/>
      <c r="F2" s="36"/>
      <c r="G2" s="37"/>
    </row>
    <row r="3" spans="1:8" ht="15.75" thickBot="1" x14ac:dyDescent="0.25">
      <c r="A3" s="82" t="s">
        <v>30</v>
      </c>
      <c r="B3" s="82"/>
      <c r="C3" s="87" t="s">
        <v>19</v>
      </c>
      <c r="D3" s="87"/>
      <c r="E3" s="87"/>
      <c r="F3" s="87"/>
      <c r="G3" s="87"/>
    </row>
    <row r="4" spans="1:8" ht="15.75" thickBot="1" x14ac:dyDescent="0.25">
      <c r="A4" s="82" t="s">
        <v>31</v>
      </c>
      <c r="B4" s="82"/>
      <c r="C4" s="88" t="s">
        <v>20</v>
      </c>
      <c r="D4" s="88"/>
      <c r="E4" s="88"/>
      <c r="F4" s="88"/>
      <c r="G4" s="88"/>
    </row>
    <row r="5" spans="1:8" ht="15.75" thickBot="1" x14ac:dyDescent="0.25">
      <c r="A5" s="82" t="s">
        <v>32</v>
      </c>
      <c r="B5" s="82"/>
      <c r="C5" s="83" t="s">
        <v>33</v>
      </c>
      <c r="D5" s="83"/>
      <c r="E5" s="83"/>
      <c r="F5" s="83"/>
      <c r="G5" s="83"/>
    </row>
    <row r="6" spans="1:8" ht="15.75" thickBot="1" x14ac:dyDescent="0.25">
      <c r="A6" s="82" t="s">
        <v>34</v>
      </c>
      <c r="B6" s="82"/>
      <c r="C6" s="93" t="s">
        <v>33</v>
      </c>
      <c r="D6" s="93"/>
      <c r="E6" s="93"/>
      <c r="F6" s="93"/>
      <c r="G6" s="93"/>
    </row>
    <row r="7" spans="1:8" ht="15.75" thickBot="1" x14ac:dyDescent="0.25">
      <c r="A7" s="82" t="s">
        <v>35</v>
      </c>
      <c r="B7" s="82"/>
      <c r="C7" s="94" t="s">
        <v>36</v>
      </c>
      <c r="D7" s="94"/>
      <c r="E7" s="94"/>
      <c r="F7" s="94"/>
      <c r="G7" s="94"/>
    </row>
    <row r="8" spans="1:8" ht="15.75" thickBot="1" x14ac:dyDescent="0.25">
      <c r="A8" s="82" t="s">
        <v>37</v>
      </c>
      <c r="B8" s="82"/>
      <c r="C8" s="94" t="s">
        <v>64</v>
      </c>
      <c r="D8" s="94"/>
      <c r="E8" s="94"/>
      <c r="F8" s="94"/>
      <c r="G8" s="94"/>
    </row>
    <row r="9" spans="1:8" ht="15.75" thickBot="1" x14ac:dyDescent="0.25">
      <c r="A9" s="89"/>
      <c r="B9" s="90"/>
      <c r="C9" s="90"/>
      <c r="D9" s="90"/>
      <c r="E9" s="90"/>
      <c r="F9" s="90"/>
      <c r="G9" s="91"/>
    </row>
    <row r="10" spans="1:8" ht="72" thickBot="1" x14ac:dyDescent="0.25">
      <c r="A10" s="38" t="s">
        <v>5</v>
      </c>
      <c r="B10" s="38" t="s">
        <v>6</v>
      </c>
      <c r="C10" s="38" t="s">
        <v>9</v>
      </c>
      <c r="D10" s="39" t="s">
        <v>38</v>
      </c>
      <c r="E10" s="38" t="s">
        <v>10</v>
      </c>
      <c r="F10" s="38" t="s">
        <v>12</v>
      </c>
      <c r="G10" s="38" t="s">
        <v>11</v>
      </c>
    </row>
    <row r="11" spans="1:8" ht="84.75" thickBot="1" x14ac:dyDescent="0.25">
      <c r="A11" s="40">
        <v>1</v>
      </c>
      <c r="B11" s="41" t="s">
        <v>24</v>
      </c>
      <c r="C11" s="42" t="s">
        <v>26</v>
      </c>
      <c r="D11" s="43" t="s">
        <v>39</v>
      </c>
      <c r="E11" s="44" t="s">
        <v>23</v>
      </c>
      <c r="F11" s="19">
        <v>770</v>
      </c>
      <c r="G11" s="18">
        <v>350</v>
      </c>
      <c r="H11" s="74">
        <f>F11*G11</f>
        <v>269500</v>
      </c>
    </row>
    <row r="12" spans="1:8" ht="84" x14ac:dyDescent="0.2">
      <c r="A12" s="40">
        <v>2</v>
      </c>
      <c r="B12" s="41" t="s">
        <v>25</v>
      </c>
      <c r="C12" s="42" t="s">
        <v>27</v>
      </c>
      <c r="D12" s="43" t="s">
        <v>39</v>
      </c>
      <c r="E12" s="44" t="s">
        <v>23</v>
      </c>
      <c r="F12" s="19">
        <v>811</v>
      </c>
      <c r="G12" s="18">
        <v>900</v>
      </c>
      <c r="H12" s="74">
        <f>F12*G12</f>
        <v>729900</v>
      </c>
    </row>
    <row r="13" spans="1:8" ht="15" x14ac:dyDescent="0.2">
      <c r="A13" s="92" t="s">
        <v>68</v>
      </c>
      <c r="B13" s="92"/>
      <c r="C13" s="92"/>
      <c r="D13" s="92"/>
      <c r="E13" s="92"/>
      <c r="F13" s="92"/>
      <c r="G13" s="45">
        <v>999400</v>
      </c>
    </row>
  </sheetData>
  <mergeCells count="15">
    <mergeCell ref="A9:G9"/>
    <mergeCell ref="A13:F13"/>
    <mergeCell ref="A6:B6"/>
    <mergeCell ref="C6:G6"/>
    <mergeCell ref="A7:B7"/>
    <mergeCell ref="C7:G7"/>
    <mergeCell ref="A8:B8"/>
    <mergeCell ref="C8:G8"/>
    <mergeCell ref="A5:B5"/>
    <mergeCell ref="C5:G5"/>
    <mergeCell ref="A1:F1"/>
    <mergeCell ref="A3:B3"/>
    <mergeCell ref="C3:G3"/>
    <mergeCell ref="A4:B4"/>
    <mergeCell ref="C4: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4"/>
  <sheetViews>
    <sheetView topLeftCell="A4" workbookViewId="0">
      <selection activeCell="Q32" sqref="Q32"/>
    </sheetView>
  </sheetViews>
  <sheetFormatPr baseColWidth="10" defaultRowHeight="12.75" x14ac:dyDescent="0.2"/>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96" t="s">
        <v>3</v>
      </c>
      <c r="B1" s="96"/>
      <c r="C1" s="96"/>
      <c r="D1" s="97">
        <v>2022</v>
      </c>
      <c r="E1" s="97"/>
      <c r="F1" s="46"/>
      <c r="G1" s="46"/>
      <c r="H1" s="47"/>
      <c r="I1" s="47"/>
      <c r="J1" s="47"/>
      <c r="K1" s="47"/>
      <c r="L1" s="47"/>
      <c r="M1" s="47"/>
      <c r="N1" s="47"/>
      <c r="O1" s="48"/>
      <c r="P1" s="98" t="s">
        <v>40</v>
      </c>
      <c r="Q1" s="98"/>
    </row>
    <row r="2" spans="1:17" ht="15.75" thickBot="1" x14ac:dyDescent="0.3">
      <c r="A2" s="49"/>
      <c r="B2" s="50"/>
      <c r="C2" s="50"/>
      <c r="D2" s="50"/>
      <c r="E2" s="50"/>
      <c r="F2" s="50"/>
      <c r="G2" s="51"/>
      <c r="H2" s="52"/>
      <c r="I2" s="52"/>
      <c r="J2" s="52"/>
      <c r="K2" s="52"/>
      <c r="L2" s="52"/>
      <c r="M2" s="52"/>
      <c r="N2" s="52"/>
      <c r="O2" s="50"/>
      <c r="P2" s="98"/>
      <c r="Q2" s="98"/>
    </row>
    <row r="3" spans="1:17" ht="15.75" thickBot="1" x14ac:dyDescent="0.3">
      <c r="A3" s="49"/>
      <c r="B3" s="50"/>
      <c r="C3" s="50"/>
      <c r="D3" s="50"/>
      <c r="E3" s="50"/>
      <c r="F3" s="50"/>
      <c r="G3" s="51"/>
      <c r="H3" s="50"/>
      <c r="I3" s="50"/>
      <c r="J3" s="50"/>
      <c r="K3" s="50"/>
      <c r="L3" s="50"/>
      <c r="M3" s="50"/>
      <c r="N3" s="50"/>
      <c r="O3" s="50"/>
      <c r="P3" s="50"/>
      <c r="Q3" s="53"/>
    </row>
    <row r="4" spans="1:17" ht="15.75" thickBot="1" x14ac:dyDescent="0.3">
      <c r="A4" s="99" t="s">
        <v>41</v>
      </c>
      <c r="B4" s="99"/>
      <c r="C4" s="99"/>
      <c r="D4" s="99"/>
      <c r="E4" s="99"/>
      <c r="F4" s="99"/>
      <c r="G4" s="100" t="str">
        <f>+[1]NDP!C3</f>
        <v>50 - MINISTERIO DE EDUCACIÓN</v>
      </c>
      <c r="H4" s="100"/>
      <c r="I4" s="100"/>
      <c r="J4" s="100"/>
      <c r="K4" s="100"/>
      <c r="L4" s="100"/>
      <c r="M4" s="100"/>
      <c r="N4" s="100"/>
      <c r="O4" s="100"/>
      <c r="P4" s="100"/>
      <c r="Q4" s="100"/>
    </row>
    <row r="5" spans="1:17" ht="15.75" thickBot="1" x14ac:dyDescent="0.3">
      <c r="A5" s="101" t="s">
        <v>31</v>
      </c>
      <c r="B5" s="101"/>
      <c r="C5" s="101"/>
      <c r="D5" s="101"/>
      <c r="E5" s="101"/>
      <c r="F5" s="101"/>
      <c r="G5" s="100" t="str">
        <f>+[1]NDP!C4</f>
        <v>26 - DIRECCIÓN PROVINCIAL DE ADMINISTRACIÓN</v>
      </c>
      <c r="H5" s="100"/>
      <c r="I5" s="100"/>
      <c r="J5" s="100"/>
      <c r="K5" s="100"/>
      <c r="L5" s="100"/>
      <c r="M5" s="100"/>
      <c r="N5" s="100"/>
      <c r="O5" s="100"/>
      <c r="P5" s="100"/>
      <c r="Q5" s="100"/>
    </row>
    <row r="6" spans="1:17" ht="15.75" thickBot="1" x14ac:dyDescent="0.3">
      <c r="A6" s="102" t="s">
        <v>32</v>
      </c>
      <c r="B6" s="103"/>
      <c r="C6" s="103"/>
      <c r="D6" s="103"/>
      <c r="E6" s="103"/>
      <c r="F6" s="104"/>
      <c r="G6" s="105" t="s">
        <v>33</v>
      </c>
      <c r="H6" s="106"/>
      <c r="I6" s="106"/>
      <c r="J6" s="106"/>
      <c r="K6" s="106"/>
      <c r="L6" s="106"/>
      <c r="M6" s="106"/>
      <c r="N6" s="106"/>
      <c r="O6" s="106"/>
      <c r="P6" s="106"/>
      <c r="Q6" s="107"/>
    </row>
    <row r="7" spans="1:17" ht="15.75" thickBot="1" x14ac:dyDescent="0.3">
      <c r="A7" s="108" t="s">
        <v>34</v>
      </c>
      <c r="B7" s="109"/>
      <c r="C7" s="109"/>
      <c r="D7" s="109"/>
      <c r="E7" s="109"/>
      <c r="F7" s="110"/>
      <c r="G7" s="111" t="s">
        <v>33</v>
      </c>
      <c r="H7" s="111"/>
      <c r="I7" s="111"/>
      <c r="J7" s="111"/>
      <c r="K7" s="111"/>
      <c r="L7" s="111"/>
      <c r="M7" s="111"/>
      <c r="N7" s="111"/>
      <c r="O7" s="111"/>
      <c r="P7" s="111"/>
      <c r="Q7" s="111"/>
    </row>
    <row r="8" spans="1:17" ht="15" thickBot="1" x14ac:dyDescent="0.25">
      <c r="A8" s="112" t="s">
        <v>42</v>
      </c>
      <c r="B8" s="112"/>
      <c r="C8" s="112"/>
      <c r="D8" s="112"/>
      <c r="E8" s="112"/>
      <c r="F8" s="112"/>
      <c r="G8" s="112"/>
      <c r="H8" s="112"/>
      <c r="I8" s="112"/>
      <c r="J8" s="112"/>
      <c r="K8" s="112"/>
      <c r="L8" s="112"/>
      <c r="M8" s="112"/>
      <c r="N8" s="112"/>
      <c r="O8" s="112"/>
      <c r="P8" s="112"/>
      <c r="Q8" s="112"/>
    </row>
    <row r="9" spans="1:17" ht="15" x14ac:dyDescent="0.25">
      <c r="A9" s="95" t="s">
        <v>43</v>
      </c>
      <c r="B9" s="95"/>
      <c r="C9" s="95"/>
      <c r="D9" s="95"/>
      <c r="E9" s="95"/>
      <c r="F9" s="95"/>
      <c r="G9" s="95"/>
      <c r="H9" s="95"/>
      <c r="I9" s="95"/>
      <c r="J9" s="95"/>
      <c r="K9" s="95"/>
      <c r="L9" s="95"/>
      <c r="M9" s="95"/>
      <c r="N9" s="95"/>
      <c r="O9" s="95"/>
      <c r="P9" s="95"/>
      <c r="Q9" s="95"/>
    </row>
    <row r="10" spans="1:17" ht="15" customHeight="1" x14ac:dyDescent="0.2">
      <c r="A10" s="116" t="s">
        <v>66</v>
      </c>
      <c r="B10" s="117"/>
      <c r="C10" s="117"/>
      <c r="D10" s="117"/>
      <c r="E10" s="117"/>
      <c r="F10" s="117"/>
      <c r="G10" s="117"/>
      <c r="H10" s="117"/>
      <c r="I10" s="117"/>
      <c r="J10" s="117"/>
      <c r="K10" s="117"/>
      <c r="L10" s="117"/>
      <c r="M10" s="117"/>
      <c r="N10" s="117"/>
      <c r="O10" s="117"/>
      <c r="P10" s="117"/>
      <c r="Q10" s="118"/>
    </row>
    <row r="11" spans="1:17" ht="39.75" customHeight="1" thickBot="1" x14ac:dyDescent="0.25">
      <c r="A11" s="119"/>
      <c r="B11" s="120"/>
      <c r="C11" s="120"/>
      <c r="D11" s="120"/>
      <c r="E11" s="120"/>
      <c r="F11" s="120"/>
      <c r="G11" s="120"/>
      <c r="H11" s="120"/>
      <c r="I11" s="120"/>
      <c r="J11" s="120"/>
      <c r="K11" s="120"/>
      <c r="L11" s="120"/>
      <c r="M11" s="120"/>
      <c r="N11" s="120"/>
      <c r="O11" s="120"/>
      <c r="P11" s="120"/>
      <c r="Q11" s="121"/>
    </row>
    <row r="12" spans="1:17" ht="13.5" thickBot="1" x14ac:dyDescent="0.25">
      <c r="A12" s="127" t="s">
        <v>44</v>
      </c>
      <c r="B12" s="127"/>
      <c r="C12" s="127"/>
      <c r="D12" s="127"/>
      <c r="E12" s="127"/>
      <c r="F12" s="127"/>
      <c r="G12" s="127"/>
      <c r="H12" s="127"/>
      <c r="I12" s="127"/>
      <c r="J12" s="127"/>
      <c r="K12" s="127"/>
      <c r="L12" s="127"/>
      <c r="M12" s="127"/>
      <c r="N12" s="127"/>
      <c r="O12" s="127"/>
      <c r="P12" s="127"/>
      <c r="Q12" s="127"/>
    </row>
    <row r="13" spans="1:17" ht="13.5" thickBot="1" x14ac:dyDescent="0.25">
      <c r="A13" s="128" t="s">
        <v>45</v>
      </c>
      <c r="B13" s="128"/>
      <c r="C13" s="128"/>
      <c r="D13" s="128"/>
      <c r="E13" s="128"/>
      <c r="F13" s="128"/>
      <c r="G13" s="128"/>
      <c r="H13" s="128"/>
      <c r="I13" s="128"/>
      <c r="J13" s="128"/>
      <c r="K13" s="128"/>
      <c r="L13" s="128"/>
      <c r="M13" s="128"/>
      <c r="N13" s="128"/>
      <c r="O13" s="129" t="s">
        <v>46</v>
      </c>
      <c r="P13" s="129"/>
      <c r="Q13" s="130" t="s">
        <v>47</v>
      </c>
    </row>
    <row r="14" spans="1:17" ht="24" customHeight="1" thickBot="1" x14ac:dyDescent="0.25">
      <c r="A14" s="54" t="s">
        <v>48</v>
      </c>
      <c r="B14" s="55" t="s">
        <v>49</v>
      </c>
      <c r="C14" s="55" t="s">
        <v>50</v>
      </c>
      <c r="D14" s="55" t="s">
        <v>51</v>
      </c>
      <c r="E14" s="55" t="s">
        <v>52</v>
      </c>
      <c r="F14" s="55" t="s">
        <v>53</v>
      </c>
      <c r="G14" s="56" t="s">
        <v>54</v>
      </c>
      <c r="H14" s="55" t="s">
        <v>55</v>
      </c>
      <c r="I14" s="55" t="s">
        <v>56</v>
      </c>
      <c r="J14" s="55" t="s">
        <v>57</v>
      </c>
      <c r="K14" s="55" t="s">
        <v>57</v>
      </c>
      <c r="L14" s="55" t="s">
        <v>58</v>
      </c>
      <c r="M14" s="57" t="s">
        <v>59</v>
      </c>
      <c r="N14" s="58" t="s">
        <v>60</v>
      </c>
      <c r="O14" s="129"/>
      <c r="P14" s="129"/>
      <c r="Q14" s="130"/>
    </row>
    <row r="15" spans="1:17" x14ac:dyDescent="0.2">
      <c r="A15" s="59">
        <v>1</v>
      </c>
      <c r="B15" s="60">
        <v>0</v>
      </c>
      <c r="C15" s="60">
        <v>0</v>
      </c>
      <c r="D15" s="60">
        <v>1</v>
      </c>
      <c r="E15" s="60">
        <v>0</v>
      </c>
      <c r="F15" s="60">
        <v>4901</v>
      </c>
      <c r="G15" s="60">
        <v>3</v>
      </c>
      <c r="H15" s="60">
        <v>4</v>
      </c>
      <c r="I15" s="60">
        <v>2</v>
      </c>
      <c r="J15" s="60">
        <v>3</v>
      </c>
      <c r="K15" s="60">
        <v>1</v>
      </c>
      <c r="L15" s="60">
        <v>0</v>
      </c>
      <c r="M15" s="61">
        <v>1</v>
      </c>
      <c r="N15" s="60" t="s">
        <v>61</v>
      </c>
      <c r="O15" s="131" t="s">
        <v>65</v>
      </c>
      <c r="P15" s="132"/>
      <c r="Q15" s="62">
        <v>999400</v>
      </c>
    </row>
    <row r="16" spans="1:17" ht="15" x14ac:dyDescent="0.25">
      <c r="A16" s="63"/>
      <c r="B16" s="64"/>
      <c r="C16" s="64"/>
      <c r="D16" s="64"/>
      <c r="E16" s="64"/>
      <c r="F16" s="64"/>
      <c r="G16" s="64"/>
      <c r="H16" s="64"/>
      <c r="I16" s="64"/>
      <c r="J16" s="64"/>
      <c r="K16" s="64"/>
      <c r="L16" s="64"/>
      <c r="M16" s="65"/>
      <c r="N16" s="66"/>
      <c r="O16" s="122"/>
      <c r="P16" s="122"/>
      <c r="Q16" s="67"/>
    </row>
    <row r="17" spans="1:17" ht="15" x14ac:dyDescent="0.2">
      <c r="A17" s="63"/>
      <c r="B17" s="64"/>
      <c r="C17" s="64"/>
      <c r="D17" s="64"/>
      <c r="E17" s="64"/>
      <c r="F17" s="64"/>
      <c r="G17" s="64"/>
      <c r="H17" s="64"/>
      <c r="I17" s="64"/>
      <c r="J17" s="64"/>
      <c r="K17" s="64"/>
      <c r="L17" s="64"/>
      <c r="M17" s="65"/>
      <c r="N17" s="66"/>
      <c r="O17" s="123"/>
      <c r="P17" s="123"/>
      <c r="Q17" s="67"/>
    </row>
    <row r="18" spans="1:17" ht="15" x14ac:dyDescent="0.2">
      <c r="A18" s="63"/>
      <c r="B18" s="64"/>
      <c r="C18" s="64"/>
      <c r="D18" s="64"/>
      <c r="E18" s="64"/>
      <c r="F18" s="64"/>
      <c r="G18" s="64"/>
      <c r="H18" s="64"/>
      <c r="I18" s="64"/>
      <c r="J18" s="64"/>
      <c r="K18" s="64"/>
      <c r="L18" s="64"/>
      <c r="M18" s="65"/>
      <c r="N18" s="66"/>
      <c r="O18" s="123"/>
      <c r="P18" s="123"/>
      <c r="Q18" s="67"/>
    </row>
    <row r="19" spans="1:17" ht="15.75" thickBot="1" x14ac:dyDescent="0.25">
      <c r="A19" s="68"/>
      <c r="B19" s="69"/>
      <c r="C19" s="69"/>
      <c r="D19" s="69"/>
      <c r="E19" s="69"/>
      <c r="F19" s="69"/>
      <c r="G19" s="69"/>
      <c r="H19" s="69"/>
      <c r="I19" s="69"/>
      <c r="J19" s="69"/>
      <c r="K19" s="69"/>
      <c r="L19" s="69"/>
      <c r="M19" s="70"/>
      <c r="N19" s="69"/>
      <c r="O19" s="124"/>
      <c r="P19" s="124"/>
      <c r="Q19" s="71"/>
    </row>
    <row r="20" spans="1:17" ht="27" customHeight="1" thickBot="1" x14ac:dyDescent="0.25">
      <c r="A20" s="125" t="s">
        <v>69</v>
      </c>
      <c r="B20" s="125"/>
      <c r="C20" s="125"/>
      <c r="D20" s="125"/>
      <c r="E20" s="125"/>
      <c r="F20" s="125"/>
      <c r="G20" s="125"/>
      <c r="H20" s="125"/>
      <c r="I20" s="125"/>
      <c r="J20" s="125"/>
      <c r="K20" s="125"/>
      <c r="L20" s="125"/>
      <c r="M20" s="125"/>
      <c r="N20" s="125"/>
      <c r="O20" s="125"/>
      <c r="P20" s="125"/>
      <c r="Q20" s="72">
        <f>SUM(Q15:Q19)</f>
        <v>999400</v>
      </c>
    </row>
    <row r="21" spans="1:17" ht="13.5" thickBot="1" x14ac:dyDescent="0.25">
      <c r="A21" s="126"/>
      <c r="B21" s="126"/>
      <c r="C21" s="126"/>
      <c r="D21" s="126"/>
      <c r="E21" s="126"/>
      <c r="F21" s="126"/>
      <c r="G21" s="126"/>
      <c r="H21" s="126"/>
      <c r="I21" s="126"/>
      <c r="J21" s="126"/>
      <c r="K21" s="126"/>
      <c r="L21" s="126"/>
      <c r="M21" s="126"/>
      <c r="N21" s="126"/>
      <c r="O21" s="126"/>
      <c r="P21" s="126"/>
      <c r="Q21" s="126"/>
    </row>
    <row r="22" spans="1:17" ht="13.5" thickBot="1" x14ac:dyDescent="0.25">
      <c r="A22" s="113" t="s">
        <v>62</v>
      </c>
      <c r="B22" s="113"/>
      <c r="C22" s="113"/>
      <c r="D22" s="113"/>
      <c r="E22" s="113"/>
      <c r="F22" s="113"/>
      <c r="G22" s="114"/>
      <c r="H22" s="114"/>
      <c r="I22" s="114"/>
      <c r="J22" s="114"/>
      <c r="K22" s="114"/>
      <c r="L22" s="114"/>
      <c r="M22" s="114"/>
      <c r="N22" s="114"/>
      <c r="O22" s="114"/>
      <c r="P22" s="114"/>
      <c r="Q22" s="114"/>
    </row>
    <row r="23" spans="1:17" ht="13.5" thickBot="1" x14ac:dyDescent="0.25">
      <c r="A23" s="115" t="s">
        <v>67</v>
      </c>
      <c r="B23" s="115"/>
      <c r="C23" s="115"/>
      <c r="D23" s="115"/>
      <c r="E23" s="115"/>
      <c r="F23" s="115"/>
      <c r="G23" s="115"/>
      <c r="H23" s="115"/>
      <c r="I23" s="115"/>
      <c r="J23" s="115"/>
      <c r="K23" s="115"/>
      <c r="L23" s="115"/>
      <c r="M23" s="115"/>
      <c r="N23" s="115"/>
      <c r="O23" s="115"/>
      <c r="P23" s="115"/>
      <c r="Q23" s="115"/>
    </row>
    <row r="24" spans="1:17" ht="13.5" thickBot="1" x14ac:dyDescent="0.25">
      <c r="A24" s="115"/>
      <c r="B24" s="115"/>
      <c r="C24" s="115"/>
      <c r="D24" s="115"/>
      <c r="E24" s="115"/>
      <c r="F24" s="115"/>
      <c r="G24" s="115"/>
      <c r="H24" s="115"/>
      <c r="I24" s="115"/>
      <c r="J24" s="115"/>
      <c r="K24" s="115"/>
      <c r="L24" s="115"/>
      <c r="M24" s="115"/>
      <c r="N24" s="115"/>
      <c r="O24" s="115"/>
      <c r="P24" s="115"/>
      <c r="Q24" s="115"/>
    </row>
  </sheetData>
  <mergeCells count="28">
    <mergeCell ref="A22:F22"/>
    <mergeCell ref="G22:Q22"/>
    <mergeCell ref="A23:Q24"/>
    <mergeCell ref="A10:Q11"/>
    <mergeCell ref="O16:P16"/>
    <mergeCell ref="O17:P17"/>
    <mergeCell ref="O18:P18"/>
    <mergeCell ref="O19:P19"/>
    <mergeCell ref="A20:P20"/>
    <mergeCell ref="A21:Q21"/>
    <mergeCell ref="A12:Q12"/>
    <mergeCell ref="A13:N13"/>
    <mergeCell ref="O13:P14"/>
    <mergeCell ref="Q13:Q14"/>
    <mergeCell ref="O15:P15"/>
    <mergeCell ref="A9:Q9"/>
    <mergeCell ref="A1:C1"/>
    <mergeCell ref="D1:E1"/>
    <mergeCell ref="P1:Q2"/>
    <mergeCell ref="A4:F4"/>
    <mergeCell ref="G4:Q4"/>
    <mergeCell ref="A5:F5"/>
    <mergeCell ref="G5:Q5"/>
    <mergeCell ref="A6:F6"/>
    <mergeCell ref="G6:Q6"/>
    <mergeCell ref="A7:F7"/>
    <mergeCell ref="G7:Q7"/>
    <mergeCell ref="A8:Q8"/>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Necesidades Trimestrales</vt:lpstr>
      <vt:lpstr>NDP</vt:lpstr>
      <vt:lpstr>APG</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RODOLFO SARTOR</cp:lastModifiedBy>
  <cp:revision>2</cp:revision>
  <cp:lastPrinted>2022-01-13T14:08:46Z</cp:lastPrinted>
  <dcterms:created xsi:type="dcterms:W3CDTF">2020-07-17T23:44:49Z</dcterms:created>
  <dcterms:modified xsi:type="dcterms:W3CDTF">2022-01-31T13:13:10Z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