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AE87B0D5-51B3-4FFB-BB99-447D6816B9AA}" xr6:coauthVersionLast="47" xr6:coauthVersionMax="47" xr10:uidLastSave="{00000000-0000-0000-0000-000000000000}"/>
  <bookViews>
    <workbookView xWindow="-120" yWindow="-120" windowWidth="29040" windowHeight="15840" xr2:uid="{0BF41079-5044-47E9-BD8A-12A00EB23C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3" i="1" l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D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D7" i="1"/>
  <c r="I6" i="1"/>
  <c r="D6" i="1"/>
</calcChain>
</file>

<file path=xl/sharedStrings.xml><?xml version="1.0" encoding="utf-8"?>
<sst xmlns="http://schemas.openxmlformats.org/spreadsheetml/2006/main" count="296" uniqueCount="87">
  <si>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</si>
  <si>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</si>
  <si>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</si>
  <si>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</si>
  <si>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</si>
  <si>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</si>
  <si>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</si>
  <si>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</si>
  <si>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</si>
  <si>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2.9.2-2034.41</t>
  </si>
  <si>
    <t>Utiles de Escritorio, Oficina y Enseñanza</t>
  </si>
  <si>
    <t>PORTA UTILES; MATERIAL: POLIPROPILENO, DIMENSION: 22,5 X 12 Cm, CIERRE: CON, PRESENTACION: UNIDAD</t>
  </si>
  <si>
    <t>UNIDAD</t>
  </si>
  <si>
    <t>2.9.2-848.5</t>
  </si>
  <si>
    <t xml:space="preserve">LAPIZ; TIPO: COMUN NRO 2, COLOR: NEGRO </t>
  </si>
  <si>
    <t>CAJA</t>
  </si>
  <si>
    <t>2.9.2-3283.2</t>
  </si>
  <si>
    <t>2.9.2</t>
  </si>
  <si>
    <t>JUEGO DE LAPICES; TIPO: SIN VALOR, COLOR: COLORES, PRESENTACION: CAJA X 6 UN</t>
  </si>
  <si>
    <t>2.9.2-3283.9</t>
  </si>
  <si>
    <t>JUEGO DE LAPICES; TIPO: DE COLORES, PRESENTACION: CAJA X 12 UN</t>
  </si>
  <si>
    <t>2.9.2-3283.3</t>
  </si>
  <si>
    <t>JUEGO DE LAPICES; TIPO: CRAYONES, COLOR: COLORES, PRESENTACION: CAJA X 12 UN</t>
  </si>
  <si>
    <t>2.9.2-661.58</t>
  </si>
  <si>
    <t>GOMAS DE BORRAR; USO: LAPIZ Y TINTA, DIMENSION: 40 X 18 X 12 mm, MATERIAL: CAUCHO, PRESENTACION: UNIDAD</t>
  </si>
  <si>
    <t>2.9.2-1358.356</t>
  </si>
  <si>
    <t>CARPETAS; MATERIAL: CARTON FORRADO C/ PLASTICO, TAMAÑO: Nº 5</t>
  </si>
  <si>
    <t>2.9.2-696.18</t>
  </si>
  <si>
    <t xml:space="preserve">SACAPUNTAS; MATERIAL: PLASTICO, FIJACION: SIN, NUMERO: UNIVERSAL, CANTIDAD DE BOCAS: 1, TIPO: ESCOLAR </t>
  </si>
  <si>
    <t>2.9.2-758.1</t>
  </si>
  <si>
    <t>TIJERAS P/CORTAR PAPELES; LONG.DE CUERPO: 11 Cm, MATERIAL: ACERO INOXIDABLE, CUCHILLA: REDONDEADAS, MANGO: SIN VALOR</t>
  </si>
  <si>
    <t>2.9.2-5600.5</t>
  </si>
  <si>
    <t>MASAS P/MODELAR; PRESENTACION: ENVASE X 12 UN, TIPO: PLASTILINA</t>
  </si>
  <si>
    <t>PACK</t>
  </si>
  <si>
    <t>2.5.5-6979.304</t>
  </si>
  <si>
    <t>Tintas Pinturasy Colorantes</t>
  </si>
  <si>
    <t>PINTURAS; TIPO: ACUARELA, PRESENTACION: POMO X 8 mL, COMPUESTOS VOLATILES: 0 %, PORCENTAJE DE PLOMO: SIN PLOMO</t>
  </si>
  <si>
    <t>2.5.5-2450.4</t>
  </si>
  <si>
    <t>TEMPERAS; PRESENTACION: CAJA X 10 UN</t>
  </si>
  <si>
    <t>2.9.2-8008.1</t>
  </si>
  <si>
    <t xml:space="preserve">BRILLANTINA; PRESENTACION: PAQUETE X 10 GR </t>
  </si>
  <si>
    <t>PAQUETE</t>
  </si>
  <si>
    <t>2.9.2-262.35</t>
  </si>
  <si>
    <t>ADHESIVOS P/PAPEL; PRESENTACION: 40 mL, TIPO: LIQUIDA</t>
  </si>
  <si>
    <t>2.3.1-6563.911</t>
  </si>
  <si>
    <t>Papel de Escritorio y Cartón</t>
  </si>
  <si>
    <t>2.3.1</t>
  </si>
  <si>
    <t>PAPELES EN HOJA; TIPO DE PAPEL: GLACE, DIMENSION: 10 X 10 Cm, GRAMAJE: 150 GR/M2, PRESENTACION: SOBRE X 8 UN, CERTIFICADO FORESTAL (GFS): SIN, PORC. FIBRAS RECICLADAS: 0 %, CERT. FIBRA ALTERNATIVA (FCA): SIN</t>
  </si>
  <si>
    <t>2.9.2-3423.2</t>
  </si>
  <si>
    <t xml:space="preserve">JUEGO DE MARCADORES; PRESENTACION: CAJA X 10 UN, COLOR: COLORES </t>
  </si>
  <si>
    <t>2.9.4-7942.8</t>
  </si>
  <si>
    <t>PALITOS DE COCINA; MATERIAL: MADERA, MEDIDA: 11,5 Cm, PRESENTACION: ENVASE X 50 UN, TIPO: P/HELADO</t>
  </si>
  <si>
    <t>2.3.1-6563.873</t>
  </si>
  <si>
    <t>PAPELES EN HOJA; TIPO DE PAPEL: OBRA, DIMENSION: 298 X 220 mm, GRAMAJE: 118 GR/M2, PRESENTACION: BLOCK X 24 HOJAS, CERTIFICADO FORESTAL (GFS): SIN, PORC. FIBRAS RECICLADAS: SIN VALOR, CERT. FIBRAS ALTERNATIVAS: SIN VALOR, CERT. FIBRA ALTERNATIVA (FCA): SIN VALOR</t>
  </si>
  <si>
    <t>2.2.3-1307.2</t>
  </si>
  <si>
    <t>Confecciones Textiles</t>
  </si>
  <si>
    <t>2.2.3</t>
  </si>
  <si>
    <t>MOCHILAS; CAPACIDAD: MEDIANA, USO: ESCOLAR, MATERIAL: TELA DE AVION</t>
  </si>
  <si>
    <t>2.9.2-1358.391</t>
  </si>
  <si>
    <t>CARPETAS; MATERIAL: PLASTICO, TAMAÑO: A5</t>
  </si>
  <si>
    <t>2.9.2-323.4</t>
  </si>
  <si>
    <t>CORRECTORES DE ESCRITURA; CAPACIDAD: 7 mL, ENVASE: LAPIZ (PUNTA METAL), PRESENTACION: LAPIZ (PUNTA METAL) X 7 Ml</t>
  </si>
  <si>
    <t>2.9.2-2413.1</t>
  </si>
  <si>
    <t>TRANSPORTADORES; MATERIAL: PLASTICO, TIPO: 180 °C</t>
  </si>
  <si>
    <t>2.9.2-674.9</t>
  </si>
  <si>
    <t>REGLAS GRADUADAS; TIPO: PLANA, MATERIAL: PLASTICO, LONG.DE CUERPO: 30 Cm</t>
  </si>
  <si>
    <t>2.9.2-674.8</t>
  </si>
  <si>
    <t>REGLAS GRADUADAS; LONG.DE CUERPO: 20 Cm, TIPO: PLANA, MATERIAL: PLASTICO</t>
  </si>
  <si>
    <t>2.9.2-368.15</t>
  </si>
  <si>
    <t>ESCUADRAS; MODELO: 45°-20 Cm, MATERIAL: PLASTICO, ANGULO: 45°-20 Cm</t>
  </si>
  <si>
    <t>2.9.2-867.11</t>
  </si>
  <si>
    <t>COMPAS; ACCESORIO: 1, JUEGO: UN ELEMENTO, MATERIAL DEL CUERPO: DE PLASTICO, CUERPO: DE PLASTICO, MATERIAL: DE PLASTICO</t>
  </si>
  <si>
    <t>2.9.2-317.17</t>
  </si>
  <si>
    <t>BOLIGRAFOS; TRAZO: GRUESO, COLOR TINTA: NEGRO</t>
  </si>
  <si>
    <t>2.9.2-317.31</t>
  </si>
  <si>
    <t xml:space="preserve">BOLIGRAFOS; TRAZO: MEDIO </t>
  </si>
  <si>
    <t>2.9.2-758.18</t>
  </si>
  <si>
    <t>TIJERAS P/CORTAR PAPELES; LONG.DE CUERPO: 17 Cm, MATERIAL: ACERO INOXIDABLE, CUCHILLA: REDONDEADAS, MANGO: PLASTICO</t>
  </si>
  <si>
    <t>2.9.2-262.36</t>
  </si>
  <si>
    <t>ADHESIVOS P/PAPEL; PRESENTACION: 50 mL, TIPO: LIQUIDA</t>
  </si>
  <si>
    <t>2.3.1-6587.267</t>
  </si>
  <si>
    <t>PAPELES ENCUADERNADOS; CANT. DE HOJAS: 84, TAMAÑO: 22,3 X 29,5 Cm, TIPO: RAYADO ESPIRALADO, CERTIFICADO FORESTAL (GFS): CON</t>
  </si>
  <si>
    <t>2.3.1-6587.266</t>
  </si>
  <si>
    <t>PAPELES ENCUADERNADOS; CANT. DE HOJAS: 84, TAMAÑO: 22,3 X 29,5 Cm, TIPO: CUADRICULADO ESPIRALADO, CERTIFICADO FORESTAL (GFS): CON</t>
  </si>
  <si>
    <t>2.2.3-1307.36</t>
  </si>
  <si>
    <t>MOCHILAS; MATERIAL: NAILON, CAPACIDAD: 23 L, USO: ESCOLAR</t>
  </si>
  <si>
    <t>Utiles de escritorio, oficina y enseñanza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</si>
</sst>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&quot;$&quot;\ #,##0.00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333333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3" fillId="0" borderId="0"/>
  </cellStyleXfs>
  <cellXfs count="57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5" fillId="0" borderId="6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 applyProtection="1">
      <alignment horizontal="right" vertical="center" wrapText="1"/>
    </xf>
    <xf numFmtId="165" fontId="7" fillId="0" borderId="6" xfId="2" applyNumberFormat="1" applyFont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5" fillId="0" borderId="7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center" vertical="center"/>
    </xf>
    <xf numFmtId="164" fontId="6" fillId="3" borderId="7" xfId="1" applyNumberFormat="1" applyFont="1" applyFill="1" applyBorder="1" applyAlignment="1" applyProtection="1">
      <alignment horizontal="right" vertical="center" wrapText="1"/>
    </xf>
    <xf numFmtId="165" fontId="7" fillId="0" borderId="8" xfId="2" applyNumberFormat="1" applyFont="1" applyBorder="1" applyAlignment="1">
      <alignment horizontal="right" vertical="center" wrapText="1"/>
    </xf>
    <xf numFmtId="0" fontId="4" fillId="3" borderId="7" xfId="0" applyFont="1" applyFill="1" applyBorder="1" applyAlignment="1">
      <alignment horizontal="center" vertical="center" wrapText="1"/>
    </xf>
    <xf numFmtId="166" fontId="6" fillId="2" borderId="7" xfId="1" applyNumberFormat="1" applyFont="1" applyFill="1" applyBorder="1" applyAlignment="1">
      <alignment horizontal="right" vertical="center" wrapText="1"/>
    </xf>
    <xf numFmtId="0" fontId="8" fillId="0" borderId="7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0" fillId="0" borderId="7" xfId="0" applyFont="1" applyBorder="1"/>
    <xf numFmtId="0" fontId="8" fillId="0" borderId="7" xfId="0" applyFont="1" applyBorder="1"/>
    <xf numFmtId="0" fontId="4" fillId="2" borderId="7" xfId="1" applyNumberFormat="1" applyFont="1" applyFill="1" applyBorder="1" applyAlignment="1">
      <alignment horizontal="center" vertical="center" wrapText="1"/>
    </xf>
    <xf numFmtId="166" fontId="6" fillId="2" borderId="7" xfId="1" applyNumberFormat="1" applyFont="1" applyFill="1" applyBorder="1" applyAlignment="1">
      <alignment horizontal="right" vertical="center"/>
    </xf>
    <xf numFmtId="0" fontId="7" fillId="0" borderId="7" xfId="2" applyFont="1" applyBorder="1" applyAlignment="1">
      <alignment vertical="center"/>
    </xf>
    <xf numFmtId="165" fontId="7" fillId="0" borderId="9" xfId="2" applyNumberFormat="1" applyFont="1" applyBorder="1" applyAlignment="1">
      <alignment horizontal="right" vertical="center" wrapText="1"/>
    </xf>
    <xf numFmtId="0" fontId="4" fillId="4" borderId="10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3" fontId="6" fillId="4" borderId="10" xfId="0" applyNumberFormat="1" applyFont="1" applyFill="1" applyBorder="1" applyAlignment="1">
      <alignment horizontal="center" vertical="center"/>
    </xf>
    <xf numFmtId="164" fontId="6" fillId="4" borderId="10" xfId="0" applyNumberFormat="1" applyFont="1" applyFill="1" applyBorder="1" applyAlignment="1">
      <alignment horizontal="right" vertical="center" wrapText="1"/>
    </xf>
    <xf numFmtId="165" fontId="7" fillId="0" borderId="6" xfId="0" applyNumberFormat="1" applyFont="1" applyBorder="1" applyAlignment="1">
      <alignment horizontal="right" vertical="center" wrapText="1"/>
    </xf>
    <xf numFmtId="0" fontId="4" fillId="4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right" vertical="center" wrapText="1"/>
    </xf>
    <xf numFmtId="165" fontId="7" fillId="0" borderId="8" xfId="0" applyNumberFormat="1" applyFont="1" applyBorder="1" applyAlignment="1">
      <alignment horizontal="right" vertical="center" wrapText="1"/>
    </xf>
    <xf numFmtId="0" fontId="11" fillId="4" borderId="7" xfId="0" applyFont="1" applyFill="1" applyBorder="1" applyAlignment="1">
      <alignment horizontal="center" vertical="center" wrapText="1"/>
    </xf>
    <xf numFmtId="166" fontId="12" fillId="4" borderId="7" xfId="0" applyNumberFormat="1" applyFont="1" applyFill="1" applyBorder="1" applyAlignment="1">
      <alignment horizontal="right" vertical="center" wrapText="1"/>
    </xf>
    <xf numFmtId="166" fontId="12" fillId="4" borderId="7" xfId="0" applyNumberFormat="1" applyFont="1" applyFill="1" applyBorder="1" applyAlignment="1">
      <alignment horizontal="right" vertical="center"/>
    </xf>
    <xf numFmtId="165" fontId="7" fillId="0" borderId="7" xfId="0" applyNumberFormat="1" applyFont="1" applyBorder="1" applyAlignment="1">
      <alignment horizontal="right" vertical="center" wrapText="1"/>
    </xf>
    <xf numFmtId="0" fontId="14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166" fontId="12" fillId="2" borderId="7" xfId="1" applyNumberFormat="1" applyFont="1" applyFill="1" applyBorder="1" applyAlignment="1">
      <alignment horizontal="right" vertical="center" wrapText="1"/>
    </xf>
    <xf numFmtId="0" fontId="11" fillId="2" borderId="11" xfId="1" applyNumberFormat="1" applyFont="1" applyFill="1" applyBorder="1" applyAlignment="1">
      <alignment horizontal="center" vertical="center" wrapText="1"/>
    </xf>
    <xf numFmtId="166" fontId="12" fillId="2" borderId="7" xfId="1" applyNumberFormat="1" applyFont="1" applyFill="1" applyBorder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54225179-A13A-4EEC-8B4A-ED0401355CDF}"/>
    <cellStyle name="Normal 3" xfId="3" xr:uid="{3213681A-D3A7-44C1-AA8B-6F6736E11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A713-7BED-467F-AEE2-166E08B93EB3}">
  <dimension ref="A4:I63"/>
  <sheetViews>
    <sheetView tabSelected="1" topLeftCell="A61" workbookViewId="0">
      <selection activeCell="O63" sqref="O63"/>
    </sheetView>
  </sheetViews>
  <sheetFormatPr baseColWidth="10" defaultRowHeight="15" x14ac:dyDescent="0.25"/>
  <sheetData>
    <row r="4" spans="1:9" ht="15.75" thickBot="1" x14ac:dyDescent="0.3"/>
    <row r="5" spans="1:9" ht="39" thickBot="1" x14ac:dyDescent="0.3">
      <c r="A5" s="1" t="s">
        <v>0</v>
      </c>
      <c r="B5" s="2" t="s">
        <v>1</v>
      </c>
      <c r="C5" s="1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4" t="s">
        <v>8</v>
      </c>
    </row>
    <row r="6" spans="1:9" ht="132" x14ac:dyDescent="0.25">
      <c r="A6" s="5">
        <v>1</v>
      </c>
      <c r="B6" s="6" t="s">
        <v>9</v>
      </c>
      <c r="C6" s="7" t="s">
        <v>10</v>
      </c>
      <c r="D6" s="8" t="str">
        <f t="shared" ref="D6:D23" si="0">LEFT(B6,5)</f>
        <v>2.9.2</v>
      </c>
      <c r="E6" s="7" t="s">
        <v>11</v>
      </c>
      <c r="F6" s="9" t="s">
        <v>12</v>
      </c>
      <c r="G6" s="10">
        <v>85</v>
      </c>
      <c r="H6" s="11">
        <v>2300</v>
      </c>
      <c r="I6" s="12">
        <f>G6*H6</f>
        <v>195500</v>
      </c>
    </row>
    <row r="7" spans="1:9" ht="60.75" thickBot="1" x14ac:dyDescent="0.3">
      <c r="A7" s="13">
        <v>2</v>
      </c>
      <c r="B7" s="14" t="s">
        <v>13</v>
      </c>
      <c r="C7" s="15" t="s">
        <v>10</v>
      </c>
      <c r="D7" s="16" t="str">
        <f t="shared" si="0"/>
        <v>2.9.2</v>
      </c>
      <c r="E7" s="15" t="s">
        <v>14</v>
      </c>
      <c r="F7" s="17" t="s">
        <v>15</v>
      </c>
      <c r="G7" s="18">
        <v>85</v>
      </c>
      <c r="H7" s="19">
        <v>980</v>
      </c>
      <c r="I7" s="20">
        <f t="shared" ref="I7:I45" si="1">G7*H7</f>
        <v>83300</v>
      </c>
    </row>
    <row r="8" spans="1:9" ht="108" x14ac:dyDescent="0.25">
      <c r="A8" s="5">
        <v>3</v>
      </c>
      <c r="B8" s="14" t="s">
        <v>16</v>
      </c>
      <c r="C8" s="15" t="s">
        <v>10</v>
      </c>
      <c r="D8" s="16" t="s">
        <v>17</v>
      </c>
      <c r="E8" s="15" t="s">
        <v>18</v>
      </c>
      <c r="F8" s="17" t="s">
        <v>12</v>
      </c>
      <c r="G8" s="21">
        <v>85</v>
      </c>
      <c r="H8" s="22">
        <v>285</v>
      </c>
      <c r="I8" s="20">
        <f t="shared" si="1"/>
        <v>24225</v>
      </c>
    </row>
    <row r="9" spans="1:9" ht="84.75" thickBot="1" x14ac:dyDescent="0.3">
      <c r="A9" s="13">
        <v>4</v>
      </c>
      <c r="B9" s="14" t="s">
        <v>19</v>
      </c>
      <c r="C9" s="15" t="s">
        <v>10</v>
      </c>
      <c r="D9" s="16" t="s">
        <v>17</v>
      </c>
      <c r="E9" s="15" t="s">
        <v>20</v>
      </c>
      <c r="F9" s="17" t="s">
        <v>12</v>
      </c>
      <c r="G9" s="21">
        <v>85</v>
      </c>
      <c r="H9" s="22">
        <v>495</v>
      </c>
      <c r="I9" s="20">
        <f t="shared" si="1"/>
        <v>42075</v>
      </c>
    </row>
    <row r="10" spans="1:9" ht="108" x14ac:dyDescent="0.25">
      <c r="A10" s="5">
        <v>5</v>
      </c>
      <c r="B10" s="14" t="s">
        <v>21</v>
      </c>
      <c r="C10" s="15" t="s">
        <v>10</v>
      </c>
      <c r="D10" s="16" t="s">
        <v>17</v>
      </c>
      <c r="E10" s="15" t="s">
        <v>22</v>
      </c>
      <c r="F10" s="17" t="s">
        <v>12</v>
      </c>
      <c r="G10" s="21">
        <v>85</v>
      </c>
      <c r="H10" s="22">
        <v>715</v>
      </c>
      <c r="I10" s="20">
        <f t="shared" si="1"/>
        <v>60775</v>
      </c>
    </row>
    <row r="11" spans="1:9" ht="132.75" thickBot="1" x14ac:dyDescent="0.3">
      <c r="A11" s="13">
        <v>6</v>
      </c>
      <c r="B11" s="14" t="s">
        <v>23</v>
      </c>
      <c r="C11" s="15" t="s">
        <v>10</v>
      </c>
      <c r="D11" s="16" t="s">
        <v>17</v>
      </c>
      <c r="E11" s="15" t="s">
        <v>24</v>
      </c>
      <c r="F11" s="17" t="s">
        <v>12</v>
      </c>
      <c r="G11" s="21">
        <v>85</v>
      </c>
      <c r="H11" s="22">
        <v>270</v>
      </c>
      <c r="I11" s="20">
        <f t="shared" si="1"/>
        <v>22950</v>
      </c>
    </row>
    <row r="12" spans="1:9" ht="84" x14ac:dyDescent="0.25">
      <c r="A12" s="5">
        <v>7</v>
      </c>
      <c r="B12" s="14" t="s">
        <v>25</v>
      </c>
      <c r="C12" s="15" t="s">
        <v>10</v>
      </c>
      <c r="D12" s="16" t="s">
        <v>17</v>
      </c>
      <c r="E12" s="15" t="s">
        <v>26</v>
      </c>
      <c r="F12" s="17" t="s">
        <v>12</v>
      </c>
      <c r="G12" s="21">
        <v>85</v>
      </c>
      <c r="H12" s="22">
        <v>1495</v>
      </c>
      <c r="I12" s="20">
        <f t="shared" si="1"/>
        <v>127075</v>
      </c>
    </row>
    <row r="13" spans="1:9" ht="144.75" thickBot="1" x14ac:dyDescent="0.3">
      <c r="A13" s="13">
        <v>8</v>
      </c>
      <c r="B13" s="14" t="s">
        <v>27</v>
      </c>
      <c r="C13" s="15" t="s">
        <v>10</v>
      </c>
      <c r="D13" s="16" t="s">
        <v>17</v>
      </c>
      <c r="E13" s="15" t="s">
        <v>28</v>
      </c>
      <c r="F13" s="17" t="s">
        <v>12</v>
      </c>
      <c r="G13" s="21">
        <v>85</v>
      </c>
      <c r="H13" s="22">
        <v>205</v>
      </c>
      <c r="I13" s="20">
        <f t="shared" si="1"/>
        <v>17425</v>
      </c>
    </row>
    <row r="14" spans="1:9" ht="180" x14ac:dyDescent="0.25">
      <c r="A14" s="5">
        <v>9</v>
      </c>
      <c r="B14" s="23" t="s">
        <v>29</v>
      </c>
      <c r="C14" s="15" t="s">
        <v>10</v>
      </c>
      <c r="D14" s="16" t="s">
        <v>17</v>
      </c>
      <c r="E14" s="15" t="s">
        <v>30</v>
      </c>
      <c r="F14" s="17" t="s">
        <v>12</v>
      </c>
      <c r="G14" s="21">
        <v>85</v>
      </c>
      <c r="H14" s="22">
        <v>435</v>
      </c>
      <c r="I14" s="20">
        <f t="shared" si="1"/>
        <v>36975</v>
      </c>
    </row>
    <row r="15" spans="1:9" ht="96.75" thickBot="1" x14ac:dyDescent="0.3">
      <c r="A15" s="13">
        <v>10</v>
      </c>
      <c r="B15" s="14" t="s">
        <v>31</v>
      </c>
      <c r="C15" s="15" t="s">
        <v>10</v>
      </c>
      <c r="D15" s="16" t="s">
        <v>17</v>
      </c>
      <c r="E15" s="15" t="s">
        <v>32</v>
      </c>
      <c r="F15" s="24" t="s">
        <v>33</v>
      </c>
      <c r="G15" s="21">
        <v>85</v>
      </c>
      <c r="H15" s="22">
        <v>680</v>
      </c>
      <c r="I15" s="20">
        <f t="shared" si="1"/>
        <v>57800</v>
      </c>
    </row>
    <row r="16" spans="1:9" ht="168" x14ac:dyDescent="0.25">
      <c r="A16" s="5">
        <v>11</v>
      </c>
      <c r="B16" s="14" t="s">
        <v>34</v>
      </c>
      <c r="C16" s="15" t="s">
        <v>35</v>
      </c>
      <c r="D16" s="16" t="s">
        <v>17</v>
      </c>
      <c r="E16" s="15" t="s">
        <v>36</v>
      </c>
      <c r="F16" s="17" t="s">
        <v>12</v>
      </c>
      <c r="G16" s="25">
        <v>85</v>
      </c>
      <c r="H16" s="22">
        <v>1300</v>
      </c>
      <c r="I16" s="20">
        <f t="shared" si="1"/>
        <v>110500</v>
      </c>
    </row>
    <row r="17" spans="1:9" ht="48.75" thickBot="1" x14ac:dyDescent="0.3">
      <c r="A17" s="13">
        <v>12</v>
      </c>
      <c r="B17" s="26" t="s">
        <v>37</v>
      </c>
      <c r="C17" s="15" t="s">
        <v>35</v>
      </c>
      <c r="D17" s="16" t="s">
        <v>17</v>
      </c>
      <c r="E17" s="15" t="s">
        <v>38</v>
      </c>
      <c r="F17" s="24" t="s">
        <v>33</v>
      </c>
      <c r="G17" s="25">
        <v>85</v>
      </c>
      <c r="H17" s="22">
        <v>2090</v>
      </c>
      <c r="I17" s="20">
        <f t="shared" si="1"/>
        <v>177650</v>
      </c>
    </row>
    <row r="18" spans="1:9" ht="72" x14ac:dyDescent="0.25">
      <c r="A18" s="5">
        <v>13</v>
      </c>
      <c r="B18" s="27" t="s">
        <v>39</v>
      </c>
      <c r="C18" s="15" t="s">
        <v>10</v>
      </c>
      <c r="D18" s="16" t="s">
        <v>17</v>
      </c>
      <c r="E18" s="15" t="s">
        <v>40</v>
      </c>
      <c r="F18" s="17" t="s">
        <v>41</v>
      </c>
      <c r="G18" s="25">
        <v>85</v>
      </c>
      <c r="H18" s="22">
        <v>720</v>
      </c>
      <c r="I18" s="20">
        <f t="shared" si="1"/>
        <v>61200</v>
      </c>
    </row>
    <row r="19" spans="1:9" ht="72.75" thickBot="1" x14ac:dyDescent="0.3">
      <c r="A19" s="13">
        <v>14</v>
      </c>
      <c r="B19" s="23" t="s">
        <v>42</v>
      </c>
      <c r="C19" s="15" t="s">
        <v>10</v>
      </c>
      <c r="D19" s="16" t="s">
        <v>17</v>
      </c>
      <c r="E19" s="15" t="s">
        <v>43</v>
      </c>
      <c r="F19" s="17" t="s">
        <v>12</v>
      </c>
      <c r="G19" s="28">
        <v>85</v>
      </c>
      <c r="H19" s="29">
        <v>460</v>
      </c>
      <c r="I19" s="20">
        <f t="shared" si="1"/>
        <v>39100</v>
      </c>
    </row>
    <row r="20" spans="1:9" ht="264" x14ac:dyDescent="0.25">
      <c r="A20" s="5">
        <v>15</v>
      </c>
      <c r="B20" s="14" t="s">
        <v>44</v>
      </c>
      <c r="C20" s="30" t="s">
        <v>45</v>
      </c>
      <c r="D20" s="16" t="s">
        <v>46</v>
      </c>
      <c r="E20" s="15" t="s">
        <v>47</v>
      </c>
      <c r="F20" s="17" t="s">
        <v>12</v>
      </c>
      <c r="G20" s="28">
        <v>600</v>
      </c>
      <c r="H20" s="29">
        <v>280</v>
      </c>
      <c r="I20" s="20">
        <f t="shared" si="1"/>
        <v>168000</v>
      </c>
    </row>
    <row r="21" spans="1:9" ht="96.75" thickBot="1" x14ac:dyDescent="0.3">
      <c r="A21" s="13">
        <v>16</v>
      </c>
      <c r="B21" s="14" t="s">
        <v>48</v>
      </c>
      <c r="C21" s="15" t="s">
        <v>10</v>
      </c>
      <c r="D21" s="16" t="s">
        <v>17</v>
      </c>
      <c r="E21" s="15" t="s">
        <v>49</v>
      </c>
      <c r="F21" s="17" t="s">
        <v>12</v>
      </c>
      <c r="G21" s="25">
        <v>85</v>
      </c>
      <c r="H21" s="22">
        <v>1000</v>
      </c>
      <c r="I21" s="20">
        <f t="shared" si="1"/>
        <v>85000</v>
      </c>
    </row>
    <row r="22" spans="1:9" ht="132" x14ac:dyDescent="0.25">
      <c r="A22" s="5">
        <v>17</v>
      </c>
      <c r="B22" s="14" t="s">
        <v>50</v>
      </c>
      <c r="C22" s="15" t="s">
        <v>10</v>
      </c>
      <c r="D22" s="16" t="s">
        <v>17</v>
      </c>
      <c r="E22" s="15" t="s">
        <v>51</v>
      </c>
      <c r="F22" s="17" t="s">
        <v>41</v>
      </c>
      <c r="G22" s="28">
        <v>85</v>
      </c>
      <c r="H22" s="29">
        <v>250</v>
      </c>
      <c r="I22" s="20">
        <f t="shared" si="1"/>
        <v>21250</v>
      </c>
    </row>
    <row r="23" spans="1:9" ht="348.75" thickBot="1" x14ac:dyDescent="0.3">
      <c r="A23" s="13">
        <v>18</v>
      </c>
      <c r="B23" s="14" t="s">
        <v>52</v>
      </c>
      <c r="C23" s="30" t="s">
        <v>45</v>
      </c>
      <c r="D23" s="16" t="str">
        <f t="shared" si="0"/>
        <v>2.3.1</v>
      </c>
      <c r="E23" s="15" t="s">
        <v>53</v>
      </c>
      <c r="F23" s="17" t="s">
        <v>41</v>
      </c>
      <c r="G23" s="21">
        <v>600</v>
      </c>
      <c r="H23" s="22">
        <v>1000</v>
      </c>
      <c r="I23" s="31">
        <f t="shared" si="1"/>
        <v>600000</v>
      </c>
    </row>
    <row r="24" spans="1:9" ht="96" x14ac:dyDescent="0.25">
      <c r="A24" s="5">
        <v>19</v>
      </c>
      <c r="B24" s="32" t="s">
        <v>54</v>
      </c>
      <c r="C24" s="33" t="s">
        <v>55</v>
      </c>
      <c r="D24" s="34" t="s">
        <v>56</v>
      </c>
      <c r="E24" s="33" t="s">
        <v>57</v>
      </c>
      <c r="F24" s="35" t="s">
        <v>12</v>
      </c>
      <c r="G24" s="36">
        <v>135</v>
      </c>
      <c r="H24" s="37">
        <v>10800</v>
      </c>
      <c r="I24" s="38">
        <f t="shared" si="1"/>
        <v>1458000</v>
      </c>
    </row>
    <row r="25" spans="1:9" ht="132.75" thickBot="1" x14ac:dyDescent="0.3">
      <c r="A25" s="13">
        <v>20</v>
      </c>
      <c r="B25" s="39" t="s">
        <v>9</v>
      </c>
      <c r="C25" s="40" t="s">
        <v>10</v>
      </c>
      <c r="D25" s="41" t="s">
        <v>17</v>
      </c>
      <c r="E25" s="40" t="s">
        <v>11</v>
      </c>
      <c r="F25" s="42" t="s">
        <v>12</v>
      </c>
      <c r="G25" s="43">
        <v>135</v>
      </c>
      <c r="H25" s="44">
        <v>2300</v>
      </c>
      <c r="I25" s="45">
        <f t="shared" si="1"/>
        <v>310500</v>
      </c>
    </row>
    <row r="26" spans="1:9" ht="60" x14ac:dyDescent="0.25">
      <c r="A26" s="5">
        <v>21</v>
      </c>
      <c r="B26" s="39" t="s">
        <v>13</v>
      </c>
      <c r="C26" s="40" t="s">
        <v>10</v>
      </c>
      <c r="D26" s="41" t="s">
        <v>17</v>
      </c>
      <c r="E26" s="40" t="s">
        <v>14</v>
      </c>
      <c r="F26" s="42" t="s">
        <v>15</v>
      </c>
      <c r="G26" s="43">
        <v>50</v>
      </c>
      <c r="H26" s="44">
        <v>980</v>
      </c>
      <c r="I26" s="45">
        <f t="shared" si="1"/>
        <v>49000</v>
      </c>
    </row>
    <row r="27" spans="1:9" ht="108.75" thickBot="1" x14ac:dyDescent="0.3">
      <c r="A27" s="13">
        <v>22</v>
      </c>
      <c r="B27" s="39" t="s">
        <v>16</v>
      </c>
      <c r="C27" s="40" t="s">
        <v>10</v>
      </c>
      <c r="D27" s="41" t="s">
        <v>17</v>
      </c>
      <c r="E27" s="40" t="s">
        <v>18</v>
      </c>
      <c r="F27" s="42" t="s">
        <v>12</v>
      </c>
      <c r="G27" s="46">
        <v>70</v>
      </c>
      <c r="H27" s="47">
        <v>285</v>
      </c>
      <c r="I27" s="45">
        <f t="shared" si="1"/>
        <v>19950</v>
      </c>
    </row>
    <row r="28" spans="1:9" ht="84" x14ac:dyDescent="0.25">
      <c r="A28" s="5">
        <v>23</v>
      </c>
      <c r="B28" s="39" t="s">
        <v>19</v>
      </c>
      <c r="C28" s="40" t="s">
        <v>10</v>
      </c>
      <c r="D28" s="41" t="s">
        <v>17</v>
      </c>
      <c r="E28" s="40" t="s">
        <v>20</v>
      </c>
      <c r="F28" s="42" t="s">
        <v>12</v>
      </c>
      <c r="G28" s="46">
        <v>50</v>
      </c>
      <c r="H28" s="47">
        <v>495</v>
      </c>
      <c r="I28" s="45">
        <f t="shared" si="1"/>
        <v>24750</v>
      </c>
    </row>
    <row r="29" spans="1:9" ht="108.75" thickBot="1" x14ac:dyDescent="0.3">
      <c r="A29" s="13">
        <v>24</v>
      </c>
      <c r="B29" s="39" t="s">
        <v>21</v>
      </c>
      <c r="C29" s="40" t="s">
        <v>10</v>
      </c>
      <c r="D29" s="41" t="s">
        <v>17</v>
      </c>
      <c r="E29" s="40" t="s">
        <v>22</v>
      </c>
      <c r="F29" s="42" t="s">
        <v>12</v>
      </c>
      <c r="G29" s="46">
        <v>50</v>
      </c>
      <c r="H29" s="47">
        <v>715</v>
      </c>
      <c r="I29" s="45">
        <f t="shared" si="1"/>
        <v>35750</v>
      </c>
    </row>
    <row r="30" spans="1:9" ht="132" x14ac:dyDescent="0.25">
      <c r="A30" s="5">
        <v>25</v>
      </c>
      <c r="B30" s="39" t="s">
        <v>23</v>
      </c>
      <c r="C30" s="40" t="s">
        <v>10</v>
      </c>
      <c r="D30" s="41" t="s">
        <v>17</v>
      </c>
      <c r="E30" s="40" t="s">
        <v>24</v>
      </c>
      <c r="F30" s="42" t="s">
        <v>12</v>
      </c>
      <c r="G30" s="46">
        <v>70</v>
      </c>
      <c r="H30" s="47">
        <v>270</v>
      </c>
      <c r="I30" s="45">
        <f t="shared" si="1"/>
        <v>18900</v>
      </c>
    </row>
    <row r="31" spans="1:9" ht="84.75" thickBot="1" x14ac:dyDescent="0.3">
      <c r="A31" s="13">
        <v>26</v>
      </c>
      <c r="B31" s="39" t="s">
        <v>25</v>
      </c>
      <c r="C31" s="40" t="s">
        <v>10</v>
      </c>
      <c r="D31" s="41" t="s">
        <v>17</v>
      </c>
      <c r="E31" s="40" t="s">
        <v>26</v>
      </c>
      <c r="F31" s="42" t="s">
        <v>12</v>
      </c>
      <c r="G31" s="46">
        <v>110</v>
      </c>
      <c r="H31" s="47">
        <v>1495</v>
      </c>
      <c r="I31" s="45">
        <f t="shared" si="1"/>
        <v>164450</v>
      </c>
    </row>
    <row r="32" spans="1:9" ht="60" x14ac:dyDescent="0.25">
      <c r="A32" s="5">
        <v>27</v>
      </c>
      <c r="B32" s="39" t="s">
        <v>58</v>
      </c>
      <c r="C32" s="40" t="s">
        <v>10</v>
      </c>
      <c r="D32" s="41" t="s">
        <v>17</v>
      </c>
      <c r="E32" s="40" t="s">
        <v>59</v>
      </c>
      <c r="F32" s="42" t="s">
        <v>12</v>
      </c>
      <c r="G32" s="46">
        <v>100</v>
      </c>
      <c r="H32" s="47">
        <v>3200</v>
      </c>
      <c r="I32" s="45">
        <f t="shared" si="1"/>
        <v>320000</v>
      </c>
    </row>
    <row r="33" spans="1:9" ht="144.75" thickBot="1" x14ac:dyDescent="0.3">
      <c r="A33" s="13">
        <v>28</v>
      </c>
      <c r="B33" s="39" t="s">
        <v>27</v>
      </c>
      <c r="C33" s="40" t="s">
        <v>10</v>
      </c>
      <c r="D33" s="41" t="s">
        <v>17</v>
      </c>
      <c r="E33" s="40" t="s">
        <v>28</v>
      </c>
      <c r="F33" s="42" t="s">
        <v>12</v>
      </c>
      <c r="G33" s="46">
        <v>50</v>
      </c>
      <c r="H33" s="47">
        <v>205</v>
      </c>
      <c r="I33" s="45">
        <f t="shared" si="1"/>
        <v>10250</v>
      </c>
    </row>
    <row r="34" spans="1:9" ht="168" x14ac:dyDescent="0.25">
      <c r="A34" s="5">
        <v>29</v>
      </c>
      <c r="B34" s="39" t="s">
        <v>60</v>
      </c>
      <c r="C34" s="40" t="s">
        <v>10</v>
      </c>
      <c r="D34" s="41" t="s">
        <v>17</v>
      </c>
      <c r="E34" s="40" t="s">
        <v>61</v>
      </c>
      <c r="F34" s="42" t="s">
        <v>12</v>
      </c>
      <c r="G34" s="46">
        <v>50</v>
      </c>
      <c r="H34" s="47">
        <v>565</v>
      </c>
      <c r="I34" s="45">
        <f t="shared" si="1"/>
        <v>28250</v>
      </c>
    </row>
    <row r="35" spans="1:9" ht="60.75" thickBot="1" x14ac:dyDescent="0.3">
      <c r="A35" s="13">
        <v>30</v>
      </c>
      <c r="B35" s="39" t="s">
        <v>62</v>
      </c>
      <c r="C35" s="40" t="s">
        <v>10</v>
      </c>
      <c r="D35" s="41" t="s">
        <v>17</v>
      </c>
      <c r="E35" s="40" t="s">
        <v>63</v>
      </c>
      <c r="F35" s="42" t="s">
        <v>12</v>
      </c>
      <c r="G35" s="46">
        <v>70</v>
      </c>
      <c r="H35" s="47">
        <v>395</v>
      </c>
      <c r="I35" s="45">
        <f t="shared" si="1"/>
        <v>27650</v>
      </c>
    </row>
    <row r="36" spans="1:9" ht="108" x14ac:dyDescent="0.25">
      <c r="A36" s="5">
        <v>31</v>
      </c>
      <c r="B36" s="39" t="s">
        <v>64</v>
      </c>
      <c r="C36" s="40" t="s">
        <v>10</v>
      </c>
      <c r="D36" s="41" t="s">
        <v>17</v>
      </c>
      <c r="E36" s="40" t="s">
        <v>65</v>
      </c>
      <c r="F36" s="42" t="s">
        <v>12</v>
      </c>
      <c r="G36" s="46">
        <v>50</v>
      </c>
      <c r="H36" s="47">
        <v>580</v>
      </c>
      <c r="I36" s="45">
        <f t="shared" si="1"/>
        <v>29000</v>
      </c>
    </row>
    <row r="37" spans="1:9" ht="96.75" thickBot="1" x14ac:dyDescent="0.3">
      <c r="A37" s="13">
        <v>32</v>
      </c>
      <c r="B37" s="39" t="s">
        <v>66</v>
      </c>
      <c r="C37" s="40" t="s">
        <v>10</v>
      </c>
      <c r="D37" s="41" t="s">
        <v>17</v>
      </c>
      <c r="E37" s="40" t="s">
        <v>67</v>
      </c>
      <c r="F37" s="42" t="s">
        <v>12</v>
      </c>
      <c r="G37" s="46">
        <v>50</v>
      </c>
      <c r="H37" s="47">
        <v>490</v>
      </c>
      <c r="I37" s="45">
        <f t="shared" si="1"/>
        <v>24500</v>
      </c>
    </row>
    <row r="38" spans="1:9" ht="84" x14ac:dyDescent="0.25">
      <c r="A38" s="5">
        <v>33</v>
      </c>
      <c r="B38" s="39" t="s">
        <v>68</v>
      </c>
      <c r="C38" s="40" t="s">
        <v>10</v>
      </c>
      <c r="D38" s="41" t="s">
        <v>17</v>
      </c>
      <c r="E38" s="40" t="s">
        <v>69</v>
      </c>
      <c r="F38" s="42" t="s">
        <v>12</v>
      </c>
      <c r="G38" s="46">
        <v>50</v>
      </c>
      <c r="H38" s="47">
        <v>595</v>
      </c>
      <c r="I38" s="45">
        <f t="shared" si="1"/>
        <v>29750</v>
      </c>
    </row>
    <row r="39" spans="1:9" ht="168.75" thickBot="1" x14ac:dyDescent="0.3">
      <c r="A39" s="13">
        <v>34</v>
      </c>
      <c r="B39" s="39" t="s">
        <v>70</v>
      </c>
      <c r="C39" s="40" t="s">
        <v>10</v>
      </c>
      <c r="D39" s="41" t="s">
        <v>17</v>
      </c>
      <c r="E39" s="40" t="s">
        <v>71</v>
      </c>
      <c r="F39" s="42" t="s">
        <v>12</v>
      </c>
      <c r="G39" s="46">
        <v>50</v>
      </c>
      <c r="H39" s="47">
        <v>485</v>
      </c>
      <c r="I39" s="45">
        <f t="shared" si="1"/>
        <v>24250</v>
      </c>
    </row>
    <row r="40" spans="1:9" ht="72" x14ac:dyDescent="0.25">
      <c r="A40" s="5">
        <v>35</v>
      </c>
      <c r="B40" s="39" t="s">
        <v>72</v>
      </c>
      <c r="C40" s="40" t="s">
        <v>10</v>
      </c>
      <c r="D40" s="41" t="s">
        <v>17</v>
      </c>
      <c r="E40" s="40" t="s">
        <v>73</v>
      </c>
      <c r="F40" s="42" t="s">
        <v>12</v>
      </c>
      <c r="G40" s="46">
        <v>50</v>
      </c>
      <c r="H40" s="48">
        <v>220</v>
      </c>
      <c r="I40" s="45">
        <f t="shared" si="1"/>
        <v>11000</v>
      </c>
    </row>
    <row r="41" spans="1:9" ht="48.75" thickBot="1" x14ac:dyDescent="0.3">
      <c r="A41" s="13">
        <v>36</v>
      </c>
      <c r="B41" s="39" t="s">
        <v>74</v>
      </c>
      <c r="C41" s="40" t="s">
        <v>10</v>
      </c>
      <c r="D41" s="41" t="s">
        <v>17</v>
      </c>
      <c r="E41" s="40" t="s">
        <v>75</v>
      </c>
      <c r="F41" s="42" t="s">
        <v>12</v>
      </c>
      <c r="G41" s="46">
        <v>50</v>
      </c>
      <c r="H41" s="47">
        <v>230</v>
      </c>
      <c r="I41" s="45">
        <f t="shared" si="1"/>
        <v>11500</v>
      </c>
    </row>
    <row r="42" spans="1:9" ht="180" x14ac:dyDescent="0.25">
      <c r="A42" s="5">
        <v>37</v>
      </c>
      <c r="B42" s="39" t="s">
        <v>76</v>
      </c>
      <c r="C42" s="40" t="s">
        <v>10</v>
      </c>
      <c r="D42" s="41" t="s">
        <v>17</v>
      </c>
      <c r="E42" s="40" t="s">
        <v>77</v>
      </c>
      <c r="F42" s="42" t="s">
        <v>12</v>
      </c>
      <c r="G42" s="46">
        <v>50</v>
      </c>
      <c r="H42" s="48">
        <v>750</v>
      </c>
      <c r="I42" s="45">
        <f t="shared" si="1"/>
        <v>37500</v>
      </c>
    </row>
    <row r="43" spans="1:9" ht="72.75" thickBot="1" x14ac:dyDescent="0.3">
      <c r="A43" s="13">
        <v>38</v>
      </c>
      <c r="B43" s="39" t="s">
        <v>78</v>
      </c>
      <c r="C43" s="40" t="s">
        <v>10</v>
      </c>
      <c r="D43" s="41" t="s">
        <v>17</v>
      </c>
      <c r="E43" s="40" t="s">
        <v>79</v>
      </c>
      <c r="F43" s="42" t="s">
        <v>12</v>
      </c>
      <c r="G43" s="46">
        <v>50</v>
      </c>
      <c r="H43" s="48">
        <v>385</v>
      </c>
      <c r="I43" s="45">
        <f t="shared" si="1"/>
        <v>19250</v>
      </c>
    </row>
    <row r="44" spans="1:9" ht="168" x14ac:dyDescent="0.25">
      <c r="A44" s="5">
        <v>39</v>
      </c>
      <c r="B44" s="39" t="s">
        <v>80</v>
      </c>
      <c r="C44" s="40" t="s">
        <v>45</v>
      </c>
      <c r="D44" s="41" t="s">
        <v>46</v>
      </c>
      <c r="E44" s="40" t="s">
        <v>81</v>
      </c>
      <c r="F44" s="42" t="s">
        <v>12</v>
      </c>
      <c r="G44" s="46">
        <v>320</v>
      </c>
      <c r="H44" s="47">
        <v>1200</v>
      </c>
      <c r="I44" s="45">
        <f t="shared" si="1"/>
        <v>384000</v>
      </c>
    </row>
    <row r="45" spans="1:9" ht="180.75" thickBot="1" x14ac:dyDescent="0.3">
      <c r="A45" s="13">
        <v>40</v>
      </c>
      <c r="B45" s="39" t="s">
        <v>82</v>
      </c>
      <c r="C45" s="40" t="s">
        <v>45</v>
      </c>
      <c r="D45" s="41" t="s">
        <v>46</v>
      </c>
      <c r="E45" s="40" t="s">
        <v>83</v>
      </c>
      <c r="F45" s="42" t="s">
        <v>12</v>
      </c>
      <c r="G45" s="46">
        <v>320</v>
      </c>
      <c r="H45" s="47">
        <v>1200</v>
      </c>
      <c r="I45" s="49">
        <f t="shared" si="1"/>
        <v>384000</v>
      </c>
    </row>
    <row r="46" spans="1:9" ht="72" x14ac:dyDescent="0.25">
      <c r="A46" s="5">
        <v>41</v>
      </c>
      <c r="B46" s="50" t="s">
        <v>84</v>
      </c>
      <c r="C46" s="15" t="s">
        <v>55</v>
      </c>
      <c r="D46" s="16" t="s">
        <v>56</v>
      </c>
      <c r="E46" s="15" t="s">
        <v>85</v>
      </c>
      <c r="F46" s="51" t="s">
        <v>12</v>
      </c>
      <c r="G46" s="52">
        <v>120</v>
      </c>
      <c r="H46" s="19">
        <v>12000</v>
      </c>
      <c r="I46" s="31">
        <f>G46*H46</f>
        <v>1440000</v>
      </c>
    </row>
    <row r="47" spans="1:9" ht="132.75" thickBot="1" x14ac:dyDescent="0.3">
      <c r="A47" s="13">
        <v>42</v>
      </c>
      <c r="B47" s="50" t="s">
        <v>9</v>
      </c>
      <c r="C47" s="15" t="s">
        <v>86</v>
      </c>
      <c r="D47" s="16" t="s">
        <v>17</v>
      </c>
      <c r="E47" s="15" t="s">
        <v>11</v>
      </c>
      <c r="F47" s="51" t="s">
        <v>12</v>
      </c>
      <c r="G47" s="52">
        <v>125</v>
      </c>
      <c r="H47" s="19">
        <v>2300</v>
      </c>
      <c r="I47" s="31">
        <f t="shared" ref="I47:I63" si="2">G47*H47</f>
        <v>287500</v>
      </c>
    </row>
    <row r="48" spans="1:9" ht="60" x14ac:dyDescent="0.25">
      <c r="A48" s="5">
        <v>43</v>
      </c>
      <c r="B48" s="50" t="s">
        <v>13</v>
      </c>
      <c r="C48" s="15" t="s">
        <v>86</v>
      </c>
      <c r="D48" s="16" t="s">
        <v>17</v>
      </c>
      <c r="E48" s="15" t="s">
        <v>14</v>
      </c>
      <c r="F48" s="51" t="s">
        <v>15</v>
      </c>
      <c r="G48" s="52">
        <v>125</v>
      </c>
      <c r="H48" s="19">
        <v>980</v>
      </c>
      <c r="I48" s="31">
        <f t="shared" si="2"/>
        <v>122500</v>
      </c>
    </row>
    <row r="49" spans="1:9" ht="84.75" thickBot="1" x14ac:dyDescent="0.3">
      <c r="A49" s="13">
        <v>44</v>
      </c>
      <c r="B49" s="50" t="s">
        <v>19</v>
      </c>
      <c r="C49" s="15" t="s">
        <v>86</v>
      </c>
      <c r="D49" s="16" t="s">
        <v>17</v>
      </c>
      <c r="E49" s="15" t="s">
        <v>20</v>
      </c>
      <c r="F49" s="51" t="s">
        <v>12</v>
      </c>
      <c r="G49" s="53">
        <v>125</v>
      </c>
      <c r="H49" s="54">
        <v>495</v>
      </c>
      <c r="I49" s="31">
        <f t="shared" si="2"/>
        <v>61875</v>
      </c>
    </row>
    <row r="50" spans="1:9" ht="132" x14ac:dyDescent="0.25">
      <c r="A50" s="5">
        <v>45</v>
      </c>
      <c r="B50" s="50" t="s">
        <v>23</v>
      </c>
      <c r="C50" s="15" t="s">
        <v>86</v>
      </c>
      <c r="D50" s="16" t="s">
        <v>17</v>
      </c>
      <c r="E50" s="15" t="s">
        <v>24</v>
      </c>
      <c r="F50" s="51" t="s">
        <v>12</v>
      </c>
      <c r="G50" s="53">
        <v>125</v>
      </c>
      <c r="H50" s="54">
        <v>270</v>
      </c>
      <c r="I50" s="31">
        <f t="shared" si="2"/>
        <v>33750</v>
      </c>
    </row>
    <row r="51" spans="1:9" ht="144.75" thickBot="1" x14ac:dyDescent="0.3">
      <c r="A51" s="13">
        <v>46</v>
      </c>
      <c r="B51" s="50" t="s">
        <v>27</v>
      </c>
      <c r="C51" s="15" t="s">
        <v>86</v>
      </c>
      <c r="D51" s="16" t="s">
        <v>17</v>
      </c>
      <c r="E51" s="15" t="s">
        <v>28</v>
      </c>
      <c r="F51" s="51" t="s">
        <v>12</v>
      </c>
      <c r="G51" s="53">
        <v>125</v>
      </c>
      <c r="H51" s="54">
        <v>205</v>
      </c>
      <c r="I51" s="31">
        <f t="shared" si="2"/>
        <v>25625</v>
      </c>
    </row>
    <row r="52" spans="1:9" ht="168" x14ac:dyDescent="0.25">
      <c r="A52" s="5">
        <v>47</v>
      </c>
      <c r="B52" s="50" t="s">
        <v>60</v>
      </c>
      <c r="C52" s="15" t="s">
        <v>86</v>
      </c>
      <c r="D52" s="16" t="s">
        <v>17</v>
      </c>
      <c r="E52" s="15" t="s">
        <v>61</v>
      </c>
      <c r="F52" s="51" t="s">
        <v>12</v>
      </c>
      <c r="G52" s="53">
        <v>125</v>
      </c>
      <c r="H52" s="54">
        <v>565</v>
      </c>
      <c r="I52" s="31">
        <f t="shared" si="2"/>
        <v>70625</v>
      </c>
    </row>
    <row r="53" spans="1:9" ht="60.75" thickBot="1" x14ac:dyDescent="0.3">
      <c r="A53" s="13">
        <v>48</v>
      </c>
      <c r="B53" s="50" t="s">
        <v>62</v>
      </c>
      <c r="C53" s="15" t="s">
        <v>86</v>
      </c>
      <c r="D53" s="16" t="s">
        <v>17</v>
      </c>
      <c r="E53" s="15" t="s">
        <v>63</v>
      </c>
      <c r="F53" s="51" t="s">
        <v>12</v>
      </c>
      <c r="G53" s="53">
        <v>125</v>
      </c>
      <c r="H53" s="54">
        <v>395</v>
      </c>
      <c r="I53" s="31">
        <f t="shared" si="2"/>
        <v>49375</v>
      </c>
    </row>
    <row r="54" spans="1:9" ht="108" x14ac:dyDescent="0.25">
      <c r="A54" s="5">
        <v>49</v>
      </c>
      <c r="B54" s="50" t="s">
        <v>64</v>
      </c>
      <c r="C54" s="15" t="s">
        <v>86</v>
      </c>
      <c r="D54" s="16" t="s">
        <v>17</v>
      </c>
      <c r="E54" s="15" t="s">
        <v>65</v>
      </c>
      <c r="F54" s="51" t="s">
        <v>12</v>
      </c>
      <c r="G54" s="53">
        <v>125</v>
      </c>
      <c r="H54" s="54">
        <v>580</v>
      </c>
      <c r="I54" s="31">
        <f t="shared" si="2"/>
        <v>72500</v>
      </c>
    </row>
    <row r="55" spans="1:9" ht="96.75" thickBot="1" x14ac:dyDescent="0.3">
      <c r="A55" s="13">
        <v>50</v>
      </c>
      <c r="B55" s="50" t="s">
        <v>66</v>
      </c>
      <c r="C55" s="15" t="s">
        <v>86</v>
      </c>
      <c r="D55" s="16" t="s">
        <v>17</v>
      </c>
      <c r="E55" s="15" t="s">
        <v>67</v>
      </c>
      <c r="F55" s="51" t="s">
        <v>12</v>
      </c>
      <c r="G55" s="53">
        <v>125</v>
      </c>
      <c r="H55" s="54">
        <v>490</v>
      </c>
      <c r="I55" s="31">
        <f t="shared" si="2"/>
        <v>61250</v>
      </c>
    </row>
    <row r="56" spans="1:9" ht="84" x14ac:dyDescent="0.25">
      <c r="A56" s="5">
        <v>51</v>
      </c>
      <c r="B56" s="50" t="s">
        <v>68</v>
      </c>
      <c r="C56" s="15" t="s">
        <v>86</v>
      </c>
      <c r="D56" s="16" t="s">
        <v>17</v>
      </c>
      <c r="E56" s="15" t="s">
        <v>69</v>
      </c>
      <c r="F56" s="51" t="s">
        <v>12</v>
      </c>
      <c r="G56" s="53">
        <v>125</v>
      </c>
      <c r="H56" s="54">
        <v>595</v>
      </c>
      <c r="I56" s="31">
        <f t="shared" si="2"/>
        <v>74375</v>
      </c>
    </row>
    <row r="57" spans="1:9" ht="168.75" thickBot="1" x14ac:dyDescent="0.3">
      <c r="A57" s="13">
        <v>52</v>
      </c>
      <c r="B57" s="50" t="s">
        <v>70</v>
      </c>
      <c r="C57" s="15" t="s">
        <v>86</v>
      </c>
      <c r="D57" s="16" t="s">
        <v>17</v>
      </c>
      <c r="E57" s="15" t="s">
        <v>71</v>
      </c>
      <c r="F57" s="51" t="s">
        <v>12</v>
      </c>
      <c r="G57" s="53">
        <v>125</v>
      </c>
      <c r="H57" s="54">
        <v>485</v>
      </c>
      <c r="I57" s="31">
        <f t="shared" si="2"/>
        <v>60625</v>
      </c>
    </row>
    <row r="58" spans="1:9" ht="72" x14ac:dyDescent="0.25">
      <c r="A58" s="5">
        <v>53</v>
      </c>
      <c r="B58" s="50" t="s">
        <v>72</v>
      </c>
      <c r="C58" s="15" t="s">
        <v>86</v>
      </c>
      <c r="D58" s="16" t="s">
        <v>17</v>
      </c>
      <c r="E58" s="15" t="s">
        <v>73</v>
      </c>
      <c r="F58" s="51" t="s">
        <v>12</v>
      </c>
      <c r="G58" s="55">
        <v>125</v>
      </c>
      <c r="H58" s="56">
        <v>220</v>
      </c>
      <c r="I58" s="31">
        <f t="shared" si="2"/>
        <v>27500</v>
      </c>
    </row>
    <row r="59" spans="1:9" ht="48.75" thickBot="1" x14ac:dyDescent="0.3">
      <c r="A59" s="13">
        <v>54</v>
      </c>
      <c r="B59" s="50" t="s">
        <v>74</v>
      </c>
      <c r="C59" s="15" t="s">
        <v>86</v>
      </c>
      <c r="D59" s="16" t="s">
        <v>17</v>
      </c>
      <c r="E59" s="15" t="s">
        <v>75</v>
      </c>
      <c r="F59" s="51" t="s">
        <v>12</v>
      </c>
      <c r="G59" s="53">
        <v>125</v>
      </c>
      <c r="H59" s="54">
        <v>230</v>
      </c>
      <c r="I59" s="31">
        <f t="shared" si="2"/>
        <v>28750</v>
      </c>
    </row>
    <row r="60" spans="1:9" ht="180" x14ac:dyDescent="0.25">
      <c r="A60" s="5">
        <v>55</v>
      </c>
      <c r="B60" s="50" t="s">
        <v>76</v>
      </c>
      <c r="C60" s="15" t="s">
        <v>86</v>
      </c>
      <c r="D60" s="16" t="s">
        <v>17</v>
      </c>
      <c r="E60" s="15" t="s">
        <v>77</v>
      </c>
      <c r="F60" s="51" t="s">
        <v>12</v>
      </c>
      <c r="G60" s="55">
        <v>125</v>
      </c>
      <c r="H60" s="56">
        <v>750</v>
      </c>
      <c r="I60" s="31">
        <f t="shared" si="2"/>
        <v>93750</v>
      </c>
    </row>
    <row r="61" spans="1:9" ht="72.75" thickBot="1" x14ac:dyDescent="0.3">
      <c r="A61" s="13">
        <v>56</v>
      </c>
      <c r="B61" s="50" t="s">
        <v>78</v>
      </c>
      <c r="C61" s="15" t="s">
        <v>86</v>
      </c>
      <c r="D61" s="16" t="s">
        <v>17</v>
      </c>
      <c r="E61" s="15" t="s">
        <v>79</v>
      </c>
      <c r="F61" s="51" t="s">
        <v>12</v>
      </c>
      <c r="G61" s="55">
        <v>125</v>
      </c>
      <c r="H61" s="56">
        <v>385</v>
      </c>
      <c r="I61" s="31">
        <f t="shared" si="2"/>
        <v>48125</v>
      </c>
    </row>
    <row r="62" spans="1:9" ht="168" x14ac:dyDescent="0.25">
      <c r="A62" s="5">
        <v>57</v>
      </c>
      <c r="B62" s="50" t="s">
        <v>80</v>
      </c>
      <c r="C62" s="15" t="s">
        <v>45</v>
      </c>
      <c r="D62" s="16" t="s">
        <v>46</v>
      </c>
      <c r="E62" s="15" t="s">
        <v>81</v>
      </c>
      <c r="F62" s="51" t="s">
        <v>12</v>
      </c>
      <c r="G62" s="53">
        <v>320</v>
      </c>
      <c r="H62" s="54">
        <v>1200</v>
      </c>
      <c r="I62" s="31">
        <f t="shared" si="2"/>
        <v>384000</v>
      </c>
    </row>
    <row r="63" spans="1:9" ht="180" x14ac:dyDescent="0.25">
      <c r="A63" s="13">
        <v>58</v>
      </c>
      <c r="B63" s="50" t="s">
        <v>82</v>
      </c>
      <c r="C63" s="15" t="s">
        <v>45</v>
      </c>
      <c r="D63" s="16" t="s">
        <v>46</v>
      </c>
      <c r="E63" s="15" t="s">
        <v>83</v>
      </c>
      <c r="F63" s="51" t="s">
        <v>12</v>
      </c>
      <c r="G63" s="53">
        <v>320</v>
      </c>
      <c r="H63" s="54">
        <v>1200</v>
      </c>
      <c r="I63" s="31">
        <f t="shared" si="2"/>
        <v>384000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2022-12-06T14:58:07Z</dcterms:created>
  <dcterms:modified xsi:type="dcterms:W3CDTF">2022-12-06T14:59:52Z</dcterms:modified>
</cp:coreProperties>
</file>