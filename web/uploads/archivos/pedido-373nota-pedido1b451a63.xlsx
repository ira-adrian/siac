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640" windowHeight="11160" tabRatio="500" activeTab="1"/>
  </bookViews>
  <sheets>
    <sheet name="Necesidades Trimestrales" sheetId="1" r:id="rId1"/>
    <sheet name="APG" sheetId="2" r:id="rId2"/>
  </sheets>
  <externalReferences>
    <externalReference r:id="rId3"/>
  </externalReferences>
  <calcPr calcId="144525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6" i="2" l="1"/>
  <c r="D1" i="2"/>
  <c r="I10" i="1" l="1"/>
  <c r="I11" i="1" s="1"/>
</calcChain>
</file>

<file path=xl/sharedStrings.xml><?xml version="1.0" encoding="utf-8"?>
<sst xmlns="http://schemas.openxmlformats.org/spreadsheetml/2006/main" count="69" uniqueCount="65">
  <si>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</si>
  <si>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</si>
  <si>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</si>
  <si>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</si>
  <si>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</si>
  <si>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</si>
  <si>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</si>
  <si>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</si>
  <si>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</si>
  <si>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</si>
  <si>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</si>
  <si>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</si>
  <si>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</si>
  <si>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</si>
  <si>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</si>
  <si>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</si>
  <si>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</si>
  <si>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</si>
  <si>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</si>
  <si>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</si>
  <si>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090 - MINISTERIO DE SEGURIDAD</t>
  </si>
  <si>
    <t xml:space="preserve">Primera Calidad </t>
  </si>
  <si>
    <t>UNIDAD</t>
  </si>
  <si>
    <t>SAF 19 - DIRECCION PROVINCIAL DE ADM. Y RR.HH. DEL MINISTERIO DE SEGURIDAD</t>
  </si>
  <si>
    <t>4.3.9-3892.31</t>
  </si>
  <si>
    <t>EQUIPOS</t>
  </si>
  <si>
    <t>SISTEMA DE ALARMA, ENLACE: PLAQUETA INTEGRADA CN CONEXIÓN WIFI; SIRENA: CON; CONTROL REMOTO: CON; REFLECTOR LED: CON</t>
  </si>
  <si>
    <t>5.1.4</t>
  </si>
  <si>
    <t>12 Meses</t>
  </si>
  <si>
    <t>Cuarenta y Cinco (45) dias habiles</t>
  </si>
  <si>
    <t>Ver Anexo</t>
  </si>
  <si>
    <t>AUTORIZACION PARA GASTAR</t>
  </si>
  <si>
    <t>JURISDICCIÓN:</t>
  </si>
  <si>
    <t>SAF:</t>
  </si>
  <si>
    <t>UNIDAD EJECUTORA:</t>
  </si>
  <si>
    <t>MINISTERIO DE SEGURIDAD</t>
  </si>
  <si>
    <t xml:space="preserve">DEPENDENCIA SOLICITANTE: </t>
  </si>
  <si>
    <t>DIRECCION PROVINCIAL DESARROLLO Y PARTICIPACION CIUDADANA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</si>
  <si>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</si>
  <si>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</si>
  <si>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Autorizo la realización de los  trámites correspondientes, a fin de proveer a  este Organismo los bienes y/o servicios que se detallan en la Nesecidad Trimestral para el 3° Trimestre,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</si>
  <si>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</si>
  <si>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</si>
  <si>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</si>
  <si>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</si>
  <si>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</si>
  <si>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</si>
  <si>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</si>
  <si>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</si>
  <si>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</si>
  <si>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</si>
  <si>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</si>
  <si>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</si>
  <si>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</si>
  <si>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</si>
  <si>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</si>
  <si>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</si>
  <si>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</si>
  <si>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</si>
  <si>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Seis Millones Con 00/100.-</t>
  </si>
  <si>
    <t>JUSTIFICACIÓN:</t>
  </si>
  <si>
    <t>Adquisicion de Sistema de Alarmas Comunitarias.</t>
  </si>
  <si>
    <t>AYUDA SOCIALES A PERSONAS</t>
  </si>
  <si>
    <t xml:space="preserve"> Lugar de entrega SAE 911. Ubicado en  AV. Virgen del Valle esq. Gral Roca.Palzo de Entrega 45 dias habiles (Cuarenta y Cinco)</t>
  </si>
  <si>
    <t>COSTO TOTAL ESTIMADO: SEIS MILLONES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</si>
</sst>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&quot;$&quot;\ #,##0.00;[Red]&quot;$&quot;\ #,##0.00"/>
    <numFmt numFmtId="167" formatCode="dd\-mm\-yy;@"/>
    <numFmt numFmtId="168" formatCode="_(\$* #,##0.00_);_(\$* \(#,##0.00\);_(\$* \-??_);_(@_)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2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u/>
      <sz val="11"/>
      <name val="Century Gothic"/>
      <family val="2"/>
    </font>
    <font>
      <sz val="11"/>
      <name val="Century Gothic"/>
      <family val="2"/>
    </font>
    <font>
      <sz val="11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b/>
      <sz val="10"/>
      <color rgb="FF000000"/>
      <name val="Arial"/>
      <family val="2"/>
    </font>
    <font>
      <sz val="10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  <xf numFmtId="168" fontId="20" fillId="0" borderId="0" applyBorder="0" applyProtection="0"/>
  </cellStyleXfs>
  <cellXfs count="116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12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12" fillId="0" borderId="5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6" xfId="0" applyFont="1" applyFill="1" applyBorder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/>
    <xf numFmtId="0" fontId="5" fillId="0" borderId="0" xfId="0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8" fillId="0" borderId="1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65" fontId="5" fillId="0" borderId="0" xfId="0" applyNumberFormat="1" applyFont="1"/>
    <xf numFmtId="165" fontId="10" fillId="0" borderId="14" xfId="1" applyNumberFormat="1" applyFont="1" applyFill="1" applyBorder="1" applyAlignment="1" applyProtection="1">
      <alignment horizontal="center" vertical="center" wrapText="1"/>
    </xf>
    <xf numFmtId="165" fontId="10" fillId="0" borderId="15" xfId="1" applyNumberFormat="1" applyFont="1" applyFill="1" applyBorder="1" applyAlignment="1" applyProtection="1">
      <alignment horizontal="center" vertical="center" wrapText="1"/>
    </xf>
    <xf numFmtId="165" fontId="3" fillId="0" borderId="10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3" fontId="17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0" fillId="0" borderId="0" xfId="0" applyFont="1"/>
    <xf numFmtId="0" fontId="0" fillId="0" borderId="0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0" xfId="0" applyBorder="1" applyAlignment="1">
      <alignment horizontal="left"/>
    </xf>
    <xf numFmtId="0" fontId="0" fillId="0" borderId="41" xfId="0" applyBorder="1"/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45" xfId="0" applyFont="1" applyBorder="1" applyAlignment="1">
      <alignment horizontal="left" vertical="center"/>
    </xf>
    <xf numFmtId="0" fontId="22" fillId="0" borderId="46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49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165" fontId="0" fillId="0" borderId="52" xfId="4" applyNumberFormat="1" applyFont="1" applyFill="1" applyBorder="1" applyAlignment="1" applyProtection="1">
      <alignment horizontal="right" vertical="center"/>
    </xf>
    <xf numFmtId="165" fontId="0" fillId="0" borderId="0" xfId="0" applyNumberFormat="1"/>
    <xf numFmtId="165" fontId="22" fillId="0" borderId="53" xfId="0" applyNumberFormat="1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/>
    </xf>
    <xf numFmtId="0" fontId="7" fillId="0" borderId="0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0" fontId="13" fillId="0" borderId="0" xfId="0" applyFont="1" applyFill="1" applyBorder="1" applyAlignment="1">
      <alignment horizontal="left" wrapText="1"/>
    </xf>
    <xf numFmtId="0" fontId="23" fillId="0" borderId="37" xfId="0" applyFont="1" applyBorder="1"/>
    <xf numFmtId="0" fontId="0" fillId="0" borderId="22" xfId="0" applyFont="1" applyBorder="1" applyAlignment="1">
      <alignment horizontal="center"/>
    </xf>
    <xf numFmtId="3" fontId="17" fillId="0" borderId="23" xfId="0" applyNumberFormat="1" applyFont="1" applyBorder="1" applyAlignment="1">
      <alignment horizontal="center"/>
    </xf>
    <xf numFmtId="0" fontId="18" fillId="0" borderId="24" xfId="0" applyFont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19" fillId="0" borderId="28" xfId="0" applyFont="1" applyFill="1" applyBorder="1" applyAlignment="1">
      <alignment horizontal="left" wrapText="1"/>
    </xf>
    <xf numFmtId="0" fontId="19" fillId="0" borderId="29" xfId="0" applyFont="1" applyFill="1" applyBorder="1" applyAlignment="1">
      <alignment horizontal="left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3" borderId="17" xfId="0" applyFont="1" applyFill="1" applyBorder="1" applyAlignment="1">
      <alignment horizontal="left" indent="1"/>
    </xf>
    <xf numFmtId="0" fontId="4" fillId="3" borderId="32" xfId="0" applyFont="1" applyFill="1" applyBorder="1" applyAlignment="1">
      <alignment horizontal="left" indent="1"/>
    </xf>
    <xf numFmtId="0" fontId="21" fillId="0" borderId="33" xfId="0" applyFont="1" applyBorder="1" applyAlignment="1">
      <alignment horizontal="left"/>
    </xf>
    <xf numFmtId="0" fontId="21" fillId="0" borderId="34" xfId="0" applyFont="1" applyBorder="1" applyAlignment="1">
      <alignment horizontal="left"/>
    </xf>
    <xf numFmtId="0" fontId="21" fillId="0" borderId="35" xfId="0" applyFont="1" applyBorder="1" applyAlignment="1">
      <alignment horizontal="left"/>
    </xf>
    <xf numFmtId="0" fontId="21" fillId="0" borderId="36" xfId="0" applyFont="1" applyBorder="1" applyAlignment="1">
      <alignment horizontal="left"/>
    </xf>
    <xf numFmtId="0" fontId="9" fillId="0" borderId="0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22" fillId="0" borderId="42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/>
    </xf>
    <xf numFmtId="0" fontId="4" fillId="0" borderId="48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left" vertical="center" wrapText="1"/>
    </xf>
    <xf numFmtId="0" fontId="0" fillId="0" borderId="42" xfId="0" applyBorder="1"/>
    <xf numFmtId="0" fontId="17" fillId="0" borderId="22" xfId="0" applyFont="1" applyBorder="1" applyAlignment="1">
      <alignment vertical="center" wrapText="1"/>
    </xf>
    <xf numFmtId="0" fontId="17" fillId="0" borderId="54" xfId="0" applyFont="1" applyBorder="1" applyAlignment="1">
      <alignment vertical="center" wrapText="1"/>
    </xf>
    <xf numFmtId="0" fontId="17" fillId="0" borderId="55" xfId="0" applyFont="1" applyBorder="1" applyAlignment="1">
      <alignment vertical="center" wrapText="1"/>
    </xf>
    <xf numFmtId="0" fontId="23" fillId="0" borderId="43" xfId="0" applyFont="1" applyBorder="1" applyAlignment="1">
      <alignment vertical="center" wrapText="1"/>
    </xf>
    <xf numFmtId="0" fontId="23" fillId="0" borderId="53" xfId="0" applyFont="1" applyFill="1" applyBorder="1" applyAlignment="1">
      <alignment horizontal="left" vertical="center" wrapText="1" indent="1"/>
    </xf>
    <xf numFmtId="0" fontId="24" fillId="0" borderId="0" xfId="0" applyFont="1"/>
  </cellXfs>
  <cellStyles count="5">
    <cellStyle name="Encabezado 1" xfId="2"/>
    <cellStyle name="Moneda" xfId="1" builtinId="4"/>
    <cellStyle name="Moneda_AUTORIZACION Y NOTA DE PEDIDO" xf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%20Docum\Descargas\NecesidadesTrimestrales-NP-APG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Autor Gastar"/>
    </sheetNames>
    <sheetDataSet>
      <sheetData sheetId="0">
        <row r="6">
          <cell r="C6">
            <v>2022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2"/>
  <sheetViews>
    <sheetView topLeftCell="A4" zoomScale="80" zoomScaleNormal="80" workbookViewId="0">
      <selection activeCell="E17" sqref="E17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1.5703125" style="1" customWidth="1"/>
    <col min="4" max="4" width="8.42578125" style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8.5703125" style="1" customWidth="1"/>
    <col min="10" max="10" width="11" style="24"/>
    <col min="11" max="11" width="13.5703125" style="23" customWidth="1"/>
    <col min="12" max="14" width="11" style="23"/>
    <col min="15" max="16384" width="11" style="1"/>
  </cols>
  <sheetData>
    <row r="2" spans="1:9" ht="27" x14ac:dyDescent="0.35">
      <c r="B2" s="76" t="s">
        <v>0</v>
      </c>
      <c r="C2" s="76"/>
      <c r="D2" s="76"/>
      <c r="E2" s="76"/>
      <c r="F2" s="76"/>
      <c r="G2" s="76"/>
      <c r="H2" s="76"/>
    </row>
    <row r="4" spans="1:9" ht="18" customHeight="1" x14ac:dyDescent="0.25">
      <c r="A4" s="68" t="s">
        <v>1</v>
      </c>
      <c r="B4" s="68"/>
      <c r="C4" s="77" t="s">
        <v>20</v>
      </c>
      <c r="D4" s="77"/>
      <c r="E4" s="77"/>
      <c r="F4" s="2"/>
      <c r="G4" s="3"/>
      <c r="H4" s="2"/>
    </row>
    <row r="5" spans="1:9" ht="18" customHeight="1" x14ac:dyDescent="0.25">
      <c r="A5" s="68" t="s">
        <v>2</v>
      </c>
      <c r="B5" s="68"/>
      <c r="C5" s="78" t="s">
        <v>23</v>
      </c>
      <c r="D5" s="78"/>
      <c r="E5" s="78"/>
      <c r="F5" s="2"/>
      <c r="G5" s="3"/>
      <c r="H5" s="2"/>
    </row>
    <row r="6" spans="1:9" ht="16.5" customHeight="1" x14ac:dyDescent="0.25">
      <c r="A6" s="68" t="s">
        <v>3</v>
      </c>
      <c r="B6" s="68"/>
      <c r="C6" s="14">
        <v>2022</v>
      </c>
      <c r="D6" s="13"/>
      <c r="E6" s="13"/>
      <c r="F6" s="2"/>
      <c r="G6" s="3"/>
      <c r="H6" s="2"/>
    </row>
    <row r="7" spans="1:9" ht="16.5" customHeight="1" x14ac:dyDescent="0.25">
      <c r="A7" s="68" t="s">
        <v>4</v>
      </c>
      <c r="B7" s="68"/>
      <c r="C7" s="14">
        <v>3</v>
      </c>
      <c r="D7" s="13"/>
      <c r="E7" s="13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35" t="s">
        <v>5</v>
      </c>
      <c r="B9" s="36" t="s">
        <v>6</v>
      </c>
      <c r="C9" s="37" t="s">
        <v>7</v>
      </c>
      <c r="D9" s="38" t="s">
        <v>8</v>
      </c>
      <c r="E9" s="39" t="s">
        <v>9</v>
      </c>
      <c r="F9" s="30" t="s">
        <v>10</v>
      </c>
      <c r="G9" s="30" t="s">
        <v>11</v>
      </c>
      <c r="H9" s="30" t="s">
        <v>12</v>
      </c>
      <c r="I9" s="29" t="s">
        <v>13</v>
      </c>
    </row>
    <row r="10" spans="1:9" ht="77.25" customHeight="1" thickBot="1" x14ac:dyDescent="0.25">
      <c r="A10" s="40">
        <v>1</v>
      </c>
      <c r="B10" s="41" t="s">
        <v>24</v>
      </c>
      <c r="C10" s="42" t="s">
        <v>25</v>
      </c>
      <c r="D10" s="42" t="s">
        <v>27</v>
      </c>
      <c r="E10" s="41" t="s">
        <v>26</v>
      </c>
      <c r="F10" s="27" t="s">
        <v>22</v>
      </c>
      <c r="G10" s="28">
        <v>200</v>
      </c>
      <c r="H10" s="32">
        <v>30000</v>
      </c>
      <c r="I10" s="33">
        <f>H10*G10</f>
        <v>6000000</v>
      </c>
    </row>
    <row r="11" spans="1:9" s="1" customFormat="1" ht="28.5" customHeight="1" thickBot="1" x14ac:dyDescent="0.25">
      <c r="A11" s="73" t="s">
        <v>64</v>
      </c>
      <c r="B11" s="74"/>
      <c r="C11" s="74"/>
      <c r="D11" s="74"/>
      <c r="E11" s="74"/>
      <c r="F11" s="75"/>
      <c r="G11" s="75"/>
      <c r="H11" s="75"/>
      <c r="I11" s="34">
        <f>SUM(I10:I10)</f>
        <v>6000000</v>
      </c>
    </row>
    <row r="12" spans="1:9" s="1" customFormat="1" ht="13.5" thickBot="1" x14ac:dyDescent="0.25">
      <c r="I12" s="31"/>
    </row>
    <row r="13" spans="1:9" s="1" customFormat="1" x14ac:dyDescent="0.2">
      <c r="B13" s="4" t="s">
        <v>14</v>
      </c>
      <c r="C13" s="5"/>
      <c r="D13" s="5"/>
      <c r="E13" s="6"/>
    </row>
    <row r="14" spans="1:9" s="1" customFormat="1" ht="5.25" customHeight="1" x14ac:dyDescent="0.2">
      <c r="B14" s="7"/>
      <c r="C14" s="8"/>
      <c r="D14" s="8"/>
      <c r="E14" s="9"/>
    </row>
    <row r="15" spans="1:9" s="1" customFormat="1" x14ac:dyDescent="0.2">
      <c r="B15" s="10" t="s">
        <v>15</v>
      </c>
      <c r="C15" s="8"/>
      <c r="D15" s="8"/>
      <c r="E15" s="9"/>
    </row>
    <row r="16" spans="1:9" s="1" customFormat="1" ht="38.25" customHeight="1" x14ac:dyDescent="0.2">
      <c r="B16" s="10"/>
      <c r="C16" s="69" t="s">
        <v>30</v>
      </c>
      <c r="D16" s="69"/>
      <c r="E16" s="70"/>
      <c r="I16" s="31"/>
    </row>
    <row r="17" spans="2:7" s="1" customFormat="1" ht="20.25" customHeight="1" x14ac:dyDescent="0.2">
      <c r="B17" s="10" t="s">
        <v>16</v>
      </c>
      <c r="C17" s="15"/>
      <c r="D17" s="15"/>
      <c r="E17" s="16"/>
    </row>
    <row r="18" spans="2:7" s="1" customFormat="1" ht="53.25" customHeight="1" x14ac:dyDescent="0.2">
      <c r="B18" s="11"/>
      <c r="C18" s="71" t="s">
        <v>63</v>
      </c>
      <c r="D18" s="71"/>
      <c r="E18" s="72"/>
    </row>
    <row r="19" spans="2:7" s="1" customFormat="1" x14ac:dyDescent="0.2">
      <c r="B19" s="10" t="s">
        <v>17</v>
      </c>
      <c r="C19" s="15"/>
      <c r="D19" s="15"/>
      <c r="E19" s="16"/>
      <c r="G19" s="22"/>
    </row>
    <row r="20" spans="2:7" s="1" customFormat="1" x14ac:dyDescent="0.2">
      <c r="B20" s="11"/>
      <c r="C20" s="66" t="s">
        <v>21</v>
      </c>
      <c r="D20" s="66"/>
      <c r="E20" s="66"/>
    </row>
    <row r="21" spans="2:7" s="1" customFormat="1" x14ac:dyDescent="0.2">
      <c r="B21" s="10" t="s">
        <v>18</v>
      </c>
      <c r="C21" s="17"/>
      <c r="D21" s="17"/>
      <c r="E21" s="18"/>
    </row>
    <row r="22" spans="2:7" s="1" customFormat="1" x14ac:dyDescent="0.2">
      <c r="B22" s="11"/>
      <c r="C22" s="66" t="s">
        <v>29</v>
      </c>
      <c r="D22" s="66"/>
      <c r="E22" s="66"/>
    </row>
    <row r="23" spans="2:7" s="1" customFormat="1" x14ac:dyDescent="0.2">
      <c r="B23" s="10" t="s">
        <v>19</v>
      </c>
      <c r="C23" s="15"/>
      <c r="D23" s="15"/>
      <c r="E23" s="16"/>
    </row>
    <row r="24" spans="2:7" s="1" customFormat="1" x14ac:dyDescent="0.2">
      <c r="B24" s="10"/>
      <c r="C24" s="67" t="s">
        <v>28</v>
      </c>
      <c r="D24" s="67"/>
      <c r="E24" s="67"/>
    </row>
    <row r="25" spans="2:7" s="1" customFormat="1" ht="13.5" thickBot="1" x14ac:dyDescent="0.25">
      <c r="B25" s="12"/>
      <c r="C25" s="19"/>
      <c r="D25" s="19"/>
      <c r="E25" s="20"/>
    </row>
    <row r="26" spans="2:7" s="1" customFormat="1" x14ac:dyDescent="0.2">
      <c r="C26" s="21"/>
      <c r="D26" s="21"/>
      <c r="E26" s="21"/>
    </row>
    <row r="27" spans="2:7" s="1" customFormat="1" x14ac:dyDescent="0.2">
      <c r="B27"/>
      <c r="C27"/>
      <c r="D27"/>
      <c r="E27"/>
      <c r="F27"/>
    </row>
    <row r="30" spans="2:7" s="1" customFormat="1" ht="16.5" x14ac:dyDescent="0.2">
      <c r="E30" s="25"/>
    </row>
    <row r="31" spans="2:7" s="1" customFormat="1" ht="16.5" x14ac:dyDescent="0.2">
      <c r="E31" s="26"/>
    </row>
    <row r="32" spans="2:7" s="1" customFormat="1" ht="16.5" x14ac:dyDescent="0.2">
      <c r="E32" s="26"/>
    </row>
  </sheetData>
  <mergeCells count="13">
    <mergeCell ref="B2:H2"/>
    <mergeCell ref="A4:B4"/>
    <mergeCell ref="C4:E4"/>
    <mergeCell ref="A5:B5"/>
    <mergeCell ref="C5:E5"/>
    <mergeCell ref="C20:E20"/>
    <mergeCell ref="C22:E22"/>
    <mergeCell ref="C24:E24"/>
    <mergeCell ref="A6:B6"/>
    <mergeCell ref="A7:B7"/>
    <mergeCell ref="C16:E16"/>
    <mergeCell ref="C18:E18"/>
    <mergeCell ref="A11:H1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abSelected="1" workbookViewId="0">
      <selection activeCell="A19" sqref="A19:Q20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4.42578125" style="45" customWidth="1"/>
    <col min="8" max="14" width="4.42578125" customWidth="1"/>
    <col min="15" max="16" width="14.85546875" customWidth="1"/>
    <col min="17" max="17" width="14.7109375" customWidth="1"/>
    <col min="19" max="19" width="11.7109375" bestFit="1" customWidth="1"/>
  </cols>
  <sheetData>
    <row r="1" spans="1:20" ht="15.75" thickBot="1" x14ac:dyDescent="0.3">
      <c r="A1" s="80" t="s">
        <v>3</v>
      </c>
      <c r="B1" s="80"/>
      <c r="C1" s="80"/>
      <c r="D1" s="81">
        <f>'[1]Necesidades Trimestrales'!C6</f>
        <v>2022</v>
      </c>
      <c r="E1" s="81"/>
      <c r="F1" s="43"/>
      <c r="G1" s="43"/>
      <c r="H1" s="44"/>
      <c r="I1" s="44"/>
      <c r="J1" s="44"/>
      <c r="K1" s="44"/>
      <c r="L1" s="44"/>
      <c r="M1" s="44"/>
      <c r="N1" s="44"/>
      <c r="P1" s="82" t="s">
        <v>31</v>
      </c>
      <c r="Q1" s="82"/>
    </row>
    <row r="2" spans="1:20" ht="13.5" thickBot="1" x14ac:dyDescent="0.25">
      <c r="H2" s="44"/>
      <c r="I2" s="44"/>
      <c r="J2" s="44"/>
      <c r="K2" s="44"/>
      <c r="L2" s="44"/>
      <c r="M2" s="44"/>
      <c r="N2" s="44"/>
      <c r="P2" s="82"/>
      <c r="Q2" s="82"/>
    </row>
    <row r="3" spans="1:20" ht="13.5" thickBot="1" x14ac:dyDescent="0.25"/>
    <row r="4" spans="1:20" s="46" customFormat="1" ht="13.5" thickBot="1" x14ac:dyDescent="0.25">
      <c r="A4" s="83" t="s">
        <v>32</v>
      </c>
      <c r="B4" s="84"/>
      <c r="C4" s="84"/>
      <c r="D4" s="84"/>
      <c r="E4" s="84"/>
      <c r="F4" s="85"/>
      <c r="G4" s="86" t="s">
        <v>20</v>
      </c>
      <c r="H4" s="86"/>
      <c r="I4" s="86"/>
      <c r="J4" s="86"/>
      <c r="K4" s="86"/>
      <c r="L4" s="86"/>
      <c r="M4" s="86"/>
      <c r="N4" s="86"/>
      <c r="O4" s="86"/>
      <c r="P4" s="86"/>
      <c r="Q4" s="87"/>
    </row>
    <row r="5" spans="1:20" s="46" customFormat="1" ht="13.5" thickBot="1" x14ac:dyDescent="0.25">
      <c r="A5" s="88" t="s">
        <v>33</v>
      </c>
      <c r="B5" s="89"/>
      <c r="C5" s="89"/>
      <c r="D5" s="89"/>
      <c r="E5" s="89"/>
      <c r="F5" s="89"/>
      <c r="G5" s="90" t="s">
        <v>23</v>
      </c>
      <c r="H5" s="90"/>
      <c r="I5" s="90"/>
      <c r="J5" s="90"/>
      <c r="K5" s="90"/>
      <c r="L5" s="90"/>
      <c r="M5" s="90"/>
      <c r="N5" s="90"/>
      <c r="O5" s="90"/>
      <c r="P5" s="90"/>
      <c r="Q5" s="91"/>
    </row>
    <row r="6" spans="1:20" s="46" customFormat="1" ht="13.5" thickBot="1" x14ac:dyDescent="0.25">
      <c r="A6" s="88" t="s">
        <v>34</v>
      </c>
      <c r="B6" s="89"/>
      <c r="C6" s="89"/>
      <c r="D6" s="89"/>
      <c r="E6" s="89"/>
      <c r="F6" s="89"/>
      <c r="G6" s="92" t="s">
        <v>35</v>
      </c>
      <c r="H6" s="92"/>
      <c r="I6" s="92"/>
      <c r="J6" s="92"/>
      <c r="K6" s="92"/>
      <c r="L6" s="92"/>
      <c r="M6" s="92"/>
      <c r="N6" s="92"/>
      <c r="O6" s="92"/>
      <c r="P6" s="92"/>
      <c r="Q6" s="93"/>
    </row>
    <row r="7" spans="1:20" s="46" customFormat="1" ht="13.5" thickBot="1" x14ac:dyDescent="0.25">
      <c r="A7" s="88" t="s">
        <v>36</v>
      </c>
      <c r="B7" s="89"/>
      <c r="C7" s="89"/>
      <c r="D7" s="89"/>
      <c r="E7" s="89"/>
      <c r="F7" s="89"/>
      <c r="G7" s="92" t="s">
        <v>37</v>
      </c>
      <c r="H7" s="92"/>
      <c r="I7" s="92"/>
      <c r="J7" s="92"/>
      <c r="K7" s="92"/>
      <c r="L7" s="92"/>
      <c r="M7" s="92"/>
      <c r="N7" s="92"/>
      <c r="O7" s="92"/>
      <c r="P7" s="92"/>
      <c r="Q7" s="93"/>
    </row>
    <row r="8" spans="1:20" ht="13.5" thickBot="1" x14ac:dyDescent="0.25">
      <c r="A8" s="94" t="s">
        <v>38</v>
      </c>
      <c r="B8" s="95"/>
      <c r="C8" s="95"/>
      <c r="D8" s="95"/>
      <c r="E8" s="95"/>
      <c r="F8" s="95"/>
      <c r="G8" s="96"/>
      <c r="H8" s="96"/>
      <c r="I8" s="96"/>
      <c r="J8" s="96"/>
      <c r="K8" s="96"/>
      <c r="L8" s="96"/>
      <c r="M8" s="96"/>
      <c r="N8" s="96"/>
      <c r="O8" s="96"/>
      <c r="P8" s="96"/>
      <c r="Q8" s="97"/>
    </row>
    <row r="9" spans="1:20" ht="14.25" x14ac:dyDescent="0.2">
      <c r="A9" s="79" t="s">
        <v>39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47"/>
      <c r="P9" s="47"/>
      <c r="Q9" s="48"/>
    </row>
    <row r="10" spans="1:20" ht="54" customHeight="1" x14ac:dyDescent="0.2">
      <c r="A10" s="99" t="s">
        <v>40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1"/>
    </row>
    <row r="11" spans="1:20" ht="13.5" thickBot="1" x14ac:dyDescent="0.25">
      <c r="A11" s="49"/>
      <c r="B11" s="50"/>
      <c r="C11" s="50"/>
      <c r="D11" s="50"/>
      <c r="E11" s="50"/>
      <c r="F11" s="50"/>
      <c r="G11" s="51"/>
      <c r="H11" s="50"/>
      <c r="I11" s="50"/>
      <c r="J11" s="50"/>
      <c r="K11" s="50"/>
      <c r="L11" s="50"/>
      <c r="M11" s="50"/>
      <c r="N11" s="50"/>
      <c r="O11" s="50"/>
      <c r="P11" s="50"/>
      <c r="Q11" s="52"/>
    </row>
    <row r="12" spans="1:20" ht="18.75" customHeight="1" thickBot="1" x14ac:dyDescent="0.25">
      <c r="A12" s="102" t="s">
        <v>41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</row>
    <row r="13" spans="1:20" ht="13.5" thickBot="1" x14ac:dyDescent="0.25">
      <c r="A13" s="103" t="s">
        <v>42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 t="s">
        <v>43</v>
      </c>
      <c r="P13" s="104"/>
      <c r="Q13" s="105" t="s">
        <v>44</v>
      </c>
    </row>
    <row r="14" spans="1:20" ht="13.5" thickBot="1" x14ac:dyDescent="0.25">
      <c r="A14" s="53" t="s">
        <v>45</v>
      </c>
      <c r="B14" s="54" t="s">
        <v>46</v>
      </c>
      <c r="C14" s="54" t="s">
        <v>47</v>
      </c>
      <c r="D14" s="54" t="s">
        <v>48</v>
      </c>
      <c r="E14" s="54" t="s">
        <v>49</v>
      </c>
      <c r="F14" s="54" t="s">
        <v>50</v>
      </c>
      <c r="G14" s="55" t="s">
        <v>51</v>
      </c>
      <c r="H14" s="54" t="s">
        <v>52</v>
      </c>
      <c r="I14" s="54" t="s">
        <v>53</v>
      </c>
      <c r="J14" s="54" t="s">
        <v>54</v>
      </c>
      <c r="K14" s="54" t="s">
        <v>54</v>
      </c>
      <c r="L14" s="54" t="s">
        <v>55</v>
      </c>
      <c r="M14" s="56" t="s">
        <v>56</v>
      </c>
      <c r="N14" s="57" t="s">
        <v>57</v>
      </c>
      <c r="O14" s="104"/>
      <c r="P14" s="104"/>
      <c r="Q14" s="105"/>
    </row>
    <row r="15" spans="1:20" ht="27.75" customHeight="1" x14ac:dyDescent="0.25">
      <c r="A15" s="58">
        <v>50</v>
      </c>
      <c r="B15" s="59">
        <v>0</v>
      </c>
      <c r="C15" s="59">
        <v>0</v>
      </c>
      <c r="D15" s="60">
        <v>1</v>
      </c>
      <c r="E15" s="59">
        <v>0</v>
      </c>
      <c r="F15" s="59">
        <v>4901</v>
      </c>
      <c r="G15" s="59">
        <v>2</v>
      </c>
      <c r="H15" s="60">
        <v>1</v>
      </c>
      <c r="I15" s="59">
        <v>5</v>
      </c>
      <c r="J15" s="59">
        <v>1</v>
      </c>
      <c r="K15" s="59">
        <v>4</v>
      </c>
      <c r="L15" s="59">
        <v>0</v>
      </c>
      <c r="M15" s="61">
        <v>1</v>
      </c>
      <c r="N15" s="62" t="s">
        <v>58</v>
      </c>
      <c r="O15" s="106" t="s">
        <v>62</v>
      </c>
      <c r="P15" s="107"/>
      <c r="Q15" s="63">
        <v>6000000</v>
      </c>
      <c r="S15" s="64"/>
      <c r="T15" s="115"/>
    </row>
    <row r="16" spans="1:20" ht="21" customHeight="1" thickBot="1" x14ac:dyDescent="0.25">
      <c r="A16" s="108" t="s">
        <v>59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65">
        <f>SUM(Q15:Q15)</f>
        <v>6000000</v>
      </c>
    </row>
    <row r="17" spans="1:17" ht="13.5" thickBot="1" x14ac:dyDescent="0.25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</row>
    <row r="18" spans="1:17" ht="15.75" thickBot="1" x14ac:dyDescent="0.25">
      <c r="A18" s="110" t="s">
        <v>60</v>
      </c>
      <c r="B18" s="111"/>
      <c r="C18" s="111"/>
      <c r="D18" s="111"/>
      <c r="E18" s="111"/>
      <c r="F18" s="112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</row>
    <row r="19" spans="1:17" ht="13.5" thickBot="1" x14ac:dyDescent="0.25">
      <c r="A19" s="114" t="s">
        <v>61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</row>
    <row r="20" spans="1:17" ht="13.5" thickBot="1" x14ac:dyDescent="0.25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</row>
    <row r="23" spans="1:17" ht="12.75" customHeight="1" x14ac:dyDescent="0.2">
      <c r="B23" s="98"/>
      <c r="C23" s="98"/>
      <c r="D23" s="98"/>
    </row>
  </sheetData>
  <mergeCells count="25">
    <mergeCell ref="B23:D23"/>
    <mergeCell ref="A10:Q10"/>
    <mergeCell ref="A12:Q12"/>
    <mergeCell ref="A13:N13"/>
    <mergeCell ref="O13:P14"/>
    <mergeCell ref="Q13:Q14"/>
    <mergeCell ref="O15:P15"/>
    <mergeCell ref="A16:P16"/>
    <mergeCell ref="A17:Q17"/>
    <mergeCell ref="A18:F18"/>
    <mergeCell ref="G18:Q18"/>
    <mergeCell ref="A19:Q20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Necesidades Trimestrales</vt:lpstr>
      <vt:lpstr>APG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Karen</cp:lastModifiedBy>
  <cp:revision>2</cp:revision>
  <cp:lastPrinted>2020-07-17T22:18:48Z</cp:lastPrinted>
  <dcterms:created xsi:type="dcterms:W3CDTF">2020-07-17T23:44:49Z</dcterms:created>
  <dcterms:modified xsi:type="dcterms:W3CDTF">2022-07-14T15:43:09Z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