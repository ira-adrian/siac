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terpia antiinfecciosa\HNEP\"/>
    </mc:Choice>
  </mc:AlternateContent>
  <xr:revisionPtr revIDLastSave="0" documentId="13_ncr:1_{A51A7A10-3B72-4D8E-832D-FAD3861567D0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Trimestrales'!$A$9:$I$79</definedName>
    <definedName name="_xlnm.Print_Area" localSheetId="1">' NotaPedido'!$A$1:$K$82</definedName>
    <definedName name="_xlnm.Print_Area" localSheetId="2">'Autor Gastar'!$A$1:$Q$25</definedName>
    <definedName name="_xlnm.Print_Area" localSheetId="0">'Necesidades Trimestrales'!$E$9:$E$79</definedName>
  </definedNames>
  <calcPr calcId="181029"/>
</workbook>
</file>

<file path=xl/calcChain.xml><?xml version="1.0" encoding="utf-8"?>
<calcChain xmlns="http://schemas.openxmlformats.org/spreadsheetml/2006/main">
  <c r="A10" i="3" l="1"/>
  <c r="B81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13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82" i="2" s="1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<sst xmlns="http://schemas.openxmlformats.org/spreadsheetml/2006/main" count="442" uniqueCount="230">
  <si>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</si>
  <si>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</si>
  <si>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</si>
  <si>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</si>
  <si>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</si>
  <si>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</si>
  <si>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</si>
  <si>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</si>
  <si>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</si>
  <si>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</si>
  <si>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</si>
  <si>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</si>
  <si>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</si>
  <si>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</si>
  <si>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</si>
  <si>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</si>
  <si>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</si>
  <si>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</si>
  <si>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</si>
  <si>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</si>
  <si>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</si>
  <si>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</si>
  <si>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</si>
  <si>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</si>
  <si>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</si>
  <si>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</si>
  <si>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</si>
  <si>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</si>
  <si>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</si>
  <si>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</si>
  <si>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</si>
  <si>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</si>
  <si>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</si>
  <si>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</si>
  <si>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</si>
  <si>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</si>
  <si>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</si>
  <si>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</si>
  <si>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</si>
  <si>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</si>
  <si>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</si>
  <si>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</si>
  <si>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</si>
  <si>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</si>
  <si>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</si>
  <si>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</si>
  <si>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</si>
  <si>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</si>
  <si>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</si>
  <si>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</si>
  <si>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</si>
  <si>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</si>
  <si>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</si>
  <si>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</si>
  <si>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</si>
  <si>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Servicio de Farmacia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</si>
  <si>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</si>
  <si>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</si>
  <si>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CAJA</t>
  </si>
  <si>
    <t>PRODUCTOS FARMACEUTICOS Y MEDICINALES</t>
  </si>
  <si>
    <t>2.5.2-1821.235</t>
  </si>
  <si>
    <t>PROD. MEDICO/FARMACEUTICOS/LAB</t>
  </si>
  <si>
    <t>ANTIBIOTICOS P/PERSONAS; TIPO: MONODROGA, DROGA GENERICA: ACICLOVIR 500 MG, FORMA FARMACEUTICA: FRASCO AMPOLLA, PRESENTACION: 500 mGr</t>
  </si>
  <si>
    <t>AMPOLLA</t>
  </si>
  <si>
    <t>2.5.2-1724.16</t>
  </si>
  <si>
    <t>ANALGESICOS ; TIPO: MONODROGA, DROGA GENERICA: ACIDO ACETILSALICILICO, PRESENTACION: 100 mGr, FORMA FARMACEUTICA: COMPRIMIDO</t>
  </si>
  <si>
    <t>COMPRIMIDO</t>
  </si>
  <si>
    <t>2.5.2-1864.6</t>
  </si>
  <si>
    <t>HIPOURICEMIANTES; TIPO: MONODROGA, DROGA GENERICA: ALOPURINOL 300 mGr, FORMA FARMACEUTICA: COMPRIMIDO, PRESENTACION: UNIDAD</t>
  </si>
  <si>
    <t>2.5.2-1821.1</t>
  </si>
  <si>
    <t>ANTIBIOTICOS P/PERSONAS; TIPO: MONODROGA, DROGA GENERICA: AMIKACINA, PRESENTACION: 500 mGr, FORMA FARMACEUTICA: AMPOLLA</t>
  </si>
  <si>
    <t>2.5.2-1821.524</t>
  </si>
  <si>
    <t>ANTIBIOTICOS P/PERSONAS; TIPO: ASOCIACION, DROGA GENERICA: AMOXICILINA + AC.CLAVULANICO 400 MG / 57 MG, FORMA FARMACEUTICA: SUSPENSION, PRESENTACION: ENVASE X 70 ML</t>
  </si>
  <si>
    <t>FRASCO</t>
  </si>
  <si>
    <t>2.5.2-1821.440</t>
  </si>
  <si>
    <t>ANTIBIOTICOS P/PERSONAS; TIPO: ASOCIACION, DROGA GENERICA: AMOXICIL. 875 MG+CLAVUL.125 MG mGr, FORMA FARMACEUTICA: COMPRIMIDO, PRESENTACION: UNIDAD</t>
  </si>
  <si>
    <t>2.5.2-1821.399</t>
  </si>
  <si>
    <t>ANTIBIOTICOS P/PERSONAS; TIPO: MONODROGA, DROGA GENERICA: AMOXICILINA 500 mGr, FORMA FARMACEUTICA: SUSPENSION, PRESENTACION: ENVASE X 90 mL</t>
  </si>
  <si>
    <t>2.5.2-1821.389</t>
  </si>
  <si>
    <t>ANTIBIOTICOS P/PERSONAS; TIPO: ASOCIACION, DROGA GENERICA: AMPICILINA + SULBACTAN, FORMA FARMACEUTICA: FRASCO AMPOLLA, PRESENTACION: ENVASE X 1,5 GR</t>
  </si>
  <si>
    <t>2.5.2-1821.8</t>
  </si>
  <si>
    <t>ANTIBIOTICOS P/PERSONAS; TIPO: MONODROGA, DROGA GENERICA: AMPICILINA, FORMA FARMACEUTICA: AMPOLLA, PRESENTACION: 1 GR</t>
  </si>
  <si>
    <t>2.5.2-1821.502</t>
  </si>
  <si>
    <t>ANTIBIOTICOS P/PERSONAS; TIPO: MONODROGA, DROGA GENERICA: AZITROMICINA 200 mGr, FORMA FARMACEUTICA: SUSPENSION, PRESENTACION: ENVASE X 15 Ml</t>
  </si>
  <si>
    <t>2.5.2-2199.16</t>
  </si>
  <si>
    <t>BLOQUEANTES NEUROMUSCULARES; DROGA GENERICA: ATRACURIO, FORMA FARMACEUTICA: AMPOLLA, PRESENTACION: 50 mGr, TIPO: MONODROGA</t>
  </si>
  <si>
    <t>2.5.2-1726.524</t>
  </si>
  <si>
    <t>SOLUCIONES P/MEDICINA; TIPO: SULFATO DE BARIO, PRESENTACION: ENVASE SUSPENSION PARA ENEMA X 500 ML</t>
  </si>
  <si>
    <t>2.5.2-1883.139</t>
  </si>
  <si>
    <t>ANESTESICOS LOCALES; TIPO: ASOCIACION, DROGA GENERICA: BUPIVACAINA 0,5 % C/EPINEFRINA, FORMA FARMACEUTICA: FRASCO AMPOLLA, PRESENTACION: ENVASE X 20 mL</t>
  </si>
  <si>
    <t>2.5.2-1883.24</t>
  </si>
  <si>
    <t>ANESTESICOS LOCALES; TIPO: MONODROGA, DROGA GENERICA: BUPIVACAINA 0,5 %, FORMA FARMACEUTICA: FRASCO, PRESENTACION: 20 mL</t>
  </si>
  <si>
    <t>2.5.2-1883.188</t>
  </si>
  <si>
    <t>ANESTESICOS LOCALES; TIPO: MONODROGA, DROGA GENERICA: BUPIVACAINA 0,5% HIPERBARICA, FORMA FARMACEUTICA: AMPOLLA, PRESENTACION: 4 ML CON AGUJA 27 G X 3 1/2 CON INTRODUCTOR</t>
  </si>
  <si>
    <t>2.5.2-1821.321</t>
  </si>
  <si>
    <t>ANTIBIOTICOS P/PERSONAS; TIPO: MONODROGA, DROGA GENERICA: CEFALEXINA 500 mGr, FORMA FARMACEUTICA: COMPRIMIDO, PRESENTACION: 1 UN</t>
  </si>
  <si>
    <t>2.5.2-1821.337</t>
  </si>
  <si>
    <t>ANTIBIOTICOS P/PERSONAS; TIPO: MONODROGA, DROGA GENERICA: CEFALEXINA 500MG, FORMA FARMACEUTICA: SUSPENSION, PRESENTACION: ENVASE X 90 mL</t>
  </si>
  <si>
    <t>2.5.2-1821.384</t>
  </si>
  <si>
    <t>ANTIBIOTICOS P/PERSONAS; TIPO: MONODROGA, DROGA GENERICA: CEFTAZIDIMA, FORMA FARMACEUTICA: FRASCO AMPOLLA, PRESENTACION: ENVASE X 1 GR</t>
  </si>
  <si>
    <t>2.5.2-1821.387</t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</si>
  <si>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</si>
  <si>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t>SACHET</t>
  </si>
  <si>
    <t>2.5.2-1821.46</t>
  </si>
  <si>
    <t>ANTIBIOTICOS P/PERSONAS; TIPO: MONODROGA, FORMA FARMACEUTICA: COMPRIMIDO, PRESENTACION: 500 mGr, DROGA GENERICA: CIPROFLOXACINA</t>
  </si>
  <si>
    <t>2.5.2-1821.338</t>
  </si>
  <si>
    <t>ANTIBIOTICOS P/PERSONAS; TIPO: MONODROGA, DROGA GENERICA: CLARITROMICINA 250MG, FORMA FARMACEUTICA: SUSPENSION, PRESENTACION: ENVASE X 90 mL</t>
  </si>
  <si>
    <t>2.5.2-1821.42</t>
  </si>
  <si>
    <r>
      <t xml:space="preserve">ANTIBIOTICOS P/PERSONAS; TIPO: MONODROGA, DROGA GENERICA: CLINDAMICINA, FORMA FARMACEUTICA: </t>
    </r>
    <r>
      <rPr>
        <sz val="10"/>
        <rFont val="Arial"/>
        <family val="2"/>
      </rPr>
      <t>COMPRIMIDO,</t>
    </r>
    <r>
      <rPr>
        <sz val="10"/>
        <color rgb="FF000000"/>
        <rFont val="Arial"/>
        <family val="2"/>
      </rPr>
      <t xml:space="preserve"> PRESENTACION: 300 mGr</t>
    </r>
  </si>
  <si>
    <t>CAPSULAS</t>
  </si>
  <si>
    <t>2.5.2-1821.43</t>
  </si>
  <si>
    <t>ANTIBIOTICOS P/PERSONAS; TIPO: MONODROGA, DROGA GENERICA: CLINDAMICINA, FORMA FARMACEUTICA: AMPOLLA, PRESENTACION: 600 mGr</t>
  </si>
  <si>
    <t>2.5.2-1821.527</t>
  </si>
  <si>
    <t>ANTIBIOTICOS P/PERSONAS; TIPO: MONODROGA, DROGA GENERICA: COTRIMOXAZOL, FORMA FARMACEUTICA: SUSPENSIÓN X 60 ML, PRESENTACION: 40MG/200 MG</t>
  </si>
  <si>
    <t>2.5.2-1726.512</t>
  </si>
  <si>
    <t>SOLUCIONES P/MEDICINA; TIPO: DIATRIZOATO DE MEGLUMINA + DIATRIZOATO DE SODIO; PRESENTACION: FRASCO x 120 ml</t>
  </si>
  <si>
    <t>2.5.2-1724.117</t>
  </si>
  <si>
    <r>
      <t xml:space="preserve">ANALGESICOS 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</si>
  <si>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t>2.5.2-1725.153</t>
  </si>
  <si>
    <t>ANTIINFLAMATORIOS NO ESTEROIDE; TIPO: MONODROGA, DROGA GENERICA: DICLOFENAC POTASICO 500MG/100ML, FORMA FARMACEUTICA: JARABE, PRESENTACION: 120 ML</t>
  </si>
  <si>
    <t>2.5.2-1724.208</t>
  </si>
  <si>
    <t>ANALGESICOS ; TIPO: MONODROGA, DROGA GENERICA: DIPIRONA SODICA 1 GR, FORMA FARMACEUTICA: AMPOLLA, PRESENTACION: 2 mL</t>
  </si>
  <si>
    <t>2.5.2-1724.74</t>
  </si>
  <si>
    <t>ANALGESICOS ; TIPO: MONODROGA, DROGA GENERICA: DIPIRONA, FORMA FARMACEUTICA: JARABE, PRESENTACION: FRASCO X 120 mL</t>
  </si>
  <si>
    <t>2.5.2-1865.2</t>
  </si>
  <si>
    <r>
      <rPr>
        <sz val="10"/>
        <rFont val="Arial"/>
        <family val="2"/>
      </rPr>
      <t>ANTIEPILEPTICOS;</t>
    </r>
    <r>
      <rPr>
        <sz val="10"/>
        <color rgb="FF000000"/>
        <rFont val="Arial"/>
        <family val="2"/>
      </rPr>
      <t xml:space="preserve"> TIPO: MONODROGA, FORMA FARMACEUTICA: AMPOLLA, PRESENTACION: 200 mGr, DROGA GENERICA: FENOBARBITAL</t>
    </r>
  </si>
  <si>
    <t>2.5.2-1883.159</t>
  </si>
  <si>
    <t>ANESTÉSICOS LOCALES; TIPO: MONODROGA, DROGA GENÉRICA: FENTANILO 250 MCG, FORMA FARMACEÚTICA: AMPOLLA, PRESENTACIÓN: UNIDAD</t>
  </si>
  <si>
    <t>2.5.2-1821.238</t>
  </si>
  <si>
    <t>ANTIBIOTICOS P/PERSONAS; TIPO: MONODROGA, DROGA GENERICA: FLUCONAZOL 100 MG, FORMA FARMACEUTICA: COMPRIMIDO, PRESENTACION: 100 mGr</t>
  </si>
  <si>
    <t>2.5.2-1821.442</t>
  </si>
  <si>
    <t>ANTIBIOTICOS P/PERSONAS; TIPO: MONODROGA, DROGA GENERICA: FLUCONAZOL 200 MG, FORMA FARMACEUTICA: SOLUCION INYECTABLE, PRESENTACION: ENVASE X 100 mL</t>
  </si>
  <si>
    <t>ENVASE</t>
  </si>
  <si>
    <t>2.5.2-1823.114</t>
  </si>
  <si>
    <t>ANTIMICOTICOS; DROGA GENERICA: FLUCONAZOL, FORMA FARMACEUTICA: SUSPENSION X 35 ML, PRESENTACION: 50 MGR/5ML, TIPO: MONODROGA</t>
  </si>
  <si>
    <t>2.5.2-1726.490</t>
  </si>
  <si>
    <t>SOLUCIONES P/MEDICINA; PRESENTACION: ENVASE X 15 mL, TIPO: CONTRASTE P/RESONANCIA</t>
  </si>
  <si>
    <t>2.5.2-1724.163</t>
  </si>
  <si>
    <t>ANALGESICOS ; TIPO: MONODROGA, DROGA GENERICA: IBUPROFENO 2%, FORMA FARMACEUTICA: SUSPENSION, PRESENTACION: ENVASE X 90 mL</t>
  </si>
  <si>
    <t>2.5.2-1724.4</t>
  </si>
  <si>
    <t>ANALGESICOS ; TIPO: MONODROGA, DROGA GENERICA: IBUPROFENO, PRESENTACION: 400 mGr, FORMA FARMACEUTICA: COMPRIMIDO</t>
  </si>
  <si>
    <t>2.5.2-1725.68</t>
  </si>
  <si>
    <t>ANTIINFLAMATORIOS NO ESTEROIDE; TIPO: MONODROGA, DROGA GENERICA: IBUPROFENO, FORMA FARMACEUTICA: COMPRIMIDO, PRESENTACION: 400 mGr</t>
  </si>
  <si>
    <t>2.5.2-1859.29</t>
  </si>
  <si>
    <t>INMUNOMODULADORES; TIPO: MONODROGA, DROGA GENERICA: INMUNOGLOBULINA G HUMANA, FORMA FARMACEUTICA: VIAL, PRESENTACION: 10 GR</t>
  </si>
  <si>
    <t>2.5.2-1859.30</t>
  </si>
  <si>
    <t>INMUNOMODULADORES; TIPO: MONODROGA, DROGA GENERICA: INMUNOGLOBULINA G HUMANA, FORMA FARMACEUTICA: VIAL, PRESENTACION: 2,5 GR</t>
  </si>
  <si>
    <t>2.5.2-1859.28</t>
  </si>
  <si>
    <t>INMUNOMODULADORES; TIPO: MONODROGA, DROGA GENERICA: INMUNOGLOBULINA G HUMANA, FORMA FARMACEUTICA: VIAL, PRESENTACION: 5 GR</t>
  </si>
  <si>
    <t>2.5.2-2455.20</t>
  </si>
  <si>
    <t>ANESTESICOS GENERALES; DROGA GENERICA: KETAMINA 50 MG/ML, FORMA FARMACEUTICA: FRASCO AMPOLLA, PRESENTACION: 10 mL, TIPO: MONODROGA</t>
  </si>
  <si>
    <t>2.5.2-1883.186</t>
  </si>
  <si>
    <t>ANESTESICOS LOCALES; TIPO: MONODROGA, DROGA GENERICA: LIDOCAINA 2%S/EPINEFRINA, FORMA FARMACEUTICA: AMPOLLA, PRESENTACION: 5 mL</t>
  </si>
  <si>
    <t>2.5.2-1883.136</t>
  </si>
  <si>
    <t>ANESTESICOS LOCALES; TIPO: MONODROGA, DROGA GENERICA: LIDOCAINA 2% S/EPINEFRINA, FORMA FARMACEUTICA: FRASCO AMPOLLA, PRESENTACION: ENVASE X 20 mL</t>
  </si>
  <si>
    <t>2.5.2-1883.111</t>
  </si>
  <si>
    <t>ANESTESICOS LOCALES; TIPO: ASOCIACION, DROGA GENERICA: LIDOCAINA 2% C/EPINEFRINA, FORMA FARMACEUTICA: FRASCO AMPOLLA, PRESENTACION: 20 mL</t>
  </si>
  <si>
    <t>2.5.2-1883.28</t>
  </si>
  <si>
    <t>ANESTESICOS LOCALES; TIPO: MONODROGA, DROGA GENERICA: LIDOCAINA, FORMA FARMACEUTICA: AEROSOL, PRESENTACION: 100 mL</t>
  </si>
  <si>
    <t>2.5.2-1857.36</t>
  </si>
  <si>
    <t>ANTIPARASITARIOS; TIPO: MONODROGA, DROGA GENERICA: MEBENDAZOL 2%, FORMA FARMACEUTICA: SUSPENSION, PRESENTACION: ENVASE X 30 mL</t>
  </si>
  <si>
    <t>2.5.2-1821.463</t>
  </si>
  <si>
    <t>ANTIBIOTICOS P/PERSONAS; TIPO: MONODROGA, DROGA GENERICA: MEROPENEM 1000 mGr, FORMA FARMACEUTICA: AMPOLLA, PRESENTACION: UNIDAD</t>
  </si>
  <si>
    <t>2.5.2-1821.421</t>
  </si>
  <si>
    <t>ANTIBIOTICOS P/PERSONAS; TIPO: MONODROGA, DROGA GENERICA: MEROPENEM 500 mGr, FORMA FARMACEUTICA: FRASCO AMPOLLA, PRESENTACION: UNIDAD</t>
  </si>
  <si>
    <t>2.5.2-1821.334</t>
  </si>
  <si>
    <r>
      <t>ANTIBIOTICOS P/PERSONAS; TIPO: MONODROGA, DROGA GENERICA: METRONIDAZOL</t>
    </r>
    <r>
      <rPr>
        <b/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125MG</t>
    </r>
    <r>
      <rPr>
        <sz val="10"/>
        <color rgb="FF000000"/>
        <rFont val="Arial"/>
        <family val="2"/>
      </rPr>
      <t>/5ML, FORMA FARMACEUTICA: SUSPENSION ORAL, PRESENTACION: ENVASE X 120 mL</t>
    </r>
  </si>
  <si>
    <t>2.5.2-1821.76</t>
  </si>
  <si>
    <t>ANTIBIOTICOS P/PERSONAS; TIPO: MONODROGA, FORMA FARMACEUTICA: COMPRIMIDO, PRESENTACION: 500 mGr, DROGA GENERICA: METRONIDAZOL</t>
  </si>
  <si>
    <t>2.5.2-1870.15</t>
  </si>
  <si>
    <t>HIPNOTICOS; TIPO: MONODROGA, DROGA GENERICA: MIDAZOLAM 15 mGr, FORMA FARMACEUTICA: AMPOLLA, PRESENTACION: ENVASE X 3 mL</t>
  </si>
  <si>
    <t>2.5.2-1724.98</t>
  </si>
  <si>
    <t>ANALGESICOS ; TIPO: MONODROGA, DROGA GENERICA: MORFINA CLORIDRATO 1%, FORMA FARMACEUTICA: AMPOLLA, PRESENTACION: 1 mL</t>
  </si>
  <si>
    <t>2.5.2-1724.206</t>
  </si>
  <si>
    <t>ANALGESICOS ; TIPO: MONODROGA, DROGA GENERICA: NALBUFINA 10 mGr, FORMA FARMACEUTICA: AMPOLLA, PRESENTACION: ENVASE X 1 mL</t>
  </si>
  <si>
    <t>2.5.2-1821.123</t>
  </si>
  <si>
    <t>ANTIBIOTICOS P/PERSONAS; TIPO: MONODROGA, DROGA GENERICA: ORNIDAZOL, PRESENTACION: 1 GR, FORMA FARMACEUTICA: AMPOLLA</t>
  </si>
  <si>
    <t>2.5.2-1724.243</t>
  </si>
  <si>
    <t>ANALGESICOS ; TIPO: MONODROGA, DROGA GENERICA: PARACETAMOL 1 GR, FORMA FARMACEUTICA: COMPRIMIDO, PRESENTACION: UNIDAD</t>
  </si>
  <si>
    <t>2.5.2-1724.244</t>
  </si>
  <si>
    <t>ANALGESICOS ; TIPO: MONODROGA, DROGA GENERICA: PARACETAMOL 2%, 100MG/5ML, FORMA FARMACEÚTICA: JARABE, PRESENTACION: 120 ML</t>
  </si>
  <si>
    <t>2.5.2-1724.245</t>
  </si>
  <si>
    <t>ANALGÉSICOS ; TIPO: MONODROGA, DROGA GENÉRICA: PARACETAMOL 500 MGR, FORMA FARMACEÚTICA: COMPRIMIDO, PRESENTACIÓN: X UNIDAD</t>
  </si>
  <si>
    <t>2.5.2-1724.29</t>
  </si>
  <si>
    <t>ANALGESICOS ; TIPO: MONODROGA, DROGA GENERICA: PARACETAMOL, FORMA FARMACEUTICA: GOTAS, PRESENTACION: 20 mL</t>
  </si>
  <si>
    <t>GOTERO</t>
  </si>
  <si>
    <t>2.5.2-1821.220</t>
  </si>
  <si>
    <t>ANTIBIOTICOS P/PERSONAS; TIPO: MONODROGA, DROGA GENERICA: PENICILINA G. BENZATINICA, FORMA FARMACEUTICA: FRASCO AMPOLLA, PRESENTACION: 2.400.000 UI</t>
  </si>
  <si>
    <t>2.5.2-3603.18</t>
  </si>
  <si>
    <t>EVACUANTES INTESTINALES; TIPO: ASOCIACION, DROGA GENERICA: POLIETILENGLICOL 3350, FORMA FARMACEÚTICA: SOBRES, PRESENTACION: SOBRES X 30</t>
  </si>
  <si>
    <t>2.5.2-2455.27</t>
  </si>
  <si>
    <t>ANESTESICOS GENERALES; DROGA GENERICA: PROPOFOL 200 mGr, FORMA FARMACEUTICA: AMPOLLA, PRESENTACION: ENVASE X 20 mL, TIPO: MONODROGA</t>
  </si>
  <si>
    <t>2.5.2-1821.201</t>
  </si>
  <si>
    <t>ANTIBIOTICOS P/PERSONAS; TIPO: ANTITUBERCULOSTATICO, DROGA GENERICA: RIFAMPICINA X 2 GR, FORMA FARMACEUTICA: EN SUSPENSION CADA 100 mL, PRESENTACION: FRASCO X 50 Ml</t>
  </si>
  <si>
    <t>2.5.2-1822.6</t>
  </si>
  <si>
    <t>ANTIMICOBACTERIAS; TIPO: MONODROGA, DROGA GENERICA: RIFAMPICINA, PRESENTACION: 300 mGr, FORMA FARMACEUTICA: CAPSULA</t>
  </si>
  <si>
    <t>2.5.2-2455.31</t>
  </si>
  <si>
    <t>ANESTESICOS GENERALES; DROGA GENERICA: SEVOFLUORANO, FORMA FARMACEUTICA: SOLUCION, PRESENTACION: ENVASE X 250 mL, TIPO: MONODROGA</t>
  </si>
  <si>
    <t>2.5.2-2199.2</t>
  </si>
  <si>
    <t>BLOQUEANTES NEUROMUSCULARES; DROGA GENERICA: SUCCINILCOLINA, FORMA FARMACEUTICA: AMPOLLA, PRESENTACION: 500 mGr, TIPO: MONODROGA</t>
  </si>
  <si>
    <t>2.5.2-1724.154</t>
  </si>
  <si>
    <t>ANALGESICOS ; TIPO: MONODROGA, DROGA GENERICA: TRAMADOL 50 mGr, FORMA FARMACEUTICA: AMPOLLA, PRESENTACION: UNIDAD</t>
  </si>
  <si>
    <t>2.5.2-1821.510</t>
  </si>
  <si>
    <t>ANTIBIOTICOS P/PERSONAS; TIPO: MONODROGA, DROGA GENERICA: VANCOMICINA 1 GR, FORMA FARMACEUTICA: FRASCO AMPOLLA, PRESENTACION: UNIDAD</t>
  </si>
  <si>
    <t>2.5.2-1821.44</t>
  </si>
  <si>
    <t>ANTIBIOTICOS P/PERSONAS; DROGA GENERICA: VANCOMICINA, FORMA FARMACEUTICA: AMPOLLA, TIPO: MONODROGA, PRESENTACION: 500 mGr</t>
  </si>
  <si>
    <t>2.5.2-2199.13</t>
  </si>
  <si>
    <t>BLOQUEANTES NEUROMUSCULARES; DROGA GENERICA: BROMURO DE VECURONIO, FORMA FARMACEUTICA: AMPOLLA X 10 mGr, PRESENTACION: UNIDAD, TIPO: MONODROGA</t>
  </si>
  <si>
    <t>Descripción técnica: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</si>
  <si>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</si>
  <si>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</si>
  <si>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Dentro de los Treinta (30) dias habiles.</t>
    </r>
  </si>
  <si>
    <t>058/2022</t>
  </si>
  <si>
    <t>024 - Direccion de Administracion del Hospital Interzonal de Niños Eva Peron</t>
  </si>
  <si>
    <t>TIPO GASTROPAQUE F</t>
  </si>
  <si>
    <t>Especificidades Item N° 12:</t>
  </si>
  <si>
    <t>Especificidades Item N° 14:</t>
  </si>
  <si>
    <t>BUPIVACAINA 0,5 % S/EPINEFRINA</t>
  </si>
  <si>
    <t>Tipo TRIYOSOM GI, TEMISTAC - Solucion Oral y Rectal</t>
  </si>
  <si>
    <t>Especificidades Item N° 25:</t>
  </si>
  <si>
    <t>Especificidades Item N° 35:</t>
  </si>
  <si>
    <t>Especificidades Item N° 61:</t>
  </si>
  <si>
    <t>TIPO GADOBUTROL , GADODIAMIDA , GADOPENTETATO</t>
  </si>
  <si>
    <t>Tipo OSTILAX</t>
  </si>
  <si>
    <t>TERAPIA ANTIINFECCIOSA SISTEMICA/SUEROS INMUNES E INMUNOGLOBULINAS  Y MEDIOS DE CONTRASTES /ANALGESICOS ANTINFLAMATORIOS /MIORRELAJANTES/ANESTESICOS/ANALGESICOS OPIACIOS</t>
  </si>
  <si>
    <t>Semestral</t>
  </si>
  <si>
    <t>Para la adquisición de insumos de TERAPIA ANTIINFECCIOSA SISTEMICA/ SUEROS INMUNES E INMUNOGLOBULINAS  Y MEDIOS DE CONTRASTES/ ANALGESICOS ANTINFLAMATORIOS/ MIORRELAJANTES/ ANESTESICOS/ ANALGESICOS OPIACIOS destinados al Servicio de Farmacia del Hospital Interzonal de Niños Eva Peron, para el normal funcionamiento del organismo.</t>
  </si>
  <si>
    <t>TOTAL DE PESOS: DIECINUEVE MILLONES DOSCIENTOS SESENTA Y DOS MIL OCHOCIENTOS TREINTA Y SEIS CON 48/100.</t>
  </si>
  <si>
    <t>Costo total estimado Pesos: Diecinueve Millones Doscientos Sesenta y Dos Mil Ochocientos Treinta y Seis Con 48/100.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</si>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</sst>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_-&quot;$&quot;\ * #,##0.00_-;\-&quot;$&quot;\ * #,##0.00_-;_-&quot;$&quot;\ * &quot;-&quot;??_-;_-@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18" fillId="0" borderId="0" applyBorder="0" applyProtection="0"/>
    <xf numFmtId="0" fontId="5" fillId="0" borderId="1" applyProtection="0"/>
    <xf numFmtId="164" fontId="6" fillId="0" borderId="0" applyBorder="0" applyProtection="0"/>
    <xf numFmtId="0" fontId="7" fillId="2" borderId="0" applyBorder="0" applyProtection="0"/>
    <xf numFmtId="0" fontId="18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5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6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7" fillId="0" borderId="36" xfId="0" applyNumberFormat="1" applyFont="1" applyBorder="1" applyAlignment="1">
      <alignment horizontal="center" vertical="center"/>
    </xf>
    <xf numFmtId="0" fontId="19" fillId="0" borderId="0" xfId="0" applyFont="1"/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wrapText="1"/>
    </xf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19" fillId="0" borderId="0" xfId="0" applyFont="1" applyBorder="1"/>
    <xf numFmtId="166" fontId="19" fillId="0" borderId="0" xfId="0" applyNumberFormat="1" applyFont="1"/>
    <xf numFmtId="0" fontId="9" fillId="3" borderId="10" xfId="0" applyFont="1" applyFill="1" applyBorder="1" applyAlignment="1">
      <alignment horizontal="right" vertical="center"/>
    </xf>
    <xf numFmtId="0" fontId="10" fillId="4" borderId="1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 wrapText="1" indent="1"/>
    </xf>
    <xf numFmtId="0" fontId="27" fillId="4" borderId="0" xfId="0" applyFont="1" applyFill="1" applyAlignment="1">
      <alignment horizontal="left" wrapText="1" indent="1"/>
    </xf>
    <xf numFmtId="0" fontId="23" fillId="3" borderId="0" xfId="0" applyFont="1" applyFill="1" applyAlignment="1">
      <alignment horizontal="left" wrapText="1"/>
    </xf>
    <xf numFmtId="167" fontId="19" fillId="0" borderId="0" xfId="0" applyNumberFormat="1" applyFont="1"/>
    <xf numFmtId="169" fontId="24" fillId="0" borderId="0" xfId="0" applyNumberFormat="1" applyFont="1"/>
    <xf numFmtId="169" fontId="25" fillId="0" borderId="0" xfId="0" applyNumberFormat="1" applyFont="1" applyAlignment="1">
      <alignment horizontal="left" wrapText="1"/>
    </xf>
    <xf numFmtId="167" fontId="6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left" vertical="center"/>
    </xf>
    <xf numFmtId="3" fontId="8" fillId="3" borderId="55" xfId="0" applyNumberFormat="1" applyFont="1" applyFill="1" applyBorder="1" applyAlignment="1">
      <alignment horizontal="center" vertical="center"/>
    </xf>
    <xf numFmtId="166" fontId="8" fillId="3" borderId="53" xfId="1" applyNumberFormat="1" applyFont="1" applyFill="1" applyBorder="1" applyAlignment="1" applyProtection="1">
      <alignment horizontal="right" vertical="center" wrapText="1"/>
    </xf>
    <xf numFmtId="0" fontId="8" fillId="4" borderId="53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169" fontId="28" fillId="0" borderId="14" xfId="0" applyNumberFormat="1" applyFont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left" vertical="center"/>
    </xf>
    <xf numFmtId="0" fontId="26" fillId="0" borderId="2" xfId="0" applyFont="1" applyBorder="1" applyAlignment="1">
      <alignment horizontal="left" indent="3"/>
    </xf>
    <xf numFmtId="0" fontId="26" fillId="0" borderId="7" xfId="0" applyFont="1" applyBorder="1" applyAlignment="1"/>
    <xf numFmtId="170" fontId="19" fillId="0" borderId="0" xfId="0" applyNumberFormat="1" applyFont="1"/>
    <xf numFmtId="0" fontId="26" fillId="0" borderId="2" xfId="0" applyFont="1" applyBorder="1"/>
    <xf numFmtId="0" fontId="26" fillId="0" borderId="5" xfId="0" applyFont="1" applyBorder="1" applyAlignment="1"/>
    <xf numFmtId="166" fontId="18" fillId="0" borderId="50" xfId="3" applyNumberFormat="1" applyFont="1" applyBorder="1" applyAlignment="1" applyProtection="1">
      <alignment horizontal="center" vertical="center"/>
    </xf>
    <xf numFmtId="0" fontId="19" fillId="0" borderId="8" xfId="0" applyFont="1" applyBorder="1"/>
    <xf numFmtId="0" fontId="19" fillId="0" borderId="9" xfId="0" applyFont="1" applyBorder="1"/>
    <xf numFmtId="0" fontId="19" fillId="0" borderId="0" xfId="0" applyFont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0" fontId="19" fillId="0" borderId="7" xfId="0" applyFont="1" applyBorder="1"/>
    <xf numFmtId="0" fontId="19" fillId="0" borderId="59" xfId="0" applyFont="1" applyBorder="1"/>
    <xf numFmtId="0" fontId="21" fillId="0" borderId="0" xfId="0" applyFont="1" applyBorder="1" applyAlignment="1">
      <alignment horizontal="left" vertical="center" wrapText="1"/>
    </xf>
    <xf numFmtId="0" fontId="19" fillId="4" borderId="5" xfId="5" applyFont="1" applyFill="1" applyBorder="1" applyAlignment="1">
      <alignment horizontal="left" vertical="top" wrapText="1"/>
    </xf>
    <xf numFmtId="0" fontId="19" fillId="4" borderId="0" xfId="5" applyFont="1" applyFill="1" applyBorder="1" applyAlignment="1">
      <alignment horizontal="left" vertical="top" wrapText="1"/>
    </xf>
    <xf numFmtId="0" fontId="19" fillId="4" borderId="6" xfId="5" applyFont="1" applyFill="1" applyBorder="1" applyAlignment="1">
      <alignment horizontal="left" vertical="top" wrapText="1"/>
    </xf>
    <xf numFmtId="0" fontId="19" fillId="4" borderId="5" xfId="5" applyFont="1" applyFill="1" applyBorder="1" applyAlignment="1">
      <alignment horizontal="left" wrapText="1"/>
    </xf>
    <xf numFmtId="0" fontId="19" fillId="4" borderId="0" xfId="5" applyFont="1" applyFill="1" applyBorder="1" applyAlignment="1">
      <alignment horizontal="left" wrapText="1"/>
    </xf>
    <xf numFmtId="0" fontId="19" fillId="4" borderId="6" xfId="5" applyFont="1" applyFill="1" applyBorder="1" applyAlignment="1">
      <alignment horizontal="left" wrapText="1"/>
    </xf>
    <xf numFmtId="0" fontId="20" fillId="0" borderId="0" xfId="0" applyFont="1" applyBorder="1" applyAlignment="1">
      <alignment horizontal="center"/>
    </xf>
    <xf numFmtId="0" fontId="27" fillId="4" borderId="0" xfId="0" applyFont="1" applyFill="1" applyBorder="1" applyAlignment="1">
      <alignment horizontal="left" wrapText="1" indent="1"/>
    </xf>
    <xf numFmtId="0" fontId="8" fillId="3" borderId="53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left" vertical="center" wrapText="1" indent="1"/>
    </xf>
    <xf numFmtId="0" fontId="11" fillId="3" borderId="15" xfId="0" applyFont="1" applyFill="1" applyBorder="1" applyAlignment="1">
      <alignment horizontal="left" vertical="center" wrapText="1"/>
    </xf>
    <xf numFmtId="0" fontId="10" fillId="4" borderId="17" xfId="0" applyFont="1" applyFill="1" applyBorder="1" applyAlignment="1">
      <alignment horizontal="left" vertical="center" wrapText="1" indent="1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center"/>
    </xf>
    <xf numFmtId="167" fontId="11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3" fillId="0" borderId="20" xfId="0" applyNumberFormat="1" applyFont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6" fillId="0" borderId="11" xfId="0" applyFont="1" applyBorder="1"/>
    <xf numFmtId="0" fontId="15" fillId="0" borderId="11" xfId="0" applyFont="1" applyBorder="1" applyAlignment="1">
      <alignment horizontal="left" indent="1"/>
    </xf>
    <xf numFmtId="0" fontId="8" fillId="0" borderId="13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/>
    </xf>
    <xf numFmtId="0" fontId="15" fillId="0" borderId="22" xfId="0" applyFont="1" applyBorder="1"/>
    <xf numFmtId="0" fontId="15" fillId="0" borderId="23" xfId="0" applyFont="1" applyBorder="1" applyAlignment="1">
      <alignment horizontal="left" vertical="center" wrapText="1" indent="1"/>
    </xf>
    <xf numFmtId="0" fontId="17" fillId="0" borderId="21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9" fillId="0" borderId="28" xfId="0" applyFont="1" applyFill="1" applyBorder="1" applyAlignment="1">
      <alignment horizontal="left" vertical="center" wrapText="1"/>
    </xf>
    <xf numFmtId="0" fontId="18" fillId="0" borderId="57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4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3" fillId="0" borderId="36" xfId="0" applyFont="1" applyBorder="1" applyAlignment="1">
      <alignment horizontal="left" vertical="center" wrapText="1"/>
    </xf>
    <xf numFmtId="0" fontId="0" fillId="0" borderId="21" xfId="0" applyBorder="1"/>
    <xf numFmtId="0" fontId="24" fillId="0" borderId="54" xfId="0" applyFont="1" applyFill="1" applyBorder="1" applyAlignment="1">
      <alignment horizontal="center" vertical="center"/>
    </xf>
    <xf numFmtId="0" fontId="31" fillId="0" borderId="53" xfId="0" applyFont="1" applyFill="1" applyBorder="1" applyAlignment="1">
      <alignment horizontal="left" vertical="center"/>
    </xf>
    <xf numFmtId="0" fontId="32" fillId="0" borderId="53" xfId="0" applyFont="1" applyFill="1" applyBorder="1" applyAlignment="1">
      <alignment vertical="center" wrapText="1"/>
    </xf>
    <xf numFmtId="0" fontId="0" fillId="0" borderId="53" xfId="0" applyFont="1" applyFill="1" applyBorder="1" applyAlignment="1">
      <alignment horizontal="center" vertical="center" wrapText="1"/>
    </xf>
    <xf numFmtId="0" fontId="31" fillId="0" borderId="53" xfId="0" applyFont="1" applyFill="1" applyBorder="1" applyAlignment="1">
      <alignment vertical="center" wrapText="1"/>
    </xf>
    <xf numFmtId="0" fontId="18" fillId="0" borderId="53" xfId="0" applyFont="1" applyFill="1" applyBorder="1" applyAlignment="1">
      <alignment horizontal="center" vertical="center"/>
    </xf>
    <xf numFmtId="3" fontId="18" fillId="0" borderId="53" xfId="0" applyNumberFormat="1" applyFont="1" applyFill="1" applyBorder="1" applyAlignment="1">
      <alignment horizontal="center" vertical="center"/>
    </xf>
    <xf numFmtId="171" fontId="18" fillId="0" borderId="53" xfId="0" applyNumberFormat="1" applyFont="1" applyFill="1" applyBorder="1" applyAlignment="1">
      <alignment horizontal="center" vertical="center"/>
    </xf>
    <xf numFmtId="166" fontId="24" fillId="0" borderId="55" xfId="1" applyNumberFormat="1" applyFont="1" applyFill="1" applyBorder="1" applyAlignment="1" applyProtection="1">
      <alignment horizontal="right" vertical="center" wrapText="1"/>
    </xf>
    <xf numFmtId="0" fontId="18" fillId="0" borderId="53" xfId="0" applyFont="1" applyFill="1" applyBorder="1" applyAlignment="1">
      <alignment horizontal="left" vertical="center"/>
    </xf>
    <xf numFmtId="0" fontId="18" fillId="0" borderId="53" xfId="0" applyFont="1" applyFill="1" applyBorder="1" applyAlignment="1">
      <alignment horizontal="center" vertical="center" wrapText="1"/>
    </xf>
    <xf numFmtId="0" fontId="18" fillId="0" borderId="53" xfId="0" applyFont="1" applyFill="1" applyBorder="1" applyAlignment="1">
      <alignment wrapText="1"/>
    </xf>
    <xf numFmtId="0" fontId="31" fillId="0" borderId="53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wrapText="1"/>
    </xf>
    <xf numFmtId="0" fontId="0" fillId="0" borderId="53" xfId="0" applyFont="1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/>
    </xf>
    <xf numFmtId="0" fontId="0" fillId="0" borderId="53" xfId="0" applyFont="1" applyFill="1" applyBorder="1" applyAlignment="1">
      <alignment horizontal="center" vertical="center"/>
    </xf>
    <xf numFmtId="0" fontId="31" fillId="0" borderId="53" xfId="0" applyFont="1" applyFill="1" applyBorder="1" applyAlignment="1">
      <alignment wrapText="1"/>
    </xf>
    <xf numFmtId="171" fontId="18" fillId="0" borderId="53" xfId="0" applyNumberFormat="1" applyFont="1" applyFill="1" applyBorder="1" applyAlignment="1">
      <alignment horizontal="right" vertical="center"/>
    </xf>
    <xf numFmtId="0" fontId="18" fillId="0" borderId="53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vertical="center" wrapText="1"/>
    </xf>
    <xf numFmtId="171" fontId="18" fillId="0" borderId="53" xfId="0" applyNumberFormat="1" applyFont="1" applyFill="1" applyBorder="1" applyAlignment="1">
      <alignment vertical="center"/>
    </xf>
    <xf numFmtId="0" fontId="0" fillId="0" borderId="53" xfId="0" applyFont="1" applyFill="1" applyBorder="1" applyAlignment="1">
      <alignment vertical="center" wrapText="1"/>
    </xf>
    <xf numFmtId="0" fontId="1" fillId="0" borderId="0" xfId="9" applyFill="1" applyAlignment="1">
      <alignment horizontal="left" vertical="center"/>
    </xf>
    <xf numFmtId="0" fontId="1" fillId="0" borderId="0" xfId="9" applyFill="1" applyAlignment="1">
      <alignment vertical="center" wrapText="1"/>
    </xf>
  </cellXfs>
  <cellStyles count="10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9" xr:uid="{00000000-0005-0000-0000-000006000000}"/>
    <cellStyle name="Normal 2 3" xfId="5" xr:uid="{00000000-0005-0000-0000-000007000000}"/>
    <cellStyle name="Normal 3" xfId="7" xr:uid="{00000000-0005-0000-0000-000008000000}"/>
    <cellStyle name="Normal 4" xfId="8" xr:uid="{00000000-0005-0000-0000-000009000000}"/>
  </cellStyles>
  <dxfs count="1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01"/>
  <sheetViews>
    <sheetView tabSelected="1" zoomScale="93" zoomScaleNormal="93" workbookViewId="0">
      <selection activeCell="O13" sqref="O13"/>
    </sheetView>
  </sheetViews>
  <sheetFormatPr baseColWidth="10" defaultColWidth="11" defaultRowHeight="12.75" x14ac:dyDescent="0.2"/>
  <cols>
    <col min="1" max="1" width="6.42578125" style="26" customWidth="1"/>
    <col min="2" max="2" width="16.42578125" style="26" customWidth="1"/>
    <col min="3" max="3" width="24" style="26" customWidth="1"/>
    <col min="4" max="4" width="8.42578125" style="26" customWidth="1"/>
    <col min="5" max="5" width="68.85546875" style="26" customWidth="1"/>
    <col min="6" max="6" width="14.140625" style="26" customWidth="1"/>
    <col min="7" max="7" width="10.85546875" style="26" customWidth="1"/>
    <col min="8" max="8" width="13.85546875" style="45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2" ht="27" x14ac:dyDescent="0.35">
      <c r="B2" s="85" t="s">
        <v>0</v>
      </c>
      <c r="C2" s="85"/>
      <c r="D2" s="85"/>
      <c r="E2" s="85"/>
      <c r="F2" s="85"/>
      <c r="G2" s="85"/>
      <c r="H2" s="85"/>
    </row>
    <row r="3" spans="1:12" ht="12" customHeight="1" x14ac:dyDescent="0.2"/>
    <row r="4" spans="1:12" ht="18" customHeight="1" x14ac:dyDescent="0.25">
      <c r="A4" s="78" t="s">
        <v>1</v>
      </c>
      <c r="B4" s="78"/>
      <c r="C4" s="86" t="s">
        <v>51</v>
      </c>
      <c r="D4" s="86"/>
      <c r="E4" s="86"/>
      <c r="F4" s="27"/>
      <c r="G4" s="28"/>
      <c r="H4" s="46"/>
    </row>
    <row r="5" spans="1:12" ht="18" customHeight="1" x14ac:dyDescent="0.25">
      <c r="A5" s="78" t="s">
        <v>2</v>
      </c>
      <c r="B5" s="78"/>
      <c r="C5" s="86" t="s">
        <v>213</v>
      </c>
      <c r="D5" s="86"/>
      <c r="E5" s="86"/>
      <c r="F5" s="27"/>
      <c r="G5" s="28" t="s">
        <v>54</v>
      </c>
      <c r="H5" s="46"/>
    </row>
    <row r="6" spans="1:12" ht="16.5" customHeight="1" x14ac:dyDescent="0.25">
      <c r="A6" s="78" t="s">
        <v>3</v>
      </c>
      <c r="B6" s="78"/>
      <c r="C6" s="42">
        <v>2022</v>
      </c>
      <c r="D6" s="43"/>
      <c r="E6" s="43"/>
      <c r="F6" s="27"/>
      <c r="G6" s="28"/>
      <c r="H6" s="46"/>
    </row>
    <row r="7" spans="1:12" ht="16.5" customHeight="1" x14ac:dyDescent="0.25">
      <c r="A7" s="78" t="s">
        <v>4</v>
      </c>
      <c r="B7" s="78"/>
      <c r="C7" s="42">
        <v>2</v>
      </c>
      <c r="D7" s="43"/>
      <c r="E7" s="43"/>
      <c r="F7" s="27"/>
      <c r="G7" s="28"/>
      <c r="H7" s="46"/>
    </row>
    <row r="8" spans="1:12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2" ht="36.75" thickBot="1" x14ac:dyDescent="0.25">
      <c r="A9" s="62" t="s">
        <v>5</v>
      </c>
      <c r="B9" s="62" t="s">
        <v>6</v>
      </c>
      <c r="C9" s="62" t="s">
        <v>7</v>
      </c>
      <c r="D9" s="62" t="s">
        <v>8</v>
      </c>
      <c r="E9" s="62" t="s">
        <v>9</v>
      </c>
      <c r="F9" s="62" t="s">
        <v>10</v>
      </c>
      <c r="G9" s="62" t="s">
        <v>11</v>
      </c>
      <c r="H9" s="63" t="s">
        <v>12</v>
      </c>
      <c r="I9" s="62" t="s">
        <v>13</v>
      </c>
    </row>
    <row r="10" spans="1:12" ht="38.25" x14ac:dyDescent="0.2">
      <c r="A10" s="130">
        <v>1</v>
      </c>
      <c r="B10" s="131" t="s">
        <v>60</v>
      </c>
      <c r="C10" s="132" t="s">
        <v>61</v>
      </c>
      <c r="D10" s="133">
        <v>252</v>
      </c>
      <c r="E10" s="134" t="s">
        <v>62</v>
      </c>
      <c r="F10" s="135" t="s">
        <v>63</v>
      </c>
      <c r="G10" s="136">
        <v>300</v>
      </c>
      <c r="H10" s="137">
        <v>450</v>
      </c>
      <c r="I10" s="138">
        <f t="shared" ref="I10:I79" si="0">+G10*H10</f>
        <v>135000</v>
      </c>
      <c r="L10" s="33"/>
    </row>
    <row r="11" spans="1:12" ht="38.25" x14ac:dyDescent="0.2">
      <c r="A11" s="130">
        <v>2</v>
      </c>
      <c r="B11" s="131" t="s">
        <v>64</v>
      </c>
      <c r="C11" s="132" t="s">
        <v>61</v>
      </c>
      <c r="D11" s="133">
        <v>252</v>
      </c>
      <c r="E11" s="134" t="s">
        <v>65</v>
      </c>
      <c r="F11" s="135" t="s">
        <v>66</v>
      </c>
      <c r="G11" s="136">
        <v>200</v>
      </c>
      <c r="H11" s="137">
        <v>1.55</v>
      </c>
      <c r="I11" s="138">
        <f t="shared" si="0"/>
        <v>310</v>
      </c>
      <c r="L11" s="33"/>
    </row>
    <row r="12" spans="1:12" ht="38.25" x14ac:dyDescent="0.2">
      <c r="A12" s="130">
        <v>3</v>
      </c>
      <c r="B12" s="139" t="s">
        <v>67</v>
      </c>
      <c r="C12" s="132" t="s">
        <v>61</v>
      </c>
      <c r="D12" s="140">
        <v>252</v>
      </c>
      <c r="E12" s="141" t="s">
        <v>68</v>
      </c>
      <c r="F12" s="135" t="s">
        <v>66</v>
      </c>
      <c r="G12" s="136">
        <v>200</v>
      </c>
      <c r="H12" s="137">
        <v>12.15</v>
      </c>
      <c r="I12" s="138">
        <f t="shared" si="0"/>
        <v>2430</v>
      </c>
      <c r="L12" s="67"/>
    </row>
    <row r="13" spans="1:12" ht="38.25" x14ac:dyDescent="0.2">
      <c r="A13" s="130">
        <v>4</v>
      </c>
      <c r="B13" s="131" t="s">
        <v>69</v>
      </c>
      <c r="C13" s="132" t="s">
        <v>61</v>
      </c>
      <c r="D13" s="133">
        <v>252</v>
      </c>
      <c r="E13" s="142" t="s">
        <v>70</v>
      </c>
      <c r="F13" s="135" t="s">
        <v>63</v>
      </c>
      <c r="G13" s="136">
        <v>100</v>
      </c>
      <c r="H13" s="137">
        <v>87.95</v>
      </c>
      <c r="I13" s="138">
        <f t="shared" si="0"/>
        <v>8795</v>
      </c>
      <c r="L13" s="67"/>
    </row>
    <row r="14" spans="1:12" ht="38.25" x14ac:dyDescent="0.2">
      <c r="A14" s="130">
        <v>5</v>
      </c>
      <c r="B14" s="139" t="s">
        <v>71</v>
      </c>
      <c r="C14" s="132" t="s">
        <v>61</v>
      </c>
      <c r="D14" s="140">
        <v>252</v>
      </c>
      <c r="E14" s="143" t="s">
        <v>72</v>
      </c>
      <c r="F14" s="135" t="s">
        <v>73</v>
      </c>
      <c r="G14" s="136">
        <v>300</v>
      </c>
      <c r="H14" s="137">
        <v>374</v>
      </c>
      <c r="I14" s="138">
        <f t="shared" si="0"/>
        <v>112200</v>
      </c>
      <c r="L14" s="33"/>
    </row>
    <row r="15" spans="1:12" ht="38.25" x14ac:dyDescent="0.2">
      <c r="A15" s="130">
        <v>6</v>
      </c>
      <c r="B15" s="131" t="s">
        <v>74</v>
      </c>
      <c r="C15" s="132" t="s">
        <v>61</v>
      </c>
      <c r="D15" s="133">
        <v>252</v>
      </c>
      <c r="E15" s="142" t="s">
        <v>75</v>
      </c>
      <c r="F15" s="135" t="s">
        <v>66</v>
      </c>
      <c r="G15" s="136">
        <v>1000</v>
      </c>
      <c r="H15" s="137">
        <v>29.5</v>
      </c>
      <c r="I15" s="138">
        <f t="shared" si="0"/>
        <v>29500</v>
      </c>
    </row>
    <row r="16" spans="1:12" ht="38.25" x14ac:dyDescent="0.2">
      <c r="A16" s="130">
        <v>7</v>
      </c>
      <c r="B16" s="131" t="s">
        <v>76</v>
      </c>
      <c r="C16" s="132" t="s">
        <v>61</v>
      </c>
      <c r="D16" s="133">
        <v>252</v>
      </c>
      <c r="E16" s="142" t="s">
        <v>77</v>
      </c>
      <c r="F16" s="135" t="s">
        <v>73</v>
      </c>
      <c r="G16" s="136">
        <v>300</v>
      </c>
      <c r="H16" s="137">
        <v>210</v>
      </c>
      <c r="I16" s="138">
        <f t="shared" si="0"/>
        <v>63000</v>
      </c>
    </row>
    <row r="17" spans="1:9" ht="38.25" x14ac:dyDescent="0.2">
      <c r="A17" s="130">
        <v>8</v>
      </c>
      <c r="B17" s="131" t="s">
        <v>78</v>
      </c>
      <c r="C17" s="132" t="s">
        <v>61</v>
      </c>
      <c r="D17" s="133">
        <v>252</v>
      </c>
      <c r="E17" s="142" t="s">
        <v>79</v>
      </c>
      <c r="F17" s="135" t="s">
        <v>63</v>
      </c>
      <c r="G17" s="136">
        <v>1000</v>
      </c>
      <c r="H17" s="137">
        <v>138</v>
      </c>
      <c r="I17" s="138">
        <f t="shared" si="0"/>
        <v>138000</v>
      </c>
    </row>
    <row r="18" spans="1:9" ht="25.5" x14ac:dyDescent="0.2">
      <c r="A18" s="130">
        <v>9</v>
      </c>
      <c r="B18" s="131" t="s">
        <v>80</v>
      </c>
      <c r="C18" s="132" t="s">
        <v>61</v>
      </c>
      <c r="D18" s="133">
        <v>252</v>
      </c>
      <c r="E18" s="142" t="s">
        <v>81</v>
      </c>
      <c r="F18" s="135" t="s">
        <v>63</v>
      </c>
      <c r="G18" s="136">
        <v>1000</v>
      </c>
      <c r="H18" s="137">
        <v>99</v>
      </c>
      <c r="I18" s="138">
        <f t="shared" si="0"/>
        <v>99000</v>
      </c>
    </row>
    <row r="19" spans="1:9" ht="38.25" x14ac:dyDescent="0.2">
      <c r="A19" s="130">
        <v>10</v>
      </c>
      <c r="B19" s="131" t="s">
        <v>82</v>
      </c>
      <c r="C19" s="132" t="s">
        <v>61</v>
      </c>
      <c r="D19" s="133">
        <v>252</v>
      </c>
      <c r="E19" s="142" t="s">
        <v>83</v>
      </c>
      <c r="F19" s="135" t="s">
        <v>73</v>
      </c>
      <c r="G19" s="136">
        <v>300</v>
      </c>
      <c r="H19" s="137">
        <v>310</v>
      </c>
      <c r="I19" s="138">
        <f t="shared" si="0"/>
        <v>93000</v>
      </c>
    </row>
    <row r="20" spans="1:9" ht="38.25" x14ac:dyDescent="0.2">
      <c r="A20" s="130">
        <v>11</v>
      </c>
      <c r="B20" s="131" t="s">
        <v>84</v>
      </c>
      <c r="C20" s="132" t="s">
        <v>61</v>
      </c>
      <c r="D20" s="133">
        <v>252</v>
      </c>
      <c r="E20" s="142" t="s">
        <v>85</v>
      </c>
      <c r="F20" s="135" t="s">
        <v>63</v>
      </c>
      <c r="G20" s="136">
        <v>300</v>
      </c>
      <c r="H20" s="137">
        <v>259</v>
      </c>
      <c r="I20" s="138">
        <f t="shared" si="0"/>
        <v>77700</v>
      </c>
    </row>
    <row r="21" spans="1:9" ht="25.5" x14ac:dyDescent="0.2">
      <c r="A21" s="130">
        <v>12</v>
      </c>
      <c r="B21" s="139" t="s">
        <v>86</v>
      </c>
      <c r="C21" s="132" t="s">
        <v>61</v>
      </c>
      <c r="D21" s="133">
        <v>252</v>
      </c>
      <c r="E21" s="144" t="s">
        <v>87</v>
      </c>
      <c r="F21" s="135" t="s">
        <v>73</v>
      </c>
      <c r="G21" s="136">
        <v>5</v>
      </c>
      <c r="H21" s="137">
        <v>2810</v>
      </c>
      <c r="I21" s="138">
        <f t="shared" si="0"/>
        <v>14050</v>
      </c>
    </row>
    <row r="22" spans="1:9" ht="38.25" x14ac:dyDescent="0.2">
      <c r="A22" s="130">
        <v>13</v>
      </c>
      <c r="B22" s="145" t="s">
        <v>88</v>
      </c>
      <c r="C22" s="132" t="s">
        <v>61</v>
      </c>
      <c r="D22" s="133">
        <v>252</v>
      </c>
      <c r="E22" s="144" t="s">
        <v>89</v>
      </c>
      <c r="F22" s="135" t="s">
        <v>73</v>
      </c>
      <c r="G22" s="136">
        <v>30</v>
      </c>
      <c r="H22" s="137">
        <v>3100</v>
      </c>
      <c r="I22" s="138">
        <f t="shared" si="0"/>
        <v>93000</v>
      </c>
    </row>
    <row r="23" spans="1:9" ht="38.25" x14ac:dyDescent="0.2">
      <c r="A23" s="130">
        <v>14</v>
      </c>
      <c r="B23" s="131" t="s">
        <v>90</v>
      </c>
      <c r="C23" s="132" t="s">
        <v>61</v>
      </c>
      <c r="D23" s="133">
        <v>252</v>
      </c>
      <c r="E23" s="142" t="s">
        <v>91</v>
      </c>
      <c r="F23" s="135" t="s">
        <v>73</v>
      </c>
      <c r="G23" s="136">
        <v>30</v>
      </c>
      <c r="H23" s="137">
        <v>490</v>
      </c>
      <c r="I23" s="138">
        <f t="shared" si="0"/>
        <v>14700</v>
      </c>
    </row>
    <row r="24" spans="1:9" ht="38.25" x14ac:dyDescent="0.2">
      <c r="A24" s="130">
        <v>15</v>
      </c>
      <c r="B24" s="139" t="s">
        <v>92</v>
      </c>
      <c r="C24" s="132" t="s">
        <v>61</v>
      </c>
      <c r="D24" s="146">
        <v>252</v>
      </c>
      <c r="E24" s="144" t="s">
        <v>93</v>
      </c>
      <c r="F24" s="135" t="s">
        <v>63</v>
      </c>
      <c r="G24" s="136">
        <v>50</v>
      </c>
      <c r="H24" s="137">
        <v>1420</v>
      </c>
      <c r="I24" s="138">
        <f t="shared" si="0"/>
        <v>71000</v>
      </c>
    </row>
    <row r="25" spans="1:9" ht="38.25" x14ac:dyDescent="0.2">
      <c r="A25" s="130">
        <v>16</v>
      </c>
      <c r="B25" s="131" t="s">
        <v>94</v>
      </c>
      <c r="C25" s="132" t="s">
        <v>61</v>
      </c>
      <c r="D25" s="133">
        <v>252</v>
      </c>
      <c r="E25" s="142" t="s">
        <v>95</v>
      </c>
      <c r="F25" s="135" t="s">
        <v>66</v>
      </c>
      <c r="G25" s="136">
        <v>500</v>
      </c>
      <c r="H25" s="137">
        <v>13.9</v>
      </c>
      <c r="I25" s="138">
        <f t="shared" si="0"/>
        <v>6950</v>
      </c>
    </row>
    <row r="26" spans="1:9" ht="38.25" x14ac:dyDescent="0.2">
      <c r="A26" s="130">
        <v>17</v>
      </c>
      <c r="B26" s="131" t="s">
        <v>96</v>
      </c>
      <c r="C26" s="132" t="s">
        <v>61</v>
      </c>
      <c r="D26" s="133">
        <v>252</v>
      </c>
      <c r="E26" s="142" t="s">
        <v>97</v>
      </c>
      <c r="F26" s="135" t="s">
        <v>73</v>
      </c>
      <c r="G26" s="136">
        <v>50</v>
      </c>
      <c r="H26" s="137">
        <v>350</v>
      </c>
      <c r="I26" s="138">
        <f t="shared" si="0"/>
        <v>17500</v>
      </c>
    </row>
    <row r="27" spans="1:9" ht="38.25" x14ac:dyDescent="0.2">
      <c r="A27" s="130">
        <v>18</v>
      </c>
      <c r="B27" s="131" t="s">
        <v>98</v>
      </c>
      <c r="C27" s="132" t="s">
        <v>61</v>
      </c>
      <c r="D27" s="133">
        <v>252</v>
      </c>
      <c r="E27" s="142" t="s">
        <v>99</v>
      </c>
      <c r="F27" s="135" t="s">
        <v>63</v>
      </c>
      <c r="G27" s="136">
        <v>100</v>
      </c>
      <c r="H27" s="137">
        <v>144</v>
      </c>
      <c r="I27" s="138">
        <f t="shared" si="0"/>
        <v>14400</v>
      </c>
    </row>
    <row r="28" spans="1:9" ht="38.25" x14ac:dyDescent="0.2">
      <c r="A28" s="130">
        <v>19</v>
      </c>
      <c r="B28" s="131" t="s">
        <v>100</v>
      </c>
      <c r="C28" s="132" t="s">
        <v>61</v>
      </c>
      <c r="D28" s="133">
        <v>252</v>
      </c>
      <c r="E28" s="142" t="s">
        <v>101</v>
      </c>
      <c r="F28" s="135" t="s">
        <v>102</v>
      </c>
      <c r="G28" s="136">
        <v>50</v>
      </c>
      <c r="H28" s="137">
        <v>122</v>
      </c>
      <c r="I28" s="138">
        <f t="shared" si="0"/>
        <v>6100</v>
      </c>
    </row>
    <row r="29" spans="1:9" ht="38.25" x14ac:dyDescent="0.2">
      <c r="A29" s="130">
        <v>20</v>
      </c>
      <c r="B29" s="131" t="s">
        <v>103</v>
      </c>
      <c r="C29" s="132" t="s">
        <v>61</v>
      </c>
      <c r="D29" s="133">
        <v>252</v>
      </c>
      <c r="E29" s="147" t="s">
        <v>104</v>
      </c>
      <c r="F29" s="135" t="s">
        <v>66</v>
      </c>
      <c r="G29" s="136">
        <v>100</v>
      </c>
      <c r="H29" s="137">
        <v>9.8000000000000007</v>
      </c>
      <c r="I29" s="138">
        <f t="shared" si="0"/>
        <v>980.00000000000011</v>
      </c>
    </row>
    <row r="30" spans="1:9" ht="38.25" x14ac:dyDescent="0.2">
      <c r="A30" s="130">
        <v>21</v>
      </c>
      <c r="B30" s="131" t="s">
        <v>105</v>
      </c>
      <c r="C30" s="132" t="s">
        <v>61</v>
      </c>
      <c r="D30" s="133">
        <v>252</v>
      </c>
      <c r="E30" s="147" t="s">
        <v>106</v>
      </c>
      <c r="F30" s="135" t="s">
        <v>73</v>
      </c>
      <c r="G30" s="136">
        <v>100</v>
      </c>
      <c r="H30" s="148">
        <v>698</v>
      </c>
      <c r="I30" s="138">
        <f t="shared" si="0"/>
        <v>69800</v>
      </c>
    </row>
    <row r="31" spans="1:9" ht="38.25" x14ac:dyDescent="0.2">
      <c r="A31" s="130">
        <v>22</v>
      </c>
      <c r="B31" s="149" t="s">
        <v>107</v>
      </c>
      <c r="C31" s="132" t="s">
        <v>61</v>
      </c>
      <c r="D31" s="133">
        <v>252</v>
      </c>
      <c r="E31" s="142" t="s">
        <v>108</v>
      </c>
      <c r="F31" s="135" t="s">
        <v>109</v>
      </c>
      <c r="G31" s="136">
        <v>2000</v>
      </c>
      <c r="H31" s="148">
        <v>29</v>
      </c>
      <c r="I31" s="138">
        <f t="shared" si="0"/>
        <v>58000</v>
      </c>
    </row>
    <row r="32" spans="1:9" ht="38.25" x14ac:dyDescent="0.2">
      <c r="A32" s="130">
        <v>23</v>
      </c>
      <c r="B32" s="131" t="s">
        <v>110</v>
      </c>
      <c r="C32" s="132" t="s">
        <v>61</v>
      </c>
      <c r="D32" s="133">
        <v>252</v>
      </c>
      <c r="E32" s="142" t="s">
        <v>111</v>
      </c>
      <c r="F32" s="135" t="s">
        <v>63</v>
      </c>
      <c r="G32" s="136">
        <v>1000</v>
      </c>
      <c r="H32" s="148">
        <v>85</v>
      </c>
      <c r="I32" s="138">
        <f t="shared" si="0"/>
        <v>85000</v>
      </c>
    </row>
    <row r="33" spans="1:9" ht="38.25" x14ac:dyDescent="0.2">
      <c r="A33" s="130">
        <v>24</v>
      </c>
      <c r="B33" s="139" t="s">
        <v>112</v>
      </c>
      <c r="C33" s="132" t="s">
        <v>61</v>
      </c>
      <c r="D33" s="133">
        <v>252</v>
      </c>
      <c r="E33" s="144" t="s">
        <v>113</v>
      </c>
      <c r="F33" s="135" t="s">
        <v>73</v>
      </c>
      <c r="G33" s="136">
        <v>50</v>
      </c>
      <c r="H33" s="148">
        <v>168</v>
      </c>
      <c r="I33" s="138">
        <f t="shared" si="0"/>
        <v>8400</v>
      </c>
    </row>
    <row r="34" spans="1:9" ht="25.5" x14ac:dyDescent="0.2">
      <c r="A34" s="130">
        <v>25</v>
      </c>
      <c r="B34" s="131" t="s">
        <v>114</v>
      </c>
      <c r="C34" s="132" t="s">
        <v>61</v>
      </c>
      <c r="D34" s="133">
        <v>252</v>
      </c>
      <c r="E34" s="144" t="s">
        <v>115</v>
      </c>
      <c r="F34" s="135" t="s">
        <v>63</v>
      </c>
      <c r="G34" s="136">
        <v>2</v>
      </c>
      <c r="H34" s="148">
        <v>2890</v>
      </c>
      <c r="I34" s="138">
        <f t="shared" si="0"/>
        <v>5780</v>
      </c>
    </row>
    <row r="35" spans="1:9" ht="25.5" x14ac:dyDescent="0.2">
      <c r="A35" s="130">
        <v>26</v>
      </c>
      <c r="B35" s="131" t="s">
        <v>116</v>
      </c>
      <c r="C35" s="132" t="s">
        <v>61</v>
      </c>
      <c r="D35" s="133">
        <v>252</v>
      </c>
      <c r="E35" s="134" t="s">
        <v>117</v>
      </c>
      <c r="F35" s="135" t="s">
        <v>63</v>
      </c>
      <c r="G35" s="136">
        <v>2000</v>
      </c>
      <c r="H35" s="148">
        <v>35.9</v>
      </c>
      <c r="I35" s="138">
        <f t="shared" si="0"/>
        <v>71800</v>
      </c>
    </row>
    <row r="36" spans="1:9" ht="38.25" x14ac:dyDescent="0.2">
      <c r="A36" s="130">
        <v>27</v>
      </c>
      <c r="B36" s="139" t="s">
        <v>118</v>
      </c>
      <c r="C36" s="132" t="s">
        <v>61</v>
      </c>
      <c r="D36" s="133">
        <v>252</v>
      </c>
      <c r="E36" s="144" t="s">
        <v>119</v>
      </c>
      <c r="F36" s="135" t="s">
        <v>73</v>
      </c>
      <c r="G36" s="136">
        <v>100</v>
      </c>
      <c r="H36" s="148">
        <v>158</v>
      </c>
      <c r="I36" s="138">
        <f t="shared" si="0"/>
        <v>15800</v>
      </c>
    </row>
    <row r="37" spans="1:9" ht="25.5" x14ac:dyDescent="0.2">
      <c r="A37" s="130">
        <v>28</v>
      </c>
      <c r="B37" s="131" t="s">
        <v>120</v>
      </c>
      <c r="C37" s="132" t="s">
        <v>61</v>
      </c>
      <c r="D37" s="133">
        <v>252</v>
      </c>
      <c r="E37" s="142" t="s">
        <v>121</v>
      </c>
      <c r="F37" s="135" t="s">
        <v>63</v>
      </c>
      <c r="G37" s="136">
        <v>5000</v>
      </c>
      <c r="H37" s="148">
        <v>38.5</v>
      </c>
      <c r="I37" s="138">
        <f t="shared" si="0"/>
        <v>192500</v>
      </c>
    </row>
    <row r="38" spans="1:9" ht="25.5" x14ac:dyDescent="0.2">
      <c r="A38" s="130">
        <v>29</v>
      </c>
      <c r="B38" s="131" t="s">
        <v>122</v>
      </c>
      <c r="C38" s="132" t="s">
        <v>61</v>
      </c>
      <c r="D38" s="133">
        <v>252</v>
      </c>
      <c r="E38" s="134" t="s">
        <v>123</v>
      </c>
      <c r="F38" s="135" t="s">
        <v>73</v>
      </c>
      <c r="G38" s="136">
        <v>1500</v>
      </c>
      <c r="H38" s="137">
        <v>155</v>
      </c>
      <c r="I38" s="138">
        <f t="shared" si="0"/>
        <v>232500</v>
      </c>
    </row>
    <row r="39" spans="1:9" ht="25.5" x14ac:dyDescent="0.2">
      <c r="A39" s="130">
        <v>30</v>
      </c>
      <c r="B39" s="131" t="s">
        <v>124</v>
      </c>
      <c r="C39" s="132" t="s">
        <v>61</v>
      </c>
      <c r="D39" s="133">
        <v>252</v>
      </c>
      <c r="E39" s="134" t="s">
        <v>125</v>
      </c>
      <c r="F39" s="135" t="s">
        <v>63</v>
      </c>
      <c r="G39" s="136">
        <v>500</v>
      </c>
      <c r="H39" s="137">
        <v>390</v>
      </c>
      <c r="I39" s="138">
        <f t="shared" si="0"/>
        <v>195000</v>
      </c>
    </row>
    <row r="40" spans="1:9" ht="38.25" x14ac:dyDescent="0.2">
      <c r="A40" s="130">
        <v>31</v>
      </c>
      <c r="B40" s="131" t="s">
        <v>126</v>
      </c>
      <c r="C40" s="132" t="s">
        <v>61</v>
      </c>
      <c r="D40" s="133">
        <v>252</v>
      </c>
      <c r="E40" s="150" t="s">
        <v>127</v>
      </c>
      <c r="F40" s="135" t="s">
        <v>63</v>
      </c>
      <c r="G40" s="136">
        <v>4000</v>
      </c>
      <c r="H40" s="137">
        <v>130</v>
      </c>
      <c r="I40" s="138">
        <f t="shared" si="0"/>
        <v>520000</v>
      </c>
    </row>
    <row r="41" spans="1:9" ht="38.25" x14ac:dyDescent="0.2">
      <c r="A41" s="130">
        <v>32</v>
      </c>
      <c r="B41" s="131" t="s">
        <v>128</v>
      </c>
      <c r="C41" s="132" t="s">
        <v>61</v>
      </c>
      <c r="D41" s="133">
        <v>252</v>
      </c>
      <c r="E41" s="134" t="s">
        <v>129</v>
      </c>
      <c r="F41" s="135" t="s">
        <v>66</v>
      </c>
      <c r="G41" s="136">
        <v>300</v>
      </c>
      <c r="H41" s="137">
        <v>32.5</v>
      </c>
      <c r="I41" s="138">
        <f t="shared" si="0"/>
        <v>9750</v>
      </c>
    </row>
    <row r="42" spans="1:9" ht="38.25" x14ac:dyDescent="0.2">
      <c r="A42" s="130">
        <v>33</v>
      </c>
      <c r="B42" s="131" t="s">
        <v>130</v>
      </c>
      <c r="C42" s="132" t="s">
        <v>61</v>
      </c>
      <c r="D42" s="133">
        <v>252</v>
      </c>
      <c r="E42" s="142" t="s">
        <v>131</v>
      </c>
      <c r="F42" s="135" t="s">
        <v>132</v>
      </c>
      <c r="G42" s="136">
        <v>50</v>
      </c>
      <c r="H42" s="137">
        <v>986</v>
      </c>
      <c r="I42" s="138">
        <f t="shared" si="0"/>
        <v>49300</v>
      </c>
    </row>
    <row r="43" spans="1:9" ht="38.25" x14ac:dyDescent="0.2">
      <c r="A43" s="130">
        <v>34</v>
      </c>
      <c r="B43" s="139" t="s">
        <v>133</v>
      </c>
      <c r="C43" s="132" t="s">
        <v>61</v>
      </c>
      <c r="D43" s="133">
        <v>252</v>
      </c>
      <c r="E43" s="144" t="s">
        <v>134</v>
      </c>
      <c r="F43" s="135" t="s">
        <v>73</v>
      </c>
      <c r="G43" s="136">
        <v>20</v>
      </c>
      <c r="H43" s="137">
        <v>2100</v>
      </c>
      <c r="I43" s="138">
        <f t="shared" si="0"/>
        <v>42000</v>
      </c>
    </row>
    <row r="44" spans="1:9" ht="25.5" x14ac:dyDescent="0.2">
      <c r="A44" s="130">
        <v>35</v>
      </c>
      <c r="B44" s="139" t="s">
        <v>135</v>
      </c>
      <c r="C44" s="132" t="s">
        <v>61</v>
      </c>
      <c r="D44" s="133">
        <v>252</v>
      </c>
      <c r="E44" s="144" t="s">
        <v>136</v>
      </c>
      <c r="F44" s="135" t="s">
        <v>73</v>
      </c>
      <c r="G44" s="136">
        <v>10</v>
      </c>
      <c r="H44" s="137">
        <v>1860</v>
      </c>
      <c r="I44" s="138">
        <f t="shared" si="0"/>
        <v>18600</v>
      </c>
    </row>
    <row r="45" spans="1:9" ht="38.25" x14ac:dyDescent="0.2">
      <c r="A45" s="130">
        <v>36</v>
      </c>
      <c r="B45" s="131" t="s">
        <v>137</v>
      </c>
      <c r="C45" s="132" t="s">
        <v>61</v>
      </c>
      <c r="D45" s="133">
        <v>252</v>
      </c>
      <c r="E45" s="147" t="s">
        <v>138</v>
      </c>
      <c r="F45" s="135" t="s">
        <v>73</v>
      </c>
      <c r="G45" s="136">
        <v>2000</v>
      </c>
      <c r="H45" s="137">
        <v>85</v>
      </c>
      <c r="I45" s="138">
        <f t="shared" si="0"/>
        <v>170000</v>
      </c>
    </row>
    <row r="46" spans="1:9" ht="25.5" x14ac:dyDescent="0.2">
      <c r="A46" s="130">
        <v>37</v>
      </c>
      <c r="B46" s="131" t="s">
        <v>139</v>
      </c>
      <c r="C46" s="132" t="s">
        <v>61</v>
      </c>
      <c r="D46" s="133">
        <v>252</v>
      </c>
      <c r="E46" s="134" t="s">
        <v>140</v>
      </c>
      <c r="F46" s="135" t="s">
        <v>63</v>
      </c>
      <c r="G46" s="136">
        <v>100</v>
      </c>
      <c r="H46" s="137">
        <v>45</v>
      </c>
      <c r="I46" s="138">
        <f t="shared" si="0"/>
        <v>4500</v>
      </c>
    </row>
    <row r="47" spans="1:9" ht="38.25" x14ac:dyDescent="0.2">
      <c r="A47" s="130">
        <v>38</v>
      </c>
      <c r="B47" s="131" t="s">
        <v>141</v>
      </c>
      <c r="C47" s="132" t="s">
        <v>61</v>
      </c>
      <c r="D47" s="133">
        <v>252</v>
      </c>
      <c r="E47" s="147" t="s">
        <v>142</v>
      </c>
      <c r="F47" s="135" t="s">
        <v>66</v>
      </c>
      <c r="G47" s="136">
        <v>4000</v>
      </c>
      <c r="H47" s="137">
        <v>4.8</v>
      </c>
      <c r="I47" s="138">
        <f t="shared" si="0"/>
        <v>19200</v>
      </c>
    </row>
    <row r="48" spans="1:9" ht="38.25" x14ac:dyDescent="0.2">
      <c r="A48" s="130">
        <v>39</v>
      </c>
      <c r="B48" s="131" t="s">
        <v>143</v>
      </c>
      <c r="C48" s="132" t="s">
        <v>61</v>
      </c>
      <c r="D48" s="133">
        <v>252</v>
      </c>
      <c r="E48" s="147" t="s">
        <v>144</v>
      </c>
      <c r="F48" s="135" t="s">
        <v>132</v>
      </c>
      <c r="G48" s="136">
        <v>50</v>
      </c>
      <c r="H48" s="137">
        <v>125640</v>
      </c>
      <c r="I48" s="138">
        <f t="shared" si="0"/>
        <v>6282000</v>
      </c>
    </row>
    <row r="49" spans="1:9" ht="38.25" x14ac:dyDescent="0.2">
      <c r="A49" s="130">
        <v>40</v>
      </c>
      <c r="B49" s="131" t="s">
        <v>145</v>
      </c>
      <c r="C49" s="132" t="s">
        <v>61</v>
      </c>
      <c r="D49" s="133">
        <v>252</v>
      </c>
      <c r="E49" s="142" t="s">
        <v>146</v>
      </c>
      <c r="F49" s="135" t="s">
        <v>132</v>
      </c>
      <c r="G49" s="136">
        <v>50</v>
      </c>
      <c r="H49" s="137">
        <v>31000</v>
      </c>
      <c r="I49" s="138">
        <f t="shared" si="0"/>
        <v>1550000</v>
      </c>
    </row>
    <row r="50" spans="1:9" ht="38.25" x14ac:dyDescent="0.2">
      <c r="A50" s="130">
        <v>41</v>
      </c>
      <c r="B50" s="131" t="s">
        <v>147</v>
      </c>
      <c r="C50" s="132" t="s">
        <v>61</v>
      </c>
      <c r="D50" s="133">
        <v>252</v>
      </c>
      <c r="E50" s="142" t="s">
        <v>148</v>
      </c>
      <c r="F50" s="135" t="s">
        <v>132</v>
      </c>
      <c r="G50" s="136">
        <v>50</v>
      </c>
      <c r="H50" s="137">
        <v>59000</v>
      </c>
      <c r="I50" s="138">
        <f t="shared" si="0"/>
        <v>2950000</v>
      </c>
    </row>
    <row r="51" spans="1:9" ht="38.25" x14ac:dyDescent="0.2">
      <c r="A51" s="130">
        <v>42</v>
      </c>
      <c r="B51" s="145" t="s">
        <v>149</v>
      </c>
      <c r="C51" s="132" t="s">
        <v>61</v>
      </c>
      <c r="D51" s="133">
        <v>252</v>
      </c>
      <c r="E51" s="144" t="s">
        <v>150</v>
      </c>
      <c r="F51" s="135" t="s">
        <v>63</v>
      </c>
      <c r="G51" s="136">
        <v>300</v>
      </c>
      <c r="H51" s="137">
        <v>1950</v>
      </c>
      <c r="I51" s="138">
        <f t="shared" si="0"/>
        <v>585000</v>
      </c>
    </row>
    <row r="52" spans="1:9" ht="38.25" x14ac:dyDescent="0.2">
      <c r="A52" s="130">
        <v>43</v>
      </c>
      <c r="B52" s="145" t="s">
        <v>151</v>
      </c>
      <c r="C52" s="132" t="s">
        <v>61</v>
      </c>
      <c r="D52" s="133">
        <v>252</v>
      </c>
      <c r="E52" s="144" t="s">
        <v>152</v>
      </c>
      <c r="F52" s="135" t="s">
        <v>63</v>
      </c>
      <c r="G52" s="136">
        <v>500</v>
      </c>
      <c r="H52" s="137">
        <v>35</v>
      </c>
      <c r="I52" s="138">
        <f t="shared" si="0"/>
        <v>17500</v>
      </c>
    </row>
    <row r="53" spans="1:9" ht="38.25" x14ac:dyDescent="0.2">
      <c r="A53" s="130">
        <v>44</v>
      </c>
      <c r="B53" s="145" t="s">
        <v>153</v>
      </c>
      <c r="C53" s="132" t="s">
        <v>61</v>
      </c>
      <c r="D53" s="133">
        <v>252</v>
      </c>
      <c r="E53" s="144" t="s">
        <v>154</v>
      </c>
      <c r="F53" s="135" t="s">
        <v>63</v>
      </c>
      <c r="G53" s="136">
        <v>500</v>
      </c>
      <c r="H53" s="137">
        <v>325</v>
      </c>
      <c r="I53" s="138">
        <f t="shared" si="0"/>
        <v>162500</v>
      </c>
    </row>
    <row r="54" spans="1:9" ht="38.25" x14ac:dyDescent="0.2">
      <c r="A54" s="130">
        <v>45</v>
      </c>
      <c r="B54" s="145" t="s">
        <v>155</v>
      </c>
      <c r="C54" s="132" t="s">
        <v>61</v>
      </c>
      <c r="D54" s="133">
        <v>252</v>
      </c>
      <c r="E54" s="144" t="s">
        <v>156</v>
      </c>
      <c r="F54" s="135" t="s">
        <v>63</v>
      </c>
      <c r="G54" s="136">
        <v>50</v>
      </c>
      <c r="H54" s="151">
        <v>493</v>
      </c>
      <c r="I54" s="138">
        <f t="shared" si="0"/>
        <v>24650</v>
      </c>
    </row>
    <row r="55" spans="1:9" ht="25.5" x14ac:dyDescent="0.2">
      <c r="A55" s="130">
        <v>46</v>
      </c>
      <c r="B55" s="145" t="s">
        <v>157</v>
      </c>
      <c r="C55" s="132" t="s">
        <v>61</v>
      </c>
      <c r="D55" s="133">
        <v>252</v>
      </c>
      <c r="E55" s="144" t="s">
        <v>158</v>
      </c>
      <c r="F55" s="135" t="s">
        <v>132</v>
      </c>
      <c r="G55" s="136">
        <v>50</v>
      </c>
      <c r="H55" s="137">
        <v>640</v>
      </c>
      <c r="I55" s="138">
        <f t="shared" si="0"/>
        <v>32000</v>
      </c>
    </row>
    <row r="56" spans="1:9" ht="38.25" x14ac:dyDescent="0.2">
      <c r="A56" s="130">
        <v>47</v>
      </c>
      <c r="B56" s="145" t="s">
        <v>159</v>
      </c>
      <c r="C56" s="132" t="s">
        <v>61</v>
      </c>
      <c r="D56" s="133">
        <v>252</v>
      </c>
      <c r="E56" s="144" t="s">
        <v>160</v>
      </c>
      <c r="F56" s="135" t="s">
        <v>73</v>
      </c>
      <c r="G56" s="136">
        <v>20</v>
      </c>
      <c r="H56" s="137">
        <v>360</v>
      </c>
      <c r="I56" s="138">
        <f t="shared" si="0"/>
        <v>7200</v>
      </c>
    </row>
    <row r="57" spans="1:9" ht="38.25" x14ac:dyDescent="0.2">
      <c r="A57" s="130">
        <v>48</v>
      </c>
      <c r="B57" s="145" t="s">
        <v>161</v>
      </c>
      <c r="C57" s="132" t="s">
        <v>61</v>
      </c>
      <c r="D57" s="133">
        <v>252</v>
      </c>
      <c r="E57" s="144" t="s">
        <v>162</v>
      </c>
      <c r="F57" s="135" t="s">
        <v>63</v>
      </c>
      <c r="G57" s="136">
        <v>500</v>
      </c>
      <c r="H57" s="137">
        <v>590</v>
      </c>
      <c r="I57" s="138">
        <f t="shared" si="0"/>
        <v>295000</v>
      </c>
    </row>
    <row r="58" spans="1:9" ht="38.25" x14ac:dyDescent="0.2">
      <c r="A58" s="130">
        <v>49</v>
      </c>
      <c r="B58" s="145" t="s">
        <v>163</v>
      </c>
      <c r="C58" s="132" t="s">
        <v>61</v>
      </c>
      <c r="D58" s="133">
        <v>252</v>
      </c>
      <c r="E58" s="144" t="s">
        <v>164</v>
      </c>
      <c r="F58" s="135" t="s">
        <v>63</v>
      </c>
      <c r="G58" s="136">
        <v>500</v>
      </c>
      <c r="H58" s="137">
        <v>380</v>
      </c>
      <c r="I58" s="138">
        <f t="shared" si="0"/>
        <v>190000</v>
      </c>
    </row>
    <row r="59" spans="1:9" ht="38.25" x14ac:dyDescent="0.2">
      <c r="A59" s="130">
        <v>50</v>
      </c>
      <c r="B59" s="145" t="s">
        <v>165</v>
      </c>
      <c r="C59" s="132" t="s">
        <v>61</v>
      </c>
      <c r="D59" s="133">
        <v>252</v>
      </c>
      <c r="E59" s="142" t="s">
        <v>166</v>
      </c>
      <c r="F59" s="135" t="s">
        <v>73</v>
      </c>
      <c r="G59" s="136">
        <v>100</v>
      </c>
      <c r="H59" s="137">
        <v>169</v>
      </c>
      <c r="I59" s="138">
        <f t="shared" si="0"/>
        <v>16900</v>
      </c>
    </row>
    <row r="60" spans="1:9" ht="38.25" x14ac:dyDescent="0.2">
      <c r="A60" s="130">
        <v>51</v>
      </c>
      <c r="B60" s="145" t="s">
        <v>167</v>
      </c>
      <c r="C60" s="132" t="s">
        <v>61</v>
      </c>
      <c r="D60" s="133">
        <v>252</v>
      </c>
      <c r="E60" s="144" t="s">
        <v>168</v>
      </c>
      <c r="F60" s="135" t="s">
        <v>66</v>
      </c>
      <c r="G60" s="136">
        <v>200</v>
      </c>
      <c r="H60" s="137">
        <v>7.3</v>
      </c>
      <c r="I60" s="138">
        <f t="shared" si="0"/>
        <v>1460</v>
      </c>
    </row>
    <row r="61" spans="1:9" ht="38.25" x14ac:dyDescent="0.2">
      <c r="A61" s="130">
        <v>52</v>
      </c>
      <c r="B61" s="145" t="s">
        <v>169</v>
      </c>
      <c r="C61" s="132" t="s">
        <v>61</v>
      </c>
      <c r="D61" s="133">
        <v>252</v>
      </c>
      <c r="E61" s="152" t="s">
        <v>170</v>
      </c>
      <c r="F61" s="135" t="s">
        <v>63</v>
      </c>
      <c r="G61" s="136">
        <v>1000</v>
      </c>
      <c r="H61" s="137">
        <v>159</v>
      </c>
      <c r="I61" s="138">
        <f t="shared" si="0"/>
        <v>159000</v>
      </c>
    </row>
    <row r="62" spans="1:9" ht="38.25" x14ac:dyDescent="0.2">
      <c r="A62" s="130">
        <v>53</v>
      </c>
      <c r="B62" s="131" t="s">
        <v>171</v>
      </c>
      <c r="C62" s="132" t="s">
        <v>61</v>
      </c>
      <c r="D62" s="133">
        <v>252</v>
      </c>
      <c r="E62" s="142" t="s">
        <v>172</v>
      </c>
      <c r="F62" s="135" t="s">
        <v>63</v>
      </c>
      <c r="G62" s="136">
        <v>1000</v>
      </c>
      <c r="H62" s="137">
        <v>110</v>
      </c>
      <c r="I62" s="138">
        <f t="shared" si="0"/>
        <v>110000</v>
      </c>
    </row>
    <row r="63" spans="1:9" ht="38.25" x14ac:dyDescent="0.2">
      <c r="A63" s="130">
        <v>54</v>
      </c>
      <c r="B63" s="131" t="s">
        <v>173</v>
      </c>
      <c r="C63" s="132" t="s">
        <v>61</v>
      </c>
      <c r="D63" s="133">
        <v>252</v>
      </c>
      <c r="E63" s="142" t="s">
        <v>174</v>
      </c>
      <c r="F63" s="135" t="s">
        <v>63</v>
      </c>
      <c r="G63" s="136">
        <v>500</v>
      </c>
      <c r="H63" s="137">
        <v>120</v>
      </c>
      <c r="I63" s="138">
        <f t="shared" si="0"/>
        <v>60000</v>
      </c>
    </row>
    <row r="64" spans="1:9" ht="25.5" x14ac:dyDescent="0.2">
      <c r="A64" s="130">
        <v>55</v>
      </c>
      <c r="B64" s="131" t="s">
        <v>175</v>
      </c>
      <c r="C64" s="132" t="s">
        <v>61</v>
      </c>
      <c r="D64" s="133">
        <v>252</v>
      </c>
      <c r="E64" s="142" t="s">
        <v>176</v>
      </c>
      <c r="F64" s="135" t="s">
        <v>63</v>
      </c>
      <c r="G64" s="136">
        <v>200</v>
      </c>
      <c r="H64" s="137">
        <v>1452</v>
      </c>
      <c r="I64" s="138">
        <f t="shared" si="0"/>
        <v>290400</v>
      </c>
    </row>
    <row r="65" spans="1:9" ht="25.5" x14ac:dyDescent="0.2">
      <c r="A65" s="130">
        <v>56</v>
      </c>
      <c r="B65" s="139" t="s">
        <v>177</v>
      </c>
      <c r="C65" s="132" t="s">
        <v>61</v>
      </c>
      <c r="D65" s="133">
        <v>252</v>
      </c>
      <c r="E65" s="142" t="s">
        <v>178</v>
      </c>
      <c r="F65" s="135" t="s">
        <v>66</v>
      </c>
      <c r="G65" s="136">
        <v>4000</v>
      </c>
      <c r="H65" s="137">
        <v>9.8000000000000007</v>
      </c>
      <c r="I65" s="138">
        <f t="shared" si="0"/>
        <v>39200</v>
      </c>
    </row>
    <row r="66" spans="1:9" ht="38.25" x14ac:dyDescent="0.2">
      <c r="A66" s="130">
        <v>57</v>
      </c>
      <c r="B66" s="139" t="s">
        <v>179</v>
      </c>
      <c r="C66" s="132" t="s">
        <v>61</v>
      </c>
      <c r="D66" s="133">
        <v>252</v>
      </c>
      <c r="E66" s="144" t="s">
        <v>180</v>
      </c>
      <c r="F66" s="135" t="s">
        <v>73</v>
      </c>
      <c r="G66" s="136">
        <v>100</v>
      </c>
      <c r="H66" s="137">
        <v>165</v>
      </c>
      <c r="I66" s="138">
        <f t="shared" si="0"/>
        <v>16500</v>
      </c>
    </row>
    <row r="67" spans="1:9" ht="38.25" x14ac:dyDescent="0.2">
      <c r="A67" s="130">
        <v>58</v>
      </c>
      <c r="B67" s="139" t="s">
        <v>181</v>
      </c>
      <c r="C67" s="132" t="s">
        <v>61</v>
      </c>
      <c r="D67" s="133">
        <v>252</v>
      </c>
      <c r="E67" s="144" t="s">
        <v>182</v>
      </c>
      <c r="F67" s="135" t="s">
        <v>66</v>
      </c>
      <c r="G67" s="136">
        <v>5000</v>
      </c>
      <c r="H67" s="137">
        <v>5.3</v>
      </c>
      <c r="I67" s="138">
        <f t="shared" si="0"/>
        <v>26500</v>
      </c>
    </row>
    <row r="68" spans="1:9" ht="25.5" x14ac:dyDescent="0.2">
      <c r="A68" s="130">
        <v>59</v>
      </c>
      <c r="B68" s="131" t="s">
        <v>183</v>
      </c>
      <c r="C68" s="132" t="s">
        <v>61</v>
      </c>
      <c r="D68" s="133">
        <v>252</v>
      </c>
      <c r="E68" s="142" t="s">
        <v>184</v>
      </c>
      <c r="F68" s="135" t="s">
        <v>185</v>
      </c>
      <c r="G68" s="136">
        <v>100</v>
      </c>
      <c r="H68" s="137">
        <v>230</v>
      </c>
      <c r="I68" s="138">
        <f t="shared" si="0"/>
        <v>23000</v>
      </c>
    </row>
    <row r="69" spans="1:9" ht="38.25" x14ac:dyDescent="0.2">
      <c r="A69" s="130">
        <v>60</v>
      </c>
      <c r="B69" s="131" t="s">
        <v>186</v>
      </c>
      <c r="C69" s="132" t="s">
        <v>61</v>
      </c>
      <c r="D69" s="133">
        <v>252</v>
      </c>
      <c r="E69" s="142" t="s">
        <v>187</v>
      </c>
      <c r="F69" s="135" t="s">
        <v>63</v>
      </c>
      <c r="G69" s="136">
        <v>100</v>
      </c>
      <c r="H69" s="148">
        <v>256</v>
      </c>
      <c r="I69" s="138">
        <f t="shared" si="0"/>
        <v>25600</v>
      </c>
    </row>
    <row r="70" spans="1:9" ht="38.25" x14ac:dyDescent="0.2">
      <c r="A70" s="130">
        <v>61</v>
      </c>
      <c r="B70" s="149" t="s">
        <v>188</v>
      </c>
      <c r="C70" s="132" t="s">
        <v>61</v>
      </c>
      <c r="D70" s="133">
        <v>252</v>
      </c>
      <c r="E70" s="144" t="s">
        <v>189</v>
      </c>
      <c r="F70" s="135" t="s">
        <v>58</v>
      </c>
      <c r="G70" s="136">
        <v>2</v>
      </c>
      <c r="H70" s="148">
        <v>6830.74</v>
      </c>
      <c r="I70" s="138">
        <f t="shared" si="0"/>
        <v>13661.48</v>
      </c>
    </row>
    <row r="71" spans="1:9" ht="38.25" x14ac:dyDescent="0.2">
      <c r="A71" s="130">
        <v>62</v>
      </c>
      <c r="B71" s="131" t="s">
        <v>190</v>
      </c>
      <c r="C71" s="132" t="s">
        <v>61</v>
      </c>
      <c r="D71" s="133">
        <v>252</v>
      </c>
      <c r="E71" s="142" t="s">
        <v>191</v>
      </c>
      <c r="F71" s="135" t="s">
        <v>63</v>
      </c>
      <c r="G71" s="136">
        <v>600</v>
      </c>
      <c r="H71" s="148">
        <v>398</v>
      </c>
      <c r="I71" s="138">
        <f t="shared" si="0"/>
        <v>238800</v>
      </c>
    </row>
    <row r="72" spans="1:9" ht="38.25" x14ac:dyDescent="0.2">
      <c r="A72" s="130">
        <v>63</v>
      </c>
      <c r="B72" s="131" t="s">
        <v>192</v>
      </c>
      <c r="C72" s="132" t="s">
        <v>61</v>
      </c>
      <c r="D72" s="133">
        <v>252</v>
      </c>
      <c r="E72" s="142" t="s">
        <v>193</v>
      </c>
      <c r="F72" s="135" t="s">
        <v>73</v>
      </c>
      <c r="G72" s="136">
        <v>10</v>
      </c>
      <c r="H72" s="148">
        <v>1602</v>
      </c>
      <c r="I72" s="138">
        <f t="shared" si="0"/>
        <v>16020</v>
      </c>
    </row>
    <row r="73" spans="1:9" ht="38.25" x14ac:dyDescent="0.2">
      <c r="A73" s="130">
        <v>64</v>
      </c>
      <c r="B73" s="131" t="s">
        <v>194</v>
      </c>
      <c r="C73" s="132" t="s">
        <v>61</v>
      </c>
      <c r="D73" s="133">
        <v>252</v>
      </c>
      <c r="E73" s="142" t="s">
        <v>195</v>
      </c>
      <c r="F73" s="135" t="s">
        <v>109</v>
      </c>
      <c r="G73" s="136">
        <v>60</v>
      </c>
      <c r="H73" s="148">
        <v>45</v>
      </c>
      <c r="I73" s="138">
        <f t="shared" si="0"/>
        <v>2700</v>
      </c>
    </row>
    <row r="74" spans="1:9" ht="38.25" x14ac:dyDescent="0.2">
      <c r="A74" s="130">
        <v>65</v>
      </c>
      <c r="B74" s="131" t="s">
        <v>196</v>
      </c>
      <c r="C74" s="132" t="s">
        <v>61</v>
      </c>
      <c r="D74" s="133">
        <v>252</v>
      </c>
      <c r="E74" s="142" t="s">
        <v>197</v>
      </c>
      <c r="F74" s="135" t="s">
        <v>73</v>
      </c>
      <c r="G74" s="136">
        <v>100</v>
      </c>
      <c r="H74" s="148">
        <v>13840</v>
      </c>
      <c r="I74" s="138">
        <f t="shared" si="0"/>
        <v>1384000</v>
      </c>
    </row>
    <row r="75" spans="1:9" ht="38.25" x14ac:dyDescent="0.2">
      <c r="A75" s="130">
        <v>66</v>
      </c>
      <c r="B75" s="131" t="s">
        <v>198</v>
      </c>
      <c r="C75" s="132" t="s">
        <v>61</v>
      </c>
      <c r="D75" s="133">
        <v>252</v>
      </c>
      <c r="E75" s="142" t="s">
        <v>199</v>
      </c>
      <c r="F75" s="135" t="s">
        <v>63</v>
      </c>
      <c r="G75" s="136">
        <v>100</v>
      </c>
      <c r="H75" s="148">
        <v>340</v>
      </c>
      <c r="I75" s="138">
        <f t="shared" si="0"/>
        <v>34000</v>
      </c>
    </row>
    <row r="76" spans="1:9" ht="25.5" x14ac:dyDescent="0.2">
      <c r="A76" s="130">
        <v>67</v>
      </c>
      <c r="B76" s="131" t="s">
        <v>200</v>
      </c>
      <c r="C76" s="132" t="s">
        <v>61</v>
      </c>
      <c r="D76" s="133">
        <v>252</v>
      </c>
      <c r="E76" s="134" t="s">
        <v>201</v>
      </c>
      <c r="F76" s="135" t="s">
        <v>63</v>
      </c>
      <c r="G76" s="136">
        <v>100</v>
      </c>
      <c r="H76" s="148">
        <v>65</v>
      </c>
      <c r="I76" s="138">
        <f t="shared" si="0"/>
        <v>6500</v>
      </c>
    </row>
    <row r="77" spans="1:9" ht="38.25" x14ac:dyDescent="0.2">
      <c r="A77" s="130">
        <v>68</v>
      </c>
      <c r="B77" s="131" t="s">
        <v>202</v>
      </c>
      <c r="C77" s="132" t="s">
        <v>61</v>
      </c>
      <c r="D77" s="133">
        <v>252</v>
      </c>
      <c r="E77" s="134" t="s">
        <v>203</v>
      </c>
      <c r="F77" s="135" t="s">
        <v>63</v>
      </c>
      <c r="G77" s="136">
        <v>400</v>
      </c>
      <c r="H77" s="148">
        <v>335</v>
      </c>
      <c r="I77" s="138">
        <f t="shared" si="0"/>
        <v>134000</v>
      </c>
    </row>
    <row r="78" spans="1:9" ht="30" x14ac:dyDescent="0.2">
      <c r="A78" s="130">
        <v>69</v>
      </c>
      <c r="B78" s="153" t="s">
        <v>204</v>
      </c>
      <c r="C78" s="132" t="s">
        <v>61</v>
      </c>
      <c r="D78" s="133">
        <v>252</v>
      </c>
      <c r="E78" s="154" t="s">
        <v>205</v>
      </c>
      <c r="F78" s="135" t="s">
        <v>63</v>
      </c>
      <c r="G78" s="136">
        <v>400</v>
      </c>
      <c r="H78" s="148">
        <v>188</v>
      </c>
      <c r="I78" s="138">
        <f t="shared" si="0"/>
        <v>75200</v>
      </c>
    </row>
    <row r="79" spans="1:9" ht="38.25" x14ac:dyDescent="0.2">
      <c r="A79" s="130">
        <v>70</v>
      </c>
      <c r="B79" s="131" t="s">
        <v>206</v>
      </c>
      <c r="C79" s="132" t="s">
        <v>61</v>
      </c>
      <c r="D79" s="133">
        <v>252</v>
      </c>
      <c r="E79" s="142" t="s">
        <v>207</v>
      </c>
      <c r="F79" s="135" t="s">
        <v>63</v>
      </c>
      <c r="G79" s="136">
        <v>2000</v>
      </c>
      <c r="H79" s="148">
        <v>864</v>
      </c>
      <c r="I79" s="138">
        <f t="shared" si="0"/>
        <v>1728000</v>
      </c>
    </row>
    <row r="80" spans="1:9" ht="13.5" thickBot="1" x14ac:dyDescent="0.25">
      <c r="I80" s="33"/>
    </row>
    <row r="81" spans="2:9" x14ac:dyDescent="0.2">
      <c r="B81" s="68" t="s">
        <v>215</v>
      </c>
      <c r="C81" s="29"/>
      <c r="D81" s="29"/>
      <c r="E81" s="30"/>
      <c r="I81" s="33"/>
    </row>
    <row r="82" spans="2:9" ht="13.5" customHeight="1" thickBot="1" x14ac:dyDescent="0.25">
      <c r="B82" s="66" t="s">
        <v>208</v>
      </c>
      <c r="C82" s="71" t="s">
        <v>214</v>
      </c>
      <c r="D82" s="71"/>
      <c r="E82" s="72"/>
    </row>
    <row r="83" spans="2:9" ht="13.5" thickBot="1" x14ac:dyDescent="0.25">
      <c r="E83" s="77"/>
      <c r="F83" s="32"/>
      <c r="G83" s="32"/>
    </row>
    <row r="84" spans="2:9" ht="13.5" customHeight="1" x14ac:dyDescent="0.2">
      <c r="B84" s="68" t="s">
        <v>216</v>
      </c>
      <c r="C84" s="29"/>
      <c r="D84" s="29"/>
      <c r="E84" s="30"/>
      <c r="F84" s="31"/>
      <c r="G84" s="32"/>
    </row>
    <row r="85" spans="2:9" ht="13.5" thickBot="1" x14ac:dyDescent="0.25">
      <c r="B85" s="66" t="s">
        <v>208</v>
      </c>
      <c r="C85" s="71" t="s">
        <v>217</v>
      </c>
      <c r="D85" s="71"/>
      <c r="E85" s="72"/>
      <c r="F85" s="31"/>
      <c r="G85" s="32"/>
    </row>
    <row r="86" spans="2:9" ht="12" customHeight="1" thickBot="1" x14ac:dyDescent="0.25"/>
    <row r="87" spans="2:9" x14ac:dyDescent="0.2">
      <c r="B87" s="68" t="s">
        <v>219</v>
      </c>
      <c r="C87" s="29"/>
      <c r="D87" s="29"/>
      <c r="E87" s="30"/>
    </row>
    <row r="88" spans="2:9" ht="13.5" thickBot="1" x14ac:dyDescent="0.25">
      <c r="B88" s="66" t="s">
        <v>208</v>
      </c>
      <c r="C88" s="71" t="s">
        <v>218</v>
      </c>
      <c r="D88" s="71"/>
      <c r="E88" s="72"/>
    </row>
    <row r="89" spans="2:9" ht="13.5" thickBot="1" x14ac:dyDescent="0.25">
      <c r="E89" s="29"/>
    </row>
    <row r="90" spans="2:9" x14ac:dyDescent="0.2">
      <c r="B90" s="68" t="s">
        <v>220</v>
      </c>
      <c r="C90" s="29"/>
      <c r="D90" s="29"/>
      <c r="E90" s="30"/>
    </row>
    <row r="91" spans="2:9" ht="13.5" thickBot="1" x14ac:dyDescent="0.25">
      <c r="B91" s="66" t="s">
        <v>208</v>
      </c>
      <c r="C91" s="71" t="s">
        <v>222</v>
      </c>
      <c r="D91" s="71"/>
      <c r="E91" s="72"/>
    </row>
    <row r="92" spans="2:9" ht="13.5" thickBot="1" x14ac:dyDescent="0.25"/>
    <row r="93" spans="2:9" x14ac:dyDescent="0.2">
      <c r="B93" s="68" t="s">
        <v>221</v>
      </c>
      <c r="C93" s="29"/>
      <c r="D93" s="29"/>
      <c r="E93" s="30"/>
    </row>
    <row r="94" spans="2:9" ht="13.5" thickBot="1" x14ac:dyDescent="0.25">
      <c r="B94" s="66" t="s">
        <v>208</v>
      </c>
      <c r="C94" s="71" t="s">
        <v>223</v>
      </c>
      <c r="D94" s="71"/>
      <c r="E94" s="72"/>
    </row>
    <row r="95" spans="2:9" ht="13.5" thickBot="1" x14ac:dyDescent="0.25">
      <c r="E95" s="29"/>
    </row>
    <row r="96" spans="2:9" x14ac:dyDescent="0.2">
      <c r="B96" s="65" t="s">
        <v>56</v>
      </c>
      <c r="C96" s="29"/>
      <c r="D96" s="29"/>
      <c r="E96" s="30"/>
    </row>
    <row r="97" spans="2:5" x14ac:dyDescent="0.2">
      <c r="B97" s="79" t="s">
        <v>57</v>
      </c>
      <c r="C97" s="80"/>
      <c r="D97" s="80"/>
      <c r="E97" s="81"/>
    </row>
    <row r="98" spans="2:5" ht="12.75" customHeight="1" x14ac:dyDescent="0.2">
      <c r="B98" s="79"/>
      <c r="C98" s="80"/>
      <c r="D98" s="80"/>
      <c r="E98" s="81"/>
    </row>
    <row r="99" spans="2:5" x14ac:dyDescent="0.2">
      <c r="B99" s="82" t="s">
        <v>209</v>
      </c>
      <c r="C99" s="83"/>
      <c r="D99" s="83"/>
      <c r="E99" s="84"/>
    </row>
    <row r="100" spans="2:5" ht="12.75" customHeight="1" x14ac:dyDescent="0.2">
      <c r="B100" s="69" t="s">
        <v>210</v>
      </c>
      <c r="C100" s="73"/>
      <c r="D100" s="74"/>
      <c r="E100" s="75"/>
    </row>
    <row r="101" spans="2:5" ht="13.5" thickBot="1" x14ac:dyDescent="0.25">
      <c r="B101" s="76" t="s">
        <v>211</v>
      </c>
      <c r="C101" s="71"/>
      <c r="D101" s="71"/>
      <c r="E101" s="72"/>
    </row>
  </sheetData>
  <autoFilter ref="A9:I79" xr:uid="{00000000-0009-0000-0000-000000000000}"/>
  <mergeCells count="9">
    <mergeCell ref="A6:B6"/>
    <mergeCell ref="A7:B7"/>
    <mergeCell ref="B97:E98"/>
    <mergeCell ref="B99:E99"/>
    <mergeCell ref="B2:H2"/>
    <mergeCell ref="A4:B4"/>
    <mergeCell ref="C4:E4"/>
    <mergeCell ref="A5:B5"/>
    <mergeCell ref="C5:E5"/>
  </mergeCells>
  <conditionalFormatting sqref="E32">
    <cfRule type="expression" dxfId="0" priority="1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2"/>
  <sheetViews>
    <sheetView zoomScale="80" zoomScaleNormal="80" workbookViewId="0">
      <selection activeCell="H71" sqref="H71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88" t="s">
        <v>14</v>
      </c>
      <c r="B1" s="88"/>
      <c r="C1" s="88"/>
      <c r="D1" s="88"/>
      <c r="E1" s="88"/>
      <c r="F1" s="88"/>
      <c r="G1" s="88"/>
      <c r="H1" s="88"/>
      <c r="I1" s="88"/>
      <c r="J1" s="34" t="s">
        <v>15</v>
      </c>
      <c r="K1" s="35" t="s">
        <v>212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89" t="s">
        <v>48</v>
      </c>
      <c r="B3" s="89"/>
      <c r="C3" s="89"/>
      <c r="D3" s="90" t="str">
        <f>'Necesidades Trimestrales'!C4</f>
        <v>040 - Ministerio de Salud</v>
      </c>
      <c r="E3" s="90"/>
      <c r="F3" s="90"/>
      <c r="G3" s="90"/>
      <c r="H3" s="90"/>
      <c r="I3" s="90"/>
      <c r="J3" s="90"/>
      <c r="K3" s="90"/>
    </row>
    <row r="4" spans="1:11" ht="18.75" customHeight="1" thickBot="1" x14ac:dyDescent="0.25">
      <c r="A4" s="91" t="s">
        <v>49</v>
      </c>
      <c r="B4" s="91"/>
      <c r="C4" s="91"/>
      <c r="D4" s="90" t="str">
        <f>'Necesidades Trimestrales'!C5</f>
        <v>024 - Direccion de Administracion del Hospital Interzonal de Niños Eva Peron</v>
      </c>
      <c r="E4" s="90"/>
      <c r="F4" s="90"/>
      <c r="G4" s="90"/>
      <c r="H4" s="90"/>
      <c r="I4" s="90"/>
      <c r="J4" s="90"/>
      <c r="K4" s="90"/>
    </row>
    <row r="5" spans="1:11" ht="18.75" customHeight="1" thickBot="1" x14ac:dyDescent="0.25">
      <c r="A5" s="91" t="s">
        <v>27</v>
      </c>
      <c r="B5" s="91"/>
      <c r="C5" s="91"/>
      <c r="D5" s="90" t="s">
        <v>213</v>
      </c>
      <c r="E5" s="90"/>
      <c r="F5" s="90"/>
      <c r="G5" s="90"/>
      <c r="H5" s="90"/>
      <c r="I5" s="90"/>
      <c r="J5" s="90"/>
      <c r="K5" s="90"/>
    </row>
    <row r="6" spans="1:11" ht="16.5" customHeight="1" thickBot="1" x14ac:dyDescent="0.25">
      <c r="A6" s="89" t="s">
        <v>50</v>
      </c>
      <c r="B6" s="89"/>
      <c r="C6" s="89"/>
      <c r="D6" s="90" t="s">
        <v>55</v>
      </c>
      <c r="E6" s="90"/>
      <c r="F6" s="90"/>
      <c r="G6" s="90"/>
      <c r="H6" s="90"/>
      <c r="I6" s="90"/>
      <c r="J6" s="90"/>
      <c r="K6" s="90"/>
    </row>
    <row r="7" spans="1:11" ht="16.5" customHeight="1" x14ac:dyDescent="0.2">
      <c r="A7" s="91" t="s">
        <v>16</v>
      </c>
      <c r="B7" s="91"/>
      <c r="C7" s="91"/>
      <c r="D7" s="90" t="s">
        <v>225</v>
      </c>
      <c r="E7" s="90"/>
      <c r="F7" s="90"/>
      <c r="G7" s="90"/>
      <c r="H7" s="90"/>
      <c r="I7" s="90"/>
      <c r="J7" s="90"/>
      <c r="K7" s="90"/>
    </row>
    <row r="8" spans="1:11" ht="41.25" customHeight="1" x14ac:dyDescent="0.2">
      <c r="A8" s="96" t="s">
        <v>17</v>
      </c>
      <c r="B8" s="96"/>
      <c r="C8" s="96"/>
      <c r="D8" s="92" t="s">
        <v>224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93" t="s">
        <v>18</v>
      </c>
      <c r="B10" s="94" t="s">
        <v>19</v>
      </c>
      <c r="C10" s="94" t="s">
        <v>20</v>
      </c>
      <c r="D10" s="94"/>
      <c r="E10" s="94"/>
      <c r="F10" s="94"/>
      <c r="G10" s="94"/>
      <c r="H10" s="94" t="s">
        <v>21</v>
      </c>
      <c r="I10" s="94" t="s">
        <v>22</v>
      </c>
      <c r="J10" s="94" t="s">
        <v>23</v>
      </c>
      <c r="K10" s="95" t="s">
        <v>24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27.75" customHeight="1" x14ac:dyDescent="0.2">
      <c r="A12" s="56">
        <v>1</v>
      </c>
      <c r="B12" s="57" t="str">
        <f>'Necesidades Trimestrales'!B10</f>
        <v>2.5.2-1821.235</v>
      </c>
      <c r="C12" s="87" t="str">
        <f>'Necesidades Trimestrales'!E10</f>
        <v>ANTIBIOTICOS P/PERSONAS; TIPO: MONODROGA, DROGA GENERICA: ACICLOVIR 500 MG, FORMA FARMACEUTICA: FRASCO AMPOLLA, PRESENTACION: 500 mGr</v>
      </c>
      <c r="D12" s="87"/>
      <c r="E12" s="87"/>
      <c r="F12" s="87"/>
      <c r="G12" s="87"/>
      <c r="H12" s="60" t="s">
        <v>53</v>
      </c>
      <c r="I12" s="61" t="str">
        <f>'Necesidades Trimestrales'!F10</f>
        <v>AMPOLLA</v>
      </c>
      <c r="J12" s="59">
        <f>'Necesidades Trimestrales'!H10</f>
        <v>450</v>
      </c>
      <c r="K12" s="58">
        <f>'Necesidades Trimestrales'!G10</f>
        <v>300</v>
      </c>
    </row>
    <row r="13" spans="1:11" ht="27.75" customHeight="1" x14ac:dyDescent="0.2">
      <c r="A13" s="56">
        <v>2</v>
      </c>
      <c r="B13" s="57" t="str">
        <f>'Necesidades Trimestrales'!B11</f>
        <v>2.5.2-1724.16</v>
      </c>
      <c r="C13" s="87" t="str">
        <f>'Necesidades Trimestrales'!E11</f>
        <v>ANALGESICOS ; TIPO: MONODROGA, DROGA GENERICA: ACIDO ACETILSALICILICO, PRESENTACION: 100 mGr, FORMA FARMACEUTICA: COMPRIMIDO</v>
      </c>
      <c r="D13" s="87"/>
      <c r="E13" s="87"/>
      <c r="F13" s="87"/>
      <c r="G13" s="87"/>
      <c r="H13" s="60" t="s">
        <v>53</v>
      </c>
      <c r="I13" s="61" t="str">
        <f>'Necesidades Trimestrales'!F11</f>
        <v>COMPRIMIDO</v>
      </c>
      <c r="J13" s="59">
        <f>'Necesidades Trimestrales'!H11</f>
        <v>1.55</v>
      </c>
      <c r="K13" s="58">
        <f>'Necesidades Trimestrales'!G11</f>
        <v>200</v>
      </c>
    </row>
    <row r="14" spans="1:11" ht="27.75" customHeight="1" x14ac:dyDescent="0.2">
      <c r="A14" s="56">
        <v>3</v>
      </c>
      <c r="B14" s="57" t="str">
        <f>'Necesidades Trimestrales'!B12</f>
        <v>2.5.2-1864.6</v>
      </c>
      <c r="C14" s="87" t="str">
        <f>'Necesidades Trimestrales'!E12</f>
        <v>HIPOURICEMIANTES; TIPO: MONODROGA, DROGA GENERICA: ALOPURINOL 300 mGr, FORMA FARMACEUTICA: COMPRIMIDO, PRESENTACION: UNIDAD</v>
      </c>
      <c r="D14" s="87"/>
      <c r="E14" s="87"/>
      <c r="F14" s="87"/>
      <c r="G14" s="87"/>
      <c r="H14" s="60" t="s">
        <v>53</v>
      </c>
      <c r="I14" s="61" t="str">
        <f>'Necesidades Trimestrales'!F12</f>
        <v>COMPRIMIDO</v>
      </c>
      <c r="J14" s="59">
        <f>'Necesidades Trimestrales'!H12</f>
        <v>12.15</v>
      </c>
      <c r="K14" s="58">
        <f>'Necesidades Trimestrales'!G12</f>
        <v>200</v>
      </c>
    </row>
    <row r="15" spans="1:11" ht="27.75" customHeight="1" x14ac:dyDescent="0.2">
      <c r="A15" s="56">
        <v>4</v>
      </c>
      <c r="B15" s="57" t="str">
        <f>'Necesidades Trimestrales'!B13</f>
        <v>2.5.2-1821.1</v>
      </c>
      <c r="C15" s="87" t="str">
        <f>'Necesidades Trimestrales'!E13</f>
        <v>ANTIBIOTICOS P/PERSONAS; TIPO: MONODROGA, DROGA GENERICA: AMIKACINA, PRESENTACION: 500 mGr, FORMA FARMACEUTICA: AMPOLLA</v>
      </c>
      <c r="D15" s="87"/>
      <c r="E15" s="87"/>
      <c r="F15" s="87"/>
      <c r="G15" s="87"/>
      <c r="H15" s="60" t="s">
        <v>53</v>
      </c>
      <c r="I15" s="61" t="str">
        <f>'Necesidades Trimestrales'!F13</f>
        <v>AMPOLLA</v>
      </c>
      <c r="J15" s="59">
        <f>'Necesidades Trimestrales'!H13</f>
        <v>87.95</v>
      </c>
      <c r="K15" s="58">
        <f>'Necesidades Trimestrales'!G13</f>
        <v>100</v>
      </c>
    </row>
    <row r="16" spans="1:11" ht="27.75" customHeight="1" x14ac:dyDescent="0.2">
      <c r="A16" s="56">
        <v>5</v>
      </c>
      <c r="B16" s="57" t="str">
        <f>'Necesidades Trimestrales'!B14</f>
        <v>2.5.2-1821.524</v>
      </c>
      <c r="C16" s="87" t="str">
        <f>'Necesidades Trimestrales'!E14</f>
        <v>ANTIBIOTICOS P/PERSONAS; TIPO: ASOCIACION, DROGA GENERICA: AMOXICILINA + AC.CLAVULANICO 400 MG / 57 MG, FORMA FARMACEUTICA: SUSPENSION, PRESENTACION: ENVASE X 70 ML</v>
      </c>
      <c r="D16" s="87"/>
      <c r="E16" s="87"/>
      <c r="F16" s="87"/>
      <c r="G16" s="87"/>
      <c r="H16" s="60" t="s">
        <v>53</v>
      </c>
      <c r="I16" s="61" t="str">
        <f>'Necesidades Trimestrales'!F14</f>
        <v>FRASCO</v>
      </c>
      <c r="J16" s="59">
        <f>'Necesidades Trimestrales'!H14</f>
        <v>374</v>
      </c>
      <c r="K16" s="58">
        <f>'Necesidades Trimestrales'!G14</f>
        <v>300</v>
      </c>
    </row>
    <row r="17" spans="1:14" ht="27.75" customHeight="1" x14ac:dyDescent="0.2">
      <c r="A17" s="56">
        <v>6</v>
      </c>
      <c r="B17" s="57" t="str">
        <f>'Necesidades Trimestrales'!B15</f>
        <v>2.5.2-1821.440</v>
      </c>
      <c r="C17" s="87" t="str">
        <f>'Necesidades Trimestrales'!E15</f>
        <v>ANTIBIOTICOS P/PERSONAS; TIPO: ASOCIACION, DROGA GENERICA: AMOXICIL. 875 MG+CLAVUL.125 MG mGr, FORMA FARMACEUTICA: COMPRIMIDO, PRESENTACION: UNIDAD</v>
      </c>
      <c r="D17" s="87"/>
      <c r="E17" s="87"/>
      <c r="F17" s="87"/>
      <c r="G17" s="87"/>
      <c r="H17" s="60" t="s">
        <v>53</v>
      </c>
      <c r="I17" s="61" t="str">
        <f>'Necesidades Trimestrales'!F15</f>
        <v>COMPRIMIDO</v>
      </c>
      <c r="J17" s="59">
        <f>'Necesidades Trimestrales'!H15</f>
        <v>29.5</v>
      </c>
      <c r="K17" s="58">
        <f>'Necesidades Trimestrales'!G15</f>
        <v>1000</v>
      </c>
    </row>
    <row r="18" spans="1:14" ht="27.75" customHeight="1" x14ac:dyDescent="0.2">
      <c r="A18" s="56">
        <v>7</v>
      </c>
      <c r="B18" s="57" t="str">
        <f>'Necesidades Trimestrales'!B16</f>
        <v>2.5.2-1821.399</v>
      </c>
      <c r="C18" s="87" t="str">
        <f>'Necesidades Trimestrales'!E16</f>
        <v>ANTIBIOTICOS P/PERSONAS; TIPO: MONODROGA, DROGA GENERICA: AMOXICILINA 500 mGr, FORMA FARMACEUTICA: SUSPENSION, PRESENTACION: ENVASE X 90 mL</v>
      </c>
      <c r="D18" s="87"/>
      <c r="E18" s="87"/>
      <c r="F18" s="87"/>
      <c r="G18" s="87"/>
      <c r="H18" s="60" t="s">
        <v>53</v>
      </c>
      <c r="I18" s="61" t="str">
        <f>'Necesidades Trimestrales'!F16</f>
        <v>FRASCO</v>
      </c>
      <c r="J18" s="59">
        <f>'Necesidades Trimestrales'!H16</f>
        <v>210</v>
      </c>
      <c r="K18" s="58">
        <f>'Necesidades Trimestrales'!G16</f>
        <v>300</v>
      </c>
    </row>
    <row r="19" spans="1:14" ht="27.75" customHeight="1" x14ac:dyDescent="0.2">
      <c r="A19" s="56">
        <v>8</v>
      </c>
      <c r="B19" s="57" t="str">
        <f>'Necesidades Trimestrales'!B17</f>
        <v>2.5.2-1821.389</v>
      </c>
      <c r="C19" s="87" t="str">
        <f>'Necesidades Trimestrales'!E17</f>
        <v>ANTIBIOTICOS P/PERSONAS; TIPO: ASOCIACION, DROGA GENERICA: AMPICILINA + SULBACTAN, FORMA FARMACEUTICA: FRASCO AMPOLLA, PRESENTACION: ENVASE X 1,5 GR</v>
      </c>
      <c r="D19" s="87"/>
      <c r="E19" s="87"/>
      <c r="F19" s="87"/>
      <c r="G19" s="87"/>
      <c r="H19" s="60" t="s">
        <v>53</v>
      </c>
      <c r="I19" s="61" t="str">
        <f>'Necesidades Trimestrales'!F17</f>
        <v>AMPOLLA</v>
      </c>
      <c r="J19" s="59">
        <f>'Necesidades Trimestrales'!H17</f>
        <v>138</v>
      </c>
      <c r="K19" s="58">
        <f>'Necesidades Trimestrales'!G17</f>
        <v>1000</v>
      </c>
    </row>
    <row r="20" spans="1:14" ht="27.75" customHeight="1" x14ac:dyDescent="0.2">
      <c r="A20" s="56">
        <v>9</v>
      </c>
      <c r="B20" s="57" t="str">
        <f>'Necesidades Trimestrales'!B18</f>
        <v>2.5.2-1821.8</v>
      </c>
      <c r="C20" s="87" t="str">
        <f>'Necesidades Trimestrales'!E18</f>
        <v>ANTIBIOTICOS P/PERSONAS; TIPO: MONODROGA, DROGA GENERICA: AMPICILINA, FORMA FARMACEUTICA: AMPOLLA, PRESENTACION: 1 GR</v>
      </c>
      <c r="D20" s="87"/>
      <c r="E20" s="87"/>
      <c r="F20" s="87"/>
      <c r="G20" s="87"/>
      <c r="H20" s="60" t="s">
        <v>53</v>
      </c>
      <c r="I20" s="61" t="str">
        <f>'Necesidades Trimestrales'!F18</f>
        <v>AMPOLLA</v>
      </c>
      <c r="J20" s="59">
        <f>'Necesidades Trimestrales'!H18</f>
        <v>99</v>
      </c>
      <c r="K20" s="58">
        <f>'Necesidades Trimestrales'!G18</f>
        <v>1000</v>
      </c>
    </row>
    <row r="21" spans="1:14" ht="27.75" customHeight="1" x14ac:dyDescent="0.2">
      <c r="A21" s="56">
        <v>10</v>
      </c>
      <c r="B21" s="57" t="str">
        <f>'Necesidades Trimestrales'!B19</f>
        <v>2.5.2-1821.502</v>
      </c>
      <c r="C21" s="87" t="str">
        <f>'Necesidades Trimestrales'!E19</f>
        <v>ANTIBIOTICOS P/PERSONAS; TIPO: MONODROGA, DROGA GENERICA: AZITROMICINA 200 mGr, FORMA FARMACEUTICA: SUSPENSION, PRESENTACION: ENVASE X 15 Ml</v>
      </c>
      <c r="D21" s="87"/>
      <c r="E21" s="87"/>
      <c r="F21" s="87"/>
      <c r="G21" s="87"/>
      <c r="H21" s="60" t="s">
        <v>53</v>
      </c>
      <c r="I21" s="61" t="str">
        <f>'Necesidades Trimestrales'!F19</f>
        <v>FRASCO</v>
      </c>
      <c r="J21" s="59">
        <f>'Necesidades Trimestrales'!H19</f>
        <v>310</v>
      </c>
      <c r="K21" s="58">
        <f>'Necesidades Trimestrales'!G19</f>
        <v>300</v>
      </c>
    </row>
    <row r="22" spans="1:14" ht="27.75" customHeight="1" x14ac:dyDescent="0.2">
      <c r="A22" s="56">
        <v>11</v>
      </c>
      <c r="B22" s="57" t="str">
        <f>'Necesidades Trimestrales'!B20</f>
        <v>2.5.2-2199.16</v>
      </c>
      <c r="C22" s="87" t="str">
        <f>'Necesidades Trimestrales'!E20</f>
        <v>BLOQUEANTES NEUROMUSCULARES; DROGA GENERICA: ATRACURIO, FORMA FARMACEUTICA: AMPOLLA, PRESENTACION: 50 mGr, TIPO: MONODROGA</v>
      </c>
      <c r="D22" s="87"/>
      <c r="E22" s="87"/>
      <c r="F22" s="87"/>
      <c r="G22" s="87"/>
      <c r="H22" s="60" t="s">
        <v>53</v>
      </c>
      <c r="I22" s="61" t="str">
        <f>'Necesidades Trimestrales'!F20</f>
        <v>AMPOLLA</v>
      </c>
      <c r="J22" s="59">
        <f>'Necesidades Trimestrales'!H20</f>
        <v>259</v>
      </c>
      <c r="K22" s="58">
        <f>'Necesidades Trimestrales'!G20</f>
        <v>300</v>
      </c>
    </row>
    <row r="23" spans="1:14" ht="27.75" customHeight="1" x14ac:dyDescent="0.2">
      <c r="A23" s="56">
        <v>12</v>
      </c>
      <c r="B23" s="57" t="str">
        <f>'Necesidades Trimestrales'!B21</f>
        <v>2.5.2-1726.524</v>
      </c>
      <c r="C23" s="87" t="str">
        <f>'Necesidades Trimestrales'!E21</f>
        <v>SOLUCIONES P/MEDICINA; TIPO: SULFATO DE BARIO, PRESENTACION: ENVASE SUSPENSION PARA ENEMA X 500 ML</v>
      </c>
      <c r="D23" s="87"/>
      <c r="E23" s="87"/>
      <c r="F23" s="87"/>
      <c r="G23" s="87"/>
      <c r="H23" s="60" t="s">
        <v>229</v>
      </c>
      <c r="I23" s="61" t="str">
        <f>'Necesidades Trimestrales'!F21</f>
        <v>FRASCO</v>
      </c>
      <c r="J23" s="59">
        <f>'Necesidades Trimestrales'!H21</f>
        <v>2810</v>
      </c>
      <c r="K23" s="58">
        <f>'Necesidades Trimestrales'!G21</f>
        <v>5</v>
      </c>
    </row>
    <row r="24" spans="1:14" ht="27.75" customHeight="1" x14ac:dyDescent="0.2">
      <c r="A24" s="56">
        <v>13</v>
      </c>
      <c r="B24" s="57" t="str">
        <f>'Necesidades Trimestrales'!B22</f>
        <v>2.5.2-1883.139</v>
      </c>
      <c r="C24" s="87" t="str">
        <f>'Necesidades Trimestrales'!E22</f>
        <v>ANESTESICOS LOCALES; TIPO: ASOCIACION, DROGA GENERICA: BUPIVACAINA 0,5 % C/EPINEFRINA, FORMA FARMACEUTICA: FRASCO AMPOLLA, PRESENTACION: ENVASE X 20 mL</v>
      </c>
      <c r="D24" s="87"/>
      <c r="E24" s="87"/>
      <c r="F24" s="87"/>
      <c r="G24" s="87"/>
      <c r="H24" s="60" t="s">
        <v>53</v>
      </c>
      <c r="I24" s="61" t="str">
        <f>'Necesidades Trimestrales'!F22</f>
        <v>FRASCO</v>
      </c>
      <c r="J24" s="59">
        <f>'Necesidades Trimestrales'!H22</f>
        <v>3100</v>
      </c>
      <c r="K24" s="58">
        <f>'Necesidades Trimestrales'!G22</f>
        <v>30</v>
      </c>
    </row>
    <row r="25" spans="1:14" ht="27.75" customHeight="1" x14ac:dyDescent="0.2">
      <c r="A25" s="56">
        <v>14</v>
      </c>
      <c r="B25" s="57" t="str">
        <f>'Necesidades Trimestrales'!B23</f>
        <v>2.5.2-1883.24</v>
      </c>
      <c r="C25" s="87" t="str">
        <f>'Necesidades Trimestrales'!E23</f>
        <v>ANESTESICOS LOCALES; TIPO: MONODROGA, DROGA GENERICA: BUPIVACAINA 0,5 %, FORMA FARMACEUTICA: FRASCO, PRESENTACION: 20 mL</v>
      </c>
      <c r="D25" s="87"/>
      <c r="E25" s="87"/>
      <c r="F25" s="87"/>
      <c r="G25" s="87"/>
      <c r="H25" s="60" t="s">
        <v>229</v>
      </c>
      <c r="I25" s="61" t="str">
        <f>'Necesidades Trimestrales'!F23</f>
        <v>FRASCO</v>
      </c>
      <c r="J25" s="59">
        <f>'Necesidades Trimestrales'!H23</f>
        <v>490</v>
      </c>
      <c r="K25" s="58">
        <f>'Necesidades Trimestrales'!G23</f>
        <v>30</v>
      </c>
    </row>
    <row r="26" spans="1:14" ht="27.75" customHeight="1" x14ac:dyDescent="0.2">
      <c r="A26" s="56">
        <v>15</v>
      </c>
      <c r="B26" s="57" t="str">
        <f>'Necesidades Trimestrales'!B24</f>
        <v>2.5.2-1883.188</v>
      </c>
      <c r="C26" s="87" t="str">
        <f>'Necesidades Trimestrales'!E24</f>
        <v>ANESTESICOS LOCALES; TIPO: MONODROGA, DROGA GENERICA: BUPIVACAINA 0,5% HIPERBARICA, FORMA FARMACEUTICA: AMPOLLA, PRESENTACION: 4 ML CON AGUJA 27 G X 3 1/2 CON INTRODUCTOR</v>
      </c>
      <c r="D26" s="87"/>
      <c r="E26" s="87"/>
      <c r="F26" s="87"/>
      <c r="G26" s="87"/>
      <c r="H26" s="60" t="s">
        <v>53</v>
      </c>
      <c r="I26" s="61" t="str">
        <f>'Necesidades Trimestrales'!F24</f>
        <v>AMPOLLA</v>
      </c>
      <c r="J26" s="59">
        <f>'Necesidades Trimestrales'!H24</f>
        <v>1420</v>
      </c>
      <c r="K26" s="58">
        <f>'Necesidades Trimestrales'!G24</f>
        <v>50</v>
      </c>
    </row>
    <row r="27" spans="1:14" ht="27.75" customHeight="1" x14ac:dyDescent="0.2">
      <c r="A27" s="56">
        <v>16</v>
      </c>
      <c r="B27" s="57" t="str">
        <f>'Necesidades Trimestrales'!B25</f>
        <v>2.5.2-1821.321</v>
      </c>
      <c r="C27" s="87" t="str">
        <f>'Necesidades Trimestrales'!E25</f>
        <v>ANTIBIOTICOS P/PERSONAS; TIPO: MONODROGA, DROGA GENERICA: CEFALEXINA 500 mGr, FORMA FARMACEUTICA: COMPRIMIDO, PRESENTACION: 1 UN</v>
      </c>
      <c r="D27" s="87"/>
      <c r="E27" s="87"/>
      <c r="F27" s="87"/>
      <c r="G27" s="87"/>
      <c r="H27" s="60" t="s">
        <v>53</v>
      </c>
      <c r="I27" s="61" t="str">
        <f>'Necesidades Trimestrales'!F25</f>
        <v>COMPRIMIDO</v>
      </c>
      <c r="J27" s="59">
        <f>'Necesidades Trimestrales'!H25</f>
        <v>13.9</v>
      </c>
      <c r="K27" s="58">
        <f>'Necesidades Trimestrales'!G25</f>
        <v>500</v>
      </c>
    </row>
    <row r="28" spans="1:14" ht="27.75" customHeight="1" x14ac:dyDescent="0.2">
      <c r="A28" s="56">
        <v>17</v>
      </c>
      <c r="B28" s="57" t="str">
        <f>'Necesidades Trimestrales'!B26</f>
        <v>2.5.2-1821.337</v>
      </c>
      <c r="C28" s="87" t="str">
        <f>'Necesidades Trimestrales'!E26</f>
        <v>ANTIBIOTICOS P/PERSONAS; TIPO: MONODROGA, DROGA GENERICA: CEFALEXINA 500MG, FORMA FARMACEUTICA: SUSPENSION, PRESENTACION: ENVASE X 90 mL</v>
      </c>
      <c r="D28" s="87"/>
      <c r="E28" s="87"/>
      <c r="F28" s="87"/>
      <c r="G28" s="87"/>
      <c r="H28" s="60" t="s">
        <v>53</v>
      </c>
      <c r="I28" s="61" t="str">
        <f>'Necesidades Trimestrales'!F26</f>
        <v>FRASCO</v>
      </c>
      <c r="J28" s="59">
        <f>'Necesidades Trimestrales'!H26</f>
        <v>350</v>
      </c>
      <c r="K28" s="58">
        <f>'Necesidades Trimestrales'!G26</f>
        <v>50</v>
      </c>
    </row>
    <row r="29" spans="1:14" ht="27.75" customHeight="1" x14ac:dyDescent="0.2">
      <c r="A29" s="56">
        <v>18</v>
      </c>
      <c r="B29" s="57" t="str">
        <f>'Necesidades Trimestrales'!B27</f>
        <v>2.5.2-1821.384</v>
      </c>
      <c r="C29" s="87" t="str">
        <f>'Necesidades Trimestrales'!E27</f>
        <v>ANTIBIOTICOS P/PERSONAS; TIPO: MONODROGA, DROGA GENERICA: CEFTAZIDIMA, FORMA FARMACEUTICA: FRASCO AMPOLLA, PRESENTACION: ENVASE X 1 GR</v>
      </c>
      <c r="D29" s="87"/>
      <c r="E29" s="87"/>
      <c r="F29" s="87"/>
      <c r="G29" s="87"/>
      <c r="H29" s="60" t="s">
        <v>53</v>
      </c>
      <c r="I29" s="61" t="str">
        <f>'Necesidades Trimestrales'!F27</f>
        <v>AMPOLLA</v>
      </c>
      <c r="J29" s="59">
        <f>'Necesidades Trimestrales'!H27</f>
        <v>144</v>
      </c>
      <c r="K29" s="58">
        <f>'Necesidades Trimestrales'!G27</f>
        <v>100</v>
      </c>
    </row>
    <row r="30" spans="1:14" ht="27.75" customHeight="1" x14ac:dyDescent="0.2">
      <c r="A30" s="56">
        <v>19</v>
      </c>
      <c r="B30" s="57" t="str">
        <f>'Necesidades Trimestrales'!B28</f>
        <v>2.5.2-1821.387</v>
      </c>
      <c r="C30" s="87" t="str">
        <f>'Necesidades Trimestrales'!E28</f>
        <v>ANTIBIOTICOS P/PERSONAS; TIPO: MONODROGA, DROGA GENERICA: CIPROFLOXACINA, FORMA FARMACEUTICA: SACHET, PRESENTACION: ENVASE X 200 mGr</v>
      </c>
      <c r="D30" s="87"/>
      <c r="E30" s="87"/>
      <c r="F30" s="87"/>
      <c r="G30" s="87"/>
      <c r="H30" s="60" t="s">
        <v>53</v>
      </c>
      <c r="I30" s="61" t="str">
        <f>'Necesidades Trimestrales'!F28</f>
        <v>SACHET</v>
      </c>
      <c r="J30" s="59">
        <f>'Necesidades Trimestrales'!H28</f>
        <v>122</v>
      </c>
      <c r="K30" s="58">
        <f>'Necesidades Trimestrales'!G28</f>
        <v>50</v>
      </c>
    </row>
    <row r="31" spans="1:14" ht="27.75" customHeight="1" x14ac:dyDescent="0.2">
      <c r="A31" s="56">
        <v>20</v>
      </c>
      <c r="B31" s="57" t="str">
        <f>'Necesidades Trimestrales'!B29</f>
        <v>2.5.2-1821.46</v>
      </c>
      <c r="C31" s="87" t="str">
        <f>'Necesidades Trimestrales'!E29</f>
        <v>ANTIBIOTICOS P/PERSONAS; TIPO: MONODROGA, FORMA FARMACEUTICA: COMPRIMIDO, PRESENTACION: 500 mGr, DROGA GENERICA: CIPROFLOXACINA</v>
      </c>
      <c r="D31" s="87"/>
      <c r="E31" s="87"/>
      <c r="F31" s="87"/>
      <c r="G31" s="87"/>
      <c r="H31" s="60" t="s">
        <v>53</v>
      </c>
      <c r="I31" s="61" t="str">
        <f>'Necesidades Trimestrales'!F29</f>
        <v>COMPRIMIDO</v>
      </c>
      <c r="J31" s="59">
        <f>'Necesidades Trimestrales'!H29</f>
        <v>9.8000000000000007</v>
      </c>
      <c r="K31" s="58">
        <f>'Necesidades Trimestrales'!G29</f>
        <v>100</v>
      </c>
      <c r="N31" s="36" t="s">
        <v>54</v>
      </c>
    </row>
    <row r="32" spans="1:14" ht="27.75" customHeight="1" x14ac:dyDescent="0.2">
      <c r="A32" s="56">
        <v>21</v>
      </c>
      <c r="B32" s="57" t="str">
        <f>'Necesidades Trimestrales'!B30</f>
        <v>2.5.2-1821.338</v>
      </c>
      <c r="C32" s="87" t="str">
        <f>'Necesidades Trimestrales'!E30</f>
        <v>ANTIBIOTICOS P/PERSONAS; TIPO: MONODROGA, DROGA GENERICA: CLARITROMICINA 250MG, FORMA FARMACEUTICA: SUSPENSION, PRESENTACION: ENVASE X 90 mL</v>
      </c>
      <c r="D32" s="87"/>
      <c r="E32" s="87"/>
      <c r="F32" s="87"/>
      <c r="G32" s="87"/>
      <c r="H32" s="60" t="s">
        <v>53</v>
      </c>
      <c r="I32" s="61" t="str">
        <f>'Necesidades Trimestrales'!F30</f>
        <v>FRASCO</v>
      </c>
      <c r="J32" s="59">
        <f>'Necesidades Trimestrales'!H30</f>
        <v>698</v>
      </c>
      <c r="K32" s="58">
        <f>'Necesidades Trimestrales'!G30</f>
        <v>100</v>
      </c>
    </row>
    <row r="33" spans="1:11" ht="27.75" customHeight="1" x14ac:dyDescent="0.2">
      <c r="A33" s="56">
        <v>22</v>
      </c>
      <c r="B33" s="57" t="str">
        <f>'Necesidades Trimestrales'!B31</f>
        <v>2.5.2-1821.42</v>
      </c>
      <c r="C33" s="87" t="str">
        <f>'Necesidades Trimestrales'!E31</f>
        <v>ANTIBIOTICOS P/PERSONAS; TIPO: MONODROGA, DROGA GENERICA: CLINDAMICINA, FORMA FARMACEUTICA: COMPRIMIDO, PRESENTACION: 300 mGr</v>
      </c>
      <c r="D33" s="87"/>
      <c r="E33" s="87"/>
      <c r="F33" s="87"/>
      <c r="G33" s="87"/>
      <c r="H33" s="60" t="s">
        <v>53</v>
      </c>
      <c r="I33" s="61" t="str">
        <f>'Necesidades Trimestrales'!F31</f>
        <v>CAPSULAS</v>
      </c>
      <c r="J33" s="59">
        <f>'Necesidades Trimestrales'!H31</f>
        <v>29</v>
      </c>
      <c r="K33" s="58">
        <f>'Necesidades Trimestrales'!G31</f>
        <v>2000</v>
      </c>
    </row>
    <row r="34" spans="1:11" ht="27.75" customHeight="1" x14ac:dyDescent="0.2">
      <c r="A34" s="56">
        <v>23</v>
      </c>
      <c r="B34" s="57" t="str">
        <f>'Necesidades Trimestrales'!B32</f>
        <v>2.5.2-1821.43</v>
      </c>
      <c r="C34" s="87" t="str">
        <f>'Necesidades Trimestrales'!E32</f>
        <v>ANTIBIOTICOS P/PERSONAS; TIPO: MONODROGA, DROGA GENERICA: CLINDAMICINA, FORMA FARMACEUTICA: AMPOLLA, PRESENTACION: 600 mGr</v>
      </c>
      <c r="D34" s="87"/>
      <c r="E34" s="87"/>
      <c r="F34" s="87"/>
      <c r="G34" s="87"/>
      <c r="H34" s="60" t="s">
        <v>53</v>
      </c>
      <c r="I34" s="61" t="str">
        <f>'Necesidades Trimestrales'!F32</f>
        <v>AMPOLLA</v>
      </c>
      <c r="J34" s="59">
        <f>'Necesidades Trimestrales'!H32</f>
        <v>85</v>
      </c>
      <c r="K34" s="58">
        <f>'Necesidades Trimestrales'!G32</f>
        <v>1000</v>
      </c>
    </row>
    <row r="35" spans="1:11" ht="27.75" customHeight="1" x14ac:dyDescent="0.2">
      <c r="A35" s="56">
        <v>24</v>
      </c>
      <c r="B35" s="57" t="str">
        <f>'Necesidades Trimestrales'!B33</f>
        <v>2.5.2-1821.527</v>
      </c>
      <c r="C35" s="87" t="str">
        <f>'Necesidades Trimestrales'!E33</f>
        <v>ANTIBIOTICOS P/PERSONAS; TIPO: MONODROGA, DROGA GENERICA: COTRIMOXAZOL, FORMA FARMACEUTICA: SUSPENSIÓN X 60 ML, PRESENTACION: 40MG/200 MG</v>
      </c>
      <c r="D35" s="87"/>
      <c r="E35" s="87"/>
      <c r="F35" s="87"/>
      <c r="G35" s="87"/>
      <c r="H35" s="60" t="s">
        <v>53</v>
      </c>
      <c r="I35" s="61" t="str">
        <f>'Necesidades Trimestrales'!F33</f>
        <v>FRASCO</v>
      </c>
      <c r="J35" s="59">
        <f>'Necesidades Trimestrales'!H33</f>
        <v>168</v>
      </c>
      <c r="K35" s="58">
        <f>'Necesidades Trimestrales'!G33</f>
        <v>50</v>
      </c>
    </row>
    <row r="36" spans="1:11" ht="27.75" customHeight="1" x14ac:dyDescent="0.2">
      <c r="A36" s="56">
        <v>25</v>
      </c>
      <c r="B36" s="57" t="str">
        <f>'Necesidades Trimestrales'!B34</f>
        <v>2.5.2-1726.512</v>
      </c>
      <c r="C36" s="87" t="str">
        <f>'Necesidades Trimestrales'!E34</f>
        <v>SOLUCIONES P/MEDICINA; TIPO: DIATRIZOATO DE MEGLUMINA + DIATRIZOATO DE SODIO; PRESENTACION: FRASCO x 120 ml</v>
      </c>
      <c r="D36" s="87"/>
      <c r="E36" s="87"/>
      <c r="F36" s="87"/>
      <c r="G36" s="87"/>
      <c r="H36" s="60" t="s">
        <v>229</v>
      </c>
      <c r="I36" s="61" t="str">
        <f>'Necesidades Trimestrales'!F34</f>
        <v>AMPOLLA</v>
      </c>
      <c r="J36" s="59">
        <f>'Necesidades Trimestrales'!H34</f>
        <v>2890</v>
      </c>
      <c r="K36" s="58">
        <f>'Necesidades Trimestrales'!G34</f>
        <v>2</v>
      </c>
    </row>
    <row r="37" spans="1:11" ht="27.75" customHeight="1" x14ac:dyDescent="0.2">
      <c r="A37" s="56">
        <v>26</v>
      </c>
      <c r="B37" s="57" t="str">
        <f>'Necesidades Trimestrales'!B35</f>
        <v>2.5.2-1724.117</v>
      </c>
      <c r="C37" s="87" t="str">
        <f>'Necesidades Trimestrales'!E35</f>
        <v>ANALGESICOS ; TIPO: ASOCIACION, DROGA GENERICA: DICLOFENAC SODICO, FORMA FARMACEUTICA: AMPOLLA, PRESENTACION: 3 Ml</v>
      </c>
      <c r="D37" s="87"/>
      <c r="E37" s="87"/>
      <c r="F37" s="87"/>
      <c r="G37" s="87"/>
      <c r="H37" s="60" t="s">
        <v>53</v>
      </c>
      <c r="I37" s="61" t="str">
        <f>'Necesidades Trimestrales'!F35</f>
        <v>AMPOLLA</v>
      </c>
      <c r="J37" s="59">
        <f>'Necesidades Trimestrales'!H35</f>
        <v>35.9</v>
      </c>
      <c r="K37" s="58">
        <f>'Necesidades Trimestrales'!G35</f>
        <v>2000</v>
      </c>
    </row>
    <row r="38" spans="1:11" ht="27.75" customHeight="1" x14ac:dyDescent="0.2">
      <c r="A38" s="56">
        <v>27</v>
      </c>
      <c r="B38" s="57" t="str">
        <f>'Necesidades Trimestrales'!B36</f>
        <v>2.5.2-1725.153</v>
      </c>
      <c r="C38" s="87" t="str">
        <f>'Necesidades Trimestrales'!E36</f>
        <v>ANTIINFLAMATORIOS NO ESTEROIDE; TIPO: MONODROGA, DROGA GENERICA: DICLOFENAC POTASICO 500MG/100ML, FORMA FARMACEUTICA: JARABE, PRESENTACION: 120 ML</v>
      </c>
      <c r="D38" s="87"/>
      <c r="E38" s="87"/>
      <c r="F38" s="87"/>
      <c r="G38" s="87"/>
      <c r="H38" s="60" t="s">
        <v>53</v>
      </c>
      <c r="I38" s="61" t="str">
        <f>'Necesidades Trimestrales'!F36</f>
        <v>FRASCO</v>
      </c>
      <c r="J38" s="59">
        <f>'Necesidades Trimestrales'!H36</f>
        <v>158</v>
      </c>
      <c r="K38" s="58">
        <f>'Necesidades Trimestrales'!G36</f>
        <v>100</v>
      </c>
    </row>
    <row r="39" spans="1:11" ht="27.75" customHeight="1" x14ac:dyDescent="0.2">
      <c r="A39" s="56">
        <v>28</v>
      </c>
      <c r="B39" s="57" t="str">
        <f>'Necesidades Trimestrales'!B37</f>
        <v>2.5.2-1724.208</v>
      </c>
      <c r="C39" s="87" t="str">
        <f>'Necesidades Trimestrales'!E37</f>
        <v>ANALGESICOS ; TIPO: MONODROGA, DROGA GENERICA: DIPIRONA SODICA 1 GR, FORMA FARMACEUTICA: AMPOLLA, PRESENTACION: 2 mL</v>
      </c>
      <c r="D39" s="87"/>
      <c r="E39" s="87"/>
      <c r="F39" s="87"/>
      <c r="G39" s="87"/>
      <c r="H39" s="60" t="s">
        <v>53</v>
      </c>
      <c r="I39" s="61" t="str">
        <f>'Necesidades Trimestrales'!F37</f>
        <v>AMPOLLA</v>
      </c>
      <c r="J39" s="59">
        <f>'Necesidades Trimestrales'!H37</f>
        <v>38.5</v>
      </c>
      <c r="K39" s="58">
        <f>'Necesidades Trimestrales'!G37</f>
        <v>5000</v>
      </c>
    </row>
    <row r="40" spans="1:11" ht="27.75" customHeight="1" x14ac:dyDescent="0.2">
      <c r="A40" s="56">
        <v>29</v>
      </c>
      <c r="B40" s="57" t="str">
        <f>'Necesidades Trimestrales'!B38</f>
        <v>2.5.2-1724.74</v>
      </c>
      <c r="C40" s="87" t="str">
        <f>'Necesidades Trimestrales'!E38</f>
        <v>ANALGESICOS ; TIPO: MONODROGA, DROGA GENERICA: DIPIRONA, FORMA FARMACEUTICA: JARABE, PRESENTACION: FRASCO X 120 mL</v>
      </c>
      <c r="D40" s="87"/>
      <c r="E40" s="87"/>
      <c r="F40" s="87"/>
      <c r="G40" s="87"/>
      <c r="H40" s="60" t="s">
        <v>53</v>
      </c>
      <c r="I40" s="61" t="str">
        <f>'Necesidades Trimestrales'!F38</f>
        <v>FRASCO</v>
      </c>
      <c r="J40" s="59">
        <f>'Necesidades Trimestrales'!H38</f>
        <v>155</v>
      </c>
      <c r="K40" s="58">
        <f>'Necesidades Trimestrales'!G38</f>
        <v>1500</v>
      </c>
    </row>
    <row r="41" spans="1:11" ht="27.75" customHeight="1" x14ac:dyDescent="0.2">
      <c r="A41" s="56">
        <v>30</v>
      </c>
      <c r="B41" s="57" t="str">
        <f>'Necesidades Trimestrales'!B39</f>
        <v>2.5.2-1865.2</v>
      </c>
      <c r="C41" s="87" t="str">
        <f>'Necesidades Trimestrales'!E39</f>
        <v>ANTIEPILEPTICOS; TIPO: MONODROGA, FORMA FARMACEUTICA: AMPOLLA, PRESENTACION: 200 mGr, DROGA GENERICA: FENOBARBITAL</v>
      </c>
      <c r="D41" s="87"/>
      <c r="E41" s="87"/>
      <c r="F41" s="87"/>
      <c r="G41" s="87"/>
      <c r="H41" s="60" t="s">
        <v>53</v>
      </c>
      <c r="I41" s="61" t="str">
        <f>'Necesidades Trimestrales'!F39</f>
        <v>AMPOLLA</v>
      </c>
      <c r="J41" s="59">
        <f>'Necesidades Trimestrales'!H39</f>
        <v>390</v>
      </c>
      <c r="K41" s="58">
        <f>'Necesidades Trimestrales'!G39</f>
        <v>500</v>
      </c>
    </row>
    <row r="42" spans="1:11" ht="27.75" customHeight="1" x14ac:dyDescent="0.2">
      <c r="A42" s="56">
        <v>31</v>
      </c>
      <c r="B42" s="57" t="str">
        <f>'Necesidades Trimestrales'!B40</f>
        <v>2.5.2-1883.159</v>
      </c>
      <c r="C42" s="87" t="str">
        <f>'Necesidades Trimestrales'!E40</f>
        <v>ANESTÉSICOS LOCALES; TIPO: MONODROGA, DROGA GENÉRICA: FENTANILO 250 MCG, FORMA FARMACEÚTICA: AMPOLLA, PRESENTACIÓN: UNIDAD</v>
      </c>
      <c r="D42" s="87"/>
      <c r="E42" s="87"/>
      <c r="F42" s="87"/>
      <c r="G42" s="87"/>
      <c r="H42" s="60" t="s">
        <v>53</v>
      </c>
      <c r="I42" s="61" t="str">
        <f>'Necesidades Trimestrales'!F40</f>
        <v>AMPOLLA</v>
      </c>
      <c r="J42" s="59">
        <f>'Necesidades Trimestrales'!H40</f>
        <v>130</v>
      </c>
      <c r="K42" s="58">
        <f>'Necesidades Trimestrales'!G40</f>
        <v>4000</v>
      </c>
    </row>
    <row r="43" spans="1:11" ht="27.75" customHeight="1" x14ac:dyDescent="0.2">
      <c r="A43" s="56">
        <v>32</v>
      </c>
      <c r="B43" s="57" t="str">
        <f>'Necesidades Trimestrales'!B41</f>
        <v>2.5.2-1821.238</v>
      </c>
      <c r="C43" s="87" t="str">
        <f>'Necesidades Trimestrales'!E41</f>
        <v>ANTIBIOTICOS P/PERSONAS; TIPO: MONODROGA, DROGA GENERICA: FLUCONAZOL 100 MG, FORMA FARMACEUTICA: COMPRIMIDO, PRESENTACION: 100 mGr</v>
      </c>
      <c r="D43" s="87"/>
      <c r="E43" s="87"/>
      <c r="F43" s="87"/>
      <c r="G43" s="87"/>
      <c r="H43" s="60" t="s">
        <v>53</v>
      </c>
      <c r="I43" s="61" t="str">
        <f>'Necesidades Trimestrales'!F41</f>
        <v>COMPRIMIDO</v>
      </c>
      <c r="J43" s="59">
        <f>'Necesidades Trimestrales'!H41</f>
        <v>32.5</v>
      </c>
      <c r="K43" s="58">
        <f>'Necesidades Trimestrales'!G41</f>
        <v>300</v>
      </c>
    </row>
    <row r="44" spans="1:11" ht="27.75" customHeight="1" x14ac:dyDescent="0.2">
      <c r="A44" s="56">
        <v>33</v>
      </c>
      <c r="B44" s="57" t="str">
        <f>'Necesidades Trimestrales'!B42</f>
        <v>2.5.2-1821.442</v>
      </c>
      <c r="C44" s="87" t="str">
        <f>'Necesidades Trimestrales'!E42</f>
        <v>ANTIBIOTICOS P/PERSONAS; TIPO: MONODROGA, DROGA GENERICA: FLUCONAZOL 200 MG, FORMA FARMACEUTICA: SOLUCION INYECTABLE, PRESENTACION: ENVASE X 100 mL</v>
      </c>
      <c r="D44" s="87"/>
      <c r="E44" s="87"/>
      <c r="F44" s="87"/>
      <c r="G44" s="87"/>
      <c r="H44" s="60" t="s">
        <v>53</v>
      </c>
      <c r="I44" s="61" t="str">
        <f>'Necesidades Trimestrales'!F42</f>
        <v>ENVASE</v>
      </c>
      <c r="J44" s="59">
        <f>'Necesidades Trimestrales'!H42</f>
        <v>986</v>
      </c>
      <c r="K44" s="58">
        <f>'Necesidades Trimestrales'!G42</f>
        <v>50</v>
      </c>
    </row>
    <row r="45" spans="1:11" ht="27.75" customHeight="1" x14ac:dyDescent="0.2">
      <c r="A45" s="56">
        <v>34</v>
      </c>
      <c r="B45" s="57" t="str">
        <f>'Necesidades Trimestrales'!B43</f>
        <v>2.5.2-1823.114</v>
      </c>
      <c r="C45" s="87" t="str">
        <f>'Necesidades Trimestrales'!E43</f>
        <v>ANTIMICOTICOS; DROGA GENERICA: FLUCONAZOL, FORMA FARMACEUTICA: SUSPENSION X 35 ML, PRESENTACION: 50 MGR/5ML, TIPO: MONODROGA</v>
      </c>
      <c r="D45" s="87"/>
      <c r="E45" s="87"/>
      <c r="F45" s="87"/>
      <c r="G45" s="87"/>
      <c r="H45" s="60" t="s">
        <v>53</v>
      </c>
      <c r="I45" s="61" t="str">
        <f>'Necesidades Trimestrales'!F43</f>
        <v>FRASCO</v>
      </c>
      <c r="J45" s="59">
        <f>'Necesidades Trimestrales'!H43</f>
        <v>2100</v>
      </c>
      <c r="K45" s="58">
        <f>'Necesidades Trimestrales'!G43</f>
        <v>20</v>
      </c>
    </row>
    <row r="46" spans="1:11" ht="27.75" customHeight="1" x14ac:dyDescent="0.2">
      <c r="A46" s="56">
        <v>35</v>
      </c>
      <c r="B46" s="57" t="str">
        <f>'Necesidades Trimestrales'!B44</f>
        <v>2.5.2-1726.490</v>
      </c>
      <c r="C46" s="87" t="str">
        <f>'Necesidades Trimestrales'!E44</f>
        <v>SOLUCIONES P/MEDICINA; PRESENTACION: ENVASE X 15 mL, TIPO: CONTRASTE P/RESONANCIA</v>
      </c>
      <c r="D46" s="87"/>
      <c r="E46" s="87"/>
      <c r="F46" s="87"/>
      <c r="G46" s="87"/>
      <c r="H46" s="60" t="s">
        <v>229</v>
      </c>
      <c r="I46" s="61" t="str">
        <f>'Necesidades Trimestrales'!F44</f>
        <v>FRASCO</v>
      </c>
      <c r="J46" s="59">
        <f>'Necesidades Trimestrales'!H44</f>
        <v>1860</v>
      </c>
      <c r="K46" s="58">
        <f>'Necesidades Trimestrales'!G44</f>
        <v>10</v>
      </c>
    </row>
    <row r="47" spans="1:11" ht="27.75" customHeight="1" x14ac:dyDescent="0.2">
      <c r="A47" s="56">
        <v>36</v>
      </c>
      <c r="B47" s="57" t="str">
        <f>'Necesidades Trimestrales'!B45</f>
        <v>2.5.2-1724.163</v>
      </c>
      <c r="C47" s="87" t="str">
        <f>'Necesidades Trimestrales'!E45</f>
        <v>ANALGESICOS ; TIPO: MONODROGA, DROGA GENERICA: IBUPROFENO 2%, FORMA FARMACEUTICA: SUSPENSION, PRESENTACION: ENVASE X 90 mL</v>
      </c>
      <c r="D47" s="87"/>
      <c r="E47" s="87"/>
      <c r="F47" s="87"/>
      <c r="G47" s="87"/>
      <c r="H47" s="60" t="s">
        <v>53</v>
      </c>
      <c r="I47" s="61" t="str">
        <f>'Necesidades Trimestrales'!F45</f>
        <v>FRASCO</v>
      </c>
      <c r="J47" s="59">
        <f>'Necesidades Trimestrales'!H45</f>
        <v>85</v>
      </c>
      <c r="K47" s="58">
        <f>'Necesidades Trimestrales'!G45</f>
        <v>2000</v>
      </c>
    </row>
    <row r="48" spans="1:11" ht="27.75" customHeight="1" x14ac:dyDescent="0.2">
      <c r="A48" s="56">
        <v>37</v>
      </c>
      <c r="B48" s="57" t="str">
        <f>'Necesidades Trimestrales'!B46</f>
        <v>2.5.2-1724.4</v>
      </c>
      <c r="C48" s="87" t="str">
        <f>'Necesidades Trimestrales'!E46</f>
        <v>ANALGESICOS ; TIPO: MONODROGA, DROGA GENERICA: IBUPROFENO, PRESENTACION: 400 mGr, FORMA FARMACEUTICA: COMPRIMIDO</v>
      </c>
      <c r="D48" s="87"/>
      <c r="E48" s="87"/>
      <c r="F48" s="87"/>
      <c r="G48" s="87"/>
      <c r="H48" s="60" t="s">
        <v>53</v>
      </c>
      <c r="I48" s="61" t="str">
        <f>'Necesidades Trimestrales'!F46</f>
        <v>AMPOLLA</v>
      </c>
      <c r="J48" s="59">
        <f>'Necesidades Trimestrales'!H46</f>
        <v>45</v>
      </c>
      <c r="K48" s="58">
        <f>'Necesidades Trimestrales'!G46</f>
        <v>100</v>
      </c>
    </row>
    <row r="49" spans="1:15" ht="27.75" customHeight="1" x14ac:dyDescent="0.2">
      <c r="A49" s="56">
        <v>38</v>
      </c>
      <c r="B49" s="57" t="str">
        <f>'Necesidades Trimestrales'!B47</f>
        <v>2.5.2-1725.68</v>
      </c>
      <c r="C49" s="87" t="str">
        <f>'Necesidades Trimestrales'!E47</f>
        <v>ANTIINFLAMATORIOS NO ESTEROIDE; TIPO: MONODROGA, DROGA GENERICA: IBUPROFENO, FORMA FARMACEUTICA: COMPRIMIDO, PRESENTACION: 400 mGr</v>
      </c>
      <c r="D49" s="87"/>
      <c r="E49" s="87"/>
      <c r="F49" s="87"/>
      <c r="G49" s="87"/>
      <c r="H49" s="60" t="s">
        <v>53</v>
      </c>
      <c r="I49" s="61" t="str">
        <f>'Necesidades Trimestrales'!F47</f>
        <v>COMPRIMIDO</v>
      </c>
      <c r="J49" s="59">
        <f>'Necesidades Trimestrales'!H47</f>
        <v>4.8</v>
      </c>
      <c r="K49" s="58">
        <f>'Necesidades Trimestrales'!G47</f>
        <v>4000</v>
      </c>
    </row>
    <row r="50" spans="1:15" ht="27.75" customHeight="1" x14ac:dyDescent="0.2">
      <c r="A50" s="56">
        <v>39</v>
      </c>
      <c r="B50" s="57" t="str">
        <f>'Necesidades Trimestrales'!B48</f>
        <v>2.5.2-1859.29</v>
      </c>
      <c r="C50" s="87" t="str">
        <f>'Necesidades Trimestrales'!E48</f>
        <v>INMUNOMODULADORES; TIPO: MONODROGA, DROGA GENERICA: INMUNOGLOBULINA G HUMANA, FORMA FARMACEUTICA: VIAL, PRESENTACION: 10 GR</v>
      </c>
      <c r="D50" s="87"/>
      <c r="E50" s="87"/>
      <c r="F50" s="87"/>
      <c r="G50" s="87"/>
      <c r="H50" s="60" t="s">
        <v>53</v>
      </c>
      <c r="I50" s="61" t="str">
        <f>'Necesidades Trimestrales'!F48</f>
        <v>ENVASE</v>
      </c>
      <c r="J50" s="59">
        <f>'Necesidades Trimestrales'!H48</f>
        <v>125640</v>
      </c>
      <c r="K50" s="58">
        <f>'Necesidades Trimestrales'!G48</f>
        <v>50</v>
      </c>
    </row>
    <row r="51" spans="1:15" ht="27.75" customHeight="1" x14ac:dyDescent="0.2">
      <c r="A51" s="56">
        <v>40</v>
      </c>
      <c r="B51" s="57" t="str">
        <f>'Necesidades Trimestrales'!B49</f>
        <v>2.5.2-1859.30</v>
      </c>
      <c r="C51" s="87" t="str">
        <f>'Necesidades Trimestrales'!E49</f>
        <v>INMUNOMODULADORES; TIPO: MONODROGA, DROGA GENERICA: INMUNOGLOBULINA G HUMANA, FORMA FARMACEUTICA: VIAL, PRESENTACION: 2,5 GR</v>
      </c>
      <c r="D51" s="87"/>
      <c r="E51" s="87"/>
      <c r="F51" s="87"/>
      <c r="G51" s="87"/>
      <c r="H51" s="60" t="s">
        <v>53</v>
      </c>
      <c r="I51" s="61" t="str">
        <f>'Necesidades Trimestrales'!F49</f>
        <v>ENVASE</v>
      </c>
      <c r="J51" s="59">
        <f>'Necesidades Trimestrales'!H49</f>
        <v>31000</v>
      </c>
      <c r="K51" s="58">
        <f>'Necesidades Trimestrales'!G49</f>
        <v>50</v>
      </c>
    </row>
    <row r="52" spans="1:15" ht="27.75" customHeight="1" x14ac:dyDescent="0.2">
      <c r="A52" s="56">
        <v>41</v>
      </c>
      <c r="B52" s="57" t="str">
        <f>'Necesidades Trimestrales'!B50</f>
        <v>2.5.2-1859.28</v>
      </c>
      <c r="C52" s="87" t="str">
        <f>'Necesidades Trimestrales'!E50</f>
        <v>INMUNOMODULADORES; TIPO: MONODROGA, DROGA GENERICA: INMUNOGLOBULINA G HUMANA, FORMA FARMACEUTICA: VIAL, PRESENTACION: 5 GR</v>
      </c>
      <c r="D52" s="87"/>
      <c r="E52" s="87"/>
      <c r="F52" s="87"/>
      <c r="G52" s="87"/>
      <c r="H52" s="60" t="s">
        <v>53</v>
      </c>
      <c r="I52" s="61" t="str">
        <f>'Necesidades Trimestrales'!F50</f>
        <v>ENVASE</v>
      </c>
      <c r="J52" s="59">
        <f>'Necesidades Trimestrales'!H50</f>
        <v>59000</v>
      </c>
      <c r="K52" s="58">
        <f>'Necesidades Trimestrales'!G50</f>
        <v>50</v>
      </c>
    </row>
    <row r="53" spans="1:15" ht="27.75" customHeight="1" x14ac:dyDescent="0.2">
      <c r="A53" s="56">
        <v>42</v>
      </c>
      <c r="B53" s="57" t="str">
        <f>'Necesidades Trimestrales'!B51</f>
        <v>2.5.2-2455.20</v>
      </c>
      <c r="C53" s="87" t="str">
        <f>'Necesidades Trimestrales'!E51</f>
        <v>ANESTESICOS GENERALES; DROGA GENERICA: KETAMINA 50 MG/ML, FORMA FARMACEUTICA: FRASCO AMPOLLA, PRESENTACION: 10 mL, TIPO: MONODROGA</v>
      </c>
      <c r="D53" s="87"/>
      <c r="E53" s="87"/>
      <c r="F53" s="87"/>
      <c r="G53" s="87"/>
      <c r="H53" s="60" t="s">
        <v>53</v>
      </c>
      <c r="I53" s="61" t="str">
        <f>'Necesidades Trimestrales'!F51</f>
        <v>AMPOLLA</v>
      </c>
      <c r="J53" s="59">
        <f>'Necesidades Trimestrales'!H51</f>
        <v>1950</v>
      </c>
      <c r="K53" s="58">
        <f>'Necesidades Trimestrales'!G51</f>
        <v>300</v>
      </c>
    </row>
    <row r="54" spans="1:15" ht="27.75" customHeight="1" x14ac:dyDescent="0.2">
      <c r="A54" s="56">
        <v>43</v>
      </c>
      <c r="B54" s="57" t="str">
        <f>'Necesidades Trimestrales'!B52</f>
        <v>2.5.2-1883.186</v>
      </c>
      <c r="C54" s="87" t="str">
        <f>'Necesidades Trimestrales'!E52</f>
        <v>ANESTESICOS LOCALES; TIPO: MONODROGA, DROGA GENERICA: LIDOCAINA 2%S/EPINEFRINA, FORMA FARMACEUTICA: AMPOLLA, PRESENTACION: 5 mL</v>
      </c>
      <c r="D54" s="87"/>
      <c r="E54" s="87"/>
      <c r="F54" s="87"/>
      <c r="G54" s="87"/>
      <c r="H54" s="60" t="s">
        <v>53</v>
      </c>
      <c r="I54" s="61" t="str">
        <f>'Necesidades Trimestrales'!F52</f>
        <v>AMPOLLA</v>
      </c>
      <c r="J54" s="59">
        <f>'Necesidades Trimestrales'!H52</f>
        <v>35</v>
      </c>
      <c r="K54" s="58">
        <f>'Necesidades Trimestrales'!G52</f>
        <v>500</v>
      </c>
    </row>
    <row r="55" spans="1:15" ht="27.75" customHeight="1" x14ac:dyDescent="0.2">
      <c r="A55" s="56">
        <v>44</v>
      </c>
      <c r="B55" s="57" t="str">
        <f>'Necesidades Trimestrales'!B53</f>
        <v>2.5.2-1883.136</v>
      </c>
      <c r="C55" s="87" t="str">
        <f>'Necesidades Trimestrales'!E53</f>
        <v>ANESTESICOS LOCALES; TIPO: MONODROGA, DROGA GENERICA: LIDOCAINA 2% S/EPINEFRINA, FORMA FARMACEUTICA: FRASCO AMPOLLA, PRESENTACION: ENVASE X 20 mL</v>
      </c>
      <c r="D55" s="87"/>
      <c r="E55" s="87"/>
      <c r="F55" s="87"/>
      <c r="G55" s="87"/>
      <c r="H55" s="60" t="s">
        <v>53</v>
      </c>
      <c r="I55" s="61" t="str">
        <f>'Necesidades Trimestrales'!F53</f>
        <v>AMPOLLA</v>
      </c>
      <c r="J55" s="59">
        <f>'Necesidades Trimestrales'!H53</f>
        <v>325</v>
      </c>
      <c r="K55" s="58">
        <f>'Necesidades Trimestrales'!G53</f>
        <v>500</v>
      </c>
    </row>
    <row r="56" spans="1:15" ht="27.75" customHeight="1" x14ac:dyDescent="0.2">
      <c r="A56" s="56">
        <v>45</v>
      </c>
      <c r="B56" s="57" t="str">
        <f>'Necesidades Trimestrales'!B54</f>
        <v>2.5.2-1883.111</v>
      </c>
      <c r="C56" s="87" t="str">
        <f>'Necesidades Trimestrales'!E54</f>
        <v>ANESTESICOS LOCALES; TIPO: ASOCIACION, DROGA GENERICA: LIDOCAINA 2% C/EPINEFRINA, FORMA FARMACEUTICA: FRASCO AMPOLLA, PRESENTACION: 20 mL</v>
      </c>
      <c r="D56" s="87"/>
      <c r="E56" s="87"/>
      <c r="F56" s="87"/>
      <c r="G56" s="87"/>
      <c r="H56" s="60" t="s">
        <v>53</v>
      </c>
      <c r="I56" s="61" t="str">
        <f>'Necesidades Trimestrales'!F54</f>
        <v>AMPOLLA</v>
      </c>
      <c r="J56" s="59">
        <f>'Necesidades Trimestrales'!H54</f>
        <v>493</v>
      </c>
      <c r="K56" s="58">
        <f>'Necesidades Trimestrales'!G54</f>
        <v>50</v>
      </c>
    </row>
    <row r="57" spans="1:15" ht="27.75" customHeight="1" x14ac:dyDescent="0.2">
      <c r="A57" s="56">
        <v>46</v>
      </c>
      <c r="B57" s="57" t="str">
        <f>'Necesidades Trimestrales'!B55</f>
        <v>2.5.2-1883.28</v>
      </c>
      <c r="C57" s="87" t="str">
        <f>'Necesidades Trimestrales'!E55</f>
        <v>ANESTESICOS LOCALES; TIPO: MONODROGA, DROGA GENERICA: LIDOCAINA, FORMA FARMACEUTICA: AEROSOL, PRESENTACION: 100 mL</v>
      </c>
      <c r="D57" s="87"/>
      <c r="E57" s="87"/>
      <c r="F57" s="87"/>
      <c r="G57" s="87"/>
      <c r="H57" s="60" t="s">
        <v>53</v>
      </c>
      <c r="I57" s="61" t="str">
        <f>'Necesidades Trimestrales'!F55</f>
        <v>ENVASE</v>
      </c>
      <c r="J57" s="59">
        <f>'Necesidades Trimestrales'!H55</f>
        <v>640</v>
      </c>
      <c r="K57" s="58">
        <f>'Necesidades Trimestrales'!G55</f>
        <v>50</v>
      </c>
      <c r="O57" s="36" t="s">
        <v>54</v>
      </c>
    </row>
    <row r="58" spans="1:15" ht="27.75" customHeight="1" x14ac:dyDescent="0.2">
      <c r="A58" s="56">
        <v>47</v>
      </c>
      <c r="B58" s="57" t="str">
        <f>'Necesidades Trimestrales'!B56</f>
        <v>2.5.2-1857.36</v>
      </c>
      <c r="C58" s="87" t="str">
        <f>'Necesidades Trimestrales'!E56</f>
        <v>ANTIPARASITARIOS; TIPO: MONODROGA, DROGA GENERICA: MEBENDAZOL 2%, FORMA FARMACEUTICA: SUSPENSION, PRESENTACION: ENVASE X 30 mL</v>
      </c>
      <c r="D58" s="87"/>
      <c r="E58" s="87"/>
      <c r="F58" s="87"/>
      <c r="G58" s="87"/>
      <c r="H58" s="60" t="s">
        <v>53</v>
      </c>
      <c r="I58" s="61" t="str">
        <f>'Necesidades Trimestrales'!F56</f>
        <v>FRASCO</v>
      </c>
      <c r="J58" s="59">
        <f>'Necesidades Trimestrales'!H56</f>
        <v>360</v>
      </c>
      <c r="K58" s="58">
        <f>'Necesidades Trimestrales'!G56</f>
        <v>20</v>
      </c>
    </row>
    <row r="59" spans="1:15" ht="27.75" customHeight="1" x14ac:dyDescent="0.2">
      <c r="A59" s="56">
        <v>48</v>
      </c>
      <c r="B59" s="57" t="str">
        <f>'Necesidades Trimestrales'!B57</f>
        <v>2.5.2-1821.463</v>
      </c>
      <c r="C59" s="87" t="str">
        <f>'Necesidades Trimestrales'!E57</f>
        <v>ANTIBIOTICOS P/PERSONAS; TIPO: MONODROGA, DROGA GENERICA: MEROPENEM 1000 mGr, FORMA FARMACEUTICA: AMPOLLA, PRESENTACION: UNIDAD</v>
      </c>
      <c r="D59" s="87"/>
      <c r="E59" s="87"/>
      <c r="F59" s="87"/>
      <c r="G59" s="87"/>
      <c r="H59" s="60" t="s">
        <v>53</v>
      </c>
      <c r="I59" s="61" t="str">
        <f>'Necesidades Trimestrales'!F57</f>
        <v>AMPOLLA</v>
      </c>
      <c r="J59" s="59">
        <f>'Necesidades Trimestrales'!H57</f>
        <v>590</v>
      </c>
      <c r="K59" s="58">
        <f>'Necesidades Trimestrales'!G57</f>
        <v>500</v>
      </c>
    </row>
    <row r="60" spans="1:15" ht="27.75" customHeight="1" x14ac:dyDescent="0.2">
      <c r="A60" s="56">
        <v>49</v>
      </c>
      <c r="B60" s="57" t="str">
        <f>'Necesidades Trimestrales'!B58</f>
        <v>2.5.2-1821.421</v>
      </c>
      <c r="C60" s="87" t="str">
        <f>'Necesidades Trimestrales'!E58</f>
        <v>ANTIBIOTICOS P/PERSONAS; TIPO: MONODROGA, DROGA GENERICA: MEROPENEM 500 mGr, FORMA FARMACEUTICA: FRASCO AMPOLLA, PRESENTACION: UNIDAD</v>
      </c>
      <c r="D60" s="87"/>
      <c r="E60" s="87"/>
      <c r="F60" s="87"/>
      <c r="G60" s="87"/>
      <c r="H60" s="60" t="s">
        <v>53</v>
      </c>
      <c r="I60" s="61" t="str">
        <f>'Necesidades Trimestrales'!F58</f>
        <v>AMPOLLA</v>
      </c>
      <c r="J60" s="59">
        <f>'Necesidades Trimestrales'!H58</f>
        <v>380</v>
      </c>
      <c r="K60" s="58">
        <f>'Necesidades Trimestrales'!G58</f>
        <v>500</v>
      </c>
    </row>
    <row r="61" spans="1:15" ht="27.75" customHeight="1" x14ac:dyDescent="0.2">
      <c r="A61" s="56">
        <v>50</v>
      </c>
      <c r="B61" s="57" t="str">
        <f>'Necesidades Trimestrales'!B59</f>
        <v>2.5.2-1821.334</v>
      </c>
      <c r="C61" s="87" t="str">
        <f>'Necesidades Trimestrales'!E59</f>
        <v>ANTIBIOTICOS P/PERSONAS; TIPO: MONODROGA, DROGA GENERICA: METRONIDAZOL 125MG/5ML, FORMA FARMACEUTICA: SUSPENSION ORAL, PRESENTACION: ENVASE X 120 mL</v>
      </c>
      <c r="D61" s="87"/>
      <c r="E61" s="87"/>
      <c r="F61" s="87"/>
      <c r="G61" s="87"/>
      <c r="H61" s="60" t="s">
        <v>53</v>
      </c>
      <c r="I61" s="61" t="str">
        <f>'Necesidades Trimestrales'!F59</f>
        <v>FRASCO</v>
      </c>
      <c r="J61" s="59">
        <f>'Necesidades Trimestrales'!H59</f>
        <v>169</v>
      </c>
      <c r="K61" s="58">
        <f>'Necesidades Trimestrales'!G59</f>
        <v>100</v>
      </c>
    </row>
    <row r="62" spans="1:15" ht="27.75" customHeight="1" x14ac:dyDescent="0.2">
      <c r="A62" s="56">
        <v>51</v>
      </c>
      <c r="B62" s="57" t="str">
        <f>'Necesidades Trimestrales'!B60</f>
        <v>2.5.2-1821.76</v>
      </c>
      <c r="C62" s="87" t="str">
        <f>'Necesidades Trimestrales'!E60</f>
        <v>ANTIBIOTICOS P/PERSONAS; TIPO: MONODROGA, FORMA FARMACEUTICA: COMPRIMIDO, PRESENTACION: 500 mGr, DROGA GENERICA: METRONIDAZOL</v>
      </c>
      <c r="D62" s="87"/>
      <c r="E62" s="87"/>
      <c r="F62" s="87"/>
      <c r="G62" s="87"/>
      <c r="H62" s="60" t="s">
        <v>53</v>
      </c>
      <c r="I62" s="61" t="str">
        <f>'Necesidades Trimestrales'!F60</f>
        <v>COMPRIMIDO</v>
      </c>
      <c r="J62" s="59">
        <f>'Necesidades Trimestrales'!H60</f>
        <v>7.3</v>
      </c>
      <c r="K62" s="58">
        <f>'Necesidades Trimestrales'!G60</f>
        <v>200</v>
      </c>
    </row>
    <row r="63" spans="1:15" ht="27.75" customHeight="1" x14ac:dyDescent="0.2">
      <c r="A63" s="56">
        <v>52</v>
      </c>
      <c r="B63" s="57" t="str">
        <f>'Necesidades Trimestrales'!B61</f>
        <v>2.5.2-1870.15</v>
      </c>
      <c r="C63" s="87" t="str">
        <f>'Necesidades Trimestrales'!E61</f>
        <v>HIPNOTICOS; TIPO: MONODROGA, DROGA GENERICA: MIDAZOLAM 15 mGr, FORMA FARMACEUTICA: AMPOLLA, PRESENTACION: ENVASE X 3 mL</v>
      </c>
      <c r="D63" s="87"/>
      <c r="E63" s="87"/>
      <c r="F63" s="87"/>
      <c r="G63" s="87"/>
      <c r="H63" s="60" t="s">
        <v>53</v>
      </c>
      <c r="I63" s="61" t="str">
        <f>'Necesidades Trimestrales'!F61</f>
        <v>AMPOLLA</v>
      </c>
      <c r="J63" s="59">
        <f>'Necesidades Trimestrales'!H61</f>
        <v>159</v>
      </c>
      <c r="K63" s="58">
        <f>'Necesidades Trimestrales'!G61</f>
        <v>1000</v>
      </c>
    </row>
    <row r="64" spans="1:15" ht="27.75" customHeight="1" x14ac:dyDescent="0.2">
      <c r="A64" s="56">
        <v>53</v>
      </c>
      <c r="B64" s="57" t="str">
        <f>'Necesidades Trimestrales'!B62</f>
        <v>2.5.2-1724.98</v>
      </c>
      <c r="C64" s="87" t="str">
        <f>'Necesidades Trimestrales'!E62</f>
        <v>ANALGESICOS ; TIPO: MONODROGA, DROGA GENERICA: MORFINA CLORIDRATO 1%, FORMA FARMACEUTICA: AMPOLLA, PRESENTACION: 1 mL</v>
      </c>
      <c r="D64" s="87"/>
      <c r="E64" s="87"/>
      <c r="F64" s="87"/>
      <c r="G64" s="87"/>
      <c r="H64" s="60" t="s">
        <v>53</v>
      </c>
      <c r="I64" s="61" t="str">
        <f>'Necesidades Trimestrales'!F62</f>
        <v>AMPOLLA</v>
      </c>
      <c r="J64" s="59">
        <f>'Necesidades Trimestrales'!H62</f>
        <v>110</v>
      </c>
      <c r="K64" s="58">
        <f>'Necesidades Trimestrales'!G62</f>
        <v>1000</v>
      </c>
    </row>
    <row r="65" spans="1:11" ht="27.75" customHeight="1" x14ac:dyDescent="0.2">
      <c r="A65" s="56">
        <v>54</v>
      </c>
      <c r="B65" s="57" t="str">
        <f>'Necesidades Trimestrales'!B63</f>
        <v>2.5.2-1724.206</v>
      </c>
      <c r="C65" s="87" t="str">
        <f>'Necesidades Trimestrales'!E63</f>
        <v>ANALGESICOS ; TIPO: MONODROGA, DROGA GENERICA: NALBUFINA 10 mGr, FORMA FARMACEUTICA: AMPOLLA, PRESENTACION: ENVASE X 1 mL</v>
      </c>
      <c r="D65" s="87"/>
      <c r="E65" s="87"/>
      <c r="F65" s="87"/>
      <c r="G65" s="87"/>
      <c r="H65" s="60" t="s">
        <v>53</v>
      </c>
      <c r="I65" s="61" t="str">
        <f>'Necesidades Trimestrales'!F63</f>
        <v>AMPOLLA</v>
      </c>
      <c r="J65" s="59">
        <f>'Necesidades Trimestrales'!H63</f>
        <v>120</v>
      </c>
      <c r="K65" s="58">
        <f>'Necesidades Trimestrales'!G63</f>
        <v>500</v>
      </c>
    </row>
    <row r="66" spans="1:11" ht="27.75" customHeight="1" x14ac:dyDescent="0.2">
      <c r="A66" s="56">
        <v>55</v>
      </c>
      <c r="B66" s="57" t="str">
        <f>'Necesidades Trimestrales'!B64</f>
        <v>2.5.2-1821.123</v>
      </c>
      <c r="C66" s="87" t="str">
        <f>'Necesidades Trimestrales'!E64</f>
        <v>ANTIBIOTICOS P/PERSONAS; TIPO: MONODROGA, DROGA GENERICA: ORNIDAZOL, PRESENTACION: 1 GR, FORMA FARMACEUTICA: AMPOLLA</v>
      </c>
      <c r="D66" s="87"/>
      <c r="E66" s="87"/>
      <c r="F66" s="87"/>
      <c r="G66" s="87"/>
      <c r="H66" s="60" t="s">
        <v>53</v>
      </c>
      <c r="I66" s="61" t="str">
        <f>'Necesidades Trimestrales'!F64</f>
        <v>AMPOLLA</v>
      </c>
      <c r="J66" s="59">
        <f>'Necesidades Trimestrales'!H64</f>
        <v>1452</v>
      </c>
      <c r="K66" s="58">
        <f>'Necesidades Trimestrales'!G64</f>
        <v>200</v>
      </c>
    </row>
    <row r="67" spans="1:11" ht="27.75" customHeight="1" x14ac:dyDescent="0.2">
      <c r="A67" s="56">
        <v>56</v>
      </c>
      <c r="B67" s="57" t="str">
        <f>'Necesidades Trimestrales'!B65</f>
        <v>2.5.2-1724.243</v>
      </c>
      <c r="C67" s="87" t="str">
        <f>'Necesidades Trimestrales'!E65</f>
        <v>ANALGESICOS ; TIPO: MONODROGA, DROGA GENERICA: PARACETAMOL 1 GR, FORMA FARMACEUTICA: COMPRIMIDO, PRESENTACION: UNIDAD</v>
      </c>
      <c r="D67" s="87"/>
      <c r="E67" s="87"/>
      <c r="F67" s="87"/>
      <c r="G67" s="87"/>
      <c r="H67" s="60" t="s">
        <v>53</v>
      </c>
      <c r="I67" s="61" t="str">
        <f>'Necesidades Trimestrales'!F65</f>
        <v>COMPRIMIDO</v>
      </c>
      <c r="J67" s="59">
        <f>'Necesidades Trimestrales'!H65</f>
        <v>9.8000000000000007</v>
      </c>
      <c r="K67" s="58">
        <f>'Necesidades Trimestrales'!G65</f>
        <v>4000</v>
      </c>
    </row>
    <row r="68" spans="1:11" ht="27.75" customHeight="1" x14ac:dyDescent="0.2">
      <c r="A68" s="56">
        <v>57</v>
      </c>
      <c r="B68" s="57" t="str">
        <f>'Necesidades Trimestrales'!B66</f>
        <v>2.5.2-1724.244</v>
      </c>
      <c r="C68" s="87" t="str">
        <f>'Necesidades Trimestrales'!E66</f>
        <v>ANALGESICOS ; TIPO: MONODROGA, DROGA GENERICA: PARACETAMOL 2%, 100MG/5ML, FORMA FARMACEÚTICA: JARABE, PRESENTACION: 120 ML</v>
      </c>
      <c r="D68" s="87"/>
      <c r="E68" s="87"/>
      <c r="F68" s="87"/>
      <c r="G68" s="87"/>
      <c r="H68" s="60" t="s">
        <v>53</v>
      </c>
      <c r="I68" s="61" t="str">
        <f>'Necesidades Trimestrales'!F66</f>
        <v>FRASCO</v>
      </c>
      <c r="J68" s="59">
        <f>'Necesidades Trimestrales'!H66</f>
        <v>165</v>
      </c>
      <c r="K68" s="58">
        <f>'Necesidades Trimestrales'!G66</f>
        <v>100</v>
      </c>
    </row>
    <row r="69" spans="1:11" ht="27.75" customHeight="1" x14ac:dyDescent="0.2">
      <c r="A69" s="56">
        <v>58</v>
      </c>
      <c r="B69" s="57" t="str">
        <f>'Necesidades Trimestrales'!B67</f>
        <v>2.5.2-1724.245</v>
      </c>
      <c r="C69" s="87" t="str">
        <f>'Necesidades Trimestrales'!E67</f>
        <v>ANALGÉSICOS ; TIPO: MONODROGA, DROGA GENÉRICA: PARACETAMOL 500 MGR, FORMA FARMACEÚTICA: COMPRIMIDO, PRESENTACIÓN: X UNIDAD</v>
      </c>
      <c r="D69" s="87"/>
      <c r="E69" s="87"/>
      <c r="F69" s="87"/>
      <c r="G69" s="87"/>
      <c r="H69" s="60" t="s">
        <v>53</v>
      </c>
      <c r="I69" s="61" t="str">
        <f>'Necesidades Trimestrales'!F67</f>
        <v>COMPRIMIDO</v>
      </c>
      <c r="J69" s="59">
        <f>'Necesidades Trimestrales'!H67</f>
        <v>5.3</v>
      </c>
      <c r="K69" s="58">
        <f>'Necesidades Trimestrales'!G67</f>
        <v>5000</v>
      </c>
    </row>
    <row r="70" spans="1:11" ht="27.75" customHeight="1" x14ac:dyDescent="0.2">
      <c r="A70" s="56">
        <v>59</v>
      </c>
      <c r="B70" s="57" t="str">
        <f>'Necesidades Trimestrales'!B68</f>
        <v>2.5.2-1724.29</v>
      </c>
      <c r="C70" s="87" t="str">
        <f>'Necesidades Trimestrales'!E68</f>
        <v>ANALGESICOS ; TIPO: MONODROGA, DROGA GENERICA: PARACETAMOL, FORMA FARMACEUTICA: GOTAS, PRESENTACION: 20 mL</v>
      </c>
      <c r="D70" s="87"/>
      <c r="E70" s="87"/>
      <c r="F70" s="87"/>
      <c r="G70" s="87"/>
      <c r="H70" s="60" t="s">
        <v>53</v>
      </c>
      <c r="I70" s="61" t="str">
        <f>'Necesidades Trimestrales'!F68</f>
        <v>GOTERO</v>
      </c>
      <c r="J70" s="59">
        <f>'Necesidades Trimestrales'!H68</f>
        <v>230</v>
      </c>
      <c r="K70" s="58">
        <f>'Necesidades Trimestrales'!G68</f>
        <v>100</v>
      </c>
    </row>
    <row r="71" spans="1:11" ht="27.75" customHeight="1" x14ac:dyDescent="0.2">
      <c r="A71" s="56">
        <v>60</v>
      </c>
      <c r="B71" s="57" t="str">
        <f>'Necesidades Trimestrales'!B69</f>
        <v>2.5.2-1821.220</v>
      </c>
      <c r="C71" s="87" t="str">
        <f>'Necesidades Trimestrales'!E69</f>
        <v>ANTIBIOTICOS P/PERSONAS; TIPO: MONODROGA, DROGA GENERICA: PENICILINA G. BENZATINICA, FORMA FARMACEUTICA: FRASCO AMPOLLA, PRESENTACION: 2.400.000 UI</v>
      </c>
      <c r="D71" s="87"/>
      <c r="E71" s="87"/>
      <c r="F71" s="87"/>
      <c r="G71" s="87"/>
      <c r="H71" s="60" t="s">
        <v>53</v>
      </c>
      <c r="I71" s="61" t="str">
        <f>'Necesidades Trimestrales'!F69</f>
        <v>AMPOLLA</v>
      </c>
      <c r="J71" s="59">
        <f>'Necesidades Trimestrales'!H69</f>
        <v>256</v>
      </c>
      <c r="K71" s="58">
        <f>'Necesidades Trimestrales'!G69</f>
        <v>100</v>
      </c>
    </row>
    <row r="72" spans="1:11" ht="27.75" customHeight="1" x14ac:dyDescent="0.2">
      <c r="A72" s="56">
        <v>61</v>
      </c>
      <c r="B72" s="57" t="str">
        <f>'Necesidades Trimestrales'!B70</f>
        <v>2.5.2-3603.18</v>
      </c>
      <c r="C72" s="87" t="str">
        <f>'Necesidades Trimestrales'!E70</f>
        <v>EVACUANTES INTESTINALES; TIPO: ASOCIACION, DROGA GENERICA: POLIETILENGLICOL 3350, FORMA FARMACEÚTICA: SOBRES, PRESENTACION: SOBRES X 30</v>
      </c>
      <c r="D72" s="87"/>
      <c r="E72" s="87"/>
      <c r="F72" s="87"/>
      <c r="G72" s="87"/>
      <c r="H72" s="60" t="s">
        <v>229</v>
      </c>
      <c r="I72" s="61" t="str">
        <f>'Necesidades Trimestrales'!F70</f>
        <v>CAJA</v>
      </c>
      <c r="J72" s="59">
        <f>'Necesidades Trimestrales'!H70</f>
        <v>6830.74</v>
      </c>
      <c r="K72" s="58">
        <f>'Necesidades Trimestrales'!G70</f>
        <v>2</v>
      </c>
    </row>
    <row r="73" spans="1:11" ht="27.75" customHeight="1" x14ac:dyDescent="0.2">
      <c r="A73" s="56">
        <v>62</v>
      </c>
      <c r="B73" s="57" t="str">
        <f>'Necesidades Trimestrales'!B71</f>
        <v>2.5.2-2455.27</v>
      </c>
      <c r="C73" s="87" t="str">
        <f>'Necesidades Trimestrales'!E71</f>
        <v>ANESTESICOS GENERALES; DROGA GENERICA: PROPOFOL 200 mGr, FORMA FARMACEUTICA: AMPOLLA, PRESENTACION: ENVASE X 20 mL, TIPO: MONODROGA</v>
      </c>
      <c r="D73" s="87"/>
      <c r="E73" s="87"/>
      <c r="F73" s="87"/>
      <c r="G73" s="87"/>
      <c r="H73" s="60" t="s">
        <v>53</v>
      </c>
      <c r="I73" s="61" t="str">
        <f>'Necesidades Trimestrales'!F71</f>
        <v>AMPOLLA</v>
      </c>
      <c r="J73" s="59">
        <f>'Necesidades Trimestrales'!H71</f>
        <v>398</v>
      </c>
      <c r="K73" s="58">
        <f>'Necesidades Trimestrales'!G71</f>
        <v>600</v>
      </c>
    </row>
    <row r="74" spans="1:11" ht="27.75" customHeight="1" x14ac:dyDescent="0.2">
      <c r="A74" s="56">
        <v>63</v>
      </c>
      <c r="B74" s="57" t="str">
        <f>'Necesidades Trimestrales'!B72</f>
        <v>2.5.2-1821.201</v>
      </c>
      <c r="C74" s="87" t="str">
        <f>'Necesidades Trimestrales'!E72</f>
        <v>ANTIBIOTICOS P/PERSONAS; TIPO: ANTITUBERCULOSTATICO, DROGA GENERICA: RIFAMPICINA X 2 GR, FORMA FARMACEUTICA: EN SUSPENSION CADA 100 mL, PRESENTACION: FRASCO X 50 Ml</v>
      </c>
      <c r="D74" s="87"/>
      <c r="E74" s="87"/>
      <c r="F74" s="87"/>
      <c r="G74" s="87"/>
      <c r="H74" s="60" t="s">
        <v>53</v>
      </c>
      <c r="I74" s="61" t="str">
        <f>'Necesidades Trimestrales'!F72</f>
        <v>FRASCO</v>
      </c>
      <c r="J74" s="59">
        <f>'Necesidades Trimestrales'!H72</f>
        <v>1602</v>
      </c>
      <c r="K74" s="58">
        <f>'Necesidades Trimestrales'!G72</f>
        <v>10</v>
      </c>
    </row>
    <row r="75" spans="1:11" ht="27.75" customHeight="1" x14ac:dyDescent="0.2">
      <c r="A75" s="56">
        <v>64</v>
      </c>
      <c r="B75" s="57" t="str">
        <f>'Necesidades Trimestrales'!B73</f>
        <v>2.5.2-1822.6</v>
      </c>
      <c r="C75" s="87" t="str">
        <f>'Necesidades Trimestrales'!E73</f>
        <v>ANTIMICOBACTERIAS; TIPO: MONODROGA, DROGA GENERICA: RIFAMPICINA, PRESENTACION: 300 mGr, FORMA FARMACEUTICA: CAPSULA</v>
      </c>
      <c r="D75" s="87"/>
      <c r="E75" s="87"/>
      <c r="F75" s="87"/>
      <c r="G75" s="87"/>
      <c r="H75" s="60" t="s">
        <v>53</v>
      </c>
      <c r="I75" s="61" t="str">
        <f>'Necesidades Trimestrales'!F73</f>
        <v>CAPSULAS</v>
      </c>
      <c r="J75" s="59">
        <f>'Necesidades Trimestrales'!H73</f>
        <v>45</v>
      </c>
      <c r="K75" s="58">
        <f>'Necesidades Trimestrales'!G73</f>
        <v>60</v>
      </c>
    </row>
    <row r="76" spans="1:11" ht="27.75" customHeight="1" x14ac:dyDescent="0.2">
      <c r="A76" s="56">
        <v>65</v>
      </c>
      <c r="B76" s="57" t="str">
        <f>'Necesidades Trimestrales'!B74</f>
        <v>2.5.2-2455.31</v>
      </c>
      <c r="C76" s="87" t="str">
        <f>'Necesidades Trimestrales'!E74</f>
        <v>ANESTESICOS GENERALES; DROGA GENERICA: SEVOFLUORANO, FORMA FARMACEUTICA: SOLUCION, PRESENTACION: ENVASE X 250 mL, TIPO: MONODROGA</v>
      </c>
      <c r="D76" s="87"/>
      <c r="E76" s="87"/>
      <c r="F76" s="87"/>
      <c r="G76" s="87"/>
      <c r="H76" s="60" t="s">
        <v>53</v>
      </c>
      <c r="I76" s="61" t="str">
        <f>'Necesidades Trimestrales'!F74</f>
        <v>FRASCO</v>
      </c>
      <c r="J76" s="59">
        <f>'Necesidades Trimestrales'!H74</f>
        <v>13840</v>
      </c>
      <c r="K76" s="58">
        <f>'Necesidades Trimestrales'!G74</f>
        <v>100</v>
      </c>
    </row>
    <row r="77" spans="1:11" ht="27.75" customHeight="1" x14ac:dyDescent="0.2">
      <c r="A77" s="56">
        <v>66</v>
      </c>
      <c r="B77" s="57" t="str">
        <f>'Necesidades Trimestrales'!B75</f>
        <v>2.5.2-2199.2</v>
      </c>
      <c r="C77" s="87" t="str">
        <f>'Necesidades Trimestrales'!E75</f>
        <v>BLOQUEANTES NEUROMUSCULARES; DROGA GENERICA: SUCCINILCOLINA, FORMA FARMACEUTICA: AMPOLLA, PRESENTACION: 500 mGr, TIPO: MONODROGA</v>
      </c>
      <c r="D77" s="87"/>
      <c r="E77" s="87"/>
      <c r="F77" s="87"/>
      <c r="G77" s="87"/>
      <c r="H77" s="60" t="s">
        <v>53</v>
      </c>
      <c r="I77" s="61" t="str">
        <f>'Necesidades Trimestrales'!F75</f>
        <v>AMPOLLA</v>
      </c>
      <c r="J77" s="59">
        <f>'Necesidades Trimestrales'!H75</f>
        <v>340</v>
      </c>
      <c r="K77" s="58">
        <f>'Necesidades Trimestrales'!G75</f>
        <v>100</v>
      </c>
    </row>
    <row r="78" spans="1:11" ht="27.75" customHeight="1" x14ac:dyDescent="0.2">
      <c r="A78" s="56">
        <v>67</v>
      </c>
      <c r="B78" s="57" t="str">
        <f>'Necesidades Trimestrales'!B76</f>
        <v>2.5.2-1724.154</v>
      </c>
      <c r="C78" s="87" t="str">
        <f>'Necesidades Trimestrales'!E76</f>
        <v>ANALGESICOS ; TIPO: MONODROGA, DROGA GENERICA: TRAMADOL 50 mGr, FORMA FARMACEUTICA: AMPOLLA, PRESENTACION: UNIDAD</v>
      </c>
      <c r="D78" s="87"/>
      <c r="E78" s="87"/>
      <c r="F78" s="87"/>
      <c r="G78" s="87"/>
      <c r="H78" s="60" t="s">
        <v>53</v>
      </c>
      <c r="I78" s="61" t="str">
        <f>'Necesidades Trimestrales'!F76</f>
        <v>AMPOLLA</v>
      </c>
      <c r="J78" s="59">
        <f>'Necesidades Trimestrales'!H76</f>
        <v>65</v>
      </c>
      <c r="K78" s="58">
        <f>'Necesidades Trimestrales'!G76</f>
        <v>100</v>
      </c>
    </row>
    <row r="79" spans="1:11" ht="27.75" customHeight="1" x14ac:dyDescent="0.2">
      <c r="A79" s="56">
        <v>68</v>
      </c>
      <c r="B79" s="57" t="str">
        <f>'Necesidades Trimestrales'!B77</f>
        <v>2.5.2-1821.510</v>
      </c>
      <c r="C79" s="87" t="str">
        <f>'Necesidades Trimestrales'!E77</f>
        <v>ANTIBIOTICOS P/PERSONAS; TIPO: MONODROGA, DROGA GENERICA: VANCOMICINA 1 GR, FORMA FARMACEUTICA: FRASCO AMPOLLA, PRESENTACION: UNIDAD</v>
      </c>
      <c r="D79" s="87"/>
      <c r="E79" s="87"/>
      <c r="F79" s="87"/>
      <c r="G79" s="87"/>
      <c r="H79" s="60" t="s">
        <v>53</v>
      </c>
      <c r="I79" s="61" t="str">
        <f>'Necesidades Trimestrales'!F77</f>
        <v>AMPOLLA</v>
      </c>
      <c r="J79" s="59">
        <f>'Necesidades Trimestrales'!H77</f>
        <v>335</v>
      </c>
      <c r="K79" s="58">
        <f>'Necesidades Trimestrales'!G77</f>
        <v>400</v>
      </c>
    </row>
    <row r="80" spans="1:11" ht="27.75" customHeight="1" x14ac:dyDescent="0.2">
      <c r="A80" s="56">
        <v>69</v>
      </c>
      <c r="B80" s="57" t="str">
        <f>'Necesidades Trimestrales'!B78</f>
        <v>2.5.2-1821.44</v>
      </c>
      <c r="C80" s="87" t="str">
        <f>'Necesidades Trimestrales'!E78</f>
        <v>ANTIBIOTICOS P/PERSONAS; DROGA GENERICA: VANCOMICINA, FORMA FARMACEUTICA: AMPOLLA, TIPO: MONODROGA, PRESENTACION: 500 mGr</v>
      </c>
      <c r="D80" s="87"/>
      <c r="E80" s="87"/>
      <c r="F80" s="87"/>
      <c r="G80" s="87"/>
      <c r="H80" s="60" t="s">
        <v>53</v>
      </c>
      <c r="I80" s="61" t="str">
        <f>'Necesidades Trimestrales'!F78</f>
        <v>AMPOLLA</v>
      </c>
      <c r="J80" s="59">
        <f>'Necesidades Trimestrales'!H78</f>
        <v>188</v>
      </c>
      <c r="K80" s="58">
        <f>'Necesidades Trimestrales'!G78</f>
        <v>400</v>
      </c>
    </row>
    <row r="81" spans="1:14" ht="27.75" customHeight="1" thickBot="1" x14ac:dyDescent="0.25">
      <c r="A81" s="56">
        <v>70</v>
      </c>
      <c r="B81" s="64" t="str">
        <f>'Necesidades Trimestrales'!B79</f>
        <v>2.5.2-2199.13</v>
      </c>
      <c r="C81" s="87" t="str">
        <f>'Necesidades Trimestrales'!E79</f>
        <v>BLOQUEANTES NEUROMUSCULARES; DROGA GENERICA: BROMURO DE VECURONIO, FORMA FARMACEUTICA: AMPOLLA X 10 mGr, PRESENTACION: UNIDAD, TIPO: MONODROGA</v>
      </c>
      <c r="D81" s="87"/>
      <c r="E81" s="87"/>
      <c r="F81" s="87"/>
      <c r="G81" s="87"/>
      <c r="H81" s="60" t="s">
        <v>53</v>
      </c>
      <c r="I81" s="61" t="str">
        <f>'Necesidades Trimestrales'!F79</f>
        <v>AMPOLLA</v>
      </c>
      <c r="J81" s="59">
        <f>'Necesidades Trimestrales'!H79</f>
        <v>864</v>
      </c>
      <c r="K81" s="58">
        <f>'Necesidades Trimestrales'!G79</f>
        <v>2000</v>
      </c>
    </row>
    <row r="82" spans="1:14" ht="20.25" customHeight="1" thickBot="1" x14ac:dyDescent="0.25">
      <c r="A82" s="90" t="s">
        <v>228</v>
      </c>
      <c r="B82" s="90"/>
      <c r="C82" s="90"/>
      <c r="D82" s="90"/>
      <c r="E82" s="90"/>
      <c r="F82" s="90"/>
      <c r="G82" s="90"/>
      <c r="H82" s="90"/>
      <c r="I82" s="90"/>
      <c r="J82" s="97">
        <f>SUMPRODUCT(J12:J81,K12:K81)</f>
        <v>19262836.48</v>
      </c>
      <c r="K82" s="97"/>
      <c r="N82" s="47"/>
    </row>
  </sheetData>
  <mergeCells count="92">
    <mergeCell ref="C78:G78"/>
    <mergeCell ref="C79:G79"/>
    <mergeCell ref="C80:G80"/>
    <mergeCell ref="C81:G81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A82:I82"/>
    <mergeCell ref="J82:K8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1:G31"/>
    <mergeCell ref="C25:G25"/>
    <mergeCell ref="C26:G26"/>
    <mergeCell ref="C27:G27"/>
    <mergeCell ref="C28:G28"/>
    <mergeCell ref="C29:G29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55:G55"/>
    <mergeCell ref="C56:G56"/>
    <mergeCell ref="C57:G57"/>
    <mergeCell ref="C50:G50"/>
    <mergeCell ref="C51:G51"/>
    <mergeCell ref="C52:G52"/>
    <mergeCell ref="C53:G53"/>
    <mergeCell ref="C54:G54"/>
    <mergeCell ref="C43:G43"/>
    <mergeCell ref="C44:G44"/>
    <mergeCell ref="C45:G45"/>
    <mergeCell ref="C46:G46"/>
    <mergeCell ref="C47:G47"/>
    <mergeCell ref="C48:G48"/>
    <mergeCell ref="C49:G49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98" t="s">
        <v>3</v>
      </c>
      <c r="B1" s="98"/>
      <c r="C1" s="98"/>
      <c r="D1" s="99">
        <f>'Necesidades Trimestrales'!C6</f>
        <v>2022</v>
      </c>
      <c r="E1" s="99"/>
      <c r="F1" s="3"/>
      <c r="G1" s="3"/>
      <c r="H1" s="4"/>
      <c r="I1" s="4"/>
      <c r="J1" s="4"/>
      <c r="K1" s="4"/>
      <c r="L1" s="4"/>
      <c r="M1" s="4"/>
      <c r="N1" s="4"/>
      <c r="P1" s="100" t="s">
        <v>25</v>
      </c>
      <c r="Q1" s="10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00"/>
      <c r="Q2" s="100"/>
    </row>
    <row r="4" spans="1:17" s="5" customFormat="1" ht="18" customHeight="1" thickBot="1" x14ac:dyDescent="0.25">
      <c r="A4" s="101" t="s">
        <v>26</v>
      </c>
      <c r="B4" s="101"/>
      <c r="C4" s="101"/>
      <c r="D4" s="101"/>
      <c r="E4" s="101"/>
      <c r="F4" s="101"/>
      <c r="G4" s="102" t="str">
        <f>' NotaPedido'!D3</f>
        <v>040 - Ministerio de Salud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s="5" customFormat="1" ht="18" customHeight="1" thickBot="1" x14ac:dyDescent="0.25">
      <c r="A5" s="103" t="s">
        <v>49</v>
      </c>
      <c r="B5" s="104"/>
      <c r="C5" s="104"/>
      <c r="D5" s="104"/>
      <c r="E5" s="104"/>
      <c r="F5" s="105"/>
      <c r="G5" s="102" t="str">
        <f>' NotaPedido'!D4</f>
        <v>024 - Direccion de Administracion del Hospital Interzonal de Niños Eva Peron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s="5" customFormat="1" ht="18" customHeight="1" thickBot="1" x14ac:dyDescent="0.25">
      <c r="A6" s="103" t="s">
        <v>27</v>
      </c>
      <c r="B6" s="104"/>
      <c r="C6" s="104"/>
      <c r="D6" s="104"/>
      <c r="E6" s="104"/>
      <c r="F6" s="105"/>
      <c r="G6" s="102" t="str">
        <f>' NotaPedido'!D5</f>
        <v>024 - Direccion de Administracion del Hospital Interzonal de Niños Eva Peron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s="5" customFormat="1" ht="18" customHeight="1" thickBot="1" x14ac:dyDescent="0.25">
      <c r="A7" s="103" t="s">
        <v>50</v>
      </c>
      <c r="B7" s="104"/>
      <c r="C7" s="104"/>
      <c r="D7" s="104"/>
      <c r="E7" s="104"/>
      <c r="F7" s="105"/>
      <c r="G7" s="102" t="s">
        <v>55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17" ht="18" customHeight="1" thickBot="1" x14ac:dyDescent="0.25">
      <c r="A8" s="106" t="s">
        <v>28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18" customHeight="1" x14ac:dyDescent="0.2">
      <c r="A9" s="107" t="s">
        <v>29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"/>
      <c r="P9" s="1"/>
      <c r="Q9" s="6"/>
    </row>
    <row r="10" spans="1:17" ht="54.75" customHeight="1" x14ac:dyDescent="0.2">
      <c r="A10" s="108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058/2022,  afectando la erogación resultante a los créditos presupuestarios aprobados a favor de esta Unidad Ejecutora, conforme al siguiente detalle: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09" t="s">
        <v>30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 thickBot="1" x14ac:dyDescent="0.25">
      <c r="A13" s="110" t="s">
        <v>31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32</v>
      </c>
      <c r="P13" s="113"/>
      <c r="Q13" s="116" t="s">
        <v>33</v>
      </c>
    </row>
    <row r="14" spans="1:17" ht="15.75" customHeight="1" thickBot="1" x14ac:dyDescent="0.25">
      <c r="A14" s="50" t="s">
        <v>34</v>
      </c>
      <c r="B14" s="51" t="s">
        <v>35</v>
      </c>
      <c r="C14" s="51" t="s">
        <v>36</v>
      </c>
      <c r="D14" s="51" t="s">
        <v>37</v>
      </c>
      <c r="E14" s="51" t="s">
        <v>38</v>
      </c>
      <c r="F14" s="51" t="s">
        <v>39</v>
      </c>
      <c r="G14" s="52" t="s">
        <v>40</v>
      </c>
      <c r="H14" s="51" t="s">
        <v>41</v>
      </c>
      <c r="I14" s="51" t="s">
        <v>42</v>
      </c>
      <c r="J14" s="51" t="s">
        <v>43</v>
      </c>
      <c r="K14" s="51" t="s">
        <v>43</v>
      </c>
      <c r="L14" s="51" t="s">
        <v>44</v>
      </c>
      <c r="M14" s="53" t="s">
        <v>45</v>
      </c>
      <c r="N14" s="54" t="s">
        <v>46</v>
      </c>
      <c r="O14" s="114"/>
      <c r="P14" s="115"/>
      <c r="Q14" s="117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12">
        <v>5</v>
      </c>
      <c r="K15" s="12">
        <v>2</v>
      </c>
      <c r="L15" s="12"/>
      <c r="M15" s="13">
        <v>1</v>
      </c>
      <c r="N15" s="55" t="s">
        <v>52</v>
      </c>
      <c r="O15" s="118" t="s">
        <v>59</v>
      </c>
      <c r="P15" s="118"/>
      <c r="Q15" s="70">
        <v>19262836.48</v>
      </c>
    </row>
    <row r="16" spans="1:17" ht="26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55"/>
      <c r="O16" s="118"/>
      <c r="P16" s="118"/>
      <c r="Q16" s="15"/>
    </row>
    <row r="17" spans="1:18" ht="23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55"/>
      <c r="O17" s="119"/>
      <c r="P17" s="120"/>
      <c r="Q17" s="15"/>
    </row>
    <row r="18" spans="1:18" ht="38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55"/>
      <c r="O18" s="119"/>
      <c r="P18" s="120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26"/>
      <c r="P19" s="126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27"/>
      <c r="P20" s="127"/>
      <c r="Q20" s="24"/>
    </row>
    <row r="21" spans="1:18" ht="29.25" customHeight="1" x14ac:dyDescent="0.2">
      <c r="A21" s="128" t="s">
        <v>227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25">
        <f>SUM(Q15:Q20)</f>
        <v>19262836.48</v>
      </c>
    </row>
    <row r="22" spans="1:18" ht="18" customHeight="1" thickBot="1" x14ac:dyDescent="0.25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</row>
    <row r="23" spans="1:18" ht="17.25" customHeight="1" thickBot="1" x14ac:dyDescent="0.25">
      <c r="A23" s="121" t="s">
        <v>47</v>
      </c>
      <c r="B23" s="122"/>
      <c r="C23" s="122"/>
      <c r="D23" s="122"/>
      <c r="E23" s="122"/>
      <c r="F23" s="123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</row>
    <row r="24" spans="1:18" ht="18" customHeight="1" thickBot="1" x14ac:dyDescent="0.25">
      <c r="A24" s="125" t="s">
        <v>226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8" ht="45" customHeight="1" x14ac:dyDescent="0.2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2022-05-16T16:20:07Z</cp:lastPrinted>
  <dcterms:created xsi:type="dcterms:W3CDTF">2020-07-17T23:44:49Z</dcterms:created>
  <dcterms:modified xsi:type="dcterms:W3CDTF">2022-05-31T12:10:17Z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