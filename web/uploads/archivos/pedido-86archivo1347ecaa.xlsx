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datos cativiela\datos cativiela\YANI\Para sec de cpras\Desinfección 2022\"/>
    </mc:Choice>
  </mc:AlternateContent>
  <bookViews>
    <workbookView xWindow="-120" yWindow="-120" windowWidth="29040" windowHeight="15840"/>
  </bookViews>
  <sheets>
    <sheet name="Necesidades Trimestrales" sheetId="1" r:id="rId1"/>
    <sheet name="NDP" sheetId="2" r:id="rId2"/>
    <sheet name="APG" sheetId="3" r:id="rId3"/>
  </sheets>
  <definedNames>
    <definedName name="_xlnm._FilterDatabase" localSheetId="0" hidden="1">'Necesidades Trimestrales'!$A$10:$I$12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1" i="1" l="1"/>
  <c r="I12" i="1"/>
  <c r="G5" i="3" l="1"/>
  <c r="G4" i="3"/>
  <c r="Q21" i="3" l="1"/>
</calcChain>
</file>

<file path=xl/sharedStrings.xml><?xml version="1.0" encoding="utf-8"?>
<sst xmlns="http://schemas.openxmlformats.org/spreadsheetml/2006/main" count="108" uniqueCount="75">
  <si>
    <t>JURISDICCION:</t>
  </si>
  <si>
    <t xml:space="preserve">SAF N°: </t>
  </si>
  <si>
    <t>EJERCICIO:</t>
  </si>
  <si>
    <t>TRIMESTRE:</t>
  </si>
  <si>
    <t>ID</t>
  </si>
  <si>
    <t>Pedido de Necesidades Trimestrales</t>
  </si>
  <si>
    <t>CODIGO ITEM</t>
  </si>
  <si>
    <t>Descripción técnica</t>
  </si>
  <si>
    <t>Plazos y lugares de entrega</t>
  </si>
  <si>
    <t>Calidad Minima esperada</t>
  </si>
  <si>
    <t>Garantia</t>
  </si>
  <si>
    <t>50 - MINISTERIO DE EDUCACIÓN</t>
  </si>
  <si>
    <t>26 - DIRECCIÓN PROVINCIAL DE ADMINISTRACIÓN</t>
  </si>
  <si>
    <t>RUBRO DE COMPRA</t>
  </si>
  <si>
    <t xml:space="preserve">I.P.P. </t>
  </si>
  <si>
    <t>DESCRIPCION</t>
  </si>
  <si>
    <t>UNIDAD DE MEDIDA</t>
  </si>
  <si>
    <t>Unidad</t>
  </si>
  <si>
    <t>CANTIDAD</t>
  </si>
  <si>
    <t>PRECIO UNITARIO ESTIMADO</t>
  </si>
  <si>
    <t xml:space="preserve">IMPORTE TOTAL ESTIMADO </t>
  </si>
  <si>
    <t>NOTA DE PEDIDO</t>
  </si>
  <si>
    <t xml:space="preserve">JURISDICCIÓN: </t>
  </si>
  <si>
    <t>MINISTERIO DE EDUCACIÓN</t>
  </si>
  <si>
    <t>SAF:</t>
  </si>
  <si>
    <t>UNIDAD EJECUTORA:</t>
  </si>
  <si>
    <t xml:space="preserve">DEPENDENCIA SOLICITANTE: </t>
  </si>
  <si>
    <t>PERIODO UTILIZACIÓN:</t>
  </si>
  <si>
    <t>OBJETO:</t>
  </si>
  <si>
    <t>Adjunta Detalle Técnico</t>
  </si>
  <si>
    <t>AUTORIZACIÓN PARA GASTAR</t>
  </si>
  <si>
    <t>JURISDICCIÓN:</t>
  </si>
  <si>
    <r>
      <t>AUTORIZACIÓN</t>
    </r>
    <r>
      <rPr>
        <b/>
        <sz val="11"/>
        <rFont val="Times New Roman"/>
        <family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</si>
  <si>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</si>
  <si>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</si>
  <si>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</si>
  <si>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</si>
  <si>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</si>
  <si>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</si>
  <si>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</si>
  <si>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</si>
  <si>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</si>
  <si>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</si>
  <si>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</si>
  <si>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</si>
  <si>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</si>
  <si>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</si>
  <si>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</si>
  <si>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</si>
  <si>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</si>
  <si>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</si>
  <si>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</si>
  <si>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</si>
  <si>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3 (TRES) MESES</t>
  </si>
  <si>
    <t>3.3.5-8836.1</t>
  </si>
  <si>
    <t>MANT. REPARACION Y LIMPIEZA</t>
  </si>
  <si>
    <t>LIMPIEZA DE TANQUES; DESCRIPCION: LIMPIEZA DE TANQUE</t>
  </si>
  <si>
    <t>FUMIGACION; DESCRIPCION: FUMIGACION</t>
  </si>
  <si>
    <t>3.3.5-2097.1</t>
  </si>
  <si>
    <t>3.3.5</t>
  </si>
  <si>
    <t>Especificidades Items N° 1:</t>
  </si>
  <si>
    <t>LIMPIEZA DE TANQUES DE AGUA</t>
  </si>
  <si>
    <t>Especificidades Items N° 2:</t>
  </si>
  <si>
    <t>SI</t>
  </si>
  <si>
    <t>El plazo de entrega  no podrá ser superior a los diez (10) días hábiles a partir de la fecha de recepción de la respectiva Orden de Compra en el domicilio especial electrónico constituido, en virtud del método de contratación. La provisión del servicio se realizará segun detalle anexo de escuelas de San Fernando del Valle de Catamarca.</t>
  </si>
  <si>
    <t>LIMPIEZA, ASEO Y FUMIGACIÓN</t>
  </si>
  <si>
    <t xml:space="preserve">   SERVICIO DE LIMPIEZA Y DESINFECCIÓN DE DIFERENTES ESCUELAS DE LA PROVINCIA.-</t>
  </si>
  <si>
    <t>INCLUYE MANEJO Y CONTROL DE ROEDORES (3 VISITAS DURANTE 15 DÍAS)- DESINFECCIÓN- CERTIFICADO DE TRABAJO REALIZADO</t>
  </si>
  <si>
    <t>LIMPIEZA Y DESINFECCIÓN</t>
  </si>
  <si>
    <r>
      <t>Mantenimiento:</t>
    </r>
    <r>
      <rPr>
        <sz val="10"/>
        <rFont val="Times New Roman"/>
        <family val="1"/>
      </rPr>
      <t xml:space="preserve"> 30 días corridos.</t>
    </r>
  </si>
  <si>
    <t>Según anexo y Presupuesto testigo</t>
  </si>
  <si>
    <t>N° 01 -2022</t>
  </si>
  <si>
    <t xml:space="preserve">Costo total estimado:  PESOS DOS MILLONES QUINIENTOS SESENTA Y TRES MIL NOVECIENTOS VEINTE CON 00/100 </t>
  </si>
  <si>
    <t>Autorizo la realización de los  trámites correspondientes, a fin de proveer a  este Organismo los servicios que se detallan en Nota  de Pedido N°01/22, afectando la erogación resultante a los créditos presupuestarios aprobados a favor de esta Unidad Ejecutora, conforme al siguiente detalle:</t>
  </si>
  <si>
    <t>TOTAL DE PESOS: DOS MILLONES QUINIENTOS SESENTA Y TRES MIL NOVECIENTOS VEINTE CON 00/100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</si>
</sst>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quot;$&quot;\ * #,##0.00_-;\-&quot;$&quot;\ * #,##0.00_-;_-&quot;$&quot;\ * &quot;-&quot;??_-;_-@_-"/>
    <numFmt numFmtId="164" formatCode="_ &quot;$&quot;\ * #,##0.00_ ;_ &quot;$&quot;\ * \-#,##0.00_ ;_ &quot;$&quot;\ * &quot;-&quot;??_ ;_ @_ "/>
    <numFmt numFmtId="165" formatCode="[$$-2C0A]\ #,##0.00;[$$-2C0A]&quot; -&quot;#,##0.00"/>
    <numFmt numFmtId="166" formatCode="&quot;$&quot;\ #,##0.00"/>
    <numFmt numFmtId="167" formatCode="dd\-mm\-yy;@"/>
    <numFmt numFmtId="168" formatCode="_(\$* #,##0.00_);_(\$* \(#,##0.00\);_(\$* \-??_);_(@_)"/>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name val="Times New Roman"/>
      <family val="1"/>
    </font>
    <font>
      <b/>
      <sz val="11"/>
      <color rgb="FF000000"/>
      <name val="Times New Roman"/>
      <family val="1"/>
    </font>
    <font>
      <sz val="9"/>
      <name val="Times New Roman"/>
      <family val="1"/>
    </font>
    <font>
      <b/>
      <sz val="22"/>
      <name val="Times New Roman"/>
      <family val="1"/>
    </font>
    <font>
      <sz val="10"/>
      <color rgb="FF000000"/>
      <name val="Times New Roman"/>
      <family val="1"/>
    </font>
    <font>
      <sz val="9"/>
      <color rgb="FF000000"/>
      <name val="Times New Roman"/>
      <family val="1"/>
    </font>
    <font>
      <u/>
      <sz val="10"/>
      <name val="Times New Roman"/>
      <family val="1"/>
    </font>
    <font>
      <b/>
      <sz val="12"/>
      <color rgb="FF000000"/>
      <name val="Times New Roman"/>
      <family val="1"/>
    </font>
    <font>
      <sz val="11"/>
      <name val="Times New Roman"/>
      <family val="1"/>
    </font>
    <font>
      <b/>
      <sz val="10"/>
      <color rgb="FF000000"/>
      <name val="Times New Roman"/>
      <family val="1"/>
    </font>
    <font>
      <b/>
      <u/>
      <sz val="12"/>
      <name val="Times New Roman"/>
      <family val="1"/>
      <charset val="1"/>
    </font>
    <font>
      <b/>
      <u/>
      <sz val="11"/>
      <name val="Times New Roman"/>
      <family val="1"/>
      <charset val="1"/>
    </font>
    <font>
      <b/>
      <sz val="11"/>
      <name val="Times New Roman"/>
      <family val="1"/>
      <charset val="1"/>
    </font>
    <font>
      <sz val="11"/>
      <name val="Times New Roman"/>
      <family val="1"/>
      <charset val="1"/>
    </font>
    <font>
      <sz val="9"/>
      <name val="Times New Roman"/>
      <family val="1"/>
      <charset val="1"/>
    </font>
    <font>
      <b/>
      <sz val="11"/>
      <name val="Times New Roman"/>
      <family val="1"/>
    </font>
    <font>
      <b/>
      <u/>
      <sz val="11"/>
      <name val="Times New Roman"/>
      <family val="1"/>
    </font>
    <font>
      <b/>
      <sz val="9"/>
      <name val="Times New Roman"/>
      <family val="1"/>
    </font>
    <font>
      <sz val="10"/>
      <name val="Arial"/>
      <family val="2"/>
      <charset val="1"/>
    </font>
    <font>
      <sz val="12"/>
      <name val="Times New Roman"/>
      <family val="1"/>
      <charset val="1"/>
    </font>
    <font>
      <sz val="9"/>
      <name val="Arial"/>
      <family val="2"/>
      <charset val="1"/>
    </font>
  </fonts>
  <fills count="5">
    <fill>
      <patternFill patternType="none"/>
    </fill>
    <fill>
      <patternFill patternType="gray125"/>
    </fill>
    <fill>
      <patternFill patternType="solid">
        <fgColor theme="0"/>
        <bgColor rgb="FFFFFF00"/>
      </patternFill>
    </fill>
    <fill>
      <patternFill patternType="solid">
        <fgColor theme="0"/>
        <bgColor indexed="64"/>
      </patternFill>
    </fill>
    <fill>
      <patternFill patternType="solid">
        <fgColor rgb="FFFFFF00"/>
        <bgColor indexed="64"/>
      </patternFill>
    </fill>
  </fills>
  <borders count="57">
    <border>
      <left/>
      <right/>
      <top/>
      <bottom/>
      <diagonal/>
    </border>
    <border>
      <left style="thick">
        <color auto="1"/>
      </left>
      <right style="thick">
        <color auto="1"/>
      </right>
      <top style="thick">
        <color auto="1"/>
      </top>
      <bottom style="thick">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style="medium">
        <color auto="1"/>
      </top>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bottom style="medium">
        <color auto="1"/>
      </bottom>
      <diagonal/>
    </border>
    <border>
      <left/>
      <right/>
      <top style="medium">
        <color auto="1"/>
      </top>
      <bottom style="medium">
        <color auto="1"/>
      </bottom>
      <diagonal/>
    </border>
    <border>
      <left style="medium">
        <color auto="1"/>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thin">
        <color auto="1"/>
      </left>
      <right style="thin">
        <color auto="1"/>
      </right>
      <top style="thin">
        <color auto="1"/>
      </top>
      <bottom/>
      <diagonal/>
    </border>
    <border>
      <left style="medium">
        <color rgb="FF3D3D3D"/>
      </left>
      <right/>
      <top style="medium">
        <color rgb="FF3D3D3D"/>
      </top>
      <bottom style="medium">
        <color rgb="FF3D3D3D"/>
      </bottom>
      <diagonal/>
    </border>
    <border>
      <left/>
      <right style="medium">
        <color auto="1"/>
      </right>
      <top style="medium">
        <color rgb="FF3D3D3D"/>
      </top>
      <bottom style="medium">
        <color rgb="FF3D3D3D"/>
      </bottom>
      <diagonal/>
    </border>
    <border>
      <left style="thin">
        <color auto="1"/>
      </left>
      <right/>
      <top/>
      <bottom/>
      <diagonal/>
    </border>
  </borders>
  <cellStyleXfs count="3">
    <xf numFmtId="0" fontId="0" fillId="0" borderId="0"/>
    <xf numFmtId="44" fontId="1" fillId="0" borderId="0" applyFont="0" applyFill="0" applyBorder="0" applyAlignment="0" applyProtection="0"/>
    <xf numFmtId="168" fontId="21" fillId="0" borderId="0" applyBorder="0" applyProtection="0"/>
  </cellStyleXfs>
  <cellXfs count="146">
    <xf numFmtId="0" fontId="0" fillId="0" borderId="0" xfId="0"/>
    <xf numFmtId="0" fontId="3" fillId="0" borderId="0" xfId="0" applyFont="1"/>
    <xf numFmtId="0" fontId="4" fillId="0" borderId="1" xfId="0" applyFont="1" applyBorder="1" applyAlignment="1">
      <alignment horizontal="center" vertical="center" wrapText="1"/>
    </xf>
    <xf numFmtId="0" fontId="5" fillId="0" borderId="2" xfId="0" applyFont="1" applyBorder="1" applyAlignment="1">
      <alignment horizontal="center" vertical="center"/>
    </xf>
    <xf numFmtId="0" fontId="5" fillId="0" borderId="0" xfId="0" applyFont="1" applyAlignment="1">
      <alignment horizontal="center" vertical="center"/>
    </xf>
    <xf numFmtId="0" fontId="7" fillId="0" borderId="0" xfId="0" applyFont="1" applyAlignment="1">
      <alignment horizontal="left" wrapText="1"/>
    </xf>
    <xf numFmtId="0" fontId="8" fillId="2" borderId="0" xfId="0" applyFont="1" applyFill="1" applyAlignment="1">
      <alignment horizontal="center" vertical="center" wrapText="1"/>
    </xf>
    <xf numFmtId="0" fontId="9" fillId="0" borderId="6" xfId="0" applyFont="1" applyBorder="1"/>
    <xf numFmtId="0" fontId="3" fillId="0" borderId="7" xfId="0" applyFont="1" applyBorder="1"/>
    <xf numFmtId="0" fontId="9" fillId="0" borderId="7" xfId="0" applyFont="1" applyBorder="1" applyAlignment="1">
      <alignment horizontal="left" indent="3"/>
    </xf>
    <xf numFmtId="0" fontId="3" fillId="0" borderId="7" xfId="0" applyFont="1" applyBorder="1" applyAlignment="1">
      <alignment horizontal="left" indent="3"/>
    </xf>
    <xf numFmtId="0" fontId="3" fillId="0" borderId="8" xfId="0" applyFont="1" applyBorder="1" applyAlignment="1">
      <alignment horizontal="left" indent="3"/>
    </xf>
    <xf numFmtId="0" fontId="10" fillId="2" borderId="0" xfId="0" applyFont="1" applyFill="1" applyAlignment="1">
      <alignment horizontal="left" wrapText="1" indent="1"/>
    </xf>
    <xf numFmtId="0" fontId="7" fillId="0" borderId="0" xfId="0" applyFont="1" applyAlignment="1">
      <alignment horizontal="center" wrapText="1"/>
    </xf>
    <xf numFmtId="0" fontId="0" fillId="0" borderId="0" xfId="0" applyAlignment="1">
      <alignment horizontal="center" vertical="center" wrapText="1"/>
    </xf>
    <xf numFmtId="0" fontId="3" fillId="0" borderId="5" xfId="0" applyFont="1" applyBorder="1"/>
    <xf numFmtId="0" fontId="3" fillId="0" borderId="0" xfId="0" applyFont="1" applyAlignment="1">
      <alignment horizontal="center" wrapText="1"/>
    </xf>
    <xf numFmtId="0" fontId="3" fillId="0" borderId="9" xfId="0" applyFont="1" applyBorder="1"/>
    <xf numFmtId="0" fontId="12" fillId="3" borderId="0" xfId="0" applyFont="1" applyFill="1" applyAlignment="1">
      <alignment horizontal="left" wrapText="1"/>
    </xf>
    <xf numFmtId="0" fontId="0" fillId="0" borderId="0" xfId="0" applyAlignment="1">
      <alignment horizontal="left" vertical="center" wrapText="1"/>
    </xf>
    <xf numFmtId="0" fontId="3" fillId="0" borderId="10" xfId="0" applyFont="1" applyBorder="1"/>
    <xf numFmtId="0" fontId="3" fillId="0" borderId="11" xfId="0" applyFont="1" applyBorder="1"/>
    <xf numFmtId="0" fontId="3" fillId="0" borderId="11" xfId="0" applyFont="1" applyBorder="1" applyAlignment="1">
      <alignment horizontal="center" wrapText="1"/>
    </xf>
    <xf numFmtId="0" fontId="3" fillId="0" borderId="12" xfId="0" applyFont="1" applyBorder="1"/>
    <xf numFmtId="0" fontId="8" fillId="2" borderId="3" xfId="0" applyFont="1" applyFill="1" applyBorder="1" applyAlignment="1">
      <alignment horizontal="center" vertical="center" wrapText="1"/>
    </xf>
    <xf numFmtId="165" fontId="5" fillId="2" borderId="0" xfId="1" applyNumberFormat="1" applyFont="1" applyFill="1" applyBorder="1" applyAlignment="1" applyProtection="1">
      <alignment horizontal="right" vertical="center" wrapText="1"/>
    </xf>
    <xf numFmtId="0" fontId="14" fillId="0" borderId="11" xfId="0" applyFont="1" applyBorder="1" applyAlignment="1">
      <alignment vertical="center"/>
    </xf>
    <xf numFmtId="0" fontId="8" fillId="0" borderId="0" xfId="0" applyFont="1" applyBorder="1" applyAlignment="1">
      <alignment horizontal="center" vertical="center" wrapText="1"/>
    </xf>
    <xf numFmtId="0" fontId="8" fillId="0" borderId="0" xfId="0" applyFont="1" applyFill="1" applyBorder="1" applyAlignment="1">
      <alignment horizontal="center" vertical="center" wrapText="1"/>
    </xf>
    <xf numFmtId="0" fontId="8" fillId="2" borderId="0" xfId="0" applyFont="1" applyFill="1" applyBorder="1" applyAlignment="1">
      <alignment horizontal="center" vertical="center" wrapText="1"/>
    </xf>
    <xf numFmtId="3" fontId="18" fillId="0" borderId="5" xfId="0" applyNumberFormat="1" applyFont="1" applyBorder="1"/>
    <xf numFmtId="167" fontId="11" fillId="0" borderId="5" xfId="0" applyNumberFormat="1" applyFont="1" applyBorder="1" applyAlignment="1">
      <alignment horizontal="left"/>
    </xf>
    <xf numFmtId="0" fontId="11" fillId="0" borderId="5" xfId="0" applyFont="1" applyBorder="1"/>
    <xf numFmtId="0" fontId="11" fillId="0" borderId="7" xfId="0" applyFont="1" applyBorder="1"/>
    <xf numFmtId="0" fontId="11" fillId="0" borderId="0" xfId="0" applyFont="1"/>
    <xf numFmtId="0" fontId="11" fillId="0" borderId="0" xfId="0" applyFont="1" applyAlignment="1">
      <alignment horizontal="left"/>
    </xf>
    <xf numFmtId="167" fontId="11" fillId="0" borderId="0" xfId="0" applyNumberFormat="1" applyFont="1" applyAlignment="1">
      <alignment horizontal="left"/>
    </xf>
    <xf numFmtId="0" fontId="11" fillId="0" borderId="11" xfId="0" applyFont="1" applyBorder="1"/>
    <xf numFmtId="0" fontId="11" fillId="0" borderId="14" xfId="0" applyFont="1" applyBorder="1"/>
    <xf numFmtId="0" fontId="11" fillId="0" borderId="15" xfId="0" applyFont="1" applyBorder="1"/>
    <xf numFmtId="0" fontId="11" fillId="0" borderId="15" xfId="0" applyFont="1" applyBorder="1" applyAlignment="1">
      <alignment horizontal="left"/>
    </xf>
    <xf numFmtId="0" fontId="11" fillId="0" borderId="24" xfId="0" applyFont="1" applyBorder="1"/>
    <xf numFmtId="0" fontId="20" fillId="0" borderId="27" xfId="0" applyFont="1" applyBorder="1" applyAlignment="1">
      <alignment horizontal="center" vertical="center"/>
    </xf>
    <xf numFmtId="0" fontId="20" fillId="0" borderId="28" xfId="0" applyFont="1" applyBorder="1" applyAlignment="1">
      <alignment horizontal="center" vertical="center"/>
    </xf>
    <xf numFmtId="0" fontId="20" fillId="0" borderId="28" xfId="0" applyFont="1" applyBorder="1" applyAlignment="1">
      <alignment horizontal="left" vertical="center"/>
    </xf>
    <xf numFmtId="0" fontId="20" fillId="0" borderId="29" xfId="0" applyFont="1" applyBorder="1" applyAlignment="1">
      <alignment horizontal="center" vertical="center"/>
    </xf>
    <xf numFmtId="0" fontId="20"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165" fontId="5" fillId="0" borderId="34" xfId="2" applyNumberFormat="1" applyFont="1" applyBorder="1" applyAlignment="1" applyProtection="1">
      <alignment horizontal="center" vertical="center"/>
    </xf>
    <xf numFmtId="0" fontId="5" fillId="0" borderId="35" xfId="0" applyFont="1" applyBorder="1" applyAlignment="1">
      <alignment horizontal="center" vertical="center"/>
    </xf>
    <xf numFmtId="0" fontId="5" fillId="0" borderId="36" xfId="0" applyFont="1" applyBorder="1" applyAlignment="1">
      <alignment horizontal="center" vertical="center"/>
    </xf>
    <xf numFmtId="0" fontId="5" fillId="0" borderId="37" xfId="0" applyFont="1" applyBorder="1" applyAlignment="1">
      <alignment horizontal="center" vertical="center"/>
    </xf>
    <xf numFmtId="0" fontId="5" fillId="0" borderId="38" xfId="0" applyFont="1" applyBorder="1" applyAlignment="1">
      <alignment horizontal="center" vertical="center"/>
    </xf>
    <xf numFmtId="165" fontId="5" fillId="0" borderId="41" xfId="2" applyNumberFormat="1" applyFont="1" applyBorder="1" applyAlignment="1" applyProtection="1">
      <alignment horizontal="center" vertical="center"/>
    </xf>
    <xf numFmtId="0" fontId="11" fillId="0" borderId="35" xfId="0" applyFont="1" applyBorder="1" applyAlignment="1">
      <alignment horizontal="center" vertical="center"/>
    </xf>
    <xf numFmtId="0" fontId="11" fillId="0" borderId="36" xfId="0" applyFont="1" applyBorder="1" applyAlignment="1">
      <alignment horizontal="center" vertical="center"/>
    </xf>
    <xf numFmtId="0" fontId="11" fillId="0" borderId="37" xfId="0" applyFont="1" applyBorder="1" applyAlignment="1">
      <alignment horizontal="center" vertical="center"/>
    </xf>
    <xf numFmtId="0" fontId="11" fillId="0" borderId="38" xfId="0" applyFont="1" applyBorder="1" applyAlignment="1">
      <alignment horizontal="center" vertical="center"/>
    </xf>
    <xf numFmtId="165" fontId="11" fillId="0" borderId="41" xfId="2" applyNumberFormat="1" applyFont="1" applyBorder="1" applyAlignment="1" applyProtection="1">
      <alignment horizontal="center" vertical="center"/>
    </xf>
    <xf numFmtId="0" fontId="11" fillId="0" borderId="42" xfId="0" applyFont="1" applyBorder="1" applyAlignment="1">
      <alignment horizontal="center" vertical="center"/>
    </xf>
    <xf numFmtId="0" fontId="11" fillId="0" borderId="43" xfId="0" applyFont="1" applyBorder="1" applyAlignment="1">
      <alignment horizontal="center" vertical="center"/>
    </xf>
    <xf numFmtId="0" fontId="11" fillId="0" borderId="44" xfId="0" applyFont="1" applyBorder="1" applyAlignment="1">
      <alignment horizontal="center" vertical="center"/>
    </xf>
    <xf numFmtId="165" fontId="11" fillId="0" borderId="45" xfId="2" applyNumberFormat="1" applyFont="1" applyBorder="1" applyAlignment="1" applyProtection="1">
      <alignment horizontal="center" vertical="center"/>
    </xf>
    <xf numFmtId="165" fontId="20" fillId="0" borderId="47" xfId="0" applyNumberFormat="1" applyFont="1" applyBorder="1" applyAlignment="1">
      <alignment horizontal="center" vertical="center"/>
    </xf>
    <xf numFmtId="165" fontId="5" fillId="2" borderId="4" xfId="1" applyNumberFormat="1" applyFont="1" applyFill="1" applyBorder="1" applyAlignment="1" applyProtection="1">
      <alignment horizontal="right" vertical="center" wrapText="1"/>
    </xf>
    <xf numFmtId="0" fontId="14" fillId="0" borderId="0" xfId="0" applyFont="1" applyBorder="1" applyAlignment="1">
      <alignment vertical="center"/>
    </xf>
    <xf numFmtId="0" fontId="17" fillId="0" borderId="3" xfId="0" applyFont="1" applyFill="1" applyBorder="1" applyAlignment="1">
      <alignment horizontal="center" vertical="center"/>
    </xf>
    <xf numFmtId="166" fontId="5" fillId="2" borderId="3" xfId="1" applyNumberFormat="1" applyFont="1" applyFill="1" applyBorder="1" applyAlignment="1" applyProtection="1">
      <alignment horizontal="center" vertical="center" wrapText="1"/>
    </xf>
    <xf numFmtId="0" fontId="4" fillId="0" borderId="16" xfId="0" applyFont="1" applyBorder="1" applyAlignment="1">
      <alignment horizontal="center" vertical="center" wrapText="1"/>
    </xf>
    <xf numFmtId="0" fontId="15" fillId="0" borderId="16" xfId="0" applyFont="1" applyBorder="1" applyAlignment="1">
      <alignment horizontal="center" vertical="center" wrapText="1"/>
    </xf>
    <xf numFmtId="0" fontId="14" fillId="0" borderId="7" xfId="0" applyFont="1" applyBorder="1" applyAlignment="1">
      <alignment vertical="center"/>
    </xf>
    <xf numFmtId="0" fontId="4" fillId="0" borderId="0" xfId="0" applyFont="1" applyAlignment="1">
      <alignment horizontal="left" vertical="center" wrapText="1"/>
    </xf>
    <xf numFmtId="0" fontId="10" fillId="2" borderId="0" xfId="0" applyFont="1" applyFill="1" applyAlignment="1">
      <alignment horizontal="left" wrapText="1" indent="1"/>
    </xf>
    <xf numFmtId="0" fontId="5" fillId="0" borderId="4" xfId="0" applyFont="1" applyBorder="1" applyAlignment="1">
      <alignment horizontal="center" vertical="center"/>
    </xf>
    <xf numFmtId="0" fontId="8" fillId="2" borderId="4" xfId="0" applyFont="1" applyFill="1" applyBorder="1" applyAlignment="1">
      <alignment horizontal="center" vertical="center" wrapText="1"/>
    </xf>
    <xf numFmtId="0" fontId="22" fillId="0" borderId="0" xfId="0" applyFont="1" applyBorder="1" applyAlignment="1">
      <alignment horizontal="left" vertical="center" wrapText="1"/>
    </xf>
    <xf numFmtId="0" fontId="8" fillId="0" borderId="4" xfId="0" applyFont="1" applyBorder="1" applyAlignment="1">
      <alignment horizontal="left" vertical="center" wrapText="1"/>
    </xf>
    <xf numFmtId="0" fontId="8" fillId="0" borderId="53" xfId="0" applyFont="1" applyBorder="1" applyAlignment="1">
      <alignment horizontal="left" vertical="center" wrapText="1"/>
    </xf>
    <xf numFmtId="44" fontId="22" fillId="0" borderId="0" xfId="0" applyNumberFormat="1" applyFont="1" applyBorder="1" applyAlignment="1">
      <alignment horizontal="left" vertical="center" wrapText="1"/>
    </xf>
    <xf numFmtId="164" fontId="3" fillId="0" borderId="0" xfId="0" applyNumberFormat="1" applyFont="1"/>
    <xf numFmtId="0" fontId="21" fillId="0" borderId="0" xfId="0" applyFont="1" applyBorder="1" applyAlignment="1">
      <alignment vertical="center"/>
    </xf>
    <xf numFmtId="44" fontId="21" fillId="0" borderId="0" xfId="1" applyFont="1" applyBorder="1" applyAlignment="1">
      <alignment vertical="center"/>
    </xf>
    <xf numFmtId="0" fontId="8" fillId="0" borderId="4" xfId="0" applyFont="1" applyBorder="1" applyAlignment="1">
      <alignment horizontal="center" vertical="center" wrapText="1"/>
    </xf>
    <xf numFmtId="0" fontId="17" fillId="0" borderId="4" xfId="0" applyFont="1" applyBorder="1" applyAlignment="1">
      <alignment horizontal="center" vertical="center" wrapText="1"/>
    </xf>
    <xf numFmtId="0" fontId="23" fillId="0" borderId="4" xfId="0" applyFont="1" applyBorder="1" applyAlignment="1">
      <alignment vertical="center"/>
    </xf>
    <xf numFmtId="44" fontId="23" fillId="0" borderId="4" xfId="1" applyFont="1" applyBorder="1" applyAlignment="1">
      <alignment vertical="center"/>
    </xf>
    <xf numFmtId="0" fontId="8" fillId="2" borderId="56" xfId="0" applyFont="1" applyFill="1" applyBorder="1" applyAlignment="1">
      <alignment horizontal="center" vertical="center" wrapText="1"/>
    </xf>
    <xf numFmtId="0" fontId="5" fillId="0" borderId="0" xfId="0" applyFont="1" applyBorder="1" applyAlignment="1">
      <alignment vertical="center"/>
    </xf>
    <xf numFmtId="0" fontId="3" fillId="2" borderId="0" xfId="0" applyFont="1" applyFill="1" applyAlignment="1">
      <alignment horizontal="left" wrapText="1"/>
    </xf>
    <xf numFmtId="0" fontId="3" fillId="2" borderId="11" xfId="0" applyFont="1" applyFill="1" applyBorder="1" applyAlignment="1">
      <alignment horizontal="left" wrapText="1"/>
    </xf>
    <xf numFmtId="0" fontId="3" fillId="2" borderId="0" xfId="0" applyFont="1" applyFill="1" applyAlignment="1">
      <alignment horizontal="left"/>
    </xf>
    <xf numFmtId="0" fontId="3" fillId="2" borderId="11" xfId="0" applyFont="1" applyFill="1" applyBorder="1" applyAlignment="1">
      <alignment horizontal="left"/>
    </xf>
    <xf numFmtId="0" fontId="4" fillId="0" borderId="0" xfId="0" applyFont="1" applyAlignment="1">
      <alignment horizontal="left" vertical="center" wrapText="1"/>
    </xf>
    <xf numFmtId="0" fontId="11" fillId="0" borderId="0" xfId="0" applyFont="1" applyFill="1" applyAlignment="1">
      <alignment horizontal="left" vertical="center" wrapText="1"/>
    </xf>
    <xf numFmtId="0" fontId="11" fillId="0" borderId="11" xfId="0" applyFont="1" applyFill="1" applyBorder="1" applyAlignment="1">
      <alignment horizontal="left" vertical="center" wrapText="1"/>
    </xf>
    <xf numFmtId="0" fontId="6" fillId="0" borderId="0" xfId="0" applyFont="1" applyAlignment="1">
      <alignment horizontal="center"/>
    </xf>
    <xf numFmtId="0" fontId="10" fillId="2" borderId="0" xfId="0" applyFont="1" applyFill="1" applyAlignment="1">
      <alignment horizontal="left" wrapText="1" indent="1"/>
    </xf>
    <xf numFmtId="0" fontId="2" fillId="0" borderId="4" xfId="0" applyFont="1" applyBorder="1" applyAlignment="1">
      <alignment horizontal="left" vertical="top" wrapText="1"/>
    </xf>
    <xf numFmtId="0" fontId="16" fillId="0" borderId="17" xfId="0" applyFont="1" applyBorder="1" applyAlignment="1">
      <alignment horizontal="left" vertical="center"/>
    </xf>
    <xf numFmtId="0" fontId="16" fillId="0" borderId="49" xfId="0" applyFont="1" applyBorder="1" applyAlignment="1">
      <alignment horizontal="left" vertical="center"/>
    </xf>
    <xf numFmtId="0" fontId="16" fillId="0" borderId="18" xfId="0" applyFont="1" applyBorder="1" applyAlignment="1">
      <alignment horizontal="left" vertical="center"/>
    </xf>
    <xf numFmtId="0" fontId="16" fillId="0" borderId="16" xfId="0" applyFont="1" applyFill="1" applyBorder="1" applyAlignment="1">
      <alignment horizontal="left" vertical="center" wrapText="1"/>
    </xf>
    <xf numFmtId="0" fontId="13" fillId="0" borderId="6"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10" xfId="0" applyFont="1" applyBorder="1" applyAlignment="1">
      <alignment horizontal="center" vertical="center" wrapText="1"/>
    </xf>
    <xf numFmtId="0" fontId="15" fillId="0" borderId="16" xfId="0" applyFont="1" applyBorder="1" applyAlignment="1">
      <alignment vertical="center" wrapText="1"/>
    </xf>
    <xf numFmtId="0" fontId="15" fillId="0" borderId="16" xfId="0" applyFont="1" applyFill="1" applyBorder="1" applyAlignment="1">
      <alignment horizontal="left" vertical="center" wrapText="1"/>
    </xf>
    <xf numFmtId="0" fontId="15" fillId="3" borderId="16" xfId="0" applyFont="1" applyFill="1" applyBorder="1" applyAlignment="1">
      <alignment horizontal="left" vertical="center" wrapText="1"/>
    </xf>
    <xf numFmtId="0" fontId="15" fillId="0" borderId="16" xfId="0" applyFont="1" applyBorder="1" applyAlignment="1">
      <alignment horizontal="left" vertical="center" wrapText="1"/>
    </xf>
    <xf numFmtId="0" fontId="15" fillId="0" borderId="16" xfId="0" applyFont="1" applyFill="1" applyBorder="1" applyAlignment="1">
      <alignment vertical="center" wrapText="1"/>
    </xf>
    <xf numFmtId="0" fontId="11" fillId="0" borderId="19" xfId="0" applyFont="1" applyFill="1" applyBorder="1" applyAlignment="1">
      <alignment horizontal="left" vertical="center" wrapText="1"/>
    </xf>
    <xf numFmtId="0" fontId="11" fillId="0" borderId="20" xfId="0" applyFont="1" applyFill="1" applyBorder="1" applyAlignment="1"/>
    <xf numFmtId="0" fontId="11" fillId="0" borderId="17" xfId="0" applyFont="1" applyBorder="1" applyAlignment="1">
      <alignment horizontal="center"/>
    </xf>
    <xf numFmtId="0" fontId="18" fillId="0" borderId="18" xfId="0" applyFont="1" applyBorder="1" applyAlignment="1">
      <alignment horizontal="center"/>
    </xf>
    <xf numFmtId="0" fontId="18" fillId="0" borderId="13" xfId="0" applyFont="1" applyBorder="1" applyAlignment="1">
      <alignment horizontal="center" vertical="center" wrapText="1"/>
    </xf>
    <xf numFmtId="0" fontId="11" fillId="0" borderId="19" xfId="0" applyFont="1" applyFill="1" applyBorder="1"/>
    <xf numFmtId="0" fontId="5" fillId="0" borderId="39" xfId="0" applyFont="1" applyBorder="1" applyAlignment="1">
      <alignment horizontal="left" vertical="center" wrapText="1"/>
    </xf>
    <xf numFmtId="0" fontId="5" fillId="0" borderId="40" xfId="0" applyFont="1" applyBorder="1" applyAlignment="1">
      <alignment horizontal="left" vertical="center" wrapText="1"/>
    </xf>
    <xf numFmtId="0" fontId="11" fillId="3" borderId="50" xfId="0" applyFont="1" applyFill="1" applyBorder="1" applyAlignment="1">
      <alignment horizontal="left" vertical="center"/>
    </xf>
    <xf numFmtId="0" fontId="11" fillId="3" borderId="51" xfId="0" applyFont="1" applyFill="1" applyBorder="1" applyAlignment="1">
      <alignment horizontal="left" vertical="center"/>
    </xf>
    <xf numFmtId="0" fontId="11" fillId="3" borderId="52" xfId="0" applyFont="1" applyFill="1" applyBorder="1" applyAlignment="1">
      <alignment horizontal="left" vertical="center"/>
    </xf>
    <xf numFmtId="0" fontId="11" fillId="3" borderId="54" xfId="0" applyFont="1" applyFill="1" applyBorder="1" applyAlignment="1">
      <alignment wrapText="1"/>
    </xf>
    <xf numFmtId="0" fontId="11" fillId="3" borderId="51" xfId="0" applyFont="1" applyFill="1" applyBorder="1" applyAlignment="1">
      <alignment wrapText="1"/>
    </xf>
    <xf numFmtId="0" fontId="11" fillId="3" borderId="55" xfId="0" applyFont="1" applyFill="1" applyBorder="1" applyAlignment="1">
      <alignment wrapText="1"/>
    </xf>
    <xf numFmtId="0" fontId="11" fillId="0" borderId="50" xfId="0" applyFont="1" applyBorder="1" applyAlignment="1">
      <alignment horizontal="left" vertical="center"/>
    </xf>
    <xf numFmtId="0" fontId="11" fillId="0" borderId="51" xfId="0" applyFont="1" applyBorder="1" applyAlignment="1">
      <alignment horizontal="left" vertical="center"/>
    </xf>
    <xf numFmtId="0" fontId="11" fillId="0" borderId="52" xfId="0" applyFont="1" applyBorder="1" applyAlignment="1">
      <alignment horizontal="left" vertical="center"/>
    </xf>
    <xf numFmtId="0" fontId="11" fillId="0" borderId="20" xfId="0" applyFont="1" applyBorder="1" applyAlignment="1"/>
    <xf numFmtId="0" fontId="19" fillId="0" borderId="21" xfId="0" applyFont="1" applyBorder="1" applyAlignment="1">
      <alignment horizontal="left"/>
    </xf>
    <xf numFmtId="0" fontId="11" fillId="0" borderId="22" xfId="0" applyFont="1" applyBorder="1" applyAlignment="1">
      <alignment horizontal="left"/>
    </xf>
    <xf numFmtId="49" fontId="11" fillId="0" borderId="23" xfId="0" applyNumberFormat="1" applyFont="1" applyBorder="1" applyAlignment="1">
      <alignment horizontal="justify" vertical="center" wrapText="1"/>
    </xf>
    <xf numFmtId="0" fontId="20" fillId="0" borderId="22" xfId="0" applyFont="1" applyBorder="1" applyAlignment="1">
      <alignment horizontal="center" vertical="center"/>
    </xf>
    <xf numFmtId="0" fontId="20" fillId="0" borderId="19" xfId="0" applyFont="1" applyBorder="1" applyAlignment="1">
      <alignment horizontal="center" vertical="center"/>
    </xf>
    <xf numFmtId="0" fontId="20" fillId="0" borderId="25" xfId="0" applyFont="1" applyBorder="1" applyAlignment="1">
      <alignment horizontal="center" vertical="center" wrapText="1"/>
    </xf>
    <xf numFmtId="0" fontId="20" fillId="0" borderId="26" xfId="0" applyFont="1" applyBorder="1" applyAlignment="1">
      <alignment horizontal="center" vertical="center"/>
    </xf>
    <xf numFmtId="0" fontId="5" fillId="0" borderId="22" xfId="0" applyFont="1" applyBorder="1"/>
    <xf numFmtId="0" fontId="20" fillId="0" borderId="16" xfId="0" applyFont="1" applyBorder="1" applyAlignment="1">
      <alignment vertical="center" wrapText="1"/>
    </xf>
    <xf numFmtId="0" fontId="5" fillId="0" borderId="26" xfId="0" applyFont="1" applyBorder="1" applyAlignment="1">
      <alignment vertical="center" wrapText="1"/>
    </xf>
    <xf numFmtId="0" fontId="5" fillId="0" borderId="48" xfId="0" applyFont="1" applyBorder="1" applyAlignment="1">
      <alignment horizontal="left" vertical="center" wrapText="1" indent="1"/>
    </xf>
    <xf numFmtId="0" fontId="11" fillId="0" borderId="38" xfId="0" applyFont="1" applyBorder="1" applyAlignment="1">
      <alignment horizontal="center"/>
    </xf>
    <xf numFmtId="0" fontId="11" fillId="0" borderId="38" xfId="0" applyFont="1" applyBorder="1" applyAlignment="1">
      <alignment horizontal="center" vertical="center"/>
    </xf>
    <xf numFmtId="0" fontId="11" fillId="0" borderId="43" xfId="0" applyFont="1" applyBorder="1" applyAlignment="1">
      <alignment horizontal="left" vertical="center"/>
    </xf>
    <xf numFmtId="0" fontId="20" fillId="0" borderId="46" xfId="0" applyFont="1" applyBorder="1" applyAlignment="1">
      <alignment horizontal="left" vertical="center" wrapText="1"/>
    </xf>
    <xf numFmtId="0" fontId="18" fillId="4" borderId="16" xfId="0" applyFont="1" applyFill="1" applyBorder="1" applyAlignment="1">
      <alignment horizontal="left" vertical="center"/>
    </xf>
  </cellXfs>
  <cellStyles count="3">
    <cellStyle name="Moneda" xfId="1" builtinId="4"/>
    <cellStyle name="Moneda_AUTORIZACION Y NOTA DE PEDIDO"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6EDBCCBC-A5D7-4F6E-B19D-1D7F6E4EBCF0}"/>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C8B2281C-E18F-4241-A337-997AE3875297}"/>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817DB5A8-6390-46BE-AC58-3E6F30D4AEDF}"/>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9527F9E-0E95-4E47-B18B-2739E17981D6}"/>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2"/>
  <sheetViews>
    <sheetView tabSelected="1" workbookViewId="0">
      <selection activeCell="H21" sqref="H21"/>
    </sheetView>
  </sheetViews>
  <sheetFormatPr baseColWidth="10" defaultRowHeight="15" x14ac:dyDescent="0.25"/>
  <cols>
    <col min="1" max="1" width="4.5703125" customWidth="1"/>
    <col min="2" max="2" width="15" customWidth="1"/>
    <col min="3" max="3" width="23" customWidth="1"/>
    <col min="4" max="4" width="8.42578125" customWidth="1"/>
    <col min="5" max="5" width="67.7109375" customWidth="1"/>
    <col min="6" max="6" width="11"/>
    <col min="7" max="7" width="12.7109375" customWidth="1"/>
    <col min="8" max="8" width="13.85546875" customWidth="1"/>
    <col min="9" max="9" width="17.5703125" customWidth="1"/>
  </cols>
  <sheetData>
    <row r="1" spans="1:10" ht="27" x14ac:dyDescent="0.35">
      <c r="A1" s="1"/>
      <c r="B1" s="97" t="s">
        <v>5</v>
      </c>
      <c r="C1" s="97"/>
      <c r="D1" s="97"/>
      <c r="E1" s="97"/>
      <c r="F1" s="97"/>
      <c r="G1" s="97"/>
      <c r="H1" s="97"/>
      <c r="I1" s="1"/>
    </row>
    <row r="2" spans="1:10" x14ac:dyDescent="0.25">
      <c r="A2" s="1"/>
      <c r="B2" s="1"/>
      <c r="C2" s="1"/>
      <c r="D2" s="1"/>
      <c r="E2" s="1"/>
      <c r="F2" s="1"/>
      <c r="G2" s="1"/>
      <c r="H2" s="1"/>
      <c r="I2" s="1"/>
    </row>
    <row r="3" spans="1:10" ht="15.75" x14ac:dyDescent="0.25">
      <c r="A3" s="94" t="s">
        <v>0</v>
      </c>
      <c r="B3" s="94"/>
      <c r="C3" s="98" t="s">
        <v>11</v>
      </c>
      <c r="D3" s="98"/>
      <c r="E3" s="98"/>
      <c r="F3" s="5"/>
      <c r="G3" s="13"/>
      <c r="H3" s="5"/>
      <c r="I3" s="1"/>
    </row>
    <row r="4" spans="1:10" ht="15.75" x14ac:dyDescent="0.25">
      <c r="A4" s="94" t="s">
        <v>1</v>
      </c>
      <c r="B4" s="94"/>
      <c r="C4" s="98" t="s">
        <v>12</v>
      </c>
      <c r="D4" s="98"/>
      <c r="E4" s="98"/>
      <c r="F4" s="5"/>
      <c r="G4" s="13"/>
      <c r="H4" s="5"/>
      <c r="I4" s="1"/>
    </row>
    <row r="5" spans="1:10" ht="15.75" x14ac:dyDescent="0.25">
      <c r="A5" s="94" t="s">
        <v>2</v>
      </c>
      <c r="B5" s="94"/>
      <c r="C5" s="12">
        <v>2022</v>
      </c>
      <c r="D5" s="18"/>
      <c r="E5" s="18"/>
      <c r="F5" s="5"/>
      <c r="G5" s="13"/>
      <c r="H5" s="5"/>
      <c r="I5" s="1"/>
    </row>
    <row r="6" spans="1:10" ht="15.75" x14ac:dyDescent="0.25">
      <c r="A6" s="94" t="s">
        <v>3</v>
      </c>
      <c r="B6" s="94"/>
      <c r="C6" s="12">
        <v>1</v>
      </c>
      <c r="D6" s="18"/>
      <c r="E6" s="18"/>
      <c r="F6" s="5"/>
      <c r="G6" s="13"/>
      <c r="H6" s="5"/>
      <c r="I6" s="1"/>
    </row>
    <row r="7" spans="1:10" ht="15.75" x14ac:dyDescent="0.25">
      <c r="A7" s="73"/>
      <c r="B7" s="73"/>
      <c r="C7" s="74"/>
      <c r="D7" s="18"/>
      <c r="E7" s="18"/>
      <c r="F7" s="5"/>
      <c r="G7" s="13"/>
      <c r="H7" s="5"/>
      <c r="I7" s="1"/>
    </row>
    <row r="8" spans="1:10" x14ac:dyDescent="0.25">
      <c r="A8" s="1"/>
      <c r="B8" s="5"/>
      <c r="C8" s="13"/>
      <c r="D8" s="5"/>
      <c r="E8" s="5"/>
      <c r="F8" s="5"/>
      <c r="G8" s="13"/>
      <c r="H8" s="5"/>
      <c r="I8" s="1"/>
    </row>
    <row r="9" spans="1:10" ht="15.75" thickBot="1" x14ac:dyDescent="0.3">
      <c r="A9" s="1"/>
      <c r="B9" s="5"/>
      <c r="C9" s="13"/>
      <c r="D9" s="5"/>
      <c r="E9" s="5"/>
      <c r="F9" s="5"/>
      <c r="G9" s="13"/>
      <c r="H9" s="5"/>
      <c r="I9" s="1"/>
    </row>
    <row r="10" spans="1:10" ht="44.25" thickTop="1" thickBot="1" x14ac:dyDescent="0.3">
      <c r="A10" s="2" t="s">
        <v>4</v>
      </c>
      <c r="B10" s="2" t="s">
        <v>6</v>
      </c>
      <c r="C10" s="2" t="s">
        <v>13</v>
      </c>
      <c r="D10" s="2" t="s">
        <v>14</v>
      </c>
      <c r="E10" s="2" t="s">
        <v>15</v>
      </c>
      <c r="F10" s="2" t="s">
        <v>16</v>
      </c>
      <c r="G10" s="2" t="s">
        <v>18</v>
      </c>
      <c r="H10" s="2" t="s">
        <v>19</v>
      </c>
      <c r="I10" s="2" t="s">
        <v>20</v>
      </c>
    </row>
    <row r="11" spans="1:10" ht="24.75" thickTop="1" x14ac:dyDescent="0.25">
      <c r="A11" s="75">
        <v>1</v>
      </c>
      <c r="B11" s="76" t="s">
        <v>54</v>
      </c>
      <c r="C11" s="79" t="s">
        <v>55</v>
      </c>
      <c r="D11" s="84" t="s">
        <v>59</v>
      </c>
      <c r="E11" s="78" t="s">
        <v>56</v>
      </c>
      <c r="F11" s="85" t="s">
        <v>17</v>
      </c>
      <c r="G11" s="86">
        <v>54</v>
      </c>
      <c r="H11" s="87">
        <v>26225</v>
      </c>
      <c r="I11" s="87">
        <f t="shared" ref="I11:I12" si="0">G11*H11</f>
        <v>1416150</v>
      </c>
      <c r="J11" s="88"/>
    </row>
    <row r="12" spans="1:10" ht="24" x14ac:dyDescent="0.25">
      <c r="A12" s="75">
        <v>2</v>
      </c>
      <c r="B12" s="76" t="s">
        <v>58</v>
      </c>
      <c r="C12" s="79" t="s">
        <v>55</v>
      </c>
      <c r="D12" s="84" t="s">
        <v>59</v>
      </c>
      <c r="E12" s="78" t="s">
        <v>57</v>
      </c>
      <c r="F12" s="85" t="s">
        <v>17</v>
      </c>
      <c r="G12" s="86">
        <v>54</v>
      </c>
      <c r="H12" s="87">
        <v>21255</v>
      </c>
      <c r="I12" s="87">
        <f t="shared" si="0"/>
        <v>1147770</v>
      </c>
    </row>
    <row r="13" spans="1:10" ht="16.5" thickBot="1" x14ac:dyDescent="0.3">
      <c r="A13" s="4"/>
      <c r="B13" s="29"/>
      <c r="C13" s="14"/>
      <c r="D13" s="28"/>
      <c r="E13" s="77"/>
      <c r="F13" s="77"/>
      <c r="G13" s="77"/>
      <c r="H13" s="80"/>
      <c r="I13" s="80"/>
    </row>
    <row r="14" spans="1:10" x14ac:dyDescent="0.25">
      <c r="A14" s="1"/>
      <c r="B14" s="7" t="s">
        <v>60</v>
      </c>
      <c r="C14" s="15"/>
      <c r="D14" s="15"/>
      <c r="E14" s="20"/>
      <c r="F14" s="1"/>
      <c r="G14" s="1"/>
      <c r="H14" s="1"/>
      <c r="I14" s="1"/>
    </row>
    <row r="15" spans="1:10" x14ac:dyDescent="0.25">
      <c r="A15" s="1"/>
      <c r="B15" s="8" t="s">
        <v>61</v>
      </c>
      <c r="C15" s="1"/>
      <c r="D15" s="1"/>
      <c r="E15" s="21"/>
      <c r="F15" s="1"/>
      <c r="G15" s="1"/>
      <c r="H15" s="81"/>
      <c r="I15" s="1"/>
    </row>
    <row r="16" spans="1:10" x14ac:dyDescent="0.25">
      <c r="A16" s="1"/>
      <c r="B16" s="9" t="s">
        <v>7</v>
      </c>
      <c r="C16" s="1"/>
      <c r="D16" s="1"/>
      <c r="E16" s="21"/>
      <c r="F16" s="1"/>
      <c r="G16" s="1"/>
      <c r="H16" s="1"/>
      <c r="I16" s="1"/>
    </row>
    <row r="17" spans="1:13" x14ac:dyDescent="0.25">
      <c r="A17" s="1"/>
      <c r="B17" s="9"/>
      <c r="C17" s="90" t="s">
        <v>70</v>
      </c>
      <c r="D17" s="90"/>
      <c r="E17" s="91"/>
      <c r="F17" s="1"/>
      <c r="G17" s="1"/>
      <c r="H17" s="1"/>
      <c r="I17" s="1"/>
    </row>
    <row r="18" spans="1:13" x14ac:dyDescent="0.25">
      <c r="A18" s="1"/>
      <c r="B18" s="9" t="s">
        <v>8</v>
      </c>
      <c r="C18" s="1"/>
      <c r="D18" s="1"/>
      <c r="E18" s="21"/>
      <c r="F18" s="1"/>
      <c r="G18" s="1"/>
      <c r="H18" s="1"/>
      <c r="I18" s="1"/>
    </row>
    <row r="19" spans="1:13" x14ac:dyDescent="0.25">
      <c r="A19" s="1"/>
      <c r="B19" s="10"/>
      <c r="C19" s="95" t="s">
        <v>64</v>
      </c>
      <c r="D19" s="95"/>
      <c r="E19" s="96"/>
      <c r="F19" s="1"/>
      <c r="G19" s="1"/>
      <c r="H19" s="1"/>
      <c r="I19" s="1"/>
    </row>
    <row r="20" spans="1:13" ht="63" customHeight="1" x14ac:dyDescent="0.25">
      <c r="A20" s="1"/>
      <c r="B20" s="10"/>
      <c r="C20" s="95"/>
      <c r="D20" s="95"/>
      <c r="E20" s="96"/>
      <c r="F20" s="1"/>
      <c r="G20" s="1"/>
      <c r="H20" s="1"/>
      <c r="I20" s="1"/>
      <c r="J20" s="1"/>
      <c r="K20" s="1"/>
      <c r="L20" s="1"/>
      <c r="M20" s="1"/>
    </row>
    <row r="21" spans="1:13" ht="15" customHeight="1" x14ac:dyDescent="0.25">
      <c r="A21" s="1"/>
      <c r="B21" s="9" t="s">
        <v>9</v>
      </c>
      <c r="C21" s="1"/>
      <c r="D21" s="1"/>
      <c r="E21" s="21"/>
      <c r="F21" s="1"/>
      <c r="G21" s="1"/>
      <c r="H21" s="1"/>
      <c r="I21" s="1"/>
      <c r="J21" s="1"/>
      <c r="K21" s="1"/>
      <c r="L21" s="1"/>
      <c r="M21" s="1"/>
    </row>
    <row r="22" spans="1:13" ht="15" customHeight="1" x14ac:dyDescent="0.25">
      <c r="A22" s="1"/>
      <c r="B22" s="10"/>
      <c r="C22" s="90"/>
      <c r="D22" s="90"/>
      <c r="E22" s="91"/>
      <c r="F22" s="1"/>
      <c r="G22" s="1"/>
      <c r="H22" s="1"/>
      <c r="I22" s="1"/>
      <c r="J22" s="1"/>
      <c r="K22" s="1"/>
      <c r="L22" s="1"/>
      <c r="M22" s="1"/>
    </row>
    <row r="23" spans="1:13" ht="15" customHeight="1" x14ac:dyDescent="0.25">
      <c r="A23" s="1"/>
      <c r="B23" s="9" t="s">
        <v>69</v>
      </c>
      <c r="C23" s="16"/>
      <c r="D23" s="16"/>
      <c r="E23" s="22"/>
      <c r="F23" s="1"/>
      <c r="G23" s="1"/>
      <c r="H23" s="1"/>
      <c r="I23" s="1"/>
      <c r="J23" s="1"/>
      <c r="K23" s="1"/>
      <c r="L23" s="1"/>
      <c r="M23" s="1"/>
    </row>
    <row r="24" spans="1:13" ht="15" customHeight="1" x14ac:dyDescent="0.25">
      <c r="A24" s="1"/>
      <c r="B24" s="10"/>
      <c r="C24" s="90"/>
      <c r="D24" s="90"/>
      <c r="E24" s="91"/>
      <c r="F24" s="1"/>
      <c r="G24" s="1"/>
      <c r="H24" s="1"/>
      <c r="I24" s="1"/>
      <c r="J24" s="1"/>
      <c r="K24" s="1"/>
      <c r="L24" s="1"/>
      <c r="M24" s="1"/>
    </row>
    <row r="25" spans="1:13" ht="15" customHeight="1" x14ac:dyDescent="0.25">
      <c r="A25" s="1"/>
      <c r="B25" s="9" t="s">
        <v>10</v>
      </c>
      <c r="C25" s="1"/>
      <c r="D25" s="1"/>
      <c r="E25" s="21"/>
      <c r="F25" s="1"/>
      <c r="G25" s="1"/>
      <c r="H25" s="1"/>
      <c r="I25" s="1"/>
      <c r="J25" s="1"/>
      <c r="K25" s="1"/>
      <c r="L25" s="1"/>
      <c r="M25" s="1"/>
    </row>
    <row r="26" spans="1:13" ht="15" customHeight="1" x14ac:dyDescent="0.25">
      <c r="A26" s="1"/>
      <c r="B26" s="9"/>
      <c r="C26" s="90"/>
      <c r="D26" s="92"/>
      <c r="E26" s="93"/>
      <c r="F26" s="1"/>
      <c r="G26" s="1"/>
      <c r="H26" s="1"/>
      <c r="I26" s="1"/>
      <c r="J26" s="1"/>
      <c r="K26" s="1"/>
      <c r="L26" s="1"/>
      <c r="M26" s="1"/>
    </row>
    <row r="27" spans="1:13" ht="15.75" customHeight="1" thickBot="1" x14ac:dyDescent="0.3">
      <c r="A27" s="1"/>
      <c r="B27" s="11"/>
      <c r="C27" s="17"/>
      <c r="D27" s="17"/>
      <c r="E27" s="23"/>
      <c r="F27" s="1"/>
      <c r="G27" s="1"/>
      <c r="H27" s="1"/>
      <c r="I27" s="1"/>
      <c r="J27" s="1"/>
      <c r="K27" s="1"/>
      <c r="L27" s="1"/>
      <c r="M27" s="1"/>
    </row>
    <row r="28" spans="1:13" ht="15.75" thickBot="1" x14ac:dyDescent="0.3">
      <c r="A28" s="4"/>
      <c r="B28" s="29"/>
      <c r="C28" s="14"/>
      <c r="D28" s="27"/>
      <c r="E28" s="19"/>
      <c r="F28" s="6"/>
      <c r="G28" s="6"/>
      <c r="H28" s="25"/>
      <c r="I28" s="25"/>
    </row>
    <row r="29" spans="1:13" x14ac:dyDescent="0.25">
      <c r="A29" s="1"/>
      <c r="B29" s="7" t="s">
        <v>62</v>
      </c>
      <c r="C29" s="15"/>
      <c r="D29" s="15"/>
      <c r="E29" s="20"/>
      <c r="F29" s="1"/>
      <c r="G29" s="1"/>
      <c r="H29" s="1"/>
      <c r="I29" s="1"/>
    </row>
    <row r="30" spans="1:13" x14ac:dyDescent="0.25">
      <c r="A30" s="1"/>
      <c r="B30" s="8" t="s">
        <v>67</v>
      </c>
      <c r="C30" s="1"/>
      <c r="D30" s="1"/>
      <c r="E30" s="21"/>
      <c r="F30" s="1"/>
      <c r="G30" s="1"/>
      <c r="H30" s="81"/>
      <c r="I30" s="1"/>
    </row>
    <row r="31" spans="1:13" x14ac:dyDescent="0.25">
      <c r="A31" s="1"/>
      <c r="B31" s="9" t="s">
        <v>7</v>
      </c>
      <c r="C31" s="1"/>
      <c r="D31" s="1"/>
      <c r="E31" s="21"/>
      <c r="F31" s="1"/>
      <c r="G31" s="1"/>
      <c r="H31" s="1"/>
      <c r="I31" s="1"/>
    </row>
    <row r="32" spans="1:13" x14ac:dyDescent="0.25">
      <c r="A32" s="1"/>
      <c r="B32" s="9"/>
      <c r="C32" s="90" t="s">
        <v>70</v>
      </c>
      <c r="D32" s="90"/>
      <c r="E32" s="91"/>
      <c r="F32" s="1"/>
      <c r="G32" s="1"/>
      <c r="H32" s="1"/>
      <c r="I32" s="1"/>
    </row>
    <row r="33" spans="1:13" x14ac:dyDescent="0.25">
      <c r="A33" s="1"/>
      <c r="B33" s="9" t="s">
        <v>8</v>
      </c>
      <c r="C33" s="1"/>
      <c r="D33" s="1"/>
      <c r="E33" s="21"/>
      <c r="F33" s="1"/>
      <c r="G33" s="1"/>
      <c r="H33" s="1"/>
      <c r="I33" s="1"/>
    </row>
    <row r="34" spans="1:13" ht="15" customHeight="1" x14ac:dyDescent="0.25">
      <c r="A34" s="1"/>
      <c r="B34" s="10"/>
      <c r="C34" s="95" t="s">
        <v>64</v>
      </c>
      <c r="D34" s="95"/>
      <c r="E34" s="96"/>
      <c r="F34" s="1"/>
      <c r="G34" s="1"/>
      <c r="H34" s="1"/>
      <c r="I34" s="1"/>
    </row>
    <row r="35" spans="1:13" ht="63" customHeight="1" x14ac:dyDescent="0.25">
      <c r="A35" s="1"/>
      <c r="B35" s="10"/>
      <c r="C35" s="95"/>
      <c r="D35" s="95"/>
      <c r="E35" s="96"/>
      <c r="F35" s="1"/>
      <c r="G35" s="1"/>
      <c r="H35" s="1"/>
      <c r="I35" s="1"/>
      <c r="J35" s="1"/>
      <c r="K35" s="1"/>
      <c r="L35" s="1"/>
      <c r="M35" s="1"/>
    </row>
    <row r="36" spans="1:13" ht="15" customHeight="1" x14ac:dyDescent="0.25">
      <c r="A36" s="1"/>
      <c r="B36" s="9" t="s">
        <v>9</v>
      </c>
      <c r="C36" s="1"/>
      <c r="D36" s="1"/>
      <c r="E36" s="21"/>
      <c r="F36" s="1"/>
      <c r="G36" s="1"/>
      <c r="H36" s="1"/>
      <c r="I36" s="1"/>
      <c r="J36" s="1"/>
      <c r="K36" s="1"/>
      <c r="L36" s="1"/>
      <c r="M36" s="1"/>
    </row>
    <row r="37" spans="1:13" ht="15" customHeight="1" x14ac:dyDescent="0.25">
      <c r="A37" s="1"/>
      <c r="B37" s="10"/>
      <c r="C37" s="90"/>
      <c r="D37" s="90"/>
      <c r="E37" s="91"/>
      <c r="F37" s="1"/>
      <c r="G37" s="1"/>
      <c r="H37" s="1"/>
      <c r="I37" s="1"/>
      <c r="J37" s="1"/>
      <c r="K37" s="1"/>
      <c r="L37" s="1"/>
      <c r="M37" s="1"/>
    </row>
    <row r="38" spans="1:13" ht="15" customHeight="1" x14ac:dyDescent="0.25">
      <c r="A38" s="1"/>
      <c r="B38" s="9" t="s">
        <v>69</v>
      </c>
      <c r="C38" s="16"/>
      <c r="D38" s="16"/>
      <c r="E38" s="22"/>
      <c r="F38" s="1"/>
      <c r="G38" s="1"/>
      <c r="H38" s="1"/>
      <c r="I38" s="1"/>
      <c r="J38" s="1"/>
      <c r="K38" s="1"/>
      <c r="L38" s="1"/>
      <c r="M38" s="1"/>
    </row>
    <row r="39" spans="1:13" ht="15" customHeight="1" x14ac:dyDescent="0.25">
      <c r="A39" s="1"/>
      <c r="B39" s="10"/>
      <c r="C39" s="90"/>
      <c r="D39" s="90"/>
      <c r="E39" s="91"/>
      <c r="F39" s="1"/>
      <c r="G39" s="1"/>
      <c r="H39" s="1"/>
      <c r="I39" s="1"/>
      <c r="J39" s="1"/>
      <c r="K39" s="1"/>
      <c r="L39" s="1"/>
      <c r="M39" s="1"/>
    </row>
    <row r="40" spans="1:13" ht="15" customHeight="1" x14ac:dyDescent="0.25">
      <c r="A40" s="1"/>
      <c r="B40" s="9" t="s">
        <v>10</v>
      </c>
      <c r="C40" s="1"/>
      <c r="D40" s="1"/>
      <c r="E40" s="21"/>
      <c r="F40" s="1"/>
      <c r="G40" s="1"/>
      <c r="H40" s="1"/>
      <c r="I40" s="1"/>
      <c r="J40" s="1"/>
      <c r="K40" s="1"/>
      <c r="L40" s="1"/>
      <c r="M40" s="1"/>
    </row>
    <row r="41" spans="1:13" ht="15" customHeight="1" x14ac:dyDescent="0.25">
      <c r="A41" s="1"/>
      <c r="B41" s="9"/>
      <c r="C41" s="90"/>
      <c r="D41" s="92"/>
      <c r="E41" s="93"/>
      <c r="F41" s="1"/>
      <c r="G41" s="1"/>
      <c r="H41" s="1"/>
      <c r="I41" s="1"/>
      <c r="J41" s="1"/>
      <c r="K41" s="1"/>
      <c r="L41" s="1"/>
      <c r="M41" s="1"/>
    </row>
    <row r="42" spans="1:13" ht="15.75" customHeight="1" thickBot="1" x14ac:dyDescent="0.3">
      <c r="A42" s="1"/>
      <c r="B42" s="11"/>
      <c r="C42" s="17"/>
      <c r="D42" s="17"/>
      <c r="E42" s="23"/>
      <c r="F42" s="1"/>
      <c r="G42" s="1"/>
      <c r="H42" s="1"/>
      <c r="I42" s="1"/>
      <c r="J42" s="1"/>
      <c r="K42" s="1"/>
      <c r="L42" s="1"/>
      <c r="M42" s="1"/>
    </row>
  </sheetData>
  <autoFilter ref="A10:I12"/>
  <mergeCells count="17">
    <mergeCell ref="C32:E32"/>
    <mergeCell ref="C34:E35"/>
    <mergeCell ref="C37:E37"/>
    <mergeCell ref="C39:E39"/>
    <mergeCell ref="C41:E41"/>
    <mergeCell ref="B1:H1"/>
    <mergeCell ref="A3:B3"/>
    <mergeCell ref="C3:E3"/>
    <mergeCell ref="A4:B4"/>
    <mergeCell ref="C4:E4"/>
    <mergeCell ref="C24:E24"/>
    <mergeCell ref="C26:E26"/>
    <mergeCell ref="A5:B5"/>
    <mergeCell ref="A6:B6"/>
    <mergeCell ref="C17:E17"/>
    <mergeCell ref="C19:E20"/>
    <mergeCell ref="C22:E22"/>
  </mergeCells>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4"/>
  <sheetViews>
    <sheetView workbookViewId="0">
      <selection activeCell="G15" sqref="G15"/>
    </sheetView>
  </sheetViews>
  <sheetFormatPr baseColWidth="10" defaultRowHeight="15" x14ac:dyDescent="0.25"/>
  <cols>
    <col min="1" max="1" width="4.5703125" customWidth="1"/>
    <col min="2" max="2" width="25.42578125" customWidth="1"/>
    <col min="3" max="3" width="39.140625" customWidth="1"/>
    <col min="4" max="4" width="15.5703125" customWidth="1"/>
    <col min="5" max="5" width="17.7109375" customWidth="1"/>
    <col min="6" max="6" width="13.85546875" customWidth="1"/>
    <col min="7" max="7" width="12.7109375" customWidth="1"/>
  </cols>
  <sheetData>
    <row r="1" spans="1:1024" ht="16.5" customHeight="1" thickBot="1" x14ac:dyDescent="0.3">
      <c r="A1" s="104" t="s">
        <v>21</v>
      </c>
      <c r="B1" s="105"/>
      <c r="C1" s="105"/>
      <c r="D1" s="105"/>
      <c r="E1" s="105"/>
      <c r="F1" s="106"/>
      <c r="G1" s="145" t="s">
        <v>71</v>
      </c>
    </row>
    <row r="2" spans="1:1024" ht="15.75" thickBot="1" x14ac:dyDescent="0.3">
      <c r="A2" s="72"/>
      <c r="B2" s="67"/>
      <c r="C2" s="67"/>
      <c r="D2" s="67"/>
      <c r="E2" s="67"/>
      <c r="F2" s="67"/>
      <c r="G2" s="26"/>
    </row>
    <row r="3" spans="1:1024" ht="15.75" customHeight="1" thickBot="1" x14ac:dyDescent="0.3">
      <c r="A3" s="103" t="s">
        <v>22</v>
      </c>
      <c r="B3" s="103"/>
      <c r="C3" s="111" t="s">
        <v>11</v>
      </c>
      <c r="D3" s="111"/>
      <c r="E3" s="111"/>
      <c r="F3" s="111"/>
      <c r="G3" s="111"/>
    </row>
    <row r="4" spans="1:1024" ht="15.75" customHeight="1" thickBot="1" x14ac:dyDescent="0.3">
      <c r="A4" s="103" t="s">
        <v>24</v>
      </c>
      <c r="B4" s="103"/>
      <c r="C4" s="108" t="s">
        <v>12</v>
      </c>
      <c r="D4" s="108"/>
      <c r="E4" s="108"/>
      <c r="F4" s="108"/>
      <c r="G4" s="108"/>
    </row>
    <row r="5" spans="1:1024" ht="18" customHeight="1" thickBot="1" x14ac:dyDescent="0.3">
      <c r="A5" s="103" t="s">
        <v>25</v>
      </c>
      <c r="B5" s="103"/>
      <c r="C5" s="109" t="s">
        <v>23</v>
      </c>
      <c r="D5" s="109"/>
      <c r="E5" s="109"/>
      <c r="F5" s="109"/>
      <c r="G5" s="109"/>
    </row>
    <row r="6" spans="1:1024" ht="15.75" customHeight="1" thickBot="1" x14ac:dyDescent="0.3">
      <c r="A6" s="103" t="s">
        <v>26</v>
      </c>
      <c r="B6" s="103"/>
      <c r="C6" s="110" t="s">
        <v>23</v>
      </c>
      <c r="D6" s="110"/>
      <c r="E6" s="110"/>
      <c r="F6" s="110"/>
      <c r="G6" s="110"/>
    </row>
    <row r="7" spans="1:1024" ht="15.75" customHeight="1" thickBot="1" x14ac:dyDescent="0.3">
      <c r="A7" s="103" t="s">
        <v>27</v>
      </c>
      <c r="B7" s="103"/>
      <c r="C7" s="107" t="s">
        <v>53</v>
      </c>
      <c r="D7" s="107"/>
      <c r="E7" s="107"/>
      <c r="F7" s="107"/>
      <c r="G7" s="107"/>
    </row>
    <row r="8" spans="1:1024" ht="15.75" customHeight="1" thickBot="1" x14ac:dyDescent="0.3">
      <c r="A8" s="103" t="s">
        <v>28</v>
      </c>
      <c r="B8" s="103"/>
      <c r="C8" s="107" t="s">
        <v>68</v>
      </c>
      <c r="D8" s="107"/>
      <c r="E8" s="107"/>
      <c r="F8" s="107"/>
      <c r="G8" s="107"/>
    </row>
    <row r="9" spans="1:1024" ht="15.75" thickBot="1" x14ac:dyDescent="0.3">
      <c r="A9" s="100"/>
      <c r="B9" s="101"/>
      <c r="C9" s="101"/>
      <c r="D9" s="101"/>
      <c r="E9" s="101"/>
      <c r="F9" s="101"/>
      <c r="G9" s="102"/>
    </row>
    <row r="10" spans="1:1024" ht="76.5" customHeight="1" thickBot="1" x14ac:dyDescent="0.3">
      <c r="A10" s="70" t="s">
        <v>4</v>
      </c>
      <c r="B10" s="70" t="s">
        <v>6</v>
      </c>
      <c r="C10" s="70" t="s">
        <v>15</v>
      </c>
      <c r="D10" s="71" t="s">
        <v>29</v>
      </c>
      <c r="E10" s="70" t="s">
        <v>16</v>
      </c>
      <c r="F10" s="70" t="s">
        <v>19</v>
      </c>
      <c r="G10" s="70" t="s">
        <v>18</v>
      </c>
    </row>
    <row r="11" spans="1:1024" ht="24" customHeight="1" x14ac:dyDescent="0.25">
      <c r="A11" s="3">
        <v>1</v>
      </c>
      <c r="B11" s="76" t="s">
        <v>54</v>
      </c>
      <c r="C11" s="78" t="s">
        <v>56</v>
      </c>
      <c r="D11" s="68" t="s">
        <v>63</v>
      </c>
      <c r="E11" s="24" t="s">
        <v>17</v>
      </c>
      <c r="F11" s="69">
        <v>26225</v>
      </c>
      <c r="G11" s="24">
        <v>54</v>
      </c>
      <c r="M11" s="82"/>
      <c r="N11" s="82"/>
      <c r="O11" s="83"/>
      <c r="P11" s="82"/>
      <c r="Q11" s="82"/>
      <c r="R11" s="82"/>
      <c r="S11" s="82"/>
      <c r="T11" s="82"/>
      <c r="U11" s="82"/>
      <c r="V11" s="82"/>
      <c r="W11" s="82"/>
      <c r="X11" s="82"/>
      <c r="Y11" s="82"/>
      <c r="Z11" s="82"/>
      <c r="AA11" s="82"/>
      <c r="AB11" s="82"/>
      <c r="AC11" s="82"/>
      <c r="AD11" s="82"/>
      <c r="AE11" s="82"/>
      <c r="AF11" s="82"/>
      <c r="AG11" s="82"/>
      <c r="AH11" s="82"/>
      <c r="AI11" s="82"/>
      <c r="AJ11" s="82"/>
      <c r="AK11" s="82"/>
      <c r="AL11" s="82"/>
      <c r="AM11" s="82"/>
      <c r="AN11" s="82"/>
      <c r="AO11" s="82"/>
      <c r="AP11" s="82"/>
      <c r="AQ11" s="82"/>
      <c r="AR11" s="82"/>
      <c r="AS11" s="82"/>
      <c r="AT11" s="82"/>
      <c r="AU11" s="82"/>
      <c r="AV11" s="82"/>
      <c r="AW11" s="82"/>
      <c r="AX11" s="82"/>
      <c r="AY11" s="82"/>
      <c r="AZ11" s="82"/>
      <c r="BA11" s="82"/>
      <c r="BB11" s="82"/>
      <c r="BC11" s="82"/>
      <c r="BD11" s="82"/>
      <c r="BE11" s="82"/>
      <c r="BF11" s="82"/>
      <c r="BG11" s="82"/>
      <c r="BH11" s="82"/>
      <c r="BI11" s="82"/>
      <c r="BJ11" s="82"/>
      <c r="BK11" s="82"/>
      <c r="BL11" s="82"/>
      <c r="BM11" s="82"/>
      <c r="BN11" s="82"/>
      <c r="BO11" s="82"/>
      <c r="BP11" s="82"/>
      <c r="BQ11" s="82"/>
      <c r="BR11" s="82"/>
      <c r="BS11" s="82"/>
      <c r="BT11" s="82"/>
      <c r="BU11" s="82"/>
      <c r="BV11" s="82"/>
      <c r="BW11" s="82"/>
      <c r="BX11" s="82"/>
      <c r="BY11" s="82"/>
      <c r="BZ11" s="82"/>
      <c r="CA11" s="82"/>
      <c r="CB11" s="82"/>
      <c r="CC11" s="82"/>
      <c r="CD11" s="82"/>
      <c r="CE11" s="82"/>
      <c r="CF11" s="82"/>
      <c r="CG11" s="82"/>
      <c r="CH11" s="82"/>
      <c r="CI11" s="82"/>
      <c r="CJ11" s="82"/>
      <c r="CK11" s="82"/>
      <c r="CL11" s="82"/>
      <c r="CM11" s="82"/>
      <c r="CN11" s="82"/>
      <c r="CO11" s="82"/>
      <c r="CP11" s="82"/>
      <c r="CQ11" s="82"/>
      <c r="CR11" s="82"/>
      <c r="CS11" s="82"/>
      <c r="CT11" s="82"/>
      <c r="CU11" s="82"/>
      <c r="CV11" s="82"/>
      <c r="CW11" s="82"/>
      <c r="CX11" s="82"/>
      <c r="CY11" s="82"/>
      <c r="CZ11" s="82"/>
      <c r="DA11" s="82"/>
      <c r="DB11" s="82"/>
      <c r="DC11" s="82"/>
      <c r="DD11" s="82"/>
      <c r="DE11" s="82"/>
      <c r="DF11" s="82"/>
      <c r="DG11" s="82"/>
      <c r="DH11" s="82"/>
      <c r="DI11" s="82"/>
      <c r="DJ11" s="82"/>
      <c r="DK11" s="82"/>
      <c r="DL11" s="82"/>
      <c r="DM11" s="82"/>
      <c r="DN11" s="82"/>
      <c r="DO11" s="82"/>
      <c r="DP11" s="82"/>
      <c r="DQ11" s="82"/>
      <c r="DR11" s="82"/>
      <c r="DS11" s="82"/>
      <c r="DT11" s="82"/>
      <c r="DU11" s="82"/>
      <c r="DV11" s="82"/>
      <c r="DW11" s="82"/>
      <c r="DX11" s="82"/>
      <c r="DY11" s="82"/>
      <c r="DZ11" s="82"/>
      <c r="EA11" s="82"/>
      <c r="EB11" s="82"/>
      <c r="EC11" s="82"/>
      <c r="ED11" s="82"/>
      <c r="EE11" s="82"/>
      <c r="EF11" s="82"/>
      <c r="EG11" s="82"/>
      <c r="EH11" s="82"/>
      <c r="EI11" s="82"/>
      <c r="EJ11" s="82"/>
      <c r="EK11" s="82"/>
      <c r="EL11" s="82"/>
      <c r="EM11" s="82"/>
      <c r="EN11" s="82"/>
      <c r="EO11" s="82"/>
      <c r="EP11" s="82"/>
      <c r="EQ11" s="82"/>
      <c r="ER11" s="82"/>
      <c r="ES11" s="82"/>
      <c r="ET11" s="82"/>
      <c r="EU11" s="82"/>
      <c r="EV11" s="82"/>
      <c r="EW11" s="82"/>
      <c r="EX11" s="82"/>
      <c r="EY11" s="82"/>
      <c r="EZ11" s="82"/>
      <c r="FA11" s="82"/>
      <c r="FB11" s="82"/>
      <c r="FC11" s="82"/>
      <c r="FD11" s="82"/>
      <c r="FE11" s="82"/>
      <c r="FF11" s="82"/>
      <c r="FG11" s="82"/>
      <c r="FH11" s="82"/>
      <c r="FI11" s="82"/>
      <c r="FJ11" s="82"/>
      <c r="FK11" s="82"/>
      <c r="FL11" s="82"/>
      <c r="FM11" s="82"/>
      <c r="FN11" s="82"/>
      <c r="FO11" s="82"/>
      <c r="FP11" s="82"/>
      <c r="FQ11" s="82"/>
      <c r="FR11" s="82"/>
      <c r="FS11" s="82"/>
      <c r="FT11" s="82"/>
      <c r="FU11" s="82"/>
      <c r="FV11" s="82"/>
      <c r="FW11" s="82"/>
      <c r="FX11" s="82"/>
      <c r="FY11" s="82"/>
      <c r="FZ11" s="82"/>
      <c r="GA11" s="82"/>
      <c r="GB11" s="82"/>
      <c r="GC11" s="82"/>
      <c r="GD11" s="82"/>
      <c r="GE11" s="82"/>
      <c r="GF11" s="82"/>
      <c r="GG11" s="82"/>
      <c r="GH11" s="82"/>
      <c r="GI11" s="82"/>
      <c r="GJ11" s="82"/>
      <c r="GK11" s="82"/>
      <c r="GL11" s="82"/>
      <c r="GM11" s="82"/>
      <c r="GN11" s="82"/>
      <c r="GO11" s="82"/>
      <c r="GP11" s="82"/>
      <c r="GQ11" s="82"/>
      <c r="GR11" s="82"/>
      <c r="GS11" s="82"/>
      <c r="GT11" s="82"/>
      <c r="GU11" s="82"/>
      <c r="GV11" s="82"/>
      <c r="GW11" s="82"/>
      <c r="GX11" s="82"/>
      <c r="GY11" s="82"/>
      <c r="GZ11" s="82"/>
      <c r="HA11" s="82"/>
      <c r="HB11" s="82"/>
      <c r="HC11" s="82"/>
      <c r="HD11" s="82"/>
      <c r="HE11" s="82"/>
      <c r="HF11" s="82"/>
      <c r="HG11" s="82"/>
      <c r="HH11" s="82"/>
      <c r="HI11" s="82"/>
      <c r="HJ11" s="82"/>
      <c r="HK11" s="82"/>
      <c r="HL11" s="82"/>
      <c r="HM11" s="82"/>
      <c r="HN11" s="82"/>
      <c r="HO11" s="82"/>
      <c r="HP11" s="82"/>
      <c r="HQ11" s="82"/>
      <c r="HR11" s="82"/>
      <c r="HS11" s="82"/>
      <c r="HT11" s="82"/>
      <c r="HU11" s="82"/>
      <c r="HV11" s="82"/>
      <c r="HW11" s="82"/>
      <c r="HX11" s="82"/>
      <c r="HY11" s="82"/>
      <c r="HZ11" s="82"/>
      <c r="IA11" s="82"/>
      <c r="IB11" s="82"/>
      <c r="IC11" s="82"/>
      <c r="ID11" s="82"/>
      <c r="IE11" s="82"/>
      <c r="IF11" s="82"/>
      <c r="IG11" s="82"/>
      <c r="IH11" s="82"/>
      <c r="II11" s="82"/>
      <c r="IJ11" s="82"/>
      <c r="IK11" s="82"/>
      <c r="IL11" s="82"/>
      <c r="IM11" s="82"/>
      <c r="IN11" s="82"/>
      <c r="IO11" s="82"/>
      <c r="IP11" s="82"/>
      <c r="IQ11" s="82"/>
      <c r="IR11" s="82"/>
      <c r="IS11" s="82"/>
      <c r="IT11" s="82"/>
      <c r="IU11" s="82"/>
      <c r="IV11" s="82"/>
      <c r="IW11" s="82"/>
      <c r="IX11" s="82"/>
      <c r="IY11" s="82"/>
      <c r="IZ11" s="82"/>
      <c r="JA11" s="82"/>
      <c r="JB11" s="82"/>
      <c r="JC11" s="82"/>
      <c r="JD11" s="82"/>
      <c r="JE11" s="82"/>
      <c r="JF11" s="82"/>
      <c r="JG11" s="82"/>
      <c r="JH11" s="82"/>
      <c r="JI11" s="82"/>
      <c r="JJ11" s="82"/>
      <c r="JK11" s="82"/>
      <c r="JL11" s="82"/>
      <c r="JM11" s="82"/>
      <c r="JN11" s="82"/>
      <c r="JO11" s="82"/>
      <c r="JP11" s="82"/>
      <c r="JQ11" s="82"/>
      <c r="JR11" s="82"/>
      <c r="JS11" s="82"/>
      <c r="JT11" s="82"/>
      <c r="JU11" s="82"/>
      <c r="JV11" s="82"/>
      <c r="JW11" s="82"/>
      <c r="JX11" s="82"/>
      <c r="JY11" s="82"/>
      <c r="JZ11" s="82"/>
      <c r="KA11" s="82"/>
      <c r="KB11" s="82"/>
      <c r="KC11" s="82"/>
      <c r="KD11" s="82"/>
      <c r="KE11" s="82"/>
      <c r="KF11" s="82"/>
      <c r="KG11" s="82"/>
      <c r="KH11" s="82"/>
      <c r="KI11" s="82"/>
      <c r="KJ11" s="82"/>
      <c r="KK11" s="82"/>
      <c r="KL11" s="82"/>
      <c r="KM11" s="82"/>
      <c r="KN11" s="82"/>
      <c r="KO11" s="82"/>
      <c r="KP11" s="82"/>
      <c r="KQ11" s="82"/>
      <c r="KR11" s="82"/>
      <c r="KS11" s="82"/>
      <c r="KT11" s="82"/>
      <c r="KU11" s="82"/>
      <c r="KV11" s="82"/>
      <c r="KW11" s="82"/>
      <c r="KX11" s="82"/>
      <c r="KY11" s="82"/>
      <c r="KZ11" s="82"/>
      <c r="LA11" s="82"/>
      <c r="LB11" s="82"/>
      <c r="LC11" s="82"/>
      <c r="LD11" s="82"/>
      <c r="LE11" s="82"/>
      <c r="LF11" s="82"/>
      <c r="LG11" s="82"/>
      <c r="LH11" s="82"/>
      <c r="LI11" s="82"/>
      <c r="LJ11" s="82"/>
      <c r="LK11" s="82"/>
      <c r="LL11" s="82"/>
      <c r="LM11" s="82"/>
      <c r="LN11" s="82"/>
      <c r="LO11" s="82"/>
      <c r="LP11" s="82"/>
      <c r="LQ11" s="82"/>
      <c r="LR11" s="82"/>
      <c r="LS11" s="82"/>
      <c r="LT11" s="82"/>
      <c r="LU11" s="82"/>
      <c r="LV11" s="82"/>
      <c r="LW11" s="82"/>
      <c r="LX11" s="82"/>
      <c r="LY11" s="82"/>
      <c r="LZ11" s="82"/>
      <c r="MA11" s="82"/>
      <c r="MB11" s="82"/>
      <c r="MC11" s="82"/>
      <c r="MD11" s="82"/>
      <c r="ME11" s="82"/>
      <c r="MF11" s="82"/>
      <c r="MG11" s="82"/>
      <c r="MH11" s="82"/>
      <c r="MI11" s="82"/>
      <c r="MJ11" s="82"/>
      <c r="MK11" s="82"/>
      <c r="ML11" s="82"/>
      <c r="MM11" s="82"/>
      <c r="MN11" s="82"/>
      <c r="MO11" s="82"/>
      <c r="MP11" s="82"/>
      <c r="MQ11" s="82"/>
      <c r="MR11" s="82"/>
      <c r="MS11" s="82"/>
      <c r="MT11" s="82"/>
      <c r="MU11" s="82"/>
      <c r="MV11" s="82"/>
      <c r="MW11" s="82"/>
      <c r="MX11" s="82"/>
      <c r="MY11" s="82"/>
      <c r="MZ11" s="82"/>
      <c r="NA11" s="82"/>
      <c r="NB11" s="82"/>
      <c r="NC11" s="82"/>
      <c r="ND11" s="82"/>
      <c r="NE11" s="82"/>
      <c r="NF11" s="82"/>
      <c r="NG11" s="82"/>
      <c r="NH11" s="82"/>
      <c r="NI11" s="82"/>
      <c r="NJ11" s="82"/>
      <c r="NK11" s="82"/>
      <c r="NL11" s="82"/>
      <c r="NM11" s="82"/>
      <c r="NN11" s="82"/>
      <c r="NO11" s="82"/>
      <c r="NP11" s="82"/>
      <c r="NQ11" s="82"/>
      <c r="NR11" s="82"/>
      <c r="NS11" s="82"/>
      <c r="NT11" s="82"/>
      <c r="NU11" s="82"/>
      <c r="NV11" s="82"/>
      <c r="NW11" s="82"/>
      <c r="NX11" s="82"/>
      <c r="NY11" s="82"/>
      <c r="NZ11" s="82"/>
      <c r="OA11" s="82"/>
      <c r="OB11" s="82"/>
      <c r="OC11" s="82"/>
      <c r="OD11" s="82"/>
      <c r="OE11" s="82"/>
      <c r="OF11" s="82"/>
      <c r="OG11" s="82"/>
      <c r="OH11" s="82"/>
      <c r="OI11" s="82"/>
      <c r="OJ11" s="82"/>
      <c r="OK11" s="82"/>
      <c r="OL11" s="82"/>
      <c r="OM11" s="82"/>
      <c r="ON11" s="82"/>
      <c r="OO11" s="82"/>
      <c r="OP11" s="82"/>
      <c r="OQ11" s="82"/>
      <c r="OR11" s="82"/>
      <c r="OS11" s="82"/>
      <c r="OT11" s="82"/>
      <c r="OU11" s="82"/>
      <c r="OV11" s="82"/>
      <c r="OW11" s="82"/>
      <c r="OX11" s="82"/>
      <c r="OY11" s="82"/>
      <c r="OZ11" s="82"/>
      <c r="PA11" s="82"/>
      <c r="PB11" s="82"/>
      <c r="PC11" s="82"/>
      <c r="PD11" s="82"/>
      <c r="PE11" s="82"/>
      <c r="PF11" s="82"/>
      <c r="PG11" s="82"/>
      <c r="PH11" s="82"/>
      <c r="PI11" s="82"/>
      <c r="PJ11" s="82"/>
      <c r="PK11" s="82"/>
      <c r="PL11" s="82"/>
      <c r="PM11" s="82"/>
      <c r="PN11" s="82"/>
      <c r="PO11" s="82"/>
      <c r="PP11" s="82"/>
      <c r="PQ11" s="82"/>
      <c r="PR11" s="82"/>
      <c r="PS11" s="82"/>
      <c r="PT11" s="82"/>
      <c r="PU11" s="82"/>
      <c r="PV11" s="82"/>
      <c r="PW11" s="82"/>
      <c r="PX11" s="82"/>
      <c r="PY11" s="82"/>
      <c r="PZ11" s="82"/>
      <c r="QA11" s="82"/>
      <c r="QB11" s="82"/>
      <c r="QC11" s="82"/>
      <c r="QD11" s="82"/>
      <c r="QE11" s="82"/>
      <c r="QF11" s="82"/>
      <c r="QG11" s="82"/>
      <c r="QH11" s="82"/>
      <c r="QI11" s="82"/>
      <c r="QJ11" s="82"/>
      <c r="QK11" s="82"/>
      <c r="QL11" s="82"/>
      <c r="QM11" s="82"/>
      <c r="QN11" s="82"/>
      <c r="QO11" s="82"/>
      <c r="QP11" s="82"/>
      <c r="QQ11" s="82"/>
      <c r="QR11" s="82"/>
      <c r="QS11" s="82"/>
      <c r="QT11" s="82"/>
      <c r="QU11" s="82"/>
      <c r="QV11" s="82"/>
      <c r="QW11" s="82"/>
      <c r="QX11" s="82"/>
      <c r="QY11" s="82"/>
      <c r="QZ11" s="82"/>
      <c r="RA11" s="82"/>
      <c r="RB11" s="82"/>
      <c r="RC11" s="82"/>
      <c r="RD11" s="82"/>
      <c r="RE11" s="82"/>
      <c r="RF11" s="82"/>
      <c r="RG11" s="82"/>
      <c r="RH11" s="82"/>
      <c r="RI11" s="82"/>
      <c r="RJ11" s="82"/>
      <c r="RK11" s="82"/>
      <c r="RL11" s="82"/>
      <c r="RM11" s="82"/>
      <c r="RN11" s="82"/>
      <c r="RO11" s="82"/>
      <c r="RP11" s="82"/>
      <c r="RQ11" s="82"/>
      <c r="RR11" s="82"/>
      <c r="RS11" s="82"/>
      <c r="RT11" s="82"/>
      <c r="RU11" s="82"/>
      <c r="RV11" s="82"/>
      <c r="RW11" s="82"/>
      <c r="RX11" s="82"/>
      <c r="RY11" s="82"/>
      <c r="RZ11" s="82"/>
      <c r="SA11" s="82"/>
      <c r="SB11" s="82"/>
      <c r="SC11" s="82"/>
      <c r="SD11" s="82"/>
      <c r="SE11" s="82"/>
      <c r="SF11" s="82"/>
      <c r="SG11" s="82"/>
      <c r="SH11" s="82"/>
      <c r="SI11" s="82"/>
      <c r="SJ11" s="82"/>
      <c r="SK11" s="82"/>
      <c r="SL11" s="82"/>
      <c r="SM11" s="82"/>
      <c r="SN11" s="82"/>
      <c r="SO11" s="82"/>
      <c r="SP11" s="82"/>
      <c r="SQ11" s="82"/>
      <c r="SR11" s="82"/>
      <c r="SS11" s="82"/>
      <c r="ST11" s="82"/>
      <c r="SU11" s="82"/>
      <c r="SV11" s="82"/>
      <c r="SW11" s="82"/>
      <c r="SX11" s="82"/>
      <c r="SY11" s="82"/>
      <c r="SZ11" s="82"/>
      <c r="TA11" s="82"/>
      <c r="TB11" s="82"/>
      <c r="TC11" s="82"/>
      <c r="TD11" s="82"/>
      <c r="TE11" s="82"/>
      <c r="TF11" s="82"/>
      <c r="TG11" s="82"/>
      <c r="TH11" s="82"/>
      <c r="TI11" s="82"/>
      <c r="TJ11" s="82"/>
      <c r="TK11" s="82"/>
      <c r="TL11" s="82"/>
      <c r="TM11" s="82"/>
      <c r="TN11" s="82"/>
      <c r="TO11" s="82"/>
      <c r="TP11" s="82"/>
      <c r="TQ11" s="82"/>
      <c r="TR11" s="82"/>
      <c r="TS11" s="82"/>
      <c r="TT11" s="82"/>
      <c r="TU11" s="82"/>
      <c r="TV11" s="82"/>
      <c r="TW11" s="82"/>
      <c r="TX11" s="82"/>
      <c r="TY11" s="82"/>
      <c r="TZ11" s="82"/>
      <c r="UA11" s="82"/>
      <c r="UB11" s="82"/>
      <c r="UC11" s="82"/>
      <c r="UD11" s="82"/>
      <c r="UE11" s="82"/>
      <c r="UF11" s="82"/>
      <c r="UG11" s="82"/>
      <c r="UH11" s="82"/>
      <c r="UI11" s="82"/>
      <c r="UJ11" s="82"/>
      <c r="UK11" s="82"/>
      <c r="UL11" s="82"/>
      <c r="UM11" s="82"/>
      <c r="UN11" s="82"/>
      <c r="UO11" s="82"/>
      <c r="UP11" s="82"/>
      <c r="UQ11" s="82"/>
      <c r="UR11" s="82"/>
      <c r="US11" s="82"/>
      <c r="UT11" s="82"/>
      <c r="UU11" s="82"/>
      <c r="UV11" s="82"/>
      <c r="UW11" s="82"/>
      <c r="UX11" s="82"/>
      <c r="UY11" s="82"/>
      <c r="UZ11" s="82"/>
      <c r="VA11" s="82"/>
      <c r="VB11" s="82"/>
      <c r="VC11" s="82"/>
      <c r="VD11" s="82"/>
      <c r="VE11" s="82"/>
      <c r="VF11" s="82"/>
      <c r="VG11" s="82"/>
      <c r="VH11" s="82"/>
      <c r="VI11" s="82"/>
      <c r="VJ11" s="82"/>
      <c r="VK11" s="82"/>
      <c r="VL11" s="82"/>
      <c r="VM11" s="82"/>
      <c r="VN11" s="82"/>
      <c r="VO11" s="82"/>
      <c r="VP11" s="82"/>
      <c r="VQ11" s="82"/>
      <c r="VR11" s="82"/>
      <c r="VS11" s="82"/>
      <c r="VT11" s="82"/>
      <c r="VU11" s="82"/>
      <c r="VV11" s="82"/>
      <c r="VW11" s="82"/>
      <c r="VX11" s="82"/>
      <c r="VY11" s="82"/>
      <c r="VZ11" s="82"/>
      <c r="WA11" s="82"/>
      <c r="WB11" s="82"/>
      <c r="WC11" s="82"/>
      <c r="WD11" s="82"/>
      <c r="WE11" s="82"/>
      <c r="WF11" s="82"/>
      <c r="WG11" s="82"/>
      <c r="WH11" s="82"/>
      <c r="WI11" s="82"/>
      <c r="WJ11" s="82"/>
      <c r="WK11" s="82"/>
      <c r="WL11" s="82"/>
      <c r="WM11" s="82"/>
      <c r="WN11" s="82"/>
      <c r="WO11" s="82"/>
      <c r="WP11" s="82"/>
      <c r="WQ11" s="82"/>
      <c r="WR11" s="82"/>
      <c r="WS11" s="82"/>
      <c r="WT11" s="82"/>
      <c r="WU11" s="82"/>
      <c r="WV11" s="82"/>
      <c r="WW11" s="82"/>
      <c r="WX11" s="82"/>
      <c r="WY11" s="82"/>
      <c r="WZ11" s="82"/>
      <c r="XA11" s="82"/>
      <c r="XB11" s="82"/>
      <c r="XC11" s="82"/>
      <c r="XD11" s="82"/>
      <c r="XE11" s="82"/>
      <c r="XF11" s="82"/>
      <c r="XG11" s="82"/>
      <c r="XH11" s="82"/>
      <c r="XI11" s="82"/>
      <c r="XJ11" s="82"/>
      <c r="XK11" s="82"/>
      <c r="XL11" s="82"/>
      <c r="XM11" s="82"/>
      <c r="XN11" s="82"/>
      <c r="XO11" s="82"/>
      <c r="XP11" s="82"/>
      <c r="XQ11" s="82"/>
      <c r="XR11" s="82"/>
      <c r="XS11" s="82"/>
      <c r="XT11" s="82"/>
      <c r="XU11" s="82"/>
      <c r="XV11" s="82"/>
      <c r="XW11" s="82"/>
      <c r="XX11" s="82"/>
      <c r="XY11" s="82"/>
      <c r="XZ11" s="82"/>
      <c r="YA11" s="82"/>
      <c r="YB11" s="82"/>
      <c r="YC11" s="82"/>
      <c r="YD11" s="82"/>
      <c r="YE11" s="82"/>
      <c r="YF11" s="82"/>
      <c r="YG11" s="82"/>
      <c r="YH11" s="82"/>
      <c r="YI11" s="82"/>
      <c r="YJ11" s="82"/>
      <c r="YK11" s="82"/>
      <c r="YL11" s="82"/>
      <c r="YM11" s="82"/>
      <c r="YN11" s="82"/>
      <c r="YO11" s="82"/>
      <c r="YP11" s="82"/>
      <c r="YQ11" s="82"/>
      <c r="YR11" s="82"/>
      <c r="YS11" s="82"/>
      <c r="YT11" s="82"/>
      <c r="YU11" s="82"/>
      <c r="YV11" s="82"/>
      <c r="YW11" s="82"/>
      <c r="YX11" s="82"/>
      <c r="YY11" s="82"/>
      <c r="YZ11" s="82"/>
      <c r="ZA11" s="82"/>
      <c r="ZB11" s="82"/>
      <c r="ZC11" s="82"/>
      <c r="ZD11" s="82"/>
      <c r="ZE11" s="82"/>
      <c r="ZF11" s="82"/>
      <c r="ZG11" s="82"/>
      <c r="ZH11" s="82"/>
      <c r="ZI11" s="82"/>
      <c r="ZJ11" s="82"/>
      <c r="ZK11" s="82"/>
      <c r="ZL11" s="82"/>
      <c r="ZM11" s="82"/>
      <c r="ZN11" s="82"/>
      <c r="ZO11" s="82"/>
      <c r="ZP11" s="82"/>
      <c r="ZQ11" s="82"/>
      <c r="ZR11" s="82"/>
      <c r="ZS11" s="82"/>
      <c r="ZT11" s="82"/>
      <c r="ZU11" s="82"/>
      <c r="ZV11" s="82"/>
      <c r="ZW11" s="82"/>
      <c r="ZX11" s="82"/>
      <c r="ZY11" s="82"/>
      <c r="ZZ11" s="82"/>
      <c r="AAA11" s="82"/>
      <c r="AAB11" s="82"/>
      <c r="AAC11" s="82"/>
      <c r="AAD11" s="82"/>
      <c r="AAE11" s="82"/>
      <c r="AAF11" s="82"/>
      <c r="AAG11" s="82"/>
      <c r="AAH11" s="82"/>
      <c r="AAI11" s="82"/>
      <c r="AAJ11" s="82"/>
      <c r="AAK11" s="82"/>
      <c r="AAL11" s="82"/>
      <c r="AAM11" s="82"/>
      <c r="AAN11" s="82"/>
      <c r="AAO11" s="82"/>
      <c r="AAP11" s="82"/>
      <c r="AAQ11" s="82"/>
      <c r="AAR11" s="82"/>
      <c r="AAS11" s="82"/>
      <c r="AAT11" s="82"/>
      <c r="AAU11" s="82"/>
      <c r="AAV11" s="82"/>
      <c r="AAW11" s="82"/>
      <c r="AAX11" s="82"/>
      <c r="AAY11" s="82"/>
      <c r="AAZ11" s="82"/>
      <c r="ABA11" s="82"/>
      <c r="ABB11" s="82"/>
      <c r="ABC11" s="82"/>
      <c r="ABD11" s="82"/>
      <c r="ABE11" s="82"/>
      <c r="ABF11" s="82"/>
      <c r="ABG11" s="82"/>
      <c r="ABH11" s="82"/>
      <c r="ABI11" s="82"/>
      <c r="ABJ11" s="82"/>
      <c r="ABK11" s="82"/>
      <c r="ABL11" s="82"/>
      <c r="ABM11" s="82"/>
      <c r="ABN11" s="82"/>
      <c r="ABO11" s="82"/>
      <c r="ABP11" s="82"/>
      <c r="ABQ11" s="82"/>
      <c r="ABR11" s="82"/>
      <c r="ABS11" s="82"/>
      <c r="ABT11" s="82"/>
      <c r="ABU11" s="82"/>
      <c r="ABV11" s="82"/>
      <c r="ABW11" s="82"/>
      <c r="ABX11" s="82"/>
      <c r="ABY11" s="82"/>
      <c r="ABZ11" s="82"/>
      <c r="ACA11" s="82"/>
      <c r="ACB11" s="82"/>
      <c r="ACC11" s="82"/>
      <c r="ACD11" s="82"/>
      <c r="ACE11" s="82"/>
      <c r="ACF11" s="82"/>
      <c r="ACG11" s="82"/>
      <c r="ACH11" s="82"/>
      <c r="ACI11" s="82"/>
      <c r="ACJ11" s="82"/>
      <c r="ACK11" s="82"/>
      <c r="ACL11" s="82"/>
      <c r="ACM11" s="82"/>
      <c r="ACN11" s="82"/>
      <c r="ACO11" s="82"/>
      <c r="ACP11" s="82"/>
      <c r="ACQ11" s="82"/>
      <c r="ACR11" s="82"/>
      <c r="ACS11" s="82"/>
      <c r="ACT11" s="82"/>
      <c r="ACU11" s="82"/>
      <c r="ACV11" s="82"/>
      <c r="ACW11" s="82"/>
      <c r="ACX11" s="82"/>
      <c r="ACY11" s="82"/>
      <c r="ACZ11" s="82"/>
      <c r="ADA11" s="82"/>
      <c r="ADB11" s="82"/>
      <c r="ADC11" s="82"/>
      <c r="ADD11" s="82"/>
      <c r="ADE11" s="82"/>
      <c r="ADF11" s="82"/>
      <c r="ADG11" s="82"/>
      <c r="ADH11" s="82"/>
      <c r="ADI11" s="82"/>
      <c r="ADJ11" s="82"/>
      <c r="ADK11" s="82"/>
      <c r="ADL11" s="82"/>
      <c r="ADM11" s="82"/>
      <c r="ADN11" s="82"/>
      <c r="ADO11" s="82"/>
      <c r="ADP11" s="82"/>
      <c r="ADQ11" s="82"/>
      <c r="ADR11" s="82"/>
      <c r="ADS11" s="82"/>
      <c r="ADT11" s="82"/>
      <c r="ADU11" s="82"/>
      <c r="ADV11" s="82"/>
      <c r="ADW11" s="82"/>
      <c r="ADX11" s="82"/>
      <c r="ADY11" s="82"/>
      <c r="ADZ11" s="82"/>
      <c r="AEA11" s="82"/>
      <c r="AEB11" s="82"/>
      <c r="AEC11" s="82"/>
      <c r="AED11" s="82"/>
      <c r="AEE11" s="82"/>
      <c r="AEF11" s="82"/>
      <c r="AEG11" s="82"/>
      <c r="AEH11" s="82"/>
      <c r="AEI11" s="82"/>
      <c r="AEJ11" s="82"/>
      <c r="AEK11" s="82"/>
      <c r="AEL11" s="82"/>
      <c r="AEM11" s="82"/>
      <c r="AEN11" s="82"/>
      <c r="AEO11" s="82"/>
      <c r="AEP11" s="82"/>
      <c r="AEQ11" s="82"/>
      <c r="AER11" s="82"/>
      <c r="AES11" s="82"/>
      <c r="AET11" s="82"/>
      <c r="AEU11" s="82"/>
      <c r="AEV11" s="82"/>
      <c r="AEW11" s="82"/>
      <c r="AEX11" s="82"/>
      <c r="AEY11" s="82"/>
      <c r="AEZ11" s="82"/>
      <c r="AFA11" s="82"/>
      <c r="AFB11" s="82"/>
      <c r="AFC11" s="82"/>
      <c r="AFD11" s="82"/>
      <c r="AFE11" s="82"/>
      <c r="AFF11" s="82"/>
      <c r="AFG11" s="82"/>
      <c r="AFH11" s="82"/>
      <c r="AFI11" s="82"/>
      <c r="AFJ11" s="82"/>
      <c r="AFK11" s="82"/>
      <c r="AFL11" s="82"/>
      <c r="AFM11" s="82"/>
      <c r="AFN11" s="82"/>
      <c r="AFO11" s="82"/>
      <c r="AFP11" s="82"/>
      <c r="AFQ11" s="82"/>
      <c r="AFR11" s="82"/>
      <c r="AFS11" s="82"/>
      <c r="AFT11" s="82"/>
      <c r="AFU11" s="82"/>
      <c r="AFV11" s="82"/>
      <c r="AFW11" s="82"/>
      <c r="AFX11" s="82"/>
      <c r="AFY11" s="82"/>
      <c r="AFZ11" s="82"/>
      <c r="AGA11" s="82"/>
      <c r="AGB11" s="82"/>
      <c r="AGC11" s="82"/>
      <c r="AGD11" s="82"/>
      <c r="AGE11" s="82"/>
      <c r="AGF11" s="82"/>
      <c r="AGG11" s="82"/>
      <c r="AGH11" s="82"/>
      <c r="AGI11" s="82"/>
      <c r="AGJ11" s="82"/>
      <c r="AGK11" s="82"/>
      <c r="AGL11" s="82"/>
      <c r="AGM11" s="82"/>
      <c r="AGN11" s="82"/>
      <c r="AGO11" s="82"/>
      <c r="AGP11" s="82"/>
      <c r="AGQ11" s="82"/>
      <c r="AGR11" s="82"/>
      <c r="AGS11" s="82"/>
      <c r="AGT11" s="82"/>
      <c r="AGU11" s="82"/>
      <c r="AGV11" s="82"/>
      <c r="AGW11" s="82"/>
      <c r="AGX11" s="82"/>
      <c r="AGY11" s="82"/>
      <c r="AGZ11" s="82"/>
      <c r="AHA11" s="82"/>
      <c r="AHB11" s="82"/>
      <c r="AHC11" s="82"/>
      <c r="AHD11" s="82"/>
      <c r="AHE11" s="82"/>
      <c r="AHF11" s="82"/>
      <c r="AHG11" s="82"/>
      <c r="AHH11" s="82"/>
      <c r="AHI11" s="82"/>
      <c r="AHJ11" s="82"/>
      <c r="AHK11" s="82"/>
      <c r="AHL11" s="82"/>
      <c r="AHM11" s="82"/>
      <c r="AHN11" s="82"/>
      <c r="AHO11" s="82"/>
      <c r="AHP11" s="82"/>
      <c r="AHQ11" s="82"/>
      <c r="AHR11" s="82"/>
      <c r="AHS11" s="82"/>
      <c r="AHT11" s="82"/>
      <c r="AHU11" s="82"/>
      <c r="AHV11" s="82"/>
      <c r="AHW11" s="82"/>
      <c r="AHX11" s="82"/>
      <c r="AHY11" s="82"/>
      <c r="AHZ11" s="82"/>
      <c r="AIA11" s="82"/>
      <c r="AIB11" s="82"/>
      <c r="AIC11" s="82"/>
      <c r="AID11" s="82"/>
      <c r="AIE11" s="82"/>
      <c r="AIF11" s="82"/>
      <c r="AIG11" s="82"/>
      <c r="AIH11" s="82"/>
      <c r="AII11" s="82"/>
      <c r="AIJ11" s="82"/>
      <c r="AIK11" s="82"/>
      <c r="AIL11" s="82"/>
      <c r="AIM11" s="82"/>
      <c r="AIN11" s="82"/>
      <c r="AIO11" s="82"/>
      <c r="AIP11" s="82"/>
      <c r="AIQ11" s="82"/>
      <c r="AIR11" s="82"/>
      <c r="AIS11" s="82"/>
      <c r="AIT11" s="82"/>
      <c r="AIU11" s="82"/>
      <c r="AIV11" s="82"/>
      <c r="AIW11" s="82"/>
      <c r="AIX11" s="82"/>
      <c r="AIY11" s="82"/>
      <c r="AIZ11" s="82"/>
      <c r="AJA11" s="82"/>
      <c r="AJB11" s="82"/>
      <c r="AJC11" s="82"/>
      <c r="AJD11" s="82"/>
      <c r="AJE11" s="82"/>
      <c r="AJF11" s="82"/>
      <c r="AJG11" s="82"/>
      <c r="AJH11" s="82"/>
      <c r="AJI11" s="82"/>
      <c r="AJJ11" s="82"/>
      <c r="AJK11" s="82"/>
      <c r="AJL11" s="82"/>
      <c r="AJM11" s="82"/>
      <c r="AJN11" s="82"/>
      <c r="AJO11" s="82"/>
      <c r="AJP11" s="82"/>
      <c r="AJQ11" s="82"/>
      <c r="AJR11" s="82"/>
      <c r="AJS11" s="82"/>
      <c r="AJT11" s="82"/>
      <c r="AJU11" s="82"/>
      <c r="AJV11" s="82"/>
      <c r="AJW11" s="82"/>
      <c r="AJX11" s="82"/>
      <c r="AJY11" s="82"/>
      <c r="AJZ11" s="82"/>
      <c r="AKA11" s="82"/>
      <c r="AKB11" s="82"/>
      <c r="AKC11" s="82"/>
      <c r="AKD11" s="82"/>
      <c r="AKE11" s="82"/>
      <c r="AKF11" s="82"/>
      <c r="AKG11" s="82"/>
      <c r="AKH11" s="82"/>
      <c r="AKI11" s="82"/>
      <c r="AKJ11" s="82"/>
      <c r="AKK11" s="82"/>
      <c r="AKL11" s="82"/>
      <c r="AKM11" s="82"/>
      <c r="AKN11" s="82"/>
      <c r="AKO11" s="82"/>
      <c r="AKP11" s="82"/>
      <c r="AKQ11" s="82"/>
      <c r="AKR11" s="82"/>
      <c r="AKS11" s="82"/>
      <c r="AKT11" s="82"/>
      <c r="AKU11" s="82"/>
      <c r="AKV11" s="82"/>
      <c r="AKW11" s="82"/>
      <c r="AKX11" s="82"/>
      <c r="AKY11" s="82"/>
      <c r="AKZ11" s="82"/>
      <c r="ALA11" s="82"/>
      <c r="ALB11" s="82"/>
      <c r="ALC11" s="82"/>
      <c r="ALD11" s="82"/>
      <c r="ALE11" s="82"/>
      <c r="ALF11" s="82"/>
      <c r="ALG11" s="82"/>
      <c r="ALH11" s="82"/>
      <c r="ALI11" s="82"/>
      <c r="ALJ11" s="82"/>
      <c r="ALK11" s="82"/>
      <c r="ALL11" s="82"/>
      <c r="ALM11" s="82"/>
      <c r="ALN11" s="82"/>
      <c r="ALO11" s="82"/>
      <c r="ALP11" s="82"/>
      <c r="ALQ11" s="82"/>
      <c r="ALR11" s="82"/>
      <c r="ALS11" s="82"/>
      <c r="ALT11" s="82"/>
      <c r="ALU11" s="82"/>
      <c r="ALV11" s="82"/>
      <c r="ALW11" s="82"/>
      <c r="ALX11" s="82"/>
      <c r="ALY11" s="82"/>
      <c r="ALZ11" s="82"/>
      <c r="AMA11" s="82"/>
      <c r="AMB11" s="82"/>
      <c r="AMC11" s="82"/>
      <c r="AMD11" s="82"/>
      <c r="AME11" s="82"/>
      <c r="AMF11" s="82"/>
      <c r="AMG11" s="82"/>
      <c r="AMH11" s="82"/>
      <c r="AMI11" s="82"/>
      <c r="AMJ11" s="82"/>
    </row>
    <row r="12" spans="1:1024" ht="24" customHeight="1" x14ac:dyDescent="0.25">
      <c r="A12" s="3">
        <v>2</v>
      </c>
      <c r="B12" s="76" t="s">
        <v>58</v>
      </c>
      <c r="C12" s="78" t="s">
        <v>57</v>
      </c>
      <c r="D12" s="68" t="s">
        <v>63</v>
      </c>
      <c r="E12" s="24" t="s">
        <v>17</v>
      </c>
      <c r="F12" s="69">
        <v>21255</v>
      </c>
      <c r="G12" s="24">
        <v>54</v>
      </c>
      <c r="M12" s="82"/>
      <c r="N12" s="82"/>
      <c r="O12" s="83"/>
      <c r="P12" s="82"/>
      <c r="Q12" s="82"/>
      <c r="R12" s="82"/>
      <c r="S12" s="82"/>
      <c r="T12" s="82"/>
      <c r="U12" s="82"/>
      <c r="V12" s="82"/>
      <c r="W12" s="82"/>
      <c r="X12" s="82"/>
      <c r="Y12" s="82"/>
      <c r="Z12" s="82"/>
      <c r="AA12" s="82"/>
      <c r="AB12" s="82"/>
      <c r="AC12" s="82"/>
      <c r="AD12" s="82"/>
      <c r="AE12" s="82"/>
      <c r="AF12" s="82"/>
      <c r="AG12" s="82"/>
      <c r="AH12" s="82"/>
      <c r="AI12" s="82"/>
      <c r="AJ12" s="82"/>
      <c r="AK12" s="82"/>
      <c r="AL12" s="82"/>
      <c r="AM12" s="82"/>
      <c r="AN12" s="82"/>
      <c r="AO12" s="82"/>
      <c r="AP12" s="82"/>
      <c r="AQ12" s="82"/>
      <c r="AR12" s="82"/>
      <c r="AS12" s="82"/>
      <c r="AT12" s="82"/>
      <c r="AU12" s="82"/>
      <c r="AV12" s="82"/>
      <c r="AW12" s="82"/>
      <c r="AX12" s="82"/>
      <c r="AY12" s="82"/>
      <c r="AZ12" s="82"/>
      <c r="BA12" s="82"/>
      <c r="BB12" s="82"/>
      <c r="BC12" s="82"/>
      <c r="BD12" s="82"/>
      <c r="BE12" s="82"/>
      <c r="BF12" s="82"/>
      <c r="BG12" s="82"/>
      <c r="BH12" s="82"/>
      <c r="BI12" s="82"/>
      <c r="BJ12" s="82"/>
      <c r="BK12" s="82"/>
      <c r="BL12" s="82"/>
      <c r="BM12" s="82"/>
      <c r="BN12" s="82"/>
      <c r="BO12" s="82"/>
      <c r="BP12" s="82"/>
      <c r="BQ12" s="82"/>
      <c r="BR12" s="82"/>
      <c r="BS12" s="82"/>
      <c r="BT12" s="82"/>
      <c r="BU12" s="82"/>
      <c r="BV12" s="82"/>
      <c r="BW12" s="82"/>
      <c r="BX12" s="82"/>
      <c r="BY12" s="82"/>
      <c r="BZ12" s="82"/>
      <c r="CA12" s="82"/>
      <c r="CB12" s="82"/>
      <c r="CC12" s="82"/>
      <c r="CD12" s="82"/>
      <c r="CE12" s="82"/>
      <c r="CF12" s="82"/>
      <c r="CG12" s="82"/>
      <c r="CH12" s="82"/>
      <c r="CI12" s="82"/>
      <c r="CJ12" s="82"/>
      <c r="CK12" s="82"/>
      <c r="CL12" s="82"/>
      <c r="CM12" s="82"/>
      <c r="CN12" s="82"/>
      <c r="CO12" s="82"/>
      <c r="CP12" s="82"/>
      <c r="CQ12" s="82"/>
      <c r="CR12" s="82"/>
      <c r="CS12" s="82"/>
      <c r="CT12" s="82"/>
      <c r="CU12" s="82"/>
      <c r="CV12" s="82"/>
      <c r="CW12" s="82"/>
      <c r="CX12" s="82"/>
      <c r="CY12" s="82"/>
      <c r="CZ12" s="82"/>
      <c r="DA12" s="82"/>
      <c r="DB12" s="82"/>
      <c r="DC12" s="82"/>
      <c r="DD12" s="82"/>
      <c r="DE12" s="82"/>
      <c r="DF12" s="82"/>
      <c r="DG12" s="82"/>
      <c r="DH12" s="82"/>
      <c r="DI12" s="82"/>
      <c r="DJ12" s="82"/>
      <c r="DK12" s="82"/>
      <c r="DL12" s="82"/>
      <c r="DM12" s="82"/>
      <c r="DN12" s="82"/>
      <c r="DO12" s="82"/>
      <c r="DP12" s="82"/>
      <c r="DQ12" s="82"/>
      <c r="DR12" s="82"/>
      <c r="DS12" s="82"/>
      <c r="DT12" s="82"/>
      <c r="DU12" s="82"/>
      <c r="DV12" s="82"/>
      <c r="DW12" s="82"/>
      <c r="DX12" s="82"/>
      <c r="DY12" s="82"/>
      <c r="DZ12" s="82"/>
      <c r="EA12" s="82"/>
      <c r="EB12" s="82"/>
      <c r="EC12" s="82"/>
      <c r="ED12" s="82"/>
      <c r="EE12" s="82"/>
      <c r="EF12" s="82"/>
      <c r="EG12" s="82"/>
      <c r="EH12" s="82"/>
      <c r="EI12" s="82"/>
      <c r="EJ12" s="82"/>
      <c r="EK12" s="82"/>
      <c r="EL12" s="82"/>
      <c r="EM12" s="82"/>
      <c r="EN12" s="82"/>
      <c r="EO12" s="82"/>
      <c r="EP12" s="82"/>
      <c r="EQ12" s="82"/>
      <c r="ER12" s="82"/>
      <c r="ES12" s="82"/>
      <c r="ET12" s="82"/>
      <c r="EU12" s="82"/>
      <c r="EV12" s="82"/>
      <c r="EW12" s="82"/>
      <c r="EX12" s="82"/>
      <c r="EY12" s="82"/>
      <c r="EZ12" s="82"/>
      <c r="FA12" s="82"/>
      <c r="FB12" s="82"/>
      <c r="FC12" s="82"/>
      <c r="FD12" s="82"/>
      <c r="FE12" s="82"/>
      <c r="FF12" s="82"/>
      <c r="FG12" s="82"/>
      <c r="FH12" s="82"/>
      <c r="FI12" s="82"/>
      <c r="FJ12" s="82"/>
      <c r="FK12" s="82"/>
      <c r="FL12" s="82"/>
      <c r="FM12" s="82"/>
      <c r="FN12" s="82"/>
      <c r="FO12" s="82"/>
      <c r="FP12" s="82"/>
      <c r="FQ12" s="82"/>
      <c r="FR12" s="82"/>
      <c r="FS12" s="82"/>
      <c r="FT12" s="82"/>
      <c r="FU12" s="82"/>
      <c r="FV12" s="82"/>
      <c r="FW12" s="82"/>
      <c r="FX12" s="82"/>
      <c r="FY12" s="82"/>
      <c r="FZ12" s="82"/>
      <c r="GA12" s="82"/>
      <c r="GB12" s="82"/>
      <c r="GC12" s="82"/>
      <c r="GD12" s="82"/>
      <c r="GE12" s="82"/>
      <c r="GF12" s="82"/>
      <c r="GG12" s="82"/>
      <c r="GH12" s="82"/>
      <c r="GI12" s="82"/>
      <c r="GJ12" s="82"/>
      <c r="GK12" s="82"/>
      <c r="GL12" s="82"/>
      <c r="GM12" s="82"/>
      <c r="GN12" s="82"/>
      <c r="GO12" s="82"/>
      <c r="GP12" s="82"/>
      <c r="GQ12" s="82"/>
      <c r="GR12" s="82"/>
      <c r="GS12" s="82"/>
      <c r="GT12" s="82"/>
      <c r="GU12" s="82"/>
      <c r="GV12" s="82"/>
      <c r="GW12" s="82"/>
      <c r="GX12" s="82"/>
      <c r="GY12" s="82"/>
      <c r="GZ12" s="82"/>
      <c r="HA12" s="82"/>
      <c r="HB12" s="82"/>
      <c r="HC12" s="82"/>
      <c r="HD12" s="82"/>
      <c r="HE12" s="82"/>
      <c r="HF12" s="82"/>
      <c r="HG12" s="82"/>
      <c r="HH12" s="82"/>
      <c r="HI12" s="82"/>
      <c r="HJ12" s="82"/>
      <c r="HK12" s="82"/>
      <c r="HL12" s="82"/>
      <c r="HM12" s="82"/>
      <c r="HN12" s="82"/>
      <c r="HO12" s="82"/>
      <c r="HP12" s="82"/>
      <c r="HQ12" s="82"/>
      <c r="HR12" s="82"/>
      <c r="HS12" s="82"/>
      <c r="HT12" s="82"/>
      <c r="HU12" s="82"/>
      <c r="HV12" s="82"/>
      <c r="HW12" s="82"/>
      <c r="HX12" s="82"/>
      <c r="HY12" s="82"/>
      <c r="HZ12" s="82"/>
      <c r="IA12" s="82"/>
      <c r="IB12" s="82"/>
      <c r="IC12" s="82"/>
      <c r="ID12" s="82"/>
      <c r="IE12" s="82"/>
      <c r="IF12" s="82"/>
      <c r="IG12" s="82"/>
      <c r="IH12" s="82"/>
      <c r="II12" s="82"/>
      <c r="IJ12" s="82"/>
      <c r="IK12" s="82"/>
      <c r="IL12" s="82"/>
      <c r="IM12" s="82"/>
      <c r="IN12" s="82"/>
      <c r="IO12" s="82"/>
      <c r="IP12" s="82"/>
      <c r="IQ12" s="82"/>
      <c r="IR12" s="82"/>
      <c r="IS12" s="82"/>
      <c r="IT12" s="82"/>
      <c r="IU12" s="82"/>
      <c r="IV12" s="82"/>
      <c r="IW12" s="82"/>
      <c r="IX12" s="82"/>
      <c r="IY12" s="82"/>
      <c r="IZ12" s="82"/>
      <c r="JA12" s="82"/>
      <c r="JB12" s="82"/>
      <c r="JC12" s="82"/>
      <c r="JD12" s="82"/>
      <c r="JE12" s="82"/>
      <c r="JF12" s="82"/>
      <c r="JG12" s="82"/>
      <c r="JH12" s="82"/>
      <c r="JI12" s="82"/>
      <c r="JJ12" s="82"/>
      <c r="JK12" s="82"/>
      <c r="JL12" s="82"/>
      <c r="JM12" s="82"/>
      <c r="JN12" s="82"/>
      <c r="JO12" s="82"/>
      <c r="JP12" s="82"/>
      <c r="JQ12" s="82"/>
      <c r="JR12" s="82"/>
      <c r="JS12" s="82"/>
      <c r="JT12" s="82"/>
      <c r="JU12" s="82"/>
      <c r="JV12" s="82"/>
      <c r="JW12" s="82"/>
      <c r="JX12" s="82"/>
      <c r="JY12" s="82"/>
      <c r="JZ12" s="82"/>
      <c r="KA12" s="82"/>
      <c r="KB12" s="82"/>
      <c r="KC12" s="82"/>
      <c r="KD12" s="82"/>
      <c r="KE12" s="82"/>
      <c r="KF12" s="82"/>
      <c r="KG12" s="82"/>
      <c r="KH12" s="82"/>
      <c r="KI12" s="82"/>
      <c r="KJ12" s="82"/>
      <c r="KK12" s="82"/>
      <c r="KL12" s="82"/>
      <c r="KM12" s="82"/>
      <c r="KN12" s="82"/>
      <c r="KO12" s="82"/>
      <c r="KP12" s="82"/>
      <c r="KQ12" s="82"/>
      <c r="KR12" s="82"/>
      <c r="KS12" s="82"/>
      <c r="KT12" s="82"/>
      <c r="KU12" s="82"/>
      <c r="KV12" s="82"/>
      <c r="KW12" s="82"/>
      <c r="KX12" s="82"/>
      <c r="KY12" s="82"/>
      <c r="KZ12" s="82"/>
      <c r="LA12" s="82"/>
      <c r="LB12" s="82"/>
      <c r="LC12" s="82"/>
      <c r="LD12" s="82"/>
      <c r="LE12" s="82"/>
      <c r="LF12" s="82"/>
      <c r="LG12" s="82"/>
      <c r="LH12" s="82"/>
      <c r="LI12" s="82"/>
      <c r="LJ12" s="82"/>
      <c r="LK12" s="82"/>
      <c r="LL12" s="82"/>
      <c r="LM12" s="82"/>
      <c r="LN12" s="82"/>
      <c r="LO12" s="82"/>
      <c r="LP12" s="82"/>
      <c r="LQ12" s="82"/>
      <c r="LR12" s="82"/>
      <c r="LS12" s="82"/>
      <c r="LT12" s="82"/>
      <c r="LU12" s="82"/>
      <c r="LV12" s="82"/>
      <c r="LW12" s="82"/>
      <c r="LX12" s="82"/>
      <c r="LY12" s="82"/>
      <c r="LZ12" s="82"/>
      <c r="MA12" s="82"/>
      <c r="MB12" s="82"/>
      <c r="MC12" s="82"/>
      <c r="MD12" s="82"/>
      <c r="ME12" s="82"/>
      <c r="MF12" s="82"/>
      <c r="MG12" s="82"/>
      <c r="MH12" s="82"/>
      <c r="MI12" s="82"/>
      <c r="MJ12" s="82"/>
      <c r="MK12" s="82"/>
      <c r="ML12" s="82"/>
      <c r="MM12" s="82"/>
      <c r="MN12" s="82"/>
      <c r="MO12" s="82"/>
      <c r="MP12" s="82"/>
      <c r="MQ12" s="82"/>
      <c r="MR12" s="82"/>
      <c r="MS12" s="82"/>
      <c r="MT12" s="82"/>
      <c r="MU12" s="82"/>
      <c r="MV12" s="82"/>
      <c r="MW12" s="82"/>
      <c r="MX12" s="82"/>
      <c r="MY12" s="82"/>
      <c r="MZ12" s="82"/>
      <c r="NA12" s="82"/>
      <c r="NB12" s="82"/>
      <c r="NC12" s="82"/>
      <c r="ND12" s="82"/>
      <c r="NE12" s="82"/>
      <c r="NF12" s="82"/>
      <c r="NG12" s="82"/>
      <c r="NH12" s="82"/>
      <c r="NI12" s="82"/>
      <c r="NJ12" s="82"/>
      <c r="NK12" s="82"/>
      <c r="NL12" s="82"/>
      <c r="NM12" s="82"/>
      <c r="NN12" s="82"/>
      <c r="NO12" s="82"/>
      <c r="NP12" s="82"/>
      <c r="NQ12" s="82"/>
      <c r="NR12" s="82"/>
      <c r="NS12" s="82"/>
      <c r="NT12" s="82"/>
      <c r="NU12" s="82"/>
      <c r="NV12" s="82"/>
      <c r="NW12" s="82"/>
      <c r="NX12" s="82"/>
      <c r="NY12" s="82"/>
      <c r="NZ12" s="82"/>
      <c r="OA12" s="82"/>
      <c r="OB12" s="82"/>
      <c r="OC12" s="82"/>
      <c r="OD12" s="82"/>
      <c r="OE12" s="82"/>
      <c r="OF12" s="82"/>
      <c r="OG12" s="82"/>
      <c r="OH12" s="82"/>
      <c r="OI12" s="82"/>
      <c r="OJ12" s="82"/>
      <c r="OK12" s="82"/>
      <c r="OL12" s="82"/>
      <c r="OM12" s="82"/>
      <c r="ON12" s="82"/>
      <c r="OO12" s="82"/>
      <c r="OP12" s="82"/>
      <c r="OQ12" s="82"/>
      <c r="OR12" s="82"/>
      <c r="OS12" s="82"/>
      <c r="OT12" s="82"/>
      <c r="OU12" s="82"/>
      <c r="OV12" s="82"/>
      <c r="OW12" s="82"/>
      <c r="OX12" s="82"/>
      <c r="OY12" s="82"/>
      <c r="OZ12" s="82"/>
      <c r="PA12" s="82"/>
      <c r="PB12" s="82"/>
      <c r="PC12" s="82"/>
      <c r="PD12" s="82"/>
      <c r="PE12" s="82"/>
      <c r="PF12" s="82"/>
      <c r="PG12" s="82"/>
      <c r="PH12" s="82"/>
      <c r="PI12" s="82"/>
      <c r="PJ12" s="82"/>
      <c r="PK12" s="82"/>
      <c r="PL12" s="82"/>
      <c r="PM12" s="82"/>
      <c r="PN12" s="82"/>
      <c r="PO12" s="82"/>
      <c r="PP12" s="82"/>
      <c r="PQ12" s="82"/>
      <c r="PR12" s="82"/>
      <c r="PS12" s="82"/>
      <c r="PT12" s="82"/>
      <c r="PU12" s="82"/>
      <c r="PV12" s="82"/>
      <c r="PW12" s="82"/>
      <c r="PX12" s="82"/>
      <c r="PY12" s="82"/>
      <c r="PZ12" s="82"/>
      <c r="QA12" s="82"/>
      <c r="QB12" s="82"/>
      <c r="QC12" s="82"/>
      <c r="QD12" s="82"/>
      <c r="QE12" s="82"/>
      <c r="QF12" s="82"/>
      <c r="QG12" s="82"/>
      <c r="QH12" s="82"/>
      <c r="QI12" s="82"/>
      <c r="QJ12" s="82"/>
      <c r="QK12" s="82"/>
      <c r="QL12" s="82"/>
      <c r="QM12" s="82"/>
      <c r="QN12" s="82"/>
      <c r="QO12" s="82"/>
      <c r="QP12" s="82"/>
      <c r="QQ12" s="82"/>
      <c r="QR12" s="82"/>
      <c r="QS12" s="82"/>
      <c r="QT12" s="82"/>
      <c r="QU12" s="82"/>
      <c r="QV12" s="82"/>
      <c r="QW12" s="82"/>
      <c r="QX12" s="82"/>
      <c r="QY12" s="82"/>
      <c r="QZ12" s="82"/>
      <c r="RA12" s="82"/>
      <c r="RB12" s="82"/>
      <c r="RC12" s="82"/>
      <c r="RD12" s="82"/>
      <c r="RE12" s="82"/>
      <c r="RF12" s="82"/>
      <c r="RG12" s="82"/>
      <c r="RH12" s="82"/>
      <c r="RI12" s="82"/>
      <c r="RJ12" s="82"/>
      <c r="RK12" s="82"/>
      <c r="RL12" s="82"/>
      <c r="RM12" s="82"/>
      <c r="RN12" s="82"/>
      <c r="RO12" s="82"/>
      <c r="RP12" s="82"/>
      <c r="RQ12" s="82"/>
      <c r="RR12" s="82"/>
      <c r="RS12" s="82"/>
      <c r="RT12" s="82"/>
      <c r="RU12" s="82"/>
      <c r="RV12" s="82"/>
      <c r="RW12" s="82"/>
      <c r="RX12" s="82"/>
      <c r="RY12" s="82"/>
      <c r="RZ12" s="82"/>
      <c r="SA12" s="82"/>
      <c r="SB12" s="82"/>
      <c r="SC12" s="82"/>
      <c r="SD12" s="82"/>
      <c r="SE12" s="82"/>
      <c r="SF12" s="82"/>
      <c r="SG12" s="82"/>
      <c r="SH12" s="82"/>
      <c r="SI12" s="82"/>
      <c r="SJ12" s="82"/>
      <c r="SK12" s="82"/>
      <c r="SL12" s="82"/>
      <c r="SM12" s="82"/>
      <c r="SN12" s="82"/>
      <c r="SO12" s="82"/>
      <c r="SP12" s="82"/>
      <c r="SQ12" s="82"/>
      <c r="SR12" s="82"/>
      <c r="SS12" s="82"/>
      <c r="ST12" s="82"/>
      <c r="SU12" s="82"/>
      <c r="SV12" s="82"/>
      <c r="SW12" s="82"/>
      <c r="SX12" s="82"/>
      <c r="SY12" s="82"/>
      <c r="SZ12" s="82"/>
      <c r="TA12" s="82"/>
      <c r="TB12" s="82"/>
      <c r="TC12" s="82"/>
      <c r="TD12" s="82"/>
      <c r="TE12" s="82"/>
      <c r="TF12" s="82"/>
      <c r="TG12" s="82"/>
      <c r="TH12" s="82"/>
      <c r="TI12" s="82"/>
      <c r="TJ12" s="82"/>
      <c r="TK12" s="82"/>
      <c r="TL12" s="82"/>
      <c r="TM12" s="82"/>
      <c r="TN12" s="82"/>
      <c r="TO12" s="82"/>
      <c r="TP12" s="82"/>
      <c r="TQ12" s="82"/>
      <c r="TR12" s="82"/>
      <c r="TS12" s="82"/>
      <c r="TT12" s="82"/>
      <c r="TU12" s="82"/>
      <c r="TV12" s="82"/>
      <c r="TW12" s="82"/>
      <c r="TX12" s="82"/>
      <c r="TY12" s="82"/>
      <c r="TZ12" s="82"/>
      <c r="UA12" s="82"/>
      <c r="UB12" s="82"/>
      <c r="UC12" s="82"/>
      <c r="UD12" s="82"/>
      <c r="UE12" s="82"/>
      <c r="UF12" s="82"/>
      <c r="UG12" s="82"/>
      <c r="UH12" s="82"/>
      <c r="UI12" s="82"/>
      <c r="UJ12" s="82"/>
      <c r="UK12" s="82"/>
      <c r="UL12" s="82"/>
      <c r="UM12" s="82"/>
      <c r="UN12" s="82"/>
      <c r="UO12" s="82"/>
      <c r="UP12" s="82"/>
      <c r="UQ12" s="82"/>
      <c r="UR12" s="82"/>
      <c r="US12" s="82"/>
      <c r="UT12" s="82"/>
      <c r="UU12" s="82"/>
      <c r="UV12" s="82"/>
      <c r="UW12" s="82"/>
      <c r="UX12" s="82"/>
      <c r="UY12" s="82"/>
      <c r="UZ12" s="82"/>
      <c r="VA12" s="82"/>
      <c r="VB12" s="82"/>
      <c r="VC12" s="82"/>
      <c r="VD12" s="82"/>
      <c r="VE12" s="82"/>
      <c r="VF12" s="82"/>
      <c r="VG12" s="82"/>
      <c r="VH12" s="82"/>
      <c r="VI12" s="82"/>
      <c r="VJ12" s="82"/>
      <c r="VK12" s="82"/>
      <c r="VL12" s="82"/>
      <c r="VM12" s="82"/>
      <c r="VN12" s="82"/>
      <c r="VO12" s="82"/>
      <c r="VP12" s="82"/>
      <c r="VQ12" s="82"/>
      <c r="VR12" s="82"/>
      <c r="VS12" s="82"/>
      <c r="VT12" s="82"/>
      <c r="VU12" s="82"/>
      <c r="VV12" s="82"/>
      <c r="VW12" s="82"/>
      <c r="VX12" s="82"/>
      <c r="VY12" s="82"/>
      <c r="VZ12" s="82"/>
      <c r="WA12" s="82"/>
      <c r="WB12" s="82"/>
      <c r="WC12" s="82"/>
      <c r="WD12" s="82"/>
      <c r="WE12" s="82"/>
      <c r="WF12" s="82"/>
      <c r="WG12" s="82"/>
      <c r="WH12" s="82"/>
      <c r="WI12" s="82"/>
      <c r="WJ12" s="82"/>
      <c r="WK12" s="82"/>
      <c r="WL12" s="82"/>
      <c r="WM12" s="82"/>
      <c r="WN12" s="82"/>
      <c r="WO12" s="82"/>
      <c r="WP12" s="82"/>
      <c r="WQ12" s="82"/>
      <c r="WR12" s="82"/>
      <c r="WS12" s="82"/>
      <c r="WT12" s="82"/>
      <c r="WU12" s="82"/>
      <c r="WV12" s="82"/>
      <c r="WW12" s="82"/>
      <c r="WX12" s="82"/>
      <c r="WY12" s="82"/>
      <c r="WZ12" s="82"/>
      <c r="XA12" s="82"/>
      <c r="XB12" s="82"/>
      <c r="XC12" s="82"/>
      <c r="XD12" s="82"/>
      <c r="XE12" s="82"/>
      <c r="XF12" s="82"/>
      <c r="XG12" s="82"/>
      <c r="XH12" s="82"/>
      <c r="XI12" s="82"/>
      <c r="XJ12" s="82"/>
      <c r="XK12" s="82"/>
      <c r="XL12" s="82"/>
      <c r="XM12" s="82"/>
      <c r="XN12" s="82"/>
      <c r="XO12" s="82"/>
      <c r="XP12" s="82"/>
      <c r="XQ12" s="82"/>
      <c r="XR12" s="82"/>
      <c r="XS12" s="82"/>
      <c r="XT12" s="82"/>
      <c r="XU12" s="82"/>
      <c r="XV12" s="82"/>
      <c r="XW12" s="82"/>
      <c r="XX12" s="82"/>
      <c r="XY12" s="82"/>
      <c r="XZ12" s="82"/>
      <c r="YA12" s="82"/>
      <c r="YB12" s="82"/>
      <c r="YC12" s="82"/>
      <c r="YD12" s="82"/>
      <c r="YE12" s="82"/>
      <c r="YF12" s="82"/>
      <c r="YG12" s="82"/>
      <c r="YH12" s="82"/>
      <c r="YI12" s="82"/>
      <c r="YJ12" s="82"/>
      <c r="YK12" s="82"/>
      <c r="YL12" s="82"/>
      <c r="YM12" s="82"/>
      <c r="YN12" s="82"/>
      <c r="YO12" s="82"/>
      <c r="YP12" s="82"/>
      <c r="YQ12" s="82"/>
      <c r="YR12" s="82"/>
      <c r="YS12" s="82"/>
      <c r="YT12" s="82"/>
      <c r="YU12" s="82"/>
      <c r="YV12" s="82"/>
      <c r="YW12" s="82"/>
      <c r="YX12" s="82"/>
      <c r="YY12" s="82"/>
      <c r="YZ12" s="82"/>
      <c r="ZA12" s="82"/>
      <c r="ZB12" s="82"/>
      <c r="ZC12" s="82"/>
      <c r="ZD12" s="82"/>
      <c r="ZE12" s="82"/>
      <c r="ZF12" s="82"/>
      <c r="ZG12" s="82"/>
      <c r="ZH12" s="82"/>
      <c r="ZI12" s="82"/>
      <c r="ZJ12" s="82"/>
      <c r="ZK12" s="82"/>
      <c r="ZL12" s="82"/>
      <c r="ZM12" s="82"/>
      <c r="ZN12" s="82"/>
      <c r="ZO12" s="82"/>
      <c r="ZP12" s="82"/>
      <c r="ZQ12" s="82"/>
      <c r="ZR12" s="82"/>
      <c r="ZS12" s="82"/>
      <c r="ZT12" s="82"/>
      <c r="ZU12" s="82"/>
      <c r="ZV12" s="82"/>
      <c r="ZW12" s="82"/>
      <c r="ZX12" s="82"/>
      <c r="ZY12" s="82"/>
      <c r="ZZ12" s="82"/>
      <c r="AAA12" s="82"/>
      <c r="AAB12" s="82"/>
      <c r="AAC12" s="82"/>
      <c r="AAD12" s="82"/>
      <c r="AAE12" s="82"/>
      <c r="AAF12" s="82"/>
      <c r="AAG12" s="82"/>
      <c r="AAH12" s="82"/>
      <c r="AAI12" s="82"/>
      <c r="AAJ12" s="82"/>
      <c r="AAK12" s="82"/>
      <c r="AAL12" s="82"/>
      <c r="AAM12" s="82"/>
      <c r="AAN12" s="82"/>
      <c r="AAO12" s="82"/>
      <c r="AAP12" s="82"/>
      <c r="AAQ12" s="82"/>
      <c r="AAR12" s="82"/>
      <c r="AAS12" s="82"/>
      <c r="AAT12" s="82"/>
      <c r="AAU12" s="82"/>
      <c r="AAV12" s="82"/>
      <c r="AAW12" s="82"/>
      <c r="AAX12" s="82"/>
      <c r="AAY12" s="82"/>
      <c r="AAZ12" s="82"/>
      <c r="ABA12" s="82"/>
      <c r="ABB12" s="82"/>
      <c r="ABC12" s="82"/>
      <c r="ABD12" s="82"/>
      <c r="ABE12" s="82"/>
      <c r="ABF12" s="82"/>
      <c r="ABG12" s="82"/>
      <c r="ABH12" s="82"/>
      <c r="ABI12" s="82"/>
      <c r="ABJ12" s="82"/>
      <c r="ABK12" s="82"/>
      <c r="ABL12" s="82"/>
      <c r="ABM12" s="82"/>
      <c r="ABN12" s="82"/>
      <c r="ABO12" s="82"/>
      <c r="ABP12" s="82"/>
      <c r="ABQ12" s="82"/>
      <c r="ABR12" s="82"/>
      <c r="ABS12" s="82"/>
      <c r="ABT12" s="82"/>
      <c r="ABU12" s="82"/>
      <c r="ABV12" s="82"/>
      <c r="ABW12" s="82"/>
      <c r="ABX12" s="82"/>
      <c r="ABY12" s="82"/>
      <c r="ABZ12" s="82"/>
      <c r="ACA12" s="82"/>
      <c r="ACB12" s="82"/>
      <c r="ACC12" s="82"/>
      <c r="ACD12" s="82"/>
      <c r="ACE12" s="82"/>
      <c r="ACF12" s="82"/>
      <c r="ACG12" s="82"/>
      <c r="ACH12" s="82"/>
      <c r="ACI12" s="82"/>
      <c r="ACJ12" s="82"/>
      <c r="ACK12" s="82"/>
      <c r="ACL12" s="82"/>
      <c r="ACM12" s="82"/>
      <c r="ACN12" s="82"/>
      <c r="ACO12" s="82"/>
      <c r="ACP12" s="82"/>
      <c r="ACQ12" s="82"/>
      <c r="ACR12" s="82"/>
      <c r="ACS12" s="82"/>
      <c r="ACT12" s="82"/>
      <c r="ACU12" s="82"/>
      <c r="ACV12" s="82"/>
      <c r="ACW12" s="82"/>
      <c r="ACX12" s="82"/>
      <c r="ACY12" s="82"/>
      <c r="ACZ12" s="82"/>
      <c r="ADA12" s="82"/>
      <c r="ADB12" s="82"/>
      <c r="ADC12" s="82"/>
      <c r="ADD12" s="82"/>
      <c r="ADE12" s="82"/>
      <c r="ADF12" s="82"/>
      <c r="ADG12" s="82"/>
      <c r="ADH12" s="82"/>
      <c r="ADI12" s="82"/>
      <c r="ADJ12" s="82"/>
      <c r="ADK12" s="82"/>
      <c r="ADL12" s="82"/>
      <c r="ADM12" s="82"/>
      <c r="ADN12" s="82"/>
      <c r="ADO12" s="82"/>
      <c r="ADP12" s="82"/>
      <c r="ADQ12" s="82"/>
      <c r="ADR12" s="82"/>
      <c r="ADS12" s="82"/>
      <c r="ADT12" s="82"/>
      <c r="ADU12" s="82"/>
      <c r="ADV12" s="82"/>
      <c r="ADW12" s="82"/>
      <c r="ADX12" s="82"/>
      <c r="ADY12" s="82"/>
      <c r="ADZ12" s="82"/>
      <c r="AEA12" s="82"/>
      <c r="AEB12" s="82"/>
      <c r="AEC12" s="82"/>
      <c r="AED12" s="82"/>
      <c r="AEE12" s="82"/>
      <c r="AEF12" s="82"/>
      <c r="AEG12" s="82"/>
      <c r="AEH12" s="82"/>
      <c r="AEI12" s="82"/>
      <c r="AEJ12" s="82"/>
      <c r="AEK12" s="82"/>
      <c r="AEL12" s="82"/>
      <c r="AEM12" s="82"/>
      <c r="AEN12" s="82"/>
      <c r="AEO12" s="82"/>
      <c r="AEP12" s="82"/>
      <c r="AEQ12" s="82"/>
      <c r="AER12" s="82"/>
      <c r="AES12" s="82"/>
      <c r="AET12" s="82"/>
      <c r="AEU12" s="82"/>
      <c r="AEV12" s="82"/>
      <c r="AEW12" s="82"/>
      <c r="AEX12" s="82"/>
      <c r="AEY12" s="82"/>
      <c r="AEZ12" s="82"/>
      <c r="AFA12" s="82"/>
      <c r="AFB12" s="82"/>
      <c r="AFC12" s="82"/>
      <c r="AFD12" s="82"/>
      <c r="AFE12" s="82"/>
      <c r="AFF12" s="82"/>
      <c r="AFG12" s="82"/>
      <c r="AFH12" s="82"/>
      <c r="AFI12" s="82"/>
      <c r="AFJ12" s="82"/>
      <c r="AFK12" s="82"/>
      <c r="AFL12" s="82"/>
      <c r="AFM12" s="82"/>
      <c r="AFN12" s="82"/>
      <c r="AFO12" s="82"/>
      <c r="AFP12" s="82"/>
      <c r="AFQ12" s="82"/>
      <c r="AFR12" s="82"/>
      <c r="AFS12" s="82"/>
      <c r="AFT12" s="82"/>
      <c r="AFU12" s="82"/>
      <c r="AFV12" s="82"/>
      <c r="AFW12" s="82"/>
      <c r="AFX12" s="82"/>
      <c r="AFY12" s="82"/>
      <c r="AFZ12" s="82"/>
      <c r="AGA12" s="82"/>
      <c r="AGB12" s="82"/>
      <c r="AGC12" s="82"/>
      <c r="AGD12" s="82"/>
      <c r="AGE12" s="82"/>
      <c r="AGF12" s="82"/>
      <c r="AGG12" s="82"/>
      <c r="AGH12" s="82"/>
      <c r="AGI12" s="82"/>
      <c r="AGJ12" s="82"/>
      <c r="AGK12" s="82"/>
      <c r="AGL12" s="82"/>
      <c r="AGM12" s="82"/>
      <c r="AGN12" s="82"/>
      <c r="AGO12" s="82"/>
      <c r="AGP12" s="82"/>
      <c r="AGQ12" s="82"/>
      <c r="AGR12" s="82"/>
      <c r="AGS12" s="82"/>
      <c r="AGT12" s="82"/>
      <c r="AGU12" s="82"/>
      <c r="AGV12" s="82"/>
      <c r="AGW12" s="82"/>
      <c r="AGX12" s="82"/>
      <c r="AGY12" s="82"/>
      <c r="AGZ12" s="82"/>
      <c r="AHA12" s="82"/>
      <c r="AHB12" s="82"/>
      <c r="AHC12" s="82"/>
      <c r="AHD12" s="82"/>
      <c r="AHE12" s="82"/>
      <c r="AHF12" s="82"/>
      <c r="AHG12" s="82"/>
      <c r="AHH12" s="82"/>
      <c r="AHI12" s="82"/>
      <c r="AHJ12" s="82"/>
      <c r="AHK12" s="82"/>
      <c r="AHL12" s="82"/>
      <c r="AHM12" s="82"/>
      <c r="AHN12" s="82"/>
      <c r="AHO12" s="82"/>
      <c r="AHP12" s="82"/>
      <c r="AHQ12" s="82"/>
      <c r="AHR12" s="82"/>
      <c r="AHS12" s="82"/>
      <c r="AHT12" s="82"/>
      <c r="AHU12" s="82"/>
      <c r="AHV12" s="82"/>
      <c r="AHW12" s="82"/>
      <c r="AHX12" s="82"/>
      <c r="AHY12" s="82"/>
      <c r="AHZ12" s="82"/>
      <c r="AIA12" s="82"/>
      <c r="AIB12" s="82"/>
      <c r="AIC12" s="82"/>
      <c r="AID12" s="82"/>
      <c r="AIE12" s="82"/>
      <c r="AIF12" s="82"/>
      <c r="AIG12" s="82"/>
      <c r="AIH12" s="82"/>
      <c r="AII12" s="82"/>
      <c r="AIJ12" s="82"/>
      <c r="AIK12" s="82"/>
      <c r="AIL12" s="82"/>
      <c r="AIM12" s="82"/>
      <c r="AIN12" s="82"/>
      <c r="AIO12" s="82"/>
      <c r="AIP12" s="82"/>
      <c r="AIQ12" s="82"/>
      <c r="AIR12" s="82"/>
      <c r="AIS12" s="82"/>
      <c r="AIT12" s="82"/>
      <c r="AIU12" s="82"/>
      <c r="AIV12" s="82"/>
      <c r="AIW12" s="82"/>
      <c r="AIX12" s="82"/>
      <c r="AIY12" s="82"/>
      <c r="AIZ12" s="82"/>
      <c r="AJA12" s="82"/>
      <c r="AJB12" s="82"/>
      <c r="AJC12" s="82"/>
      <c r="AJD12" s="82"/>
      <c r="AJE12" s="82"/>
      <c r="AJF12" s="82"/>
      <c r="AJG12" s="82"/>
      <c r="AJH12" s="82"/>
      <c r="AJI12" s="82"/>
      <c r="AJJ12" s="82"/>
      <c r="AJK12" s="82"/>
      <c r="AJL12" s="82"/>
      <c r="AJM12" s="82"/>
      <c r="AJN12" s="82"/>
      <c r="AJO12" s="82"/>
      <c r="AJP12" s="82"/>
      <c r="AJQ12" s="82"/>
      <c r="AJR12" s="82"/>
      <c r="AJS12" s="82"/>
      <c r="AJT12" s="82"/>
      <c r="AJU12" s="82"/>
      <c r="AJV12" s="82"/>
      <c r="AJW12" s="82"/>
      <c r="AJX12" s="82"/>
      <c r="AJY12" s="82"/>
      <c r="AJZ12" s="82"/>
      <c r="AKA12" s="82"/>
      <c r="AKB12" s="82"/>
      <c r="AKC12" s="82"/>
      <c r="AKD12" s="82"/>
      <c r="AKE12" s="82"/>
      <c r="AKF12" s="82"/>
      <c r="AKG12" s="82"/>
      <c r="AKH12" s="82"/>
      <c r="AKI12" s="82"/>
      <c r="AKJ12" s="82"/>
      <c r="AKK12" s="82"/>
      <c r="AKL12" s="82"/>
      <c r="AKM12" s="82"/>
      <c r="AKN12" s="82"/>
      <c r="AKO12" s="82"/>
      <c r="AKP12" s="82"/>
      <c r="AKQ12" s="82"/>
      <c r="AKR12" s="82"/>
      <c r="AKS12" s="82"/>
      <c r="AKT12" s="82"/>
      <c r="AKU12" s="82"/>
      <c r="AKV12" s="82"/>
      <c r="AKW12" s="82"/>
      <c r="AKX12" s="82"/>
      <c r="AKY12" s="82"/>
      <c r="AKZ12" s="82"/>
      <c r="ALA12" s="82"/>
      <c r="ALB12" s="82"/>
      <c r="ALC12" s="82"/>
      <c r="ALD12" s="82"/>
      <c r="ALE12" s="82"/>
      <c r="ALF12" s="82"/>
      <c r="ALG12" s="82"/>
      <c r="ALH12" s="82"/>
      <c r="ALI12" s="82"/>
      <c r="ALJ12" s="82"/>
      <c r="ALK12" s="82"/>
      <c r="ALL12" s="82"/>
      <c r="ALM12" s="82"/>
      <c r="ALN12" s="82"/>
      <c r="ALO12" s="82"/>
      <c r="ALP12" s="82"/>
      <c r="ALQ12" s="82"/>
      <c r="ALR12" s="82"/>
      <c r="ALS12" s="82"/>
      <c r="ALT12" s="82"/>
      <c r="ALU12" s="82"/>
      <c r="ALV12" s="82"/>
      <c r="ALW12" s="82"/>
      <c r="ALX12" s="82"/>
      <c r="ALY12" s="82"/>
      <c r="ALZ12" s="82"/>
      <c r="AMA12" s="82"/>
      <c r="AMB12" s="82"/>
      <c r="AMC12" s="82"/>
      <c r="AMD12" s="82"/>
      <c r="AME12" s="82"/>
      <c r="AMF12" s="82"/>
      <c r="AMG12" s="82"/>
      <c r="AMH12" s="82"/>
      <c r="AMI12" s="82"/>
      <c r="AMJ12" s="82"/>
    </row>
    <row r="13" spans="1:1024" x14ac:dyDescent="0.25">
      <c r="A13" s="89"/>
      <c r="B13" s="89"/>
      <c r="C13" s="89"/>
      <c r="D13" s="89"/>
      <c r="E13" s="89"/>
      <c r="F13" s="89"/>
      <c r="G13" s="89"/>
      <c r="H13" s="82"/>
      <c r="I13" s="82"/>
      <c r="J13" s="82"/>
      <c r="K13" s="82"/>
      <c r="L13" s="82"/>
      <c r="M13" s="82"/>
      <c r="N13" s="82"/>
      <c r="O13" s="82"/>
      <c r="P13" s="82"/>
      <c r="Q13" s="82"/>
      <c r="R13" s="82"/>
      <c r="S13" s="82"/>
      <c r="T13" s="82"/>
      <c r="U13" s="82"/>
      <c r="V13" s="82"/>
      <c r="W13" s="82"/>
      <c r="X13" s="82"/>
      <c r="Y13" s="82"/>
      <c r="Z13" s="82"/>
      <c r="AA13" s="82"/>
      <c r="AB13" s="82"/>
      <c r="AC13" s="82"/>
      <c r="AD13" s="82"/>
      <c r="AE13" s="82"/>
      <c r="AF13" s="82"/>
      <c r="AG13" s="82"/>
      <c r="AH13" s="82"/>
      <c r="AI13" s="82"/>
      <c r="AJ13" s="82"/>
      <c r="AK13" s="82"/>
      <c r="AL13" s="82"/>
      <c r="AM13" s="82"/>
      <c r="AN13" s="82"/>
      <c r="AO13" s="82"/>
      <c r="AP13" s="82"/>
      <c r="AQ13" s="82"/>
      <c r="AR13" s="82"/>
      <c r="AS13" s="82"/>
      <c r="AT13" s="82"/>
      <c r="AU13" s="82"/>
      <c r="AV13" s="82"/>
      <c r="AW13" s="82"/>
      <c r="AX13" s="82"/>
      <c r="AY13" s="82"/>
      <c r="AZ13" s="82"/>
      <c r="BA13" s="82"/>
      <c r="BB13" s="82"/>
      <c r="BC13" s="82"/>
      <c r="BD13" s="82"/>
      <c r="BE13" s="82"/>
      <c r="BF13" s="82"/>
      <c r="BG13" s="82"/>
      <c r="BH13" s="82"/>
      <c r="BI13" s="82"/>
      <c r="BJ13" s="82"/>
      <c r="BK13" s="82"/>
      <c r="BL13" s="82"/>
      <c r="BM13" s="82"/>
      <c r="BN13" s="82"/>
      <c r="BO13" s="82"/>
      <c r="BP13" s="82"/>
      <c r="BQ13" s="82"/>
      <c r="BR13" s="82"/>
      <c r="BS13" s="82"/>
      <c r="BT13" s="82"/>
      <c r="BU13" s="82"/>
      <c r="BV13" s="82"/>
      <c r="BW13" s="82"/>
      <c r="BX13" s="82"/>
      <c r="BY13" s="82"/>
      <c r="BZ13" s="82"/>
      <c r="CA13" s="82"/>
      <c r="CB13" s="82"/>
      <c r="CC13" s="82"/>
      <c r="CD13" s="82"/>
      <c r="CE13" s="82"/>
      <c r="CF13" s="82"/>
      <c r="CG13" s="82"/>
      <c r="CH13" s="82"/>
      <c r="CI13" s="82"/>
      <c r="CJ13" s="82"/>
      <c r="CK13" s="82"/>
      <c r="CL13" s="82"/>
      <c r="CM13" s="82"/>
      <c r="CN13" s="82"/>
      <c r="CO13" s="82"/>
      <c r="CP13" s="82"/>
      <c r="CQ13" s="82"/>
      <c r="CR13" s="82"/>
      <c r="CS13" s="82"/>
      <c r="CT13" s="82"/>
      <c r="CU13" s="82"/>
      <c r="CV13" s="82"/>
      <c r="CW13" s="82"/>
      <c r="CX13" s="82"/>
      <c r="CY13" s="82"/>
      <c r="CZ13" s="82"/>
      <c r="DA13" s="82"/>
      <c r="DB13" s="82"/>
      <c r="DC13" s="82"/>
      <c r="DD13" s="82"/>
      <c r="DE13" s="82"/>
      <c r="DF13" s="82"/>
      <c r="DG13" s="82"/>
      <c r="DH13" s="82"/>
      <c r="DI13" s="82"/>
      <c r="DJ13" s="82"/>
      <c r="DK13" s="82"/>
      <c r="DL13" s="82"/>
      <c r="DM13" s="82"/>
      <c r="DN13" s="82"/>
      <c r="DO13" s="82"/>
      <c r="DP13" s="82"/>
      <c r="DQ13" s="82"/>
      <c r="DR13" s="82"/>
      <c r="DS13" s="82"/>
      <c r="DT13" s="82"/>
      <c r="DU13" s="82"/>
      <c r="DV13" s="82"/>
      <c r="DW13" s="82"/>
      <c r="DX13" s="82"/>
      <c r="DY13" s="82"/>
      <c r="DZ13" s="82"/>
      <c r="EA13" s="82"/>
      <c r="EB13" s="82"/>
      <c r="EC13" s="82"/>
      <c r="ED13" s="82"/>
      <c r="EE13" s="82"/>
      <c r="EF13" s="82"/>
      <c r="EG13" s="82"/>
      <c r="EH13" s="82"/>
      <c r="EI13" s="82"/>
      <c r="EJ13" s="82"/>
      <c r="EK13" s="82"/>
      <c r="EL13" s="82"/>
      <c r="EM13" s="82"/>
      <c r="EN13" s="82"/>
      <c r="EO13" s="82"/>
      <c r="EP13" s="82"/>
      <c r="EQ13" s="82"/>
      <c r="ER13" s="82"/>
      <c r="ES13" s="82"/>
      <c r="ET13" s="82"/>
      <c r="EU13" s="82"/>
      <c r="EV13" s="82"/>
      <c r="EW13" s="82"/>
      <c r="EX13" s="82"/>
      <c r="EY13" s="82"/>
      <c r="EZ13" s="82"/>
      <c r="FA13" s="82"/>
      <c r="FB13" s="82"/>
      <c r="FC13" s="82"/>
      <c r="FD13" s="82"/>
      <c r="FE13" s="82"/>
      <c r="FF13" s="82"/>
      <c r="FG13" s="82"/>
      <c r="FH13" s="82"/>
      <c r="FI13" s="82"/>
      <c r="FJ13" s="82"/>
      <c r="FK13" s="82"/>
      <c r="FL13" s="82"/>
      <c r="FM13" s="82"/>
      <c r="FN13" s="82"/>
      <c r="FO13" s="82"/>
      <c r="FP13" s="82"/>
      <c r="FQ13" s="82"/>
      <c r="FR13" s="82"/>
      <c r="FS13" s="82"/>
      <c r="FT13" s="82"/>
      <c r="FU13" s="82"/>
      <c r="FV13" s="82"/>
      <c r="FW13" s="82"/>
      <c r="FX13" s="82"/>
      <c r="FY13" s="82"/>
      <c r="FZ13" s="82"/>
      <c r="GA13" s="82"/>
      <c r="GB13" s="82"/>
      <c r="GC13" s="82"/>
      <c r="GD13" s="82"/>
      <c r="GE13" s="82"/>
      <c r="GF13" s="82"/>
      <c r="GG13" s="82"/>
      <c r="GH13" s="82"/>
      <c r="GI13" s="82"/>
      <c r="GJ13" s="82"/>
      <c r="GK13" s="82"/>
      <c r="GL13" s="82"/>
      <c r="GM13" s="82"/>
      <c r="GN13" s="82"/>
      <c r="GO13" s="82"/>
      <c r="GP13" s="82"/>
      <c r="GQ13" s="82"/>
      <c r="GR13" s="82"/>
      <c r="GS13" s="82"/>
      <c r="GT13" s="82"/>
      <c r="GU13" s="82"/>
      <c r="GV13" s="82"/>
      <c r="GW13" s="82"/>
      <c r="GX13" s="82"/>
      <c r="GY13" s="82"/>
      <c r="GZ13" s="82"/>
      <c r="HA13" s="82"/>
      <c r="HB13" s="82"/>
      <c r="HC13" s="82"/>
      <c r="HD13" s="82"/>
      <c r="HE13" s="82"/>
      <c r="HF13" s="82"/>
      <c r="HG13" s="82"/>
      <c r="HH13" s="82"/>
      <c r="HI13" s="82"/>
      <c r="HJ13" s="82"/>
      <c r="HK13" s="82"/>
      <c r="HL13" s="82"/>
      <c r="HM13" s="82"/>
      <c r="HN13" s="82"/>
      <c r="HO13" s="82"/>
      <c r="HP13" s="82"/>
      <c r="HQ13" s="82"/>
      <c r="HR13" s="82"/>
      <c r="HS13" s="82"/>
      <c r="HT13" s="82"/>
      <c r="HU13" s="82"/>
      <c r="HV13" s="82"/>
      <c r="HW13" s="82"/>
      <c r="HX13" s="82"/>
      <c r="HY13" s="82"/>
      <c r="HZ13" s="82"/>
      <c r="IA13" s="82"/>
      <c r="IB13" s="82"/>
      <c r="IC13" s="82"/>
      <c r="ID13" s="82"/>
      <c r="IE13" s="82"/>
      <c r="IF13" s="82"/>
      <c r="IG13" s="82"/>
      <c r="IH13" s="82"/>
      <c r="II13" s="82"/>
      <c r="IJ13" s="82"/>
      <c r="IK13" s="82"/>
      <c r="IL13" s="82"/>
      <c r="IM13" s="82"/>
      <c r="IN13" s="82"/>
      <c r="IO13" s="82"/>
      <c r="IP13" s="82"/>
      <c r="IQ13" s="82"/>
      <c r="IR13" s="82"/>
      <c r="IS13" s="82"/>
      <c r="IT13" s="82"/>
      <c r="IU13" s="82"/>
      <c r="IV13" s="82"/>
      <c r="IW13" s="82"/>
      <c r="IX13" s="82"/>
      <c r="IY13" s="82"/>
      <c r="IZ13" s="82"/>
      <c r="JA13" s="82"/>
      <c r="JB13" s="82"/>
      <c r="JC13" s="82"/>
      <c r="JD13" s="82"/>
      <c r="JE13" s="82"/>
      <c r="JF13" s="82"/>
      <c r="JG13" s="82"/>
      <c r="JH13" s="82"/>
      <c r="JI13" s="82"/>
      <c r="JJ13" s="82"/>
      <c r="JK13" s="82"/>
      <c r="JL13" s="82"/>
      <c r="JM13" s="82"/>
      <c r="JN13" s="82"/>
      <c r="JO13" s="82"/>
      <c r="JP13" s="82"/>
      <c r="JQ13" s="82"/>
      <c r="JR13" s="82"/>
      <c r="JS13" s="82"/>
      <c r="JT13" s="82"/>
      <c r="JU13" s="82"/>
      <c r="JV13" s="82"/>
      <c r="JW13" s="82"/>
      <c r="JX13" s="82"/>
      <c r="JY13" s="82"/>
      <c r="JZ13" s="82"/>
      <c r="KA13" s="82"/>
      <c r="KB13" s="82"/>
      <c r="KC13" s="82"/>
      <c r="KD13" s="82"/>
      <c r="KE13" s="82"/>
      <c r="KF13" s="82"/>
      <c r="KG13" s="82"/>
      <c r="KH13" s="82"/>
      <c r="KI13" s="82"/>
      <c r="KJ13" s="82"/>
      <c r="KK13" s="82"/>
      <c r="KL13" s="82"/>
      <c r="KM13" s="82"/>
      <c r="KN13" s="82"/>
      <c r="KO13" s="82"/>
      <c r="KP13" s="82"/>
      <c r="KQ13" s="82"/>
      <c r="KR13" s="82"/>
      <c r="KS13" s="82"/>
      <c r="KT13" s="82"/>
      <c r="KU13" s="82"/>
      <c r="KV13" s="82"/>
      <c r="KW13" s="82"/>
      <c r="KX13" s="82"/>
      <c r="KY13" s="82"/>
      <c r="KZ13" s="82"/>
      <c r="LA13" s="82"/>
      <c r="LB13" s="82"/>
      <c r="LC13" s="82"/>
      <c r="LD13" s="82"/>
      <c r="LE13" s="82"/>
      <c r="LF13" s="82"/>
      <c r="LG13" s="82"/>
      <c r="LH13" s="82"/>
      <c r="LI13" s="82"/>
      <c r="LJ13" s="82"/>
      <c r="LK13" s="82"/>
      <c r="LL13" s="82"/>
      <c r="LM13" s="82"/>
      <c r="LN13" s="82"/>
      <c r="LO13" s="82"/>
      <c r="LP13" s="82"/>
      <c r="LQ13" s="82"/>
      <c r="LR13" s="82"/>
      <c r="LS13" s="82"/>
      <c r="LT13" s="82"/>
      <c r="LU13" s="82"/>
      <c r="LV13" s="82"/>
      <c r="LW13" s="82"/>
      <c r="LX13" s="82"/>
      <c r="LY13" s="82"/>
      <c r="LZ13" s="82"/>
      <c r="MA13" s="82"/>
      <c r="MB13" s="82"/>
      <c r="MC13" s="82"/>
      <c r="MD13" s="82"/>
      <c r="ME13" s="82"/>
      <c r="MF13" s="82"/>
      <c r="MG13" s="82"/>
      <c r="MH13" s="82"/>
      <c r="MI13" s="82"/>
      <c r="MJ13" s="82"/>
      <c r="MK13" s="82"/>
      <c r="ML13" s="82"/>
      <c r="MM13" s="82"/>
      <c r="MN13" s="82"/>
      <c r="MO13" s="82"/>
      <c r="MP13" s="82"/>
      <c r="MQ13" s="82"/>
      <c r="MR13" s="82"/>
      <c r="MS13" s="82"/>
      <c r="MT13" s="82"/>
      <c r="MU13" s="82"/>
      <c r="MV13" s="82"/>
      <c r="MW13" s="82"/>
      <c r="MX13" s="82"/>
      <c r="MY13" s="82"/>
      <c r="MZ13" s="82"/>
      <c r="NA13" s="82"/>
      <c r="NB13" s="82"/>
      <c r="NC13" s="82"/>
      <c r="ND13" s="82"/>
      <c r="NE13" s="82"/>
      <c r="NF13" s="82"/>
      <c r="NG13" s="82"/>
      <c r="NH13" s="82"/>
      <c r="NI13" s="82"/>
      <c r="NJ13" s="82"/>
      <c r="NK13" s="82"/>
      <c r="NL13" s="82"/>
      <c r="NM13" s="82"/>
      <c r="NN13" s="82"/>
      <c r="NO13" s="82"/>
      <c r="NP13" s="82"/>
      <c r="NQ13" s="82"/>
      <c r="NR13" s="82"/>
      <c r="NS13" s="82"/>
      <c r="NT13" s="82"/>
      <c r="NU13" s="82"/>
      <c r="NV13" s="82"/>
      <c r="NW13" s="82"/>
      <c r="NX13" s="82"/>
      <c r="NY13" s="82"/>
      <c r="NZ13" s="82"/>
      <c r="OA13" s="82"/>
      <c r="OB13" s="82"/>
      <c r="OC13" s="82"/>
      <c r="OD13" s="82"/>
      <c r="OE13" s="82"/>
      <c r="OF13" s="82"/>
      <c r="OG13" s="82"/>
      <c r="OH13" s="82"/>
      <c r="OI13" s="82"/>
      <c r="OJ13" s="82"/>
      <c r="OK13" s="82"/>
      <c r="OL13" s="82"/>
      <c r="OM13" s="82"/>
      <c r="ON13" s="82"/>
      <c r="OO13" s="82"/>
      <c r="OP13" s="82"/>
      <c r="OQ13" s="82"/>
      <c r="OR13" s="82"/>
      <c r="OS13" s="82"/>
      <c r="OT13" s="82"/>
      <c r="OU13" s="82"/>
      <c r="OV13" s="82"/>
      <c r="OW13" s="82"/>
      <c r="OX13" s="82"/>
      <c r="OY13" s="82"/>
      <c r="OZ13" s="82"/>
      <c r="PA13" s="82"/>
      <c r="PB13" s="82"/>
      <c r="PC13" s="82"/>
      <c r="PD13" s="82"/>
      <c r="PE13" s="82"/>
      <c r="PF13" s="82"/>
      <c r="PG13" s="82"/>
      <c r="PH13" s="82"/>
      <c r="PI13" s="82"/>
      <c r="PJ13" s="82"/>
      <c r="PK13" s="82"/>
      <c r="PL13" s="82"/>
      <c r="PM13" s="82"/>
      <c r="PN13" s="82"/>
      <c r="PO13" s="82"/>
      <c r="PP13" s="82"/>
      <c r="PQ13" s="82"/>
      <c r="PR13" s="82"/>
      <c r="PS13" s="82"/>
      <c r="PT13" s="82"/>
      <c r="PU13" s="82"/>
      <c r="PV13" s="82"/>
      <c r="PW13" s="82"/>
      <c r="PX13" s="82"/>
      <c r="PY13" s="82"/>
      <c r="PZ13" s="82"/>
      <c r="QA13" s="82"/>
      <c r="QB13" s="82"/>
      <c r="QC13" s="82"/>
      <c r="QD13" s="82"/>
      <c r="QE13" s="82"/>
      <c r="QF13" s="82"/>
      <c r="QG13" s="82"/>
      <c r="QH13" s="82"/>
      <c r="QI13" s="82"/>
      <c r="QJ13" s="82"/>
      <c r="QK13" s="82"/>
      <c r="QL13" s="82"/>
      <c r="QM13" s="82"/>
      <c r="QN13" s="82"/>
      <c r="QO13" s="82"/>
      <c r="QP13" s="82"/>
      <c r="QQ13" s="82"/>
      <c r="QR13" s="82"/>
      <c r="QS13" s="82"/>
      <c r="QT13" s="82"/>
      <c r="QU13" s="82"/>
      <c r="QV13" s="82"/>
      <c r="QW13" s="82"/>
      <c r="QX13" s="82"/>
      <c r="QY13" s="82"/>
      <c r="QZ13" s="82"/>
      <c r="RA13" s="82"/>
      <c r="RB13" s="82"/>
      <c r="RC13" s="82"/>
      <c r="RD13" s="82"/>
      <c r="RE13" s="82"/>
      <c r="RF13" s="82"/>
      <c r="RG13" s="82"/>
      <c r="RH13" s="82"/>
      <c r="RI13" s="82"/>
      <c r="RJ13" s="82"/>
      <c r="RK13" s="82"/>
      <c r="RL13" s="82"/>
      <c r="RM13" s="82"/>
      <c r="RN13" s="82"/>
      <c r="RO13" s="82"/>
      <c r="RP13" s="82"/>
      <c r="RQ13" s="82"/>
      <c r="RR13" s="82"/>
      <c r="RS13" s="82"/>
      <c r="RT13" s="82"/>
      <c r="RU13" s="82"/>
      <c r="RV13" s="82"/>
      <c r="RW13" s="82"/>
      <c r="RX13" s="82"/>
      <c r="RY13" s="82"/>
      <c r="RZ13" s="82"/>
      <c r="SA13" s="82"/>
      <c r="SB13" s="82"/>
      <c r="SC13" s="82"/>
      <c r="SD13" s="82"/>
      <c r="SE13" s="82"/>
      <c r="SF13" s="82"/>
      <c r="SG13" s="82"/>
      <c r="SH13" s="82"/>
      <c r="SI13" s="82"/>
      <c r="SJ13" s="82"/>
      <c r="SK13" s="82"/>
      <c r="SL13" s="82"/>
      <c r="SM13" s="82"/>
      <c r="SN13" s="82"/>
      <c r="SO13" s="82"/>
      <c r="SP13" s="82"/>
      <c r="SQ13" s="82"/>
      <c r="SR13" s="82"/>
      <c r="SS13" s="82"/>
      <c r="ST13" s="82"/>
      <c r="SU13" s="82"/>
      <c r="SV13" s="82"/>
      <c r="SW13" s="82"/>
      <c r="SX13" s="82"/>
      <c r="SY13" s="82"/>
      <c r="SZ13" s="82"/>
      <c r="TA13" s="82"/>
      <c r="TB13" s="82"/>
      <c r="TC13" s="82"/>
      <c r="TD13" s="82"/>
      <c r="TE13" s="82"/>
      <c r="TF13" s="82"/>
      <c r="TG13" s="82"/>
      <c r="TH13" s="82"/>
      <c r="TI13" s="82"/>
      <c r="TJ13" s="82"/>
      <c r="TK13" s="82"/>
      <c r="TL13" s="82"/>
      <c r="TM13" s="82"/>
      <c r="TN13" s="82"/>
      <c r="TO13" s="82"/>
      <c r="TP13" s="82"/>
      <c r="TQ13" s="82"/>
      <c r="TR13" s="82"/>
      <c r="TS13" s="82"/>
      <c r="TT13" s="82"/>
      <c r="TU13" s="82"/>
      <c r="TV13" s="82"/>
      <c r="TW13" s="82"/>
      <c r="TX13" s="82"/>
      <c r="TY13" s="82"/>
      <c r="TZ13" s="82"/>
      <c r="UA13" s="82"/>
      <c r="UB13" s="82"/>
      <c r="UC13" s="82"/>
      <c r="UD13" s="82"/>
      <c r="UE13" s="82"/>
      <c r="UF13" s="82"/>
      <c r="UG13" s="82"/>
      <c r="UH13" s="82"/>
      <c r="UI13" s="82"/>
      <c r="UJ13" s="82"/>
      <c r="UK13" s="82"/>
      <c r="UL13" s="82"/>
      <c r="UM13" s="82"/>
      <c r="UN13" s="82"/>
      <c r="UO13" s="82"/>
      <c r="UP13" s="82"/>
      <c r="UQ13" s="82"/>
      <c r="UR13" s="82"/>
      <c r="US13" s="82"/>
      <c r="UT13" s="82"/>
      <c r="UU13" s="82"/>
      <c r="UV13" s="82"/>
      <c r="UW13" s="82"/>
      <c r="UX13" s="82"/>
      <c r="UY13" s="82"/>
      <c r="UZ13" s="82"/>
      <c r="VA13" s="82"/>
      <c r="VB13" s="82"/>
      <c r="VC13" s="82"/>
      <c r="VD13" s="82"/>
      <c r="VE13" s="82"/>
      <c r="VF13" s="82"/>
      <c r="VG13" s="82"/>
      <c r="VH13" s="82"/>
      <c r="VI13" s="82"/>
      <c r="VJ13" s="82"/>
      <c r="VK13" s="82"/>
      <c r="VL13" s="82"/>
      <c r="VM13" s="82"/>
      <c r="VN13" s="82"/>
      <c r="VO13" s="82"/>
      <c r="VP13" s="82"/>
      <c r="VQ13" s="82"/>
      <c r="VR13" s="82"/>
      <c r="VS13" s="82"/>
      <c r="VT13" s="82"/>
      <c r="VU13" s="82"/>
      <c r="VV13" s="82"/>
      <c r="VW13" s="82"/>
      <c r="VX13" s="82"/>
      <c r="VY13" s="82"/>
      <c r="VZ13" s="82"/>
      <c r="WA13" s="82"/>
      <c r="WB13" s="82"/>
      <c r="WC13" s="82"/>
      <c r="WD13" s="82"/>
      <c r="WE13" s="82"/>
      <c r="WF13" s="82"/>
      <c r="WG13" s="82"/>
      <c r="WH13" s="82"/>
      <c r="WI13" s="82"/>
      <c r="WJ13" s="82"/>
      <c r="WK13" s="82"/>
      <c r="WL13" s="82"/>
      <c r="WM13" s="82"/>
      <c r="WN13" s="82"/>
      <c r="WO13" s="82"/>
      <c r="WP13" s="82"/>
      <c r="WQ13" s="82"/>
      <c r="WR13" s="82"/>
      <c r="WS13" s="82"/>
      <c r="WT13" s="82"/>
      <c r="WU13" s="82"/>
      <c r="WV13" s="82"/>
      <c r="WW13" s="82"/>
      <c r="WX13" s="82"/>
      <c r="WY13" s="82"/>
      <c r="WZ13" s="82"/>
      <c r="XA13" s="82"/>
      <c r="XB13" s="82"/>
      <c r="XC13" s="82"/>
      <c r="XD13" s="82"/>
      <c r="XE13" s="82"/>
      <c r="XF13" s="82"/>
      <c r="XG13" s="82"/>
      <c r="XH13" s="82"/>
      <c r="XI13" s="82"/>
      <c r="XJ13" s="82"/>
      <c r="XK13" s="82"/>
      <c r="XL13" s="82"/>
      <c r="XM13" s="82"/>
      <c r="XN13" s="82"/>
      <c r="XO13" s="82"/>
      <c r="XP13" s="82"/>
      <c r="XQ13" s="82"/>
      <c r="XR13" s="82"/>
      <c r="XS13" s="82"/>
      <c r="XT13" s="82"/>
      <c r="XU13" s="82"/>
      <c r="XV13" s="82"/>
      <c r="XW13" s="82"/>
      <c r="XX13" s="82"/>
      <c r="XY13" s="82"/>
      <c r="XZ13" s="82"/>
      <c r="YA13" s="82"/>
      <c r="YB13" s="82"/>
      <c r="YC13" s="82"/>
      <c r="YD13" s="82"/>
      <c r="YE13" s="82"/>
      <c r="YF13" s="82"/>
      <c r="YG13" s="82"/>
      <c r="YH13" s="82"/>
      <c r="YI13" s="82"/>
      <c r="YJ13" s="82"/>
      <c r="YK13" s="82"/>
      <c r="YL13" s="82"/>
      <c r="YM13" s="82"/>
      <c r="YN13" s="82"/>
      <c r="YO13" s="82"/>
      <c r="YP13" s="82"/>
      <c r="YQ13" s="82"/>
      <c r="YR13" s="82"/>
      <c r="YS13" s="82"/>
      <c r="YT13" s="82"/>
      <c r="YU13" s="82"/>
      <c r="YV13" s="82"/>
      <c r="YW13" s="82"/>
      <c r="YX13" s="82"/>
      <c r="YY13" s="82"/>
      <c r="YZ13" s="82"/>
      <c r="ZA13" s="82"/>
      <c r="ZB13" s="82"/>
      <c r="ZC13" s="82"/>
      <c r="ZD13" s="82"/>
      <c r="ZE13" s="82"/>
      <c r="ZF13" s="82"/>
      <c r="ZG13" s="82"/>
      <c r="ZH13" s="82"/>
      <c r="ZI13" s="82"/>
      <c r="ZJ13" s="82"/>
      <c r="ZK13" s="82"/>
      <c r="ZL13" s="82"/>
      <c r="ZM13" s="82"/>
      <c r="ZN13" s="82"/>
      <c r="ZO13" s="82"/>
      <c r="ZP13" s="82"/>
      <c r="ZQ13" s="82"/>
      <c r="ZR13" s="82"/>
      <c r="ZS13" s="82"/>
      <c r="ZT13" s="82"/>
      <c r="ZU13" s="82"/>
      <c r="ZV13" s="82"/>
      <c r="ZW13" s="82"/>
      <c r="ZX13" s="82"/>
      <c r="ZY13" s="82"/>
      <c r="ZZ13" s="82"/>
      <c r="AAA13" s="82"/>
      <c r="AAB13" s="82"/>
      <c r="AAC13" s="82"/>
      <c r="AAD13" s="82"/>
      <c r="AAE13" s="82"/>
      <c r="AAF13" s="82"/>
      <c r="AAG13" s="82"/>
      <c r="AAH13" s="82"/>
      <c r="AAI13" s="82"/>
      <c r="AAJ13" s="82"/>
      <c r="AAK13" s="82"/>
      <c r="AAL13" s="82"/>
      <c r="AAM13" s="82"/>
      <c r="AAN13" s="82"/>
      <c r="AAO13" s="82"/>
      <c r="AAP13" s="82"/>
      <c r="AAQ13" s="82"/>
      <c r="AAR13" s="82"/>
      <c r="AAS13" s="82"/>
      <c r="AAT13" s="82"/>
      <c r="AAU13" s="82"/>
      <c r="AAV13" s="82"/>
      <c r="AAW13" s="82"/>
      <c r="AAX13" s="82"/>
      <c r="AAY13" s="82"/>
      <c r="AAZ13" s="82"/>
      <c r="ABA13" s="82"/>
      <c r="ABB13" s="82"/>
      <c r="ABC13" s="82"/>
      <c r="ABD13" s="82"/>
      <c r="ABE13" s="82"/>
      <c r="ABF13" s="82"/>
      <c r="ABG13" s="82"/>
      <c r="ABH13" s="82"/>
      <c r="ABI13" s="82"/>
      <c r="ABJ13" s="82"/>
      <c r="ABK13" s="82"/>
      <c r="ABL13" s="82"/>
      <c r="ABM13" s="82"/>
      <c r="ABN13" s="82"/>
      <c r="ABO13" s="82"/>
      <c r="ABP13" s="82"/>
      <c r="ABQ13" s="82"/>
      <c r="ABR13" s="82"/>
      <c r="ABS13" s="82"/>
      <c r="ABT13" s="82"/>
      <c r="ABU13" s="82"/>
      <c r="ABV13" s="82"/>
      <c r="ABW13" s="82"/>
      <c r="ABX13" s="82"/>
      <c r="ABY13" s="82"/>
      <c r="ABZ13" s="82"/>
      <c r="ACA13" s="82"/>
      <c r="ACB13" s="82"/>
      <c r="ACC13" s="82"/>
      <c r="ACD13" s="82"/>
      <c r="ACE13" s="82"/>
      <c r="ACF13" s="82"/>
      <c r="ACG13" s="82"/>
      <c r="ACH13" s="82"/>
      <c r="ACI13" s="82"/>
      <c r="ACJ13" s="82"/>
      <c r="ACK13" s="82"/>
      <c r="ACL13" s="82"/>
      <c r="ACM13" s="82"/>
      <c r="ACN13" s="82"/>
      <c r="ACO13" s="82"/>
      <c r="ACP13" s="82"/>
      <c r="ACQ13" s="82"/>
      <c r="ACR13" s="82"/>
      <c r="ACS13" s="82"/>
      <c r="ACT13" s="82"/>
      <c r="ACU13" s="82"/>
      <c r="ACV13" s="82"/>
      <c r="ACW13" s="82"/>
      <c r="ACX13" s="82"/>
      <c r="ACY13" s="82"/>
      <c r="ACZ13" s="82"/>
      <c r="ADA13" s="82"/>
      <c r="ADB13" s="82"/>
      <c r="ADC13" s="82"/>
      <c r="ADD13" s="82"/>
      <c r="ADE13" s="82"/>
      <c r="ADF13" s="82"/>
      <c r="ADG13" s="82"/>
      <c r="ADH13" s="82"/>
      <c r="ADI13" s="82"/>
      <c r="ADJ13" s="82"/>
      <c r="ADK13" s="82"/>
      <c r="ADL13" s="82"/>
      <c r="ADM13" s="82"/>
      <c r="ADN13" s="82"/>
      <c r="ADO13" s="82"/>
      <c r="ADP13" s="82"/>
      <c r="ADQ13" s="82"/>
      <c r="ADR13" s="82"/>
      <c r="ADS13" s="82"/>
      <c r="ADT13" s="82"/>
      <c r="ADU13" s="82"/>
      <c r="ADV13" s="82"/>
      <c r="ADW13" s="82"/>
      <c r="ADX13" s="82"/>
      <c r="ADY13" s="82"/>
      <c r="ADZ13" s="82"/>
      <c r="AEA13" s="82"/>
      <c r="AEB13" s="82"/>
      <c r="AEC13" s="82"/>
      <c r="AED13" s="82"/>
      <c r="AEE13" s="82"/>
      <c r="AEF13" s="82"/>
      <c r="AEG13" s="82"/>
      <c r="AEH13" s="82"/>
      <c r="AEI13" s="82"/>
      <c r="AEJ13" s="82"/>
      <c r="AEK13" s="82"/>
      <c r="AEL13" s="82"/>
      <c r="AEM13" s="82"/>
      <c r="AEN13" s="82"/>
      <c r="AEO13" s="82"/>
      <c r="AEP13" s="82"/>
      <c r="AEQ13" s="82"/>
      <c r="AER13" s="82"/>
      <c r="AES13" s="82"/>
      <c r="AET13" s="82"/>
      <c r="AEU13" s="82"/>
      <c r="AEV13" s="82"/>
      <c r="AEW13" s="82"/>
      <c r="AEX13" s="82"/>
      <c r="AEY13" s="82"/>
      <c r="AEZ13" s="82"/>
      <c r="AFA13" s="82"/>
      <c r="AFB13" s="82"/>
      <c r="AFC13" s="82"/>
      <c r="AFD13" s="82"/>
      <c r="AFE13" s="82"/>
      <c r="AFF13" s="82"/>
      <c r="AFG13" s="82"/>
      <c r="AFH13" s="82"/>
      <c r="AFI13" s="82"/>
      <c r="AFJ13" s="82"/>
      <c r="AFK13" s="82"/>
      <c r="AFL13" s="82"/>
      <c r="AFM13" s="82"/>
      <c r="AFN13" s="82"/>
      <c r="AFO13" s="82"/>
      <c r="AFP13" s="82"/>
      <c r="AFQ13" s="82"/>
      <c r="AFR13" s="82"/>
      <c r="AFS13" s="82"/>
      <c r="AFT13" s="82"/>
      <c r="AFU13" s="82"/>
      <c r="AFV13" s="82"/>
      <c r="AFW13" s="82"/>
      <c r="AFX13" s="82"/>
      <c r="AFY13" s="82"/>
      <c r="AFZ13" s="82"/>
      <c r="AGA13" s="82"/>
      <c r="AGB13" s="82"/>
      <c r="AGC13" s="82"/>
      <c r="AGD13" s="82"/>
      <c r="AGE13" s="82"/>
      <c r="AGF13" s="82"/>
      <c r="AGG13" s="82"/>
      <c r="AGH13" s="82"/>
      <c r="AGI13" s="82"/>
      <c r="AGJ13" s="82"/>
      <c r="AGK13" s="82"/>
      <c r="AGL13" s="82"/>
      <c r="AGM13" s="82"/>
      <c r="AGN13" s="82"/>
      <c r="AGO13" s="82"/>
      <c r="AGP13" s="82"/>
      <c r="AGQ13" s="82"/>
      <c r="AGR13" s="82"/>
      <c r="AGS13" s="82"/>
      <c r="AGT13" s="82"/>
      <c r="AGU13" s="82"/>
      <c r="AGV13" s="82"/>
      <c r="AGW13" s="82"/>
      <c r="AGX13" s="82"/>
      <c r="AGY13" s="82"/>
      <c r="AGZ13" s="82"/>
      <c r="AHA13" s="82"/>
      <c r="AHB13" s="82"/>
      <c r="AHC13" s="82"/>
      <c r="AHD13" s="82"/>
      <c r="AHE13" s="82"/>
      <c r="AHF13" s="82"/>
      <c r="AHG13" s="82"/>
      <c r="AHH13" s="82"/>
      <c r="AHI13" s="82"/>
      <c r="AHJ13" s="82"/>
      <c r="AHK13" s="82"/>
      <c r="AHL13" s="82"/>
      <c r="AHM13" s="82"/>
      <c r="AHN13" s="82"/>
      <c r="AHO13" s="82"/>
      <c r="AHP13" s="82"/>
      <c r="AHQ13" s="82"/>
      <c r="AHR13" s="82"/>
      <c r="AHS13" s="82"/>
      <c r="AHT13" s="82"/>
      <c r="AHU13" s="82"/>
      <c r="AHV13" s="82"/>
      <c r="AHW13" s="82"/>
      <c r="AHX13" s="82"/>
      <c r="AHY13" s="82"/>
      <c r="AHZ13" s="82"/>
      <c r="AIA13" s="82"/>
      <c r="AIB13" s="82"/>
      <c r="AIC13" s="82"/>
      <c r="AID13" s="82"/>
      <c r="AIE13" s="82"/>
      <c r="AIF13" s="82"/>
      <c r="AIG13" s="82"/>
      <c r="AIH13" s="82"/>
      <c r="AII13" s="82"/>
      <c r="AIJ13" s="82"/>
      <c r="AIK13" s="82"/>
      <c r="AIL13" s="82"/>
      <c r="AIM13" s="82"/>
      <c r="AIN13" s="82"/>
      <c r="AIO13" s="82"/>
      <c r="AIP13" s="82"/>
      <c r="AIQ13" s="82"/>
      <c r="AIR13" s="82"/>
      <c r="AIS13" s="82"/>
      <c r="AIT13" s="82"/>
      <c r="AIU13" s="82"/>
      <c r="AIV13" s="82"/>
      <c r="AIW13" s="82"/>
      <c r="AIX13" s="82"/>
      <c r="AIY13" s="82"/>
      <c r="AIZ13" s="82"/>
      <c r="AJA13" s="82"/>
      <c r="AJB13" s="82"/>
      <c r="AJC13" s="82"/>
      <c r="AJD13" s="82"/>
      <c r="AJE13" s="82"/>
      <c r="AJF13" s="82"/>
      <c r="AJG13" s="82"/>
      <c r="AJH13" s="82"/>
      <c r="AJI13" s="82"/>
      <c r="AJJ13" s="82"/>
      <c r="AJK13" s="82"/>
      <c r="AJL13" s="82"/>
      <c r="AJM13" s="82"/>
      <c r="AJN13" s="82"/>
      <c r="AJO13" s="82"/>
      <c r="AJP13" s="82"/>
      <c r="AJQ13" s="82"/>
      <c r="AJR13" s="82"/>
      <c r="AJS13" s="82"/>
      <c r="AJT13" s="82"/>
      <c r="AJU13" s="82"/>
      <c r="AJV13" s="82"/>
      <c r="AJW13" s="82"/>
      <c r="AJX13" s="82"/>
      <c r="AJY13" s="82"/>
      <c r="AJZ13" s="82"/>
      <c r="AKA13" s="82"/>
      <c r="AKB13" s="82"/>
      <c r="AKC13" s="82"/>
      <c r="AKD13" s="82"/>
      <c r="AKE13" s="82"/>
      <c r="AKF13" s="82"/>
      <c r="AKG13" s="82"/>
      <c r="AKH13" s="82"/>
      <c r="AKI13" s="82"/>
      <c r="AKJ13" s="82"/>
      <c r="AKK13" s="82"/>
      <c r="AKL13" s="82"/>
      <c r="AKM13" s="82"/>
      <c r="AKN13" s="82"/>
      <c r="AKO13" s="82"/>
      <c r="AKP13" s="82"/>
      <c r="AKQ13" s="82"/>
      <c r="AKR13" s="82"/>
      <c r="AKS13" s="82"/>
      <c r="AKT13" s="82"/>
      <c r="AKU13" s="82"/>
      <c r="AKV13" s="82"/>
      <c r="AKW13" s="82"/>
      <c r="AKX13" s="82"/>
      <c r="AKY13" s="82"/>
      <c r="AKZ13" s="82"/>
      <c r="ALA13" s="82"/>
      <c r="ALB13" s="82"/>
      <c r="ALC13" s="82"/>
      <c r="ALD13" s="82"/>
      <c r="ALE13" s="82"/>
      <c r="ALF13" s="82"/>
      <c r="ALG13" s="82"/>
      <c r="ALH13" s="82"/>
      <c r="ALI13" s="82"/>
      <c r="ALJ13" s="82"/>
      <c r="ALK13" s="82"/>
      <c r="ALL13" s="82"/>
      <c r="ALM13" s="82"/>
      <c r="ALN13" s="82"/>
      <c r="ALO13" s="82"/>
      <c r="ALP13" s="82"/>
      <c r="ALQ13" s="82"/>
      <c r="ALR13" s="82"/>
      <c r="ALS13" s="82"/>
      <c r="ALT13" s="82"/>
      <c r="ALU13" s="82"/>
      <c r="ALV13" s="82"/>
      <c r="ALW13" s="82"/>
      <c r="ALX13" s="82"/>
      <c r="ALY13" s="82"/>
      <c r="ALZ13" s="82"/>
      <c r="AMA13" s="82"/>
      <c r="AMB13" s="82"/>
      <c r="AMC13" s="82"/>
      <c r="AMD13" s="82"/>
      <c r="AME13" s="82"/>
      <c r="AMF13" s="82"/>
      <c r="AMG13" s="82"/>
      <c r="AMH13" s="82"/>
      <c r="AMI13" s="82"/>
      <c r="AMJ13" s="82"/>
    </row>
    <row r="14" spans="1:1024" ht="15.75" customHeight="1" x14ac:dyDescent="0.25">
      <c r="A14" s="99" t="s">
        <v>72</v>
      </c>
      <c r="B14" s="99"/>
      <c r="C14" s="99"/>
      <c r="D14" s="99"/>
      <c r="E14" s="99"/>
      <c r="F14" s="99"/>
      <c r="G14" s="66">
        <v>2563920</v>
      </c>
    </row>
  </sheetData>
  <mergeCells count="15">
    <mergeCell ref="A14:F14"/>
    <mergeCell ref="A9:G9"/>
    <mergeCell ref="A3:B3"/>
    <mergeCell ref="A1:F1"/>
    <mergeCell ref="C8:G8"/>
    <mergeCell ref="C4:G4"/>
    <mergeCell ref="C5:G5"/>
    <mergeCell ref="C6:G6"/>
    <mergeCell ref="C7:G7"/>
    <mergeCell ref="C3:G3"/>
    <mergeCell ref="A4:B4"/>
    <mergeCell ref="A5:B5"/>
    <mergeCell ref="A6:B6"/>
    <mergeCell ref="A7:B7"/>
    <mergeCell ref="A8:B8"/>
  </mergeCells>
  <pageMargins left="0.7" right="0.7" top="0.75" bottom="0.75" header="0.3" footer="0.3"/>
  <pageSetup paperSize="9"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5"/>
  <sheetViews>
    <sheetView workbookViewId="0">
      <selection activeCell="D2" sqref="D2"/>
    </sheetView>
  </sheetViews>
  <sheetFormatPr baseColWidth="10" defaultRowHeight="15" x14ac:dyDescent="0.25"/>
  <cols>
    <col min="1" max="1" width="3.140625" customWidth="1"/>
    <col min="2" max="2" width="3.42578125" customWidth="1"/>
    <col min="3" max="4" width="3.5703125" customWidth="1"/>
    <col min="5" max="5" width="3.42578125" customWidth="1"/>
    <col min="6" max="6" width="13.42578125" customWidth="1"/>
    <col min="7" max="8" width="3" customWidth="1"/>
    <col min="9" max="9" width="2.85546875" customWidth="1"/>
    <col min="10" max="10" width="3" customWidth="1"/>
    <col min="11" max="11" width="2.7109375" customWidth="1"/>
    <col min="12" max="12" width="3.140625" customWidth="1"/>
    <col min="13" max="13" width="2.7109375" customWidth="1"/>
    <col min="14" max="14" width="3.7109375" customWidth="1"/>
    <col min="15" max="15" width="14.42578125" customWidth="1"/>
    <col min="16" max="16" width="7.85546875" customWidth="1"/>
    <col min="17" max="17" width="13.28515625" customWidth="1"/>
  </cols>
  <sheetData>
    <row r="1" spans="1:17" ht="15.75" thickBot="1" x14ac:dyDescent="0.3">
      <c r="A1" s="114" t="s">
        <v>2</v>
      </c>
      <c r="B1" s="114"/>
      <c r="C1" s="114"/>
      <c r="D1" s="115">
        <v>2022</v>
      </c>
      <c r="E1" s="115"/>
      <c r="F1" s="30"/>
      <c r="G1" s="30"/>
      <c r="H1" s="31"/>
      <c r="I1" s="31"/>
      <c r="J1" s="31"/>
      <c r="K1" s="31"/>
      <c r="L1" s="31"/>
      <c r="M1" s="31"/>
      <c r="N1" s="31"/>
      <c r="O1" s="32"/>
      <c r="P1" s="116" t="s">
        <v>30</v>
      </c>
      <c r="Q1" s="116"/>
    </row>
    <row r="2" spans="1:17" ht="15.75" thickBot="1" x14ac:dyDescent="0.3">
      <c r="A2" s="33"/>
      <c r="B2" s="34"/>
      <c r="C2" s="34"/>
      <c r="D2" s="34"/>
      <c r="E2" s="34"/>
      <c r="F2" s="34"/>
      <c r="G2" s="35"/>
      <c r="H2" s="36"/>
      <c r="I2" s="36"/>
      <c r="J2" s="36"/>
      <c r="K2" s="36"/>
      <c r="L2" s="36"/>
      <c r="M2" s="36"/>
      <c r="N2" s="36"/>
      <c r="O2" s="34"/>
      <c r="P2" s="116"/>
      <c r="Q2" s="116"/>
    </row>
    <row r="3" spans="1:17" ht="15.75" thickBot="1" x14ac:dyDescent="0.3">
      <c r="A3" s="33"/>
      <c r="B3" s="34"/>
      <c r="C3" s="34"/>
      <c r="D3" s="34"/>
      <c r="E3" s="34"/>
      <c r="F3" s="34"/>
      <c r="G3" s="35"/>
      <c r="H3" s="34"/>
      <c r="I3" s="34"/>
      <c r="J3" s="34"/>
      <c r="K3" s="34"/>
      <c r="L3" s="34"/>
      <c r="M3" s="34"/>
      <c r="N3" s="34"/>
      <c r="O3" s="34"/>
      <c r="P3" s="34"/>
      <c r="Q3" s="37"/>
    </row>
    <row r="4" spans="1:17" ht="15.75" thickBot="1" x14ac:dyDescent="0.3">
      <c r="A4" s="117" t="s">
        <v>31</v>
      </c>
      <c r="B4" s="117"/>
      <c r="C4" s="117"/>
      <c r="D4" s="117"/>
      <c r="E4" s="117"/>
      <c r="F4" s="117"/>
      <c r="G4" s="113" t="str">
        <f>+NDP!C3</f>
        <v>50 - MINISTERIO DE EDUCACIÓN</v>
      </c>
      <c r="H4" s="113"/>
      <c r="I4" s="113"/>
      <c r="J4" s="113"/>
      <c r="K4" s="113"/>
      <c r="L4" s="113"/>
      <c r="M4" s="113"/>
      <c r="N4" s="113"/>
      <c r="O4" s="113"/>
      <c r="P4" s="113"/>
      <c r="Q4" s="113"/>
    </row>
    <row r="5" spans="1:17" ht="15.75" thickBot="1" x14ac:dyDescent="0.3">
      <c r="A5" s="112" t="s">
        <v>24</v>
      </c>
      <c r="B5" s="112"/>
      <c r="C5" s="112"/>
      <c r="D5" s="112"/>
      <c r="E5" s="112"/>
      <c r="F5" s="112"/>
      <c r="G5" s="113" t="str">
        <f>+NDP!C4</f>
        <v>26 - DIRECCIÓN PROVINCIAL DE ADMINISTRACIÓN</v>
      </c>
      <c r="H5" s="113"/>
      <c r="I5" s="113"/>
      <c r="J5" s="113"/>
      <c r="K5" s="113"/>
      <c r="L5" s="113"/>
      <c r="M5" s="113"/>
      <c r="N5" s="113"/>
      <c r="O5" s="113"/>
      <c r="P5" s="113"/>
      <c r="Q5" s="113"/>
    </row>
    <row r="6" spans="1:17" ht="16.5" customHeight="1" thickBot="1" x14ac:dyDescent="0.3">
      <c r="A6" s="120" t="s">
        <v>25</v>
      </c>
      <c r="B6" s="121"/>
      <c r="C6" s="121"/>
      <c r="D6" s="121"/>
      <c r="E6" s="121"/>
      <c r="F6" s="122"/>
      <c r="G6" s="123" t="s">
        <v>23</v>
      </c>
      <c r="H6" s="124"/>
      <c r="I6" s="124"/>
      <c r="J6" s="124"/>
      <c r="K6" s="124"/>
      <c r="L6" s="124"/>
      <c r="M6" s="124"/>
      <c r="N6" s="124"/>
      <c r="O6" s="124"/>
      <c r="P6" s="124"/>
      <c r="Q6" s="125"/>
    </row>
    <row r="7" spans="1:17" ht="15.75" thickBot="1" x14ac:dyDescent="0.3">
      <c r="A7" s="126" t="s">
        <v>26</v>
      </c>
      <c r="B7" s="127"/>
      <c r="C7" s="127"/>
      <c r="D7" s="127"/>
      <c r="E7" s="127"/>
      <c r="F7" s="128"/>
      <c r="G7" s="129" t="s">
        <v>23</v>
      </c>
      <c r="H7" s="129"/>
      <c r="I7" s="129"/>
      <c r="J7" s="129"/>
      <c r="K7" s="129"/>
      <c r="L7" s="129"/>
      <c r="M7" s="129"/>
      <c r="N7" s="129"/>
      <c r="O7" s="129"/>
      <c r="P7" s="129"/>
      <c r="Q7" s="129"/>
    </row>
    <row r="8" spans="1:17" ht="15.75" thickBot="1" x14ac:dyDescent="0.3">
      <c r="A8" s="130" t="s">
        <v>32</v>
      </c>
      <c r="B8" s="130"/>
      <c r="C8" s="130"/>
      <c r="D8" s="130"/>
      <c r="E8" s="130"/>
      <c r="F8" s="130"/>
      <c r="G8" s="130"/>
      <c r="H8" s="130"/>
      <c r="I8" s="130"/>
      <c r="J8" s="130"/>
      <c r="K8" s="130"/>
      <c r="L8" s="130"/>
      <c r="M8" s="130"/>
      <c r="N8" s="130"/>
      <c r="O8" s="130"/>
      <c r="P8" s="130"/>
      <c r="Q8" s="130"/>
    </row>
    <row r="9" spans="1:17" ht="27.75" customHeight="1" x14ac:dyDescent="0.25">
      <c r="A9" s="131" t="s">
        <v>33</v>
      </c>
      <c r="B9" s="131"/>
      <c r="C9" s="131"/>
      <c r="D9" s="131"/>
      <c r="E9" s="131"/>
      <c r="F9" s="131"/>
      <c r="G9" s="131"/>
      <c r="H9" s="131"/>
      <c r="I9" s="131"/>
      <c r="J9" s="131"/>
      <c r="K9" s="131"/>
      <c r="L9" s="131"/>
      <c r="M9" s="131"/>
      <c r="N9" s="131"/>
      <c r="O9" s="131"/>
      <c r="P9" s="131"/>
      <c r="Q9" s="131"/>
    </row>
    <row r="10" spans="1:17" ht="73.5" customHeight="1" x14ac:dyDescent="0.25">
      <c r="A10" s="132" t="s">
        <v>73</v>
      </c>
      <c r="B10" s="132"/>
      <c r="C10" s="132"/>
      <c r="D10" s="132"/>
      <c r="E10" s="132"/>
      <c r="F10" s="132"/>
      <c r="G10" s="132"/>
      <c r="H10" s="132"/>
      <c r="I10" s="132"/>
      <c r="J10" s="132"/>
      <c r="K10" s="132"/>
      <c r="L10" s="132"/>
      <c r="M10" s="132"/>
      <c r="N10" s="132"/>
      <c r="O10" s="132"/>
      <c r="P10" s="132"/>
      <c r="Q10" s="132"/>
    </row>
    <row r="11" spans="1:17" ht="13.5" customHeight="1" thickBot="1" x14ac:dyDescent="0.3">
      <c r="A11" s="38"/>
      <c r="B11" s="39"/>
      <c r="C11" s="39"/>
      <c r="D11" s="39"/>
      <c r="E11" s="39"/>
      <c r="F11" s="39"/>
      <c r="G11" s="40"/>
      <c r="H11" s="39"/>
      <c r="I11" s="39"/>
      <c r="J11" s="39"/>
      <c r="K11" s="39"/>
      <c r="L11" s="39"/>
      <c r="M11" s="39"/>
      <c r="N11" s="39"/>
      <c r="O11" s="39"/>
      <c r="P11" s="39"/>
      <c r="Q11" s="41"/>
    </row>
    <row r="12" spans="1:17" ht="15.75" thickBot="1" x14ac:dyDescent="0.3">
      <c r="A12" s="133" t="s">
        <v>34</v>
      </c>
      <c r="B12" s="133"/>
      <c r="C12" s="133"/>
      <c r="D12" s="133"/>
      <c r="E12" s="133"/>
      <c r="F12" s="133"/>
      <c r="G12" s="133"/>
      <c r="H12" s="133"/>
      <c r="I12" s="133"/>
      <c r="J12" s="133"/>
      <c r="K12" s="133"/>
      <c r="L12" s="133"/>
      <c r="M12" s="133"/>
      <c r="N12" s="133"/>
      <c r="O12" s="133"/>
      <c r="P12" s="133"/>
      <c r="Q12" s="133"/>
    </row>
    <row r="13" spans="1:17" ht="15.75" thickBot="1" x14ac:dyDescent="0.3">
      <c r="A13" s="134" t="s">
        <v>35</v>
      </c>
      <c r="B13" s="134"/>
      <c r="C13" s="134"/>
      <c r="D13" s="134"/>
      <c r="E13" s="134"/>
      <c r="F13" s="134"/>
      <c r="G13" s="134"/>
      <c r="H13" s="134"/>
      <c r="I13" s="134"/>
      <c r="J13" s="134"/>
      <c r="K13" s="134"/>
      <c r="L13" s="134"/>
      <c r="M13" s="134"/>
      <c r="N13" s="134"/>
      <c r="O13" s="135" t="s">
        <v>36</v>
      </c>
      <c r="P13" s="135"/>
      <c r="Q13" s="136" t="s">
        <v>37</v>
      </c>
    </row>
    <row r="14" spans="1:17" ht="18.75" customHeight="1" thickBot="1" x14ac:dyDescent="0.3">
      <c r="A14" s="42" t="s">
        <v>38</v>
      </c>
      <c r="B14" s="43" t="s">
        <v>39</v>
      </c>
      <c r="C14" s="43" t="s">
        <v>40</v>
      </c>
      <c r="D14" s="43" t="s">
        <v>41</v>
      </c>
      <c r="E14" s="43" t="s">
        <v>42</v>
      </c>
      <c r="F14" s="43" t="s">
        <v>43</v>
      </c>
      <c r="G14" s="44" t="s">
        <v>44</v>
      </c>
      <c r="H14" s="43" t="s">
        <v>45</v>
      </c>
      <c r="I14" s="43" t="s">
        <v>46</v>
      </c>
      <c r="J14" s="43" t="s">
        <v>47</v>
      </c>
      <c r="K14" s="43" t="s">
        <v>47</v>
      </c>
      <c r="L14" s="43" t="s">
        <v>48</v>
      </c>
      <c r="M14" s="45" t="s">
        <v>49</v>
      </c>
      <c r="N14" s="46" t="s">
        <v>50</v>
      </c>
      <c r="O14" s="135"/>
      <c r="P14" s="135"/>
      <c r="Q14" s="136"/>
    </row>
    <row r="15" spans="1:17" ht="33.75" customHeight="1" thickBot="1" x14ac:dyDescent="0.3">
      <c r="A15" s="47">
        <v>1</v>
      </c>
      <c r="B15" s="48">
        <v>0</v>
      </c>
      <c r="C15" s="48">
        <v>0</v>
      </c>
      <c r="D15" s="48">
        <v>1</v>
      </c>
      <c r="E15" s="48">
        <v>0</v>
      </c>
      <c r="F15" s="48">
        <v>4901</v>
      </c>
      <c r="G15" s="48">
        <v>3</v>
      </c>
      <c r="H15" s="48">
        <v>4</v>
      </c>
      <c r="I15" s="48">
        <v>3</v>
      </c>
      <c r="J15" s="48">
        <v>3</v>
      </c>
      <c r="K15" s="48">
        <v>5</v>
      </c>
      <c r="L15" s="48">
        <v>0</v>
      </c>
      <c r="M15" s="49">
        <v>1</v>
      </c>
      <c r="N15" s="48" t="s">
        <v>51</v>
      </c>
      <c r="O15" s="118" t="s">
        <v>65</v>
      </c>
      <c r="P15" s="119"/>
      <c r="Q15" s="50">
        <v>2563920</v>
      </c>
    </row>
    <row r="16" spans="1:17" ht="18" customHeight="1" x14ac:dyDescent="0.25">
      <c r="A16" s="51"/>
      <c r="B16" s="52"/>
      <c r="C16" s="52"/>
      <c r="D16" s="52"/>
      <c r="E16" s="52"/>
      <c r="F16" s="48"/>
      <c r="G16" s="52"/>
      <c r="H16" s="52"/>
      <c r="I16" s="52"/>
      <c r="J16" s="52"/>
      <c r="K16" s="52"/>
      <c r="L16" s="52"/>
      <c r="M16" s="53"/>
      <c r="N16" s="54"/>
      <c r="O16" s="118"/>
      <c r="P16" s="119"/>
      <c r="Q16" s="55"/>
    </row>
    <row r="17" spans="1:17" x14ac:dyDescent="0.25">
      <c r="A17" s="56"/>
      <c r="B17" s="57"/>
      <c r="C17" s="57"/>
      <c r="D17" s="57"/>
      <c r="E17" s="57"/>
      <c r="F17" s="57"/>
      <c r="G17" s="57"/>
      <c r="H17" s="57"/>
      <c r="I17" s="57"/>
      <c r="J17" s="57"/>
      <c r="K17" s="57"/>
      <c r="L17" s="57"/>
      <c r="M17" s="58"/>
      <c r="N17" s="59"/>
      <c r="O17" s="141"/>
      <c r="P17" s="141"/>
      <c r="Q17" s="60"/>
    </row>
    <row r="18" spans="1:17" x14ac:dyDescent="0.25">
      <c r="A18" s="56"/>
      <c r="B18" s="57"/>
      <c r="C18" s="57"/>
      <c r="D18" s="57"/>
      <c r="E18" s="57"/>
      <c r="F18" s="57"/>
      <c r="G18" s="57"/>
      <c r="H18" s="57"/>
      <c r="I18" s="57"/>
      <c r="J18" s="57"/>
      <c r="K18" s="57"/>
      <c r="L18" s="57"/>
      <c r="M18" s="58"/>
      <c r="N18" s="59"/>
      <c r="O18" s="142"/>
      <c r="P18" s="142"/>
      <c r="Q18" s="60"/>
    </row>
    <row r="19" spans="1:17" x14ac:dyDescent="0.25">
      <c r="A19" s="56"/>
      <c r="B19" s="57"/>
      <c r="C19" s="57"/>
      <c r="D19" s="57"/>
      <c r="E19" s="57"/>
      <c r="F19" s="57"/>
      <c r="G19" s="57"/>
      <c r="H19" s="57"/>
      <c r="I19" s="57"/>
      <c r="J19" s="57"/>
      <c r="K19" s="57"/>
      <c r="L19" s="57"/>
      <c r="M19" s="58"/>
      <c r="N19" s="59"/>
      <c r="O19" s="142"/>
      <c r="P19" s="142"/>
      <c r="Q19" s="60"/>
    </row>
    <row r="20" spans="1:17" ht="15.75" thickBot="1" x14ac:dyDescent="0.3">
      <c r="A20" s="61"/>
      <c r="B20" s="62"/>
      <c r="C20" s="62"/>
      <c r="D20" s="62"/>
      <c r="E20" s="62"/>
      <c r="F20" s="62"/>
      <c r="G20" s="62"/>
      <c r="H20" s="62"/>
      <c r="I20" s="62"/>
      <c r="J20" s="62"/>
      <c r="K20" s="62"/>
      <c r="L20" s="62"/>
      <c r="M20" s="63"/>
      <c r="N20" s="62"/>
      <c r="O20" s="143"/>
      <c r="P20" s="143"/>
      <c r="Q20" s="64"/>
    </row>
    <row r="21" spans="1:17" ht="27.75" customHeight="1" thickBot="1" x14ac:dyDescent="0.3">
      <c r="A21" s="144" t="s">
        <v>74</v>
      </c>
      <c r="B21" s="144"/>
      <c r="C21" s="144"/>
      <c r="D21" s="144"/>
      <c r="E21" s="144"/>
      <c r="F21" s="144"/>
      <c r="G21" s="144"/>
      <c r="H21" s="144"/>
      <c r="I21" s="144"/>
      <c r="J21" s="144"/>
      <c r="K21" s="144"/>
      <c r="L21" s="144"/>
      <c r="M21" s="144"/>
      <c r="N21" s="144"/>
      <c r="O21" s="144"/>
      <c r="P21" s="144"/>
      <c r="Q21" s="65">
        <f>SUM(Q15:Q20)</f>
        <v>2563920</v>
      </c>
    </row>
    <row r="22" spans="1:17" ht="15.75" thickBot="1" x14ac:dyDescent="0.3">
      <c r="A22" s="137"/>
      <c r="B22" s="137"/>
      <c r="C22" s="137"/>
      <c r="D22" s="137"/>
      <c r="E22" s="137"/>
      <c r="F22" s="137"/>
      <c r="G22" s="137"/>
      <c r="H22" s="137"/>
      <c r="I22" s="137"/>
      <c r="J22" s="137"/>
      <c r="K22" s="137"/>
      <c r="L22" s="137"/>
      <c r="M22" s="137"/>
      <c r="N22" s="137"/>
      <c r="O22" s="137"/>
      <c r="P22" s="137"/>
      <c r="Q22" s="137"/>
    </row>
    <row r="23" spans="1:17" ht="15.75" thickBot="1" x14ac:dyDescent="0.3">
      <c r="A23" s="138" t="s">
        <v>52</v>
      </c>
      <c r="B23" s="138"/>
      <c r="C23" s="138"/>
      <c r="D23" s="138"/>
      <c r="E23" s="138"/>
      <c r="F23" s="138"/>
      <c r="G23" s="139"/>
      <c r="H23" s="139"/>
      <c r="I23" s="139"/>
      <c r="J23" s="139"/>
      <c r="K23" s="139"/>
      <c r="L23" s="139"/>
      <c r="M23" s="139"/>
      <c r="N23" s="139"/>
      <c r="O23" s="139"/>
      <c r="P23" s="139"/>
      <c r="Q23" s="139"/>
    </row>
    <row r="24" spans="1:17" ht="15.75" thickBot="1" x14ac:dyDescent="0.3">
      <c r="A24" s="140" t="s">
        <v>66</v>
      </c>
      <c r="B24" s="140"/>
      <c r="C24" s="140"/>
      <c r="D24" s="140"/>
      <c r="E24" s="140"/>
      <c r="F24" s="140"/>
      <c r="G24" s="140"/>
      <c r="H24" s="140"/>
      <c r="I24" s="140"/>
      <c r="J24" s="140"/>
      <c r="K24" s="140"/>
      <c r="L24" s="140"/>
      <c r="M24" s="140"/>
      <c r="N24" s="140"/>
      <c r="O24" s="140"/>
      <c r="P24" s="140"/>
      <c r="Q24" s="140"/>
    </row>
    <row r="25" spans="1:17" ht="15.75" thickBot="1" x14ac:dyDescent="0.3">
      <c r="A25" s="140"/>
      <c r="B25" s="140"/>
      <c r="C25" s="140"/>
      <c r="D25" s="140"/>
      <c r="E25" s="140"/>
      <c r="F25" s="140"/>
      <c r="G25" s="140"/>
      <c r="H25" s="140"/>
      <c r="I25" s="140"/>
      <c r="J25" s="140"/>
      <c r="K25" s="140"/>
      <c r="L25" s="140"/>
      <c r="M25" s="140"/>
      <c r="N25" s="140"/>
      <c r="O25" s="140"/>
      <c r="P25" s="140"/>
      <c r="Q25" s="140"/>
    </row>
  </sheetData>
  <mergeCells count="29">
    <mergeCell ref="A22:Q22"/>
    <mergeCell ref="A23:F23"/>
    <mergeCell ref="G23:Q23"/>
    <mergeCell ref="A24:Q25"/>
    <mergeCell ref="O16:P16"/>
    <mergeCell ref="O17:P17"/>
    <mergeCell ref="O18:P18"/>
    <mergeCell ref="O19:P19"/>
    <mergeCell ref="O20:P20"/>
    <mergeCell ref="A21:P21"/>
    <mergeCell ref="O15:P15"/>
    <mergeCell ref="A6:F6"/>
    <mergeCell ref="G6:Q6"/>
    <mergeCell ref="A7:F7"/>
    <mergeCell ref="G7:Q7"/>
    <mergeCell ref="A8:Q8"/>
    <mergeCell ref="A9:Q9"/>
    <mergeCell ref="A10:Q10"/>
    <mergeCell ref="A12:Q12"/>
    <mergeCell ref="A13:N13"/>
    <mergeCell ref="O13:P14"/>
    <mergeCell ref="Q13:Q14"/>
    <mergeCell ref="A5:F5"/>
    <mergeCell ref="G5:Q5"/>
    <mergeCell ref="A1:C1"/>
    <mergeCell ref="D1:E1"/>
    <mergeCell ref="P1:Q2"/>
    <mergeCell ref="A4:F4"/>
    <mergeCell ref="G4:Q4"/>
  </mergeCells>
  <pageMargins left="0.7" right="0.7" top="0.75" bottom="0.75" header="0.3" footer="0.3"/>
  <pageSetup paperSize="5"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Necesidades Trimestrales</vt:lpstr>
      <vt:lpstr>NDP</vt:lpstr>
      <vt:lpstr>APG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ELIAS QUINTAR</dc:creator>
  <cp:lastModifiedBy>yanina cativiela</cp:lastModifiedBy>
  <cp:lastPrinted>2021-02-22T15:36:46Z</cp:lastPrinted>
  <dcterms:created xsi:type="dcterms:W3CDTF">2021-02-08T12:06:32Z</dcterms:created>
  <dcterms:modified xsi:type="dcterms:W3CDTF">2022-01-11T14:37:55Z</dcterms:modified>
</cp:coreProperties>
</file>