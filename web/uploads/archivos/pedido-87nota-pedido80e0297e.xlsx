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TELAS\"/>
    </mc:Choice>
  </mc:AlternateContent>
  <bookViews>
    <workbookView xWindow="480" yWindow="30" windowWidth="18360" windowHeight="7395"/>
  </bookViews>
  <sheets>
    <sheet name="Telas NT" sheetId="1" r:id="rId1"/>
    <sheet name="Telas NPYE" sheetId="2" r:id="rId2"/>
    <sheet name="Telas APG " sheetId="3" r:id="rId3"/>
  </sheets>
  <definedNames>
    <definedName name="_xlnm._FilterDatabase" localSheetId="0" hidden="1">'Telas NT'!$A$9:$I$16</definedName>
    <definedName name="_xlnm.Print_Area" localSheetId="2">'Telas APG '!$A$1:$Q$27</definedName>
    <definedName name="_xlnm.Print_Area" localSheetId="1">'Telas NPYE'!$A$1:$K$19</definedName>
  </definedNames>
  <calcPr calcId="152511"/>
</workbook>
</file>

<file path=xl/calcChain.xml><?xml version="1.0" encoding="utf-8"?>
<calcChain xmlns="http://schemas.openxmlformats.org/spreadsheetml/2006/main">
  <c r="A26" i="3" l="1"/>
  <c r="D1" i="3"/>
  <c r="G7" i="3"/>
  <c r="G6" i="3"/>
  <c r="A10" i="3"/>
  <c r="D3" i="2"/>
  <c r="G4" i="3" s="1"/>
  <c r="D4" i="2"/>
  <c r="G5" i="3" s="1"/>
  <c r="D7" i="2"/>
  <c r="K13" i="2"/>
  <c r="K14" i="2"/>
  <c r="K15" i="2"/>
  <c r="K16" i="2"/>
  <c r="K17" i="2"/>
  <c r="K18" i="2"/>
  <c r="J13" i="2"/>
  <c r="J14" i="2"/>
  <c r="J15" i="2"/>
  <c r="J16" i="2"/>
  <c r="J17" i="2"/>
  <c r="J18" i="2"/>
  <c r="I13" i="2"/>
  <c r="I14" i="2"/>
  <c r="I15" i="2"/>
  <c r="I16" i="2"/>
  <c r="I17" i="2"/>
  <c r="I18" i="2"/>
  <c r="C13" i="2"/>
  <c r="C14" i="2"/>
  <c r="C15" i="2"/>
  <c r="C16" i="2"/>
  <c r="C17" i="2"/>
  <c r="C18" i="2"/>
  <c r="B13" i="2"/>
  <c r="B14" i="2"/>
  <c r="B15" i="2"/>
  <c r="B16" i="2"/>
  <c r="B17" i="2"/>
  <c r="B18" i="2"/>
  <c r="K12" i="2"/>
  <c r="I12" i="2"/>
  <c r="C12" i="2"/>
  <c r="B12" i="2"/>
  <c r="Q23" i="3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J19" i="2" l="1"/>
</calcChain>
</file>

<file path=xl/sharedStrings.xml><?xml version="1.0" encoding="utf-8"?>
<sst xmlns="http://schemas.openxmlformats.org/spreadsheetml/2006/main" count="171" uniqueCount="108">
  <si>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</si>
  <si>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</si>
  <si>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</si>
  <si>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</si>
  <si>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</si>
  <si>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</si>
  <si>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</si>
  <si>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</si>
  <si>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</si>
  <si>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</si>
  <si>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</si>
  <si>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</si>
  <si>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</si>
  <si>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</si>
  <si>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</si>
  <si>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</si>
  <si>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2.2.1-2850.5</t>
  </si>
  <si>
    <t>INDUMENT.TEXTILY CONFECCIONES</t>
  </si>
  <si>
    <t>TELA GABARDINA; ANCHO: 1,50 M, LARGO: 50 M, MATERIAL: POLIESTER 50% ALGODON 50%</t>
  </si>
  <si>
    <t>2.2.1-2617.19</t>
  </si>
  <si>
    <t>TELA DE ALGODON; ANCHO: 1,5 M, LARGO ROLLO: X METRO, LARGO: X METRO</t>
  </si>
  <si>
    <t>2.2.1-3437.5</t>
  </si>
  <si>
    <t>LONAS; ANCHO: 1,50 M, LARGO ROLLO: 100 M, COLOR: AZUL FRANCIA, TERMINACION: SIN VALOR</t>
  </si>
  <si>
    <t>2.2.9-702.30</t>
  </si>
  <si>
    <t>ARTICULOS  DEL HOGAR</t>
  </si>
  <si>
    <t>ALMOHADAS; CONSTRUCCION: FIBRA, DIMENSION: 50 X 70 Cm</t>
  </si>
  <si>
    <t>UNIDAD</t>
  </si>
  <si>
    <t>2.2.1-9956.61</t>
  </si>
  <si>
    <t>TELAS TEXTILES; TIPO: ALGODON POLIESTER, ANCHO: 1,50 M, LARGO: 50 M</t>
  </si>
  <si>
    <t>ROLLO</t>
  </si>
  <si>
    <t>2.4.1-3331.21</t>
  </si>
  <si>
    <t>TAPICERIA</t>
  </si>
  <si>
    <t>2.2.9-2298.14</t>
  </si>
  <si>
    <t>ELASTICO; PRESENTACION: ROLLO X 50 M, ANCHO: 50 mm</t>
  </si>
  <si>
    <t>Especificidades Item N° 1:</t>
  </si>
  <si>
    <t>Descripción técnica</t>
  </si>
  <si>
    <t>Plazos y lugares de entrega</t>
  </si>
  <si>
    <t>10 dias - Sección lavadero - Roperia - Costurero</t>
  </si>
  <si>
    <t>Calidad Minima esperada</t>
  </si>
  <si>
    <t>Mantenimiento</t>
  </si>
  <si>
    <t xml:space="preserve">30 dias habiles </t>
  </si>
  <si>
    <t>Garantia</t>
  </si>
  <si>
    <t>Especificidades Item N° 2:</t>
  </si>
  <si>
    <t>10 días - Sección lavadero - Roperia - Casturero</t>
  </si>
  <si>
    <t>30 días hábiles</t>
  </si>
  <si>
    <t>Especificidades Item N° 3:</t>
  </si>
  <si>
    <t>TELA LONA CATRERA "CABEZA DE TORO" - ROLLOS DE 1,50 METROS DE ANCHO</t>
  </si>
  <si>
    <t>Especificidades Item N° 4:</t>
  </si>
  <si>
    <t>ALMOHADAS DE UNA PLAZA CON FUNDA EXTRAIBLE</t>
  </si>
  <si>
    <t>Especificidades Item N° 5:</t>
  </si>
  <si>
    <t>TELA PARA SABANAS COLOR BLANCO COMPOSICIÓN 75% POLIESTER - 25% ALGODÓN - DE 1,50 METROS DE ANCHO</t>
  </si>
  <si>
    <t>Especificidades Item N° 6:</t>
  </si>
  <si>
    <t>Especificidades Item N° 7:</t>
  </si>
  <si>
    <t>TELA PARA PUÑO ELÁSTICA</t>
  </si>
  <si>
    <t>NOTA DE PEDIDO</t>
  </si>
  <si>
    <t>N°</t>
  </si>
  <si>
    <t xml:space="preserve">JURISDICCIÓN: </t>
  </si>
  <si>
    <t>SAF:</t>
  </si>
  <si>
    <t>UNIDAD EJECUTORA:</t>
  </si>
  <si>
    <t>237 - Direccion de Mantenimiento</t>
  </si>
  <si>
    <t xml:space="preserve">DEPENDENCIA SOLICITANTE: </t>
  </si>
  <si>
    <t>Sección Lavadero - Roperia - Costurero</t>
  </si>
  <si>
    <t>PERIODO UTILIZACIÓN:</t>
  </si>
  <si>
    <t>OBJETO:</t>
  </si>
  <si>
    <t>Adquisición de Telas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</si>
  <si>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</si>
  <si>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</si>
  <si>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</si>
  <si>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</si>
  <si>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</si>
  <si>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</si>
  <si>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</si>
  <si>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</si>
  <si>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</si>
  <si>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</si>
  <si>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</si>
  <si>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</si>
  <si>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</si>
  <si>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</si>
  <si>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</si>
  <si>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</si>
  <si>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</si>
  <si>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</si>
  <si>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</si>
  <si>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</si>
  <si>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</si>
  <si>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</si>
  <si>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</si>
  <si>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</si>
  <si>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</si>
  <si>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</si>
  <si>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</si>
  <si>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</si>
  <si>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</si>
  <si>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</si>
  <si>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</si>
  <si>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Hilados y Telas</t>
  </si>
  <si>
    <t xml:space="preserve">Otros NEP </t>
  </si>
  <si>
    <t>Cueros y Pieles</t>
  </si>
  <si>
    <t>JUSTIFICACIÓN:</t>
  </si>
  <si>
    <t>TELA NIDO DE ABEJA, DE GRAMOS CHICOS - COLOR BLANCO - ROLLOS DE 1,50 METROS DE ANCHO X 50 METROS DE LARGO</t>
  </si>
  <si>
    <t>10 días - Sección lavadero - Roperia - Costurero</t>
  </si>
  <si>
    <t>TELA GABARDINA DE 8z (GRUESA) COLOR BLANCO - ROLLOS DE 1,50 METROS DE ANCHO</t>
  </si>
  <si>
    <t>016/2021</t>
  </si>
  <si>
    <t>CUERINAS P/TAPICERIA; TIPO: P/TAPICERIA, ANCHO: 1,5 M, LARGO: 50 M</t>
  </si>
  <si>
    <t>CUERINA LIVIANA - ROLLO DE 1,50 DE ANCHO X 50 MTS</t>
  </si>
  <si>
    <t>Costo total estimado: UN MILLON SEISCIENTOS QUINCE MIL CON 00/100.--------------------------------------------------------------------------</t>
  </si>
  <si>
    <t>TOTAL DE PESOS: UN MILLON SEISCIENTOS QUINCE MIL CON 00/100.------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</si>
</sst>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0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0" fillId="0" borderId="0" applyBorder="0" applyProtection="0"/>
    <xf numFmtId="0" fontId="12" fillId="0" borderId="10" applyProtection="0"/>
    <xf numFmtId="166" fontId="13" fillId="0" borderId="0" applyBorder="0" applyProtection="0"/>
    <xf numFmtId="0" fontId="14" fillId="5" borderId="0" applyBorder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1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1" fillId="0" borderId="5" xfId="0" applyFont="1" applyBorder="1" applyAlignment="1">
      <alignment horizontal="left" indent="3"/>
    </xf>
    <xf numFmtId="0" fontId="1" fillId="0" borderId="5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indent="3"/>
    </xf>
    <xf numFmtId="0" fontId="1" fillId="0" borderId="8" xfId="0" applyFont="1" applyBorder="1"/>
    <xf numFmtId="0" fontId="1" fillId="0" borderId="9" xfId="0" applyFont="1" applyBorder="1"/>
    <xf numFmtId="0" fontId="15" fillId="0" borderId="11" xfId="0" applyFont="1" applyBorder="1" applyAlignment="1">
      <alignment horizontal="right" vertical="center"/>
    </xf>
    <xf numFmtId="0" fontId="16" fillId="2" borderId="12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 indent="1"/>
    </xf>
    <xf numFmtId="0" fontId="19" fillId="0" borderId="19" xfId="0" applyFont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165" fontId="19" fillId="3" borderId="19" xfId="1" applyNumberFormat="1" applyFont="1" applyFill="1" applyBorder="1" applyAlignment="1" applyProtection="1">
      <alignment horizontal="right" vertical="center" wrapText="1"/>
    </xf>
    <xf numFmtId="3" fontId="19" fillId="3" borderId="19" xfId="0" applyNumberFormat="1" applyFont="1" applyFill="1" applyBorder="1" applyAlignment="1">
      <alignment horizontal="center" vertical="center"/>
    </xf>
    <xf numFmtId="3" fontId="2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/>
    <xf numFmtId="0" fontId="0" fillId="0" borderId="0" xfId="0" applyBorder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0" fillId="2" borderId="33" xfId="0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2" borderId="35" xfId="0" applyFont="1" applyFill="1" applyBorder="1" applyAlignment="1">
      <alignment horizontal="center" vertical="center"/>
    </xf>
    <xf numFmtId="165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165" fontId="0" fillId="0" borderId="41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165" fontId="0" fillId="0" borderId="0" xfId="0" applyNumberFormat="1"/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5" fontId="0" fillId="0" borderId="45" xfId="3" applyNumberFormat="1" applyFont="1" applyBorder="1" applyAlignment="1" applyProtection="1">
      <alignment horizontal="center" vertical="center"/>
    </xf>
    <xf numFmtId="165" fontId="24" fillId="0" borderId="46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wrapText="1" indent="1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7" fillId="0" borderId="15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 indent="1"/>
    </xf>
    <xf numFmtId="0" fontId="15" fillId="0" borderId="0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 wrapText="1" indent="1"/>
    </xf>
    <xf numFmtId="0" fontId="19" fillId="3" borderId="19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 indent="1"/>
    </xf>
    <xf numFmtId="167" fontId="17" fillId="0" borderId="1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indent="1"/>
    </xf>
    <xf numFmtId="0" fontId="0" fillId="0" borderId="20" xfId="0" applyFont="1" applyBorder="1" applyAlignment="1">
      <alignment horizontal="center"/>
    </xf>
    <xf numFmtId="3" fontId="20" fillId="0" borderId="21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13" fillId="0" borderId="12" xfId="0" applyFont="1" applyBorder="1"/>
    <xf numFmtId="0" fontId="25" fillId="0" borderId="34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/>
    </xf>
    <xf numFmtId="0" fontId="22" fillId="0" borderId="24" xfId="0" applyFont="1" applyBorder="1"/>
    <xf numFmtId="0" fontId="22" fillId="0" borderId="25" xfId="0" applyFont="1" applyBorder="1" applyAlignment="1">
      <alignment horizontal="left" vertical="center" wrapText="1" indent="1"/>
    </xf>
    <xf numFmtId="0" fontId="24" fillId="0" borderId="28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2" fillId="2" borderId="46" xfId="0" applyFont="1" applyFill="1" applyBorder="1" applyAlignment="1">
      <alignment horizontal="left" vertical="center" wrapText="1" indent="1"/>
    </xf>
    <xf numFmtId="0" fontId="25" fillId="0" borderId="40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28" xfId="0" applyBorder="1"/>
    <xf numFmtId="0" fontId="20" fillId="0" borderId="20" xfId="0" applyFont="1" applyBorder="1" applyAlignment="1">
      <alignment vertical="center" wrapText="1"/>
    </xf>
    <xf numFmtId="0" fontId="20" fillId="0" borderId="47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4" fillId="0" borderId="46" xfId="0" applyFont="1" applyBorder="1" applyAlignment="1">
      <alignment horizontal="left" vertical="center" wrapText="1"/>
    </xf>
  </cellXfs>
  <cellStyles count="9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3" xfId="6"/>
    <cellStyle name="Normal 4" xfId="7"/>
    <cellStyle name="Porcentaje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2"/>
  <sheetViews>
    <sheetView tabSelected="1" topLeftCell="A4" zoomScale="85" zoomScaleNormal="85" workbookViewId="0">
      <selection activeCell="I10" sqref="I10:I16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80" t="s">
        <v>0</v>
      </c>
      <c r="C2" s="80"/>
      <c r="D2" s="80"/>
      <c r="E2" s="80"/>
      <c r="F2" s="80"/>
      <c r="G2" s="80"/>
      <c r="H2" s="80"/>
    </row>
    <row r="4" spans="1:9" ht="18" customHeight="1" x14ac:dyDescent="0.25">
      <c r="A4" s="79" t="s">
        <v>1</v>
      </c>
      <c r="B4" s="79"/>
      <c r="C4" s="81" t="s">
        <v>2</v>
      </c>
      <c r="D4" s="81"/>
      <c r="E4" s="81"/>
      <c r="F4" s="2"/>
      <c r="G4" s="3"/>
      <c r="H4" s="2"/>
    </row>
    <row r="5" spans="1:9" ht="18" customHeight="1" x14ac:dyDescent="0.25">
      <c r="A5" s="79" t="s">
        <v>3</v>
      </c>
      <c r="B5" s="79"/>
      <c r="C5" s="81" t="s">
        <v>4</v>
      </c>
      <c r="D5" s="81"/>
      <c r="E5" s="81"/>
      <c r="F5" s="2"/>
      <c r="G5" s="3"/>
      <c r="H5" s="2"/>
    </row>
    <row r="6" spans="1:9" ht="16.5" customHeight="1" x14ac:dyDescent="0.25">
      <c r="A6" s="79" t="s">
        <v>5</v>
      </c>
      <c r="B6" s="79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79" t="s">
        <v>6</v>
      </c>
      <c r="B7" s="79"/>
      <c r="C7" s="4">
        <v>2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42.75" customHeight="1" thickBot="1" x14ac:dyDescent="0.25">
      <c r="A10" s="7">
        <v>1</v>
      </c>
      <c r="B10" s="8" t="s">
        <v>16</v>
      </c>
      <c r="C10" s="9" t="s">
        <v>17</v>
      </c>
      <c r="D10" s="10" t="str">
        <f>LEFT(B10,5)</f>
        <v>2.2.1</v>
      </c>
      <c r="E10" s="11" t="s">
        <v>18</v>
      </c>
      <c r="F10" s="8" t="s">
        <v>29</v>
      </c>
      <c r="G10" s="8">
        <v>6</v>
      </c>
      <c r="H10" s="12">
        <v>31000</v>
      </c>
      <c r="I10" s="13">
        <f t="shared" ref="I10:I16" si="0">G10*H10</f>
        <v>186000</v>
      </c>
    </row>
    <row r="11" spans="1:9" ht="31.9" customHeight="1" thickBot="1" x14ac:dyDescent="0.25">
      <c r="A11" s="7">
        <v>2</v>
      </c>
      <c r="B11" s="8" t="s">
        <v>19</v>
      </c>
      <c r="C11" s="9" t="s">
        <v>17</v>
      </c>
      <c r="D11" s="10" t="str">
        <f t="shared" ref="D11:D16" si="1">LEFT(B11,5)</f>
        <v>2.2.1</v>
      </c>
      <c r="E11" s="11" t="s">
        <v>20</v>
      </c>
      <c r="F11" s="8" t="s">
        <v>29</v>
      </c>
      <c r="G11" s="8">
        <v>6</v>
      </c>
      <c r="H11" s="12">
        <v>31500</v>
      </c>
      <c r="I11" s="13">
        <f t="shared" si="0"/>
        <v>189000</v>
      </c>
    </row>
    <row r="12" spans="1:9" ht="31.9" customHeight="1" thickBot="1" x14ac:dyDescent="0.25">
      <c r="A12" s="7">
        <v>3</v>
      </c>
      <c r="B12" s="8" t="s">
        <v>21</v>
      </c>
      <c r="C12" s="9" t="s">
        <v>17</v>
      </c>
      <c r="D12" s="10" t="str">
        <f t="shared" si="1"/>
        <v>2.2.1</v>
      </c>
      <c r="E12" s="11" t="s">
        <v>22</v>
      </c>
      <c r="F12" s="8" t="s">
        <v>29</v>
      </c>
      <c r="G12" s="8">
        <v>1</v>
      </c>
      <c r="H12" s="12">
        <v>75000</v>
      </c>
      <c r="I12" s="13">
        <f t="shared" si="0"/>
        <v>75000</v>
      </c>
    </row>
    <row r="13" spans="1:9" ht="31.9" customHeight="1" thickBot="1" x14ac:dyDescent="0.25">
      <c r="A13" s="7">
        <v>4</v>
      </c>
      <c r="B13" s="8" t="s">
        <v>23</v>
      </c>
      <c r="C13" s="9" t="s">
        <v>24</v>
      </c>
      <c r="D13" s="10" t="str">
        <f t="shared" si="1"/>
        <v>2.2.9</v>
      </c>
      <c r="E13" s="11" t="s">
        <v>25</v>
      </c>
      <c r="F13" s="8" t="s">
        <v>26</v>
      </c>
      <c r="G13" s="8">
        <v>100</v>
      </c>
      <c r="H13" s="12">
        <v>1750</v>
      </c>
      <c r="I13" s="13">
        <f t="shared" si="0"/>
        <v>175000</v>
      </c>
    </row>
    <row r="14" spans="1:9" ht="31.9" customHeight="1" thickBot="1" x14ac:dyDescent="0.25">
      <c r="A14" s="7">
        <v>5</v>
      </c>
      <c r="B14" s="8" t="s">
        <v>27</v>
      </c>
      <c r="C14" s="9" t="s">
        <v>17</v>
      </c>
      <c r="D14" s="10" t="str">
        <f t="shared" si="1"/>
        <v>2.2.1</v>
      </c>
      <c r="E14" s="11" t="s">
        <v>28</v>
      </c>
      <c r="F14" s="8" t="s">
        <v>29</v>
      </c>
      <c r="G14" s="8">
        <v>20</v>
      </c>
      <c r="H14" s="12">
        <v>28000</v>
      </c>
      <c r="I14" s="13">
        <f t="shared" si="0"/>
        <v>560000</v>
      </c>
    </row>
    <row r="15" spans="1:9" ht="31.9" customHeight="1" thickBot="1" x14ac:dyDescent="0.25">
      <c r="A15" s="7">
        <v>6</v>
      </c>
      <c r="B15" s="8" t="s">
        <v>30</v>
      </c>
      <c r="C15" s="9" t="s">
        <v>31</v>
      </c>
      <c r="D15" s="10" t="str">
        <f t="shared" si="1"/>
        <v>2.4.1</v>
      </c>
      <c r="E15" s="11" t="s">
        <v>104</v>
      </c>
      <c r="F15" s="8" t="s">
        <v>29</v>
      </c>
      <c r="G15" s="8">
        <v>10</v>
      </c>
      <c r="H15" s="12">
        <v>40000</v>
      </c>
      <c r="I15" s="13">
        <f t="shared" si="0"/>
        <v>400000</v>
      </c>
    </row>
    <row r="16" spans="1:9" ht="31.9" customHeight="1" thickBot="1" x14ac:dyDescent="0.25">
      <c r="A16" s="7">
        <v>7</v>
      </c>
      <c r="B16" s="8" t="s">
        <v>32</v>
      </c>
      <c r="C16" s="9" t="s">
        <v>17</v>
      </c>
      <c r="D16" s="10" t="str">
        <f t="shared" si="1"/>
        <v>2.2.9</v>
      </c>
      <c r="E16" s="11" t="s">
        <v>33</v>
      </c>
      <c r="F16" s="8" t="s">
        <v>29</v>
      </c>
      <c r="G16" s="8">
        <v>1</v>
      </c>
      <c r="H16" s="12">
        <v>30000</v>
      </c>
      <c r="I16" s="13">
        <f t="shared" si="0"/>
        <v>30000</v>
      </c>
    </row>
    <row r="19" spans="2:5" x14ac:dyDescent="0.2">
      <c r="B19" s="14" t="s">
        <v>34</v>
      </c>
      <c r="C19" s="15"/>
      <c r="D19" s="15"/>
      <c r="E19" s="16"/>
    </row>
    <row r="20" spans="2:5" ht="5.25" customHeight="1" x14ac:dyDescent="0.2">
      <c r="B20" s="17"/>
      <c r="C20" s="18"/>
      <c r="D20" s="18"/>
      <c r="E20" s="19"/>
    </row>
    <row r="21" spans="2:5" x14ac:dyDescent="0.2">
      <c r="B21" s="20" t="s">
        <v>35</v>
      </c>
      <c r="C21" s="18"/>
      <c r="D21" s="18"/>
      <c r="E21" s="19"/>
    </row>
    <row r="22" spans="2:5" ht="41.25" customHeight="1" x14ac:dyDescent="0.2">
      <c r="B22" s="20"/>
      <c r="C22" s="82" t="s">
        <v>102</v>
      </c>
      <c r="D22" s="82"/>
      <c r="E22" s="82"/>
    </row>
    <row r="23" spans="2:5" x14ac:dyDescent="0.2">
      <c r="B23" s="20" t="s">
        <v>36</v>
      </c>
      <c r="C23" s="18"/>
      <c r="D23" s="18"/>
      <c r="E23" s="19"/>
    </row>
    <row r="24" spans="2:5" x14ac:dyDescent="0.2">
      <c r="B24" s="21"/>
      <c r="C24" s="83" t="s">
        <v>37</v>
      </c>
      <c r="D24" s="83"/>
      <c r="E24" s="83"/>
    </row>
    <row r="25" spans="2:5" x14ac:dyDescent="0.2">
      <c r="B25" s="21"/>
      <c r="C25" s="84"/>
      <c r="D25" s="84"/>
      <c r="E25" s="84"/>
    </row>
    <row r="26" spans="2:5" x14ac:dyDescent="0.2">
      <c r="B26" s="20" t="s">
        <v>38</v>
      </c>
      <c r="C26" s="18"/>
      <c r="D26" s="18"/>
      <c r="E26" s="19"/>
    </row>
    <row r="27" spans="2:5" ht="26.25" customHeight="1" x14ac:dyDescent="0.2">
      <c r="B27" s="21"/>
      <c r="C27" s="82"/>
      <c r="D27" s="82"/>
      <c r="E27" s="82"/>
    </row>
    <row r="28" spans="2:5" x14ac:dyDescent="0.2">
      <c r="B28" s="20" t="s">
        <v>39</v>
      </c>
      <c r="C28" s="22"/>
      <c r="D28" s="22"/>
      <c r="E28" s="23"/>
    </row>
    <row r="29" spans="2:5" ht="12" customHeight="1" x14ac:dyDescent="0.2">
      <c r="B29" s="21"/>
      <c r="C29" s="82" t="s">
        <v>40</v>
      </c>
      <c r="D29" s="82"/>
      <c r="E29" s="82"/>
    </row>
    <row r="30" spans="2:5" x14ac:dyDescent="0.2">
      <c r="B30" s="20" t="s">
        <v>41</v>
      </c>
      <c r="C30" s="18"/>
      <c r="D30" s="18"/>
      <c r="E30" s="19"/>
    </row>
    <row r="31" spans="2:5" ht="23.25" customHeight="1" x14ac:dyDescent="0.2">
      <c r="B31" s="20"/>
      <c r="C31" s="83"/>
      <c r="D31" s="83"/>
      <c r="E31" s="83"/>
    </row>
    <row r="32" spans="2:5" ht="13.5" thickBot="1" x14ac:dyDescent="0.25">
      <c r="B32" s="24"/>
      <c r="C32" s="25"/>
      <c r="D32" s="25"/>
      <c r="E32" s="26"/>
    </row>
    <row r="34" spans="2:5" x14ac:dyDescent="0.2">
      <c r="B34" s="14" t="s">
        <v>42</v>
      </c>
      <c r="C34" s="15"/>
      <c r="D34" s="15"/>
      <c r="E34" s="16"/>
    </row>
    <row r="35" spans="2:5" ht="7.5" customHeight="1" x14ac:dyDescent="0.2">
      <c r="B35" s="17"/>
      <c r="C35" s="18"/>
      <c r="D35" s="18"/>
      <c r="E35" s="19"/>
    </row>
    <row r="36" spans="2:5" x14ac:dyDescent="0.2">
      <c r="B36" s="20" t="s">
        <v>35</v>
      </c>
      <c r="C36" s="18"/>
      <c r="D36" s="18"/>
      <c r="E36" s="19"/>
    </row>
    <row r="37" spans="2:5" ht="39" customHeight="1" x14ac:dyDescent="0.2">
      <c r="B37" s="20"/>
      <c r="C37" s="82" t="s">
        <v>100</v>
      </c>
      <c r="D37" s="82"/>
      <c r="E37" s="82"/>
    </row>
    <row r="38" spans="2:5" x14ac:dyDescent="0.2">
      <c r="B38" s="20" t="s">
        <v>36</v>
      </c>
      <c r="C38" s="18"/>
      <c r="D38" s="18"/>
      <c r="E38" s="19"/>
    </row>
    <row r="39" spans="2:5" x14ac:dyDescent="0.2">
      <c r="B39" s="21"/>
      <c r="C39" s="83" t="s">
        <v>101</v>
      </c>
      <c r="D39" s="83"/>
      <c r="E39" s="83"/>
    </row>
    <row r="40" spans="2:5" x14ac:dyDescent="0.2">
      <c r="B40" s="21"/>
      <c r="C40" s="83"/>
      <c r="D40" s="83"/>
      <c r="E40" s="83"/>
    </row>
    <row r="41" spans="2:5" x14ac:dyDescent="0.2">
      <c r="B41" s="20" t="s">
        <v>38</v>
      </c>
      <c r="C41" s="18"/>
      <c r="D41" s="18"/>
      <c r="E41" s="19"/>
    </row>
    <row r="42" spans="2:5" x14ac:dyDescent="0.2">
      <c r="B42" s="21"/>
      <c r="C42" s="82"/>
      <c r="D42" s="82"/>
      <c r="E42" s="82"/>
    </row>
    <row r="43" spans="2:5" x14ac:dyDescent="0.2">
      <c r="B43" s="20" t="s">
        <v>39</v>
      </c>
      <c r="C43" s="22"/>
      <c r="D43" s="22"/>
      <c r="E43" s="23"/>
    </row>
    <row r="44" spans="2:5" x14ac:dyDescent="0.2">
      <c r="B44" s="21"/>
      <c r="C44" s="82" t="s">
        <v>44</v>
      </c>
      <c r="D44" s="82"/>
      <c r="E44" s="82"/>
    </row>
    <row r="45" spans="2:5" x14ac:dyDescent="0.2">
      <c r="B45" s="20" t="s">
        <v>41</v>
      </c>
      <c r="C45" s="18"/>
      <c r="D45" s="18"/>
      <c r="E45" s="19"/>
    </row>
    <row r="46" spans="2:5" x14ac:dyDescent="0.2">
      <c r="B46" s="20"/>
      <c r="C46" s="83"/>
      <c r="D46" s="83"/>
      <c r="E46" s="83"/>
    </row>
    <row r="47" spans="2:5" ht="13.5" thickBot="1" x14ac:dyDescent="0.25">
      <c r="B47" s="24"/>
      <c r="C47" s="25"/>
      <c r="D47" s="25"/>
      <c r="E47" s="26"/>
    </row>
    <row r="48" spans="2:5" ht="13.5" thickBot="1" x14ac:dyDescent="0.25"/>
    <row r="49" spans="2:5" x14ac:dyDescent="0.2">
      <c r="B49" s="14" t="s">
        <v>45</v>
      </c>
      <c r="C49" s="15"/>
      <c r="D49" s="15"/>
      <c r="E49" s="16"/>
    </row>
    <row r="50" spans="2:5" x14ac:dyDescent="0.2">
      <c r="B50" s="17"/>
      <c r="C50" s="18"/>
      <c r="D50" s="18"/>
      <c r="E50" s="19"/>
    </row>
    <row r="51" spans="2:5" x14ac:dyDescent="0.2">
      <c r="B51" s="20" t="s">
        <v>35</v>
      </c>
      <c r="C51" s="18"/>
      <c r="D51" s="18"/>
      <c r="E51" s="19"/>
    </row>
    <row r="52" spans="2:5" ht="32.25" customHeight="1" x14ac:dyDescent="0.2">
      <c r="B52" s="20"/>
      <c r="C52" s="82" t="s">
        <v>46</v>
      </c>
      <c r="D52" s="82"/>
      <c r="E52" s="82"/>
    </row>
    <row r="53" spans="2:5" x14ac:dyDescent="0.2">
      <c r="B53" s="20" t="s">
        <v>36</v>
      </c>
      <c r="C53" s="18"/>
      <c r="D53" s="18"/>
      <c r="E53" s="19"/>
    </row>
    <row r="54" spans="2:5" x14ac:dyDescent="0.2">
      <c r="B54" s="21"/>
      <c r="C54" s="83" t="s">
        <v>101</v>
      </c>
      <c r="D54" s="83"/>
      <c r="E54" s="83"/>
    </row>
    <row r="55" spans="2:5" x14ac:dyDescent="0.2">
      <c r="B55" s="21"/>
      <c r="C55" s="83"/>
      <c r="D55" s="83"/>
      <c r="E55" s="83"/>
    </row>
    <row r="56" spans="2:5" x14ac:dyDescent="0.2">
      <c r="B56" s="20" t="s">
        <v>38</v>
      </c>
      <c r="C56" s="18"/>
      <c r="D56" s="18"/>
      <c r="E56" s="19"/>
    </row>
    <row r="57" spans="2:5" x14ac:dyDescent="0.2">
      <c r="B57" s="21"/>
      <c r="C57" s="82"/>
      <c r="D57" s="82"/>
      <c r="E57" s="82"/>
    </row>
    <row r="58" spans="2:5" x14ac:dyDescent="0.2">
      <c r="B58" s="20" t="s">
        <v>39</v>
      </c>
      <c r="C58" s="22"/>
      <c r="D58" s="22"/>
      <c r="E58" s="23"/>
    </row>
    <row r="59" spans="2:5" x14ac:dyDescent="0.2">
      <c r="B59" s="21"/>
      <c r="C59" s="82" t="s">
        <v>44</v>
      </c>
      <c r="D59" s="82"/>
      <c r="E59" s="82"/>
    </row>
    <row r="60" spans="2:5" x14ac:dyDescent="0.2">
      <c r="B60" s="20" t="s">
        <v>41</v>
      </c>
      <c r="C60" s="18"/>
      <c r="D60" s="18"/>
      <c r="E60" s="19"/>
    </row>
    <row r="61" spans="2:5" x14ac:dyDescent="0.2">
      <c r="B61" s="20"/>
      <c r="C61" s="83"/>
      <c r="D61" s="83"/>
      <c r="E61" s="83"/>
    </row>
    <row r="62" spans="2:5" ht="13.5" thickBot="1" x14ac:dyDescent="0.25">
      <c r="B62" s="24"/>
      <c r="C62" s="25"/>
      <c r="D62" s="25"/>
      <c r="E62" s="26"/>
    </row>
    <row r="63" spans="2:5" ht="13.5" thickBot="1" x14ac:dyDescent="0.25"/>
    <row r="64" spans="2:5" x14ac:dyDescent="0.2">
      <c r="B64" s="14" t="s">
        <v>47</v>
      </c>
      <c r="C64" s="15"/>
      <c r="D64" s="15"/>
      <c r="E64" s="16"/>
    </row>
    <row r="65" spans="2:5" x14ac:dyDescent="0.2">
      <c r="B65" s="17"/>
      <c r="C65" s="18"/>
      <c r="D65" s="18"/>
      <c r="E65" s="19"/>
    </row>
    <row r="66" spans="2:5" x14ac:dyDescent="0.2">
      <c r="B66" s="20" t="s">
        <v>35</v>
      </c>
      <c r="C66" s="18"/>
      <c r="D66" s="18"/>
      <c r="E66" s="19"/>
    </row>
    <row r="67" spans="2:5" ht="34.5" customHeight="1" x14ac:dyDescent="0.2">
      <c r="B67" s="20"/>
      <c r="C67" s="82" t="s">
        <v>48</v>
      </c>
      <c r="D67" s="82"/>
      <c r="E67" s="82"/>
    </row>
    <row r="68" spans="2:5" x14ac:dyDescent="0.2">
      <c r="B68" s="20" t="s">
        <v>36</v>
      </c>
      <c r="C68" s="18"/>
      <c r="D68" s="18"/>
      <c r="E68" s="19"/>
    </row>
    <row r="69" spans="2:5" x14ac:dyDescent="0.2">
      <c r="B69" s="21"/>
      <c r="C69" s="83" t="s">
        <v>101</v>
      </c>
      <c r="D69" s="83"/>
      <c r="E69" s="83"/>
    </row>
    <row r="70" spans="2:5" x14ac:dyDescent="0.2">
      <c r="B70" s="21"/>
      <c r="C70" s="83"/>
      <c r="D70" s="83"/>
      <c r="E70" s="83"/>
    </row>
    <row r="71" spans="2:5" x14ac:dyDescent="0.2">
      <c r="B71" s="20" t="s">
        <v>38</v>
      </c>
      <c r="C71" s="18"/>
      <c r="D71" s="18"/>
      <c r="E71" s="19"/>
    </row>
    <row r="72" spans="2:5" x14ac:dyDescent="0.2">
      <c r="B72" s="21"/>
      <c r="C72" s="82"/>
      <c r="D72" s="82"/>
      <c r="E72" s="82"/>
    </row>
    <row r="73" spans="2:5" x14ac:dyDescent="0.2">
      <c r="B73" s="20" t="s">
        <v>39</v>
      </c>
      <c r="C73" s="22"/>
      <c r="D73" s="22"/>
      <c r="E73" s="23"/>
    </row>
    <row r="74" spans="2:5" x14ac:dyDescent="0.2">
      <c r="B74" s="21"/>
      <c r="C74" s="82" t="s">
        <v>44</v>
      </c>
      <c r="D74" s="82"/>
      <c r="E74" s="82"/>
    </row>
    <row r="75" spans="2:5" x14ac:dyDescent="0.2">
      <c r="B75" s="20" t="s">
        <v>41</v>
      </c>
      <c r="C75" s="18"/>
      <c r="D75" s="18"/>
      <c r="E75" s="19"/>
    </row>
    <row r="76" spans="2:5" x14ac:dyDescent="0.2">
      <c r="B76" s="20"/>
      <c r="C76" s="83"/>
      <c r="D76" s="83"/>
      <c r="E76" s="83"/>
    </row>
    <row r="77" spans="2:5" ht="13.5" thickBot="1" x14ac:dyDescent="0.25">
      <c r="B77" s="24"/>
      <c r="C77" s="25"/>
      <c r="D77" s="25"/>
      <c r="E77" s="26"/>
    </row>
    <row r="78" spans="2:5" ht="13.5" thickBot="1" x14ac:dyDescent="0.25"/>
    <row r="79" spans="2:5" x14ac:dyDescent="0.2">
      <c r="B79" s="14" t="s">
        <v>49</v>
      </c>
      <c r="C79" s="15"/>
      <c r="D79" s="15"/>
      <c r="E79" s="16"/>
    </row>
    <row r="80" spans="2:5" x14ac:dyDescent="0.2">
      <c r="B80" s="17"/>
      <c r="C80" s="18"/>
      <c r="D80" s="18"/>
      <c r="E80" s="19"/>
    </row>
    <row r="81" spans="2:5" x14ac:dyDescent="0.2">
      <c r="B81" s="20" t="s">
        <v>35</v>
      </c>
      <c r="C81" s="18"/>
      <c r="D81" s="18"/>
      <c r="E81" s="19"/>
    </row>
    <row r="82" spans="2:5" ht="33" customHeight="1" x14ac:dyDescent="0.2">
      <c r="B82" s="20"/>
      <c r="C82" s="82" t="s">
        <v>50</v>
      </c>
      <c r="D82" s="82"/>
      <c r="E82" s="82"/>
    </row>
    <row r="83" spans="2:5" x14ac:dyDescent="0.2">
      <c r="B83" s="20" t="s">
        <v>36</v>
      </c>
      <c r="C83" s="18"/>
      <c r="D83" s="18"/>
      <c r="E83" s="19"/>
    </row>
    <row r="84" spans="2:5" x14ac:dyDescent="0.2">
      <c r="B84" s="21"/>
      <c r="C84" s="83" t="s">
        <v>101</v>
      </c>
      <c r="D84" s="83"/>
      <c r="E84" s="83"/>
    </row>
    <row r="85" spans="2:5" x14ac:dyDescent="0.2">
      <c r="B85" s="21"/>
      <c r="C85" s="83"/>
      <c r="D85" s="83"/>
      <c r="E85" s="83"/>
    </row>
    <row r="86" spans="2:5" x14ac:dyDescent="0.2">
      <c r="B86" s="20" t="s">
        <v>38</v>
      </c>
      <c r="C86" s="18"/>
      <c r="D86" s="18"/>
      <c r="E86" s="19"/>
    </row>
    <row r="87" spans="2:5" x14ac:dyDescent="0.2">
      <c r="B87" s="21"/>
      <c r="C87" s="82"/>
      <c r="D87" s="82"/>
      <c r="E87" s="82"/>
    </row>
    <row r="88" spans="2:5" x14ac:dyDescent="0.2">
      <c r="B88" s="20" t="s">
        <v>39</v>
      </c>
      <c r="C88" s="22"/>
      <c r="D88" s="22"/>
      <c r="E88" s="23"/>
    </row>
    <row r="89" spans="2:5" x14ac:dyDescent="0.2">
      <c r="B89" s="21"/>
      <c r="C89" s="82" t="s">
        <v>44</v>
      </c>
      <c r="D89" s="82"/>
      <c r="E89" s="82"/>
    </row>
    <row r="90" spans="2:5" x14ac:dyDescent="0.2">
      <c r="B90" s="20" t="s">
        <v>41</v>
      </c>
      <c r="C90" s="18"/>
      <c r="D90" s="18"/>
      <c r="E90" s="19"/>
    </row>
    <row r="91" spans="2:5" x14ac:dyDescent="0.2">
      <c r="B91" s="20"/>
      <c r="C91" s="83"/>
      <c r="D91" s="83"/>
      <c r="E91" s="83"/>
    </row>
    <row r="92" spans="2:5" ht="13.5" thickBot="1" x14ac:dyDescent="0.25">
      <c r="B92" s="24"/>
      <c r="C92" s="25"/>
      <c r="D92" s="25"/>
      <c r="E92" s="26"/>
    </row>
    <row r="93" spans="2:5" ht="13.5" thickBot="1" x14ac:dyDescent="0.25"/>
    <row r="94" spans="2:5" x14ac:dyDescent="0.2">
      <c r="B94" s="14" t="s">
        <v>51</v>
      </c>
      <c r="C94" s="15"/>
      <c r="D94" s="15"/>
      <c r="E94" s="16"/>
    </row>
    <row r="95" spans="2:5" x14ac:dyDescent="0.2">
      <c r="B95" s="17"/>
      <c r="C95" s="18"/>
      <c r="D95" s="18"/>
      <c r="E95" s="19"/>
    </row>
    <row r="96" spans="2:5" x14ac:dyDescent="0.2">
      <c r="B96" s="20" t="s">
        <v>35</v>
      </c>
      <c r="C96" s="18"/>
      <c r="D96" s="18"/>
      <c r="E96" s="19"/>
    </row>
    <row r="97" spans="2:5" ht="32.25" customHeight="1" x14ac:dyDescent="0.2">
      <c r="B97" s="20"/>
      <c r="C97" s="82" t="s">
        <v>105</v>
      </c>
      <c r="D97" s="82"/>
      <c r="E97" s="82"/>
    </row>
    <row r="98" spans="2:5" x14ac:dyDescent="0.2">
      <c r="B98" s="20" t="s">
        <v>36</v>
      </c>
      <c r="C98" s="18"/>
      <c r="D98" s="18"/>
      <c r="E98" s="19"/>
    </row>
    <row r="99" spans="2:5" x14ac:dyDescent="0.2">
      <c r="B99" s="21"/>
      <c r="C99" s="83" t="s">
        <v>43</v>
      </c>
      <c r="D99" s="83"/>
      <c r="E99" s="83"/>
    </row>
    <row r="100" spans="2:5" x14ac:dyDescent="0.2">
      <c r="B100" s="21"/>
      <c r="C100" s="83"/>
      <c r="D100" s="83"/>
      <c r="E100" s="83"/>
    </row>
    <row r="101" spans="2:5" x14ac:dyDescent="0.2">
      <c r="B101" s="20" t="s">
        <v>38</v>
      </c>
      <c r="C101" s="18"/>
      <c r="D101" s="18"/>
      <c r="E101" s="19"/>
    </row>
    <row r="102" spans="2:5" x14ac:dyDescent="0.2">
      <c r="B102" s="21"/>
      <c r="C102" s="82"/>
      <c r="D102" s="82"/>
      <c r="E102" s="82"/>
    </row>
    <row r="103" spans="2:5" x14ac:dyDescent="0.2">
      <c r="B103" s="20" t="s">
        <v>39</v>
      </c>
      <c r="C103" s="22"/>
      <c r="D103" s="22"/>
      <c r="E103" s="23"/>
    </row>
    <row r="104" spans="2:5" x14ac:dyDescent="0.2">
      <c r="B104" s="21"/>
      <c r="C104" s="82" t="s">
        <v>44</v>
      </c>
      <c r="D104" s="82"/>
      <c r="E104" s="82"/>
    </row>
    <row r="105" spans="2:5" x14ac:dyDescent="0.2">
      <c r="B105" s="20" t="s">
        <v>41</v>
      </c>
      <c r="C105" s="18"/>
      <c r="D105" s="18"/>
      <c r="E105" s="19"/>
    </row>
    <row r="106" spans="2:5" x14ac:dyDescent="0.2">
      <c r="B106" s="20"/>
      <c r="C106" s="83"/>
      <c r="D106" s="83"/>
      <c r="E106" s="83"/>
    </row>
    <row r="107" spans="2:5" ht="13.5" thickBot="1" x14ac:dyDescent="0.25">
      <c r="B107" s="24"/>
      <c r="C107" s="25"/>
      <c r="D107" s="25"/>
      <c r="E107" s="26"/>
    </row>
    <row r="108" spans="2:5" ht="13.5" thickBot="1" x14ac:dyDescent="0.25"/>
    <row r="109" spans="2:5" x14ac:dyDescent="0.2">
      <c r="B109" s="14" t="s">
        <v>52</v>
      </c>
      <c r="C109" s="15"/>
      <c r="D109" s="15"/>
      <c r="E109" s="16"/>
    </row>
    <row r="110" spans="2:5" x14ac:dyDescent="0.2">
      <c r="B110" s="17"/>
      <c r="C110" s="18"/>
      <c r="D110" s="18"/>
      <c r="E110" s="19"/>
    </row>
    <row r="111" spans="2:5" x14ac:dyDescent="0.2">
      <c r="B111" s="20" t="s">
        <v>35</v>
      </c>
      <c r="C111" s="18"/>
      <c r="D111" s="18"/>
      <c r="E111" s="19"/>
    </row>
    <row r="112" spans="2:5" ht="37.5" customHeight="1" x14ac:dyDescent="0.2">
      <c r="B112" s="20"/>
      <c r="C112" s="82" t="s">
        <v>53</v>
      </c>
      <c r="D112" s="82"/>
      <c r="E112" s="82"/>
    </row>
    <row r="113" spans="2:5" x14ac:dyDescent="0.2">
      <c r="B113" s="20" t="s">
        <v>36</v>
      </c>
      <c r="C113" s="18"/>
      <c r="D113" s="18"/>
      <c r="E113" s="19"/>
    </row>
    <row r="114" spans="2:5" x14ac:dyDescent="0.2">
      <c r="B114" s="21"/>
      <c r="C114" s="83" t="s">
        <v>43</v>
      </c>
      <c r="D114" s="83"/>
      <c r="E114" s="83"/>
    </row>
    <row r="115" spans="2:5" x14ac:dyDescent="0.2">
      <c r="B115" s="21"/>
      <c r="C115" s="83"/>
      <c r="D115" s="83"/>
      <c r="E115" s="83"/>
    </row>
    <row r="116" spans="2:5" x14ac:dyDescent="0.2">
      <c r="B116" s="20" t="s">
        <v>38</v>
      </c>
      <c r="C116" s="18"/>
      <c r="D116" s="18"/>
      <c r="E116" s="19"/>
    </row>
    <row r="117" spans="2:5" x14ac:dyDescent="0.2">
      <c r="B117" s="21"/>
      <c r="C117" s="82"/>
      <c r="D117" s="82"/>
      <c r="E117" s="82"/>
    </row>
    <row r="118" spans="2:5" x14ac:dyDescent="0.2">
      <c r="B118" s="20" t="s">
        <v>39</v>
      </c>
      <c r="C118" s="22"/>
      <c r="D118" s="22"/>
      <c r="E118" s="23"/>
    </row>
    <row r="119" spans="2:5" x14ac:dyDescent="0.2">
      <c r="B119" s="21"/>
      <c r="C119" s="82" t="s">
        <v>44</v>
      </c>
      <c r="D119" s="82"/>
      <c r="E119" s="82"/>
    </row>
    <row r="120" spans="2:5" x14ac:dyDescent="0.2">
      <c r="B120" s="20" t="s">
        <v>41</v>
      </c>
      <c r="C120" s="18"/>
      <c r="D120" s="18"/>
      <c r="E120" s="19"/>
    </row>
    <row r="121" spans="2:5" x14ac:dyDescent="0.2">
      <c r="B121" s="20"/>
      <c r="C121" s="83"/>
      <c r="D121" s="83"/>
      <c r="E121" s="83"/>
    </row>
    <row r="122" spans="2:5" ht="13.5" thickBot="1" x14ac:dyDescent="0.25">
      <c r="B122" s="24"/>
      <c r="C122" s="25"/>
      <c r="D122" s="25"/>
      <c r="E122" s="26"/>
    </row>
  </sheetData>
  <mergeCells count="49">
    <mergeCell ref="C121:E121"/>
    <mergeCell ref="C106:E106"/>
    <mergeCell ref="C112:E112"/>
    <mergeCell ref="C114:E114"/>
    <mergeCell ref="C115:E115"/>
    <mergeCell ref="C117:E117"/>
    <mergeCell ref="C119:E119"/>
    <mergeCell ref="C104:E104"/>
    <mergeCell ref="C76:E76"/>
    <mergeCell ref="C82:E82"/>
    <mergeCell ref="C84:E84"/>
    <mergeCell ref="C85:E85"/>
    <mergeCell ref="C87:E87"/>
    <mergeCell ref="C89:E89"/>
    <mergeCell ref="C91:E91"/>
    <mergeCell ref="C97:E97"/>
    <mergeCell ref="C99:E99"/>
    <mergeCell ref="C100:E100"/>
    <mergeCell ref="C102:E102"/>
    <mergeCell ref="C74:E74"/>
    <mergeCell ref="C46:E46"/>
    <mergeCell ref="C52:E52"/>
    <mergeCell ref="C54:E54"/>
    <mergeCell ref="C55:E55"/>
    <mergeCell ref="C57:E57"/>
    <mergeCell ref="C59:E59"/>
    <mergeCell ref="C61:E61"/>
    <mergeCell ref="C67:E67"/>
    <mergeCell ref="C69:E69"/>
    <mergeCell ref="C70:E70"/>
    <mergeCell ref="C72:E72"/>
    <mergeCell ref="C44:E44"/>
    <mergeCell ref="A7:B7"/>
    <mergeCell ref="C22:E22"/>
    <mergeCell ref="C24:E24"/>
    <mergeCell ref="C25:E25"/>
    <mergeCell ref="C27:E27"/>
    <mergeCell ref="C29:E29"/>
    <mergeCell ref="C31:E31"/>
    <mergeCell ref="C37:E37"/>
    <mergeCell ref="C39:E39"/>
    <mergeCell ref="C40:E40"/>
    <mergeCell ref="C42:E42"/>
    <mergeCell ref="A6:B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"/>
  <sheetViews>
    <sheetView zoomScale="70" zoomScaleNormal="70" workbookViewId="0">
      <selection activeCell="R16" sqref="R16"/>
    </sheetView>
  </sheetViews>
  <sheetFormatPr baseColWidth="10" defaultColWidth="9.140625" defaultRowHeight="12.75" x14ac:dyDescent="0.2"/>
  <cols>
    <col min="1" max="1" width="5.5703125" style="29" customWidth="1"/>
    <col min="2" max="2" width="15.140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2" style="29" customWidth="1"/>
    <col min="8" max="8" width="9.28515625" style="29" customWidth="1"/>
    <col min="9" max="9" width="15.5703125" style="29" customWidth="1"/>
    <col min="10" max="10" width="14.7109375" style="29" customWidth="1"/>
    <col min="11" max="11" width="15.5703125" style="29" customWidth="1"/>
    <col min="12" max="14" width="5.85546875" style="29" customWidth="1"/>
    <col min="15" max="15" width="12.5703125" style="29" customWidth="1"/>
    <col min="16" max="1024" width="9.140625" style="29"/>
  </cols>
  <sheetData>
    <row r="1" spans="1:11" ht="18" customHeight="1" thickBot="1" x14ac:dyDescent="0.25">
      <c r="A1" s="87" t="s">
        <v>54</v>
      </c>
      <c r="B1" s="87"/>
      <c r="C1" s="87"/>
      <c r="D1" s="87"/>
      <c r="E1" s="87"/>
      <c r="F1" s="87"/>
      <c r="G1" s="87"/>
      <c r="H1" s="87"/>
      <c r="I1" s="87"/>
      <c r="J1" s="27" t="s">
        <v>55</v>
      </c>
      <c r="K1" s="28" t="s">
        <v>103</v>
      </c>
    </row>
    <row r="2" spans="1:11" ht="18.75" customHeight="1" thickBot="1" x14ac:dyDescent="0.25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1" ht="18.75" customHeight="1" thickBot="1" x14ac:dyDescent="0.25">
      <c r="A3" s="88" t="s">
        <v>56</v>
      </c>
      <c r="B3" s="88"/>
      <c r="C3" s="88"/>
      <c r="D3" s="86" t="str">
        <f>'Telas NT'!C4</f>
        <v>40 - Ministerio de Salud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25">
      <c r="A4" s="85" t="s">
        <v>57</v>
      </c>
      <c r="B4" s="85"/>
      <c r="C4" s="85"/>
      <c r="D4" s="86" t="str">
        <f>'Telas NT'!C5</f>
        <v>23 - Hospital Interzonal San Juan Bautista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25">
      <c r="A5" s="85" t="s">
        <v>58</v>
      </c>
      <c r="B5" s="85"/>
      <c r="C5" s="85"/>
      <c r="D5" s="86" t="s">
        <v>59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25">
      <c r="A6" s="88" t="s">
        <v>60</v>
      </c>
      <c r="B6" s="88"/>
      <c r="C6" s="88"/>
      <c r="D6" s="86" t="s">
        <v>61</v>
      </c>
      <c r="E6" s="86"/>
      <c r="F6" s="86"/>
      <c r="G6" s="86"/>
      <c r="H6" s="86"/>
      <c r="I6" s="86"/>
      <c r="J6" s="86"/>
      <c r="K6" s="86"/>
    </row>
    <row r="7" spans="1:11" ht="16.5" customHeight="1" thickBot="1" x14ac:dyDescent="0.25">
      <c r="A7" s="85" t="s">
        <v>62</v>
      </c>
      <c r="B7" s="85"/>
      <c r="C7" s="85"/>
      <c r="D7" s="86" t="str">
        <f>'Telas NT'!C7 &amp; "° Trimestre - Año " &amp; 'Telas NT'!C6</f>
        <v>2° Trimestre - Año 2021</v>
      </c>
      <c r="E7" s="86"/>
      <c r="F7" s="86"/>
      <c r="G7" s="86"/>
      <c r="H7" s="86"/>
      <c r="I7" s="86"/>
      <c r="J7" s="86"/>
      <c r="K7" s="86"/>
    </row>
    <row r="8" spans="1:11" ht="16.5" customHeight="1" thickBot="1" x14ac:dyDescent="0.25">
      <c r="A8" s="89" t="s">
        <v>63</v>
      </c>
      <c r="B8" s="89"/>
      <c r="C8" s="89"/>
      <c r="D8" s="90" t="s">
        <v>64</v>
      </c>
      <c r="E8" s="90"/>
      <c r="F8" s="90"/>
      <c r="G8" s="90"/>
      <c r="H8" s="90"/>
      <c r="I8" s="90"/>
      <c r="J8" s="90"/>
      <c r="K8" s="90"/>
    </row>
    <row r="9" spans="1:11" ht="16.5" thickBot="1" x14ac:dyDescent="0.25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1" ht="18.75" customHeight="1" thickBot="1" x14ac:dyDescent="0.25">
      <c r="A10" s="95" t="s">
        <v>65</v>
      </c>
      <c r="B10" s="96" t="s">
        <v>66</v>
      </c>
      <c r="C10" s="96" t="s">
        <v>67</v>
      </c>
      <c r="D10" s="96"/>
      <c r="E10" s="96"/>
      <c r="F10" s="96"/>
      <c r="G10" s="96"/>
      <c r="H10" s="96" t="s">
        <v>68</v>
      </c>
      <c r="I10" s="96" t="s">
        <v>69</v>
      </c>
      <c r="J10" s="96" t="s">
        <v>70</v>
      </c>
      <c r="K10" s="94" t="s">
        <v>71</v>
      </c>
    </row>
    <row r="11" spans="1:11" ht="24" customHeight="1" thickBot="1" x14ac:dyDescent="0.2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4"/>
    </row>
    <row r="12" spans="1:11" ht="34.15" customHeight="1" thickBot="1" x14ac:dyDescent="0.25">
      <c r="A12" s="34">
        <v>1</v>
      </c>
      <c r="B12" s="35" t="str">
        <f>'Telas NT'!B10</f>
        <v>2.2.1-2850.5</v>
      </c>
      <c r="C12" s="91" t="str">
        <f>'Telas NT'!E10</f>
        <v>TELA GABARDINA; ANCHO: 1,50 M, LARGO: 50 M, MATERIAL: POLIESTER 50% ALGODON 50%</v>
      </c>
      <c r="D12" s="91"/>
      <c r="E12" s="91"/>
      <c r="F12" s="91"/>
      <c r="G12" s="91"/>
      <c r="H12" s="36" t="s">
        <v>72</v>
      </c>
      <c r="I12" s="37" t="str">
        <f>'Telas NT'!F10</f>
        <v>ROLLO</v>
      </c>
      <c r="J12" s="38">
        <v>31000</v>
      </c>
      <c r="K12" s="39">
        <f>'Telas NT'!G10</f>
        <v>6</v>
      </c>
    </row>
    <row r="13" spans="1:11" ht="34.15" customHeight="1" thickBot="1" x14ac:dyDescent="0.25">
      <c r="A13" s="34">
        <v>2</v>
      </c>
      <c r="B13" s="35" t="str">
        <f>'Telas NT'!B11</f>
        <v>2.2.1-2617.19</v>
      </c>
      <c r="C13" s="91" t="str">
        <f>'Telas NT'!E11</f>
        <v>TELA DE ALGODON; ANCHO: 1,5 M, LARGO ROLLO: X METRO, LARGO: X METRO</v>
      </c>
      <c r="D13" s="91"/>
      <c r="E13" s="91"/>
      <c r="F13" s="91"/>
      <c r="G13" s="91"/>
      <c r="H13" s="36" t="s">
        <v>72</v>
      </c>
      <c r="I13" s="37" t="str">
        <f>'Telas NT'!F11</f>
        <v>ROLLO</v>
      </c>
      <c r="J13" s="38">
        <f>'Telas NT'!H11</f>
        <v>31500</v>
      </c>
      <c r="K13" s="39">
        <f>'Telas NT'!G11</f>
        <v>6</v>
      </c>
    </row>
    <row r="14" spans="1:11" ht="34.15" customHeight="1" thickBot="1" x14ac:dyDescent="0.25">
      <c r="A14" s="34">
        <v>3</v>
      </c>
      <c r="B14" s="35" t="str">
        <f>'Telas NT'!B12</f>
        <v>2.2.1-3437.5</v>
      </c>
      <c r="C14" s="91" t="str">
        <f>'Telas NT'!E12</f>
        <v>LONAS; ANCHO: 1,50 M, LARGO ROLLO: 100 M, COLOR: AZUL FRANCIA, TERMINACION: SIN VALOR</v>
      </c>
      <c r="D14" s="91"/>
      <c r="E14" s="91"/>
      <c r="F14" s="91"/>
      <c r="G14" s="91"/>
      <c r="H14" s="36" t="s">
        <v>72</v>
      </c>
      <c r="I14" s="37" t="str">
        <f>'Telas NT'!F12</f>
        <v>ROLLO</v>
      </c>
      <c r="J14" s="38">
        <f>'Telas NT'!H12</f>
        <v>75000</v>
      </c>
      <c r="K14" s="39">
        <f>'Telas NT'!G12</f>
        <v>1</v>
      </c>
    </row>
    <row r="15" spans="1:11" ht="34.15" customHeight="1" thickBot="1" x14ac:dyDescent="0.25">
      <c r="A15" s="34">
        <v>4</v>
      </c>
      <c r="B15" s="35" t="str">
        <f>'Telas NT'!B13</f>
        <v>2.2.9-702.30</v>
      </c>
      <c r="C15" s="91" t="str">
        <f>'Telas NT'!E13</f>
        <v>ALMOHADAS; CONSTRUCCION: FIBRA, DIMENSION: 50 X 70 Cm</v>
      </c>
      <c r="D15" s="91"/>
      <c r="E15" s="91"/>
      <c r="F15" s="91"/>
      <c r="G15" s="91"/>
      <c r="H15" s="36" t="s">
        <v>72</v>
      </c>
      <c r="I15" s="37" t="str">
        <f>'Telas NT'!F13</f>
        <v>UNIDAD</v>
      </c>
      <c r="J15" s="38">
        <f>'Telas NT'!H13</f>
        <v>1750</v>
      </c>
      <c r="K15" s="39">
        <f>'Telas NT'!G13</f>
        <v>100</v>
      </c>
    </row>
    <row r="16" spans="1:11" ht="34.15" customHeight="1" thickBot="1" x14ac:dyDescent="0.25">
      <c r="A16" s="34">
        <v>5</v>
      </c>
      <c r="B16" s="35" t="str">
        <f>'Telas NT'!B14</f>
        <v>2.2.1-9956.61</v>
      </c>
      <c r="C16" s="91" t="str">
        <f>'Telas NT'!E14</f>
        <v>TELAS TEXTILES; TIPO: ALGODON POLIESTER, ANCHO: 1,50 M, LARGO: 50 M</v>
      </c>
      <c r="D16" s="91"/>
      <c r="E16" s="91"/>
      <c r="F16" s="91"/>
      <c r="G16" s="91"/>
      <c r="H16" s="36" t="s">
        <v>72</v>
      </c>
      <c r="I16" s="37" t="str">
        <f>'Telas NT'!F14</f>
        <v>ROLLO</v>
      </c>
      <c r="J16" s="38">
        <f>'Telas NT'!H14</f>
        <v>28000</v>
      </c>
      <c r="K16" s="39">
        <f>'Telas NT'!G14</f>
        <v>20</v>
      </c>
    </row>
    <row r="17" spans="1:1024" ht="34.15" customHeight="1" thickBot="1" x14ac:dyDescent="0.25">
      <c r="A17" s="34">
        <v>6</v>
      </c>
      <c r="B17" s="35" t="str">
        <f>'Telas NT'!B15</f>
        <v>2.4.1-3331.21</v>
      </c>
      <c r="C17" s="91" t="str">
        <f>'Telas NT'!E15</f>
        <v>CUERINAS P/TAPICERIA; TIPO: P/TAPICERIA, ANCHO: 1,5 M, LARGO: 50 M</v>
      </c>
      <c r="D17" s="91"/>
      <c r="E17" s="91"/>
      <c r="F17" s="91"/>
      <c r="G17" s="91"/>
      <c r="H17" s="36" t="s">
        <v>72</v>
      </c>
      <c r="I17" s="37" t="str">
        <f>'Telas NT'!F15</f>
        <v>ROLLO</v>
      </c>
      <c r="J17" s="38">
        <f>'Telas NT'!H15</f>
        <v>40000</v>
      </c>
      <c r="K17" s="39">
        <f>'Telas NT'!G15</f>
        <v>10</v>
      </c>
    </row>
    <row r="18" spans="1:1024" ht="34.15" customHeight="1" thickBot="1" x14ac:dyDescent="0.25">
      <c r="A18" s="34">
        <v>7</v>
      </c>
      <c r="B18" s="35" t="str">
        <f>'Telas NT'!B16</f>
        <v>2.2.9-2298.14</v>
      </c>
      <c r="C18" s="91" t="str">
        <f>'Telas NT'!E16</f>
        <v>ELASTICO; PRESENTACION: ROLLO X 50 M, ANCHO: 50 mm</v>
      </c>
      <c r="D18" s="91"/>
      <c r="E18" s="91"/>
      <c r="F18" s="91"/>
      <c r="G18" s="91"/>
      <c r="H18" s="36" t="s">
        <v>72</v>
      </c>
      <c r="I18" s="37" t="str">
        <f>'Telas NT'!F16</f>
        <v>ROLLO</v>
      </c>
      <c r="J18" s="38">
        <f>'Telas NT'!H16</f>
        <v>30000</v>
      </c>
      <c r="K18" s="39">
        <f>'Telas NT'!G16</f>
        <v>1</v>
      </c>
    </row>
    <row r="19" spans="1:1024" ht="20.25" customHeight="1" thickBot="1" x14ac:dyDescent="0.25">
      <c r="A19" s="92" t="s">
        <v>106</v>
      </c>
      <c r="B19" s="92"/>
      <c r="C19" s="92"/>
      <c r="D19" s="92"/>
      <c r="E19" s="92"/>
      <c r="F19" s="92"/>
      <c r="G19" s="92"/>
      <c r="H19" s="92"/>
      <c r="I19" s="92"/>
      <c r="J19" s="93">
        <f>SUMPRODUCT(J12:J18,K12:K18)</f>
        <v>1615000</v>
      </c>
      <c r="K19" s="93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</sheetData>
  <mergeCells count="29">
    <mergeCell ref="C17:G17"/>
    <mergeCell ref="C18:G18"/>
    <mergeCell ref="A19:I19"/>
    <mergeCell ref="J19:K19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T23" sqref="T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4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thickBot="1" x14ac:dyDescent="0.3">
      <c r="A1" s="101" t="s">
        <v>5</v>
      </c>
      <c r="B1" s="101"/>
      <c r="C1" s="101"/>
      <c r="D1" s="102">
        <f>'Telas NT'!C6</f>
        <v>2021</v>
      </c>
      <c r="E1" s="102"/>
      <c r="F1" s="40"/>
      <c r="G1" s="40"/>
      <c r="H1" s="41"/>
      <c r="I1" s="41"/>
      <c r="J1" s="41"/>
      <c r="K1" s="41"/>
      <c r="L1" s="41"/>
      <c r="M1" s="41"/>
      <c r="N1" s="41"/>
      <c r="P1" s="103" t="s">
        <v>73</v>
      </c>
      <c r="Q1" s="103"/>
    </row>
    <row r="2" spans="1:17" ht="15.75" customHeight="1" thickBot="1" x14ac:dyDescent="0.25">
      <c r="H2" s="41"/>
      <c r="I2" s="41"/>
      <c r="J2" s="41"/>
      <c r="K2" s="41"/>
      <c r="L2" s="41"/>
      <c r="M2" s="41"/>
      <c r="N2" s="41"/>
      <c r="P2" s="103"/>
      <c r="Q2" s="103"/>
    </row>
    <row r="4" spans="1:17" s="43" customFormat="1" ht="18" customHeight="1" thickBot="1" x14ac:dyDescent="0.25">
      <c r="A4" s="104" t="s">
        <v>74</v>
      </c>
      <c r="B4" s="104"/>
      <c r="C4" s="104"/>
      <c r="D4" s="104"/>
      <c r="E4" s="104"/>
      <c r="F4" s="104"/>
      <c r="G4" s="100" t="str">
        <f>'Telas NPYE'!D3</f>
        <v>40 - Ministerio de Salud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s="43" customFormat="1" ht="18" customHeight="1" thickBot="1" x14ac:dyDescent="0.25">
      <c r="A5" s="97" t="s">
        <v>57</v>
      </c>
      <c r="B5" s="98"/>
      <c r="C5" s="98"/>
      <c r="D5" s="98"/>
      <c r="E5" s="98"/>
      <c r="F5" s="99"/>
      <c r="G5" s="100" t="str">
        <f>'Telas NPYE'!D4</f>
        <v>23 - Hospital Interzonal San Juan Bautista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s="43" customFormat="1" ht="18" customHeight="1" thickBot="1" x14ac:dyDescent="0.25">
      <c r="A6" s="97" t="s">
        <v>58</v>
      </c>
      <c r="B6" s="98"/>
      <c r="C6" s="98"/>
      <c r="D6" s="98"/>
      <c r="E6" s="98"/>
      <c r="F6" s="99"/>
      <c r="G6" s="100" t="str">
        <f>'Telas NPYE'!D5</f>
        <v>237 - Direccion de Mantenimiento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s="43" customFormat="1" ht="18" customHeight="1" thickBot="1" x14ac:dyDescent="0.25">
      <c r="A7" s="97" t="s">
        <v>60</v>
      </c>
      <c r="B7" s="98"/>
      <c r="C7" s="98"/>
      <c r="D7" s="98"/>
      <c r="E7" s="98"/>
      <c r="F7" s="99"/>
      <c r="G7" s="100" t="str">
        <f>'Telas NPYE'!D6</f>
        <v>Sección Lavadero - Roperia - Costurero</v>
      </c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17" ht="18" customHeight="1" thickBot="1" x14ac:dyDescent="0.25">
      <c r="A8" s="106" t="s">
        <v>75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18" customHeight="1" x14ac:dyDescent="0.2">
      <c r="A9" s="107" t="s">
        <v>76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44"/>
      <c r="P9" s="44"/>
      <c r="Q9" s="45"/>
    </row>
    <row r="10" spans="1:17" ht="54.75" customHeight="1" x14ac:dyDescent="0.2">
      <c r="A10" s="108" t="str">
        <f>"Autorizo la realización de los  trámites correspondientes, a fin de proveer a  este Organismo los bienes y/o servicios que se detallan en Nota de Pedido N° " &amp; 'Telas NPYE'!K1&amp;",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016/2021,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thickBot="1" x14ac:dyDescent="0.25">
      <c r="A11" s="46"/>
      <c r="B11" s="47"/>
      <c r="C11" s="47"/>
      <c r="D11" s="47"/>
      <c r="E11" s="47"/>
      <c r="F11" s="47"/>
      <c r="G11" s="48"/>
      <c r="H11" s="47"/>
      <c r="I11" s="47"/>
      <c r="J11" s="47"/>
      <c r="K11" s="47"/>
      <c r="L11" s="47"/>
      <c r="M11" s="47"/>
      <c r="N11" s="47"/>
      <c r="O11" s="47"/>
      <c r="P11" s="47"/>
      <c r="Q11" s="49"/>
    </row>
    <row r="12" spans="1:17" ht="15.75" customHeight="1" thickBot="1" x14ac:dyDescent="0.25">
      <c r="A12" s="109" t="s">
        <v>77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thickBot="1" x14ac:dyDescent="0.25">
      <c r="A13" s="110" t="s">
        <v>78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79</v>
      </c>
      <c r="P13" s="111"/>
      <c r="Q13" s="112" t="s">
        <v>80</v>
      </c>
    </row>
    <row r="14" spans="1:17" ht="15.75" customHeight="1" thickBot="1" x14ac:dyDescent="0.25">
      <c r="A14" s="50" t="s">
        <v>81</v>
      </c>
      <c r="B14" s="51" t="s">
        <v>82</v>
      </c>
      <c r="C14" s="51" t="s">
        <v>83</v>
      </c>
      <c r="D14" s="51" t="s">
        <v>84</v>
      </c>
      <c r="E14" s="51" t="s">
        <v>85</v>
      </c>
      <c r="F14" s="51" t="s">
        <v>86</v>
      </c>
      <c r="G14" s="52" t="s">
        <v>87</v>
      </c>
      <c r="H14" s="51" t="s">
        <v>88</v>
      </c>
      <c r="I14" s="51" t="s">
        <v>89</v>
      </c>
      <c r="J14" s="51" t="s">
        <v>90</v>
      </c>
      <c r="K14" s="51" t="s">
        <v>90</v>
      </c>
      <c r="L14" s="51" t="s">
        <v>91</v>
      </c>
      <c r="M14" s="53" t="s">
        <v>92</v>
      </c>
      <c r="N14" s="54" t="s">
        <v>93</v>
      </c>
      <c r="O14" s="111"/>
      <c r="P14" s="111"/>
      <c r="Q14" s="112"/>
    </row>
    <row r="15" spans="1:17" ht="17.25" customHeight="1" x14ac:dyDescent="0.2">
      <c r="A15" s="55">
        <v>33</v>
      </c>
      <c r="B15" s="56"/>
      <c r="C15" s="56"/>
      <c r="D15" s="56">
        <v>4</v>
      </c>
      <c r="E15" s="56"/>
      <c r="F15" s="56">
        <v>4901</v>
      </c>
      <c r="G15" s="56">
        <v>3</v>
      </c>
      <c r="H15" s="57" t="s">
        <v>94</v>
      </c>
      <c r="I15" s="58">
        <v>2</v>
      </c>
      <c r="J15" s="58">
        <v>2</v>
      </c>
      <c r="K15" s="58">
        <v>1</v>
      </c>
      <c r="L15" s="56"/>
      <c r="M15" s="59">
        <v>1</v>
      </c>
      <c r="N15" s="57" t="s">
        <v>95</v>
      </c>
      <c r="O15" s="105" t="s">
        <v>96</v>
      </c>
      <c r="P15" s="105"/>
      <c r="Q15" s="60">
        <v>1010000</v>
      </c>
    </row>
    <row r="16" spans="1:17" ht="17.25" customHeight="1" x14ac:dyDescent="0.2">
      <c r="A16" s="61">
        <v>33</v>
      </c>
      <c r="B16" s="62"/>
      <c r="C16" s="62"/>
      <c r="D16" s="62">
        <v>4</v>
      </c>
      <c r="E16" s="62"/>
      <c r="F16" s="62">
        <v>4901</v>
      </c>
      <c r="G16" s="62">
        <v>3</v>
      </c>
      <c r="H16" s="63" t="s">
        <v>94</v>
      </c>
      <c r="I16" s="62">
        <v>2</v>
      </c>
      <c r="J16" s="62">
        <v>2</v>
      </c>
      <c r="K16" s="62">
        <v>9</v>
      </c>
      <c r="L16" s="62"/>
      <c r="M16" s="64">
        <v>1</v>
      </c>
      <c r="N16" s="65" t="s">
        <v>95</v>
      </c>
      <c r="O16" s="114" t="s">
        <v>97</v>
      </c>
      <c r="P16" s="114"/>
      <c r="Q16" s="66">
        <v>205000</v>
      </c>
    </row>
    <row r="17" spans="1:19" ht="17.25" customHeight="1" x14ac:dyDescent="0.2">
      <c r="A17" s="61">
        <v>33</v>
      </c>
      <c r="B17" s="62"/>
      <c r="C17" s="62"/>
      <c r="D17" s="62">
        <v>4</v>
      </c>
      <c r="E17" s="62"/>
      <c r="F17" s="67">
        <v>4901</v>
      </c>
      <c r="G17" s="62">
        <v>3</v>
      </c>
      <c r="H17" s="63" t="s">
        <v>94</v>
      </c>
      <c r="I17" s="62">
        <v>2</v>
      </c>
      <c r="J17" s="62">
        <v>4</v>
      </c>
      <c r="K17" s="62">
        <v>1</v>
      </c>
      <c r="L17" s="62"/>
      <c r="M17" s="64">
        <v>1</v>
      </c>
      <c r="N17" s="65" t="s">
        <v>95</v>
      </c>
      <c r="O17" s="114" t="s">
        <v>98</v>
      </c>
      <c r="P17" s="114"/>
      <c r="Q17" s="66">
        <v>400000</v>
      </c>
      <c r="S17" s="68"/>
    </row>
    <row r="18" spans="1:19" ht="17.25" customHeight="1" x14ac:dyDescent="0.2">
      <c r="A18" s="61"/>
      <c r="B18" s="62"/>
      <c r="C18" s="62"/>
      <c r="D18" s="62"/>
      <c r="E18" s="62"/>
      <c r="F18" s="62"/>
      <c r="G18" s="62"/>
      <c r="H18" s="63"/>
      <c r="I18" s="62"/>
      <c r="J18" s="62"/>
      <c r="K18" s="62"/>
      <c r="L18" s="62"/>
      <c r="M18" s="64"/>
      <c r="N18" s="65"/>
      <c r="O18" s="115"/>
      <c r="P18" s="116"/>
      <c r="Q18" s="66"/>
    </row>
    <row r="19" spans="1:19" ht="17.25" customHeight="1" x14ac:dyDescent="0.2">
      <c r="A19" s="61"/>
      <c r="B19" s="62"/>
      <c r="C19" s="62"/>
      <c r="D19" s="62"/>
      <c r="E19" s="62"/>
      <c r="F19" s="67"/>
      <c r="G19" s="62"/>
      <c r="H19" s="62"/>
      <c r="I19" s="62"/>
      <c r="J19" s="62"/>
      <c r="K19" s="62"/>
      <c r="L19" s="62"/>
      <c r="M19" s="64"/>
      <c r="N19" s="67"/>
      <c r="O19" s="116"/>
      <c r="P19" s="116"/>
      <c r="Q19" s="66"/>
    </row>
    <row r="20" spans="1:19" ht="17.25" customHeight="1" x14ac:dyDescent="0.2">
      <c r="A20" s="61"/>
      <c r="B20" s="62"/>
      <c r="C20" s="62"/>
      <c r="D20" s="62"/>
      <c r="E20" s="62"/>
      <c r="F20" s="67"/>
      <c r="G20" s="62"/>
      <c r="H20" s="62"/>
      <c r="I20" s="62"/>
      <c r="J20" s="62"/>
      <c r="K20" s="62"/>
      <c r="L20" s="62"/>
      <c r="M20" s="64"/>
      <c r="N20" s="67"/>
      <c r="O20" s="116"/>
      <c r="P20" s="116"/>
      <c r="Q20" s="66"/>
    </row>
    <row r="21" spans="1:19" ht="17.25" customHeight="1" x14ac:dyDescent="0.2">
      <c r="A21" s="69"/>
      <c r="B21" s="70"/>
      <c r="C21" s="70"/>
      <c r="D21" s="70"/>
      <c r="E21" s="70"/>
      <c r="F21" s="71"/>
      <c r="G21" s="70"/>
      <c r="H21" s="70"/>
      <c r="I21" s="70"/>
      <c r="J21" s="70"/>
      <c r="K21" s="70"/>
      <c r="L21" s="70"/>
      <c r="M21" s="72"/>
      <c r="N21" s="73"/>
      <c r="O21" s="117"/>
      <c r="P21" s="117"/>
      <c r="Q21" s="66"/>
      <c r="R21" s="44"/>
    </row>
    <row r="22" spans="1:19" ht="17.25" customHeight="1" thickBo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5"/>
      <c r="O22" s="118"/>
      <c r="P22" s="118"/>
      <c r="Q22" s="77"/>
    </row>
    <row r="23" spans="1:19" ht="20.25" customHeight="1" thickBot="1" x14ac:dyDescent="0.25">
      <c r="A23" s="124" t="s">
        <v>107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78">
        <f>SUM(Q15:Q22)</f>
        <v>1615000</v>
      </c>
    </row>
    <row r="24" spans="1:19" ht="18" customHeight="1" thickBot="1" x14ac:dyDescent="0.25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  <row r="25" spans="1:19" ht="17.25" customHeight="1" thickBot="1" x14ac:dyDescent="0.25">
      <c r="A25" s="120" t="s">
        <v>99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8" customHeight="1" thickBot="1" x14ac:dyDescent="0.25">
      <c r="A26" s="113" t="str">
        <f>"Para la "&amp; 'Telas NPYE'!D8 &amp;" para ser destinados al " &amp; 'Telas NPYE'!D6 &amp;"  del HISJB del Ministerio de Salud."</f>
        <v>Para la Adquisición de Telas para ser destinados al Sección Lavadero - Roperia - Costurero  del HISJB del Ministerio de Salud.</v>
      </c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</row>
    <row r="27" spans="1:19" ht="15" customHeight="1" thickBot="1" x14ac:dyDescent="0.25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Telas NT</vt:lpstr>
      <vt:lpstr>Telas NPYE</vt:lpstr>
      <vt:lpstr>Telas APG </vt:lpstr>
      <vt:lpstr>'Telas APG '!Área_de_impresión</vt:lpstr>
      <vt:lpstr>'Telas NPYE'!Área_de_impresión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lastPrinted>2021-03-29T13:44:15Z</cp:lastPrinted>
  <dcterms:created xsi:type="dcterms:W3CDTF">2021-02-08T14:08:26Z</dcterms:created>
  <dcterms:modified xsi:type="dcterms:W3CDTF">2021-04-30T11:54:42Z</dcterms:modified>
</cp:coreProperties>
</file>