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Nair\PEDIDOS 2022\3 TRIMESTRE 2022\MS\rayos x\corregido\"/>
    </mc:Choice>
  </mc:AlternateContent>
  <xr:revisionPtr revIDLastSave="0" documentId="8_{340067C5-92CE-4626-9BC8-2AD2693B3D2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F 011 - NECESIDAD TRIMESTRAL" sheetId="1" r:id="rId1"/>
    <sheet name="DETALLE DE ENTREGAS" sheetId="4" r:id="rId2"/>
    <sheet name="NP" sheetId="2" r:id="rId3"/>
    <sheet name="APG" sheetId="3" r:id="rId4"/>
  </sheets>
  <definedNames>
    <definedName name="_xlnm._FilterDatabase" localSheetId="0" hidden="1">'SAF 011 - NECESIDAD TRIMESTRAL'!$A$9:$L$14</definedName>
  </definedNames>
  <calcPr calcId="181029"/>
</workbook>
</file>

<file path=xl/calcChain.xml><?xml version="1.0" encoding="utf-8"?>
<calcChain xmlns="http://schemas.openxmlformats.org/spreadsheetml/2006/main">
  <c r="J18" i="1" l="1"/>
  <c r="J19" i="1"/>
  <c r="J20" i="1"/>
  <c r="J17" i="1"/>
  <c r="I11" i="1" l="1"/>
  <c r="I12" i="1" l="1"/>
  <c r="I13" i="1"/>
  <c r="H11" i="1" l="1"/>
  <c r="H12" i="1"/>
  <c r="H13" i="1"/>
  <c r="K13" i="1"/>
  <c r="I10" i="1"/>
  <c r="K11" i="1" l="1"/>
  <c r="K12" i="1"/>
  <c r="K13" i="2" l="1"/>
  <c r="K14" i="2"/>
  <c r="K15" i="2"/>
  <c r="J13" i="2"/>
  <c r="J15" i="2"/>
  <c r="I13" i="2"/>
  <c r="I14" i="2"/>
  <c r="I15" i="2"/>
  <c r="C13" i="2"/>
  <c r="C14" i="2"/>
  <c r="C15" i="2"/>
  <c r="B13" i="2"/>
  <c r="B14" i="2"/>
  <c r="B15" i="2"/>
  <c r="K12" i="2" l="1"/>
  <c r="J12" i="2"/>
  <c r="I12" i="2"/>
  <c r="C12" i="2"/>
  <c r="B12" i="2"/>
  <c r="J14" i="2" l="1"/>
  <c r="J17" i="2" l="1"/>
  <c r="K10" i="1"/>
  <c r="H10" i="1"/>
  <c r="A41" i="3" l="1"/>
  <c r="Q15" i="3"/>
  <c r="G5" i="3" l="1"/>
  <c r="G6" i="3"/>
  <c r="G7" i="3"/>
  <c r="G4" i="3"/>
  <c r="Q38" i="3"/>
  <c r="K14" i="1" l="1"/>
</calcChain>
</file>

<file path=xl/sharedStrings.xml><?xml version="1.0" encoding="utf-8"?>
<sst xmlns="http://schemas.openxmlformats.org/spreadsheetml/2006/main" count="168" uniqueCount="133">
  <si>
    <t>Pedido de Necesidades Trimestrales</t>
  </si>
  <si>
    <t>JURISDICCION:</t>
  </si>
  <si>
    <t>040 - MINISTERIO DE SALUD</t>
  </si>
  <si>
    <t xml:space="preserve">SAF N°: </t>
  </si>
  <si>
    <t>011 - DIRECCION PROVINCIAL DE ADMINISTRACION - MINISTERIO DE SALUD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</si>
  <si>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</si>
  <si>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</si>
  <si>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</si>
  <si>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</si>
  <si>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</si>
  <si>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</si>
  <si>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</si>
  <si>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</si>
  <si>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 TOTAL</t>
  </si>
  <si>
    <t>PRECIO UNITARIO ESTIMADO</t>
  </si>
  <si>
    <t xml:space="preserve">IMPORTE TOTAL ESTIMADO </t>
  </si>
  <si>
    <t>ESPECIFICACION TECNICA</t>
  </si>
  <si>
    <t>UNIDAD</t>
  </si>
  <si>
    <t>MS</t>
  </si>
  <si>
    <t>TOTAL MS</t>
  </si>
  <si>
    <t>EQUIPOS</t>
  </si>
  <si>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</si>
  <si>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</si>
  <si>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</si>
  <si>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</si>
  <si>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</si>
  <si>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</si>
  <si>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</si>
  <si>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</si>
  <si>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</si>
  <si>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</si>
  <si>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</si>
  <si>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</si>
  <si>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</si>
  <si>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</si>
  <si>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</si>
  <si>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</si>
  <si>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</si>
  <si>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</si>
  <si>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</si>
  <si>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</si>
  <si>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</si>
  <si>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</si>
  <si>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</si>
  <si>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</si>
  <si>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</si>
  <si>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</si>
  <si>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</si>
  <si>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</si>
  <si>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</si>
  <si>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</si>
  <si>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</si>
  <si>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</si>
  <si>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</si>
  <si>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</si>
  <si>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</si>
  <si>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</si>
  <si>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</si>
  <si>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>011 - DIRECCION PROVINCIAL DE ADMINISTRACION DEL MINISTERIO DE SALUD</t>
  </si>
  <si>
    <t>SI</t>
  </si>
  <si>
    <t>4.3.3</t>
  </si>
  <si>
    <t>Plazos de entrega:</t>
  </si>
  <si>
    <t>Lugar de Entrega:</t>
  </si>
  <si>
    <t>Calidad Minima esperada:</t>
  </si>
  <si>
    <t>Mantenimiento:</t>
  </si>
  <si>
    <t>TOTAL RUBRO EQUIPOS</t>
  </si>
  <si>
    <t xml:space="preserve"> XX/2022</t>
  </si>
  <si>
    <t>352 - MINISTERIO DE SALUD</t>
  </si>
  <si>
    <t>Autorizo la realización de los  trámites correspondientes, a fin de proveer a  este Organismo los bienes, servicios o ejecución de obras públicas que se detallan en Nota  de Pedido N° XX/2022 , afectando la erogación resultante a los créditos presupuestarios aprobados a favor de esta Unidad Ejecutora, conforme al siguiente detalle:</t>
  </si>
  <si>
    <t>1.1</t>
  </si>
  <si>
    <t>EQUIPOS SANITARIOS Y DE LABORATORIO</t>
  </si>
  <si>
    <t xml:space="preserve">DIGITAL INDIRECTO </t>
  </si>
  <si>
    <t>TESTER RX</t>
  </si>
  <si>
    <t>RX ALTA PRODUCTIVIDAD- digital directo</t>
  </si>
  <si>
    <t>EQUIPO FIJO ANALOGICO</t>
  </si>
  <si>
    <t>4.3.3-4084.19</t>
  </si>
  <si>
    <t>EQUIPOS DE RAYOS X; USO: RADIOLOGIA, FRECUENCIA: ALTA KHZ, REGULACION: AUTOMATICA Kv, AMPLIACION DE APLIQUE: SIN VALOR, COMANDO: AUTOMATICO</t>
  </si>
  <si>
    <t>DIGITALIZADOR DE RAYOS X; USO: RADIOLOGIA, ALIMENTACION: 220/240 V, PANTALLA: LED</t>
  </si>
  <si>
    <t>4.3.3-9878.1</t>
  </si>
  <si>
    <t>VER ANEXO I</t>
  </si>
  <si>
    <t>ADQUISICION DE EQUIPOS DE RAYOS X Y COMPLEMENTOS CON DESTINO A HOSPITALES DE LA PROVINCIA.-</t>
  </si>
  <si>
    <t>Garantia:</t>
  </si>
  <si>
    <t>4.3.3-4395.25</t>
  </si>
  <si>
    <t>MEDIDORES DE RADIACIONES; TIPO: PORTATIL, LECTURA: DIGITAL, TIPO RADIACION: RAYOS X, RANGO DE ENERGIA: 40 A 150 Kv, RANGO DE LECTURA: 0 A 0,91 GRAY</t>
  </si>
  <si>
    <t>* ADJUNTAR FOLLETERIA, MANUALES Y/O CUALQUIER OTRA DOCUMENTACION QUE EL PROVEEDOR ESTIME NECESARIO PARA ACLARAR EL BIEN COTIZADO</t>
  </si>
  <si>
    <t>TERCERO</t>
  </si>
  <si>
    <t>tres (3) años. Incluye dos (2) visitas anuales durante los tres (3) años para realizar calibracion de chequeos y mantenimiento preventivo.</t>
  </si>
  <si>
    <t>ESPECIFICIDADES Y DETALLE TECNICO:</t>
  </si>
  <si>
    <t>Costo total estimado: PESOS CIENTO OCHENTA Y CUATRO MILLONES TRESCIENTOS OCHENTA Y UN MIL CIENTO SETENTA Y OCHO CON 00/100.-</t>
  </si>
  <si>
    <t>TOTAL DE PESOS: CIENTO OCHENTA Y CUATRO MILLONES TRESCIENTOS OCHENTA Y UN MIL CIENTO SETENTA Y OCHO CON 00/100.-</t>
  </si>
  <si>
    <t>HOSPITAL DE HUALFIN   (1)</t>
  </si>
  <si>
    <t>HOSP ZONAL DE HUALFIN   CALLE S/N</t>
  </si>
  <si>
    <t>HOSPITAL DE BELEN  (1)</t>
  </si>
  <si>
    <t>DR. SEGUNDO ENRIQUE  MUÑIZ.  AV. CALCHAQUI S/N</t>
  </si>
  <si>
    <t>HOSP. REGIONAL  LUIS ALBERTO.  VARGAS 1 DE MAYO 269</t>
  </si>
  <si>
    <t>HOSPITAL   DE  SAUJIL     (1)</t>
  </si>
  <si>
    <t>HOSP. DIST  DE SAUJIL.    AV. SEÑOR DEL MILAGRO 650</t>
  </si>
  <si>
    <t>HOSPITAL  DE RECREO    (2)</t>
  </si>
  <si>
    <t xml:space="preserve">HOSP. ZONAL LIBORIO FORTE.  BOULEVARD  KIRCHNER Y RUTA 20 </t>
  </si>
  <si>
    <t>HOSPITAL DE POMAN   (2)</t>
  </si>
  <si>
    <t>HOSP. ROBERTO RAMON CARRO.  PRESIDENTE CASTILLO Y OBISPO ESQUIU</t>
  </si>
  <si>
    <t>HOSPITAL DE CHUMBICHA   (2)</t>
  </si>
  <si>
    <t xml:space="preserve">HOSP DIST.  ROBERTO RAMON CARRO.  25 DE MAYO </t>
  </si>
  <si>
    <t>HOSPITAL DEL ICAÑO   (2)</t>
  </si>
  <si>
    <t>HOSP.ZONAL ICAÑO.  RUTA PROV N°2  ENTRE LEANDRO ALEN Y RIO CHICO</t>
  </si>
  <si>
    <t>HOSPITAL  DE LA MERCED   (3)</t>
  </si>
  <si>
    <t>HOSP LA MERCED. CURA VERA S/N</t>
  </si>
  <si>
    <t>HOSPITAL DE LOS ALTOS   (3)</t>
  </si>
  <si>
    <t>HOSP SEC LOS ALTOS.   JUAN XXIII 548</t>
  </si>
  <si>
    <t>HOSPITAL DE LAVALLE   (3)</t>
  </si>
  <si>
    <t xml:space="preserve">HOSP. EDUARDI ATALIVA ANDRADA. AV BICENTENARIO S/N </t>
  </si>
  <si>
    <t>HOSPITAL DE NIÑOS EVA PERON    (4)</t>
  </si>
  <si>
    <t>HOSP INTER ZONAL DE NIÑOS EVA PERON. AV VIRGEN DEL VALLE 1050</t>
  </si>
  <si>
    <t>HOSPITAL DE SAN JUAN BAUTISTA    (4)</t>
  </si>
  <si>
    <t>HOSP.INTERZONAL  SAN  JUAN BAUTISTA.  AV ARTURO ILLIA Y MARIANO MORENO</t>
  </si>
  <si>
    <t>HOSP. EL RODEO CALLE S/N</t>
  </si>
  <si>
    <t>HOSPITAL DE VALLE CHICO    (4)</t>
  </si>
  <si>
    <t>HOSP DE VALLE CHICO. AVENIDA 27 Y CALLE 29</t>
  </si>
  <si>
    <t>CENTRO DE SALUD</t>
  </si>
  <si>
    <t>DIAS</t>
  </si>
  <si>
    <t>X</t>
  </si>
  <si>
    <t>ORDEN</t>
  </si>
  <si>
    <t>sesenta (60) dias</t>
  </si>
  <si>
    <t>HOSPITAL DE SANTA MARIA   (1)</t>
  </si>
  <si>
    <t>HOSPITAL DEL RODEO  (4)</t>
  </si>
  <si>
    <t>DIEZ (10) AÑOS</t>
  </si>
  <si>
    <t>Capacitacion:</t>
  </si>
  <si>
    <t xml:space="preserve">ITEMS 1 y 3 SEGUN DETALLE ADJUNTO. ITEMS 2 y 4 MINISTERIO DE SALUD - CHACABUCO N° 169 - SFV de CATAMARCA. DEBIENDO CORRER LOS GASTOS DE FLETES, ACARREO, CARGA, DESCARGA, SEGURO E INSTALACION A CARGO DEL ADJUDICATARIO. </t>
  </si>
  <si>
    <t xml:space="preserve">Items 1 y 3 entregas parciales a los veinte (20), cuarenta (40), sesenta (60) y ochenta (80) dias habiles, según detalle adjunto. Items 2 y 4: veinte (20) dias habiles. </t>
  </si>
  <si>
    <t>Items 1 y 3: dentro de los cinco (5) dias habiles, una vez instalado el equipo, en los lugares especificados en el esquema adjunto a los usuarios designados según su especialidad.</t>
  </si>
  <si>
    <t>*El adjudicatario debe correr con el gasto de desinstalacion, paletizado y traslado de los Equipos de Rayos X que se encuentran instalados actualmente a un deposito en el Parque Industrial El Pantanillo ubicado en la ciudad de San Fernando del Valle de Catamarca que designe el Ministerio de Salud .*</t>
  </si>
  <si>
    <t>Item 2 y 4: dentro de los cinco (5) dias habiles de recepcionados los equipos en las instalaciones del Ministerio de Salud - Chacabuco N° 169 - S.F.V.de CATAMARCA, al personal Tecnico designado.</t>
  </si>
  <si>
    <t>PLAZO DE ENTREGA DE EQUIPOS DE RAYOS X: 20 (1) - 40 (2) - 60 (3) y 80 (4) DIAS HABILES, LUGAR DE ENTREGA  Y ESQUEMA DE CAPACITACION.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</si>
</sst>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&quot;$&quot;\ #,##0.00"/>
    <numFmt numFmtId="166" formatCode="[$$-2C0A]\ #,##0.00"/>
    <numFmt numFmtId="167" formatCode="_-[$$-2C0A]\ * #,##0.00_-;\-[$$-2C0A]\ * #,##0.00_-;_-[$$-2C0A]\ * &quot;-&quot;??_-;_-@_-"/>
    <numFmt numFmtId="168" formatCode="_-* #,##0.00&quot; €&quot;_-;\-* #,##0.00&quot; €&quot;_-;_-* \-??&quot; €&quot;_-;_-@_-"/>
    <numFmt numFmtId="169" formatCode="dd\-mm\-yy;@"/>
    <numFmt numFmtId="170" formatCode="_(\$* #,##0.00_);_(\$* \(#,##0.00\);_(\$* \-??_);_(@_)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Arial"/>
      <family val="2"/>
    </font>
    <font>
      <b/>
      <sz val="14"/>
      <name val="Times New Roman"/>
      <family val="1"/>
    </font>
    <font>
      <sz val="10"/>
      <name val="Times New Roman"/>
      <family val="1"/>
      <charset val="1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b/>
      <sz val="14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1"/>
      <name val="Calibri"/>
      <family val="2"/>
      <scheme val="minor"/>
    </font>
    <font>
      <b/>
      <sz val="12"/>
      <name val="Times New Roman"/>
      <family val="1"/>
    </font>
    <font>
      <sz val="10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</font>
    <font>
      <sz val="10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 val="double"/>
      <sz val="14"/>
      <color theme="1"/>
      <name val="Calibri"/>
      <family val="2"/>
      <scheme val="minor"/>
    </font>
    <font>
      <b/>
      <i/>
      <u val="double"/>
      <sz val="14"/>
      <color theme="1"/>
      <name val="Calibri"/>
      <family val="2"/>
      <scheme val="minor"/>
    </font>
    <font>
      <b/>
      <u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99"/>
        <bgColor rgb="FFFFFFCC"/>
      </patternFill>
    </fill>
  </fills>
  <borders count="8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/>
      <right/>
      <top/>
      <bottom style="thick">
        <color rgb="FF33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auto="1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34">
    <xf numFmtId="0" fontId="0" fillId="0" borderId="0"/>
    <xf numFmtId="44" fontId="1" fillId="0" borderId="0" applyFont="0" applyFill="0" applyBorder="0" applyAlignment="0" applyProtection="0"/>
    <xf numFmtId="0" fontId="8" fillId="0" borderId="0"/>
    <xf numFmtId="164" fontId="8" fillId="0" borderId="0" applyBorder="0" applyAlignment="0" applyProtection="0"/>
    <xf numFmtId="0" fontId="1" fillId="0" borderId="0"/>
    <xf numFmtId="0" fontId="8" fillId="0" borderId="0"/>
    <xf numFmtId="0" fontId="8" fillId="0" borderId="0"/>
    <xf numFmtId="0" fontId="8" fillId="0" borderId="0"/>
    <xf numFmtId="0" fontId="10" fillId="0" borderId="0"/>
    <xf numFmtId="168" fontId="8" fillId="0" borderId="0" applyBorder="0" applyProtection="0"/>
    <xf numFmtId="0" fontId="11" fillId="0" borderId="8" applyProtection="0"/>
    <xf numFmtId="0" fontId="12" fillId="3" borderId="0" applyBorder="0" applyProtection="0"/>
    <xf numFmtId="0" fontId="8" fillId="0" borderId="0"/>
    <xf numFmtId="0" fontId="8" fillId="0" borderId="0"/>
    <xf numFmtId="168" fontId="8" fillId="0" borderId="0" applyBorder="0" applyProtection="0"/>
    <xf numFmtId="0" fontId="11" fillId="0" borderId="8" applyProtection="0"/>
    <xf numFmtId="164" fontId="8" fillId="0" borderId="0" applyBorder="0" applyAlignment="0" applyProtection="0"/>
    <xf numFmtId="0" fontId="8" fillId="0" borderId="0"/>
    <xf numFmtId="0" fontId="8" fillId="0" borderId="0"/>
    <xf numFmtId="0" fontId="8" fillId="0" borderId="0"/>
    <xf numFmtId="43" fontId="1" fillId="0" borderId="0" applyFont="0" applyFill="0" applyBorder="0" applyAlignment="0" applyProtection="0"/>
    <xf numFmtId="168" fontId="8" fillId="0" borderId="0" applyBorder="0" applyProtection="0"/>
    <xf numFmtId="0" fontId="1" fillId="0" borderId="0"/>
    <xf numFmtId="0" fontId="1" fillId="0" borderId="0"/>
    <xf numFmtId="0" fontId="8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8" fillId="0" borderId="0"/>
    <xf numFmtId="0" fontId="13" fillId="0" borderId="0"/>
    <xf numFmtId="0" fontId="14" fillId="0" borderId="0"/>
    <xf numFmtId="0" fontId="8" fillId="0" borderId="0"/>
    <xf numFmtId="170" fontId="26" fillId="0" borderId="0" applyBorder="0" applyProtection="0"/>
  </cellStyleXfs>
  <cellXfs count="259">
    <xf numFmtId="0" fontId="0" fillId="0" borderId="0" xfId="0"/>
    <xf numFmtId="3" fontId="3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3" fontId="3" fillId="0" borderId="0" xfId="0" applyNumberFormat="1" applyFont="1" applyAlignment="1">
      <alignment horizontal="center" vertical="center"/>
    </xf>
    <xf numFmtId="167" fontId="3" fillId="0" borderId="0" xfId="1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 wrapText="1"/>
    </xf>
    <xf numFmtId="0" fontId="5" fillId="0" borderId="0" xfId="0" applyFont="1" applyFill="1" applyAlignment="1">
      <alignment horizontal="left" vertical="center" wrapText="1"/>
    </xf>
    <xf numFmtId="0" fontId="5" fillId="0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7" fillId="0" borderId="1" xfId="0" applyFont="1" applyFill="1" applyBorder="1" applyAlignment="1">
      <alignment horizontal="center" vertical="center"/>
    </xf>
    <xf numFmtId="165" fontId="7" fillId="0" borderId="1" xfId="0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left" vertical="center" wrapText="1"/>
    </xf>
    <xf numFmtId="3" fontId="0" fillId="0" borderId="0" xfId="0" applyNumberFormat="1" applyAlignment="1">
      <alignment horizontal="center" vertical="center"/>
    </xf>
    <xf numFmtId="0" fontId="0" fillId="0" borderId="0" xfId="0"/>
    <xf numFmtId="0" fontId="6" fillId="0" borderId="0" xfId="0" applyNumberFormat="1" applyFont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0" xfId="0" applyFont="1" applyBorder="1"/>
    <xf numFmtId="167" fontId="6" fillId="0" borderId="0" xfId="0" applyNumberFormat="1" applyFont="1" applyAlignment="1">
      <alignment horizontal="center" vertical="center" wrapText="1"/>
    </xf>
    <xf numFmtId="167" fontId="0" fillId="0" borderId="0" xfId="0" applyNumberForma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3" fontId="5" fillId="0" borderId="5" xfId="0" applyNumberFormat="1" applyFont="1" applyBorder="1" applyAlignment="1">
      <alignment horizontal="center" vertical="center" wrapText="1"/>
    </xf>
    <xf numFmtId="167" fontId="5" fillId="0" borderId="5" xfId="0" applyNumberFormat="1" applyFont="1" applyBorder="1" applyAlignment="1">
      <alignment horizontal="center" vertical="center" wrapText="1"/>
    </xf>
    <xf numFmtId="0" fontId="5" fillId="0" borderId="5" xfId="0" applyNumberFormat="1" applyFont="1" applyBorder="1" applyAlignment="1">
      <alignment horizontal="center" vertical="center" wrapText="1"/>
    </xf>
    <xf numFmtId="167" fontId="4" fillId="0" borderId="5" xfId="1" applyNumberFormat="1" applyFont="1" applyBorder="1" applyAlignment="1">
      <alignment horizontal="center" vertical="center" wrapText="1"/>
    </xf>
    <xf numFmtId="3" fontId="7" fillId="0" borderId="7" xfId="2" applyNumberFormat="1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left" vertical="center" wrapText="1"/>
    </xf>
    <xf numFmtId="3" fontId="9" fillId="0" borderId="0" xfId="0" applyNumberFormat="1" applyFont="1" applyBorder="1" applyAlignment="1">
      <alignment horizontal="center" vertical="center"/>
    </xf>
    <xf numFmtId="167" fontId="9" fillId="0" borderId="0" xfId="0" applyNumberFormat="1" applyFont="1" applyBorder="1" applyAlignment="1">
      <alignment horizontal="center" vertical="center"/>
    </xf>
    <xf numFmtId="0" fontId="9" fillId="0" borderId="0" xfId="0" applyNumberFormat="1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18" fillId="0" borderId="17" xfId="0" applyFont="1" applyBorder="1" applyAlignment="1">
      <alignment vertical="center"/>
    </xf>
    <xf numFmtId="0" fontId="18" fillId="0" borderId="18" xfId="0" applyFont="1" applyBorder="1" applyAlignment="1">
      <alignment vertical="center"/>
    </xf>
    <xf numFmtId="0" fontId="18" fillId="0" borderId="0" xfId="0" applyFont="1" applyBorder="1" applyAlignment="1">
      <alignment vertical="center"/>
    </xf>
    <xf numFmtId="0" fontId="18" fillId="0" borderId="19" xfId="0" applyFont="1" applyBorder="1" applyAlignment="1">
      <alignment vertical="center"/>
    </xf>
    <xf numFmtId="0" fontId="20" fillId="0" borderId="24" xfId="0" applyFont="1" applyBorder="1" applyAlignment="1">
      <alignment horizontal="left" vertical="center"/>
    </xf>
    <xf numFmtId="0" fontId="20" fillId="0" borderId="0" xfId="0" applyFont="1" applyBorder="1" applyAlignment="1">
      <alignment horizontal="left" vertical="center"/>
    </xf>
    <xf numFmtId="0" fontId="19" fillId="0" borderId="0" xfId="0" applyFont="1" applyBorder="1" applyAlignment="1">
      <alignment horizontal="left" vertical="center" wrapText="1" indent="1"/>
    </xf>
    <xf numFmtId="0" fontId="19" fillId="0" borderId="19" xfId="0" applyFont="1" applyBorder="1" applyAlignment="1">
      <alignment horizontal="left" vertical="center" wrapText="1" indent="1"/>
    </xf>
    <xf numFmtId="0" fontId="22" fillId="0" borderId="28" xfId="0" applyFont="1" applyBorder="1" applyAlignment="1">
      <alignment horizontal="center" vertical="center"/>
    </xf>
    <xf numFmtId="0" fontId="22" fillId="0" borderId="13" xfId="0" applyFont="1" applyBorder="1" applyAlignment="1">
      <alignment horizontal="center" vertical="center"/>
    </xf>
    <xf numFmtId="3" fontId="24" fillId="0" borderId="33" xfId="0" applyNumberFormat="1" applyFont="1" applyBorder="1" applyAlignment="1"/>
    <xf numFmtId="169" fontId="0" fillId="0" borderId="33" xfId="0" applyNumberFormat="1" applyBorder="1" applyAlignment="1">
      <alignment horizontal="left"/>
    </xf>
    <xf numFmtId="0" fontId="0" fillId="0" borderId="33" xfId="0" applyBorder="1"/>
    <xf numFmtId="0" fontId="0" fillId="0" borderId="24" xfId="0" applyBorder="1"/>
    <xf numFmtId="0" fontId="0" fillId="0" borderId="0" xfId="0" applyBorder="1"/>
    <xf numFmtId="0" fontId="0" fillId="0" borderId="0" xfId="0" applyBorder="1" applyAlignment="1">
      <alignment horizontal="left"/>
    </xf>
    <xf numFmtId="169" fontId="0" fillId="0" borderId="0" xfId="0" applyNumberFormat="1" applyBorder="1" applyAlignment="1">
      <alignment horizontal="left"/>
    </xf>
    <xf numFmtId="0" fontId="0" fillId="0" borderId="17" xfId="0" applyBorder="1"/>
    <xf numFmtId="0" fontId="0" fillId="0" borderId="18" xfId="0" applyBorder="1"/>
    <xf numFmtId="0" fontId="0" fillId="0" borderId="18" xfId="0" applyBorder="1" applyAlignment="1">
      <alignment horizontal="left"/>
    </xf>
    <xf numFmtId="0" fontId="29" fillId="0" borderId="42" xfId="0" applyFont="1" applyBorder="1" applyAlignment="1">
      <alignment horizontal="center" vertical="center"/>
    </xf>
    <xf numFmtId="0" fontId="29" fillId="0" borderId="43" xfId="0" applyFont="1" applyBorder="1" applyAlignment="1">
      <alignment horizontal="center" vertical="center"/>
    </xf>
    <xf numFmtId="0" fontId="29" fillId="0" borderId="43" xfId="0" applyFont="1" applyBorder="1" applyAlignment="1">
      <alignment horizontal="left" vertical="center"/>
    </xf>
    <xf numFmtId="0" fontId="29" fillId="0" borderId="44" xfId="0" applyFont="1" applyBorder="1" applyAlignment="1">
      <alignment horizontal="center" vertical="center"/>
    </xf>
    <xf numFmtId="0" fontId="29" fillId="0" borderId="45" xfId="0" applyFont="1" applyBorder="1" applyAlignment="1">
      <alignment horizontal="center" vertical="center"/>
    </xf>
    <xf numFmtId="0" fontId="0" fillId="0" borderId="46" xfId="0" applyFont="1" applyBorder="1" applyAlignment="1">
      <alignment horizontal="center" vertical="center"/>
    </xf>
    <xf numFmtId="0" fontId="0" fillId="0" borderId="47" xfId="0" applyFont="1" applyBorder="1" applyAlignment="1">
      <alignment horizontal="center" vertical="center"/>
    </xf>
    <xf numFmtId="0" fontId="0" fillId="0" borderId="48" xfId="0" applyFont="1" applyBorder="1" applyAlignment="1">
      <alignment horizontal="center" vertical="center"/>
    </xf>
    <xf numFmtId="0" fontId="0" fillId="0" borderId="50" xfId="0" applyFont="1" applyBorder="1" applyAlignment="1">
      <alignment horizontal="center" vertical="center"/>
    </xf>
    <xf numFmtId="0" fontId="0" fillId="0" borderId="51" xfId="0" applyFont="1" applyBorder="1" applyAlignment="1">
      <alignment horizontal="center" vertical="center"/>
    </xf>
    <xf numFmtId="0" fontId="0" fillId="0" borderId="52" xfId="0" applyFont="1" applyBorder="1" applyAlignment="1">
      <alignment horizontal="center" vertical="center"/>
    </xf>
    <xf numFmtId="0" fontId="0" fillId="0" borderId="53" xfId="0" applyFont="1" applyBorder="1" applyAlignment="1">
      <alignment horizontal="center" vertical="center"/>
    </xf>
    <xf numFmtId="0" fontId="27" fillId="0" borderId="50" xfId="0" applyFont="1" applyBorder="1" applyAlignment="1">
      <alignment horizontal="center" vertical="center"/>
    </xf>
    <xf numFmtId="0" fontId="27" fillId="0" borderId="51" xfId="0" applyFont="1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27" fillId="0" borderId="52" xfId="0" applyFont="1" applyBorder="1" applyAlignment="1">
      <alignment horizontal="center" vertical="center"/>
    </xf>
    <xf numFmtId="0" fontId="27" fillId="0" borderId="53" xfId="0" applyFont="1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19" fillId="0" borderId="12" xfId="0" applyFont="1" applyBorder="1" applyAlignment="1">
      <alignment vertical="center"/>
    </xf>
    <xf numFmtId="0" fontId="19" fillId="0" borderId="61" xfId="0" applyFont="1" applyBorder="1" applyAlignment="1">
      <alignment vertical="center"/>
    </xf>
    <xf numFmtId="0" fontId="19" fillId="0" borderId="32" xfId="0" applyFont="1" applyBorder="1" applyAlignment="1">
      <alignment vertical="center"/>
    </xf>
    <xf numFmtId="0" fontId="19" fillId="0" borderId="62" xfId="0" applyFont="1" applyBorder="1" applyAlignment="1">
      <alignment vertical="center"/>
    </xf>
    <xf numFmtId="0" fontId="18" fillId="0" borderId="18" xfId="0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67" fontId="18" fillId="0" borderId="15" xfId="0" applyNumberFormat="1" applyFont="1" applyBorder="1" applyAlignment="1">
      <alignment horizontal="right" vertical="center"/>
    </xf>
    <xf numFmtId="167" fontId="18" fillId="0" borderId="0" xfId="0" applyNumberFormat="1" applyFont="1" applyBorder="1" applyAlignment="1">
      <alignment vertical="center"/>
    </xf>
    <xf numFmtId="167" fontId="19" fillId="0" borderId="61" xfId="0" applyNumberFormat="1" applyFont="1" applyBorder="1" applyAlignment="1">
      <alignment vertical="center"/>
    </xf>
    <xf numFmtId="167" fontId="19" fillId="0" borderId="0" xfId="0" applyNumberFormat="1" applyFont="1" applyBorder="1" applyAlignment="1">
      <alignment horizontal="left" vertical="center" wrapText="1" indent="1"/>
    </xf>
    <xf numFmtId="167" fontId="0" fillId="0" borderId="0" xfId="0" applyNumberFormat="1"/>
    <xf numFmtId="0" fontId="22" fillId="0" borderId="10" xfId="0" applyFont="1" applyBorder="1" applyAlignment="1">
      <alignment horizontal="center" vertical="center" wrapText="1"/>
    </xf>
    <xf numFmtId="167" fontId="22" fillId="0" borderId="10" xfId="0" applyNumberFormat="1" applyFont="1" applyBorder="1" applyAlignment="1">
      <alignment horizontal="center" vertical="center" wrapText="1"/>
    </xf>
    <xf numFmtId="3" fontId="22" fillId="0" borderId="29" xfId="0" applyNumberFormat="1" applyFont="1" applyBorder="1" applyAlignment="1">
      <alignment horizontal="center" vertical="center"/>
    </xf>
    <xf numFmtId="0" fontId="0" fillId="0" borderId="0" xfId="0" applyFont="1"/>
    <xf numFmtId="0" fontId="22" fillId="0" borderId="1" xfId="0" applyFont="1" applyBorder="1" applyAlignment="1">
      <alignment horizontal="center" vertical="center" wrapText="1"/>
    </xf>
    <xf numFmtId="167" fontId="22" fillId="0" borderId="1" xfId="0" applyNumberFormat="1" applyFont="1" applyBorder="1" applyAlignment="1">
      <alignment horizontal="center" vertical="center" wrapText="1"/>
    </xf>
    <xf numFmtId="3" fontId="22" fillId="0" borderId="30" xfId="0" applyNumberFormat="1" applyFont="1" applyBorder="1" applyAlignment="1">
      <alignment horizontal="center" vertical="center"/>
    </xf>
    <xf numFmtId="167" fontId="0" fillId="0" borderId="19" xfId="0" applyNumberFormat="1" applyBorder="1"/>
    <xf numFmtId="167" fontId="0" fillId="0" borderId="39" xfId="0" applyNumberFormat="1" applyBorder="1"/>
    <xf numFmtId="167" fontId="0" fillId="0" borderId="49" xfId="33" applyNumberFormat="1" applyFont="1" applyBorder="1" applyAlignment="1" applyProtection="1">
      <alignment horizontal="center" vertical="center"/>
    </xf>
    <xf numFmtId="167" fontId="0" fillId="0" borderId="54" xfId="33" applyNumberFormat="1" applyFont="1" applyBorder="1" applyAlignment="1" applyProtection="1">
      <alignment horizontal="center" vertical="center"/>
    </xf>
    <xf numFmtId="167" fontId="0" fillId="0" borderId="58" xfId="33" applyNumberFormat="1" applyFont="1" applyBorder="1" applyAlignment="1" applyProtection="1">
      <alignment horizontal="center" vertical="center"/>
    </xf>
    <xf numFmtId="167" fontId="29" fillId="0" borderId="60" xfId="0" applyNumberFormat="1" applyFont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30" fillId="0" borderId="24" xfId="5" applyFont="1" applyFill="1" applyBorder="1" applyAlignment="1">
      <alignment horizontal="center" vertical="center" wrapText="1"/>
    </xf>
    <xf numFmtId="0" fontId="30" fillId="0" borderId="24" xfId="5" applyFont="1" applyBorder="1" applyAlignment="1">
      <alignment horizontal="center" vertical="center" wrapText="1"/>
    </xf>
    <xf numFmtId="0" fontId="0" fillId="0" borderId="65" xfId="0" applyFont="1" applyBorder="1" applyAlignment="1">
      <alignment horizontal="center" vertical="center"/>
    </xf>
    <xf numFmtId="0" fontId="30" fillId="0" borderId="14" xfId="5" applyFont="1" applyFill="1" applyBorder="1" applyAlignment="1">
      <alignment horizontal="center" vertical="center" wrapText="1"/>
    </xf>
    <xf numFmtId="0" fontId="22" fillId="0" borderId="68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 wrapText="1"/>
    </xf>
    <xf numFmtId="167" fontId="22" fillId="0" borderId="9" xfId="0" applyNumberFormat="1" applyFont="1" applyBorder="1" applyAlignment="1">
      <alignment horizontal="center" vertical="center" wrapText="1"/>
    </xf>
    <xf numFmtId="3" fontId="22" fillId="0" borderId="69" xfId="0" applyNumberFormat="1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167" fontId="7" fillId="0" borderId="2" xfId="0" applyNumberFormat="1" applyFont="1" applyFill="1" applyBorder="1" applyAlignment="1">
      <alignment horizontal="center" vertical="center"/>
    </xf>
    <xf numFmtId="167" fontId="7" fillId="0" borderId="3" xfId="2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 wrapText="1"/>
    </xf>
    <xf numFmtId="0" fontId="7" fillId="0" borderId="0" xfId="0" applyFont="1" applyFill="1"/>
    <xf numFmtId="0" fontId="7" fillId="0" borderId="1" xfId="0" applyNumberFormat="1" applyFont="1" applyFill="1" applyBorder="1" applyAlignment="1">
      <alignment horizontal="center" vertical="center"/>
    </xf>
    <xf numFmtId="0" fontId="7" fillId="0" borderId="6" xfId="0" applyFont="1" applyFill="1" applyBorder="1" applyAlignment="1">
      <alignment vertical="center" wrapText="1"/>
    </xf>
    <xf numFmtId="165" fontId="7" fillId="0" borderId="3" xfId="0" applyNumberFormat="1" applyFont="1" applyFill="1" applyBorder="1" applyAlignment="1">
      <alignment horizontal="right" vertical="center" wrapText="1"/>
    </xf>
    <xf numFmtId="3" fontId="7" fillId="0" borderId="1" xfId="2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vertical="center" wrapText="1"/>
    </xf>
    <xf numFmtId="3" fontId="7" fillId="0" borderId="9" xfId="2" applyNumberFormat="1" applyFont="1" applyFill="1" applyBorder="1" applyAlignment="1">
      <alignment horizontal="center" vertical="center" wrapText="1"/>
    </xf>
    <xf numFmtId="165" fontId="7" fillId="0" borderId="9" xfId="0" applyNumberFormat="1" applyFont="1" applyFill="1" applyBorder="1" applyAlignment="1">
      <alignment horizontal="right" vertical="center" wrapText="1"/>
    </xf>
    <xf numFmtId="167" fontId="7" fillId="0" borderId="9" xfId="2" applyNumberFormat="1" applyFont="1" applyFill="1" applyBorder="1" applyAlignment="1">
      <alignment horizontal="center" vertical="center" wrapText="1"/>
    </xf>
    <xf numFmtId="0" fontId="34" fillId="0" borderId="5" xfId="0" applyNumberFormat="1" applyFont="1" applyFill="1" applyBorder="1" applyAlignment="1">
      <alignment horizontal="center" vertical="center"/>
    </xf>
    <xf numFmtId="167" fontId="34" fillId="0" borderId="5" xfId="0" applyNumberFormat="1" applyFont="1" applyFill="1" applyBorder="1" applyAlignment="1">
      <alignment horizontal="center" vertical="center"/>
    </xf>
    <xf numFmtId="167" fontId="34" fillId="0" borderId="7" xfId="0" applyNumberFormat="1" applyFont="1" applyFill="1" applyBorder="1" applyAlignment="1">
      <alignment horizontal="center" vertical="center"/>
    </xf>
    <xf numFmtId="167" fontId="34" fillId="0" borderId="64" xfId="2" applyNumberFormat="1" applyFont="1" applyFill="1" applyBorder="1" applyAlignment="1">
      <alignment horizontal="center" vertical="center" wrapText="1"/>
    </xf>
    <xf numFmtId="0" fontId="34" fillId="0" borderId="0" xfId="0" applyFont="1" applyFill="1"/>
    <xf numFmtId="0" fontId="7" fillId="0" borderId="71" xfId="0" applyFont="1" applyFill="1" applyBorder="1" applyAlignment="1">
      <alignment vertical="center" wrapText="1"/>
    </xf>
    <xf numFmtId="0" fontId="34" fillId="0" borderId="21" xfId="0" applyFont="1" applyFill="1" applyBorder="1" applyAlignment="1">
      <alignment vertical="center" wrapText="1"/>
    </xf>
    <xf numFmtId="0" fontId="32" fillId="0" borderId="0" xfId="0" applyFont="1" applyFill="1" applyBorder="1" applyAlignment="1">
      <alignment vertical="center" wrapText="1"/>
    </xf>
    <xf numFmtId="0" fontId="35" fillId="0" borderId="24" xfId="0" applyFont="1" applyFill="1" applyBorder="1" applyAlignment="1">
      <alignment horizontal="center" vertical="center" wrapText="1"/>
    </xf>
    <xf numFmtId="3" fontId="7" fillId="0" borderId="72" xfId="2" applyNumberFormat="1" applyFont="1" applyFill="1" applyBorder="1" applyAlignment="1">
      <alignment horizontal="center" vertical="center" wrapText="1"/>
    </xf>
    <xf numFmtId="3" fontId="7" fillId="0" borderId="10" xfId="2" applyNumberFormat="1" applyFont="1" applyFill="1" applyBorder="1" applyAlignment="1">
      <alignment horizontal="center" vertical="center" wrapText="1"/>
    </xf>
    <xf numFmtId="0" fontId="36" fillId="0" borderId="0" xfId="0" applyNumberFormat="1" applyFont="1" applyBorder="1" applyAlignment="1">
      <alignment horizontal="center" vertical="center"/>
    </xf>
    <xf numFmtId="167" fontId="36" fillId="0" borderId="0" xfId="0" applyNumberFormat="1" applyFont="1" applyBorder="1" applyAlignment="1">
      <alignment horizontal="center" vertical="center"/>
    </xf>
    <xf numFmtId="44" fontId="36" fillId="0" borderId="0" xfId="0" applyNumberFormat="1" applyFont="1" applyBorder="1" applyAlignment="1">
      <alignment horizontal="center" vertical="center"/>
    </xf>
    <xf numFmtId="3" fontId="36" fillId="0" borderId="0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37" fillId="0" borderId="0" xfId="0" applyFont="1" applyAlignment="1">
      <alignment vertical="center"/>
    </xf>
    <xf numFmtId="0" fontId="38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7" fillId="0" borderId="74" xfId="0" applyFont="1" applyBorder="1" applyAlignment="1">
      <alignment vertical="center"/>
    </xf>
    <xf numFmtId="0" fontId="38" fillId="0" borderId="71" xfId="0" applyFont="1" applyBorder="1" applyAlignment="1">
      <alignment vertical="center"/>
    </xf>
    <xf numFmtId="0" fontId="37" fillId="0" borderId="75" xfId="0" applyFont="1" applyBorder="1" applyAlignment="1">
      <alignment vertical="center"/>
    </xf>
    <xf numFmtId="0" fontId="39" fillId="0" borderId="71" xfId="0" applyFont="1" applyBorder="1" applyAlignment="1">
      <alignment vertical="center"/>
    </xf>
    <xf numFmtId="0" fontId="38" fillId="0" borderId="9" xfId="0" applyFont="1" applyBorder="1" applyAlignment="1">
      <alignment horizontal="center" vertical="center"/>
    </xf>
    <xf numFmtId="0" fontId="38" fillId="0" borderId="69" xfId="0" applyFont="1" applyBorder="1" applyAlignment="1">
      <alignment horizontal="center" vertical="center"/>
    </xf>
    <xf numFmtId="0" fontId="38" fillId="0" borderId="68" xfId="0" applyFont="1" applyBorder="1" applyAlignment="1">
      <alignment horizontal="center" vertical="center"/>
    </xf>
    <xf numFmtId="0" fontId="38" fillId="0" borderId="33" xfId="0" applyFont="1" applyBorder="1" applyAlignment="1">
      <alignment vertical="center"/>
    </xf>
    <xf numFmtId="0" fontId="37" fillId="0" borderId="80" xfId="0" applyFont="1" applyBorder="1" applyAlignment="1">
      <alignment vertical="center"/>
    </xf>
    <xf numFmtId="0" fontId="30" fillId="0" borderId="0" xfId="5" applyFont="1" applyFill="1" applyBorder="1" applyAlignment="1">
      <alignment horizontal="left" vertical="center"/>
    </xf>
    <xf numFmtId="0" fontId="0" fillId="0" borderId="19" xfId="0" applyFont="1" applyFill="1" applyBorder="1" applyAlignment="1">
      <alignment horizontal="left" vertical="center" wrapText="1"/>
    </xf>
    <xf numFmtId="0" fontId="30" fillId="0" borderId="0" xfId="5" applyFont="1" applyFill="1" applyBorder="1" applyAlignment="1">
      <alignment horizontal="center" vertical="center" wrapText="1"/>
    </xf>
    <xf numFmtId="0" fontId="30" fillId="0" borderId="19" xfId="5" applyFont="1" applyFill="1" applyBorder="1" applyAlignment="1">
      <alignment horizontal="center" vertical="center" wrapText="1"/>
    </xf>
    <xf numFmtId="0" fontId="33" fillId="0" borderId="0" xfId="5" applyFont="1" applyFill="1" applyBorder="1" applyAlignment="1">
      <alignment vertical="center" wrapText="1"/>
    </xf>
    <xf numFmtId="0" fontId="5" fillId="0" borderId="0" xfId="0" applyFont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/>
    </xf>
    <xf numFmtId="0" fontId="5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 wrapText="1"/>
    </xf>
    <xf numFmtId="0" fontId="30" fillId="0" borderId="33" xfId="5" applyFont="1" applyFill="1" applyBorder="1" applyAlignment="1">
      <alignment horizontal="left" vertical="center" wrapText="1"/>
    </xf>
    <xf numFmtId="0" fontId="30" fillId="0" borderId="70" xfId="5" applyFont="1" applyFill="1" applyBorder="1" applyAlignment="1">
      <alignment horizontal="left" vertical="center" wrapText="1"/>
    </xf>
    <xf numFmtId="0" fontId="30" fillId="0" borderId="0" xfId="5" applyFont="1" applyFill="1" applyBorder="1" applyAlignment="1">
      <alignment horizontal="left" vertical="center" wrapText="1"/>
    </xf>
    <xf numFmtId="0" fontId="30" fillId="0" borderId="19" xfId="5" applyFont="1" applyFill="1" applyBorder="1" applyAlignment="1">
      <alignment horizontal="left" vertical="center" wrapText="1"/>
    </xf>
    <xf numFmtId="0" fontId="30" fillId="0" borderId="0" xfId="5" applyFont="1" applyFill="1" applyBorder="1" applyAlignment="1">
      <alignment horizontal="center" vertical="center"/>
    </xf>
    <xf numFmtId="0" fontId="30" fillId="0" borderId="19" xfId="5" applyFont="1" applyFill="1" applyBorder="1" applyAlignment="1">
      <alignment horizontal="center" vertical="center"/>
    </xf>
    <xf numFmtId="0" fontId="41" fillId="0" borderId="24" xfId="0" applyFont="1" applyFill="1" applyBorder="1" applyAlignment="1">
      <alignment horizontal="center" vertical="center" wrapText="1"/>
    </xf>
    <xf numFmtId="0" fontId="41" fillId="0" borderId="0" xfId="0" applyFont="1" applyFill="1" applyBorder="1" applyAlignment="1">
      <alignment horizontal="center" vertical="center" wrapText="1"/>
    </xf>
    <xf numFmtId="0" fontId="41" fillId="0" borderId="19" xfId="0" applyFont="1" applyFill="1" applyBorder="1" applyAlignment="1">
      <alignment horizontal="center" vertical="center" wrapText="1"/>
    </xf>
    <xf numFmtId="0" fontId="35" fillId="0" borderId="0" xfId="0" applyFont="1" applyFill="1" applyBorder="1" applyAlignment="1">
      <alignment horizontal="center" vertical="center" wrapText="1"/>
    </xf>
    <xf numFmtId="0" fontId="35" fillId="0" borderId="19" xfId="0" applyFont="1" applyFill="1" applyBorder="1" applyAlignment="1">
      <alignment horizontal="center" vertical="center" wrapText="1"/>
    </xf>
    <xf numFmtId="0" fontId="34" fillId="0" borderId="12" xfId="0" applyFont="1" applyFill="1" applyBorder="1" applyAlignment="1">
      <alignment horizontal="center" vertical="center" wrapText="1"/>
    </xf>
    <xf numFmtId="0" fontId="34" fillId="0" borderId="61" xfId="0" applyFont="1" applyFill="1" applyBorder="1" applyAlignment="1">
      <alignment horizontal="center" vertical="center" wrapText="1"/>
    </xf>
    <xf numFmtId="0" fontId="34" fillId="0" borderId="73" xfId="0" applyFont="1" applyFill="1" applyBorder="1" applyAlignment="1">
      <alignment horizontal="center" vertical="center" wrapText="1"/>
    </xf>
    <xf numFmtId="0" fontId="30" fillId="0" borderId="0" xfId="5" applyFont="1" applyBorder="1" applyAlignment="1">
      <alignment horizontal="center" vertical="center"/>
    </xf>
    <xf numFmtId="0" fontId="30" fillId="0" borderId="19" xfId="5" applyFont="1" applyBorder="1" applyAlignment="1">
      <alignment horizontal="center" vertical="center"/>
    </xf>
    <xf numFmtId="0" fontId="0" fillId="0" borderId="66" xfId="0" applyFont="1" applyBorder="1" applyAlignment="1">
      <alignment horizontal="center" vertical="center"/>
    </xf>
    <xf numFmtId="0" fontId="0" fillId="0" borderId="67" xfId="0" applyFont="1" applyBorder="1" applyAlignment="1">
      <alignment horizontal="center" vertical="center"/>
    </xf>
    <xf numFmtId="0" fontId="30" fillId="0" borderId="0" xfId="5" applyFont="1" applyBorder="1" applyAlignment="1">
      <alignment horizontal="left" vertical="center" wrapText="1"/>
    </xf>
    <xf numFmtId="0" fontId="30" fillId="0" borderId="19" xfId="5" applyFont="1" applyBorder="1" applyAlignment="1">
      <alignment horizontal="left" vertical="center" wrapText="1"/>
    </xf>
    <xf numFmtId="0" fontId="33" fillId="0" borderId="12" xfId="5" applyFont="1" applyFill="1" applyBorder="1" applyAlignment="1">
      <alignment horizontal="center" vertical="center" wrapText="1"/>
    </xf>
    <xf numFmtId="0" fontId="33" fillId="0" borderId="61" xfId="5" applyFont="1" applyFill="1" applyBorder="1" applyAlignment="1">
      <alignment horizontal="center" vertical="center" wrapText="1"/>
    </xf>
    <xf numFmtId="0" fontId="33" fillId="0" borderId="32" xfId="5" applyFont="1" applyFill="1" applyBorder="1" applyAlignment="1">
      <alignment horizontal="center" vertical="center" wrapText="1"/>
    </xf>
    <xf numFmtId="0" fontId="30" fillId="0" borderId="0" xfId="5" applyFont="1" applyFill="1" applyBorder="1" applyAlignment="1">
      <alignment horizontal="center" vertical="center" wrapText="1"/>
    </xf>
    <xf numFmtId="0" fontId="30" fillId="0" borderId="19" xfId="5" applyFont="1" applyFill="1" applyBorder="1" applyAlignment="1">
      <alignment horizontal="center" vertical="center" wrapText="1"/>
    </xf>
    <xf numFmtId="0" fontId="30" fillId="0" borderId="24" xfId="5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78" xfId="0" applyFont="1" applyBorder="1" applyAlignment="1">
      <alignment horizontal="center" vertical="center"/>
    </xf>
    <xf numFmtId="0" fontId="2" fillId="0" borderId="79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4" xfId="0" applyFont="1" applyBorder="1" applyAlignment="1">
      <alignment horizontal="center" vertical="center"/>
    </xf>
    <xf numFmtId="0" fontId="40" fillId="0" borderId="0" xfId="0" applyFont="1" applyAlignment="1">
      <alignment horizontal="center" vertical="center" wrapText="1"/>
    </xf>
    <xf numFmtId="0" fontId="38" fillId="0" borderId="14" xfId="0" applyFont="1" applyBorder="1" applyAlignment="1">
      <alignment horizontal="center" vertical="center"/>
    </xf>
    <xf numFmtId="0" fontId="38" fillId="0" borderId="65" xfId="0" applyFont="1" applyBorder="1" applyAlignment="1">
      <alignment horizontal="center" vertical="center"/>
    </xf>
    <xf numFmtId="0" fontId="38" fillId="0" borderId="28" xfId="0" applyFont="1" applyBorder="1" applyAlignment="1">
      <alignment horizontal="center" vertical="center"/>
    </xf>
    <xf numFmtId="0" fontId="38" fillId="0" borderId="13" xfId="0" applyFont="1" applyBorder="1" applyAlignment="1">
      <alignment horizontal="center" vertical="center"/>
    </xf>
    <xf numFmtId="0" fontId="38" fillId="0" borderId="10" xfId="0" applyFont="1" applyBorder="1" applyAlignment="1">
      <alignment horizontal="center" vertical="center"/>
    </xf>
    <xf numFmtId="0" fontId="38" fillId="0" borderId="29" xfId="0" applyFont="1" applyBorder="1" applyAlignment="1">
      <alignment horizontal="center" vertical="center"/>
    </xf>
    <xf numFmtId="0" fontId="38" fillId="0" borderId="76" xfId="0" applyFont="1" applyBorder="1" applyAlignment="1">
      <alignment horizontal="center" vertical="center"/>
    </xf>
    <xf numFmtId="0" fontId="38" fillId="0" borderId="77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38" fillId="0" borderId="68" xfId="0" applyFont="1" applyBorder="1" applyAlignment="1">
      <alignment horizontal="center" vertical="center"/>
    </xf>
    <xf numFmtId="166" fontId="31" fillId="0" borderId="12" xfId="0" applyNumberFormat="1" applyFont="1" applyBorder="1" applyAlignment="1">
      <alignment horizontal="center" vertical="center"/>
    </xf>
    <xf numFmtId="166" fontId="31" fillId="0" borderId="32" xfId="0" applyNumberFormat="1" applyFont="1" applyBorder="1" applyAlignment="1">
      <alignment horizontal="center" vertical="center"/>
    </xf>
    <xf numFmtId="0" fontId="20" fillId="0" borderId="20" xfId="0" applyFont="1" applyBorder="1" applyAlignment="1">
      <alignment horizontal="left" vertical="center" wrapText="1"/>
    </xf>
    <xf numFmtId="0" fontId="20" fillId="0" borderId="22" xfId="0" applyFont="1" applyBorder="1" applyAlignment="1">
      <alignment horizontal="left" vertical="center" wrapText="1"/>
    </xf>
    <xf numFmtId="0" fontId="20" fillId="0" borderId="23" xfId="0" applyFont="1" applyBorder="1" applyAlignment="1">
      <alignment horizontal="left" vertical="center"/>
    </xf>
    <xf numFmtId="0" fontId="17" fillId="0" borderId="14" xfId="0" applyFont="1" applyBorder="1" applyAlignment="1">
      <alignment horizontal="center" vertical="center"/>
    </xf>
    <xf numFmtId="0" fontId="23" fillId="0" borderId="31" xfId="0" applyFont="1" applyFill="1" applyBorder="1" applyAlignment="1">
      <alignment horizontal="left" vertical="center" wrapText="1" indent="1"/>
    </xf>
    <xf numFmtId="0" fontId="22" fillId="0" borderId="9" xfId="0" applyFont="1" applyBorder="1" applyAlignment="1">
      <alignment horizontal="center" vertical="center" wrapText="1"/>
    </xf>
    <xf numFmtId="0" fontId="21" fillId="0" borderId="27" xfId="0" applyFont="1" applyBorder="1" applyAlignment="1">
      <alignment horizontal="center" vertical="center" wrapText="1"/>
    </xf>
    <xf numFmtId="0" fontId="22" fillId="0" borderId="10" xfId="0" applyFont="1" applyBorder="1" applyAlignment="1">
      <alignment horizontal="left" vertical="center" wrapText="1"/>
    </xf>
    <xf numFmtId="0" fontId="22" fillId="0" borderId="11" xfId="0" applyFont="1" applyBorder="1" applyAlignment="1">
      <alignment horizontal="left" vertical="center" wrapText="1"/>
    </xf>
    <xf numFmtId="0" fontId="22" fillId="0" borderId="63" xfId="0" applyFont="1" applyBorder="1" applyAlignment="1">
      <alignment horizontal="left" vertical="center" wrapText="1"/>
    </xf>
    <xf numFmtId="0" fontId="22" fillId="0" borderId="6" xfId="0" applyFont="1" applyBorder="1" applyAlignment="1">
      <alignment horizontal="left" vertical="center" wrapText="1"/>
    </xf>
    <xf numFmtId="0" fontId="21" fillId="0" borderId="26" xfId="0" applyFont="1" applyBorder="1" applyAlignment="1">
      <alignment horizontal="center" vertical="center" wrapText="1"/>
    </xf>
    <xf numFmtId="167" fontId="21" fillId="0" borderId="26" xfId="0" applyNumberFormat="1" applyFont="1" applyBorder="1" applyAlignment="1">
      <alignment horizontal="center" vertical="center" wrapText="1"/>
    </xf>
    <xf numFmtId="0" fontId="21" fillId="0" borderId="25" xfId="0" applyFont="1" applyBorder="1" applyAlignment="1">
      <alignment horizontal="center" vertical="center"/>
    </xf>
    <xf numFmtId="0" fontId="27" fillId="0" borderId="37" xfId="0" applyFont="1" applyBorder="1" applyAlignment="1">
      <alignment horizontal="left"/>
    </xf>
    <xf numFmtId="0" fontId="0" fillId="0" borderId="12" xfId="0" applyFont="1" applyBorder="1" applyAlignment="1">
      <alignment horizontal="center"/>
    </xf>
    <xf numFmtId="3" fontId="24" fillId="0" borderId="32" xfId="0" applyNumberFormat="1" applyFont="1" applyBorder="1" applyAlignment="1">
      <alignment horizontal="center"/>
    </xf>
    <xf numFmtId="0" fontId="25" fillId="0" borderId="16" xfId="0" applyFont="1" applyBorder="1" applyAlignment="1">
      <alignment horizontal="center" vertical="center" wrapText="1"/>
    </xf>
    <xf numFmtId="0" fontId="26" fillId="0" borderId="34" xfId="0" applyFont="1" applyBorder="1"/>
    <xf numFmtId="0" fontId="27" fillId="0" borderId="35" xfId="0" applyFont="1" applyBorder="1" applyAlignment="1">
      <alignment horizontal="left" indent="1"/>
    </xf>
    <xf numFmtId="0" fontId="16" fillId="0" borderId="34" xfId="0" applyFont="1" applyBorder="1" applyAlignment="1">
      <alignment horizontal="left" vertical="center" wrapText="1"/>
    </xf>
    <xf numFmtId="0" fontId="28" fillId="0" borderId="36" xfId="0" applyFont="1" applyBorder="1" applyAlignment="1">
      <alignment horizontal="left"/>
    </xf>
    <xf numFmtId="0" fontId="0" fillId="0" borderId="53" xfId="0" applyFont="1" applyBorder="1" applyAlignment="1">
      <alignment horizontal="center" vertical="center"/>
    </xf>
    <xf numFmtId="49" fontId="27" fillId="0" borderId="38" xfId="0" applyNumberFormat="1" applyFont="1" applyBorder="1" applyAlignment="1">
      <alignment horizontal="justify" vertical="center" wrapText="1"/>
    </xf>
    <xf numFmtId="0" fontId="29" fillId="0" borderId="37" xfId="0" applyFont="1" applyBorder="1" applyAlignment="1">
      <alignment horizontal="center" vertical="center"/>
    </xf>
    <xf numFmtId="0" fontId="29" fillId="0" borderId="34" xfId="0" applyFont="1" applyBorder="1" applyAlignment="1">
      <alignment horizontal="center" vertical="center"/>
    </xf>
    <xf numFmtId="0" fontId="29" fillId="0" borderId="40" xfId="0" applyFont="1" applyBorder="1" applyAlignment="1">
      <alignment horizontal="center" vertical="center" wrapText="1"/>
    </xf>
    <xf numFmtId="167" fontId="29" fillId="0" borderId="41" xfId="0" applyNumberFormat="1" applyFont="1" applyBorder="1" applyAlignment="1">
      <alignment horizontal="center" vertical="center"/>
    </xf>
    <xf numFmtId="0" fontId="0" fillId="0" borderId="47" xfId="0" applyFont="1" applyBorder="1" applyAlignment="1">
      <alignment horizontal="left" vertical="center" wrapText="1"/>
    </xf>
    <xf numFmtId="0" fontId="0" fillId="0" borderId="53" xfId="0" applyFont="1" applyBorder="1" applyAlignment="1">
      <alignment horizontal="left" vertical="center"/>
    </xf>
    <xf numFmtId="0" fontId="0" fillId="0" borderId="53" xfId="0" applyBorder="1" applyAlignment="1">
      <alignment horizontal="center"/>
    </xf>
    <xf numFmtId="0" fontId="24" fillId="0" borderId="21" xfId="0" applyFont="1" applyBorder="1" applyAlignment="1">
      <alignment vertical="center" wrapText="1"/>
    </xf>
    <xf numFmtId="0" fontId="27" fillId="0" borderId="41" xfId="0" applyFont="1" applyBorder="1" applyAlignment="1">
      <alignment vertical="center" wrapText="1"/>
    </xf>
    <xf numFmtId="0" fontId="27" fillId="0" borderId="31" xfId="0" applyFont="1" applyBorder="1" applyAlignment="1">
      <alignment horizontal="left" vertical="center" wrapText="1" indent="1"/>
    </xf>
    <xf numFmtId="0" fontId="0" fillId="0" borderId="53" xfId="0" applyBorder="1" applyAlignment="1">
      <alignment horizontal="left" vertical="center"/>
    </xf>
    <xf numFmtId="0" fontId="0" fillId="0" borderId="56" xfId="0" applyBorder="1" applyAlignment="1">
      <alignment horizontal="left" vertical="center"/>
    </xf>
    <xf numFmtId="0" fontId="24" fillId="0" borderId="59" xfId="0" applyFont="1" applyFill="1" applyBorder="1" applyAlignment="1">
      <alignment horizontal="left" vertical="center" wrapText="1"/>
    </xf>
    <xf numFmtId="0" fontId="0" fillId="0" borderId="37" xfId="0" applyBorder="1"/>
  </cellXfs>
  <cellStyles count="34">
    <cellStyle name="Encabezado 1" xfId="10" xr:uid="{00000000-0005-0000-0000-000000000000}"/>
    <cellStyle name="Encabezado 1 2" xfId="15" xr:uid="{00000000-0005-0000-0000-000001000000}"/>
    <cellStyle name="Millares 2" xfId="20" xr:uid="{00000000-0005-0000-0000-000002000000}"/>
    <cellStyle name="Millares 2 2" xfId="26" xr:uid="{00000000-0005-0000-0000-000003000000}"/>
    <cellStyle name="Moneda" xfId="1" builtinId="4"/>
    <cellStyle name="Moneda 2" xfId="3" xr:uid="{00000000-0005-0000-0000-000005000000}"/>
    <cellStyle name="Moneda 2 2" xfId="16" xr:uid="{00000000-0005-0000-0000-000006000000}"/>
    <cellStyle name="Moneda 3" xfId="14" xr:uid="{00000000-0005-0000-0000-000007000000}"/>
    <cellStyle name="Moneda 4" xfId="21" xr:uid="{00000000-0005-0000-0000-000008000000}"/>
    <cellStyle name="Moneda 5" xfId="9" xr:uid="{00000000-0005-0000-0000-000009000000}"/>
    <cellStyle name="Moneda_AUTORIZACION Y NOTA DE PEDIDO" xfId="33" xr:uid="{00000000-0005-0000-0000-00000A000000}"/>
    <cellStyle name="Neutral 1" xfId="11" xr:uid="{00000000-0005-0000-0000-00000B000000}"/>
    <cellStyle name="Normal" xfId="0" builtinId="0"/>
    <cellStyle name="Normal 2" xfId="2" xr:uid="{00000000-0005-0000-0000-00000D000000}"/>
    <cellStyle name="Normal 2 2" xfId="5" xr:uid="{00000000-0005-0000-0000-00000E000000}"/>
    <cellStyle name="Normal 2 3" xfId="32" xr:uid="{00000000-0005-0000-0000-00000F000000}"/>
    <cellStyle name="Normal 3" xfId="7" xr:uid="{00000000-0005-0000-0000-000010000000}"/>
    <cellStyle name="Normal 3 2" xfId="12" xr:uid="{00000000-0005-0000-0000-000011000000}"/>
    <cellStyle name="Normal 3 2 2" xfId="18" xr:uid="{00000000-0005-0000-0000-000012000000}"/>
    <cellStyle name="Normal 3 3" xfId="17" xr:uid="{00000000-0005-0000-0000-000013000000}"/>
    <cellStyle name="Normal 3 4" xfId="22" xr:uid="{00000000-0005-0000-0000-000014000000}"/>
    <cellStyle name="Normal 3 4 2" xfId="27" xr:uid="{00000000-0005-0000-0000-000015000000}"/>
    <cellStyle name="Normal 4" xfId="6" xr:uid="{00000000-0005-0000-0000-000016000000}"/>
    <cellStyle name="Normal 4 2" xfId="19" xr:uid="{00000000-0005-0000-0000-000017000000}"/>
    <cellStyle name="Normal 4 3" xfId="23" xr:uid="{00000000-0005-0000-0000-000018000000}"/>
    <cellStyle name="Normal 4 3 2" xfId="28" xr:uid="{00000000-0005-0000-0000-000019000000}"/>
    <cellStyle name="Normal 5" xfId="4" xr:uid="{00000000-0005-0000-0000-00001A000000}"/>
    <cellStyle name="Normal 5 2" xfId="25" xr:uid="{00000000-0005-0000-0000-00001B000000}"/>
    <cellStyle name="Normal 6" xfId="13" xr:uid="{00000000-0005-0000-0000-00001C000000}"/>
    <cellStyle name="Normal 7" xfId="24" xr:uid="{00000000-0005-0000-0000-00001D000000}"/>
    <cellStyle name="Normal 8" xfId="8" xr:uid="{00000000-0005-0000-0000-00001E000000}"/>
    <cellStyle name="Normal 8 2" xfId="29" xr:uid="{00000000-0005-0000-0000-00001F000000}"/>
    <cellStyle name="Normal 8 3" xfId="30" xr:uid="{00000000-0005-0000-0000-000020000000}"/>
    <cellStyle name="Normal 8 4" xfId="31" xr:uid="{00000000-0005-0000-0000-000021000000}"/>
  </cellStyles>
  <dxfs count="18"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6" name="CustomShape 1" hidden="1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7" name="CustomShape 1" hidden="1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8" name="CustomShape 1" hidden="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9" name="CustomShape 1" hidden="1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7"/>
  <sheetViews>
    <sheetView tabSelected="1" workbookViewId="0">
      <selection activeCell="D27" sqref="D27"/>
    </sheetView>
  </sheetViews>
  <sheetFormatPr baseColWidth="10" defaultRowHeight="15" x14ac:dyDescent="0.25"/>
  <cols>
    <col min="1" max="1" width="4.85546875" style="21" bestFit="1" customWidth="1"/>
    <col min="2" max="2" width="13.85546875" style="21" bestFit="1" customWidth="1"/>
    <col min="3" max="3" width="42.42578125" style="21" customWidth="1"/>
    <col min="4" max="4" width="5.5703125" style="21" bestFit="1" customWidth="1"/>
    <col min="5" max="5" width="91.85546875" style="15" customWidth="1"/>
    <col min="6" max="6" width="18.140625" style="21" bestFit="1" customWidth="1"/>
    <col min="7" max="7" width="5" style="19" hidden="1" customWidth="1"/>
    <col min="8" max="8" width="15.85546875" style="24" hidden="1" customWidth="1"/>
    <col min="9" max="9" width="10.42578125" style="16" bestFit="1" customWidth="1"/>
    <col min="10" max="10" width="15.5703125" style="24" bestFit="1" customWidth="1"/>
    <col min="11" max="11" width="16.7109375" style="24" bestFit="1" customWidth="1"/>
    <col min="12" max="12" width="76" style="130" hidden="1" customWidth="1"/>
  </cols>
  <sheetData>
    <row r="1" spans="1:12" x14ac:dyDescent="0.25">
      <c r="A1" s="1">
        <v>2022</v>
      </c>
      <c r="B1" s="2"/>
      <c r="C1" s="3"/>
      <c r="D1" s="3"/>
      <c r="E1" s="4"/>
      <c r="F1" s="3"/>
      <c r="G1" s="20"/>
      <c r="H1" s="7"/>
      <c r="I1" s="5"/>
      <c r="J1" s="6"/>
      <c r="K1" s="7"/>
    </row>
    <row r="2" spans="1:12" ht="18.75" x14ac:dyDescent="0.25">
      <c r="A2" s="3"/>
      <c r="B2" s="170" t="s">
        <v>0</v>
      </c>
      <c r="C2" s="170"/>
      <c r="D2" s="170"/>
      <c r="E2" s="170"/>
      <c r="F2" s="170"/>
      <c r="G2" s="170"/>
      <c r="H2" s="170"/>
      <c r="I2" s="170"/>
      <c r="J2" s="170"/>
      <c r="K2" s="7"/>
    </row>
    <row r="3" spans="1:12" x14ac:dyDescent="0.25">
      <c r="A3" s="3"/>
      <c r="B3" s="2"/>
      <c r="C3" s="3"/>
      <c r="D3" s="3"/>
      <c r="E3" s="4"/>
      <c r="F3" s="3"/>
      <c r="G3" s="20"/>
      <c r="H3" s="7"/>
      <c r="I3" s="5"/>
      <c r="J3" s="6"/>
      <c r="K3" s="7"/>
    </row>
    <row r="4" spans="1:12" x14ac:dyDescent="0.25">
      <c r="A4" s="169" t="s">
        <v>1</v>
      </c>
      <c r="B4" s="169"/>
      <c r="C4" s="171" t="s">
        <v>2</v>
      </c>
      <c r="D4" s="171"/>
      <c r="E4" s="171"/>
      <c r="F4" s="8"/>
      <c r="G4" s="18"/>
      <c r="H4" s="23"/>
      <c r="I4" s="9"/>
      <c r="J4" s="6"/>
      <c r="K4" s="7"/>
    </row>
    <row r="5" spans="1:12" x14ac:dyDescent="0.25">
      <c r="A5" s="169" t="s">
        <v>3</v>
      </c>
      <c r="B5" s="169"/>
      <c r="C5" s="172" t="s">
        <v>4</v>
      </c>
      <c r="D5" s="172"/>
      <c r="E5" s="172"/>
      <c r="F5" s="8"/>
      <c r="G5" s="18"/>
      <c r="H5" s="23"/>
      <c r="I5" s="9"/>
      <c r="J5" s="6"/>
      <c r="K5" s="7"/>
    </row>
    <row r="6" spans="1:12" x14ac:dyDescent="0.25">
      <c r="A6" s="169" t="s">
        <v>5</v>
      </c>
      <c r="B6" s="169"/>
      <c r="C6" s="10">
        <v>2022</v>
      </c>
      <c r="D6" s="11"/>
      <c r="E6" s="10"/>
      <c r="F6" s="8"/>
      <c r="G6" s="18"/>
      <c r="H6" s="23"/>
      <c r="I6" s="9"/>
      <c r="J6" s="6"/>
      <c r="K6" s="7"/>
    </row>
    <row r="7" spans="1:12" x14ac:dyDescent="0.25">
      <c r="A7" s="169" t="s">
        <v>6</v>
      </c>
      <c r="B7" s="169"/>
      <c r="C7" s="10" t="s">
        <v>85</v>
      </c>
      <c r="D7" s="11"/>
      <c r="E7" s="10"/>
      <c r="F7" s="8"/>
      <c r="G7" s="18"/>
      <c r="H7" s="23"/>
      <c r="I7" s="9"/>
      <c r="J7" s="6"/>
      <c r="K7" s="7"/>
    </row>
    <row r="8" spans="1:12" ht="15.75" thickBot="1" x14ac:dyDescent="0.3">
      <c r="A8" s="3"/>
      <c r="B8" s="8"/>
      <c r="C8" s="8"/>
      <c r="D8" s="8"/>
      <c r="E8" s="12"/>
      <c r="F8" s="8"/>
      <c r="G8" s="18"/>
      <c r="H8" s="23"/>
      <c r="I8" s="9"/>
      <c r="J8" s="6"/>
      <c r="K8" s="7"/>
    </row>
    <row r="9" spans="1:12" ht="39" thickBot="1" x14ac:dyDescent="0.3">
      <c r="A9" s="25" t="s">
        <v>7</v>
      </c>
      <c r="B9" s="26" t="s">
        <v>8</v>
      </c>
      <c r="C9" s="27" t="s">
        <v>9</v>
      </c>
      <c r="D9" s="26" t="s">
        <v>10</v>
      </c>
      <c r="E9" s="28" t="s">
        <v>11</v>
      </c>
      <c r="F9" s="27" t="s">
        <v>12</v>
      </c>
      <c r="G9" s="31" t="s">
        <v>18</v>
      </c>
      <c r="H9" s="30" t="s">
        <v>19</v>
      </c>
      <c r="I9" s="29" t="s">
        <v>13</v>
      </c>
      <c r="J9" s="32" t="s">
        <v>14</v>
      </c>
      <c r="K9" s="30" t="s">
        <v>15</v>
      </c>
      <c r="L9" s="131" t="s">
        <v>16</v>
      </c>
    </row>
    <row r="10" spans="1:12" s="125" customFormat="1" ht="42" customHeight="1" x14ac:dyDescent="0.2">
      <c r="A10" s="107">
        <v>1</v>
      </c>
      <c r="B10" s="13" t="s">
        <v>75</v>
      </c>
      <c r="C10" s="118" t="s">
        <v>20</v>
      </c>
      <c r="D10" s="118" t="s">
        <v>60</v>
      </c>
      <c r="E10" s="119" t="s">
        <v>76</v>
      </c>
      <c r="F10" s="120" t="s">
        <v>17</v>
      </c>
      <c r="G10" s="121">
        <v>10</v>
      </c>
      <c r="H10" s="122">
        <f t="shared" ref="H10:H13" si="0">+G10*J10</f>
        <v>91022000</v>
      </c>
      <c r="I10" s="146">
        <f>+G10</f>
        <v>10</v>
      </c>
      <c r="J10" s="128">
        <v>9102200</v>
      </c>
      <c r="K10" s="123">
        <f t="shared" ref="K10:K13" si="1">+I10*J10</f>
        <v>91022000</v>
      </c>
      <c r="L10" s="124" t="s">
        <v>74</v>
      </c>
    </row>
    <row r="11" spans="1:12" s="125" customFormat="1" ht="42" customHeight="1" x14ac:dyDescent="0.2">
      <c r="A11" s="107">
        <v>2</v>
      </c>
      <c r="B11" s="13" t="s">
        <v>78</v>
      </c>
      <c r="C11" s="118" t="s">
        <v>20</v>
      </c>
      <c r="D11" s="118" t="s">
        <v>60</v>
      </c>
      <c r="E11" s="119" t="s">
        <v>77</v>
      </c>
      <c r="F11" s="120" t="s">
        <v>17</v>
      </c>
      <c r="G11" s="126">
        <v>3</v>
      </c>
      <c r="H11" s="122">
        <f t="shared" si="0"/>
        <v>8515740</v>
      </c>
      <c r="I11" s="145">
        <f>+G11</f>
        <v>3</v>
      </c>
      <c r="J11" s="14">
        <v>2838580</v>
      </c>
      <c r="K11" s="123">
        <f t="shared" si="1"/>
        <v>8515740</v>
      </c>
      <c r="L11" s="127" t="s">
        <v>71</v>
      </c>
    </row>
    <row r="12" spans="1:12" s="125" customFormat="1" ht="42" customHeight="1" x14ac:dyDescent="0.2">
      <c r="A12" s="107">
        <v>3</v>
      </c>
      <c r="B12" s="13" t="s">
        <v>75</v>
      </c>
      <c r="C12" s="118" t="s">
        <v>20</v>
      </c>
      <c r="D12" s="118" t="s">
        <v>60</v>
      </c>
      <c r="E12" s="119" t="s">
        <v>76</v>
      </c>
      <c r="F12" s="120" t="s">
        <v>17</v>
      </c>
      <c r="G12" s="126">
        <v>5</v>
      </c>
      <c r="H12" s="122">
        <f t="shared" si="0"/>
        <v>80940000</v>
      </c>
      <c r="I12" s="129">
        <f t="shared" ref="I12:I13" si="2">+G12</f>
        <v>5</v>
      </c>
      <c r="J12" s="14">
        <v>16188000</v>
      </c>
      <c r="K12" s="123">
        <f t="shared" si="1"/>
        <v>80940000</v>
      </c>
      <c r="L12" s="127" t="s">
        <v>73</v>
      </c>
    </row>
    <row r="13" spans="1:12" s="125" customFormat="1" ht="42" customHeight="1" thickBot="1" x14ac:dyDescent="0.25">
      <c r="A13" s="107">
        <v>4</v>
      </c>
      <c r="B13" s="13" t="s">
        <v>82</v>
      </c>
      <c r="C13" s="118" t="s">
        <v>20</v>
      </c>
      <c r="D13" s="118" t="s">
        <v>60</v>
      </c>
      <c r="E13" s="119" t="s">
        <v>83</v>
      </c>
      <c r="F13" s="120" t="s">
        <v>17</v>
      </c>
      <c r="G13" s="126">
        <v>1</v>
      </c>
      <c r="H13" s="122">
        <f t="shared" si="0"/>
        <v>3903438</v>
      </c>
      <c r="I13" s="133">
        <f t="shared" si="2"/>
        <v>1</v>
      </c>
      <c r="J13" s="134">
        <v>3903438</v>
      </c>
      <c r="K13" s="135">
        <f t="shared" si="1"/>
        <v>3903438</v>
      </c>
      <c r="L13" s="141" t="s">
        <v>72</v>
      </c>
    </row>
    <row r="14" spans="1:12" s="140" customFormat="1" ht="25.5" customHeight="1" thickBot="1" x14ac:dyDescent="0.25">
      <c r="A14" s="184" t="s">
        <v>65</v>
      </c>
      <c r="B14" s="185"/>
      <c r="C14" s="185"/>
      <c r="D14" s="185"/>
      <c r="E14" s="185"/>
      <c r="F14" s="186"/>
      <c r="G14" s="136"/>
      <c r="H14" s="137"/>
      <c r="I14" s="33"/>
      <c r="J14" s="138"/>
      <c r="K14" s="139">
        <f>+SUM(K10:K13)</f>
        <v>184381178</v>
      </c>
      <c r="L14" s="142"/>
    </row>
    <row r="15" spans="1:12" s="22" customFormat="1" ht="12.75" x14ac:dyDescent="0.2">
      <c r="A15" s="34"/>
      <c r="B15" s="34"/>
      <c r="C15" s="34"/>
      <c r="D15" s="34"/>
      <c r="E15" s="35"/>
      <c r="F15" s="34"/>
      <c r="G15" s="38"/>
      <c r="H15" s="37"/>
      <c r="I15" s="36"/>
      <c r="J15" s="37"/>
      <c r="K15" s="37"/>
      <c r="L15" s="132"/>
    </row>
    <row r="16" spans="1:12" s="22" customFormat="1" ht="13.5" thickBot="1" x14ac:dyDescent="0.25">
      <c r="A16" s="34"/>
      <c r="B16" s="34"/>
      <c r="C16" s="34"/>
      <c r="D16" s="34"/>
      <c r="E16" s="35"/>
      <c r="F16" s="34"/>
      <c r="G16" s="38"/>
      <c r="H16" s="37"/>
      <c r="I16" s="36"/>
      <c r="J16" s="37"/>
      <c r="K16" s="37"/>
      <c r="L16" s="132"/>
    </row>
    <row r="17" spans="1:12" s="22" customFormat="1" ht="24.75" customHeight="1" x14ac:dyDescent="0.2">
      <c r="A17" s="34"/>
      <c r="B17" s="34"/>
      <c r="C17" s="112" t="s">
        <v>87</v>
      </c>
      <c r="D17" s="173" t="s">
        <v>79</v>
      </c>
      <c r="E17" s="174"/>
      <c r="F17" s="34"/>
      <c r="G17" s="147">
        <v>10</v>
      </c>
      <c r="H17" s="148">
        <v>64100</v>
      </c>
      <c r="I17" s="149">
        <v>142</v>
      </c>
      <c r="J17" s="148">
        <f>+H17*I17</f>
        <v>9102200</v>
      </c>
      <c r="K17" s="37"/>
      <c r="L17" s="143"/>
    </row>
    <row r="18" spans="1:12" s="22" customFormat="1" ht="24" customHeight="1" x14ac:dyDescent="0.2">
      <c r="A18" s="34"/>
      <c r="B18" s="34"/>
      <c r="C18" s="179" t="s">
        <v>84</v>
      </c>
      <c r="D18" s="180"/>
      <c r="E18" s="181"/>
      <c r="F18" s="34"/>
      <c r="G18" s="147">
        <v>3</v>
      </c>
      <c r="H18" s="148">
        <v>19990</v>
      </c>
      <c r="I18" s="149">
        <v>142</v>
      </c>
      <c r="J18" s="148">
        <f t="shared" ref="J18:J20" si="3">+H18*I18</f>
        <v>2838580</v>
      </c>
      <c r="K18" s="37"/>
      <c r="L18" s="132"/>
    </row>
    <row r="19" spans="1:12" s="22" customFormat="1" ht="18.75" customHeight="1" x14ac:dyDescent="0.2">
      <c r="A19" s="34"/>
      <c r="B19" s="34"/>
      <c r="C19" s="144"/>
      <c r="D19" s="182"/>
      <c r="E19" s="183"/>
      <c r="F19" s="34"/>
      <c r="G19" s="147">
        <v>5</v>
      </c>
      <c r="H19" s="148">
        <v>114000</v>
      </c>
      <c r="I19" s="149">
        <v>142</v>
      </c>
      <c r="J19" s="148">
        <f t="shared" si="3"/>
        <v>16188000</v>
      </c>
      <c r="K19" s="37"/>
      <c r="L19" s="132"/>
    </row>
    <row r="20" spans="1:12" s="22" customFormat="1" ht="33" customHeight="1" x14ac:dyDescent="0.2">
      <c r="A20" s="34"/>
      <c r="B20" s="34"/>
      <c r="C20" s="109" t="s">
        <v>61</v>
      </c>
      <c r="D20" s="175" t="s">
        <v>128</v>
      </c>
      <c r="E20" s="176"/>
      <c r="F20" s="34"/>
      <c r="G20" s="147">
        <v>1</v>
      </c>
      <c r="H20" s="148">
        <v>27489</v>
      </c>
      <c r="I20" s="149">
        <v>142</v>
      </c>
      <c r="J20" s="148">
        <f t="shared" si="3"/>
        <v>3903438</v>
      </c>
      <c r="K20" s="37"/>
      <c r="L20" s="132"/>
    </row>
    <row r="21" spans="1:12" s="22" customFormat="1" x14ac:dyDescent="0.2">
      <c r="A21" s="34"/>
      <c r="B21" s="34"/>
      <c r="C21" s="109"/>
      <c r="D21" s="177"/>
      <c r="E21" s="178"/>
      <c r="F21" s="34"/>
      <c r="G21" s="147"/>
      <c r="H21" s="148"/>
      <c r="I21" s="150"/>
      <c r="J21" s="148"/>
      <c r="K21" s="37"/>
      <c r="L21" s="132"/>
    </row>
    <row r="22" spans="1:12" s="22" customFormat="1" ht="57" customHeight="1" thickBot="1" x14ac:dyDescent="0.25">
      <c r="A22" s="34"/>
      <c r="B22" s="34"/>
      <c r="C22" s="109" t="s">
        <v>62</v>
      </c>
      <c r="D22" s="175" t="s">
        <v>127</v>
      </c>
      <c r="E22" s="176"/>
      <c r="F22" s="34"/>
      <c r="G22" s="147"/>
      <c r="H22" s="148"/>
      <c r="I22" s="150"/>
      <c r="J22" s="148"/>
      <c r="K22" s="37"/>
      <c r="L22" s="132"/>
    </row>
    <row r="23" spans="1:12" s="22" customFormat="1" ht="39" customHeight="1" thickBot="1" x14ac:dyDescent="0.25">
      <c r="A23" s="34"/>
      <c r="B23" s="34"/>
      <c r="C23" s="193" t="s">
        <v>130</v>
      </c>
      <c r="D23" s="194"/>
      <c r="E23" s="195"/>
      <c r="F23" s="34"/>
      <c r="G23" s="38"/>
      <c r="H23" s="37"/>
      <c r="I23" s="36"/>
      <c r="J23" s="37"/>
      <c r="K23" s="37"/>
      <c r="L23" s="132"/>
    </row>
    <row r="24" spans="1:12" s="22" customFormat="1" x14ac:dyDescent="0.2">
      <c r="A24" s="34"/>
      <c r="B24" s="34"/>
      <c r="C24" s="109"/>
      <c r="D24" s="196"/>
      <c r="E24" s="197"/>
      <c r="F24" s="34"/>
      <c r="G24" s="38"/>
      <c r="H24" s="37"/>
      <c r="I24" s="36"/>
      <c r="J24" s="37"/>
      <c r="K24" s="37"/>
      <c r="L24" s="132"/>
    </row>
    <row r="25" spans="1:12" s="22" customFormat="1" ht="30" customHeight="1" x14ac:dyDescent="0.2">
      <c r="A25" s="34"/>
      <c r="B25" s="34"/>
      <c r="C25" s="198" t="s">
        <v>126</v>
      </c>
      <c r="D25" s="175" t="s">
        <v>129</v>
      </c>
      <c r="E25" s="176"/>
      <c r="F25" s="34"/>
      <c r="G25" s="38"/>
      <c r="H25" s="37"/>
      <c r="I25" s="36"/>
      <c r="J25" s="37"/>
      <c r="K25" s="37"/>
      <c r="L25" s="132"/>
    </row>
    <row r="26" spans="1:12" s="22" customFormat="1" ht="30" customHeight="1" x14ac:dyDescent="0.2">
      <c r="A26" s="34"/>
      <c r="B26" s="34"/>
      <c r="C26" s="198"/>
      <c r="D26" s="175" t="s">
        <v>131</v>
      </c>
      <c r="E26" s="176"/>
      <c r="F26" s="34"/>
      <c r="G26" s="38"/>
      <c r="H26" s="37"/>
      <c r="I26" s="36"/>
      <c r="J26" s="37"/>
      <c r="K26" s="37"/>
      <c r="L26" s="132"/>
    </row>
    <row r="27" spans="1:12" s="22" customFormat="1" x14ac:dyDescent="0.2">
      <c r="A27" s="34"/>
      <c r="B27" s="34"/>
      <c r="C27" s="109"/>
      <c r="D27" s="166"/>
      <c r="E27" s="167"/>
      <c r="F27" s="34"/>
      <c r="G27" s="38"/>
      <c r="H27" s="37"/>
      <c r="I27" s="36"/>
      <c r="J27" s="37"/>
      <c r="K27" s="37"/>
      <c r="L27" s="132"/>
    </row>
    <row r="28" spans="1:12" s="22" customFormat="1" x14ac:dyDescent="0.25">
      <c r="A28" s="34"/>
      <c r="B28" s="34"/>
      <c r="C28" s="110" t="s">
        <v>63</v>
      </c>
      <c r="D28" s="187"/>
      <c r="E28" s="188"/>
      <c r="F28" s="34"/>
      <c r="G28" s="38"/>
      <c r="H28" s="37"/>
      <c r="I28" s="36"/>
      <c r="J28" s="37"/>
      <c r="K28" s="17"/>
      <c r="L28" s="132"/>
    </row>
    <row r="29" spans="1:12" s="22" customFormat="1" x14ac:dyDescent="0.2">
      <c r="A29" s="34"/>
      <c r="B29" s="34"/>
      <c r="C29" s="110"/>
      <c r="D29" s="187"/>
      <c r="E29" s="188"/>
      <c r="F29" s="34"/>
      <c r="G29" s="38"/>
      <c r="H29" s="37"/>
      <c r="I29" s="36"/>
      <c r="J29" s="37"/>
      <c r="K29" s="37"/>
      <c r="L29" s="132"/>
    </row>
    <row r="30" spans="1:12" s="22" customFormat="1" x14ac:dyDescent="0.2">
      <c r="A30" s="34"/>
      <c r="B30" s="34"/>
      <c r="C30" s="110" t="s">
        <v>64</v>
      </c>
      <c r="D30" s="164" t="s">
        <v>122</v>
      </c>
      <c r="E30" s="165"/>
      <c r="F30" s="34"/>
      <c r="G30" s="38"/>
      <c r="H30" s="37"/>
      <c r="I30" s="36"/>
      <c r="J30" s="37"/>
      <c r="K30" s="37"/>
      <c r="L30" s="132"/>
    </row>
    <row r="31" spans="1:12" s="22" customFormat="1" x14ac:dyDescent="0.2">
      <c r="A31" s="34"/>
      <c r="B31" s="34"/>
      <c r="C31" s="110"/>
      <c r="D31" s="187"/>
      <c r="E31" s="188"/>
      <c r="F31" s="34"/>
      <c r="G31" s="38"/>
      <c r="H31" s="37"/>
      <c r="I31" s="36"/>
      <c r="J31" s="37"/>
      <c r="K31" s="37"/>
      <c r="L31" s="132"/>
    </row>
    <row r="32" spans="1:12" s="22" customFormat="1" ht="42.75" customHeight="1" x14ac:dyDescent="0.2">
      <c r="A32" s="34"/>
      <c r="B32" s="34"/>
      <c r="C32" s="110" t="s">
        <v>81</v>
      </c>
      <c r="D32" s="191" t="s">
        <v>86</v>
      </c>
      <c r="E32" s="192"/>
      <c r="F32" s="34"/>
      <c r="G32" s="38"/>
      <c r="H32" s="37"/>
      <c r="I32" s="36"/>
      <c r="J32" s="37"/>
      <c r="K32" s="37"/>
      <c r="L32" s="132"/>
    </row>
    <row r="33" spans="1:12" s="22" customFormat="1" ht="15.75" thickBot="1" x14ac:dyDescent="0.25">
      <c r="A33" s="34"/>
      <c r="B33" s="34"/>
      <c r="C33" s="111"/>
      <c r="D33" s="189"/>
      <c r="E33" s="190"/>
      <c r="F33" s="34"/>
      <c r="G33" s="38"/>
      <c r="H33" s="37"/>
      <c r="I33" s="36"/>
      <c r="J33" s="37"/>
      <c r="K33" s="37"/>
      <c r="L33" s="132"/>
    </row>
    <row r="34" spans="1:12" s="22" customFormat="1" ht="12.75" x14ac:dyDescent="0.2">
      <c r="A34" s="34"/>
      <c r="B34" s="34"/>
      <c r="C34" s="34"/>
      <c r="D34" s="34"/>
      <c r="E34" s="35"/>
      <c r="F34" s="34"/>
      <c r="G34" s="38"/>
      <c r="H34" s="37"/>
      <c r="I34" s="36"/>
      <c r="J34" s="37"/>
      <c r="K34" s="37"/>
      <c r="L34" s="132"/>
    </row>
    <row r="35" spans="1:12" s="22" customFormat="1" ht="12.75" x14ac:dyDescent="0.2">
      <c r="A35" s="34"/>
      <c r="B35" s="34"/>
      <c r="C35" s="34"/>
      <c r="D35" s="34"/>
      <c r="E35" s="35"/>
      <c r="F35" s="34"/>
      <c r="G35" s="38"/>
      <c r="H35" s="37"/>
      <c r="I35" s="36"/>
      <c r="J35" s="37"/>
      <c r="K35" s="37"/>
      <c r="L35" s="132"/>
    </row>
    <row r="37" spans="1:12" x14ac:dyDescent="0.25">
      <c r="E37" s="168"/>
    </row>
  </sheetData>
  <sortState xmlns:xlrd2="http://schemas.microsoft.com/office/spreadsheetml/2017/richdata2" ref="A10:AZ29">
    <sortCondition ref="E10:E29"/>
  </sortState>
  <mergeCells count="24">
    <mergeCell ref="D28:E28"/>
    <mergeCell ref="D29:E29"/>
    <mergeCell ref="D33:E33"/>
    <mergeCell ref="D32:E32"/>
    <mergeCell ref="C23:E23"/>
    <mergeCell ref="D24:E24"/>
    <mergeCell ref="D31:E31"/>
    <mergeCell ref="D25:E25"/>
    <mergeCell ref="C25:C26"/>
    <mergeCell ref="D26:E26"/>
    <mergeCell ref="D17:E17"/>
    <mergeCell ref="D22:E22"/>
    <mergeCell ref="A7:B7"/>
    <mergeCell ref="D21:E21"/>
    <mergeCell ref="D20:E20"/>
    <mergeCell ref="C18:E18"/>
    <mergeCell ref="D19:E19"/>
    <mergeCell ref="A14:F14"/>
    <mergeCell ref="A6:B6"/>
    <mergeCell ref="B2:J2"/>
    <mergeCell ref="A4:B4"/>
    <mergeCell ref="C4:E4"/>
    <mergeCell ref="A5:B5"/>
    <mergeCell ref="C5:E5"/>
  </mergeCells>
  <conditionalFormatting sqref="B1:B9 E1:E9">
    <cfRule type="duplicateValues" dxfId="17" priority="253"/>
  </conditionalFormatting>
  <conditionalFormatting sqref="E1:E9 B1:B9">
    <cfRule type="duplicateValues" dxfId="16" priority="254"/>
  </conditionalFormatting>
  <conditionalFormatting sqref="B1:B9">
    <cfRule type="duplicateValues" dxfId="15" priority="457"/>
  </conditionalFormatting>
  <conditionalFormatting sqref="E1:E9">
    <cfRule type="duplicateValues" dxfId="14" priority="458"/>
  </conditionalFormatting>
  <conditionalFormatting sqref="E1:E9">
    <cfRule type="duplicateValues" dxfId="13" priority="459"/>
    <cfRule type="duplicateValues" dxfId="12" priority="460"/>
  </conditionalFormatting>
  <conditionalFormatting sqref="E37 C20:C25 C27:C32">
    <cfRule type="duplicateValues" dxfId="11" priority="1"/>
  </conditionalFormatting>
  <conditionalFormatting sqref="E37 C20:C25 C27:C32">
    <cfRule type="duplicateValues" dxfId="10" priority="2"/>
  </conditionalFormatting>
  <conditionalFormatting sqref="A14">
    <cfRule type="duplicateValues" dxfId="9" priority="563"/>
  </conditionalFormatting>
  <conditionalFormatting sqref="A14">
    <cfRule type="duplicateValues" dxfId="8" priority="567"/>
  </conditionalFormatting>
  <conditionalFormatting sqref="A14">
    <cfRule type="duplicateValues" dxfId="7" priority="568"/>
    <cfRule type="duplicateValues" dxfId="6" priority="569"/>
  </conditionalFormatting>
  <conditionalFormatting sqref="E13">
    <cfRule type="duplicateValues" dxfId="5" priority="570"/>
  </conditionalFormatting>
  <conditionalFormatting sqref="E13">
    <cfRule type="duplicateValues" dxfId="4" priority="571"/>
    <cfRule type="duplicateValues" dxfId="3" priority="572"/>
  </conditionalFormatting>
  <conditionalFormatting sqref="E13 B13">
    <cfRule type="duplicateValues" dxfId="2" priority="573"/>
  </conditionalFormatting>
  <conditionalFormatting sqref="B13">
    <cfRule type="duplicateValues" dxfId="1" priority="575"/>
  </conditionalFormatting>
  <conditionalFormatting sqref="B13">
    <cfRule type="duplicateValues" dxfId="0" priority="576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4"/>
  <sheetViews>
    <sheetView topLeftCell="A13" workbookViewId="0">
      <selection activeCell="A2" sqref="A2"/>
    </sheetView>
  </sheetViews>
  <sheetFormatPr baseColWidth="10" defaultRowHeight="18.75" x14ac:dyDescent="0.25"/>
  <cols>
    <col min="1" max="1" width="11.42578125" style="153"/>
    <col min="2" max="2" width="95.7109375" style="151" customWidth="1"/>
    <col min="3" max="6" width="11.42578125" style="154"/>
    <col min="7" max="16384" width="11.42578125" style="151"/>
  </cols>
  <sheetData>
    <row r="1" spans="1:6" ht="37.5" customHeight="1" x14ac:dyDescent="0.25">
      <c r="A1" s="205" t="s">
        <v>132</v>
      </c>
      <c r="B1" s="205"/>
      <c r="C1" s="205"/>
      <c r="D1" s="205"/>
      <c r="E1" s="205"/>
      <c r="F1" s="205"/>
    </row>
    <row r="2" spans="1:6" ht="19.5" thickBot="1" x14ac:dyDescent="0.3">
      <c r="B2" s="152"/>
    </row>
    <row r="3" spans="1:6" x14ac:dyDescent="0.25">
      <c r="A3" s="206" t="s">
        <v>121</v>
      </c>
      <c r="B3" s="212" t="s">
        <v>118</v>
      </c>
      <c r="C3" s="208" t="s">
        <v>119</v>
      </c>
      <c r="D3" s="210"/>
      <c r="E3" s="210"/>
      <c r="F3" s="211"/>
    </row>
    <row r="4" spans="1:6" ht="19.5" thickBot="1" x14ac:dyDescent="0.3">
      <c r="A4" s="207"/>
      <c r="B4" s="213"/>
      <c r="C4" s="161">
        <v>20</v>
      </c>
      <c r="D4" s="159">
        <v>40</v>
      </c>
      <c r="E4" s="159">
        <v>60</v>
      </c>
      <c r="F4" s="160">
        <v>80</v>
      </c>
    </row>
    <row r="5" spans="1:6" x14ac:dyDescent="0.25">
      <c r="A5" s="208">
        <v>1</v>
      </c>
      <c r="B5" s="162" t="s">
        <v>90</v>
      </c>
      <c r="C5" s="214" t="s">
        <v>120</v>
      </c>
      <c r="D5" s="214"/>
      <c r="E5" s="214"/>
      <c r="F5" s="216"/>
    </row>
    <row r="6" spans="1:6" x14ac:dyDescent="0.25">
      <c r="A6" s="209"/>
      <c r="B6" s="155" t="s">
        <v>91</v>
      </c>
      <c r="C6" s="215"/>
      <c r="D6" s="215"/>
      <c r="E6" s="215"/>
      <c r="F6" s="217"/>
    </row>
    <row r="7" spans="1:6" x14ac:dyDescent="0.25">
      <c r="A7" s="209">
        <v>2</v>
      </c>
      <c r="B7" s="158" t="s">
        <v>92</v>
      </c>
      <c r="C7" s="199" t="s">
        <v>120</v>
      </c>
      <c r="D7" s="199"/>
      <c r="E7" s="199"/>
      <c r="F7" s="201"/>
    </row>
    <row r="8" spans="1:6" x14ac:dyDescent="0.25">
      <c r="A8" s="209"/>
      <c r="B8" s="157" t="s">
        <v>93</v>
      </c>
      <c r="C8" s="200"/>
      <c r="D8" s="200"/>
      <c r="E8" s="200"/>
      <c r="F8" s="202"/>
    </row>
    <row r="9" spans="1:6" x14ac:dyDescent="0.25">
      <c r="A9" s="209">
        <v>3</v>
      </c>
      <c r="B9" s="156" t="s">
        <v>123</v>
      </c>
      <c r="C9" s="199" t="s">
        <v>120</v>
      </c>
      <c r="D9" s="199"/>
      <c r="E9" s="199"/>
      <c r="F9" s="201"/>
    </row>
    <row r="10" spans="1:6" x14ac:dyDescent="0.25">
      <c r="A10" s="209"/>
      <c r="B10" s="157" t="s">
        <v>94</v>
      </c>
      <c r="C10" s="200"/>
      <c r="D10" s="200"/>
      <c r="E10" s="200"/>
      <c r="F10" s="202"/>
    </row>
    <row r="11" spans="1:6" x14ac:dyDescent="0.25">
      <c r="A11" s="209">
        <v>4</v>
      </c>
      <c r="B11" s="156" t="s">
        <v>95</v>
      </c>
      <c r="C11" s="199" t="s">
        <v>120</v>
      </c>
      <c r="D11" s="199"/>
      <c r="E11" s="199"/>
      <c r="F11" s="201"/>
    </row>
    <row r="12" spans="1:6" x14ac:dyDescent="0.25">
      <c r="A12" s="209"/>
      <c r="B12" s="157" t="s">
        <v>96</v>
      </c>
      <c r="C12" s="200"/>
      <c r="D12" s="200"/>
      <c r="E12" s="200"/>
      <c r="F12" s="202"/>
    </row>
    <row r="13" spans="1:6" x14ac:dyDescent="0.25">
      <c r="A13" s="209">
        <v>5</v>
      </c>
      <c r="B13" s="156" t="s">
        <v>97</v>
      </c>
      <c r="C13" s="199"/>
      <c r="D13" s="199" t="s">
        <v>120</v>
      </c>
      <c r="E13" s="199"/>
      <c r="F13" s="201"/>
    </row>
    <row r="14" spans="1:6" x14ac:dyDescent="0.25">
      <c r="A14" s="209"/>
      <c r="B14" s="157" t="s">
        <v>98</v>
      </c>
      <c r="C14" s="200"/>
      <c r="D14" s="200"/>
      <c r="E14" s="200"/>
      <c r="F14" s="202"/>
    </row>
    <row r="15" spans="1:6" x14ac:dyDescent="0.25">
      <c r="A15" s="209">
        <v>6</v>
      </c>
      <c r="B15" s="156" t="s">
        <v>99</v>
      </c>
      <c r="C15" s="199"/>
      <c r="D15" s="199" t="s">
        <v>120</v>
      </c>
      <c r="E15" s="199"/>
      <c r="F15" s="201"/>
    </row>
    <row r="16" spans="1:6" x14ac:dyDescent="0.25">
      <c r="A16" s="209"/>
      <c r="B16" s="157" t="s">
        <v>100</v>
      </c>
      <c r="C16" s="200"/>
      <c r="D16" s="200"/>
      <c r="E16" s="200"/>
      <c r="F16" s="202"/>
    </row>
    <row r="17" spans="1:6" x14ac:dyDescent="0.25">
      <c r="A17" s="209">
        <v>7</v>
      </c>
      <c r="B17" s="156" t="s">
        <v>101</v>
      </c>
      <c r="C17" s="199"/>
      <c r="D17" s="199" t="s">
        <v>120</v>
      </c>
      <c r="E17" s="199"/>
      <c r="F17" s="201"/>
    </row>
    <row r="18" spans="1:6" x14ac:dyDescent="0.25">
      <c r="A18" s="209"/>
      <c r="B18" s="157" t="s">
        <v>102</v>
      </c>
      <c r="C18" s="200"/>
      <c r="D18" s="200"/>
      <c r="E18" s="200"/>
      <c r="F18" s="202"/>
    </row>
    <row r="19" spans="1:6" x14ac:dyDescent="0.25">
      <c r="A19" s="209">
        <v>8</v>
      </c>
      <c r="B19" s="156" t="s">
        <v>103</v>
      </c>
      <c r="C19" s="199"/>
      <c r="D19" s="199" t="s">
        <v>120</v>
      </c>
      <c r="E19" s="199"/>
      <c r="F19" s="201"/>
    </row>
    <row r="20" spans="1:6" x14ac:dyDescent="0.25">
      <c r="A20" s="209"/>
      <c r="B20" s="157" t="s">
        <v>104</v>
      </c>
      <c r="C20" s="200"/>
      <c r="D20" s="200"/>
      <c r="E20" s="200"/>
      <c r="F20" s="202"/>
    </row>
    <row r="21" spans="1:6" x14ac:dyDescent="0.25">
      <c r="A21" s="209">
        <v>9</v>
      </c>
      <c r="B21" s="156" t="s">
        <v>105</v>
      </c>
      <c r="C21" s="199"/>
      <c r="D21" s="199"/>
      <c r="E21" s="199" t="s">
        <v>120</v>
      </c>
      <c r="F21" s="201"/>
    </row>
    <row r="22" spans="1:6" x14ac:dyDescent="0.25">
      <c r="A22" s="209"/>
      <c r="B22" s="157" t="s">
        <v>106</v>
      </c>
      <c r="C22" s="200"/>
      <c r="D22" s="200"/>
      <c r="E22" s="200"/>
      <c r="F22" s="202"/>
    </row>
    <row r="23" spans="1:6" x14ac:dyDescent="0.25">
      <c r="A23" s="209">
        <v>10</v>
      </c>
      <c r="B23" s="156" t="s">
        <v>107</v>
      </c>
      <c r="C23" s="199"/>
      <c r="D23" s="199"/>
      <c r="E23" s="199" t="s">
        <v>120</v>
      </c>
      <c r="F23" s="201"/>
    </row>
    <row r="24" spans="1:6" x14ac:dyDescent="0.25">
      <c r="A24" s="209"/>
      <c r="B24" s="157" t="s">
        <v>108</v>
      </c>
      <c r="C24" s="200"/>
      <c r="D24" s="200"/>
      <c r="E24" s="200"/>
      <c r="F24" s="202"/>
    </row>
    <row r="25" spans="1:6" x14ac:dyDescent="0.25">
      <c r="A25" s="209">
        <v>11</v>
      </c>
      <c r="B25" s="156" t="s">
        <v>109</v>
      </c>
      <c r="C25" s="199"/>
      <c r="D25" s="199"/>
      <c r="E25" s="199" t="s">
        <v>120</v>
      </c>
      <c r="F25" s="201"/>
    </row>
    <row r="26" spans="1:6" x14ac:dyDescent="0.25">
      <c r="A26" s="209"/>
      <c r="B26" s="157" t="s">
        <v>110</v>
      </c>
      <c r="C26" s="200"/>
      <c r="D26" s="200"/>
      <c r="E26" s="200"/>
      <c r="F26" s="202"/>
    </row>
    <row r="27" spans="1:6" x14ac:dyDescent="0.25">
      <c r="A27" s="209">
        <v>12</v>
      </c>
      <c r="B27" s="156" t="s">
        <v>111</v>
      </c>
      <c r="C27" s="199"/>
      <c r="D27" s="199"/>
      <c r="E27" s="199"/>
      <c r="F27" s="201" t="s">
        <v>120</v>
      </c>
    </row>
    <row r="28" spans="1:6" x14ac:dyDescent="0.25">
      <c r="A28" s="209"/>
      <c r="B28" s="157" t="s">
        <v>112</v>
      </c>
      <c r="C28" s="200"/>
      <c r="D28" s="200"/>
      <c r="E28" s="200"/>
      <c r="F28" s="202"/>
    </row>
    <row r="29" spans="1:6" x14ac:dyDescent="0.25">
      <c r="A29" s="209">
        <v>13</v>
      </c>
      <c r="B29" s="156" t="s">
        <v>113</v>
      </c>
      <c r="C29" s="199"/>
      <c r="D29" s="199"/>
      <c r="E29" s="199"/>
      <c r="F29" s="201" t="s">
        <v>120</v>
      </c>
    </row>
    <row r="30" spans="1:6" x14ac:dyDescent="0.25">
      <c r="A30" s="209"/>
      <c r="B30" s="157" t="s">
        <v>114</v>
      </c>
      <c r="C30" s="200"/>
      <c r="D30" s="200"/>
      <c r="E30" s="200"/>
      <c r="F30" s="202"/>
    </row>
    <row r="31" spans="1:6" x14ac:dyDescent="0.25">
      <c r="A31" s="209">
        <v>14</v>
      </c>
      <c r="B31" s="156" t="s">
        <v>124</v>
      </c>
      <c r="C31" s="199"/>
      <c r="D31" s="199"/>
      <c r="E31" s="199"/>
      <c r="F31" s="201" t="s">
        <v>120</v>
      </c>
    </row>
    <row r="32" spans="1:6" x14ac:dyDescent="0.25">
      <c r="A32" s="209"/>
      <c r="B32" s="157" t="s">
        <v>115</v>
      </c>
      <c r="C32" s="200"/>
      <c r="D32" s="200"/>
      <c r="E32" s="200"/>
      <c r="F32" s="202"/>
    </row>
    <row r="33" spans="1:6" x14ac:dyDescent="0.25">
      <c r="A33" s="209">
        <v>15</v>
      </c>
      <c r="B33" s="156" t="s">
        <v>116</v>
      </c>
      <c r="C33" s="199"/>
      <c r="D33" s="199"/>
      <c r="E33" s="199"/>
      <c r="F33" s="201" t="s">
        <v>120</v>
      </c>
    </row>
    <row r="34" spans="1:6" ht="19.5" thickBot="1" x14ac:dyDescent="0.3">
      <c r="A34" s="218"/>
      <c r="B34" s="163" t="s">
        <v>117</v>
      </c>
      <c r="C34" s="203"/>
      <c r="D34" s="203"/>
      <c r="E34" s="203"/>
      <c r="F34" s="204"/>
    </row>
  </sheetData>
  <mergeCells count="79">
    <mergeCell ref="A31:A32"/>
    <mergeCell ref="A33:A34"/>
    <mergeCell ref="A21:A22"/>
    <mergeCell ref="A23:A24"/>
    <mergeCell ref="A25:A26"/>
    <mergeCell ref="A27:A28"/>
    <mergeCell ref="A29:A30"/>
    <mergeCell ref="A11:A12"/>
    <mergeCell ref="A13:A14"/>
    <mergeCell ref="A15:A16"/>
    <mergeCell ref="A17:A18"/>
    <mergeCell ref="A19:A20"/>
    <mergeCell ref="A1:F1"/>
    <mergeCell ref="A3:A4"/>
    <mergeCell ref="A5:A6"/>
    <mergeCell ref="A7:A8"/>
    <mergeCell ref="A9:A10"/>
    <mergeCell ref="C3:F3"/>
    <mergeCell ref="B3:B4"/>
    <mergeCell ref="C5:C6"/>
    <mergeCell ref="D5:D6"/>
    <mergeCell ref="E5:E6"/>
    <mergeCell ref="F5:F6"/>
    <mergeCell ref="E7:E8"/>
    <mergeCell ref="F7:F8"/>
    <mergeCell ref="E9:E10"/>
    <mergeCell ref="F9:F10"/>
    <mergeCell ref="E31:E32"/>
    <mergeCell ref="E33:E34"/>
    <mergeCell ref="F29:F30"/>
    <mergeCell ref="F31:F32"/>
    <mergeCell ref="F33:F34"/>
    <mergeCell ref="C31:C32"/>
    <mergeCell ref="C33:C34"/>
    <mergeCell ref="D29:D30"/>
    <mergeCell ref="D31:D32"/>
    <mergeCell ref="D33:D34"/>
    <mergeCell ref="C27:C28"/>
    <mergeCell ref="D27:D28"/>
    <mergeCell ref="E27:E28"/>
    <mergeCell ref="F27:F28"/>
    <mergeCell ref="C29:C30"/>
    <mergeCell ref="E29:E30"/>
    <mergeCell ref="C19:C20"/>
    <mergeCell ref="C21:C22"/>
    <mergeCell ref="C23:C24"/>
    <mergeCell ref="D7:D8"/>
    <mergeCell ref="D9:D10"/>
    <mergeCell ref="D11:D12"/>
    <mergeCell ref="D13:D14"/>
    <mergeCell ref="D19:D20"/>
    <mergeCell ref="D21:D22"/>
    <mergeCell ref="C7:C8"/>
    <mergeCell ref="C9:C10"/>
    <mergeCell ref="C11:C12"/>
    <mergeCell ref="C13:C14"/>
    <mergeCell ref="C15:C16"/>
    <mergeCell ref="C17:C18"/>
    <mergeCell ref="D17:D18"/>
    <mergeCell ref="E11:E12"/>
    <mergeCell ref="F11:F12"/>
    <mergeCell ref="E13:E14"/>
    <mergeCell ref="F13:F14"/>
    <mergeCell ref="D15:D16"/>
    <mergeCell ref="E15:E16"/>
    <mergeCell ref="F15:F16"/>
    <mergeCell ref="E17:E18"/>
    <mergeCell ref="F17:F18"/>
    <mergeCell ref="E19:E20"/>
    <mergeCell ref="F19:F20"/>
    <mergeCell ref="E21:E22"/>
    <mergeCell ref="F21:F22"/>
    <mergeCell ref="C25:C26"/>
    <mergeCell ref="D25:D26"/>
    <mergeCell ref="E25:E26"/>
    <mergeCell ref="F25:F26"/>
    <mergeCell ref="D23:D24"/>
    <mergeCell ref="F23:F24"/>
    <mergeCell ref="E23:E2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7"/>
  <sheetViews>
    <sheetView workbookViewId="0">
      <selection activeCell="G23" sqref="G23"/>
    </sheetView>
  </sheetViews>
  <sheetFormatPr baseColWidth="10" defaultRowHeight="15" x14ac:dyDescent="0.25"/>
  <cols>
    <col min="1" max="1" width="5.5703125" customWidth="1"/>
    <col min="2" max="2" width="15.140625" style="88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89.28515625" customWidth="1"/>
    <col min="8" max="8" width="9.28515625" customWidth="1"/>
    <col min="9" max="9" width="15.5703125" customWidth="1"/>
    <col min="10" max="10" width="22.140625" style="93" customWidth="1"/>
    <col min="11" max="11" width="15.5703125" customWidth="1"/>
  </cols>
  <sheetData>
    <row r="1" spans="1:11" ht="30.75" thickBot="1" x14ac:dyDescent="0.3">
      <c r="A1" s="224" t="s">
        <v>21</v>
      </c>
      <c r="B1" s="224"/>
      <c r="C1" s="224"/>
      <c r="D1" s="224"/>
      <c r="E1" s="224"/>
      <c r="F1" s="224"/>
      <c r="G1" s="224"/>
      <c r="H1" s="224"/>
      <c r="I1" s="224"/>
      <c r="J1" s="89" t="s">
        <v>22</v>
      </c>
      <c r="K1" s="39" t="s">
        <v>66</v>
      </c>
    </row>
    <row r="2" spans="1:11" ht="16.5" thickBot="1" x14ac:dyDescent="0.3">
      <c r="A2" s="40"/>
      <c r="B2" s="84"/>
      <c r="C2" s="41"/>
      <c r="D2" s="42"/>
      <c r="E2" s="42"/>
      <c r="F2" s="42"/>
      <c r="G2" s="42"/>
      <c r="H2" s="42"/>
      <c r="I2" s="42"/>
      <c r="J2" s="90"/>
      <c r="K2" s="43"/>
    </row>
    <row r="3" spans="1:11" ht="16.5" customHeight="1" thickBot="1" x14ac:dyDescent="0.3">
      <c r="A3" s="221" t="s">
        <v>23</v>
      </c>
      <c r="B3" s="221"/>
      <c r="C3" s="221"/>
      <c r="D3" s="80" t="s">
        <v>2</v>
      </c>
      <c r="E3" s="81"/>
      <c r="F3" s="81"/>
      <c r="G3" s="81"/>
      <c r="H3" s="81"/>
      <c r="I3" s="81"/>
      <c r="J3" s="91"/>
      <c r="K3" s="82"/>
    </row>
    <row r="4" spans="1:11" ht="16.5" customHeight="1" thickBot="1" x14ac:dyDescent="0.3">
      <c r="A4" s="222" t="s">
        <v>24</v>
      </c>
      <c r="B4" s="222"/>
      <c r="C4" s="222"/>
      <c r="D4" s="80" t="s">
        <v>58</v>
      </c>
      <c r="E4" s="81"/>
      <c r="F4" s="81"/>
      <c r="G4" s="81"/>
      <c r="H4" s="81"/>
      <c r="I4" s="81"/>
      <c r="J4" s="91"/>
      <c r="K4" s="82"/>
    </row>
    <row r="5" spans="1:11" ht="16.5" thickBot="1" x14ac:dyDescent="0.3">
      <c r="A5" s="222" t="s">
        <v>25</v>
      </c>
      <c r="B5" s="222"/>
      <c r="C5" s="222"/>
      <c r="D5" s="80" t="s">
        <v>67</v>
      </c>
      <c r="E5" s="81"/>
      <c r="F5" s="81"/>
      <c r="G5" s="81"/>
      <c r="H5" s="81"/>
      <c r="I5" s="81"/>
      <c r="J5" s="91"/>
      <c r="K5" s="82"/>
    </row>
    <row r="6" spans="1:11" ht="16.5" thickBot="1" x14ac:dyDescent="0.3">
      <c r="A6" s="221" t="s">
        <v>26</v>
      </c>
      <c r="B6" s="221"/>
      <c r="C6" s="221"/>
      <c r="D6" s="80" t="s">
        <v>67</v>
      </c>
      <c r="E6" s="81"/>
      <c r="F6" s="81"/>
      <c r="G6" s="81"/>
      <c r="H6" s="81"/>
      <c r="I6" s="81"/>
      <c r="J6" s="91"/>
      <c r="K6" s="82"/>
    </row>
    <row r="7" spans="1:11" ht="16.5" thickBot="1" x14ac:dyDescent="0.3">
      <c r="A7" s="222" t="s">
        <v>27</v>
      </c>
      <c r="B7" s="222"/>
      <c r="C7" s="222"/>
      <c r="D7" s="80" t="s">
        <v>125</v>
      </c>
      <c r="E7" s="81"/>
      <c r="F7" s="81"/>
      <c r="G7" s="81"/>
      <c r="H7" s="81"/>
      <c r="I7" s="81"/>
      <c r="J7" s="91"/>
      <c r="K7" s="82"/>
    </row>
    <row r="8" spans="1:11" ht="16.5" customHeight="1" thickBot="1" x14ac:dyDescent="0.3">
      <c r="A8" s="223" t="s">
        <v>28</v>
      </c>
      <c r="B8" s="223"/>
      <c r="C8" s="223"/>
      <c r="D8" s="83" t="s">
        <v>80</v>
      </c>
      <c r="E8" s="81"/>
      <c r="F8" s="81"/>
      <c r="G8" s="81"/>
      <c r="H8" s="81"/>
      <c r="I8" s="81"/>
      <c r="J8" s="91"/>
      <c r="K8" s="82"/>
    </row>
    <row r="9" spans="1:11" ht="16.5" thickBot="1" x14ac:dyDescent="0.3">
      <c r="A9" s="44"/>
      <c r="B9" s="85"/>
      <c r="C9" s="45"/>
      <c r="D9" s="46"/>
      <c r="E9" s="46"/>
      <c r="F9" s="46"/>
      <c r="G9" s="46"/>
      <c r="H9" s="46"/>
      <c r="I9" s="46"/>
      <c r="J9" s="92"/>
      <c r="K9" s="47"/>
    </row>
    <row r="10" spans="1:11" ht="15.75" thickBot="1" x14ac:dyDescent="0.3">
      <c r="A10" s="234" t="s">
        <v>29</v>
      </c>
      <c r="B10" s="232" t="s">
        <v>30</v>
      </c>
      <c r="C10" s="232" t="s">
        <v>31</v>
      </c>
      <c r="D10" s="232"/>
      <c r="E10" s="232"/>
      <c r="F10" s="232"/>
      <c r="G10" s="232"/>
      <c r="H10" s="232" t="s">
        <v>32</v>
      </c>
      <c r="I10" s="232" t="s">
        <v>33</v>
      </c>
      <c r="J10" s="233" t="s">
        <v>34</v>
      </c>
      <c r="K10" s="227" t="s">
        <v>35</v>
      </c>
    </row>
    <row r="11" spans="1:11" ht="36.75" customHeight="1" thickBot="1" x14ac:dyDescent="0.3">
      <c r="A11" s="234"/>
      <c r="B11" s="232"/>
      <c r="C11" s="232"/>
      <c r="D11" s="232"/>
      <c r="E11" s="232"/>
      <c r="F11" s="232"/>
      <c r="G11" s="232"/>
      <c r="H11" s="232"/>
      <c r="I11" s="232"/>
      <c r="J11" s="233"/>
      <c r="K11" s="227"/>
    </row>
    <row r="12" spans="1:11" s="97" customFormat="1" ht="32.25" customHeight="1" x14ac:dyDescent="0.25">
      <c r="A12" s="48">
        <v>1</v>
      </c>
      <c r="B12" s="86" t="str">
        <f>'SAF 011 - NECESIDAD TRIMESTRAL'!B10</f>
        <v>4.3.3-4084.19</v>
      </c>
      <c r="C12" s="228" t="str">
        <f>'SAF 011 - NECESIDAD TRIMESTRAL'!E10</f>
        <v>EQUIPOS DE RAYOS X; USO: RADIOLOGIA, FRECUENCIA: ALTA KHZ, REGULACION: AUTOMATICA Kv, AMPLIACION DE APLIQUE: SIN VALOR, COMANDO: AUTOMATICO</v>
      </c>
      <c r="D12" s="228"/>
      <c r="E12" s="228"/>
      <c r="F12" s="228"/>
      <c r="G12" s="228"/>
      <c r="H12" s="86" t="s">
        <v>59</v>
      </c>
      <c r="I12" s="94" t="str">
        <f>'SAF 011 - NECESIDAD TRIMESTRAL'!F10</f>
        <v>UNIDAD</v>
      </c>
      <c r="J12" s="95">
        <f>'SAF 011 - NECESIDAD TRIMESTRAL'!J10</f>
        <v>9102200</v>
      </c>
      <c r="K12" s="96">
        <f>'SAF 011 - NECESIDAD TRIMESTRAL'!G10</f>
        <v>10</v>
      </c>
    </row>
    <row r="13" spans="1:11" s="97" customFormat="1" ht="37.5" customHeight="1" x14ac:dyDescent="0.25">
      <c r="A13" s="49">
        <v>2</v>
      </c>
      <c r="B13" s="87" t="str">
        <f>'SAF 011 - NECESIDAD TRIMESTRAL'!B11</f>
        <v>4.3.3-9878.1</v>
      </c>
      <c r="C13" s="229" t="str">
        <f>'SAF 011 - NECESIDAD TRIMESTRAL'!E11</f>
        <v>DIGITALIZADOR DE RAYOS X; USO: RADIOLOGIA, ALIMENTACION: 220/240 V, PANTALLA: LED</v>
      </c>
      <c r="D13" s="230"/>
      <c r="E13" s="230"/>
      <c r="F13" s="230"/>
      <c r="G13" s="231"/>
      <c r="H13" s="87" t="s">
        <v>59</v>
      </c>
      <c r="I13" s="98" t="str">
        <f>'SAF 011 - NECESIDAD TRIMESTRAL'!F11</f>
        <v>UNIDAD</v>
      </c>
      <c r="J13" s="99">
        <f>'SAF 011 - NECESIDAD TRIMESTRAL'!J11</f>
        <v>2838580</v>
      </c>
      <c r="K13" s="100">
        <f>'SAF 011 - NECESIDAD TRIMESTRAL'!G11</f>
        <v>3</v>
      </c>
    </row>
    <row r="14" spans="1:11" s="97" customFormat="1" ht="37.5" customHeight="1" x14ac:dyDescent="0.25">
      <c r="A14" s="49">
        <v>3</v>
      </c>
      <c r="B14" s="87" t="str">
        <f>'SAF 011 - NECESIDAD TRIMESTRAL'!B12</f>
        <v>4.3.3-4084.19</v>
      </c>
      <c r="C14" s="229" t="str">
        <f>'SAF 011 - NECESIDAD TRIMESTRAL'!E12</f>
        <v>EQUIPOS DE RAYOS X; USO: RADIOLOGIA, FRECUENCIA: ALTA KHZ, REGULACION: AUTOMATICA Kv, AMPLIACION DE APLIQUE: SIN VALOR, COMANDO: AUTOMATICO</v>
      </c>
      <c r="D14" s="230"/>
      <c r="E14" s="230"/>
      <c r="F14" s="230"/>
      <c r="G14" s="231"/>
      <c r="H14" s="87" t="s">
        <v>59</v>
      </c>
      <c r="I14" s="108" t="str">
        <f>'SAF 011 - NECESIDAD TRIMESTRAL'!F12</f>
        <v>UNIDAD</v>
      </c>
      <c r="J14" s="99">
        <f>'SAF 011 - NECESIDAD TRIMESTRAL'!J12</f>
        <v>16188000</v>
      </c>
      <c r="K14" s="100">
        <f>'SAF 011 - NECESIDAD TRIMESTRAL'!G12</f>
        <v>5</v>
      </c>
    </row>
    <row r="15" spans="1:11" s="97" customFormat="1" ht="37.5" customHeight="1" x14ac:dyDescent="0.25">
      <c r="A15" s="49">
        <v>4</v>
      </c>
      <c r="B15" s="87" t="str">
        <f>'SAF 011 - NECESIDAD TRIMESTRAL'!B13</f>
        <v>4.3.3-4395.25</v>
      </c>
      <c r="C15" s="229" t="str">
        <f>'SAF 011 - NECESIDAD TRIMESTRAL'!E13</f>
        <v>MEDIDORES DE RADIACIONES; TIPO: PORTATIL, LECTURA: DIGITAL, TIPO RADIACION: RAYOS X, RANGO DE ENERGIA: 40 A 150 Kv, RANGO DE LECTURA: 0 A 0,91 GRAY</v>
      </c>
      <c r="D15" s="230"/>
      <c r="E15" s="230"/>
      <c r="F15" s="230"/>
      <c r="G15" s="231"/>
      <c r="H15" s="87" t="s">
        <v>59</v>
      </c>
      <c r="I15" s="108" t="str">
        <f>'SAF 011 - NECESIDAD TRIMESTRAL'!F13</f>
        <v>UNIDAD</v>
      </c>
      <c r="J15" s="99">
        <f>'SAF 011 - NECESIDAD TRIMESTRAL'!J13</f>
        <v>3903438</v>
      </c>
      <c r="K15" s="100">
        <f>'SAF 011 - NECESIDAD TRIMESTRAL'!G13</f>
        <v>1</v>
      </c>
    </row>
    <row r="16" spans="1:11" s="97" customFormat="1" ht="15.75" thickBot="1" x14ac:dyDescent="0.3">
      <c r="A16" s="113"/>
      <c r="B16" s="114"/>
      <c r="C16" s="226"/>
      <c r="D16" s="226"/>
      <c r="E16" s="226"/>
      <c r="F16" s="226"/>
      <c r="G16" s="226"/>
      <c r="H16" s="114"/>
      <c r="I16" s="115"/>
      <c r="J16" s="116"/>
      <c r="K16" s="117"/>
    </row>
    <row r="17" spans="1:11" ht="36" customHeight="1" thickBot="1" x14ac:dyDescent="0.3">
      <c r="A17" s="225" t="s">
        <v>88</v>
      </c>
      <c r="B17" s="225"/>
      <c r="C17" s="225"/>
      <c r="D17" s="225"/>
      <c r="E17" s="225"/>
      <c r="F17" s="225"/>
      <c r="G17" s="225"/>
      <c r="H17" s="225"/>
      <c r="I17" s="225"/>
      <c r="J17" s="219">
        <f>SUMPRODUCT(J12:J15,K12:K15)</f>
        <v>184381178</v>
      </c>
      <c r="K17" s="220"/>
    </row>
  </sheetData>
  <mergeCells count="21">
    <mergeCell ref="B10:B11"/>
    <mergeCell ref="C10:G11"/>
    <mergeCell ref="H10:H11"/>
    <mergeCell ref="C14:G14"/>
    <mergeCell ref="C15:G15"/>
    <mergeCell ref="J17:K17"/>
    <mergeCell ref="A6:C6"/>
    <mergeCell ref="A7:C7"/>
    <mergeCell ref="A8:C8"/>
    <mergeCell ref="A1:I1"/>
    <mergeCell ref="A3:C3"/>
    <mergeCell ref="A4:C4"/>
    <mergeCell ref="A5:C5"/>
    <mergeCell ref="A17:I17"/>
    <mergeCell ref="C16:G16"/>
    <mergeCell ref="K10:K11"/>
    <mergeCell ref="C12:G12"/>
    <mergeCell ref="C13:G13"/>
    <mergeCell ref="I10:I11"/>
    <mergeCell ref="J10:J11"/>
    <mergeCell ref="A10:A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42"/>
  <sheetViews>
    <sheetView topLeftCell="A7" workbookViewId="0">
      <selection activeCell="W38" sqref="W38"/>
    </sheetView>
  </sheetViews>
  <sheetFormatPr baseColWidth="10" defaultRowHeight="15" x14ac:dyDescent="0.25"/>
  <cols>
    <col min="1" max="5" width="4.42578125" customWidth="1"/>
    <col min="6" max="6" width="5" bestFit="1" customWidth="1"/>
    <col min="7" max="14" width="4.42578125" customWidth="1"/>
    <col min="15" max="15" width="14.85546875" customWidth="1"/>
    <col min="16" max="16" width="24.42578125" customWidth="1"/>
    <col min="17" max="17" width="16.7109375" style="93" bestFit="1" customWidth="1"/>
  </cols>
  <sheetData>
    <row r="1" spans="1:17" ht="15.75" thickBot="1" x14ac:dyDescent="0.3">
      <c r="A1" s="236" t="s">
        <v>5</v>
      </c>
      <c r="B1" s="236"/>
      <c r="C1" s="236"/>
      <c r="D1" s="237">
        <v>2022</v>
      </c>
      <c r="E1" s="237"/>
      <c r="F1" s="50"/>
      <c r="G1" s="50"/>
      <c r="H1" s="51"/>
      <c r="I1" s="51"/>
      <c r="J1" s="51"/>
      <c r="K1" s="51"/>
      <c r="L1" s="51"/>
      <c r="M1" s="51"/>
      <c r="N1" s="51"/>
      <c r="O1" s="52"/>
      <c r="P1" s="238" t="s">
        <v>36</v>
      </c>
      <c r="Q1" s="238"/>
    </row>
    <row r="2" spans="1:17" ht="15.75" thickBot="1" x14ac:dyDescent="0.3">
      <c r="A2" s="53"/>
      <c r="B2" s="54"/>
      <c r="C2" s="54"/>
      <c r="D2" s="54"/>
      <c r="E2" s="54"/>
      <c r="F2" s="54"/>
      <c r="G2" s="55"/>
      <c r="H2" s="56"/>
      <c r="I2" s="56"/>
      <c r="J2" s="56"/>
      <c r="K2" s="56"/>
      <c r="L2" s="56"/>
      <c r="M2" s="56"/>
      <c r="N2" s="56"/>
      <c r="O2" s="54"/>
      <c r="P2" s="238"/>
      <c r="Q2" s="238"/>
    </row>
    <row r="3" spans="1:17" ht="15.75" thickBot="1" x14ac:dyDescent="0.3">
      <c r="A3" s="53"/>
      <c r="B3" s="54"/>
      <c r="C3" s="54"/>
      <c r="D3" s="54"/>
      <c r="E3" s="54"/>
      <c r="F3" s="54"/>
      <c r="G3" s="55"/>
      <c r="H3" s="54"/>
      <c r="I3" s="54"/>
      <c r="J3" s="54"/>
      <c r="K3" s="54"/>
      <c r="L3" s="54"/>
      <c r="M3" s="54"/>
      <c r="N3" s="54"/>
      <c r="O3" s="54"/>
      <c r="P3" s="54"/>
      <c r="Q3" s="101"/>
    </row>
    <row r="4" spans="1:17" ht="15.75" thickBot="1" x14ac:dyDescent="0.3">
      <c r="A4" s="239" t="s">
        <v>37</v>
      </c>
      <c r="B4" s="239"/>
      <c r="C4" s="239"/>
      <c r="D4" s="239"/>
      <c r="E4" s="239"/>
      <c r="F4" s="239"/>
      <c r="G4" s="240" t="str">
        <f>NP!D3</f>
        <v>040 - MINISTERIO DE SALUD</v>
      </c>
      <c r="H4" s="240"/>
      <c r="I4" s="240"/>
      <c r="J4" s="240"/>
      <c r="K4" s="240"/>
      <c r="L4" s="240"/>
      <c r="M4" s="240"/>
      <c r="N4" s="240"/>
      <c r="O4" s="240"/>
      <c r="P4" s="240"/>
      <c r="Q4" s="240"/>
    </row>
    <row r="5" spans="1:17" ht="15.75" thickBot="1" x14ac:dyDescent="0.3">
      <c r="A5" s="241" t="s">
        <v>24</v>
      </c>
      <c r="B5" s="241"/>
      <c r="C5" s="241"/>
      <c r="D5" s="241"/>
      <c r="E5" s="241"/>
      <c r="F5" s="241"/>
      <c r="G5" s="240" t="str">
        <f>NP!D4</f>
        <v>011 - DIRECCION PROVINCIAL DE ADMINISTRACION DEL MINISTERIO DE SALUD</v>
      </c>
      <c r="H5" s="240"/>
      <c r="I5" s="240"/>
      <c r="J5" s="240"/>
      <c r="K5" s="240"/>
      <c r="L5" s="240"/>
      <c r="M5" s="240"/>
      <c r="N5" s="240"/>
      <c r="O5" s="240"/>
      <c r="P5" s="240"/>
      <c r="Q5" s="240"/>
    </row>
    <row r="6" spans="1:17" ht="15.75" thickBot="1" x14ac:dyDescent="0.3">
      <c r="A6" s="241" t="s">
        <v>25</v>
      </c>
      <c r="B6" s="241"/>
      <c r="C6" s="241"/>
      <c r="D6" s="241"/>
      <c r="E6" s="241"/>
      <c r="F6" s="241"/>
      <c r="G6" s="240" t="str">
        <f>NP!D5</f>
        <v>352 - MINISTERIO DE SALUD</v>
      </c>
      <c r="H6" s="240"/>
      <c r="I6" s="240"/>
      <c r="J6" s="240"/>
      <c r="K6" s="240"/>
      <c r="L6" s="240"/>
      <c r="M6" s="240"/>
      <c r="N6" s="240"/>
      <c r="O6" s="240"/>
      <c r="P6" s="240"/>
      <c r="Q6" s="240"/>
    </row>
    <row r="7" spans="1:17" ht="15.75" thickBot="1" x14ac:dyDescent="0.3">
      <c r="A7" s="241" t="s">
        <v>26</v>
      </c>
      <c r="B7" s="241"/>
      <c r="C7" s="241"/>
      <c r="D7" s="241"/>
      <c r="E7" s="241"/>
      <c r="F7" s="241"/>
      <c r="G7" s="240" t="str">
        <f>NP!D6</f>
        <v>352 - MINISTERIO DE SALUD</v>
      </c>
      <c r="H7" s="240"/>
      <c r="I7" s="240"/>
      <c r="J7" s="240"/>
      <c r="K7" s="240"/>
      <c r="L7" s="240"/>
      <c r="M7" s="240"/>
      <c r="N7" s="240"/>
      <c r="O7" s="240"/>
      <c r="P7" s="240"/>
      <c r="Q7" s="240"/>
    </row>
    <row r="8" spans="1:17" ht="15.75" thickBot="1" x14ac:dyDescent="0.3">
      <c r="A8" s="242" t="s">
        <v>38</v>
      </c>
      <c r="B8" s="242"/>
      <c r="C8" s="242"/>
      <c r="D8" s="242"/>
      <c r="E8" s="242"/>
      <c r="F8" s="242"/>
      <c r="G8" s="242"/>
      <c r="H8" s="242"/>
      <c r="I8" s="242"/>
      <c r="J8" s="242"/>
      <c r="K8" s="242"/>
      <c r="L8" s="242"/>
      <c r="M8" s="242"/>
      <c r="N8" s="242"/>
      <c r="O8" s="242"/>
      <c r="P8" s="242"/>
      <c r="Q8" s="242"/>
    </row>
    <row r="9" spans="1:17" x14ac:dyDescent="0.25">
      <c r="A9" s="235" t="s">
        <v>39</v>
      </c>
      <c r="B9" s="235"/>
      <c r="C9" s="235"/>
      <c r="D9" s="235"/>
      <c r="E9" s="235"/>
      <c r="F9" s="235"/>
      <c r="G9" s="235"/>
      <c r="H9" s="235"/>
      <c r="I9" s="235"/>
      <c r="J9" s="235"/>
      <c r="K9" s="235"/>
      <c r="L9" s="235"/>
      <c r="M9" s="235"/>
      <c r="N9" s="235"/>
      <c r="O9" s="235"/>
      <c r="P9" s="235"/>
      <c r="Q9" s="235"/>
    </row>
    <row r="10" spans="1:17" ht="75" customHeight="1" x14ac:dyDescent="0.25">
      <c r="A10" s="244" t="s">
        <v>68</v>
      </c>
      <c r="B10" s="244"/>
      <c r="C10" s="244"/>
      <c r="D10" s="244"/>
      <c r="E10" s="244"/>
      <c r="F10" s="244"/>
      <c r="G10" s="244"/>
      <c r="H10" s="244"/>
      <c r="I10" s="244"/>
      <c r="J10" s="244"/>
      <c r="K10" s="244"/>
      <c r="L10" s="244"/>
      <c r="M10" s="244"/>
      <c r="N10" s="244"/>
      <c r="O10" s="244"/>
      <c r="P10" s="244"/>
      <c r="Q10" s="244"/>
    </row>
    <row r="11" spans="1:17" ht="15.75" thickBot="1" x14ac:dyDescent="0.3">
      <c r="A11" s="57"/>
      <c r="B11" s="58"/>
      <c r="C11" s="58"/>
      <c r="D11" s="58"/>
      <c r="E11" s="58"/>
      <c r="F11" s="58"/>
      <c r="G11" s="59"/>
      <c r="H11" s="58"/>
      <c r="I11" s="58"/>
      <c r="J11" s="58"/>
      <c r="K11" s="58"/>
      <c r="L11" s="58"/>
      <c r="M11" s="58"/>
      <c r="N11" s="58"/>
      <c r="O11" s="58"/>
      <c r="P11" s="58"/>
      <c r="Q11" s="102"/>
    </row>
    <row r="12" spans="1:17" ht="15.75" thickBot="1" x14ac:dyDescent="0.3">
      <c r="A12" s="245" t="s">
        <v>40</v>
      </c>
      <c r="B12" s="245"/>
      <c r="C12" s="245"/>
      <c r="D12" s="245"/>
      <c r="E12" s="245"/>
      <c r="F12" s="245"/>
      <c r="G12" s="245"/>
      <c r="H12" s="245"/>
      <c r="I12" s="245"/>
      <c r="J12" s="245"/>
      <c r="K12" s="245"/>
      <c r="L12" s="245"/>
      <c r="M12" s="245"/>
      <c r="N12" s="245"/>
      <c r="O12" s="245"/>
      <c r="P12" s="245"/>
      <c r="Q12" s="245"/>
    </row>
    <row r="13" spans="1:17" ht="15.75" thickBot="1" x14ac:dyDescent="0.3">
      <c r="A13" s="246" t="s">
        <v>41</v>
      </c>
      <c r="B13" s="246"/>
      <c r="C13" s="246"/>
      <c r="D13" s="246"/>
      <c r="E13" s="246"/>
      <c r="F13" s="246"/>
      <c r="G13" s="246"/>
      <c r="H13" s="246"/>
      <c r="I13" s="246"/>
      <c r="J13" s="246"/>
      <c r="K13" s="246"/>
      <c r="L13" s="246"/>
      <c r="M13" s="246"/>
      <c r="N13" s="246"/>
      <c r="O13" s="247" t="s">
        <v>42</v>
      </c>
      <c r="P13" s="247"/>
      <c r="Q13" s="248" t="s">
        <v>43</v>
      </c>
    </row>
    <row r="14" spans="1:17" ht="15.75" thickBot="1" x14ac:dyDescent="0.3">
      <c r="A14" s="60" t="s">
        <v>44</v>
      </c>
      <c r="B14" s="61" t="s">
        <v>45</v>
      </c>
      <c r="C14" s="61" t="s">
        <v>46</v>
      </c>
      <c r="D14" s="61" t="s">
        <v>47</v>
      </c>
      <c r="E14" s="61" t="s">
        <v>48</v>
      </c>
      <c r="F14" s="61" t="s">
        <v>49</v>
      </c>
      <c r="G14" s="62" t="s">
        <v>50</v>
      </c>
      <c r="H14" s="61" t="s">
        <v>51</v>
      </c>
      <c r="I14" s="61" t="s">
        <v>52</v>
      </c>
      <c r="J14" s="61" t="s">
        <v>53</v>
      </c>
      <c r="K14" s="61" t="s">
        <v>53</v>
      </c>
      <c r="L14" s="61" t="s">
        <v>54</v>
      </c>
      <c r="M14" s="63" t="s">
        <v>55</v>
      </c>
      <c r="N14" s="64" t="s">
        <v>56</v>
      </c>
      <c r="O14" s="247"/>
      <c r="P14" s="247"/>
      <c r="Q14" s="248"/>
    </row>
    <row r="15" spans="1:17" x14ac:dyDescent="0.25">
      <c r="A15" s="65">
        <v>1</v>
      </c>
      <c r="B15" s="66"/>
      <c r="C15" s="66"/>
      <c r="D15" s="66">
        <v>1</v>
      </c>
      <c r="E15" s="66"/>
      <c r="F15" s="66">
        <v>4901</v>
      </c>
      <c r="G15" s="66">
        <v>3</v>
      </c>
      <c r="H15" s="66">
        <v>1</v>
      </c>
      <c r="I15" s="66">
        <v>4</v>
      </c>
      <c r="J15" s="66">
        <v>3</v>
      </c>
      <c r="K15" s="66">
        <v>3</v>
      </c>
      <c r="L15" s="66"/>
      <c r="M15" s="67">
        <v>1</v>
      </c>
      <c r="N15" s="66" t="s">
        <v>69</v>
      </c>
      <c r="O15" s="249" t="s">
        <v>70</v>
      </c>
      <c r="P15" s="249"/>
      <c r="Q15" s="103">
        <f>NP!J17</f>
        <v>184381178</v>
      </c>
    </row>
    <row r="16" spans="1:17" x14ac:dyDescent="0.25">
      <c r="A16" s="68"/>
      <c r="B16" s="69"/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70"/>
      <c r="N16" s="71"/>
      <c r="O16" s="250"/>
      <c r="P16" s="250"/>
      <c r="Q16" s="104"/>
    </row>
    <row r="17" spans="1:17" x14ac:dyDescent="0.25">
      <c r="A17" s="68"/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70"/>
      <c r="N17" s="71"/>
      <c r="O17" s="251"/>
      <c r="P17" s="251"/>
      <c r="Q17" s="104"/>
    </row>
    <row r="18" spans="1:17" x14ac:dyDescent="0.25">
      <c r="A18" s="68"/>
      <c r="B18" s="69"/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70"/>
      <c r="N18" s="71"/>
      <c r="O18" s="243"/>
      <c r="P18" s="243"/>
      <c r="Q18" s="104"/>
    </row>
    <row r="19" spans="1:17" x14ac:dyDescent="0.25">
      <c r="A19" s="68"/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70"/>
      <c r="N19" s="71"/>
      <c r="O19" s="243"/>
      <c r="P19" s="243"/>
      <c r="Q19" s="104"/>
    </row>
    <row r="20" spans="1:17" x14ac:dyDescent="0.25">
      <c r="A20" s="68"/>
      <c r="B20" s="69"/>
      <c r="C20" s="69"/>
      <c r="D20" s="69"/>
      <c r="E20" s="69"/>
      <c r="F20" s="69"/>
      <c r="G20" s="69"/>
      <c r="H20" s="69"/>
      <c r="I20" s="69"/>
      <c r="J20" s="69"/>
      <c r="K20" s="69"/>
      <c r="L20" s="69"/>
      <c r="M20" s="70"/>
      <c r="N20" s="71"/>
      <c r="O20" s="243"/>
      <c r="P20" s="243"/>
      <c r="Q20" s="104"/>
    </row>
    <row r="21" spans="1:17" x14ac:dyDescent="0.25">
      <c r="A21" s="68"/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70"/>
      <c r="N21" s="71"/>
      <c r="O21" s="243"/>
      <c r="P21" s="243"/>
      <c r="Q21" s="104"/>
    </row>
    <row r="22" spans="1:17" x14ac:dyDescent="0.25">
      <c r="A22" s="68"/>
      <c r="B22" s="69"/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70"/>
      <c r="N22" s="71"/>
      <c r="O22" s="243"/>
      <c r="P22" s="243"/>
      <c r="Q22" s="104"/>
    </row>
    <row r="23" spans="1:17" x14ac:dyDescent="0.25">
      <c r="A23" s="68"/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70"/>
      <c r="N23" s="71"/>
      <c r="O23" s="243"/>
      <c r="P23" s="243"/>
      <c r="Q23" s="104"/>
    </row>
    <row r="24" spans="1:17" x14ac:dyDescent="0.25">
      <c r="A24" s="68"/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70"/>
      <c r="N24" s="71"/>
      <c r="O24" s="243"/>
      <c r="P24" s="243"/>
      <c r="Q24" s="104"/>
    </row>
    <row r="25" spans="1:17" x14ac:dyDescent="0.25">
      <c r="A25" s="68"/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70"/>
      <c r="N25" s="71"/>
      <c r="O25" s="243"/>
      <c r="P25" s="243"/>
      <c r="Q25" s="104"/>
    </row>
    <row r="26" spans="1:17" x14ac:dyDescent="0.25">
      <c r="A26" s="68"/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70"/>
      <c r="N26" s="71"/>
      <c r="O26" s="243"/>
      <c r="P26" s="243"/>
      <c r="Q26" s="104"/>
    </row>
    <row r="27" spans="1:17" x14ac:dyDescent="0.25">
      <c r="A27" s="68"/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70"/>
      <c r="N27" s="71"/>
      <c r="O27" s="243"/>
      <c r="P27" s="243"/>
      <c r="Q27" s="104"/>
    </row>
    <row r="28" spans="1:17" x14ac:dyDescent="0.25">
      <c r="A28" s="68"/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70"/>
      <c r="N28" s="71"/>
      <c r="O28" s="243"/>
      <c r="P28" s="243"/>
      <c r="Q28" s="104"/>
    </row>
    <row r="29" spans="1:17" x14ac:dyDescent="0.25">
      <c r="A29" s="68"/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70"/>
      <c r="N29" s="71"/>
      <c r="O29" s="243"/>
      <c r="P29" s="243"/>
      <c r="Q29" s="104"/>
    </row>
    <row r="30" spans="1:17" x14ac:dyDescent="0.25">
      <c r="A30" s="68"/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70"/>
      <c r="N30" s="71"/>
      <c r="O30" s="243"/>
      <c r="P30" s="243"/>
      <c r="Q30" s="104"/>
    </row>
    <row r="31" spans="1:17" x14ac:dyDescent="0.25">
      <c r="A31" s="68"/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70"/>
      <c r="N31" s="71"/>
      <c r="O31" s="243"/>
      <c r="P31" s="243"/>
      <c r="Q31" s="104"/>
    </row>
    <row r="32" spans="1:17" x14ac:dyDescent="0.25">
      <c r="A32" s="68"/>
      <c r="B32" s="69"/>
      <c r="C32" s="69"/>
      <c r="D32" s="69"/>
      <c r="E32" s="69"/>
      <c r="F32" s="71"/>
      <c r="G32" s="69"/>
      <c r="H32" s="69"/>
      <c r="I32" s="69"/>
      <c r="J32" s="69"/>
      <c r="K32" s="69"/>
      <c r="L32" s="69"/>
      <c r="M32" s="70"/>
      <c r="N32" s="71"/>
      <c r="O32" s="250"/>
      <c r="P32" s="250"/>
      <c r="Q32" s="104"/>
    </row>
    <row r="33" spans="1:17" x14ac:dyDescent="0.25">
      <c r="A33" s="68"/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70"/>
      <c r="N33" s="71"/>
      <c r="O33" s="250"/>
      <c r="P33" s="250"/>
      <c r="Q33" s="104"/>
    </row>
    <row r="34" spans="1:17" x14ac:dyDescent="0.25">
      <c r="A34" s="68"/>
      <c r="B34" s="69"/>
      <c r="C34" s="69"/>
      <c r="D34" s="69"/>
      <c r="E34" s="69"/>
      <c r="F34" s="71"/>
      <c r="G34" s="69"/>
      <c r="H34" s="69"/>
      <c r="I34" s="69"/>
      <c r="J34" s="69"/>
      <c r="K34" s="69"/>
      <c r="L34" s="69"/>
      <c r="M34" s="70"/>
      <c r="N34" s="71"/>
      <c r="O34" s="250"/>
      <c r="P34" s="250"/>
      <c r="Q34" s="104"/>
    </row>
    <row r="35" spans="1:17" x14ac:dyDescent="0.25">
      <c r="A35" s="68"/>
      <c r="B35" s="69"/>
      <c r="C35" s="69"/>
      <c r="D35" s="69"/>
      <c r="E35" s="69"/>
      <c r="F35" s="71"/>
      <c r="G35" s="69"/>
      <c r="H35" s="69"/>
      <c r="I35" s="69"/>
      <c r="J35" s="69"/>
      <c r="K35" s="69"/>
      <c r="L35" s="69"/>
      <c r="M35" s="70"/>
      <c r="N35" s="71"/>
      <c r="O35" s="250"/>
      <c r="P35" s="250"/>
      <c r="Q35" s="104"/>
    </row>
    <row r="36" spans="1:17" x14ac:dyDescent="0.25">
      <c r="A36" s="72"/>
      <c r="B36" s="73"/>
      <c r="C36" s="73"/>
      <c r="D36" s="73"/>
      <c r="E36" s="73"/>
      <c r="F36" s="74"/>
      <c r="G36" s="73"/>
      <c r="H36" s="73"/>
      <c r="I36" s="73"/>
      <c r="J36" s="73"/>
      <c r="K36" s="73"/>
      <c r="L36" s="73"/>
      <c r="M36" s="75"/>
      <c r="N36" s="76"/>
      <c r="O36" s="255"/>
      <c r="P36" s="255"/>
      <c r="Q36" s="104"/>
    </row>
    <row r="37" spans="1:17" ht="15.75" thickBot="1" x14ac:dyDescent="0.3">
      <c r="A37" s="77"/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9"/>
      <c r="N37" s="78"/>
      <c r="O37" s="256"/>
      <c r="P37" s="256"/>
      <c r="Q37" s="105"/>
    </row>
    <row r="38" spans="1:17" ht="50.25" customHeight="1" thickBot="1" x14ac:dyDescent="0.3">
      <c r="A38" s="257" t="s">
        <v>89</v>
      </c>
      <c r="B38" s="257"/>
      <c r="C38" s="257"/>
      <c r="D38" s="257"/>
      <c r="E38" s="257"/>
      <c r="F38" s="257"/>
      <c r="G38" s="257"/>
      <c r="H38" s="257"/>
      <c r="I38" s="257"/>
      <c r="J38" s="257"/>
      <c r="K38" s="257"/>
      <c r="L38" s="257"/>
      <c r="M38" s="257"/>
      <c r="N38" s="257"/>
      <c r="O38" s="257"/>
      <c r="P38" s="257"/>
      <c r="Q38" s="106">
        <f>SUM(Q15:Q37)</f>
        <v>184381178</v>
      </c>
    </row>
    <row r="39" spans="1:17" ht="15.75" thickBot="1" x14ac:dyDescent="0.3">
      <c r="A39" s="258"/>
      <c r="B39" s="258"/>
      <c r="C39" s="258"/>
      <c r="D39" s="258"/>
      <c r="E39" s="258"/>
      <c r="F39" s="258"/>
      <c r="G39" s="258"/>
      <c r="H39" s="258"/>
      <c r="I39" s="258"/>
      <c r="J39" s="258"/>
      <c r="K39" s="258"/>
      <c r="L39" s="258"/>
      <c r="M39" s="258"/>
      <c r="N39" s="258"/>
      <c r="O39" s="258"/>
      <c r="P39" s="258"/>
      <c r="Q39" s="258"/>
    </row>
    <row r="40" spans="1:17" ht="15.75" thickBot="1" x14ac:dyDescent="0.3">
      <c r="A40" s="252" t="s">
        <v>57</v>
      </c>
      <c r="B40" s="252"/>
      <c r="C40" s="252"/>
      <c r="D40" s="252"/>
      <c r="E40" s="252"/>
      <c r="F40" s="252"/>
      <c r="G40" s="253"/>
      <c r="H40" s="253"/>
      <c r="I40" s="253"/>
      <c r="J40" s="253"/>
      <c r="K40" s="253"/>
      <c r="L40" s="253"/>
      <c r="M40" s="253"/>
      <c r="N40" s="253"/>
      <c r="O40" s="253"/>
      <c r="P40" s="253"/>
      <c r="Q40" s="253"/>
    </row>
    <row r="41" spans="1:17" ht="15.75" thickBot="1" x14ac:dyDescent="0.3">
      <c r="A41" s="254" t="str">
        <f>NP!D8</f>
        <v>ADQUISICION DE EQUIPOS DE RAYOS X Y COMPLEMENTOS CON DESTINO A HOSPITALES DE LA PROVINCIA.-</v>
      </c>
      <c r="B41" s="254"/>
      <c r="C41" s="254"/>
      <c r="D41" s="254"/>
      <c r="E41" s="254"/>
      <c r="F41" s="254"/>
      <c r="G41" s="254"/>
      <c r="H41" s="254"/>
      <c r="I41" s="254"/>
      <c r="J41" s="254"/>
      <c r="K41" s="254"/>
      <c r="L41" s="254"/>
      <c r="M41" s="254"/>
      <c r="N41" s="254"/>
      <c r="O41" s="254"/>
      <c r="P41" s="254"/>
      <c r="Q41" s="254"/>
    </row>
    <row r="42" spans="1:17" ht="15.75" thickBot="1" x14ac:dyDescent="0.3">
      <c r="A42" s="254"/>
      <c r="B42" s="254"/>
      <c r="C42" s="254"/>
      <c r="D42" s="254"/>
      <c r="E42" s="254"/>
      <c r="F42" s="254"/>
      <c r="G42" s="254"/>
      <c r="H42" s="254"/>
      <c r="I42" s="254"/>
      <c r="J42" s="254"/>
      <c r="K42" s="254"/>
      <c r="L42" s="254"/>
      <c r="M42" s="254"/>
      <c r="N42" s="254"/>
      <c r="O42" s="254"/>
      <c r="P42" s="254"/>
      <c r="Q42" s="254"/>
    </row>
  </sheetData>
  <mergeCells count="46"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SAF 011 - NECESIDAD TRIMESTRAL</vt:lpstr>
      <vt:lpstr>DETALLE DE ENTREGAS</vt:lpstr>
      <vt:lpstr>NP</vt:lpstr>
      <vt:lpstr>APG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COMPRAS</cp:lastModifiedBy>
  <dcterms:created xsi:type="dcterms:W3CDTF">2021-11-12T17:27:33Z</dcterms:created>
  <dcterms:modified xsi:type="dcterms:W3CDTF">2022-09-01T12:30:24Z</dcterms:modified>
</cp:coreProperties>
</file>