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4A81AD1-415D-4565-AC48-0793F555A94F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Trimestrales'!$A$9:$I$96</definedName>
    <definedName name="_xlnm.Print_Area" localSheetId="1">' NotaPedido'!$A$1:$K$99</definedName>
    <definedName name="_xlnm.Print_Area" localSheetId="2">'Autor Gastar'!$A$1:$Q$25</definedName>
    <definedName name="_xlnm.Print_Area" localSheetId="0">'Necesidades Trimestrales'!$E$9:$E$96</definedName>
  </definedNames>
  <calcPr calcId="181029"/>
</workbook>
</file>

<file path=xl/calcChain.xml><?xml version="1.0" encoding="utf-8"?>
<calcChain xmlns="http://schemas.openxmlformats.org/spreadsheetml/2006/main">
  <c r="I64" i="2" l="1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J99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K12" i="2"/>
  <c r="J12" i="2"/>
  <c r="I19" i="1"/>
  <c r="I77" i="1" l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8" i="1"/>
  <c r="I17" i="1"/>
  <c r="I16" i="1"/>
  <c r="I15" i="1"/>
  <c r="I14" i="1"/>
  <c r="I56" i="1" l="1"/>
  <c r="I5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54" i="1" l="1"/>
  <c r="I55" i="1"/>
  <c r="I13" i="2" l="1"/>
  <c r="I14" i="2"/>
  <c r="I15" i="2"/>
  <c r="I16" i="2"/>
  <c r="I17" i="2"/>
  <c r="I18" i="2"/>
  <c r="I19" i="2"/>
  <c r="I20" i="2"/>
  <c r="I21" i="2"/>
  <c r="I22" i="2"/>
  <c r="I23" i="2"/>
  <c r="I24" i="2"/>
  <c r="I11" i="1"/>
  <c r="I12" i="1"/>
  <c r="I13" i="1"/>
  <c r="I43" i="1"/>
  <c r="I44" i="1"/>
  <c r="I45" i="1"/>
  <c r="I46" i="1"/>
  <c r="I47" i="1"/>
  <c r="I48" i="1"/>
  <c r="I49" i="1"/>
  <c r="I50" i="1"/>
  <c r="I51" i="1"/>
  <c r="I52" i="1"/>
  <c r="I53" i="1"/>
  <c r="I10" i="1"/>
  <c r="A10" i="3" l="1"/>
  <c r="G6" i="3" l="1"/>
  <c r="D7" i="2"/>
  <c r="D3" i="2"/>
  <c r="G4" i="3" s="1"/>
  <c r="D4" i="2"/>
  <c r="G5" i="3" s="1"/>
  <c r="D1" i="3" l="1"/>
  <c r="I12" i="2"/>
  <c r="C12" i="2"/>
  <c r="Q21" i="3" l="1"/>
</calcChain>
</file>

<file path=xl/sharedStrings.xml><?xml version="1.0" encoding="utf-8"?>
<sst xmlns="http://schemas.openxmlformats.org/spreadsheetml/2006/main" count="421" uniqueCount="157">
  <si>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</si>
  <si>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</si>
  <si>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</si>
  <si>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</si>
  <si>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</si>
  <si>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</si>
  <si>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</si>
  <si>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</si>
  <si>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</si>
  <si>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</si>
  <si>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</si>
  <si>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</si>
  <si>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</si>
  <si>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</si>
  <si>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</si>
  <si>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</si>
  <si>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</si>
  <si>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</si>
  <si>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</si>
  <si>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</si>
  <si>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</si>
  <si>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</si>
  <si>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</si>
  <si>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</si>
  <si>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</si>
  <si>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</si>
  <si>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</si>
  <si>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</si>
  <si>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</si>
  <si>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</si>
  <si>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</si>
  <si>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</si>
  <si>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</si>
  <si>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</si>
  <si>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</si>
  <si>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</si>
  <si>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</si>
  <si>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</si>
  <si>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</si>
  <si>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</si>
  <si>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</si>
  <si>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</si>
  <si>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</si>
  <si>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</si>
  <si>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</si>
  <si>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</si>
  <si>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</si>
  <si>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</si>
  <si>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</si>
  <si>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</si>
  <si>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</si>
  <si>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</si>
  <si>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</si>
  <si>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</si>
  <si>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</si>
  <si>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</si>
  <si>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</si>
  <si>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</si>
  <si>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</si>
  <si>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</si>
  <si>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</si>
  <si>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</si>
  <si>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SI</t>
  </si>
  <si>
    <t>ACETIL CISTEINA 600 MG COMPRIMIDO EFERVESCENTE</t>
  </si>
  <si>
    <t>ACICLOVIR 500 MG FCO AMPOLLA</t>
  </si>
  <si>
    <t>ACICLOVIR 80 MG/ML SUSPENSIÓN X 200ML</t>
  </si>
  <si>
    <t>ACIDO ACETIL SALICILICO 100 MG COMPRIMIDO</t>
  </si>
  <si>
    <t>AMIKACINA 500 MG AMPOLLA</t>
  </si>
  <si>
    <t xml:space="preserve">AMOXICILINA  400 MG + CLAULANICO 57 MG  SUSPENSIÓN </t>
  </si>
  <si>
    <t>AMOXICILINA + CLAVULANICO 1 G COMPRIMIDO</t>
  </si>
  <si>
    <t>ANFOTERICINA B VIAL 50 MG</t>
  </si>
  <si>
    <t>ATRACURIUM 50 MG AMPOLLA</t>
  </si>
  <si>
    <t>AZITROMICINA 200 MG / 5 ML SUSPENCION</t>
  </si>
  <si>
    <t xml:space="preserve">AZITROMICINA 500 MG COMPRIMIDOS </t>
  </si>
  <si>
    <t>BUDESONIDE AEROSOL 200 MCG/PUFF ( 100 DOSIS )</t>
  </si>
  <si>
    <t>BUDESONIDE SOLUCION 0,1%</t>
  </si>
  <si>
    <t>CEFTAZIDIMA 1G FCO AMPOLLA</t>
  </si>
  <si>
    <t>CEFTRIAXONA 1 GR FCO AMPOLLA *</t>
  </si>
  <si>
    <t>CLARITROMICINA 250 MG SUSPENSIÓN X 90 ML</t>
  </si>
  <si>
    <t>CLARITROMICINA 500 MG COMPRIMIDO</t>
  </si>
  <si>
    <t>CLINDAMICINA 600 MG AMPOLLA</t>
  </si>
  <si>
    <t>CLONIDINA AMPOLLAS</t>
  </si>
  <si>
    <t>CLORURO DE POTASIO 223 MG/ML AMPOLLA</t>
  </si>
  <si>
    <t>CLORURO DE SODIO AL 20% AMPOLLAS</t>
  </si>
  <si>
    <t>COLISTINA 100 MG FCO AMPOLLA</t>
  </si>
  <si>
    <t>COMPLEJO B AMPOLLAS TIPO BECOZYM NF</t>
  </si>
  <si>
    <t>COMPLEJO B COMPRIMIDOS TIPO BECOZYM NF</t>
  </si>
  <si>
    <t>COTRIMOXAZOL(TRIMETOPRINA +SULFAMETOXAZOL)80MG/400MG AMPOLLA</t>
  </si>
  <si>
    <t>COTRIMOXAZOL(TRIMETOPRINA +SULFAMETOXAZOL)COMPRIMIDOS 160MG/800MG</t>
  </si>
  <si>
    <t>COTRIMOXAZOL(TRIMETOPRINA +SULFAMETOXAZOL)SUSPENSION 40MG/200MG/5ML</t>
  </si>
  <si>
    <t>DEXAMETASONA 8 MG AMPOLLA</t>
  </si>
  <si>
    <t>DEXAMETASONA 8 MG COMPRIMIDO</t>
  </si>
  <si>
    <t>DEXMETOMIDINA 200MG /2 ML</t>
  </si>
  <si>
    <t>DIAZEPAM 10 MG AMPOLLA</t>
  </si>
  <si>
    <t>DOBUTAMINA AMPOLLA</t>
  </si>
  <si>
    <t>DOPAMINA 200 MG  AMPOLLA</t>
  </si>
  <si>
    <t>ENOXAPARINA 40 MG AMPOLLA PRELLENA</t>
  </si>
  <si>
    <t>FENOBARBITAL 200MG AMPOLLAS</t>
  </si>
  <si>
    <t>FENTANILO 250 MCG INYECTABLE</t>
  </si>
  <si>
    <t>FLUCONAZOL 100 MG COMPRIMIDOS</t>
  </si>
  <si>
    <t>FLUCONAZOL 200 MG SACHET 100 ML</t>
  </si>
  <si>
    <t>FLUCONAZOL 50MG/5ML SUSENSION X 35 ML</t>
  </si>
  <si>
    <t>GENTAMICINA 80 MG AMPOLLA</t>
  </si>
  <si>
    <t>GLUCONATO DE CALCIO 10 % AMPOLLA</t>
  </si>
  <si>
    <t>HEPARINA SODICA 5000 UI FCO AMPOLLA</t>
  </si>
  <si>
    <t>HIDROCORTISONA 100 MG FCO AMPOLLA</t>
  </si>
  <si>
    <t>HIDROCORTISONA 500 MG FCO AMPOLLA</t>
  </si>
  <si>
    <t>IBUPROFENO 2% SUSPENSIÓN</t>
  </si>
  <si>
    <t>IBUPROFENO 400 MG COMPRIMIDO</t>
  </si>
  <si>
    <t>IMIPENEM+CILASTATINA 500MG FCO AMPOLLA</t>
  </si>
  <si>
    <t>IPRATROPIO SOLUCION PARA NEBULIZAR 0,1%GOTAS</t>
  </si>
  <si>
    <t>ITRACONAZOL 100 MG COMPRIMIDO</t>
  </si>
  <si>
    <t>KETAMINA 50MG/ML FCO AMPOLLA</t>
  </si>
  <si>
    <t>LABETALOL 20 MG AMPOLLA</t>
  </si>
  <si>
    <t>LEVOFLOXACINA 500 MG COMPRIMIDO</t>
  </si>
  <si>
    <t>LORAZEPAM 4 MG/2ML AMPOLLA</t>
  </si>
  <si>
    <t>MEROPENEM 1000MG FCO AMPOLLA</t>
  </si>
  <si>
    <t>MEROPENEM 500MG FCO AMPOLLA</t>
  </si>
  <si>
    <t>METILPREDNISOLONA 500 MG FCO AMPOLLA</t>
  </si>
  <si>
    <t>METILPREDNISONA 40 MG COMPRIMIDO</t>
  </si>
  <si>
    <t>METILPREDNISONA 4MG/ML AMPOLLA</t>
  </si>
  <si>
    <t>METILPREDNISONA 8MG COMPRIMIDO</t>
  </si>
  <si>
    <t>METRONIDAZOL 500 MG COMPRIMIDO</t>
  </si>
  <si>
    <t>METRONIDAZOL 500 MG SACHET</t>
  </si>
  <si>
    <t>MIDAZOLAM 15 MG AMPOLLA</t>
  </si>
  <si>
    <t>MORFINA 10 MG AMPOLLA</t>
  </si>
  <si>
    <t>NITROGLICERINA 25 MG AMPOLLA</t>
  </si>
  <si>
    <t>NITROPRUSIATO SODIO 50 MG VIAL</t>
  </si>
  <si>
    <t>NORADRENALINA AMPOLLA</t>
  </si>
  <si>
    <t>OMEPRAZOL 40 MG FCO AMP ENDOVENOSO</t>
  </si>
  <si>
    <t>PANCURONIO 4 MG/ ML</t>
  </si>
  <si>
    <t>PARACETAMOL 1GR COMPRIMIDO</t>
  </si>
  <si>
    <t>PARACETAMOL 1GR ML FRASCO AMPOLLA</t>
  </si>
  <si>
    <t>PARACETAMOL 2% JARABE</t>
  </si>
  <si>
    <t>PARACETAMOL 500 MG COMPRIMIDO</t>
  </si>
  <si>
    <t>PIPERACILINA 4 GRS + TAZOBACTAM 500 MG FCO AMPOLLA</t>
  </si>
  <si>
    <t>PROPOFOL 1% AMPOLLAS X 20 ML</t>
  </si>
  <si>
    <t>PROPOFOL 1% FCO AMPOLLAS VIAL X 50 ML</t>
  </si>
  <si>
    <t>REMIFENTANILO 5 MG FCO AMPOLLA</t>
  </si>
  <si>
    <t xml:space="preserve">SALBUTAMOL AEROSOL CON  AEROCAMARA </t>
  </si>
  <si>
    <t>SALBUTAMOL GOTAS</t>
  </si>
  <si>
    <t>SUCCINILCOLINA 500 MG FCO AMP</t>
  </si>
  <si>
    <t>SUCRALFATO SUSPENSIÓN 1GR/ML x 200 ml</t>
  </si>
  <si>
    <t>TIOPENTAL SODICO 1GR FRASCO AMPOLLA</t>
  </si>
  <si>
    <t>TRAMADOL 50 MG AMPOLLA</t>
  </si>
  <si>
    <t>VANCOMICINA 1000 MG FCO AMP</t>
  </si>
  <si>
    <t>VANCOMICINA 500 MG FCO AMP</t>
  </si>
  <si>
    <t>VECURONIO BROMURO 10 MG AMPOLLA</t>
  </si>
  <si>
    <t>VITAMINA C  200 MG/ ML AMPOLLA</t>
  </si>
  <si>
    <t>VITAMINA C 2 GR COMPRIMIDO EFERVESCENTES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</si>
  <si>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</si>
  <si>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t>Costo total estimado: Trece Millones Cuatrocientos Cuarenta y Ocho Mil dieciseis con 00/100.</t>
  </si>
  <si>
    <t>TOTAL DE PESOS: Trece Millones Cuatrocientos Cuarenta y Ocho Mil dieciseis con 00/100..</t>
  </si>
  <si>
    <t>090/2021</t>
  </si>
  <si>
    <t>Para la adquisición de Medicamentos uso Covid destinados al Servicio de Farmacia del Hospital Interzonal de Niños Eva Peron, para el normal funcionamiento del organismo.</t>
  </si>
  <si>
    <t>Medicamentos Uso Covid</t>
  </si>
  <si>
    <t>PRODUCTOS FARMACEUTICOS Y MEDICINALES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</si>
</sst>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5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6" fillId="0" borderId="38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5" xfId="0" applyFont="1" applyBorder="1"/>
    <xf numFmtId="0" fontId="18" fillId="0" borderId="6" xfId="0" applyFont="1" applyBorder="1"/>
    <xf numFmtId="0" fontId="18" fillId="0" borderId="7" xfId="0" applyFont="1" applyBorder="1"/>
    <xf numFmtId="0" fontId="18" fillId="0" borderId="0" xfId="0" applyFont="1" applyBorder="1"/>
    <xf numFmtId="167" fontId="18" fillId="0" borderId="0" xfId="0" applyNumberFormat="1" applyFont="1"/>
    <xf numFmtId="0" fontId="8" fillId="3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7" fillId="3" borderId="4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7" fontId="7" fillId="3" borderId="2" xfId="1" applyNumberFormat="1" applyFont="1" applyFill="1" applyBorder="1" applyAlignment="1" applyProtection="1">
      <alignment horizontal="right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70" fontId="23" fillId="0" borderId="0" xfId="0" applyNumberFormat="1" applyFont="1"/>
    <xf numFmtId="170" fontId="24" fillId="0" borderId="0" xfId="0" applyNumberFormat="1" applyFont="1" applyAlignment="1">
      <alignment horizontal="left" wrapText="1"/>
    </xf>
    <xf numFmtId="168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7" fillId="3" borderId="56" xfId="0" applyFont="1" applyFill="1" applyBorder="1" applyAlignment="1">
      <alignment horizontal="left" vertical="center"/>
    </xf>
    <xf numFmtId="0" fontId="7" fillId="4" borderId="56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 wrapText="1"/>
    </xf>
    <xf numFmtId="0" fontId="7" fillId="3" borderId="58" xfId="0" applyFont="1" applyFill="1" applyBorder="1" applyAlignment="1">
      <alignment horizontal="left" vertical="center"/>
    </xf>
    <xf numFmtId="0" fontId="25" fillId="0" borderId="4" xfId="0" applyFont="1" applyBorder="1" applyAlignment="1">
      <alignment horizontal="left" indent="3"/>
    </xf>
    <xf numFmtId="0" fontId="17" fillId="0" borderId="59" xfId="5" applyFont="1" applyFill="1" applyBorder="1" applyAlignment="1">
      <alignment vertical="center" wrapText="1"/>
    </xf>
    <xf numFmtId="0" fontId="17" fillId="0" borderId="59" xfId="0" applyFont="1" applyFill="1" applyBorder="1" applyAlignment="1">
      <alignment vertical="center" wrapText="1"/>
    </xf>
    <xf numFmtId="0" fontId="17" fillId="0" borderId="56" xfId="0" applyFont="1" applyFill="1" applyBorder="1" applyAlignment="1">
      <alignment vertical="center" wrapText="1"/>
    </xf>
    <xf numFmtId="0" fontId="29" fillId="0" borderId="56" xfId="8" applyFont="1" applyFill="1" applyBorder="1" applyAlignment="1">
      <alignment vertical="center" wrapText="1"/>
    </xf>
    <xf numFmtId="0" fontId="17" fillId="0" borderId="56" xfId="8" applyFont="1" applyFill="1" applyBorder="1" applyAlignment="1">
      <alignment horizontal="left" vertical="center" wrapText="1"/>
    </xf>
    <xf numFmtId="0" fontId="18" fillId="0" borderId="0" xfId="0" applyFont="1" applyFill="1"/>
    <xf numFmtId="0" fontId="21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center" wrapText="1"/>
    </xf>
    <xf numFmtId="170" fontId="24" fillId="0" borderId="0" xfId="0" applyNumberFormat="1" applyFont="1" applyFill="1" applyAlignment="1">
      <alignment horizontal="left" wrapText="1"/>
    </xf>
    <xf numFmtId="0" fontId="22" fillId="0" borderId="16" xfId="0" applyFont="1" applyFill="1" applyBorder="1" applyAlignment="1">
      <alignment horizontal="center" vertical="center" wrapText="1"/>
    </xf>
    <xf numFmtId="170" fontId="27" fillId="0" borderId="16" xfId="0" applyNumberFormat="1" applyFont="1" applyFill="1" applyBorder="1" applyAlignment="1">
      <alignment horizontal="center" vertical="center" wrapText="1"/>
    </xf>
    <xf numFmtId="0" fontId="23" fillId="0" borderId="42" xfId="0" applyFont="1" applyFill="1" applyBorder="1" applyAlignment="1">
      <alignment horizontal="center" vertical="center"/>
    </xf>
    <xf numFmtId="0" fontId="0" fillId="0" borderId="2" xfId="0" applyFill="1" applyBorder="1"/>
    <xf numFmtId="0" fontId="17" fillId="0" borderId="2" xfId="0" applyFont="1" applyFill="1" applyBorder="1" applyAlignment="1">
      <alignment wrapText="1"/>
    </xf>
    <xf numFmtId="0" fontId="2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164" fontId="29" fillId="0" borderId="56" xfId="0" applyNumberFormat="1" applyFont="1" applyFill="1" applyBorder="1" applyAlignment="1">
      <alignment horizontal="center" vertical="center" wrapText="1"/>
    </xf>
    <xf numFmtId="164" fontId="23" fillId="0" borderId="3" xfId="1" applyNumberFormat="1" applyFont="1" applyFill="1" applyBorder="1" applyAlignment="1" applyProtection="1">
      <alignment horizontal="right" vertical="center" wrapText="1"/>
    </xf>
    <xf numFmtId="0" fontId="0" fillId="0" borderId="56" xfId="0" applyFill="1" applyBorder="1"/>
    <xf numFmtId="0" fontId="17" fillId="0" borderId="56" xfId="0" applyFont="1" applyFill="1" applyBorder="1" applyAlignment="1">
      <alignment wrapText="1"/>
    </xf>
    <xf numFmtId="164" fontId="17" fillId="0" borderId="60" xfId="0" applyNumberFormat="1" applyFont="1" applyFill="1" applyBorder="1" applyAlignment="1">
      <alignment horizontal="center"/>
    </xf>
    <xf numFmtId="164" fontId="23" fillId="0" borderId="57" xfId="1" applyNumberFormat="1" applyFont="1" applyFill="1" applyBorder="1" applyAlignment="1" applyProtection="1">
      <alignment horizontal="right" vertical="center" wrapText="1"/>
    </xf>
    <xf numFmtId="164" fontId="17" fillId="0" borderId="56" xfId="0" applyNumberFormat="1" applyFont="1" applyFill="1" applyBorder="1" applyAlignment="1">
      <alignment horizontal="center"/>
    </xf>
    <xf numFmtId="164" fontId="17" fillId="0" borderId="56" xfId="0" applyNumberFormat="1" applyFont="1" applyFill="1" applyBorder="1" applyAlignment="1">
      <alignment horizontal="center" vertical="center" wrapText="1"/>
    </xf>
    <xf numFmtId="164" fontId="17" fillId="0" borderId="59" xfId="0" applyNumberFormat="1" applyFont="1" applyFill="1" applyBorder="1" applyAlignment="1">
      <alignment horizontal="center" vertical="center"/>
    </xf>
    <xf numFmtId="164" fontId="17" fillId="0" borderId="56" xfId="0" applyNumberFormat="1" applyFont="1" applyFill="1" applyBorder="1" applyAlignment="1">
      <alignment horizontal="center" vertical="center"/>
    </xf>
    <xf numFmtId="164" fontId="29" fillId="0" borderId="56" xfId="0" applyNumberFormat="1" applyFont="1" applyFill="1" applyBorder="1" applyAlignment="1">
      <alignment horizontal="center" wrapText="1"/>
    </xf>
    <xf numFmtId="0" fontId="0" fillId="0" borderId="56" xfId="0" applyFill="1" applyBorder="1" applyAlignment="1">
      <alignment horizontal="center"/>
    </xf>
    <xf numFmtId="164" fontId="17" fillId="0" borderId="59" xfId="0" applyNumberFormat="1" applyFont="1" applyFill="1" applyBorder="1" applyAlignment="1">
      <alignment horizontal="center"/>
    </xf>
    <xf numFmtId="164" fontId="17" fillId="0" borderId="59" xfId="0" applyNumberFormat="1" applyFont="1" applyFill="1" applyBorder="1" applyAlignment="1">
      <alignment horizontal="center" vertical="center" wrapText="1"/>
    </xf>
    <xf numFmtId="164" fontId="29" fillId="0" borderId="56" xfId="0" applyNumberFormat="1" applyFont="1" applyFill="1" applyBorder="1" applyAlignment="1">
      <alignment horizontal="center" vertical="center"/>
    </xf>
    <xf numFmtId="164" fontId="0" fillId="3" borderId="0" xfId="0" applyNumberFormat="1" applyFont="1" applyFill="1" applyBorder="1" applyAlignment="1">
      <alignment horizontal="center" vertical="center" wrapText="1"/>
    </xf>
    <xf numFmtId="0" fontId="25" fillId="0" borderId="9" xfId="0" applyFont="1" applyBorder="1" applyAlignment="1"/>
    <xf numFmtId="0" fontId="18" fillId="0" borderId="10" xfId="0" applyFont="1" applyBorder="1" applyAlignment="1">
      <alignment horizontal="center" wrapText="1"/>
    </xf>
    <xf numFmtId="0" fontId="18" fillId="0" borderId="10" xfId="0" applyFont="1" applyFill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7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2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0" fontId="10" fillId="3" borderId="17" xfId="0" applyFont="1" applyFill="1" applyBorder="1" applyAlignment="1">
      <alignment horizontal="left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168" fontId="10" fillId="3" borderId="16" xfId="0" applyNumberFormat="1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14" fillId="0" borderId="13" xfId="0" applyFont="1" applyBorder="1" applyAlignment="1">
      <alignment horizontal="left" indent="1"/>
    </xf>
    <xf numFmtId="0" fontId="7" fillId="0" borderId="15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28" fillId="0" borderId="30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2" fillId="0" borderId="21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03"/>
  <sheetViews>
    <sheetView tabSelected="1" topLeftCell="A66" zoomScale="93" zoomScaleNormal="93" workbookViewId="0">
      <selection activeCell="C7" sqref="C7"/>
    </sheetView>
  </sheetViews>
  <sheetFormatPr baseColWidth="10" defaultColWidth="11" defaultRowHeight="12.75" x14ac:dyDescent="0.2"/>
  <cols>
    <col min="1" max="1" width="6.42578125" style="26" customWidth="1"/>
    <col min="2" max="2" width="1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 customWidth="1"/>
    <col min="7" max="7" width="10.42578125" style="26" customWidth="1"/>
    <col min="8" max="8" width="13.85546875" style="50" customWidth="1"/>
    <col min="9" max="9" width="18.5703125" style="26" customWidth="1"/>
    <col min="10" max="10" width="11" style="26"/>
    <col min="11" max="11" width="13.140625" style="26" customWidth="1"/>
    <col min="12" max="16384" width="11" style="26"/>
  </cols>
  <sheetData>
    <row r="2" spans="1:9" ht="27" x14ac:dyDescent="0.35">
      <c r="B2" s="110" t="s">
        <v>0</v>
      </c>
      <c r="C2" s="110"/>
      <c r="D2" s="110"/>
      <c r="E2" s="110"/>
      <c r="F2" s="110"/>
      <c r="G2" s="110"/>
      <c r="H2" s="110"/>
    </row>
    <row r="3" spans="1:9" ht="12" customHeight="1" x14ac:dyDescent="0.2"/>
    <row r="4" spans="1:9" ht="28.5" customHeight="1" x14ac:dyDescent="0.25">
      <c r="A4" s="106" t="s">
        <v>1</v>
      </c>
      <c r="B4" s="106"/>
      <c r="C4" s="111" t="s">
        <v>52</v>
      </c>
      <c r="D4" s="111"/>
      <c r="E4" s="111"/>
      <c r="F4" s="27"/>
      <c r="G4" s="28"/>
      <c r="H4" s="51"/>
    </row>
    <row r="5" spans="1:9" ht="18" customHeight="1" x14ac:dyDescent="0.25">
      <c r="A5" s="106" t="s">
        <v>2</v>
      </c>
      <c r="B5" s="106"/>
      <c r="C5" s="111" t="s">
        <v>51</v>
      </c>
      <c r="D5" s="111"/>
      <c r="E5" s="111"/>
      <c r="F5" s="27"/>
      <c r="G5" s="28" t="s">
        <v>55</v>
      </c>
      <c r="H5" s="51"/>
    </row>
    <row r="6" spans="1:9" ht="16.5" customHeight="1" x14ac:dyDescent="0.25">
      <c r="A6" s="106" t="s">
        <v>3</v>
      </c>
      <c r="B6" s="106"/>
      <c r="C6" s="42">
        <v>2021</v>
      </c>
      <c r="D6" s="43"/>
      <c r="E6" s="43"/>
      <c r="F6" s="27"/>
      <c r="G6" s="28"/>
      <c r="H6" s="51"/>
    </row>
    <row r="7" spans="1:9" ht="16.5" customHeight="1" x14ac:dyDescent="0.25">
      <c r="A7" s="106" t="s">
        <v>4</v>
      </c>
      <c r="B7" s="106"/>
      <c r="C7" s="42">
        <v>2</v>
      </c>
      <c r="D7" s="43"/>
      <c r="E7" s="43"/>
      <c r="F7" s="27"/>
      <c r="G7" s="28"/>
      <c r="H7" s="51"/>
    </row>
    <row r="8" spans="1:9" ht="13.5" thickBot="1" x14ac:dyDescent="0.25">
      <c r="A8" s="74"/>
      <c r="B8" s="75"/>
      <c r="C8" s="76"/>
      <c r="D8" s="75"/>
      <c r="E8" s="75"/>
      <c r="F8" s="75"/>
      <c r="G8" s="76"/>
      <c r="H8" s="77"/>
      <c r="I8" s="74"/>
    </row>
    <row r="9" spans="1:9" ht="36.75" thickBot="1" x14ac:dyDescent="0.25">
      <c r="A9" s="78" t="s">
        <v>5</v>
      </c>
      <c r="B9" s="78" t="s">
        <v>6</v>
      </c>
      <c r="C9" s="78" t="s">
        <v>7</v>
      </c>
      <c r="D9" s="78" t="s">
        <v>8</v>
      </c>
      <c r="E9" s="78" t="s">
        <v>9</v>
      </c>
      <c r="F9" s="78" t="s">
        <v>10</v>
      </c>
      <c r="G9" s="78" t="s">
        <v>11</v>
      </c>
      <c r="H9" s="79" t="s">
        <v>12</v>
      </c>
      <c r="I9" s="78" t="s">
        <v>13</v>
      </c>
    </row>
    <row r="10" spans="1:9" ht="26.25" thickBot="1" x14ac:dyDescent="0.25">
      <c r="A10" s="80">
        <v>1</v>
      </c>
      <c r="B10" s="81"/>
      <c r="C10" s="82" t="s">
        <v>57</v>
      </c>
      <c r="D10" s="83">
        <v>252</v>
      </c>
      <c r="E10" s="70" t="s">
        <v>63</v>
      </c>
      <c r="F10" s="84" t="s">
        <v>58</v>
      </c>
      <c r="G10" s="85">
        <v>200</v>
      </c>
      <c r="H10" s="86">
        <v>55</v>
      </c>
      <c r="I10" s="87">
        <f>+G10*H10</f>
        <v>11000</v>
      </c>
    </row>
    <row r="11" spans="1:9" ht="26.25" thickBot="1" x14ac:dyDescent="0.25">
      <c r="A11" s="80">
        <v>2</v>
      </c>
      <c r="B11" s="88"/>
      <c r="C11" s="89" t="s">
        <v>57</v>
      </c>
      <c r="D11" s="83">
        <v>252</v>
      </c>
      <c r="E11" s="69" t="s">
        <v>64</v>
      </c>
      <c r="F11" s="85" t="s">
        <v>58</v>
      </c>
      <c r="G11" s="85">
        <v>300</v>
      </c>
      <c r="H11" s="90">
        <v>384</v>
      </c>
      <c r="I11" s="91">
        <f t="shared" ref="I11:I96" si="0">+G11*H11</f>
        <v>115200</v>
      </c>
    </row>
    <row r="12" spans="1:9" ht="26.25" thickBot="1" x14ac:dyDescent="0.25">
      <c r="A12" s="80">
        <v>3</v>
      </c>
      <c r="B12" s="88"/>
      <c r="C12" s="89" t="s">
        <v>57</v>
      </c>
      <c r="D12" s="83">
        <v>252</v>
      </c>
      <c r="E12" s="69" t="s">
        <v>65</v>
      </c>
      <c r="F12" s="85" t="s">
        <v>58</v>
      </c>
      <c r="G12" s="85">
        <v>20</v>
      </c>
      <c r="H12" s="90">
        <v>456.25</v>
      </c>
      <c r="I12" s="91">
        <f t="shared" si="0"/>
        <v>9125</v>
      </c>
    </row>
    <row r="13" spans="1:9" ht="26.25" thickBot="1" x14ac:dyDescent="0.25">
      <c r="A13" s="80">
        <v>4</v>
      </c>
      <c r="B13" s="88"/>
      <c r="C13" s="89" t="s">
        <v>57</v>
      </c>
      <c r="D13" s="83">
        <v>252</v>
      </c>
      <c r="E13" s="69" t="s">
        <v>66</v>
      </c>
      <c r="F13" s="85" t="s">
        <v>58</v>
      </c>
      <c r="G13" s="85">
        <v>1000</v>
      </c>
      <c r="H13" s="90">
        <v>0.98</v>
      </c>
      <c r="I13" s="91">
        <f t="shared" si="0"/>
        <v>980</v>
      </c>
    </row>
    <row r="14" spans="1:9" ht="26.25" thickBot="1" x14ac:dyDescent="0.25">
      <c r="A14" s="80">
        <v>5</v>
      </c>
      <c r="B14" s="88"/>
      <c r="C14" s="89" t="s">
        <v>57</v>
      </c>
      <c r="D14" s="83">
        <v>252</v>
      </c>
      <c r="E14" s="72" t="s">
        <v>67</v>
      </c>
      <c r="F14" s="85" t="s">
        <v>58</v>
      </c>
      <c r="G14" s="85">
        <v>300</v>
      </c>
      <c r="H14" s="86">
        <v>58</v>
      </c>
      <c r="I14" s="91">
        <f t="shared" ref="I14:I42" si="1">+G14*H14</f>
        <v>17400</v>
      </c>
    </row>
    <row r="15" spans="1:9" ht="26.25" thickBot="1" x14ac:dyDescent="0.25">
      <c r="A15" s="80">
        <v>6</v>
      </c>
      <c r="B15" s="88"/>
      <c r="C15" s="89" t="s">
        <v>57</v>
      </c>
      <c r="D15" s="83">
        <v>252</v>
      </c>
      <c r="E15" s="72" t="s">
        <v>68</v>
      </c>
      <c r="F15" s="85" t="s">
        <v>58</v>
      </c>
      <c r="G15" s="85">
        <v>200</v>
      </c>
      <c r="H15" s="92">
        <v>324.89999999999998</v>
      </c>
      <c r="I15" s="91">
        <f t="shared" si="1"/>
        <v>64979.999999999993</v>
      </c>
    </row>
    <row r="16" spans="1:9" ht="26.25" thickBot="1" x14ac:dyDescent="0.25">
      <c r="A16" s="80">
        <v>7</v>
      </c>
      <c r="B16" s="88"/>
      <c r="C16" s="89" t="s">
        <v>57</v>
      </c>
      <c r="D16" s="83">
        <v>252</v>
      </c>
      <c r="E16" s="71" t="s">
        <v>69</v>
      </c>
      <c r="F16" s="85" t="s">
        <v>58</v>
      </c>
      <c r="G16" s="85">
        <v>2000</v>
      </c>
      <c r="H16" s="86">
        <v>34</v>
      </c>
      <c r="I16" s="91">
        <f t="shared" si="1"/>
        <v>68000</v>
      </c>
    </row>
    <row r="17" spans="1:9" ht="26.25" thickBot="1" x14ac:dyDescent="0.25">
      <c r="A17" s="80">
        <v>8</v>
      </c>
      <c r="B17" s="88"/>
      <c r="C17" s="89" t="s">
        <v>57</v>
      </c>
      <c r="D17" s="83">
        <v>252</v>
      </c>
      <c r="E17" s="71" t="s">
        <v>70</v>
      </c>
      <c r="F17" s="85" t="s">
        <v>58</v>
      </c>
      <c r="G17" s="85">
        <v>10</v>
      </c>
      <c r="H17" s="92">
        <v>609.6</v>
      </c>
      <c r="I17" s="91">
        <f t="shared" si="1"/>
        <v>6096</v>
      </c>
    </row>
    <row r="18" spans="1:9" ht="26.25" thickBot="1" x14ac:dyDescent="0.25">
      <c r="A18" s="80">
        <v>9</v>
      </c>
      <c r="B18" s="88"/>
      <c r="C18" s="89" t="s">
        <v>57</v>
      </c>
      <c r="D18" s="83">
        <v>252</v>
      </c>
      <c r="E18" s="71" t="s">
        <v>71</v>
      </c>
      <c r="F18" s="85" t="s">
        <v>58</v>
      </c>
      <c r="G18" s="85">
        <v>300</v>
      </c>
      <c r="H18" s="93">
        <v>732</v>
      </c>
      <c r="I18" s="91">
        <f t="shared" si="1"/>
        <v>219600</v>
      </c>
    </row>
    <row r="19" spans="1:9" ht="26.25" thickBot="1" x14ac:dyDescent="0.25">
      <c r="A19" s="80">
        <v>10</v>
      </c>
      <c r="B19" s="88"/>
      <c r="C19" s="89" t="s">
        <v>57</v>
      </c>
      <c r="D19" s="83">
        <v>252</v>
      </c>
      <c r="E19" s="71" t="s">
        <v>72</v>
      </c>
      <c r="F19" s="85" t="s">
        <v>58</v>
      </c>
      <c r="G19" s="85">
        <v>100</v>
      </c>
      <c r="H19" s="86">
        <v>230</v>
      </c>
      <c r="I19" s="91">
        <f t="shared" si="1"/>
        <v>23000</v>
      </c>
    </row>
    <row r="20" spans="1:9" ht="26.25" thickBot="1" x14ac:dyDescent="0.25">
      <c r="A20" s="80">
        <v>11</v>
      </c>
      <c r="B20" s="88"/>
      <c r="C20" s="89" t="s">
        <v>57</v>
      </c>
      <c r="D20" s="83">
        <v>252</v>
      </c>
      <c r="E20" s="71" t="s">
        <v>73</v>
      </c>
      <c r="F20" s="85" t="s">
        <v>58</v>
      </c>
      <c r="G20" s="85">
        <v>3000</v>
      </c>
      <c r="H20" s="94">
        <v>35</v>
      </c>
      <c r="I20" s="91">
        <f t="shared" si="1"/>
        <v>105000</v>
      </c>
    </row>
    <row r="21" spans="1:9" ht="26.25" thickBot="1" x14ac:dyDescent="0.25">
      <c r="A21" s="80">
        <v>12</v>
      </c>
      <c r="B21" s="88"/>
      <c r="C21" s="89" t="s">
        <v>57</v>
      </c>
      <c r="D21" s="83">
        <v>252</v>
      </c>
      <c r="E21" s="73" t="s">
        <v>74</v>
      </c>
      <c r="F21" s="85" t="s">
        <v>58</v>
      </c>
      <c r="G21" s="85">
        <v>100</v>
      </c>
      <c r="H21" s="95">
        <v>482.31</v>
      </c>
      <c r="I21" s="91">
        <f t="shared" si="1"/>
        <v>48231</v>
      </c>
    </row>
    <row r="22" spans="1:9" ht="26.25" thickBot="1" x14ac:dyDescent="0.25">
      <c r="A22" s="80">
        <v>13</v>
      </c>
      <c r="B22" s="88"/>
      <c r="C22" s="89" t="s">
        <v>57</v>
      </c>
      <c r="D22" s="83">
        <v>252</v>
      </c>
      <c r="E22" s="73" t="s">
        <v>75</v>
      </c>
      <c r="F22" s="85" t="s">
        <v>58</v>
      </c>
      <c r="G22" s="85">
        <v>300</v>
      </c>
      <c r="H22" s="95">
        <v>225</v>
      </c>
      <c r="I22" s="91">
        <f t="shared" si="1"/>
        <v>67500</v>
      </c>
    </row>
    <row r="23" spans="1:9" ht="26.25" thickBot="1" x14ac:dyDescent="0.25">
      <c r="A23" s="80">
        <v>14</v>
      </c>
      <c r="B23" s="88"/>
      <c r="C23" s="89" t="s">
        <v>57</v>
      </c>
      <c r="D23" s="83">
        <v>252</v>
      </c>
      <c r="E23" s="73" t="s">
        <v>76</v>
      </c>
      <c r="F23" s="85" t="s">
        <v>58</v>
      </c>
      <c r="G23" s="85">
        <v>1000</v>
      </c>
      <c r="H23" s="95">
        <v>196.9</v>
      </c>
      <c r="I23" s="91">
        <f t="shared" si="1"/>
        <v>196900</v>
      </c>
    </row>
    <row r="24" spans="1:9" ht="26.25" thickBot="1" x14ac:dyDescent="0.25">
      <c r="A24" s="80">
        <v>15</v>
      </c>
      <c r="B24" s="88"/>
      <c r="C24" s="89" t="s">
        <v>57</v>
      </c>
      <c r="D24" s="83">
        <v>252</v>
      </c>
      <c r="E24" s="73" t="s">
        <v>77</v>
      </c>
      <c r="F24" s="85" t="s">
        <v>58</v>
      </c>
      <c r="G24" s="85">
        <v>1000</v>
      </c>
      <c r="H24" s="95">
        <v>120</v>
      </c>
      <c r="I24" s="91">
        <f t="shared" si="1"/>
        <v>120000</v>
      </c>
    </row>
    <row r="25" spans="1:9" ht="26.25" thickBot="1" x14ac:dyDescent="0.25">
      <c r="A25" s="80">
        <v>16</v>
      </c>
      <c r="B25" s="88"/>
      <c r="C25" s="89" t="s">
        <v>57</v>
      </c>
      <c r="D25" s="83">
        <v>252</v>
      </c>
      <c r="E25" s="73" t="s">
        <v>78</v>
      </c>
      <c r="F25" s="85" t="s">
        <v>58</v>
      </c>
      <c r="G25" s="85">
        <v>300</v>
      </c>
      <c r="H25" s="94">
        <v>560</v>
      </c>
      <c r="I25" s="91">
        <f t="shared" si="1"/>
        <v>168000</v>
      </c>
    </row>
    <row r="26" spans="1:9" ht="26.25" thickBot="1" x14ac:dyDescent="0.25">
      <c r="A26" s="80">
        <v>17</v>
      </c>
      <c r="B26" s="88"/>
      <c r="C26" s="89" t="s">
        <v>57</v>
      </c>
      <c r="D26" s="83">
        <v>252</v>
      </c>
      <c r="E26" s="71" t="s">
        <v>79</v>
      </c>
      <c r="F26" s="85" t="s">
        <v>58</v>
      </c>
      <c r="G26" s="85">
        <v>100</v>
      </c>
      <c r="H26" s="95">
        <v>35</v>
      </c>
      <c r="I26" s="91">
        <f t="shared" si="1"/>
        <v>3500</v>
      </c>
    </row>
    <row r="27" spans="1:9" ht="26.25" thickBot="1" x14ac:dyDescent="0.25">
      <c r="A27" s="80">
        <v>18</v>
      </c>
      <c r="B27" s="88"/>
      <c r="C27" s="89" t="s">
        <v>57</v>
      </c>
      <c r="D27" s="83">
        <v>252</v>
      </c>
      <c r="E27" s="71" t="s">
        <v>80</v>
      </c>
      <c r="F27" s="85" t="s">
        <v>58</v>
      </c>
      <c r="G27" s="85">
        <v>500</v>
      </c>
      <c r="H27" s="93">
        <v>62</v>
      </c>
      <c r="I27" s="91">
        <f t="shared" si="1"/>
        <v>31000</v>
      </c>
    </row>
    <row r="28" spans="1:9" ht="26.25" thickBot="1" x14ac:dyDescent="0.25">
      <c r="A28" s="80">
        <v>19</v>
      </c>
      <c r="B28" s="88"/>
      <c r="C28" s="89" t="s">
        <v>57</v>
      </c>
      <c r="D28" s="83">
        <v>252</v>
      </c>
      <c r="E28" s="71" t="s">
        <v>81</v>
      </c>
      <c r="F28" s="85" t="s">
        <v>58</v>
      </c>
      <c r="G28" s="85">
        <v>500</v>
      </c>
      <c r="H28" s="93">
        <v>42</v>
      </c>
      <c r="I28" s="91">
        <f t="shared" si="1"/>
        <v>21000</v>
      </c>
    </row>
    <row r="29" spans="1:9" ht="26.25" thickBot="1" x14ac:dyDescent="0.25">
      <c r="A29" s="80">
        <v>20</v>
      </c>
      <c r="B29" s="88"/>
      <c r="C29" s="89" t="s">
        <v>57</v>
      </c>
      <c r="D29" s="83">
        <v>252</v>
      </c>
      <c r="E29" s="71" t="s">
        <v>82</v>
      </c>
      <c r="F29" s="85" t="s">
        <v>58</v>
      </c>
      <c r="G29" s="85">
        <v>2000</v>
      </c>
      <c r="H29" s="95">
        <v>30</v>
      </c>
      <c r="I29" s="91">
        <f t="shared" si="1"/>
        <v>60000</v>
      </c>
    </row>
    <row r="30" spans="1:9" ht="26.25" thickBot="1" x14ac:dyDescent="0.25">
      <c r="A30" s="80">
        <v>21</v>
      </c>
      <c r="B30" s="88"/>
      <c r="C30" s="89" t="s">
        <v>57</v>
      </c>
      <c r="D30" s="83">
        <v>252</v>
      </c>
      <c r="E30" s="71" t="s">
        <v>83</v>
      </c>
      <c r="F30" s="85" t="s">
        <v>58</v>
      </c>
      <c r="G30" s="85">
        <v>3000</v>
      </c>
      <c r="H30" s="95">
        <v>34</v>
      </c>
      <c r="I30" s="91">
        <f t="shared" si="1"/>
        <v>102000</v>
      </c>
    </row>
    <row r="31" spans="1:9" ht="26.25" thickBot="1" x14ac:dyDescent="0.25">
      <c r="A31" s="80">
        <v>22</v>
      </c>
      <c r="B31" s="88"/>
      <c r="C31" s="89" t="s">
        <v>57</v>
      </c>
      <c r="D31" s="83">
        <v>252</v>
      </c>
      <c r="E31" s="73" t="s">
        <v>84</v>
      </c>
      <c r="F31" s="85" t="s">
        <v>58</v>
      </c>
      <c r="G31" s="85">
        <v>100</v>
      </c>
      <c r="H31" s="92">
        <v>405</v>
      </c>
      <c r="I31" s="91">
        <f t="shared" si="1"/>
        <v>40500</v>
      </c>
    </row>
    <row r="32" spans="1:9" ht="26.25" thickBot="1" x14ac:dyDescent="0.25">
      <c r="A32" s="80">
        <v>23</v>
      </c>
      <c r="B32" s="88"/>
      <c r="C32" s="89" t="s">
        <v>57</v>
      </c>
      <c r="D32" s="83">
        <v>252</v>
      </c>
      <c r="E32" s="73" t="s">
        <v>85</v>
      </c>
      <c r="F32" s="85" t="s">
        <v>58</v>
      </c>
      <c r="G32" s="85">
        <v>1000</v>
      </c>
      <c r="H32" s="96">
        <v>62</v>
      </c>
      <c r="I32" s="91">
        <f t="shared" si="1"/>
        <v>62000</v>
      </c>
    </row>
    <row r="33" spans="1:9" ht="26.25" thickBot="1" x14ac:dyDescent="0.25">
      <c r="A33" s="80">
        <v>24</v>
      </c>
      <c r="B33" s="88"/>
      <c r="C33" s="89" t="s">
        <v>57</v>
      </c>
      <c r="D33" s="83">
        <v>252</v>
      </c>
      <c r="E33" s="71" t="s">
        <v>86</v>
      </c>
      <c r="F33" s="85" t="s">
        <v>58</v>
      </c>
      <c r="G33" s="85">
        <v>1000</v>
      </c>
      <c r="H33" s="96">
        <v>22</v>
      </c>
      <c r="I33" s="91">
        <f t="shared" si="1"/>
        <v>22000</v>
      </c>
    </row>
    <row r="34" spans="1:9" ht="26.25" thickBot="1" x14ac:dyDescent="0.25">
      <c r="A34" s="80">
        <v>25</v>
      </c>
      <c r="B34" s="88"/>
      <c r="C34" s="89" t="s">
        <v>57</v>
      </c>
      <c r="D34" s="83">
        <v>252</v>
      </c>
      <c r="E34" s="73" t="s">
        <v>87</v>
      </c>
      <c r="F34" s="85" t="s">
        <v>58</v>
      </c>
      <c r="G34" s="85">
        <v>100</v>
      </c>
      <c r="H34" s="86">
        <v>214</v>
      </c>
      <c r="I34" s="91">
        <f t="shared" si="1"/>
        <v>21400</v>
      </c>
    </row>
    <row r="35" spans="1:9" ht="26.25" thickBot="1" x14ac:dyDescent="0.25">
      <c r="A35" s="80">
        <v>26</v>
      </c>
      <c r="B35" s="88"/>
      <c r="C35" s="89" t="s">
        <v>57</v>
      </c>
      <c r="D35" s="83">
        <v>252</v>
      </c>
      <c r="E35" s="73" t="s">
        <v>88</v>
      </c>
      <c r="F35" s="85" t="s">
        <v>58</v>
      </c>
      <c r="G35" s="85">
        <v>200</v>
      </c>
      <c r="H35" s="92">
        <v>7.2</v>
      </c>
      <c r="I35" s="91">
        <f t="shared" si="1"/>
        <v>1440</v>
      </c>
    </row>
    <row r="36" spans="1:9" ht="26.25" thickBot="1" x14ac:dyDescent="0.25">
      <c r="A36" s="80">
        <v>27</v>
      </c>
      <c r="B36" s="88"/>
      <c r="C36" s="89" t="s">
        <v>57</v>
      </c>
      <c r="D36" s="83">
        <v>252</v>
      </c>
      <c r="E36" s="71" t="s">
        <v>89</v>
      </c>
      <c r="F36" s="85" t="s">
        <v>58</v>
      </c>
      <c r="G36" s="85">
        <v>200</v>
      </c>
      <c r="H36" s="86">
        <v>280</v>
      </c>
      <c r="I36" s="91">
        <f t="shared" si="1"/>
        <v>56000</v>
      </c>
    </row>
    <row r="37" spans="1:9" ht="26.25" thickBot="1" x14ac:dyDescent="0.25">
      <c r="A37" s="80">
        <v>28</v>
      </c>
      <c r="B37" s="88"/>
      <c r="C37" s="89" t="s">
        <v>57</v>
      </c>
      <c r="D37" s="83">
        <v>252</v>
      </c>
      <c r="E37" s="73" t="s">
        <v>90</v>
      </c>
      <c r="F37" s="85" t="s">
        <v>58</v>
      </c>
      <c r="G37" s="97">
        <v>2000</v>
      </c>
      <c r="H37" s="95">
        <v>35</v>
      </c>
      <c r="I37" s="91">
        <f t="shared" si="1"/>
        <v>70000</v>
      </c>
    </row>
    <row r="38" spans="1:9" ht="26.25" thickBot="1" x14ac:dyDescent="0.25">
      <c r="A38" s="80">
        <v>29</v>
      </c>
      <c r="B38" s="88"/>
      <c r="C38" s="89" t="s">
        <v>57</v>
      </c>
      <c r="D38" s="83">
        <v>252</v>
      </c>
      <c r="E38" s="73" t="s">
        <v>91</v>
      </c>
      <c r="F38" s="85" t="s">
        <v>58</v>
      </c>
      <c r="G38" s="85">
        <v>1000</v>
      </c>
      <c r="H38" s="95">
        <v>42</v>
      </c>
      <c r="I38" s="91">
        <f t="shared" si="1"/>
        <v>42000</v>
      </c>
    </row>
    <row r="39" spans="1:9" ht="26.25" thickBot="1" x14ac:dyDescent="0.25">
      <c r="A39" s="80">
        <v>30</v>
      </c>
      <c r="B39" s="88"/>
      <c r="C39" s="89" t="s">
        <v>57</v>
      </c>
      <c r="D39" s="83">
        <v>252</v>
      </c>
      <c r="E39" s="73" t="s">
        <v>92</v>
      </c>
      <c r="F39" s="85" t="s">
        <v>58</v>
      </c>
      <c r="G39" s="85">
        <v>200</v>
      </c>
      <c r="H39" s="98">
        <v>440</v>
      </c>
      <c r="I39" s="91">
        <f t="shared" si="1"/>
        <v>88000</v>
      </c>
    </row>
    <row r="40" spans="1:9" ht="26.25" thickBot="1" x14ac:dyDescent="0.25">
      <c r="A40" s="80">
        <v>31</v>
      </c>
      <c r="B40" s="88"/>
      <c r="C40" s="89" t="s">
        <v>57</v>
      </c>
      <c r="D40" s="83">
        <v>252</v>
      </c>
      <c r="E40" s="73" t="s">
        <v>93</v>
      </c>
      <c r="F40" s="85" t="s">
        <v>58</v>
      </c>
      <c r="G40" s="85">
        <v>1000</v>
      </c>
      <c r="H40" s="99">
        <v>35</v>
      </c>
      <c r="I40" s="91">
        <f t="shared" si="1"/>
        <v>35000</v>
      </c>
    </row>
    <row r="41" spans="1:9" ht="26.25" thickBot="1" x14ac:dyDescent="0.25">
      <c r="A41" s="80">
        <v>32</v>
      </c>
      <c r="B41" s="88"/>
      <c r="C41" s="89" t="s">
        <v>57</v>
      </c>
      <c r="D41" s="83">
        <v>252</v>
      </c>
      <c r="E41" s="73" t="s">
        <v>94</v>
      </c>
      <c r="F41" s="85" t="s">
        <v>58</v>
      </c>
      <c r="G41" s="85">
        <v>300</v>
      </c>
      <c r="H41" s="93">
        <v>304</v>
      </c>
      <c r="I41" s="91">
        <f t="shared" si="1"/>
        <v>91200</v>
      </c>
    </row>
    <row r="42" spans="1:9" ht="26.25" thickBot="1" x14ac:dyDescent="0.25">
      <c r="A42" s="80">
        <v>33</v>
      </c>
      <c r="B42" s="88"/>
      <c r="C42" s="89" t="s">
        <v>57</v>
      </c>
      <c r="D42" s="83">
        <v>252</v>
      </c>
      <c r="E42" s="73" t="s">
        <v>95</v>
      </c>
      <c r="F42" s="85" t="s">
        <v>58</v>
      </c>
      <c r="G42" s="85">
        <v>300</v>
      </c>
      <c r="H42" s="93">
        <v>85</v>
      </c>
      <c r="I42" s="91">
        <f t="shared" si="1"/>
        <v>25500</v>
      </c>
    </row>
    <row r="43" spans="1:9" ht="26.25" thickBot="1" x14ac:dyDescent="0.25">
      <c r="A43" s="80">
        <v>34</v>
      </c>
      <c r="B43" s="88"/>
      <c r="C43" s="89" t="s">
        <v>57</v>
      </c>
      <c r="D43" s="83">
        <v>252</v>
      </c>
      <c r="E43" s="69" t="s">
        <v>96</v>
      </c>
      <c r="F43" s="85" t="s">
        <v>58</v>
      </c>
      <c r="G43" s="85">
        <v>100</v>
      </c>
      <c r="H43" s="95">
        <v>1200</v>
      </c>
      <c r="I43" s="91">
        <f t="shared" si="0"/>
        <v>120000</v>
      </c>
    </row>
    <row r="44" spans="1:9" ht="26.25" thickBot="1" x14ac:dyDescent="0.25">
      <c r="A44" s="80">
        <v>35</v>
      </c>
      <c r="B44" s="88"/>
      <c r="C44" s="89" t="s">
        <v>57</v>
      </c>
      <c r="D44" s="83">
        <v>252</v>
      </c>
      <c r="E44" s="71" t="s">
        <v>97</v>
      </c>
      <c r="F44" s="85" t="s">
        <v>58</v>
      </c>
      <c r="G44" s="85">
        <v>500</v>
      </c>
      <c r="H44" s="93">
        <v>324.02</v>
      </c>
      <c r="I44" s="91">
        <f t="shared" si="0"/>
        <v>162010</v>
      </c>
    </row>
    <row r="45" spans="1:9" ht="26.25" thickBot="1" x14ac:dyDescent="0.25">
      <c r="A45" s="80">
        <v>36</v>
      </c>
      <c r="B45" s="88"/>
      <c r="C45" s="89" t="s">
        <v>57</v>
      </c>
      <c r="D45" s="83">
        <v>252</v>
      </c>
      <c r="E45" s="71" t="s">
        <v>98</v>
      </c>
      <c r="F45" s="85" t="s">
        <v>58</v>
      </c>
      <c r="G45" s="85">
        <v>3000</v>
      </c>
      <c r="H45" s="95">
        <v>387.2</v>
      </c>
      <c r="I45" s="91">
        <f t="shared" si="0"/>
        <v>1161600</v>
      </c>
    </row>
    <row r="46" spans="1:9" ht="26.25" thickBot="1" x14ac:dyDescent="0.25">
      <c r="A46" s="80">
        <v>37</v>
      </c>
      <c r="B46" s="88"/>
      <c r="C46" s="89" t="s">
        <v>57</v>
      </c>
      <c r="D46" s="83">
        <v>252</v>
      </c>
      <c r="E46" s="71" t="s">
        <v>99</v>
      </c>
      <c r="F46" s="85" t="s">
        <v>58</v>
      </c>
      <c r="G46" s="85">
        <v>100</v>
      </c>
      <c r="H46" s="98">
        <v>31.14</v>
      </c>
      <c r="I46" s="91">
        <f t="shared" si="0"/>
        <v>3114</v>
      </c>
    </row>
    <row r="47" spans="1:9" ht="26.25" thickBot="1" x14ac:dyDescent="0.25">
      <c r="A47" s="80">
        <v>38</v>
      </c>
      <c r="B47" s="88"/>
      <c r="C47" s="89" t="s">
        <v>57</v>
      </c>
      <c r="D47" s="83">
        <v>252</v>
      </c>
      <c r="E47" s="71" t="s">
        <v>100</v>
      </c>
      <c r="F47" s="85" t="s">
        <v>58</v>
      </c>
      <c r="G47" s="85">
        <v>200</v>
      </c>
      <c r="H47" s="98">
        <v>554</v>
      </c>
      <c r="I47" s="91">
        <f t="shared" si="0"/>
        <v>110800</v>
      </c>
    </row>
    <row r="48" spans="1:9" ht="26.25" thickBot="1" x14ac:dyDescent="0.25">
      <c r="A48" s="80">
        <v>39</v>
      </c>
      <c r="B48" s="88"/>
      <c r="C48" s="89" t="s">
        <v>57</v>
      </c>
      <c r="D48" s="83">
        <v>252</v>
      </c>
      <c r="E48" s="72" t="s">
        <v>101</v>
      </c>
      <c r="F48" s="85" t="s">
        <v>58</v>
      </c>
      <c r="G48" s="85">
        <v>20</v>
      </c>
      <c r="H48" s="92">
        <v>1800</v>
      </c>
      <c r="I48" s="91">
        <f t="shared" si="0"/>
        <v>36000</v>
      </c>
    </row>
    <row r="49" spans="1:9" ht="26.25" thickBot="1" x14ac:dyDescent="0.25">
      <c r="A49" s="80">
        <v>40</v>
      </c>
      <c r="B49" s="88"/>
      <c r="C49" s="89" t="s">
        <v>57</v>
      </c>
      <c r="D49" s="83">
        <v>252</v>
      </c>
      <c r="E49" s="72" t="s">
        <v>102</v>
      </c>
      <c r="F49" s="85" t="s">
        <v>58</v>
      </c>
      <c r="G49" s="85">
        <v>1000</v>
      </c>
      <c r="H49" s="86">
        <v>32.200000000000003</v>
      </c>
      <c r="I49" s="91">
        <f t="shared" si="0"/>
        <v>32200.000000000004</v>
      </c>
    </row>
    <row r="50" spans="1:9" ht="26.25" thickBot="1" x14ac:dyDescent="0.25">
      <c r="A50" s="80">
        <v>41</v>
      </c>
      <c r="B50" s="88"/>
      <c r="C50" s="89" t="s">
        <v>57</v>
      </c>
      <c r="D50" s="83">
        <v>252</v>
      </c>
      <c r="E50" s="71" t="s">
        <v>103</v>
      </c>
      <c r="F50" s="85" t="s">
        <v>58</v>
      </c>
      <c r="G50" s="85">
        <v>300</v>
      </c>
      <c r="H50" s="94">
        <v>34</v>
      </c>
      <c r="I50" s="91">
        <f t="shared" si="0"/>
        <v>10200</v>
      </c>
    </row>
    <row r="51" spans="1:9" ht="26.25" thickBot="1" x14ac:dyDescent="0.25">
      <c r="A51" s="80">
        <v>42</v>
      </c>
      <c r="B51" s="88"/>
      <c r="C51" s="89" t="s">
        <v>57</v>
      </c>
      <c r="D51" s="83">
        <v>252</v>
      </c>
      <c r="E51" s="71" t="s">
        <v>104</v>
      </c>
      <c r="F51" s="85" t="s">
        <v>58</v>
      </c>
      <c r="G51" s="85">
        <v>50</v>
      </c>
      <c r="H51" s="94">
        <v>699</v>
      </c>
      <c r="I51" s="91">
        <f t="shared" si="0"/>
        <v>34950</v>
      </c>
    </row>
    <row r="52" spans="1:9" ht="26.25" thickBot="1" x14ac:dyDescent="0.25">
      <c r="A52" s="80">
        <v>43</v>
      </c>
      <c r="B52" s="88"/>
      <c r="C52" s="89" t="s">
        <v>57</v>
      </c>
      <c r="D52" s="83">
        <v>252</v>
      </c>
      <c r="E52" s="71" t="s">
        <v>105</v>
      </c>
      <c r="F52" s="85" t="s">
        <v>58</v>
      </c>
      <c r="G52" s="85">
        <v>1000</v>
      </c>
      <c r="H52" s="95">
        <v>115.25</v>
      </c>
      <c r="I52" s="91">
        <f t="shared" si="0"/>
        <v>115250</v>
      </c>
    </row>
    <row r="53" spans="1:9" ht="26.25" thickBot="1" x14ac:dyDescent="0.25">
      <c r="A53" s="80">
        <v>44</v>
      </c>
      <c r="B53" s="88"/>
      <c r="C53" s="89" t="s">
        <v>57</v>
      </c>
      <c r="D53" s="83">
        <v>252</v>
      </c>
      <c r="E53" s="71" t="s">
        <v>106</v>
      </c>
      <c r="F53" s="85" t="s">
        <v>58</v>
      </c>
      <c r="G53" s="85">
        <v>1000</v>
      </c>
      <c r="H53" s="95">
        <v>214.4</v>
      </c>
      <c r="I53" s="91">
        <f t="shared" si="0"/>
        <v>214400</v>
      </c>
    </row>
    <row r="54" spans="1:9" ht="26.25" thickBot="1" x14ac:dyDescent="0.25">
      <c r="A54" s="80">
        <v>45</v>
      </c>
      <c r="B54" s="88"/>
      <c r="C54" s="89" t="s">
        <v>57</v>
      </c>
      <c r="D54" s="83">
        <v>252</v>
      </c>
      <c r="E54" s="71" t="s">
        <v>107</v>
      </c>
      <c r="F54" s="85" t="s">
        <v>58</v>
      </c>
      <c r="G54" s="85">
        <v>1000</v>
      </c>
      <c r="H54" s="94">
        <v>59.2</v>
      </c>
      <c r="I54" s="91">
        <f t="shared" si="0"/>
        <v>59200</v>
      </c>
    </row>
    <row r="55" spans="1:9" ht="26.25" thickBot="1" x14ac:dyDescent="0.25">
      <c r="A55" s="80">
        <v>46</v>
      </c>
      <c r="B55" s="88"/>
      <c r="C55" s="89" t="s">
        <v>57</v>
      </c>
      <c r="D55" s="83">
        <v>252</v>
      </c>
      <c r="E55" s="71" t="s">
        <v>108</v>
      </c>
      <c r="F55" s="85" t="s">
        <v>58</v>
      </c>
      <c r="G55" s="85">
        <v>3000</v>
      </c>
      <c r="H55" s="95">
        <v>4</v>
      </c>
      <c r="I55" s="91">
        <f t="shared" si="0"/>
        <v>12000</v>
      </c>
    </row>
    <row r="56" spans="1:9" ht="26.25" thickBot="1" x14ac:dyDescent="0.25">
      <c r="A56" s="80">
        <v>47</v>
      </c>
      <c r="B56" s="88"/>
      <c r="C56" s="89" t="s">
        <v>57</v>
      </c>
      <c r="D56" s="83">
        <v>252</v>
      </c>
      <c r="E56" s="73" t="s">
        <v>109</v>
      </c>
      <c r="F56" s="85" t="s">
        <v>58</v>
      </c>
      <c r="G56" s="85">
        <v>100</v>
      </c>
      <c r="H56" s="92">
        <v>530</v>
      </c>
      <c r="I56" s="91">
        <f t="shared" si="0"/>
        <v>53000</v>
      </c>
    </row>
    <row r="57" spans="1:9" ht="26.25" thickBot="1" x14ac:dyDescent="0.25">
      <c r="A57" s="80">
        <v>48</v>
      </c>
      <c r="B57" s="88"/>
      <c r="C57" s="89" t="s">
        <v>57</v>
      </c>
      <c r="D57" s="83">
        <v>252</v>
      </c>
      <c r="E57" s="73" t="s">
        <v>110</v>
      </c>
      <c r="F57" s="85" t="s">
        <v>58</v>
      </c>
      <c r="G57" s="85">
        <v>500</v>
      </c>
      <c r="H57" s="94">
        <v>92</v>
      </c>
      <c r="I57" s="91">
        <f t="shared" si="0"/>
        <v>46000</v>
      </c>
    </row>
    <row r="58" spans="1:9" ht="26.25" thickBot="1" x14ac:dyDescent="0.25">
      <c r="A58" s="80">
        <v>49</v>
      </c>
      <c r="B58" s="88"/>
      <c r="C58" s="89" t="s">
        <v>57</v>
      </c>
      <c r="D58" s="83">
        <v>252</v>
      </c>
      <c r="E58" s="73" t="s">
        <v>111</v>
      </c>
      <c r="F58" s="85" t="s">
        <v>58</v>
      </c>
      <c r="G58" s="85">
        <v>100</v>
      </c>
      <c r="H58" s="92">
        <v>90</v>
      </c>
      <c r="I58" s="91">
        <f t="shared" ref="I58:I77" si="2">+G58*H58</f>
        <v>9000</v>
      </c>
    </row>
    <row r="59" spans="1:9" ht="26.25" thickBot="1" x14ac:dyDescent="0.25">
      <c r="A59" s="80">
        <v>50</v>
      </c>
      <c r="B59" s="88"/>
      <c r="C59" s="89" t="s">
        <v>57</v>
      </c>
      <c r="D59" s="83">
        <v>252</v>
      </c>
      <c r="E59" s="73" t="s">
        <v>112</v>
      </c>
      <c r="F59" s="85" t="s">
        <v>58</v>
      </c>
      <c r="G59" s="85">
        <v>500</v>
      </c>
      <c r="H59" s="95">
        <v>2013</v>
      </c>
      <c r="I59" s="91">
        <f t="shared" si="2"/>
        <v>1006500</v>
      </c>
    </row>
    <row r="60" spans="1:9" ht="26.25" thickBot="1" x14ac:dyDescent="0.25">
      <c r="A60" s="80">
        <v>51</v>
      </c>
      <c r="B60" s="88"/>
      <c r="C60" s="89" t="s">
        <v>57</v>
      </c>
      <c r="D60" s="83">
        <v>252</v>
      </c>
      <c r="E60" s="73" t="s">
        <v>113</v>
      </c>
      <c r="F60" s="85" t="s">
        <v>58</v>
      </c>
      <c r="G60" s="85">
        <v>100</v>
      </c>
      <c r="H60" s="100">
        <v>148</v>
      </c>
      <c r="I60" s="91">
        <f t="shared" si="2"/>
        <v>14800</v>
      </c>
    </row>
    <row r="61" spans="1:9" ht="26.25" thickBot="1" x14ac:dyDescent="0.25">
      <c r="A61" s="80">
        <v>52</v>
      </c>
      <c r="B61" s="88"/>
      <c r="C61" s="89" t="s">
        <v>57</v>
      </c>
      <c r="D61" s="83">
        <v>252</v>
      </c>
      <c r="E61" s="71" t="s">
        <v>114</v>
      </c>
      <c r="F61" s="85" t="s">
        <v>58</v>
      </c>
      <c r="G61" s="85">
        <v>50</v>
      </c>
      <c r="H61" s="95">
        <v>41</v>
      </c>
      <c r="I61" s="91">
        <f t="shared" si="2"/>
        <v>2050</v>
      </c>
    </row>
    <row r="62" spans="1:9" ht="26.25" thickBot="1" x14ac:dyDescent="0.25">
      <c r="A62" s="80">
        <v>53</v>
      </c>
      <c r="B62" s="88"/>
      <c r="C62" s="89" t="s">
        <v>57</v>
      </c>
      <c r="D62" s="83">
        <v>252</v>
      </c>
      <c r="E62" s="71" t="s">
        <v>115</v>
      </c>
      <c r="F62" s="85" t="s">
        <v>58</v>
      </c>
      <c r="G62" s="85">
        <v>1000</v>
      </c>
      <c r="H62" s="93">
        <v>280</v>
      </c>
      <c r="I62" s="91">
        <f t="shared" si="2"/>
        <v>280000</v>
      </c>
    </row>
    <row r="63" spans="1:9" ht="26.25" thickBot="1" x14ac:dyDescent="0.25">
      <c r="A63" s="80">
        <v>54</v>
      </c>
      <c r="B63" s="88"/>
      <c r="C63" s="89" t="s">
        <v>57</v>
      </c>
      <c r="D63" s="83">
        <v>252</v>
      </c>
      <c r="E63" s="71" t="s">
        <v>116</v>
      </c>
      <c r="F63" s="85" t="s">
        <v>58</v>
      </c>
      <c r="G63" s="85">
        <v>100</v>
      </c>
      <c r="H63" s="95">
        <v>528</v>
      </c>
      <c r="I63" s="91">
        <f t="shared" si="2"/>
        <v>52800</v>
      </c>
    </row>
    <row r="64" spans="1:9" ht="26.25" thickBot="1" x14ac:dyDescent="0.25">
      <c r="A64" s="80">
        <v>55</v>
      </c>
      <c r="B64" s="88"/>
      <c r="C64" s="89" t="s">
        <v>57</v>
      </c>
      <c r="D64" s="83">
        <v>252</v>
      </c>
      <c r="E64" s="71" t="s">
        <v>117</v>
      </c>
      <c r="F64" s="85" t="s">
        <v>58</v>
      </c>
      <c r="G64" s="85">
        <v>300</v>
      </c>
      <c r="H64" s="95">
        <v>296.89999999999998</v>
      </c>
      <c r="I64" s="91">
        <f t="shared" si="2"/>
        <v>89070</v>
      </c>
    </row>
    <row r="65" spans="1:9" ht="26.25" thickBot="1" x14ac:dyDescent="0.25">
      <c r="A65" s="80">
        <v>56</v>
      </c>
      <c r="B65" s="88"/>
      <c r="C65" s="89" t="s">
        <v>57</v>
      </c>
      <c r="D65" s="83">
        <v>252</v>
      </c>
      <c r="E65" s="71" t="s">
        <v>118</v>
      </c>
      <c r="F65" s="85" t="s">
        <v>58</v>
      </c>
      <c r="G65" s="85">
        <v>100</v>
      </c>
      <c r="H65" s="95">
        <v>617</v>
      </c>
      <c r="I65" s="91">
        <f t="shared" si="2"/>
        <v>61700</v>
      </c>
    </row>
    <row r="66" spans="1:9" ht="26.25" thickBot="1" x14ac:dyDescent="0.25">
      <c r="A66" s="80">
        <v>57</v>
      </c>
      <c r="B66" s="88"/>
      <c r="C66" s="89" t="s">
        <v>57</v>
      </c>
      <c r="D66" s="83">
        <v>252</v>
      </c>
      <c r="E66" s="73" t="s">
        <v>119</v>
      </c>
      <c r="F66" s="85" t="s">
        <v>58</v>
      </c>
      <c r="G66" s="85">
        <v>2000</v>
      </c>
      <c r="H66" s="95">
        <v>47</v>
      </c>
      <c r="I66" s="91">
        <f t="shared" si="2"/>
        <v>94000</v>
      </c>
    </row>
    <row r="67" spans="1:9" ht="26.25" thickBot="1" x14ac:dyDescent="0.25">
      <c r="A67" s="80">
        <v>58</v>
      </c>
      <c r="B67" s="88"/>
      <c r="C67" s="89" t="s">
        <v>57</v>
      </c>
      <c r="D67" s="83">
        <v>252</v>
      </c>
      <c r="E67" s="73" t="s">
        <v>120</v>
      </c>
      <c r="F67" s="85" t="s">
        <v>58</v>
      </c>
      <c r="G67" s="85">
        <v>2000</v>
      </c>
      <c r="H67" s="95">
        <v>17</v>
      </c>
      <c r="I67" s="91">
        <f t="shared" si="2"/>
        <v>34000</v>
      </c>
    </row>
    <row r="68" spans="1:9" ht="26.25" thickBot="1" x14ac:dyDescent="0.25">
      <c r="A68" s="80">
        <v>59</v>
      </c>
      <c r="B68" s="88"/>
      <c r="C68" s="89" t="s">
        <v>57</v>
      </c>
      <c r="D68" s="83">
        <v>252</v>
      </c>
      <c r="E68" s="71" t="s">
        <v>121</v>
      </c>
      <c r="F68" s="85" t="s">
        <v>58</v>
      </c>
      <c r="G68" s="85">
        <v>2000</v>
      </c>
      <c r="H68" s="95">
        <v>21</v>
      </c>
      <c r="I68" s="91">
        <f t="shared" si="2"/>
        <v>42000</v>
      </c>
    </row>
    <row r="69" spans="1:9" ht="26.25" thickBot="1" x14ac:dyDescent="0.25">
      <c r="A69" s="80">
        <v>60</v>
      </c>
      <c r="B69" s="88"/>
      <c r="C69" s="89" t="s">
        <v>57</v>
      </c>
      <c r="D69" s="83">
        <v>252</v>
      </c>
      <c r="E69" s="73" t="s">
        <v>122</v>
      </c>
      <c r="F69" s="85" t="s">
        <v>58</v>
      </c>
      <c r="G69" s="85">
        <v>1000</v>
      </c>
      <c r="H69" s="95">
        <v>8.9</v>
      </c>
      <c r="I69" s="91">
        <f t="shared" si="2"/>
        <v>8900</v>
      </c>
    </row>
    <row r="70" spans="1:9" ht="26.25" thickBot="1" x14ac:dyDescent="0.25">
      <c r="A70" s="80">
        <v>61</v>
      </c>
      <c r="B70" s="88"/>
      <c r="C70" s="89" t="s">
        <v>57</v>
      </c>
      <c r="D70" s="83">
        <v>252</v>
      </c>
      <c r="E70" s="73" t="s">
        <v>123</v>
      </c>
      <c r="F70" s="85" t="s">
        <v>58</v>
      </c>
      <c r="G70" s="85">
        <v>500</v>
      </c>
      <c r="H70" s="95">
        <v>80</v>
      </c>
      <c r="I70" s="91">
        <f t="shared" si="2"/>
        <v>40000</v>
      </c>
    </row>
    <row r="71" spans="1:9" ht="26.25" thickBot="1" x14ac:dyDescent="0.25">
      <c r="A71" s="80">
        <v>62</v>
      </c>
      <c r="B71" s="88"/>
      <c r="C71" s="89" t="s">
        <v>57</v>
      </c>
      <c r="D71" s="83">
        <v>252</v>
      </c>
      <c r="E71" s="71" t="s">
        <v>124</v>
      </c>
      <c r="F71" s="85" t="s">
        <v>58</v>
      </c>
      <c r="G71" s="85">
        <v>3000</v>
      </c>
      <c r="H71" s="93">
        <v>514.25</v>
      </c>
      <c r="I71" s="91">
        <f t="shared" si="2"/>
        <v>1542750</v>
      </c>
    </row>
    <row r="72" spans="1:9" ht="26.25" thickBot="1" x14ac:dyDescent="0.25">
      <c r="A72" s="80">
        <v>63</v>
      </c>
      <c r="B72" s="88"/>
      <c r="C72" s="89" t="s">
        <v>57</v>
      </c>
      <c r="D72" s="83">
        <v>252</v>
      </c>
      <c r="E72" s="73" t="s">
        <v>125</v>
      </c>
      <c r="F72" s="85" t="s">
        <v>58</v>
      </c>
      <c r="G72" s="97">
        <v>2000</v>
      </c>
      <c r="H72" s="86">
        <v>89</v>
      </c>
      <c r="I72" s="91">
        <f t="shared" si="2"/>
        <v>178000</v>
      </c>
    </row>
    <row r="73" spans="1:9" ht="26.25" thickBot="1" x14ac:dyDescent="0.25">
      <c r="A73" s="80">
        <v>64</v>
      </c>
      <c r="B73" s="88"/>
      <c r="C73" s="89" t="s">
        <v>57</v>
      </c>
      <c r="D73" s="83">
        <v>252</v>
      </c>
      <c r="E73" s="73" t="s">
        <v>126</v>
      </c>
      <c r="F73" s="85" t="s">
        <v>58</v>
      </c>
      <c r="G73" s="85">
        <v>100</v>
      </c>
      <c r="H73" s="95">
        <v>255</v>
      </c>
      <c r="I73" s="91">
        <f t="shared" si="2"/>
        <v>25500</v>
      </c>
    </row>
    <row r="74" spans="1:9" ht="26.25" thickBot="1" x14ac:dyDescent="0.25">
      <c r="A74" s="80">
        <v>65</v>
      </c>
      <c r="B74" s="88"/>
      <c r="C74" s="89" t="s">
        <v>57</v>
      </c>
      <c r="D74" s="83">
        <v>252</v>
      </c>
      <c r="E74" s="73" t="s">
        <v>127</v>
      </c>
      <c r="F74" s="85" t="s">
        <v>58</v>
      </c>
      <c r="G74" s="85">
        <v>100</v>
      </c>
      <c r="H74" s="95">
        <v>650</v>
      </c>
      <c r="I74" s="91">
        <f t="shared" si="2"/>
        <v>65000</v>
      </c>
    </row>
    <row r="75" spans="1:9" ht="26.25" thickBot="1" x14ac:dyDescent="0.25">
      <c r="A75" s="80">
        <v>66</v>
      </c>
      <c r="B75" s="88"/>
      <c r="C75" s="89" t="s">
        <v>57</v>
      </c>
      <c r="D75" s="83">
        <v>252</v>
      </c>
      <c r="E75" s="73" t="s">
        <v>128</v>
      </c>
      <c r="F75" s="85" t="s">
        <v>58</v>
      </c>
      <c r="G75" s="85">
        <v>200</v>
      </c>
      <c r="H75" s="93">
        <v>120</v>
      </c>
      <c r="I75" s="91">
        <f t="shared" si="2"/>
        <v>24000</v>
      </c>
    </row>
    <row r="76" spans="1:9" ht="26.25" thickBot="1" x14ac:dyDescent="0.25">
      <c r="A76" s="80">
        <v>67</v>
      </c>
      <c r="B76" s="88"/>
      <c r="C76" s="89" t="s">
        <v>57</v>
      </c>
      <c r="D76" s="83">
        <v>252</v>
      </c>
      <c r="E76" s="73" t="s">
        <v>129</v>
      </c>
      <c r="F76" s="85" t="s">
        <v>58</v>
      </c>
      <c r="G76" s="85">
        <v>400</v>
      </c>
      <c r="H76" s="94">
        <v>250</v>
      </c>
      <c r="I76" s="91">
        <f t="shared" si="2"/>
        <v>100000</v>
      </c>
    </row>
    <row r="77" spans="1:9" ht="26.25" thickBot="1" x14ac:dyDescent="0.25">
      <c r="A77" s="80">
        <v>68</v>
      </c>
      <c r="B77" s="88"/>
      <c r="C77" s="89" t="s">
        <v>57</v>
      </c>
      <c r="D77" s="83">
        <v>252</v>
      </c>
      <c r="E77" s="73" t="s">
        <v>130</v>
      </c>
      <c r="F77" s="85" t="s">
        <v>58</v>
      </c>
      <c r="G77" s="85">
        <v>1000</v>
      </c>
      <c r="H77" s="86">
        <v>248</v>
      </c>
      <c r="I77" s="91">
        <f t="shared" si="2"/>
        <v>248000</v>
      </c>
    </row>
    <row r="78" spans="1:9" ht="26.25" thickBot="1" x14ac:dyDescent="0.25">
      <c r="A78" s="80">
        <v>69</v>
      </c>
      <c r="B78" s="88"/>
      <c r="C78" s="89" t="s">
        <v>57</v>
      </c>
      <c r="D78" s="83">
        <v>252</v>
      </c>
      <c r="E78" s="73" t="s">
        <v>131</v>
      </c>
      <c r="F78" s="85" t="s">
        <v>58</v>
      </c>
      <c r="G78" s="85">
        <v>500</v>
      </c>
      <c r="H78" s="95">
        <v>7</v>
      </c>
      <c r="I78" s="91">
        <f t="shared" si="0"/>
        <v>3500</v>
      </c>
    </row>
    <row r="79" spans="1:9" ht="26.25" thickBot="1" x14ac:dyDescent="0.25">
      <c r="A79" s="80">
        <v>70</v>
      </c>
      <c r="B79" s="88"/>
      <c r="C79" s="89" t="s">
        <v>57</v>
      </c>
      <c r="D79" s="83">
        <v>252</v>
      </c>
      <c r="E79" s="73" t="s">
        <v>132</v>
      </c>
      <c r="F79" s="85" t="s">
        <v>58</v>
      </c>
      <c r="G79" s="85">
        <v>50</v>
      </c>
      <c r="H79" s="93">
        <v>864.4</v>
      </c>
      <c r="I79" s="91">
        <f t="shared" si="0"/>
        <v>43220</v>
      </c>
    </row>
    <row r="80" spans="1:9" ht="26.25" thickBot="1" x14ac:dyDescent="0.25">
      <c r="A80" s="80">
        <v>71</v>
      </c>
      <c r="B80" s="88"/>
      <c r="C80" s="89" t="s">
        <v>57</v>
      </c>
      <c r="D80" s="83">
        <v>252</v>
      </c>
      <c r="E80" s="73" t="s">
        <v>133</v>
      </c>
      <c r="F80" s="85" t="s">
        <v>58</v>
      </c>
      <c r="G80" s="85">
        <v>200</v>
      </c>
      <c r="H80" s="95">
        <v>159.19999999999999</v>
      </c>
      <c r="I80" s="91">
        <f t="shared" si="0"/>
        <v>31839.999999999996</v>
      </c>
    </row>
    <row r="81" spans="1:9" ht="26.25" thickBot="1" x14ac:dyDescent="0.25">
      <c r="A81" s="80">
        <v>72</v>
      </c>
      <c r="B81" s="88"/>
      <c r="C81" s="89" t="s">
        <v>57</v>
      </c>
      <c r="D81" s="83">
        <v>252</v>
      </c>
      <c r="E81" s="71" t="s">
        <v>134</v>
      </c>
      <c r="F81" s="85" t="s">
        <v>58</v>
      </c>
      <c r="G81" s="85">
        <v>4000</v>
      </c>
      <c r="H81" s="93">
        <v>4</v>
      </c>
      <c r="I81" s="91">
        <f t="shared" si="0"/>
        <v>16000</v>
      </c>
    </row>
    <row r="82" spans="1:9" ht="26.25" thickBot="1" x14ac:dyDescent="0.25">
      <c r="A82" s="80">
        <v>73</v>
      </c>
      <c r="B82" s="88"/>
      <c r="C82" s="89" t="s">
        <v>57</v>
      </c>
      <c r="D82" s="83">
        <v>252</v>
      </c>
      <c r="E82" s="71" t="s">
        <v>135</v>
      </c>
      <c r="F82" s="85" t="s">
        <v>58</v>
      </c>
      <c r="G82" s="85">
        <v>500</v>
      </c>
      <c r="H82" s="95">
        <v>345</v>
      </c>
      <c r="I82" s="91">
        <f t="shared" si="0"/>
        <v>172500</v>
      </c>
    </row>
    <row r="83" spans="1:9" ht="26.25" thickBot="1" x14ac:dyDescent="0.25">
      <c r="A83" s="80">
        <v>74</v>
      </c>
      <c r="B83" s="88"/>
      <c r="C83" s="89" t="s">
        <v>57</v>
      </c>
      <c r="D83" s="83">
        <v>252</v>
      </c>
      <c r="E83" s="71" t="s">
        <v>136</v>
      </c>
      <c r="F83" s="85" t="s">
        <v>58</v>
      </c>
      <c r="G83" s="85">
        <v>400</v>
      </c>
      <c r="H83" s="95">
        <v>859.1</v>
      </c>
      <c r="I83" s="91">
        <f t="shared" si="0"/>
        <v>343640</v>
      </c>
    </row>
    <row r="84" spans="1:9" ht="26.25" thickBot="1" x14ac:dyDescent="0.25">
      <c r="A84" s="80">
        <v>75</v>
      </c>
      <c r="B84" s="88"/>
      <c r="C84" s="89" t="s">
        <v>57</v>
      </c>
      <c r="D84" s="83">
        <v>252</v>
      </c>
      <c r="E84" s="71" t="s">
        <v>137</v>
      </c>
      <c r="F84" s="85" t="s">
        <v>58</v>
      </c>
      <c r="G84" s="85">
        <v>200</v>
      </c>
      <c r="H84" s="95">
        <v>860</v>
      </c>
      <c r="I84" s="91">
        <f t="shared" si="0"/>
        <v>172000</v>
      </c>
    </row>
    <row r="85" spans="1:9" ht="26.25" thickBot="1" x14ac:dyDescent="0.25">
      <c r="A85" s="80">
        <v>76</v>
      </c>
      <c r="B85" s="88"/>
      <c r="C85" s="89" t="s">
        <v>57</v>
      </c>
      <c r="D85" s="83">
        <v>252</v>
      </c>
      <c r="E85" s="73" t="s">
        <v>138</v>
      </c>
      <c r="F85" s="85" t="s">
        <v>58</v>
      </c>
      <c r="G85" s="85">
        <v>1000</v>
      </c>
      <c r="H85" s="95">
        <v>690</v>
      </c>
      <c r="I85" s="91">
        <f t="shared" si="0"/>
        <v>690000</v>
      </c>
    </row>
    <row r="86" spans="1:9" ht="26.25" thickBot="1" x14ac:dyDescent="0.25">
      <c r="A86" s="80">
        <v>77</v>
      </c>
      <c r="B86" s="88"/>
      <c r="C86" s="89" t="s">
        <v>57</v>
      </c>
      <c r="D86" s="83">
        <v>252</v>
      </c>
      <c r="E86" s="73" t="s">
        <v>139</v>
      </c>
      <c r="F86" s="85" t="s">
        <v>58</v>
      </c>
      <c r="G86" s="85">
        <v>3000</v>
      </c>
      <c r="H86" s="95">
        <v>980</v>
      </c>
      <c r="I86" s="91">
        <f t="shared" si="0"/>
        <v>2940000</v>
      </c>
    </row>
    <row r="87" spans="1:9" ht="26.25" thickBot="1" x14ac:dyDescent="0.25">
      <c r="A87" s="80">
        <v>78</v>
      </c>
      <c r="B87" s="88"/>
      <c r="C87" s="89" t="s">
        <v>57</v>
      </c>
      <c r="D87" s="83">
        <v>252</v>
      </c>
      <c r="E87" s="71" t="s">
        <v>140</v>
      </c>
      <c r="F87" s="85" t="s">
        <v>58</v>
      </c>
      <c r="G87" s="85">
        <v>500</v>
      </c>
      <c r="H87" s="95">
        <v>42.86</v>
      </c>
      <c r="I87" s="91">
        <f t="shared" si="0"/>
        <v>21430</v>
      </c>
    </row>
    <row r="88" spans="1:9" ht="26.25" thickBot="1" x14ac:dyDescent="0.25">
      <c r="A88" s="80">
        <v>79</v>
      </c>
      <c r="B88" s="88"/>
      <c r="C88" s="89" t="s">
        <v>57</v>
      </c>
      <c r="D88" s="83">
        <v>252</v>
      </c>
      <c r="E88" s="73" t="s">
        <v>141</v>
      </c>
      <c r="F88" s="85" t="s">
        <v>58</v>
      </c>
      <c r="G88" s="85">
        <v>300</v>
      </c>
      <c r="H88" s="86">
        <v>242</v>
      </c>
      <c r="I88" s="91">
        <f t="shared" si="0"/>
        <v>72600</v>
      </c>
    </row>
    <row r="89" spans="1:9" ht="26.25" thickBot="1" x14ac:dyDescent="0.25">
      <c r="A89" s="80">
        <v>80</v>
      </c>
      <c r="B89" s="88"/>
      <c r="C89" s="89" t="s">
        <v>57</v>
      </c>
      <c r="D89" s="83">
        <v>252</v>
      </c>
      <c r="E89" s="73" t="s">
        <v>142</v>
      </c>
      <c r="F89" s="85" t="s">
        <v>58</v>
      </c>
      <c r="G89" s="85">
        <v>100</v>
      </c>
      <c r="H89" s="95">
        <v>560</v>
      </c>
      <c r="I89" s="91">
        <f t="shared" si="0"/>
        <v>56000</v>
      </c>
    </row>
    <row r="90" spans="1:9" ht="26.25" thickBot="1" x14ac:dyDescent="0.25">
      <c r="A90" s="80">
        <v>81</v>
      </c>
      <c r="B90" s="88"/>
      <c r="C90" s="89" t="s">
        <v>57</v>
      </c>
      <c r="D90" s="83">
        <v>252</v>
      </c>
      <c r="E90" s="71" t="s">
        <v>143</v>
      </c>
      <c r="F90" s="85" t="s">
        <v>58</v>
      </c>
      <c r="G90" s="85">
        <v>100</v>
      </c>
      <c r="H90" s="95">
        <v>890</v>
      </c>
      <c r="I90" s="91">
        <f t="shared" si="0"/>
        <v>89000</v>
      </c>
    </row>
    <row r="91" spans="1:9" ht="26.25" thickBot="1" x14ac:dyDescent="0.25">
      <c r="A91" s="80">
        <v>82</v>
      </c>
      <c r="B91" s="88"/>
      <c r="C91" s="89" t="s">
        <v>57</v>
      </c>
      <c r="D91" s="83">
        <v>252</v>
      </c>
      <c r="E91" s="73" t="s">
        <v>144</v>
      </c>
      <c r="F91" s="85" t="s">
        <v>58</v>
      </c>
      <c r="G91" s="97">
        <v>200</v>
      </c>
      <c r="H91" s="95">
        <v>39</v>
      </c>
      <c r="I91" s="91">
        <f t="shared" si="0"/>
        <v>7800</v>
      </c>
    </row>
    <row r="92" spans="1:9" ht="26.25" thickBot="1" x14ac:dyDescent="0.25">
      <c r="A92" s="80">
        <v>83</v>
      </c>
      <c r="B92" s="88"/>
      <c r="C92" s="89" t="s">
        <v>57</v>
      </c>
      <c r="D92" s="83">
        <v>252</v>
      </c>
      <c r="E92" s="73" t="s">
        <v>145</v>
      </c>
      <c r="F92" s="85" t="s">
        <v>58</v>
      </c>
      <c r="G92" s="85">
        <v>300</v>
      </c>
      <c r="H92" s="93">
        <v>286</v>
      </c>
      <c r="I92" s="91">
        <f t="shared" si="0"/>
        <v>85800</v>
      </c>
    </row>
    <row r="93" spans="1:9" ht="26.25" thickBot="1" x14ac:dyDescent="0.25">
      <c r="A93" s="80">
        <v>84</v>
      </c>
      <c r="B93" s="88"/>
      <c r="C93" s="89" t="s">
        <v>57</v>
      </c>
      <c r="D93" s="83">
        <v>252</v>
      </c>
      <c r="E93" s="73" t="s">
        <v>146</v>
      </c>
      <c r="F93" s="85" t="s">
        <v>58</v>
      </c>
      <c r="G93" s="85">
        <v>300</v>
      </c>
      <c r="H93" s="93">
        <v>180</v>
      </c>
      <c r="I93" s="91">
        <f t="shared" si="0"/>
        <v>54000</v>
      </c>
    </row>
    <row r="94" spans="1:9" ht="26.25" thickBot="1" x14ac:dyDescent="0.25">
      <c r="A94" s="80">
        <v>85</v>
      </c>
      <c r="B94" s="88"/>
      <c r="C94" s="89" t="s">
        <v>57</v>
      </c>
      <c r="D94" s="83">
        <v>252</v>
      </c>
      <c r="E94" s="73" t="s">
        <v>147</v>
      </c>
      <c r="F94" s="85" t="s">
        <v>58</v>
      </c>
      <c r="G94" s="85">
        <v>500</v>
      </c>
      <c r="H94" s="86">
        <v>634.67999999999995</v>
      </c>
      <c r="I94" s="91">
        <f t="shared" si="0"/>
        <v>317340</v>
      </c>
    </row>
    <row r="95" spans="1:9" ht="26.25" thickBot="1" x14ac:dyDescent="0.25">
      <c r="A95" s="80">
        <v>86</v>
      </c>
      <c r="B95" s="88"/>
      <c r="C95" s="89" t="s">
        <v>57</v>
      </c>
      <c r="D95" s="83">
        <v>252</v>
      </c>
      <c r="E95" s="73" t="s">
        <v>148</v>
      </c>
      <c r="F95" s="85" t="s">
        <v>58</v>
      </c>
      <c r="G95" s="85">
        <v>1000</v>
      </c>
      <c r="H95" s="93">
        <v>180</v>
      </c>
      <c r="I95" s="91">
        <f t="shared" si="0"/>
        <v>180000</v>
      </c>
    </row>
    <row r="96" spans="1:9" ht="25.5" x14ac:dyDescent="0.2">
      <c r="A96" s="80">
        <v>87</v>
      </c>
      <c r="B96" s="88"/>
      <c r="C96" s="89" t="s">
        <v>57</v>
      </c>
      <c r="D96" s="83">
        <v>252</v>
      </c>
      <c r="E96" s="73" t="s">
        <v>149</v>
      </c>
      <c r="F96" s="85" t="s">
        <v>58</v>
      </c>
      <c r="G96" s="85">
        <v>1000</v>
      </c>
      <c r="H96" s="93">
        <v>49</v>
      </c>
      <c r="I96" s="91">
        <f t="shared" si="0"/>
        <v>49000</v>
      </c>
    </row>
    <row r="97" spans="2:9" ht="13.5" thickBot="1" x14ac:dyDescent="0.25">
      <c r="H97" s="101"/>
      <c r="I97" s="33"/>
    </row>
    <row r="98" spans="2:9" x14ac:dyDescent="0.2">
      <c r="B98" s="68" t="s">
        <v>59</v>
      </c>
      <c r="C98" s="29"/>
      <c r="D98" s="29"/>
      <c r="E98" s="30"/>
      <c r="I98" s="33"/>
    </row>
    <row r="99" spans="2:9" ht="13.5" customHeight="1" x14ac:dyDescent="0.2">
      <c r="B99" s="107" t="s">
        <v>60</v>
      </c>
      <c r="C99" s="108"/>
      <c r="D99" s="108"/>
      <c r="E99" s="109"/>
    </row>
    <row r="100" spans="2:9" ht="25.5" customHeight="1" x14ac:dyDescent="0.2">
      <c r="B100" s="107"/>
      <c r="C100" s="108"/>
      <c r="D100" s="108"/>
      <c r="E100" s="109"/>
      <c r="F100" s="31"/>
      <c r="G100" s="32"/>
    </row>
    <row r="101" spans="2:9" ht="20.25" customHeight="1" x14ac:dyDescent="0.2">
      <c r="B101" s="107" t="s">
        <v>150</v>
      </c>
      <c r="C101" s="108"/>
      <c r="D101" s="108"/>
      <c r="E101" s="109"/>
      <c r="F101" s="31"/>
      <c r="G101" s="32"/>
    </row>
    <row r="102" spans="2:9" ht="13.5" thickBot="1" x14ac:dyDescent="0.25">
      <c r="B102" s="102" t="s">
        <v>61</v>
      </c>
      <c r="C102" s="103"/>
      <c r="D102" s="104"/>
      <c r="E102" s="105"/>
      <c r="F102" s="31"/>
      <c r="G102" s="32"/>
    </row>
    <row r="103" spans="2:9" ht="12" customHeight="1" x14ac:dyDescent="0.2"/>
  </sheetData>
  <autoFilter ref="A9:I96" xr:uid="{00000000-0009-0000-0000-000000000000}"/>
  <mergeCells count="9">
    <mergeCell ref="A6:B6"/>
    <mergeCell ref="A7:B7"/>
    <mergeCell ref="B99:E100"/>
    <mergeCell ref="B101:E101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9"/>
  <sheetViews>
    <sheetView topLeftCell="A15" zoomScale="80" zoomScaleNormal="80" workbookViewId="0">
      <selection activeCell="M17" sqref="M17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2" width="5.85546875" style="36" customWidth="1"/>
    <col min="13" max="13" width="17.570312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3" t="s">
        <v>14</v>
      </c>
      <c r="B1" s="113"/>
      <c r="C1" s="113"/>
      <c r="D1" s="113"/>
      <c r="E1" s="113"/>
      <c r="F1" s="113"/>
      <c r="G1" s="113"/>
      <c r="H1" s="113"/>
      <c r="I1" s="113"/>
      <c r="J1" s="34" t="s">
        <v>15</v>
      </c>
      <c r="K1" s="35" t="s">
        <v>153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14" t="s">
        <v>48</v>
      </c>
      <c r="B3" s="114"/>
      <c r="C3" s="114"/>
      <c r="D3" s="115" t="str">
        <f>'Necesidades Trimestrales'!C4</f>
        <v>040 - Ministerio de Salud</v>
      </c>
      <c r="E3" s="115"/>
      <c r="F3" s="115"/>
      <c r="G3" s="115"/>
      <c r="H3" s="115"/>
      <c r="I3" s="115"/>
      <c r="J3" s="115"/>
      <c r="K3" s="115"/>
    </row>
    <row r="4" spans="1:11" ht="18.75" customHeight="1" thickBot="1" x14ac:dyDescent="0.25">
      <c r="A4" s="116" t="s">
        <v>49</v>
      </c>
      <c r="B4" s="116"/>
      <c r="C4" s="116"/>
      <c r="D4" s="115" t="str">
        <f>'Necesidades Trimestrales'!C5</f>
        <v>024 - Hospital Interzonal de Niños</v>
      </c>
      <c r="E4" s="115"/>
      <c r="F4" s="115"/>
      <c r="G4" s="115"/>
      <c r="H4" s="115"/>
      <c r="I4" s="115"/>
      <c r="J4" s="115"/>
      <c r="K4" s="115"/>
    </row>
    <row r="5" spans="1:11" ht="18.75" customHeight="1" thickBot="1" x14ac:dyDescent="0.25">
      <c r="A5" s="116" t="s">
        <v>27</v>
      </c>
      <c r="B5" s="116"/>
      <c r="C5" s="116"/>
      <c r="D5" s="115" t="s">
        <v>51</v>
      </c>
      <c r="E5" s="115"/>
      <c r="F5" s="115"/>
      <c r="G5" s="115"/>
      <c r="H5" s="115"/>
      <c r="I5" s="115"/>
      <c r="J5" s="115"/>
      <c r="K5" s="115"/>
    </row>
    <row r="6" spans="1:11" ht="16.5" customHeight="1" thickBot="1" x14ac:dyDescent="0.25">
      <c r="A6" s="114" t="s">
        <v>50</v>
      </c>
      <c r="B6" s="114"/>
      <c r="C6" s="114"/>
      <c r="D6" s="115" t="s">
        <v>56</v>
      </c>
      <c r="E6" s="115"/>
      <c r="F6" s="115"/>
      <c r="G6" s="115"/>
      <c r="H6" s="115"/>
      <c r="I6" s="115"/>
      <c r="J6" s="115"/>
      <c r="K6" s="115"/>
    </row>
    <row r="7" spans="1:11" ht="16.5" customHeight="1" x14ac:dyDescent="0.2">
      <c r="A7" s="116" t="s">
        <v>16</v>
      </c>
      <c r="B7" s="116"/>
      <c r="C7" s="116"/>
      <c r="D7" s="115" t="str">
        <f>'Necesidades Trimestrales'!C7 &amp; "° Trimestre - Año " &amp; 'Necesidades Trimestrales'!C6</f>
        <v>2° Trimestre - Año 2021</v>
      </c>
      <c r="E7" s="115"/>
      <c r="F7" s="115"/>
      <c r="G7" s="115"/>
      <c r="H7" s="115"/>
      <c r="I7" s="115"/>
      <c r="J7" s="115"/>
      <c r="K7" s="115"/>
    </row>
    <row r="8" spans="1:11" ht="16.5" customHeight="1" x14ac:dyDescent="0.2">
      <c r="A8" s="119" t="s">
        <v>17</v>
      </c>
      <c r="B8" s="119"/>
      <c r="C8" s="119"/>
      <c r="D8" s="120" t="s">
        <v>155</v>
      </c>
      <c r="E8" s="120"/>
      <c r="F8" s="120"/>
      <c r="G8" s="120"/>
      <c r="H8" s="120"/>
      <c r="I8" s="120"/>
      <c r="J8" s="120"/>
      <c r="K8" s="120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21" t="s">
        <v>18</v>
      </c>
      <c r="B10" s="117" t="s">
        <v>19</v>
      </c>
      <c r="C10" s="117" t="s">
        <v>20</v>
      </c>
      <c r="D10" s="117"/>
      <c r="E10" s="117"/>
      <c r="F10" s="117"/>
      <c r="G10" s="117"/>
      <c r="H10" s="117" t="s">
        <v>21</v>
      </c>
      <c r="I10" s="117" t="s">
        <v>22</v>
      </c>
      <c r="J10" s="117" t="s">
        <v>23</v>
      </c>
      <c r="K10" s="118" t="s">
        <v>24</v>
      </c>
    </row>
    <row r="11" spans="1:11" ht="24" customHeight="1" thickBot="1" x14ac:dyDescent="0.25">
      <c r="A11" s="121"/>
      <c r="B11" s="117"/>
      <c r="C11" s="117"/>
      <c r="D11" s="117"/>
      <c r="E11" s="117"/>
      <c r="F11" s="117"/>
      <c r="G11" s="117"/>
      <c r="H11" s="117"/>
      <c r="I11" s="117"/>
      <c r="J11" s="117"/>
      <c r="K11" s="118"/>
    </row>
    <row r="12" spans="1:11" ht="27.75" customHeight="1" thickBot="1" x14ac:dyDescent="0.25">
      <c r="A12" s="44">
        <v>1</v>
      </c>
      <c r="B12" s="45"/>
      <c r="C12" s="112" t="str">
        <f>'Necesidades Trimestrales'!E10</f>
        <v>ACETIL CISTEINA 600 MG COMPRIMIDO EFERVESCENTE</v>
      </c>
      <c r="D12" s="112"/>
      <c r="E12" s="112"/>
      <c r="F12" s="112"/>
      <c r="G12" s="112"/>
      <c r="H12" s="46" t="s">
        <v>54</v>
      </c>
      <c r="I12" s="47" t="str">
        <f>'Necesidades Trimestrales'!F10</f>
        <v>UNIDAD</v>
      </c>
      <c r="J12" s="48">
        <f>+'Necesidades Trimestrales'!H10</f>
        <v>55</v>
      </c>
      <c r="K12" s="49">
        <f>+'Necesidades Trimestrales'!G10</f>
        <v>200</v>
      </c>
    </row>
    <row r="13" spans="1:11" ht="27.75" customHeight="1" thickBot="1" x14ac:dyDescent="0.25">
      <c r="A13" s="44">
        <v>2</v>
      </c>
      <c r="B13" s="64"/>
      <c r="C13" s="112" t="str">
        <f>'Necesidades Trimestrales'!E11</f>
        <v>ACICLOVIR 500 MG FCO AMPOLLA</v>
      </c>
      <c r="D13" s="112"/>
      <c r="E13" s="112"/>
      <c r="F13" s="112"/>
      <c r="G13" s="112"/>
      <c r="H13" s="65" t="s">
        <v>54</v>
      </c>
      <c r="I13" s="66" t="str">
        <f>'Necesidades Trimestrales'!F11</f>
        <v>UNIDAD</v>
      </c>
      <c r="J13" s="48">
        <f>+'Necesidades Trimestrales'!H11</f>
        <v>384</v>
      </c>
      <c r="K13" s="49">
        <f>+'Necesidades Trimestrales'!G11</f>
        <v>300</v>
      </c>
    </row>
    <row r="14" spans="1:11" ht="27.75" customHeight="1" thickBot="1" x14ac:dyDescent="0.25">
      <c r="A14" s="44">
        <v>3</v>
      </c>
      <c r="B14" s="64"/>
      <c r="C14" s="112" t="str">
        <f>'Necesidades Trimestrales'!E12</f>
        <v>ACICLOVIR 80 MG/ML SUSPENSIÓN X 200ML</v>
      </c>
      <c r="D14" s="112"/>
      <c r="E14" s="112"/>
      <c r="F14" s="112"/>
      <c r="G14" s="112"/>
      <c r="H14" s="65" t="s">
        <v>54</v>
      </c>
      <c r="I14" s="66" t="str">
        <f>'Necesidades Trimestrales'!F12</f>
        <v>UNIDAD</v>
      </c>
      <c r="J14" s="48">
        <f>+'Necesidades Trimestrales'!H12</f>
        <v>456.25</v>
      </c>
      <c r="K14" s="49">
        <f>+'Necesidades Trimestrales'!G12</f>
        <v>20</v>
      </c>
    </row>
    <row r="15" spans="1:11" ht="27.75" customHeight="1" thickBot="1" x14ac:dyDescent="0.25">
      <c r="A15" s="44">
        <v>4</v>
      </c>
      <c r="B15" s="64"/>
      <c r="C15" s="112" t="str">
        <f>'Necesidades Trimestrales'!E13</f>
        <v>ACIDO ACETIL SALICILICO 100 MG COMPRIMIDO</v>
      </c>
      <c r="D15" s="112"/>
      <c r="E15" s="112"/>
      <c r="F15" s="112"/>
      <c r="G15" s="112"/>
      <c r="H15" s="65" t="s">
        <v>62</v>
      </c>
      <c r="I15" s="66" t="str">
        <f>'Necesidades Trimestrales'!F13</f>
        <v>UNIDAD</v>
      </c>
      <c r="J15" s="48">
        <f>+'Necesidades Trimestrales'!H13</f>
        <v>0.98</v>
      </c>
      <c r="K15" s="49">
        <f>+'Necesidades Trimestrales'!G13</f>
        <v>1000</v>
      </c>
    </row>
    <row r="16" spans="1:11" ht="27.75" customHeight="1" thickBot="1" x14ac:dyDescent="0.25">
      <c r="A16" s="44">
        <v>5</v>
      </c>
      <c r="B16" s="64"/>
      <c r="C16" s="112" t="str">
        <f>'Necesidades Trimestrales'!E14</f>
        <v>AMIKACINA 500 MG AMPOLLA</v>
      </c>
      <c r="D16" s="112"/>
      <c r="E16" s="112"/>
      <c r="F16" s="112"/>
      <c r="G16" s="112"/>
      <c r="H16" s="65" t="s">
        <v>62</v>
      </c>
      <c r="I16" s="66" t="str">
        <f>'Necesidades Trimestrales'!F43</f>
        <v>UNIDAD</v>
      </c>
      <c r="J16" s="48">
        <f>+'Necesidades Trimestrales'!H14</f>
        <v>58</v>
      </c>
      <c r="K16" s="49">
        <f>+'Necesidades Trimestrales'!G14</f>
        <v>300</v>
      </c>
    </row>
    <row r="17" spans="1:11" ht="27.75" customHeight="1" thickBot="1" x14ac:dyDescent="0.25">
      <c r="A17" s="44">
        <v>6</v>
      </c>
      <c r="B17" s="64"/>
      <c r="C17" s="112" t="str">
        <f>'Necesidades Trimestrales'!E15</f>
        <v xml:space="preserve">AMOXICILINA  400 MG + CLAULANICO 57 MG  SUSPENSIÓN </v>
      </c>
      <c r="D17" s="112"/>
      <c r="E17" s="112"/>
      <c r="F17" s="112"/>
      <c r="G17" s="112"/>
      <c r="H17" s="65" t="s">
        <v>54</v>
      </c>
      <c r="I17" s="66" t="str">
        <f>'Necesidades Trimestrales'!F44</f>
        <v>UNIDAD</v>
      </c>
      <c r="J17" s="48">
        <f>+'Necesidades Trimestrales'!H15</f>
        <v>324.89999999999998</v>
      </c>
      <c r="K17" s="49">
        <f>+'Necesidades Trimestrales'!G15</f>
        <v>200</v>
      </c>
    </row>
    <row r="18" spans="1:11" ht="27.75" customHeight="1" thickBot="1" x14ac:dyDescent="0.25">
      <c r="A18" s="44">
        <v>7</v>
      </c>
      <c r="B18" s="64"/>
      <c r="C18" s="112" t="str">
        <f>'Necesidades Trimestrales'!E16</f>
        <v>AMOXICILINA + CLAVULANICO 1 G COMPRIMIDO</v>
      </c>
      <c r="D18" s="112"/>
      <c r="E18" s="112"/>
      <c r="F18" s="112"/>
      <c r="G18" s="112"/>
      <c r="H18" s="65" t="s">
        <v>54</v>
      </c>
      <c r="I18" s="66" t="str">
        <f>'Necesidades Trimestrales'!F45</f>
        <v>UNIDAD</v>
      </c>
      <c r="J18" s="48">
        <f>+'Necesidades Trimestrales'!H16</f>
        <v>34</v>
      </c>
      <c r="K18" s="49">
        <f>+'Necesidades Trimestrales'!G16</f>
        <v>2000</v>
      </c>
    </row>
    <row r="19" spans="1:11" ht="27.75" customHeight="1" thickBot="1" x14ac:dyDescent="0.25">
      <c r="A19" s="44">
        <v>8</v>
      </c>
      <c r="B19" s="64"/>
      <c r="C19" s="112" t="str">
        <f>'Necesidades Trimestrales'!E17</f>
        <v>ANFOTERICINA B VIAL 50 MG</v>
      </c>
      <c r="D19" s="112"/>
      <c r="E19" s="112"/>
      <c r="F19" s="112"/>
      <c r="G19" s="112"/>
      <c r="H19" s="65" t="s">
        <v>54</v>
      </c>
      <c r="I19" s="66" t="str">
        <f>'Necesidades Trimestrales'!F46</f>
        <v>UNIDAD</v>
      </c>
      <c r="J19" s="48">
        <f>+'Necesidades Trimestrales'!H17</f>
        <v>609.6</v>
      </c>
      <c r="K19" s="49">
        <f>+'Necesidades Trimestrales'!G17</f>
        <v>10</v>
      </c>
    </row>
    <row r="20" spans="1:11" ht="27.75" customHeight="1" thickBot="1" x14ac:dyDescent="0.25">
      <c r="A20" s="44">
        <v>9</v>
      </c>
      <c r="B20" s="64"/>
      <c r="C20" s="112" t="str">
        <f>'Necesidades Trimestrales'!E18</f>
        <v>ATRACURIUM 50 MG AMPOLLA</v>
      </c>
      <c r="D20" s="112"/>
      <c r="E20" s="112"/>
      <c r="F20" s="112"/>
      <c r="G20" s="112"/>
      <c r="H20" s="65" t="s">
        <v>54</v>
      </c>
      <c r="I20" s="66" t="str">
        <f>'Necesidades Trimestrales'!F47</f>
        <v>UNIDAD</v>
      </c>
      <c r="J20" s="48">
        <f>+'Necesidades Trimestrales'!H18</f>
        <v>732</v>
      </c>
      <c r="K20" s="49">
        <f>+'Necesidades Trimestrales'!G18</f>
        <v>300</v>
      </c>
    </row>
    <row r="21" spans="1:11" ht="27.75" customHeight="1" thickBot="1" x14ac:dyDescent="0.25">
      <c r="A21" s="44">
        <v>10</v>
      </c>
      <c r="B21" s="64"/>
      <c r="C21" s="112" t="str">
        <f>'Necesidades Trimestrales'!E19</f>
        <v>AZITROMICINA 200 MG / 5 ML SUSPENCION</v>
      </c>
      <c r="D21" s="112"/>
      <c r="E21" s="112"/>
      <c r="F21" s="112"/>
      <c r="G21" s="112"/>
      <c r="H21" s="65" t="s">
        <v>54</v>
      </c>
      <c r="I21" s="66" t="str">
        <f>'Necesidades Trimestrales'!F48</f>
        <v>UNIDAD</v>
      </c>
      <c r="J21" s="48">
        <f>+'Necesidades Trimestrales'!H19</f>
        <v>230</v>
      </c>
      <c r="K21" s="49">
        <f>+'Necesidades Trimestrales'!G19</f>
        <v>100</v>
      </c>
    </row>
    <row r="22" spans="1:11" ht="27.75" customHeight="1" thickBot="1" x14ac:dyDescent="0.25">
      <c r="A22" s="44">
        <v>11</v>
      </c>
      <c r="B22" s="64"/>
      <c r="C22" s="112" t="str">
        <f>'Necesidades Trimestrales'!E20</f>
        <v xml:space="preserve">AZITROMICINA 500 MG COMPRIMIDOS </v>
      </c>
      <c r="D22" s="112"/>
      <c r="E22" s="112"/>
      <c r="F22" s="112"/>
      <c r="G22" s="112"/>
      <c r="H22" s="65" t="s">
        <v>54</v>
      </c>
      <c r="I22" s="66" t="str">
        <f>'Necesidades Trimestrales'!F49</f>
        <v>UNIDAD</v>
      </c>
      <c r="J22" s="48">
        <f>+'Necesidades Trimestrales'!H20</f>
        <v>35</v>
      </c>
      <c r="K22" s="49">
        <f>+'Necesidades Trimestrales'!G20</f>
        <v>3000</v>
      </c>
    </row>
    <row r="23" spans="1:11" ht="27.75" customHeight="1" thickBot="1" x14ac:dyDescent="0.25">
      <c r="A23" s="44">
        <v>12</v>
      </c>
      <c r="B23" s="64"/>
      <c r="C23" s="112" t="str">
        <f>'Necesidades Trimestrales'!E21</f>
        <v>BUDESONIDE AEROSOL 200 MCG/PUFF ( 100 DOSIS )</v>
      </c>
      <c r="D23" s="112"/>
      <c r="E23" s="112"/>
      <c r="F23" s="112"/>
      <c r="G23" s="112"/>
      <c r="H23" s="65" t="s">
        <v>54</v>
      </c>
      <c r="I23" s="66" t="str">
        <f>'Necesidades Trimestrales'!F50</f>
        <v>UNIDAD</v>
      </c>
      <c r="J23" s="48">
        <f>+'Necesidades Trimestrales'!H21</f>
        <v>482.31</v>
      </c>
      <c r="K23" s="49">
        <f>+'Necesidades Trimestrales'!G21</f>
        <v>100</v>
      </c>
    </row>
    <row r="24" spans="1:11" ht="27.75" customHeight="1" thickBot="1" x14ac:dyDescent="0.25">
      <c r="A24" s="44">
        <v>13</v>
      </c>
      <c r="B24" s="64"/>
      <c r="C24" s="112" t="str">
        <f>'Necesidades Trimestrales'!E22</f>
        <v>BUDESONIDE SOLUCION 0,1%</v>
      </c>
      <c r="D24" s="112"/>
      <c r="E24" s="112"/>
      <c r="F24" s="112"/>
      <c r="G24" s="112"/>
      <c r="H24" s="65" t="s">
        <v>54</v>
      </c>
      <c r="I24" s="66" t="str">
        <f>'Necesidades Trimestrales'!F51</f>
        <v>UNIDAD</v>
      </c>
      <c r="J24" s="48">
        <f>+'Necesidades Trimestrales'!H22</f>
        <v>225</v>
      </c>
      <c r="K24" s="49">
        <f>+'Necesidades Trimestrales'!G22</f>
        <v>300</v>
      </c>
    </row>
    <row r="25" spans="1:11" ht="27.75" customHeight="1" thickBot="1" x14ac:dyDescent="0.25">
      <c r="A25" s="44">
        <v>14</v>
      </c>
      <c r="B25" s="64"/>
      <c r="C25" s="112" t="str">
        <f>'Necesidades Trimestrales'!E23</f>
        <v>CEFTAZIDIMA 1G FCO AMPOLLA</v>
      </c>
      <c r="D25" s="112"/>
      <c r="E25" s="112"/>
      <c r="F25" s="112"/>
      <c r="G25" s="112"/>
      <c r="H25" s="65" t="s">
        <v>54</v>
      </c>
      <c r="I25" s="66" t="str">
        <f>'Necesidades Trimestrales'!F52</f>
        <v>UNIDAD</v>
      </c>
      <c r="J25" s="48">
        <f>+'Necesidades Trimestrales'!H23</f>
        <v>196.9</v>
      </c>
      <c r="K25" s="49">
        <f>+'Necesidades Trimestrales'!G23</f>
        <v>1000</v>
      </c>
    </row>
    <row r="26" spans="1:11" ht="27.75" customHeight="1" thickBot="1" x14ac:dyDescent="0.25">
      <c r="A26" s="44">
        <v>15</v>
      </c>
      <c r="B26" s="64"/>
      <c r="C26" s="112" t="str">
        <f>'Necesidades Trimestrales'!E24</f>
        <v>CEFTRIAXONA 1 GR FCO AMPOLLA *</v>
      </c>
      <c r="D26" s="112"/>
      <c r="E26" s="112"/>
      <c r="F26" s="112"/>
      <c r="G26" s="112"/>
      <c r="H26" s="65" t="s">
        <v>54</v>
      </c>
      <c r="I26" s="66" t="str">
        <f>'Necesidades Trimestrales'!F53</f>
        <v>UNIDAD</v>
      </c>
      <c r="J26" s="48">
        <f>+'Necesidades Trimestrales'!H24</f>
        <v>120</v>
      </c>
      <c r="K26" s="49">
        <f>+'Necesidades Trimestrales'!G24</f>
        <v>1000</v>
      </c>
    </row>
    <row r="27" spans="1:11" ht="27.75" customHeight="1" thickBot="1" x14ac:dyDescent="0.25">
      <c r="A27" s="44">
        <v>16</v>
      </c>
      <c r="B27" s="67"/>
      <c r="C27" s="112" t="str">
        <f>'Necesidades Trimestrales'!E25</f>
        <v>CLARITROMICINA 250 MG SUSPENSIÓN X 90 ML</v>
      </c>
      <c r="D27" s="112"/>
      <c r="E27" s="112"/>
      <c r="F27" s="112"/>
      <c r="G27" s="112"/>
      <c r="H27" s="65" t="s">
        <v>54</v>
      </c>
      <c r="I27" s="66" t="str">
        <f>'Necesidades Trimestrales'!F54</f>
        <v>UNIDAD</v>
      </c>
      <c r="J27" s="48">
        <f>+'Necesidades Trimestrales'!H25</f>
        <v>560</v>
      </c>
      <c r="K27" s="49">
        <f>+'Necesidades Trimestrales'!G25</f>
        <v>300</v>
      </c>
    </row>
    <row r="28" spans="1:11" ht="27.75" customHeight="1" thickBot="1" x14ac:dyDescent="0.25">
      <c r="A28" s="44">
        <v>17</v>
      </c>
      <c r="B28" s="67"/>
      <c r="C28" s="112" t="str">
        <f>'Necesidades Trimestrales'!E26</f>
        <v>CLARITROMICINA 500 MG COMPRIMIDO</v>
      </c>
      <c r="D28" s="112"/>
      <c r="E28" s="112"/>
      <c r="F28" s="112"/>
      <c r="G28" s="112"/>
      <c r="H28" s="65" t="s">
        <v>54</v>
      </c>
      <c r="I28" s="66" t="str">
        <f>'Necesidades Trimestrales'!F55</f>
        <v>UNIDAD</v>
      </c>
      <c r="J28" s="48">
        <f>+'Necesidades Trimestrales'!H26</f>
        <v>35</v>
      </c>
      <c r="K28" s="49">
        <f>+'Necesidades Trimestrales'!G26</f>
        <v>100</v>
      </c>
    </row>
    <row r="29" spans="1:11" ht="27.75" customHeight="1" thickBot="1" x14ac:dyDescent="0.25">
      <c r="A29" s="44">
        <v>18</v>
      </c>
      <c r="B29" s="67"/>
      <c r="C29" s="112" t="str">
        <f>'Necesidades Trimestrales'!E27</f>
        <v>CLINDAMICINA 600 MG AMPOLLA</v>
      </c>
      <c r="D29" s="112"/>
      <c r="E29" s="112"/>
      <c r="F29" s="112"/>
      <c r="G29" s="112"/>
      <c r="H29" s="65" t="s">
        <v>54</v>
      </c>
      <c r="I29" s="66" t="str">
        <f>'Necesidades Trimestrales'!F56</f>
        <v>UNIDAD</v>
      </c>
      <c r="J29" s="48">
        <f>+'Necesidades Trimestrales'!H27</f>
        <v>62</v>
      </c>
      <c r="K29" s="49">
        <f>+'Necesidades Trimestrales'!G27</f>
        <v>500</v>
      </c>
    </row>
    <row r="30" spans="1:11" ht="27.75" customHeight="1" thickBot="1" x14ac:dyDescent="0.25">
      <c r="A30" s="44">
        <v>19</v>
      </c>
      <c r="B30" s="67"/>
      <c r="C30" s="112" t="str">
        <f>'Necesidades Trimestrales'!E28</f>
        <v>CLONIDINA AMPOLLAS</v>
      </c>
      <c r="D30" s="112"/>
      <c r="E30" s="112"/>
      <c r="F30" s="112"/>
      <c r="G30" s="112"/>
      <c r="H30" s="65" t="s">
        <v>54</v>
      </c>
      <c r="I30" s="66" t="str">
        <f>'Necesidades Trimestrales'!F57</f>
        <v>UNIDAD</v>
      </c>
      <c r="J30" s="48">
        <f>+'Necesidades Trimestrales'!H28</f>
        <v>42</v>
      </c>
      <c r="K30" s="49">
        <f>+'Necesidades Trimestrales'!G28</f>
        <v>500</v>
      </c>
    </row>
    <row r="31" spans="1:11" ht="27.75" customHeight="1" thickBot="1" x14ac:dyDescent="0.25">
      <c r="A31" s="44">
        <v>20</v>
      </c>
      <c r="B31" s="67"/>
      <c r="C31" s="112" t="str">
        <f>'Necesidades Trimestrales'!E29</f>
        <v>CLORURO DE POTASIO 223 MG/ML AMPOLLA</v>
      </c>
      <c r="D31" s="112"/>
      <c r="E31" s="112"/>
      <c r="F31" s="112"/>
      <c r="G31" s="112"/>
      <c r="H31" s="65" t="s">
        <v>54</v>
      </c>
      <c r="I31" s="66" t="str">
        <f>'Necesidades Trimestrales'!F58</f>
        <v>UNIDAD</v>
      </c>
      <c r="J31" s="48">
        <f>+'Necesidades Trimestrales'!H29</f>
        <v>30</v>
      </c>
      <c r="K31" s="49">
        <f>+'Necesidades Trimestrales'!G29</f>
        <v>2000</v>
      </c>
    </row>
    <row r="32" spans="1:11" ht="27.75" customHeight="1" thickBot="1" x14ac:dyDescent="0.25">
      <c r="A32" s="44">
        <v>21</v>
      </c>
      <c r="B32" s="67"/>
      <c r="C32" s="112" t="str">
        <f>'Necesidades Trimestrales'!E30</f>
        <v>CLORURO DE SODIO AL 20% AMPOLLAS</v>
      </c>
      <c r="D32" s="112"/>
      <c r="E32" s="112"/>
      <c r="F32" s="112"/>
      <c r="G32" s="112"/>
      <c r="H32" s="65" t="s">
        <v>54</v>
      </c>
      <c r="I32" s="66" t="str">
        <f>'Necesidades Trimestrales'!F59</f>
        <v>UNIDAD</v>
      </c>
      <c r="J32" s="48">
        <f>+'Necesidades Trimestrales'!H30</f>
        <v>34</v>
      </c>
      <c r="K32" s="49">
        <f>+'Necesidades Trimestrales'!G30</f>
        <v>3000</v>
      </c>
    </row>
    <row r="33" spans="1:11" ht="27.75" customHeight="1" thickBot="1" x14ac:dyDescent="0.25">
      <c r="A33" s="44">
        <v>22</v>
      </c>
      <c r="B33" s="67"/>
      <c r="C33" s="112" t="str">
        <f>'Necesidades Trimestrales'!E31</f>
        <v>COLISTINA 100 MG FCO AMPOLLA</v>
      </c>
      <c r="D33" s="112"/>
      <c r="E33" s="112"/>
      <c r="F33" s="112"/>
      <c r="G33" s="112"/>
      <c r="H33" s="65" t="s">
        <v>54</v>
      </c>
      <c r="I33" s="66" t="str">
        <f>'Necesidades Trimestrales'!F60</f>
        <v>UNIDAD</v>
      </c>
      <c r="J33" s="48">
        <f>+'Necesidades Trimestrales'!H31</f>
        <v>405</v>
      </c>
      <c r="K33" s="49">
        <f>+'Necesidades Trimestrales'!G31</f>
        <v>100</v>
      </c>
    </row>
    <row r="34" spans="1:11" ht="27.75" customHeight="1" thickBot="1" x14ac:dyDescent="0.25">
      <c r="A34" s="44">
        <v>23</v>
      </c>
      <c r="B34" s="67"/>
      <c r="C34" s="112" t="str">
        <f>'Necesidades Trimestrales'!E32</f>
        <v>COMPLEJO B AMPOLLAS TIPO BECOZYM NF</v>
      </c>
      <c r="D34" s="112"/>
      <c r="E34" s="112"/>
      <c r="F34" s="112"/>
      <c r="G34" s="112"/>
      <c r="H34" s="65" t="s">
        <v>54</v>
      </c>
      <c r="I34" s="66" t="str">
        <f>'Necesidades Trimestrales'!F61</f>
        <v>UNIDAD</v>
      </c>
      <c r="J34" s="48">
        <f>+'Necesidades Trimestrales'!H32</f>
        <v>62</v>
      </c>
      <c r="K34" s="49">
        <f>+'Necesidades Trimestrales'!G32</f>
        <v>1000</v>
      </c>
    </row>
    <row r="35" spans="1:11" ht="27.75" customHeight="1" thickBot="1" x14ac:dyDescent="0.25">
      <c r="A35" s="44">
        <v>24</v>
      </c>
      <c r="B35" s="67"/>
      <c r="C35" s="112" t="str">
        <f>'Necesidades Trimestrales'!E33</f>
        <v>COMPLEJO B COMPRIMIDOS TIPO BECOZYM NF</v>
      </c>
      <c r="D35" s="112"/>
      <c r="E35" s="112"/>
      <c r="F35" s="112"/>
      <c r="G35" s="112"/>
      <c r="H35" s="65" t="s">
        <v>54</v>
      </c>
      <c r="I35" s="66" t="str">
        <f>'Necesidades Trimestrales'!F62</f>
        <v>UNIDAD</v>
      </c>
      <c r="J35" s="48">
        <f>+'Necesidades Trimestrales'!H33</f>
        <v>22</v>
      </c>
      <c r="K35" s="49">
        <f>+'Necesidades Trimestrales'!G33</f>
        <v>1000</v>
      </c>
    </row>
    <row r="36" spans="1:11" ht="27.75" customHeight="1" thickBot="1" x14ac:dyDescent="0.25">
      <c r="A36" s="44">
        <v>25</v>
      </c>
      <c r="B36" s="67"/>
      <c r="C36" s="112" t="str">
        <f>'Necesidades Trimestrales'!E34</f>
        <v>COTRIMOXAZOL(TRIMETOPRINA +SULFAMETOXAZOL)80MG/400MG AMPOLLA</v>
      </c>
      <c r="D36" s="112"/>
      <c r="E36" s="112"/>
      <c r="F36" s="112"/>
      <c r="G36" s="112"/>
      <c r="H36" s="65" t="s">
        <v>54</v>
      </c>
      <c r="I36" s="66" t="str">
        <f>'Necesidades Trimestrales'!F63</f>
        <v>UNIDAD</v>
      </c>
      <c r="J36" s="48">
        <f>+'Necesidades Trimestrales'!H34</f>
        <v>214</v>
      </c>
      <c r="K36" s="49">
        <f>+'Necesidades Trimestrales'!G34</f>
        <v>100</v>
      </c>
    </row>
    <row r="37" spans="1:11" ht="27.75" customHeight="1" thickBot="1" x14ac:dyDescent="0.25">
      <c r="A37" s="44">
        <v>26</v>
      </c>
      <c r="B37" s="67"/>
      <c r="C37" s="112" t="str">
        <f>'Necesidades Trimestrales'!E35</f>
        <v>COTRIMOXAZOL(TRIMETOPRINA +SULFAMETOXAZOL)COMPRIMIDOS 160MG/800MG</v>
      </c>
      <c r="D37" s="112"/>
      <c r="E37" s="112"/>
      <c r="F37" s="112"/>
      <c r="G37" s="112"/>
      <c r="H37" s="65" t="s">
        <v>54</v>
      </c>
      <c r="I37" s="66" t="str">
        <f>'Necesidades Trimestrales'!F64</f>
        <v>UNIDAD</v>
      </c>
      <c r="J37" s="48">
        <f>+'Necesidades Trimestrales'!H35</f>
        <v>7.2</v>
      </c>
      <c r="K37" s="49">
        <f>+'Necesidades Trimestrales'!G35</f>
        <v>200</v>
      </c>
    </row>
    <row r="38" spans="1:11" ht="27.75" customHeight="1" thickBot="1" x14ac:dyDescent="0.25">
      <c r="A38" s="44">
        <v>27</v>
      </c>
      <c r="B38" s="67"/>
      <c r="C38" s="112" t="str">
        <f>'Necesidades Trimestrales'!E36</f>
        <v>COTRIMOXAZOL(TRIMETOPRINA +SULFAMETOXAZOL)SUSPENSION 40MG/200MG/5ML</v>
      </c>
      <c r="D38" s="112"/>
      <c r="E38" s="112"/>
      <c r="F38" s="112"/>
      <c r="G38" s="112"/>
      <c r="H38" s="65" t="s">
        <v>54</v>
      </c>
      <c r="I38" s="66" t="str">
        <f>'Necesidades Trimestrales'!F65</f>
        <v>UNIDAD</v>
      </c>
      <c r="J38" s="48">
        <f>+'Necesidades Trimestrales'!H36</f>
        <v>280</v>
      </c>
      <c r="K38" s="49">
        <f>+'Necesidades Trimestrales'!G36</f>
        <v>200</v>
      </c>
    </row>
    <row r="39" spans="1:11" ht="27.75" customHeight="1" thickBot="1" x14ac:dyDescent="0.25">
      <c r="A39" s="44">
        <v>28</v>
      </c>
      <c r="B39" s="67"/>
      <c r="C39" s="112" t="str">
        <f>'Necesidades Trimestrales'!E37</f>
        <v>DEXAMETASONA 8 MG AMPOLLA</v>
      </c>
      <c r="D39" s="112"/>
      <c r="E39" s="112"/>
      <c r="F39" s="112"/>
      <c r="G39" s="112"/>
      <c r="H39" s="65" t="s">
        <v>54</v>
      </c>
      <c r="I39" s="66" t="str">
        <f>'Necesidades Trimestrales'!F66</f>
        <v>UNIDAD</v>
      </c>
      <c r="J39" s="48">
        <f>+'Necesidades Trimestrales'!H37</f>
        <v>35</v>
      </c>
      <c r="K39" s="49">
        <f>+'Necesidades Trimestrales'!G37</f>
        <v>2000</v>
      </c>
    </row>
    <row r="40" spans="1:11" ht="27.75" customHeight="1" thickBot="1" x14ac:dyDescent="0.25">
      <c r="A40" s="44">
        <v>29</v>
      </c>
      <c r="B40" s="67"/>
      <c r="C40" s="112" t="str">
        <f>'Necesidades Trimestrales'!E38</f>
        <v>DEXAMETASONA 8 MG COMPRIMIDO</v>
      </c>
      <c r="D40" s="112"/>
      <c r="E40" s="112"/>
      <c r="F40" s="112"/>
      <c r="G40" s="112"/>
      <c r="H40" s="65" t="s">
        <v>54</v>
      </c>
      <c r="I40" s="66" t="str">
        <f>'Necesidades Trimestrales'!F67</f>
        <v>UNIDAD</v>
      </c>
      <c r="J40" s="48">
        <f>+'Necesidades Trimestrales'!H38</f>
        <v>42</v>
      </c>
      <c r="K40" s="49">
        <f>+'Necesidades Trimestrales'!G38</f>
        <v>1000</v>
      </c>
    </row>
    <row r="41" spans="1:11" ht="27.75" customHeight="1" thickBot="1" x14ac:dyDescent="0.25">
      <c r="A41" s="44">
        <v>30</v>
      </c>
      <c r="B41" s="67"/>
      <c r="C41" s="112" t="str">
        <f>'Necesidades Trimestrales'!E39</f>
        <v>DEXMETOMIDINA 200MG /2 ML</v>
      </c>
      <c r="D41" s="112"/>
      <c r="E41" s="112"/>
      <c r="F41" s="112"/>
      <c r="G41" s="112"/>
      <c r="H41" s="65" t="s">
        <v>54</v>
      </c>
      <c r="I41" s="66" t="str">
        <f>'Necesidades Trimestrales'!F68</f>
        <v>UNIDAD</v>
      </c>
      <c r="J41" s="48">
        <f>+'Necesidades Trimestrales'!H39</f>
        <v>440</v>
      </c>
      <c r="K41" s="49">
        <f>+'Necesidades Trimestrales'!G39</f>
        <v>200</v>
      </c>
    </row>
    <row r="42" spans="1:11" ht="27.75" customHeight="1" thickBot="1" x14ac:dyDescent="0.25">
      <c r="A42" s="44">
        <v>31</v>
      </c>
      <c r="B42" s="67"/>
      <c r="C42" s="112" t="str">
        <f>'Necesidades Trimestrales'!E40</f>
        <v>DIAZEPAM 10 MG AMPOLLA</v>
      </c>
      <c r="D42" s="112"/>
      <c r="E42" s="112"/>
      <c r="F42" s="112"/>
      <c r="G42" s="112"/>
      <c r="H42" s="65" t="s">
        <v>54</v>
      </c>
      <c r="I42" s="66" t="str">
        <f>'Necesidades Trimestrales'!F69</f>
        <v>UNIDAD</v>
      </c>
      <c r="J42" s="48">
        <f>+'Necesidades Trimestrales'!H40</f>
        <v>35</v>
      </c>
      <c r="K42" s="49">
        <f>+'Necesidades Trimestrales'!G40</f>
        <v>1000</v>
      </c>
    </row>
    <row r="43" spans="1:11" ht="27.75" customHeight="1" thickBot="1" x14ac:dyDescent="0.25">
      <c r="A43" s="44">
        <v>32</v>
      </c>
      <c r="B43" s="67"/>
      <c r="C43" s="112" t="str">
        <f>'Necesidades Trimestrales'!E41</f>
        <v>DOBUTAMINA AMPOLLA</v>
      </c>
      <c r="D43" s="112"/>
      <c r="E43" s="112"/>
      <c r="F43" s="112"/>
      <c r="G43" s="112"/>
      <c r="H43" s="65" t="s">
        <v>54</v>
      </c>
      <c r="I43" s="66" t="str">
        <f>'Necesidades Trimestrales'!F70</f>
        <v>UNIDAD</v>
      </c>
      <c r="J43" s="48">
        <f>+'Necesidades Trimestrales'!H41</f>
        <v>304</v>
      </c>
      <c r="K43" s="49">
        <f>+'Necesidades Trimestrales'!G41</f>
        <v>300</v>
      </c>
    </row>
    <row r="44" spans="1:11" ht="27.75" customHeight="1" thickBot="1" x14ac:dyDescent="0.25">
      <c r="A44" s="44">
        <v>33</v>
      </c>
      <c r="B44" s="67"/>
      <c r="C44" s="112" t="str">
        <f>'Necesidades Trimestrales'!E42</f>
        <v>DOPAMINA 200 MG  AMPOLLA</v>
      </c>
      <c r="D44" s="112"/>
      <c r="E44" s="112"/>
      <c r="F44" s="112"/>
      <c r="G44" s="112"/>
      <c r="H44" s="65" t="s">
        <v>54</v>
      </c>
      <c r="I44" s="66" t="str">
        <f>'Necesidades Trimestrales'!F71</f>
        <v>UNIDAD</v>
      </c>
      <c r="J44" s="48">
        <f>+'Necesidades Trimestrales'!H42</f>
        <v>85</v>
      </c>
      <c r="K44" s="49">
        <f>+'Necesidades Trimestrales'!G42</f>
        <v>300</v>
      </c>
    </row>
    <row r="45" spans="1:11" ht="27.75" customHeight="1" thickBot="1" x14ac:dyDescent="0.25">
      <c r="A45" s="44">
        <v>34</v>
      </c>
      <c r="B45" s="67"/>
      <c r="C45" s="112" t="str">
        <f>'Necesidades Trimestrales'!E43</f>
        <v>ENOXAPARINA 40 MG AMPOLLA PRELLENA</v>
      </c>
      <c r="D45" s="112"/>
      <c r="E45" s="112"/>
      <c r="F45" s="112"/>
      <c r="G45" s="112"/>
      <c r="H45" s="65" t="s">
        <v>54</v>
      </c>
      <c r="I45" s="66" t="str">
        <f>'Necesidades Trimestrales'!F72</f>
        <v>UNIDAD</v>
      </c>
      <c r="J45" s="48">
        <f>+'Necesidades Trimestrales'!H43</f>
        <v>1200</v>
      </c>
      <c r="K45" s="49">
        <f>+'Necesidades Trimestrales'!G43</f>
        <v>100</v>
      </c>
    </row>
    <row r="46" spans="1:11" ht="27.75" customHeight="1" thickBot="1" x14ac:dyDescent="0.25">
      <c r="A46" s="44">
        <v>35</v>
      </c>
      <c r="B46" s="67"/>
      <c r="C46" s="112" t="str">
        <f>'Necesidades Trimestrales'!E44</f>
        <v>FENOBARBITAL 200MG AMPOLLAS</v>
      </c>
      <c r="D46" s="112"/>
      <c r="E46" s="112"/>
      <c r="F46" s="112"/>
      <c r="G46" s="112"/>
      <c r="H46" s="65" t="s">
        <v>54</v>
      </c>
      <c r="I46" s="66" t="str">
        <f>'Necesidades Trimestrales'!F73</f>
        <v>UNIDAD</v>
      </c>
      <c r="J46" s="48">
        <f>+'Necesidades Trimestrales'!H44</f>
        <v>324.02</v>
      </c>
      <c r="K46" s="49">
        <f>+'Necesidades Trimestrales'!G44</f>
        <v>500</v>
      </c>
    </row>
    <row r="47" spans="1:11" ht="27.75" customHeight="1" thickBot="1" x14ac:dyDescent="0.25">
      <c r="A47" s="44">
        <v>36</v>
      </c>
      <c r="B47" s="67"/>
      <c r="C47" s="112" t="str">
        <f>'Necesidades Trimestrales'!E45</f>
        <v>FENTANILO 250 MCG INYECTABLE</v>
      </c>
      <c r="D47" s="112"/>
      <c r="E47" s="112"/>
      <c r="F47" s="112"/>
      <c r="G47" s="112"/>
      <c r="H47" s="65" t="s">
        <v>54</v>
      </c>
      <c r="I47" s="66" t="str">
        <f>'Necesidades Trimestrales'!F74</f>
        <v>UNIDAD</v>
      </c>
      <c r="J47" s="48">
        <f>+'Necesidades Trimestrales'!H45</f>
        <v>387.2</v>
      </c>
      <c r="K47" s="49">
        <f>+'Necesidades Trimestrales'!G45</f>
        <v>3000</v>
      </c>
    </row>
    <row r="48" spans="1:11" ht="27.75" customHeight="1" thickBot="1" x14ac:dyDescent="0.25">
      <c r="A48" s="44">
        <v>37</v>
      </c>
      <c r="B48" s="67"/>
      <c r="C48" s="112" t="str">
        <f>'Necesidades Trimestrales'!E46</f>
        <v>FLUCONAZOL 100 MG COMPRIMIDOS</v>
      </c>
      <c r="D48" s="112"/>
      <c r="E48" s="112"/>
      <c r="F48" s="112"/>
      <c r="G48" s="112"/>
      <c r="H48" s="65" t="s">
        <v>54</v>
      </c>
      <c r="I48" s="66" t="str">
        <f>'Necesidades Trimestrales'!F75</f>
        <v>UNIDAD</v>
      </c>
      <c r="J48" s="48">
        <f>+'Necesidades Trimestrales'!H46</f>
        <v>31.14</v>
      </c>
      <c r="K48" s="49">
        <f>+'Necesidades Trimestrales'!G46</f>
        <v>100</v>
      </c>
    </row>
    <row r="49" spans="1:11" ht="27.75" customHeight="1" thickBot="1" x14ac:dyDescent="0.25">
      <c r="A49" s="44">
        <v>38</v>
      </c>
      <c r="B49" s="67"/>
      <c r="C49" s="112" t="str">
        <f>'Necesidades Trimestrales'!E47</f>
        <v>FLUCONAZOL 200 MG SACHET 100 ML</v>
      </c>
      <c r="D49" s="112"/>
      <c r="E49" s="112"/>
      <c r="F49" s="112"/>
      <c r="G49" s="112"/>
      <c r="H49" s="65" t="s">
        <v>54</v>
      </c>
      <c r="I49" s="66" t="str">
        <f>'Necesidades Trimestrales'!F76</f>
        <v>UNIDAD</v>
      </c>
      <c r="J49" s="48">
        <f>+'Necesidades Trimestrales'!H47</f>
        <v>554</v>
      </c>
      <c r="K49" s="49">
        <f>+'Necesidades Trimestrales'!G47</f>
        <v>200</v>
      </c>
    </row>
    <row r="50" spans="1:11" ht="27.75" customHeight="1" thickBot="1" x14ac:dyDescent="0.25">
      <c r="A50" s="44">
        <v>39</v>
      </c>
      <c r="B50" s="64"/>
      <c r="C50" s="112" t="str">
        <f>'Necesidades Trimestrales'!E48</f>
        <v>FLUCONAZOL 50MG/5ML SUSENSION X 35 ML</v>
      </c>
      <c r="D50" s="112"/>
      <c r="E50" s="112"/>
      <c r="F50" s="112"/>
      <c r="G50" s="112"/>
      <c r="H50" s="65" t="s">
        <v>54</v>
      </c>
      <c r="I50" s="66" t="str">
        <f>'Necesidades Trimestrales'!F77</f>
        <v>UNIDAD</v>
      </c>
      <c r="J50" s="48">
        <f>+'Necesidades Trimestrales'!H48</f>
        <v>1800</v>
      </c>
      <c r="K50" s="49">
        <f>+'Necesidades Trimestrales'!G48</f>
        <v>20</v>
      </c>
    </row>
    <row r="51" spans="1:11" ht="27.75" customHeight="1" thickBot="1" x14ac:dyDescent="0.25">
      <c r="A51" s="44">
        <v>40</v>
      </c>
      <c r="B51" s="64"/>
      <c r="C51" s="112" t="str">
        <f>'Necesidades Trimestrales'!E49</f>
        <v>GENTAMICINA 80 MG AMPOLLA</v>
      </c>
      <c r="D51" s="112"/>
      <c r="E51" s="112"/>
      <c r="F51" s="112"/>
      <c r="G51" s="112"/>
      <c r="H51" s="65" t="s">
        <v>62</v>
      </c>
      <c r="I51" s="66" t="str">
        <f>'Necesidades Trimestrales'!F78</f>
        <v>UNIDAD</v>
      </c>
      <c r="J51" s="48">
        <f>+'Necesidades Trimestrales'!H49</f>
        <v>32.200000000000003</v>
      </c>
      <c r="K51" s="49">
        <f>+'Necesidades Trimestrales'!G49</f>
        <v>1000</v>
      </c>
    </row>
    <row r="52" spans="1:11" ht="27.75" customHeight="1" thickBot="1" x14ac:dyDescent="0.25">
      <c r="A52" s="44">
        <v>41</v>
      </c>
      <c r="B52" s="64"/>
      <c r="C52" s="112" t="str">
        <f>'Necesidades Trimestrales'!E50</f>
        <v>GLUCONATO DE CALCIO 10 % AMPOLLA</v>
      </c>
      <c r="D52" s="112"/>
      <c r="E52" s="112"/>
      <c r="F52" s="112"/>
      <c r="G52" s="112"/>
      <c r="H52" s="65" t="s">
        <v>62</v>
      </c>
      <c r="I52" s="66" t="str">
        <f>'Necesidades Trimestrales'!F79</f>
        <v>UNIDAD</v>
      </c>
      <c r="J52" s="48">
        <f>+'Necesidades Trimestrales'!H50</f>
        <v>34</v>
      </c>
      <c r="K52" s="49">
        <f>+'Necesidades Trimestrales'!G50</f>
        <v>300</v>
      </c>
    </row>
    <row r="53" spans="1:11" ht="27.75" customHeight="1" thickBot="1" x14ac:dyDescent="0.25">
      <c r="A53" s="44">
        <v>42</v>
      </c>
      <c r="B53" s="64"/>
      <c r="C53" s="112" t="str">
        <f>'Necesidades Trimestrales'!E51</f>
        <v>HEPARINA SODICA 5000 UI FCO AMPOLLA</v>
      </c>
      <c r="D53" s="112"/>
      <c r="E53" s="112"/>
      <c r="F53" s="112"/>
      <c r="G53" s="112"/>
      <c r="H53" s="65" t="s">
        <v>54</v>
      </c>
      <c r="I53" s="66" t="str">
        <f>'Necesidades Trimestrales'!F80</f>
        <v>UNIDAD</v>
      </c>
      <c r="J53" s="48">
        <f>+'Necesidades Trimestrales'!H51</f>
        <v>699</v>
      </c>
      <c r="K53" s="49">
        <f>+'Necesidades Trimestrales'!G51</f>
        <v>50</v>
      </c>
    </row>
    <row r="54" spans="1:11" ht="27.75" customHeight="1" thickBot="1" x14ac:dyDescent="0.25">
      <c r="A54" s="44">
        <v>43</v>
      </c>
      <c r="B54" s="64"/>
      <c r="C54" s="112" t="str">
        <f>'Necesidades Trimestrales'!E52</f>
        <v>HIDROCORTISONA 100 MG FCO AMPOLLA</v>
      </c>
      <c r="D54" s="112"/>
      <c r="E54" s="112"/>
      <c r="F54" s="112"/>
      <c r="G54" s="112"/>
      <c r="H54" s="65" t="s">
        <v>54</v>
      </c>
      <c r="I54" s="66" t="str">
        <f>'Necesidades Trimestrales'!F81</f>
        <v>UNIDAD</v>
      </c>
      <c r="J54" s="48">
        <f>+'Necesidades Trimestrales'!H52</f>
        <v>115.25</v>
      </c>
      <c r="K54" s="49">
        <f>+'Necesidades Trimestrales'!G52</f>
        <v>1000</v>
      </c>
    </row>
    <row r="55" spans="1:11" ht="27.75" customHeight="1" thickBot="1" x14ac:dyDescent="0.25">
      <c r="A55" s="44">
        <v>44</v>
      </c>
      <c r="B55" s="64"/>
      <c r="C55" s="112" t="str">
        <f>'Necesidades Trimestrales'!E53</f>
        <v>HIDROCORTISONA 500 MG FCO AMPOLLA</v>
      </c>
      <c r="D55" s="112"/>
      <c r="E55" s="112"/>
      <c r="F55" s="112"/>
      <c r="G55" s="112"/>
      <c r="H55" s="65" t="s">
        <v>54</v>
      </c>
      <c r="I55" s="66" t="str">
        <f>'Necesidades Trimestrales'!F82</f>
        <v>UNIDAD</v>
      </c>
      <c r="J55" s="48">
        <f>+'Necesidades Trimestrales'!H53</f>
        <v>214.4</v>
      </c>
      <c r="K55" s="49">
        <f>+'Necesidades Trimestrales'!G53</f>
        <v>1000</v>
      </c>
    </row>
    <row r="56" spans="1:11" ht="27.75" customHeight="1" thickBot="1" x14ac:dyDescent="0.25">
      <c r="A56" s="44">
        <v>45</v>
      </c>
      <c r="B56" s="64"/>
      <c r="C56" s="112" t="str">
        <f>'Necesidades Trimestrales'!E54</f>
        <v>IBUPROFENO 2% SUSPENSIÓN</v>
      </c>
      <c r="D56" s="112"/>
      <c r="E56" s="112"/>
      <c r="F56" s="112"/>
      <c r="G56" s="112"/>
      <c r="H56" s="65" t="s">
        <v>54</v>
      </c>
      <c r="I56" s="66" t="str">
        <f>'Necesidades Trimestrales'!F83</f>
        <v>UNIDAD</v>
      </c>
      <c r="J56" s="48">
        <f>+'Necesidades Trimestrales'!H54</f>
        <v>59.2</v>
      </c>
      <c r="K56" s="49">
        <f>+'Necesidades Trimestrales'!G54</f>
        <v>1000</v>
      </c>
    </row>
    <row r="57" spans="1:11" ht="27.75" customHeight="1" thickBot="1" x14ac:dyDescent="0.25">
      <c r="A57" s="44">
        <v>46</v>
      </c>
      <c r="B57" s="64"/>
      <c r="C57" s="112" t="str">
        <f>'Necesidades Trimestrales'!E55</f>
        <v>IBUPROFENO 400 MG COMPRIMIDO</v>
      </c>
      <c r="D57" s="112"/>
      <c r="E57" s="112"/>
      <c r="F57" s="112"/>
      <c r="G57" s="112"/>
      <c r="H57" s="65" t="s">
        <v>54</v>
      </c>
      <c r="I57" s="66" t="str">
        <f>'Necesidades Trimestrales'!F84</f>
        <v>UNIDAD</v>
      </c>
      <c r="J57" s="48">
        <f>+'Necesidades Trimestrales'!H55</f>
        <v>4</v>
      </c>
      <c r="K57" s="49">
        <f>+'Necesidades Trimestrales'!G55</f>
        <v>3000</v>
      </c>
    </row>
    <row r="58" spans="1:11" ht="27.75" customHeight="1" thickBot="1" x14ac:dyDescent="0.25">
      <c r="A58" s="44">
        <v>47</v>
      </c>
      <c r="B58" s="64"/>
      <c r="C58" s="112" t="str">
        <f>'Necesidades Trimestrales'!E56</f>
        <v>IMIPENEM+CILASTATINA 500MG FCO AMPOLLA</v>
      </c>
      <c r="D58" s="112"/>
      <c r="E58" s="112"/>
      <c r="F58" s="112"/>
      <c r="G58" s="112"/>
      <c r="H58" s="65" t="s">
        <v>54</v>
      </c>
      <c r="I58" s="66" t="str">
        <f>'Necesidades Trimestrales'!F85</f>
        <v>UNIDAD</v>
      </c>
      <c r="J58" s="48">
        <f>+'Necesidades Trimestrales'!H56</f>
        <v>530</v>
      </c>
      <c r="K58" s="49">
        <f>+'Necesidades Trimestrales'!G56</f>
        <v>100</v>
      </c>
    </row>
    <row r="59" spans="1:11" ht="27.75" customHeight="1" thickBot="1" x14ac:dyDescent="0.25">
      <c r="A59" s="44">
        <v>48</v>
      </c>
      <c r="B59" s="64"/>
      <c r="C59" s="112" t="str">
        <f>'Necesidades Trimestrales'!E57</f>
        <v>IPRATROPIO SOLUCION PARA NEBULIZAR 0,1%GOTAS</v>
      </c>
      <c r="D59" s="112"/>
      <c r="E59" s="112"/>
      <c r="F59" s="112"/>
      <c r="G59" s="112"/>
      <c r="H59" s="65" t="s">
        <v>54</v>
      </c>
      <c r="I59" s="66" t="str">
        <f>'Necesidades Trimestrales'!F86</f>
        <v>UNIDAD</v>
      </c>
      <c r="J59" s="48">
        <f>+'Necesidades Trimestrales'!H57</f>
        <v>92</v>
      </c>
      <c r="K59" s="49">
        <f>+'Necesidades Trimestrales'!G57</f>
        <v>500</v>
      </c>
    </row>
    <row r="60" spans="1:11" ht="27.75" customHeight="1" thickBot="1" x14ac:dyDescent="0.25">
      <c r="A60" s="44">
        <v>49</v>
      </c>
      <c r="B60" s="64"/>
      <c r="C60" s="112" t="str">
        <f>'Necesidades Trimestrales'!E58</f>
        <v>ITRACONAZOL 100 MG COMPRIMIDO</v>
      </c>
      <c r="D60" s="112"/>
      <c r="E60" s="112"/>
      <c r="F60" s="112"/>
      <c r="G60" s="112"/>
      <c r="H60" s="65" t="s">
        <v>54</v>
      </c>
      <c r="I60" s="66" t="str">
        <f>'Necesidades Trimestrales'!F87</f>
        <v>UNIDAD</v>
      </c>
      <c r="J60" s="48">
        <f>+'Necesidades Trimestrales'!H58</f>
        <v>90</v>
      </c>
      <c r="K60" s="49">
        <f>+'Necesidades Trimestrales'!G58</f>
        <v>100</v>
      </c>
    </row>
    <row r="61" spans="1:11" ht="27.75" customHeight="1" thickBot="1" x14ac:dyDescent="0.25">
      <c r="A61" s="44">
        <v>50</v>
      </c>
      <c r="B61" s="64"/>
      <c r="C61" s="112" t="str">
        <f>'Necesidades Trimestrales'!E59</f>
        <v>KETAMINA 50MG/ML FCO AMPOLLA</v>
      </c>
      <c r="D61" s="112"/>
      <c r="E61" s="112"/>
      <c r="F61" s="112"/>
      <c r="G61" s="112"/>
      <c r="H61" s="65" t="s">
        <v>54</v>
      </c>
      <c r="I61" s="66" t="str">
        <f>'Necesidades Trimestrales'!F88</f>
        <v>UNIDAD</v>
      </c>
      <c r="J61" s="48">
        <f>+'Necesidades Trimestrales'!H59</f>
        <v>2013</v>
      </c>
      <c r="K61" s="49">
        <f>+'Necesidades Trimestrales'!G59</f>
        <v>500</v>
      </c>
    </row>
    <row r="62" spans="1:11" ht="27.75" customHeight="1" thickBot="1" x14ac:dyDescent="0.25">
      <c r="A62" s="44">
        <v>51</v>
      </c>
      <c r="B62" s="64"/>
      <c r="C62" s="112" t="str">
        <f>'Necesidades Trimestrales'!E60</f>
        <v>LABETALOL 20 MG AMPOLLA</v>
      </c>
      <c r="D62" s="112"/>
      <c r="E62" s="112"/>
      <c r="F62" s="112"/>
      <c r="G62" s="112"/>
      <c r="H62" s="65" t="s">
        <v>54</v>
      </c>
      <c r="I62" s="66" t="str">
        <f>'Necesidades Trimestrales'!F89</f>
        <v>UNIDAD</v>
      </c>
      <c r="J62" s="48">
        <f>+'Necesidades Trimestrales'!H60</f>
        <v>148</v>
      </c>
      <c r="K62" s="49">
        <f>+'Necesidades Trimestrales'!G60</f>
        <v>100</v>
      </c>
    </row>
    <row r="63" spans="1:11" ht="27.75" customHeight="1" thickBot="1" x14ac:dyDescent="0.25">
      <c r="A63" s="44">
        <v>52</v>
      </c>
      <c r="B63" s="67"/>
      <c r="C63" s="112" t="str">
        <f>'Necesidades Trimestrales'!E61</f>
        <v>LEVOFLOXACINA 500 MG COMPRIMIDO</v>
      </c>
      <c r="D63" s="112"/>
      <c r="E63" s="112"/>
      <c r="F63" s="112"/>
      <c r="G63" s="112"/>
      <c r="H63" s="65" t="s">
        <v>54</v>
      </c>
      <c r="I63" s="66" t="str">
        <f>'Necesidades Trimestrales'!F90</f>
        <v>UNIDAD</v>
      </c>
      <c r="J63" s="48">
        <f>+'Necesidades Trimestrales'!H61</f>
        <v>41</v>
      </c>
      <c r="K63" s="49">
        <f>+'Necesidades Trimestrales'!G61</f>
        <v>50</v>
      </c>
    </row>
    <row r="64" spans="1:11" ht="27.75" customHeight="1" thickBot="1" x14ac:dyDescent="0.25">
      <c r="A64" s="44">
        <v>53</v>
      </c>
      <c r="B64" s="67"/>
      <c r="C64" s="112" t="str">
        <f>'Necesidades Trimestrales'!E62</f>
        <v>LORAZEPAM 4 MG/2ML AMPOLLA</v>
      </c>
      <c r="D64" s="112"/>
      <c r="E64" s="112"/>
      <c r="F64" s="112"/>
      <c r="G64" s="112"/>
      <c r="H64" s="65" t="s">
        <v>54</v>
      </c>
      <c r="I64" s="66" t="str">
        <f>'Necesidades Trimestrales'!F91</f>
        <v>UNIDAD</v>
      </c>
      <c r="J64" s="48">
        <f>+'Necesidades Trimestrales'!H62</f>
        <v>280</v>
      </c>
      <c r="K64" s="49">
        <f>+'Necesidades Trimestrales'!G62</f>
        <v>1000</v>
      </c>
    </row>
    <row r="65" spans="1:11" ht="27.75" customHeight="1" thickBot="1" x14ac:dyDescent="0.25">
      <c r="A65" s="44">
        <v>54</v>
      </c>
      <c r="B65" s="67"/>
      <c r="C65" s="112" t="str">
        <f>'Necesidades Trimestrales'!E63</f>
        <v>MEROPENEM 1000MG FCO AMPOLLA</v>
      </c>
      <c r="D65" s="112"/>
      <c r="E65" s="112"/>
      <c r="F65" s="112"/>
      <c r="G65" s="112"/>
      <c r="H65" s="65" t="s">
        <v>54</v>
      </c>
      <c r="I65" s="66" t="str">
        <f>'Necesidades Trimestrales'!F92</f>
        <v>UNIDAD</v>
      </c>
      <c r="J65" s="48">
        <f>+'Necesidades Trimestrales'!H63</f>
        <v>528</v>
      </c>
      <c r="K65" s="49">
        <f>+'Necesidades Trimestrales'!G63</f>
        <v>100</v>
      </c>
    </row>
    <row r="66" spans="1:11" ht="27.75" customHeight="1" thickBot="1" x14ac:dyDescent="0.25">
      <c r="A66" s="44">
        <v>55</v>
      </c>
      <c r="B66" s="67"/>
      <c r="C66" s="112" t="str">
        <f>'Necesidades Trimestrales'!E64</f>
        <v>MEROPENEM 500MG FCO AMPOLLA</v>
      </c>
      <c r="D66" s="112"/>
      <c r="E66" s="112"/>
      <c r="F66" s="112"/>
      <c r="G66" s="112"/>
      <c r="H66" s="65" t="s">
        <v>54</v>
      </c>
      <c r="I66" s="66" t="str">
        <f>'Necesidades Trimestrales'!F93</f>
        <v>UNIDAD</v>
      </c>
      <c r="J66" s="48">
        <f>+'Necesidades Trimestrales'!H64</f>
        <v>296.89999999999998</v>
      </c>
      <c r="K66" s="49">
        <f>+'Necesidades Trimestrales'!G64</f>
        <v>300</v>
      </c>
    </row>
    <row r="67" spans="1:11" ht="27.75" customHeight="1" thickBot="1" x14ac:dyDescent="0.25">
      <c r="A67" s="44">
        <v>56</v>
      </c>
      <c r="B67" s="67"/>
      <c r="C67" s="112" t="str">
        <f>'Necesidades Trimestrales'!E65</f>
        <v>METILPREDNISOLONA 500 MG FCO AMPOLLA</v>
      </c>
      <c r="D67" s="112"/>
      <c r="E67" s="112"/>
      <c r="F67" s="112"/>
      <c r="G67" s="112"/>
      <c r="H67" s="65" t="s">
        <v>54</v>
      </c>
      <c r="I67" s="66" t="str">
        <f>'Necesidades Trimestrales'!F94</f>
        <v>UNIDAD</v>
      </c>
      <c r="J67" s="48">
        <f>+'Necesidades Trimestrales'!H65</f>
        <v>617</v>
      </c>
      <c r="K67" s="49">
        <f>+'Necesidades Trimestrales'!G65</f>
        <v>100</v>
      </c>
    </row>
    <row r="68" spans="1:11" ht="27.75" customHeight="1" thickBot="1" x14ac:dyDescent="0.25">
      <c r="A68" s="44">
        <v>57</v>
      </c>
      <c r="B68" s="67"/>
      <c r="C68" s="112" t="str">
        <f>'Necesidades Trimestrales'!E66</f>
        <v>METILPREDNISONA 40 MG COMPRIMIDO</v>
      </c>
      <c r="D68" s="112"/>
      <c r="E68" s="112"/>
      <c r="F68" s="112"/>
      <c r="G68" s="112"/>
      <c r="H68" s="65" t="s">
        <v>54</v>
      </c>
      <c r="I68" s="66" t="str">
        <f>'Necesidades Trimestrales'!F95</f>
        <v>UNIDAD</v>
      </c>
      <c r="J68" s="48">
        <f>+'Necesidades Trimestrales'!H66</f>
        <v>47</v>
      </c>
      <c r="K68" s="49">
        <f>+'Necesidades Trimestrales'!G66</f>
        <v>2000</v>
      </c>
    </row>
    <row r="69" spans="1:11" ht="27.75" customHeight="1" thickBot="1" x14ac:dyDescent="0.25">
      <c r="A69" s="44">
        <v>58</v>
      </c>
      <c r="B69" s="67"/>
      <c r="C69" s="112" t="str">
        <f>'Necesidades Trimestrales'!E67</f>
        <v>METILPREDNISONA 4MG/ML AMPOLLA</v>
      </c>
      <c r="D69" s="112"/>
      <c r="E69" s="112"/>
      <c r="F69" s="112"/>
      <c r="G69" s="112"/>
      <c r="H69" s="65" t="s">
        <v>54</v>
      </c>
      <c r="I69" s="66" t="str">
        <f>'Necesidades Trimestrales'!F96</f>
        <v>UNIDAD</v>
      </c>
      <c r="J69" s="48">
        <f>+'Necesidades Trimestrales'!H67</f>
        <v>17</v>
      </c>
      <c r="K69" s="49">
        <f>+'Necesidades Trimestrales'!G67</f>
        <v>2000</v>
      </c>
    </row>
    <row r="70" spans="1:11" ht="27.75" customHeight="1" thickBot="1" x14ac:dyDescent="0.25">
      <c r="A70" s="44">
        <v>59</v>
      </c>
      <c r="B70" s="67"/>
      <c r="C70" s="112" t="str">
        <f>'Necesidades Trimestrales'!E68</f>
        <v>METILPREDNISONA 8MG COMPRIMIDO</v>
      </c>
      <c r="D70" s="112"/>
      <c r="E70" s="112"/>
      <c r="F70" s="112"/>
      <c r="G70" s="112"/>
      <c r="H70" s="65" t="s">
        <v>54</v>
      </c>
      <c r="I70" s="66">
        <f>'Necesidades Trimestrales'!F97</f>
        <v>0</v>
      </c>
      <c r="J70" s="48">
        <f>+'Necesidades Trimestrales'!H68</f>
        <v>21</v>
      </c>
      <c r="K70" s="49">
        <f>+'Necesidades Trimestrales'!G68</f>
        <v>2000</v>
      </c>
    </row>
    <row r="71" spans="1:11" ht="27.75" customHeight="1" thickBot="1" x14ac:dyDescent="0.25">
      <c r="A71" s="44">
        <v>60</v>
      </c>
      <c r="B71" s="67"/>
      <c r="C71" s="112" t="str">
        <f>'Necesidades Trimestrales'!E69</f>
        <v>METRONIDAZOL 500 MG COMPRIMIDO</v>
      </c>
      <c r="D71" s="112"/>
      <c r="E71" s="112"/>
      <c r="F71" s="112"/>
      <c r="G71" s="112"/>
      <c r="H71" s="65" t="s">
        <v>54</v>
      </c>
      <c r="I71" s="66">
        <f>'Necesidades Trimestrales'!F98</f>
        <v>0</v>
      </c>
      <c r="J71" s="48">
        <f>+'Necesidades Trimestrales'!H69</f>
        <v>8.9</v>
      </c>
      <c r="K71" s="49">
        <f>+'Necesidades Trimestrales'!G69</f>
        <v>1000</v>
      </c>
    </row>
    <row r="72" spans="1:11" ht="27.75" customHeight="1" thickBot="1" x14ac:dyDescent="0.25">
      <c r="A72" s="44">
        <v>61</v>
      </c>
      <c r="B72" s="67"/>
      <c r="C72" s="112" t="str">
        <f>'Necesidades Trimestrales'!E70</f>
        <v>METRONIDAZOL 500 MG SACHET</v>
      </c>
      <c r="D72" s="112"/>
      <c r="E72" s="112"/>
      <c r="F72" s="112"/>
      <c r="G72" s="112"/>
      <c r="H72" s="65" t="s">
        <v>54</v>
      </c>
      <c r="I72" s="66">
        <f>'Necesidades Trimestrales'!F99</f>
        <v>0</v>
      </c>
      <c r="J72" s="48">
        <f>+'Necesidades Trimestrales'!H70</f>
        <v>80</v>
      </c>
      <c r="K72" s="49">
        <f>+'Necesidades Trimestrales'!G70</f>
        <v>500</v>
      </c>
    </row>
    <row r="73" spans="1:11" ht="27.75" customHeight="1" thickBot="1" x14ac:dyDescent="0.25">
      <c r="A73" s="44">
        <v>62</v>
      </c>
      <c r="B73" s="67"/>
      <c r="C73" s="112" t="str">
        <f>'Necesidades Trimestrales'!E71</f>
        <v>MIDAZOLAM 15 MG AMPOLLA</v>
      </c>
      <c r="D73" s="112"/>
      <c r="E73" s="112"/>
      <c r="F73" s="112"/>
      <c r="G73" s="112"/>
      <c r="H73" s="65" t="s">
        <v>54</v>
      </c>
      <c r="I73" s="66">
        <f>'Necesidades Trimestrales'!F100</f>
        <v>0</v>
      </c>
      <c r="J73" s="48">
        <f>+'Necesidades Trimestrales'!H71</f>
        <v>514.25</v>
      </c>
      <c r="K73" s="49">
        <f>+'Necesidades Trimestrales'!G71</f>
        <v>3000</v>
      </c>
    </row>
    <row r="74" spans="1:11" ht="27.75" customHeight="1" thickBot="1" x14ac:dyDescent="0.25">
      <c r="A74" s="44">
        <v>63</v>
      </c>
      <c r="B74" s="67"/>
      <c r="C74" s="112" t="str">
        <f>'Necesidades Trimestrales'!E72</f>
        <v>MORFINA 10 MG AMPOLLA</v>
      </c>
      <c r="D74" s="112"/>
      <c r="E74" s="112"/>
      <c r="F74" s="112"/>
      <c r="G74" s="112"/>
      <c r="H74" s="65" t="s">
        <v>54</v>
      </c>
      <c r="I74" s="66">
        <f>'Necesidades Trimestrales'!F101</f>
        <v>0</v>
      </c>
      <c r="J74" s="48">
        <f>+'Necesidades Trimestrales'!H72</f>
        <v>89</v>
      </c>
      <c r="K74" s="49">
        <f>+'Necesidades Trimestrales'!G72</f>
        <v>2000</v>
      </c>
    </row>
    <row r="75" spans="1:11" ht="27.75" customHeight="1" thickBot="1" x14ac:dyDescent="0.25">
      <c r="A75" s="44">
        <v>64</v>
      </c>
      <c r="B75" s="67"/>
      <c r="C75" s="112" t="str">
        <f>'Necesidades Trimestrales'!E73</f>
        <v>NITROGLICERINA 25 MG AMPOLLA</v>
      </c>
      <c r="D75" s="112"/>
      <c r="E75" s="112"/>
      <c r="F75" s="112"/>
      <c r="G75" s="112"/>
      <c r="H75" s="65" t="s">
        <v>54</v>
      </c>
      <c r="I75" s="66">
        <f>'Necesidades Trimestrales'!F102</f>
        <v>0</v>
      </c>
      <c r="J75" s="48">
        <f>+'Necesidades Trimestrales'!H73</f>
        <v>255</v>
      </c>
      <c r="K75" s="49">
        <f>+'Necesidades Trimestrales'!G73</f>
        <v>100</v>
      </c>
    </row>
    <row r="76" spans="1:11" ht="27.75" customHeight="1" thickBot="1" x14ac:dyDescent="0.25">
      <c r="A76" s="44">
        <v>65</v>
      </c>
      <c r="B76" s="67"/>
      <c r="C76" s="112" t="str">
        <f>'Necesidades Trimestrales'!E74</f>
        <v>NITROPRUSIATO SODIO 50 MG VIAL</v>
      </c>
      <c r="D76" s="112"/>
      <c r="E76" s="112"/>
      <c r="F76" s="112"/>
      <c r="G76" s="112"/>
      <c r="H76" s="65" t="s">
        <v>54</v>
      </c>
      <c r="I76" s="66">
        <f>'Necesidades Trimestrales'!F103</f>
        <v>0</v>
      </c>
      <c r="J76" s="48">
        <f>+'Necesidades Trimestrales'!H74</f>
        <v>650</v>
      </c>
      <c r="K76" s="49">
        <f>+'Necesidades Trimestrales'!G74</f>
        <v>100</v>
      </c>
    </row>
    <row r="77" spans="1:11" ht="27.75" customHeight="1" thickBot="1" x14ac:dyDescent="0.25">
      <c r="A77" s="44">
        <v>66</v>
      </c>
      <c r="B77" s="67"/>
      <c r="C77" s="112" t="str">
        <f>'Necesidades Trimestrales'!E75</f>
        <v>NORADRENALINA AMPOLLA</v>
      </c>
      <c r="D77" s="112"/>
      <c r="E77" s="112"/>
      <c r="F77" s="112"/>
      <c r="G77" s="112"/>
      <c r="H77" s="65" t="s">
        <v>54</v>
      </c>
      <c r="I77" s="66">
        <f>'Necesidades Trimestrales'!F104</f>
        <v>0</v>
      </c>
      <c r="J77" s="48">
        <f>+'Necesidades Trimestrales'!H75</f>
        <v>120</v>
      </c>
      <c r="K77" s="49">
        <f>+'Necesidades Trimestrales'!G75</f>
        <v>200</v>
      </c>
    </row>
    <row r="78" spans="1:11" ht="27.75" customHeight="1" thickBot="1" x14ac:dyDescent="0.25">
      <c r="A78" s="44">
        <v>67</v>
      </c>
      <c r="B78" s="67"/>
      <c r="C78" s="112" t="str">
        <f>'Necesidades Trimestrales'!E76</f>
        <v>OMEPRAZOL 40 MG FCO AMP ENDOVENOSO</v>
      </c>
      <c r="D78" s="112"/>
      <c r="E78" s="112"/>
      <c r="F78" s="112"/>
      <c r="G78" s="112"/>
      <c r="H78" s="65" t="s">
        <v>54</v>
      </c>
      <c r="I78" s="66">
        <f>'Necesidades Trimestrales'!F105</f>
        <v>0</v>
      </c>
      <c r="J78" s="48">
        <f>+'Necesidades Trimestrales'!H76</f>
        <v>250</v>
      </c>
      <c r="K78" s="49">
        <f>+'Necesidades Trimestrales'!G76</f>
        <v>400</v>
      </c>
    </row>
    <row r="79" spans="1:11" ht="27.75" customHeight="1" thickBot="1" x14ac:dyDescent="0.25">
      <c r="A79" s="44">
        <v>68</v>
      </c>
      <c r="B79" s="67"/>
      <c r="C79" s="112" t="str">
        <f>'Necesidades Trimestrales'!E77</f>
        <v>PANCURONIO 4 MG/ ML</v>
      </c>
      <c r="D79" s="112"/>
      <c r="E79" s="112"/>
      <c r="F79" s="112"/>
      <c r="G79" s="112"/>
      <c r="H79" s="65" t="s">
        <v>54</v>
      </c>
      <c r="I79" s="66">
        <f>'Necesidades Trimestrales'!F106</f>
        <v>0</v>
      </c>
      <c r="J79" s="48">
        <f>+'Necesidades Trimestrales'!H77</f>
        <v>248</v>
      </c>
      <c r="K79" s="49">
        <f>+'Necesidades Trimestrales'!G77</f>
        <v>1000</v>
      </c>
    </row>
    <row r="80" spans="1:11" ht="27.75" customHeight="1" thickBot="1" x14ac:dyDescent="0.25">
      <c r="A80" s="44">
        <v>69</v>
      </c>
      <c r="B80" s="67"/>
      <c r="C80" s="112" t="str">
        <f>'Necesidades Trimestrales'!E78</f>
        <v>PARACETAMOL 1GR COMPRIMIDO</v>
      </c>
      <c r="D80" s="112"/>
      <c r="E80" s="112"/>
      <c r="F80" s="112"/>
      <c r="G80" s="112"/>
      <c r="H80" s="65" t="s">
        <v>54</v>
      </c>
      <c r="I80" s="66">
        <f>'Necesidades Trimestrales'!F107</f>
        <v>0</v>
      </c>
      <c r="J80" s="48">
        <f>+'Necesidades Trimestrales'!H78</f>
        <v>7</v>
      </c>
      <c r="K80" s="49">
        <f>+'Necesidades Trimestrales'!G78</f>
        <v>500</v>
      </c>
    </row>
    <row r="81" spans="1:11" ht="27.75" customHeight="1" thickBot="1" x14ac:dyDescent="0.25">
      <c r="A81" s="44">
        <v>70</v>
      </c>
      <c r="B81" s="67"/>
      <c r="C81" s="112" t="str">
        <f>'Necesidades Trimestrales'!E79</f>
        <v>PARACETAMOL 1GR ML FRASCO AMPOLLA</v>
      </c>
      <c r="D81" s="112"/>
      <c r="E81" s="112"/>
      <c r="F81" s="112"/>
      <c r="G81" s="112"/>
      <c r="H81" s="65" t="s">
        <v>54</v>
      </c>
      <c r="I81" s="66">
        <f>'Necesidades Trimestrales'!F108</f>
        <v>0</v>
      </c>
      <c r="J81" s="48">
        <f>+'Necesidades Trimestrales'!H79</f>
        <v>864.4</v>
      </c>
      <c r="K81" s="49">
        <f>+'Necesidades Trimestrales'!G79</f>
        <v>50</v>
      </c>
    </row>
    <row r="82" spans="1:11" ht="27.75" customHeight="1" thickBot="1" x14ac:dyDescent="0.25">
      <c r="A82" s="44">
        <v>71</v>
      </c>
      <c r="B82" s="67"/>
      <c r="C82" s="112" t="str">
        <f>'Necesidades Trimestrales'!E80</f>
        <v>PARACETAMOL 2% JARABE</v>
      </c>
      <c r="D82" s="112"/>
      <c r="E82" s="112"/>
      <c r="F82" s="112"/>
      <c r="G82" s="112"/>
      <c r="H82" s="65" t="s">
        <v>54</v>
      </c>
      <c r="I82" s="66">
        <f>'Necesidades Trimestrales'!F109</f>
        <v>0</v>
      </c>
      <c r="J82" s="48">
        <f>+'Necesidades Trimestrales'!H80</f>
        <v>159.19999999999999</v>
      </c>
      <c r="K82" s="49">
        <f>+'Necesidades Trimestrales'!G80</f>
        <v>200</v>
      </c>
    </row>
    <row r="83" spans="1:11" ht="27.75" customHeight="1" thickBot="1" x14ac:dyDescent="0.25">
      <c r="A83" s="44">
        <v>72</v>
      </c>
      <c r="B83" s="67"/>
      <c r="C83" s="112" t="str">
        <f>'Necesidades Trimestrales'!E81</f>
        <v>PARACETAMOL 500 MG COMPRIMIDO</v>
      </c>
      <c r="D83" s="112"/>
      <c r="E83" s="112"/>
      <c r="F83" s="112"/>
      <c r="G83" s="112"/>
      <c r="H83" s="65" t="s">
        <v>54</v>
      </c>
      <c r="I83" s="66">
        <f>'Necesidades Trimestrales'!F110</f>
        <v>0</v>
      </c>
      <c r="J83" s="48">
        <f>+'Necesidades Trimestrales'!H81</f>
        <v>4</v>
      </c>
      <c r="K83" s="49">
        <f>+'Necesidades Trimestrales'!G81</f>
        <v>4000</v>
      </c>
    </row>
    <row r="84" spans="1:11" ht="27.75" customHeight="1" thickBot="1" x14ac:dyDescent="0.25">
      <c r="A84" s="44">
        <v>73</v>
      </c>
      <c r="B84" s="67"/>
      <c r="C84" s="112" t="str">
        <f>'Necesidades Trimestrales'!E82</f>
        <v>PIPERACILINA 4 GRS + TAZOBACTAM 500 MG FCO AMPOLLA</v>
      </c>
      <c r="D84" s="112"/>
      <c r="E84" s="112"/>
      <c r="F84" s="112"/>
      <c r="G84" s="112"/>
      <c r="H84" s="65" t="s">
        <v>54</v>
      </c>
      <c r="I84" s="66">
        <f>'Necesidades Trimestrales'!F111</f>
        <v>0</v>
      </c>
      <c r="J84" s="48">
        <f>+'Necesidades Trimestrales'!H82</f>
        <v>345</v>
      </c>
      <c r="K84" s="49">
        <f>+'Necesidades Trimestrales'!G82</f>
        <v>500</v>
      </c>
    </row>
    <row r="85" spans="1:11" ht="27.75" customHeight="1" thickBot="1" x14ac:dyDescent="0.25">
      <c r="A85" s="44">
        <v>74</v>
      </c>
      <c r="B85" s="67"/>
      <c r="C85" s="112" t="str">
        <f>'Necesidades Trimestrales'!E83</f>
        <v>PROPOFOL 1% AMPOLLAS X 20 ML</v>
      </c>
      <c r="D85" s="112"/>
      <c r="E85" s="112"/>
      <c r="F85" s="112"/>
      <c r="G85" s="112"/>
      <c r="H85" s="65" t="s">
        <v>54</v>
      </c>
      <c r="I85" s="66">
        <f>'Necesidades Trimestrales'!F112</f>
        <v>0</v>
      </c>
      <c r="J85" s="48">
        <f>+'Necesidades Trimestrales'!H83</f>
        <v>859.1</v>
      </c>
      <c r="K85" s="49">
        <f>+'Necesidades Trimestrales'!G83</f>
        <v>400</v>
      </c>
    </row>
    <row r="86" spans="1:11" ht="27.75" customHeight="1" thickBot="1" x14ac:dyDescent="0.25">
      <c r="A86" s="44">
        <v>75</v>
      </c>
      <c r="B86" s="67"/>
      <c r="C86" s="112" t="str">
        <f>'Necesidades Trimestrales'!E84</f>
        <v>PROPOFOL 1% FCO AMPOLLAS VIAL X 50 ML</v>
      </c>
      <c r="D86" s="112"/>
      <c r="E86" s="112"/>
      <c r="F86" s="112"/>
      <c r="G86" s="112"/>
      <c r="H86" s="65" t="s">
        <v>54</v>
      </c>
      <c r="I86" s="66">
        <f>'Necesidades Trimestrales'!F113</f>
        <v>0</v>
      </c>
      <c r="J86" s="48">
        <f>+'Necesidades Trimestrales'!H84</f>
        <v>860</v>
      </c>
      <c r="K86" s="49">
        <f>+'Necesidades Trimestrales'!G84</f>
        <v>200</v>
      </c>
    </row>
    <row r="87" spans="1:11" ht="27.75" customHeight="1" thickBot="1" x14ac:dyDescent="0.25">
      <c r="A87" s="44">
        <v>76</v>
      </c>
      <c r="B87" s="67"/>
      <c r="C87" s="112" t="str">
        <f>'Necesidades Trimestrales'!E85</f>
        <v>REMIFENTANILO 5 MG FCO AMPOLLA</v>
      </c>
      <c r="D87" s="112"/>
      <c r="E87" s="112"/>
      <c r="F87" s="112"/>
      <c r="G87" s="112"/>
      <c r="H87" s="65" t="s">
        <v>54</v>
      </c>
      <c r="I87" s="66">
        <f>'Necesidades Trimestrales'!F114</f>
        <v>0</v>
      </c>
      <c r="J87" s="48">
        <f>+'Necesidades Trimestrales'!H85</f>
        <v>690</v>
      </c>
      <c r="K87" s="49">
        <f>+'Necesidades Trimestrales'!G85</f>
        <v>1000</v>
      </c>
    </row>
    <row r="88" spans="1:11" ht="27.75" customHeight="1" thickBot="1" x14ac:dyDescent="0.25">
      <c r="A88" s="44">
        <v>77</v>
      </c>
      <c r="B88" s="67"/>
      <c r="C88" s="112" t="str">
        <f>'Necesidades Trimestrales'!E86</f>
        <v xml:space="preserve">SALBUTAMOL AEROSOL CON  AEROCAMARA </v>
      </c>
      <c r="D88" s="112"/>
      <c r="E88" s="112"/>
      <c r="F88" s="112"/>
      <c r="G88" s="112"/>
      <c r="H88" s="65" t="s">
        <v>54</v>
      </c>
      <c r="I88" s="66">
        <f>'Necesidades Trimestrales'!F115</f>
        <v>0</v>
      </c>
      <c r="J88" s="48">
        <f>+'Necesidades Trimestrales'!H86</f>
        <v>980</v>
      </c>
      <c r="K88" s="49">
        <f>+'Necesidades Trimestrales'!G86</f>
        <v>3000</v>
      </c>
    </row>
    <row r="89" spans="1:11" ht="27.75" customHeight="1" thickBot="1" x14ac:dyDescent="0.25">
      <c r="A89" s="44">
        <v>78</v>
      </c>
      <c r="B89" s="67"/>
      <c r="C89" s="112" t="str">
        <f>'Necesidades Trimestrales'!E87</f>
        <v>SALBUTAMOL GOTAS</v>
      </c>
      <c r="D89" s="112"/>
      <c r="E89" s="112"/>
      <c r="F89" s="112"/>
      <c r="G89" s="112"/>
      <c r="H89" s="65" t="s">
        <v>54</v>
      </c>
      <c r="I89" s="66">
        <f>'Necesidades Trimestrales'!F116</f>
        <v>0</v>
      </c>
      <c r="J89" s="48">
        <f>+'Necesidades Trimestrales'!H87</f>
        <v>42.86</v>
      </c>
      <c r="K89" s="49">
        <f>+'Necesidades Trimestrales'!G87</f>
        <v>500</v>
      </c>
    </row>
    <row r="90" spans="1:11" ht="27.75" customHeight="1" thickBot="1" x14ac:dyDescent="0.25">
      <c r="A90" s="44">
        <v>79</v>
      </c>
      <c r="B90" s="67"/>
      <c r="C90" s="112" t="str">
        <f>'Necesidades Trimestrales'!E88</f>
        <v>SUCCINILCOLINA 500 MG FCO AMP</v>
      </c>
      <c r="D90" s="112"/>
      <c r="E90" s="112"/>
      <c r="F90" s="112"/>
      <c r="G90" s="112"/>
      <c r="H90" s="65" t="s">
        <v>54</v>
      </c>
      <c r="I90" s="66">
        <f>'Necesidades Trimestrales'!F117</f>
        <v>0</v>
      </c>
      <c r="J90" s="48">
        <f>+'Necesidades Trimestrales'!H88</f>
        <v>242</v>
      </c>
      <c r="K90" s="49">
        <f>+'Necesidades Trimestrales'!G88</f>
        <v>300</v>
      </c>
    </row>
    <row r="91" spans="1:11" ht="27.75" customHeight="1" thickBot="1" x14ac:dyDescent="0.25">
      <c r="A91" s="44">
        <v>80</v>
      </c>
      <c r="B91" s="67"/>
      <c r="C91" s="112" t="str">
        <f>'Necesidades Trimestrales'!E89</f>
        <v>SUCRALFATO SUSPENSIÓN 1GR/ML x 200 ml</v>
      </c>
      <c r="D91" s="112"/>
      <c r="E91" s="112"/>
      <c r="F91" s="112"/>
      <c r="G91" s="112"/>
      <c r="H91" s="65" t="s">
        <v>54</v>
      </c>
      <c r="I91" s="66">
        <f>'Necesidades Trimestrales'!F118</f>
        <v>0</v>
      </c>
      <c r="J91" s="48">
        <f>+'Necesidades Trimestrales'!H89</f>
        <v>560</v>
      </c>
      <c r="K91" s="49">
        <f>+'Necesidades Trimestrales'!G89</f>
        <v>100</v>
      </c>
    </row>
    <row r="92" spans="1:11" ht="27.75" customHeight="1" thickBot="1" x14ac:dyDescent="0.25">
      <c r="A92" s="44">
        <v>81</v>
      </c>
      <c r="B92" s="67"/>
      <c r="C92" s="112" t="str">
        <f>'Necesidades Trimestrales'!E90</f>
        <v>TIOPENTAL SODICO 1GR FRASCO AMPOLLA</v>
      </c>
      <c r="D92" s="112"/>
      <c r="E92" s="112"/>
      <c r="F92" s="112"/>
      <c r="G92" s="112"/>
      <c r="H92" s="65" t="s">
        <v>54</v>
      </c>
      <c r="I92" s="66">
        <f>'Necesidades Trimestrales'!F119</f>
        <v>0</v>
      </c>
      <c r="J92" s="48">
        <f>+'Necesidades Trimestrales'!H90</f>
        <v>890</v>
      </c>
      <c r="K92" s="49">
        <f>+'Necesidades Trimestrales'!G90</f>
        <v>100</v>
      </c>
    </row>
    <row r="93" spans="1:11" ht="27.75" customHeight="1" thickBot="1" x14ac:dyDescent="0.25">
      <c r="A93" s="44">
        <v>82</v>
      </c>
      <c r="B93" s="67"/>
      <c r="C93" s="112" t="str">
        <f>'Necesidades Trimestrales'!E91</f>
        <v>TRAMADOL 50 MG AMPOLLA</v>
      </c>
      <c r="D93" s="112"/>
      <c r="E93" s="112"/>
      <c r="F93" s="112"/>
      <c r="G93" s="112"/>
      <c r="H93" s="65" t="s">
        <v>54</v>
      </c>
      <c r="I93" s="66">
        <f>'Necesidades Trimestrales'!F120</f>
        <v>0</v>
      </c>
      <c r="J93" s="48">
        <f>+'Necesidades Trimestrales'!H91</f>
        <v>39</v>
      </c>
      <c r="K93" s="49">
        <f>+'Necesidades Trimestrales'!G91</f>
        <v>200</v>
      </c>
    </row>
    <row r="94" spans="1:11" ht="27.75" customHeight="1" thickBot="1" x14ac:dyDescent="0.25">
      <c r="A94" s="44">
        <v>83</v>
      </c>
      <c r="B94" s="67"/>
      <c r="C94" s="112" t="str">
        <f>'Necesidades Trimestrales'!E92</f>
        <v>VANCOMICINA 1000 MG FCO AMP</v>
      </c>
      <c r="D94" s="112"/>
      <c r="E94" s="112"/>
      <c r="F94" s="112"/>
      <c r="G94" s="112"/>
      <c r="H94" s="65" t="s">
        <v>54</v>
      </c>
      <c r="I94" s="66">
        <f>'Necesidades Trimestrales'!F121</f>
        <v>0</v>
      </c>
      <c r="J94" s="48">
        <f>+'Necesidades Trimestrales'!H92</f>
        <v>286</v>
      </c>
      <c r="K94" s="49">
        <f>+'Necesidades Trimestrales'!G92</f>
        <v>300</v>
      </c>
    </row>
    <row r="95" spans="1:11" ht="27.75" customHeight="1" thickBot="1" x14ac:dyDescent="0.25">
      <c r="A95" s="44">
        <v>84</v>
      </c>
      <c r="B95" s="67"/>
      <c r="C95" s="112" t="str">
        <f>'Necesidades Trimestrales'!E93</f>
        <v>VANCOMICINA 500 MG FCO AMP</v>
      </c>
      <c r="D95" s="112"/>
      <c r="E95" s="112"/>
      <c r="F95" s="112"/>
      <c r="G95" s="112"/>
      <c r="H95" s="65" t="s">
        <v>54</v>
      </c>
      <c r="I95" s="66">
        <f>'Necesidades Trimestrales'!F122</f>
        <v>0</v>
      </c>
      <c r="J95" s="48">
        <f>+'Necesidades Trimestrales'!H93</f>
        <v>180</v>
      </c>
      <c r="K95" s="49">
        <f>+'Necesidades Trimestrales'!G93</f>
        <v>300</v>
      </c>
    </row>
    <row r="96" spans="1:11" ht="27.75" customHeight="1" thickBot="1" x14ac:dyDescent="0.25">
      <c r="A96" s="44">
        <v>85</v>
      </c>
      <c r="B96" s="67"/>
      <c r="C96" s="112" t="str">
        <f>'Necesidades Trimestrales'!E94</f>
        <v>VECURONIO BROMURO 10 MG AMPOLLA</v>
      </c>
      <c r="D96" s="112"/>
      <c r="E96" s="112"/>
      <c r="F96" s="112"/>
      <c r="G96" s="112"/>
      <c r="H96" s="65" t="s">
        <v>54</v>
      </c>
      <c r="I96" s="66">
        <f>'Necesidades Trimestrales'!F123</f>
        <v>0</v>
      </c>
      <c r="J96" s="48">
        <f>+'Necesidades Trimestrales'!H94</f>
        <v>634.67999999999995</v>
      </c>
      <c r="K96" s="49">
        <f>+'Necesidades Trimestrales'!G94</f>
        <v>500</v>
      </c>
    </row>
    <row r="97" spans="1:14" ht="27.75" customHeight="1" thickBot="1" x14ac:dyDescent="0.25">
      <c r="A97" s="44">
        <v>86</v>
      </c>
      <c r="B97" s="67"/>
      <c r="C97" s="112" t="str">
        <f>'Necesidades Trimestrales'!E95</f>
        <v>VITAMINA C  200 MG/ ML AMPOLLA</v>
      </c>
      <c r="D97" s="112"/>
      <c r="E97" s="112"/>
      <c r="F97" s="112"/>
      <c r="G97" s="112"/>
      <c r="H97" s="65" t="s">
        <v>54</v>
      </c>
      <c r="I97" s="66">
        <f>'Necesidades Trimestrales'!F124</f>
        <v>0</v>
      </c>
      <c r="J97" s="48">
        <f>+'Necesidades Trimestrales'!H95</f>
        <v>180</v>
      </c>
      <c r="K97" s="49">
        <f>+'Necesidades Trimestrales'!G95</f>
        <v>1000</v>
      </c>
    </row>
    <row r="98" spans="1:14" ht="27.75" customHeight="1" thickBot="1" x14ac:dyDescent="0.25">
      <c r="A98" s="44">
        <v>87</v>
      </c>
      <c r="B98" s="67"/>
      <c r="C98" s="112" t="str">
        <f>'Necesidades Trimestrales'!E96</f>
        <v>VITAMINA C 2 GR COMPRIMIDO EFERVESCENTES</v>
      </c>
      <c r="D98" s="112"/>
      <c r="E98" s="112"/>
      <c r="F98" s="112"/>
      <c r="G98" s="112"/>
      <c r="H98" s="65" t="s">
        <v>54</v>
      </c>
      <c r="I98" s="66">
        <f>'Necesidades Trimestrales'!F125</f>
        <v>0</v>
      </c>
      <c r="J98" s="48">
        <f>+'Necesidades Trimestrales'!H96</f>
        <v>49</v>
      </c>
      <c r="K98" s="49">
        <f>+'Necesidades Trimestrales'!G96</f>
        <v>1000</v>
      </c>
    </row>
    <row r="99" spans="1:14" ht="20.25" customHeight="1" thickBot="1" x14ac:dyDescent="0.25">
      <c r="A99" s="115" t="s">
        <v>151</v>
      </c>
      <c r="B99" s="115"/>
      <c r="C99" s="115"/>
      <c r="D99" s="115"/>
      <c r="E99" s="115"/>
      <c r="F99" s="115"/>
      <c r="G99" s="115"/>
      <c r="H99" s="115"/>
      <c r="I99" s="115"/>
      <c r="J99" s="122">
        <f>SUMPRODUCT(J12:J98,K12:K98)</f>
        <v>13448016</v>
      </c>
      <c r="K99" s="122"/>
      <c r="N99" s="52"/>
    </row>
  </sheetData>
  <mergeCells count="109">
    <mergeCell ref="A99:I99"/>
    <mergeCell ref="J99:K9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31:G31"/>
    <mergeCell ref="C32:G32"/>
    <mergeCell ref="C33:G33"/>
    <mergeCell ref="C34:G34"/>
    <mergeCell ref="C29:G29"/>
    <mergeCell ref="C30:G30"/>
    <mergeCell ref="C50:G50"/>
    <mergeCell ref="C51:G51"/>
    <mergeCell ref="C52:G52"/>
    <mergeCell ref="C53:G53"/>
    <mergeCell ref="C54:G54"/>
    <mergeCell ref="C35:G35"/>
    <mergeCell ref="B10:B11"/>
    <mergeCell ref="C10:G11"/>
    <mergeCell ref="H10:H11"/>
    <mergeCell ref="I10:I11"/>
    <mergeCell ref="J10:J11"/>
    <mergeCell ref="K10:K11"/>
    <mergeCell ref="A8:C8"/>
    <mergeCell ref="C27:G27"/>
    <mergeCell ref="C28:G28"/>
    <mergeCell ref="C26:G26"/>
    <mergeCell ref="C22:G22"/>
    <mergeCell ref="C23:G23"/>
    <mergeCell ref="C24:G24"/>
    <mergeCell ref="C25:G25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49:G49"/>
    <mergeCell ref="C44:G44"/>
    <mergeCell ref="C45:G45"/>
    <mergeCell ref="C46:G46"/>
    <mergeCell ref="C47:G47"/>
    <mergeCell ref="C48:G48"/>
    <mergeCell ref="C36:G36"/>
    <mergeCell ref="C37:G37"/>
    <mergeCell ref="C38:G38"/>
    <mergeCell ref="C39:G39"/>
    <mergeCell ref="C40:G40"/>
    <mergeCell ref="C41:G41"/>
    <mergeCell ref="C42:G42"/>
    <mergeCell ref="C43:G43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70:G70"/>
    <mergeCell ref="C71:G71"/>
    <mergeCell ref="C72:G72"/>
    <mergeCell ref="C86:G86"/>
    <mergeCell ref="C87:G87"/>
    <mergeCell ref="C65:G65"/>
    <mergeCell ref="C66:G66"/>
    <mergeCell ref="C67:G67"/>
    <mergeCell ref="C68:G68"/>
    <mergeCell ref="C69:G69"/>
    <mergeCell ref="C98:G98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93:G93"/>
    <mergeCell ref="C94:G94"/>
    <mergeCell ref="C95:G95"/>
    <mergeCell ref="C96:G96"/>
    <mergeCell ref="C97:G97"/>
    <mergeCell ref="C88:G88"/>
    <mergeCell ref="C89:G89"/>
    <mergeCell ref="C90:G90"/>
    <mergeCell ref="C91:G91"/>
    <mergeCell ref="C92:G9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T19" sqref="T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3" t="s">
        <v>3</v>
      </c>
      <c r="B1" s="123"/>
      <c r="C1" s="123"/>
      <c r="D1" s="124">
        <f>'Necesidades Trimestrales'!C6</f>
        <v>2021</v>
      </c>
      <c r="E1" s="124"/>
      <c r="F1" s="3"/>
      <c r="G1" s="3"/>
      <c r="H1" s="4"/>
      <c r="I1" s="4"/>
      <c r="J1" s="4"/>
      <c r="K1" s="4"/>
      <c r="L1" s="4"/>
      <c r="M1" s="4"/>
      <c r="N1" s="4"/>
      <c r="P1" s="125" t="s">
        <v>25</v>
      </c>
      <c r="Q1" s="12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5"/>
      <c r="Q2" s="125"/>
    </row>
    <row r="4" spans="1:17" s="5" customFormat="1" ht="18" customHeight="1" thickBot="1" x14ac:dyDescent="0.25">
      <c r="A4" s="126" t="s">
        <v>26</v>
      </c>
      <c r="B4" s="126"/>
      <c r="C4" s="126"/>
      <c r="D4" s="126"/>
      <c r="E4" s="126"/>
      <c r="F4" s="126"/>
      <c r="G4" s="127" t="str">
        <f>' NotaPedido'!D3</f>
        <v>040 - Ministerio de Salud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17" s="5" customFormat="1" ht="18" customHeight="1" thickBot="1" x14ac:dyDescent="0.25">
      <c r="A5" s="128" t="s">
        <v>49</v>
      </c>
      <c r="B5" s="129"/>
      <c r="C5" s="129"/>
      <c r="D5" s="129"/>
      <c r="E5" s="129"/>
      <c r="F5" s="130"/>
      <c r="G5" s="127" t="str">
        <f>' NotaPedido'!D4</f>
        <v>024 - Hospital Interzonal de Niños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17" s="5" customFormat="1" ht="18" customHeight="1" thickBot="1" x14ac:dyDescent="0.25">
      <c r="A6" s="128" t="s">
        <v>27</v>
      </c>
      <c r="B6" s="129"/>
      <c r="C6" s="129"/>
      <c r="D6" s="129"/>
      <c r="E6" s="129"/>
      <c r="F6" s="130"/>
      <c r="G6" s="127" t="str">
        <f>' NotaPedido'!D5</f>
        <v>024 - Hospital Interzonal de Niños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spans="1:17" s="5" customFormat="1" ht="18" customHeight="1" thickBot="1" x14ac:dyDescent="0.25">
      <c r="A7" s="128" t="s">
        <v>50</v>
      </c>
      <c r="B7" s="129"/>
      <c r="C7" s="129"/>
      <c r="D7" s="129"/>
      <c r="E7" s="129"/>
      <c r="F7" s="130"/>
      <c r="G7" s="127" t="s">
        <v>56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17" ht="18" customHeight="1" thickBot="1" x14ac:dyDescent="0.25">
      <c r="A8" s="131" t="s">
        <v>28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 x14ac:dyDescent="0.2">
      <c r="A9" s="132" t="s">
        <v>29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6"/>
    </row>
    <row r="10" spans="1:17" ht="54.75" customHeight="1" x14ac:dyDescent="0.2">
      <c r="A10" s="13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090/2021,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4" t="s">
        <v>30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thickBot="1" x14ac:dyDescent="0.25">
      <c r="A13" s="135" t="s">
        <v>31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32</v>
      </c>
      <c r="P13" s="138"/>
      <c r="Q13" s="141" t="s">
        <v>33</v>
      </c>
    </row>
    <row r="14" spans="1:17" ht="15.75" customHeight="1" thickBot="1" x14ac:dyDescent="0.25">
      <c r="A14" s="57" t="s">
        <v>34</v>
      </c>
      <c r="B14" s="58" t="s">
        <v>35</v>
      </c>
      <c r="C14" s="58" t="s">
        <v>36</v>
      </c>
      <c r="D14" s="58" t="s">
        <v>37</v>
      </c>
      <c r="E14" s="58" t="s">
        <v>38</v>
      </c>
      <c r="F14" s="58" t="s">
        <v>39</v>
      </c>
      <c r="G14" s="59" t="s">
        <v>40</v>
      </c>
      <c r="H14" s="58" t="s">
        <v>41</v>
      </c>
      <c r="I14" s="58" t="s">
        <v>42</v>
      </c>
      <c r="J14" s="58" t="s">
        <v>43</v>
      </c>
      <c r="K14" s="58" t="s">
        <v>43</v>
      </c>
      <c r="L14" s="58" t="s">
        <v>44</v>
      </c>
      <c r="M14" s="60" t="s">
        <v>45</v>
      </c>
      <c r="N14" s="61" t="s">
        <v>46</v>
      </c>
      <c r="O14" s="139"/>
      <c r="P14" s="140"/>
      <c r="Q14" s="142"/>
    </row>
    <row r="15" spans="1:17" ht="26.25" customHeight="1" x14ac:dyDescent="0.2">
      <c r="A15" s="53">
        <v>36</v>
      </c>
      <c r="B15" s="54"/>
      <c r="C15" s="54"/>
      <c r="D15" s="54">
        <v>1</v>
      </c>
      <c r="E15" s="54"/>
      <c r="F15" s="54">
        <v>4901</v>
      </c>
      <c r="G15" s="54">
        <v>3</v>
      </c>
      <c r="H15" s="54">
        <v>310</v>
      </c>
      <c r="I15" s="54">
        <v>2</v>
      </c>
      <c r="J15" s="54">
        <v>5</v>
      </c>
      <c r="K15" s="54">
        <v>2</v>
      </c>
      <c r="L15" s="54"/>
      <c r="M15" s="55">
        <v>1</v>
      </c>
      <c r="N15" s="56" t="s">
        <v>53</v>
      </c>
      <c r="O15" s="143" t="s">
        <v>156</v>
      </c>
      <c r="P15" s="143"/>
      <c r="Q15" s="62">
        <v>13448016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3"/>
      <c r="O16" s="144"/>
      <c r="P16" s="145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45"/>
      <c r="P17" s="145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5"/>
      <c r="P18" s="145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51"/>
      <c r="P19" s="151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52"/>
      <c r="P20" s="152"/>
      <c r="Q20" s="24"/>
    </row>
    <row r="21" spans="1:18" ht="29.25" customHeight="1" x14ac:dyDescent="0.2">
      <c r="A21" s="153" t="s">
        <v>152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25">
        <f>SUM(Q15:Q20)</f>
        <v>13448016</v>
      </c>
    </row>
    <row r="22" spans="1:18" ht="18" customHeight="1" thickBot="1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</row>
    <row r="23" spans="1:18" ht="17.25" customHeight="1" thickBot="1" x14ac:dyDescent="0.25">
      <c r="A23" s="146" t="s">
        <v>47</v>
      </c>
      <c r="B23" s="147"/>
      <c r="C23" s="147"/>
      <c r="D23" s="147"/>
      <c r="E23" s="147"/>
      <c r="F23" s="148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</row>
    <row r="24" spans="1:18" ht="18" customHeight="1" thickBot="1" x14ac:dyDescent="0.25">
      <c r="A24" s="150" t="s">
        <v>154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</row>
    <row r="25" spans="1:18" ht="26.25" customHeight="1" x14ac:dyDescent="0.2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2021-08-12T13:13:48Z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