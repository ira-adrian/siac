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3 TRIMESTRE 2022\MS\oxigeno\"/>
    </mc:Choice>
  </mc:AlternateContent>
  <xr:revisionPtr revIDLastSave="0" documentId="13_ncr:1_{D7D3D337-7725-4639-B1AF-30F8773D2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 SAME" sheetId="2" r:id="rId2"/>
    <sheet name="APG SAME" sheetId="3" r:id="rId3"/>
    <sheet name="NP DPAS" sheetId="4" r:id="rId4"/>
    <sheet name="APG DPAS" sheetId="5" r:id="rId5"/>
  </sheets>
  <definedNames>
    <definedName name="_xlnm._FilterDatabase" localSheetId="0" hidden="1">'SAF 011'!$A$9:$BA$9</definedName>
  </definedNames>
  <calcPr calcId="181029"/>
</workbook>
</file>

<file path=xl/calcChain.xml><?xml version="1.0" encoding="utf-8"?>
<calcChain xmlns="http://schemas.openxmlformats.org/spreadsheetml/2006/main">
  <c r="K12" i="4" l="1"/>
  <c r="A41" i="5"/>
  <c r="G7" i="5"/>
  <c r="G6" i="5"/>
  <c r="J12" i="4"/>
  <c r="I12" i="4"/>
  <c r="C12" i="4"/>
  <c r="B12" i="4"/>
  <c r="D4" i="4"/>
  <c r="G5" i="5" s="1"/>
  <c r="D3" i="4"/>
  <c r="G4" i="5" s="1"/>
  <c r="A41" i="3"/>
  <c r="G6" i="3"/>
  <c r="G7" i="3"/>
  <c r="K12" i="2"/>
  <c r="J12" i="2"/>
  <c r="J14" i="2" s="1"/>
  <c r="Q15" i="3" s="1"/>
  <c r="I12" i="2"/>
  <c r="C12" i="2"/>
  <c r="B12" i="2"/>
  <c r="D4" i="2"/>
  <c r="G5" i="3" s="1"/>
  <c r="D3" i="2"/>
  <c r="G4" i="3" s="1"/>
  <c r="J14" i="4" l="1"/>
  <c r="Q15" i="5" s="1"/>
  <c r="Q38" i="5" s="1"/>
  <c r="Q38" i="3"/>
  <c r="AY10" i="1" l="1"/>
  <c r="BA10" i="1" l="1"/>
  <c r="AR10" i="1"/>
  <c r="X10" i="1"/>
  <c r="BA11" i="1" l="1"/>
</calcChain>
</file>

<file path=xl/sharedStrings.xml><?xml version="1.0" encoding="utf-8"?>
<sst xmlns="http://schemas.openxmlformats.org/spreadsheetml/2006/main" count="200" uniqueCount="146">
  <si>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</si>
  <si>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</si>
  <si>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</si>
  <si>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</si>
  <si>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</si>
  <si>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</si>
  <si>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</si>
  <si>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</si>
  <si>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</si>
  <si>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</si>
  <si>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</si>
  <si>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</si>
  <si>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</si>
  <si>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</si>
  <si>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</si>
  <si>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</si>
  <si>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</si>
  <si>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</si>
  <si>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</si>
  <si>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</si>
  <si>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</si>
  <si>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</si>
  <si>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</si>
  <si>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</si>
  <si>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</si>
  <si>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</si>
  <si>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</si>
  <si>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</si>
  <si>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</si>
  <si>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</si>
  <si>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</si>
  <si>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</si>
  <si>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</si>
  <si>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</si>
  <si>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</si>
  <si>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</si>
  <si>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</si>
  <si>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</si>
  <si>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</si>
  <si>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</si>
  <si>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</si>
  <si>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</si>
  <si>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</si>
  <si>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</si>
  <si>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</si>
  <si>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</si>
  <si>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</si>
  <si>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</si>
  <si>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QUIMICOS</t>
  </si>
  <si>
    <t>TOTAL SAME</t>
  </si>
  <si>
    <t>EPIDEMIOLOGIA</t>
  </si>
  <si>
    <t>TOTAL EPIDEMIOLOGIA</t>
  </si>
  <si>
    <t>2.5.1-9018.8</t>
  </si>
  <si>
    <t>GASES; COMPUESTO QUIMICO: OXIGENO, CALIDAD: MEDICINAL, PRESENTACION: TUBO X 6 M3</t>
  </si>
  <si>
    <t>M3</t>
  </si>
  <si>
    <t>TERCERO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</si>
  <si>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</si>
  <si>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</si>
  <si>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</si>
  <si>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</si>
  <si>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</si>
  <si>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</si>
  <si>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</si>
  <si>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</si>
  <si>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TOTAL DEL RUBRO OXIGENO MEDICINAL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</si>
  <si>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</si>
  <si>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</si>
  <si>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</si>
  <si>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</si>
  <si>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</si>
  <si>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</si>
  <si>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</si>
  <si>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</si>
  <si>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</si>
  <si>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</si>
  <si>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</si>
  <si>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</si>
  <si>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</si>
  <si>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</si>
  <si>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</si>
  <si>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</si>
  <si>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</si>
  <si>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</si>
  <si>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</si>
  <si>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</si>
  <si>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</si>
  <si>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</si>
  <si>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</si>
  <si>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</si>
  <si>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</si>
  <si>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</si>
  <si>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</si>
  <si>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</si>
  <si>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</si>
  <si>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</si>
  <si>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</si>
  <si>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</si>
  <si>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</si>
  <si>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</si>
  <si>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</si>
  <si>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</si>
  <si>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</si>
  <si>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</si>
  <si>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</si>
  <si>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</si>
  <si>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</t>
  </si>
  <si>
    <t>OXIGENO EN FORMA LÍQUIDA: en recipientes cilíndricos del tipo criogénico. Las conexiones de salida de las válvulas deben garantizar su inviolabilidad.</t>
  </si>
  <si>
    <t>EXIGENCIAS GENERALES ROTULADO: el rotulo del envase de los gases medicinales deberá contar con los siguientes datos:</t>
  </si>
  <si>
    <t>·cruz griega color verde que identifica a los gases medicinales</t>
  </si>
  <si>
    <t>·nombre genérico del gas que contiene</t>
  </si>
  <si>
    <t>·N.º de certificado otorgado por la autoridad sanitaria</t>
  </si>
  <si>
    <t>·Composición</t>
  </si>
  <si>
    <t>·Especificaciones técnicas (contenido y presión)</t>
  </si>
  <si>
    <t>·Identificación de la empresa titular y del fabricante</t>
  </si>
  <si>
    <t>·Numero de lote</t>
  </si>
  <si>
    <t>·Nombre y matricula del director técnico</t>
  </si>
  <si>
    <t>·Fechas de llenado y vencimiento</t>
  </si>
  <si>
    <t>·Condiciones de almacenamiento</t>
  </si>
  <si>
    <t>·Instructivo s/ manipulación correcta y segura</t>
  </si>
  <si>
    <t>·Debe incluir la leyenda: “el empleo y dosificación de este gas debe ser prescripto por un médico”</t>
  </si>
  <si>
    <t>·Durante el transporte (cisterna): se incluirá un protocolo de análisis del lote, firmado y fechado por el director técnico.</t>
  </si>
  <si>
    <t>·El mencionado certificado deberá ser archivado por el destinatario durante un plazo no menor a un año posterior a la fecha de vencimiento</t>
  </si>
  <si>
    <t>HABILITACION SANITARIA CORRESPONDIENTE PARA EL CASO DE SER FABRICANTE (CERTIFICADO DE ANMAT), DISTRIBUIDOR OFERENTES PROVINCIALES (HABILITACION SANITARIA PROVINCIAL ), DISTRIBUIDOR OFERENTES NO PROVINCIALES CERTIFICADO DE ANMAR)</t>
  </si>
  <si>
    <t>Plazos de entrega</t>
  </si>
  <si>
    <t>diez (10) dias habiles</t>
  </si>
  <si>
    <t>Lugar de Entrega:</t>
  </si>
  <si>
    <t xml:space="preserve"> -550 M3 EN LA DIR. PROV. DE SAME - CASEROS N° 864 - en el horario de 8:00hs a 12:00hs de lunes a viernes</t>
  </si>
  <si>
    <t>Calidad Minima esperada</t>
  </si>
  <si>
    <t>Mantenimiento</t>
  </si>
  <si>
    <t>cuarenta y cinco (45) días</t>
  </si>
  <si>
    <t xml:space="preserve"> -7158 M3  EN LA DIR. PROV. DE ASISTENCIA SANITARIA NIVEL I Y II - CHACABUCO N° 169 - en el horario de 8:00hs a 12:00hs de lunes a viernes</t>
  </si>
  <si>
    <t>DIRECCION PROVINCIAL SISTEMA DE ATENCION MEDICA DE EMERGENCIA</t>
  </si>
  <si>
    <t>3° TRIMESTRE 2022</t>
  </si>
  <si>
    <t>ADQ. DEL RUBRO OXIGENO MEDICINAL</t>
  </si>
  <si>
    <t>SI</t>
  </si>
  <si>
    <t>1.1</t>
  </si>
  <si>
    <t>COMPUESTOS QUIMICOS</t>
  </si>
  <si>
    <t xml:space="preserve"> 17/2022</t>
  </si>
  <si>
    <t>Autorizo la realización de los  trámites correspondientes, a fin de proveer a  este Organismo los bienes que se detallan en Nota  de Pedido N° 17/2022, afectando la erogación resultante a los créditos presupuestarios aprobados a favor de esta Unidad Ejecutora, conforme al siguiente detalle:</t>
  </si>
  <si>
    <t>TOTAL DE PESOS: DOSCIENTOS CUARENTA Y SIETE MIL QUINIENTOS CON 00/100.-</t>
  </si>
  <si>
    <t>DIRECCION PROVINCIAL DE ASISTENCIA SANITARIA NIVEL I Y II</t>
  </si>
  <si>
    <t xml:space="preserve"> 04/2022</t>
  </si>
  <si>
    <t>Costo total estimado: PESOS TRES MILLONES DOSCIENTOS VEINTIUN MIL CIEN CON 00/100.-</t>
  </si>
  <si>
    <t>Autorizo la realización de los  trámites correspondientes, a fin de proveer a  este Organismo los bienes que se detallan en Nota  de Pedido N° 04/2022, afectando la erogación resultante a los créditos presupuestarios aprobados a favor de esta Unidad Ejecutora, conforme al siguiente detalle:</t>
  </si>
  <si>
    <t>TOTAL DE PESOS: TRES MILLONES DOSCIENTOS VEINTIUN MIL CIEN CON 00/100.-</t>
  </si>
  <si>
    <t>Costo total estimado: PESOS DOSCIENTOS CUARENTA Y SIETE MIL QUINIENTOS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</si>
</sst>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2" fillId="0" borderId="0"/>
    <xf numFmtId="168" fontId="8" fillId="0" borderId="0" applyBorder="0" applyProtection="0"/>
    <xf numFmtId="0" fontId="13" fillId="0" borderId="9" applyProtection="0"/>
    <xf numFmtId="0" fontId="14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3" fillId="0" borderId="9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0" fontId="8" fillId="0" borderId="0"/>
    <xf numFmtId="169" fontId="17" fillId="0" borderId="0" applyBorder="0" applyProtection="0"/>
  </cellStyleXfs>
  <cellXfs count="198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/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0" fontId="9" fillId="0" borderId="0" xfId="0" applyFont="1"/>
    <xf numFmtId="0" fontId="9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9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11" fillId="0" borderId="4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7" fillId="0" borderId="8" xfId="2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167" fontId="11" fillId="0" borderId="7" xfId="0" applyNumberFormat="1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4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7" fillId="2" borderId="5" xfId="4" applyFont="1" applyFill="1" applyBorder="1" applyAlignment="1">
      <alignment horizontal="left" vertical="center" wrapText="1"/>
    </xf>
    <xf numFmtId="0" fontId="11" fillId="0" borderId="6" xfId="0" applyFont="1" applyBorder="1"/>
    <xf numFmtId="0" fontId="11" fillId="0" borderId="0" xfId="0" applyFont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23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4" fillId="0" borderId="23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8" xfId="0" applyFont="1" applyBorder="1" applyAlignment="1">
      <alignment horizontal="left" vertical="center" wrapText="1" indent="1"/>
    </xf>
    <xf numFmtId="0" fontId="26" fillId="0" borderId="27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3" fontId="27" fillId="0" borderId="28" xfId="0" applyNumberFormat="1" applyFont="1" applyBorder="1" applyAlignment="1">
      <alignment horizontal="center" vertical="center"/>
    </xf>
    <xf numFmtId="3" fontId="29" fillId="0" borderId="32" xfId="0" applyNumberFormat="1" applyFont="1" applyBorder="1" applyAlignment="1"/>
    <xf numFmtId="170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8" xfId="0" applyBorder="1"/>
    <xf numFmtId="0" fontId="33" fillId="0" borderId="41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2" xfId="0" applyFont="1" applyBorder="1" applyAlignment="1">
      <alignment horizontal="left" vertical="center"/>
    </xf>
    <xf numFmtId="0" fontId="33" fillId="0" borderId="43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71" fontId="0" fillId="0" borderId="48" xfId="3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71" fontId="0" fillId="0" borderId="53" xfId="33" applyNumberFormat="1" applyFont="1" applyBorder="1" applyAlignment="1" applyProtection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1" fontId="0" fillId="0" borderId="57" xfId="33" applyNumberFormat="1" applyFont="1" applyBorder="1" applyAlignment="1" applyProtection="1">
      <alignment horizontal="center" vertical="center"/>
    </xf>
    <xf numFmtId="171" fontId="33" fillId="0" borderId="59" xfId="0" applyNumberFormat="1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4" fillId="0" borderId="23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4" fillId="0" borderId="2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4" fillId="0" borderId="61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left" vertical="center"/>
    </xf>
    <xf numFmtId="0" fontId="3" fillId="0" borderId="63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23" fillId="0" borderId="31" xfId="0" applyFont="1" applyBorder="1" applyAlignment="1">
      <alignment vertical="center"/>
    </xf>
    <xf numFmtId="0" fontId="23" fillId="0" borderId="65" xfId="0" applyFont="1" applyBorder="1" applyAlignment="1">
      <alignment vertical="center"/>
    </xf>
    <xf numFmtId="0" fontId="26" fillId="0" borderId="66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67" xfId="0" applyNumberFormat="1" applyFont="1" applyBorder="1" applyAlignment="1">
      <alignment horizontal="center" vertical="center"/>
    </xf>
    <xf numFmtId="44" fontId="22" fillId="0" borderId="14" xfId="1" applyFont="1" applyBorder="1" applyAlignment="1">
      <alignment horizontal="right" vertical="center"/>
    </xf>
    <xf numFmtId="44" fontId="22" fillId="0" borderId="0" xfId="1" applyFont="1" applyBorder="1" applyAlignment="1">
      <alignment vertical="center"/>
    </xf>
    <xf numFmtId="44" fontId="23" fillId="0" borderId="64" xfId="1" applyFont="1" applyBorder="1" applyAlignment="1">
      <alignment vertical="center"/>
    </xf>
    <xf numFmtId="44" fontId="23" fillId="0" borderId="0" xfId="1" applyFont="1" applyBorder="1" applyAlignment="1">
      <alignment horizontal="left" vertical="center" wrapText="1" indent="1"/>
    </xf>
    <xf numFmtId="44" fontId="27" fillId="0" borderId="10" xfId="1" applyFont="1" applyBorder="1" applyAlignment="1">
      <alignment horizontal="center" vertical="center" wrapText="1"/>
    </xf>
    <xf numFmtId="44" fontId="27" fillId="0" borderId="2" xfId="1" applyFont="1" applyBorder="1" applyAlignment="1">
      <alignment horizontal="center" vertical="center" wrapText="1"/>
    </xf>
    <xf numFmtId="44" fontId="0" fillId="0" borderId="0" xfId="1" applyFont="1"/>
    <xf numFmtId="0" fontId="26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left" vertical="center" wrapText="1" indent="1"/>
    </xf>
    <xf numFmtId="166" fontId="24" fillId="0" borderId="30" xfId="0" applyNumberFormat="1" applyFont="1" applyBorder="1" applyAlignment="1">
      <alignment horizontal="center" vertical="center"/>
    </xf>
    <xf numFmtId="166" fontId="24" fillId="0" borderId="31" xfId="0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4" fillId="0" borderId="68" xfId="0" applyFont="1" applyBorder="1" applyAlignment="1">
      <alignment horizontal="left" vertical="center" wrapText="1"/>
    </xf>
    <xf numFmtId="0" fontId="24" fillId="0" borderId="69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44" fontId="25" fillId="0" borderId="25" xfId="1" applyFont="1" applyBorder="1" applyAlignment="1">
      <alignment horizontal="center" vertical="center" wrapText="1"/>
    </xf>
    <xf numFmtId="0" fontId="24" fillId="0" borderId="21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4" fillId="0" borderId="19" xfId="0" applyFont="1" applyBorder="1" applyAlignment="1">
      <alignment horizontal="left" vertical="center" wrapText="1"/>
    </xf>
    <xf numFmtId="0" fontId="29" fillId="0" borderId="20" xfId="0" applyFont="1" applyBorder="1" applyAlignment="1">
      <alignment vertical="center" wrapText="1"/>
    </xf>
    <xf numFmtId="0" fontId="31" fillId="0" borderId="40" xfId="0" applyFont="1" applyBorder="1" applyAlignment="1">
      <alignment vertical="center" wrapText="1"/>
    </xf>
    <xf numFmtId="0" fontId="31" fillId="0" borderId="29" xfId="0" applyFont="1" applyBorder="1" applyAlignment="1">
      <alignment horizontal="left" vertical="center" wrapText="1" indent="1"/>
    </xf>
    <xf numFmtId="0" fontId="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29" fillId="0" borderId="58" xfId="0" applyFont="1" applyBorder="1" applyAlignment="1">
      <alignment horizontal="left" vertical="center" wrapText="1"/>
    </xf>
    <xf numFmtId="0" fontId="0" fillId="0" borderId="36" xfId="0" applyBorder="1"/>
    <xf numFmtId="0" fontId="0" fillId="0" borderId="52" xfId="0" applyFont="1" applyBorder="1" applyAlignment="1">
      <alignment horizontal="center" vertical="center"/>
    </xf>
    <xf numFmtId="49" fontId="31" fillId="0" borderId="37" xfId="0" applyNumberFormat="1" applyFont="1" applyBorder="1" applyAlignment="1">
      <alignment horizontal="justify" vertical="center" wrapText="1"/>
    </xf>
    <xf numFmtId="0" fontId="33" fillId="0" borderId="36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52" xfId="0" applyBorder="1" applyAlignment="1">
      <alignment horizontal="center"/>
    </xf>
    <xf numFmtId="0" fontId="31" fillId="0" borderId="36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29" fillId="0" borderId="31" xfId="0" applyNumberFormat="1" applyFont="1" applyBorder="1" applyAlignment="1">
      <alignment horizontal="center"/>
    </xf>
    <xf numFmtId="0" fontId="30" fillId="0" borderId="15" xfId="0" applyFont="1" applyBorder="1" applyAlignment="1">
      <alignment horizontal="center" vertical="center" wrapText="1"/>
    </xf>
    <xf numFmtId="0" fontId="17" fillId="0" borderId="33" xfId="0" applyFont="1" applyBorder="1"/>
    <xf numFmtId="0" fontId="31" fillId="0" borderId="34" xfId="0" applyFont="1" applyBorder="1" applyAlignment="1">
      <alignment horizontal="left" indent="1"/>
    </xf>
    <xf numFmtId="0" fontId="27" fillId="0" borderId="33" xfId="0" applyFont="1" applyBorder="1" applyAlignment="1">
      <alignment horizontal="left" vertical="center" wrapText="1"/>
    </xf>
    <xf numFmtId="0" fontId="32" fillId="0" borderId="35" xfId="0" applyFont="1" applyBorder="1" applyAlignment="1">
      <alignment horizontal="left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000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000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000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000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tabSelected="1" zoomScale="90" zoomScaleNormal="90" workbookViewId="0">
      <selection activeCell="D33" sqref="D33"/>
    </sheetView>
  </sheetViews>
  <sheetFormatPr baseColWidth="10" defaultRowHeight="15" x14ac:dyDescent="0.25"/>
  <cols>
    <col min="1" max="1" width="5.42578125" style="31" bestFit="1" customWidth="1"/>
    <col min="2" max="2" width="13.85546875" style="31" bestFit="1" customWidth="1"/>
    <col min="3" max="3" width="37" style="31" customWidth="1"/>
    <col min="4" max="4" width="5.5703125" style="31" customWidth="1"/>
    <col min="5" max="5" width="89.85546875" style="32" bestFit="1" customWidth="1"/>
    <col min="6" max="6" width="15.5703125" style="31" bestFit="1" customWidth="1"/>
    <col min="7" max="7" width="17.140625" style="31" hidden="1" customWidth="1"/>
    <col min="8" max="8" width="10.85546875" style="31" hidden="1" customWidth="1"/>
    <col min="9" max="9" width="8" style="31" hidden="1" customWidth="1"/>
    <col min="10" max="10" width="14.5703125" style="59" hidden="1" customWidth="1"/>
    <col min="11" max="11" width="12.42578125" style="31" hidden="1" customWidth="1"/>
    <col min="12" max="12" width="15.85546875" style="31" hidden="1" customWidth="1"/>
    <col min="13" max="13" width="8.28515625" style="31" hidden="1" customWidth="1"/>
    <col min="14" max="14" width="14.140625" style="31" hidden="1" customWidth="1"/>
    <col min="15" max="15" width="5.42578125" style="31" hidden="1" customWidth="1"/>
    <col min="16" max="16" width="12.42578125" style="31" hidden="1" customWidth="1"/>
    <col min="17" max="17" width="14.7109375" style="31" hidden="1" customWidth="1"/>
    <col min="18" max="18" width="14.42578125" style="31" hidden="1" customWidth="1"/>
    <col min="19" max="19" width="10.5703125" style="33" hidden="1" customWidth="1"/>
    <col min="20" max="20" width="13.85546875" style="59" hidden="1" customWidth="1"/>
    <col min="21" max="21" width="14.7109375" style="31" hidden="1" customWidth="1"/>
    <col min="22" max="22" width="13.85546875" style="31" hidden="1" customWidth="1"/>
    <col min="23" max="23" width="10.85546875" style="31" hidden="1" customWidth="1"/>
    <col min="24" max="24" width="13.85546875" style="59" hidden="1" customWidth="1"/>
    <col min="25" max="25" width="10.140625" style="31" hidden="1" customWidth="1"/>
    <col min="26" max="26" width="13.85546875" style="31" hidden="1" customWidth="1"/>
    <col min="27" max="27" width="14.42578125" style="31" hidden="1" customWidth="1"/>
    <col min="28" max="28" width="14.42578125" style="59" hidden="1" customWidth="1"/>
    <col min="29" max="29" width="6.42578125" style="31" hidden="1" customWidth="1"/>
    <col min="30" max="30" width="13.85546875" style="31" hidden="1" customWidth="1"/>
    <col min="31" max="31" width="10.140625" style="31" hidden="1" customWidth="1"/>
    <col min="32" max="32" width="13.5703125" style="59" hidden="1" customWidth="1"/>
    <col min="33" max="33" width="12.140625" style="31" hidden="1" customWidth="1"/>
    <col min="34" max="34" width="13" style="31" hidden="1" customWidth="1"/>
    <col min="35" max="35" width="10.5703125" style="31" hidden="1" customWidth="1"/>
    <col min="36" max="36" width="12.42578125" style="59" hidden="1" customWidth="1"/>
    <col min="37" max="37" width="7.7109375" style="31" hidden="1" customWidth="1"/>
    <col min="38" max="38" width="14.85546875" style="31" hidden="1" customWidth="1"/>
    <col min="39" max="39" width="6.5703125" style="31" hidden="1" customWidth="1"/>
    <col min="40" max="40" width="14.85546875" style="59" hidden="1" customWidth="1"/>
    <col min="41" max="41" width="14.85546875" style="31" hidden="1" customWidth="1"/>
    <col min="42" max="42" width="13.5703125" style="31" hidden="1" customWidth="1"/>
    <col min="43" max="43" width="13.85546875" style="31" hidden="1" customWidth="1"/>
    <col min="44" max="44" width="14.85546875" style="59" hidden="1" customWidth="1"/>
    <col min="45" max="45" width="15.28515625" style="40" hidden="1" customWidth="1"/>
    <col min="46" max="46" width="15.28515625" style="59" hidden="1" customWidth="1"/>
    <col min="47" max="47" width="7.28515625" style="40" hidden="1" customWidth="1"/>
    <col min="48" max="48" width="14.85546875" style="59" hidden="1" customWidth="1"/>
    <col min="49" max="49" width="13.85546875" style="40" hidden="1" customWidth="1"/>
    <col min="50" max="50" width="13.85546875" style="45" hidden="1" customWidth="1"/>
    <col min="51" max="51" width="11.28515625" style="33" bestFit="1" customWidth="1"/>
    <col min="52" max="52" width="13.85546875" style="59" customWidth="1"/>
    <col min="53" max="53" width="16.28515625" style="34" bestFit="1" customWidth="1"/>
    <col min="54" max="54" width="62" customWidth="1"/>
  </cols>
  <sheetData>
    <row r="1" spans="1:55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43"/>
      <c r="AT1" s="9"/>
      <c r="AU1" s="43"/>
      <c r="AV1" s="9"/>
      <c r="AW1" s="43"/>
      <c r="AX1" s="3"/>
      <c r="AY1" s="7"/>
      <c r="AZ1" s="8"/>
      <c r="BA1" s="9"/>
    </row>
    <row r="2" spans="1:55" s="63" customFormat="1" ht="18.75" x14ac:dyDescent="0.3">
      <c r="A2" s="61"/>
      <c r="B2" s="152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62"/>
    </row>
    <row r="3" spans="1:55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43"/>
      <c r="AT3" s="9"/>
      <c r="AU3" s="43"/>
      <c r="AV3" s="9"/>
      <c r="AW3" s="43"/>
      <c r="AX3" s="3"/>
      <c r="AY3" s="7"/>
      <c r="AZ3" s="8"/>
      <c r="BA3" s="9"/>
    </row>
    <row r="4" spans="1:55" x14ac:dyDescent="0.25">
      <c r="A4" s="151" t="s">
        <v>1</v>
      </c>
      <c r="B4" s="151"/>
      <c r="C4" s="129" t="s">
        <v>2</v>
      </c>
      <c r="D4" s="129"/>
      <c r="E4" s="129"/>
      <c r="F4" s="10"/>
      <c r="G4" s="10"/>
      <c r="H4" s="10"/>
      <c r="I4" s="10"/>
      <c r="J4" s="58"/>
      <c r="K4" s="10"/>
      <c r="L4" s="10"/>
      <c r="M4" s="11"/>
      <c r="N4" s="12"/>
      <c r="O4" s="13"/>
      <c r="P4" s="10"/>
      <c r="Q4" s="11"/>
      <c r="R4" s="10"/>
      <c r="S4" s="13"/>
      <c r="T4" s="58"/>
      <c r="U4" s="11"/>
      <c r="V4" s="10"/>
      <c r="W4" s="13"/>
      <c r="X4" s="58"/>
      <c r="Y4" s="13"/>
      <c r="Z4" s="10"/>
      <c r="AA4" s="13"/>
      <c r="AB4" s="58"/>
      <c r="AC4" s="13"/>
      <c r="AD4" s="10"/>
      <c r="AE4" s="13"/>
      <c r="AF4" s="58"/>
      <c r="AG4" s="13"/>
      <c r="AH4" s="10"/>
      <c r="AI4" s="13"/>
      <c r="AJ4" s="58"/>
      <c r="AK4" s="13"/>
      <c r="AL4" s="10"/>
      <c r="AM4" s="13"/>
      <c r="AN4" s="58"/>
      <c r="AO4" s="13"/>
      <c r="AP4" s="10"/>
      <c r="AQ4" s="13"/>
      <c r="AR4" s="58"/>
      <c r="AS4" s="37"/>
      <c r="AT4" s="58"/>
      <c r="AU4" s="37"/>
      <c r="AV4" s="58"/>
      <c r="AW4" s="37"/>
      <c r="AX4" s="10"/>
      <c r="AY4" s="13"/>
      <c r="AZ4" s="8"/>
      <c r="BA4" s="9"/>
    </row>
    <row r="5" spans="1:55" ht="15" customHeight="1" x14ac:dyDescent="0.25">
      <c r="A5" s="151" t="s">
        <v>3</v>
      </c>
      <c r="B5" s="151"/>
      <c r="C5" s="129" t="s">
        <v>4</v>
      </c>
      <c r="D5" s="129"/>
      <c r="E5" s="129"/>
      <c r="F5" s="10"/>
      <c r="G5" s="10"/>
      <c r="H5" s="10"/>
      <c r="I5" s="10"/>
      <c r="J5" s="58"/>
      <c r="K5" s="10"/>
      <c r="L5" s="10"/>
      <c r="M5" s="11"/>
      <c r="N5" s="12"/>
      <c r="O5" s="13"/>
      <c r="P5" s="10"/>
      <c r="Q5" s="11"/>
      <c r="R5" s="10"/>
      <c r="S5" s="13"/>
      <c r="T5" s="58"/>
      <c r="U5" s="11"/>
      <c r="V5" s="10"/>
      <c r="W5" s="13"/>
      <c r="X5" s="58"/>
      <c r="Y5" s="13"/>
      <c r="Z5" s="10"/>
      <c r="AA5" s="13"/>
      <c r="AB5" s="58"/>
      <c r="AC5" s="13"/>
      <c r="AD5" s="10"/>
      <c r="AE5" s="13"/>
      <c r="AF5" s="58"/>
      <c r="AG5" s="13"/>
      <c r="AH5" s="10"/>
      <c r="AI5" s="13"/>
      <c r="AJ5" s="58"/>
      <c r="AK5" s="13"/>
      <c r="AL5" s="10"/>
      <c r="AM5" s="13"/>
      <c r="AN5" s="58"/>
      <c r="AO5" s="13"/>
      <c r="AP5" s="10"/>
      <c r="AQ5" s="13"/>
      <c r="AR5" s="58"/>
      <c r="AS5" s="37"/>
      <c r="AT5" s="58"/>
      <c r="AU5" s="37"/>
      <c r="AV5" s="58"/>
      <c r="AW5" s="37"/>
      <c r="AX5" s="10"/>
      <c r="AY5" s="13"/>
      <c r="AZ5" s="8"/>
      <c r="BA5" s="9"/>
    </row>
    <row r="6" spans="1:55" x14ac:dyDescent="0.25">
      <c r="A6" s="151" t="s">
        <v>5</v>
      </c>
      <c r="B6" s="151"/>
      <c r="C6" s="130">
        <v>2022</v>
      </c>
      <c r="D6" s="131"/>
      <c r="E6" s="130"/>
      <c r="F6" s="10"/>
      <c r="G6" s="10"/>
      <c r="H6" s="10"/>
      <c r="I6" s="10"/>
      <c r="J6" s="58"/>
      <c r="K6" s="10"/>
      <c r="L6" s="10"/>
      <c r="M6" s="11"/>
      <c r="N6" s="12"/>
      <c r="O6" s="13"/>
      <c r="P6" s="10"/>
      <c r="Q6" s="11"/>
      <c r="R6" s="10"/>
      <c r="S6" s="13"/>
      <c r="T6" s="58"/>
      <c r="U6" s="11"/>
      <c r="V6" s="10"/>
      <c r="W6" s="13"/>
      <c r="X6" s="58"/>
      <c r="Y6" s="13"/>
      <c r="Z6" s="10"/>
      <c r="AA6" s="13"/>
      <c r="AB6" s="58"/>
      <c r="AC6" s="13"/>
      <c r="AD6" s="10"/>
      <c r="AE6" s="13"/>
      <c r="AF6" s="58"/>
      <c r="AG6" s="13"/>
      <c r="AH6" s="10"/>
      <c r="AI6" s="13"/>
      <c r="AJ6" s="58"/>
      <c r="AK6" s="13"/>
      <c r="AL6" s="10"/>
      <c r="AM6" s="13"/>
      <c r="AN6" s="58"/>
      <c r="AO6" s="13"/>
      <c r="AP6" s="10"/>
      <c r="AQ6" s="13"/>
      <c r="AR6" s="58"/>
      <c r="AS6" s="37"/>
      <c r="AT6" s="58"/>
      <c r="AU6" s="37"/>
      <c r="AV6" s="58"/>
      <c r="AW6" s="37"/>
      <c r="AX6" s="10"/>
      <c r="AY6" s="13"/>
      <c r="AZ6" s="8"/>
      <c r="BA6" s="9"/>
    </row>
    <row r="7" spans="1:55" x14ac:dyDescent="0.25">
      <c r="A7" s="151" t="s">
        <v>6</v>
      </c>
      <c r="B7" s="151"/>
      <c r="C7" s="130" t="s">
        <v>55</v>
      </c>
      <c r="D7" s="131"/>
      <c r="E7" s="130"/>
      <c r="F7" s="10"/>
      <c r="G7" s="10"/>
      <c r="H7" s="10"/>
      <c r="I7" s="10"/>
      <c r="J7" s="58"/>
      <c r="K7" s="10"/>
      <c r="L7" s="10"/>
      <c r="M7" s="11"/>
      <c r="N7" s="12"/>
      <c r="O7" s="13"/>
      <c r="P7" s="10"/>
      <c r="Q7" s="11"/>
      <c r="R7" s="10"/>
      <c r="S7" s="13"/>
      <c r="T7" s="58"/>
      <c r="U7" s="11"/>
      <c r="V7" s="10"/>
      <c r="W7" s="13"/>
      <c r="X7" s="58"/>
      <c r="Y7" s="13"/>
      <c r="Z7" s="10"/>
      <c r="AA7" s="13"/>
      <c r="AB7" s="58"/>
      <c r="AC7" s="13"/>
      <c r="AD7" s="10"/>
      <c r="AE7" s="13"/>
      <c r="AF7" s="58"/>
      <c r="AG7" s="13"/>
      <c r="AH7" s="10"/>
      <c r="AI7" s="13"/>
      <c r="AJ7" s="58"/>
      <c r="AK7" s="13"/>
      <c r="AL7" s="10"/>
      <c r="AM7" s="13"/>
      <c r="AN7" s="58"/>
      <c r="AO7" s="13"/>
      <c r="AP7" s="10"/>
      <c r="AQ7" s="13"/>
      <c r="AR7" s="58"/>
      <c r="AS7" s="37"/>
      <c r="AT7" s="58"/>
      <c r="AU7" s="37"/>
      <c r="AV7" s="58"/>
      <c r="AW7" s="37"/>
      <c r="AX7" s="10"/>
      <c r="AY7" s="13"/>
      <c r="AZ7" s="8"/>
      <c r="BA7" s="9"/>
    </row>
    <row r="8" spans="1:55" x14ac:dyDescent="0.25">
      <c r="A8" s="3"/>
      <c r="B8" s="10"/>
      <c r="C8" s="10"/>
      <c r="D8" s="10"/>
      <c r="E8" s="14"/>
      <c r="F8" s="10"/>
      <c r="G8" s="10"/>
      <c r="H8" s="10"/>
      <c r="I8" s="10"/>
      <c r="J8" s="58"/>
      <c r="K8" s="10"/>
      <c r="L8" s="10"/>
      <c r="M8" s="11"/>
      <c r="N8" s="12"/>
      <c r="O8" s="13"/>
      <c r="P8" s="10"/>
      <c r="Q8" s="11"/>
      <c r="R8" s="10"/>
      <c r="S8" s="13"/>
      <c r="T8" s="58"/>
      <c r="U8" s="11"/>
      <c r="V8" s="10"/>
      <c r="W8" s="13"/>
      <c r="X8" s="58"/>
      <c r="Y8" s="13"/>
      <c r="Z8" s="10"/>
      <c r="AA8" s="13"/>
      <c r="AB8" s="58"/>
      <c r="AC8" s="13"/>
      <c r="AD8" s="10"/>
      <c r="AE8" s="13"/>
      <c r="AF8" s="58"/>
      <c r="AG8" s="13"/>
      <c r="AH8" s="10"/>
      <c r="AI8" s="13"/>
      <c r="AJ8" s="58"/>
      <c r="AK8" s="13"/>
      <c r="AL8" s="10"/>
      <c r="AM8" s="13"/>
      <c r="AN8" s="58"/>
      <c r="AO8" s="13"/>
      <c r="AP8" s="10"/>
      <c r="AQ8" s="13"/>
      <c r="AR8" s="58"/>
      <c r="AS8" s="37"/>
      <c r="AT8" s="58"/>
      <c r="AU8" s="37"/>
      <c r="AV8" s="58"/>
      <c r="AW8" s="37"/>
      <c r="AX8" s="10"/>
      <c r="AY8" s="13"/>
      <c r="AZ8" s="8"/>
      <c r="BA8" s="9"/>
    </row>
    <row r="9" spans="1:55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44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23" t="s">
        <v>49</v>
      </c>
      <c r="Y9" s="20" t="s">
        <v>65</v>
      </c>
      <c r="Z9" s="16" t="s">
        <v>66</v>
      </c>
      <c r="AA9" s="20" t="s">
        <v>30</v>
      </c>
      <c r="AB9" s="23" t="s">
        <v>31</v>
      </c>
      <c r="AC9" s="21" t="s">
        <v>32</v>
      </c>
      <c r="AD9" s="16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0" t="s">
        <v>58</v>
      </c>
      <c r="AJ9" s="23" t="s">
        <v>59</v>
      </c>
      <c r="AK9" s="20" t="s">
        <v>62</v>
      </c>
      <c r="AL9" s="16" t="s">
        <v>63</v>
      </c>
      <c r="AM9" s="21" t="s">
        <v>38</v>
      </c>
      <c r="AN9" s="23" t="s">
        <v>39</v>
      </c>
      <c r="AO9" s="21" t="s">
        <v>40</v>
      </c>
      <c r="AP9" s="16" t="s">
        <v>41</v>
      </c>
      <c r="AQ9" s="20" t="s">
        <v>42</v>
      </c>
      <c r="AR9" s="23" t="s">
        <v>43</v>
      </c>
      <c r="AS9" s="42" t="s">
        <v>50</v>
      </c>
      <c r="AT9" s="23" t="s">
        <v>51</v>
      </c>
      <c r="AU9" s="42" t="s">
        <v>56</v>
      </c>
      <c r="AV9" s="23" t="s">
        <v>57</v>
      </c>
      <c r="AW9" s="116" t="s">
        <v>60</v>
      </c>
      <c r="AX9" s="117" t="s">
        <v>61</v>
      </c>
      <c r="AY9" s="20" t="s">
        <v>44</v>
      </c>
      <c r="AZ9" s="22" t="s">
        <v>45</v>
      </c>
      <c r="BA9" s="23" t="s">
        <v>46</v>
      </c>
      <c r="BB9" s="24" t="s">
        <v>47</v>
      </c>
      <c r="BC9" s="35"/>
    </row>
    <row r="10" spans="1:55" s="29" customFormat="1" ht="20.25" customHeight="1" thickBot="1" x14ac:dyDescent="0.25">
      <c r="A10" s="51">
        <v>1</v>
      </c>
      <c r="B10" s="52" t="s">
        <v>52</v>
      </c>
      <c r="C10" s="53" t="s">
        <v>48</v>
      </c>
      <c r="D10" s="54">
        <v>251</v>
      </c>
      <c r="E10" s="55" t="s">
        <v>53</v>
      </c>
      <c r="F10" s="54" t="s">
        <v>54</v>
      </c>
      <c r="G10" s="30"/>
      <c r="H10" s="30"/>
      <c r="I10" s="30"/>
      <c r="J10" s="36"/>
      <c r="K10" s="30"/>
      <c r="L10" s="30"/>
      <c r="M10" s="30"/>
      <c r="N10" s="30"/>
      <c r="O10" s="30"/>
      <c r="P10" s="30"/>
      <c r="Q10" s="30"/>
      <c r="R10" s="30"/>
      <c r="S10" s="60"/>
      <c r="T10" s="36"/>
      <c r="U10" s="30"/>
      <c r="V10" s="30"/>
      <c r="W10" s="30">
        <v>550</v>
      </c>
      <c r="X10" s="36">
        <f>+W10*AZ10</f>
        <v>247500</v>
      </c>
      <c r="Y10" s="30"/>
      <c r="Z10" s="30"/>
      <c r="AA10" s="30"/>
      <c r="AB10" s="36"/>
      <c r="AC10" s="30"/>
      <c r="AD10" s="30"/>
      <c r="AE10" s="30"/>
      <c r="AF10" s="36"/>
      <c r="AG10" s="30"/>
      <c r="AH10" s="30"/>
      <c r="AI10" s="30"/>
      <c r="AJ10" s="36"/>
      <c r="AK10" s="30"/>
      <c r="AL10" s="30"/>
      <c r="AM10" s="30"/>
      <c r="AN10" s="36"/>
      <c r="AO10" s="30"/>
      <c r="AP10" s="30"/>
      <c r="AQ10" s="30">
        <v>7158</v>
      </c>
      <c r="AR10" s="36">
        <f>+AQ10*AZ10</f>
        <v>3221100</v>
      </c>
      <c r="AS10" s="39"/>
      <c r="AT10" s="36"/>
      <c r="AU10" s="39"/>
      <c r="AV10" s="36"/>
      <c r="AW10" s="114"/>
      <c r="AX10" s="115"/>
      <c r="AY10" s="41">
        <f t="shared" ref="AY10" si="0">+AQ10+AO10+AM10+AK10+AI10+AG10+AE10+AC10+AA10+Y10+W10+U10+S10+Q10+O10+M10+K10+I10+AS10+G10+AU10+AW10</f>
        <v>7708</v>
      </c>
      <c r="AZ10" s="36">
        <v>450</v>
      </c>
      <c r="BA10" s="36">
        <f>+AY10*AZ10</f>
        <v>3468600</v>
      </c>
      <c r="BB10" s="25"/>
    </row>
    <row r="11" spans="1:55" s="57" customFormat="1" ht="13.5" thickBot="1" x14ac:dyDescent="0.25">
      <c r="A11" s="48"/>
      <c r="B11" s="27"/>
      <c r="C11" s="27"/>
      <c r="D11" s="27"/>
      <c r="E11" s="26" t="s">
        <v>64</v>
      </c>
      <c r="F11" s="27"/>
      <c r="G11" s="27"/>
      <c r="H11" s="27"/>
      <c r="I11" s="27"/>
      <c r="J11" s="49"/>
      <c r="K11" s="27"/>
      <c r="L11" s="27"/>
      <c r="M11" s="27"/>
      <c r="N11" s="27"/>
      <c r="O11" s="27"/>
      <c r="P11" s="27"/>
      <c r="Q11" s="27"/>
      <c r="R11" s="27"/>
      <c r="S11" s="28"/>
      <c r="T11" s="49"/>
      <c r="U11" s="27"/>
      <c r="V11" s="27"/>
      <c r="W11" s="27"/>
      <c r="X11" s="49"/>
      <c r="Y11" s="27"/>
      <c r="Z11" s="27"/>
      <c r="AA11" s="27"/>
      <c r="AB11" s="49"/>
      <c r="AC11" s="27"/>
      <c r="AD11" s="27"/>
      <c r="AE11" s="27"/>
      <c r="AF11" s="49"/>
      <c r="AG11" s="27"/>
      <c r="AH11" s="27"/>
      <c r="AI11" s="27"/>
      <c r="AJ11" s="49"/>
      <c r="AK11" s="27"/>
      <c r="AL11" s="27"/>
      <c r="AM11" s="27"/>
      <c r="AN11" s="49"/>
      <c r="AO11" s="27"/>
      <c r="AP11" s="27"/>
      <c r="AQ11" s="27"/>
      <c r="AR11" s="49"/>
      <c r="AS11" s="38"/>
      <c r="AT11" s="49"/>
      <c r="AU11" s="38"/>
      <c r="AV11" s="49"/>
      <c r="AW11" s="47"/>
      <c r="AX11" s="46"/>
      <c r="AY11" s="41"/>
      <c r="AZ11" s="49"/>
      <c r="BA11" s="50">
        <f>+BA10</f>
        <v>3468600</v>
      </c>
      <c r="BB11" s="56"/>
    </row>
    <row r="13" spans="1:55" ht="15.75" thickBot="1" x14ac:dyDescent="0.3"/>
    <row r="14" spans="1:55" x14ac:dyDescent="0.25">
      <c r="C14" s="156" t="s">
        <v>104</v>
      </c>
      <c r="D14" s="157" t="s">
        <v>105</v>
      </c>
      <c r="E14" s="158"/>
    </row>
    <row r="15" spans="1:55" ht="30" customHeight="1" x14ac:dyDescent="0.25">
      <c r="C15" s="155"/>
      <c r="D15" s="149" t="s">
        <v>106</v>
      </c>
      <c r="E15" s="150"/>
    </row>
    <row r="16" spans="1:55" ht="30" customHeight="1" x14ac:dyDescent="0.25">
      <c r="C16" s="155"/>
      <c r="D16" s="149" t="s">
        <v>107</v>
      </c>
      <c r="E16" s="150"/>
    </row>
    <row r="17" spans="3:5" x14ac:dyDescent="0.25">
      <c r="C17" s="155"/>
      <c r="D17" s="149" t="s">
        <v>108</v>
      </c>
      <c r="E17" s="150"/>
    </row>
    <row r="18" spans="3:5" x14ac:dyDescent="0.25">
      <c r="C18" s="155"/>
      <c r="D18" s="149" t="s">
        <v>109</v>
      </c>
      <c r="E18" s="150"/>
    </row>
    <row r="19" spans="3:5" x14ac:dyDescent="0.25">
      <c r="C19" s="155"/>
      <c r="D19" s="149" t="s">
        <v>110</v>
      </c>
      <c r="E19" s="150"/>
    </row>
    <row r="20" spans="3:5" x14ac:dyDescent="0.25">
      <c r="C20" s="155"/>
      <c r="D20" s="149" t="s">
        <v>111</v>
      </c>
      <c r="E20" s="150"/>
    </row>
    <row r="21" spans="3:5" x14ac:dyDescent="0.25">
      <c r="C21" s="155"/>
      <c r="D21" s="149" t="s">
        <v>112</v>
      </c>
      <c r="E21" s="150"/>
    </row>
    <row r="22" spans="3:5" x14ac:dyDescent="0.25">
      <c r="C22" s="155"/>
      <c r="D22" s="149" t="s">
        <v>113</v>
      </c>
      <c r="E22" s="150"/>
    </row>
    <row r="23" spans="3:5" x14ac:dyDescent="0.25">
      <c r="C23" s="155"/>
      <c r="D23" s="149" t="s">
        <v>114</v>
      </c>
      <c r="E23" s="150"/>
    </row>
    <row r="24" spans="3:5" x14ac:dyDescent="0.25">
      <c r="C24" s="155"/>
      <c r="D24" s="149" t="s">
        <v>115</v>
      </c>
      <c r="E24" s="150"/>
    </row>
    <row r="25" spans="3:5" x14ac:dyDescent="0.25">
      <c r="C25" s="155"/>
      <c r="D25" s="149" t="s">
        <v>116</v>
      </c>
      <c r="E25" s="150"/>
    </row>
    <row r="26" spans="3:5" x14ac:dyDescent="0.25">
      <c r="C26" s="155"/>
      <c r="D26" s="149" t="s">
        <v>117</v>
      </c>
      <c r="E26" s="150"/>
    </row>
    <row r="27" spans="3:5" x14ac:dyDescent="0.25">
      <c r="C27" s="155"/>
      <c r="D27" s="149" t="s">
        <v>118</v>
      </c>
      <c r="E27" s="150"/>
    </row>
    <row r="28" spans="3:5" x14ac:dyDescent="0.25">
      <c r="C28" s="155"/>
      <c r="D28" s="149" t="s">
        <v>119</v>
      </c>
      <c r="E28" s="150"/>
    </row>
    <row r="29" spans="3:5" x14ac:dyDescent="0.25">
      <c r="C29" s="155"/>
      <c r="D29" s="149" t="s">
        <v>120</v>
      </c>
      <c r="E29" s="150"/>
    </row>
    <row r="30" spans="3:5" ht="35.25" customHeight="1" x14ac:dyDescent="0.25">
      <c r="C30" s="155"/>
      <c r="D30" s="149" t="s">
        <v>121</v>
      </c>
      <c r="E30" s="150"/>
    </row>
    <row r="31" spans="3:5" ht="43.5" customHeight="1" x14ac:dyDescent="0.25">
      <c r="C31" s="155"/>
      <c r="D31" s="153" t="s">
        <v>122</v>
      </c>
      <c r="E31" s="154"/>
    </row>
    <row r="32" spans="3:5" x14ac:dyDescent="0.25">
      <c r="C32" s="118"/>
      <c r="D32" s="119"/>
      <c r="E32" s="120"/>
    </row>
    <row r="33" spans="3:5" x14ac:dyDescent="0.25">
      <c r="C33" s="121" t="s">
        <v>123</v>
      </c>
      <c r="D33" s="122" t="s">
        <v>124</v>
      </c>
      <c r="E33" s="123"/>
    </row>
    <row r="34" spans="3:5" x14ac:dyDescent="0.25">
      <c r="C34" s="121"/>
      <c r="D34" s="124"/>
      <c r="E34" s="123"/>
    </row>
    <row r="35" spans="3:5" ht="16.5" customHeight="1" x14ac:dyDescent="0.25">
      <c r="C35" s="155" t="s">
        <v>125</v>
      </c>
      <c r="D35" s="149" t="s">
        <v>126</v>
      </c>
      <c r="E35" s="150"/>
    </row>
    <row r="36" spans="3:5" ht="28.5" customHeight="1" x14ac:dyDescent="0.25">
      <c r="C36" s="155"/>
      <c r="D36" s="149" t="s">
        <v>130</v>
      </c>
      <c r="E36" s="150"/>
    </row>
    <row r="37" spans="3:5" x14ac:dyDescent="0.25">
      <c r="C37" s="121"/>
      <c r="D37" s="122"/>
      <c r="E37" s="125"/>
    </row>
    <row r="38" spans="3:5" x14ac:dyDescent="0.25">
      <c r="C38" s="121" t="s">
        <v>127</v>
      </c>
      <c r="D38" s="124"/>
      <c r="E38" s="123"/>
    </row>
    <row r="39" spans="3:5" x14ac:dyDescent="0.25">
      <c r="C39" s="121"/>
      <c r="D39" s="124"/>
      <c r="E39" s="123"/>
    </row>
    <row r="40" spans="3:5" ht="15.75" thickBot="1" x14ac:dyDescent="0.3">
      <c r="C40" s="126" t="s">
        <v>128</v>
      </c>
      <c r="D40" s="127" t="s">
        <v>129</v>
      </c>
      <c r="E40" s="128"/>
    </row>
  </sheetData>
  <mergeCells count="27">
    <mergeCell ref="D29:E29"/>
    <mergeCell ref="D30:E30"/>
    <mergeCell ref="D31:E31"/>
    <mergeCell ref="C35:C36"/>
    <mergeCell ref="D35:E35"/>
    <mergeCell ref="D36:E36"/>
    <mergeCell ref="C14:C31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8:E28"/>
    <mergeCell ref="A7:B7"/>
    <mergeCell ref="B2:AZ2"/>
    <mergeCell ref="A4:B4"/>
    <mergeCell ref="A5:B5"/>
    <mergeCell ref="A6:B6"/>
    <mergeCell ref="D23:E23"/>
    <mergeCell ref="D24:E24"/>
    <mergeCell ref="D25:E25"/>
    <mergeCell ref="D26:E26"/>
    <mergeCell ref="D27:E27"/>
  </mergeCells>
  <conditionalFormatting sqref="B1:B9 E1:E9">
    <cfRule type="duplicateValues" dxfId="11" priority="237"/>
  </conditionalFormatting>
  <conditionalFormatting sqref="E1:E9 B1:B9">
    <cfRule type="duplicateValues" dxfId="10" priority="238"/>
  </conditionalFormatting>
  <conditionalFormatting sqref="B10">
    <cfRule type="duplicateValues" dxfId="9" priority="14"/>
  </conditionalFormatting>
  <conditionalFormatting sqref="E10">
    <cfRule type="duplicateValues" dxfId="8" priority="15"/>
  </conditionalFormatting>
  <conditionalFormatting sqref="E10 B10">
    <cfRule type="duplicateValues" dxfId="7" priority="16"/>
  </conditionalFormatting>
  <conditionalFormatting sqref="E10">
    <cfRule type="duplicateValues" dxfId="6" priority="17"/>
  </conditionalFormatting>
  <conditionalFormatting sqref="E10">
    <cfRule type="duplicateValues" dxfId="5" priority="18"/>
    <cfRule type="duplicateValues" dxfId="4" priority="19"/>
  </conditionalFormatting>
  <conditionalFormatting sqref="B1:B9">
    <cfRule type="duplicateValues" dxfId="3" priority="566"/>
  </conditionalFormatting>
  <conditionalFormatting sqref="E1:E9">
    <cfRule type="duplicateValues" dxfId="2" priority="567"/>
  </conditionalFormatting>
  <conditionalFormatting sqref="E1:E9">
    <cfRule type="duplicateValues" dxfId="1" priority="568"/>
    <cfRule type="duplicateValues" dxfId="0" priority="56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A15" sqref="A15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9.7109375" customWidth="1"/>
    <col min="8" max="8" width="9.28515625" customWidth="1"/>
    <col min="9" max="9" width="15.5703125" customWidth="1"/>
    <col min="10" max="10" width="14.7109375" style="147" customWidth="1"/>
    <col min="11" max="11" width="15.5703125" customWidth="1"/>
  </cols>
  <sheetData>
    <row r="1" spans="1:11" ht="30.75" thickBot="1" x14ac:dyDescent="0.3">
      <c r="A1" s="172" t="s">
        <v>67</v>
      </c>
      <c r="B1" s="172"/>
      <c r="C1" s="172"/>
      <c r="D1" s="172"/>
      <c r="E1" s="172"/>
      <c r="F1" s="172"/>
      <c r="G1" s="172"/>
      <c r="H1" s="172"/>
      <c r="I1" s="172"/>
      <c r="J1" s="141" t="s">
        <v>68</v>
      </c>
      <c r="K1" s="64" t="s">
        <v>137</v>
      </c>
    </row>
    <row r="2" spans="1:11" ht="16.5" thickBot="1" x14ac:dyDescent="0.3">
      <c r="A2" s="65"/>
      <c r="B2" s="66"/>
      <c r="C2" s="66"/>
      <c r="D2" s="67"/>
      <c r="E2" s="67"/>
      <c r="F2" s="67"/>
      <c r="G2" s="67"/>
      <c r="H2" s="67"/>
      <c r="I2" s="67"/>
      <c r="J2" s="142"/>
      <c r="K2" s="68"/>
    </row>
    <row r="3" spans="1:11" ht="16.5" thickBot="1" x14ac:dyDescent="0.3">
      <c r="A3" s="173" t="s">
        <v>69</v>
      </c>
      <c r="B3" s="173"/>
      <c r="C3" s="173"/>
      <c r="D3" s="132" t="str">
        <f>'SAF 011'!C4</f>
        <v>040 - MINISTERIO DE SALUD</v>
      </c>
      <c r="E3" s="133"/>
      <c r="F3" s="133"/>
      <c r="G3" s="133"/>
      <c r="H3" s="133"/>
      <c r="I3" s="133"/>
      <c r="J3" s="143"/>
      <c r="K3" s="134"/>
    </row>
    <row r="4" spans="1:11" ht="16.5" thickBot="1" x14ac:dyDescent="0.3">
      <c r="A4" s="169" t="s">
        <v>70</v>
      </c>
      <c r="B4" s="169"/>
      <c r="C4" s="169"/>
      <c r="D4" s="132" t="str">
        <f>'SAF 011'!C5</f>
        <v>011 - DIRECCION PROVINCIAL DE ADMINISTRACION - MINISTERIO DE SALUD</v>
      </c>
      <c r="E4" s="133"/>
      <c r="F4" s="133"/>
      <c r="G4" s="133"/>
      <c r="H4" s="133"/>
      <c r="I4" s="133"/>
      <c r="J4" s="143"/>
      <c r="K4" s="134"/>
    </row>
    <row r="5" spans="1:11" ht="16.5" thickBot="1" x14ac:dyDescent="0.3">
      <c r="A5" s="169" t="s">
        <v>71</v>
      </c>
      <c r="B5" s="169"/>
      <c r="C5" s="169"/>
      <c r="D5" s="132" t="s">
        <v>131</v>
      </c>
      <c r="E5" s="133"/>
      <c r="F5" s="133"/>
      <c r="G5" s="133"/>
      <c r="H5" s="133"/>
      <c r="I5" s="133"/>
      <c r="J5" s="143"/>
      <c r="K5" s="134"/>
    </row>
    <row r="6" spans="1:11" ht="16.5" thickBot="1" x14ac:dyDescent="0.3">
      <c r="A6" s="173" t="s">
        <v>72</v>
      </c>
      <c r="B6" s="173"/>
      <c r="C6" s="173"/>
      <c r="D6" s="132" t="s">
        <v>131</v>
      </c>
      <c r="E6" s="133"/>
      <c r="F6" s="133"/>
      <c r="G6" s="133"/>
      <c r="H6" s="133"/>
      <c r="I6" s="133"/>
      <c r="J6" s="143"/>
      <c r="K6" s="134"/>
    </row>
    <row r="7" spans="1:11" ht="16.5" thickBot="1" x14ac:dyDescent="0.3">
      <c r="A7" s="169" t="s">
        <v>73</v>
      </c>
      <c r="B7" s="169"/>
      <c r="C7" s="169"/>
      <c r="D7" s="132" t="s">
        <v>132</v>
      </c>
      <c r="E7" s="133"/>
      <c r="F7" s="133"/>
      <c r="G7" s="133"/>
      <c r="H7" s="133"/>
      <c r="I7" s="133"/>
      <c r="J7" s="143"/>
      <c r="K7" s="134"/>
    </row>
    <row r="8" spans="1:11" ht="16.5" thickBot="1" x14ac:dyDescent="0.3">
      <c r="A8" s="170" t="s">
        <v>74</v>
      </c>
      <c r="B8" s="170"/>
      <c r="C8" s="170"/>
      <c r="D8" s="135" t="s">
        <v>133</v>
      </c>
      <c r="E8" s="133"/>
      <c r="F8" s="133"/>
      <c r="G8" s="133"/>
      <c r="H8" s="133"/>
      <c r="I8" s="133"/>
      <c r="J8" s="143"/>
      <c r="K8" s="134"/>
    </row>
    <row r="9" spans="1:11" ht="16.5" thickBot="1" x14ac:dyDescent="0.3">
      <c r="A9" s="69"/>
      <c r="B9" s="70"/>
      <c r="C9" s="70"/>
      <c r="D9" s="71"/>
      <c r="E9" s="71"/>
      <c r="F9" s="71"/>
      <c r="G9" s="71"/>
      <c r="H9" s="71"/>
      <c r="I9" s="71"/>
      <c r="J9" s="144"/>
      <c r="K9" s="72"/>
    </row>
    <row r="10" spans="1:11" ht="15.75" thickBot="1" x14ac:dyDescent="0.3">
      <c r="A10" s="171" t="s">
        <v>75</v>
      </c>
      <c r="B10" s="162" t="s">
        <v>76</v>
      </c>
      <c r="C10" s="162" t="s">
        <v>77</v>
      </c>
      <c r="D10" s="162"/>
      <c r="E10" s="162"/>
      <c r="F10" s="162"/>
      <c r="G10" s="162"/>
      <c r="H10" s="162" t="s">
        <v>78</v>
      </c>
      <c r="I10" s="162" t="s">
        <v>79</v>
      </c>
      <c r="J10" s="168" t="s">
        <v>80</v>
      </c>
      <c r="K10" s="163" t="s">
        <v>81</v>
      </c>
    </row>
    <row r="11" spans="1:11" ht="33.75" customHeight="1" thickBot="1" x14ac:dyDescent="0.3">
      <c r="A11" s="171"/>
      <c r="B11" s="162"/>
      <c r="C11" s="162"/>
      <c r="D11" s="162"/>
      <c r="E11" s="162"/>
      <c r="F11" s="162"/>
      <c r="G11" s="162"/>
      <c r="H11" s="162"/>
      <c r="I11" s="162"/>
      <c r="J11" s="168"/>
      <c r="K11" s="163"/>
    </row>
    <row r="12" spans="1:11" ht="15.75" x14ac:dyDescent="0.25">
      <c r="A12" s="73">
        <v>1</v>
      </c>
      <c r="B12" s="148" t="str">
        <f>'SAF 011'!B10</f>
        <v>2.5.1-9018.8</v>
      </c>
      <c r="C12" s="164" t="str">
        <f>'SAF 011'!E10</f>
        <v>GASES; COMPUESTO QUIMICO: OXIGENO, CALIDAD: MEDICINAL, PRESENTACION: TUBO X 6 M3</v>
      </c>
      <c r="D12" s="165"/>
      <c r="E12" s="165"/>
      <c r="F12" s="165"/>
      <c r="G12" s="166"/>
      <c r="H12" s="74" t="s">
        <v>134</v>
      </c>
      <c r="I12" s="75" t="str">
        <f>'SAF 011'!F10</f>
        <v>M3</v>
      </c>
      <c r="J12" s="145">
        <f>'SAF 011'!AZ10</f>
        <v>450</v>
      </c>
      <c r="K12" s="76">
        <f>'SAF 011'!W10</f>
        <v>550</v>
      </c>
    </row>
    <row r="13" spans="1:11" ht="16.5" thickBot="1" x14ac:dyDescent="0.3">
      <c r="A13" s="136"/>
      <c r="B13" s="137"/>
      <c r="C13" s="167"/>
      <c r="D13" s="167"/>
      <c r="E13" s="167"/>
      <c r="F13" s="167"/>
      <c r="G13" s="167"/>
      <c r="H13" s="138"/>
      <c r="I13" s="139"/>
      <c r="J13" s="146"/>
      <c r="K13" s="140"/>
    </row>
    <row r="14" spans="1:11" ht="19.5" thickBot="1" x14ac:dyDescent="0.3">
      <c r="A14" s="159" t="s">
        <v>145</v>
      </c>
      <c r="B14" s="159"/>
      <c r="C14" s="159"/>
      <c r="D14" s="159"/>
      <c r="E14" s="159"/>
      <c r="F14" s="159"/>
      <c r="G14" s="159"/>
      <c r="H14" s="159"/>
      <c r="I14" s="159"/>
      <c r="J14" s="160">
        <f>+J12*K12</f>
        <v>247500</v>
      </c>
      <c r="K14" s="161"/>
    </row>
  </sheetData>
  <mergeCells count="18">
    <mergeCell ref="A5:C5"/>
    <mergeCell ref="A1:I1"/>
    <mergeCell ref="A3:C3"/>
    <mergeCell ref="A4:C4"/>
    <mergeCell ref="A6:C6"/>
    <mergeCell ref="A7:C7"/>
    <mergeCell ref="A8:C8"/>
    <mergeCell ref="A10:A11"/>
    <mergeCell ref="B10:B11"/>
    <mergeCell ref="C10:G11"/>
    <mergeCell ref="A14:I14"/>
    <mergeCell ref="J14:K14"/>
    <mergeCell ref="H10:H11"/>
    <mergeCell ref="K10:K11"/>
    <mergeCell ref="C12:G12"/>
    <mergeCell ref="C13:G13"/>
    <mergeCell ref="I10:I11"/>
    <mergeCell ref="J10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3" workbookViewId="0">
      <selection activeCell="A16" sqref="A16"/>
    </sheetView>
  </sheetViews>
  <sheetFormatPr baseColWidth="10" defaultRowHeight="15" x14ac:dyDescent="0.25"/>
  <cols>
    <col min="1" max="5" width="4.42578125" customWidth="1"/>
    <col min="6" max="6" width="6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1" t="s">
        <v>5</v>
      </c>
      <c r="B1" s="191"/>
      <c r="C1" s="191"/>
      <c r="D1" s="192">
        <v>2022</v>
      </c>
      <c r="E1" s="192"/>
      <c r="F1" s="77"/>
      <c r="G1" s="77"/>
      <c r="H1" s="78"/>
      <c r="I1" s="78"/>
      <c r="J1" s="78"/>
      <c r="K1" s="78"/>
      <c r="L1" s="78"/>
      <c r="M1" s="78"/>
      <c r="N1" s="78"/>
      <c r="O1" s="79"/>
      <c r="P1" s="193" t="s">
        <v>82</v>
      </c>
      <c r="Q1" s="193"/>
    </row>
    <row r="2" spans="1:17" ht="15.75" thickBot="1" x14ac:dyDescent="0.3">
      <c r="A2" s="80"/>
      <c r="B2" s="81"/>
      <c r="C2" s="81"/>
      <c r="D2" s="81"/>
      <c r="E2" s="81"/>
      <c r="F2" s="81"/>
      <c r="G2" s="82"/>
      <c r="H2" s="83"/>
      <c r="I2" s="83"/>
      <c r="J2" s="83"/>
      <c r="K2" s="83"/>
      <c r="L2" s="83"/>
      <c r="M2" s="83"/>
      <c r="N2" s="83"/>
      <c r="O2" s="81"/>
      <c r="P2" s="193"/>
      <c r="Q2" s="193"/>
    </row>
    <row r="3" spans="1:17" ht="15.75" thickBot="1" x14ac:dyDescent="0.3">
      <c r="A3" s="80"/>
      <c r="B3" s="81"/>
      <c r="C3" s="81"/>
      <c r="D3" s="81"/>
      <c r="E3" s="81"/>
      <c r="F3" s="81"/>
      <c r="G3" s="82"/>
      <c r="H3" s="81"/>
      <c r="I3" s="81"/>
      <c r="J3" s="81"/>
      <c r="K3" s="81"/>
      <c r="L3" s="81"/>
      <c r="M3" s="81"/>
      <c r="N3" s="81"/>
      <c r="O3" s="81"/>
      <c r="P3" s="81"/>
      <c r="Q3" s="84"/>
    </row>
    <row r="4" spans="1:17" ht="15.75" thickBot="1" x14ac:dyDescent="0.3">
      <c r="A4" s="194" t="s">
        <v>83</v>
      </c>
      <c r="B4" s="194"/>
      <c r="C4" s="194"/>
      <c r="D4" s="194"/>
      <c r="E4" s="194"/>
      <c r="F4" s="194"/>
      <c r="G4" s="195" t="str">
        <f>'NP SAME'!D3</f>
        <v>040 - MINISTERIO DE SALUD</v>
      </c>
      <c r="H4" s="195"/>
      <c r="I4" s="195"/>
      <c r="J4" s="195"/>
      <c r="K4" s="195"/>
      <c r="L4" s="195"/>
      <c r="M4" s="195"/>
      <c r="N4" s="195"/>
      <c r="O4" s="195"/>
      <c r="P4" s="195"/>
      <c r="Q4" s="195"/>
    </row>
    <row r="5" spans="1:17" ht="15.75" thickBot="1" x14ac:dyDescent="0.3">
      <c r="A5" s="196" t="s">
        <v>70</v>
      </c>
      <c r="B5" s="196"/>
      <c r="C5" s="196"/>
      <c r="D5" s="196"/>
      <c r="E5" s="196"/>
      <c r="F5" s="196"/>
      <c r="G5" s="195" t="str">
        <f>'NP SAME'!D4</f>
        <v>011 - DIRECCION PROVINCIAL DE ADMINISTRACION - MINISTERIO DE SALUD</v>
      </c>
      <c r="H5" s="195"/>
      <c r="I5" s="195"/>
      <c r="J5" s="195"/>
      <c r="K5" s="195"/>
      <c r="L5" s="195"/>
      <c r="M5" s="195"/>
      <c r="N5" s="195"/>
      <c r="O5" s="195"/>
      <c r="P5" s="195"/>
      <c r="Q5" s="195"/>
    </row>
    <row r="6" spans="1:17" ht="15.75" thickBot="1" x14ac:dyDescent="0.3">
      <c r="A6" s="196" t="s">
        <v>71</v>
      </c>
      <c r="B6" s="196"/>
      <c r="C6" s="196"/>
      <c r="D6" s="196"/>
      <c r="E6" s="196"/>
      <c r="F6" s="196"/>
      <c r="G6" s="195" t="str">
        <f>'NP SAME'!D5</f>
        <v>DIRECCION PROVINCIAL SISTEMA DE ATENCION MEDICA DE EMERGENCIA</v>
      </c>
      <c r="H6" s="195"/>
      <c r="I6" s="195"/>
      <c r="J6" s="195"/>
      <c r="K6" s="195"/>
      <c r="L6" s="195"/>
      <c r="M6" s="195"/>
      <c r="N6" s="195"/>
      <c r="O6" s="195"/>
      <c r="P6" s="195"/>
      <c r="Q6" s="195"/>
    </row>
    <row r="7" spans="1:17" ht="15.75" thickBot="1" x14ac:dyDescent="0.3">
      <c r="A7" s="196" t="s">
        <v>72</v>
      </c>
      <c r="B7" s="196"/>
      <c r="C7" s="196"/>
      <c r="D7" s="196"/>
      <c r="E7" s="196"/>
      <c r="F7" s="196"/>
      <c r="G7" s="195" t="str">
        <f>'NP SAME'!D6</f>
        <v>DIRECCION PROVINCIAL SISTEMA DE ATENCION MEDICA DE EMERGENCIA</v>
      </c>
      <c r="H7" s="195"/>
      <c r="I7" s="195"/>
      <c r="J7" s="195"/>
      <c r="K7" s="195"/>
      <c r="L7" s="195"/>
      <c r="M7" s="195"/>
      <c r="N7" s="195"/>
      <c r="O7" s="195"/>
      <c r="P7" s="195"/>
      <c r="Q7" s="195"/>
    </row>
    <row r="8" spans="1:17" ht="15.75" thickBot="1" x14ac:dyDescent="0.3">
      <c r="A8" s="197" t="s">
        <v>84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</row>
    <row r="9" spans="1:17" ht="27.75" customHeight="1" x14ac:dyDescent="0.25">
      <c r="A9" s="190" t="s">
        <v>85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</row>
    <row r="10" spans="1:17" ht="57" customHeight="1" x14ac:dyDescent="0.25">
      <c r="A10" s="183" t="s">
        <v>138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</row>
    <row r="11" spans="1:17" ht="15.75" thickBot="1" x14ac:dyDescent="0.3">
      <c r="A11" s="85"/>
      <c r="B11" s="86"/>
      <c r="C11" s="86"/>
      <c r="D11" s="86"/>
      <c r="E11" s="86"/>
      <c r="F11" s="86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8"/>
    </row>
    <row r="12" spans="1:17" ht="15.75" thickBot="1" x14ac:dyDescent="0.3">
      <c r="A12" s="184" t="s">
        <v>86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</row>
    <row r="13" spans="1:17" ht="15.75" thickBot="1" x14ac:dyDescent="0.3">
      <c r="A13" s="185" t="s">
        <v>87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6" t="s">
        <v>88</v>
      </c>
      <c r="P13" s="186"/>
      <c r="Q13" s="187" t="s">
        <v>89</v>
      </c>
    </row>
    <row r="14" spans="1:17" ht="15.75" thickBot="1" x14ac:dyDescent="0.3">
      <c r="A14" s="89" t="s">
        <v>90</v>
      </c>
      <c r="B14" s="90" t="s">
        <v>91</v>
      </c>
      <c r="C14" s="90" t="s">
        <v>92</v>
      </c>
      <c r="D14" s="90" t="s">
        <v>93</v>
      </c>
      <c r="E14" s="90" t="s">
        <v>94</v>
      </c>
      <c r="F14" s="90" t="s">
        <v>95</v>
      </c>
      <c r="G14" s="91" t="s">
        <v>96</v>
      </c>
      <c r="H14" s="90" t="s">
        <v>97</v>
      </c>
      <c r="I14" s="90" t="s">
        <v>98</v>
      </c>
      <c r="J14" s="90" t="s">
        <v>99</v>
      </c>
      <c r="K14" s="90" t="s">
        <v>99</v>
      </c>
      <c r="L14" s="90" t="s">
        <v>100</v>
      </c>
      <c r="M14" s="92" t="s">
        <v>101</v>
      </c>
      <c r="N14" s="93" t="s">
        <v>102</v>
      </c>
      <c r="O14" s="186"/>
      <c r="P14" s="186"/>
      <c r="Q14" s="187"/>
    </row>
    <row r="15" spans="1:17" x14ac:dyDescent="0.25">
      <c r="A15" s="94">
        <v>31</v>
      </c>
      <c r="B15" s="95"/>
      <c r="C15" s="95"/>
      <c r="D15" s="95">
        <v>1</v>
      </c>
      <c r="E15" s="95"/>
      <c r="F15" s="95">
        <v>4901</v>
      </c>
      <c r="G15" s="95">
        <v>3</v>
      </c>
      <c r="H15" s="95">
        <v>1</v>
      </c>
      <c r="I15" s="95">
        <v>2</v>
      </c>
      <c r="J15" s="95">
        <v>5</v>
      </c>
      <c r="K15" s="95">
        <v>1</v>
      </c>
      <c r="L15" s="95"/>
      <c r="M15" s="96">
        <v>1</v>
      </c>
      <c r="N15" s="95" t="s">
        <v>135</v>
      </c>
      <c r="O15" s="188" t="s">
        <v>136</v>
      </c>
      <c r="P15" s="188"/>
      <c r="Q15" s="97">
        <f>'NP SAME'!J14</f>
        <v>247500</v>
      </c>
    </row>
    <row r="16" spans="1:17" x14ac:dyDescent="0.25">
      <c r="A16" s="98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100"/>
      <c r="N16" s="101"/>
      <c r="O16" s="177"/>
      <c r="P16" s="177"/>
      <c r="Q16" s="102"/>
    </row>
    <row r="17" spans="1:17" x14ac:dyDescent="0.25">
      <c r="A17" s="98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100"/>
      <c r="N17" s="101"/>
      <c r="O17" s="189"/>
      <c r="P17" s="189"/>
      <c r="Q17" s="102"/>
    </row>
    <row r="18" spans="1:17" x14ac:dyDescent="0.25">
      <c r="A18" s="98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100"/>
      <c r="N18" s="101"/>
      <c r="O18" s="182"/>
      <c r="P18" s="182"/>
      <c r="Q18" s="102"/>
    </row>
    <row r="19" spans="1:17" x14ac:dyDescent="0.25">
      <c r="A19" s="98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100"/>
      <c r="N19" s="101"/>
      <c r="O19" s="182"/>
      <c r="P19" s="182"/>
      <c r="Q19" s="102"/>
    </row>
    <row r="20" spans="1:17" x14ac:dyDescent="0.25">
      <c r="A20" s="98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100"/>
      <c r="N20" s="101"/>
      <c r="O20" s="182"/>
      <c r="P20" s="182"/>
      <c r="Q20" s="102"/>
    </row>
    <row r="21" spans="1:17" x14ac:dyDescent="0.25">
      <c r="A21" s="98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100"/>
      <c r="N21" s="101"/>
      <c r="O21" s="182"/>
      <c r="P21" s="182"/>
      <c r="Q21" s="102"/>
    </row>
    <row r="22" spans="1:17" x14ac:dyDescent="0.25">
      <c r="A22" s="98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100"/>
      <c r="N22" s="101"/>
      <c r="O22" s="182"/>
      <c r="P22" s="182"/>
      <c r="Q22" s="102"/>
    </row>
    <row r="23" spans="1:17" x14ac:dyDescent="0.25">
      <c r="A23" s="98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100"/>
      <c r="N23" s="101"/>
      <c r="O23" s="182"/>
      <c r="P23" s="182"/>
      <c r="Q23" s="102"/>
    </row>
    <row r="24" spans="1:17" x14ac:dyDescent="0.25">
      <c r="A24" s="98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100"/>
      <c r="N24" s="101"/>
      <c r="O24" s="182"/>
      <c r="P24" s="182"/>
      <c r="Q24" s="102"/>
    </row>
    <row r="25" spans="1:17" x14ac:dyDescent="0.25">
      <c r="A25" s="98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100"/>
      <c r="N25" s="101"/>
      <c r="O25" s="182"/>
      <c r="P25" s="182"/>
      <c r="Q25" s="102"/>
    </row>
    <row r="26" spans="1:17" x14ac:dyDescent="0.25">
      <c r="A26" s="98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100"/>
      <c r="N26" s="101"/>
      <c r="O26" s="182"/>
      <c r="P26" s="182"/>
      <c r="Q26" s="102"/>
    </row>
    <row r="27" spans="1:17" x14ac:dyDescent="0.25">
      <c r="A27" s="98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100"/>
      <c r="N27" s="101"/>
      <c r="O27" s="182"/>
      <c r="P27" s="182"/>
      <c r="Q27" s="102"/>
    </row>
    <row r="28" spans="1:17" x14ac:dyDescent="0.25">
      <c r="A28" s="98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100"/>
      <c r="N28" s="101"/>
      <c r="O28" s="182"/>
      <c r="P28" s="182"/>
      <c r="Q28" s="102"/>
    </row>
    <row r="29" spans="1:17" x14ac:dyDescent="0.25">
      <c r="A29" s="98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100"/>
      <c r="N29" s="101"/>
      <c r="O29" s="182"/>
      <c r="P29" s="182"/>
      <c r="Q29" s="102"/>
    </row>
    <row r="30" spans="1:17" x14ac:dyDescent="0.25">
      <c r="A30" s="98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100"/>
      <c r="N30" s="101"/>
      <c r="O30" s="182"/>
      <c r="P30" s="182"/>
      <c r="Q30" s="102"/>
    </row>
    <row r="31" spans="1:17" x14ac:dyDescent="0.25">
      <c r="A31" s="98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00"/>
      <c r="N31" s="101"/>
      <c r="O31" s="182"/>
      <c r="P31" s="182"/>
      <c r="Q31" s="102"/>
    </row>
    <row r="32" spans="1:17" x14ac:dyDescent="0.25">
      <c r="A32" s="98"/>
      <c r="B32" s="99"/>
      <c r="C32" s="99"/>
      <c r="D32" s="99"/>
      <c r="E32" s="99"/>
      <c r="F32" s="101"/>
      <c r="G32" s="99"/>
      <c r="H32" s="99"/>
      <c r="I32" s="99"/>
      <c r="J32" s="99"/>
      <c r="K32" s="99"/>
      <c r="L32" s="99"/>
      <c r="M32" s="100"/>
      <c r="N32" s="101"/>
      <c r="O32" s="177"/>
      <c r="P32" s="177"/>
      <c r="Q32" s="102"/>
    </row>
    <row r="33" spans="1:17" x14ac:dyDescent="0.25">
      <c r="A33" s="98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100"/>
      <c r="N33" s="101"/>
      <c r="O33" s="177"/>
      <c r="P33" s="177"/>
      <c r="Q33" s="102"/>
    </row>
    <row r="34" spans="1:17" x14ac:dyDescent="0.25">
      <c r="A34" s="98"/>
      <c r="B34" s="99"/>
      <c r="C34" s="99"/>
      <c r="D34" s="99"/>
      <c r="E34" s="99"/>
      <c r="F34" s="101"/>
      <c r="G34" s="99"/>
      <c r="H34" s="99"/>
      <c r="I34" s="99"/>
      <c r="J34" s="99"/>
      <c r="K34" s="99"/>
      <c r="L34" s="99"/>
      <c r="M34" s="100"/>
      <c r="N34" s="101"/>
      <c r="O34" s="177"/>
      <c r="P34" s="177"/>
      <c r="Q34" s="102"/>
    </row>
    <row r="35" spans="1:17" x14ac:dyDescent="0.25">
      <c r="A35" s="98"/>
      <c r="B35" s="99"/>
      <c r="C35" s="99"/>
      <c r="D35" s="99"/>
      <c r="E35" s="99"/>
      <c r="F35" s="101"/>
      <c r="G35" s="99"/>
      <c r="H35" s="99"/>
      <c r="I35" s="99"/>
      <c r="J35" s="99"/>
      <c r="K35" s="99"/>
      <c r="L35" s="99"/>
      <c r="M35" s="100"/>
      <c r="N35" s="101"/>
      <c r="O35" s="177"/>
      <c r="P35" s="177"/>
      <c r="Q35" s="102"/>
    </row>
    <row r="36" spans="1:17" x14ac:dyDescent="0.25">
      <c r="A36" s="103"/>
      <c r="B36" s="104"/>
      <c r="C36" s="104"/>
      <c r="D36" s="104"/>
      <c r="E36" s="104"/>
      <c r="F36" s="105"/>
      <c r="G36" s="104"/>
      <c r="H36" s="104"/>
      <c r="I36" s="104"/>
      <c r="J36" s="104"/>
      <c r="K36" s="104"/>
      <c r="L36" s="104"/>
      <c r="M36" s="106"/>
      <c r="N36" s="107"/>
      <c r="O36" s="178"/>
      <c r="P36" s="178"/>
      <c r="Q36" s="102"/>
    </row>
    <row r="37" spans="1:17" ht="15.75" thickBot="1" x14ac:dyDescent="0.3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10"/>
      <c r="N37" s="109"/>
      <c r="O37" s="179"/>
      <c r="P37" s="179"/>
      <c r="Q37" s="111"/>
    </row>
    <row r="38" spans="1:17" ht="15.75" thickBot="1" x14ac:dyDescent="0.3">
      <c r="A38" s="180" t="s">
        <v>139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12">
        <f>SUM(Q15:Q37)</f>
        <v>247500</v>
      </c>
    </row>
    <row r="39" spans="1:17" ht="15.75" thickBot="1" x14ac:dyDescent="0.3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</row>
    <row r="40" spans="1:17" ht="15.75" thickBot="1" x14ac:dyDescent="0.3">
      <c r="A40" s="174" t="s">
        <v>103</v>
      </c>
      <c r="B40" s="174"/>
      <c r="C40" s="174"/>
      <c r="D40" s="174"/>
      <c r="E40" s="174"/>
      <c r="F40" s="174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</row>
    <row r="41" spans="1:17" ht="15.75" thickBot="1" x14ac:dyDescent="0.3">
      <c r="A41" s="176" t="str">
        <f>'NP SAME'!D8</f>
        <v>ADQ. DEL RUBRO OXIGENO MEDICINAL</v>
      </c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</row>
    <row r="42" spans="1:17" ht="15.75" thickBot="1" x14ac:dyDescent="0.3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A15" sqref="A15"/>
    </sheetView>
  </sheetViews>
  <sheetFormatPr baseColWidth="10" defaultRowHeight="15" x14ac:dyDescent="0.25"/>
  <cols>
    <col min="1" max="1" width="5.5703125" style="35" customWidth="1"/>
    <col min="2" max="2" width="15.140625" style="35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49.7109375" style="35" customWidth="1"/>
    <col min="8" max="8" width="9.28515625" style="35" customWidth="1"/>
    <col min="9" max="9" width="15.5703125" style="35" customWidth="1"/>
    <col min="10" max="10" width="14.7109375" style="147" customWidth="1"/>
    <col min="11" max="11" width="15.5703125" style="35" customWidth="1"/>
    <col min="12" max="16384" width="11.42578125" style="35"/>
  </cols>
  <sheetData>
    <row r="1" spans="1:11" ht="30.75" thickBot="1" x14ac:dyDescent="0.3">
      <c r="A1" s="172" t="s">
        <v>67</v>
      </c>
      <c r="B1" s="172"/>
      <c r="C1" s="172"/>
      <c r="D1" s="172"/>
      <c r="E1" s="172"/>
      <c r="F1" s="172"/>
      <c r="G1" s="172"/>
      <c r="H1" s="172"/>
      <c r="I1" s="172"/>
      <c r="J1" s="141" t="s">
        <v>68</v>
      </c>
      <c r="K1" s="64" t="s">
        <v>141</v>
      </c>
    </row>
    <row r="2" spans="1:11" ht="16.5" thickBot="1" x14ac:dyDescent="0.3">
      <c r="A2" s="65"/>
      <c r="B2" s="66"/>
      <c r="C2" s="66"/>
      <c r="D2" s="67"/>
      <c r="E2" s="67"/>
      <c r="F2" s="67"/>
      <c r="G2" s="67"/>
      <c r="H2" s="67"/>
      <c r="I2" s="67"/>
      <c r="J2" s="142"/>
      <c r="K2" s="68"/>
    </row>
    <row r="3" spans="1:11" ht="16.5" thickBot="1" x14ac:dyDescent="0.3">
      <c r="A3" s="173" t="s">
        <v>69</v>
      </c>
      <c r="B3" s="173"/>
      <c r="C3" s="173"/>
      <c r="D3" s="132" t="str">
        <f>'SAF 011'!C4</f>
        <v>040 - MINISTERIO DE SALUD</v>
      </c>
      <c r="E3" s="133"/>
      <c r="F3" s="133"/>
      <c r="G3" s="133"/>
      <c r="H3" s="133"/>
      <c r="I3" s="133"/>
      <c r="J3" s="143"/>
      <c r="K3" s="134"/>
    </row>
    <row r="4" spans="1:11" ht="16.5" thickBot="1" x14ac:dyDescent="0.3">
      <c r="A4" s="169" t="s">
        <v>70</v>
      </c>
      <c r="B4" s="169"/>
      <c r="C4" s="169"/>
      <c r="D4" s="132" t="str">
        <f>'SAF 011'!C5</f>
        <v>011 - DIRECCION PROVINCIAL DE ADMINISTRACION - MINISTERIO DE SALUD</v>
      </c>
      <c r="E4" s="133"/>
      <c r="F4" s="133"/>
      <c r="G4" s="133"/>
      <c r="H4" s="133"/>
      <c r="I4" s="133"/>
      <c r="J4" s="143"/>
      <c r="K4" s="134"/>
    </row>
    <row r="5" spans="1:11" ht="16.5" thickBot="1" x14ac:dyDescent="0.3">
      <c r="A5" s="169" t="s">
        <v>71</v>
      </c>
      <c r="B5" s="169"/>
      <c r="C5" s="169"/>
      <c r="D5" s="132" t="s">
        <v>140</v>
      </c>
      <c r="E5" s="133"/>
      <c r="F5" s="133"/>
      <c r="G5" s="133"/>
      <c r="H5" s="133"/>
      <c r="I5" s="133"/>
      <c r="J5" s="143"/>
      <c r="K5" s="134"/>
    </row>
    <row r="6" spans="1:11" ht="16.5" thickBot="1" x14ac:dyDescent="0.3">
      <c r="A6" s="173" t="s">
        <v>72</v>
      </c>
      <c r="B6" s="173"/>
      <c r="C6" s="173"/>
      <c r="D6" s="132" t="s">
        <v>140</v>
      </c>
      <c r="E6" s="133"/>
      <c r="F6" s="133"/>
      <c r="G6" s="133"/>
      <c r="H6" s="133"/>
      <c r="I6" s="133"/>
      <c r="J6" s="143"/>
      <c r="K6" s="134"/>
    </row>
    <row r="7" spans="1:11" ht="16.5" thickBot="1" x14ac:dyDescent="0.3">
      <c r="A7" s="169" t="s">
        <v>73</v>
      </c>
      <c r="B7" s="169"/>
      <c r="C7" s="169"/>
      <c r="D7" s="132" t="s">
        <v>132</v>
      </c>
      <c r="E7" s="133"/>
      <c r="F7" s="133"/>
      <c r="G7" s="133"/>
      <c r="H7" s="133"/>
      <c r="I7" s="133"/>
      <c r="J7" s="143"/>
      <c r="K7" s="134"/>
    </row>
    <row r="8" spans="1:11" ht="16.5" thickBot="1" x14ac:dyDescent="0.3">
      <c r="A8" s="170" t="s">
        <v>74</v>
      </c>
      <c r="B8" s="170"/>
      <c r="C8" s="170"/>
      <c r="D8" s="135" t="s">
        <v>133</v>
      </c>
      <c r="E8" s="133"/>
      <c r="F8" s="133"/>
      <c r="G8" s="133"/>
      <c r="H8" s="133"/>
      <c r="I8" s="133"/>
      <c r="J8" s="143"/>
      <c r="K8" s="134"/>
    </row>
    <row r="9" spans="1:11" ht="16.5" thickBot="1" x14ac:dyDescent="0.3">
      <c r="A9" s="69"/>
      <c r="B9" s="70"/>
      <c r="C9" s="70"/>
      <c r="D9" s="71"/>
      <c r="E9" s="71"/>
      <c r="F9" s="71"/>
      <c r="G9" s="71"/>
      <c r="H9" s="71"/>
      <c r="I9" s="71"/>
      <c r="J9" s="144"/>
      <c r="K9" s="72"/>
    </row>
    <row r="10" spans="1:11" ht="15.75" thickBot="1" x14ac:dyDescent="0.3">
      <c r="A10" s="171" t="s">
        <v>75</v>
      </c>
      <c r="B10" s="162" t="s">
        <v>76</v>
      </c>
      <c r="C10" s="162" t="s">
        <v>77</v>
      </c>
      <c r="D10" s="162"/>
      <c r="E10" s="162"/>
      <c r="F10" s="162"/>
      <c r="G10" s="162"/>
      <c r="H10" s="162" t="s">
        <v>78</v>
      </c>
      <c r="I10" s="162" t="s">
        <v>79</v>
      </c>
      <c r="J10" s="168" t="s">
        <v>80</v>
      </c>
      <c r="K10" s="163" t="s">
        <v>81</v>
      </c>
    </row>
    <row r="11" spans="1:11" ht="33.75" customHeight="1" thickBot="1" x14ac:dyDescent="0.3">
      <c r="A11" s="171"/>
      <c r="B11" s="162"/>
      <c r="C11" s="162"/>
      <c r="D11" s="162"/>
      <c r="E11" s="162"/>
      <c r="F11" s="162"/>
      <c r="G11" s="162"/>
      <c r="H11" s="162"/>
      <c r="I11" s="162"/>
      <c r="J11" s="168"/>
      <c r="K11" s="163"/>
    </row>
    <row r="12" spans="1:11" ht="15.75" x14ac:dyDescent="0.25">
      <c r="A12" s="73">
        <v>1</v>
      </c>
      <c r="B12" s="148" t="str">
        <f>'SAF 011'!B10</f>
        <v>2.5.1-9018.8</v>
      </c>
      <c r="C12" s="164" t="str">
        <f>'SAF 011'!E10</f>
        <v>GASES; COMPUESTO QUIMICO: OXIGENO, CALIDAD: MEDICINAL, PRESENTACION: TUBO X 6 M3</v>
      </c>
      <c r="D12" s="165"/>
      <c r="E12" s="165"/>
      <c r="F12" s="165"/>
      <c r="G12" s="166"/>
      <c r="H12" s="74" t="s">
        <v>134</v>
      </c>
      <c r="I12" s="75" t="str">
        <f>'SAF 011'!F10</f>
        <v>M3</v>
      </c>
      <c r="J12" s="145">
        <f>'SAF 011'!AZ10</f>
        <v>450</v>
      </c>
      <c r="K12" s="76">
        <f>'SAF 011'!AQ10</f>
        <v>7158</v>
      </c>
    </row>
    <row r="13" spans="1:11" ht="16.5" thickBot="1" x14ac:dyDescent="0.3">
      <c r="A13" s="136"/>
      <c r="B13" s="137"/>
      <c r="C13" s="167"/>
      <c r="D13" s="167"/>
      <c r="E13" s="167"/>
      <c r="F13" s="167"/>
      <c r="G13" s="167"/>
      <c r="H13" s="138"/>
      <c r="I13" s="139"/>
      <c r="J13" s="146"/>
      <c r="K13" s="140"/>
    </row>
    <row r="14" spans="1:11" ht="19.5" thickBot="1" x14ac:dyDescent="0.3">
      <c r="A14" s="159" t="s">
        <v>142</v>
      </c>
      <c r="B14" s="159"/>
      <c r="C14" s="159"/>
      <c r="D14" s="159"/>
      <c r="E14" s="159"/>
      <c r="F14" s="159"/>
      <c r="G14" s="159"/>
      <c r="H14" s="159"/>
      <c r="I14" s="159"/>
      <c r="J14" s="160">
        <f>+J12*K12</f>
        <v>3221100</v>
      </c>
      <c r="K14" s="161"/>
    </row>
  </sheetData>
  <mergeCells count="18">
    <mergeCell ref="J10:J11"/>
    <mergeCell ref="K10:K11"/>
    <mergeCell ref="C12:G12"/>
    <mergeCell ref="C13:G13"/>
    <mergeCell ref="A14:I14"/>
    <mergeCell ref="J14:K14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13" workbookViewId="0">
      <selection activeCell="A39" sqref="A39:Q39"/>
    </sheetView>
  </sheetViews>
  <sheetFormatPr baseColWidth="10" defaultRowHeight="15" x14ac:dyDescent="0.25"/>
  <cols>
    <col min="1" max="5" width="4.42578125" style="35" customWidth="1"/>
    <col min="6" max="6" width="6.7109375" style="35" customWidth="1"/>
    <col min="7" max="14" width="4.42578125" style="35" customWidth="1"/>
    <col min="15" max="16" width="14.85546875" style="35" customWidth="1"/>
    <col min="17" max="17" width="14.7109375" style="35" customWidth="1"/>
    <col min="18" max="16384" width="11.42578125" style="35"/>
  </cols>
  <sheetData>
    <row r="1" spans="1:17" ht="15.75" thickBot="1" x14ac:dyDescent="0.3">
      <c r="A1" s="191" t="s">
        <v>5</v>
      </c>
      <c r="B1" s="191"/>
      <c r="C1" s="191"/>
      <c r="D1" s="192">
        <v>2022</v>
      </c>
      <c r="E1" s="192"/>
      <c r="F1" s="77"/>
      <c r="G1" s="77"/>
      <c r="H1" s="78"/>
      <c r="I1" s="78"/>
      <c r="J1" s="78"/>
      <c r="K1" s="78"/>
      <c r="L1" s="78"/>
      <c r="M1" s="78"/>
      <c r="N1" s="78"/>
      <c r="O1" s="79"/>
      <c r="P1" s="193" t="s">
        <v>82</v>
      </c>
      <c r="Q1" s="193"/>
    </row>
    <row r="2" spans="1:17" ht="15.75" thickBot="1" x14ac:dyDescent="0.3">
      <c r="A2" s="80"/>
      <c r="B2" s="81"/>
      <c r="C2" s="81"/>
      <c r="D2" s="81"/>
      <c r="E2" s="81"/>
      <c r="F2" s="81"/>
      <c r="G2" s="82"/>
      <c r="H2" s="83"/>
      <c r="I2" s="83"/>
      <c r="J2" s="83"/>
      <c r="K2" s="83"/>
      <c r="L2" s="83"/>
      <c r="M2" s="83"/>
      <c r="N2" s="83"/>
      <c r="O2" s="81"/>
      <c r="P2" s="193"/>
      <c r="Q2" s="193"/>
    </row>
    <row r="3" spans="1:17" ht="15.75" thickBot="1" x14ac:dyDescent="0.3">
      <c r="A3" s="80"/>
      <c r="B3" s="81"/>
      <c r="C3" s="81"/>
      <c r="D3" s="81"/>
      <c r="E3" s="81"/>
      <c r="F3" s="81"/>
      <c r="G3" s="82"/>
      <c r="H3" s="81"/>
      <c r="I3" s="81"/>
      <c r="J3" s="81"/>
      <c r="K3" s="81"/>
      <c r="L3" s="81"/>
      <c r="M3" s="81"/>
      <c r="N3" s="81"/>
      <c r="O3" s="81"/>
      <c r="P3" s="81"/>
      <c r="Q3" s="84"/>
    </row>
    <row r="4" spans="1:17" ht="15.75" thickBot="1" x14ac:dyDescent="0.3">
      <c r="A4" s="194" t="s">
        <v>83</v>
      </c>
      <c r="B4" s="194"/>
      <c r="C4" s="194"/>
      <c r="D4" s="194"/>
      <c r="E4" s="194"/>
      <c r="F4" s="194"/>
      <c r="G4" s="195" t="str">
        <f>'NP DPAS'!D3</f>
        <v>040 - MINISTERIO DE SALUD</v>
      </c>
      <c r="H4" s="195"/>
      <c r="I4" s="195"/>
      <c r="J4" s="195"/>
      <c r="K4" s="195"/>
      <c r="L4" s="195"/>
      <c r="M4" s="195"/>
      <c r="N4" s="195"/>
      <c r="O4" s="195"/>
      <c r="P4" s="195"/>
      <c r="Q4" s="195"/>
    </row>
    <row r="5" spans="1:17" ht="15.75" thickBot="1" x14ac:dyDescent="0.3">
      <c r="A5" s="196" t="s">
        <v>70</v>
      </c>
      <c r="B5" s="196"/>
      <c r="C5" s="196"/>
      <c r="D5" s="196"/>
      <c r="E5" s="196"/>
      <c r="F5" s="196"/>
      <c r="G5" s="195" t="str">
        <f>'NP DPAS'!D4</f>
        <v>011 - DIRECCION PROVINCIAL DE ADMINISTRACION - MINISTERIO DE SALUD</v>
      </c>
      <c r="H5" s="195"/>
      <c r="I5" s="195"/>
      <c r="J5" s="195"/>
      <c r="K5" s="195"/>
      <c r="L5" s="195"/>
      <c r="M5" s="195"/>
      <c r="N5" s="195"/>
      <c r="O5" s="195"/>
      <c r="P5" s="195"/>
      <c r="Q5" s="195"/>
    </row>
    <row r="6" spans="1:17" ht="15.75" thickBot="1" x14ac:dyDescent="0.3">
      <c r="A6" s="196" t="s">
        <v>71</v>
      </c>
      <c r="B6" s="196"/>
      <c r="C6" s="196"/>
      <c r="D6" s="196"/>
      <c r="E6" s="196"/>
      <c r="F6" s="196"/>
      <c r="G6" s="195" t="str">
        <f>'NP DPAS'!D5</f>
        <v>DIRECCION PROVINCIAL DE ASISTENCIA SANITARIA NIVEL I Y II</v>
      </c>
      <c r="H6" s="195"/>
      <c r="I6" s="195"/>
      <c r="J6" s="195"/>
      <c r="K6" s="195"/>
      <c r="L6" s="195"/>
      <c r="M6" s="195"/>
      <c r="N6" s="195"/>
      <c r="O6" s="195"/>
      <c r="P6" s="195"/>
      <c r="Q6" s="195"/>
    </row>
    <row r="7" spans="1:17" ht="15.75" thickBot="1" x14ac:dyDescent="0.3">
      <c r="A7" s="196" t="s">
        <v>72</v>
      </c>
      <c r="B7" s="196"/>
      <c r="C7" s="196"/>
      <c r="D7" s="196"/>
      <c r="E7" s="196"/>
      <c r="F7" s="196"/>
      <c r="G7" s="195" t="str">
        <f>'NP DPAS'!D6</f>
        <v>DIRECCION PROVINCIAL DE ASISTENCIA SANITARIA NIVEL I Y II</v>
      </c>
      <c r="H7" s="195"/>
      <c r="I7" s="195"/>
      <c r="J7" s="195"/>
      <c r="K7" s="195"/>
      <c r="L7" s="195"/>
      <c r="M7" s="195"/>
      <c r="N7" s="195"/>
      <c r="O7" s="195"/>
      <c r="P7" s="195"/>
      <c r="Q7" s="195"/>
    </row>
    <row r="8" spans="1:17" ht="15.75" thickBot="1" x14ac:dyDescent="0.3">
      <c r="A8" s="197" t="s">
        <v>84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</row>
    <row r="9" spans="1:17" ht="27.75" customHeight="1" x14ac:dyDescent="0.25">
      <c r="A9" s="190" t="s">
        <v>85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</row>
    <row r="10" spans="1:17" ht="57" customHeight="1" x14ac:dyDescent="0.25">
      <c r="A10" s="183" t="s">
        <v>143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</row>
    <row r="11" spans="1:17" ht="15.75" thickBot="1" x14ac:dyDescent="0.3">
      <c r="A11" s="85"/>
      <c r="B11" s="86"/>
      <c r="C11" s="86"/>
      <c r="D11" s="86"/>
      <c r="E11" s="86"/>
      <c r="F11" s="86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8"/>
    </row>
    <row r="12" spans="1:17" ht="15.75" thickBot="1" x14ac:dyDescent="0.3">
      <c r="A12" s="184" t="s">
        <v>86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</row>
    <row r="13" spans="1:17" ht="15.75" thickBot="1" x14ac:dyDescent="0.3">
      <c r="A13" s="185" t="s">
        <v>87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6" t="s">
        <v>88</v>
      </c>
      <c r="P13" s="186"/>
      <c r="Q13" s="187" t="s">
        <v>89</v>
      </c>
    </row>
    <row r="14" spans="1:17" ht="15.75" thickBot="1" x14ac:dyDescent="0.3">
      <c r="A14" s="89" t="s">
        <v>90</v>
      </c>
      <c r="B14" s="90" t="s">
        <v>91</v>
      </c>
      <c r="C14" s="90" t="s">
        <v>92</v>
      </c>
      <c r="D14" s="90" t="s">
        <v>93</v>
      </c>
      <c r="E14" s="90" t="s">
        <v>94</v>
      </c>
      <c r="F14" s="90" t="s">
        <v>95</v>
      </c>
      <c r="G14" s="91" t="s">
        <v>96</v>
      </c>
      <c r="H14" s="90" t="s">
        <v>97</v>
      </c>
      <c r="I14" s="90" t="s">
        <v>98</v>
      </c>
      <c r="J14" s="90" t="s">
        <v>99</v>
      </c>
      <c r="K14" s="90" t="s">
        <v>99</v>
      </c>
      <c r="L14" s="90" t="s">
        <v>100</v>
      </c>
      <c r="M14" s="92" t="s">
        <v>101</v>
      </c>
      <c r="N14" s="93" t="s">
        <v>102</v>
      </c>
      <c r="O14" s="186"/>
      <c r="P14" s="186"/>
      <c r="Q14" s="187"/>
    </row>
    <row r="15" spans="1:17" x14ac:dyDescent="0.25">
      <c r="A15" s="94">
        <v>21</v>
      </c>
      <c r="B15" s="95"/>
      <c r="C15" s="95"/>
      <c r="D15" s="95">
        <v>1</v>
      </c>
      <c r="E15" s="95"/>
      <c r="F15" s="95">
        <v>4901</v>
      </c>
      <c r="G15" s="95">
        <v>3</v>
      </c>
      <c r="H15" s="95">
        <v>1</v>
      </c>
      <c r="I15" s="95">
        <v>2</v>
      </c>
      <c r="J15" s="95">
        <v>5</v>
      </c>
      <c r="K15" s="95">
        <v>1</v>
      </c>
      <c r="L15" s="95"/>
      <c r="M15" s="96">
        <v>1</v>
      </c>
      <c r="N15" s="95" t="s">
        <v>135</v>
      </c>
      <c r="O15" s="188" t="s">
        <v>136</v>
      </c>
      <c r="P15" s="188"/>
      <c r="Q15" s="97">
        <f>'NP DPAS'!J14</f>
        <v>3221100</v>
      </c>
    </row>
    <row r="16" spans="1:17" x14ac:dyDescent="0.25">
      <c r="A16" s="98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100"/>
      <c r="N16" s="113"/>
      <c r="O16" s="177"/>
      <c r="P16" s="177"/>
      <c r="Q16" s="102"/>
    </row>
    <row r="17" spans="1:17" x14ac:dyDescent="0.25">
      <c r="A17" s="98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100"/>
      <c r="N17" s="113"/>
      <c r="O17" s="189"/>
      <c r="P17" s="189"/>
      <c r="Q17" s="102"/>
    </row>
    <row r="18" spans="1:17" x14ac:dyDescent="0.25">
      <c r="A18" s="98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100"/>
      <c r="N18" s="113"/>
      <c r="O18" s="182"/>
      <c r="P18" s="182"/>
      <c r="Q18" s="102"/>
    </row>
    <row r="19" spans="1:17" x14ac:dyDescent="0.25">
      <c r="A19" s="98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100"/>
      <c r="N19" s="113"/>
      <c r="O19" s="182"/>
      <c r="P19" s="182"/>
      <c r="Q19" s="102"/>
    </row>
    <row r="20" spans="1:17" x14ac:dyDescent="0.25">
      <c r="A20" s="98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100"/>
      <c r="N20" s="113"/>
      <c r="O20" s="182"/>
      <c r="P20" s="182"/>
      <c r="Q20" s="102"/>
    </row>
    <row r="21" spans="1:17" x14ac:dyDescent="0.25">
      <c r="A21" s="98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100"/>
      <c r="N21" s="113"/>
      <c r="O21" s="182"/>
      <c r="P21" s="182"/>
      <c r="Q21" s="102"/>
    </row>
    <row r="22" spans="1:17" x14ac:dyDescent="0.25">
      <c r="A22" s="98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100"/>
      <c r="N22" s="113"/>
      <c r="O22" s="182"/>
      <c r="P22" s="182"/>
      <c r="Q22" s="102"/>
    </row>
    <row r="23" spans="1:17" x14ac:dyDescent="0.25">
      <c r="A23" s="98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100"/>
      <c r="N23" s="113"/>
      <c r="O23" s="182"/>
      <c r="P23" s="182"/>
      <c r="Q23" s="102"/>
    </row>
    <row r="24" spans="1:17" x14ac:dyDescent="0.25">
      <c r="A24" s="98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100"/>
      <c r="N24" s="113"/>
      <c r="O24" s="182"/>
      <c r="P24" s="182"/>
      <c r="Q24" s="102"/>
    </row>
    <row r="25" spans="1:17" x14ac:dyDescent="0.25">
      <c r="A25" s="98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100"/>
      <c r="N25" s="113"/>
      <c r="O25" s="182"/>
      <c r="P25" s="182"/>
      <c r="Q25" s="102"/>
    </row>
    <row r="26" spans="1:17" x14ac:dyDescent="0.25">
      <c r="A26" s="98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100"/>
      <c r="N26" s="113"/>
      <c r="O26" s="182"/>
      <c r="P26" s="182"/>
      <c r="Q26" s="102"/>
    </row>
    <row r="27" spans="1:17" x14ac:dyDescent="0.25">
      <c r="A27" s="98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100"/>
      <c r="N27" s="113"/>
      <c r="O27" s="182"/>
      <c r="P27" s="182"/>
      <c r="Q27" s="102"/>
    </row>
    <row r="28" spans="1:17" x14ac:dyDescent="0.25">
      <c r="A28" s="98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100"/>
      <c r="N28" s="113"/>
      <c r="O28" s="182"/>
      <c r="P28" s="182"/>
      <c r="Q28" s="102"/>
    </row>
    <row r="29" spans="1:17" x14ac:dyDescent="0.25">
      <c r="A29" s="98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100"/>
      <c r="N29" s="113"/>
      <c r="O29" s="182"/>
      <c r="P29" s="182"/>
      <c r="Q29" s="102"/>
    </row>
    <row r="30" spans="1:17" x14ac:dyDescent="0.25">
      <c r="A30" s="98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100"/>
      <c r="N30" s="113"/>
      <c r="O30" s="182"/>
      <c r="P30" s="182"/>
      <c r="Q30" s="102"/>
    </row>
    <row r="31" spans="1:17" x14ac:dyDescent="0.25">
      <c r="A31" s="98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00"/>
      <c r="N31" s="113"/>
      <c r="O31" s="182"/>
      <c r="P31" s="182"/>
      <c r="Q31" s="102"/>
    </row>
    <row r="32" spans="1:17" x14ac:dyDescent="0.25">
      <c r="A32" s="98"/>
      <c r="B32" s="99"/>
      <c r="C32" s="99"/>
      <c r="D32" s="99"/>
      <c r="E32" s="99"/>
      <c r="F32" s="113"/>
      <c r="G32" s="99"/>
      <c r="H32" s="99"/>
      <c r="I32" s="99"/>
      <c r="J32" s="99"/>
      <c r="K32" s="99"/>
      <c r="L32" s="99"/>
      <c r="M32" s="100"/>
      <c r="N32" s="113"/>
      <c r="O32" s="177"/>
      <c r="P32" s="177"/>
      <c r="Q32" s="102"/>
    </row>
    <row r="33" spans="1:17" x14ac:dyDescent="0.25">
      <c r="A33" s="98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100"/>
      <c r="N33" s="113"/>
      <c r="O33" s="177"/>
      <c r="P33" s="177"/>
      <c r="Q33" s="102"/>
    </row>
    <row r="34" spans="1:17" x14ac:dyDescent="0.25">
      <c r="A34" s="98"/>
      <c r="B34" s="99"/>
      <c r="C34" s="99"/>
      <c r="D34" s="99"/>
      <c r="E34" s="99"/>
      <c r="F34" s="113"/>
      <c r="G34" s="99"/>
      <c r="H34" s="99"/>
      <c r="I34" s="99"/>
      <c r="J34" s="99"/>
      <c r="K34" s="99"/>
      <c r="L34" s="99"/>
      <c r="M34" s="100"/>
      <c r="N34" s="113"/>
      <c r="O34" s="177"/>
      <c r="P34" s="177"/>
      <c r="Q34" s="102"/>
    </row>
    <row r="35" spans="1:17" x14ac:dyDescent="0.25">
      <c r="A35" s="98"/>
      <c r="B35" s="99"/>
      <c r="C35" s="99"/>
      <c r="D35" s="99"/>
      <c r="E35" s="99"/>
      <c r="F35" s="113"/>
      <c r="G35" s="99"/>
      <c r="H35" s="99"/>
      <c r="I35" s="99"/>
      <c r="J35" s="99"/>
      <c r="K35" s="99"/>
      <c r="L35" s="99"/>
      <c r="M35" s="100"/>
      <c r="N35" s="113"/>
      <c r="O35" s="177"/>
      <c r="P35" s="177"/>
      <c r="Q35" s="102"/>
    </row>
    <row r="36" spans="1:17" x14ac:dyDescent="0.25">
      <c r="A36" s="103"/>
      <c r="B36" s="104"/>
      <c r="C36" s="104"/>
      <c r="D36" s="104"/>
      <c r="E36" s="104"/>
      <c r="F36" s="105"/>
      <c r="G36" s="104"/>
      <c r="H36" s="104"/>
      <c r="I36" s="104"/>
      <c r="J36" s="104"/>
      <c r="K36" s="104"/>
      <c r="L36" s="104"/>
      <c r="M36" s="106"/>
      <c r="N36" s="107"/>
      <c r="O36" s="178"/>
      <c r="P36" s="178"/>
      <c r="Q36" s="102"/>
    </row>
    <row r="37" spans="1:17" ht="15.75" thickBot="1" x14ac:dyDescent="0.3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10"/>
      <c r="N37" s="109"/>
      <c r="O37" s="179"/>
      <c r="P37" s="179"/>
      <c r="Q37" s="111"/>
    </row>
    <row r="38" spans="1:17" ht="15.75" thickBot="1" x14ac:dyDescent="0.3">
      <c r="A38" s="180" t="s">
        <v>144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12">
        <f>SUM(Q15:Q37)</f>
        <v>3221100</v>
      </c>
    </row>
    <row r="39" spans="1:17" ht="15.75" thickBot="1" x14ac:dyDescent="0.3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</row>
    <row r="40" spans="1:17" ht="15.75" thickBot="1" x14ac:dyDescent="0.3">
      <c r="A40" s="174" t="s">
        <v>103</v>
      </c>
      <c r="B40" s="174"/>
      <c r="C40" s="174"/>
      <c r="D40" s="174"/>
      <c r="E40" s="174"/>
      <c r="F40" s="174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</row>
    <row r="41" spans="1:17" ht="15.75" thickBot="1" x14ac:dyDescent="0.3">
      <c r="A41" s="176" t="str">
        <f>'NP DPAS'!D8</f>
        <v>ADQ. DEL RUBRO OXIGENO MEDICINAL</v>
      </c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</row>
    <row r="42" spans="1:17" ht="15.75" thickBot="1" x14ac:dyDescent="0.3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SAF 011</vt:lpstr>
      <vt:lpstr>NP SAME</vt:lpstr>
      <vt:lpstr>APG SAME</vt:lpstr>
      <vt:lpstr>NP DPAS</vt:lpstr>
      <vt:lpstr>APG DPAS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2022-07-06T13:40:05Z</dcterms:modified>
</cp:coreProperties>
</file>