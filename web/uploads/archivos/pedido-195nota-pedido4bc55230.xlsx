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E7E4EA2-6070-4B5E-8FE2-BE1C42834F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A10" i="3" l="1"/>
  <c r="K12" i="2"/>
  <c r="J12" i="2"/>
  <c r="I12" i="2"/>
  <c r="C12" i="2"/>
  <c r="B12" i="2"/>
  <c r="D10" i="1"/>
  <c r="J13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<sst xmlns="http://schemas.openxmlformats.org/spreadsheetml/2006/main" count="83" uniqueCount="77">
  <si>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</si>
  <si>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</si>
  <si>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</si>
  <si>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</si>
  <si>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</si>
  <si>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</si>
  <si>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</si>
  <si>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</si>
  <si>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</si>
  <si>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</si>
  <si>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</si>
  <si>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</si>
  <si>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</si>
  <si>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</si>
  <si>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</si>
  <si>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</si>
  <si>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</si>
  <si>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</si>
  <si>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</si>
  <si>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</si>
  <si>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</si>
  <si>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</si>
  <si>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</si>
  <si>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</si>
  <si>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</si>
  <si>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</si>
  <si>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</si>
  <si>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</si>
  <si>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</si>
  <si>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</si>
  <si>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</si>
  <si>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</si>
  <si>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</si>
  <si>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</si>
  <si>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</si>
  <si>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</si>
  <si>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</si>
  <si>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</si>
  <si>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</si>
  <si>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</si>
  <si>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</si>
  <si>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</si>
  <si>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</si>
  <si>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</si>
  <si>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</si>
  <si>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</si>
  <si>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</si>
  <si>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</si>
  <si>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</si>
  <si>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</si>
  <si>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</si>
  <si>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</si>
  <si>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</si>
  <si>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</si>
  <si>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</si>
  <si>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</si>
  <si>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</si>
  <si>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</si>
  <si>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</si>
  <si>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COMBUSTIBLES Y LUBRICANTES</t>
  </si>
  <si>
    <t>2.5.6-793.29</t>
  </si>
  <si>
    <t>GAS OIL; PRESENTACION: POR LITRO, USO: MOTORES DIESEL, COMERCIALIZACION: GRADO 3</t>
  </si>
  <si>
    <t>LITROS</t>
  </si>
  <si>
    <t>NO</t>
  </si>
  <si>
    <t>Combustibles y Lubricantes</t>
  </si>
  <si>
    <t>Especificidades Item N° 5:</t>
  </si>
  <si>
    <t>Item N° 1</t>
  </si>
  <si>
    <t>Combustible dirigido a motorizaciones diesel modernas que requieren la utilizacion de un gasoil grado3 para su adecuado funcionamiento.</t>
  </si>
  <si>
    <t>GASOIL GRADO 3 CON BAJO CONTENIDO DE AZUFRE INFERIOR A 10 ppm</t>
  </si>
  <si>
    <t>40-Ministerio de Salud</t>
  </si>
  <si>
    <t>1º</t>
  </si>
  <si>
    <t>Plazo de entrega : 10 dias habiles desde la confeccion de instrumento contractual-CON BOCA DE EXPENDIO EN SAN FERNANDO DEL VALLE DE CATAMARCA - DIRECCION DE MANTENIMIENTO MATERNIDAD PROVINCIAL, HERNANDO DE PEDRAZA 1.550 DE 08:00 A 12:00 HS</t>
  </si>
  <si>
    <t>Costo total estimado: DOSCIENTOS CUARENTA Y NUEVE MIL TRESCIENTOS  CON 00/100</t>
  </si>
  <si>
    <t>006/2021</t>
  </si>
  <si>
    <t>Adquisicion de combustible</t>
  </si>
  <si>
    <t>TOTAL DE PESOS: DOSCIENTOS CUARENTA Y NUEVE MIL TRESCIENTOS  CON 00/100</t>
  </si>
  <si>
    <t>Para la adquisición de combustible tipo grado 3 principalmente para grupo electrogeno y unidades de la institucion, para ser destinados a la Direccion de Mantenimeminto para la Maternidad Provincial 25 de Mayo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</si>
</sst>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49" fontId="6" fillId="0" borderId="12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15" fillId="0" borderId="3" xfId="0" applyFont="1" applyBorder="1"/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8" fontId="19" fillId="0" borderId="5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left" wrapText="1" indent="1"/>
    </xf>
    <xf numFmtId="0" fontId="6" fillId="0" borderId="15" xfId="0" applyFont="1" applyBorder="1" applyAlignment="1">
      <alignment horizontal="left" vertical="center" wrapText="1" indent="1"/>
    </xf>
    <xf numFmtId="167" fontId="7" fillId="0" borderId="15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6" zoomScaleNormal="86" workbookViewId="0">
      <selection activeCell="F21" sqref="F2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1" t="s">
        <v>1</v>
      </c>
      <c r="B4" s="71"/>
      <c r="C4" s="73" t="s">
        <v>69</v>
      </c>
      <c r="D4" s="73"/>
      <c r="E4" s="73"/>
      <c r="F4" s="40"/>
      <c r="G4" s="41"/>
      <c r="H4" s="40"/>
    </row>
    <row r="5" spans="1:9" ht="18" customHeight="1" x14ac:dyDescent="0.25">
      <c r="A5" s="71" t="s">
        <v>2</v>
      </c>
      <c r="B5" s="71"/>
      <c r="C5" s="73" t="s">
        <v>56</v>
      </c>
      <c r="D5" s="73"/>
      <c r="E5" s="73"/>
      <c r="F5" s="40"/>
      <c r="G5" s="41"/>
      <c r="H5" s="40"/>
    </row>
    <row r="6" spans="1:9" ht="16.5" customHeight="1" x14ac:dyDescent="0.25">
      <c r="A6" s="71" t="s">
        <v>3</v>
      </c>
      <c r="B6" s="71"/>
      <c r="C6" s="51">
        <v>2021</v>
      </c>
      <c r="D6" s="52"/>
      <c r="E6" s="52"/>
      <c r="F6" s="40"/>
      <c r="G6" s="41"/>
      <c r="H6" s="40"/>
    </row>
    <row r="7" spans="1:9" ht="16.5" customHeight="1" x14ac:dyDescent="0.25">
      <c r="A7" s="71" t="s">
        <v>4</v>
      </c>
      <c r="B7" s="71"/>
      <c r="C7" s="51" t="s">
        <v>70</v>
      </c>
      <c r="D7" s="52"/>
      <c r="E7" s="52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6.25" thickBot="1" x14ac:dyDescent="0.25">
      <c r="A10" s="64">
        <v>1</v>
      </c>
      <c r="B10" s="65" t="s">
        <v>60</v>
      </c>
      <c r="C10" s="65" t="s">
        <v>59</v>
      </c>
      <c r="D10" s="66" t="str">
        <f>LEFT(B10,5)</f>
        <v>2.5.6</v>
      </c>
      <c r="E10" s="65" t="s">
        <v>61</v>
      </c>
      <c r="F10" s="65" t="s">
        <v>62</v>
      </c>
      <c r="G10" s="65">
        <v>3000</v>
      </c>
      <c r="H10" s="67">
        <v>83.1</v>
      </c>
      <c r="I10" s="68">
        <f>G10*H10</f>
        <v>249299.99999999997</v>
      </c>
    </row>
    <row r="12" spans="1:9" ht="13.5" thickBot="1" x14ac:dyDescent="0.25"/>
    <row r="13" spans="1:9" customFormat="1" x14ac:dyDescent="0.2">
      <c r="B13" s="63" t="s">
        <v>65</v>
      </c>
      <c r="C13" s="43" t="s">
        <v>66</v>
      </c>
      <c r="D13" s="43"/>
      <c r="E13" s="44"/>
      <c r="F13" s="39"/>
      <c r="G13" s="39"/>
      <c r="H13" s="39"/>
    </row>
    <row r="14" spans="1:9" customFormat="1" x14ac:dyDescent="0.2">
      <c r="B14" s="45"/>
      <c r="C14" s="46"/>
      <c r="D14" s="46"/>
      <c r="E14" s="47"/>
      <c r="F14" s="39"/>
      <c r="G14" s="39"/>
      <c r="H14" s="39"/>
    </row>
    <row r="15" spans="1:9" customFormat="1" x14ac:dyDescent="0.2">
      <c r="B15" s="45" t="s">
        <v>14</v>
      </c>
      <c r="C15" s="46"/>
      <c r="D15" s="46"/>
      <c r="E15" s="47"/>
      <c r="F15" s="39"/>
      <c r="G15" s="39"/>
      <c r="H15" s="39"/>
    </row>
    <row r="16" spans="1:9" customFormat="1" x14ac:dyDescent="0.2">
      <c r="B16" s="45"/>
      <c r="C16" s="46" t="s">
        <v>67</v>
      </c>
      <c r="D16" s="46"/>
      <c r="E16" s="47"/>
      <c r="F16" s="39"/>
      <c r="G16" s="39"/>
      <c r="H16" s="39"/>
    </row>
    <row r="17" spans="2:8" customFormat="1" x14ac:dyDescent="0.2">
      <c r="B17" s="45" t="s">
        <v>15</v>
      </c>
      <c r="C17" s="46"/>
      <c r="D17" s="46"/>
      <c r="E17" s="47"/>
      <c r="F17" s="39"/>
      <c r="G17" s="39"/>
      <c r="H17" s="39"/>
    </row>
    <row r="18" spans="2:8" customFormat="1" x14ac:dyDescent="0.2">
      <c r="B18" s="45"/>
      <c r="C18" s="69" t="s">
        <v>71</v>
      </c>
      <c r="D18" s="69"/>
      <c r="E18" s="70"/>
      <c r="F18" s="39"/>
      <c r="G18" s="39"/>
      <c r="H18" s="39"/>
    </row>
    <row r="19" spans="2:8" customFormat="1" x14ac:dyDescent="0.2">
      <c r="B19" s="45"/>
      <c r="C19" s="69"/>
      <c r="D19" s="69"/>
      <c r="E19" s="70"/>
      <c r="F19" s="39"/>
      <c r="G19" s="39"/>
      <c r="H19" s="39"/>
    </row>
    <row r="20" spans="2:8" customFormat="1" x14ac:dyDescent="0.2">
      <c r="B20" s="45" t="s">
        <v>16</v>
      </c>
      <c r="C20" s="46"/>
      <c r="D20" s="46"/>
      <c r="E20" s="47"/>
      <c r="F20" s="39"/>
      <c r="G20" s="39"/>
      <c r="H20" s="39"/>
    </row>
    <row r="21" spans="2:8" customFormat="1" x14ac:dyDescent="0.2">
      <c r="B21" s="45"/>
      <c r="C21" s="46" t="s">
        <v>68</v>
      </c>
      <c r="D21" s="46"/>
      <c r="E21" s="47"/>
      <c r="F21" s="39"/>
      <c r="G21" s="39"/>
      <c r="H21" s="39"/>
    </row>
    <row r="22" spans="2:8" customFormat="1" x14ac:dyDescent="0.2">
      <c r="B22" s="45" t="s">
        <v>17</v>
      </c>
      <c r="C22" s="46"/>
      <c r="D22" s="46"/>
      <c r="E22" s="47"/>
      <c r="F22" s="39"/>
      <c r="G22" s="39"/>
      <c r="H22" s="39"/>
    </row>
    <row r="23" spans="2:8" customFormat="1" x14ac:dyDescent="0.2">
      <c r="B23" s="45"/>
      <c r="C23" s="46"/>
      <c r="D23" s="46"/>
      <c r="E23" s="47"/>
      <c r="F23" s="39"/>
      <c r="G23" s="39"/>
      <c r="H23" s="39"/>
    </row>
    <row r="24" spans="2:8" customFormat="1" x14ac:dyDescent="0.2">
      <c r="B24" s="45" t="s">
        <v>18</v>
      </c>
      <c r="C24" s="46"/>
      <c r="D24" s="46"/>
      <c r="E24" s="47"/>
      <c r="F24" s="39"/>
      <c r="G24" s="39"/>
      <c r="H24" s="39"/>
    </row>
    <row r="25" spans="2:8" customFormat="1" x14ac:dyDescent="0.2">
      <c r="B25" s="45"/>
      <c r="C25" s="46"/>
      <c r="D25" s="46"/>
      <c r="E25" s="47"/>
      <c r="F25" s="39"/>
      <c r="G25" s="39"/>
      <c r="H25" s="39"/>
    </row>
    <row r="26" spans="2:8" ht="13.5" thickBot="1" x14ac:dyDescent="0.25">
      <c r="B26" s="48"/>
      <c r="C26" s="49"/>
      <c r="D26" s="49"/>
      <c r="E26" s="50"/>
    </row>
  </sheetData>
  <mergeCells count="8">
    <mergeCell ref="C18:E19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D9" sqref="D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2" t="s">
        <v>19</v>
      </c>
      <c r="B1" s="82"/>
      <c r="C1" s="82"/>
      <c r="D1" s="82"/>
      <c r="E1" s="82"/>
      <c r="F1" s="82"/>
      <c r="G1" s="82"/>
      <c r="H1" s="82"/>
      <c r="I1" s="82"/>
      <c r="J1" s="3" t="s">
        <v>20</v>
      </c>
      <c r="K1" s="58" t="s">
        <v>73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3" t="s">
        <v>53</v>
      </c>
      <c r="B3" s="83"/>
      <c r="C3" s="83"/>
      <c r="D3" s="84" t="str">
        <f>'Necesidades Trimestrales'!C4</f>
        <v>40-Ministerio de Salud</v>
      </c>
      <c r="E3" s="84"/>
      <c r="F3" s="84"/>
      <c r="G3" s="84"/>
      <c r="H3" s="84"/>
      <c r="I3" s="84"/>
      <c r="J3" s="84"/>
      <c r="K3" s="84"/>
    </row>
    <row r="4" spans="1:11" ht="18.75" customHeight="1" thickBot="1" x14ac:dyDescent="0.25">
      <c r="A4" s="85" t="s">
        <v>54</v>
      </c>
      <c r="B4" s="85"/>
      <c r="C4" s="85"/>
      <c r="D4" s="84" t="str">
        <f>'Necesidades Trimestrales'!C5</f>
        <v>28- Maternidad Provincial 25 de Mayo</v>
      </c>
      <c r="E4" s="84"/>
      <c r="F4" s="84"/>
      <c r="G4" s="84"/>
      <c r="H4" s="84"/>
      <c r="I4" s="84"/>
      <c r="J4" s="84"/>
      <c r="K4" s="84"/>
    </row>
    <row r="5" spans="1:11" ht="18.75" customHeight="1" thickBot="1" x14ac:dyDescent="0.25">
      <c r="A5" s="85" t="s">
        <v>32</v>
      </c>
      <c r="B5" s="85"/>
      <c r="C5" s="85"/>
      <c r="D5" s="84" t="s">
        <v>57</v>
      </c>
      <c r="E5" s="84"/>
      <c r="F5" s="84"/>
      <c r="G5" s="84"/>
      <c r="H5" s="84"/>
      <c r="I5" s="84"/>
      <c r="J5" s="84"/>
      <c r="K5" s="84"/>
    </row>
    <row r="6" spans="1:11" ht="16.5" customHeight="1" thickBot="1" x14ac:dyDescent="0.25">
      <c r="A6" s="83" t="s">
        <v>55</v>
      </c>
      <c r="B6" s="83"/>
      <c r="C6" s="83"/>
      <c r="D6" s="84" t="s">
        <v>57</v>
      </c>
      <c r="E6" s="84"/>
      <c r="F6" s="84"/>
      <c r="G6" s="84"/>
      <c r="H6" s="84"/>
      <c r="I6" s="84"/>
      <c r="J6" s="84"/>
      <c r="K6" s="84"/>
    </row>
    <row r="7" spans="1:11" ht="16.5" customHeight="1" thickBot="1" x14ac:dyDescent="0.25">
      <c r="A7" s="85" t="s">
        <v>21</v>
      </c>
      <c r="B7" s="85"/>
      <c r="C7" s="85"/>
      <c r="D7" s="84" t="str">
        <f>'Necesidades Trimestrales'!C7 &amp; "° Trimestre - Año " &amp; 'Necesidades Trimestrales'!C6</f>
        <v>1º° Trimestre - Año 2021</v>
      </c>
      <c r="E7" s="84"/>
      <c r="F7" s="84"/>
      <c r="G7" s="84"/>
      <c r="H7" s="84"/>
      <c r="I7" s="84"/>
      <c r="J7" s="84"/>
      <c r="K7" s="84"/>
    </row>
    <row r="8" spans="1:11" ht="16.5" customHeight="1" x14ac:dyDescent="0.2">
      <c r="A8" s="77" t="s">
        <v>22</v>
      </c>
      <c r="B8" s="77"/>
      <c r="C8" s="77"/>
      <c r="D8" s="78" t="s">
        <v>74</v>
      </c>
      <c r="E8" s="78"/>
      <c r="F8" s="78"/>
      <c r="G8" s="78"/>
      <c r="H8" s="78"/>
      <c r="I8" s="78"/>
      <c r="J8" s="78"/>
      <c r="K8" s="7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79" t="s">
        <v>23</v>
      </c>
      <c r="B10" s="80" t="s">
        <v>24</v>
      </c>
      <c r="C10" s="80" t="s">
        <v>25</v>
      </c>
      <c r="D10" s="80"/>
      <c r="E10" s="80"/>
      <c r="F10" s="80"/>
      <c r="G10" s="80"/>
      <c r="H10" s="80" t="s">
        <v>26</v>
      </c>
      <c r="I10" s="80" t="s">
        <v>27</v>
      </c>
      <c r="J10" s="80" t="s">
        <v>28</v>
      </c>
      <c r="K10" s="81" t="s">
        <v>29</v>
      </c>
    </row>
    <row r="11" spans="1:11" ht="24" customHeight="1" thickBot="1" x14ac:dyDescent="0.25">
      <c r="A11" s="79"/>
      <c r="B11" s="80"/>
      <c r="C11" s="80"/>
      <c r="D11" s="80"/>
      <c r="E11" s="80"/>
      <c r="F11" s="80"/>
      <c r="G11" s="80"/>
      <c r="H11" s="80"/>
      <c r="I11" s="80"/>
      <c r="J11" s="80"/>
      <c r="K11" s="81"/>
    </row>
    <row r="12" spans="1:11" ht="20.25" customHeight="1" thickBot="1" x14ac:dyDescent="0.25">
      <c r="A12" s="8">
        <v>1</v>
      </c>
      <c r="B12" s="53" t="str">
        <f>'Necesidades Trimestrales'!B10</f>
        <v>2.5.6-793.29</v>
      </c>
      <c r="C12" s="76" t="str">
        <f>'Necesidades Trimestrales'!E10</f>
        <v>GAS OIL; PRESENTACION: POR LITRO, USO: MOTORES DIESEL, COMERCIALIZACION: GRADO 3</v>
      </c>
      <c r="D12" s="76"/>
      <c r="E12" s="76"/>
      <c r="F12" s="76"/>
      <c r="G12" s="76"/>
      <c r="H12" s="54" t="s">
        <v>63</v>
      </c>
      <c r="I12" s="55" t="str">
        <f>'Necesidades Trimestrales'!F10</f>
        <v>LITROS</v>
      </c>
      <c r="J12" s="56">
        <f>'Necesidades Trimestrales'!H10</f>
        <v>83.1</v>
      </c>
      <c r="K12" s="57">
        <f>'Necesidades Trimestrales'!G10</f>
        <v>3000</v>
      </c>
    </row>
    <row r="13" spans="1:11" ht="20.25" customHeight="1" thickBot="1" x14ac:dyDescent="0.25">
      <c r="A13" s="74" t="s">
        <v>72</v>
      </c>
      <c r="B13" s="74"/>
      <c r="C13" s="74"/>
      <c r="D13" s="74"/>
      <c r="E13" s="74"/>
      <c r="F13" s="74"/>
      <c r="G13" s="74"/>
      <c r="H13" s="74"/>
      <c r="I13" s="74"/>
      <c r="J13" s="75">
        <f>SUMPRODUCT(J12:J12,K12:K12)</f>
        <v>249299.99999999997</v>
      </c>
      <c r="K13" s="75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Normal="100" workbookViewId="0">
      <selection activeCell="U18" sqref="U18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8" t="s">
        <v>3</v>
      </c>
      <c r="B1" s="108"/>
      <c r="C1" s="108"/>
      <c r="D1" s="109">
        <f>'Necesidades Trimestrales'!C6</f>
        <v>2021</v>
      </c>
      <c r="E1" s="109"/>
      <c r="F1" s="10"/>
      <c r="G1" s="10"/>
      <c r="H1" s="11"/>
      <c r="I1" s="11"/>
      <c r="J1" s="11"/>
      <c r="K1" s="11"/>
      <c r="L1" s="11"/>
      <c r="M1" s="11"/>
      <c r="N1" s="11"/>
      <c r="P1" s="110" t="s">
        <v>30</v>
      </c>
      <c r="Q1" s="11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0"/>
      <c r="Q2" s="110"/>
    </row>
    <row r="4" spans="1:17" s="12" customFormat="1" ht="18" customHeight="1" thickBot="1" x14ac:dyDescent="0.25">
      <c r="A4" s="111" t="s">
        <v>31</v>
      </c>
      <c r="B4" s="111"/>
      <c r="C4" s="111"/>
      <c r="D4" s="111"/>
      <c r="E4" s="111"/>
      <c r="F4" s="111"/>
      <c r="G4" s="106" t="str">
        <f>' NotaPedido'!D3</f>
        <v>40-Ministerio de Salud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12" customFormat="1" ht="18" customHeight="1" thickBot="1" x14ac:dyDescent="0.25">
      <c r="A5" s="103" t="s">
        <v>54</v>
      </c>
      <c r="B5" s="104"/>
      <c r="C5" s="104"/>
      <c r="D5" s="104"/>
      <c r="E5" s="104"/>
      <c r="F5" s="105"/>
      <c r="G5" s="106" t="str">
        <f>' NotaPedido'!D4</f>
        <v>28- Maternidad Provincial 25 de Mayo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12" customFormat="1" ht="18" customHeight="1" thickBot="1" x14ac:dyDescent="0.25">
      <c r="A6" s="103" t="s">
        <v>32</v>
      </c>
      <c r="B6" s="104"/>
      <c r="C6" s="104"/>
      <c r="D6" s="104"/>
      <c r="E6" s="104"/>
      <c r="F6" s="105"/>
      <c r="G6" s="106" t="str">
        <f>' NotaPedido'!D5</f>
        <v>Direccion Mantenimiento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12" customFormat="1" ht="18" customHeight="1" thickBot="1" x14ac:dyDescent="0.25">
      <c r="A7" s="103" t="s">
        <v>55</v>
      </c>
      <c r="B7" s="104"/>
      <c r="C7" s="104"/>
      <c r="D7" s="104"/>
      <c r="E7" s="104"/>
      <c r="F7" s="105"/>
      <c r="G7" s="106" t="str">
        <f>' NotaPedido'!D6</f>
        <v>Direccion Mantenimiento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07" t="s">
        <v>33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97" t="s">
        <v>34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1"/>
      <c r="P9" s="1"/>
      <c r="Q9" s="13"/>
    </row>
    <row r="10" spans="1:17" ht="54.75" customHeight="1" x14ac:dyDescent="0.2">
      <c r="A10" s="9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006/2021,  afectando la erogación resultante a los créditos presupuestarios aprobados a favor de esta Unidad Ejecutora, conforme al siguiente detalle: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99" t="s">
        <v>35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</row>
    <row r="13" spans="1:17" ht="15.75" customHeight="1" x14ac:dyDescent="0.2">
      <c r="A13" s="100" t="s">
        <v>36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1" t="s">
        <v>37</v>
      </c>
      <c r="P13" s="101"/>
      <c r="Q13" s="102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01"/>
      <c r="P14" s="101"/>
      <c r="Q14" s="102"/>
    </row>
    <row r="15" spans="1:17" ht="17.25" customHeight="1" x14ac:dyDescent="0.2">
      <c r="A15" s="59">
        <v>42</v>
      </c>
      <c r="B15" s="60"/>
      <c r="C15" s="60"/>
      <c r="D15" s="60">
        <v>4</v>
      </c>
      <c r="E15" s="60"/>
      <c r="F15" s="60">
        <v>4901</v>
      </c>
      <c r="G15" s="60">
        <v>3</v>
      </c>
      <c r="H15" s="60">
        <v>1</v>
      </c>
      <c r="I15" s="60">
        <v>2</v>
      </c>
      <c r="J15" s="60">
        <v>5</v>
      </c>
      <c r="K15" s="60">
        <v>6</v>
      </c>
      <c r="L15" s="60"/>
      <c r="M15" s="61">
        <v>1</v>
      </c>
      <c r="N15" s="62" t="s">
        <v>58</v>
      </c>
      <c r="O15" s="96" t="s">
        <v>64</v>
      </c>
      <c r="P15" s="96"/>
      <c r="Q15" s="23">
        <v>249300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91"/>
      <c r="P16" s="91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91"/>
      <c r="P17" s="91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91"/>
      <c r="P18" s="91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91"/>
      <c r="P19" s="91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91"/>
      <c r="P20" s="91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92"/>
      <c r="P21" s="92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93"/>
      <c r="P22" s="93"/>
      <c r="Q22" s="37"/>
    </row>
    <row r="23" spans="1:18" ht="20.25" customHeight="1" x14ac:dyDescent="0.2">
      <c r="A23" s="94" t="s">
        <v>75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38">
        <f>SUM(Q15:Q22)</f>
        <v>249300</v>
      </c>
    </row>
    <row r="24" spans="1:18" ht="18" customHeight="1" thickBot="1" x14ac:dyDescent="0.2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</row>
    <row r="25" spans="1:18" ht="17.25" customHeight="1" thickBot="1" x14ac:dyDescent="0.25">
      <c r="A25" s="86" t="s">
        <v>52</v>
      </c>
      <c r="B25" s="87"/>
      <c r="C25" s="87"/>
      <c r="D25" s="87"/>
      <c r="E25" s="87"/>
      <c r="F25" s="88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</row>
    <row r="26" spans="1:18" ht="18" customHeight="1" thickBot="1" x14ac:dyDescent="0.25">
      <c r="A26" s="90" t="s">
        <v>76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</row>
    <row r="27" spans="1:18" ht="15" customHeight="1" x14ac:dyDescent="0.2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2021-08-12T15:57:39Z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