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esktop\SILVIA\2022\ALIMENTOS PERECEDEROS SPP\"/>
    </mc:Choice>
  </mc:AlternateContent>
  <xr:revisionPtr revIDLastSave="0" documentId="8_{9CAA2941-4D8F-485B-B774-BE7D076C36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7" i="2" l="1"/>
  <c r="M37" i="2"/>
  <c r="Q37" i="2"/>
  <c r="U37" i="2"/>
  <c r="Y37" i="2"/>
</calcChain>
</file>

<file path=xl/sharedStrings.xml><?xml version="1.0" encoding="utf-8"?>
<sst xmlns="http://schemas.openxmlformats.org/spreadsheetml/2006/main" count="249" uniqueCount="170">
  <si>
    <t>Número expediente:</t>
  </si>
  <si>
    <t>EX-2022-01304227-   -CAT-DPCBS#MEC</t>
  </si>
  <si>
    <t>Número proceso de compra:</t>
  </si>
  <si>
    <t>100-0049-CPR22</t>
  </si>
  <si>
    <t>Nombre descriptivo proceso de compra:</t>
  </si>
  <si>
    <t>ADQUISICIÓN DE ALIMENTOS PERECEDEROS SPP</t>
  </si>
  <si>
    <t>Unidad Operativa de Compras:</t>
  </si>
  <si>
    <t>Secretaria de Compras y Abastecimiento</t>
  </si>
  <si>
    <t>Fecha de Apertura:</t>
  </si>
  <si>
    <t>02/08/2022</t>
  </si>
  <si>
    <t>Renglón</t>
  </si>
  <si>
    <t>JUAN ANGEL PERNA</t>
  </si>
  <si>
    <t>TransAbril S.A.</t>
  </si>
  <si>
    <t>EL PUESTO SRL</t>
  </si>
  <si>
    <t>E-CO S. R. L.</t>
  </si>
  <si>
    <t>LUJAIKO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</si>
  <si>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</si>
  <si>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</si>
  <si>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</si>
  <si>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</si>
  <si>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</si>
  <si>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</si>
  <si>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</si>
  <si>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</si>
  <si>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</si>
  <si>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</si>
  <si>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2.1.1-542.236 </t>
  </si>
  <si>
    <t xml:space="preserve">QUESOS; TIPO: CREMOSO, PRESENTACION: AL PESO, ELEM. TRANSPORTE: SIN, MATERIAL 
ELEM. TRANSPORTE: SIN, MATERIAL ENVASE: SIN, CERTIFICADO FORESTAL (GFS): SIN, 
LIBRE DE GLUTEN: A DEFINIR </t>
  </si>
  <si>
    <t xml:space="preserve">UNIDAD </t>
  </si>
  <si>
    <t xml:space="preserve">QUESOS; TIPO: CREMOSO, PRESENTACION: AL PESO, ELEM. TRANSPORTE: SIN, MATERIAL 
ELEM. TRANSPORTE: SIN, MATERIAL ENVASE: SIN, CERTIFICADO FORESTAL (GFS): SIN, 
LIBRE DE GLUTEN: A DEFINIR 1ª CALIDAD MARCA TREMBLAY </t>
  </si>
  <si>
    <t xml:space="preserve">QUESO CREMOSO TREGAR X KG.  </t>
  </si>
  <si>
    <t xml:space="preserve">2 </t>
  </si>
  <si>
    <t xml:space="preserve">2.1.1-542.235 </t>
  </si>
  <si>
    <t xml:space="preserve">QUESOS; TIPO: PORT SALUT, PRESENTACION: AL PESO, ELEM. TRANSPORTE: SIN, 
MATERIAL ELEM. TRANSPORTE: SIN, MATERIAL ENVASE: SIN, CERTIFICADO FORESTAL (GFS): 
SIN, LIBRE DE GLUTEN: A DEFINIR </t>
  </si>
  <si>
    <t xml:space="preserve">  QUESOS; TIPO: PORT SALUT, PRESENTACION: AL PESO, ELEM. 
TRANSPORTE: SIN, MATERIAL ELEM. TRANSPORTE: SIN, MATERIAL ENVASE: SIN, CERTIFICADO 
FORESTAL (GFS): SIN, LIBRE DE GLUTEN: A DEFINIR 1ª CALIDAD 
MARCA TREMBLAY </t>
  </si>
  <si>
    <t xml:space="preserve">QUESO PORT SALUT TREMBLAY X KG.  </t>
  </si>
  <si>
    <t xml:space="preserve">3 </t>
  </si>
  <si>
    <t xml:space="preserve">2.1.1-541.18 </t>
  </si>
  <si>
    <t xml:space="preserve">CARNES; ESPECIE: VACUNA, CORTE: ROAST BEEF, TIPO: VACUNA </t>
  </si>
  <si>
    <t xml:space="preserve">  CARNES; ESPECIE: VACUNA, CORTE: ROAST BEEF, TIPO: VACUNA 
1ª CALIDAD ESTABLECIMIENTO FAENADOR NATILLA  </t>
  </si>
  <si>
    <t xml:space="preserve">CARNE VACUNA ROAST BEEF X KG. </t>
  </si>
  <si>
    <t xml:space="preserve">PRECIO POR KILO - PRIMERA CALIDAD </t>
  </si>
  <si>
    <t xml:space="preserve">CARNES; ESPECIE: VACUNA, CORTE: ROAST BEEF, TIPO: VACUNA UNIDAD DE 
MEDIDA: KILO </t>
  </si>
  <si>
    <t xml:space="preserve">4 </t>
  </si>
  <si>
    <t xml:space="preserve">2.1.1-541.59 </t>
  </si>
  <si>
    <t xml:space="preserve">CARNES; ESPECIE: VACUNA, CORTE: MONDONGO, TIPO: VACUNA </t>
  </si>
  <si>
    <t xml:space="preserve">CARNES; ESPECIE: VACUNA, CORTE: MONDONGO, TIPO: VACUNA 1ª CALIDAD REFRIGERADO 
MARCA FRIGORÍFICO NATILLA </t>
  </si>
  <si>
    <t xml:space="preserve">CARNE VACUNA MONDONGO ESPECIAL X KG.  </t>
  </si>
  <si>
    <t xml:space="preserve">PRECIO POR KILO- PRIMERA CALIDAD </t>
  </si>
  <si>
    <t xml:space="preserve">5 </t>
  </si>
  <si>
    <t xml:space="preserve">2.1.1-541.45 </t>
  </si>
  <si>
    <t xml:space="preserve">CARNES; CORTE: HIGADO, ESPECIE: VACUNA, TIPO: VACUNA </t>
  </si>
  <si>
    <t xml:space="preserve">  CARNES; CORTE: HIGADO, ESPECIE: VACUNA, TIPO: VACUNA 1ª 
CALIDAD REFRIGERADO MARCA FRIGORIFICO NATILLA </t>
  </si>
  <si>
    <t xml:space="preserve">CARNE CORTE HIGADO ESPECIAL X KG.  </t>
  </si>
  <si>
    <t xml:space="preserve">6 </t>
  </si>
  <si>
    <t xml:space="preserve">2.1.1-6546.335 </t>
  </si>
  <si>
    <t xml:space="preserve">VERDURAS Y HORTALIZAS; VARIEDAD: PAPA BLANCA, ESTADO: NATURAL, PRESENTACION: BOLSA, 
PESO: 25 Kg </t>
  </si>
  <si>
    <t xml:space="preserve">VERDURA PAPA BLANCA EN BOLSA.  </t>
  </si>
  <si>
    <t xml:space="preserve">7 </t>
  </si>
  <si>
    <t xml:space="preserve">2.1.1-6546.188 </t>
  </si>
  <si>
    <t xml:space="preserve">VERDURAS Y HORTALIZAS; ESTADO: NATURAL, PRESENTACION: GRANEL, PESO: SIN VALOR, 
VARIEDAD: ZAPALLO CRIOLLO </t>
  </si>
  <si>
    <t xml:space="preserve">VERDURA ZAPALLO CRIOLLO X KG.  </t>
  </si>
  <si>
    <t xml:space="preserve"> VERDURAS Y HORTALIZAS; ESTADO: NATURAL, PRESENTACION: GRANEL, PESO: SIN 
VALOR, VARIEDAD: ZAPALLO CRIOLLO unidad de medida KILO  </t>
  </si>
  <si>
    <t xml:space="preserve">8 </t>
  </si>
  <si>
    <t xml:space="preserve">2.1.1-6546.390 </t>
  </si>
  <si>
    <t xml:space="preserve">VERDURAS Y HORTALIZAS; VARIEDAD: TOMATE REDONDO, ESTADO: NATURAL, PRESENTACION: CAJON, 
PESO: 17 A 22 Kg, ELEM. TRANSPORTE: SIN, MATERIAL ELEM. 
TRANSPORTE: SIN, LIBRE DE GLUTEN: SI, ORGANICO: NO </t>
  </si>
  <si>
    <t xml:space="preserve">VERDURA TOMATE REDONDO EN CAJON.  </t>
  </si>
  <si>
    <t xml:space="preserve"> VERDURAS Y HORTALIZAS; VARIEDAD: TOMATE REDONDO, ESTADO: NATURAL, PRESENTACION: 
CAJON, PESO: 17 A 22 Kg, ELEM. TRANSPORTE: SIN, MATERIAL 
ELEM. TRANSPORTE: SIN, LIBRE DE GLUTEN: SI, ORGANICO: NO, PRES 
CAJON  </t>
  </si>
  <si>
    <t xml:space="preserve">9 </t>
  </si>
  <si>
    <t xml:space="preserve">2.1.1-6546.113 </t>
  </si>
  <si>
    <t xml:space="preserve">VERDURAS Y HORTALIZAS; ESTADO: NATURAL, PESO: SIN VALOR, VARIEDAD: REPOLLO 
BLANCO, PRESENTACION: GRANEL </t>
  </si>
  <si>
    <t xml:space="preserve">VERDURA REPOLLO BLANCO X UND.  </t>
  </si>
  <si>
    <t xml:space="preserve">VERDURAS Y HORTALIZAS; ESTADO: NATURAL, PESO: SIN VALOR, VARIEDAD: REPOLLO 
BLANCO, PRESENTACION: GRANEL PRE UNIDAD X 2 KG APROX  
</t>
  </si>
  <si>
    <t xml:space="preserve">10 </t>
  </si>
  <si>
    <t xml:space="preserve">2.1.1-483.37 </t>
  </si>
  <si>
    <t xml:space="preserve">HUEVO DE GALLINA; TAMAÑO: GRANDE, COLOR: COLOR, PRESENTACION: 30 UN 
</t>
  </si>
  <si>
    <t xml:space="preserve">HUEVO DE GALLINA; TAMAÑO: GRANDE, COLOR: COLOR, PRESENTACION: 30 UN 
1ª CALIDAD MARCA AVICOLA MASSO </t>
  </si>
  <si>
    <t xml:space="preserve">HUEVOS DE GALLINA MAPLE COLOR X 30 UND.  </t>
  </si>
  <si>
    <t xml:space="preserve"> HUEVO DE GALLINA; TAMAÑO: GRANDE, COLOR: COLOR, PRESENTACION: 30 
UN </t>
  </si>
  <si>
    <t xml:space="preserve">11 </t>
  </si>
  <si>
    <t xml:space="preserve">2.1.1-6546.153 </t>
  </si>
  <si>
    <t xml:space="preserve">VERDURAS Y HORTALIZAS; VARIEDAD: AJO, ESTADO: NATURAL, PRESENTACION: RISTRA, PESO: 
SIN VALOR </t>
  </si>
  <si>
    <t xml:space="preserve">VERDURA AJO EN RISTRA.  </t>
  </si>
  <si>
    <t xml:space="preserve"> VERDURAS Y HORTALIZAS; VARIEDAD: AJO, ESTADO: NATURAL, PRESENTACION: RISTRA, 
PESO: SIN VALOR  </t>
  </si>
  <si>
    <t xml:space="preserve">12 </t>
  </si>
  <si>
    <t xml:space="preserve">2.1.1-6546.34 </t>
  </si>
  <si>
    <t xml:space="preserve">VERDURAS Y HORTALIZAS; VARIEDAD: ACELGA, ESTADO: EN HOJA, PRESENTACION: ATADO, 
PESO: SIN VALOR </t>
  </si>
  <si>
    <t xml:space="preserve">VERDURA ACELGA EN ATADO.  </t>
  </si>
  <si>
    <t xml:space="preserve">VERDURAS Y HORTALIZAS; VARIEDAD: ACELGA, ESTADO: EN HOJA, PRESENTACION: ATADO, 
PESO: SIN VALOR PRES ATADO  </t>
  </si>
  <si>
    <t xml:space="preserve">13 </t>
  </si>
  <si>
    <t xml:space="preserve">2.1.1-6546.39 </t>
  </si>
  <si>
    <t xml:space="preserve">VERDURAS Y HORTALIZAS; VARIEDAD: CEBOLLA, ESTADO: NATURAL, PRESENTACION: BOLSA, PESO: 
25 Kg </t>
  </si>
  <si>
    <t xml:space="preserve">VERDURA CEBOLLA EN BOLSA.  </t>
  </si>
  <si>
    <t xml:space="preserve"> VERDURAS Y HORTALIZAS; VARIEDAD: CEBOLLA, ESTADO: NATURAL, PRESENTACION: BOLSA, 
PESO: 25 Kg </t>
  </si>
  <si>
    <t xml:space="preserve">14 </t>
  </si>
  <si>
    <t xml:space="preserve">2.1.1-6546.47 </t>
  </si>
  <si>
    <t xml:space="preserve">VERDURAS Y HORTALIZAS; VARIEDAD: CEBOLLA DE VERDEO, ESTADO: NATURAL, PRESENTACION: 
GRANEL, PESO: SIN VALOR </t>
  </si>
  <si>
    <t xml:space="preserve">VERDURA CEBOLLA DE VERDEO EN ATADO.  </t>
  </si>
  <si>
    <t xml:space="preserve"> VERDURAS Y HORTALIZAS; VARIEDAD: CEBOLLA DE VERDEO, ESTADO: NATURAL, 
PRESENTACION: GRANEL, PESO: SIN VALOR PRES ATADO X 1 KG 
APRX  </t>
  </si>
  <si>
    <t xml:space="preserve">15 </t>
  </si>
  <si>
    <t xml:space="preserve">2.1.1-6546.240 </t>
  </si>
  <si>
    <t xml:space="preserve">VERDURAS Y HORTALIZAS; VARIEDAD: ZAPALLITO REDONDO, ESTADO: NATURAL, PRESENTACION: SIN 
VALOR, PESO: 20 Kg </t>
  </si>
  <si>
    <t xml:space="preserve">VERDURA ZAPALLITO REDONDO VERDE EN CAJON.  </t>
  </si>
  <si>
    <t xml:space="preserve"> VERDURAS Y HORTALIZAS; VARIEDAD: ZAPALLITO REDONDO, ESTADO: NATURAL, PRESENTACION: 
SIN VALOR, PESO: 20 Kg </t>
  </si>
  <si>
    <t xml:space="preserve">16 </t>
  </si>
  <si>
    <t xml:space="preserve">2.1.1-6546.167 </t>
  </si>
  <si>
    <t xml:space="preserve">VERDURAS Y HORTALIZAS; VARIEDAD: ZANAHORIA, PRESENTACION: BOLSA, ESTADO: NATURAL, PESO: 
20 Kg </t>
  </si>
  <si>
    <t xml:space="preserve">VERDURA ZANAHORIA EN BOLSA.  </t>
  </si>
  <si>
    <t xml:space="preserve"> VERDURAS Y HORTALIZAS; VARIEDAD: ZANAHORIA, PRESENTACION: BOLSA, ESTADO: NATURAL, 
PESO: 20 Kg </t>
  </si>
  <si>
    <t xml:space="preserve">17 </t>
  </si>
  <si>
    <t xml:space="preserve">2.1.1-6546.207 </t>
  </si>
  <si>
    <t xml:space="preserve">VERDURAS Y HORTALIZAS; VARIEDAD: BATATA, ESTADO: NATURAL, PRESENTACION: BOLSA, PESO: 
10 Kg </t>
  </si>
  <si>
    <t xml:space="preserve">VERDURA BATATA ROJA EN BOLSA.  </t>
  </si>
  <si>
    <t xml:space="preserve"> VERDURAS Y HORTALIZAS; VARIEDAD: BATATA, ESTADO: NATURAL, PRESENTACION: BOLSA, 
PESO: 10 Kg </t>
  </si>
  <si>
    <t xml:space="preserve">18 </t>
  </si>
  <si>
    <t xml:space="preserve">2.1.1-6546.95 </t>
  </si>
  <si>
    <t xml:space="preserve">VERDURAS Y HORTALIZAS; VARIEDAD: MORRON VERDE, ESTADO: NATURAL, PRESENTACION: GRANEL, 
PESO: SIN VALOR </t>
  </si>
  <si>
    <t xml:space="preserve">VERDURA MORRON VERDE X KG.  </t>
  </si>
  <si>
    <t xml:space="preserve">VERDURAS Y HORTALIZAS; VARIEDAD: MORRON VERDE, ESTADO: NATURAL, PRESENTACION: GRANEL, 
PESO: SIN VALOR  UNIDAD DE MEDIDA: KILO </t>
  </si>
  <si>
    <t xml:space="preserve">VERDURAS Y HORTALIZAS; VARIEDAD: MORRON VERDE, ESTADO: NATURAL, PRESENTACION: GRANEL, 
PESO: SIN VALOR UNIDAD DE MEDIDA X KILO  </t>
  </si>
  <si>
    <t xml:space="preserve">19 </t>
  </si>
  <si>
    <t xml:space="preserve">2.1.1-6546.329 </t>
  </si>
  <si>
    <t xml:space="preserve">VERDURAS Y HORTALIZAS; VARIEDAD: PUERRO, ESTADO: FRESCO, PRESENTACION: ATADO, PESO: 
1 Kg </t>
  </si>
  <si>
    <t xml:space="preserve">VERDURA AJO PUERRO EN ATADO.  </t>
  </si>
  <si>
    <t xml:space="preserve">VERDURAS Y HORTALIZAS; VARIEDAD: PUERRO, ESTADO: FRESCO, PRESENTACION: ATADO, PESO: 
1 Kg  </t>
  </si>
  <si>
    <t xml:space="preserve">20 </t>
  </si>
  <si>
    <t xml:space="preserve">2.1.1-6539.30 </t>
  </si>
  <si>
    <t xml:space="preserve">FRUTAS; VARIEDAD: BANANA, PRESENTACION: CAJON, ESTADO: NATURAL, PESO: SIN VALOR 
</t>
  </si>
  <si>
    <t xml:space="preserve">FRUTA BANANA EN CAJON.  </t>
  </si>
  <si>
    <t xml:space="preserve">FRUTAS; VARIEDAD: BANANA, PRESENTACION: CAJON, ESTADO: NATURAL, PESO: SIN VALOR 
Cajón x 10 KG </t>
  </si>
  <si>
    <t xml:space="preserve">21 </t>
  </si>
  <si>
    <t xml:space="preserve">2.1.1-6539.2 </t>
  </si>
  <si>
    <t xml:space="preserve">FRUTAS; PRESENTACION: GRANEL, VARIEDAD: NARANJA OMBLIGO, ESTADO: NATURAL, PESO: SIN 
VALOR </t>
  </si>
  <si>
    <t xml:space="preserve">FRUTA NARANJA CRIOLLA EN CAJON / BOLSA.  </t>
  </si>
  <si>
    <t xml:space="preserve">FRUTAS; PRESENTACION: GRANEL, VARIEDAD: NARANJA OMBLIGO, ESTADO: NATURAL, PESO: SIN 
VALOR Bolsa x 20 KG </t>
  </si>
  <si>
    <t xml:space="preserve">FRUTAS; PRESENTACION: GRANEL, VARIEDAD: NARANJA OMBLIGO, ESTADO: NATURAL, PESO: SIN 
VALOR  </t>
  </si>
  <si>
    <t xml:space="preserve">22 </t>
  </si>
  <si>
    <t xml:space="preserve">2.1.1-6539.32 </t>
  </si>
  <si>
    <t xml:space="preserve">FRUTAS; VARIEDAD: PERA AMARILLA, ESTADO: NATURAL, PRESENTACION: CAJON, PESO: SIN 
VALOR </t>
  </si>
  <si>
    <t xml:space="preserve">FRUTA PERA AMARILLA EN CAJON.  </t>
  </si>
  <si>
    <t xml:space="preserve">FRUTAS; VARIEDAD: PERA AMARILLA, ESTADO: NATURAL, PRESENTACION: CAJON X 10 
KG </t>
  </si>
  <si>
    <t xml:space="preserve"> FRUTAS; VARIEDAD: PERA AMARILLA, ESTADO: NATURAL, PRESENTACION: CAJON, PESO: 
SIN VALOR </t>
  </si>
  <si>
    <t xml:space="preserve">23 </t>
  </si>
  <si>
    <t xml:space="preserve">2.1.1-6539.20 </t>
  </si>
  <si>
    <t xml:space="preserve">FRUTAS; ESTADO: NATURAL, VARIEDAD: MANZANA RED DELICIOSA, PRESENTACION: CAJON, PESO: 
SIN VALOR </t>
  </si>
  <si>
    <t xml:space="preserve">FRUTA MANZANA RED DELICIOSA EN CAJON.  </t>
  </si>
  <si>
    <t xml:space="preserve">FRUTAS; ESTADO: NATURAL, VARIEDAD: MANZANA RED DELICIOSA, PRESENTACION: CAJON x 
10 KG </t>
  </si>
  <si>
    <t xml:space="preserve"> FRUTAS; ESTADO: NATURAL, VARIEDAD: MANZANA RED DELICIOSA, PRESENTACION: CAJON, 
PESO: SIN VALOR </t>
  </si>
  <si>
    <t xml:space="preserve">24 </t>
  </si>
  <si>
    <t xml:space="preserve">2.1.1-2116.2 </t>
  </si>
  <si>
    <t xml:space="preserve">LEVADURAS; TIPO: DE CERVEZA, PRESENTACION: PAQUETE, PESO: 1 Kg </t>
  </si>
  <si>
    <t xml:space="preserve">  LEVADURAS; TIPO: DE CERVEZA, PRESENTACION: PAQUETE, PESO: 1 
Kg 1ª CALIDAD MARCA LEVINA </t>
  </si>
  <si>
    <t xml:space="preserve">LEVADURA LEVINA DE CERVEZA X KG.  </t>
  </si>
  <si>
    <t xml:space="preserve">25 </t>
  </si>
  <si>
    <t xml:space="preserve">2.1.1-456.1 </t>
  </si>
  <si>
    <t xml:space="preserve">YOGHURT; SABOR: VAINILLA, ENVASE: SACHET, AGREGADO: SIN VALOR, CONSISTENCIA: BEBIBLE, 
PRESENTACION: SACHET X 1 L, CAPACIDAD: 1 L, TIPO: ENTERO 
</t>
  </si>
  <si>
    <t xml:space="preserve">YOGHURT; SABOR: VAINILLA, ENVASE: SACHET, AGREGADO: SIN VALOR, CONSISTENCIA: BEBIBLE, 
PRESENTACION: SACHET X 1 L, CAPACIDAD: 1 L, TIPO: ENTERO 
1ª CALIDAD MARCA TREMBLAY </t>
  </si>
  <si>
    <t xml:space="preserve">YOGURT ENTERO SABOR VAINILLA MANFREY EN SACHET X 1 LTRS. 
 </t>
  </si>
  <si>
    <t xml:space="preserve">26 </t>
  </si>
  <si>
    <t xml:space="preserve">2.1.1-456.22 </t>
  </si>
  <si>
    <t xml:space="preserve">YOGHURT; CAPACIDAD: 1 L, SABOR: FRUTILLA, TIPO: ENTERO, ENVASE: SACHET, 
AGREGADO: SIN VALOR, CONSISTENCIA: BEBIBLE, PRESENTACION: SACHET X 1 L 
</t>
  </si>
  <si>
    <t xml:space="preserve">  YOGHURT; CAPACIDAD: 1 L, SABOR: FRUTILLA, TIPO: ENTERO, 
ENVASE: SACHET, AGREGADO: SIN VALOR, CONSISTENCIA: BEBIBLE, PRESENTACION: SACHET X 
1 L 1ª CALIDAD MARCA TREMBLAY </t>
  </si>
  <si>
    <t xml:space="preserve">YOGURT ENTERO SABOR FRUTILLA MANFREY EN SACHET X 1 LTRS. 
 </t>
  </si>
  <si>
    <t xml:space="preserve">27 </t>
  </si>
  <si>
    <t xml:space="preserve">2.1.1-6546.158 </t>
  </si>
  <si>
    <t xml:space="preserve">VERDURAS Y HORTALIZAS; ESTADO: NATURAL, VARIEDAD: ZAPALLO ANCO, PRESENTACION: GRANEL, 
PESO: SIN VALOR </t>
  </si>
  <si>
    <t xml:space="preserve">VERDURA ZAPALLO ANQUIN X KG.  </t>
  </si>
  <si>
    <t xml:space="preserve">VERDURAS Y HORTALIZAS; ESTADO: NATURAL, VARIEDAD: ZAPALLO ANCO, PRESENTACION: GRANEL, 
PESO, UNIDAD DE MEDIDA: KILO </t>
  </si>
  <si>
    <t xml:space="preserve">VERDURAS Y HORTALIZAS; ESTADO: NATURAL, VARIEDAD: ZAPALLO ANCO, PRESENTACION: GRANEL, 
PESO: SIN VALOR UNIDAD DE MEDIDA KILO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</si>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</sst>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37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37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37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37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37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37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0" customWidth="1"/>
    <col min="5" max="5" width="44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84.5703125" customWidth="1"/>
    <col min="11" max="11" width="14.28515625" customWidth="1"/>
    <col min="12" max="12" width="17.28515625" customWidth="1"/>
    <col min="13" max="13" width="16.5703125" customWidth="1"/>
    <col min="14" max="14" width="58.140625" customWidth="1"/>
    <col min="15" max="15" width="14.28515625" customWidth="1"/>
    <col min="16" max="16" width="17.28515625" customWidth="1"/>
    <col min="17" max="17" width="16.5703125" customWidth="1"/>
    <col min="18" max="18" width="34" customWidth="1"/>
    <col min="19" max="19" width="14.28515625" customWidth="1"/>
    <col min="20" max="20" width="17.28515625" customWidth="1"/>
    <col min="21" max="21" width="16.5703125" customWidth="1"/>
    <col min="22" max="22" width="88.85546875" customWidth="1"/>
    <col min="23" max="23" width="14.28515625" customWidth="1"/>
    <col min="24" max="24" width="17.28515625" customWidth="1"/>
    <col min="25" max="25" width="16.5703125" customWidth="1"/>
    <col min="26" max="26" width="88.7109375" customWidth="1"/>
  </cols>
  <sheetData>
    <row r="1" spans="1:26" x14ac:dyDescent="0.25">
      <c r="D1" s="2" t="s">
        <v>0</v>
      </c>
      <c r="E1" s="2" t="s">
        <v>1</v>
      </c>
    </row>
    <row r="2" spans="1:26" x14ac:dyDescent="0.25">
      <c r="D2" s="2" t="s">
        <v>2</v>
      </c>
      <c r="E2" s="2" t="s">
        <v>3</v>
      </c>
    </row>
    <row r="3" spans="1:26" x14ac:dyDescent="0.25">
      <c r="D3" s="2" t="s">
        <v>4</v>
      </c>
      <c r="E3" s="2" t="s">
        <v>5</v>
      </c>
    </row>
    <row r="4" spans="1:26" x14ac:dyDescent="0.25">
      <c r="D4" s="2" t="s">
        <v>6</v>
      </c>
      <c r="E4" s="2" t="s">
        <v>7</v>
      </c>
    </row>
    <row r="5" spans="1:26" x14ac:dyDescent="0.25">
      <c r="D5" s="2" t="s">
        <v>8</v>
      </c>
      <c r="E5" s="2" t="s">
        <v>9</v>
      </c>
    </row>
    <row r="8" spans="1:2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</row>
    <row r="9" spans="1:26" x14ac:dyDescent="0.25">
      <c r="A9" t="s">
        <v>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3" t="s">
        <v>21</v>
      </c>
      <c r="H9" s="3" t="s">
        <v>22</v>
      </c>
      <c r="I9" t="s">
        <v>23</v>
      </c>
      <c r="J9" t="s">
        <v>24</v>
      </c>
      <c r="K9" s="3" t="s">
        <v>21</v>
      </c>
      <c r="L9" s="3" t="s">
        <v>22</v>
      </c>
      <c r="M9" t="s">
        <v>23</v>
      </c>
      <c r="N9" t="s">
        <v>24</v>
      </c>
      <c r="O9" s="3" t="s">
        <v>21</v>
      </c>
      <c r="P9" s="3" t="s">
        <v>22</v>
      </c>
      <c r="Q9" t="s">
        <v>23</v>
      </c>
      <c r="R9" t="s">
        <v>24</v>
      </c>
      <c r="S9" s="3" t="s">
        <v>21</v>
      </c>
      <c r="T9" s="3" t="s">
        <v>22</v>
      </c>
      <c r="U9" t="s">
        <v>23</v>
      </c>
      <c r="V9" t="s">
        <v>24</v>
      </c>
      <c r="W9" s="3" t="s">
        <v>21</v>
      </c>
      <c r="X9" s="3" t="s">
        <v>22</v>
      </c>
      <c r="Y9" t="s">
        <v>23</v>
      </c>
      <c r="Z9" t="s">
        <v>24</v>
      </c>
    </row>
    <row r="10" spans="1:26" ht="45" x14ac:dyDescent="0.25">
      <c r="A10" t="s">
        <v>25</v>
      </c>
      <c r="B10" t="s">
        <v>25</v>
      </c>
      <c r="C10" t="s">
        <v>26</v>
      </c>
      <c r="D10" s="4" t="s">
        <v>27</v>
      </c>
      <c r="E10">
        <v>400</v>
      </c>
      <c r="F10" t="s">
        <v>28</v>
      </c>
      <c r="G10" s="3">
        <v>1100</v>
      </c>
      <c r="H10" s="3">
        <v>400</v>
      </c>
      <c r="I10" s="5">
        <v>440000</v>
      </c>
      <c r="J10" s="4" t="s">
        <v>29</v>
      </c>
      <c r="K10" s="3">
        <v>1075</v>
      </c>
      <c r="L10" s="3">
        <v>400</v>
      </c>
      <c r="M10" s="5">
        <v>430000</v>
      </c>
      <c r="N10" t="s">
        <v>30</v>
      </c>
      <c r="O10" s="3"/>
      <c r="P10" s="3"/>
      <c r="Q10" s="5"/>
      <c r="S10" s="3"/>
      <c r="T10" s="3"/>
      <c r="U10" s="5"/>
      <c r="W10" s="3"/>
      <c r="X10" s="3"/>
      <c r="Y10" s="5"/>
    </row>
    <row r="11" spans="1:26" ht="60" x14ac:dyDescent="0.25">
      <c r="A11" t="s">
        <v>31</v>
      </c>
      <c r="B11" t="s">
        <v>25</v>
      </c>
      <c r="C11" t="s">
        <v>32</v>
      </c>
      <c r="D11" s="4" t="s">
        <v>33</v>
      </c>
      <c r="E11">
        <v>400</v>
      </c>
      <c r="F11" t="s">
        <v>28</v>
      </c>
      <c r="G11" s="3">
        <v>1200</v>
      </c>
      <c r="H11" s="3">
        <v>400</v>
      </c>
      <c r="I11" s="5">
        <v>480000</v>
      </c>
      <c r="J11" s="4" t="s">
        <v>34</v>
      </c>
      <c r="K11" s="3">
        <v>1215</v>
      </c>
      <c r="L11" s="3">
        <v>400</v>
      </c>
      <c r="M11" s="5">
        <v>486000</v>
      </c>
      <c r="N11" t="s">
        <v>35</v>
      </c>
      <c r="O11" s="3"/>
      <c r="P11" s="3"/>
      <c r="Q11" s="5"/>
      <c r="S11" s="3"/>
      <c r="T11" s="3"/>
      <c r="U11" s="5"/>
      <c r="W11" s="3"/>
      <c r="X11" s="3"/>
      <c r="Y11" s="5"/>
    </row>
    <row r="12" spans="1:26" ht="30" x14ac:dyDescent="0.25">
      <c r="A12" t="s">
        <v>36</v>
      </c>
      <c r="B12" t="s">
        <v>25</v>
      </c>
      <c r="C12" t="s">
        <v>37</v>
      </c>
      <c r="D12" t="s">
        <v>38</v>
      </c>
      <c r="E12">
        <v>5500</v>
      </c>
      <c r="F12" t="s">
        <v>28</v>
      </c>
      <c r="G12" s="3">
        <v>1300</v>
      </c>
      <c r="H12" s="3">
        <v>5500</v>
      </c>
      <c r="I12" s="5">
        <v>7150000</v>
      </c>
      <c r="J12" s="4" t="s">
        <v>39</v>
      </c>
      <c r="K12" s="3">
        <v>1420</v>
      </c>
      <c r="L12" s="3">
        <v>5500</v>
      </c>
      <c r="M12" s="5">
        <v>7810000</v>
      </c>
      <c r="N12" t="s">
        <v>40</v>
      </c>
      <c r="O12" s="3">
        <v>1500</v>
      </c>
      <c r="P12" s="3">
        <v>5500</v>
      </c>
      <c r="Q12" s="5">
        <v>8250000</v>
      </c>
      <c r="R12" t="s">
        <v>41</v>
      </c>
      <c r="S12" s="3">
        <v>1790</v>
      </c>
      <c r="T12" s="3">
        <v>5500</v>
      </c>
      <c r="U12" s="5">
        <v>9845000</v>
      </c>
      <c r="V12" s="4" t="s">
        <v>42</v>
      </c>
      <c r="W12" s="3"/>
      <c r="X12" s="3"/>
      <c r="Y12" s="5"/>
    </row>
    <row r="13" spans="1:26" ht="30" x14ac:dyDescent="0.25">
      <c r="A13" t="s">
        <v>43</v>
      </c>
      <c r="B13" t="s">
        <v>25</v>
      </c>
      <c r="C13" t="s">
        <v>44</v>
      </c>
      <c r="D13" t="s">
        <v>45</v>
      </c>
      <c r="E13">
        <v>500</v>
      </c>
      <c r="F13" t="s">
        <v>28</v>
      </c>
      <c r="G13" s="3">
        <v>800</v>
      </c>
      <c r="H13" s="3">
        <v>500</v>
      </c>
      <c r="I13" s="5">
        <v>400000</v>
      </c>
      <c r="J13" s="4" t="s">
        <v>46</v>
      </c>
      <c r="K13" s="3">
        <v>960</v>
      </c>
      <c r="L13" s="3">
        <v>500</v>
      </c>
      <c r="M13" s="5">
        <v>480000</v>
      </c>
      <c r="N13" t="s">
        <v>47</v>
      </c>
      <c r="O13" s="3">
        <v>600</v>
      </c>
      <c r="P13" s="3">
        <v>500</v>
      </c>
      <c r="Q13" s="5">
        <v>300000</v>
      </c>
      <c r="R13" t="s">
        <v>48</v>
      </c>
      <c r="S13" s="3"/>
      <c r="T13" s="3"/>
      <c r="U13" s="5"/>
      <c r="W13" s="3"/>
      <c r="X13" s="3"/>
      <c r="Y13" s="5"/>
    </row>
    <row r="14" spans="1:26" ht="30" x14ac:dyDescent="0.25">
      <c r="A14" t="s">
        <v>49</v>
      </c>
      <c r="B14" t="s">
        <v>25</v>
      </c>
      <c r="C14" t="s">
        <v>50</v>
      </c>
      <c r="D14" t="s">
        <v>51</v>
      </c>
      <c r="E14">
        <v>600</v>
      </c>
      <c r="F14" t="s">
        <v>28</v>
      </c>
      <c r="G14" s="3">
        <v>600</v>
      </c>
      <c r="H14" s="3">
        <v>600</v>
      </c>
      <c r="I14" s="5">
        <v>360000</v>
      </c>
      <c r="J14" s="4" t="s">
        <v>52</v>
      </c>
      <c r="K14" s="3">
        <v>680</v>
      </c>
      <c r="L14" s="3">
        <v>600</v>
      </c>
      <c r="M14" s="5">
        <v>408000</v>
      </c>
      <c r="N14" t="s">
        <v>53</v>
      </c>
      <c r="O14" s="3">
        <v>600</v>
      </c>
      <c r="P14" s="3">
        <v>600</v>
      </c>
      <c r="Q14" s="5">
        <v>360000</v>
      </c>
      <c r="R14" t="s">
        <v>48</v>
      </c>
      <c r="S14" s="3"/>
      <c r="T14" s="3"/>
      <c r="U14" s="5"/>
      <c r="W14" s="3"/>
      <c r="X14" s="3"/>
      <c r="Y14" s="5"/>
    </row>
    <row r="15" spans="1:26" ht="30" x14ac:dyDescent="0.25">
      <c r="A15" t="s">
        <v>54</v>
      </c>
      <c r="B15" t="s">
        <v>25</v>
      </c>
      <c r="C15" t="s">
        <v>55</v>
      </c>
      <c r="D15" s="4" t="s">
        <v>56</v>
      </c>
      <c r="E15">
        <v>800</v>
      </c>
      <c r="F15" t="s">
        <v>28</v>
      </c>
      <c r="G15" s="3"/>
      <c r="H15" s="3"/>
      <c r="I15" s="5"/>
      <c r="K15" s="3">
        <v>1550</v>
      </c>
      <c r="L15" s="3">
        <v>800</v>
      </c>
      <c r="M15" s="5">
        <v>1240000</v>
      </c>
      <c r="N15" t="s">
        <v>57</v>
      </c>
      <c r="O15" s="3"/>
      <c r="P15" s="3"/>
      <c r="Q15" s="5"/>
      <c r="S15" s="3">
        <v>1610</v>
      </c>
      <c r="T15" s="3">
        <v>800</v>
      </c>
      <c r="U15" s="5">
        <v>1288000</v>
      </c>
      <c r="V15" s="4" t="s">
        <v>56</v>
      </c>
      <c r="W15" s="3">
        <v>1800</v>
      </c>
      <c r="X15" s="3">
        <v>800</v>
      </c>
      <c r="Y15" s="5">
        <v>1440000</v>
      </c>
      <c r="Z15" s="4" t="s">
        <v>56</v>
      </c>
    </row>
    <row r="16" spans="1:26" ht="30" x14ac:dyDescent="0.25">
      <c r="A16" t="s">
        <v>58</v>
      </c>
      <c r="B16" t="s">
        <v>25</v>
      </c>
      <c r="C16" t="s">
        <v>59</v>
      </c>
      <c r="D16" s="4" t="s">
        <v>60</v>
      </c>
      <c r="E16">
        <v>3500</v>
      </c>
      <c r="F16" t="s">
        <v>28</v>
      </c>
      <c r="G16" s="3"/>
      <c r="H16" s="3"/>
      <c r="I16" s="5"/>
      <c r="K16" s="3">
        <v>280</v>
      </c>
      <c r="L16" s="3">
        <v>3500</v>
      </c>
      <c r="M16" s="5">
        <v>980000</v>
      </c>
      <c r="N16" t="s">
        <v>61</v>
      </c>
      <c r="O16" s="3"/>
      <c r="P16" s="3"/>
      <c r="Q16" s="5"/>
      <c r="S16" s="3"/>
      <c r="T16" s="3"/>
      <c r="U16" s="5"/>
      <c r="W16" s="3">
        <v>300</v>
      </c>
      <c r="X16" s="3">
        <v>3500</v>
      </c>
      <c r="Y16" s="5">
        <v>1050000</v>
      </c>
      <c r="Z16" s="4" t="s">
        <v>62</v>
      </c>
    </row>
    <row r="17" spans="1:26" ht="60" x14ac:dyDescent="0.25">
      <c r="A17" t="s">
        <v>63</v>
      </c>
      <c r="B17" t="s">
        <v>25</v>
      </c>
      <c r="C17" t="s">
        <v>64</v>
      </c>
      <c r="D17" s="4" t="s">
        <v>65</v>
      </c>
      <c r="E17">
        <v>450</v>
      </c>
      <c r="F17" t="s">
        <v>28</v>
      </c>
      <c r="G17" s="3"/>
      <c r="H17" s="3"/>
      <c r="I17" s="5"/>
      <c r="K17" s="3">
        <v>3900</v>
      </c>
      <c r="L17" s="3">
        <v>450</v>
      </c>
      <c r="M17" s="5">
        <v>1755000</v>
      </c>
      <c r="N17" t="s">
        <v>66</v>
      </c>
      <c r="O17" s="3"/>
      <c r="P17" s="3"/>
      <c r="Q17" s="5"/>
      <c r="S17" s="3"/>
      <c r="T17" s="3"/>
      <c r="U17" s="5"/>
      <c r="W17" s="3">
        <v>2000</v>
      </c>
      <c r="X17" s="3">
        <v>450</v>
      </c>
      <c r="Y17" s="5">
        <v>900000</v>
      </c>
      <c r="Z17" s="4" t="s">
        <v>67</v>
      </c>
    </row>
    <row r="18" spans="1:26" ht="45" x14ac:dyDescent="0.25">
      <c r="A18" t="s">
        <v>68</v>
      </c>
      <c r="B18" t="s">
        <v>25</v>
      </c>
      <c r="C18" t="s">
        <v>69</v>
      </c>
      <c r="D18" s="4" t="s">
        <v>70</v>
      </c>
      <c r="E18">
        <v>20</v>
      </c>
      <c r="F18" t="s">
        <v>28</v>
      </c>
      <c r="G18" s="3"/>
      <c r="H18" s="3"/>
      <c r="I18" s="5"/>
      <c r="K18" s="3">
        <v>500</v>
      </c>
      <c r="L18" s="3">
        <v>20</v>
      </c>
      <c r="M18" s="5">
        <v>10000</v>
      </c>
      <c r="N18" t="s">
        <v>71</v>
      </c>
      <c r="O18" s="3"/>
      <c r="P18" s="3"/>
      <c r="Q18" s="5"/>
      <c r="S18" s="3"/>
      <c r="T18" s="3"/>
      <c r="U18" s="5"/>
      <c r="W18" s="3">
        <v>300</v>
      </c>
      <c r="X18" s="3">
        <v>20</v>
      </c>
      <c r="Y18" s="5">
        <v>6000</v>
      </c>
      <c r="Z18" s="4" t="s">
        <v>72</v>
      </c>
    </row>
    <row r="19" spans="1:26" ht="30" x14ac:dyDescent="0.25">
      <c r="A19" t="s">
        <v>73</v>
      </c>
      <c r="B19" t="s">
        <v>25</v>
      </c>
      <c r="C19" t="s">
        <v>74</v>
      </c>
      <c r="D19" s="4" t="s">
        <v>75</v>
      </c>
      <c r="E19">
        <v>900</v>
      </c>
      <c r="F19" t="s">
        <v>28</v>
      </c>
      <c r="G19" s="3">
        <v>1000</v>
      </c>
      <c r="H19" s="3">
        <v>900</v>
      </c>
      <c r="I19" s="5">
        <v>900000</v>
      </c>
      <c r="J19" s="4" t="s">
        <v>76</v>
      </c>
      <c r="K19" s="3">
        <v>1080</v>
      </c>
      <c r="L19" s="3">
        <v>900</v>
      </c>
      <c r="M19" s="5">
        <v>972000</v>
      </c>
      <c r="N19" t="s">
        <v>77</v>
      </c>
      <c r="O19" s="3"/>
      <c r="P19" s="3"/>
      <c r="Q19" s="5"/>
      <c r="S19" s="3">
        <v>810</v>
      </c>
      <c r="T19" s="3">
        <v>900</v>
      </c>
      <c r="U19" s="5">
        <v>729000</v>
      </c>
      <c r="V19" s="4" t="s">
        <v>75</v>
      </c>
      <c r="W19" s="3">
        <v>1266</v>
      </c>
      <c r="X19" s="3">
        <v>900</v>
      </c>
      <c r="Y19" s="5">
        <v>1139400</v>
      </c>
      <c r="Z19" s="4" t="s">
        <v>78</v>
      </c>
    </row>
    <row r="20" spans="1:26" ht="30" x14ac:dyDescent="0.25">
      <c r="A20" t="s">
        <v>79</v>
      </c>
      <c r="B20" t="s">
        <v>25</v>
      </c>
      <c r="C20" t="s">
        <v>80</v>
      </c>
      <c r="D20" s="4" t="s">
        <v>81</v>
      </c>
      <c r="E20">
        <v>50</v>
      </c>
      <c r="F20" t="s">
        <v>28</v>
      </c>
      <c r="G20" s="3"/>
      <c r="H20" s="3"/>
      <c r="I20" s="5"/>
      <c r="K20" s="3">
        <v>4190</v>
      </c>
      <c r="L20" s="3">
        <v>50</v>
      </c>
      <c r="M20" s="5">
        <v>209500</v>
      </c>
      <c r="N20" t="s">
        <v>82</v>
      </c>
      <c r="O20" s="3"/>
      <c r="P20" s="3"/>
      <c r="Q20" s="5"/>
      <c r="S20" s="3">
        <v>3900</v>
      </c>
      <c r="T20" s="3">
        <v>50</v>
      </c>
      <c r="U20" s="5">
        <v>195000</v>
      </c>
      <c r="V20" s="4" t="s">
        <v>81</v>
      </c>
      <c r="W20" s="3">
        <v>600</v>
      </c>
      <c r="X20" s="3">
        <v>50</v>
      </c>
      <c r="Y20" s="5">
        <v>30000</v>
      </c>
      <c r="Z20" s="4" t="s">
        <v>83</v>
      </c>
    </row>
    <row r="21" spans="1:26" ht="30" x14ac:dyDescent="0.25">
      <c r="A21" t="s">
        <v>84</v>
      </c>
      <c r="B21" t="s">
        <v>25</v>
      </c>
      <c r="C21" t="s">
        <v>85</v>
      </c>
      <c r="D21" s="4" t="s">
        <v>86</v>
      </c>
      <c r="E21">
        <v>1500</v>
      </c>
      <c r="F21" t="s">
        <v>28</v>
      </c>
      <c r="G21" s="3"/>
      <c r="H21" s="3"/>
      <c r="I21" s="5"/>
      <c r="K21" s="3">
        <v>400</v>
      </c>
      <c r="L21" s="3">
        <v>1500</v>
      </c>
      <c r="M21" s="5">
        <v>600000</v>
      </c>
      <c r="N21" t="s">
        <v>87</v>
      </c>
      <c r="O21" s="3"/>
      <c r="P21" s="3"/>
      <c r="Q21" s="5"/>
      <c r="S21" s="3">
        <v>650</v>
      </c>
      <c r="T21" s="3">
        <v>1500</v>
      </c>
      <c r="U21" s="5">
        <v>975000</v>
      </c>
      <c r="V21" s="4" t="s">
        <v>86</v>
      </c>
      <c r="W21" s="3">
        <v>400</v>
      </c>
      <c r="X21" s="3">
        <v>1500</v>
      </c>
      <c r="Y21" s="5">
        <v>600000</v>
      </c>
      <c r="Z21" s="4" t="s">
        <v>88</v>
      </c>
    </row>
    <row r="22" spans="1:26" ht="30" x14ac:dyDescent="0.25">
      <c r="A22" t="s">
        <v>89</v>
      </c>
      <c r="B22" t="s">
        <v>25</v>
      </c>
      <c r="C22" t="s">
        <v>90</v>
      </c>
      <c r="D22" s="4" t="s">
        <v>91</v>
      </c>
      <c r="E22">
        <v>800</v>
      </c>
      <c r="F22" t="s">
        <v>28</v>
      </c>
      <c r="G22" s="3"/>
      <c r="H22" s="3"/>
      <c r="I22" s="5"/>
      <c r="K22" s="3">
        <v>3800</v>
      </c>
      <c r="L22" s="3">
        <v>800</v>
      </c>
      <c r="M22" s="5">
        <v>3040000</v>
      </c>
      <c r="N22" t="s">
        <v>92</v>
      </c>
      <c r="O22" s="3"/>
      <c r="P22" s="3"/>
      <c r="Q22" s="5"/>
      <c r="S22" s="3"/>
      <c r="T22" s="3"/>
      <c r="U22" s="5"/>
      <c r="W22" s="3">
        <v>5400</v>
      </c>
      <c r="X22" s="3">
        <v>800</v>
      </c>
      <c r="Y22" s="5">
        <v>4320000</v>
      </c>
      <c r="Z22" s="4" t="s">
        <v>93</v>
      </c>
    </row>
    <row r="23" spans="1:26" ht="45" x14ac:dyDescent="0.25">
      <c r="A23" t="s">
        <v>94</v>
      </c>
      <c r="B23" t="s">
        <v>25</v>
      </c>
      <c r="C23" t="s">
        <v>95</v>
      </c>
      <c r="D23" s="4" t="s">
        <v>96</v>
      </c>
      <c r="E23">
        <v>60</v>
      </c>
      <c r="F23" t="s">
        <v>28</v>
      </c>
      <c r="G23" s="3"/>
      <c r="H23" s="3"/>
      <c r="I23" s="5"/>
      <c r="K23" s="3">
        <v>400</v>
      </c>
      <c r="L23" s="3">
        <v>60</v>
      </c>
      <c r="M23" s="5">
        <v>24000</v>
      </c>
      <c r="N23" t="s">
        <v>97</v>
      </c>
      <c r="O23" s="3"/>
      <c r="P23" s="3"/>
      <c r="Q23" s="5"/>
      <c r="S23" s="3">
        <v>250</v>
      </c>
      <c r="T23" s="3">
        <v>60</v>
      </c>
      <c r="U23" s="5">
        <v>15000</v>
      </c>
      <c r="V23" s="4" t="s">
        <v>96</v>
      </c>
      <c r="W23" s="3">
        <v>500</v>
      </c>
      <c r="X23" s="3">
        <v>60</v>
      </c>
      <c r="Y23" s="5">
        <v>30000</v>
      </c>
      <c r="Z23" s="4" t="s">
        <v>98</v>
      </c>
    </row>
    <row r="24" spans="1:26" ht="45" x14ac:dyDescent="0.25">
      <c r="A24" t="s">
        <v>99</v>
      </c>
      <c r="B24" t="s">
        <v>25</v>
      </c>
      <c r="C24" t="s">
        <v>100</v>
      </c>
      <c r="D24" s="4" t="s">
        <v>101</v>
      </c>
      <c r="E24">
        <v>350</v>
      </c>
      <c r="F24" t="s">
        <v>28</v>
      </c>
      <c r="G24" s="3"/>
      <c r="H24" s="3"/>
      <c r="I24" s="5"/>
      <c r="K24" s="3">
        <v>3400</v>
      </c>
      <c r="L24" s="3">
        <v>350</v>
      </c>
      <c r="M24" s="5">
        <v>1190000</v>
      </c>
      <c r="N24" t="s">
        <v>102</v>
      </c>
      <c r="O24" s="3"/>
      <c r="P24" s="3"/>
      <c r="Q24" s="5"/>
      <c r="S24" s="3"/>
      <c r="T24" s="3"/>
      <c r="U24" s="5"/>
      <c r="W24" s="3">
        <v>2400</v>
      </c>
      <c r="X24" s="3">
        <v>350</v>
      </c>
      <c r="Y24" s="5">
        <v>840000</v>
      </c>
      <c r="Z24" s="4" t="s">
        <v>103</v>
      </c>
    </row>
    <row r="25" spans="1:26" ht="45" x14ac:dyDescent="0.25">
      <c r="A25" t="s">
        <v>104</v>
      </c>
      <c r="B25" t="s">
        <v>25</v>
      </c>
      <c r="C25" t="s">
        <v>105</v>
      </c>
      <c r="D25" s="4" t="s">
        <v>106</v>
      </c>
      <c r="E25">
        <v>1000</v>
      </c>
      <c r="F25" t="s">
        <v>28</v>
      </c>
      <c r="G25" s="3"/>
      <c r="H25" s="3"/>
      <c r="I25" s="5"/>
      <c r="K25" s="3">
        <v>1900</v>
      </c>
      <c r="L25" s="3">
        <v>1000</v>
      </c>
      <c r="M25" s="5">
        <v>1900000</v>
      </c>
      <c r="N25" t="s">
        <v>107</v>
      </c>
      <c r="O25" s="3"/>
      <c r="P25" s="3"/>
      <c r="Q25" s="5"/>
      <c r="S25" s="3">
        <v>950</v>
      </c>
      <c r="T25" s="3">
        <v>1000</v>
      </c>
      <c r="U25" s="5">
        <v>950000</v>
      </c>
      <c r="V25" s="4" t="s">
        <v>106</v>
      </c>
      <c r="W25" s="3">
        <v>1600</v>
      </c>
      <c r="X25" s="3">
        <v>1000</v>
      </c>
      <c r="Y25" s="5">
        <v>1600000</v>
      </c>
      <c r="Z25" s="4" t="s">
        <v>108</v>
      </c>
    </row>
    <row r="26" spans="1:26" ht="30" x14ac:dyDescent="0.25">
      <c r="A26" t="s">
        <v>109</v>
      </c>
      <c r="B26" t="s">
        <v>25</v>
      </c>
      <c r="C26" t="s">
        <v>110</v>
      </c>
      <c r="D26" s="4" t="s">
        <v>111</v>
      </c>
      <c r="E26">
        <v>80</v>
      </c>
      <c r="F26" t="s">
        <v>28</v>
      </c>
      <c r="G26" s="3"/>
      <c r="H26" s="3"/>
      <c r="I26" s="5"/>
      <c r="K26" s="3">
        <v>2500</v>
      </c>
      <c r="L26" s="3">
        <v>80</v>
      </c>
      <c r="M26" s="5">
        <v>200000</v>
      </c>
      <c r="N26" t="s">
        <v>112</v>
      </c>
      <c r="O26" s="3"/>
      <c r="P26" s="3"/>
      <c r="Q26" s="5"/>
      <c r="S26" s="3"/>
      <c r="T26" s="3"/>
      <c r="U26" s="5"/>
      <c r="W26" s="3">
        <v>1600</v>
      </c>
      <c r="X26" s="3">
        <v>80</v>
      </c>
      <c r="Y26" s="5">
        <v>128000</v>
      </c>
      <c r="Z26" s="4" t="s">
        <v>113</v>
      </c>
    </row>
    <row r="27" spans="1:26" ht="45" x14ac:dyDescent="0.25">
      <c r="A27" t="s">
        <v>114</v>
      </c>
      <c r="B27" t="s">
        <v>25</v>
      </c>
      <c r="C27" t="s">
        <v>115</v>
      </c>
      <c r="D27" s="4" t="s">
        <v>116</v>
      </c>
      <c r="E27">
        <v>200</v>
      </c>
      <c r="F27" t="s">
        <v>28</v>
      </c>
      <c r="G27" s="3"/>
      <c r="H27" s="3"/>
      <c r="I27" s="5"/>
      <c r="K27" s="3">
        <v>240</v>
      </c>
      <c r="L27" s="3">
        <v>200</v>
      </c>
      <c r="M27" s="5">
        <v>48000</v>
      </c>
      <c r="N27" t="s">
        <v>117</v>
      </c>
      <c r="O27" s="3"/>
      <c r="P27" s="3"/>
      <c r="Q27" s="5"/>
      <c r="S27" s="3">
        <v>1810</v>
      </c>
      <c r="T27" s="3">
        <v>200</v>
      </c>
      <c r="U27" s="5">
        <v>362000</v>
      </c>
      <c r="V27" s="4" t="s">
        <v>118</v>
      </c>
      <c r="W27" s="3">
        <v>170</v>
      </c>
      <c r="X27" s="3">
        <v>200</v>
      </c>
      <c r="Y27" s="5">
        <v>34000</v>
      </c>
      <c r="Z27" s="4" t="s">
        <v>119</v>
      </c>
    </row>
    <row r="28" spans="1:26" ht="30" x14ac:dyDescent="0.25">
      <c r="A28" t="s">
        <v>120</v>
      </c>
      <c r="B28" t="s">
        <v>25</v>
      </c>
      <c r="C28" t="s">
        <v>121</v>
      </c>
      <c r="D28" s="4" t="s">
        <v>122</v>
      </c>
      <c r="E28">
        <v>60</v>
      </c>
      <c r="F28" t="s">
        <v>28</v>
      </c>
      <c r="G28" s="3"/>
      <c r="H28" s="3"/>
      <c r="I28" s="5"/>
      <c r="K28" s="3">
        <v>1100</v>
      </c>
      <c r="L28" s="3">
        <v>60</v>
      </c>
      <c r="M28" s="5">
        <v>66000</v>
      </c>
      <c r="N28" t="s">
        <v>123</v>
      </c>
      <c r="O28" s="3"/>
      <c r="P28" s="3"/>
      <c r="Q28" s="5"/>
      <c r="S28" s="3"/>
      <c r="T28" s="3"/>
      <c r="U28" s="5"/>
      <c r="W28" s="3">
        <v>400</v>
      </c>
      <c r="X28" s="3">
        <v>60</v>
      </c>
      <c r="Y28" s="5">
        <v>24000</v>
      </c>
      <c r="Z28" s="4" t="s">
        <v>124</v>
      </c>
    </row>
    <row r="29" spans="1:26" ht="30" x14ac:dyDescent="0.25">
      <c r="A29" t="s">
        <v>125</v>
      </c>
      <c r="B29" t="s">
        <v>25</v>
      </c>
      <c r="C29" t="s">
        <v>126</v>
      </c>
      <c r="D29" s="4" t="s">
        <v>127</v>
      </c>
      <c r="E29">
        <v>200</v>
      </c>
      <c r="F29" t="s">
        <v>28</v>
      </c>
      <c r="G29" s="3"/>
      <c r="H29" s="3"/>
      <c r="I29" s="5"/>
      <c r="K29" s="3">
        <v>4500</v>
      </c>
      <c r="L29" s="3">
        <v>200</v>
      </c>
      <c r="M29" s="5">
        <v>900000</v>
      </c>
      <c r="N29" t="s">
        <v>128</v>
      </c>
      <c r="O29" s="3"/>
      <c r="P29" s="3"/>
      <c r="Q29" s="5"/>
      <c r="S29" s="3">
        <v>3300</v>
      </c>
      <c r="T29" s="3">
        <v>200</v>
      </c>
      <c r="U29" s="5">
        <v>660000</v>
      </c>
      <c r="V29" s="4" t="s">
        <v>129</v>
      </c>
      <c r="W29" s="3">
        <v>7400</v>
      </c>
      <c r="X29" s="3">
        <v>200</v>
      </c>
      <c r="Y29" s="5">
        <v>1480000</v>
      </c>
      <c r="Z29" s="4" t="s">
        <v>127</v>
      </c>
    </row>
    <row r="30" spans="1:26" ht="30" x14ac:dyDescent="0.25">
      <c r="A30" t="s">
        <v>130</v>
      </c>
      <c r="B30" t="s">
        <v>25</v>
      </c>
      <c r="C30" t="s">
        <v>131</v>
      </c>
      <c r="D30" s="4" t="s">
        <v>132</v>
      </c>
      <c r="E30">
        <v>230</v>
      </c>
      <c r="F30" t="s">
        <v>28</v>
      </c>
      <c r="G30" s="3"/>
      <c r="H30" s="3"/>
      <c r="I30" s="5"/>
      <c r="K30" s="3">
        <v>1900</v>
      </c>
      <c r="L30" s="3">
        <v>230</v>
      </c>
      <c r="M30" s="5">
        <v>437000</v>
      </c>
      <c r="N30" t="s">
        <v>133</v>
      </c>
      <c r="O30" s="3"/>
      <c r="P30" s="3"/>
      <c r="Q30" s="5"/>
      <c r="S30" s="3">
        <v>1900</v>
      </c>
      <c r="T30" s="3">
        <v>230</v>
      </c>
      <c r="U30" s="5">
        <v>437000</v>
      </c>
      <c r="V30" s="4" t="s">
        <v>134</v>
      </c>
      <c r="W30" s="3">
        <v>1600</v>
      </c>
      <c r="X30" s="3">
        <v>230</v>
      </c>
      <c r="Y30" s="5">
        <v>368000</v>
      </c>
      <c r="Z30" s="4" t="s">
        <v>135</v>
      </c>
    </row>
    <row r="31" spans="1:26" ht="30" x14ac:dyDescent="0.25">
      <c r="A31" t="s">
        <v>136</v>
      </c>
      <c r="B31" t="s">
        <v>25</v>
      </c>
      <c r="C31" t="s">
        <v>137</v>
      </c>
      <c r="D31" s="4" t="s">
        <v>138</v>
      </c>
      <c r="E31">
        <v>100</v>
      </c>
      <c r="F31" t="s">
        <v>28</v>
      </c>
      <c r="G31" s="3"/>
      <c r="H31" s="3"/>
      <c r="I31" s="5"/>
      <c r="K31" s="3">
        <v>3780</v>
      </c>
      <c r="L31" s="3">
        <v>100</v>
      </c>
      <c r="M31" s="5">
        <v>378000</v>
      </c>
      <c r="N31" t="s">
        <v>139</v>
      </c>
      <c r="O31" s="3"/>
      <c r="P31" s="3"/>
      <c r="Q31" s="5"/>
      <c r="S31" s="3">
        <v>3700</v>
      </c>
      <c r="T31" s="3">
        <v>100</v>
      </c>
      <c r="U31" s="5">
        <v>370000</v>
      </c>
      <c r="V31" s="4" t="s">
        <v>140</v>
      </c>
      <c r="W31" s="3">
        <v>3800</v>
      </c>
      <c r="X31" s="3">
        <v>100</v>
      </c>
      <c r="Y31" s="5">
        <v>380000</v>
      </c>
      <c r="Z31" s="4" t="s">
        <v>141</v>
      </c>
    </row>
    <row r="32" spans="1:26" ht="30" x14ac:dyDescent="0.25">
      <c r="A32" t="s">
        <v>142</v>
      </c>
      <c r="B32" t="s">
        <v>25</v>
      </c>
      <c r="C32" t="s">
        <v>143</v>
      </c>
      <c r="D32" s="4" t="s">
        <v>144</v>
      </c>
      <c r="E32">
        <v>100</v>
      </c>
      <c r="F32" t="s">
        <v>28</v>
      </c>
      <c r="G32" s="3"/>
      <c r="H32" s="3"/>
      <c r="I32" s="5"/>
      <c r="K32" s="3">
        <v>4300</v>
      </c>
      <c r="L32" s="3">
        <v>100</v>
      </c>
      <c r="M32" s="5">
        <v>430000</v>
      </c>
      <c r="N32" t="s">
        <v>145</v>
      </c>
      <c r="O32" s="3"/>
      <c r="P32" s="3"/>
      <c r="Q32" s="5"/>
      <c r="S32" s="3">
        <v>4200</v>
      </c>
      <c r="T32" s="3">
        <v>100</v>
      </c>
      <c r="U32" s="5">
        <v>420000</v>
      </c>
      <c r="V32" s="4" t="s">
        <v>146</v>
      </c>
      <c r="W32" s="3">
        <v>5600</v>
      </c>
      <c r="X32" s="3">
        <v>100</v>
      </c>
      <c r="Y32" s="5">
        <v>560000</v>
      </c>
      <c r="Z32" s="4" t="s">
        <v>147</v>
      </c>
    </row>
    <row r="33" spans="1:26" ht="30" x14ac:dyDescent="0.25">
      <c r="A33" t="s">
        <v>148</v>
      </c>
      <c r="B33" t="s">
        <v>25</v>
      </c>
      <c r="C33" t="s">
        <v>149</v>
      </c>
      <c r="D33" t="s">
        <v>150</v>
      </c>
      <c r="E33">
        <v>500</v>
      </c>
      <c r="F33" t="s">
        <v>28</v>
      </c>
      <c r="G33" s="3">
        <v>700</v>
      </c>
      <c r="H33" s="3">
        <v>500</v>
      </c>
      <c r="I33" s="5">
        <v>350000</v>
      </c>
      <c r="J33" s="4" t="s">
        <v>151</v>
      </c>
      <c r="K33" s="3">
        <v>980</v>
      </c>
      <c r="L33" s="3">
        <v>500</v>
      </c>
      <c r="M33" s="5">
        <v>490000</v>
      </c>
      <c r="N33" t="s">
        <v>152</v>
      </c>
      <c r="O33" s="3"/>
      <c r="P33" s="3"/>
      <c r="Q33" s="5"/>
      <c r="S33" s="3"/>
      <c r="T33" s="3"/>
      <c r="U33" s="5"/>
      <c r="W33" s="3"/>
      <c r="X33" s="3"/>
      <c r="Y33" s="5"/>
    </row>
    <row r="34" spans="1:26" ht="60" x14ac:dyDescent="0.25">
      <c r="A34" t="s">
        <v>153</v>
      </c>
      <c r="B34" t="s">
        <v>25</v>
      </c>
      <c r="C34" t="s">
        <v>154</v>
      </c>
      <c r="D34" s="4" t="s">
        <v>155</v>
      </c>
      <c r="E34">
        <v>350</v>
      </c>
      <c r="F34" t="s">
        <v>28</v>
      </c>
      <c r="G34" s="3">
        <v>200</v>
      </c>
      <c r="H34" s="3">
        <v>350</v>
      </c>
      <c r="I34" s="5">
        <v>70000</v>
      </c>
      <c r="J34" s="4" t="s">
        <v>156</v>
      </c>
      <c r="K34" s="3">
        <v>240</v>
      </c>
      <c r="L34" s="3">
        <v>350</v>
      </c>
      <c r="M34" s="5">
        <v>84000</v>
      </c>
      <c r="N34" s="4" t="s">
        <v>157</v>
      </c>
      <c r="O34" s="3"/>
      <c r="P34" s="3"/>
      <c r="Q34" s="5"/>
      <c r="S34" s="3"/>
      <c r="T34" s="3"/>
      <c r="U34" s="5"/>
      <c r="W34" s="3"/>
      <c r="X34" s="3"/>
      <c r="Y34" s="5"/>
    </row>
    <row r="35" spans="1:26" ht="60" x14ac:dyDescent="0.25">
      <c r="A35" t="s">
        <v>158</v>
      </c>
      <c r="B35" t="s">
        <v>25</v>
      </c>
      <c r="C35" t="s">
        <v>159</v>
      </c>
      <c r="D35" s="4" t="s">
        <v>160</v>
      </c>
      <c r="E35">
        <v>350</v>
      </c>
      <c r="F35" t="s">
        <v>28</v>
      </c>
      <c r="G35" s="3">
        <v>200</v>
      </c>
      <c r="H35" s="3">
        <v>350</v>
      </c>
      <c r="I35" s="5">
        <v>70000</v>
      </c>
      <c r="J35" s="4" t="s">
        <v>161</v>
      </c>
      <c r="K35" s="3">
        <v>240</v>
      </c>
      <c r="L35" s="3">
        <v>350</v>
      </c>
      <c r="M35" s="5">
        <v>84000</v>
      </c>
      <c r="N35" s="4" t="s">
        <v>162</v>
      </c>
      <c r="O35" s="3"/>
      <c r="P35" s="3"/>
      <c r="Q35" s="5"/>
      <c r="S35" s="3"/>
      <c r="T35" s="3"/>
      <c r="U35" s="5"/>
      <c r="W35" s="3"/>
      <c r="X35" s="3"/>
      <c r="Y35" s="5"/>
    </row>
    <row r="36" spans="1:26" ht="45" x14ac:dyDescent="0.25">
      <c r="A36" t="s">
        <v>163</v>
      </c>
      <c r="B36" t="s">
        <v>25</v>
      </c>
      <c r="C36" t="s">
        <v>164</v>
      </c>
      <c r="D36" s="4" t="s">
        <v>165</v>
      </c>
      <c r="E36">
        <v>900</v>
      </c>
      <c r="F36" t="s">
        <v>28</v>
      </c>
      <c r="G36" s="3"/>
      <c r="H36" s="3"/>
      <c r="I36" s="5"/>
      <c r="K36" s="3">
        <v>190</v>
      </c>
      <c r="L36" s="3">
        <v>900</v>
      </c>
      <c r="M36" s="5">
        <v>171000</v>
      </c>
      <c r="N36" t="s">
        <v>166</v>
      </c>
      <c r="O36" s="3"/>
      <c r="P36" s="3"/>
      <c r="Q36" s="5"/>
      <c r="S36" s="3">
        <v>1280</v>
      </c>
      <c r="T36" s="3">
        <v>900</v>
      </c>
      <c r="U36" s="5">
        <v>1152000</v>
      </c>
      <c r="V36" s="4" t="s">
        <v>167</v>
      </c>
      <c r="W36" s="3">
        <v>100</v>
      </c>
      <c r="X36" s="3">
        <v>900</v>
      </c>
      <c r="Y36" s="5">
        <v>90000</v>
      </c>
      <c r="Z36" s="4" t="s">
        <v>168</v>
      </c>
    </row>
    <row r="37" spans="1:26" x14ac:dyDescent="0.25">
      <c r="C37" t="s">
        <v>169</v>
      </c>
      <c r="D37" s="4"/>
      <c r="G37" s="3"/>
      <c r="H37" s="3"/>
      <c r="I37" s="5">
        <f>SUBTOTAL(109,Table2[Total por renglón])</f>
        <v>10220000</v>
      </c>
      <c r="K37" s="3"/>
      <c r="L37" s="3"/>
      <c r="M37" s="5">
        <f>SUBTOTAL(109,Table3[Total por renglón])</f>
        <v>24822500</v>
      </c>
      <c r="O37" s="3"/>
      <c r="P37" s="3"/>
      <c r="Q37" s="5">
        <f>SUBTOTAL(109,Table4[Total por renglón])</f>
        <v>8910000</v>
      </c>
      <c r="S37" s="3"/>
      <c r="T37" s="3"/>
      <c r="U37" s="5">
        <f>SUBTOTAL(109,Table5[Total por renglón])</f>
        <v>17398000</v>
      </c>
      <c r="V37" s="4"/>
      <c r="W37" s="3"/>
      <c r="X37" s="3"/>
      <c r="Y37" s="5">
        <f>SUBTOTAL(109,Table6[Total por renglón])</f>
        <v>15019400</v>
      </c>
      <c r="Z37" s="4"/>
    </row>
  </sheetData>
  <mergeCells count="6"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2022-08-02T14:54:21Z</dcterms:created>
  <dcterms:modified xsi:type="dcterms:W3CDTF">2022-08-02T14:54:53Z</dcterms:modified>
</cp:coreProperties>
</file>