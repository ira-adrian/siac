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E:\SPP\CONTRATACIONES\Necesidades Trimestrales\2022\3° TRIMESTRE\ALIMENTOS MODIFICADO\PERECEDEROS\"/>
    </mc:Choice>
  </mc:AlternateContent>
  <xr:revisionPtr revIDLastSave="0" documentId="8_{D2B4A96B-304E-48F9-8207-D79578F1645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0">'Necesidades Trimestrales'!$A$2:$I$9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2" l="1"/>
  <c r="B39" i="2"/>
  <c r="C38" i="2"/>
  <c r="C37" i="2"/>
  <c r="C36" i="2"/>
  <c r="C35" i="2"/>
  <c r="B35" i="2"/>
  <c r="B34" i="2"/>
  <c r="C33" i="2"/>
  <c r="C31" i="2"/>
  <c r="C29" i="2"/>
  <c r="B28" i="2"/>
  <c r="C26" i="2"/>
  <c r="C24" i="2"/>
  <c r="C23" i="2"/>
  <c r="C22" i="2"/>
  <c r="I21" i="2"/>
  <c r="C20" i="2"/>
  <c r="J19" i="2"/>
  <c r="B19" i="2"/>
  <c r="B18" i="2"/>
  <c r="C17" i="2"/>
  <c r="B17" i="2"/>
  <c r="B16" i="2"/>
  <c r="B13" i="2"/>
  <c r="G7" i="3"/>
  <c r="G6" i="3"/>
  <c r="Q23" i="3"/>
  <c r="K39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J13" i="2"/>
  <c r="J14" i="2"/>
  <c r="J15" i="2"/>
  <c r="J16" i="2"/>
  <c r="J17" i="2"/>
  <c r="J18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I13" i="2"/>
  <c r="I14" i="2"/>
  <c r="I15" i="2"/>
  <c r="I16" i="2"/>
  <c r="I17" i="2"/>
  <c r="I18" i="2"/>
  <c r="I19" i="2"/>
  <c r="I20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C13" i="2"/>
  <c r="C14" i="2"/>
  <c r="C15" i="2"/>
  <c r="C16" i="2"/>
  <c r="C18" i="2"/>
  <c r="C19" i="2"/>
  <c r="C21" i="2"/>
  <c r="C25" i="2"/>
  <c r="C27" i="2"/>
  <c r="C28" i="2"/>
  <c r="C30" i="2"/>
  <c r="C32" i="2"/>
  <c r="C34" i="2"/>
  <c r="C39" i="2"/>
  <c r="B14" i="2"/>
  <c r="B15" i="2"/>
  <c r="B20" i="2"/>
  <c r="B21" i="2"/>
  <c r="B22" i="2"/>
  <c r="B23" i="2"/>
  <c r="B24" i="2"/>
  <c r="B25" i="2"/>
  <c r="B26" i="2"/>
  <c r="B27" i="2"/>
  <c r="B29" i="2"/>
  <c r="B30" i="2"/>
  <c r="B31" i="2"/>
  <c r="B32" i="2"/>
  <c r="B33" i="2"/>
  <c r="B36" i="2"/>
  <c r="B37" i="2"/>
  <c r="B38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K12" i="2"/>
  <c r="J12" i="2"/>
  <c r="I12" i="2"/>
  <c r="C12" i="2"/>
  <c r="B12" i="2"/>
  <c r="A12" i="2"/>
  <c r="D4" i="2"/>
  <c r="G5" i="3" s="1"/>
  <c r="D3" i="2"/>
  <c r="G4" i="3" s="1"/>
  <c r="J40" i="2" l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10" i="1"/>
  <c r="I38" i="1" l="1"/>
</calcChain>
</file>

<file path=xl/sharedStrings.xml><?xml version="1.0" encoding="utf-8"?>
<sst xmlns="http://schemas.openxmlformats.org/spreadsheetml/2006/main" count="254" uniqueCount="142">
  <si>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</si>
  <si>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</si>
  <si>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</si>
  <si>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</si>
  <si>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</si>
  <si>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</si>
  <si>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</si>
  <si>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</si>
  <si>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</si>
  <si>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</si>
  <si>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</si>
  <si>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</si>
  <si>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</si>
  <si>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</si>
  <si>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</si>
  <si>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</si>
  <si>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</si>
  <si>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</si>
  <si>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UNIDAD</t>
  </si>
  <si>
    <t>BOLSA</t>
  </si>
  <si>
    <t>CAJA</t>
  </si>
  <si>
    <t>2.1.1-542.236</t>
  </si>
  <si>
    <t>QUESOS; TIPO: CREMOSO, PRESENTACION: AL PESO, ELEM. TRANSPORTE: SIN, MATERIAL ELEM. TRANSPORTE: SIN, MATERIAL ENVASE: SIN, CERTIFICADO FORESTAL (GFS): SIN, LIBRE DE GLUTEN: A DEFINIR</t>
  </si>
  <si>
    <t>2.1.1-542.235</t>
  </si>
  <si>
    <t>QUESOS; TIPO: PORT SALUT, PRESENTACION: AL PESO, ELEM. TRANSPORTE: SIN, MATERIAL ELEM. TRANSPORTE: SIN, MATERIAL ENVASE: SIN, CERTIFICADO FORESTAL (GFS): SIN, LIBRE DE GLUTEN: A DEFINIR</t>
  </si>
  <si>
    <t>2.1.1-541.18</t>
  </si>
  <si>
    <t>2.1.1-621.20</t>
  </si>
  <si>
    <t>AVES; TIPO: POLLO, PRESENTACION: CAJA X 22 Kg, EVISCERADO: SI, ELEM. TRANSPORTE: SIN, MATERIAL ELEM. TRANSPORTE: SIN, LIBRE DE GLUTEN: SIN VALOR</t>
  </si>
  <si>
    <t>2.1.1-2116.2</t>
  </si>
  <si>
    <t>2.1.1-6546.335</t>
  </si>
  <si>
    <t>VERDURAS Y HORTALIZAS; VARIEDAD: PAPA BLANCA, ESTADO: NATURAL, PRESENTACION: BOLSA, PESO: 25 Kg</t>
  </si>
  <si>
    <t>2.1.1-6546.158</t>
  </si>
  <si>
    <t>VERDURAS Y HORTALIZAS; ESTADO: NATURAL, VARIEDAD: ZAPALLO ANCO, PRESENTACION: GRANEL, PESO: SIN VALOR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</si>
  <si>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</si>
  <si>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</si>
  <si>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</si>
  <si>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</si>
  <si>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CAJON</t>
  </si>
  <si>
    <t>CARTON</t>
  </si>
  <si>
    <t>2.1.1-6546.34</t>
  </si>
  <si>
    <t>VERDURAS Y HORTALIZAS; VARIEDAD: ACELGA, ESTADO: EN HOJA, PRESENTACION: ATADO, PESO: SIN VALOR</t>
  </si>
  <si>
    <t>ATADO</t>
  </si>
  <si>
    <t>2.1.1-6546.39</t>
  </si>
  <si>
    <t>VERDURAS Y HORTALIZAS; VARIEDAD: CEBOLLA, ESTADO: NATURAL, PRESENTACION: BOLSA, PESO: 25 Kg</t>
  </si>
  <si>
    <t>2.1.1-6546.167</t>
  </si>
  <si>
    <t>VERDURAS Y HORTALIZAS; VARIEDAD: ZANAHORIA, PRESENTACION: BOLSA, ESTADO: NATURAL, PESO: 20 Kg</t>
  </si>
  <si>
    <t>2.1.1-541.59</t>
  </si>
  <si>
    <t>CARNES; ESPECIE: VACUNA, CORTE: MONDONGO, TIPO: VACUNA</t>
  </si>
  <si>
    <t>COSTO TOTAL ESTIMADO ALIMENTOS PERECEDEROS</t>
  </si>
  <si>
    <t>HUEVO DE GALLINA; TAMAÑO: GRANDE, COLOR: COLOR, PRESENTACION: 30 UN</t>
  </si>
  <si>
    <t>FRUTAS; PRESENTACION: GRANEL, VARIEDAD: NARANJA OMBLIGO, ESTADO: NATURAL, PESO: SIN VALOR</t>
  </si>
  <si>
    <t>2.1.1-483.37</t>
  </si>
  <si>
    <t>2.1.1-6539.2</t>
  </si>
  <si>
    <t>2.1.1-6546.240</t>
  </si>
  <si>
    <t>VERDURAS Y HORTALIZAS; VARIEDAD: ZAPALLITO REDONDO, ESTADO: NATURAL, PRESENTACION: SIN VALOR, PESO: 20 Kg</t>
  </si>
  <si>
    <t>CARNES; CORTE: HIGADO, ESPECIE: VACUNA, TIPO: VACUNA</t>
  </si>
  <si>
    <t>2.1.1-541.45</t>
  </si>
  <si>
    <t>FRUTAS; ESTADO: NATURAL, VARIEDAD: MANZANA RED DELICIOSA, PRESENTACION: CAJON, PESO: SIN VALOR</t>
  </si>
  <si>
    <t>2.1.1-6539.20</t>
  </si>
  <si>
    <t>2.1.1-6546.113</t>
  </si>
  <si>
    <t>VERDURAS Y HORTALIZAS; ESTADO: NATURAL, PESO: SIN VALOR, VARIEDAD: REPOLLO BLANCO, PRESENTACION: GRANEL</t>
  </si>
  <si>
    <t>FRUTAS; VARIEDAD: BANANA, PRESENTACION: CAJON, ESTADO: NATURAL, PESO: SIN VALOR</t>
  </si>
  <si>
    <t>2.1.1-6539.30</t>
  </si>
  <si>
    <t>FRUTAS; VARIEDAD: PERA AMARILLA, ESTADO: NATURAL, PRESENTACION: CAJON, PESO: SIN VALOR</t>
  </si>
  <si>
    <t>2.1.1-6539.32</t>
  </si>
  <si>
    <t>2.1.1-6546.207</t>
  </si>
  <si>
    <t>VERDURAS Y HORTALIZAS; VARIEDAD: BATATA, ESTADO: NATURAL, PRESENTACION: BOLSA, PESO: 10 Kg</t>
  </si>
  <si>
    <t>VERDURAS Y HORTALIZAS; VARIEDAD: AJO, ESTADO: NATURAL, PRESENTACION: RISTRA, PESO: SIN VALOR</t>
  </si>
  <si>
    <t>2.1.1-6546.153</t>
  </si>
  <si>
    <t>VERDURAS Y HORTALIZAS; VARIEDAD: CEBOLLA DE VERDEO, ESTADO: NATURAL, PRESENTACION: GRANEL, PESO: SIN VALOR</t>
  </si>
  <si>
    <t>2.1.1-6546.47</t>
  </si>
  <si>
    <t>VERDURAS Y HORTALIZAS; VARIEDAD: PUERRO, ESTADO: FRESCO, PRESENTACION: ATADO, PESO: 1 Kg</t>
  </si>
  <si>
    <t>2.1.1-6546.329</t>
  </si>
  <si>
    <t>RISTRA</t>
  </si>
  <si>
    <t>VERDURAS Y HORTALIZAS; VARIEDAD: MORRON VERDE, ESTADO: NATURAL, PRESENTACION: GRANEL, PESO: SIN VALOR</t>
  </si>
  <si>
    <t>2.1.1-6546.95</t>
  </si>
  <si>
    <t>YOGHURT; SABOR: VAINILLA, ENVASE: SACHET, AGREGADO: SIN VALOR, CONSISTENCIA: BEBIBLE, PRESENTACION: SACHET X 1 L, CAPACIDAD: 1 L, TIPO: ENTERO</t>
  </si>
  <si>
    <t>YOGHURT; CAPACIDAD: 1 L, SABOR: FRUTILLA, TIPO: ENTERO, ENVASE: SACHET, AGREGADO: SIN VALOR, CONSISTENCIA: BEBIBLE, PRESENTACION: SACHET X 1 L</t>
  </si>
  <si>
    <t>2.1.1-456.1</t>
  </si>
  <si>
    <t>2.1.1-456.22</t>
  </si>
  <si>
    <t>SACHET</t>
  </si>
  <si>
    <t>ESPECIFICIDADES DE LOS ITEMS</t>
  </si>
  <si>
    <t xml:space="preserve"> Descripcion Técnica:</t>
  </si>
  <si>
    <r>
      <rPr>
        <b/>
        <sz val="10"/>
        <rFont val="Times New Roman"/>
        <family val="1"/>
        <charset val="1"/>
      </rPr>
      <t>Entrega y Forma de Pago:</t>
    </r>
    <r>
      <rPr>
        <sz val="10"/>
        <rFont val="Times New Roman"/>
        <family val="1"/>
        <charset val="1"/>
      </rPr>
      <t xml:space="preserve"> 
(Para todos los ítems)</t>
    </r>
  </si>
  <si>
    <t>Lugar de Entrega:</t>
  </si>
  <si>
    <t>Servicio Penitenciario Provincial, Ruta Nacional 38, km 558 Colonia del Valle.</t>
  </si>
  <si>
    <t>Calidad Mínima esperada</t>
  </si>
  <si>
    <t>Los productos deben ser de 1° calidad, según condiciones establecidas en nota (Condición de Calidad)</t>
  </si>
  <si>
    <t>Mantenimiento:</t>
  </si>
  <si>
    <t>45 días</t>
  </si>
  <si>
    <t>Garantía</t>
  </si>
  <si>
    <t>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2 (Dos) dias hábiles de la firma del instrumento contractual. 2° Solic.de Provisión: al mes de la firma del instrumento contractual. 3° Solic.de Provisión: al los 2 (Dos) meses de la firma del instrumento contractual. Plazo de cumplimiento de cada Solicitud de Provisión: a los 2 días hábiles de notificada la misma, según necesidades del Organismo solicitante. Forma de Pago: Se solicita Pagos parciales por cada Solicitud de Provisión emitida, una vez finalizada la entrega de las cantidades contenidas en la misma.</t>
  </si>
  <si>
    <t>Item N° 9: Cajon x 20 KG - TOMATE
Item N° 10: Unidad 2 KG aprox. - REPOLLO
Item N° 12: Ristra x 1 KG aprox. - AJO
Item N° 13: Atado x 1 KG aprox. - ACELGA
Item N° 15: Atado x 1 KG aprox. - CEBOLLA VERDEO
Item N° 16: Cajon x 20 KG - ZAPALLITO REDONDO
Item N° 19: Cajon x 10 KG - MORRON VERDE
Item N° 21: Cajón x 10 KG - BANANA
Item N° 22: Bolsa x 20 KG - NARANJA OMBLIGO
Item N° 23: Cajón x 10 KG - PERA
Item N° 24: Cajón x 10 KG - MANZANA</t>
  </si>
  <si>
    <t>LEVADURAS; TIPO: DE CERVEZA, PRESENTACION: PAQUETE, PESO: 1 Kg</t>
  </si>
  <si>
    <t>NOTA DE PEDIDO</t>
  </si>
  <si>
    <t>N°</t>
  </si>
  <si>
    <t xml:space="preserve">JURISDICCIÓN: </t>
  </si>
  <si>
    <t>SAF:</t>
  </si>
  <si>
    <t>UNIDAD EJECUTORA:</t>
  </si>
  <si>
    <t>SERVICIO PENITENCIARIO PROVINCIAL</t>
  </si>
  <si>
    <t xml:space="preserve">DEPENDENCIA SOLICITANTE: </t>
  </si>
  <si>
    <t>LOGISTICA</t>
  </si>
  <si>
    <t>PERIODO UTILIZACIÓN:</t>
  </si>
  <si>
    <t>3 MESES</t>
  </si>
  <si>
    <t>OBJETO:</t>
  </si>
  <si>
    <t>BIENES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</si>
  <si>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</si>
  <si>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</si>
  <si>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</si>
  <si>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</si>
  <si>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</si>
  <si>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</si>
  <si>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</si>
  <si>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</si>
  <si>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</t>
  </si>
  <si>
    <t>KILO</t>
  </si>
  <si>
    <t>AUTORIZACION PARA GASTAR</t>
  </si>
  <si>
    <t>JURISDICCIÓN:</t>
  </si>
  <si>
    <r>
      <t>AUTORIZACIÓN</t>
    </r>
    <r>
      <rPr>
        <b/>
        <sz val="10"/>
        <rFont val="Times New Roman"/>
        <family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</si>
  <si>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</si>
  <si>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</si>
  <si>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</si>
  <si>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</si>
  <si>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</si>
  <si>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</si>
  <si>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</si>
  <si>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</si>
  <si>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</si>
  <si>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</si>
  <si>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</si>
  <si>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</si>
  <si>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</si>
  <si>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</si>
  <si>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</si>
  <si>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</si>
  <si>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</si>
  <si>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</si>
  <si>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</si>
  <si>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Alimentos Para Personas</t>
  </si>
  <si>
    <t xml:space="preserve">TOTAL DE PESOS: </t>
  </si>
  <si>
    <t>JUSTIFICACIÓN:</t>
  </si>
  <si>
    <r>
      <t xml:space="preserve">Autorizo la realización de los trámites correspondientes los bienes y/o servicios que se detallan en la Nota de Pedido Nº </t>
    </r>
    <r>
      <rPr>
        <sz val="11"/>
        <color rgb="FFFF0000"/>
        <rFont val="Times New Roman"/>
        <family val="1"/>
      </rPr>
      <t>DOCFI-2022-01184412-CAT-SPC#SSD</t>
    </r>
    <r>
      <rPr>
        <sz val="11"/>
        <rFont val="Times New Roman"/>
        <family val="1"/>
      </rPr>
      <t>, afectando la erogación resultante a los créditos presupuestarios aprobados a favor de esta Unidad Ejecutora, conforme al siguiente detalle: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</si>
</sst>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[$$-2C0A]\ #,##0.00;[$$-2C0A]&quot; -&quot;#,##0.00"/>
    <numFmt numFmtId="167" formatCode="[$$-2C0A]\ #,##0.00"/>
    <numFmt numFmtId="168" formatCode="dd\-mm\-yy;@"/>
    <numFmt numFmtId="169" formatCode="_(\$* #,##0.00_);_(\$* \(#,##0.00\);_(\$* \-??_);_(@_)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Times New Roman"/>
      <family val="1"/>
    </font>
    <font>
      <sz val="10"/>
      <name val="Arial"/>
      <family val="2"/>
      <charset val="1"/>
    </font>
    <font>
      <b/>
      <u/>
      <sz val="1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rgb="FF3D3D3D"/>
      </bottom>
      <diagonal/>
    </border>
    <border>
      <left style="medium">
        <color theme="1"/>
      </left>
      <right/>
      <top/>
      <bottom/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rgb="FF3D3D3D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/>
      <bottom style="medium">
        <color rgb="FF3D3D3D"/>
      </bottom>
      <diagonal/>
    </border>
    <border>
      <left style="medium">
        <color theme="1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theme="1"/>
      </right>
      <top style="medium">
        <color rgb="FF3D3D3D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rgb="FF3D3D3D"/>
      </right>
      <top style="medium">
        <color theme="1"/>
      </top>
      <bottom/>
      <diagonal/>
    </border>
    <border>
      <left style="medium">
        <color theme="1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/>
      <top/>
      <bottom style="medium">
        <color theme="1"/>
      </bottom>
      <diagonal/>
    </border>
    <border>
      <left style="medium">
        <color rgb="FF3D3D3D"/>
      </left>
      <right style="medium">
        <color theme="1" tint="0.249977111117893"/>
      </right>
      <top/>
      <bottom style="medium">
        <color theme="1"/>
      </bottom>
      <diagonal/>
    </border>
    <border>
      <left style="medium">
        <color theme="1" tint="0.249977111117893"/>
      </left>
      <right style="medium">
        <color rgb="FF3D3D3D"/>
      </right>
      <top style="medium">
        <color rgb="FF3D3D3D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theme="1"/>
      </bottom>
      <diagonal/>
    </border>
    <border>
      <left/>
      <right style="medium">
        <color theme="1"/>
      </right>
      <top style="medium">
        <color rgb="FF3D3D3D"/>
      </top>
      <bottom style="medium">
        <color theme="1" tint="0.249977111117893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theme="1"/>
      </right>
      <top/>
      <bottom style="medium">
        <color theme="1"/>
      </bottom>
      <diagonal/>
    </border>
  </borders>
  <cellStyleXfs count="6">
    <xf numFmtId="0" fontId="0" fillId="0" borderId="0"/>
    <xf numFmtId="164" fontId="10" fillId="0" borderId="0" applyBorder="0" applyProtection="0"/>
    <xf numFmtId="0" fontId="10" fillId="0" borderId="0"/>
    <xf numFmtId="0" fontId="1" fillId="0" borderId="0"/>
    <xf numFmtId="44" fontId="1" fillId="0" borderId="0" applyFont="0" applyFill="0" applyBorder="0" applyAlignment="0" applyProtection="0"/>
    <xf numFmtId="169" fontId="26" fillId="0" borderId="0" applyBorder="0" applyProtection="0"/>
  </cellStyleXfs>
  <cellXfs count="162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2" fillId="0" borderId="0" xfId="0" applyFont="1" applyBorder="1"/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0" xfId="0" applyFont="1"/>
    <xf numFmtId="0" fontId="2" fillId="0" borderId="0" xfId="0" applyFont="1" applyFill="1" applyBorder="1" applyAlignment="1"/>
    <xf numFmtId="165" fontId="2" fillId="0" borderId="0" xfId="0" applyNumberFormat="1" applyFont="1"/>
    <xf numFmtId="165" fontId="7" fillId="0" borderId="3" xfId="0" applyNumberFormat="1" applyFont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165" fontId="11" fillId="0" borderId="2" xfId="1" applyNumberFormat="1" applyFont="1" applyBorder="1" applyAlignment="1">
      <alignment horizontal="center" vertical="center" wrapText="1"/>
    </xf>
    <xf numFmtId="165" fontId="8" fillId="0" borderId="0" xfId="1" applyNumberFormat="1" applyFont="1" applyFill="1" applyBorder="1" applyAlignment="1" applyProtection="1">
      <alignment vertical="center"/>
    </xf>
    <xf numFmtId="0" fontId="2" fillId="0" borderId="0" xfId="0" applyFont="1" applyFill="1" applyBorder="1"/>
    <xf numFmtId="0" fontId="9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165" fontId="8" fillId="0" borderId="1" xfId="4" applyNumberFormat="1" applyFont="1" applyBorder="1" applyAlignment="1" applyProtection="1">
      <alignment vertical="center"/>
    </xf>
    <xf numFmtId="165" fontId="8" fillId="0" borderId="1" xfId="4" applyNumberFormat="1" applyFont="1" applyFill="1" applyBorder="1" applyAlignment="1" applyProtection="1">
      <alignment horizontal="right" vertical="center" wrapText="1"/>
    </xf>
    <xf numFmtId="165" fontId="8" fillId="0" borderId="9" xfId="4" applyNumberFormat="1" applyFont="1" applyBorder="1" applyAlignment="1" applyProtection="1">
      <alignment vertical="center"/>
    </xf>
    <xf numFmtId="165" fontId="8" fillId="0" borderId="7" xfId="4" applyNumberFormat="1" applyFont="1" applyBorder="1" applyAlignment="1" applyProtection="1">
      <alignment vertical="center"/>
    </xf>
    <xf numFmtId="165" fontId="8" fillId="0" borderId="1" xfId="4" applyNumberFormat="1" applyFont="1" applyFill="1" applyBorder="1" applyAlignment="1" applyProtection="1">
      <alignment horizontal="right" vertical="center" wrapText="1"/>
    </xf>
    <xf numFmtId="0" fontId="14" fillId="0" borderId="10" xfId="2" applyFont="1" applyBorder="1" applyAlignment="1">
      <alignment horizontal="left" vertical="center"/>
    </xf>
    <xf numFmtId="0" fontId="15" fillId="0" borderId="0" xfId="2" applyFont="1" applyBorder="1"/>
    <xf numFmtId="0" fontId="17" fillId="0" borderId="0" xfId="0" applyFont="1"/>
    <xf numFmtId="0" fontId="7" fillId="0" borderId="2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right" vertical="center"/>
    </xf>
    <xf numFmtId="49" fontId="19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/>
    <xf numFmtId="0" fontId="18" fillId="0" borderId="1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2" fillId="0" borderId="19" xfId="1" applyNumberFormat="1" applyFont="1" applyBorder="1" applyAlignment="1" applyProtection="1">
      <alignment horizontal="right" vertical="center" wrapText="1"/>
    </xf>
    <xf numFmtId="3" fontId="23" fillId="0" borderId="25" xfId="0" applyNumberFormat="1" applyFont="1" applyBorder="1"/>
    <xf numFmtId="168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8" xfId="0" applyBorder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0" fillId="0" borderId="30" xfId="0" applyBorder="1"/>
    <xf numFmtId="0" fontId="26" fillId="0" borderId="0" xfId="0" applyFont="1"/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66" fontId="20" fillId="2" borderId="60" xfId="5" applyNumberFormat="1" applyFont="1" applyFill="1" applyBorder="1" applyAlignment="1" applyProtection="1">
      <alignment horizontal="center" vertical="center"/>
    </xf>
    <xf numFmtId="166" fontId="20" fillId="0" borderId="61" xfId="5" applyNumberFormat="1" applyFont="1" applyBorder="1" applyAlignment="1" applyProtection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66" fontId="20" fillId="0" borderId="63" xfId="5" applyNumberFormat="1" applyFont="1" applyBorder="1" applyAlignment="1" applyProtection="1">
      <alignment horizontal="center" vertical="center"/>
    </xf>
    <xf numFmtId="166" fontId="11" fillId="0" borderId="66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0" fillId="0" borderId="30" xfId="0" applyFont="1" applyBorder="1"/>
    <xf numFmtId="0" fontId="2" fillId="0" borderId="19" xfId="0" applyFont="1" applyBorder="1" applyAlignment="1">
      <alignment horizontal="center" vertical="center" wrapText="1"/>
    </xf>
    <xf numFmtId="3" fontId="2" fillId="0" borderId="1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/>
    </xf>
    <xf numFmtId="0" fontId="15" fillId="0" borderId="10" xfId="2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 wrapText="1"/>
    </xf>
    <xf numFmtId="0" fontId="15" fillId="0" borderId="10" xfId="2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19" fillId="0" borderId="1" xfId="0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left" wrapText="1"/>
    </xf>
    <xf numFmtId="0" fontId="20" fillId="0" borderId="19" xfId="0" applyFont="1" applyFill="1" applyBorder="1" applyAlignment="1">
      <alignment horizontal="left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 indent="1"/>
    </xf>
    <xf numFmtId="0" fontId="21" fillId="0" borderId="15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1" fillId="0" borderId="64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0" borderId="65" xfId="0" applyFont="1" applyBorder="1" applyAlignment="1">
      <alignment horizontal="left" vertical="center" wrapText="1"/>
    </xf>
    <xf numFmtId="0" fontId="22" fillId="0" borderId="67" xfId="0" applyFont="1" applyBorder="1" applyAlignment="1">
      <alignment vertical="center" wrapText="1"/>
    </xf>
    <xf numFmtId="0" fontId="22" fillId="0" borderId="68" xfId="0" applyFont="1" applyBorder="1" applyAlignment="1">
      <alignment vertical="center" wrapText="1"/>
    </xf>
    <xf numFmtId="0" fontId="25" fillId="0" borderId="51" xfId="0" applyFont="1" applyBorder="1" applyAlignment="1">
      <alignment vertical="center" wrapText="1"/>
    </xf>
    <xf numFmtId="0" fontId="25" fillId="0" borderId="69" xfId="0" applyFont="1" applyBorder="1" applyAlignment="1">
      <alignment vertical="center" wrapText="1"/>
    </xf>
    <xf numFmtId="0" fontId="25" fillId="0" borderId="44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6" xfId="0" applyFont="1" applyBorder="1" applyAlignment="1">
      <alignment horizontal="left" vertical="center" wrapText="1"/>
    </xf>
    <xf numFmtId="0" fontId="25" fillId="0" borderId="70" xfId="0" applyFont="1" applyBorder="1" applyAlignment="1">
      <alignment horizontal="left" vertical="center" wrapText="1"/>
    </xf>
    <xf numFmtId="0" fontId="25" fillId="0" borderId="71" xfId="0" applyFont="1" applyBorder="1" applyAlignment="1">
      <alignment horizontal="left" vertical="center" wrapText="1"/>
    </xf>
    <xf numFmtId="0" fontId="25" fillId="0" borderId="72" xfId="0" applyFont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5" fillId="0" borderId="47" xfId="0" applyFont="1" applyBorder="1" applyAlignment="1">
      <alignment horizontal="left"/>
    </xf>
    <xf numFmtId="0" fontId="25" fillId="0" borderId="48" xfId="0" applyFont="1" applyBorder="1" applyAlignment="1">
      <alignment horizontal="left"/>
    </xf>
    <xf numFmtId="0" fontId="25" fillId="0" borderId="49" xfId="0" applyFont="1" applyBorder="1" applyAlignment="1">
      <alignment horizontal="left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3" fontId="23" fillId="0" borderId="24" xfId="0" applyNumberFormat="1" applyFont="1" applyBorder="1" applyAlignment="1">
      <alignment horizontal="center"/>
    </xf>
    <xf numFmtId="0" fontId="24" fillId="0" borderId="26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25" fillId="0" borderId="32" xfId="0" applyFont="1" applyBorder="1" applyAlignment="1">
      <alignment horizontal="left" indent="1"/>
    </xf>
    <xf numFmtId="0" fontId="25" fillId="0" borderId="33" xfId="0" applyFont="1" applyBorder="1" applyAlignment="1">
      <alignment horizontal="left" inden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indent="1"/>
    </xf>
    <xf numFmtId="0" fontId="25" fillId="0" borderId="38" xfId="0" applyFont="1" applyBorder="1" applyAlignment="1">
      <alignment horizontal="left" indent="1"/>
    </xf>
    <xf numFmtId="0" fontId="25" fillId="0" borderId="39" xfId="0" applyFont="1" applyBorder="1" applyAlignment="1">
      <alignment horizontal="left" indent="1"/>
    </xf>
    <xf numFmtId="0" fontId="25" fillId="0" borderId="11" xfId="0" applyFont="1" applyBorder="1" applyAlignment="1">
      <alignment horizontal="left" indent="1"/>
    </xf>
    <xf numFmtId="0" fontId="25" fillId="0" borderId="40" xfId="0" applyFont="1" applyBorder="1" applyAlignment="1">
      <alignment horizontal="left" indent="1"/>
    </xf>
    <xf numFmtId="0" fontId="25" fillId="0" borderId="41" xfId="0" applyFont="1" applyBorder="1" applyAlignment="1">
      <alignment horizontal="left" indent="1"/>
    </xf>
    <xf numFmtId="0" fontId="2" fillId="0" borderId="42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indent="1"/>
    </xf>
    <xf numFmtId="0" fontId="25" fillId="0" borderId="38" xfId="0" applyFont="1" applyBorder="1" applyAlignment="1">
      <alignment horizontal="left" vertical="center" indent="1"/>
    </xf>
    <xf numFmtId="0" fontId="25" fillId="0" borderId="39" xfId="0" applyFont="1" applyBorder="1" applyAlignment="1">
      <alignment horizontal="left" vertical="center" indent="1"/>
    </xf>
    <xf numFmtId="0" fontId="27" fillId="0" borderId="44" xfId="0" applyFont="1" applyBorder="1" applyAlignment="1">
      <alignment horizontal="left"/>
    </xf>
    <xf numFmtId="0" fontId="27" fillId="0" borderId="45" xfId="0" applyFont="1" applyBorder="1" applyAlignment="1">
      <alignment horizontal="left"/>
    </xf>
    <xf numFmtId="0" fontId="27" fillId="0" borderId="46" xfId="0" applyFont="1" applyBorder="1" applyAlignment="1">
      <alignment horizontal="left"/>
    </xf>
  </cellXfs>
  <cellStyles count="6">
    <cellStyle name="Moneda" xfId="1" builtinId="4"/>
    <cellStyle name="Moneda 2" xfId="4" xr:uid="{D9AF2493-FC5D-4006-98B1-BA59691181D0}"/>
    <cellStyle name="Moneda_AUTORIZACION Y NOTA DE PEDIDO" xfId="5" xr:uid="{EAC522A4-8B2E-46FD-8535-CBCD1A886DF3}"/>
    <cellStyle name="Normal" xfId="0" builtinId="0"/>
    <cellStyle name="Normal 2" xfId="2" xr:uid="{00000000-0005-0000-0000-000002000000}"/>
    <cellStyle name="Normal 3" xfId="3" xr:uid="{3CC0C438-1FEF-4B5F-981E-FF126D89C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84"/>
  <sheetViews>
    <sheetView zoomScale="90" zoomScaleNormal="90" workbookViewId="0">
      <selection activeCell="E34" sqref="E34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9" customWidth="1"/>
    <col min="9" max="9" width="18.5703125" style="16" customWidth="1"/>
    <col min="10" max="16384" width="11" style="1"/>
  </cols>
  <sheetData>
    <row r="2" spans="1:11" ht="27" x14ac:dyDescent="0.35">
      <c r="B2" s="85" t="s">
        <v>0</v>
      </c>
      <c r="C2" s="85"/>
      <c r="D2" s="85"/>
      <c r="E2" s="85"/>
      <c r="F2" s="85"/>
      <c r="G2" s="85"/>
      <c r="H2" s="85"/>
    </row>
    <row r="4" spans="1:11" ht="18" customHeight="1" x14ac:dyDescent="0.25">
      <c r="A4" s="77" t="s">
        <v>1</v>
      </c>
      <c r="B4" s="77"/>
      <c r="C4" s="86" t="s">
        <v>2</v>
      </c>
      <c r="D4" s="86"/>
      <c r="E4" s="86"/>
      <c r="F4" s="2"/>
      <c r="G4" s="3"/>
    </row>
    <row r="5" spans="1:11" ht="18" customHeight="1" x14ac:dyDescent="0.25">
      <c r="A5" s="77" t="s">
        <v>3</v>
      </c>
      <c r="B5" s="77"/>
      <c r="C5" s="86" t="s">
        <v>4</v>
      </c>
      <c r="D5" s="86"/>
      <c r="E5" s="86"/>
      <c r="F5" s="2"/>
      <c r="G5" s="3"/>
    </row>
    <row r="6" spans="1:11" ht="16.5" customHeight="1" x14ac:dyDescent="0.25">
      <c r="A6" s="77" t="s">
        <v>5</v>
      </c>
      <c r="B6" s="77"/>
      <c r="C6" s="4">
        <v>2022</v>
      </c>
      <c r="D6" s="5"/>
      <c r="E6" s="5"/>
      <c r="F6" s="2"/>
      <c r="G6" s="3"/>
    </row>
    <row r="7" spans="1:11" ht="16.5" customHeight="1" x14ac:dyDescent="0.25">
      <c r="A7" s="77" t="s">
        <v>6</v>
      </c>
      <c r="B7" s="77"/>
      <c r="C7" s="4">
        <v>3</v>
      </c>
      <c r="D7" s="5"/>
      <c r="E7" s="5"/>
      <c r="F7" s="2"/>
      <c r="G7" s="3"/>
    </row>
    <row r="8" spans="1:11" ht="13.5" thickBot="1" x14ac:dyDescent="0.25">
      <c r="B8" s="2"/>
      <c r="C8" s="3"/>
      <c r="D8" s="2"/>
      <c r="E8" s="2"/>
      <c r="F8" s="2"/>
      <c r="G8" s="3"/>
    </row>
    <row r="9" spans="1:11" ht="46.5" customHeight="1" thickBot="1" x14ac:dyDescent="0.25">
      <c r="A9" s="13" t="s">
        <v>7</v>
      </c>
      <c r="B9" s="12" t="s">
        <v>8</v>
      </c>
      <c r="C9" s="12" t="s">
        <v>9</v>
      </c>
      <c r="D9" s="12" t="s">
        <v>10</v>
      </c>
      <c r="E9" s="34" t="s">
        <v>11</v>
      </c>
      <c r="F9" s="12" t="s">
        <v>12</v>
      </c>
      <c r="G9" s="12" t="s">
        <v>13</v>
      </c>
      <c r="H9" s="20" t="s">
        <v>14</v>
      </c>
      <c r="I9" s="17" t="s">
        <v>15</v>
      </c>
    </row>
    <row r="10" spans="1:11" ht="36.75" thickBot="1" x14ac:dyDescent="0.25">
      <c r="A10" s="7">
        <v>1</v>
      </c>
      <c r="B10" s="8" t="s">
        <v>21</v>
      </c>
      <c r="C10" s="9" t="s">
        <v>16</v>
      </c>
      <c r="D10" s="8" t="s">
        <v>17</v>
      </c>
      <c r="E10" s="9" t="s">
        <v>22</v>
      </c>
      <c r="F10" s="8" t="s">
        <v>115</v>
      </c>
      <c r="G10" s="8">
        <v>400</v>
      </c>
      <c r="H10" s="29">
        <v>1000</v>
      </c>
      <c r="I10" s="27">
        <f>G10*H10</f>
        <v>400000</v>
      </c>
      <c r="J10" s="21"/>
      <c r="K10" s="22"/>
    </row>
    <row r="11" spans="1:11" ht="36.75" thickBot="1" x14ac:dyDescent="0.25">
      <c r="A11" s="7">
        <v>2</v>
      </c>
      <c r="B11" s="8" t="s">
        <v>23</v>
      </c>
      <c r="C11" s="9" t="s">
        <v>16</v>
      </c>
      <c r="D11" s="8" t="s">
        <v>17</v>
      </c>
      <c r="E11" s="9" t="s">
        <v>24</v>
      </c>
      <c r="F11" s="8" t="s">
        <v>115</v>
      </c>
      <c r="G11" s="8">
        <v>400</v>
      </c>
      <c r="H11" s="26">
        <v>1000</v>
      </c>
      <c r="I11" s="30">
        <f t="shared" ref="I11:I37" si="0">G11*H11</f>
        <v>400000</v>
      </c>
      <c r="J11" s="21"/>
      <c r="K11" s="22"/>
    </row>
    <row r="12" spans="1:11" ht="15" thickBot="1" x14ac:dyDescent="0.25">
      <c r="A12" s="7">
        <v>3</v>
      </c>
      <c r="B12" s="8" t="s">
        <v>25</v>
      </c>
      <c r="C12" s="9" t="s">
        <v>16</v>
      </c>
      <c r="D12" s="8" t="s">
        <v>17</v>
      </c>
      <c r="E12" s="9" t="s">
        <v>55</v>
      </c>
      <c r="F12" s="10" t="s">
        <v>115</v>
      </c>
      <c r="G12" s="10">
        <v>5500</v>
      </c>
      <c r="H12" s="29">
        <v>1300</v>
      </c>
      <c r="I12" s="30">
        <f t="shared" si="0"/>
        <v>7150000</v>
      </c>
      <c r="J12" s="33"/>
      <c r="K12" s="22"/>
    </row>
    <row r="13" spans="1:11" ht="24.75" thickBot="1" x14ac:dyDescent="0.25">
      <c r="A13" s="7">
        <v>4</v>
      </c>
      <c r="B13" s="8" t="s">
        <v>26</v>
      </c>
      <c r="C13" s="9" t="s">
        <v>16</v>
      </c>
      <c r="D13" s="8" t="s">
        <v>17</v>
      </c>
      <c r="E13" s="9" t="s">
        <v>27</v>
      </c>
      <c r="F13" s="10" t="s">
        <v>20</v>
      </c>
      <c r="G13" s="10">
        <v>300</v>
      </c>
      <c r="H13" s="29">
        <v>10000</v>
      </c>
      <c r="I13" s="30">
        <f t="shared" si="0"/>
        <v>3000000</v>
      </c>
      <c r="J13" s="21"/>
      <c r="K13" s="22"/>
    </row>
    <row r="14" spans="1:11" ht="13.5" thickBot="1" x14ac:dyDescent="0.25">
      <c r="A14" s="7">
        <v>5</v>
      </c>
      <c r="B14" s="8" t="s">
        <v>46</v>
      </c>
      <c r="C14" s="9" t="s">
        <v>16</v>
      </c>
      <c r="D14" s="8" t="s">
        <v>17</v>
      </c>
      <c r="E14" s="9" t="s">
        <v>47</v>
      </c>
      <c r="F14" s="10" t="s">
        <v>115</v>
      </c>
      <c r="G14" s="10">
        <v>500</v>
      </c>
      <c r="H14" s="29">
        <v>700</v>
      </c>
      <c r="I14" s="30">
        <f t="shared" si="0"/>
        <v>350000</v>
      </c>
      <c r="J14" s="21"/>
      <c r="K14" s="22"/>
    </row>
    <row r="15" spans="1:11" ht="13.5" thickBot="1" x14ac:dyDescent="0.25">
      <c r="A15" s="7">
        <v>6</v>
      </c>
      <c r="B15" s="8" t="s">
        <v>56</v>
      </c>
      <c r="C15" s="9" t="s">
        <v>16</v>
      </c>
      <c r="D15" s="8" t="s">
        <v>17</v>
      </c>
      <c r="E15" s="9" t="s">
        <v>55</v>
      </c>
      <c r="F15" s="10" t="s">
        <v>115</v>
      </c>
      <c r="G15" s="10">
        <v>600</v>
      </c>
      <c r="H15" s="29">
        <v>700</v>
      </c>
      <c r="I15" s="30">
        <f t="shared" si="0"/>
        <v>420000</v>
      </c>
      <c r="J15" s="21"/>
      <c r="K15" s="22"/>
    </row>
    <row r="16" spans="1:11" ht="24.75" thickBot="1" x14ac:dyDescent="0.25">
      <c r="A16" s="7">
        <v>7</v>
      </c>
      <c r="B16" s="8" t="s">
        <v>29</v>
      </c>
      <c r="C16" s="9" t="s">
        <v>16</v>
      </c>
      <c r="D16" s="8" t="s">
        <v>17</v>
      </c>
      <c r="E16" s="9" t="s">
        <v>30</v>
      </c>
      <c r="F16" s="8" t="s">
        <v>19</v>
      </c>
      <c r="G16" s="8">
        <v>800</v>
      </c>
      <c r="H16" s="26">
        <v>1104</v>
      </c>
      <c r="I16" s="30">
        <f t="shared" si="0"/>
        <v>883200</v>
      </c>
    </row>
    <row r="17" spans="1:9" ht="24.75" thickBot="1" x14ac:dyDescent="0.25">
      <c r="A17" s="7">
        <v>8</v>
      </c>
      <c r="B17" s="8" t="s">
        <v>33</v>
      </c>
      <c r="C17" s="9" t="s">
        <v>16</v>
      </c>
      <c r="D17" s="8" t="s">
        <v>17</v>
      </c>
      <c r="E17" s="9" t="s">
        <v>34</v>
      </c>
      <c r="F17" s="8" t="s">
        <v>115</v>
      </c>
      <c r="G17" s="8">
        <v>3500</v>
      </c>
      <c r="H17" s="26">
        <v>96</v>
      </c>
      <c r="I17" s="30">
        <f t="shared" si="0"/>
        <v>336000</v>
      </c>
    </row>
    <row r="18" spans="1:9" ht="36.75" thickBot="1" x14ac:dyDescent="0.25">
      <c r="A18" s="7">
        <v>9</v>
      </c>
      <c r="B18" s="8" t="s">
        <v>35</v>
      </c>
      <c r="C18" s="9" t="s">
        <v>16</v>
      </c>
      <c r="D18" s="8" t="s">
        <v>17</v>
      </c>
      <c r="E18" s="9" t="s">
        <v>36</v>
      </c>
      <c r="F18" s="8" t="s">
        <v>37</v>
      </c>
      <c r="G18" s="8">
        <v>450</v>
      </c>
      <c r="H18" s="26">
        <v>2800</v>
      </c>
      <c r="I18" s="30">
        <f t="shared" si="0"/>
        <v>1260000</v>
      </c>
    </row>
    <row r="19" spans="1:9" ht="24.75" thickBot="1" x14ac:dyDescent="0.25">
      <c r="A19" s="7">
        <v>10</v>
      </c>
      <c r="B19" s="8" t="s">
        <v>59</v>
      </c>
      <c r="C19" s="9" t="s">
        <v>16</v>
      </c>
      <c r="D19" s="8" t="s">
        <v>17</v>
      </c>
      <c r="E19" s="9" t="s">
        <v>60</v>
      </c>
      <c r="F19" s="8" t="s">
        <v>18</v>
      </c>
      <c r="G19" s="8">
        <v>20</v>
      </c>
      <c r="H19" s="26">
        <v>220</v>
      </c>
      <c r="I19" s="30">
        <f t="shared" si="0"/>
        <v>4400</v>
      </c>
    </row>
    <row r="20" spans="1:9" ht="13.5" thickBot="1" x14ac:dyDescent="0.25">
      <c r="A20" s="7">
        <v>11</v>
      </c>
      <c r="B20" s="8" t="s">
        <v>51</v>
      </c>
      <c r="C20" s="9" t="s">
        <v>16</v>
      </c>
      <c r="D20" s="8" t="s">
        <v>17</v>
      </c>
      <c r="E20" s="9" t="s">
        <v>49</v>
      </c>
      <c r="F20" s="8" t="s">
        <v>38</v>
      </c>
      <c r="G20" s="8">
        <v>900</v>
      </c>
      <c r="H20" s="26">
        <v>530</v>
      </c>
      <c r="I20" s="30">
        <f t="shared" si="0"/>
        <v>477000</v>
      </c>
    </row>
    <row r="21" spans="1:9" ht="24.75" thickBot="1" x14ac:dyDescent="0.25">
      <c r="A21" s="7">
        <v>12</v>
      </c>
      <c r="B21" s="8" t="s">
        <v>68</v>
      </c>
      <c r="C21" s="9" t="s">
        <v>16</v>
      </c>
      <c r="D21" s="8" t="s">
        <v>17</v>
      </c>
      <c r="E21" s="9" t="s">
        <v>67</v>
      </c>
      <c r="F21" s="8" t="s">
        <v>73</v>
      </c>
      <c r="G21" s="8">
        <v>50</v>
      </c>
      <c r="H21" s="26">
        <v>1800</v>
      </c>
      <c r="I21" s="30">
        <f t="shared" si="0"/>
        <v>90000</v>
      </c>
    </row>
    <row r="22" spans="1:9" ht="24.75" thickBot="1" x14ac:dyDescent="0.25">
      <c r="A22" s="7">
        <v>13</v>
      </c>
      <c r="B22" s="8" t="s">
        <v>39</v>
      </c>
      <c r="C22" s="9" t="s">
        <v>16</v>
      </c>
      <c r="D22" s="8" t="s">
        <v>17</v>
      </c>
      <c r="E22" s="9" t="s">
        <v>40</v>
      </c>
      <c r="F22" s="8" t="s">
        <v>41</v>
      </c>
      <c r="G22" s="8">
        <v>1500</v>
      </c>
      <c r="H22" s="26">
        <v>45</v>
      </c>
      <c r="I22" s="30">
        <f t="shared" si="0"/>
        <v>67500</v>
      </c>
    </row>
    <row r="23" spans="1:9" ht="28.5" customHeight="1" thickBot="1" x14ac:dyDescent="0.25">
      <c r="A23" s="7">
        <v>14</v>
      </c>
      <c r="B23" s="8" t="s">
        <v>42</v>
      </c>
      <c r="C23" s="9" t="s">
        <v>16</v>
      </c>
      <c r="D23" s="8" t="s">
        <v>17</v>
      </c>
      <c r="E23" s="9" t="s">
        <v>43</v>
      </c>
      <c r="F23" s="8" t="s">
        <v>19</v>
      </c>
      <c r="G23" s="8">
        <v>800</v>
      </c>
      <c r="H23" s="26">
        <v>1380</v>
      </c>
      <c r="I23" s="30">
        <f t="shared" si="0"/>
        <v>1104000</v>
      </c>
    </row>
    <row r="24" spans="1:9" ht="28.5" customHeight="1" thickBot="1" x14ac:dyDescent="0.25">
      <c r="A24" s="7">
        <v>15</v>
      </c>
      <c r="B24" s="8" t="s">
        <v>70</v>
      </c>
      <c r="C24" s="9" t="s">
        <v>16</v>
      </c>
      <c r="D24" s="8" t="s">
        <v>17</v>
      </c>
      <c r="E24" s="9" t="s">
        <v>69</v>
      </c>
      <c r="F24" s="8" t="s">
        <v>41</v>
      </c>
      <c r="G24" s="8">
        <v>60</v>
      </c>
      <c r="H24" s="26">
        <v>45</v>
      </c>
      <c r="I24" s="30">
        <f t="shared" si="0"/>
        <v>2700</v>
      </c>
    </row>
    <row r="25" spans="1:9" ht="24.75" thickBot="1" x14ac:dyDescent="0.25">
      <c r="A25" s="7">
        <v>16</v>
      </c>
      <c r="B25" s="8" t="s">
        <v>53</v>
      </c>
      <c r="C25" s="9" t="s">
        <v>16</v>
      </c>
      <c r="D25" s="8" t="s">
        <v>17</v>
      </c>
      <c r="E25" s="9" t="s">
        <v>54</v>
      </c>
      <c r="F25" s="8" t="s">
        <v>37</v>
      </c>
      <c r="G25" s="8">
        <v>350</v>
      </c>
      <c r="H25" s="26">
        <v>1800</v>
      </c>
      <c r="I25" s="30">
        <f t="shared" si="0"/>
        <v>630000</v>
      </c>
    </row>
    <row r="26" spans="1:9" ht="24.75" thickBot="1" x14ac:dyDescent="0.25">
      <c r="A26" s="7">
        <v>17</v>
      </c>
      <c r="B26" s="8" t="s">
        <v>44</v>
      </c>
      <c r="C26" s="9" t="s">
        <v>16</v>
      </c>
      <c r="D26" s="8" t="s">
        <v>17</v>
      </c>
      <c r="E26" s="9" t="s">
        <v>45</v>
      </c>
      <c r="F26" s="8" t="s">
        <v>19</v>
      </c>
      <c r="G26" s="8">
        <v>1000</v>
      </c>
      <c r="H26" s="26">
        <v>1300</v>
      </c>
      <c r="I26" s="30">
        <f t="shared" si="0"/>
        <v>1300000</v>
      </c>
    </row>
    <row r="27" spans="1:9" ht="24.75" thickBot="1" x14ac:dyDescent="0.25">
      <c r="A27" s="7">
        <v>18</v>
      </c>
      <c r="B27" s="8" t="s">
        <v>65</v>
      </c>
      <c r="C27" s="9" t="s">
        <v>16</v>
      </c>
      <c r="D27" s="8" t="s">
        <v>17</v>
      </c>
      <c r="E27" s="9" t="s">
        <v>66</v>
      </c>
      <c r="F27" s="8" t="s">
        <v>19</v>
      </c>
      <c r="G27" s="8">
        <v>80</v>
      </c>
      <c r="H27" s="26">
        <v>930</v>
      </c>
      <c r="I27" s="30">
        <f t="shared" si="0"/>
        <v>74400</v>
      </c>
    </row>
    <row r="28" spans="1:9" ht="24.75" thickBot="1" x14ac:dyDescent="0.25">
      <c r="A28" s="7">
        <v>19</v>
      </c>
      <c r="B28" s="8" t="s">
        <v>75</v>
      </c>
      <c r="C28" s="9" t="s">
        <v>16</v>
      </c>
      <c r="D28" s="8" t="s">
        <v>17</v>
      </c>
      <c r="E28" s="9" t="s">
        <v>74</v>
      </c>
      <c r="F28" s="8" t="s">
        <v>115</v>
      </c>
      <c r="G28" s="8">
        <v>200</v>
      </c>
      <c r="H28" s="26">
        <v>1320</v>
      </c>
      <c r="I28" s="30">
        <f t="shared" si="0"/>
        <v>264000</v>
      </c>
    </row>
    <row r="29" spans="1:9" ht="24.75" thickBot="1" x14ac:dyDescent="0.25">
      <c r="A29" s="7">
        <v>20</v>
      </c>
      <c r="B29" s="8" t="s">
        <v>72</v>
      </c>
      <c r="C29" s="9" t="s">
        <v>16</v>
      </c>
      <c r="D29" s="8" t="s">
        <v>17</v>
      </c>
      <c r="E29" s="9" t="s">
        <v>71</v>
      </c>
      <c r="F29" s="8" t="s">
        <v>41</v>
      </c>
      <c r="G29" s="8">
        <v>60</v>
      </c>
      <c r="H29" s="26">
        <v>280</v>
      </c>
      <c r="I29" s="30">
        <f t="shared" si="0"/>
        <v>16800</v>
      </c>
    </row>
    <row r="30" spans="1:9" ht="24.75" thickBot="1" x14ac:dyDescent="0.25">
      <c r="A30" s="7">
        <v>21</v>
      </c>
      <c r="B30" s="8" t="s">
        <v>62</v>
      </c>
      <c r="C30" s="9" t="s">
        <v>16</v>
      </c>
      <c r="D30" s="8" t="s">
        <v>17</v>
      </c>
      <c r="E30" s="9" t="s">
        <v>61</v>
      </c>
      <c r="F30" s="8" t="s">
        <v>37</v>
      </c>
      <c r="G30" s="8">
        <v>200</v>
      </c>
      <c r="H30" s="26">
        <v>2960</v>
      </c>
      <c r="I30" s="30">
        <f t="shared" si="0"/>
        <v>592000</v>
      </c>
    </row>
    <row r="31" spans="1:9" ht="24.75" thickBot="1" x14ac:dyDescent="0.25">
      <c r="A31" s="7">
        <v>22</v>
      </c>
      <c r="B31" s="8" t="s">
        <v>52</v>
      </c>
      <c r="C31" s="9" t="s">
        <v>16</v>
      </c>
      <c r="D31" s="8" t="s">
        <v>17</v>
      </c>
      <c r="E31" s="9" t="s">
        <v>50</v>
      </c>
      <c r="F31" s="11" t="s">
        <v>19</v>
      </c>
      <c r="G31" s="11">
        <v>230</v>
      </c>
      <c r="H31" s="26">
        <v>1180</v>
      </c>
      <c r="I31" s="30">
        <f t="shared" si="0"/>
        <v>271400</v>
      </c>
    </row>
    <row r="32" spans="1:9" ht="24.75" thickBot="1" x14ac:dyDescent="0.25">
      <c r="A32" s="7">
        <v>23</v>
      </c>
      <c r="B32" s="8" t="s">
        <v>64</v>
      </c>
      <c r="C32" s="9" t="s">
        <v>16</v>
      </c>
      <c r="D32" s="8" t="s">
        <v>17</v>
      </c>
      <c r="E32" s="9" t="s">
        <v>63</v>
      </c>
      <c r="F32" s="24" t="s">
        <v>37</v>
      </c>
      <c r="G32" s="24">
        <v>100</v>
      </c>
      <c r="H32" s="28">
        <v>2750</v>
      </c>
      <c r="I32" s="30">
        <f t="shared" si="0"/>
        <v>275000</v>
      </c>
    </row>
    <row r="33" spans="1:9" ht="24.75" thickBot="1" x14ac:dyDescent="0.25">
      <c r="A33" s="7">
        <v>24</v>
      </c>
      <c r="B33" s="8" t="s">
        <v>58</v>
      </c>
      <c r="C33" s="9" t="s">
        <v>16</v>
      </c>
      <c r="D33" s="8" t="s">
        <v>17</v>
      </c>
      <c r="E33" s="9" t="s">
        <v>57</v>
      </c>
      <c r="F33" s="24" t="s">
        <v>37</v>
      </c>
      <c r="G33" s="24">
        <v>100</v>
      </c>
      <c r="H33" s="28">
        <v>3510</v>
      </c>
      <c r="I33" s="30">
        <f t="shared" si="0"/>
        <v>351000</v>
      </c>
    </row>
    <row r="34" spans="1:9" ht="13.5" thickBot="1" x14ac:dyDescent="0.25">
      <c r="A34" s="7">
        <v>25</v>
      </c>
      <c r="B34" s="8" t="s">
        <v>28</v>
      </c>
      <c r="C34" s="9" t="s">
        <v>16</v>
      </c>
      <c r="D34" s="8" t="s">
        <v>17</v>
      </c>
      <c r="E34" s="9" t="s">
        <v>93</v>
      </c>
      <c r="F34" s="23" t="s">
        <v>115</v>
      </c>
      <c r="G34" s="23">
        <v>500</v>
      </c>
      <c r="H34" s="28">
        <v>850</v>
      </c>
      <c r="I34" s="30">
        <f t="shared" si="0"/>
        <v>425000</v>
      </c>
    </row>
    <row r="35" spans="1:9" ht="24.75" thickBot="1" x14ac:dyDescent="0.25">
      <c r="A35" s="7">
        <v>26</v>
      </c>
      <c r="B35" s="8" t="s">
        <v>78</v>
      </c>
      <c r="C35" s="9" t="s">
        <v>16</v>
      </c>
      <c r="D35" s="8" t="s">
        <v>17</v>
      </c>
      <c r="E35" s="9" t="s">
        <v>76</v>
      </c>
      <c r="F35" s="25" t="s">
        <v>80</v>
      </c>
      <c r="G35" s="25">
        <v>350</v>
      </c>
      <c r="H35" s="28">
        <v>250</v>
      </c>
      <c r="I35" s="30">
        <f t="shared" si="0"/>
        <v>87500</v>
      </c>
    </row>
    <row r="36" spans="1:9" ht="24.75" thickBot="1" x14ac:dyDescent="0.25">
      <c r="A36" s="7">
        <v>27</v>
      </c>
      <c r="B36" s="8" t="s">
        <v>79</v>
      </c>
      <c r="C36" s="9" t="s">
        <v>16</v>
      </c>
      <c r="D36" s="8" t="s">
        <v>17</v>
      </c>
      <c r="E36" s="9" t="s">
        <v>77</v>
      </c>
      <c r="F36" s="25" t="s">
        <v>80</v>
      </c>
      <c r="G36" s="25">
        <v>350</v>
      </c>
      <c r="H36" s="28">
        <v>250</v>
      </c>
      <c r="I36" s="30">
        <f t="shared" si="0"/>
        <v>87500</v>
      </c>
    </row>
    <row r="37" spans="1:9" ht="24.75" thickBot="1" x14ac:dyDescent="0.25">
      <c r="A37" s="7">
        <v>28</v>
      </c>
      <c r="B37" s="8" t="s">
        <v>31</v>
      </c>
      <c r="C37" s="9" t="s">
        <v>16</v>
      </c>
      <c r="D37" s="8" t="s">
        <v>17</v>
      </c>
      <c r="E37" s="9" t="s">
        <v>32</v>
      </c>
      <c r="F37" s="8" t="s">
        <v>115</v>
      </c>
      <c r="G37" s="8">
        <v>900</v>
      </c>
      <c r="H37" s="26">
        <v>72</v>
      </c>
      <c r="I37" s="30">
        <f t="shared" si="0"/>
        <v>64800</v>
      </c>
    </row>
    <row r="38" spans="1:9" s="14" customFormat="1" ht="13.5" thickBot="1" x14ac:dyDescent="0.25">
      <c r="A38" s="78" t="s">
        <v>48</v>
      </c>
      <c r="B38" s="79"/>
      <c r="C38" s="79"/>
      <c r="D38" s="79"/>
      <c r="E38" s="79"/>
      <c r="F38" s="79"/>
      <c r="G38" s="79"/>
      <c r="H38" s="80"/>
      <c r="I38" s="18">
        <f>SUM(I10:I37)</f>
        <v>20384200</v>
      </c>
    </row>
    <row r="40" spans="1:9" x14ac:dyDescent="0.2">
      <c r="C40" s="81" t="s">
        <v>81</v>
      </c>
      <c r="D40" s="81"/>
      <c r="E40" s="81"/>
      <c r="F40" s="32"/>
    </row>
    <row r="41" spans="1:9" x14ac:dyDescent="0.2">
      <c r="C41" s="82" t="s">
        <v>82</v>
      </c>
      <c r="D41" s="74" t="s">
        <v>92</v>
      </c>
      <c r="E41" s="75"/>
      <c r="F41" s="32"/>
    </row>
    <row r="42" spans="1:9" x14ac:dyDescent="0.2">
      <c r="C42" s="82"/>
      <c r="D42" s="75"/>
      <c r="E42" s="75"/>
      <c r="F42" s="32"/>
    </row>
    <row r="43" spans="1:9" x14ac:dyDescent="0.2">
      <c r="C43" s="82"/>
      <c r="D43" s="75"/>
      <c r="E43" s="75"/>
      <c r="F43" s="32"/>
    </row>
    <row r="44" spans="1:9" ht="102.75" customHeight="1" x14ac:dyDescent="0.2">
      <c r="C44" s="82"/>
      <c r="D44" s="75"/>
      <c r="E44" s="75"/>
      <c r="F44" s="6"/>
    </row>
    <row r="45" spans="1:9" x14ac:dyDescent="0.2">
      <c r="C45" s="83" t="s">
        <v>83</v>
      </c>
      <c r="D45" s="84" t="s">
        <v>91</v>
      </c>
      <c r="E45" s="84"/>
    </row>
    <row r="46" spans="1:9" x14ac:dyDescent="0.2">
      <c r="C46" s="83"/>
      <c r="D46" s="84"/>
      <c r="E46" s="84"/>
    </row>
    <row r="47" spans="1:9" x14ac:dyDescent="0.2">
      <c r="C47" s="83"/>
      <c r="D47" s="84"/>
      <c r="E47" s="84"/>
    </row>
    <row r="48" spans="1:9" x14ac:dyDescent="0.2">
      <c r="C48" s="83"/>
      <c r="D48" s="84"/>
      <c r="E48" s="84"/>
    </row>
    <row r="49" spans="3:5" x14ac:dyDescent="0.2">
      <c r="C49" s="83"/>
      <c r="D49" s="84"/>
      <c r="E49" s="84"/>
    </row>
    <row r="50" spans="3:5" x14ac:dyDescent="0.2">
      <c r="C50" s="83"/>
      <c r="D50" s="84"/>
      <c r="E50" s="84"/>
    </row>
    <row r="51" spans="3:5" x14ac:dyDescent="0.2">
      <c r="C51" s="83"/>
      <c r="D51" s="84"/>
      <c r="E51" s="84"/>
    </row>
    <row r="52" spans="3:5" x14ac:dyDescent="0.2">
      <c r="C52" s="83"/>
      <c r="D52" s="84"/>
      <c r="E52" s="84"/>
    </row>
    <row r="53" spans="3:5" ht="12.75" customHeight="1" x14ac:dyDescent="0.2">
      <c r="C53" s="31" t="s">
        <v>84</v>
      </c>
      <c r="D53" s="76" t="s">
        <v>85</v>
      </c>
      <c r="E53" s="76"/>
    </row>
    <row r="54" spans="3:5" ht="12.75" customHeight="1" x14ac:dyDescent="0.2">
      <c r="C54" s="31" t="s">
        <v>86</v>
      </c>
      <c r="D54" s="76" t="s">
        <v>87</v>
      </c>
      <c r="E54" s="76"/>
    </row>
    <row r="55" spans="3:5" x14ac:dyDescent="0.2">
      <c r="C55" s="31" t="s">
        <v>88</v>
      </c>
      <c r="D55" s="76" t="s">
        <v>89</v>
      </c>
      <c r="E55" s="76"/>
    </row>
    <row r="56" spans="3:5" x14ac:dyDescent="0.2">
      <c r="C56" s="31" t="s">
        <v>90</v>
      </c>
      <c r="D56" s="76"/>
      <c r="E56" s="76"/>
    </row>
    <row r="71" ht="12.75" customHeight="1" x14ac:dyDescent="0.2"/>
    <row r="74" ht="12.75" customHeight="1" x14ac:dyDescent="0.2"/>
    <row r="77" ht="13.5" customHeight="1" x14ac:dyDescent="0.2"/>
    <row r="78" ht="18" customHeight="1" x14ac:dyDescent="0.2"/>
    <row r="80" ht="17.25" customHeight="1" x14ac:dyDescent="0.2"/>
    <row r="85" ht="12.75" customHeight="1" x14ac:dyDescent="0.2"/>
    <row r="95" ht="12.75" customHeight="1" x14ac:dyDescent="0.2"/>
    <row r="105" ht="12.75" customHeight="1" x14ac:dyDescent="0.2"/>
    <row r="114" ht="12.75" customHeight="1" x14ac:dyDescent="0.2"/>
    <row r="116" ht="12.75" customHeight="1" x14ac:dyDescent="0.2"/>
    <row r="122" ht="12.75" customHeight="1" x14ac:dyDescent="0.2"/>
    <row r="132" ht="12.75" customHeight="1" x14ac:dyDescent="0.2"/>
    <row r="137" ht="12.75" customHeight="1" x14ac:dyDescent="0.2"/>
    <row r="149" ht="12.75" customHeight="1" x14ac:dyDescent="0.2"/>
    <row r="150" ht="13.5" customHeight="1" x14ac:dyDescent="0.2"/>
    <row r="158" ht="12.75" customHeight="1" x14ac:dyDescent="0.2"/>
    <row r="173" ht="12.75" customHeight="1" x14ac:dyDescent="0.2"/>
    <row r="177" spans="2:2" ht="12.75" customHeight="1" x14ac:dyDescent="0.2"/>
    <row r="178" spans="2:2" x14ac:dyDescent="0.2">
      <c r="B178" s="6"/>
    </row>
    <row r="179" spans="2:2" ht="12.75" customHeight="1" x14ac:dyDescent="0.2">
      <c r="B179" s="6"/>
    </row>
    <row r="180" spans="2:2" x14ac:dyDescent="0.2">
      <c r="B180" s="6"/>
    </row>
    <row r="181" spans="2:2" ht="12.75" customHeight="1" x14ac:dyDescent="0.2">
      <c r="B181" s="6"/>
    </row>
    <row r="182" spans="2:2" x14ac:dyDescent="0.2">
      <c r="B182" s="6"/>
    </row>
    <row r="183" spans="2:2" x14ac:dyDescent="0.2">
      <c r="B183" s="15"/>
    </row>
    <row r="184" spans="2:2" x14ac:dyDescent="0.2">
      <c r="B184" s="15"/>
    </row>
    <row r="185" spans="2:2" x14ac:dyDescent="0.2">
      <c r="B185" s="6"/>
    </row>
    <row r="186" spans="2:2" x14ac:dyDescent="0.2">
      <c r="B186" s="6"/>
    </row>
    <row r="187" spans="2:2" x14ac:dyDescent="0.2">
      <c r="B187" s="6"/>
    </row>
    <row r="188" spans="2:2" x14ac:dyDescent="0.2">
      <c r="B188" s="6"/>
    </row>
    <row r="189" spans="2:2" x14ac:dyDescent="0.2">
      <c r="B189" s="6"/>
    </row>
    <row r="190" spans="2:2" x14ac:dyDescent="0.2">
      <c r="B190" s="6"/>
    </row>
    <row r="191" spans="2:2" x14ac:dyDescent="0.2">
      <c r="B191" s="6"/>
    </row>
    <row r="200" ht="12.75" customHeight="1" x14ac:dyDescent="0.2"/>
    <row r="207" ht="12.75" customHeight="1" x14ac:dyDescent="0.2"/>
    <row r="219" ht="12.75" customHeight="1" x14ac:dyDescent="0.2"/>
    <row r="221" ht="12.75" customHeight="1" x14ac:dyDescent="0.2"/>
    <row r="242" ht="12.75" customHeight="1" x14ac:dyDescent="0.2"/>
    <row r="263" ht="12.75" customHeight="1" x14ac:dyDescent="0.2"/>
    <row r="284" ht="12.75" customHeight="1" x14ac:dyDescent="0.2"/>
  </sheetData>
  <mergeCells count="17">
    <mergeCell ref="B2:H2"/>
    <mergeCell ref="A4:B4"/>
    <mergeCell ref="C4:E4"/>
    <mergeCell ref="A5:B5"/>
    <mergeCell ref="C5:E5"/>
    <mergeCell ref="D41:E44"/>
    <mergeCell ref="D55:E55"/>
    <mergeCell ref="D56:E56"/>
    <mergeCell ref="A7:B7"/>
    <mergeCell ref="A6:B6"/>
    <mergeCell ref="A38:H38"/>
    <mergeCell ref="C40:E40"/>
    <mergeCell ref="C41:C44"/>
    <mergeCell ref="C45:C52"/>
    <mergeCell ref="D45:E52"/>
    <mergeCell ref="D53:E53"/>
    <mergeCell ref="D54:E54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794-02B4-49CB-A76D-FC2559BFEC8D}">
  <dimension ref="A1:AMK40"/>
  <sheetViews>
    <sheetView zoomScale="90" zoomScaleNormal="90" workbookViewId="0">
      <selection activeCell="C25" sqref="C25:G25"/>
    </sheetView>
  </sheetViews>
  <sheetFormatPr baseColWidth="10" defaultColWidth="9.140625" defaultRowHeight="15" x14ac:dyDescent="0.25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39.42578125" style="37" customWidth="1"/>
    <col min="8" max="8" width="9.28515625" style="37" customWidth="1"/>
    <col min="9" max="9" width="10.140625" style="37" customWidth="1"/>
    <col min="10" max="10" width="11.28515625" style="37" customWidth="1"/>
    <col min="11" max="11" width="15.5703125" style="37" customWidth="1"/>
    <col min="12" max="14" width="5.85546875" style="37" customWidth="1"/>
    <col min="15" max="15" width="12.5703125" style="37" customWidth="1"/>
    <col min="16" max="1025" width="9.140625" style="37"/>
    <col min="1026" max="16384" width="9.140625" style="38"/>
  </cols>
  <sheetData>
    <row r="1" spans="1:11" ht="16.5" thickBot="1" x14ac:dyDescent="0.3">
      <c r="A1" s="99" t="s">
        <v>94</v>
      </c>
      <c r="B1" s="99"/>
      <c r="C1" s="99"/>
      <c r="D1" s="99"/>
      <c r="E1" s="99"/>
      <c r="F1" s="99"/>
      <c r="G1" s="99"/>
      <c r="H1" s="99"/>
      <c r="I1" s="99"/>
      <c r="J1" s="35" t="s">
        <v>95</v>
      </c>
      <c r="K1" s="36"/>
    </row>
    <row r="2" spans="1:11" ht="16.5" thickBot="1" x14ac:dyDescent="0.3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6.5" thickBot="1" x14ac:dyDescent="0.3">
      <c r="A3" s="94" t="s">
        <v>96</v>
      </c>
      <c r="B3" s="94"/>
      <c r="C3" s="94"/>
      <c r="D3" s="95" t="str">
        <f>'Necesidades Trimestrales'!C4</f>
        <v>90 - MINISTERIO DE SEGURIDAD</v>
      </c>
      <c r="E3" s="95"/>
      <c r="F3" s="95"/>
      <c r="G3" s="95"/>
      <c r="H3" s="95"/>
      <c r="I3" s="95"/>
      <c r="J3" s="95"/>
      <c r="K3" s="95"/>
    </row>
    <row r="4" spans="1:11" ht="16.5" thickBot="1" x14ac:dyDescent="0.3">
      <c r="A4" s="96" t="s">
        <v>97</v>
      </c>
      <c r="B4" s="96"/>
      <c r="C4" s="96"/>
      <c r="D4" s="95" t="str">
        <f>'Necesidades Trimestrales'!C5</f>
        <v>8 - DIRECCION GENERAL SERVICIO PENITENCIARIO PROVINCIAL</v>
      </c>
      <c r="E4" s="95"/>
      <c r="F4" s="95"/>
      <c r="G4" s="95"/>
      <c r="H4" s="95"/>
      <c r="I4" s="95"/>
      <c r="J4" s="95"/>
      <c r="K4" s="95"/>
    </row>
    <row r="5" spans="1:11" ht="16.5" thickBot="1" x14ac:dyDescent="0.3">
      <c r="A5" s="96" t="s">
        <v>98</v>
      </c>
      <c r="B5" s="96"/>
      <c r="C5" s="96"/>
      <c r="D5" s="95" t="s">
        <v>99</v>
      </c>
      <c r="E5" s="95"/>
      <c r="F5" s="95"/>
      <c r="G5" s="95"/>
      <c r="H5" s="95"/>
      <c r="I5" s="95"/>
      <c r="J5" s="95"/>
      <c r="K5" s="95"/>
    </row>
    <row r="6" spans="1:11" ht="16.5" thickBot="1" x14ac:dyDescent="0.3">
      <c r="A6" s="94" t="s">
        <v>100</v>
      </c>
      <c r="B6" s="94"/>
      <c r="C6" s="94"/>
      <c r="D6" s="95" t="s">
        <v>101</v>
      </c>
      <c r="E6" s="95"/>
      <c r="F6" s="95"/>
      <c r="G6" s="95"/>
      <c r="H6" s="95"/>
      <c r="I6" s="95"/>
      <c r="J6" s="95"/>
      <c r="K6" s="95"/>
    </row>
    <row r="7" spans="1:11" ht="16.5" thickBot="1" x14ac:dyDescent="0.3">
      <c r="A7" s="96" t="s">
        <v>102</v>
      </c>
      <c r="B7" s="96"/>
      <c r="C7" s="96"/>
      <c r="D7" s="95" t="s">
        <v>103</v>
      </c>
      <c r="E7" s="95"/>
      <c r="F7" s="95"/>
      <c r="G7" s="95"/>
      <c r="H7" s="95"/>
      <c r="I7" s="95"/>
      <c r="J7" s="95"/>
      <c r="K7" s="95"/>
    </row>
    <row r="8" spans="1:11" ht="16.5" thickBot="1" x14ac:dyDescent="0.3">
      <c r="A8" s="97" t="s">
        <v>104</v>
      </c>
      <c r="B8" s="97"/>
      <c r="C8" s="97"/>
      <c r="D8" s="98" t="s">
        <v>105</v>
      </c>
      <c r="E8" s="98"/>
      <c r="F8" s="98"/>
      <c r="G8" s="98"/>
      <c r="H8" s="98"/>
      <c r="I8" s="98"/>
      <c r="J8" s="98"/>
      <c r="K8" s="98"/>
    </row>
    <row r="9" spans="1:11" ht="16.5" thickBot="1" x14ac:dyDescent="0.3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thickBot="1" x14ac:dyDescent="0.3">
      <c r="A10" s="93" t="s">
        <v>106</v>
      </c>
      <c r="B10" s="92" t="s">
        <v>107</v>
      </c>
      <c r="C10" s="92" t="s">
        <v>108</v>
      </c>
      <c r="D10" s="92"/>
      <c r="E10" s="92"/>
      <c r="F10" s="92"/>
      <c r="G10" s="92"/>
      <c r="H10" s="92" t="s">
        <v>109</v>
      </c>
      <c r="I10" s="92" t="s">
        <v>110</v>
      </c>
      <c r="J10" s="92" t="s">
        <v>111</v>
      </c>
      <c r="K10" s="91" t="s">
        <v>112</v>
      </c>
    </row>
    <row r="11" spans="1:11" ht="24" customHeight="1" thickBot="1" x14ac:dyDescent="0.3">
      <c r="A11" s="93"/>
      <c r="B11" s="92"/>
      <c r="C11" s="92"/>
      <c r="D11" s="92"/>
      <c r="E11" s="92"/>
      <c r="F11" s="92"/>
      <c r="G11" s="92"/>
      <c r="H11" s="92"/>
      <c r="I11" s="92"/>
      <c r="J11" s="92"/>
      <c r="K11" s="91"/>
    </row>
    <row r="12" spans="1:11" ht="47.25" customHeight="1" thickBot="1" x14ac:dyDescent="0.3">
      <c r="A12" s="72">
        <f>'Necesidades Trimestrales'!A10</f>
        <v>1</v>
      </c>
      <c r="B12" s="43" t="str">
        <f>'Necesidades Trimestrales'!B10</f>
        <v>2.1.1-542.236</v>
      </c>
      <c r="C12" s="89" t="str">
        <f>'Necesidades Trimestrales'!E10</f>
        <v>QUESOS; TIPO: CREMOSO, PRESENTACION: AL PESO, ELEM. TRANSPORTE: SIN, MATERIAL ELEM. TRANSPORTE: SIN, MATERIAL ENVASE: SIN, CERTIFICADO FORESTAL (GFS): SIN, LIBRE DE GLUTEN: A DEFINIR</v>
      </c>
      <c r="D12" s="89"/>
      <c r="E12" s="89"/>
      <c r="F12" s="89"/>
      <c r="G12" s="89"/>
      <c r="H12" s="72" t="s">
        <v>113</v>
      </c>
      <c r="I12" s="44" t="str">
        <f>'Necesidades Trimestrales'!F10</f>
        <v>KILO</v>
      </c>
      <c r="J12" s="45">
        <f>'Necesidades Trimestrales'!H10</f>
        <v>1000</v>
      </c>
      <c r="K12" s="73">
        <f>'Necesidades Trimestrales'!G10</f>
        <v>400</v>
      </c>
    </row>
    <row r="13" spans="1:11" ht="32.25" customHeight="1" thickBot="1" x14ac:dyDescent="0.3">
      <c r="A13" s="72">
        <f>'Necesidades Trimestrales'!A11</f>
        <v>2</v>
      </c>
      <c r="B13" s="43" t="str">
        <f>'Necesidades Trimestrales'!B11</f>
        <v>2.1.1-542.235</v>
      </c>
      <c r="C13" s="89" t="str">
        <f>'Necesidades Trimestrales'!E11</f>
        <v>QUESOS; TIPO: PORT SALUT, PRESENTACION: AL PESO, ELEM. TRANSPORTE: SIN, MATERIAL ELEM. TRANSPORTE: SIN, MATERIAL ENVASE: SIN, CERTIFICADO FORESTAL (GFS): SIN, LIBRE DE GLUTEN: A DEFINIR</v>
      </c>
      <c r="D13" s="89"/>
      <c r="E13" s="89"/>
      <c r="F13" s="89"/>
      <c r="G13" s="89"/>
      <c r="H13" s="72" t="s">
        <v>113</v>
      </c>
      <c r="I13" s="44" t="str">
        <f>'Necesidades Trimestrales'!F11</f>
        <v>KILO</v>
      </c>
      <c r="J13" s="45">
        <f>'Necesidades Trimestrales'!H11</f>
        <v>1000</v>
      </c>
      <c r="K13" s="73">
        <f>'Necesidades Trimestrales'!G11</f>
        <v>400</v>
      </c>
    </row>
    <row r="14" spans="1:11" ht="15.75" thickBot="1" x14ac:dyDescent="0.3">
      <c r="A14" s="72">
        <f>'Necesidades Trimestrales'!A12</f>
        <v>3</v>
      </c>
      <c r="B14" s="43" t="str">
        <f>'Necesidades Trimestrales'!B12</f>
        <v>2.1.1-541.18</v>
      </c>
      <c r="C14" s="89" t="str">
        <f>'Necesidades Trimestrales'!E12</f>
        <v>CARNES; CORTE: HIGADO, ESPECIE: VACUNA, TIPO: VACUNA</v>
      </c>
      <c r="D14" s="89"/>
      <c r="E14" s="89"/>
      <c r="F14" s="89"/>
      <c r="G14" s="89"/>
      <c r="H14" s="72" t="s">
        <v>113</v>
      </c>
      <c r="I14" s="44" t="str">
        <f>'Necesidades Trimestrales'!F12</f>
        <v>KILO</v>
      </c>
      <c r="J14" s="45">
        <f>'Necesidades Trimestrales'!H12</f>
        <v>1300</v>
      </c>
      <c r="K14" s="73">
        <f>'Necesidades Trimestrales'!G12</f>
        <v>5500</v>
      </c>
    </row>
    <row r="15" spans="1:11" ht="31.5" customHeight="1" thickBot="1" x14ac:dyDescent="0.3">
      <c r="A15" s="72">
        <f>'Necesidades Trimestrales'!A13</f>
        <v>4</v>
      </c>
      <c r="B15" s="43" t="str">
        <f>'Necesidades Trimestrales'!B13</f>
        <v>2.1.1-621.20</v>
      </c>
      <c r="C15" s="89" t="str">
        <f>'Necesidades Trimestrales'!E13</f>
        <v>AVES; TIPO: POLLO, PRESENTACION: CAJA X 22 Kg, EVISCERADO: SI, ELEM. TRANSPORTE: SIN, MATERIAL ELEM. TRANSPORTE: SIN, LIBRE DE GLUTEN: SIN VALOR</v>
      </c>
      <c r="D15" s="89"/>
      <c r="E15" s="89"/>
      <c r="F15" s="89"/>
      <c r="G15" s="89"/>
      <c r="H15" s="72" t="s">
        <v>113</v>
      </c>
      <c r="I15" s="44" t="str">
        <f>'Necesidades Trimestrales'!F13</f>
        <v>CAJA</v>
      </c>
      <c r="J15" s="45">
        <f>'Necesidades Trimestrales'!H13</f>
        <v>10000</v>
      </c>
      <c r="K15" s="73">
        <f>'Necesidades Trimestrales'!G13</f>
        <v>300</v>
      </c>
    </row>
    <row r="16" spans="1:11" ht="15.75" customHeight="1" thickBot="1" x14ac:dyDescent="0.3">
      <c r="A16" s="72">
        <f>'Necesidades Trimestrales'!A14</f>
        <v>5</v>
      </c>
      <c r="B16" s="43" t="str">
        <f>'Necesidades Trimestrales'!B14</f>
        <v>2.1.1-541.59</v>
      </c>
      <c r="C16" s="89" t="str">
        <f>'Necesidades Trimestrales'!E14</f>
        <v>CARNES; ESPECIE: VACUNA, CORTE: MONDONGO, TIPO: VACUNA</v>
      </c>
      <c r="D16" s="89"/>
      <c r="E16" s="89"/>
      <c r="F16" s="89"/>
      <c r="G16" s="89"/>
      <c r="H16" s="72" t="s">
        <v>113</v>
      </c>
      <c r="I16" s="44" t="str">
        <f>'Necesidades Trimestrales'!F14</f>
        <v>KILO</v>
      </c>
      <c r="J16" s="45">
        <f>'Necesidades Trimestrales'!H14</f>
        <v>700</v>
      </c>
      <c r="K16" s="73">
        <f>'Necesidades Trimestrales'!G14</f>
        <v>500</v>
      </c>
    </row>
    <row r="17" spans="1:11" ht="15.75" customHeight="1" thickBot="1" x14ac:dyDescent="0.3">
      <c r="A17" s="72">
        <f>'Necesidades Trimestrales'!A15</f>
        <v>6</v>
      </c>
      <c r="B17" s="43" t="str">
        <f>'Necesidades Trimestrales'!B15</f>
        <v>2.1.1-541.45</v>
      </c>
      <c r="C17" s="89" t="str">
        <f>'Necesidades Trimestrales'!E15</f>
        <v>CARNES; CORTE: HIGADO, ESPECIE: VACUNA, TIPO: VACUNA</v>
      </c>
      <c r="D17" s="89"/>
      <c r="E17" s="89"/>
      <c r="F17" s="89"/>
      <c r="G17" s="89"/>
      <c r="H17" s="72" t="s">
        <v>113</v>
      </c>
      <c r="I17" s="44" t="str">
        <f>'Necesidades Trimestrales'!F15</f>
        <v>KILO</v>
      </c>
      <c r="J17" s="45">
        <f>'Necesidades Trimestrales'!H15</f>
        <v>700</v>
      </c>
      <c r="K17" s="73">
        <f>'Necesidades Trimestrales'!G15</f>
        <v>600</v>
      </c>
    </row>
    <row r="18" spans="1:11" ht="31.5" customHeight="1" thickBot="1" x14ac:dyDescent="0.3">
      <c r="A18" s="72">
        <f>'Necesidades Trimestrales'!A16</f>
        <v>7</v>
      </c>
      <c r="B18" s="43" t="str">
        <f>'Necesidades Trimestrales'!B16</f>
        <v>2.1.1-6546.335</v>
      </c>
      <c r="C18" s="89" t="str">
        <f>'Necesidades Trimestrales'!E16</f>
        <v>VERDURAS Y HORTALIZAS; VARIEDAD: PAPA BLANCA, ESTADO: NATURAL, PRESENTACION: BOLSA, PESO: 25 Kg</v>
      </c>
      <c r="D18" s="89"/>
      <c r="E18" s="89"/>
      <c r="F18" s="89"/>
      <c r="G18" s="89"/>
      <c r="H18" s="72" t="s">
        <v>113</v>
      </c>
      <c r="I18" s="44" t="str">
        <f>'Necesidades Trimestrales'!F16</f>
        <v>BOLSA</v>
      </c>
      <c r="J18" s="45">
        <f>'Necesidades Trimestrales'!H16</f>
        <v>1104</v>
      </c>
      <c r="K18" s="73">
        <f>'Necesidades Trimestrales'!G16</f>
        <v>800</v>
      </c>
    </row>
    <row r="19" spans="1:11" ht="32.25" customHeight="1" thickBot="1" x14ac:dyDescent="0.3">
      <c r="A19" s="72">
        <f>'Necesidades Trimestrales'!A17</f>
        <v>8</v>
      </c>
      <c r="B19" s="43" t="str">
        <f>'Necesidades Trimestrales'!B17</f>
        <v>2.1.1-6546.188</v>
      </c>
      <c r="C19" s="89" t="str">
        <f>'Necesidades Trimestrales'!E17</f>
        <v>VERDURAS Y HORTALIZAS; ESTADO: NATURAL, PRESENTACION: GRANEL, PESO: SIN VALOR, VARIEDAD: ZAPALLO CRIOLLO</v>
      </c>
      <c r="D19" s="89"/>
      <c r="E19" s="89"/>
      <c r="F19" s="89"/>
      <c r="G19" s="89"/>
      <c r="H19" s="72" t="s">
        <v>113</v>
      </c>
      <c r="I19" s="44" t="str">
        <f>'Necesidades Trimestrales'!F17</f>
        <v>KILO</v>
      </c>
      <c r="J19" s="45">
        <f>'Necesidades Trimestrales'!H17</f>
        <v>96</v>
      </c>
      <c r="K19" s="73">
        <f>'Necesidades Trimestrales'!G17</f>
        <v>3500</v>
      </c>
    </row>
    <row r="20" spans="1:11" ht="45" customHeight="1" thickBot="1" x14ac:dyDescent="0.3">
      <c r="A20" s="72">
        <f>'Necesidades Trimestrales'!A18</f>
        <v>9</v>
      </c>
      <c r="B20" s="43" t="str">
        <f>'Necesidades Trimestrales'!B18</f>
        <v>2.1.1-6546.390</v>
      </c>
      <c r="C20" s="89" t="str">
        <f>'Necesidades Trimestrales'!E18</f>
        <v>VERDURAS Y HORTALIZAS; VARIEDAD: TOMATE REDONDO, ESTADO: NATURAL, PRESENTACION: CAJON, PESO: 17 A 22 Kg, ELEM. TRANSPORTE: SIN, MATERIAL ELEM. TRANSPORTE: SIN, LIBRE DE GLUTEN: SI, ORGANICO: NO</v>
      </c>
      <c r="D20" s="89"/>
      <c r="E20" s="89"/>
      <c r="F20" s="89"/>
      <c r="G20" s="89"/>
      <c r="H20" s="72" t="s">
        <v>113</v>
      </c>
      <c r="I20" s="44" t="str">
        <f>'Necesidades Trimestrales'!F18</f>
        <v>CAJON</v>
      </c>
      <c r="J20" s="45">
        <f>'Necesidades Trimestrales'!H18</f>
        <v>2800</v>
      </c>
      <c r="K20" s="73">
        <f>'Necesidades Trimestrales'!G18</f>
        <v>450</v>
      </c>
    </row>
    <row r="21" spans="1:11" ht="32.25" customHeight="1" thickBot="1" x14ac:dyDescent="0.3">
      <c r="A21" s="72">
        <f>'Necesidades Trimestrales'!A19</f>
        <v>10</v>
      </c>
      <c r="B21" s="43" t="str">
        <f>'Necesidades Trimestrales'!B19</f>
        <v>2.1.1-6546.113</v>
      </c>
      <c r="C21" s="89" t="str">
        <f>'Necesidades Trimestrales'!E19</f>
        <v>VERDURAS Y HORTALIZAS; ESTADO: NATURAL, PESO: SIN VALOR, VARIEDAD: REPOLLO BLANCO, PRESENTACION: GRANEL</v>
      </c>
      <c r="D21" s="89"/>
      <c r="E21" s="89"/>
      <c r="F21" s="89"/>
      <c r="G21" s="89"/>
      <c r="H21" s="72" t="s">
        <v>113</v>
      </c>
      <c r="I21" s="44" t="str">
        <f>'Necesidades Trimestrales'!F19</f>
        <v>UNIDAD</v>
      </c>
      <c r="J21" s="45">
        <f>'Necesidades Trimestrales'!H19</f>
        <v>220</v>
      </c>
      <c r="K21" s="73">
        <f>'Necesidades Trimestrales'!G19</f>
        <v>20</v>
      </c>
    </row>
    <row r="22" spans="1:11" ht="15.75" customHeight="1" thickBot="1" x14ac:dyDescent="0.3">
      <c r="A22" s="72">
        <f>'Necesidades Trimestrales'!A20</f>
        <v>11</v>
      </c>
      <c r="B22" s="43" t="str">
        <f>'Necesidades Trimestrales'!B20</f>
        <v>2.1.1-483.37</v>
      </c>
      <c r="C22" s="89" t="str">
        <f>'Necesidades Trimestrales'!E20</f>
        <v>HUEVO DE GALLINA; TAMAÑO: GRANDE, COLOR: COLOR, PRESENTACION: 30 UN</v>
      </c>
      <c r="D22" s="89"/>
      <c r="E22" s="89"/>
      <c r="F22" s="89"/>
      <c r="G22" s="89"/>
      <c r="H22" s="72" t="s">
        <v>113</v>
      </c>
      <c r="I22" s="44" t="str">
        <f>'Necesidades Trimestrales'!F20</f>
        <v>CARTON</v>
      </c>
      <c r="J22" s="45">
        <f>'Necesidades Trimestrales'!H20</f>
        <v>530</v>
      </c>
      <c r="K22" s="73">
        <f>'Necesidades Trimestrales'!G20</f>
        <v>900</v>
      </c>
    </row>
    <row r="23" spans="1:11" ht="30" customHeight="1" thickBot="1" x14ac:dyDescent="0.3">
      <c r="A23" s="72">
        <f>'Necesidades Trimestrales'!A21</f>
        <v>12</v>
      </c>
      <c r="B23" s="43" t="str">
        <f>'Necesidades Trimestrales'!B21</f>
        <v>2.1.1-6546.153</v>
      </c>
      <c r="C23" s="89" t="str">
        <f>'Necesidades Trimestrales'!E21</f>
        <v>VERDURAS Y HORTALIZAS; VARIEDAD: AJO, ESTADO: NATURAL, PRESENTACION: RISTRA, PESO: SIN VALOR</v>
      </c>
      <c r="D23" s="89"/>
      <c r="E23" s="89"/>
      <c r="F23" s="89"/>
      <c r="G23" s="89"/>
      <c r="H23" s="72" t="s">
        <v>113</v>
      </c>
      <c r="I23" s="44" t="str">
        <f>'Necesidades Trimestrales'!F21</f>
        <v>RISTRA</v>
      </c>
      <c r="J23" s="45">
        <f>'Necesidades Trimestrales'!H21</f>
        <v>1800</v>
      </c>
      <c r="K23" s="73">
        <f>'Necesidades Trimestrales'!G21</f>
        <v>50</v>
      </c>
    </row>
    <row r="24" spans="1:11" ht="32.25" customHeight="1" thickBot="1" x14ac:dyDescent="0.3">
      <c r="A24" s="72">
        <f>'Necesidades Trimestrales'!A22</f>
        <v>13</v>
      </c>
      <c r="B24" s="43" t="str">
        <f>'Necesidades Trimestrales'!B22</f>
        <v>2.1.1-6546.34</v>
      </c>
      <c r="C24" s="89" t="str">
        <f>'Necesidades Trimestrales'!E22</f>
        <v>VERDURAS Y HORTALIZAS; VARIEDAD: ACELGA, ESTADO: EN HOJA, PRESENTACION: ATADO, PESO: SIN VALOR</v>
      </c>
      <c r="D24" s="89"/>
      <c r="E24" s="89"/>
      <c r="F24" s="89"/>
      <c r="G24" s="89"/>
      <c r="H24" s="72" t="s">
        <v>113</v>
      </c>
      <c r="I24" s="44" t="str">
        <f>'Necesidades Trimestrales'!F22</f>
        <v>ATADO</v>
      </c>
      <c r="J24" s="45">
        <f>'Necesidades Trimestrales'!H22</f>
        <v>45</v>
      </c>
      <c r="K24" s="73">
        <f>'Necesidades Trimestrales'!G22</f>
        <v>1500</v>
      </c>
    </row>
    <row r="25" spans="1:11" ht="31.5" customHeight="1" thickBot="1" x14ac:dyDescent="0.3">
      <c r="A25" s="72">
        <f>'Necesidades Trimestrales'!A23</f>
        <v>14</v>
      </c>
      <c r="B25" s="43" t="str">
        <f>'Necesidades Trimestrales'!B23</f>
        <v>2.1.1-6546.39</v>
      </c>
      <c r="C25" s="90" t="str">
        <f>'Necesidades Trimestrales'!E23</f>
        <v>VERDURAS Y HORTALIZAS; VARIEDAD: CEBOLLA, ESTADO: NATURAL, PRESENTACION: BOLSA, PESO: 25 Kg</v>
      </c>
      <c r="D25" s="90"/>
      <c r="E25" s="90"/>
      <c r="F25" s="90"/>
      <c r="G25" s="90"/>
      <c r="H25" s="72" t="s">
        <v>113</v>
      </c>
      <c r="I25" s="44" t="str">
        <f>'Necesidades Trimestrales'!F23</f>
        <v>BOLSA</v>
      </c>
      <c r="J25" s="45">
        <f>'Necesidades Trimestrales'!H23</f>
        <v>1380</v>
      </c>
      <c r="K25" s="73">
        <f>'Necesidades Trimestrales'!G23</f>
        <v>800</v>
      </c>
    </row>
    <row r="26" spans="1:11" ht="31.5" customHeight="1" thickBot="1" x14ac:dyDescent="0.3">
      <c r="A26" s="72">
        <f>'Necesidades Trimestrales'!A24</f>
        <v>15</v>
      </c>
      <c r="B26" s="43" t="str">
        <f>'Necesidades Trimestrales'!B24</f>
        <v>2.1.1-6546.47</v>
      </c>
      <c r="C26" s="89" t="str">
        <f>'Necesidades Trimestrales'!E24</f>
        <v>VERDURAS Y HORTALIZAS; VARIEDAD: CEBOLLA DE VERDEO, ESTADO: NATURAL, PRESENTACION: GRANEL, PESO: SIN VALOR</v>
      </c>
      <c r="D26" s="89"/>
      <c r="E26" s="89"/>
      <c r="F26" s="89"/>
      <c r="G26" s="89"/>
      <c r="H26" s="72" t="s">
        <v>113</v>
      </c>
      <c r="I26" s="44" t="str">
        <f>'Necesidades Trimestrales'!F24</f>
        <v>ATADO</v>
      </c>
      <c r="J26" s="45">
        <f>'Necesidades Trimestrales'!H24</f>
        <v>45</v>
      </c>
      <c r="K26" s="73">
        <f>'Necesidades Trimestrales'!G24</f>
        <v>60</v>
      </c>
    </row>
    <row r="27" spans="1:11" ht="30" customHeight="1" thickBot="1" x14ac:dyDescent="0.3">
      <c r="A27" s="72">
        <f>'Necesidades Trimestrales'!A25</f>
        <v>16</v>
      </c>
      <c r="B27" s="43" t="str">
        <f>'Necesidades Trimestrales'!B25</f>
        <v>2.1.1-6546.240</v>
      </c>
      <c r="C27" s="89" t="str">
        <f>'Necesidades Trimestrales'!E25</f>
        <v>VERDURAS Y HORTALIZAS; VARIEDAD: ZAPALLITO REDONDO, ESTADO: NATURAL, PRESENTACION: SIN VALOR, PESO: 20 Kg</v>
      </c>
      <c r="D27" s="89"/>
      <c r="E27" s="89"/>
      <c r="F27" s="89"/>
      <c r="G27" s="89"/>
      <c r="H27" s="72" t="s">
        <v>113</v>
      </c>
      <c r="I27" s="44" t="str">
        <f>'Necesidades Trimestrales'!F25</f>
        <v>CAJON</v>
      </c>
      <c r="J27" s="45">
        <f>'Necesidades Trimestrales'!H25</f>
        <v>1800</v>
      </c>
      <c r="K27" s="73">
        <f>'Necesidades Trimestrales'!G25</f>
        <v>350</v>
      </c>
    </row>
    <row r="28" spans="1:11" ht="32.25" customHeight="1" thickBot="1" x14ac:dyDescent="0.3">
      <c r="A28" s="72">
        <f>'Necesidades Trimestrales'!A26</f>
        <v>17</v>
      </c>
      <c r="B28" s="43" t="str">
        <f>'Necesidades Trimestrales'!B26</f>
        <v>2.1.1-6546.167</v>
      </c>
      <c r="C28" s="89" t="str">
        <f>'Necesidades Trimestrales'!E26</f>
        <v>VERDURAS Y HORTALIZAS; VARIEDAD: ZANAHORIA, PRESENTACION: BOLSA, ESTADO: NATURAL, PESO: 20 Kg</v>
      </c>
      <c r="D28" s="89"/>
      <c r="E28" s="89"/>
      <c r="F28" s="89"/>
      <c r="G28" s="89"/>
      <c r="H28" s="72" t="s">
        <v>113</v>
      </c>
      <c r="I28" s="44" t="str">
        <f>'Necesidades Trimestrales'!F26</f>
        <v>BOLSA</v>
      </c>
      <c r="J28" s="45">
        <f>'Necesidades Trimestrales'!H26</f>
        <v>1300</v>
      </c>
      <c r="K28" s="73">
        <f>'Necesidades Trimestrales'!G26</f>
        <v>1000</v>
      </c>
    </row>
    <row r="29" spans="1:11" ht="32.25" customHeight="1" thickBot="1" x14ac:dyDescent="0.3">
      <c r="A29" s="72">
        <f>'Necesidades Trimestrales'!A27</f>
        <v>18</v>
      </c>
      <c r="B29" s="43" t="str">
        <f>'Necesidades Trimestrales'!B27</f>
        <v>2.1.1-6546.207</v>
      </c>
      <c r="C29" s="89" t="str">
        <f>'Necesidades Trimestrales'!E27</f>
        <v>VERDURAS Y HORTALIZAS; VARIEDAD: BATATA, ESTADO: NATURAL, PRESENTACION: BOLSA, PESO: 10 Kg</v>
      </c>
      <c r="D29" s="89"/>
      <c r="E29" s="89"/>
      <c r="F29" s="89"/>
      <c r="G29" s="89"/>
      <c r="H29" s="72" t="s">
        <v>113</v>
      </c>
      <c r="I29" s="44" t="str">
        <f>'Necesidades Trimestrales'!F27</f>
        <v>BOLSA</v>
      </c>
      <c r="J29" s="45">
        <f>'Necesidades Trimestrales'!H27</f>
        <v>930</v>
      </c>
      <c r="K29" s="73">
        <f>'Necesidades Trimestrales'!G27</f>
        <v>80</v>
      </c>
    </row>
    <row r="30" spans="1:11" ht="30.75" customHeight="1" thickBot="1" x14ac:dyDescent="0.3">
      <c r="A30" s="72">
        <f>'Necesidades Trimestrales'!A28</f>
        <v>19</v>
      </c>
      <c r="B30" s="43" t="str">
        <f>'Necesidades Trimestrales'!B28</f>
        <v>2.1.1-6546.95</v>
      </c>
      <c r="C30" s="89" t="str">
        <f>'Necesidades Trimestrales'!E28</f>
        <v>VERDURAS Y HORTALIZAS; VARIEDAD: MORRON VERDE, ESTADO: NATURAL, PRESENTACION: GRANEL, PESO: SIN VALOR</v>
      </c>
      <c r="D30" s="89"/>
      <c r="E30" s="89"/>
      <c r="F30" s="89"/>
      <c r="G30" s="89"/>
      <c r="H30" s="72" t="s">
        <v>113</v>
      </c>
      <c r="I30" s="44" t="str">
        <f>'Necesidades Trimestrales'!F28</f>
        <v>KILO</v>
      </c>
      <c r="J30" s="45">
        <f>'Necesidades Trimestrales'!H28</f>
        <v>1320</v>
      </c>
      <c r="K30" s="73">
        <f>'Necesidades Trimestrales'!G28</f>
        <v>200</v>
      </c>
    </row>
    <row r="31" spans="1:11" ht="33" customHeight="1" thickBot="1" x14ac:dyDescent="0.3">
      <c r="A31" s="72">
        <f>'Necesidades Trimestrales'!A29</f>
        <v>20</v>
      </c>
      <c r="B31" s="43" t="str">
        <f>'Necesidades Trimestrales'!B29</f>
        <v>2.1.1-6546.329</v>
      </c>
      <c r="C31" s="89" t="str">
        <f>'Necesidades Trimestrales'!E29</f>
        <v>VERDURAS Y HORTALIZAS; VARIEDAD: PUERRO, ESTADO: FRESCO, PRESENTACION: ATADO, PESO: 1 Kg</v>
      </c>
      <c r="D31" s="89"/>
      <c r="E31" s="89"/>
      <c r="F31" s="89"/>
      <c r="G31" s="89"/>
      <c r="H31" s="72" t="s">
        <v>113</v>
      </c>
      <c r="I31" s="44" t="str">
        <f>'Necesidades Trimestrales'!F29</f>
        <v>ATADO</v>
      </c>
      <c r="J31" s="45">
        <f>'Necesidades Trimestrales'!H29</f>
        <v>280</v>
      </c>
      <c r="K31" s="73">
        <f>'Necesidades Trimestrales'!G29</f>
        <v>60</v>
      </c>
    </row>
    <row r="32" spans="1:11" ht="15.75" customHeight="1" thickBot="1" x14ac:dyDescent="0.3">
      <c r="A32" s="72">
        <f>'Necesidades Trimestrales'!A30</f>
        <v>21</v>
      </c>
      <c r="B32" s="43" t="str">
        <f>'Necesidades Trimestrales'!B30</f>
        <v>2.1.1-6539.30</v>
      </c>
      <c r="C32" s="89" t="str">
        <f>'Necesidades Trimestrales'!E30</f>
        <v>FRUTAS; VARIEDAD: BANANA, PRESENTACION: CAJON, ESTADO: NATURAL, PESO: SIN VALOR</v>
      </c>
      <c r="D32" s="89"/>
      <c r="E32" s="89"/>
      <c r="F32" s="89"/>
      <c r="G32" s="89"/>
      <c r="H32" s="72" t="s">
        <v>113</v>
      </c>
      <c r="I32" s="44" t="str">
        <f>'Necesidades Trimestrales'!F30</f>
        <v>CAJON</v>
      </c>
      <c r="J32" s="45">
        <f>'Necesidades Trimestrales'!H30</f>
        <v>2960</v>
      </c>
      <c r="K32" s="73">
        <f>'Necesidades Trimestrales'!G30</f>
        <v>200</v>
      </c>
    </row>
    <row r="33" spans="1:11" ht="32.25" customHeight="1" thickBot="1" x14ac:dyDescent="0.3">
      <c r="A33" s="72">
        <f>'Necesidades Trimestrales'!A31</f>
        <v>22</v>
      </c>
      <c r="B33" s="43" t="str">
        <f>'Necesidades Trimestrales'!B31</f>
        <v>2.1.1-6539.2</v>
      </c>
      <c r="C33" s="89" t="str">
        <f>'Necesidades Trimestrales'!E31</f>
        <v>FRUTAS; PRESENTACION: GRANEL, VARIEDAD: NARANJA OMBLIGO, ESTADO: NATURAL, PESO: SIN VALOR</v>
      </c>
      <c r="D33" s="89"/>
      <c r="E33" s="89"/>
      <c r="F33" s="89"/>
      <c r="G33" s="89"/>
      <c r="H33" s="72" t="s">
        <v>113</v>
      </c>
      <c r="I33" s="44" t="str">
        <f>'Necesidades Trimestrales'!F31</f>
        <v>BOLSA</v>
      </c>
      <c r="J33" s="45">
        <f>'Necesidades Trimestrales'!H31</f>
        <v>1180</v>
      </c>
      <c r="K33" s="73">
        <f>'Necesidades Trimestrales'!G31</f>
        <v>230</v>
      </c>
    </row>
    <row r="34" spans="1:11" ht="30.75" customHeight="1" thickBot="1" x14ac:dyDescent="0.3">
      <c r="A34" s="72">
        <f>'Necesidades Trimestrales'!A32</f>
        <v>23</v>
      </c>
      <c r="B34" s="43" t="str">
        <f>'Necesidades Trimestrales'!B32</f>
        <v>2.1.1-6539.32</v>
      </c>
      <c r="C34" s="89" t="str">
        <f>'Necesidades Trimestrales'!E32</f>
        <v>FRUTAS; VARIEDAD: PERA AMARILLA, ESTADO: NATURAL, PRESENTACION: CAJON, PESO: SIN VALOR</v>
      </c>
      <c r="D34" s="89"/>
      <c r="E34" s="89"/>
      <c r="F34" s="89"/>
      <c r="G34" s="89"/>
      <c r="H34" s="72" t="s">
        <v>113</v>
      </c>
      <c r="I34" s="44" t="str">
        <f>'Necesidades Trimestrales'!F32</f>
        <v>CAJON</v>
      </c>
      <c r="J34" s="45">
        <f>'Necesidades Trimestrales'!H32</f>
        <v>2750</v>
      </c>
      <c r="K34" s="73">
        <f>'Necesidades Trimestrales'!G32</f>
        <v>100</v>
      </c>
    </row>
    <row r="35" spans="1:11" ht="31.5" customHeight="1" thickBot="1" x14ac:dyDescent="0.3">
      <c r="A35" s="72">
        <f>'Necesidades Trimestrales'!A33</f>
        <v>24</v>
      </c>
      <c r="B35" s="43" t="str">
        <f>'Necesidades Trimestrales'!B33</f>
        <v>2.1.1-6539.20</v>
      </c>
      <c r="C35" s="89" t="str">
        <f>'Necesidades Trimestrales'!E33</f>
        <v>FRUTAS; ESTADO: NATURAL, VARIEDAD: MANZANA RED DELICIOSA, PRESENTACION: CAJON, PESO: SIN VALOR</v>
      </c>
      <c r="D35" s="89"/>
      <c r="E35" s="89"/>
      <c r="F35" s="89"/>
      <c r="G35" s="89"/>
      <c r="H35" s="72" t="s">
        <v>113</v>
      </c>
      <c r="I35" s="44" t="str">
        <f>'Necesidades Trimestrales'!F33</f>
        <v>CAJON</v>
      </c>
      <c r="J35" s="45">
        <f>'Necesidades Trimestrales'!H33</f>
        <v>3510</v>
      </c>
      <c r="K35" s="73">
        <f>'Necesidades Trimestrales'!G33</f>
        <v>100</v>
      </c>
    </row>
    <row r="36" spans="1:11" ht="15" customHeight="1" thickBot="1" x14ac:dyDescent="0.3">
      <c r="A36" s="72">
        <f>'Necesidades Trimestrales'!A34</f>
        <v>25</v>
      </c>
      <c r="B36" s="43" t="str">
        <f>'Necesidades Trimestrales'!B34</f>
        <v>2.1.1-2116.2</v>
      </c>
      <c r="C36" s="89" t="str">
        <f>'Necesidades Trimestrales'!E34</f>
        <v>LEVADURAS; TIPO: DE CERVEZA, PRESENTACION: PAQUETE, PESO: 1 Kg</v>
      </c>
      <c r="D36" s="89"/>
      <c r="E36" s="89"/>
      <c r="F36" s="89"/>
      <c r="G36" s="89"/>
      <c r="H36" s="72" t="s">
        <v>113</v>
      </c>
      <c r="I36" s="44" t="str">
        <f>'Necesidades Trimestrales'!F34</f>
        <v>KILO</v>
      </c>
      <c r="J36" s="45">
        <f>'Necesidades Trimestrales'!H34</f>
        <v>850</v>
      </c>
      <c r="K36" s="73">
        <f>'Necesidades Trimestrales'!G34</f>
        <v>500</v>
      </c>
    </row>
    <row r="37" spans="1:11" ht="30.75" customHeight="1" thickBot="1" x14ac:dyDescent="0.3">
      <c r="A37" s="72">
        <f>'Necesidades Trimestrales'!A35</f>
        <v>26</v>
      </c>
      <c r="B37" s="43" t="str">
        <f>'Necesidades Trimestrales'!B35</f>
        <v>2.1.1-456.1</v>
      </c>
      <c r="C37" s="89" t="str">
        <f>'Necesidades Trimestrales'!E35</f>
        <v>YOGHURT; SABOR: VAINILLA, ENVASE: SACHET, AGREGADO: SIN VALOR, CONSISTENCIA: BEBIBLE, PRESENTACION: SACHET X 1 L, CAPACIDAD: 1 L, TIPO: ENTERO</v>
      </c>
      <c r="D37" s="89"/>
      <c r="E37" s="89"/>
      <c r="F37" s="89"/>
      <c r="G37" s="89"/>
      <c r="H37" s="72" t="s">
        <v>113</v>
      </c>
      <c r="I37" s="44" t="str">
        <f>'Necesidades Trimestrales'!F35</f>
        <v>SACHET</v>
      </c>
      <c r="J37" s="45">
        <f>'Necesidades Trimestrales'!H35</f>
        <v>250</v>
      </c>
      <c r="K37" s="73">
        <f>'Necesidades Trimestrales'!G35</f>
        <v>350</v>
      </c>
    </row>
    <row r="38" spans="1:11" ht="30.75" customHeight="1" thickBot="1" x14ac:dyDescent="0.3">
      <c r="A38" s="72">
        <f>'Necesidades Trimestrales'!A36</f>
        <v>27</v>
      </c>
      <c r="B38" s="43" t="str">
        <f>'Necesidades Trimestrales'!B36</f>
        <v>2.1.1-456.22</v>
      </c>
      <c r="C38" s="89" t="str">
        <f>'Necesidades Trimestrales'!E36</f>
        <v>YOGHURT; CAPACIDAD: 1 L, SABOR: FRUTILLA, TIPO: ENTERO, ENVASE: SACHET, AGREGADO: SIN VALOR, CONSISTENCIA: BEBIBLE, PRESENTACION: SACHET X 1 L</v>
      </c>
      <c r="D38" s="89"/>
      <c r="E38" s="89"/>
      <c r="F38" s="89"/>
      <c r="G38" s="89"/>
      <c r="H38" s="72" t="s">
        <v>113</v>
      </c>
      <c r="I38" s="44" t="str">
        <f>'Necesidades Trimestrales'!F36</f>
        <v>SACHET</v>
      </c>
      <c r="J38" s="45">
        <f>'Necesidades Trimestrales'!H36</f>
        <v>250</v>
      </c>
      <c r="K38" s="73">
        <f>'Necesidades Trimestrales'!G36</f>
        <v>350</v>
      </c>
    </row>
    <row r="39" spans="1:11" ht="30.75" customHeight="1" thickBot="1" x14ac:dyDescent="0.3">
      <c r="A39" s="72">
        <f>'Necesidades Trimestrales'!A37</f>
        <v>28</v>
      </c>
      <c r="B39" s="43" t="str">
        <f>'Necesidades Trimestrales'!B37</f>
        <v>2.1.1-6546.158</v>
      </c>
      <c r="C39" s="89" t="str">
        <f>'Necesidades Trimestrales'!E37</f>
        <v>VERDURAS Y HORTALIZAS; ESTADO: NATURAL, VARIEDAD: ZAPALLO ANCO, PRESENTACION: GRANEL, PESO: SIN VALOR</v>
      </c>
      <c r="D39" s="89"/>
      <c r="E39" s="89"/>
      <c r="F39" s="89"/>
      <c r="G39" s="89"/>
      <c r="H39" s="72" t="s">
        <v>113</v>
      </c>
      <c r="I39" s="44" t="str">
        <f>'Necesidades Trimestrales'!F37</f>
        <v>KILO</v>
      </c>
      <c r="J39" s="45">
        <f>'Necesidades Trimestrales'!H37</f>
        <v>72</v>
      </c>
      <c r="K39" s="73">
        <f>'Necesidades Trimestrales'!G37</f>
        <v>900</v>
      </c>
    </row>
    <row r="40" spans="1:11" ht="16.5" thickBot="1" x14ac:dyDescent="0.3">
      <c r="A40" s="87" t="s">
        <v>114</v>
      </c>
      <c r="B40" s="87"/>
      <c r="C40" s="87"/>
      <c r="D40" s="87"/>
      <c r="E40" s="87"/>
      <c r="F40" s="87"/>
      <c r="G40" s="87"/>
      <c r="H40" s="87"/>
      <c r="I40" s="87"/>
      <c r="J40" s="88">
        <f>SUMPRODUCT(J12:J39,K12:K39)</f>
        <v>20384200</v>
      </c>
      <c r="K40" s="88"/>
    </row>
  </sheetData>
  <mergeCells count="50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34:G34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A40:I40"/>
    <mergeCell ref="J40:K40"/>
    <mergeCell ref="C35:G35"/>
    <mergeCell ref="C36:G36"/>
    <mergeCell ref="C37:G37"/>
    <mergeCell ref="C38:G38"/>
    <mergeCell ref="C39:G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B1E-3DC5-4950-A618-5DE630E148AD}">
  <dimension ref="A1:Q27"/>
  <sheetViews>
    <sheetView tabSelected="1" topLeftCell="A13" workbookViewId="0">
      <selection activeCell="L19" sqref="L19"/>
    </sheetView>
  </sheetViews>
  <sheetFormatPr baseColWidth="10" defaultColWidth="9.140625" defaultRowHeight="12.75" x14ac:dyDescent="0.2"/>
  <cols>
    <col min="1" max="2" width="3.5703125" bestFit="1" customWidth="1"/>
    <col min="3" max="3" width="3.42578125" bestFit="1" customWidth="1"/>
    <col min="4" max="4" width="3.5703125" bestFit="1" customWidth="1"/>
    <col min="5" max="5" width="3.7109375" bestFit="1" customWidth="1"/>
    <col min="6" max="6" width="5" bestFit="1" customWidth="1"/>
    <col min="7" max="7" width="4" style="50" bestFit="1" customWidth="1"/>
    <col min="8" max="8" width="4.7109375" bestFit="1" customWidth="1"/>
    <col min="9" max="9" width="3.5703125" customWidth="1"/>
    <col min="10" max="10" width="3.7109375" customWidth="1"/>
    <col min="11" max="11" width="3.85546875" customWidth="1"/>
    <col min="12" max="12" width="8.28515625" customWidth="1"/>
    <col min="13" max="13" width="4.5703125" customWidth="1"/>
    <col min="14" max="14" width="5.7109375" customWidth="1"/>
    <col min="16" max="16" width="12.28515625" customWidth="1"/>
    <col min="17" max="17" width="16" customWidth="1"/>
    <col min="18" max="1025" width="11" customWidth="1"/>
  </cols>
  <sheetData>
    <row r="1" spans="1:17" ht="15.75" thickBot="1" x14ac:dyDescent="0.3">
      <c r="A1" s="134" t="s">
        <v>5</v>
      </c>
      <c r="B1" s="135"/>
      <c r="C1" s="135"/>
      <c r="D1" s="136">
        <v>2022</v>
      </c>
      <c r="E1" s="136"/>
      <c r="F1" s="46"/>
      <c r="G1" s="46"/>
      <c r="H1" s="47"/>
      <c r="I1" s="47"/>
      <c r="J1" s="47"/>
      <c r="K1" s="47"/>
      <c r="L1" s="47"/>
      <c r="M1" s="47"/>
      <c r="N1" s="47"/>
      <c r="O1" s="48"/>
      <c r="P1" s="137" t="s">
        <v>116</v>
      </c>
      <c r="Q1" s="138"/>
    </row>
    <row r="2" spans="1:17" ht="13.5" thickBot="1" x14ac:dyDescent="0.25">
      <c r="A2" s="49"/>
      <c r="H2" s="51"/>
      <c r="I2" s="51"/>
      <c r="J2" s="51"/>
      <c r="K2" s="51"/>
      <c r="L2" s="51"/>
      <c r="M2" s="51"/>
      <c r="N2" s="51"/>
      <c r="P2" s="139"/>
      <c r="Q2" s="140"/>
    </row>
    <row r="3" spans="1:17" ht="13.5" thickBot="1" x14ac:dyDescent="0.25">
      <c r="A3" s="49"/>
      <c r="Q3" s="52"/>
    </row>
    <row r="4" spans="1:17" s="53" customFormat="1" ht="15.75" thickBot="1" x14ac:dyDescent="0.3">
      <c r="A4" s="141" t="s">
        <v>117</v>
      </c>
      <c r="B4" s="142"/>
      <c r="C4" s="142"/>
      <c r="D4" s="142"/>
      <c r="E4" s="142"/>
      <c r="F4" s="142"/>
      <c r="G4" s="143" t="str">
        <f>'Nota de Pedido'!D3</f>
        <v>90 - MINISTERIO DE SEGURIDAD</v>
      </c>
      <c r="H4" s="143"/>
      <c r="I4" s="143"/>
      <c r="J4" s="143"/>
      <c r="K4" s="143"/>
      <c r="L4" s="143"/>
      <c r="M4" s="143"/>
      <c r="N4" s="143"/>
      <c r="O4" s="143"/>
      <c r="P4" s="143"/>
      <c r="Q4" s="144"/>
    </row>
    <row r="5" spans="1:17" s="53" customFormat="1" ht="15.75" thickBot="1" x14ac:dyDescent="0.3">
      <c r="A5" s="145" t="s">
        <v>97</v>
      </c>
      <c r="B5" s="146"/>
      <c r="C5" s="146"/>
      <c r="D5" s="146"/>
      <c r="E5" s="146"/>
      <c r="F5" s="147"/>
      <c r="G5" s="148" t="str">
        <f>'Nota de Pedido'!D4</f>
        <v>8 - DIRECCION GENERAL SERVICIO PENITENCIARIO PROVINCIAL</v>
      </c>
      <c r="H5" s="149"/>
      <c r="I5" s="149"/>
      <c r="J5" s="149"/>
      <c r="K5" s="149"/>
      <c r="L5" s="149"/>
      <c r="M5" s="149"/>
      <c r="N5" s="149"/>
      <c r="O5" s="149"/>
      <c r="P5" s="149"/>
      <c r="Q5" s="150"/>
    </row>
    <row r="6" spans="1:17" s="53" customFormat="1" ht="15.75" thickBot="1" x14ac:dyDescent="0.3">
      <c r="A6" s="145" t="s">
        <v>98</v>
      </c>
      <c r="B6" s="146"/>
      <c r="C6" s="146"/>
      <c r="D6" s="146"/>
      <c r="E6" s="146"/>
      <c r="F6" s="147"/>
      <c r="G6" s="151" t="str">
        <f>'Nota de Pedido'!D5</f>
        <v>SERVICIO PENITENCIARIO PROVINCIAL</v>
      </c>
      <c r="H6" s="152"/>
      <c r="I6" s="152"/>
      <c r="J6" s="152"/>
      <c r="K6" s="152"/>
      <c r="L6" s="152"/>
      <c r="M6" s="152"/>
      <c r="N6" s="152"/>
      <c r="O6" s="152"/>
      <c r="P6" s="152"/>
      <c r="Q6" s="153"/>
    </row>
    <row r="7" spans="1:17" s="53" customFormat="1" ht="26.25" customHeight="1" thickBot="1" x14ac:dyDescent="0.25">
      <c r="A7" s="154" t="s">
        <v>100</v>
      </c>
      <c r="B7" s="155"/>
      <c r="C7" s="155"/>
      <c r="D7" s="155"/>
      <c r="E7" s="155"/>
      <c r="F7" s="155"/>
      <c r="G7" s="156" t="str">
        <f>'Nota de Pedido'!D6</f>
        <v>LOGISTICA</v>
      </c>
      <c r="H7" s="157"/>
      <c r="I7" s="157"/>
      <c r="J7" s="157"/>
      <c r="K7" s="157"/>
      <c r="L7" s="157"/>
      <c r="M7" s="157"/>
      <c r="N7" s="157"/>
      <c r="O7" s="157"/>
      <c r="P7" s="157"/>
      <c r="Q7" s="158"/>
    </row>
    <row r="8" spans="1:17" ht="13.5" thickBot="1" x14ac:dyDescent="0.25">
      <c r="A8" s="159" t="s">
        <v>118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1"/>
    </row>
    <row r="9" spans="1:17" ht="15" customHeight="1" x14ac:dyDescent="0.25">
      <c r="A9" s="131" t="s">
        <v>119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3"/>
    </row>
    <row r="10" spans="1:17" ht="28.5" customHeight="1" x14ac:dyDescent="0.2">
      <c r="A10" s="114" t="s">
        <v>141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6"/>
    </row>
    <row r="11" spans="1:17" ht="26.25" customHeight="1" thickBo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9"/>
    </row>
    <row r="12" spans="1:17" ht="13.5" thickBot="1" x14ac:dyDescent="0.25">
      <c r="A12" s="120" t="s">
        <v>120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2"/>
    </row>
    <row r="13" spans="1:17" ht="17.25" customHeight="1" thickBot="1" x14ac:dyDescent="0.25">
      <c r="A13" s="120" t="s">
        <v>121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2"/>
      <c r="O13" s="123" t="s">
        <v>122</v>
      </c>
      <c r="P13" s="124"/>
      <c r="Q13" s="127" t="s">
        <v>123</v>
      </c>
    </row>
    <row r="14" spans="1:17" ht="18.75" customHeight="1" thickBot="1" x14ac:dyDescent="0.25">
      <c r="A14" s="54" t="s">
        <v>124</v>
      </c>
      <c r="B14" s="55" t="s">
        <v>125</v>
      </c>
      <c r="C14" s="55" t="s">
        <v>126</v>
      </c>
      <c r="D14" s="55" t="s">
        <v>127</v>
      </c>
      <c r="E14" s="55" t="s">
        <v>128</v>
      </c>
      <c r="F14" s="55" t="s">
        <v>129</v>
      </c>
      <c r="G14" s="56" t="s">
        <v>130</v>
      </c>
      <c r="H14" s="55" t="s">
        <v>131</v>
      </c>
      <c r="I14" s="55" t="s">
        <v>132</v>
      </c>
      <c r="J14" s="55" t="s">
        <v>133</v>
      </c>
      <c r="K14" s="55" t="s">
        <v>133</v>
      </c>
      <c r="L14" s="55" t="s">
        <v>134</v>
      </c>
      <c r="M14" s="57" t="s">
        <v>135</v>
      </c>
      <c r="N14" s="58" t="s">
        <v>136</v>
      </c>
      <c r="O14" s="125"/>
      <c r="P14" s="126"/>
      <c r="Q14" s="128"/>
    </row>
    <row r="15" spans="1:17" ht="15" x14ac:dyDescent="0.2">
      <c r="A15" s="59">
        <v>21</v>
      </c>
      <c r="B15" s="60"/>
      <c r="C15" s="60"/>
      <c r="D15" s="60">
        <v>1</v>
      </c>
      <c r="E15" s="60"/>
      <c r="F15" s="60">
        <v>4201</v>
      </c>
      <c r="G15" s="60">
        <v>2</v>
      </c>
      <c r="H15" s="60">
        <v>220</v>
      </c>
      <c r="I15" s="60">
        <v>2</v>
      </c>
      <c r="J15" s="60">
        <v>1</v>
      </c>
      <c r="K15" s="60">
        <v>1</v>
      </c>
      <c r="L15" s="60"/>
      <c r="M15" s="60">
        <v>1</v>
      </c>
      <c r="N15" s="60" t="s">
        <v>137</v>
      </c>
      <c r="O15" s="129" t="s">
        <v>138</v>
      </c>
      <c r="P15" s="130"/>
      <c r="Q15" s="61">
        <v>4503176</v>
      </c>
    </row>
    <row r="16" spans="1:17" ht="15" x14ac:dyDescent="0.2">
      <c r="A16" s="59">
        <v>21</v>
      </c>
      <c r="B16" s="60"/>
      <c r="C16" s="60"/>
      <c r="D16" s="60">
        <v>2</v>
      </c>
      <c r="E16" s="60"/>
      <c r="F16" s="60">
        <v>4201</v>
      </c>
      <c r="G16" s="60">
        <v>2</v>
      </c>
      <c r="H16" s="60">
        <v>220</v>
      </c>
      <c r="I16" s="60">
        <v>2</v>
      </c>
      <c r="J16" s="60">
        <v>1</v>
      </c>
      <c r="K16" s="60">
        <v>1</v>
      </c>
      <c r="L16" s="60"/>
      <c r="M16" s="60">
        <v>1</v>
      </c>
      <c r="N16" s="60" t="s">
        <v>137</v>
      </c>
      <c r="O16" s="129" t="s">
        <v>138</v>
      </c>
      <c r="P16" s="130"/>
      <c r="Q16" s="62">
        <v>6542823</v>
      </c>
    </row>
    <row r="17" spans="1:17" ht="15" x14ac:dyDescent="0.2">
      <c r="A17" s="59">
        <v>21</v>
      </c>
      <c r="B17" s="60"/>
      <c r="C17" s="60"/>
      <c r="D17" s="60">
        <v>3</v>
      </c>
      <c r="E17" s="60"/>
      <c r="F17" s="60">
        <v>4201</v>
      </c>
      <c r="G17" s="60">
        <v>2</v>
      </c>
      <c r="H17" s="60">
        <v>220</v>
      </c>
      <c r="I17" s="60">
        <v>2</v>
      </c>
      <c r="J17" s="60">
        <v>1</v>
      </c>
      <c r="K17" s="60">
        <v>1</v>
      </c>
      <c r="L17" s="60"/>
      <c r="M17" s="60">
        <v>1</v>
      </c>
      <c r="N17" s="60" t="s">
        <v>137</v>
      </c>
      <c r="O17" s="129" t="s">
        <v>138</v>
      </c>
      <c r="P17" s="130"/>
      <c r="Q17" s="62">
        <v>7768332</v>
      </c>
    </row>
    <row r="18" spans="1:17" ht="15" x14ac:dyDescent="0.2">
      <c r="A18" s="59">
        <v>21</v>
      </c>
      <c r="B18" s="60"/>
      <c r="C18" s="60"/>
      <c r="D18" s="60">
        <v>4</v>
      </c>
      <c r="E18" s="60"/>
      <c r="F18" s="60">
        <v>4201</v>
      </c>
      <c r="G18" s="60">
        <v>2</v>
      </c>
      <c r="H18" s="60">
        <v>220</v>
      </c>
      <c r="I18" s="60">
        <v>2</v>
      </c>
      <c r="J18" s="60">
        <v>1</v>
      </c>
      <c r="K18" s="60">
        <v>1</v>
      </c>
      <c r="L18" s="60"/>
      <c r="M18" s="60">
        <v>1</v>
      </c>
      <c r="N18" s="60" t="s">
        <v>137</v>
      </c>
      <c r="O18" s="129" t="s">
        <v>138</v>
      </c>
      <c r="P18" s="130"/>
      <c r="Q18" s="62">
        <v>1569869</v>
      </c>
    </row>
    <row r="19" spans="1:17" ht="15" x14ac:dyDescent="0.2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00"/>
      <c r="P19" s="100"/>
      <c r="Q19" s="62"/>
    </row>
    <row r="20" spans="1:17" ht="15" x14ac:dyDescent="0.2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00"/>
      <c r="P20" s="100"/>
      <c r="Q20" s="62"/>
    </row>
    <row r="21" spans="1:17" ht="15" x14ac:dyDescent="0.2">
      <c r="A21" s="65"/>
      <c r="B21" s="66"/>
      <c r="C21" s="66"/>
      <c r="D21" s="66"/>
      <c r="E21" s="66"/>
      <c r="F21" s="64"/>
      <c r="G21" s="66"/>
      <c r="H21" s="66"/>
      <c r="I21" s="66"/>
      <c r="J21" s="66"/>
      <c r="K21" s="66"/>
      <c r="L21" s="66"/>
      <c r="M21" s="66"/>
      <c r="N21" s="66"/>
      <c r="O21" s="100"/>
      <c r="P21" s="100"/>
      <c r="Q21" s="62"/>
    </row>
    <row r="22" spans="1:17" ht="15.75" thickBo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00"/>
      <c r="P22" s="100"/>
      <c r="Q22" s="67"/>
    </row>
    <row r="23" spans="1:17" ht="13.5" thickBot="1" x14ac:dyDescent="0.25">
      <c r="A23" s="101" t="s">
        <v>139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3"/>
      <c r="Q23" s="68">
        <f>SUM(Q15:Q22)</f>
        <v>20384200</v>
      </c>
    </row>
    <row r="24" spans="1:17" ht="15.75" thickBot="1" x14ac:dyDescent="0.3">
      <c r="A24" s="69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1"/>
    </row>
    <row r="25" spans="1:17" ht="15.75" thickBot="1" x14ac:dyDescent="0.25">
      <c r="A25" s="104" t="s">
        <v>140</v>
      </c>
      <c r="B25" s="105"/>
      <c r="C25" s="105"/>
      <c r="D25" s="105"/>
      <c r="E25" s="105"/>
      <c r="F25" s="105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7"/>
    </row>
    <row r="26" spans="1:17" ht="13.5" thickBot="1" x14ac:dyDescent="0.25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10"/>
    </row>
    <row r="27" spans="1:17" ht="13.5" thickBot="1" x14ac:dyDescent="0.25">
      <c r="A27" s="111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3"/>
    </row>
  </sheetData>
  <mergeCells count="30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1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2:P22"/>
    <mergeCell ref="A23:P23"/>
    <mergeCell ref="A25:F25"/>
    <mergeCell ref="G25:Q25"/>
    <mergeCell ref="A26:Q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soy_gisuarez@hotmail.com</cp:lastModifiedBy>
  <dcterms:created xsi:type="dcterms:W3CDTF">2021-06-03T14:04:07Z</dcterms:created>
  <dcterms:modified xsi:type="dcterms:W3CDTF">2022-07-07T14:53:16Z</dcterms:modified>
</cp:coreProperties>
</file>