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730" windowHeight="11760" tabRatio="500"/>
  </bookViews>
  <sheets>
    <sheet name="Necesidades Trimestrales" sheetId="1" r:id="rId1"/>
    <sheet name="NotaPedido" sheetId="2" r:id="rId2"/>
    <sheet name="Autor Gastar" sheetId="3" r:id="rId3"/>
  </sheets>
  <definedNames>
    <definedName name="_xlnm.Print_Area" localSheetId="2">'Autor Gastar'!$A$1:$Q$25</definedName>
    <definedName name="_xlnm.Print_Area" localSheetId="0">'Necesidades Trimestrales'!$A$2:$I$73</definedName>
    <definedName name="_xlnm.Print_Area" localSheetId="1">NotaPedido!$A$1:$K$76</definedName>
  </definedNames>
  <calcPr calcId="144525"/>
</workbook>
</file>

<file path=xl/calcChain.xml><?xml version="1.0" encoding="utf-8"?>
<calcChain xmlns="http://schemas.openxmlformats.org/spreadsheetml/2006/main">
  <c r="I11" i="1" l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J12" i="2"/>
  <c r="A24" i="3" l="1"/>
  <c r="Q21" i="3"/>
  <c r="A10" i="3"/>
  <c r="G7" i="3"/>
  <c r="G6" i="3"/>
  <c r="D1" i="3"/>
  <c r="K12" i="2"/>
  <c r="I12" i="2"/>
  <c r="C12" i="2"/>
  <c r="B12" i="2"/>
  <c r="D4" i="2"/>
  <c r="G5" i="3" s="1"/>
  <c r="D3" i="2"/>
  <c r="G4" i="3" s="1"/>
  <c r="D73" i="1"/>
  <c r="D72" i="1"/>
  <c r="D71" i="1"/>
  <c r="D70" i="1"/>
  <c r="D69" i="1"/>
  <c r="D68" i="1"/>
  <c r="D67" i="1"/>
  <c r="D66" i="1"/>
  <c r="D65" i="1"/>
  <c r="D64" i="1"/>
  <c r="D62" i="1"/>
  <c r="D61" i="1"/>
  <c r="D60" i="1"/>
  <c r="D59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4" i="1"/>
  <c r="D13" i="1"/>
  <c r="D12" i="1"/>
  <c r="D11" i="1"/>
  <c r="I10" i="1"/>
  <c r="D10" i="1"/>
  <c r="J76" i="2" l="1"/>
</calcChain>
</file>

<file path=xl/sharedStrings.xml><?xml version="1.0" encoding="utf-8"?>
<sst xmlns="http://schemas.openxmlformats.org/spreadsheetml/2006/main" count="477" uniqueCount="223">
  <si>
    <t>Pedido de Necesidades Trimestrales</t>
  </si>
  <si>
    <t>JURISDICCION:</t>
  </si>
  <si>
    <t>40 - Ministerio de Salud</t>
  </si>
  <si>
    <t xml:space="preserve">SAF N°: </t>
  </si>
  <si>
    <t>23 - Hospital Interzonal San Juan Bautista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</si>
  <si>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</si>
  <si>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</si>
  <si>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</si>
  <si>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</si>
  <si>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</si>
  <si>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</si>
  <si>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</si>
  <si>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</si>
  <si>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</si>
  <si>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</si>
  <si>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</si>
  <si>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2.1.1-439.60</t>
  </si>
  <si>
    <t>ALIMENTOS</t>
  </si>
  <si>
    <t>ACEITES COMESTIBLES; TIPO: MEZCLA, PRESENTACION: ENVASE X 900 CM3, MATERIAL ENVASE: PLASTICO 1 (PET), ELEM. TRANSPORTE: SIN, MATERIAL ELEM. TRANSPORTE : SIN, LIBRE DE GLUTEN: SI</t>
  </si>
  <si>
    <t>UNIDAD</t>
  </si>
  <si>
    <t>2.1.1-435.38</t>
  </si>
  <si>
    <t>ARROZ; TIPO GRANO: DOBLE, TIPO: BLANCO, PROCESO: PARBOLIZADO, PRESENTACION: ENVASE X 1 Kg, MATERIAL ENVASE: CARTON, CERTIFICADO FORESTAL (GFS): SIN, ELEM. TRANSPORTE: SIN, MATERIAL ELEM. TRANSPORTE: SIN</t>
  </si>
  <si>
    <t>2.1.1-435.50</t>
  </si>
  <si>
    <t>ARROZ; TIPO GRANO: ENTERO, TIPO: BLANCO, PROCESO: FORTIFICADO, PRESENTACION: ENVASE X 1 Kg, MATERIAL ENVASE: PLASTICO 1 (PET), CERTIFICADO FORESTAL (GFS): SIN, ELEM. TRANSPORTE: SIN, MATERIAL ELEM. TRANSPORTE: SIN, LIBRE DE GLUTEN: NO</t>
  </si>
  <si>
    <t>2.1.1-2124.3</t>
  </si>
  <si>
    <t>AVENAS; TIPO: ARROLLADA, ESTADO: NATURAL, PRESENTACION: BOLSA, PESO: 1 Kg</t>
  </si>
  <si>
    <t>2.1.1-481.38</t>
  </si>
  <si>
    <t>AZUCARES; TIPO: "A" COMUN, ESTADO: MOLIDA, PESO: 1 Kg, MATERIAL ENVASE: PLASTICO, CERTIFICADO FORESTAL (GFS): SIN, ELEM. TRANSPORTE: SIN, MATERIAL ELEM. TRANSPORTE: SIN</t>
  </si>
  <si>
    <t>2.1.1-709.6</t>
  </si>
  <si>
    <t>2.1.1</t>
  </si>
  <si>
    <t>CAFE; ESTADO: MOLIDO, ENVASE: PAQUETE, PROCESO: TORRADO C/AZUCAR, CONTENIDO: 500 GR, TIPO: SIN VALOR, PRESENTACION: ENVASE X 500 GR</t>
  </si>
  <si>
    <t>2.1.1-2615.15</t>
  </si>
  <si>
    <t>CACAO; TIPO: INSTANTANEO, PRESENTACION: ENVASE X 800 GR, FORMA DE PRESENTACION: POLVO, MATERIAL ENVASE: CARTON, CERTICADO FORESTAL (GFS): CON, LIBRE DE GLUTEN: SI</t>
  </si>
  <si>
    <t>2.1.1-5917.8</t>
  </si>
  <si>
    <t>CEREALES; TIPO: TRIGO BURGOL, PRESENTACION: ENVASE X 1 Kg</t>
  </si>
  <si>
    <t>2.1.1-597.41</t>
  </si>
  <si>
    <t>CONSERVAS DE FRUTAS; VARIEDAD: COCTEL, ENVASE: LATA, PESO: 800 GR, ELEM. TRANSPORTE: SIN, MATERIAL ELEM. TRANSPORTE: SIN, LIBRE DE GLUTEN: NO</t>
  </si>
  <si>
    <t>2.1.1-597.43</t>
  </si>
  <si>
    <t>CONSERVAS DE FRUTAS; VARIEDAD: COCTEL, ENVASE: LATA, PESO: 820 GR, ELEM. TRANSPORTE: SIN, MATERIAL ELEM. TRANSPORTE: SIN, LIBRE DE GLUTEN: SI</t>
  </si>
  <si>
    <t>2.1.1-708.43</t>
  </si>
  <si>
    <t>CONSERVAS PESCADO Y FRUTOS MAR; TIPO: ATUN, ESTADO: AL NATURAL, PESO: 170 GR, ENVASE: LATA, ELEM. TRANSPORTE: SIN, MATERIAL ELEM. TRANSPORTE: SIN</t>
  </si>
  <si>
    <t>2.1.1-455.16</t>
  </si>
  <si>
    <t>DULCE DE LECHE; ENVASE: DE CARTON, CAPACIDAD: 5000 GR, TIPO: DE REPOSTERIA, PRESENTACION: ENVASE DE CARTON X 5 Kg</t>
  </si>
  <si>
    <t>2.1.1-2113.2</t>
  </si>
  <si>
    <t>DULCES; TIPO: DE MEMBRILLO, PRESENTACION: LATA, PESO: 5 Kg</t>
  </si>
  <si>
    <t>2.1.1-595.2</t>
  </si>
  <si>
    <t>EDULCORANTES; PRESENTACION: LIQUIDO, ENVASE: BOTELLA PLASTICA, CONTENIDO: 500 CM3</t>
  </si>
  <si>
    <t>2.1.1-489.66</t>
  </si>
  <si>
    <t>2.1.1-489.68</t>
  </si>
  <si>
    <t>ESPECIAS; PRESENTACION: BOLSA DE 1 Kg, TIPO: AJI MOLIDO</t>
  </si>
  <si>
    <t>2.1.1-489.119</t>
  </si>
  <si>
    <t>ESPECIAS; TIPO: COMINO, PRESENTACION: BOLSA X 1 Kg</t>
  </si>
  <si>
    <t>2.1.1-489.53</t>
  </si>
  <si>
    <t>ESPECIAS; TIPO: NUEZ MOSCADA, PRESENTACION: POLVO</t>
  </si>
  <si>
    <t>KG</t>
  </si>
  <si>
    <t>2.1.1-489.67</t>
  </si>
  <si>
    <t>ESPECIAS; TIPO: PIMENTON, PRESENTACION: BOLSA DE 1 Kg</t>
  </si>
  <si>
    <t>2.1.1-489.132</t>
  </si>
  <si>
    <t>ESPECIAS; TIPO: PIMIENTA BLANCA, PRESENTACION: ENVASE X 1 Kg</t>
  </si>
  <si>
    <t>2.1.1-613.9</t>
  </si>
  <si>
    <t>FECULA DE MAIZ; ENVASE: BOLSA, PESO: 500 GR, LIBRE DE GLUTEN: SI</t>
  </si>
  <si>
    <t>2.1.1-2868.56</t>
  </si>
  <si>
    <t>FIDEOS SECOS; VARIEDAD: CABELLO DE ANGEL, RELLENO: SIN, PRESENTACION: ENVASE X 500 GR, MATERIAL ENVASE: PVC, ELEM. TRANSPORTE: CAJA, MATERIAL ELEM. TRANSPORTE: CARTON, CERTIFICADO FORESTAL (GFS): SIN, LIBRE DE GLUTEN: NO</t>
  </si>
  <si>
    <t>2.1.1-2868.59</t>
  </si>
  <si>
    <t>FIDEOS SECOS; VARIEDAD: MOSTACHOLES, RELLENO: SIN, PRESENTACION: ENVASE X 500 GR, MATERIAL ENVASE: PVC, ELEM. TRANSPORTE: CAJA, MATERIAL ELEM. TRANSPORTE: CARTON, CERTIFICADO FORESTAL (GFS): SIN, LIBRE DE GLUTEN: NO</t>
  </si>
  <si>
    <t>2.1.1-2868.58</t>
  </si>
  <si>
    <t>FIDEOS SECOS; VARIEDAD: MUNICION, RELLENO: SIN, PRESENTACION: ENVASE X 500 GR, MATERIAL ENVASE: PVC, ELEM. TRANSPORTE: CAJA, MATERIAL ELEM. TRANSPORTE: CARTON, CERTIFICADO FORESTAL (GFS): SIN, LIBRE DE GLUTEN: NO</t>
  </si>
  <si>
    <t>2.1.1-2868.54</t>
  </si>
  <si>
    <t>FIDEOS SECOS; VARIEDAD: SOPERO, RELLENO: SIN, PRESENTACION: ENVASE X 500 GR, MATERIAL ENVASE: PLASTICO 1 (PET), ELEM. TRANSPORTE: SIN, MATERIAL ELEM. TRANSPORTE: SIN, CERTIFICADO FORESTAL (GFS): SIN, LIBRE DE GLUTEN: NO</t>
  </si>
  <si>
    <t>2.1.1-2868.86</t>
  </si>
  <si>
    <t>FIDEOS SECOS; VARIEDAD: SPAGHETTI AL HUEVO, RELLENO: SIN, PRESENTACION: PAQUETE X 500 GR, MATERIAL ENVASE: PLASTICO 1 (PET), ELEM. TRANSPORTE: SIN, MATERIAL ELEM. TRANSPORTE: SIN, CERTIFICADO FORESTAL (GFS): SIN, LIBRE DE GLUTEN: NO</t>
  </si>
  <si>
    <t>2.1.1-2868.65</t>
  </si>
  <si>
    <t>FIDEOS SECOS; VARIEDAD: SPAGHETTI VERDES, RELLENO: SIN, PRESENTACION: ENVASE X 5 Kg, MATERIAL ENVASE: PLASTICO 1 (PET), ELEM. TRANSPORTE: SIN, MATERIAL ELEM. TRANSPORTE: SIN, CERTIFICADO FORESTAL (GFS): SIN, LIBRE DE GLUTEN: NO</t>
  </si>
  <si>
    <t>2.1.1-2868.55</t>
  </si>
  <si>
    <t>FIDEOS SECOS; VARIEDAD: TALLARIN, RELLENO: SIN, PRESENTACION: ENVASE X 500 GR, MATERIAL ENVASE: PLASTICO 1 (PET), ELEM. TRANSPORTE: SIN, MATERIAL ELEM. TRANSPORTE: SIN, CERTIFICADO FORESTAL (GFS): SIN, LIBRE DE GLUTEN: NO</t>
  </si>
  <si>
    <t>2.1.1-2868.53</t>
  </si>
  <si>
    <t>FIDEOS SECOS; VARIEDAD: TIRABUZON, RELLENO: SIN, PRESENTACION: ENVASE X 500 GR, MATERIAL ENVASE: PLASTICO 1 (PET), ELEM. TRANSPORTE: SIN, MATERIAL ELEM. TRANSPORTE: SIN, CERTIFICADO FORESTAL (GFS): SIN, LIBRE DE GLUTEN: NO</t>
  </si>
  <si>
    <t>2.1.1-513.9</t>
  </si>
  <si>
    <t>FLANES; PESO: 60 GR, ENVASE: CAJA CARTON, ESTADO PREPARACION: CON COCCION, SABOR: VAINILLA, TIPO: SIN VALOR, PRESENTACION: 60 GR</t>
  </si>
  <si>
    <t>2.1.1-6539.38</t>
  </si>
  <si>
    <t>FRUTAS; VARIEDAD: ANANA, PRESENTACION: ENVASE X 850 GR, PESO: 850 GR, ESTADO: CONSERVA</t>
  </si>
  <si>
    <t>2.1.1-6539.114</t>
  </si>
  <si>
    <t>FRUTAS; VARIEDAD: CIRUELA ( SIN CAROZO ), ESTADO: DESECADA, PRESENTACION: ENVASE X 10 Kg, PESO: 10 Kg</t>
  </si>
  <si>
    <t>2.1.1-6539.178</t>
  </si>
  <si>
    <t>FRUTAS; VARIEDAD: DURAZNO ( SIN CAROZO ), ESTADO: DESECADA, PRESENTACION: ENVASE X 5 Kg, ELEM. TRANSPORTE: SIN, MATERIAL ELEM. TRANSPORTE: SIN</t>
  </si>
  <si>
    <t>2.1.1-6539.46</t>
  </si>
  <si>
    <t>FRUTAS; VARIEDAD: DURAZNO, ESTADO: CONSERVA, PRESENTACION: ENVASE X 800 GR, PESO: 800 GR</t>
  </si>
  <si>
    <t>2.1.1-788.224</t>
  </si>
  <si>
    <t>GALLETITAS; VARIEDAD: SALADA, RELLENO: SIN, PRESENTACION: ENVASE X 275 GR, ELEM. TRANSPORTE: SIN, MATERIAL ELEM. TRANSPORTE: SIN, LIBRE DE GLUTEN: SI</t>
  </si>
  <si>
    <t>2.1.1-788.229</t>
  </si>
  <si>
    <t>GALLETITAS; VARIEDAD: VAINILLA, RELLENO: SIN, PRESENTACION: ENVASE X 792 GR, ELEM. TRANSPORTE: SIN, MATERIAL ELEM. TRANSPORTE: SIN, LIBRE DE GLUTEN: NO</t>
  </si>
  <si>
    <t>2.1.1-510.5</t>
  </si>
  <si>
    <t>GELATINAS; ENVASE: CAJA DE CARTON, PESO: 30 GR, TIPO: BAJAS CALORIAS, SABOR: FRUTILLA</t>
  </si>
  <si>
    <t>2.1.1-510.3</t>
  </si>
  <si>
    <t>GELATINAS; TIPO: BAJAS CALORIAS, ENVASE: CAJA DE CARTON, PESO: 30 GR, SABOR: CEREZA</t>
  </si>
  <si>
    <t>2.1.1-482.80</t>
  </si>
  <si>
    <t>HARINAS; TIPO: DE TRIGO 000, PRESENTACION: ENVASE X 1 Kg, MATERIAL ENVASE: PAPEL, CERTICADO FORESTAL (GFS): SIN, ELEM. TRANSPORTE: SIN, MATERIAL ELEM. TRANSPORTE: SIN, LIBRE DE GLUTEN: NO</t>
  </si>
  <si>
    <t>2.1.1-482.61</t>
  </si>
  <si>
    <t>HARINAS; TIPO: LEUDANTE, PRESENTACION: ENVASE X 1 Kg, MATERIAL ENVASE: PAPEL, CERTICADO FORESTAL (GFS): SIN, ELEM. TRANSPORTE: PALLET RETORNABLE, MATERIAL ELEM. TRANSPORTE: MADERA</t>
  </si>
  <si>
    <t>2.1.1-482.69</t>
  </si>
  <si>
    <t>HARINAS; TIPO: MAIZ, PRESENTACION: ENVASE X 1 Kg, MATERIAL ENVASE: PAPEL, CERTICADO FORESTAL (GFS): SIN, ELEM. TRANSPORTE: SIN, MATERIAL ELEM. TRANSPORTE: SIN, LIBRE DE GLUTEN: NO</t>
  </si>
  <si>
    <t>2.1.1-6558.8</t>
  </si>
  <si>
    <t>JARDINERA; PRESENTACION: ENVASE X 350 GR, PESO: SIN VALOR, MATERIAL ENVASE: METAL, ELEM. TRANSPORTE: SIN, MATERIAL ELEM. TRANSPORTE: SIN</t>
  </si>
  <si>
    <t>2.1.1-705.116</t>
  </si>
  <si>
    <t>LECHE; ESTADO: LIQUIDO, TIPO: DESCREMADA, PROCESO: LARGA VIDA, AGREGADO: VITAMINAS A Y D, PRESENTACION: ENVASE X 1 L, MATERIAL ENVASE: PLASTICO, ELEM. TRANSPORTE: SIN, MATERIAL ELEM. TRANSPORTE: SIN, CERTIFICADO FORESTAL (GFS): SIN, LIBRE DE GLUTEN: SIN VALOR</t>
  </si>
  <si>
    <t>2.1.1-6547.84</t>
  </si>
  <si>
    <t>LEGUMBRES; VARIEDAD: ARVEJAS, ESTADO: CONSERVA, PRESENTACION: LATA, PESO: 350 GR, MATERIAL ENVASE: METAL, ELEM. TRANSPORTE: SIN, MATERIAL ELEM. TRANSPORTE: SIN, LIBRE DE GLUTEN: NO</t>
  </si>
  <si>
    <t>2.1.1-6547.88</t>
  </si>
  <si>
    <t>LEGUMBRES; VARIEDAD: LENTEJA, ESTADO: SECO, PRESENTACION: BOLSA, PESO: 450 GR, MATERIAL ENVASE: PLASTICO, ELEM. TRANSPORTE: SIN, MATERIAL ELEM. TRANSPORTE: SIN, LIBRE DE GLUTEN: SI</t>
  </si>
  <si>
    <t>2.1.1-6547.56</t>
  </si>
  <si>
    <t>LEGUMBRES; VARIEDAD: POROTO BLANCO OVAL, ESTADO: SECO, PRESENTACION: BOLSA, PESO: 500 GR</t>
  </si>
  <si>
    <t>2.1.1-2616.9</t>
  </si>
  <si>
    <t>MAIZ; TIPO: BLANCO PISADO, PRESENTACION: ENVASE X 500 GR, FORMA DE PRESENTACION: SIN VALOR</t>
  </si>
  <si>
    <t>2.1.1-6547.57</t>
  </si>
  <si>
    <t>LEGUMBRES; VARIEDAD: LENTEJAS SECAS, ESTADO: SECO, PRESENTACION: BOLSA, PESO: 500 GR</t>
  </si>
  <si>
    <t>2.1.1-706.6</t>
  </si>
  <si>
    <t>MATE COCIDO; ENVASE: CAJA CARTON, PRESENTACION: ENSOBRADO, SAQUITOS P/CAJA: 100 UN, PESO X SAQ.: 3 GR</t>
  </si>
  <si>
    <t>2.1.1-517.86</t>
  </si>
  <si>
    <t>POSTRES; ESTADO PREPARACION: CON COCCION, TIPO: POLVO, ENVASE: CAJA DE CARTON, PESO: 80 GR, SABOR: VAINILLA, LIBRE DE GLUTEN: SI</t>
  </si>
  <si>
    <t>2.1.1-514.2</t>
  </si>
  <si>
    <t>SAL DE MESA; CONSISTENCIA: FINA, PESO: 500 GR, TIPO: SIN VALOR, ENVASE: PAQUETE</t>
  </si>
  <si>
    <t>2.1.1-514.11</t>
  </si>
  <si>
    <t>SAL DE MESA; CONSISTENCIA: GRUESA, PESO: 50 Kg, TIPO: SIN VALOR, ENVASE: BOLSA</t>
  </si>
  <si>
    <t>2.1.1-514.15</t>
  </si>
  <si>
    <t>SAL DE MESA; CONSISTENCIA: GRUESA, ENVASE: BOLSA, PESO: 1 Kg, TIPO: SIN VALOR</t>
  </si>
  <si>
    <t>2.1.1-2126.13</t>
  </si>
  <si>
    <t>SEMOLAS; TIPO: VITINA, PRESENTACION: BOLSA, PESO: 500 GR, MATERIAL ENVASE: PLASTICO 1 (PET), CERTICADO FORESTAL (GFS): SIN, LIBRE DE GLUTEN: NO</t>
  </si>
  <si>
    <t>2.1.1-511.8</t>
  </si>
  <si>
    <t>TE; SAQUITOS 2G P/CAJA: 50, PESO: SIN VALOR, TIPO: SIN VALOR, PRESENTACION: EN SAQUITOS</t>
  </si>
  <si>
    <t>2.1.1-6546.336</t>
  </si>
  <si>
    <t>VERDURAS Y HORTALIZAS; VARIEDAD: CHOCLO, ESTADO: CREMOSO, PRESENTACION: LATA, PESO: 350 GR, ELEM. TRANSPORTE: SIN, MATERIAL ELEM. TRANSPORTE: SIN, LIBRE DE GLUTEN: NO</t>
  </si>
  <si>
    <t>2.1.1-6546.269</t>
  </si>
  <si>
    <t>VERDURAS Y HORTALIZAS; VARIEDAD: CHOCLO, ESTADO: GRANO, PRESENTACION: LATA, PESO: 350 GR</t>
  </si>
  <si>
    <t>2.1.1-6546.183</t>
  </si>
  <si>
    <t>VERDURAS Y HORTALIZAS; VARIEDAD: TOMATE PERITA, ESTADO: NATURAL, PRESENTACION: LATA, PESO: 380 GR</t>
  </si>
  <si>
    <t>2.1.1-6546.81</t>
  </si>
  <si>
    <t>VERDURAS Y HORTALIZAS; VARIEDAD: TOMATE, ESTADO: PURE NATURAL, PRESENTACION: CAJA, PESO: 500 GR</t>
  </si>
  <si>
    <t>2.1.1-519.23</t>
  </si>
  <si>
    <t>VINAGRES; TIPO: MANZANA, PRESENTACION: ENVASE X 1 L, MATERIAL ENVASE: PLASTICO 1 (PET)</t>
  </si>
  <si>
    <t>2.1.1-519.27</t>
  </si>
  <si>
    <t>VINAGRES; TIPO: VINO, PRESENTACION: ENVASE X 1 L, MATERIAL ENVASE: PLASTICO 1 (PET), LIBRE DE GLUTEN: NO</t>
  </si>
  <si>
    <t>2.1.1-454.25</t>
  </si>
  <si>
    <t>YERBAS; PALO: CON, PESO: 1 Kg, MATERIAL ENVASE : PAPEL, CERTIFICADO FORESTAL (GFS): CON, ELEM. TRANSPORTE: SIN, MATERIAL ELEM. TRANSPORTE: SIN, LIBRE DE GLUTEN: SI</t>
  </si>
  <si>
    <t>MANTENIMIENTO DE OFERTA: 45 DIAS HABILES</t>
  </si>
  <si>
    <t>Descripción técnica</t>
  </si>
  <si>
    <t>Plazos y lugares de entrega</t>
  </si>
  <si>
    <t>Calidad Minima esperada</t>
  </si>
  <si>
    <t>Mantenimiento</t>
  </si>
  <si>
    <t xml:space="preserve">45 dias habiles </t>
  </si>
  <si>
    <t>Garantia</t>
  </si>
  <si>
    <t>N°</t>
  </si>
  <si>
    <t xml:space="preserve">JURISDICCIÓN: </t>
  </si>
  <si>
    <t>SAF:</t>
  </si>
  <si>
    <t>UNIDAD EJECUTORA:</t>
  </si>
  <si>
    <t>168 - Direccion Asistencial</t>
  </si>
  <si>
    <t xml:space="preserve">DEPENDENCIA SOLICITANTE: </t>
  </si>
  <si>
    <t>Servicio de Nutricion</t>
  </si>
  <si>
    <t>PERIODO UTILIZACIÓN:</t>
  </si>
  <si>
    <t>OBJETO:</t>
  </si>
  <si>
    <t>Adquisición de Alimentos no perecederos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</si>
  <si>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</si>
  <si>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</si>
  <si>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</si>
  <si>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</si>
  <si>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</si>
  <si>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</si>
  <si>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</si>
  <si>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</si>
  <si>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</si>
  <si>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</si>
  <si>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</rPr>
      <t>AUTORIZACIÓN</t>
    </r>
    <r>
      <rPr>
        <b/>
        <sz val="10"/>
        <rFont val="Arial"/>
        <family val="2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</si>
  <si>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</si>
  <si>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</si>
  <si>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</si>
  <si>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</si>
  <si>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</si>
  <si>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</si>
  <si>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</si>
  <si>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</si>
  <si>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</si>
  <si>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</si>
  <si>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</si>
  <si>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</si>
  <si>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</si>
  <si>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</si>
  <si>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</si>
  <si>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</si>
  <si>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</si>
  <si>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</si>
  <si>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3.1</t>
  </si>
  <si>
    <t>1.1</t>
  </si>
  <si>
    <t>Alimentos para personas</t>
  </si>
  <si>
    <t>JUSTIFICACIÓN:</t>
  </si>
  <si>
    <t>3° TRIMESTRE  - AÑO 2022</t>
  </si>
  <si>
    <t>Especificidades Item N° 06</t>
  </si>
  <si>
    <t xml:space="preserve">TRIGO BURGOL FINO </t>
  </si>
  <si>
    <t>10 DIAS HABILES - LUGAR DE ENTREGA: SERVICIO DE NUTRICION - HOSPITAL INTERZONAL SAN JUAN BAUTISTA - AV. ILLIA ESQ. MARIANO MORENO - DE LUNES A VIERNES DE 08:00 HORAS A 11:00 HORAS</t>
  </si>
  <si>
    <t xml:space="preserve">SAL DE MESA TIPO COMUN </t>
  </si>
  <si>
    <t>Especificidades Item N° 07</t>
  </si>
  <si>
    <t>Especificidades Item N° 08</t>
  </si>
  <si>
    <t>Especificidades Item N° 54</t>
  </si>
  <si>
    <t xml:space="preserve">SAL GRUESA - APTA PARA CONSUMO HUMANO - </t>
  </si>
  <si>
    <t>CAFÉ INSTANTANEO TOSTADO CON AZUCAR BLANCA LIBRE DE GLUTEN - TIPO CLASICO: ENVASE X 500 GR</t>
  </si>
  <si>
    <t xml:space="preserve">CACAO EN POLVO CON AZUCAR INSTANTANEO PARA DILUIR - ENVASE POR 800 GRAMOS </t>
  </si>
  <si>
    <t>2.1.1-2113.21</t>
  </si>
  <si>
    <t>DULCES; TIPO: BATATA A LA VAINILLA, PRESENTACION: LATA, PESO: 5 Kg</t>
  </si>
  <si>
    <t>ESPECIAS; TIPO: OREGANO, PRESENTACION: BOLSA DE 1 Kg</t>
  </si>
  <si>
    <t>Especificidades Item N° 19</t>
  </si>
  <si>
    <t xml:space="preserve">NUEZ MOSCADA EN POLVO  PRESENTACION: ENVASE POR KG </t>
  </si>
  <si>
    <t>Especificidades Item N° 53</t>
  </si>
  <si>
    <t>Especificidades Item N° 55</t>
  </si>
  <si>
    <t>NOTA DE PEDIDO 81</t>
  </si>
  <si>
    <t>Especificidades Item N° 04</t>
  </si>
  <si>
    <t>Especificidades Item N° 11</t>
  </si>
  <si>
    <t>FIDEOS SECOS; VARIEDAD: GUISERO, RELLENO: SIN, PRESENTACION: ENVASE X 500 GR, MATERIAL ENVASE: PLASTICO 1 (PET), ELEM. TRANSPORTE: SIN, MATERIAL ELEM. TRANSPORTE: SIN, CERTIFICADO FORESTAL (GFS): SIN, LIBRE DE GLUTEN: NO</t>
  </si>
  <si>
    <t>2.1.1-2868.71</t>
  </si>
  <si>
    <t>Costo total estimado: PESOS DOS MILLONES CUATROCIENTOS CUARENTA Y OCHO MIL CUATROCIENTOS  OCHENTA Y NUEVE CON 21/100.---</t>
  </si>
  <si>
    <t>TOTAL DE PESOS: DOS MILLONES CUATROCIENTOS CUARENTA Y OCHO MIL CUATROCIENTOS OCHENTA Y NUEVE CON 21/100.--</t>
  </si>
  <si>
    <t>AVENA TRADICIONAL GRUESA</t>
  </si>
  <si>
    <t>ATUN AL NATURAL DESMENUZADO</t>
  </si>
  <si>
    <t>“Todos los productos deberán presentar en el envase el rótulo bien legible y responder a toda la información establecida en el Código Alimentario Argentino – Cap. V: “Normas para la Rotulación y Publicidad de Alimentos”. ANEXO Reglamento Técnico MERCOSUR para la rotulación de Alimentos Envasados – Inciso 5: Información Obligatoria: Denominación de venta del alimento; Lista de ingredientes; Contenidos netos; Identificación del origen; Nombre o razón social y dirección del importador, para alimentos importados; Identificación del lote; Fecha de duración mínima; Instrucción de uso del alimento, cuando corresponda. La fecha de vencimiento de los productos adjudicados debe ser mayor a 6 (seis) meses al momento de ser bajada en el lugar de entrega y responder a las marcas y características presentadas en la oferta de la presente contratación. Además, debe presentarse el envase en óptimas condiciones de higiene e integridad del mismo.</t>
  </si>
  <si>
    <t>PLAZO DE ENTREGA: 10 DIAS HABILES  - LUGAR DE ENTREGA: SERVICIO DE NUTRICION - HOSPITAL INTERZONAL SAN JUAN BAUTISTA - AV. ILLIA ESQ. MARIANO MORENO DE LUNES A VIERNES EN EL HORARIO DE 08:00 A 11:00 HORAS.</t>
  </si>
  <si>
    <t>DOCFI-2022-01256692-CAT-DASIS#HSJB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</si>
</sst>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&quot;$&quot;* #,##0.00_);_(&quot;$&quot;* \(#,##0.00\);_(&quot;$&quot;* \-??_);_(@_)"/>
    <numFmt numFmtId="165" formatCode="[$$-2C0A]\ #,##0.00"/>
    <numFmt numFmtId="166" formatCode="_-* #,##0.00&quot; €&quot;_-;\-* #,##0.00&quot; €&quot;_-;_-* \-??&quot; €&quot;_-;_-@_-"/>
    <numFmt numFmtId="167" formatCode="dd\-mm\-yy;@"/>
    <numFmt numFmtId="168" formatCode="[$$-2C0A]\ #,##0.00;[$$-2C0A]&quot; -&quot;#,##0.00"/>
  </numFmts>
  <fonts count="32" x14ac:knownFonts="1">
    <font>
      <sz val="10"/>
      <name val="Arial"/>
      <charset val="1"/>
    </font>
    <font>
      <b/>
      <sz val="11"/>
      <name val="Arial"/>
      <family val="2"/>
    </font>
    <font>
      <sz val="11"/>
      <name val="Arial"/>
      <family val="2"/>
    </font>
    <font>
      <sz val="10"/>
      <name val="Times New Roman"/>
      <family val="1"/>
    </font>
    <font>
      <b/>
      <u/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name val="Arial"/>
      <family val="2"/>
    </font>
    <font>
      <b/>
      <u/>
      <sz val="12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sz val="12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0"/>
      <color rgb="FF000000"/>
      <name val="Calibri"/>
      <family val="2"/>
    </font>
    <font>
      <b/>
      <sz val="10"/>
      <name val="Times New Roman"/>
      <family val="1"/>
    </font>
    <font>
      <u/>
      <sz val="10"/>
      <name val="Times New Roman"/>
      <family val="1"/>
    </font>
    <font>
      <b/>
      <sz val="15"/>
      <color rgb="FF666699"/>
      <name val="Calibri"/>
      <family val="2"/>
    </font>
    <font>
      <sz val="11"/>
      <color rgb="FF993300"/>
      <name val="Calibri"/>
      <family val="2"/>
    </font>
    <font>
      <sz val="10"/>
      <name val="Arial"/>
      <family val="2"/>
    </font>
    <font>
      <b/>
      <sz val="8"/>
      <name val="Arial"/>
      <family val="2"/>
    </font>
    <font>
      <b/>
      <sz val="9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CC"/>
      </patternFill>
    </fill>
    <fill>
      <patternFill patternType="solid">
        <fgColor rgb="FFFFFF00"/>
        <bgColor indexed="64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medium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/>
      <bottom/>
      <diagonal/>
    </border>
    <border>
      <left style="thin">
        <color rgb="FF3D3D3D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/>
      <right style="medium">
        <color rgb="FF3D3D3D"/>
      </right>
      <top/>
      <bottom/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thin">
        <color rgb="FF3D3D3D"/>
      </left>
      <right style="medium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rgb="FF3D3D3D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ck">
        <color rgb="FF33CCCC"/>
      </bottom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5">
    <xf numFmtId="0" fontId="0" fillId="0" borderId="0"/>
    <xf numFmtId="166" fontId="6" fillId="0" borderId="0" applyBorder="0" applyProtection="0"/>
    <xf numFmtId="164" fontId="29" fillId="0" borderId="0" applyBorder="0" applyProtection="0"/>
    <xf numFmtId="0" fontId="27" fillId="0" borderId="50" applyProtection="0"/>
    <xf numFmtId="0" fontId="28" fillId="5" borderId="0" applyBorder="0" applyProtection="0"/>
  </cellStyleXfs>
  <cellXfs count="167">
    <xf numFmtId="0" fontId="0" fillId="0" borderId="0" xfId="0"/>
    <xf numFmtId="0" fontId="0" fillId="0" borderId="0" xfId="0" applyFont="1"/>
    <xf numFmtId="0" fontId="0" fillId="0" borderId="0" xfId="0" applyAlignment="1">
      <alignment horizontal="left"/>
    </xf>
    <xf numFmtId="3" fontId="1" fillId="0" borderId="0" xfId="0" applyNumberFormat="1" applyFont="1" applyBorder="1" applyAlignment="1"/>
    <xf numFmtId="167" fontId="0" fillId="0" borderId="0" xfId="0" applyNumberFormat="1" applyAlignment="1">
      <alignment horizontal="left"/>
    </xf>
    <xf numFmtId="0" fontId="0" fillId="0" borderId="9" xfId="0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3" xfId="0" applyFont="1" applyBorder="1" applyAlignment="1">
      <alignment horizontal="left" vertical="center"/>
    </xf>
    <xf numFmtId="0" fontId="0" fillId="2" borderId="14" xfId="0" applyFont="1" applyFill="1" applyBorder="1" applyAlignment="1">
      <alignment horizontal="center" vertical="center"/>
    </xf>
    <xf numFmtId="0" fontId="0" fillId="2" borderId="15" xfId="0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/>
    </xf>
    <xf numFmtId="0" fontId="0" fillId="0" borderId="16" xfId="0" applyFont="1" applyBorder="1" applyAlignment="1">
      <alignment horizontal="center" vertical="center"/>
    </xf>
    <xf numFmtId="0" fontId="0" fillId="0" borderId="17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0" fillId="0" borderId="1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0" xfId="0" applyBorder="1"/>
    <xf numFmtId="0" fontId="5" fillId="0" borderId="25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0" fillId="3" borderId="15" xfId="0" applyFont="1" applyFill="1" applyBorder="1" applyAlignment="1">
      <alignment horizontal="center" vertical="center"/>
    </xf>
    <xf numFmtId="0" fontId="0" fillId="2" borderId="26" xfId="0" applyFont="1" applyFill="1" applyBorder="1" applyAlignment="1">
      <alignment horizontal="center" vertical="center"/>
    </xf>
    <xf numFmtId="0" fontId="0" fillId="0" borderId="2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/>
    <xf numFmtId="0" fontId="0" fillId="0" borderId="30" xfId="0" applyBorder="1"/>
    <xf numFmtId="168" fontId="0" fillId="0" borderId="31" xfId="2" applyNumberFormat="1" applyFont="1" applyBorder="1" applyAlignment="1" applyProtection="1">
      <alignment horizontal="center" vertical="center"/>
    </xf>
    <xf numFmtId="168" fontId="0" fillId="0" borderId="32" xfId="2" applyNumberFormat="1" applyFont="1" applyBorder="1" applyAlignment="1" applyProtection="1">
      <alignment horizontal="center" vertical="center"/>
    </xf>
    <xf numFmtId="168" fontId="0" fillId="0" borderId="0" xfId="0" applyNumberFormat="1"/>
    <xf numFmtId="168" fontId="0" fillId="0" borderId="33" xfId="2" applyNumberFormat="1" applyFont="1" applyBorder="1" applyAlignment="1" applyProtection="1">
      <alignment horizontal="center" vertical="center"/>
    </xf>
    <xf numFmtId="168" fontId="5" fillId="0" borderId="21" xfId="0" applyNumberFormat="1" applyFont="1" applyBorder="1" applyAlignment="1">
      <alignment horizontal="center" vertical="center"/>
    </xf>
    <xf numFmtId="0" fontId="0" fillId="0" borderId="0" xfId="0" applyFont="1" applyBorder="1" applyAlignment="1">
      <alignment vertical="center"/>
    </xf>
    <xf numFmtId="0" fontId="9" fillId="0" borderId="10" xfId="0" applyFont="1" applyBorder="1" applyAlignment="1">
      <alignment vertical="center"/>
    </xf>
    <xf numFmtId="0" fontId="9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left" vertical="center" wrapText="1" indent="1"/>
    </xf>
    <xf numFmtId="0" fontId="3" fillId="0" borderId="38" xfId="0" applyFont="1" applyBorder="1" applyAlignment="1">
      <alignment horizontal="center" vertical="center"/>
    </xf>
    <xf numFmtId="0" fontId="3" fillId="3" borderId="38" xfId="0" applyFont="1" applyFill="1" applyBorder="1" applyAlignment="1">
      <alignment horizontal="left" vertical="center"/>
    </xf>
    <xf numFmtId="0" fontId="3" fillId="2" borderId="38" xfId="0" applyFont="1" applyFill="1" applyBorder="1" applyAlignment="1">
      <alignment horizontal="center" vertical="center"/>
    </xf>
    <xf numFmtId="0" fontId="9" fillId="0" borderId="29" xfId="0" applyFont="1" applyBorder="1" applyAlignment="1">
      <alignment horizontal="right" vertical="center"/>
    </xf>
    <xf numFmtId="0" fontId="3" fillId="3" borderId="38" xfId="0" applyFont="1" applyFill="1" applyBorder="1" applyAlignment="1">
      <alignment horizontal="center" vertical="center" wrapText="1"/>
    </xf>
    <xf numFmtId="168" fontId="3" fillId="3" borderId="38" xfId="1" applyNumberFormat="1" applyFont="1" applyFill="1" applyBorder="1" applyAlignment="1" applyProtection="1">
      <alignment horizontal="right" vertical="center" wrapText="1"/>
    </xf>
    <xf numFmtId="3" fontId="3" fillId="3" borderId="38" xfId="0" applyNumberFormat="1" applyFont="1" applyFill="1" applyBorder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wrapText="1"/>
    </xf>
    <xf numFmtId="0" fontId="17" fillId="0" borderId="0" xfId="0" applyFont="1" applyAlignment="1">
      <alignment horizontal="left" wrapText="1"/>
    </xf>
    <xf numFmtId="0" fontId="17" fillId="0" borderId="0" xfId="0" applyFont="1" applyAlignment="1">
      <alignment horizontal="center" wrapText="1"/>
    </xf>
    <xf numFmtId="0" fontId="18" fillId="3" borderId="0" xfId="0" applyFont="1" applyFill="1" applyAlignment="1">
      <alignment horizontal="left" wrapText="1"/>
    </xf>
    <xf numFmtId="0" fontId="18" fillId="0" borderId="34" xfId="0" applyFont="1" applyBorder="1" applyAlignment="1">
      <alignment horizontal="center" vertical="center" wrapText="1"/>
    </xf>
    <xf numFmtId="0" fontId="20" fillId="2" borderId="34" xfId="0" applyFont="1" applyFill="1" applyBorder="1" applyAlignment="1">
      <alignment horizontal="center" vertical="center" wrapText="1"/>
    </xf>
    <xf numFmtId="168" fontId="19" fillId="2" borderId="34" xfId="1" applyNumberFormat="1" applyFont="1" applyFill="1" applyBorder="1" applyAlignment="1" applyProtection="1">
      <alignment horizontal="right" vertical="center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/>
    </xf>
    <xf numFmtId="0" fontId="26" fillId="0" borderId="42" xfId="0" applyFont="1" applyBorder="1" applyAlignment="1">
      <alignment horizontal="left" vertical="center"/>
    </xf>
    <xf numFmtId="0" fontId="26" fillId="0" borderId="45" xfId="0" applyFont="1" applyBorder="1" applyAlignment="1">
      <alignment horizontal="left" vertical="center"/>
    </xf>
    <xf numFmtId="0" fontId="26" fillId="0" borderId="45" xfId="0" applyFont="1" applyBorder="1" applyAlignment="1">
      <alignment horizontal="center" vertical="center"/>
    </xf>
    <xf numFmtId="168" fontId="13" fillId="0" borderId="0" xfId="0" applyNumberFormat="1" applyFont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 applyAlignment="1">
      <alignment horizontal="center" vertical="center"/>
    </xf>
    <xf numFmtId="0" fontId="3" fillId="0" borderId="0" xfId="0" applyFont="1" applyBorder="1"/>
    <xf numFmtId="0" fontId="3" fillId="0" borderId="46" xfId="0" applyFont="1" applyBorder="1"/>
    <xf numFmtId="0" fontId="3" fillId="0" borderId="0" xfId="0" applyFont="1" applyBorder="1" applyAlignment="1">
      <alignment horizontal="center" wrapText="1"/>
    </xf>
    <xf numFmtId="0" fontId="3" fillId="0" borderId="46" xfId="0" applyFont="1" applyBorder="1" applyAlignment="1">
      <alignment horizontal="center" wrapText="1"/>
    </xf>
    <xf numFmtId="0" fontId="3" fillId="0" borderId="47" xfId="0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3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wrapText="1"/>
    </xf>
    <xf numFmtId="0" fontId="17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43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48" xfId="0" applyFont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 vertical="center" wrapText="1"/>
    </xf>
    <xf numFmtId="0" fontId="3" fillId="2" borderId="46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 wrapText="1"/>
    </xf>
    <xf numFmtId="0" fontId="3" fillId="4" borderId="46" xfId="0" applyFont="1" applyFill="1" applyBorder="1" applyAlignment="1">
      <alignment horizontal="center"/>
    </xf>
    <xf numFmtId="0" fontId="25" fillId="0" borderId="0" xfId="0" applyFont="1" applyBorder="1" applyAlignment="1">
      <alignment horizontal="left" vertical="center" wrapText="1"/>
    </xf>
    <xf numFmtId="0" fontId="3" fillId="2" borderId="0" xfId="0" applyFont="1" applyFill="1" applyBorder="1" applyAlignment="1">
      <alignment horizontal="center"/>
    </xf>
    <xf numFmtId="0" fontId="3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/>
    </xf>
    <xf numFmtId="168" fontId="3" fillId="3" borderId="34" xfId="1" applyNumberFormat="1" applyFont="1" applyFill="1" applyBorder="1" applyAlignment="1" applyProtection="1">
      <alignment horizontal="right" vertical="center" wrapText="1"/>
    </xf>
    <xf numFmtId="0" fontId="19" fillId="3" borderId="34" xfId="0" applyFont="1" applyFill="1" applyBorder="1" applyAlignment="1">
      <alignment horizontal="center" vertical="center"/>
    </xf>
    <xf numFmtId="0" fontId="20" fillId="3" borderId="34" xfId="0" applyFont="1" applyFill="1" applyBorder="1" applyAlignment="1">
      <alignment horizontal="center" vertical="center" wrapText="1"/>
    </xf>
    <xf numFmtId="0" fontId="21" fillId="3" borderId="34" xfId="0" applyFont="1" applyFill="1" applyBorder="1" applyAlignment="1">
      <alignment vertical="center" wrapText="1"/>
    </xf>
    <xf numFmtId="0" fontId="13" fillId="3" borderId="0" xfId="0" applyFont="1" applyFill="1"/>
    <xf numFmtId="0" fontId="16" fillId="2" borderId="0" xfId="0" applyFont="1" applyFill="1" applyAlignment="1">
      <alignment horizontal="left" vertical="center" wrapText="1"/>
    </xf>
    <xf numFmtId="0" fontId="23" fillId="3" borderId="34" xfId="0" applyFont="1" applyFill="1" applyBorder="1" applyAlignment="1">
      <alignment horizontal="center" vertical="center" wrapText="1"/>
    </xf>
    <xf numFmtId="0" fontId="24" fillId="3" borderId="34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center" vertical="center"/>
    </xf>
    <xf numFmtId="0" fontId="23" fillId="3" borderId="34" xfId="0" applyFont="1" applyFill="1" applyBorder="1" applyAlignment="1">
      <alignment horizontal="left" vertical="center" wrapText="1"/>
    </xf>
    <xf numFmtId="0" fontId="22" fillId="3" borderId="34" xfId="0" applyFont="1" applyFill="1" applyBorder="1" applyAlignment="1">
      <alignment horizontal="center" vertical="center" wrapText="1"/>
    </xf>
    <xf numFmtId="0" fontId="22" fillId="3" borderId="34" xfId="0" applyFont="1" applyFill="1" applyBorder="1" applyAlignment="1">
      <alignment horizontal="center" vertical="center"/>
    </xf>
    <xf numFmtId="0" fontId="22" fillId="3" borderId="34" xfId="0" applyFont="1" applyFill="1" applyBorder="1" applyAlignment="1">
      <alignment horizontal="left" vertical="center" wrapText="1"/>
    </xf>
    <xf numFmtId="0" fontId="31" fillId="2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left" vertical="center" wrapText="1"/>
    </xf>
    <xf numFmtId="0" fontId="3" fillId="4" borderId="46" xfId="0" applyFont="1" applyFill="1" applyBorder="1" applyAlignment="1">
      <alignment horizontal="center"/>
    </xf>
    <xf numFmtId="0" fontId="12" fillId="6" borderId="39" xfId="0" applyFont="1" applyFill="1" applyBorder="1" applyAlignment="1">
      <alignment horizontal="center" vertical="center" wrapText="1"/>
    </xf>
    <xf numFmtId="0" fontId="12" fillId="6" borderId="40" xfId="0" applyFont="1" applyFill="1" applyBorder="1" applyAlignment="1">
      <alignment horizontal="center" vertical="center" wrapText="1"/>
    </xf>
    <xf numFmtId="0" fontId="12" fillId="6" borderId="41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4" borderId="46" xfId="0" applyFont="1" applyFill="1" applyBorder="1" applyAlignment="1">
      <alignment horizontal="center" vertical="center" wrapText="1"/>
    </xf>
    <xf numFmtId="0" fontId="3" fillId="2" borderId="46" xfId="0" applyFont="1" applyFill="1" applyBorder="1" applyAlignment="1">
      <alignment horizontal="center"/>
    </xf>
    <xf numFmtId="0" fontId="3" fillId="4" borderId="46" xfId="0" applyFont="1" applyFill="1" applyBorder="1" applyAlignment="1">
      <alignment horizontal="center" wrapText="1"/>
    </xf>
    <xf numFmtId="0" fontId="3" fillId="2" borderId="0" xfId="0" applyFont="1" applyFill="1" applyBorder="1" applyAlignment="1">
      <alignment horizontal="center"/>
    </xf>
    <xf numFmtId="0" fontId="15" fillId="0" borderId="0" xfId="0" applyFont="1" applyBorder="1" applyAlignment="1">
      <alignment horizontal="left" vertical="center" wrapText="1"/>
    </xf>
    <xf numFmtId="0" fontId="25" fillId="6" borderId="39" xfId="0" applyFont="1" applyFill="1" applyBorder="1" applyAlignment="1">
      <alignment horizontal="left" vertical="center" wrapText="1"/>
    </xf>
    <xf numFmtId="0" fontId="25" fillId="6" borderId="40" xfId="0" applyFont="1" applyFill="1" applyBorder="1" applyAlignment="1">
      <alignment horizontal="left" vertical="center" wrapText="1"/>
    </xf>
    <xf numFmtId="0" fontId="25" fillId="6" borderId="41" xfId="0" applyFont="1" applyFill="1" applyBorder="1" applyAlignment="1">
      <alignment horizontal="left" vertical="center" wrapText="1"/>
    </xf>
    <xf numFmtId="0" fontId="14" fillId="0" borderId="0" xfId="0" applyFont="1" applyBorder="1" applyAlignment="1">
      <alignment horizontal="center"/>
    </xf>
    <xf numFmtId="0" fontId="16" fillId="2" borderId="0" xfId="0" applyFont="1" applyFill="1" applyBorder="1" applyAlignment="1">
      <alignment horizontal="left" wrapText="1"/>
    </xf>
    <xf numFmtId="0" fontId="3" fillId="4" borderId="0" xfId="0" applyFont="1" applyFill="1" applyBorder="1" applyAlignment="1">
      <alignment horizontal="center" wrapText="1"/>
    </xf>
    <xf numFmtId="0" fontId="3" fillId="4" borderId="0" xfId="0" applyFont="1" applyFill="1" applyBorder="1" applyAlignment="1">
      <alignment horizontal="center"/>
    </xf>
    <xf numFmtId="0" fontId="3" fillId="3" borderId="38" xfId="0" applyFont="1" applyFill="1" applyBorder="1" applyAlignment="1">
      <alignment horizontal="left" vertical="center" wrapText="1"/>
    </xf>
    <xf numFmtId="0" fontId="12" fillId="0" borderId="1" xfId="0" applyFont="1" applyBorder="1" applyAlignment="1">
      <alignment vertical="center" wrapText="1"/>
    </xf>
    <xf numFmtId="0" fontId="12" fillId="0" borderId="51" xfId="0" applyFont="1" applyBorder="1" applyAlignment="1">
      <alignment vertical="center" wrapText="1"/>
    </xf>
    <xf numFmtId="0" fontId="12" fillId="0" borderId="2" xfId="0" applyFont="1" applyBorder="1" applyAlignment="1">
      <alignment vertical="center" wrapText="1"/>
    </xf>
    <xf numFmtId="165" fontId="10" fillId="0" borderId="34" xfId="0" applyNumberFormat="1" applyFont="1" applyBorder="1" applyAlignment="1">
      <alignment horizontal="center" vertical="center"/>
    </xf>
    <xf numFmtId="0" fontId="10" fillId="0" borderId="36" xfId="0" applyFont="1" applyBorder="1" applyAlignment="1">
      <alignment horizontal="left" vertical="center"/>
    </xf>
    <xf numFmtId="0" fontId="11" fillId="2" borderId="23" xfId="0" applyFont="1" applyFill="1" applyBorder="1" applyAlignment="1">
      <alignment horizontal="left" vertical="center" wrapText="1" indent="1"/>
    </xf>
    <xf numFmtId="0" fontId="12" fillId="0" borderId="36" xfId="0" applyFont="1" applyBorder="1" applyAlignment="1">
      <alignment horizontal="center" vertical="center"/>
    </xf>
    <xf numFmtId="0" fontId="12" fillId="0" borderId="37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left" vertical="center" wrapText="1"/>
    </xf>
    <xf numFmtId="0" fontId="11" fillId="3" borderId="34" xfId="0" applyFont="1" applyFill="1" applyBorder="1" applyAlignment="1">
      <alignment horizontal="left" vertical="center" wrapText="1" indent="1"/>
    </xf>
    <xf numFmtId="0" fontId="10" fillId="0" borderId="4" xfId="0" applyFont="1" applyBorder="1" applyAlignment="1">
      <alignment horizontal="left" vertical="center" wrapText="1"/>
    </xf>
    <xf numFmtId="0" fontId="9" fillId="0" borderId="0" xfId="0" applyFont="1" applyBorder="1" applyAlignment="1">
      <alignment horizontal="center" vertical="center"/>
    </xf>
    <xf numFmtId="0" fontId="2" fillId="2" borderId="21" xfId="0" applyFont="1" applyFill="1" applyBorder="1" applyAlignment="1">
      <alignment horizontal="left" vertical="center" wrapText="1" indent="1"/>
    </xf>
    <xf numFmtId="0" fontId="0" fillId="0" borderId="18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30" fillId="0" borderId="21" xfId="0" applyFont="1" applyBorder="1" applyAlignment="1">
      <alignment horizontal="left" vertical="center" wrapText="1"/>
    </xf>
    <xf numFmtId="0" fontId="0" fillId="0" borderId="11" xfId="0" applyBorder="1"/>
    <xf numFmtId="0" fontId="1" fillId="0" borderId="1" xfId="0" applyFont="1" applyBorder="1" applyAlignment="1">
      <alignment vertical="center" wrapText="1"/>
    </xf>
    <xf numFmtId="0" fontId="1" fillId="0" borderId="22" xfId="0" applyFont="1" applyBorder="1" applyAlignment="1">
      <alignment vertical="center" wrapText="1"/>
    </xf>
    <xf numFmtId="0" fontId="1" fillId="0" borderId="23" xfId="0" applyFont="1" applyBorder="1" applyAlignment="1">
      <alignment vertical="center" wrapText="1"/>
    </xf>
    <xf numFmtId="0" fontId="2" fillId="0" borderId="24" xfId="0" applyFont="1" applyBorder="1" applyAlignment="1">
      <alignment vertical="center" wrapText="1"/>
    </xf>
    <xf numFmtId="0" fontId="8" fillId="0" borderId="18" xfId="0" applyFont="1" applyBorder="1" applyAlignment="1">
      <alignment horizontal="left" vertical="center"/>
    </xf>
    <xf numFmtId="0" fontId="0" fillId="0" borderId="18" xfId="0" applyFont="1" applyBorder="1" applyAlignment="1">
      <alignment horizontal="left" vertical="center"/>
    </xf>
    <xf numFmtId="0" fontId="2" fillId="0" borderId="7" xfId="0" applyFont="1" applyBorder="1"/>
    <xf numFmtId="0" fontId="2" fillId="0" borderId="8" xfId="0" applyFont="1" applyBorder="1" applyAlignment="1">
      <alignment horizontal="left" vertical="center" wrapText="1" indent="1"/>
    </xf>
    <xf numFmtId="0" fontId="5" fillId="0" borderId="1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8" fillId="0" borderId="15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indent="1"/>
    </xf>
    <xf numFmtId="0" fontId="4" fillId="0" borderId="3" xfId="0" applyFont="1" applyBorder="1" applyAlignment="1">
      <alignment horizontal="left"/>
    </xf>
    <xf numFmtId="0" fontId="0" fillId="0" borderId="1" xfId="0" applyFont="1" applyBorder="1" applyAlignment="1">
      <alignment horizontal="center"/>
    </xf>
    <xf numFmtId="3" fontId="1" fillId="0" borderId="2" xfId="0" applyNumberFormat="1" applyFont="1" applyBorder="1" applyAlignment="1">
      <alignment horizontal="center"/>
    </xf>
    <xf numFmtId="0" fontId="0" fillId="0" borderId="3" xfId="0" applyFont="1" applyBorder="1"/>
    <xf numFmtId="0" fontId="7" fillId="0" borderId="3" xfId="0" applyFont="1" applyBorder="1" applyAlignment="1">
      <alignment horizontal="center" vertical="center" wrapText="1"/>
    </xf>
  </cellXfs>
  <cellStyles count="5">
    <cellStyle name="Encabezado 1" xfId="3"/>
    <cellStyle name="Moneda" xfId="1" builtinId="4"/>
    <cellStyle name="Moneda_AUTORIZACION Y NOTA DE PEDIDO" xfId="2"/>
    <cellStyle name="Neutral 1" xfId="4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/>
        <xdr:cNvSpPr/>
      </xdr:nvSpPr>
      <xdr:spPr>
        <a:xfrm>
          <a:off x="6876415" y="0"/>
          <a:ext cx="0" cy="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221"/>
  <sheetViews>
    <sheetView tabSelected="1" topLeftCell="A71" zoomScale="90" zoomScaleNormal="90" workbookViewId="0">
      <selection activeCell="I77" sqref="I77"/>
    </sheetView>
  </sheetViews>
  <sheetFormatPr baseColWidth="10" defaultColWidth="11" defaultRowHeight="12.75" x14ac:dyDescent="0.2"/>
  <cols>
    <col min="1" max="1" width="4.5703125" style="52" customWidth="1"/>
    <col min="2" max="2" width="13.7109375" style="52" customWidth="1"/>
    <col min="3" max="3" width="21" style="60" customWidth="1"/>
    <col min="4" max="4" width="8.42578125" style="52" customWidth="1"/>
    <col min="5" max="5" width="79" style="53" customWidth="1"/>
    <col min="6" max="6" width="11" style="52"/>
    <col min="7" max="7" width="12.140625" style="52" customWidth="1"/>
    <col min="8" max="8" width="12.7109375" style="52" customWidth="1"/>
    <col min="9" max="9" width="17.28515625" style="52" customWidth="1"/>
    <col min="10" max="16384" width="11" style="52"/>
  </cols>
  <sheetData>
    <row r="2" spans="1:9" ht="27" x14ac:dyDescent="0.35">
      <c r="B2" s="122" t="s">
        <v>0</v>
      </c>
      <c r="C2" s="122"/>
      <c r="D2" s="122"/>
      <c r="E2" s="122"/>
      <c r="F2" s="122"/>
      <c r="G2" s="122"/>
      <c r="H2" s="122"/>
    </row>
    <row r="4" spans="1:9" ht="22.5" customHeight="1" x14ac:dyDescent="0.25">
      <c r="A4" s="118" t="s">
        <v>1</v>
      </c>
      <c r="B4" s="118"/>
      <c r="C4" s="123" t="s">
        <v>2</v>
      </c>
      <c r="D4" s="123"/>
      <c r="E4" s="123"/>
      <c r="F4" s="54"/>
      <c r="G4" s="55"/>
      <c r="H4" s="54"/>
    </row>
    <row r="5" spans="1:9" ht="18" customHeight="1" x14ac:dyDescent="0.25">
      <c r="A5" s="118" t="s">
        <v>3</v>
      </c>
      <c r="B5" s="118"/>
      <c r="C5" s="123" t="s">
        <v>4</v>
      </c>
      <c r="D5" s="123"/>
      <c r="E5" s="123"/>
      <c r="F5" s="54"/>
      <c r="G5" s="55"/>
      <c r="H5" s="54"/>
    </row>
    <row r="6" spans="1:9" ht="16.5" customHeight="1" x14ac:dyDescent="0.2">
      <c r="A6" s="118" t="s">
        <v>5</v>
      </c>
      <c r="B6" s="118"/>
      <c r="C6" s="98">
        <v>2022</v>
      </c>
      <c r="D6" s="56"/>
      <c r="E6" s="56"/>
      <c r="F6" s="54"/>
      <c r="G6" s="55"/>
      <c r="H6" s="54"/>
    </row>
    <row r="7" spans="1:9" ht="16.5" customHeight="1" x14ac:dyDescent="0.2">
      <c r="A7" s="118" t="s">
        <v>6</v>
      </c>
      <c r="B7" s="118"/>
      <c r="C7" s="98">
        <v>3</v>
      </c>
      <c r="D7" s="56"/>
      <c r="E7" s="56"/>
      <c r="F7" s="54"/>
      <c r="G7" s="55"/>
      <c r="H7" s="54"/>
    </row>
    <row r="8" spans="1:9" x14ac:dyDescent="0.2">
      <c r="B8" s="54"/>
      <c r="C8" s="79"/>
      <c r="D8" s="54"/>
      <c r="E8" s="54"/>
      <c r="F8" s="54"/>
      <c r="G8" s="55"/>
      <c r="H8" s="54"/>
    </row>
    <row r="9" spans="1:9" ht="39" thickBot="1" x14ac:dyDescent="0.25">
      <c r="A9" s="57" t="s">
        <v>7</v>
      </c>
      <c r="B9" s="57" t="s">
        <v>8</v>
      </c>
      <c r="C9" s="57" t="s">
        <v>9</v>
      </c>
      <c r="D9" s="57" t="s">
        <v>10</v>
      </c>
      <c r="E9" s="57" t="s">
        <v>11</v>
      </c>
      <c r="F9" s="57" t="s">
        <v>12</v>
      </c>
      <c r="G9" s="57" t="s">
        <v>13</v>
      </c>
      <c r="H9" s="57" t="s">
        <v>14</v>
      </c>
      <c r="I9" s="57" t="s">
        <v>15</v>
      </c>
    </row>
    <row r="10" spans="1:9" s="97" customFormat="1" ht="56.45" customHeight="1" thickBot="1" x14ac:dyDescent="0.25">
      <c r="A10" s="94">
        <v>1</v>
      </c>
      <c r="B10" s="58" t="s">
        <v>16</v>
      </c>
      <c r="C10" s="95" t="s">
        <v>17</v>
      </c>
      <c r="D10" s="95" t="str">
        <f>LEFT(B10,5)</f>
        <v>2.1.1</v>
      </c>
      <c r="E10" s="96" t="s">
        <v>18</v>
      </c>
      <c r="F10" s="58" t="s">
        <v>19</v>
      </c>
      <c r="G10" s="58">
        <v>800</v>
      </c>
      <c r="H10" s="93">
        <v>370</v>
      </c>
      <c r="I10" s="59">
        <f>G10*H10</f>
        <v>296000</v>
      </c>
    </row>
    <row r="11" spans="1:9" s="97" customFormat="1" ht="70.900000000000006" customHeight="1" thickBot="1" x14ac:dyDescent="0.25">
      <c r="A11" s="94">
        <v>2</v>
      </c>
      <c r="B11" s="58" t="s">
        <v>20</v>
      </c>
      <c r="C11" s="95" t="s">
        <v>17</v>
      </c>
      <c r="D11" s="95" t="str">
        <f>LEFT(B11,5)</f>
        <v>2.1.1</v>
      </c>
      <c r="E11" s="96" t="s">
        <v>21</v>
      </c>
      <c r="F11" s="58" t="s">
        <v>19</v>
      </c>
      <c r="G11" s="58">
        <v>500</v>
      </c>
      <c r="H11" s="93">
        <v>260</v>
      </c>
      <c r="I11" s="59">
        <f t="shared" ref="I11:I73" si="0">G11*H11</f>
        <v>130000</v>
      </c>
    </row>
    <row r="12" spans="1:9" s="97" customFormat="1" ht="66.599999999999994" customHeight="1" thickBot="1" x14ac:dyDescent="0.25">
      <c r="A12" s="94">
        <v>3</v>
      </c>
      <c r="B12" s="58" t="s">
        <v>22</v>
      </c>
      <c r="C12" s="95" t="s">
        <v>17</v>
      </c>
      <c r="D12" s="95" t="str">
        <f>LEFT(B12,5)</f>
        <v>2.1.1</v>
      </c>
      <c r="E12" s="96" t="s">
        <v>23</v>
      </c>
      <c r="F12" s="58" t="s">
        <v>19</v>
      </c>
      <c r="G12" s="58">
        <v>50</v>
      </c>
      <c r="H12" s="93">
        <v>125</v>
      </c>
      <c r="I12" s="59">
        <f t="shared" si="0"/>
        <v>6250</v>
      </c>
    </row>
    <row r="13" spans="1:9" s="97" customFormat="1" ht="37.5" customHeight="1" thickBot="1" x14ac:dyDescent="0.25">
      <c r="A13" s="94">
        <v>4</v>
      </c>
      <c r="B13" s="58" t="s">
        <v>24</v>
      </c>
      <c r="C13" s="95" t="s">
        <v>17</v>
      </c>
      <c r="D13" s="95" t="str">
        <f>LEFT(B13,5)</f>
        <v>2.1.1</v>
      </c>
      <c r="E13" s="96" t="s">
        <v>25</v>
      </c>
      <c r="F13" s="58" t="s">
        <v>19</v>
      </c>
      <c r="G13" s="58">
        <v>15</v>
      </c>
      <c r="H13" s="93">
        <v>376</v>
      </c>
      <c r="I13" s="59">
        <f t="shared" si="0"/>
        <v>5640</v>
      </c>
    </row>
    <row r="14" spans="1:9" s="97" customFormat="1" ht="50.45" customHeight="1" thickBot="1" x14ac:dyDescent="0.25">
      <c r="A14" s="94">
        <v>5</v>
      </c>
      <c r="B14" s="58" t="s">
        <v>26</v>
      </c>
      <c r="C14" s="95" t="s">
        <v>17</v>
      </c>
      <c r="D14" s="95" t="str">
        <f>LEFT(B14,5)</f>
        <v>2.1.1</v>
      </c>
      <c r="E14" s="96" t="s">
        <v>27</v>
      </c>
      <c r="F14" s="58" t="s">
        <v>19</v>
      </c>
      <c r="G14" s="58">
        <v>1200</v>
      </c>
      <c r="H14" s="93">
        <v>120</v>
      </c>
      <c r="I14" s="59">
        <f t="shared" si="0"/>
        <v>144000</v>
      </c>
    </row>
    <row r="15" spans="1:9" s="97" customFormat="1" ht="50.45" customHeight="1" thickBot="1" x14ac:dyDescent="0.25">
      <c r="A15" s="94">
        <v>6</v>
      </c>
      <c r="B15" s="103" t="s">
        <v>28</v>
      </c>
      <c r="C15" s="104" t="s">
        <v>17</v>
      </c>
      <c r="D15" s="104" t="s">
        <v>29</v>
      </c>
      <c r="E15" s="105" t="s">
        <v>30</v>
      </c>
      <c r="F15" s="104" t="s">
        <v>19</v>
      </c>
      <c r="G15" s="58">
        <v>10</v>
      </c>
      <c r="H15" s="93">
        <v>1250</v>
      </c>
      <c r="I15" s="59">
        <f t="shared" si="0"/>
        <v>12500</v>
      </c>
    </row>
    <row r="16" spans="1:9" s="97" customFormat="1" ht="50.45" customHeight="1" thickBot="1" x14ac:dyDescent="0.25">
      <c r="A16" s="94">
        <v>7</v>
      </c>
      <c r="B16" s="103" t="s">
        <v>31</v>
      </c>
      <c r="C16" s="104" t="s">
        <v>17</v>
      </c>
      <c r="D16" s="104" t="s">
        <v>29</v>
      </c>
      <c r="E16" s="105" t="s">
        <v>32</v>
      </c>
      <c r="F16" s="104" t="s">
        <v>19</v>
      </c>
      <c r="G16" s="58">
        <v>5</v>
      </c>
      <c r="H16" s="93">
        <v>882</v>
      </c>
      <c r="I16" s="59">
        <f t="shared" si="0"/>
        <v>4410</v>
      </c>
    </row>
    <row r="17" spans="1:9" s="97" customFormat="1" ht="31.9" customHeight="1" thickBot="1" x14ac:dyDescent="0.25">
      <c r="A17" s="94">
        <v>8</v>
      </c>
      <c r="B17" s="58" t="s">
        <v>33</v>
      </c>
      <c r="C17" s="95" t="s">
        <v>17</v>
      </c>
      <c r="D17" s="95" t="str">
        <f t="shared" ref="D17:D38" si="1">LEFT(B17,5)</f>
        <v>2.1.1</v>
      </c>
      <c r="E17" s="96" t="s">
        <v>34</v>
      </c>
      <c r="F17" s="58" t="s">
        <v>19</v>
      </c>
      <c r="G17" s="58">
        <v>15</v>
      </c>
      <c r="H17" s="93">
        <v>334</v>
      </c>
      <c r="I17" s="59">
        <f t="shared" si="0"/>
        <v>5010</v>
      </c>
    </row>
    <row r="18" spans="1:9" s="97" customFormat="1" ht="52.9" customHeight="1" thickBot="1" x14ac:dyDescent="0.25">
      <c r="A18" s="94">
        <v>9</v>
      </c>
      <c r="B18" s="58" t="s">
        <v>35</v>
      </c>
      <c r="C18" s="95" t="s">
        <v>17</v>
      </c>
      <c r="D18" s="95" t="str">
        <f t="shared" si="1"/>
        <v>2.1.1</v>
      </c>
      <c r="E18" s="96" t="s">
        <v>36</v>
      </c>
      <c r="F18" s="58" t="s">
        <v>19</v>
      </c>
      <c r="G18" s="58">
        <v>300</v>
      </c>
      <c r="H18" s="93">
        <v>422</v>
      </c>
      <c r="I18" s="59">
        <f t="shared" si="0"/>
        <v>126600</v>
      </c>
    </row>
    <row r="19" spans="1:9" s="97" customFormat="1" ht="52.9" customHeight="1" thickBot="1" x14ac:dyDescent="0.25">
      <c r="A19" s="94">
        <v>10</v>
      </c>
      <c r="B19" s="58" t="s">
        <v>37</v>
      </c>
      <c r="C19" s="95" t="s">
        <v>17</v>
      </c>
      <c r="D19" s="95" t="str">
        <f t="shared" si="1"/>
        <v>2.1.1</v>
      </c>
      <c r="E19" s="96" t="s">
        <v>38</v>
      </c>
      <c r="F19" s="58" t="s">
        <v>19</v>
      </c>
      <c r="G19" s="58">
        <v>300</v>
      </c>
      <c r="H19" s="93">
        <v>660</v>
      </c>
      <c r="I19" s="59">
        <f t="shared" si="0"/>
        <v>198000</v>
      </c>
    </row>
    <row r="20" spans="1:9" s="97" customFormat="1" ht="46.9" customHeight="1" thickBot="1" x14ac:dyDescent="0.25">
      <c r="A20" s="94">
        <v>11</v>
      </c>
      <c r="B20" s="58" t="s">
        <v>39</v>
      </c>
      <c r="C20" s="95" t="s">
        <v>17</v>
      </c>
      <c r="D20" s="95" t="str">
        <f t="shared" si="1"/>
        <v>2.1.1</v>
      </c>
      <c r="E20" s="96" t="s">
        <v>40</v>
      </c>
      <c r="F20" s="58" t="s">
        <v>19</v>
      </c>
      <c r="G20" s="58">
        <v>150</v>
      </c>
      <c r="H20" s="93">
        <v>185</v>
      </c>
      <c r="I20" s="59">
        <f t="shared" si="0"/>
        <v>27750</v>
      </c>
    </row>
    <row r="21" spans="1:9" s="97" customFormat="1" ht="41.25" customHeight="1" thickBot="1" x14ac:dyDescent="0.25">
      <c r="A21" s="94">
        <v>12</v>
      </c>
      <c r="B21" s="58" t="s">
        <v>41</v>
      </c>
      <c r="C21" s="95" t="s">
        <v>17</v>
      </c>
      <c r="D21" s="95" t="str">
        <f t="shared" si="1"/>
        <v>2.1.1</v>
      </c>
      <c r="E21" s="96" t="s">
        <v>42</v>
      </c>
      <c r="F21" s="58" t="s">
        <v>19</v>
      </c>
      <c r="G21" s="58">
        <v>5</v>
      </c>
      <c r="H21" s="93">
        <v>1990</v>
      </c>
      <c r="I21" s="59">
        <f t="shared" si="0"/>
        <v>9950</v>
      </c>
    </row>
    <row r="22" spans="1:9" s="97" customFormat="1" ht="31.9" customHeight="1" thickBot="1" x14ac:dyDescent="0.25">
      <c r="A22" s="94">
        <v>13</v>
      </c>
      <c r="B22" s="58" t="s">
        <v>204</v>
      </c>
      <c r="C22" s="95" t="s">
        <v>17</v>
      </c>
      <c r="D22" s="95" t="str">
        <f t="shared" si="1"/>
        <v>2.1.1</v>
      </c>
      <c r="E22" s="96" t="s">
        <v>205</v>
      </c>
      <c r="F22" s="58" t="s">
        <v>19</v>
      </c>
      <c r="G22" s="58">
        <v>20</v>
      </c>
      <c r="H22" s="93">
        <v>1990</v>
      </c>
      <c r="I22" s="59">
        <f t="shared" si="0"/>
        <v>39800</v>
      </c>
    </row>
    <row r="23" spans="1:9" s="97" customFormat="1" ht="31.9" customHeight="1" thickBot="1" x14ac:dyDescent="0.25">
      <c r="A23" s="94">
        <v>14</v>
      </c>
      <c r="B23" s="58" t="s">
        <v>43</v>
      </c>
      <c r="C23" s="95" t="s">
        <v>17</v>
      </c>
      <c r="D23" s="95" t="str">
        <f t="shared" si="1"/>
        <v>2.1.1</v>
      </c>
      <c r="E23" s="96" t="s">
        <v>44</v>
      </c>
      <c r="F23" s="58" t="s">
        <v>19</v>
      </c>
      <c r="G23" s="58">
        <v>20</v>
      </c>
      <c r="H23" s="93">
        <v>2200</v>
      </c>
      <c r="I23" s="59">
        <f t="shared" si="0"/>
        <v>44000</v>
      </c>
    </row>
    <row r="24" spans="1:9" s="97" customFormat="1" ht="41.25" customHeight="1" thickBot="1" x14ac:dyDescent="0.25">
      <c r="A24" s="94">
        <v>15</v>
      </c>
      <c r="B24" s="58" t="s">
        <v>45</v>
      </c>
      <c r="C24" s="95" t="s">
        <v>17</v>
      </c>
      <c r="D24" s="95" t="str">
        <f t="shared" si="1"/>
        <v>2.1.1</v>
      </c>
      <c r="E24" s="96" t="s">
        <v>46</v>
      </c>
      <c r="F24" s="58" t="s">
        <v>19</v>
      </c>
      <c r="G24" s="58">
        <v>150</v>
      </c>
      <c r="H24" s="93">
        <v>310</v>
      </c>
      <c r="I24" s="59">
        <f t="shared" si="0"/>
        <v>46500</v>
      </c>
    </row>
    <row r="25" spans="1:9" s="97" customFormat="1" ht="31.9" customHeight="1" thickBot="1" x14ac:dyDescent="0.25">
      <c r="A25" s="94">
        <v>16</v>
      </c>
      <c r="B25" s="58" t="s">
        <v>47</v>
      </c>
      <c r="C25" s="95" t="s">
        <v>17</v>
      </c>
      <c r="D25" s="95" t="str">
        <f t="shared" si="1"/>
        <v>2.1.1</v>
      </c>
      <c r="E25" s="96" t="s">
        <v>206</v>
      </c>
      <c r="F25" s="58" t="s">
        <v>19</v>
      </c>
      <c r="G25" s="58">
        <v>9</v>
      </c>
      <c r="H25" s="93">
        <v>700</v>
      </c>
      <c r="I25" s="59">
        <f t="shared" si="0"/>
        <v>6300</v>
      </c>
    </row>
    <row r="26" spans="1:9" s="97" customFormat="1" ht="31.9" customHeight="1" thickBot="1" x14ac:dyDescent="0.25">
      <c r="A26" s="94">
        <v>17</v>
      </c>
      <c r="B26" s="58" t="s">
        <v>48</v>
      </c>
      <c r="C26" s="95" t="s">
        <v>17</v>
      </c>
      <c r="D26" s="95" t="str">
        <f t="shared" si="1"/>
        <v>2.1.1</v>
      </c>
      <c r="E26" s="96" t="s">
        <v>49</v>
      </c>
      <c r="F26" s="58" t="s">
        <v>19</v>
      </c>
      <c r="G26" s="58">
        <v>4</v>
      </c>
      <c r="H26" s="93">
        <v>700</v>
      </c>
      <c r="I26" s="59">
        <f t="shared" si="0"/>
        <v>2800</v>
      </c>
    </row>
    <row r="27" spans="1:9" s="97" customFormat="1" ht="31.9" customHeight="1" thickBot="1" x14ac:dyDescent="0.25">
      <c r="A27" s="94">
        <v>18</v>
      </c>
      <c r="B27" s="58" t="s">
        <v>50</v>
      </c>
      <c r="C27" s="95" t="s">
        <v>17</v>
      </c>
      <c r="D27" s="95" t="str">
        <f t="shared" si="1"/>
        <v>2.1.1</v>
      </c>
      <c r="E27" s="96" t="s">
        <v>51</v>
      </c>
      <c r="F27" s="58" t="s">
        <v>19</v>
      </c>
      <c r="G27" s="58">
        <v>2</v>
      </c>
      <c r="H27" s="93">
        <v>700</v>
      </c>
      <c r="I27" s="59">
        <f t="shared" si="0"/>
        <v>1400</v>
      </c>
    </row>
    <row r="28" spans="1:9" s="97" customFormat="1" ht="31.9" customHeight="1" thickBot="1" x14ac:dyDescent="0.25">
      <c r="A28" s="94">
        <v>19</v>
      </c>
      <c r="B28" s="58" t="s">
        <v>52</v>
      </c>
      <c r="C28" s="95" t="s">
        <v>17</v>
      </c>
      <c r="D28" s="95" t="str">
        <f t="shared" si="1"/>
        <v>2.1.1</v>
      </c>
      <c r="E28" s="96" t="s">
        <v>53</v>
      </c>
      <c r="F28" s="58" t="s">
        <v>54</v>
      </c>
      <c r="G28" s="58">
        <v>3</v>
      </c>
      <c r="H28" s="93">
        <v>2500</v>
      </c>
      <c r="I28" s="59">
        <f t="shared" si="0"/>
        <v>7500</v>
      </c>
    </row>
    <row r="29" spans="1:9" s="97" customFormat="1" ht="31.9" customHeight="1" thickBot="1" x14ac:dyDescent="0.25">
      <c r="A29" s="94">
        <v>20</v>
      </c>
      <c r="B29" s="58" t="s">
        <v>55</v>
      </c>
      <c r="C29" s="95" t="s">
        <v>17</v>
      </c>
      <c r="D29" s="95" t="str">
        <f t="shared" si="1"/>
        <v>2.1.1</v>
      </c>
      <c r="E29" s="96" t="s">
        <v>56</v>
      </c>
      <c r="F29" s="58" t="s">
        <v>19</v>
      </c>
      <c r="G29" s="58">
        <v>9</v>
      </c>
      <c r="H29" s="93">
        <v>700</v>
      </c>
      <c r="I29" s="59">
        <f t="shared" si="0"/>
        <v>6300</v>
      </c>
    </row>
    <row r="30" spans="1:9" s="97" customFormat="1" ht="31.9" customHeight="1" thickBot="1" x14ac:dyDescent="0.25">
      <c r="A30" s="94">
        <v>21</v>
      </c>
      <c r="B30" s="58" t="s">
        <v>57</v>
      </c>
      <c r="C30" s="95" t="s">
        <v>17</v>
      </c>
      <c r="D30" s="95" t="str">
        <f t="shared" si="1"/>
        <v>2.1.1</v>
      </c>
      <c r="E30" s="96" t="s">
        <v>58</v>
      </c>
      <c r="F30" s="58" t="s">
        <v>19</v>
      </c>
      <c r="G30" s="58">
        <v>3</v>
      </c>
      <c r="H30" s="93">
        <v>700</v>
      </c>
      <c r="I30" s="59">
        <f t="shared" si="0"/>
        <v>2100</v>
      </c>
    </row>
    <row r="31" spans="1:9" s="97" customFormat="1" ht="31.9" customHeight="1" thickBot="1" x14ac:dyDescent="0.25">
      <c r="A31" s="94">
        <v>22</v>
      </c>
      <c r="B31" s="58" t="s">
        <v>59</v>
      </c>
      <c r="C31" s="95" t="s">
        <v>17</v>
      </c>
      <c r="D31" s="95" t="str">
        <f t="shared" si="1"/>
        <v>2.1.1</v>
      </c>
      <c r="E31" s="96" t="s">
        <v>60</v>
      </c>
      <c r="F31" s="58" t="s">
        <v>19</v>
      </c>
      <c r="G31" s="58">
        <v>50</v>
      </c>
      <c r="H31" s="93">
        <v>160</v>
      </c>
      <c r="I31" s="59">
        <f t="shared" si="0"/>
        <v>8000</v>
      </c>
    </row>
    <row r="32" spans="1:9" s="97" customFormat="1" ht="66" customHeight="1" thickBot="1" x14ac:dyDescent="0.25">
      <c r="A32" s="94">
        <v>23</v>
      </c>
      <c r="B32" s="58" t="s">
        <v>61</v>
      </c>
      <c r="C32" s="95" t="s">
        <v>17</v>
      </c>
      <c r="D32" s="95" t="str">
        <f t="shared" si="1"/>
        <v>2.1.1</v>
      </c>
      <c r="E32" s="96" t="s">
        <v>62</v>
      </c>
      <c r="F32" s="58" t="s">
        <v>19</v>
      </c>
      <c r="G32" s="58">
        <v>50</v>
      </c>
      <c r="H32" s="93">
        <v>136</v>
      </c>
      <c r="I32" s="59">
        <f t="shared" si="0"/>
        <v>6800</v>
      </c>
    </row>
    <row r="33" spans="1:9" s="97" customFormat="1" ht="60" customHeight="1" thickBot="1" x14ac:dyDescent="0.25">
      <c r="A33" s="94">
        <v>24</v>
      </c>
      <c r="B33" s="58" t="s">
        <v>215</v>
      </c>
      <c r="C33" s="95" t="s">
        <v>17</v>
      </c>
      <c r="D33" s="95" t="str">
        <f t="shared" si="1"/>
        <v>2.1.1</v>
      </c>
      <c r="E33" s="96" t="s">
        <v>214</v>
      </c>
      <c r="F33" s="58" t="s">
        <v>19</v>
      </c>
      <c r="G33" s="58">
        <v>50</v>
      </c>
      <c r="H33" s="93">
        <v>80</v>
      </c>
      <c r="I33" s="59">
        <f t="shared" si="0"/>
        <v>4000</v>
      </c>
    </row>
    <row r="34" spans="1:9" s="97" customFormat="1" ht="74.45" customHeight="1" thickBot="1" x14ac:dyDescent="0.25">
      <c r="A34" s="94">
        <v>25</v>
      </c>
      <c r="B34" s="58" t="s">
        <v>63</v>
      </c>
      <c r="C34" s="95" t="s">
        <v>17</v>
      </c>
      <c r="D34" s="95" t="str">
        <f t="shared" si="1"/>
        <v>2.1.1</v>
      </c>
      <c r="E34" s="96" t="s">
        <v>64</v>
      </c>
      <c r="F34" s="58" t="s">
        <v>19</v>
      </c>
      <c r="G34" s="58">
        <v>50</v>
      </c>
      <c r="H34" s="93">
        <v>80</v>
      </c>
      <c r="I34" s="59">
        <f t="shared" si="0"/>
        <v>4000</v>
      </c>
    </row>
    <row r="35" spans="1:9" s="97" customFormat="1" ht="72" customHeight="1" thickBot="1" x14ac:dyDescent="0.25">
      <c r="A35" s="94">
        <v>26</v>
      </c>
      <c r="B35" s="58" t="s">
        <v>65</v>
      </c>
      <c r="C35" s="95" t="s">
        <v>17</v>
      </c>
      <c r="D35" s="95" t="str">
        <f t="shared" si="1"/>
        <v>2.1.1</v>
      </c>
      <c r="E35" s="96" t="s">
        <v>66</v>
      </c>
      <c r="F35" s="58" t="s">
        <v>19</v>
      </c>
      <c r="G35" s="58">
        <v>30</v>
      </c>
      <c r="H35" s="93">
        <v>80</v>
      </c>
      <c r="I35" s="59">
        <f t="shared" si="0"/>
        <v>2400</v>
      </c>
    </row>
    <row r="36" spans="1:9" s="97" customFormat="1" ht="68.45" customHeight="1" thickBot="1" x14ac:dyDescent="0.25">
      <c r="A36" s="94">
        <v>27</v>
      </c>
      <c r="B36" s="58" t="s">
        <v>67</v>
      </c>
      <c r="C36" s="95" t="s">
        <v>17</v>
      </c>
      <c r="D36" s="95" t="str">
        <f t="shared" si="1"/>
        <v>2.1.1</v>
      </c>
      <c r="E36" s="96" t="s">
        <v>68</v>
      </c>
      <c r="F36" s="58" t="s">
        <v>19</v>
      </c>
      <c r="G36" s="58">
        <v>30</v>
      </c>
      <c r="H36" s="93">
        <v>80</v>
      </c>
      <c r="I36" s="59">
        <f t="shared" si="0"/>
        <v>2400</v>
      </c>
    </row>
    <row r="37" spans="1:9" s="97" customFormat="1" ht="66" customHeight="1" thickBot="1" x14ac:dyDescent="0.25">
      <c r="A37" s="94">
        <v>28</v>
      </c>
      <c r="B37" s="58" t="s">
        <v>69</v>
      </c>
      <c r="C37" s="95" t="s">
        <v>17</v>
      </c>
      <c r="D37" s="95" t="str">
        <f t="shared" si="1"/>
        <v>2.1.1</v>
      </c>
      <c r="E37" s="96" t="s">
        <v>70</v>
      </c>
      <c r="F37" s="58" t="s">
        <v>19</v>
      </c>
      <c r="G37" s="58">
        <v>150</v>
      </c>
      <c r="H37" s="93">
        <v>80</v>
      </c>
      <c r="I37" s="59">
        <f t="shared" si="0"/>
        <v>12000</v>
      </c>
    </row>
    <row r="38" spans="1:9" s="97" customFormat="1" ht="70.5" customHeight="1" thickBot="1" x14ac:dyDescent="0.25">
      <c r="A38" s="94">
        <v>29</v>
      </c>
      <c r="B38" s="58" t="s">
        <v>71</v>
      </c>
      <c r="C38" s="95" t="s">
        <v>17</v>
      </c>
      <c r="D38" s="95" t="str">
        <f t="shared" si="1"/>
        <v>2.1.1</v>
      </c>
      <c r="E38" s="96" t="s">
        <v>72</v>
      </c>
      <c r="F38" s="58" t="s">
        <v>19</v>
      </c>
      <c r="G38" s="58">
        <v>50</v>
      </c>
      <c r="H38" s="93">
        <v>609</v>
      </c>
      <c r="I38" s="59">
        <f t="shared" si="0"/>
        <v>30450</v>
      </c>
    </row>
    <row r="39" spans="1:9" s="97" customFormat="1" ht="64.150000000000006" customHeight="1" thickBot="1" x14ac:dyDescent="0.25">
      <c r="A39" s="94">
        <v>30</v>
      </c>
      <c r="B39" s="58" t="s">
        <v>73</v>
      </c>
      <c r="C39" s="95" t="s">
        <v>17</v>
      </c>
      <c r="D39" s="95" t="str">
        <f t="shared" ref="D39:D54" si="2">LEFT(B39,5)</f>
        <v>2.1.1</v>
      </c>
      <c r="E39" s="96" t="s">
        <v>74</v>
      </c>
      <c r="F39" s="58" t="s">
        <v>19</v>
      </c>
      <c r="G39" s="58">
        <v>150</v>
      </c>
      <c r="H39" s="93">
        <v>80</v>
      </c>
      <c r="I39" s="59">
        <f t="shared" si="0"/>
        <v>12000</v>
      </c>
    </row>
    <row r="40" spans="1:9" s="97" customFormat="1" ht="64.150000000000006" customHeight="1" thickBot="1" x14ac:dyDescent="0.25">
      <c r="A40" s="94">
        <v>31</v>
      </c>
      <c r="B40" s="58" t="s">
        <v>75</v>
      </c>
      <c r="C40" s="95" t="s">
        <v>17</v>
      </c>
      <c r="D40" s="95" t="str">
        <f t="shared" si="2"/>
        <v>2.1.1</v>
      </c>
      <c r="E40" s="96" t="s">
        <v>76</v>
      </c>
      <c r="F40" s="58" t="s">
        <v>19</v>
      </c>
      <c r="G40" s="58">
        <v>120</v>
      </c>
      <c r="H40" s="93">
        <v>80</v>
      </c>
      <c r="I40" s="59">
        <f t="shared" si="0"/>
        <v>9600</v>
      </c>
    </row>
    <row r="41" spans="1:9" s="97" customFormat="1" ht="51" customHeight="1" thickBot="1" x14ac:dyDescent="0.25">
      <c r="A41" s="94">
        <v>32</v>
      </c>
      <c r="B41" s="58" t="s">
        <v>77</v>
      </c>
      <c r="C41" s="95" t="s">
        <v>17</v>
      </c>
      <c r="D41" s="95" t="str">
        <f t="shared" si="2"/>
        <v>2.1.1</v>
      </c>
      <c r="E41" s="96" t="s">
        <v>78</v>
      </c>
      <c r="F41" s="58" t="s">
        <v>19</v>
      </c>
      <c r="G41" s="58">
        <v>200</v>
      </c>
      <c r="H41" s="93">
        <v>77</v>
      </c>
      <c r="I41" s="59">
        <f t="shared" si="0"/>
        <v>15400</v>
      </c>
    </row>
    <row r="42" spans="1:9" s="97" customFormat="1" ht="43.5" customHeight="1" thickBot="1" x14ac:dyDescent="0.25">
      <c r="A42" s="94">
        <v>33</v>
      </c>
      <c r="B42" s="58" t="s">
        <v>79</v>
      </c>
      <c r="C42" s="95" t="s">
        <v>17</v>
      </c>
      <c r="D42" s="95" t="str">
        <f t="shared" si="2"/>
        <v>2.1.1</v>
      </c>
      <c r="E42" s="96" t="s">
        <v>80</v>
      </c>
      <c r="F42" s="58" t="s">
        <v>19</v>
      </c>
      <c r="G42" s="58">
        <v>200</v>
      </c>
      <c r="H42" s="93">
        <v>800</v>
      </c>
      <c r="I42" s="59">
        <f t="shared" si="0"/>
        <v>160000</v>
      </c>
    </row>
    <row r="43" spans="1:9" s="97" customFormat="1" ht="45.75" customHeight="1" thickBot="1" x14ac:dyDescent="0.25">
      <c r="A43" s="94">
        <v>34</v>
      </c>
      <c r="B43" s="58" t="s">
        <v>81</v>
      </c>
      <c r="C43" s="95" t="s">
        <v>17</v>
      </c>
      <c r="D43" s="95" t="str">
        <f t="shared" si="2"/>
        <v>2.1.1</v>
      </c>
      <c r="E43" s="96" t="s">
        <v>82</v>
      </c>
      <c r="F43" s="58" t="s">
        <v>19</v>
      </c>
      <c r="G43" s="58">
        <v>3</v>
      </c>
      <c r="H43" s="93">
        <v>1438.4</v>
      </c>
      <c r="I43" s="59">
        <f t="shared" si="0"/>
        <v>4315.2000000000007</v>
      </c>
    </row>
    <row r="44" spans="1:9" s="97" customFormat="1" ht="51" customHeight="1" thickBot="1" x14ac:dyDescent="0.25">
      <c r="A44" s="94">
        <v>35</v>
      </c>
      <c r="B44" s="58" t="s">
        <v>83</v>
      </c>
      <c r="C44" s="95" t="s">
        <v>17</v>
      </c>
      <c r="D44" s="95" t="str">
        <f t="shared" si="2"/>
        <v>2.1.1</v>
      </c>
      <c r="E44" s="96" t="s">
        <v>84</v>
      </c>
      <c r="F44" s="58" t="s">
        <v>19</v>
      </c>
      <c r="G44" s="58">
        <v>3</v>
      </c>
      <c r="H44" s="93">
        <v>2399.67</v>
      </c>
      <c r="I44" s="59">
        <f t="shared" si="0"/>
        <v>7199.01</v>
      </c>
    </row>
    <row r="45" spans="1:9" s="97" customFormat="1" ht="45" customHeight="1" thickBot="1" x14ac:dyDescent="0.25">
      <c r="A45" s="94">
        <v>36</v>
      </c>
      <c r="B45" s="58" t="s">
        <v>85</v>
      </c>
      <c r="C45" s="95" t="s">
        <v>17</v>
      </c>
      <c r="D45" s="95" t="str">
        <f t="shared" si="2"/>
        <v>2.1.1</v>
      </c>
      <c r="E45" s="96" t="s">
        <v>86</v>
      </c>
      <c r="F45" s="58" t="s">
        <v>19</v>
      </c>
      <c r="G45" s="58">
        <v>400</v>
      </c>
      <c r="H45" s="93">
        <v>435</v>
      </c>
      <c r="I45" s="59">
        <f t="shared" si="0"/>
        <v>174000</v>
      </c>
    </row>
    <row r="46" spans="1:9" s="97" customFormat="1" ht="54.6" customHeight="1" thickBot="1" x14ac:dyDescent="0.25">
      <c r="A46" s="94">
        <v>37</v>
      </c>
      <c r="B46" s="58" t="s">
        <v>87</v>
      </c>
      <c r="C46" s="95" t="s">
        <v>17</v>
      </c>
      <c r="D46" s="95" t="str">
        <f t="shared" si="2"/>
        <v>2.1.1</v>
      </c>
      <c r="E46" s="96" t="s">
        <v>88</v>
      </c>
      <c r="F46" s="58" t="s">
        <v>19</v>
      </c>
      <c r="G46" s="58">
        <v>30</v>
      </c>
      <c r="H46" s="93">
        <v>445</v>
      </c>
      <c r="I46" s="59">
        <f t="shared" si="0"/>
        <v>13350</v>
      </c>
    </row>
    <row r="47" spans="1:9" s="97" customFormat="1" ht="52.15" customHeight="1" thickBot="1" x14ac:dyDescent="0.25">
      <c r="A47" s="94">
        <v>38</v>
      </c>
      <c r="B47" s="58" t="s">
        <v>89</v>
      </c>
      <c r="C47" s="95" t="s">
        <v>17</v>
      </c>
      <c r="D47" s="95" t="str">
        <f t="shared" si="2"/>
        <v>2.1.1</v>
      </c>
      <c r="E47" s="96" t="s">
        <v>90</v>
      </c>
      <c r="F47" s="58" t="s">
        <v>19</v>
      </c>
      <c r="G47" s="58">
        <v>50</v>
      </c>
      <c r="H47" s="93">
        <v>445</v>
      </c>
      <c r="I47" s="59">
        <f t="shared" si="0"/>
        <v>22250</v>
      </c>
    </row>
    <row r="48" spans="1:9" s="97" customFormat="1" ht="42.75" customHeight="1" thickBot="1" x14ac:dyDescent="0.25">
      <c r="A48" s="94">
        <v>39</v>
      </c>
      <c r="B48" s="58" t="s">
        <v>91</v>
      </c>
      <c r="C48" s="95" t="s">
        <v>17</v>
      </c>
      <c r="D48" s="95" t="str">
        <f t="shared" si="2"/>
        <v>2.1.1</v>
      </c>
      <c r="E48" s="96" t="s">
        <v>92</v>
      </c>
      <c r="F48" s="58" t="s">
        <v>19</v>
      </c>
      <c r="G48" s="58">
        <v>300</v>
      </c>
      <c r="H48" s="93">
        <v>105</v>
      </c>
      <c r="I48" s="59">
        <f t="shared" si="0"/>
        <v>31500</v>
      </c>
    </row>
    <row r="49" spans="1:9" s="97" customFormat="1" ht="40.5" customHeight="1" thickBot="1" x14ac:dyDescent="0.25">
      <c r="A49" s="94">
        <v>40</v>
      </c>
      <c r="B49" s="58" t="s">
        <v>93</v>
      </c>
      <c r="C49" s="95" t="s">
        <v>17</v>
      </c>
      <c r="D49" s="95" t="str">
        <f t="shared" si="2"/>
        <v>2.1.1</v>
      </c>
      <c r="E49" s="96" t="s">
        <v>94</v>
      </c>
      <c r="F49" s="58" t="s">
        <v>19</v>
      </c>
      <c r="G49" s="58">
        <v>300</v>
      </c>
      <c r="H49" s="93">
        <v>125</v>
      </c>
      <c r="I49" s="59">
        <f t="shared" si="0"/>
        <v>37500</v>
      </c>
    </row>
    <row r="50" spans="1:9" s="97" customFormat="1" ht="63.6" customHeight="1" thickBot="1" x14ac:dyDescent="0.25">
      <c r="A50" s="94">
        <v>41</v>
      </c>
      <c r="B50" s="58" t="s">
        <v>95</v>
      </c>
      <c r="C50" s="95" t="s">
        <v>17</v>
      </c>
      <c r="D50" s="95" t="str">
        <f t="shared" si="2"/>
        <v>2.1.1</v>
      </c>
      <c r="E50" s="96" t="s">
        <v>96</v>
      </c>
      <c r="F50" s="58" t="s">
        <v>19</v>
      </c>
      <c r="G50" s="58">
        <v>30</v>
      </c>
      <c r="H50" s="93">
        <v>120</v>
      </c>
      <c r="I50" s="59">
        <f t="shared" si="0"/>
        <v>3600</v>
      </c>
    </row>
    <row r="51" spans="1:9" s="97" customFormat="1" ht="67.5" customHeight="1" thickBot="1" x14ac:dyDescent="0.25">
      <c r="A51" s="94">
        <v>42</v>
      </c>
      <c r="B51" s="58" t="s">
        <v>97</v>
      </c>
      <c r="C51" s="95" t="s">
        <v>17</v>
      </c>
      <c r="D51" s="95" t="str">
        <f t="shared" si="2"/>
        <v>2.1.1</v>
      </c>
      <c r="E51" s="96" t="s">
        <v>98</v>
      </c>
      <c r="F51" s="58" t="s">
        <v>19</v>
      </c>
      <c r="G51" s="58">
        <v>70</v>
      </c>
      <c r="H51" s="93">
        <v>150</v>
      </c>
      <c r="I51" s="59">
        <f t="shared" si="0"/>
        <v>10500</v>
      </c>
    </row>
    <row r="52" spans="1:9" s="97" customFormat="1" ht="60.75" customHeight="1" thickBot="1" x14ac:dyDescent="0.25">
      <c r="A52" s="94">
        <v>43</v>
      </c>
      <c r="B52" s="58" t="s">
        <v>99</v>
      </c>
      <c r="C52" s="95" t="s">
        <v>17</v>
      </c>
      <c r="D52" s="95" t="str">
        <f t="shared" si="2"/>
        <v>2.1.1</v>
      </c>
      <c r="E52" s="96" t="s">
        <v>100</v>
      </c>
      <c r="F52" s="58" t="s">
        <v>19</v>
      </c>
      <c r="G52" s="58">
        <v>50</v>
      </c>
      <c r="H52" s="93">
        <v>260</v>
      </c>
      <c r="I52" s="59">
        <f t="shared" si="0"/>
        <v>13000</v>
      </c>
    </row>
    <row r="53" spans="1:9" s="97" customFormat="1" ht="55.9" customHeight="1" thickBot="1" x14ac:dyDescent="0.25">
      <c r="A53" s="94">
        <v>44</v>
      </c>
      <c r="B53" s="58" t="s">
        <v>101</v>
      </c>
      <c r="C53" s="95" t="s">
        <v>17</v>
      </c>
      <c r="D53" s="95" t="str">
        <f t="shared" si="2"/>
        <v>2.1.1</v>
      </c>
      <c r="E53" s="96" t="s">
        <v>102</v>
      </c>
      <c r="F53" s="58" t="s">
        <v>19</v>
      </c>
      <c r="G53" s="58">
        <v>300</v>
      </c>
      <c r="H53" s="93">
        <v>102.5</v>
      </c>
      <c r="I53" s="59">
        <f t="shared" si="0"/>
        <v>30750</v>
      </c>
    </row>
    <row r="54" spans="1:9" s="97" customFormat="1" ht="82.15" customHeight="1" thickBot="1" x14ac:dyDescent="0.25">
      <c r="A54" s="94">
        <v>45</v>
      </c>
      <c r="B54" s="58" t="s">
        <v>103</v>
      </c>
      <c r="C54" s="95" t="s">
        <v>17</v>
      </c>
      <c r="D54" s="95" t="str">
        <f t="shared" si="2"/>
        <v>2.1.1</v>
      </c>
      <c r="E54" s="96" t="s">
        <v>104</v>
      </c>
      <c r="F54" s="58" t="s">
        <v>19</v>
      </c>
      <c r="G54" s="58">
        <v>1800</v>
      </c>
      <c r="H54" s="93">
        <v>160</v>
      </c>
      <c r="I54" s="59">
        <f t="shared" si="0"/>
        <v>288000</v>
      </c>
    </row>
    <row r="55" spans="1:9" s="97" customFormat="1" ht="48" customHeight="1" thickBot="1" x14ac:dyDescent="0.25">
      <c r="A55" s="94">
        <v>46</v>
      </c>
      <c r="B55" s="58" t="s">
        <v>105</v>
      </c>
      <c r="C55" s="95" t="s">
        <v>17</v>
      </c>
      <c r="D55" s="95" t="str">
        <f>LEFT(B55,5)</f>
        <v>2.1.1</v>
      </c>
      <c r="E55" s="96" t="s">
        <v>106</v>
      </c>
      <c r="F55" s="58" t="s">
        <v>19</v>
      </c>
      <c r="G55" s="58">
        <v>300</v>
      </c>
      <c r="H55" s="93">
        <v>48</v>
      </c>
      <c r="I55" s="59">
        <f t="shared" si="0"/>
        <v>14400</v>
      </c>
    </row>
    <row r="56" spans="1:9" s="97" customFormat="1" ht="64.150000000000006" customHeight="1" thickBot="1" x14ac:dyDescent="0.25">
      <c r="A56" s="94">
        <v>47</v>
      </c>
      <c r="B56" s="58" t="s">
        <v>107</v>
      </c>
      <c r="C56" s="95" t="s">
        <v>17</v>
      </c>
      <c r="D56" s="95" t="str">
        <f>LEFT(B56,5)</f>
        <v>2.1.1</v>
      </c>
      <c r="E56" s="96" t="s">
        <v>108</v>
      </c>
      <c r="F56" s="58" t="s">
        <v>19</v>
      </c>
      <c r="G56" s="58">
        <v>10</v>
      </c>
      <c r="H56" s="93">
        <v>158</v>
      </c>
      <c r="I56" s="59">
        <f t="shared" si="0"/>
        <v>1580</v>
      </c>
    </row>
    <row r="57" spans="1:9" s="97" customFormat="1" ht="49.5" customHeight="1" thickBot="1" x14ac:dyDescent="0.25">
      <c r="A57" s="94">
        <v>48</v>
      </c>
      <c r="B57" s="99" t="s">
        <v>109</v>
      </c>
      <c r="C57" s="100" t="s">
        <v>17</v>
      </c>
      <c r="D57" s="101" t="s">
        <v>29</v>
      </c>
      <c r="E57" s="102" t="s">
        <v>110</v>
      </c>
      <c r="F57" s="101" t="s">
        <v>19</v>
      </c>
      <c r="G57" s="58">
        <v>40</v>
      </c>
      <c r="H57" s="93">
        <v>280</v>
      </c>
      <c r="I57" s="59">
        <f t="shared" si="0"/>
        <v>11200</v>
      </c>
    </row>
    <row r="58" spans="1:9" s="97" customFormat="1" ht="50.25" customHeight="1" thickBot="1" x14ac:dyDescent="0.25">
      <c r="A58" s="94">
        <v>49</v>
      </c>
      <c r="B58" s="99" t="s">
        <v>111</v>
      </c>
      <c r="C58" s="100" t="s">
        <v>17</v>
      </c>
      <c r="D58" s="101" t="s">
        <v>29</v>
      </c>
      <c r="E58" s="102" t="s">
        <v>112</v>
      </c>
      <c r="F58" s="101" t="s">
        <v>19</v>
      </c>
      <c r="G58" s="58">
        <v>60</v>
      </c>
      <c r="H58" s="93">
        <v>135</v>
      </c>
      <c r="I58" s="59">
        <f t="shared" si="0"/>
        <v>8100</v>
      </c>
    </row>
    <row r="59" spans="1:9" s="97" customFormat="1" ht="39" customHeight="1" thickBot="1" x14ac:dyDescent="0.25">
      <c r="A59" s="94">
        <v>50</v>
      </c>
      <c r="B59" s="58" t="s">
        <v>113</v>
      </c>
      <c r="C59" s="95" t="s">
        <v>17</v>
      </c>
      <c r="D59" s="95" t="str">
        <f>LEFT(B59,5)</f>
        <v>2.1.1</v>
      </c>
      <c r="E59" s="96" t="s">
        <v>114</v>
      </c>
      <c r="F59" s="58" t="s">
        <v>19</v>
      </c>
      <c r="G59" s="58">
        <v>40</v>
      </c>
      <c r="H59" s="93">
        <v>240</v>
      </c>
      <c r="I59" s="59">
        <f t="shared" si="0"/>
        <v>9600</v>
      </c>
    </row>
    <row r="60" spans="1:9" s="97" customFormat="1" ht="44.25" customHeight="1" thickBot="1" x14ac:dyDescent="0.25">
      <c r="A60" s="94">
        <v>51</v>
      </c>
      <c r="B60" s="58" t="s">
        <v>115</v>
      </c>
      <c r="C60" s="95" t="s">
        <v>17</v>
      </c>
      <c r="D60" s="95" t="str">
        <f>LEFT(B60,5)</f>
        <v>2.1.1</v>
      </c>
      <c r="E60" s="96" t="s">
        <v>116</v>
      </c>
      <c r="F60" s="58" t="s">
        <v>19</v>
      </c>
      <c r="G60" s="58">
        <v>300</v>
      </c>
      <c r="H60" s="93">
        <v>310</v>
      </c>
      <c r="I60" s="59">
        <f t="shared" si="0"/>
        <v>93000</v>
      </c>
    </row>
    <row r="61" spans="1:9" s="97" customFormat="1" ht="43.5" customHeight="1" thickBot="1" x14ac:dyDescent="0.25">
      <c r="A61" s="94">
        <v>52</v>
      </c>
      <c r="B61" s="58" t="s">
        <v>117</v>
      </c>
      <c r="C61" s="95" t="s">
        <v>17</v>
      </c>
      <c r="D61" s="95" t="str">
        <f>LEFT(B61,5)</f>
        <v>2.1.1</v>
      </c>
      <c r="E61" s="96" t="s">
        <v>118</v>
      </c>
      <c r="F61" s="58" t="s">
        <v>19</v>
      </c>
      <c r="G61" s="58">
        <v>120</v>
      </c>
      <c r="H61" s="93">
        <v>120</v>
      </c>
      <c r="I61" s="59">
        <f t="shared" si="0"/>
        <v>14400</v>
      </c>
    </row>
    <row r="62" spans="1:9" s="97" customFormat="1" ht="43.5" customHeight="1" thickBot="1" x14ac:dyDescent="0.25">
      <c r="A62" s="94">
        <v>53</v>
      </c>
      <c r="B62" s="58" t="s">
        <v>119</v>
      </c>
      <c r="C62" s="95" t="s">
        <v>17</v>
      </c>
      <c r="D62" s="95" t="str">
        <f>LEFT(B62,5)</f>
        <v>2.1.1</v>
      </c>
      <c r="E62" s="96" t="s">
        <v>120</v>
      </c>
      <c r="F62" s="58" t="s">
        <v>19</v>
      </c>
      <c r="G62" s="58">
        <v>100</v>
      </c>
      <c r="H62" s="93">
        <v>45</v>
      </c>
      <c r="I62" s="59">
        <f t="shared" si="0"/>
        <v>4500</v>
      </c>
    </row>
    <row r="63" spans="1:9" s="97" customFormat="1" ht="31.9" customHeight="1" thickBot="1" x14ac:dyDescent="0.25">
      <c r="A63" s="94">
        <v>54</v>
      </c>
      <c r="B63" s="99" t="s">
        <v>121</v>
      </c>
      <c r="C63" s="100" t="s">
        <v>17</v>
      </c>
      <c r="D63" s="101" t="s">
        <v>29</v>
      </c>
      <c r="E63" s="102" t="s">
        <v>122</v>
      </c>
      <c r="F63" s="101" t="s">
        <v>19</v>
      </c>
      <c r="G63" s="58">
        <v>15</v>
      </c>
      <c r="H63" s="93">
        <v>1620</v>
      </c>
      <c r="I63" s="59">
        <f t="shared" si="0"/>
        <v>24300</v>
      </c>
    </row>
    <row r="64" spans="1:9" s="97" customFormat="1" ht="31.9" customHeight="1" thickBot="1" x14ac:dyDescent="0.25">
      <c r="A64" s="94">
        <v>55</v>
      </c>
      <c r="B64" s="58" t="s">
        <v>123</v>
      </c>
      <c r="C64" s="95" t="s">
        <v>17</v>
      </c>
      <c r="D64" s="95" t="str">
        <f t="shared" ref="D64:D73" si="3">LEFT(B64,5)</f>
        <v>2.1.1</v>
      </c>
      <c r="E64" s="96" t="s">
        <v>124</v>
      </c>
      <c r="F64" s="58" t="s">
        <v>19</v>
      </c>
      <c r="G64" s="58">
        <v>15</v>
      </c>
      <c r="H64" s="93">
        <v>90</v>
      </c>
      <c r="I64" s="59">
        <f t="shared" si="0"/>
        <v>1350</v>
      </c>
    </row>
    <row r="65" spans="1:9" s="97" customFormat="1" ht="53.45" customHeight="1" thickBot="1" x14ac:dyDescent="0.25">
      <c r="A65" s="94">
        <v>56</v>
      </c>
      <c r="B65" s="58" t="s">
        <v>125</v>
      </c>
      <c r="C65" s="95" t="s">
        <v>17</v>
      </c>
      <c r="D65" s="95" t="str">
        <f t="shared" si="3"/>
        <v>2.1.1</v>
      </c>
      <c r="E65" s="96" t="s">
        <v>126</v>
      </c>
      <c r="F65" s="58" t="s">
        <v>19</v>
      </c>
      <c r="G65" s="58">
        <v>20</v>
      </c>
      <c r="H65" s="93">
        <v>229</v>
      </c>
      <c r="I65" s="59">
        <f t="shared" si="0"/>
        <v>4580</v>
      </c>
    </row>
    <row r="66" spans="1:9" s="97" customFormat="1" ht="43.5" customHeight="1" thickBot="1" x14ac:dyDescent="0.25">
      <c r="A66" s="94">
        <v>57</v>
      </c>
      <c r="B66" s="58" t="s">
        <v>127</v>
      </c>
      <c r="C66" s="95" t="s">
        <v>17</v>
      </c>
      <c r="D66" s="95" t="str">
        <f t="shared" si="3"/>
        <v>2.1.1</v>
      </c>
      <c r="E66" s="96" t="s">
        <v>128</v>
      </c>
      <c r="F66" s="58" t="s">
        <v>19</v>
      </c>
      <c r="G66" s="58">
        <v>700</v>
      </c>
      <c r="H66" s="93">
        <v>180</v>
      </c>
      <c r="I66" s="59">
        <f t="shared" si="0"/>
        <v>126000</v>
      </c>
    </row>
    <row r="67" spans="1:9" s="97" customFormat="1" ht="58.5" customHeight="1" thickBot="1" x14ac:dyDescent="0.25">
      <c r="A67" s="94">
        <v>58</v>
      </c>
      <c r="B67" s="58" t="s">
        <v>129</v>
      </c>
      <c r="C67" s="95" t="s">
        <v>17</v>
      </c>
      <c r="D67" s="95" t="str">
        <f t="shared" si="3"/>
        <v>2.1.1</v>
      </c>
      <c r="E67" s="96" t="s">
        <v>130</v>
      </c>
      <c r="F67" s="58" t="s">
        <v>19</v>
      </c>
      <c r="G67" s="58">
        <v>200</v>
      </c>
      <c r="H67" s="93">
        <v>84</v>
      </c>
      <c r="I67" s="59">
        <f t="shared" si="0"/>
        <v>16800</v>
      </c>
    </row>
    <row r="68" spans="1:9" s="97" customFormat="1" ht="48" customHeight="1" thickBot="1" x14ac:dyDescent="0.25">
      <c r="A68" s="94">
        <v>59</v>
      </c>
      <c r="B68" s="58" t="s">
        <v>131</v>
      </c>
      <c r="C68" s="95" t="s">
        <v>17</v>
      </c>
      <c r="D68" s="95" t="str">
        <f t="shared" si="3"/>
        <v>2.1.1</v>
      </c>
      <c r="E68" s="96" t="s">
        <v>132</v>
      </c>
      <c r="F68" s="58" t="s">
        <v>19</v>
      </c>
      <c r="G68" s="58">
        <v>200</v>
      </c>
      <c r="H68" s="93">
        <v>133</v>
      </c>
      <c r="I68" s="59">
        <f t="shared" si="0"/>
        <v>26600</v>
      </c>
    </row>
    <row r="69" spans="1:9" s="97" customFormat="1" ht="42" customHeight="1" thickBot="1" x14ac:dyDescent="0.25">
      <c r="A69" s="94">
        <v>60</v>
      </c>
      <c r="B69" s="58" t="s">
        <v>133</v>
      </c>
      <c r="C69" s="95" t="s">
        <v>17</v>
      </c>
      <c r="D69" s="95" t="str">
        <f t="shared" si="3"/>
        <v>2.1.1</v>
      </c>
      <c r="E69" s="96" t="s">
        <v>134</v>
      </c>
      <c r="F69" s="58" t="s">
        <v>19</v>
      </c>
      <c r="G69" s="58">
        <v>300</v>
      </c>
      <c r="H69" s="93">
        <v>88.25</v>
      </c>
      <c r="I69" s="59">
        <f t="shared" si="0"/>
        <v>26475</v>
      </c>
    </row>
    <row r="70" spans="1:9" s="97" customFormat="1" ht="43.5" customHeight="1" thickBot="1" x14ac:dyDescent="0.25">
      <c r="A70" s="94">
        <v>61</v>
      </c>
      <c r="B70" s="58" t="s">
        <v>135</v>
      </c>
      <c r="C70" s="95" t="s">
        <v>17</v>
      </c>
      <c r="D70" s="95" t="str">
        <f t="shared" si="3"/>
        <v>2.1.1</v>
      </c>
      <c r="E70" s="96" t="s">
        <v>136</v>
      </c>
      <c r="F70" s="58" t="s">
        <v>19</v>
      </c>
      <c r="G70" s="58">
        <v>300</v>
      </c>
      <c r="H70" s="93">
        <v>77</v>
      </c>
      <c r="I70" s="59">
        <f t="shared" si="0"/>
        <v>23100</v>
      </c>
    </row>
    <row r="71" spans="1:9" s="97" customFormat="1" ht="48.75" customHeight="1" thickBot="1" x14ac:dyDescent="0.25">
      <c r="A71" s="94">
        <v>62</v>
      </c>
      <c r="B71" s="58" t="s">
        <v>137</v>
      </c>
      <c r="C71" s="95" t="s">
        <v>17</v>
      </c>
      <c r="D71" s="95" t="str">
        <f t="shared" si="3"/>
        <v>2.1.1</v>
      </c>
      <c r="E71" s="96" t="s">
        <v>138</v>
      </c>
      <c r="F71" s="58" t="s">
        <v>19</v>
      </c>
      <c r="G71" s="58">
        <v>30</v>
      </c>
      <c r="H71" s="93">
        <v>245</v>
      </c>
      <c r="I71" s="59">
        <f t="shared" si="0"/>
        <v>7350</v>
      </c>
    </row>
    <row r="72" spans="1:9" s="97" customFormat="1" ht="41.25" customHeight="1" thickBot="1" x14ac:dyDescent="0.25">
      <c r="A72" s="94">
        <v>63</v>
      </c>
      <c r="B72" s="58" t="s">
        <v>139</v>
      </c>
      <c r="C72" s="95" t="s">
        <v>17</v>
      </c>
      <c r="D72" s="95" t="str">
        <f t="shared" si="3"/>
        <v>2.1.1</v>
      </c>
      <c r="E72" s="96" t="s">
        <v>140</v>
      </c>
      <c r="F72" s="58" t="s">
        <v>19</v>
      </c>
      <c r="G72" s="58">
        <v>30</v>
      </c>
      <c r="H72" s="93">
        <v>161</v>
      </c>
      <c r="I72" s="59">
        <f t="shared" si="0"/>
        <v>4830</v>
      </c>
    </row>
    <row r="73" spans="1:9" s="97" customFormat="1" ht="50.45" customHeight="1" thickBot="1" x14ac:dyDescent="0.25">
      <c r="A73" s="94">
        <v>64</v>
      </c>
      <c r="B73" s="58" t="s">
        <v>141</v>
      </c>
      <c r="C73" s="95" t="s">
        <v>17</v>
      </c>
      <c r="D73" s="95" t="str">
        <f t="shared" si="3"/>
        <v>2.1.1</v>
      </c>
      <c r="E73" s="96" t="s">
        <v>142</v>
      </c>
      <c r="F73" s="58" t="s">
        <v>19</v>
      </c>
      <c r="G73" s="58">
        <v>10</v>
      </c>
      <c r="H73" s="93">
        <v>450</v>
      </c>
      <c r="I73" s="59">
        <f t="shared" si="0"/>
        <v>4500</v>
      </c>
    </row>
    <row r="74" spans="1:9" ht="13.5" thickBot="1" x14ac:dyDescent="0.25">
      <c r="I74" s="65"/>
    </row>
    <row r="75" spans="1:9" ht="37.5" customHeight="1" x14ac:dyDescent="0.2">
      <c r="B75" s="119" t="s">
        <v>221</v>
      </c>
      <c r="C75" s="120"/>
      <c r="D75" s="120"/>
      <c r="E75" s="121"/>
      <c r="G75" s="60"/>
      <c r="H75" s="60"/>
      <c r="I75" s="65"/>
    </row>
    <row r="76" spans="1:9" ht="35.25" customHeight="1" thickTop="1" thickBot="1" x14ac:dyDescent="0.25">
      <c r="B76" s="119" t="s">
        <v>143</v>
      </c>
      <c r="C76" s="120"/>
      <c r="D76" s="120"/>
      <c r="E76" s="121"/>
      <c r="G76" s="60"/>
      <c r="H76" s="60"/>
      <c r="I76" s="65"/>
    </row>
    <row r="77" spans="1:9" ht="141" customHeight="1" thickTop="1" thickBot="1" x14ac:dyDescent="0.25">
      <c r="B77" s="110" t="s">
        <v>220</v>
      </c>
      <c r="C77" s="111"/>
      <c r="D77" s="111"/>
      <c r="E77" s="112"/>
      <c r="G77" s="60"/>
      <c r="H77" s="60"/>
      <c r="I77" s="65"/>
    </row>
    <row r="78" spans="1:9" ht="20.25" customHeight="1" thickTop="1" thickBot="1" x14ac:dyDescent="0.25">
      <c r="B78" s="89"/>
      <c r="C78" s="89"/>
      <c r="D78" s="89"/>
      <c r="E78" s="89"/>
      <c r="G78" s="60"/>
      <c r="H78" s="60"/>
      <c r="I78" s="65"/>
    </row>
    <row r="79" spans="1:9" ht="20.25" customHeight="1" x14ac:dyDescent="0.2">
      <c r="B79" s="62" t="s">
        <v>212</v>
      </c>
      <c r="C79" s="81"/>
      <c r="D79" s="66"/>
      <c r="E79" s="67"/>
      <c r="G79" s="60"/>
      <c r="H79" s="60"/>
      <c r="I79" s="65"/>
    </row>
    <row r="80" spans="1:9" ht="20.25" customHeight="1" x14ac:dyDescent="0.2">
      <c r="B80" s="68"/>
      <c r="C80" s="82"/>
      <c r="D80" s="69"/>
      <c r="E80" s="70"/>
      <c r="G80" s="60"/>
      <c r="H80" s="60"/>
      <c r="I80" s="65"/>
    </row>
    <row r="81" spans="2:9" ht="20.25" customHeight="1" x14ac:dyDescent="0.2">
      <c r="B81" s="63" t="s">
        <v>144</v>
      </c>
      <c r="C81" s="82"/>
      <c r="D81" s="69"/>
      <c r="E81" s="70"/>
      <c r="G81" s="60"/>
      <c r="H81" s="60"/>
      <c r="I81" s="65"/>
    </row>
    <row r="82" spans="2:9" ht="20.25" customHeight="1" x14ac:dyDescent="0.2">
      <c r="B82" s="64"/>
      <c r="C82" s="107" t="s">
        <v>218</v>
      </c>
      <c r="D82" s="107"/>
      <c r="E82" s="108"/>
      <c r="G82" s="60"/>
      <c r="H82" s="60"/>
      <c r="I82" s="65"/>
    </row>
    <row r="83" spans="2:9" ht="20.25" customHeight="1" x14ac:dyDescent="0.2">
      <c r="B83" s="63" t="s">
        <v>145</v>
      </c>
      <c r="C83" s="82"/>
      <c r="D83" s="69"/>
      <c r="E83" s="70"/>
      <c r="G83" s="60"/>
      <c r="H83" s="60"/>
      <c r="I83" s="65"/>
    </row>
    <row r="84" spans="2:9" ht="29.25" customHeight="1" x14ac:dyDescent="0.2">
      <c r="B84" s="68"/>
      <c r="C84" s="113" t="s">
        <v>196</v>
      </c>
      <c r="D84" s="113"/>
      <c r="E84" s="114"/>
      <c r="G84" s="60"/>
      <c r="H84" s="60"/>
      <c r="I84" s="65"/>
    </row>
    <row r="85" spans="2:9" ht="15" customHeight="1" x14ac:dyDescent="0.2">
      <c r="B85" s="68"/>
      <c r="C85" s="115"/>
      <c r="D85" s="115"/>
      <c r="E85" s="115"/>
      <c r="G85" s="60"/>
      <c r="H85" s="60"/>
      <c r="I85" s="65"/>
    </row>
    <row r="86" spans="2:9" ht="20.25" customHeight="1" x14ac:dyDescent="0.2">
      <c r="B86" s="63" t="s">
        <v>146</v>
      </c>
      <c r="C86" s="82"/>
      <c r="D86" s="69"/>
      <c r="E86" s="70"/>
      <c r="G86" s="60"/>
      <c r="H86" s="60"/>
      <c r="I86" s="65"/>
    </row>
    <row r="87" spans="2:9" ht="20.25" customHeight="1" x14ac:dyDescent="0.2">
      <c r="B87" s="68"/>
      <c r="C87" s="116"/>
      <c r="D87" s="116"/>
      <c r="E87" s="116"/>
      <c r="G87" s="60"/>
      <c r="H87" s="60"/>
      <c r="I87" s="65"/>
    </row>
    <row r="88" spans="2:9" ht="20.25" customHeight="1" x14ac:dyDescent="0.2">
      <c r="B88" s="64" t="s">
        <v>147</v>
      </c>
      <c r="C88" s="80"/>
      <c r="D88" s="71"/>
      <c r="E88" s="72"/>
      <c r="G88" s="60"/>
      <c r="H88" s="60"/>
      <c r="I88" s="65"/>
    </row>
    <row r="89" spans="2:9" ht="20.25" customHeight="1" x14ac:dyDescent="0.2">
      <c r="B89" s="68"/>
      <c r="C89" s="107" t="s">
        <v>148</v>
      </c>
      <c r="D89" s="107"/>
      <c r="E89" s="108"/>
      <c r="G89" s="60"/>
      <c r="H89" s="60"/>
      <c r="I89" s="65"/>
    </row>
    <row r="90" spans="2:9" ht="20.25" customHeight="1" x14ac:dyDescent="0.2">
      <c r="B90" s="64" t="s">
        <v>149</v>
      </c>
      <c r="C90" s="82"/>
      <c r="D90" s="69"/>
      <c r="E90" s="70"/>
      <c r="G90" s="60"/>
      <c r="H90" s="60"/>
      <c r="I90" s="65"/>
    </row>
    <row r="91" spans="2:9" ht="20.25" customHeight="1" x14ac:dyDescent="0.2">
      <c r="B91" s="64"/>
      <c r="C91" s="109"/>
      <c r="D91" s="109"/>
      <c r="E91" s="109"/>
      <c r="G91" s="60"/>
      <c r="H91" s="60"/>
      <c r="I91" s="65"/>
    </row>
    <row r="92" spans="2:9" ht="20.25" customHeight="1" thickBot="1" x14ac:dyDescent="0.25">
      <c r="B92" s="73"/>
      <c r="C92" s="83"/>
      <c r="D92" s="74"/>
      <c r="E92" s="75"/>
      <c r="G92" s="60"/>
      <c r="H92" s="60"/>
      <c r="I92" s="65"/>
    </row>
    <row r="93" spans="2:9" ht="20.25" customHeight="1" x14ac:dyDescent="0.2">
      <c r="B93" s="89"/>
      <c r="C93" s="89"/>
      <c r="D93" s="89"/>
      <c r="E93" s="89"/>
      <c r="G93" s="60"/>
      <c r="H93" s="60"/>
      <c r="I93" s="65"/>
    </row>
    <row r="94" spans="2:9" ht="20.25" customHeight="1" thickBot="1" x14ac:dyDescent="0.25">
      <c r="B94" s="89"/>
      <c r="C94" s="89"/>
      <c r="D94" s="89"/>
      <c r="E94" s="89"/>
      <c r="G94" s="60"/>
      <c r="H94" s="60"/>
      <c r="I94" s="65"/>
    </row>
    <row r="95" spans="2:9" ht="20.25" customHeight="1" x14ac:dyDescent="0.2">
      <c r="B95" s="62" t="s">
        <v>194</v>
      </c>
      <c r="C95" s="81"/>
      <c r="D95" s="66"/>
      <c r="E95" s="67"/>
      <c r="G95" s="60"/>
      <c r="H95" s="60"/>
      <c r="I95" s="65"/>
    </row>
    <row r="96" spans="2:9" ht="12.75" customHeight="1" x14ac:dyDescent="0.2">
      <c r="B96" s="68"/>
      <c r="C96" s="82"/>
      <c r="D96" s="69"/>
      <c r="E96" s="70"/>
      <c r="G96" s="60"/>
      <c r="H96" s="60"/>
      <c r="I96" s="65"/>
    </row>
    <row r="97" spans="1:9" ht="20.25" customHeight="1" x14ac:dyDescent="0.2">
      <c r="B97" s="63" t="s">
        <v>144</v>
      </c>
      <c r="C97" s="82"/>
      <c r="D97" s="69"/>
      <c r="E97" s="70"/>
      <c r="G97" s="60"/>
      <c r="H97" s="60"/>
      <c r="I97" s="65"/>
    </row>
    <row r="98" spans="1:9" ht="25.5" customHeight="1" x14ac:dyDescent="0.2">
      <c r="B98" s="64"/>
      <c r="C98" s="107" t="s">
        <v>202</v>
      </c>
      <c r="D98" s="107"/>
      <c r="E98" s="108"/>
      <c r="G98" s="60"/>
      <c r="H98" s="60"/>
      <c r="I98" s="65"/>
    </row>
    <row r="99" spans="1:9" ht="20.25" customHeight="1" x14ac:dyDescent="0.2">
      <c r="B99" s="63" t="s">
        <v>145</v>
      </c>
      <c r="C99" s="82"/>
      <c r="D99" s="69"/>
      <c r="E99" s="70"/>
      <c r="G99" s="60"/>
      <c r="H99" s="60"/>
      <c r="I99" s="65"/>
    </row>
    <row r="100" spans="1:9" ht="38.25" customHeight="1" x14ac:dyDescent="0.2">
      <c r="B100" s="68"/>
      <c r="C100" s="113" t="s">
        <v>196</v>
      </c>
      <c r="D100" s="113"/>
      <c r="E100" s="114"/>
      <c r="G100" s="60"/>
      <c r="H100" s="60"/>
      <c r="I100" s="65"/>
    </row>
    <row r="101" spans="1:9" ht="12" customHeight="1" x14ac:dyDescent="0.2">
      <c r="B101" s="68"/>
      <c r="C101" s="115"/>
      <c r="D101" s="115"/>
      <c r="E101" s="115"/>
      <c r="G101" s="60"/>
      <c r="H101" s="60"/>
      <c r="I101" s="65"/>
    </row>
    <row r="102" spans="1:9" ht="13.5" customHeight="1" x14ac:dyDescent="0.2">
      <c r="B102" s="63" t="s">
        <v>146</v>
      </c>
      <c r="C102" s="82"/>
      <c r="D102" s="69"/>
      <c r="E102" s="70"/>
      <c r="G102" s="60"/>
      <c r="H102" s="60"/>
      <c r="I102" s="65"/>
    </row>
    <row r="103" spans="1:9" ht="14.25" customHeight="1" x14ac:dyDescent="0.2">
      <c r="B103" s="68"/>
      <c r="C103" s="116"/>
      <c r="D103" s="116"/>
      <c r="E103" s="116"/>
      <c r="G103" s="60"/>
      <c r="H103" s="60"/>
      <c r="I103" s="65"/>
    </row>
    <row r="104" spans="1:9" ht="20.25" customHeight="1" x14ac:dyDescent="0.2">
      <c r="B104" s="64" t="s">
        <v>147</v>
      </c>
      <c r="C104" s="80"/>
      <c r="D104" s="71"/>
      <c r="E104" s="72"/>
      <c r="G104" s="60"/>
      <c r="H104" s="60"/>
      <c r="I104" s="65"/>
    </row>
    <row r="105" spans="1:9" ht="18.75" customHeight="1" x14ac:dyDescent="0.2">
      <c r="B105" s="68"/>
      <c r="C105" s="107" t="s">
        <v>148</v>
      </c>
      <c r="D105" s="107"/>
      <c r="E105" s="108"/>
      <c r="G105" s="60"/>
      <c r="H105" s="60"/>
      <c r="I105" s="65"/>
    </row>
    <row r="106" spans="1:9" ht="12.75" customHeight="1" x14ac:dyDescent="0.2">
      <c r="B106" s="64" t="s">
        <v>149</v>
      </c>
      <c r="C106" s="82"/>
      <c r="D106" s="69"/>
      <c r="E106" s="70"/>
      <c r="G106" s="60"/>
      <c r="H106" s="60"/>
      <c r="I106" s="65"/>
    </row>
    <row r="107" spans="1:9" ht="12.75" customHeight="1" x14ac:dyDescent="0.2">
      <c r="B107" s="64"/>
      <c r="C107" s="109"/>
      <c r="D107" s="109"/>
      <c r="E107" s="109"/>
      <c r="G107" s="60"/>
      <c r="H107" s="60"/>
      <c r="I107" s="65"/>
    </row>
    <row r="108" spans="1:9" ht="12.75" customHeight="1" thickBot="1" x14ac:dyDescent="0.25">
      <c r="B108" s="73"/>
      <c r="C108" s="83"/>
      <c r="D108" s="74"/>
      <c r="E108" s="75"/>
      <c r="G108" s="60"/>
      <c r="H108" s="60"/>
      <c r="I108" s="65"/>
    </row>
    <row r="109" spans="1:9" x14ac:dyDescent="0.2">
      <c r="B109" s="60"/>
      <c r="E109" s="52"/>
      <c r="G109" s="60"/>
      <c r="H109" s="60"/>
      <c r="I109" s="65"/>
    </row>
    <row r="110" spans="1:9" ht="13.5" thickBot="1" x14ac:dyDescent="0.25">
      <c r="B110" s="60"/>
      <c r="E110" s="52"/>
      <c r="G110" s="60"/>
      <c r="H110" s="60"/>
    </row>
    <row r="111" spans="1:9" x14ac:dyDescent="0.2">
      <c r="A111" s="61"/>
      <c r="B111" s="62" t="s">
        <v>198</v>
      </c>
      <c r="C111" s="81"/>
      <c r="D111" s="66"/>
      <c r="E111" s="67"/>
      <c r="G111" s="60"/>
      <c r="H111" s="60"/>
    </row>
    <row r="112" spans="1:9" ht="5.25" customHeight="1" x14ac:dyDescent="0.2">
      <c r="B112" s="68"/>
      <c r="C112" s="82"/>
      <c r="D112" s="69"/>
      <c r="E112" s="70"/>
      <c r="G112" s="60"/>
      <c r="H112" s="60"/>
    </row>
    <row r="113" spans="1:8" x14ac:dyDescent="0.2">
      <c r="B113" s="63" t="s">
        <v>144</v>
      </c>
      <c r="C113" s="82"/>
      <c r="D113" s="69"/>
      <c r="E113" s="70"/>
      <c r="G113" s="60"/>
      <c r="H113" s="60"/>
    </row>
    <row r="114" spans="1:8" ht="24.75" customHeight="1" x14ac:dyDescent="0.2">
      <c r="B114" s="64"/>
      <c r="C114" s="107" t="s">
        <v>203</v>
      </c>
      <c r="D114" s="107"/>
      <c r="E114" s="108"/>
      <c r="G114" s="60"/>
      <c r="H114" s="60"/>
    </row>
    <row r="115" spans="1:8" x14ac:dyDescent="0.2">
      <c r="A115" s="61"/>
      <c r="B115" s="63" t="s">
        <v>145</v>
      </c>
      <c r="C115" s="82"/>
      <c r="D115" s="69"/>
      <c r="E115" s="70"/>
      <c r="G115" s="60"/>
      <c r="H115" s="60"/>
    </row>
    <row r="116" spans="1:8" ht="37.5" customHeight="1" x14ac:dyDescent="0.2">
      <c r="B116" s="68"/>
      <c r="C116" s="113" t="s">
        <v>196</v>
      </c>
      <c r="D116" s="113"/>
      <c r="E116" s="114"/>
      <c r="G116" s="60"/>
      <c r="H116" s="60"/>
    </row>
    <row r="117" spans="1:8" x14ac:dyDescent="0.2">
      <c r="B117" s="68"/>
      <c r="C117" s="115"/>
      <c r="D117" s="115"/>
      <c r="E117" s="115"/>
      <c r="G117" s="60"/>
      <c r="H117" s="60"/>
    </row>
    <row r="118" spans="1:8" x14ac:dyDescent="0.2">
      <c r="A118" s="61"/>
      <c r="B118" s="63" t="s">
        <v>146</v>
      </c>
      <c r="C118" s="82"/>
      <c r="D118" s="69"/>
      <c r="E118" s="70"/>
      <c r="G118" s="60"/>
      <c r="H118" s="60"/>
    </row>
    <row r="119" spans="1:8" ht="26.25" customHeight="1" x14ac:dyDescent="0.2">
      <c r="B119" s="68"/>
      <c r="C119" s="116"/>
      <c r="D119" s="116"/>
      <c r="E119" s="116"/>
      <c r="G119" s="60"/>
      <c r="H119" s="60"/>
    </row>
    <row r="120" spans="1:8" x14ac:dyDescent="0.2">
      <c r="B120" s="64" t="s">
        <v>147</v>
      </c>
      <c r="C120" s="80"/>
      <c r="D120" s="71"/>
      <c r="E120" s="72"/>
      <c r="G120" s="60"/>
      <c r="H120" s="60"/>
    </row>
    <row r="121" spans="1:8" ht="26.25" customHeight="1" x14ac:dyDescent="0.2">
      <c r="B121" s="68"/>
      <c r="C121" s="107" t="s">
        <v>148</v>
      </c>
      <c r="D121" s="107"/>
      <c r="E121" s="108"/>
      <c r="G121" s="60"/>
      <c r="H121" s="60"/>
    </row>
    <row r="122" spans="1:8" x14ac:dyDescent="0.2">
      <c r="B122" s="64" t="s">
        <v>149</v>
      </c>
      <c r="C122" s="82"/>
      <c r="D122" s="69"/>
      <c r="E122" s="70"/>
      <c r="G122" s="60"/>
      <c r="H122" s="60"/>
    </row>
    <row r="123" spans="1:8" ht="23.25" customHeight="1" x14ac:dyDescent="0.2">
      <c r="B123" s="64"/>
      <c r="C123" s="109"/>
      <c r="D123" s="109"/>
      <c r="E123" s="109"/>
      <c r="G123" s="60"/>
      <c r="H123" s="60"/>
    </row>
    <row r="124" spans="1:8" ht="13.5" thickBot="1" x14ac:dyDescent="0.25">
      <c r="B124" s="73"/>
      <c r="C124" s="83"/>
      <c r="D124" s="74"/>
      <c r="E124" s="75"/>
      <c r="G124" s="60"/>
      <c r="H124" s="60"/>
    </row>
    <row r="125" spans="1:8" x14ac:dyDescent="0.2">
      <c r="B125" s="76"/>
      <c r="C125" s="76"/>
      <c r="D125" s="77"/>
      <c r="E125" s="77"/>
      <c r="G125" s="60"/>
      <c r="H125" s="60"/>
    </row>
    <row r="126" spans="1:8" ht="13.5" thickBot="1" x14ac:dyDescent="0.25">
      <c r="B126" s="77"/>
      <c r="C126" s="76"/>
      <c r="D126" s="77"/>
      <c r="E126" s="78"/>
    </row>
    <row r="127" spans="1:8" x14ac:dyDescent="0.2">
      <c r="B127" s="62" t="s">
        <v>199</v>
      </c>
      <c r="C127" s="81"/>
      <c r="D127" s="66"/>
      <c r="E127" s="67"/>
    </row>
    <row r="128" spans="1:8" x14ac:dyDescent="0.2">
      <c r="B128" s="68"/>
      <c r="C128" s="82"/>
      <c r="D128" s="69"/>
      <c r="E128" s="70"/>
    </row>
    <row r="129" spans="2:5" x14ac:dyDescent="0.2">
      <c r="B129" s="63" t="s">
        <v>144</v>
      </c>
      <c r="C129" s="82"/>
      <c r="D129" s="69"/>
      <c r="E129" s="70"/>
    </row>
    <row r="130" spans="2:5" ht="19.5" customHeight="1" x14ac:dyDescent="0.2">
      <c r="B130" s="64"/>
      <c r="C130" s="107" t="s">
        <v>195</v>
      </c>
      <c r="D130" s="107"/>
      <c r="E130" s="108"/>
    </row>
    <row r="131" spans="2:5" x14ac:dyDescent="0.2">
      <c r="B131" s="63" t="s">
        <v>145</v>
      </c>
      <c r="C131" s="82"/>
      <c r="D131" s="69"/>
      <c r="E131" s="70"/>
    </row>
    <row r="132" spans="2:5" ht="48" customHeight="1" x14ac:dyDescent="0.2">
      <c r="B132" s="68"/>
      <c r="C132" s="113" t="s">
        <v>196</v>
      </c>
      <c r="D132" s="113"/>
      <c r="E132" s="114"/>
    </row>
    <row r="133" spans="2:5" x14ac:dyDescent="0.2">
      <c r="B133" s="68"/>
      <c r="C133" s="115"/>
      <c r="D133" s="115"/>
      <c r="E133" s="115"/>
    </row>
    <row r="134" spans="2:5" x14ac:dyDescent="0.2">
      <c r="B134" s="63" t="s">
        <v>146</v>
      </c>
      <c r="C134" s="82"/>
      <c r="D134" s="69"/>
      <c r="E134" s="70"/>
    </row>
    <row r="135" spans="2:5" x14ac:dyDescent="0.2">
      <c r="B135" s="68"/>
      <c r="C135" s="116"/>
      <c r="D135" s="116"/>
      <c r="E135" s="116"/>
    </row>
    <row r="136" spans="2:5" x14ac:dyDescent="0.2">
      <c r="B136" s="64" t="s">
        <v>147</v>
      </c>
      <c r="C136" s="80"/>
      <c r="D136" s="71"/>
      <c r="E136" s="72"/>
    </row>
    <row r="137" spans="2:5" ht="21.75" customHeight="1" x14ac:dyDescent="0.2">
      <c r="B137" s="68"/>
      <c r="C137" s="107" t="s">
        <v>148</v>
      </c>
      <c r="D137" s="107"/>
      <c r="E137" s="108"/>
    </row>
    <row r="138" spans="2:5" x14ac:dyDescent="0.2">
      <c r="B138" s="64" t="s">
        <v>149</v>
      </c>
      <c r="C138" s="82"/>
      <c r="D138" s="69"/>
      <c r="E138" s="70"/>
    </row>
    <row r="139" spans="2:5" x14ac:dyDescent="0.2">
      <c r="B139" s="64"/>
      <c r="C139" s="109"/>
      <c r="D139" s="109"/>
      <c r="E139" s="109"/>
    </row>
    <row r="140" spans="2:5" ht="13.5" thickBot="1" x14ac:dyDescent="0.25">
      <c r="B140" s="73"/>
      <c r="C140" s="83"/>
      <c r="D140" s="74"/>
      <c r="E140" s="75"/>
    </row>
    <row r="141" spans="2:5" x14ac:dyDescent="0.2">
      <c r="B141" s="76"/>
      <c r="C141" s="76"/>
      <c r="D141" s="77"/>
      <c r="E141" s="77"/>
    </row>
    <row r="142" spans="2:5" ht="13.5" thickBot="1" x14ac:dyDescent="0.25">
      <c r="B142" s="76"/>
      <c r="C142" s="76"/>
      <c r="D142" s="77"/>
      <c r="E142" s="77"/>
    </row>
    <row r="143" spans="2:5" x14ac:dyDescent="0.2">
      <c r="B143" s="62" t="s">
        <v>213</v>
      </c>
      <c r="C143" s="81"/>
      <c r="D143" s="66"/>
      <c r="E143" s="67"/>
    </row>
    <row r="144" spans="2:5" x14ac:dyDescent="0.2">
      <c r="B144" s="68"/>
      <c r="C144" s="82"/>
      <c r="D144" s="69"/>
      <c r="E144" s="70"/>
    </row>
    <row r="145" spans="2:5" x14ac:dyDescent="0.2">
      <c r="B145" s="63" t="s">
        <v>144</v>
      </c>
      <c r="C145" s="82"/>
      <c r="D145" s="69"/>
      <c r="E145" s="70"/>
    </row>
    <row r="146" spans="2:5" x14ac:dyDescent="0.2">
      <c r="B146" s="64"/>
      <c r="C146" s="107" t="s">
        <v>219</v>
      </c>
      <c r="D146" s="107"/>
      <c r="E146" s="108"/>
    </row>
    <row r="147" spans="2:5" x14ac:dyDescent="0.2">
      <c r="B147" s="63" t="s">
        <v>145</v>
      </c>
      <c r="C147" s="82"/>
      <c r="D147" s="69"/>
      <c r="E147" s="70"/>
    </row>
    <row r="148" spans="2:5" ht="36.75" customHeight="1" x14ac:dyDescent="0.2">
      <c r="B148" s="68"/>
      <c r="C148" s="113" t="s">
        <v>196</v>
      </c>
      <c r="D148" s="113"/>
      <c r="E148" s="114"/>
    </row>
    <row r="149" spans="2:5" x14ac:dyDescent="0.2">
      <c r="B149" s="68"/>
      <c r="C149" s="115"/>
      <c r="D149" s="115"/>
      <c r="E149" s="115"/>
    </row>
    <row r="150" spans="2:5" x14ac:dyDescent="0.2">
      <c r="B150" s="63" t="s">
        <v>146</v>
      </c>
      <c r="C150" s="82"/>
      <c r="D150" s="69"/>
      <c r="E150" s="70"/>
    </row>
    <row r="151" spans="2:5" x14ac:dyDescent="0.2">
      <c r="B151" s="68"/>
      <c r="C151" s="116"/>
      <c r="D151" s="116"/>
      <c r="E151" s="116"/>
    </row>
    <row r="152" spans="2:5" x14ac:dyDescent="0.2">
      <c r="B152" s="64" t="s">
        <v>147</v>
      </c>
      <c r="C152" s="80"/>
      <c r="D152" s="71"/>
      <c r="E152" s="72"/>
    </row>
    <row r="153" spans="2:5" x14ac:dyDescent="0.2">
      <c r="B153" s="68"/>
      <c r="C153" s="107" t="s">
        <v>148</v>
      </c>
      <c r="D153" s="107"/>
      <c r="E153" s="108"/>
    </row>
    <row r="154" spans="2:5" x14ac:dyDescent="0.2">
      <c r="B154" s="64" t="s">
        <v>149</v>
      </c>
      <c r="C154" s="82"/>
      <c r="D154" s="69"/>
      <c r="E154" s="70"/>
    </row>
    <row r="155" spans="2:5" x14ac:dyDescent="0.2">
      <c r="B155" s="64"/>
      <c r="C155" s="109"/>
      <c r="D155" s="109"/>
      <c r="E155" s="109"/>
    </row>
    <row r="156" spans="2:5" ht="13.5" thickBot="1" x14ac:dyDescent="0.25">
      <c r="B156" s="73"/>
      <c r="C156" s="83"/>
      <c r="D156" s="74"/>
      <c r="E156" s="75"/>
    </row>
    <row r="157" spans="2:5" x14ac:dyDescent="0.2">
      <c r="B157" s="76"/>
      <c r="C157" s="76"/>
      <c r="D157" s="77"/>
      <c r="E157" s="77"/>
    </row>
    <row r="158" spans="2:5" x14ac:dyDescent="0.2">
      <c r="B158" s="76"/>
      <c r="C158" s="76"/>
      <c r="D158" s="77"/>
      <c r="E158" s="77"/>
    </row>
    <row r="159" spans="2:5" ht="13.5" thickBot="1" x14ac:dyDescent="0.25">
      <c r="B159" s="77"/>
      <c r="C159" s="76"/>
      <c r="D159" s="77"/>
      <c r="E159" s="78"/>
    </row>
    <row r="160" spans="2:5" x14ac:dyDescent="0.2">
      <c r="B160" s="62" t="s">
        <v>207</v>
      </c>
      <c r="C160" s="81"/>
      <c r="D160" s="66"/>
      <c r="E160" s="67"/>
    </row>
    <row r="161" spans="2:5" x14ac:dyDescent="0.2">
      <c r="B161" s="68"/>
      <c r="C161" s="82"/>
      <c r="D161" s="69"/>
      <c r="E161" s="70"/>
    </row>
    <row r="162" spans="2:5" x14ac:dyDescent="0.2">
      <c r="B162" s="63" t="s">
        <v>144</v>
      </c>
      <c r="C162" s="82"/>
      <c r="D162" s="69"/>
      <c r="E162" s="70"/>
    </row>
    <row r="163" spans="2:5" ht="22.5" customHeight="1" x14ac:dyDescent="0.2">
      <c r="B163" s="64"/>
      <c r="C163" s="107" t="s">
        <v>208</v>
      </c>
      <c r="D163" s="107"/>
      <c r="E163" s="108"/>
    </row>
    <row r="164" spans="2:5" x14ac:dyDescent="0.2">
      <c r="B164" s="63" t="s">
        <v>145</v>
      </c>
      <c r="C164" s="82"/>
      <c r="D164" s="69"/>
      <c r="E164" s="70"/>
    </row>
    <row r="165" spans="2:5" ht="50.25" customHeight="1" x14ac:dyDescent="0.2">
      <c r="B165" s="68"/>
      <c r="C165" s="113" t="s">
        <v>196</v>
      </c>
      <c r="D165" s="113"/>
      <c r="E165" s="114"/>
    </row>
    <row r="166" spans="2:5" x14ac:dyDescent="0.2">
      <c r="B166" s="68"/>
      <c r="C166" s="117"/>
      <c r="D166" s="117"/>
      <c r="E166" s="115"/>
    </row>
    <row r="167" spans="2:5" x14ac:dyDescent="0.2">
      <c r="B167" s="63" t="s">
        <v>146</v>
      </c>
      <c r="C167" s="82"/>
      <c r="D167" s="69"/>
      <c r="E167" s="70"/>
    </row>
    <row r="168" spans="2:5" x14ac:dyDescent="0.2">
      <c r="B168" s="68"/>
      <c r="C168" s="124"/>
      <c r="D168" s="124"/>
      <c r="E168" s="116"/>
    </row>
    <row r="169" spans="2:5" x14ac:dyDescent="0.2">
      <c r="B169" s="64" t="s">
        <v>147</v>
      </c>
      <c r="C169" s="80"/>
      <c r="D169" s="71"/>
      <c r="E169" s="72"/>
    </row>
    <row r="170" spans="2:5" x14ac:dyDescent="0.2">
      <c r="B170" s="68"/>
      <c r="C170" s="84" t="s">
        <v>148</v>
      </c>
      <c r="D170" s="84"/>
      <c r="E170" s="85"/>
    </row>
    <row r="171" spans="2:5" x14ac:dyDescent="0.2">
      <c r="B171" s="64" t="s">
        <v>149</v>
      </c>
      <c r="C171" s="82"/>
      <c r="D171" s="69"/>
      <c r="E171" s="70"/>
    </row>
    <row r="172" spans="2:5" x14ac:dyDescent="0.2">
      <c r="B172" s="64"/>
      <c r="C172" s="125"/>
      <c r="D172" s="125"/>
      <c r="E172" s="109"/>
    </row>
    <row r="173" spans="2:5" ht="13.5" thickBot="1" x14ac:dyDescent="0.25">
      <c r="B173" s="73"/>
      <c r="C173" s="83"/>
      <c r="D173" s="74"/>
      <c r="E173" s="75"/>
    </row>
    <row r="175" spans="2:5" ht="13.5" thickBot="1" x14ac:dyDescent="0.25"/>
    <row r="176" spans="2:5" x14ac:dyDescent="0.2">
      <c r="B176" s="62" t="s">
        <v>209</v>
      </c>
      <c r="C176" s="81"/>
      <c r="D176" s="66"/>
      <c r="E176" s="67"/>
    </row>
    <row r="177" spans="2:5" x14ac:dyDescent="0.2">
      <c r="B177" s="68"/>
      <c r="C177" s="82"/>
      <c r="D177" s="69"/>
      <c r="E177" s="70"/>
    </row>
    <row r="178" spans="2:5" x14ac:dyDescent="0.2">
      <c r="B178" s="63" t="s">
        <v>144</v>
      </c>
      <c r="C178" s="82"/>
      <c r="D178" s="69"/>
      <c r="E178" s="70"/>
    </row>
    <row r="179" spans="2:5" ht="25.5" customHeight="1" x14ac:dyDescent="0.2">
      <c r="B179" s="64"/>
      <c r="C179" s="113" t="s">
        <v>197</v>
      </c>
      <c r="D179" s="113"/>
      <c r="E179" s="114"/>
    </row>
    <row r="180" spans="2:5" x14ac:dyDescent="0.2">
      <c r="B180" s="63" t="s">
        <v>145</v>
      </c>
      <c r="C180" s="82"/>
      <c r="D180" s="69"/>
      <c r="E180" s="70"/>
    </row>
    <row r="181" spans="2:5" ht="39.75" customHeight="1" x14ac:dyDescent="0.2">
      <c r="B181" s="68"/>
      <c r="C181" s="113" t="s">
        <v>196</v>
      </c>
      <c r="D181" s="113"/>
      <c r="E181" s="114"/>
    </row>
    <row r="182" spans="2:5" x14ac:dyDescent="0.2">
      <c r="B182" s="68"/>
      <c r="C182" s="117"/>
      <c r="D182" s="117"/>
      <c r="E182" s="115"/>
    </row>
    <row r="183" spans="2:5" x14ac:dyDescent="0.2">
      <c r="B183" s="63" t="s">
        <v>146</v>
      </c>
      <c r="C183" s="82"/>
      <c r="D183" s="69"/>
      <c r="E183" s="70"/>
    </row>
    <row r="184" spans="2:5" x14ac:dyDescent="0.2">
      <c r="B184" s="68"/>
      <c r="C184" s="124"/>
      <c r="D184" s="124"/>
      <c r="E184" s="116"/>
    </row>
    <row r="185" spans="2:5" x14ac:dyDescent="0.2">
      <c r="B185" s="64" t="s">
        <v>147</v>
      </c>
      <c r="C185" s="80"/>
      <c r="D185" s="71"/>
      <c r="E185" s="72"/>
    </row>
    <row r="186" spans="2:5" x14ac:dyDescent="0.2">
      <c r="B186" s="68"/>
      <c r="C186" s="84" t="s">
        <v>148</v>
      </c>
      <c r="D186" s="84"/>
      <c r="E186" s="85"/>
    </row>
    <row r="187" spans="2:5" x14ac:dyDescent="0.2">
      <c r="B187" s="64" t="s">
        <v>149</v>
      </c>
      <c r="C187" s="82"/>
      <c r="D187" s="69"/>
      <c r="E187" s="70"/>
    </row>
    <row r="188" spans="2:5" x14ac:dyDescent="0.2">
      <c r="B188" s="64"/>
      <c r="C188" s="125"/>
      <c r="D188" s="125"/>
      <c r="E188" s="109"/>
    </row>
    <row r="189" spans="2:5" ht="26.25" customHeight="1" thickBot="1" x14ac:dyDescent="0.25">
      <c r="B189" s="73"/>
      <c r="C189" s="83"/>
      <c r="D189" s="74"/>
      <c r="E189" s="75"/>
    </row>
    <row r="191" spans="2:5" ht="13.5" thickBot="1" x14ac:dyDescent="0.25"/>
    <row r="192" spans="2:5" x14ac:dyDescent="0.2">
      <c r="B192" s="62" t="s">
        <v>200</v>
      </c>
      <c r="C192" s="81"/>
      <c r="D192" s="66"/>
      <c r="E192" s="67"/>
    </row>
    <row r="193" spans="2:5" x14ac:dyDescent="0.2">
      <c r="B193" s="68"/>
      <c r="C193" s="82"/>
      <c r="D193" s="69"/>
      <c r="E193" s="70"/>
    </row>
    <row r="194" spans="2:5" x14ac:dyDescent="0.2">
      <c r="B194" s="63" t="s">
        <v>144</v>
      </c>
      <c r="C194" s="82"/>
      <c r="D194" s="69"/>
      <c r="E194" s="70"/>
    </row>
    <row r="195" spans="2:5" ht="25.5" customHeight="1" x14ac:dyDescent="0.2">
      <c r="B195" s="64"/>
      <c r="C195" s="107" t="s">
        <v>201</v>
      </c>
      <c r="D195" s="107"/>
      <c r="E195" s="108"/>
    </row>
    <row r="196" spans="2:5" x14ac:dyDescent="0.2">
      <c r="B196" s="63" t="s">
        <v>145</v>
      </c>
      <c r="C196" s="82"/>
      <c r="D196" s="69"/>
      <c r="E196" s="70"/>
    </row>
    <row r="197" spans="2:5" ht="63.75" customHeight="1" x14ac:dyDescent="0.2">
      <c r="B197" s="68"/>
      <c r="C197" s="113" t="s">
        <v>196</v>
      </c>
      <c r="D197" s="113"/>
      <c r="E197" s="114"/>
    </row>
    <row r="198" spans="2:5" x14ac:dyDescent="0.2">
      <c r="B198" s="68"/>
      <c r="C198" s="90"/>
      <c r="D198" s="90"/>
      <c r="E198" s="86"/>
    </row>
    <row r="199" spans="2:5" x14ac:dyDescent="0.2">
      <c r="B199" s="63" t="s">
        <v>146</v>
      </c>
      <c r="C199" s="82"/>
      <c r="D199" s="69"/>
      <c r="E199" s="70"/>
    </row>
    <row r="200" spans="2:5" x14ac:dyDescent="0.2">
      <c r="B200" s="68"/>
      <c r="C200" s="91"/>
      <c r="D200" s="91"/>
      <c r="E200" s="87"/>
    </row>
    <row r="201" spans="2:5" x14ac:dyDescent="0.2">
      <c r="B201" s="64" t="s">
        <v>147</v>
      </c>
      <c r="C201" s="80"/>
      <c r="D201" s="71"/>
      <c r="E201" s="72"/>
    </row>
    <row r="202" spans="2:5" x14ac:dyDescent="0.2">
      <c r="B202" s="68"/>
      <c r="C202" s="84" t="s">
        <v>148</v>
      </c>
      <c r="D202" s="84"/>
      <c r="E202" s="85"/>
    </row>
    <row r="203" spans="2:5" x14ac:dyDescent="0.2">
      <c r="B203" s="64" t="s">
        <v>149</v>
      </c>
      <c r="C203" s="82"/>
      <c r="D203" s="69"/>
      <c r="E203" s="70"/>
    </row>
    <row r="204" spans="2:5" x14ac:dyDescent="0.2">
      <c r="B204" s="64"/>
      <c r="C204" s="92"/>
      <c r="D204" s="92"/>
      <c r="E204" s="88"/>
    </row>
    <row r="205" spans="2:5" ht="13.5" thickBot="1" x14ac:dyDescent="0.25">
      <c r="B205" s="73"/>
      <c r="C205" s="83"/>
      <c r="D205" s="74"/>
      <c r="E205" s="75"/>
    </row>
    <row r="207" spans="2:5" ht="13.5" thickBot="1" x14ac:dyDescent="0.25"/>
    <row r="208" spans="2:5" x14ac:dyDescent="0.2">
      <c r="B208" s="62" t="s">
        <v>210</v>
      </c>
      <c r="C208" s="81"/>
      <c r="D208" s="66"/>
      <c r="E208" s="67"/>
    </row>
    <row r="209" spans="2:5" x14ac:dyDescent="0.2">
      <c r="B209" s="68"/>
      <c r="C209" s="82"/>
      <c r="D209" s="69"/>
      <c r="E209" s="70"/>
    </row>
    <row r="210" spans="2:5" x14ac:dyDescent="0.2">
      <c r="B210" s="63" t="s">
        <v>144</v>
      </c>
      <c r="C210" s="82"/>
      <c r="D210" s="69"/>
      <c r="E210" s="70"/>
    </row>
    <row r="211" spans="2:5" ht="26.25" customHeight="1" x14ac:dyDescent="0.2">
      <c r="B211" s="64"/>
      <c r="C211" s="107" t="s">
        <v>201</v>
      </c>
      <c r="D211" s="107"/>
      <c r="E211" s="108"/>
    </row>
    <row r="212" spans="2:5" x14ac:dyDescent="0.2">
      <c r="B212" s="63" t="s">
        <v>145</v>
      </c>
      <c r="C212" s="82"/>
      <c r="D212" s="69"/>
      <c r="E212" s="70"/>
    </row>
    <row r="213" spans="2:5" ht="50.25" customHeight="1" x14ac:dyDescent="0.2">
      <c r="B213" s="68"/>
      <c r="C213" s="113" t="s">
        <v>196</v>
      </c>
      <c r="D213" s="113"/>
      <c r="E213" s="114"/>
    </row>
    <row r="214" spans="2:5" x14ac:dyDescent="0.2">
      <c r="B214" s="68"/>
      <c r="C214" s="90"/>
      <c r="D214" s="90"/>
      <c r="E214" s="86"/>
    </row>
    <row r="215" spans="2:5" x14ac:dyDescent="0.2">
      <c r="B215" s="63" t="s">
        <v>146</v>
      </c>
      <c r="C215" s="82"/>
      <c r="D215" s="69"/>
      <c r="E215" s="70"/>
    </row>
    <row r="216" spans="2:5" ht="18" customHeight="1" x14ac:dyDescent="0.2">
      <c r="B216" s="68"/>
      <c r="C216" s="91"/>
      <c r="D216" s="91"/>
      <c r="E216" s="87"/>
    </row>
    <row r="217" spans="2:5" x14ac:dyDescent="0.2">
      <c r="B217" s="64" t="s">
        <v>147</v>
      </c>
      <c r="C217" s="80"/>
      <c r="D217" s="71"/>
      <c r="E217" s="72"/>
    </row>
    <row r="218" spans="2:5" ht="20.25" customHeight="1" x14ac:dyDescent="0.2">
      <c r="B218" s="68"/>
      <c r="C218" s="84" t="s">
        <v>148</v>
      </c>
      <c r="D218" s="84"/>
      <c r="E218" s="85"/>
    </row>
    <row r="219" spans="2:5" x14ac:dyDescent="0.2">
      <c r="B219" s="64" t="s">
        <v>149</v>
      </c>
      <c r="C219" s="82"/>
      <c r="D219" s="69"/>
      <c r="E219" s="70"/>
    </row>
    <row r="220" spans="2:5" ht="24.75" customHeight="1" x14ac:dyDescent="0.2">
      <c r="B220" s="64"/>
      <c r="C220" s="92"/>
      <c r="D220" s="92"/>
      <c r="E220" s="88"/>
    </row>
    <row r="221" spans="2:5" ht="13.5" thickBot="1" x14ac:dyDescent="0.25">
      <c r="B221" s="73"/>
      <c r="C221" s="83"/>
      <c r="D221" s="74"/>
      <c r="E221" s="75"/>
    </row>
  </sheetData>
  <mergeCells count="54">
    <mergeCell ref="C168:E168"/>
    <mergeCell ref="C163:E163"/>
    <mergeCell ref="C195:E195"/>
    <mergeCell ref="C172:E172"/>
    <mergeCell ref="C181:E181"/>
    <mergeCell ref="C182:E182"/>
    <mergeCell ref="C184:E184"/>
    <mergeCell ref="C188:E188"/>
    <mergeCell ref="C179:E179"/>
    <mergeCell ref="B2:H2"/>
    <mergeCell ref="A4:B4"/>
    <mergeCell ref="C4:E4"/>
    <mergeCell ref="A5:B5"/>
    <mergeCell ref="C5:E5"/>
    <mergeCell ref="A6:B6"/>
    <mergeCell ref="A7:B7"/>
    <mergeCell ref="B75:E75"/>
    <mergeCell ref="B76:E76"/>
    <mergeCell ref="C114:E114"/>
    <mergeCell ref="C98:E98"/>
    <mergeCell ref="C100:E100"/>
    <mergeCell ref="C101:E101"/>
    <mergeCell ref="C103:E103"/>
    <mergeCell ref="C105:E105"/>
    <mergeCell ref="C107:E107"/>
    <mergeCell ref="C82:E82"/>
    <mergeCell ref="C84:E84"/>
    <mergeCell ref="C85:E85"/>
    <mergeCell ref="C87:E87"/>
    <mergeCell ref="C89:E89"/>
    <mergeCell ref="C197:E197"/>
    <mergeCell ref="C211:E211"/>
    <mergeCell ref="C213:E213"/>
    <mergeCell ref="C116:E116"/>
    <mergeCell ref="C117:E117"/>
    <mergeCell ref="C119:E119"/>
    <mergeCell ref="C121:E121"/>
    <mergeCell ref="C123:E123"/>
    <mergeCell ref="C130:E130"/>
    <mergeCell ref="C132:E132"/>
    <mergeCell ref="C133:E133"/>
    <mergeCell ref="C135:E135"/>
    <mergeCell ref="C137:E137"/>
    <mergeCell ref="C139:E139"/>
    <mergeCell ref="C165:E165"/>
    <mergeCell ref="C166:E166"/>
    <mergeCell ref="C153:E153"/>
    <mergeCell ref="C155:E155"/>
    <mergeCell ref="B77:E77"/>
    <mergeCell ref="C91:E91"/>
    <mergeCell ref="C146:E146"/>
    <mergeCell ref="C148:E148"/>
    <mergeCell ref="C149:E149"/>
    <mergeCell ref="C151:E151"/>
  </mergeCells>
  <pageMargins left="0" right="0" top="0.74803149606299213" bottom="0.35433070866141736" header="0.51181102362204722" footer="0.51181102362204722"/>
  <pageSetup paperSize="5" firstPageNumber="0" orientation="landscape" useFirstPageNumber="1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J76"/>
  <sheetViews>
    <sheetView topLeftCell="A73" zoomScale="90" zoomScaleNormal="90" workbookViewId="0">
      <selection activeCell="D6" sqref="D6:K6"/>
    </sheetView>
  </sheetViews>
  <sheetFormatPr baseColWidth="10" defaultColWidth="9.140625" defaultRowHeight="12.75" x14ac:dyDescent="0.2"/>
  <cols>
    <col min="1" max="1" width="5.5703125" style="40" customWidth="1"/>
    <col min="2" max="2" width="15.140625" style="40" customWidth="1"/>
    <col min="3" max="3" width="14.140625" style="40" customWidth="1"/>
    <col min="4" max="4" width="26" style="40" customWidth="1"/>
    <col min="5" max="5" width="8" style="40" customWidth="1"/>
    <col min="6" max="6" width="7.85546875" style="40" customWidth="1"/>
    <col min="7" max="7" width="42" style="40" customWidth="1"/>
    <col min="8" max="8" width="9.28515625" style="40" customWidth="1"/>
    <col min="9" max="9" width="15.5703125" style="40" customWidth="1"/>
    <col min="10" max="10" width="12.7109375" style="40" customWidth="1"/>
    <col min="11" max="11" width="35.85546875" style="40" customWidth="1"/>
    <col min="12" max="14" width="5.85546875" style="40" customWidth="1"/>
    <col min="15" max="15" width="12.5703125" style="40" customWidth="1"/>
    <col min="16" max="1024" width="9.140625" style="40"/>
  </cols>
  <sheetData>
    <row r="1" spans="1:11" ht="18" customHeight="1" x14ac:dyDescent="0.2">
      <c r="A1" s="139" t="s">
        <v>211</v>
      </c>
      <c r="B1" s="139"/>
      <c r="C1" s="139"/>
      <c r="D1" s="139"/>
      <c r="E1" s="139"/>
      <c r="F1" s="139"/>
      <c r="G1" s="139"/>
      <c r="H1" s="139"/>
      <c r="I1" s="139"/>
      <c r="J1" s="48" t="s">
        <v>150</v>
      </c>
      <c r="K1" s="106" t="s">
        <v>222</v>
      </c>
    </row>
    <row r="2" spans="1:11" ht="18.75" customHeight="1" x14ac:dyDescent="0.2">
      <c r="A2" s="41"/>
      <c r="B2" s="41"/>
      <c r="C2" s="41"/>
      <c r="D2" s="42"/>
      <c r="E2" s="42"/>
      <c r="F2" s="42"/>
      <c r="G2" s="42"/>
      <c r="H2" s="42"/>
      <c r="I2" s="42"/>
      <c r="J2" s="42"/>
      <c r="K2" s="42"/>
    </row>
    <row r="3" spans="1:11" ht="18.75" customHeight="1" x14ac:dyDescent="0.2">
      <c r="A3" s="138" t="s">
        <v>151</v>
      </c>
      <c r="B3" s="138"/>
      <c r="C3" s="138"/>
      <c r="D3" s="137" t="str">
        <f>'Necesidades Trimestrales'!C4</f>
        <v>40 - Ministerio de Salud</v>
      </c>
      <c r="E3" s="137"/>
      <c r="F3" s="137"/>
      <c r="G3" s="137"/>
      <c r="H3" s="137"/>
      <c r="I3" s="137"/>
      <c r="J3" s="137"/>
      <c r="K3" s="137"/>
    </row>
    <row r="4" spans="1:11" ht="18.75" customHeight="1" x14ac:dyDescent="0.2">
      <c r="A4" s="136" t="s">
        <v>152</v>
      </c>
      <c r="B4" s="136"/>
      <c r="C4" s="136"/>
      <c r="D4" s="137" t="str">
        <f>'Necesidades Trimestrales'!C5</f>
        <v>23 - Hospital Interzonal San Juan Bautista</v>
      </c>
      <c r="E4" s="137"/>
      <c r="F4" s="137"/>
      <c r="G4" s="137"/>
      <c r="H4" s="137"/>
      <c r="I4" s="137"/>
      <c r="J4" s="137"/>
      <c r="K4" s="137"/>
    </row>
    <row r="5" spans="1:11" ht="18.75" customHeight="1" x14ac:dyDescent="0.2">
      <c r="A5" s="136" t="s">
        <v>153</v>
      </c>
      <c r="B5" s="136"/>
      <c r="C5" s="136"/>
      <c r="D5" s="137" t="s">
        <v>154</v>
      </c>
      <c r="E5" s="137"/>
      <c r="F5" s="137"/>
      <c r="G5" s="137"/>
      <c r="H5" s="137"/>
      <c r="I5" s="137"/>
      <c r="J5" s="137"/>
      <c r="K5" s="137"/>
    </row>
    <row r="6" spans="1:11" ht="16.5" customHeight="1" x14ac:dyDescent="0.2">
      <c r="A6" s="138" t="s">
        <v>155</v>
      </c>
      <c r="B6" s="138"/>
      <c r="C6" s="138"/>
      <c r="D6" s="137" t="s">
        <v>156</v>
      </c>
      <c r="E6" s="137"/>
      <c r="F6" s="137"/>
      <c r="G6" s="137"/>
      <c r="H6" s="137"/>
      <c r="I6" s="137"/>
      <c r="J6" s="137"/>
      <c r="K6" s="137"/>
    </row>
    <row r="7" spans="1:11" ht="16.5" customHeight="1" x14ac:dyDescent="0.2">
      <c r="A7" s="136" t="s">
        <v>157</v>
      </c>
      <c r="B7" s="136"/>
      <c r="C7" s="136"/>
      <c r="D7" s="137" t="s">
        <v>193</v>
      </c>
      <c r="E7" s="137"/>
      <c r="F7" s="137"/>
      <c r="G7" s="137"/>
      <c r="H7" s="137"/>
      <c r="I7" s="137"/>
      <c r="J7" s="137"/>
      <c r="K7" s="137"/>
    </row>
    <row r="8" spans="1:11" ht="16.5" customHeight="1" x14ac:dyDescent="0.2">
      <c r="A8" s="131" t="s">
        <v>158</v>
      </c>
      <c r="B8" s="131"/>
      <c r="C8" s="131"/>
      <c r="D8" s="132" t="s">
        <v>159</v>
      </c>
      <c r="E8" s="132"/>
      <c r="F8" s="132"/>
      <c r="G8" s="132"/>
      <c r="H8" s="132"/>
      <c r="I8" s="132"/>
      <c r="J8" s="132"/>
      <c r="K8" s="132"/>
    </row>
    <row r="9" spans="1:11" ht="15.75" x14ac:dyDescent="0.2">
      <c r="A9" s="43"/>
      <c r="B9" s="43"/>
      <c r="C9" s="43"/>
      <c r="D9" s="44"/>
      <c r="E9" s="44"/>
      <c r="F9" s="44"/>
      <c r="G9" s="44"/>
      <c r="H9" s="44"/>
      <c r="I9" s="44"/>
      <c r="J9" s="44"/>
      <c r="K9" s="44"/>
    </row>
    <row r="10" spans="1:11" ht="18.75" customHeight="1" x14ac:dyDescent="0.2">
      <c r="A10" s="133" t="s">
        <v>160</v>
      </c>
      <c r="B10" s="134" t="s">
        <v>161</v>
      </c>
      <c r="C10" s="134" t="s">
        <v>162</v>
      </c>
      <c r="D10" s="134"/>
      <c r="E10" s="134"/>
      <c r="F10" s="134"/>
      <c r="G10" s="134"/>
      <c r="H10" s="134" t="s">
        <v>163</v>
      </c>
      <c r="I10" s="134" t="s">
        <v>164</v>
      </c>
      <c r="J10" s="134" t="s">
        <v>165</v>
      </c>
      <c r="K10" s="135" t="s">
        <v>166</v>
      </c>
    </row>
    <row r="11" spans="1:11" ht="24" customHeight="1" x14ac:dyDescent="0.2">
      <c r="A11" s="133"/>
      <c r="B11" s="134"/>
      <c r="C11" s="134"/>
      <c r="D11" s="134"/>
      <c r="E11" s="134"/>
      <c r="F11" s="134"/>
      <c r="G11" s="134"/>
      <c r="H11" s="134"/>
      <c r="I11" s="134"/>
      <c r="J11" s="134"/>
      <c r="K11" s="135"/>
    </row>
    <row r="12" spans="1:11" ht="32.450000000000003" customHeight="1" thickBot="1" x14ac:dyDescent="0.25">
      <c r="A12" s="45">
        <v>1</v>
      </c>
      <c r="B12" s="46" t="str">
        <f>'Necesidades Trimestrales'!B10</f>
        <v>2.1.1-439.60</v>
      </c>
      <c r="C12" s="126" t="str">
        <f>'Necesidades Trimestrales'!E10</f>
        <v>ACEITES COMESTIBLES; TIPO: MEZCLA, PRESENTACION: ENVASE X 900 CM3, MATERIAL ENVASE: PLASTICO 1 (PET), ELEM. TRANSPORTE: SIN, MATERIAL ELEM. TRANSPORTE : SIN, LIBRE DE GLUTEN: SI</v>
      </c>
      <c r="D12" s="126"/>
      <c r="E12" s="126"/>
      <c r="F12" s="126"/>
      <c r="G12" s="126"/>
      <c r="H12" s="47" t="s">
        <v>167</v>
      </c>
      <c r="I12" s="49" t="str">
        <f>'Necesidades Trimestrales'!F10</f>
        <v>UNIDAD</v>
      </c>
      <c r="J12" s="50">
        <f>'Necesidades Trimestrales'!H10</f>
        <v>370</v>
      </c>
      <c r="K12" s="51">
        <f>'Necesidades Trimestrales'!G10</f>
        <v>800</v>
      </c>
    </row>
    <row r="13" spans="1:11" ht="45" customHeight="1" thickBot="1" x14ac:dyDescent="0.25">
      <c r="A13" s="45">
        <v>2</v>
      </c>
      <c r="B13" s="46" t="str">
        <f>'Necesidades Trimestrales'!B11</f>
        <v>2.1.1-435.38</v>
      </c>
      <c r="C13" s="126" t="str">
        <f>'Necesidades Trimestrales'!E11</f>
        <v>ARROZ; TIPO GRANO: DOBLE, TIPO: BLANCO, PROCESO: PARBOLIZADO, PRESENTACION: ENVASE X 1 Kg, MATERIAL ENVASE: CARTON, CERTIFICADO FORESTAL (GFS): SIN, ELEM. TRANSPORTE: SIN, MATERIAL ELEM. TRANSPORTE: SIN</v>
      </c>
      <c r="D13" s="126"/>
      <c r="E13" s="126"/>
      <c r="F13" s="126"/>
      <c r="G13" s="126"/>
      <c r="H13" s="47" t="s">
        <v>167</v>
      </c>
      <c r="I13" s="49" t="str">
        <f>'Necesidades Trimestrales'!F11</f>
        <v>UNIDAD</v>
      </c>
      <c r="J13" s="50">
        <f>'Necesidades Trimestrales'!H11</f>
        <v>260</v>
      </c>
      <c r="K13" s="51">
        <f>'Necesidades Trimestrales'!G11</f>
        <v>500</v>
      </c>
    </row>
    <row r="14" spans="1:11" ht="45" customHeight="1" thickBot="1" x14ac:dyDescent="0.25">
      <c r="A14" s="45">
        <v>3</v>
      </c>
      <c r="B14" s="46" t="str">
        <f>'Necesidades Trimestrales'!B12</f>
        <v>2.1.1-435.50</v>
      </c>
      <c r="C14" s="126" t="str">
        <f>'Necesidades Trimestrales'!E12</f>
        <v>ARROZ; TIPO GRANO: ENTERO, TIPO: BLANCO, PROCESO: FORTIFICADO, PRESENTACION: ENVASE X 1 Kg, MATERIAL ENVASE: PLASTICO 1 (PET), CERTIFICADO FORESTAL (GFS): SIN, ELEM. TRANSPORTE: SIN, MATERIAL ELEM. TRANSPORTE: SIN, LIBRE DE GLUTEN: NO</v>
      </c>
      <c r="D14" s="126"/>
      <c r="E14" s="126"/>
      <c r="F14" s="126"/>
      <c r="G14" s="126"/>
      <c r="H14" s="47" t="s">
        <v>167</v>
      </c>
      <c r="I14" s="49" t="str">
        <f>'Necesidades Trimestrales'!F12</f>
        <v>UNIDAD</v>
      </c>
      <c r="J14" s="50">
        <f>'Necesidades Trimestrales'!H12</f>
        <v>125</v>
      </c>
      <c r="K14" s="51">
        <f>'Necesidades Trimestrales'!G12</f>
        <v>50</v>
      </c>
    </row>
    <row r="15" spans="1:11" ht="32.450000000000003" customHeight="1" thickBot="1" x14ac:dyDescent="0.25">
      <c r="A15" s="45">
        <v>4</v>
      </c>
      <c r="B15" s="46" t="str">
        <f>'Necesidades Trimestrales'!B13</f>
        <v>2.1.1-2124.3</v>
      </c>
      <c r="C15" s="126" t="str">
        <f>'Necesidades Trimestrales'!E13</f>
        <v>AVENAS; TIPO: ARROLLADA, ESTADO: NATURAL, PRESENTACION: BOLSA, PESO: 1 Kg</v>
      </c>
      <c r="D15" s="126"/>
      <c r="E15" s="126"/>
      <c r="F15" s="126"/>
      <c r="G15" s="126"/>
      <c r="H15" s="47" t="s">
        <v>167</v>
      </c>
      <c r="I15" s="49" t="str">
        <f>'Necesidades Trimestrales'!F13</f>
        <v>UNIDAD</v>
      </c>
      <c r="J15" s="50">
        <f>'Necesidades Trimestrales'!H13</f>
        <v>376</v>
      </c>
      <c r="K15" s="51">
        <f>'Necesidades Trimestrales'!G13</f>
        <v>15</v>
      </c>
    </row>
    <row r="16" spans="1:11" ht="33.6" customHeight="1" thickBot="1" x14ac:dyDescent="0.25">
      <c r="A16" s="45">
        <v>5</v>
      </c>
      <c r="B16" s="46" t="str">
        <f>'Necesidades Trimestrales'!B14</f>
        <v>2.1.1-481.38</v>
      </c>
      <c r="C16" s="126" t="str">
        <f>'Necesidades Trimestrales'!E14</f>
        <v>AZUCARES; TIPO: "A" COMUN, ESTADO: MOLIDA, PESO: 1 Kg, MATERIAL ENVASE: PLASTICO, CERTIFICADO FORESTAL (GFS): SIN, ELEM. TRANSPORTE: SIN, MATERIAL ELEM. TRANSPORTE: SIN</v>
      </c>
      <c r="D16" s="126"/>
      <c r="E16" s="126"/>
      <c r="F16" s="126"/>
      <c r="G16" s="126"/>
      <c r="H16" s="47" t="s">
        <v>167</v>
      </c>
      <c r="I16" s="49" t="str">
        <f>'Necesidades Trimestrales'!F14</f>
        <v>UNIDAD</v>
      </c>
      <c r="J16" s="50">
        <f>'Necesidades Trimestrales'!H14</f>
        <v>120</v>
      </c>
      <c r="K16" s="51">
        <f>'Necesidades Trimestrales'!G14</f>
        <v>1200</v>
      </c>
    </row>
    <row r="17" spans="1:16" ht="32.450000000000003" customHeight="1" thickBot="1" x14ac:dyDescent="0.25">
      <c r="A17" s="45">
        <v>6</v>
      </c>
      <c r="B17" s="46" t="str">
        <f>'Necesidades Trimestrales'!B15</f>
        <v>2.1.1-709.6</v>
      </c>
      <c r="C17" s="126" t="str">
        <f>'Necesidades Trimestrales'!E15</f>
        <v>CAFE; ESTADO: MOLIDO, ENVASE: PAQUETE, PROCESO: TORRADO C/AZUCAR, CONTENIDO: 500 GR, TIPO: SIN VALOR, PRESENTACION: ENVASE X 500 GR</v>
      </c>
      <c r="D17" s="126"/>
      <c r="E17" s="126"/>
      <c r="F17" s="126"/>
      <c r="G17" s="126"/>
      <c r="H17" s="47" t="s">
        <v>167</v>
      </c>
      <c r="I17" s="49" t="str">
        <f>'Necesidades Trimestrales'!F15</f>
        <v>UNIDAD</v>
      </c>
      <c r="J17" s="50">
        <f>'Necesidades Trimestrales'!H15</f>
        <v>1250</v>
      </c>
      <c r="K17" s="51">
        <f>'Necesidades Trimestrales'!G15</f>
        <v>10</v>
      </c>
    </row>
    <row r="18" spans="1:16" ht="32.450000000000003" customHeight="1" thickBot="1" x14ac:dyDescent="0.25">
      <c r="A18" s="45">
        <v>7</v>
      </c>
      <c r="B18" s="46" t="str">
        <f>'Necesidades Trimestrales'!B16</f>
        <v>2.1.1-2615.15</v>
      </c>
      <c r="C18" s="126" t="str">
        <f>'Necesidades Trimestrales'!E16</f>
        <v>CACAO; TIPO: INSTANTANEO, PRESENTACION: ENVASE X 800 GR, FORMA DE PRESENTACION: POLVO, MATERIAL ENVASE: CARTON, CERTICADO FORESTAL (GFS): CON, LIBRE DE GLUTEN: SI</v>
      </c>
      <c r="D18" s="126"/>
      <c r="E18" s="126"/>
      <c r="F18" s="126"/>
      <c r="G18" s="126"/>
      <c r="H18" s="47" t="s">
        <v>167</v>
      </c>
      <c r="I18" s="49" t="str">
        <f>'Necesidades Trimestrales'!F16</f>
        <v>UNIDAD</v>
      </c>
      <c r="J18" s="50">
        <f>'Necesidades Trimestrales'!H16</f>
        <v>882</v>
      </c>
      <c r="K18" s="51">
        <f>'Necesidades Trimestrales'!G16</f>
        <v>5</v>
      </c>
    </row>
    <row r="19" spans="1:16" ht="32.450000000000003" customHeight="1" thickBot="1" x14ac:dyDescent="0.25">
      <c r="A19" s="45">
        <v>8</v>
      </c>
      <c r="B19" s="46" t="str">
        <f>'Necesidades Trimestrales'!B17</f>
        <v>2.1.1-5917.8</v>
      </c>
      <c r="C19" s="126" t="str">
        <f>'Necesidades Trimestrales'!E17</f>
        <v>CEREALES; TIPO: TRIGO BURGOL, PRESENTACION: ENVASE X 1 Kg</v>
      </c>
      <c r="D19" s="126"/>
      <c r="E19" s="126"/>
      <c r="F19" s="126"/>
      <c r="G19" s="126"/>
      <c r="H19" s="47" t="s">
        <v>167</v>
      </c>
      <c r="I19" s="49" t="str">
        <f>'Necesidades Trimestrales'!F17</f>
        <v>UNIDAD</v>
      </c>
      <c r="J19" s="50">
        <f>'Necesidades Trimestrales'!H17</f>
        <v>334</v>
      </c>
      <c r="K19" s="51">
        <f>'Necesidades Trimestrales'!G17</f>
        <v>15</v>
      </c>
    </row>
    <row r="20" spans="1:16" ht="32.450000000000003" customHeight="1" thickBot="1" x14ac:dyDescent="0.25">
      <c r="A20" s="45">
        <v>9</v>
      </c>
      <c r="B20" s="46" t="str">
        <f>'Necesidades Trimestrales'!B18</f>
        <v>2.1.1-597.41</v>
      </c>
      <c r="C20" s="126" t="str">
        <f>'Necesidades Trimestrales'!E18</f>
        <v>CONSERVAS DE FRUTAS; VARIEDAD: COCTEL, ENVASE: LATA, PESO: 800 GR, ELEM. TRANSPORTE: SIN, MATERIAL ELEM. TRANSPORTE: SIN, LIBRE DE GLUTEN: NO</v>
      </c>
      <c r="D20" s="126"/>
      <c r="E20" s="126"/>
      <c r="F20" s="126"/>
      <c r="G20" s="126"/>
      <c r="H20" s="47" t="s">
        <v>167</v>
      </c>
      <c r="I20" s="49" t="str">
        <f>'Necesidades Trimestrales'!F18</f>
        <v>UNIDAD</v>
      </c>
      <c r="J20" s="50">
        <f>'Necesidades Trimestrales'!H18</f>
        <v>422</v>
      </c>
      <c r="K20" s="51">
        <f>'Necesidades Trimestrales'!G18</f>
        <v>300</v>
      </c>
    </row>
    <row r="21" spans="1:16" ht="32.450000000000003" customHeight="1" thickBot="1" x14ac:dyDescent="0.25">
      <c r="A21" s="45">
        <v>10</v>
      </c>
      <c r="B21" s="46" t="str">
        <f>'Necesidades Trimestrales'!B19</f>
        <v>2.1.1-597.43</v>
      </c>
      <c r="C21" s="126" t="str">
        <f>'Necesidades Trimestrales'!E19</f>
        <v>CONSERVAS DE FRUTAS; VARIEDAD: COCTEL, ENVASE: LATA, PESO: 820 GR, ELEM. TRANSPORTE: SIN, MATERIAL ELEM. TRANSPORTE: SIN, LIBRE DE GLUTEN: SI</v>
      </c>
      <c r="D21" s="126"/>
      <c r="E21" s="126"/>
      <c r="F21" s="126"/>
      <c r="G21" s="126"/>
      <c r="H21" s="47" t="s">
        <v>167</v>
      </c>
      <c r="I21" s="49" t="str">
        <f>'Necesidades Trimestrales'!F19</f>
        <v>UNIDAD</v>
      </c>
      <c r="J21" s="50">
        <f>'Necesidades Trimestrales'!H19</f>
        <v>660</v>
      </c>
      <c r="K21" s="51">
        <f>'Necesidades Trimestrales'!G19</f>
        <v>300</v>
      </c>
    </row>
    <row r="22" spans="1:16" ht="32.450000000000003" customHeight="1" thickBot="1" x14ac:dyDescent="0.25">
      <c r="A22" s="45">
        <v>11</v>
      </c>
      <c r="B22" s="46" t="str">
        <f>'Necesidades Trimestrales'!B20</f>
        <v>2.1.1-708.43</v>
      </c>
      <c r="C22" s="126" t="str">
        <f>'Necesidades Trimestrales'!E20</f>
        <v>CONSERVAS PESCADO Y FRUTOS MAR; TIPO: ATUN, ESTADO: AL NATURAL, PESO: 170 GR, ENVASE: LATA, ELEM. TRANSPORTE: SIN, MATERIAL ELEM. TRANSPORTE: SIN</v>
      </c>
      <c r="D22" s="126"/>
      <c r="E22" s="126"/>
      <c r="F22" s="126"/>
      <c r="G22" s="126"/>
      <c r="H22" s="47" t="s">
        <v>167</v>
      </c>
      <c r="I22" s="49" t="str">
        <f>'Necesidades Trimestrales'!F20</f>
        <v>UNIDAD</v>
      </c>
      <c r="J22" s="50">
        <f>'Necesidades Trimestrales'!H20</f>
        <v>185</v>
      </c>
      <c r="K22" s="51">
        <f>'Necesidades Trimestrales'!G20</f>
        <v>150</v>
      </c>
    </row>
    <row r="23" spans="1:16" ht="32.450000000000003" customHeight="1" thickBot="1" x14ac:dyDescent="0.25">
      <c r="A23" s="45">
        <v>12</v>
      </c>
      <c r="B23" s="46" t="str">
        <f>'Necesidades Trimestrales'!B21</f>
        <v>2.1.1-455.16</v>
      </c>
      <c r="C23" s="126" t="str">
        <f>'Necesidades Trimestrales'!E21</f>
        <v>DULCE DE LECHE; ENVASE: DE CARTON, CAPACIDAD: 5000 GR, TIPO: DE REPOSTERIA, PRESENTACION: ENVASE DE CARTON X 5 Kg</v>
      </c>
      <c r="D23" s="126"/>
      <c r="E23" s="126"/>
      <c r="F23" s="126"/>
      <c r="G23" s="126"/>
      <c r="H23" s="47" t="s">
        <v>167</v>
      </c>
      <c r="I23" s="49" t="str">
        <f>'Necesidades Trimestrales'!F21</f>
        <v>UNIDAD</v>
      </c>
      <c r="J23" s="50">
        <f>'Necesidades Trimestrales'!H21</f>
        <v>1990</v>
      </c>
      <c r="K23" s="51">
        <f>'Necesidades Trimestrales'!G21</f>
        <v>5</v>
      </c>
    </row>
    <row r="24" spans="1:16" ht="32.450000000000003" customHeight="1" thickBot="1" x14ac:dyDescent="0.25">
      <c r="A24" s="45">
        <v>13</v>
      </c>
      <c r="B24" s="46" t="str">
        <f>'Necesidades Trimestrales'!B22</f>
        <v>2.1.1-2113.21</v>
      </c>
      <c r="C24" s="126" t="str">
        <f>'Necesidades Trimestrales'!E22</f>
        <v>DULCES; TIPO: BATATA A LA VAINILLA, PRESENTACION: LATA, PESO: 5 Kg</v>
      </c>
      <c r="D24" s="126"/>
      <c r="E24" s="126"/>
      <c r="F24" s="126"/>
      <c r="G24" s="126"/>
      <c r="H24" s="47" t="s">
        <v>167</v>
      </c>
      <c r="I24" s="49" t="str">
        <f>'Necesidades Trimestrales'!F22</f>
        <v>UNIDAD</v>
      </c>
      <c r="J24" s="50">
        <f>'Necesidades Trimestrales'!H22</f>
        <v>1990</v>
      </c>
      <c r="K24" s="51">
        <f>'Necesidades Trimestrales'!G22</f>
        <v>20</v>
      </c>
    </row>
    <row r="25" spans="1:16" ht="32.450000000000003" customHeight="1" thickBot="1" x14ac:dyDescent="0.25">
      <c r="A25" s="45">
        <v>14</v>
      </c>
      <c r="B25" s="46" t="str">
        <f>'Necesidades Trimestrales'!B23</f>
        <v>2.1.1-2113.2</v>
      </c>
      <c r="C25" s="126" t="str">
        <f>'Necesidades Trimestrales'!E23</f>
        <v>DULCES; TIPO: DE MEMBRILLO, PRESENTACION: LATA, PESO: 5 Kg</v>
      </c>
      <c r="D25" s="126"/>
      <c r="E25" s="126"/>
      <c r="F25" s="126"/>
      <c r="G25" s="126"/>
      <c r="H25" s="47" t="s">
        <v>167</v>
      </c>
      <c r="I25" s="49" t="str">
        <f>'Necesidades Trimestrales'!F23</f>
        <v>UNIDAD</v>
      </c>
      <c r="J25" s="50">
        <f>'Necesidades Trimestrales'!H23</f>
        <v>2200</v>
      </c>
      <c r="K25" s="51">
        <f>'Necesidades Trimestrales'!G23</f>
        <v>20</v>
      </c>
      <c r="P25" s="40">
        <v>1335</v>
      </c>
    </row>
    <row r="26" spans="1:16" ht="32.450000000000003" customHeight="1" thickBot="1" x14ac:dyDescent="0.25">
      <c r="A26" s="45">
        <v>15</v>
      </c>
      <c r="B26" s="46" t="str">
        <f>'Necesidades Trimestrales'!B24</f>
        <v>2.1.1-595.2</v>
      </c>
      <c r="C26" s="126" t="str">
        <f>'Necesidades Trimestrales'!E24</f>
        <v>EDULCORANTES; PRESENTACION: LIQUIDO, ENVASE: BOTELLA PLASTICA, CONTENIDO: 500 CM3</v>
      </c>
      <c r="D26" s="126"/>
      <c r="E26" s="126"/>
      <c r="F26" s="126"/>
      <c r="G26" s="126"/>
      <c r="H26" s="47" t="s">
        <v>167</v>
      </c>
      <c r="I26" s="49" t="str">
        <f>'Necesidades Trimestrales'!F24</f>
        <v>UNIDAD</v>
      </c>
      <c r="J26" s="50">
        <f>'Necesidades Trimestrales'!H24</f>
        <v>310</v>
      </c>
      <c r="K26" s="51">
        <f>'Necesidades Trimestrales'!G24</f>
        <v>150</v>
      </c>
    </row>
    <row r="27" spans="1:16" ht="32.450000000000003" customHeight="1" thickBot="1" x14ac:dyDescent="0.25">
      <c r="A27" s="45">
        <v>16</v>
      </c>
      <c r="B27" s="46" t="str">
        <f>'Necesidades Trimestrales'!B25</f>
        <v>2.1.1-489.66</v>
      </c>
      <c r="C27" s="126" t="str">
        <f>'Necesidades Trimestrales'!E25</f>
        <v>ESPECIAS; TIPO: OREGANO, PRESENTACION: BOLSA DE 1 Kg</v>
      </c>
      <c r="D27" s="126"/>
      <c r="E27" s="126"/>
      <c r="F27" s="126"/>
      <c r="G27" s="126"/>
      <c r="H27" s="47" t="s">
        <v>167</v>
      </c>
      <c r="I27" s="49" t="str">
        <f>'Necesidades Trimestrales'!F25</f>
        <v>UNIDAD</v>
      </c>
      <c r="J27" s="50">
        <f>'Necesidades Trimestrales'!H25</f>
        <v>700</v>
      </c>
      <c r="K27" s="51">
        <f>'Necesidades Trimestrales'!G25</f>
        <v>9</v>
      </c>
    </row>
    <row r="28" spans="1:16" ht="32.450000000000003" customHeight="1" thickBot="1" x14ac:dyDescent="0.25">
      <c r="A28" s="45">
        <v>17</v>
      </c>
      <c r="B28" s="46" t="str">
        <f>'Necesidades Trimestrales'!B26</f>
        <v>2.1.1-489.68</v>
      </c>
      <c r="C28" s="126" t="str">
        <f>'Necesidades Trimestrales'!E26</f>
        <v>ESPECIAS; PRESENTACION: BOLSA DE 1 Kg, TIPO: AJI MOLIDO</v>
      </c>
      <c r="D28" s="126"/>
      <c r="E28" s="126"/>
      <c r="F28" s="126"/>
      <c r="G28" s="126"/>
      <c r="H28" s="47" t="s">
        <v>167</v>
      </c>
      <c r="I28" s="49" t="str">
        <f>'Necesidades Trimestrales'!F26</f>
        <v>UNIDAD</v>
      </c>
      <c r="J28" s="50">
        <f>'Necesidades Trimestrales'!H26</f>
        <v>700</v>
      </c>
      <c r="K28" s="51">
        <f>'Necesidades Trimestrales'!G26</f>
        <v>4</v>
      </c>
    </row>
    <row r="29" spans="1:16" ht="32.450000000000003" customHeight="1" thickBot="1" x14ac:dyDescent="0.25">
      <c r="A29" s="45">
        <v>18</v>
      </c>
      <c r="B29" s="46" t="str">
        <f>'Necesidades Trimestrales'!B27</f>
        <v>2.1.1-489.119</v>
      </c>
      <c r="C29" s="126" t="str">
        <f>'Necesidades Trimestrales'!E27</f>
        <v>ESPECIAS; TIPO: COMINO, PRESENTACION: BOLSA X 1 Kg</v>
      </c>
      <c r="D29" s="126"/>
      <c r="E29" s="126"/>
      <c r="F29" s="126"/>
      <c r="G29" s="126"/>
      <c r="H29" s="47" t="s">
        <v>167</v>
      </c>
      <c r="I29" s="49" t="str">
        <f>'Necesidades Trimestrales'!F27</f>
        <v>UNIDAD</v>
      </c>
      <c r="J29" s="50">
        <f>'Necesidades Trimestrales'!H27</f>
        <v>700</v>
      </c>
      <c r="K29" s="51">
        <f>'Necesidades Trimestrales'!G27</f>
        <v>2</v>
      </c>
    </row>
    <row r="30" spans="1:16" ht="32.450000000000003" customHeight="1" thickBot="1" x14ac:dyDescent="0.25">
      <c r="A30" s="45">
        <v>19</v>
      </c>
      <c r="B30" s="46" t="str">
        <f>'Necesidades Trimestrales'!B28</f>
        <v>2.1.1-489.53</v>
      </c>
      <c r="C30" s="126" t="str">
        <f>'Necesidades Trimestrales'!E28</f>
        <v>ESPECIAS; TIPO: NUEZ MOSCADA, PRESENTACION: POLVO</v>
      </c>
      <c r="D30" s="126"/>
      <c r="E30" s="126"/>
      <c r="F30" s="126"/>
      <c r="G30" s="126"/>
      <c r="H30" s="47" t="s">
        <v>167</v>
      </c>
      <c r="I30" s="49" t="str">
        <f>'Necesidades Trimestrales'!F28</f>
        <v>KG</v>
      </c>
      <c r="J30" s="50">
        <f>'Necesidades Trimestrales'!H28</f>
        <v>2500</v>
      </c>
      <c r="K30" s="51">
        <f>'Necesidades Trimestrales'!G28</f>
        <v>3</v>
      </c>
    </row>
    <row r="31" spans="1:16" ht="32.450000000000003" customHeight="1" thickBot="1" x14ac:dyDescent="0.25">
      <c r="A31" s="45">
        <v>20</v>
      </c>
      <c r="B31" s="46" t="str">
        <f>'Necesidades Trimestrales'!B29</f>
        <v>2.1.1-489.67</v>
      </c>
      <c r="C31" s="126" t="str">
        <f>'Necesidades Trimestrales'!E29</f>
        <v>ESPECIAS; TIPO: PIMENTON, PRESENTACION: BOLSA DE 1 Kg</v>
      </c>
      <c r="D31" s="126"/>
      <c r="E31" s="126"/>
      <c r="F31" s="126"/>
      <c r="G31" s="126"/>
      <c r="H31" s="47" t="s">
        <v>167</v>
      </c>
      <c r="I31" s="49" t="str">
        <f>'Necesidades Trimestrales'!F29</f>
        <v>UNIDAD</v>
      </c>
      <c r="J31" s="50">
        <f>'Necesidades Trimestrales'!H29</f>
        <v>700</v>
      </c>
      <c r="K31" s="51">
        <f>'Necesidades Trimestrales'!G29</f>
        <v>9</v>
      </c>
    </row>
    <row r="32" spans="1:16" ht="45" customHeight="1" thickBot="1" x14ac:dyDescent="0.25">
      <c r="A32" s="45">
        <v>21</v>
      </c>
      <c r="B32" s="46" t="str">
        <f>'Necesidades Trimestrales'!B30</f>
        <v>2.1.1-489.132</v>
      </c>
      <c r="C32" s="126" t="str">
        <f>'Necesidades Trimestrales'!E30</f>
        <v>ESPECIAS; TIPO: PIMIENTA BLANCA, PRESENTACION: ENVASE X 1 Kg</v>
      </c>
      <c r="D32" s="126"/>
      <c r="E32" s="126"/>
      <c r="F32" s="126"/>
      <c r="G32" s="126"/>
      <c r="H32" s="47" t="s">
        <v>167</v>
      </c>
      <c r="I32" s="49" t="str">
        <f>'Necesidades Trimestrales'!F30</f>
        <v>UNIDAD</v>
      </c>
      <c r="J32" s="50">
        <f>'Necesidades Trimestrales'!H30</f>
        <v>700</v>
      </c>
      <c r="K32" s="51">
        <f>'Necesidades Trimestrales'!G30</f>
        <v>3</v>
      </c>
    </row>
    <row r="33" spans="1:11" ht="45" customHeight="1" thickBot="1" x14ac:dyDescent="0.25">
      <c r="A33" s="45">
        <v>22</v>
      </c>
      <c r="B33" s="46" t="str">
        <f>'Necesidades Trimestrales'!B31</f>
        <v>2.1.1-613.9</v>
      </c>
      <c r="C33" s="126" t="str">
        <f>'Necesidades Trimestrales'!E31</f>
        <v>FECULA DE MAIZ; ENVASE: BOLSA, PESO: 500 GR, LIBRE DE GLUTEN: SI</v>
      </c>
      <c r="D33" s="126"/>
      <c r="E33" s="126"/>
      <c r="F33" s="126"/>
      <c r="G33" s="126"/>
      <c r="H33" s="47" t="s">
        <v>167</v>
      </c>
      <c r="I33" s="49" t="str">
        <f>'Necesidades Trimestrales'!F31</f>
        <v>UNIDAD</v>
      </c>
      <c r="J33" s="50">
        <f>'Necesidades Trimestrales'!H31</f>
        <v>160</v>
      </c>
      <c r="K33" s="51">
        <f>'Necesidades Trimestrales'!G31</f>
        <v>50</v>
      </c>
    </row>
    <row r="34" spans="1:11" ht="51.75" customHeight="1" thickBot="1" x14ac:dyDescent="0.25">
      <c r="A34" s="45">
        <v>23</v>
      </c>
      <c r="B34" s="46" t="str">
        <f>'Necesidades Trimestrales'!B32</f>
        <v>2.1.1-2868.56</v>
      </c>
      <c r="C34" s="126" t="str">
        <f>'Necesidades Trimestrales'!E32</f>
        <v>FIDEOS SECOS; VARIEDAD: CABELLO DE ANGEL, RELLENO: SIN, PRESENTACION: ENVASE X 500 GR, MATERIAL ENVASE: PVC, ELEM. TRANSPORTE: CAJA, MATERIAL ELEM. TRANSPORTE: CARTON, CERTIFICADO FORESTAL (GFS): SIN, LIBRE DE GLUTEN: NO</v>
      </c>
      <c r="D34" s="126"/>
      <c r="E34" s="126"/>
      <c r="F34" s="126"/>
      <c r="G34" s="126"/>
      <c r="H34" s="47" t="s">
        <v>167</v>
      </c>
      <c r="I34" s="49" t="str">
        <f>'Necesidades Trimestrales'!F32</f>
        <v>UNIDAD</v>
      </c>
      <c r="J34" s="50">
        <f>'Necesidades Trimestrales'!H32</f>
        <v>136</v>
      </c>
      <c r="K34" s="51">
        <f>'Necesidades Trimestrales'!G32</f>
        <v>50</v>
      </c>
    </row>
    <row r="35" spans="1:11" ht="52.5" customHeight="1" thickBot="1" x14ac:dyDescent="0.25">
      <c r="A35" s="45">
        <v>24</v>
      </c>
      <c r="B35" s="46" t="str">
        <f>'Necesidades Trimestrales'!B33</f>
        <v>2.1.1-2868.71</v>
      </c>
      <c r="C35" s="126" t="str">
        <f>'Necesidades Trimestrales'!E33</f>
        <v>FIDEOS SECOS; VARIEDAD: GUISERO, RELLENO: SIN, PRESENTACION: ENVASE X 500 GR, MATERIAL ENVASE: PLASTICO 1 (PET), ELEM. TRANSPORTE: SIN, MATERIAL ELEM. TRANSPORTE: SIN, CERTIFICADO FORESTAL (GFS): SIN, LIBRE DE GLUTEN: NO</v>
      </c>
      <c r="D35" s="126"/>
      <c r="E35" s="126"/>
      <c r="F35" s="126"/>
      <c r="G35" s="126"/>
      <c r="H35" s="47" t="s">
        <v>167</v>
      </c>
      <c r="I35" s="49" t="str">
        <f>'Necesidades Trimestrales'!F33</f>
        <v>UNIDAD</v>
      </c>
      <c r="J35" s="50">
        <f>'Necesidades Trimestrales'!H33</f>
        <v>80</v>
      </c>
      <c r="K35" s="51">
        <f>'Necesidades Trimestrales'!G33</f>
        <v>50</v>
      </c>
    </row>
    <row r="36" spans="1:11" ht="57.75" customHeight="1" thickBot="1" x14ac:dyDescent="0.25">
      <c r="A36" s="45">
        <v>25</v>
      </c>
      <c r="B36" s="46" t="str">
        <f>'Necesidades Trimestrales'!B34</f>
        <v>2.1.1-2868.59</v>
      </c>
      <c r="C36" s="126" t="str">
        <f>'Necesidades Trimestrales'!E34</f>
        <v>FIDEOS SECOS; VARIEDAD: MOSTACHOLES, RELLENO: SIN, PRESENTACION: ENVASE X 500 GR, MATERIAL ENVASE: PVC, ELEM. TRANSPORTE: CAJA, MATERIAL ELEM. TRANSPORTE: CARTON, CERTIFICADO FORESTAL (GFS): SIN, LIBRE DE GLUTEN: NO</v>
      </c>
      <c r="D36" s="126"/>
      <c r="E36" s="126"/>
      <c r="F36" s="126"/>
      <c r="G36" s="126"/>
      <c r="H36" s="47" t="s">
        <v>167</v>
      </c>
      <c r="I36" s="49" t="str">
        <f>'Necesidades Trimestrales'!F34</f>
        <v>UNIDAD</v>
      </c>
      <c r="J36" s="50">
        <f>'Necesidades Trimestrales'!H34</f>
        <v>80</v>
      </c>
      <c r="K36" s="51">
        <f>'Necesidades Trimestrales'!G34</f>
        <v>50</v>
      </c>
    </row>
    <row r="37" spans="1:11" ht="49.5" customHeight="1" thickBot="1" x14ac:dyDescent="0.25">
      <c r="A37" s="45">
        <v>26</v>
      </c>
      <c r="B37" s="46" t="str">
        <f>'Necesidades Trimestrales'!B35</f>
        <v>2.1.1-2868.58</v>
      </c>
      <c r="C37" s="126" t="str">
        <f>'Necesidades Trimestrales'!E35</f>
        <v>FIDEOS SECOS; VARIEDAD: MUNICION, RELLENO: SIN, PRESENTACION: ENVASE X 500 GR, MATERIAL ENVASE: PVC, ELEM. TRANSPORTE: CAJA, MATERIAL ELEM. TRANSPORTE: CARTON, CERTIFICADO FORESTAL (GFS): SIN, LIBRE DE GLUTEN: NO</v>
      </c>
      <c r="D37" s="126"/>
      <c r="E37" s="126"/>
      <c r="F37" s="126"/>
      <c r="G37" s="126"/>
      <c r="H37" s="47" t="s">
        <v>167</v>
      </c>
      <c r="I37" s="49" t="str">
        <f>'Necesidades Trimestrales'!F35</f>
        <v>UNIDAD</v>
      </c>
      <c r="J37" s="50">
        <f>'Necesidades Trimestrales'!H35</f>
        <v>80</v>
      </c>
      <c r="K37" s="51">
        <f>'Necesidades Trimestrales'!G35</f>
        <v>30</v>
      </c>
    </row>
    <row r="38" spans="1:11" ht="54.75" customHeight="1" thickBot="1" x14ac:dyDescent="0.25">
      <c r="A38" s="45">
        <v>27</v>
      </c>
      <c r="B38" s="46" t="str">
        <f>'Necesidades Trimestrales'!B36</f>
        <v>2.1.1-2868.54</v>
      </c>
      <c r="C38" s="126" t="str">
        <f>'Necesidades Trimestrales'!E36</f>
        <v>FIDEOS SECOS; VARIEDAD: SOPERO, RELLENO: SIN, PRESENTACION: ENVASE X 500 GR, MATERIAL ENVASE: PLASTICO 1 (PET), ELEM. TRANSPORTE: SIN, MATERIAL ELEM. TRANSPORTE: SIN, CERTIFICADO FORESTAL (GFS): SIN, LIBRE DE GLUTEN: NO</v>
      </c>
      <c r="D38" s="126"/>
      <c r="E38" s="126"/>
      <c r="F38" s="126"/>
      <c r="G38" s="126"/>
      <c r="H38" s="47" t="s">
        <v>167</v>
      </c>
      <c r="I38" s="49" t="str">
        <f>'Necesidades Trimestrales'!F36</f>
        <v>UNIDAD</v>
      </c>
      <c r="J38" s="50">
        <f>'Necesidades Trimestrales'!H36</f>
        <v>80</v>
      </c>
      <c r="K38" s="51">
        <f>'Necesidades Trimestrales'!G36</f>
        <v>30</v>
      </c>
    </row>
    <row r="39" spans="1:11" ht="54.75" customHeight="1" thickBot="1" x14ac:dyDescent="0.25">
      <c r="A39" s="45">
        <v>28</v>
      </c>
      <c r="B39" s="46" t="str">
        <f>'Necesidades Trimestrales'!B37</f>
        <v>2.1.1-2868.86</v>
      </c>
      <c r="C39" s="126" t="str">
        <f>'Necesidades Trimestrales'!E37</f>
        <v>FIDEOS SECOS; VARIEDAD: SPAGHETTI AL HUEVO, RELLENO: SIN, PRESENTACION: PAQUETE X 500 GR, MATERIAL ENVASE: PLASTICO 1 (PET), ELEM. TRANSPORTE: SIN, MATERIAL ELEM. TRANSPORTE: SIN, CERTIFICADO FORESTAL (GFS): SIN, LIBRE DE GLUTEN: NO</v>
      </c>
      <c r="D39" s="126"/>
      <c r="E39" s="126"/>
      <c r="F39" s="126"/>
      <c r="G39" s="126"/>
      <c r="H39" s="47" t="s">
        <v>167</v>
      </c>
      <c r="I39" s="49" t="str">
        <f>'Necesidades Trimestrales'!F37</f>
        <v>UNIDAD</v>
      </c>
      <c r="J39" s="50">
        <f>'Necesidades Trimestrales'!H37</f>
        <v>80</v>
      </c>
      <c r="K39" s="51">
        <f>'Necesidades Trimestrales'!G37</f>
        <v>150</v>
      </c>
    </row>
    <row r="40" spans="1:11" ht="45" customHeight="1" thickBot="1" x14ac:dyDescent="0.25">
      <c r="A40" s="45">
        <v>29</v>
      </c>
      <c r="B40" s="46" t="str">
        <f>'Necesidades Trimestrales'!B38</f>
        <v>2.1.1-2868.65</v>
      </c>
      <c r="C40" s="126" t="str">
        <f>'Necesidades Trimestrales'!E38</f>
        <v>FIDEOS SECOS; VARIEDAD: SPAGHETTI VERDES, RELLENO: SIN, PRESENTACION: ENVASE X 5 Kg, MATERIAL ENVASE: PLASTICO 1 (PET), ELEM. TRANSPORTE: SIN, MATERIAL ELEM. TRANSPORTE: SIN, CERTIFICADO FORESTAL (GFS): SIN, LIBRE DE GLUTEN: NO</v>
      </c>
      <c r="D40" s="126"/>
      <c r="E40" s="126"/>
      <c r="F40" s="126"/>
      <c r="G40" s="126"/>
      <c r="H40" s="47" t="s">
        <v>167</v>
      </c>
      <c r="I40" s="49" t="str">
        <f>'Necesidades Trimestrales'!F38</f>
        <v>UNIDAD</v>
      </c>
      <c r="J40" s="50">
        <f>'Necesidades Trimestrales'!H38</f>
        <v>609</v>
      </c>
      <c r="K40" s="51">
        <f>'Necesidades Trimestrales'!G38</f>
        <v>50</v>
      </c>
    </row>
    <row r="41" spans="1:11" ht="45" customHeight="1" thickBot="1" x14ac:dyDescent="0.25">
      <c r="A41" s="45">
        <v>30</v>
      </c>
      <c r="B41" s="46" t="str">
        <f>'Necesidades Trimestrales'!B39</f>
        <v>2.1.1-2868.55</v>
      </c>
      <c r="C41" s="126" t="str">
        <f>'Necesidades Trimestrales'!E39</f>
        <v>FIDEOS SECOS; VARIEDAD: TALLARIN, RELLENO: SIN, PRESENTACION: ENVASE X 500 GR, MATERIAL ENVASE: PLASTICO 1 (PET), ELEM. TRANSPORTE: SIN, MATERIAL ELEM. TRANSPORTE: SIN, CERTIFICADO FORESTAL (GFS): SIN, LIBRE DE GLUTEN: NO</v>
      </c>
      <c r="D41" s="126"/>
      <c r="E41" s="126"/>
      <c r="F41" s="126"/>
      <c r="G41" s="126"/>
      <c r="H41" s="47" t="s">
        <v>167</v>
      </c>
      <c r="I41" s="49" t="str">
        <f>'Necesidades Trimestrales'!F39</f>
        <v>UNIDAD</v>
      </c>
      <c r="J41" s="50">
        <f>'Necesidades Trimestrales'!H39</f>
        <v>80</v>
      </c>
      <c r="K41" s="51">
        <f>'Necesidades Trimestrales'!G39</f>
        <v>150</v>
      </c>
    </row>
    <row r="42" spans="1:11" ht="32.450000000000003" customHeight="1" thickBot="1" x14ac:dyDescent="0.25">
      <c r="A42" s="45">
        <v>31</v>
      </c>
      <c r="B42" s="46" t="str">
        <f>'Necesidades Trimestrales'!B40</f>
        <v>2.1.1-2868.53</v>
      </c>
      <c r="C42" s="126" t="str">
        <f>'Necesidades Trimestrales'!E40</f>
        <v>FIDEOS SECOS; VARIEDAD: TIRABUZON, RELLENO: SIN, PRESENTACION: ENVASE X 500 GR, MATERIAL ENVASE: PLASTICO 1 (PET), ELEM. TRANSPORTE: SIN, MATERIAL ELEM. TRANSPORTE: SIN, CERTIFICADO FORESTAL (GFS): SIN, LIBRE DE GLUTEN: NO</v>
      </c>
      <c r="D42" s="126"/>
      <c r="E42" s="126"/>
      <c r="F42" s="126"/>
      <c r="G42" s="126"/>
      <c r="H42" s="47" t="s">
        <v>167</v>
      </c>
      <c r="I42" s="49" t="str">
        <f>'Necesidades Trimestrales'!F40</f>
        <v>UNIDAD</v>
      </c>
      <c r="J42" s="50">
        <f>'Necesidades Trimestrales'!H40</f>
        <v>80</v>
      </c>
      <c r="K42" s="51">
        <f>'Necesidades Trimestrales'!G40</f>
        <v>120</v>
      </c>
    </row>
    <row r="43" spans="1:11" ht="32.450000000000003" customHeight="1" thickBot="1" x14ac:dyDescent="0.25">
      <c r="A43" s="45">
        <v>32</v>
      </c>
      <c r="B43" s="46" t="str">
        <f>'Necesidades Trimestrales'!B41</f>
        <v>2.1.1-513.9</v>
      </c>
      <c r="C43" s="126" t="str">
        <f>'Necesidades Trimestrales'!E41</f>
        <v>FLANES; PESO: 60 GR, ENVASE: CAJA CARTON, ESTADO PREPARACION: CON COCCION, SABOR: VAINILLA, TIPO: SIN VALOR, PRESENTACION: 60 GR</v>
      </c>
      <c r="D43" s="126"/>
      <c r="E43" s="126"/>
      <c r="F43" s="126"/>
      <c r="G43" s="126"/>
      <c r="H43" s="47" t="s">
        <v>167</v>
      </c>
      <c r="I43" s="49" t="str">
        <f>'Necesidades Trimestrales'!F41</f>
        <v>UNIDAD</v>
      </c>
      <c r="J43" s="50">
        <f>'Necesidades Trimestrales'!H41</f>
        <v>77</v>
      </c>
      <c r="K43" s="51">
        <f>'Necesidades Trimestrales'!G41</f>
        <v>200</v>
      </c>
    </row>
    <row r="44" spans="1:11" ht="32.450000000000003" customHeight="1" thickBot="1" x14ac:dyDescent="0.25">
      <c r="A44" s="45">
        <v>33</v>
      </c>
      <c r="B44" s="46" t="str">
        <f>'Necesidades Trimestrales'!B42</f>
        <v>2.1.1-6539.38</v>
      </c>
      <c r="C44" s="126" t="str">
        <f>'Necesidades Trimestrales'!E42</f>
        <v>FRUTAS; VARIEDAD: ANANA, PRESENTACION: ENVASE X 850 GR, PESO: 850 GR, ESTADO: CONSERVA</v>
      </c>
      <c r="D44" s="126"/>
      <c r="E44" s="126"/>
      <c r="F44" s="126"/>
      <c r="G44" s="126"/>
      <c r="H44" s="47" t="s">
        <v>167</v>
      </c>
      <c r="I44" s="49" t="str">
        <f>'Necesidades Trimestrales'!F42</f>
        <v>UNIDAD</v>
      </c>
      <c r="J44" s="50">
        <f>'Necesidades Trimestrales'!H42</f>
        <v>800</v>
      </c>
      <c r="K44" s="51">
        <f>'Necesidades Trimestrales'!G42</f>
        <v>200</v>
      </c>
    </row>
    <row r="45" spans="1:11" ht="32.450000000000003" customHeight="1" thickBot="1" x14ac:dyDescent="0.25">
      <c r="A45" s="45">
        <v>34</v>
      </c>
      <c r="B45" s="46" t="str">
        <f>'Necesidades Trimestrales'!B43</f>
        <v>2.1.1-6539.114</v>
      </c>
      <c r="C45" s="126" t="str">
        <f>'Necesidades Trimestrales'!E43</f>
        <v>FRUTAS; VARIEDAD: CIRUELA ( SIN CAROZO ), ESTADO: DESECADA, PRESENTACION: ENVASE X 10 Kg, PESO: 10 Kg</v>
      </c>
      <c r="D45" s="126"/>
      <c r="E45" s="126"/>
      <c r="F45" s="126"/>
      <c r="G45" s="126"/>
      <c r="H45" s="47" t="s">
        <v>167</v>
      </c>
      <c r="I45" s="49" t="str">
        <f>'Necesidades Trimestrales'!F43</f>
        <v>UNIDAD</v>
      </c>
      <c r="J45" s="50">
        <f>'Necesidades Trimestrales'!H43</f>
        <v>1438.4</v>
      </c>
      <c r="K45" s="51">
        <f>'Necesidades Trimestrales'!G43</f>
        <v>3</v>
      </c>
    </row>
    <row r="46" spans="1:11" ht="32.450000000000003" customHeight="1" thickBot="1" x14ac:dyDescent="0.25">
      <c r="A46" s="45">
        <v>35</v>
      </c>
      <c r="B46" s="46" t="str">
        <f>'Necesidades Trimestrales'!B44</f>
        <v>2.1.1-6539.178</v>
      </c>
      <c r="C46" s="126" t="str">
        <f>'Necesidades Trimestrales'!E44</f>
        <v>FRUTAS; VARIEDAD: DURAZNO ( SIN CAROZO ), ESTADO: DESECADA, PRESENTACION: ENVASE X 5 Kg, ELEM. TRANSPORTE: SIN, MATERIAL ELEM. TRANSPORTE: SIN</v>
      </c>
      <c r="D46" s="126"/>
      <c r="E46" s="126"/>
      <c r="F46" s="126"/>
      <c r="G46" s="126"/>
      <c r="H46" s="47" t="s">
        <v>167</v>
      </c>
      <c r="I46" s="49" t="str">
        <f>'Necesidades Trimestrales'!F44</f>
        <v>UNIDAD</v>
      </c>
      <c r="J46" s="50">
        <f>'Necesidades Trimestrales'!H44</f>
        <v>2399.67</v>
      </c>
      <c r="K46" s="51">
        <f>'Necesidades Trimestrales'!G44</f>
        <v>3</v>
      </c>
    </row>
    <row r="47" spans="1:11" ht="32.450000000000003" customHeight="1" thickBot="1" x14ac:dyDescent="0.25">
      <c r="A47" s="45">
        <v>36</v>
      </c>
      <c r="B47" s="46" t="str">
        <f>'Necesidades Trimestrales'!B45</f>
        <v>2.1.1-6539.46</v>
      </c>
      <c r="C47" s="126" t="str">
        <f>'Necesidades Trimestrales'!E45</f>
        <v>FRUTAS; VARIEDAD: DURAZNO, ESTADO: CONSERVA, PRESENTACION: ENVASE X 800 GR, PESO: 800 GR</v>
      </c>
      <c r="D47" s="126"/>
      <c r="E47" s="126"/>
      <c r="F47" s="126"/>
      <c r="G47" s="126"/>
      <c r="H47" s="47" t="s">
        <v>167</v>
      </c>
      <c r="I47" s="49" t="str">
        <f>'Necesidades Trimestrales'!F45</f>
        <v>UNIDAD</v>
      </c>
      <c r="J47" s="50">
        <f>'Necesidades Trimestrales'!H45</f>
        <v>435</v>
      </c>
      <c r="K47" s="51">
        <f>'Necesidades Trimestrales'!G45</f>
        <v>400</v>
      </c>
    </row>
    <row r="48" spans="1:11" ht="32.450000000000003" customHeight="1" thickBot="1" x14ac:dyDescent="0.25">
      <c r="A48" s="45">
        <v>37</v>
      </c>
      <c r="B48" s="46" t="str">
        <f>'Necesidades Trimestrales'!B46</f>
        <v>2.1.1-788.224</v>
      </c>
      <c r="C48" s="126" t="str">
        <f>'Necesidades Trimestrales'!E46</f>
        <v>GALLETITAS; VARIEDAD: SALADA, RELLENO: SIN, PRESENTACION: ENVASE X 275 GR, ELEM. TRANSPORTE: SIN, MATERIAL ELEM. TRANSPORTE: SIN, LIBRE DE GLUTEN: SI</v>
      </c>
      <c r="D48" s="126"/>
      <c r="E48" s="126"/>
      <c r="F48" s="126"/>
      <c r="G48" s="126"/>
      <c r="H48" s="47" t="s">
        <v>167</v>
      </c>
      <c r="I48" s="49" t="str">
        <f>'Necesidades Trimestrales'!F46</f>
        <v>UNIDAD</v>
      </c>
      <c r="J48" s="50">
        <f>'Necesidades Trimestrales'!H46</f>
        <v>445</v>
      </c>
      <c r="K48" s="51">
        <f>'Necesidades Trimestrales'!G46</f>
        <v>30</v>
      </c>
    </row>
    <row r="49" spans="1:11" ht="32.450000000000003" customHeight="1" thickBot="1" x14ac:dyDescent="0.25">
      <c r="A49" s="45">
        <v>38</v>
      </c>
      <c r="B49" s="46" t="str">
        <f>'Necesidades Trimestrales'!B47</f>
        <v>2.1.1-788.229</v>
      </c>
      <c r="C49" s="126" t="str">
        <f>'Necesidades Trimestrales'!E47</f>
        <v>GALLETITAS; VARIEDAD: VAINILLA, RELLENO: SIN, PRESENTACION: ENVASE X 792 GR, ELEM. TRANSPORTE: SIN, MATERIAL ELEM. TRANSPORTE: SIN, LIBRE DE GLUTEN: NO</v>
      </c>
      <c r="D49" s="126"/>
      <c r="E49" s="126"/>
      <c r="F49" s="126"/>
      <c r="G49" s="126"/>
      <c r="H49" s="47" t="s">
        <v>167</v>
      </c>
      <c r="I49" s="49" t="str">
        <f>'Necesidades Trimestrales'!F47</f>
        <v>UNIDAD</v>
      </c>
      <c r="J49" s="50">
        <f>'Necesidades Trimestrales'!H47</f>
        <v>445</v>
      </c>
      <c r="K49" s="51">
        <f>'Necesidades Trimestrales'!G47</f>
        <v>50</v>
      </c>
    </row>
    <row r="50" spans="1:11" ht="32.450000000000003" customHeight="1" thickBot="1" x14ac:dyDescent="0.25">
      <c r="A50" s="45">
        <v>39</v>
      </c>
      <c r="B50" s="46" t="str">
        <f>'Necesidades Trimestrales'!B48</f>
        <v>2.1.1-510.5</v>
      </c>
      <c r="C50" s="126" t="str">
        <f>'Necesidades Trimestrales'!E48</f>
        <v>GELATINAS; ENVASE: CAJA DE CARTON, PESO: 30 GR, TIPO: BAJAS CALORIAS, SABOR: FRUTILLA</v>
      </c>
      <c r="D50" s="126"/>
      <c r="E50" s="126"/>
      <c r="F50" s="126"/>
      <c r="G50" s="126"/>
      <c r="H50" s="47" t="s">
        <v>167</v>
      </c>
      <c r="I50" s="49" t="str">
        <f>'Necesidades Trimestrales'!F48</f>
        <v>UNIDAD</v>
      </c>
      <c r="J50" s="50">
        <f>'Necesidades Trimestrales'!H48</f>
        <v>105</v>
      </c>
      <c r="K50" s="51">
        <f>'Necesidades Trimestrales'!G48</f>
        <v>300</v>
      </c>
    </row>
    <row r="51" spans="1:11" ht="45" customHeight="1" thickBot="1" x14ac:dyDescent="0.25">
      <c r="A51" s="45">
        <v>40</v>
      </c>
      <c r="B51" s="46" t="str">
        <f>'Necesidades Trimestrales'!B49</f>
        <v>2.1.1-510.3</v>
      </c>
      <c r="C51" s="126" t="str">
        <f>'Necesidades Trimestrales'!E49</f>
        <v>GELATINAS; TIPO: BAJAS CALORIAS, ENVASE: CAJA DE CARTON, PESO: 30 GR, SABOR: CEREZA</v>
      </c>
      <c r="D51" s="126"/>
      <c r="E51" s="126"/>
      <c r="F51" s="126"/>
      <c r="G51" s="126"/>
      <c r="H51" s="47" t="s">
        <v>167</v>
      </c>
      <c r="I51" s="49" t="str">
        <f>'Necesidades Trimestrales'!F49</f>
        <v>UNIDAD</v>
      </c>
      <c r="J51" s="50">
        <f>'Necesidades Trimestrales'!H49</f>
        <v>125</v>
      </c>
      <c r="K51" s="51">
        <f>'Necesidades Trimestrales'!G49</f>
        <v>300</v>
      </c>
    </row>
    <row r="52" spans="1:11" ht="45" customHeight="1" thickBot="1" x14ac:dyDescent="0.25">
      <c r="A52" s="45">
        <v>41</v>
      </c>
      <c r="B52" s="46" t="str">
        <f>'Necesidades Trimestrales'!B50</f>
        <v>2.1.1-482.80</v>
      </c>
      <c r="C52" s="126" t="str">
        <f>'Necesidades Trimestrales'!E50</f>
        <v>HARINAS; TIPO: DE TRIGO 000, PRESENTACION: ENVASE X 1 Kg, MATERIAL ENVASE: PAPEL, CERTICADO FORESTAL (GFS): SIN, ELEM. TRANSPORTE: SIN, MATERIAL ELEM. TRANSPORTE: SIN, LIBRE DE GLUTEN: NO</v>
      </c>
      <c r="D52" s="126"/>
      <c r="E52" s="126"/>
      <c r="F52" s="126"/>
      <c r="G52" s="126"/>
      <c r="H52" s="47" t="s">
        <v>167</v>
      </c>
      <c r="I52" s="49" t="str">
        <f>'Necesidades Trimestrales'!F50</f>
        <v>UNIDAD</v>
      </c>
      <c r="J52" s="50">
        <f>'Necesidades Trimestrales'!H50</f>
        <v>120</v>
      </c>
      <c r="K52" s="51">
        <f>'Necesidades Trimestrales'!G50</f>
        <v>30</v>
      </c>
    </row>
    <row r="53" spans="1:11" ht="45" customHeight="1" thickBot="1" x14ac:dyDescent="0.25">
      <c r="A53" s="45">
        <v>42</v>
      </c>
      <c r="B53" s="46" t="str">
        <f>'Necesidades Trimestrales'!B51</f>
        <v>2.1.1-482.61</v>
      </c>
      <c r="C53" s="126" t="str">
        <f>'Necesidades Trimestrales'!E51</f>
        <v>HARINAS; TIPO: LEUDANTE, PRESENTACION: ENVASE X 1 Kg, MATERIAL ENVASE: PAPEL, CERTICADO FORESTAL (GFS): SIN, ELEM. TRANSPORTE: PALLET RETORNABLE, MATERIAL ELEM. TRANSPORTE: MADERA</v>
      </c>
      <c r="D53" s="126"/>
      <c r="E53" s="126"/>
      <c r="F53" s="126"/>
      <c r="G53" s="126"/>
      <c r="H53" s="47" t="s">
        <v>167</v>
      </c>
      <c r="I53" s="49" t="str">
        <f>'Necesidades Trimestrales'!F51</f>
        <v>UNIDAD</v>
      </c>
      <c r="J53" s="50">
        <f>'Necesidades Trimestrales'!H51</f>
        <v>150</v>
      </c>
      <c r="K53" s="51">
        <f>'Necesidades Trimestrales'!G51</f>
        <v>70</v>
      </c>
    </row>
    <row r="54" spans="1:11" ht="45" customHeight="1" thickBot="1" x14ac:dyDescent="0.25">
      <c r="A54" s="45">
        <v>43</v>
      </c>
      <c r="B54" s="46" t="str">
        <f>'Necesidades Trimestrales'!B52</f>
        <v>2.1.1-482.69</v>
      </c>
      <c r="C54" s="126" t="str">
        <f>'Necesidades Trimestrales'!E52</f>
        <v>HARINAS; TIPO: MAIZ, PRESENTACION: ENVASE X 1 Kg, MATERIAL ENVASE: PAPEL, CERTICADO FORESTAL (GFS): SIN, ELEM. TRANSPORTE: SIN, MATERIAL ELEM. TRANSPORTE: SIN, LIBRE DE GLUTEN: NO</v>
      </c>
      <c r="D54" s="126"/>
      <c r="E54" s="126"/>
      <c r="F54" s="126"/>
      <c r="G54" s="126"/>
      <c r="H54" s="47" t="s">
        <v>167</v>
      </c>
      <c r="I54" s="49" t="str">
        <f>'Necesidades Trimestrales'!F52</f>
        <v>UNIDAD</v>
      </c>
      <c r="J54" s="50">
        <f>'Necesidades Trimestrales'!H52</f>
        <v>260</v>
      </c>
      <c r="K54" s="51">
        <f>'Necesidades Trimestrales'!G52</f>
        <v>50</v>
      </c>
    </row>
    <row r="55" spans="1:11" ht="45" customHeight="1" thickBot="1" x14ac:dyDescent="0.25">
      <c r="A55" s="45">
        <v>44</v>
      </c>
      <c r="B55" s="46" t="str">
        <f>'Necesidades Trimestrales'!B53</f>
        <v>2.1.1-6558.8</v>
      </c>
      <c r="C55" s="126" t="str">
        <f>'Necesidades Trimestrales'!E53</f>
        <v>JARDINERA; PRESENTACION: ENVASE X 350 GR, PESO: SIN VALOR, MATERIAL ENVASE: METAL, ELEM. TRANSPORTE: SIN, MATERIAL ELEM. TRANSPORTE: SIN</v>
      </c>
      <c r="D55" s="126"/>
      <c r="E55" s="126"/>
      <c r="F55" s="126"/>
      <c r="G55" s="126"/>
      <c r="H55" s="47" t="s">
        <v>167</v>
      </c>
      <c r="I55" s="49" t="str">
        <f>'Necesidades Trimestrales'!F53</f>
        <v>UNIDAD</v>
      </c>
      <c r="J55" s="50">
        <f>'Necesidades Trimestrales'!H53</f>
        <v>102.5</v>
      </c>
      <c r="K55" s="51">
        <f>'Necesidades Trimestrales'!G53</f>
        <v>300</v>
      </c>
    </row>
    <row r="56" spans="1:11" ht="45" customHeight="1" thickBot="1" x14ac:dyDescent="0.25">
      <c r="A56" s="45">
        <v>45</v>
      </c>
      <c r="B56" s="46" t="str">
        <f>'Necesidades Trimestrales'!B54</f>
        <v>2.1.1-705.116</v>
      </c>
      <c r="C56" s="126" t="str">
        <f>'Necesidades Trimestrales'!E54</f>
        <v>LECHE; ESTADO: LIQUIDO, TIPO: DESCREMADA, PROCESO: LARGA VIDA, AGREGADO: VITAMINAS A Y D, PRESENTACION: ENVASE X 1 L, MATERIAL ENVASE: PLASTICO, ELEM. TRANSPORTE: SIN, MATERIAL ELEM. TRANSPORTE: SIN, CERTIFICADO FORESTAL (GFS): SIN, LIBRE DE GLUTEN: SIN VALOR</v>
      </c>
      <c r="D56" s="126"/>
      <c r="E56" s="126"/>
      <c r="F56" s="126"/>
      <c r="G56" s="126"/>
      <c r="H56" s="47" t="s">
        <v>167</v>
      </c>
      <c r="I56" s="49" t="str">
        <f>'Necesidades Trimestrales'!F54</f>
        <v>UNIDAD</v>
      </c>
      <c r="J56" s="50">
        <f>'Necesidades Trimestrales'!H54</f>
        <v>160</v>
      </c>
      <c r="K56" s="51">
        <f>'Necesidades Trimestrales'!G54</f>
        <v>1800</v>
      </c>
    </row>
    <row r="57" spans="1:11" ht="40.5" customHeight="1" thickBot="1" x14ac:dyDescent="0.25">
      <c r="A57" s="45">
        <v>46</v>
      </c>
      <c r="B57" s="46" t="str">
        <f>'Necesidades Trimestrales'!B55</f>
        <v>2.1.1-6547.84</v>
      </c>
      <c r="C57" s="126" t="str">
        <f>'Necesidades Trimestrales'!E55</f>
        <v>LEGUMBRES; VARIEDAD: ARVEJAS, ESTADO: CONSERVA, PRESENTACION: LATA, PESO: 350 GR, MATERIAL ENVASE: METAL, ELEM. TRANSPORTE: SIN, MATERIAL ELEM. TRANSPORTE: SIN, LIBRE DE GLUTEN: NO</v>
      </c>
      <c r="D57" s="126"/>
      <c r="E57" s="126"/>
      <c r="F57" s="126"/>
      <c r="G57" s="126"/>
      <c r="H57" s="47" t="s">
        <v>167</v>
      </c>
      <c r="I57" s="49" t="str">
        <f>'Necesidades Trimestrales'!F55</f>
        <v>UNIDAD</v>
      </c>
      <c r="J57" s="50">
        <f>'Necesidades Trimestrales'!H55</f>
        <v>48</v>
      </c>
      <c r="K57" s="51">
        <f>'Necesidades Trimestrales'!G55</f>
        <v>300</v>
      </c>
    </row>
    <row r="58" spans="1:11" ht="37.5" customHeight="1" thickBot="1" x14ac:dyDescent="0.25">
      <c r="A58" s="45">
        <v>47</v>
      </c>
      <c r="B58" s="46" t="str">
        <f>'Necesidades Trimestrales'!B56</f>
        <v>2.1.1-6547.88</v>
      </c>
      <c r="C58" s="126" t="str">
        <f>'Necesidades Trimestrales'!E56</f>
        <v>LEGUMBRES; VARIEDAD: LENTEJA, ESTADO: SECO, PRESENTACION: BOLSA, PESO: 450 GR, MATERIAL ENVASE: PLASTICO, ELEM. TRANSPORTE: SIN, MATERIAL ELEM. TRANSPORTE: SIN, LIBRE DE GLUTEN: SI</v>
      </c>
      <c r="D58" s="126"/>
      <c r="E58" s="126"/>
      <c r="F58" s="126"/>
      <c r="G58" s="126"/>
      <c r="H58" s="47" t="s">
        <v>167</v>
      </c>
      <c r="I58" s="49" t="str">
        <f>'Necesidades Trimestrales'!F56</f>
        <v>UNIDAD</v>
      </c>
      <c r="J58" s="50">
        <f>'Necesidades Trimestrales'!H56</f>
        <v>158</v>
      </c>
      <c r="K58" s="51">
        <f>'Necesidades Trimestrales'!G56</f>
        <v>10</v>
      </c>
    </row>
    <row r="59" spans="1:11" ht="32.450000000000003" customHeight="1" thickBot="1" x14ac:dyDescent="0.25">
      <c r="A59" s="45">
        <v>48</v>
      </c>
      <c r="B59" s="46" t="str">
        <f>'Necesidades Trimestrales'!B57</f>
        <v>2.1.1-6547.56</v>
      </c>
      <c r="C59" s="126" t="str">
        <f>'Necesidades Trimestrales'!E57</f>
        <v>LEGUMBRES; VARIEDAD: POROTO BLANCO OVAL, ESTADO: SECO, PRESENTACION: BOLSA, PESO: 500 GR</v>
      </c>
      <c r="D59" s="126"/>
      <c r="E59" s="126"/>
      <c r="F59" s="126"/>
      <c r="G59" s="126"/>
      <c r="H59" s="47" t="s">
        <v>167</v>
      </c>
      <c r="I59" s="49" t="str">
        <f>'Necesidades Trimestrales'!F57</f>
        <v>UNIDAD</v>
      </c>
      <c r="J59" s="50">
        <f>'Necesidades Trimestrales'!H57</f>
        <v>280</v>
      </c>
      <c r="K59" s="51">
        <f>'Necesidades Trimestrales'!G57</f>
        <v>40</v>
      </c>
    </row>
    <row r="60" spans="1:11" ht="32.450000000000003" customHeight="1" thickBot="1" x14ac:dyDescent="0.25">
      <c r="A60" s="45">
        <v>49</v>
      </c>
      <c r="B60" s="46" t="str">
        <f>'Necesidades Trimestrales'!B58</f>
        <v>2.1.1-2616.9</v>
      </c>
      <c r="C60" s="126" t="str">
        <f>'Necesidades Trimestrales'!E58</f>
        <v>MAIZ; TIPO: BLANCO PISADO, PRESENTACION: ENVASE X 500 GR, FORMA DE PRESENTACION: SIN VALOR</v>
      </c>
      <c r="D60" s="126"/>
      <c r="E60" s="126"/>
      <c r="F60" s="126"/>
      <c r="G60" s="126"/>
      <c r="H60" s="47" t="s">
        <v>167</v>
      </c>
      <c r="I60" s="49" t="str">
        <f>'Necesidades Trimestrales'!F58</f>
        <v>UNIDAD</v>
      </c>
      <c r="J60" s="50">
        <f>'Necesidades Trimestrales'!H58</f>
        <v>135</v>
      </c>
      <c r="K60" s="51">
        <f>'Necesidades Trimestrales'!G58</f>
        <v>60</v>
      </c>
    </row>
    <row r="61" spans="1:11" ht="32.450000000000003" customHeight="1" thickBot="1" x14ac:dyDescent="0.25">
      <c r="A61" s="45">
        <v>50</v>
      </c>
      <c r="B61" s="46" t="str">
        <f>'Necesidades Trimestrales'!B59</f>
        <v>2.1.1-6547.57</v>
      </c>
      <c r="C61" s="126" t="str">
        <f>'Necesidades Trimestrales'!E59</f>
        <v>LEGUMBRES; VARIEDAD: LENTEJAS SECAS, ESTADO: SECO, PRESENTACION: BOLSA, PESO: 500 GR</v>
      </c>
      <c r="D61" s="126"/>
      <c r="E61" s="126"/>
      <c r="F61" s="126"/>
      <c r="G61" s="126"/>
      <c r="H61" s="47" t="s">
        <v>167</v>
      </c>
      <c r="I61" s="49" t="str">
        <f>'Necesidades Trimestrales'!F59</f>
        <v>UNIDAD</v>
      </c>
      <c r="J61" s="50">
        <f>'Necesidades Trimestrales'!H59</f>
        <v>240</v>
      </c>
      <c r="K61" s="51">
        <f>'Necesidades Trimestrales'!G59</f>
        <v>40</v>
      </c>
    </row>
    <row r="62" spans="1:11" ht="32.450000000000003" customHeight="1" thickBot="1" x14ac:dyDescent="0.25">
      <c r="A62" s="45">
        <v>51</v>
      </c>
      <c r="B62" s="46" t="str">
        <f>'Necesidades Trimestrales'!B60</f>
        <v>2.1.1-706.6</v>
      </c>
      <c r="C62" s="126" t="str">
        <f>'Necesidades Trimestrales'!E60</f>
        <v>MATE COCIDO; ENVASE: CAJA CARTON, PRESENTACION: ENSOBRADO, SAQUITOS P/CAJA: 100 UN, PESO X SAQ.: 3 GR</v>
      </c>
      <c r="D62" s="126"/>
      <c r="E62" s="126"/>
      <c r="F62" s="126"/>
      <c r="G62" s="126"/>
      <c r="H62" s="47" t="s">
        <v>167</v>
      </c>
      <c r="I62" s="49" t="str">
        <f>'Necesidades Trimestrales'!F60</f>
        <v>UNIDAD</v>
      </c>
      <c r="J62" s="50">
        <f>'Necesidades Trimestrales'!H60</f>
        <v>310</v>
      </c>
      <c r="K62" s="51">
        <f>'Necesidades Trimestrales'!G60</f>
        <v>300</v>
      </c>
    </row>
    <row r="63" spans="1:11" ht="32.450000000000003" customHeight="1" thickBot="1" x14ac:dyDescent="0.25">
      <c r="A63" s="45">
        <v>52</v>
      </c>
      <c r="B63" s="46" t="str">
        <f>'Necesidades Trimestrales'!B61</f>
        <v>2.1.1-517.86</v>
      </c>
      <c r="C63" s="126" t="str">
        <f>'Necesidades Trimestrales'!E61</f>
        <v>POSTRES; ESTADO PREPARACION: CON COCCION, TIPO: POLVO, ENVASE: CAJA DE CARTON, PESO: 80 GR, SABOR: VAINILLA, LIBRE DE GLUTEN: SI</v>
      </c>
      <c r="D63" s="126"/>
      <c r="E63" s="126"/>
      <c r="F63" s="126"/>
      <c r="G63" s="126"/>
      <c r="H63" s="47" t="s">
        <v>167</v>
      </c>
      <c r="I63" s="49" t="str">
        <f>'Necesidades Trimestrales'!F61</f>
        <v>UNIDAD</v>
      </c>
      <c r="J63" s="50">
        <f>'Necesidades Trimestrales'!H61</f>
        <v>120</v>
      </c>
      <c r="K63" s="51">
        <f>'Necesidades Trimestrales'!G61</f>
        <v>120</v>
      </c>
    </row>
    <row r="64" spans="1:11" ht="32.450000000000003" customHeight="1" thickBot="1" x14ac:dyDescent="0.25">
      <c r="A64" s="45">
        <v>53</v>
      </c>
      <c r="B64" s="46" t="str">
        <f>'Necesidades Trimestrales'!B62</f>
        <v>2.1.1-514.2</v>
      </c>
      <c r="C64" s="126" t="str">
        <f>'Necesidades Trimestrales'!E62</f>
        <v>SAL DE MESA; CONSISTENCIA: FINA, PESO: 500 GR, TIPO: SIN VALOR, ENVASE: PAQUETE</v>
      </c>
      <c r="D64" s="126"/>
      <c r="E64" s="126"/>
      <c r="F64" s="126"/>
      <c r="G64" s="126"/>
      <c r="H64" s="47" t="s">
        <v>167</v>
      </c>
      <c r="I64" s="49" t="str">
        <f>'Necesidades Trimestrales'!F62</f>
        <v>UNIDAD</v>
      </c>
      <c r="J64" s="50">
        <f>'Necesidades Trimestrales'!H62</f>
        <v>45</v>
      </c>
      <c r="K64" s="51">
        <f>'Necesidades Trimestrales'!G62</f>
        <v>100</v>
      </c>
    </row>
    <row r="65" spans="1:1024" ht="32.450000000000003" customHeight="1" thickBot="1" x14ac:dyDescent="0.25">
      <c r="A65" s="45">
        <v>54</v>
      </c>
      <c r="B65" s="46" t="str">
        <f>'Necesidades Trimestrales'!B63</f>
        <v>2.1.1-514.11</v>
      </c>
      <c r="C65" s="126" t="str">
        <f>'Necesidades Trimestrales'!E63</f>
        <v>SAL DE MESA; CONSISTENCIA: GRUESA, PESO: 50 Kg, TIPO: SIN VALOR, ENVASE: BOLSA</v>
      </c>
      <c r="D65" s="126"/>
      <c r="E65" s="126"/>
      <c r="F65" s="126"/>
      <c r="G65" s="126"/>
      <c r="H65" s="47" t="s">
        <v>167</v>
      </c>
      <c r="I65" s="49" t="str">
        <f>'Necesidades Trimestrales'!F63</f>
        <v>UNIDAD</v>
      </c>
      <c r="J65" s="50">
        <f>'Necesidades Trimestrales'!H63</f>
        <v>1620</v>
      </c>
      <c r="K65" s="51">
        <f>'Necesidades Trimestrales'!G63</f>
        <v>15</v>
      </c>
    </row>
    <row r="66" spans="1:1024" ht="32.450000000000003" customHeight="1" thickBot="1" x14ac:dyDescent="0.25">
      <c r="A66" s="45">
        <v>55</v>
      </c>
      <c r="B66" s="46" t="str">
        <f>'Necesidades Trimestrales'!B64</f>
        <v>2.1.1-514.15</v>
      </c>
      <c r="C66" s="126" t="str">
        <f>'Necesidades Trimestrales'!E64</f>
        <v>SAL DE MESA; CONSISTENCIA: GRUESA, ENVASE: BOLSA, PESO: 1 Kg, TIPO: SIN VALOR</v>
      </c>
      <c r="D66" s="126"/>
      <c r="E66" s="126"/>
      <c r="F66" s="126"/>
      <c r="G66" s="126"/>
      <c r="H66" s="47" t="s">
        <v>167</v>
      </c>
      <c r="I66" s="49" t="str">
        <f>'Necesidades Trimestrales'!F64</f>
        <v>UNIDAD</v>
      </c>
      <c r="J66" s="50">
        <f>'Necesidades Trimestrales'!H64</f>
        <v>90</v>
      </c>
      <c r="K66" s="51">
        <f>'Necesidades Trimestrales'!G64</f>
        <v>15</v>
      </c>
    </row>
    <row r="67" spans="1:1024" ht="32.450000000000003" customHeight="1" thickBot="1" x14ac:dyDescent="0.25">
      <c r="A67" s="45">
        <v>56</v>
      </c>
      <c r="B67" s="46" t="str">
        <f>'Necesidades Trimestrales'!B65</f>
        <v>2.1.1-2126.13</v>
      </c>
      <c r="C67" s="126" t="str">
        <f>'Necesidades Trimestrales'!E65</f>
        <v>SEMOLAS; TIPO: VITINA, PRESENTACION: BOLSA, PESO: 500 GR, MATERIAL ENVASE: PLASTICO 1 (PET), CERTICADO FORESTAL (GFS): SIN, LIBRE DE GLUTEN: NO</v>
      </c>
      <c r="D67" s="126"/>
      <c r="E67" s="126"/>
      <c r="F67" s="126"/>
      <c r="G67" s="126"/>
      <c r="H67" s="47" t="s">
        <v>167</v>
      </c>
      <c r="I67" s="49" t="str">
        <f>'Necesidades Trimestrales'!F65</f>
        <v>UNIDAD</v>
      </c>
      <c r="J67" s="50">
        <f>'Necesidades Trimestrales'!H65</f>
        <v>229</v>
      </c>
      <c r="K67" s="51">
        <f>'Necesidades Trimestrales'!G65</f>
        <v>20</v>
      </c>
    </row>
    <row r="68" spans="1:1024" ht="32.450000000000003" customHeight="1" thickBot="1" x14ac:dyDescent="0.25">
      <c r="A68" s="45">
        <v>57</v>
      </c>
      <c r="B68" s="46" t="str">
        <f>'Necesidades Trimestrales'!B66</f>
        <v>2.1.1-511.8</v>
      </c>
      <c r="C68" s="126" t="str">
        <f>'Necesidades Trimestrales'!E66</f>
        <v>TE; SAQUITOS 2G P/CAJA: 50, PESO: SIN VALOR, TIPO: SIN VALOR, PRESENTACION: EN SAQUITOS</v>
      </c>
      <c r="D68" s="126"/>
      <c r="E68" s="126"/>
      <c r="F68" s="126"/>
      <c r="G68" s="126"/>
      <c r="H68" s="47" t="s">
        <v>167</v>
      </c>
      <c r="I68" s="49" t="str">
        <f>'Necesidades Trimestrales'!F66</f>
        <v>UNIDAD</v>
      </c>
      <c r="J68" s="50">
        <f>'Necesidades Trimestrales'!H66</f>
        <v>180</v>
      </c>
      <c r="K68" s="51">
        <f>'Necesidades Trimestrales'!G66</f>
        <v>700</v>
      </c>
    </row>
    <row r="69" spans="1:1024" ht="32.450000000000003" customHeight="1" thickBot="1" x14ac:dyDescent="0.25">
      <c r="A69" s="45">
        <v>58</v>
      </c>
      <c r="B69" s="46" t="str">
        <f>'Necesidades Trimestrales'!B67</f>
        <v>2.1.1-6546.336</v>
      </c>
      <c r="C69" s="126" t="str">
        <f>'Necesidades Trimestrales'!E67</f>
        <v>VERDURAS Y HORTALIZAS; VARIEDAD: CHOCLO, ESTADO: CREMOSO, PRESENTACION: LATA, PESO: 350 GR, ELEM. TRANSPORTE: SIN, MATERIAL ELEM. TRANSPORTE: SIN, LIBRE DE GLUTEN: NO</v>
      </c>
      <c r="D69" s="126"/>
      <c r="E69" s="126"/>
      <c r="F69" s="126"/>
      <c r="G69" s="126"/>
      <c r="H69" s="47" t="s">
        <v>167</v>
      </c>
      <c r="I69" s="49" t="str">
        <f>'Necesidades Trimestrales'!F67</f>
        <v>UNIDAD</v>
      </c>
      <c r="J69" s="50">
        <f>'Necesidades Trimestrales'!H67</f>
        <v>84</v>
      </c>
      <c r="K69" s="51">
        <f>'Necesidades Trimestrales'!G67</f>
        <v>200</v>
      </c>
    </row>
    <row r="70" spans="1:1024" ht="32.450000000000003" customHeight="1" thickBot="1" x14ac:dyDescent="0.25">
      <c r="A70" s="45">
        <v>59</v>
      </c>
      <c r="B70" s="46" t="str">
        <f>'Necesidades Trimestrales'!B68</f>
        <v>2.1.1-6546.269</v>
      </c>
      <c r="C70" s="126" t="str">
        <f>'Necesidades Trimestrales'!E68</f>
        <v>VERDURAS Y HORTALIZAS; VARIEDAD: CHOCLO, ESTADO: GRANO, PRESENTACION: LATA, PESO: 350 GR</v>
      </c>
      <c r="D70" s="126"/>
      <c r="E70" s="126"/>
      <c r="F70" s="126"/>
      <c r="G70" s="126"/>
      <c r="H70" s="47" t="s">
        <v>167</v>
      </c>
      <c r="I70" s="49" t="str">
        <f>'Necesidades Trimestrales'!F68</f>
        <v>UNIDAD</v>
      </c>
      <c r="J70" s="50">
        <f>'Necesidades Trimestrales'!H68</f>
        <v>133</v>
      </c>
      <c r="K70" s="51">
        <f>'Necesidades Trimestrales'!G68</f>
        <v>200</v>
      </c>
    </row>
    <row r="71" spans="1:1024" ht="32.450000000000003" customHeight="1" thickBot="1" x14ac:dyDescent="0.25">
      <c r="A71" s="45">
        <v>60</v>
      </c>
      <c r="B71" s="46" t="str">
        <f>'Necesidades Trimestrales'!B69</f>
        <v>2.1.1-6546.183</v>
      </c>
      <c r="C71" s="126" t="str">
        <f>'Necesidades Trimestrales'!E69</f>
        <v>VERDURAS Y HORTALIZAS; VARIEDAD: TOMATE PERITA, ESTADO: NATURAL, PRESENTACION: LATA, PESO: 380 GR</v>
      </c>
      <c r="D71" s="126"/>
      <c r="E71" s="126"/>
      <c r="F71" s="126"/>
      <c r="G71" s="126"/>
      <c r="H71" s="47" t="s">
        <v>167</v>
      </c>
      <c r="I71" s="49" t="str">
        <f>'Necesidades Trimestrales'!F69</f>
        <v>UNIDAD</v>
      </c>
      <c r="J71" s="50">
        <f>'Necesidades Trimestrales'!H69</f>
        <v>88.25</v>
      </c>
      <c r="K71" s="51">
        <f>'Necesidades Trimestrales'!G69</f>
        <v>300</v>
      </c>
    </row>
    <row r="72" spans="1:1024" ht="32.450000000000003" customHeight="1" thickBot="1" x14ac:dyDescent="0.25">
      <c r="A72" s="45">
        <v>61</v>
      </c>
      <c r="B72" s="46" t="str">
        <f>'Necesidades Trimestrales'!B70</f>
        <v>2.1.1-6546.81</v>
      </c>
      <c r="C72" s="126" t="str">
        <f>'Necesidades Trimestrales'!E70</f>
        <v>VERDURAS Y HORTALIZAS; VARIEDAD: TOMATE, ESTADO: PURE NATURAL, PRESENTACION: CAJA, PESO: 500 GR</v>
      </c>
      <c r="D72" s="126"/>
      <c r="E72" s="126"/>
      <c r="F72" s="126"/>
      <c r="G72" s="126"/>
      <c r="H72" s="47" t="s">
        <v>167</v>
      </c>
      <c r="I72" s="49" t="str">
        <f>'Necesidades Trimestrales'!F70</f>
        <v>UNIDAD</v>
      </c>
      <c r="J72" s="50">
        <f>'Necesidades Trimestrales'!H70</f>
        <v>77</v>
      </c>
      <c r="K72" s="51">
        <f>'Necesidades Trimestrales'!G70</f>
        <v>300</v>
      </c>
    </row>
    <row r="73" spans="1:1024" ht="32.450000000000003" customHeight="1" thickBot="1" x14ac:dyDescent="0.25">
      <c r="A73" s="45">
        <v>62</v>
      </c>
      <c r="B73" s="46" t="str">
        <f>'Necesidades Trimestrales'!B71</f>
        <v>2.1.1-519.23</v>
      </c>
      <c r="C73" s="126" t="str">
        <f>'Necesidades Trimestrales'!E71</f>
        <v>VINAGRES; TIPO: MANZANA, PRESENTACION: ENVASE X 1 L, MATERIAL ENVASE: PLASTICO 1 (PET)</v>
      </c>
      <c r="D73" s="126"/>
      <c r="E73" s="126"/>
      <c r="F73" s="126"/>
      <c r="G73" s="126"/>
      <c r="H73" s="47" t="s">
        <v>167</v>
      </c>
      <c r="I73" s="49" t="str">
        <f>'Necesidades Trimestrales'!F71</f>
        <v>UNIDAD</v>
      </c>
      <c r="J73" s="50">
        <f>'Necesidades Trimestrales'!H71</f>
        <v>245</v>
      </c>
      <c r="K73" s="51">
        <f>'Necesidades Trimestrales'!G71</f>
        <v>30</v>
      </c>
    </row>
    <row r="74" spans="1:1024" ht="32.450000000000003" customHeight="1" thickBot="1" x14ac:dyDescent="0.25">
      <c r="A74" s="45">
        <v>63</v>
      </c>
      <c r="B74" s="46" t="str">
        <f>'Necesidades Trimestrales'!B72</f>
        <v>2.1.1-519.27</v>
      </c>
      <c r="C74" s="126" t="str">
        <f>'Necesidades Trimestrales'!E72</f>
        <v>VINAGRES; TIPO: VINO, PRESENTACION: ENVASE X 1 L, MATERIAL ENVASE: PLASTICO 1 (PET), LIBRE DE GLUTEN: NO</v>
      </c>
      <c r="D74" s="126"/>
      <c r="E74" s="126"/>
      <c r="F74" s="126"/>
      <c r="G74" s="126"/>
      <c r="H74" s="47" t="s">
        <v>167</v>
      </c>
      <c r="I74" s="49" t="str">
        <f>'Necesidades Trimestrales'!F72</f>
        <v>UNIDAD</v>
      </c>
      <c r="J74" s="50">
        <f>'Necesidades Trimestrales'!H72</f>
        <v>161</v>
      </c>
      <c r="K74" s="51">
        <f>'Necesidades Trimestrales'!G72</f>
        <v>30</v>
      </c>
    </row>
    <row r="75" spans="1:1024" ht="32.450000000000003" customHeight="1" thickBot="1" x14ac:dyDescent="0.25">
      <c r="A75" s="45">
        <v>64</v>
      </c>
      <c r="B75" s="46" t="str">
        <f>'Necesidades Trimestrales'!B73</f>
        <v>2.1.1-454.25</v>
      </c>
      <c r="C75" s="126" t="str">
        <f>'Necesidades Trimestrales'!E73</f>
        <v>YERBAS; PALO: CON, PESO: 1 Kg, MATERIAL ENVASE : PAPEL, CERTIFICADO FORESTAL (GFS): CON, ELEM. TRANSPORTE: SIN, MATERIAL ELEM. TRANSPORTE: SIN, LIBRE DE GLUTEN: SI</v>
      </c>
      <c r="D75" s="126"/>
      <c r="E75" s="126"/>
      <c r="F75" s="126"/>
      <c r="G75" s="126"/>
      <c r="H75" s="47" t="s">
        <v>167</v>
      </c>
      <c r="I75" s="49" t="str">
        <f>'Necesidades Trimestrales'!F73</f>
        <v>UNIDAD</v>
      </c>
      <c r="J75" s="50">
        <f>'Necesidades Trimestrales'!H73</f>
        <v>450</v>
      </c>
      <c r="K75" s="51">
        <f>'Necesidades Trimestrales'!G73</f>
        <v>10</v>
      </c>
    </row>
    <row r="76" spans="1:1024" ht="27" customHeight="1" thickBot="1" x14ac:dyDescent="0.25">
      <c r="A76" s="127" t="s">
        <v>216</v>
      </c>
      <c r="B76" s="128"/>
      <c r="C76" s="128"/>
      <c r="D76" s="128"/>
      <c r="E76" s="128"/>
      <c r="F76" s="128"/>
      <c r="G76" s="128"/>
      <c r="H76" s="128"/>
      <c r="I76" s="129"/>
      <c r="J76" s="130">
        <f>SUMPRODUCT(J12:J75,K12:K75)</f>
        <v>2448489.21</v>
      </c>
      <c r="K76" s="130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</row>
  </sheetData>
  <mergeCells count="86">
    <mergeCell ref="A1:I1"/>
    <mergeCell ref="A3:C3"/>
    <mergeCell ref="D3:K3"/>
    <mergeCell ref="A4:C4"/>
    <mergeCell ref="D4:K4"/>
    <mergeCell ref="A5:C5"/>
    <mergeCell ref="D5:K5"/>
    <mergeCell ref="A6:C6"/>
    <mergeCell ref="D6:K6"/>
    <mergeCell ref="A7:C7"/>
    <mergeCell ref="D7:K7"/>
    <mergeCell ref="A8:C8"/>
    <mergeCell ref="D8:K8"/>
    <mergeCell ref="C12:G12"/>
    <mergeCell ref="C13:G13"/>
    <mergeCell ref="C14:G14"/>
    <mergeCell ref="A10:A11"/>
    <mergeCell ref="B10:B11"/>
    <mergeCell ref="H10:H11"/>
    <mergeCell ref="I10:I11"/>
    <mergeCell ref="J10:J11"/>
    <mergeCell ref="K10:K11"/>
    <mergeCell ref="C10:G11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C24:G24"/>
    <mergeCell ref="C25:G25"/>
    <mergeCell ref="C26:G26"/>
    <mergeCell ref="C27:G27"/>
    <mergeCell ref="C28:G28"/>
    <mergeCell ref="C29:G29"/>
    <mergeCell ref="C30:G30"/>
    <mergeCell ref="C31:G31"/>
    <mergeCell ref="C32:G32"/>
    <mergeCell ref="C33:G33"/>
    <mergeCell ref="C34:G34"/>
    <mergeCell ref="C35:G35"/>
    <mergeCell ref="C36:G36"/>
    <mergeCell ref="C37:G37"/>
    <mergeCell ref="C38:G38"/>
    <mergeCell ref="C39:G39"/>
    <mergeCell ref="C40:G40"/>
    <mergeCell ref="C41:G41"/>
    <mergeCell ref="C42:G42"/>
    <mergeCell ref="C43:G43"/>
    <mergeCell ref="C44:G44"/>
    <mergeCell ref="C45:G45"/>
    <mergeCell ref="C46:G46"/>
    <mergeCell ref="C47:G47"/>
    <mergeCell ref="C48:G48"/>
    <mergeCell ref="C49:G49"/>
    <mergeCell ref="C50:G50"/>
    <mergeCell ref="C51:G51"/>
    <mergeCell ref="C52:G52"/>
    <mergeCell ref="C53:G53"/>
    <mergeCell ref="C54:G54"/>
    <mergeCell ref="C55:G55"/>
    <mergeCell ref="C56:G56"/>
    <mergeCell ref="C57:G57"/>
    <mergeCell ref="C58:G58"/>
    <mergeCell ref="C59:G59"/>
    <mergeCell ref="C60:G60"/>
    <mergeCell ref="C61:G61"/>
    <mergeCell ref="C62:G62"/>
    <mergeCell ref="C63:G63"/>
    <mergeCell ref="C64:G64"/>
    <mergeCell ref="C75:G75"/>
    <mergeCell ref="A76:I76"/>
    <mergeCell ref="J76:K76"/>
    <mergeCell ref="C65:G65"/>
    <mergeCell ref="C66:G66"/>
    <mergeCell ref="C67:G67"/>
    <mergeCell ref="C68:G68"/>
    <mergeCell ref="C69:G69"/>
    <mergeCell ref="C70:G70"/>
    <mergeCell ref="C71:G71"/>
    <mergeCell ref="C72:G72"/>
    <mergeCell ref="C73:G73"/>
    <mergeCell ref="C74:G74"/>
  </mergeCells>
  <printOptions horizontalCentered="1"/>
  <pageMargins left="0.196850393700787" right="0.196850393700787" top="0.98425196850393704" bottom="0.98425196850393704" header="0.511811023622047" footer="0.511811023622047"/>
  <pageSetup paperSize="5" scale="90" firstPageNumber="0" orientation="landscape" useFirstPageNumber="1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5"/>
  <sheetViews>
    <sheetView zoomScale="130" zoomScaleNormal="130" workbookViewId="0">
      <selection activeCell="O16" sqref="O16:P16"/>
    </sheetView>
  </sheetViews>
  <sheetFormatPr baseColWidth="10" defaultColWidth="11" defaultRowHeight="12.75" x14ac:dyDescent="0.2"/>
  <cols>
    <col min="1" max="4" width="4.42578125" customWidth="1"/>
    <col min="5" max="5" width="4.140625" customWidth="1"/>
    <col min="6" max="6" width="5.140625" customWidth="1"/>
    <col min="7" max="7" width="4.42578125" style="2" customWidth="1"/>
    <col min="8" max="14" width="4.42578125" customWidth="1"/>
    <col min="15" max="16" width="14.85546875" customWidth="1"/>
    <col min="17" max="17" width="14.7109375" customWidth="1"/>
    <col min="19" max="19" width="13.28515625" customWidth="1"/>
  </cols>
  <sheetData>
    <row r="1" spans="1:17" ht="15.75" customHeight="1" x14ac:dyDescent="0.25">
      <c r="A1" s="163" t="s">
        <v>5</v>
      </c>
      <c r="B1" s="163"/>
      <c r="C1" s="163"/>
      <c r="D1" s="164">
        <f>'Necesidades Trimestrales'!C6</f>
        <v>2022</v>
      </c>
      <c r="E1" s="164"/>
      <c r="F1" s="3"/>
      <c r="G1" s="3"/>
      <c r="H1" s="4"/>
      <c r="I1" s="4"/>
      <c r="J1" s="4"/>
      <c r="K1" s="4"/>
      <c r="L1" s="4"/>
      <c r="M1" s="4"/>
      <c r="N1" s="4"/>
      <c r="P1" s="166" t="s">
        <v>168</v>
      </c>
      <c r="Q1" s="166"/>
    </row>
    <row r="2" spans="1:17" ht="15.75" customHeight="1" x14ac:dyDescent="0.2">
      <c r="H2" s="4"/>
      <c r="I2" s="4"/>
      <c r="J2" s="4"/>
      <c r="K2" s="4"/>
      <c r="L2" s="4"/>
      <c r="M2" s="4"/>
      <c r="N2" s="4"/>
      <c r="P2" s="166"/>
      <c r="Q2" s="166"/>
    </row>
    <row r="4" spans="1:17" s="1" customFormat="1" ht="18" customHeight="1" x14ac:dyDescent="0.2">
      <c r="A4" s="165" t="s">
        <v>169</v>
      </c>
      <c r="B4" s="165"/>
      <c r="C4" s="165"/>
      <c r="D4" s="165"/>
      <c r="E4" s="165"/>
      <c r="F4" s="165"/>
      <c r="G4" s="161" t="str">
        <f>NotaPedido!D3</f>
        <v>40 - Ministerio de Salud</v>
      </c>
      <c r="H4" s="161"/>
      <c r="I4" s="161"/>
      <c r="J4" s="161"/>
      <c r="K4" s="161"/>
      <c r="L4" s="161"/>
      <c r="M4" s="161"/>
      <c r="N4" s="161"/>
      <c r="O4" s="161"/>
      <c r="P4" s="161"/>
      <c r="Q4" s="161"/>
    </row>
    <row r="5" spans="1:17" s="1" customFormat="1" ht="18" customHeight="1" x14ac:dyDescent="0.2">
      <c r="A5" s="158" t="s">
        <v>152</v>
      </c>
      <c r="B5" s="159"/>
      <c r="C5" s="159"/>
      <c r="D5" s="159"/>
      <c r="E5" s="159"/>
      <c r="F5" s="160"/>
      <c r="G5" s="161" t="str">
        <f>NotaPedido!D4</f>
        <v>23 - Hospital Interzonal San Juan Bautista</v>
      </c>
      <c r="H5" s="161"/>
      <c r="I5" s="161"/>
      <c r="J5" s="161"/>
      <c r="K5" s="161"/>
      <c r="L5" s="161"/>
      <c r="M5" s="161"/>
      <c r="N5" s="161"/>
      <c r="O5" s="161"/>
      <c r="P5" s="161"/>
      <c r="Q5" s="161"/>
    </row>
    <row r="6" spans="1:17" s="1" customFormat="1" ht="18" customHeight="1" x14ac:dyDescent="0.2">
      <c r="A6" s="158" t="s">
        <v>153</v>
      </c>
      <c r="B6" s="159"/>
      <c r="C6" s="159"/>
      <c r="D6" s="159"/>
      <c r="E6" s="159"/>
      <c r="F6" s="160"/>
      <c r="G6" s="161" t="str">
        <f>NotaPedido!D5</f>
        <v>168 - Direccion Asistencial</v>
      </c>
      <c r="H6" s="161"/>
      <c r="I6" s="161"/>
      <c r="J6" s="161"/>
      <c r="K6" s="161"/>
      <c r="L6" s="161"/>
      <c r="M6" s="161"/>
      <c r="N6" s="161"/>
      <c r="O6" s="161"/>
      <c r="P6" s="161"/>
      <c r="Q6" s="161"/>
    </row>
    <row r="7" spans="1:17" s="1" customFormat="1" ht="18" customHeight="1" x14ac:dyDescent="0.2">
      <c r="A7" s="158" t="s">
        <v>155</v>
      </c>
      <c r="B7" s="159"/>
      <c r="C7" s="159"/>
      <c r="D7" s="159"/>
      <c r="E7" s="159"/>
      <c r="F7" s="160"/>
      <c r="G7" s="161" t="str">
        <f>NotaPedido!D6</f>
        <v>Servicio de Nutricion</v>
      </c>
      <c r="H7" s="161"/>
      <c r="I7" s="161"/>
      <c r="J7" s="161"/>
      <c r="K7" s="161"/>
      <c r="L7" s="161"/>
      <c r="M7" s="161"/>
      <c r="N7" s="161"/>
      <c r="O7" s="161"/>
      <c r="P7" s="161"/>
      <c r="Q7" s="161"/>
    </row>
    <row r="8" spans="1:17" ht="18" customHeight="1" x14ac:dyDescent="0.2">
      <c r="A8" s="162" t="s">
        <v>170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2"/>
      <c r="P8" s="162"/>
      <c r="Q8" s="162"/>
    </row>
    <row r="9" spans="1:17" ht="18" customHeight="1" x14ac:dyDescent="0.2">
      <c r="A9" s="151" t="s">
        <v>171</v>
      </c>
      <c r="B9" s="151"/>
      <c r="C9" s="151"/>
      <c r="D9" s="151"/>
      <c r="E9" s="151"/>
      <c r="F9" s="151"/>
      <c r="G9" s="151"/>
      <c r="H9" s="151"/>
      <c r="I9" s="151"/>
      <c r="J9" s="151"/>
      <c r="K9" s="151"/>
      <c r="L9" s="151"/>
      <c r="M9" s="151"/>
      <c r="N9" s="151"/>
      <c r="O9" s="23"/>
      <c r="P9" s="23"/>
      <c r="Q9" s="33"/>
    </row>
    <row r="10" spans="1:17" ht="54.75" customHeight="1" x14ac:dyDescent="0.2">
      <c r="A10" s="152" t="str">
        <f>"Autorizo la realización de los  trámites correspondientes, a fin de proveer a  este Organismo los bienes y/o servicios que se detallan en Nota de Pedido N° "&amp;NotaPedido!K1&amp;",  afectando la erogación resultante a los créditos presupuestarios aprobados a favor de esta Unidad Ejecutora, conforme al siguiente detalle:"</f>
        <v>Autorizo la realización de los  trámites correspondientes, a fin de proveer a  este Organismo los bienes y/o servicios que se detallan en Nota de Pedido N° DOCFI-2022-01256692-CAT-DASIS#HSJB,  afectando la erogación resultante a los créditos presupuestarios aprobados a favor de esta Unidad Ejecutora, conforme al siguiente detalle: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  <c r="N10" s="152"/>
      <c r="O10" s="152"/>
      <c r="P10" s="152"/>
      <c r="Q10" s="152"/>
    </row>
    <row r="11" spans="1:17" ht="9" customHeight="1" x14ac:dyDescent="0.2">
      <c r="A11" s="5"/>
      <c r="B11" s="6"/>
      <c r="C11" s="6"/>
      <c r="D11" s="6"/>
      <c r="E11" s="6"/>
      <c r="F11" s="6"/>
      <c r="G11" s="7"/>
      <c r="H11" s="6"/>
      <c r="I11" s="6"/>
      <c r="J11" s="6"/>
      <c r="K11" s="6"/>
      <c r="L11" s="6"/>
      <c r="M11" s="6"/>
      <c r="N11" s="6"/>
      <c r="O11" s="6"/>
      <c r="P11" s="6"/>
      <c r="Q11" s="34"/>
    </row>
    <row r="12" spans="1:17" ht="15.75" customHeight="1" x14ac:dyDescent="0.2">
      <c r="A12" s="153" t="s">
        <v>172</v>
      </c>
      <c r="B12" s="153"/>
      <c r="C12" s="153"/>
      <c r="D12" s="153"/>
      <c r="E12" s="153"/>
      <c r="F12" s="153"/>
      <c r="G12" s="153"/>
      <c r="H12" s="153"/>
      <c r="I12" s="153"/>
      <c r="J12" s="153"/>
      <c r="K12" s="153"/>
      <c r="L12" s="153"/>
      <c r="M12" s="153"/>
      <c r="N12" s="153"/>
      <c r="O12" s="153"/>
      <c r="P12" s="153"/>
      <c r="Q12" s="153"/>
    </row>
    <row r="13" spans="1:17" ht="15.75" customHeight="1" x14ac:dyDescent="0.2">
      <c r="A13" s="154" t="s">
        <v>173</v>
      </c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7" t="s">
        <v>174</v>
      </c>
      <c r="P13" s="157"/>
      <c r="Q13" s="156" t="s">
        <v>175</v>
      </c>
    </row>
    <row r="14" spans="1:17" ht="15.75" customHeight="1" x14ac:dyDescent="0.2">
      <c r="A14" s="8" t="s">
        <v>176</v>
      </c>
      <c r="B14" s="9" t="s">
        <v>177</v>
      </c>
      <c r="C14" s="9" t="s">
        <v>178</v>
      </c>
      <c r="D14" s="9" t="s">
        <v>179</v>
      </c>
      <c r="E14" s="9" t="s">
        <v>180</v>
      </c>
      <c r="F14" s="9" t="s">
        <v>181</v>
      </c>
      <c r="G14" s="10" t="s">
        <v>182</v>
      </c>
      <c r="H14" s="9" t="s">
        <v>183</v>
      </c>
      <c r="I14" s="9" t="s">
        <v>184</v>
      </c>
      <c r="J14" s="9" t="s">
        <v>185</v>
      </c>
      <c r="K14" s="9" t="s">
        <v>185</v>
      </c>
      <c r="L14" s="9" t="s">
        <v>186</v>
      </c>
      <c r="M14" s="24" t="s">
        <v>187</v>
      </c>
      <c r="N14" s="25" t="s">
        <v>188</v>
      </c>
      <c r="O14" s="157"/>
      <c r="P14" s="157"/>
      <c r="Q14" s="156"/>
    </row>
    <row r="15" spans="1:17" ht="17.25" customHeight="1" x14ac:dyDescent="0.2">
      <c r="A15" s="11">
        <v>33</v>
      </c>
      <c r="B15" s="12"/>
      <c r="C15" s="12"/>
      <c r="D15" s="12">
        <v>2</v>
      </c>
      <c r="E15" s="12"/>
      <c r="F15" s="12">
        <v>4901</v>
      </c>
      <c r="G15" s="12">
        <v>3</v>
      </c>
      <c r="H15" s="13" t="s">
        <v>189</v>
      </c>
      <c r="I15" s="26">
        <v>2</v>
      </c>
      <c r="J15" s="26">
        <v>1</v>
      </c>
      <c r="K15" s="26">
        <v>1</v>
      </c>
      <c r="L15" s="12"/>
      <c r="M15" s="27">
        <v>1</v>
      </c>
      <c r="N15" s="13" t="s">
        <v>190</v>
      </c>
      <c r="O15" s="155" t="s">
        <v>191</v>
      </c>
      <c r="P15" s="155"/>
      <c r="Q15" s="35">
        <v>2448489.21</v>
      </c>
    </row>
    <row r="16" spans="1:17" ht="17.25" customHeight="1" x14ac:dyDescent="0.2">
      <c r="A16" s="14"/>
      <c r="B16" s="15"/>
      <c r="C16" s="15"/>
      <c r="D16" s="15"/>
      <c r="E16" s="15"/>
      <c r="F16" s="15"/>
      <c r="G16" s="15"/>
      <c r="H16" s="16"/>
      <c r="I16" s="15"/>
      <c r="J16" s="15"/>
      <c r="K16" s="15"/>
      <c r="L16" s="15"/>
      <c r="M16" s="28"/>
      <c r="N16" s="29"/>
      <c r="O16" s="149"/>
      <c r="P16" s="149"/>
      <c r="Q16" s="36"/>
    </row>
    <row r="17" spans="1:19" ht="17.25" customHeight="1" x14ac:dyDescent="0.2">
      <c r="A17" s="14"/>
      <c r="B17" s="15"/>
      <c r="C17" s="15"/>
      <c r="D17" s="15"/>
      <c r="E17" s="15"/>
      <c r="F17" s="17"/>
      <c r="G17" s="15"/>
      <c r="H17" s="16"/>
      <c r="I17" s="15"/>
      <c r="J17" s="15"/>
      <c r="K17" s="15"/>
      <c r="L17" s="15"/>
      <c r="M17" s="28"/>
      <c r="N17" s="29"/>
      <c r="O17" s="149"/>
      <c r="P17" s="149"/>
      <c r="Q17" s="36"/>
      <c r="S17" s="37"/>
    </row>
    <row r="18" spans="1:19" ht="17.25" customHeight="1" x14ac:dyDescent="0.2">
      <c r="A18" s="14"/>
      <c r="B18" s="15"/>
      <c r="C18" s="15"/>
      <c r="D18" s="15"/>
      <c r="E18" s="15"/>
      <c r="F18" s="17"/>
      <c r="G18" s="15"/>
      <c r="H18" s="15"/>
      <c r="I18" s="15"/>
      <c r="J18" s="15"/>
      <c r="K18" s="15"/>
      <c r="L18" s="15"/>
      <c r="M18" s="28"/>
      <c r="N18" s="17"/>
      <c r="O18" s="150"/>
      <c r="P18" s="150"/>
      <c r="Q18" s="36"/>
    </row>
    <row r="19" spans="1:19" ht="17.25" customHeight="1" x14ac:dyDescent="0.2">
      <c r="A19" s="18"/>
      <c r="B19" s="19"/>
      <c r="C19" s="19"/>
      <c r="D19" s="19"/>
      <c r="E19" s="19"/>
      <c r="F19" s="20"/>
      <c r="G19" s="19"/>
      <c r="H19" s="19"/>
      <c r="I19" s="19"/>
      <c r="J19" s="19"/>
      <c r="K19" s="19"/>
      <c r="L19" s="19"/>
      <c r="M19" s="30"/>
      <c r="N19" s="31"/>
      <c r="O19" s="141"/>
      <c r="P19" s="141"/>
      <c r="Q19" s="36"/>
      <c r="R19" s="23"/>
    </row>
    <row r="20" spans="1:19" ht="17.25" customHeight="1" x14ac:dyDescent="0.2">
      <c r="A20" s="21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32"/>
      <c r="N20" s="22"/>
      <c r="O20" s="142"/>
      <c r="P20" s="142"/>
      <c r="Q20" s="38"/>
    </row>
    <row r="21" spans="1:19" ht="33" customHeight="1" x14ac:dyDescent="0.2">
      <c r="A21" s="143" t="s">
        <v>217</v>
      </c>
      <c r="B21" s="143"/>
      <c r="C21" s="143"/>
      <c r="D21" s="143"/>
      <c r="E21" s="143"/>
      <c r="F21" s="143"/>
      <c r="G21" s="143"/>
      <c r="H21" s="143"/>
      <c r="I21" s="143"/>
      <c r="J21" s="143"/>
      <c r="K21" s="143"/>
      <c r="L21" s="143"/>
      <c r="M21" s="143"/>
      <c r="N21" s="143"/>
      <c r="O21" s="143"/>
      <c r="P21" s="143"/>
      <c r="Q21" s="39">
        <f>SUM(Q15:Q20)</f>
        <v>2448489.21</v>
      </c>
    </row>
    <row r="22" spans="1:19" ht="18" customHeight="1" x14ac:dyDescent="0.2">
      <c r="A22" s="144"/>
      <c r="B22" s="144"/>
      <c r="C22" s="144"/>
      <c r="D22" s="144"/>
      <c r="E22" s="144"/>
      <c r="F22" s="144"/>
      <c r="G22" s="144"/>
      <c r="H22" s="144"/>
      <c r="I22" s="144"/>
      <c r="J22" s="144"/>
      <c r="K22" s="144"/>
      <c r="L22" s="144"/>
      <c r="M22" s="144"/>
      <c r="N22" s="144"/>
      <c r="O22" s="144"/>
      <c r="P22" s="144"/>
      <c r="Q22" s="144"/>
    </row>
    <row r="23" spans="1:19" ht="17.25" customHeight="1" x14ac:dyDescent="0.2">
      <c r="A23" s="145" t="s">
        <v>192</v>
      </c>
      <c r="B23" s="146"/>
      <c r="C23" s="146"/>
      <c r="D23" s="146"/>
      <c r="E23" s="146"/>
      <c r="F23" s="147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8"/>
    </row>
    <row r="24" spans="1:19" ht="18" customHeight="1" x14ac:dyDescent="0.2">
      <c r="A24" s="140" t="str">
        <f>"Para la "&amp;NotaPedido!D8&amp;" para ser destinados al "&amp;NotaPedido!D6&amp;"  del HISJB del Ministerio de Salud."</f>
        <v>Para la Adquisición de Alimentos no perecederos para ser destinados al Servicio de Nutricion  del HISJB del Ministerio de Salud.</v>
      </c>
      <c r="B24" s="140"/>
      <c r="C24" s="140"/>
      <c r="D24" s="140"/>
      <c r="E24" s="140"/>
      <c r="F24" s="140"/>
      <c r="G24" s="140"/>
      <c r="H24" s="140"/>
      <c r="I24" s="140"/>
      <c r="J24" s="140"/>
      <c r="K24" s="140"/>
      <c r="L24" s="140"/>
      <c r="M24" s="140"/>
      <c r="N24" s="140"/>
      <c r="O24" s="140"/>
      <c r="P24" s="140"/>
      <c r="Q24" s="140"/>
    </row>
    <row r="25" spans="1:19" ht="15" customHeight="1" x14ac:dyDescent="0.2">
      <c r="A25" s="140"/>
      <c r="B25" s="140"/>
      <c r="C25" s="140"/>
      <c r="D25" s="140"/>
      <c r="E25" s="140"/>
      <c r="F25" s="140"/>
      <c r="G25" s="140"/>
      <c r="H25" s="140"/>
      <c r="I25" s="140"/>
      <c r="J25" s="140"/>
      <c r="K25" s="140"/>
      <c r="L25" s="140"/>
      <c r="M25" s="140"/>
      <c r="N25" s="140"/>
      <c r="O25" s="140"/>
      <c r="P25" s="140"/>
      <c r="Q25" s="140"/>
    </row>
  </sheetData>
  <mergeCells count="29">
    <mergeCell ref="A1:C1"/>
    <mergeCell ref="D1:E1"/>
    <mergeCell ref="A4:F4"/>
    <mergeCell ref="G4:Q4"/>
    <mergeCell ref="A5:F5"/>
    <mergeCell ref="G5:Q5"/>
    <mergeCell ref="P1:Q2"/>
    <mergeCell ref="A6:F6"/>
    <mergeCell ref="G6:Q6"/>
    <mergeCell ref="A7:F7"/>
    <mergeCell ref="G7:Q7"/>
    <mergeCell ref="A8:Q8"/>
    <mergeCell ref="O16:P16"/>
    <mergeCell ref="O17:P17"/>
    <mergeCell ref="O18:P18"/>
    <mergeCell ref="A9:N9"/>
    <mergeCell ref="A10:Q10"/>
    <mergeCell ref="A12:Q12"/>
    <mergeCell ref="A13:N13"/>
    <mergeCell ref="O15:P15"/>
    <mergeCell ref="Q13:Q14"/>
    <mergeCell ref="O13:P14"/>
    <mergeCell ref="A24:Q25"/>
    <mergeCell ref="O19:P19"/>
    <mergeCell ref="O20:P20"/>
    <mergeCell ref="A21:P21"/>
    <mergeCell ref="A22:Q22"/>
    <mergeCell ref="A23:F23"/>
    <mergeCell ref="G23:Q23"/>
  </mergeCells>
  <printOptions horizontalCentered="1"/>
  <pageMargins left="0.39374999999999999" right="0.39374999999999999" top="0.98402777777777795" bottom="0.98402777777777795" header="0.51180555555555496" footer="0.51180555555555496"/>
  <pageSetup paperSize="9" scale="90" firstPageNumber="0" orientation="portrait" useFirstPageNumber="1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NotaPedido</vt:lpstr>
      <vt:lpstr>Autor Gastar</vt:lpstr>
      <vt:lpstr>'Autor Gastar'!Área_de_impresión</vt:lpstr>
      <vt:lpstr>'Necesidades Trimestrales'!Área_de_impresión</vt:lpstr>
      <vt:lpstr>NotaPedido!Área_de_impresión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llicta6</dc:creator>
  <cp:lastModifiedBy>LICITACION23</cp:lastModifiedBy>
  <cp:revision>2</cp:revision>
  <cp:lastPrinted>2022-06-23T16:31:17Z</cp:lastPrinted>
  <dcterms:created xsi:type="dcterms:W3CDTF">2020-07-17T23:44:00Z</dcterms:created>
  <dcterms:modified xsi:type="dcterms:W3CDTF">2022-07-14T16:40:08Z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  <property fmtid="{D5CDD505-2E9C-101B-9397-08002B2CF9AE}" pid="8" name="ICV">
    <vt:lpwstr>7F7E96C778DD46138C1E51C59CB5D597</vt:lpwstr>
  </property>
  <property fmtid="{D5CDD505-2E9C-101B-9397-08002B2CF9AE}" pid="9" name="KSOProductBuildVer">
    <vt:lpwstr>1033-11.2.0.11130</vt:lpwstr>
  </property>
</Properties>
</file>