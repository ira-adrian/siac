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\Desktop\"/>
    </mc:Choice>
  </mc:AlternateContent>
  <xr:revisionPtr revIDLastSave="0" documentId="13_ncr:1_{4C2711FC-00EC-427A-992D-39C0D92541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7" i="1"/>
  <c r="I140" i="1" l="1"/>
</calcChain>
</file>

<file path=xl/sharedStrings.xml><?xml version="1.0" encoding="utf-8"?>
<sst xmlns="http://schemas.openxmlformats.org/spreadsheetml/2006/main" count="545" uniqueCount="290">
  <si>
    <t>2.9.5-441.470</t>
  </si>
  <si>
    <t>2.9.5-441.471</t>
  </si>
  <si>
    <t>2.9.5-441.92</t>
  </si>
  <si>
    <t>2.9.5-441.356</t>
  </si>
  <si>
    <t>2.9.5-441.51</t>
  </si>
  <si>
    <t>2.9.5-441.245</t>
  </si>
  <si>
    <t>2.9.5-470.13</t>
  </si>
  <si>
    <t>2.9.5-446.1</t>
  </si>
  <si>
    <t xml:space="preserve">2.9.5-428.21 </t>
  </si>
  <si>
    <t>2.9.5-428.36</t>
  </si>
  <si>
    <t>2.9.5-8239.1</t>
  </si>
  <si>
    <t>2.9.5-8050.1</t>
  </si>
  <si>
    <t>2.2.2-915.15</t>
  </si>
  <si>
    <t>2.9.5-2505.24</t>
  </si>
  <si>
    <t>2.9.5-9998.1</t>
  </si>
  <si>
    <t>2.9.5-2160.10</t>
  </si>
  <si>
    <t>2.9.5-2225.87</t>
  </si>
  <si>
    <t>2.9.5-448.46</t>
  </si>
  <si>
    <t xml:space="preserve">2.9.5-5723.1 </t>
  </si>
  <si>
    <t>2.9.5-3255.10</t>
  </si>
  <si>
    <t>2.9.5-3255.12</t>
  </si>
  <si>
    <t>2.9.5-3255.11</t>
  </si>
  <si>
    <t>2.5.2-3584.1</t>
  </si>
  <si>
    <t>2.5.2-3584.3</t>
  </si>
  <si>
    <t>2.9.5-1909.224</t>
  </si>
  <si>
    <t>2.9.5-1909.135</t>
  </si>
  <si>
    <t>2.9.5-1909.203</t>
  </si>
  <si>
    <t>2.9.5-1909.184</t>
  </si>
  <si>
    <t>2.9.5-1909.202</t>
  </si>
  <si>
    <t>2.9.5-1909.78</t>
  </si>
  <si>
    <t>2.9.5-1909.79</t>
  </si>
  <si>
    <t>2.9.5-1909.195</t>
  </si>
  <si>
    <t>2.9.5-1909.172</t>
  </si>
  <si>
    <t>2.9.5-1909.174</t>
  </si>
  <si>
    <t>2.9.5-1909.173</t>
  </si>
  <si>
    <t>2.9.5-1909.169</t>
  </si>
  <si>
    <t>2.9.5-1909.168</t>
  </si>
  <si>
    <t>2.9.5-2366.2</t>
  </si>
  <si>
    <t>2.9.5-444.22</t>
  </si>
  <si>
    <t>2.9.5-444.24</t>
  </si>
  <si>
    <t>2.9.5-444.31</t>
  </si>
  <si>
    <t>2.9.5-444.32</t>
  </si>
  <si>
    <t>2.9.5-2157.121</t>
  </si>
  <si>
    <t>2.9.5-2157.60</t>
  </si>
  <si>
    <t>2.9.5-2157.120</t>
  </si>
  <si>
    <t>2.9.5-2157.67</t>
  </si>
  <si>
    <t>2.9.5-2157.86</t>
  </si>
  <si>
    <t>2.9.5-2157.154</t>
  </si>
  <si>
    <t>2.9.5-2157.99</t>
  </si>
  <si>
    <t>2.9.5-2157.140</t>
  </si>
  <si>
    <t>2.9.5-6535.3</t>
  </si>
  <si>
    <t>2.9.5-1909.96</t>
  </si>
  <si>
    <t>2.9.5-461.78</t>
  </si>
  <si>
    <t>2.9.5-461.80</t>
  </si>
  <si>
    <t>2.9.5-461.88</t>
  </si>
  <si>
    <t>2.9.9-2504.21</t>
  </si>
  <si>
    <t>2.9.9-2504.9</t>
  </si>
  <si>
    <t>2.9.9-2504.11</t>
  </si>
  <si>
    <t>2.9.9-2504.13</t>
  </si>
  <si>
    <t>2.9.9-2504.3</t>
  </si>
  <si>
    <t>2.9.9-2504.2</t>
  </si>
  <si>
    <t>2.9.5-2562.11</t>
  </si>
  <si>
    <t>2.9.5-2205.30</t>
  </si>
  <si>
    <t>2.9.5-2205.31</t>
  </si>
  <si>
    <t>2.9.5-2205.32</t>
  </si>
  <si>
    <t>2.9.5-7843.5</t>
  </si>
  <si>
    <t>2.9.5-2161.542</t>
  </si>
  <si>
    <t>2.9.5-2161.543</t>
  </si>
  <si>
    <t>2.9.5-2161.160</t>
  </si>
  <si>
    <t>2.9.5-2161.544</t>
  </si>
  <si>
    <t>2.9.5-2161.501</t>
  </si>
  <si>
    <t>2.9.5-2161.181</t>
  </si>
  <si>
    <t>2.9.5-2161.500</t>
  </si>
  <si>
    <t>2.9.5-2161.189</t>
  </si>
  <si>
    <t>2.9.5-2161.545</t>
  </si>
  <si>
    <t>2.9.5-931.49</t>
  </si>
  <si>
    <t>2.9.5-931.36</t>
  </si>
  <si>
    <t>2.9.5-931.47</t>
  </si>
  <si>
    <t>2.9.5-931.21</t>
  </si>
  <si>
    <t>2.9.5-931.48</t>
  </si>
  <si>
    <t>2.9.5-931.9</t>
  </si>
  <si>
    <t>2.9.5-3751.41</t>
  </si>
  <si>
    <t>2.9.9-7939.1</t>
  </si>
  <si>
    <t>2.9.9-7939.3</t>
  </si>
  <si>
    <t>2.9.9-7939.4</t>
  </si>
  <si>
    <t>2.9.5-6526.58</t>
  </si>
  <si>
    <t>2.9.5-6526.10</t>
  </si>
  <si>
    <t>2.9.5-2569.45</t>
  </si>
  <si>
    <t>2.9.5-2569.27</t>
  </si>
  <si>
    <t>2.9.5-2569.19</t>
  </si>
  <si>
    <t>2.9.5-2569.89</t>
  </si>
  <si>
    <t>2.9.5-2569.9</t>
  </si>
  <si>
    <t>2.9.5-2569.20</t>
  </si>
  <si>
    <t>2.9.5-2569.10</t>
  </si>
  <si>
    <t>2.9.5-2569.139</t>
  </si>
  <si>
    <t>2.9.5-2569.15</t>
  </si>
  <si>
    <t>2.9.5-2569.48</t>
  </si>
  <si>
    <t>2.9.5-2569.50</t>
  </si>
  <si>
    <t>2.9.5-2569.43</t>
  </si>
  <si>
    <t>2.9.5-2569.11</t>
  </si>
  <si>
    <t>2.9.5-2569.1</t>
  </si>
  <si>
    <t>2.9.5-2569.4</t>
  </si>
  <si>
    <t>2.9.5-2569.111</t>
  </si>
  <si>
    <t>2.9.5-2569.29</t>
  </si>
  <si>
    <t>2.9.5-2569.28</t>
  </si>
  <si>
    <t>2.9.5-2569.36</t>
  </si>
  <si>
    <t>2.9.5-2569.35</t>
  </si>
  <si>
    <t>2.9.5-2569.151</t>
  </si>
  <si>
    <t>2.9.5-2569.99</t>
  </si>
  <si>
    <t>2.9.5-461.94</t>
  </si>
  <si>
    <t>2.9.5-461.4</t>
  </si>
  <si>
    <t>2.9.5-461.102</t>
  </si>
  <si>
    <t>2.9.5-461.11</t>
  </si>
  <si>
    <t>2.9.5-461.29</t>
  </si>
  <si>
    <t>2.9.5-461.28</t>
  </si>
  <si>
    <t>2.9.5-461.27</t>
  </si>
  <si>
    <t>AGUJAS QUIRURGICAS; TIPO: TERUMO 21GX1", ESPECIFICACION: 25/8, UNIDAD VENTA: CAJA X 100, PRESENTACION: CAJA X 100</t>
  </si>
  <si>
    <t>AGUJAS QUIRURGICAS; TIPO: TERUMO 25GX5/8", ESPECIFICACION: 16/5, UNIDAD VENTA: CAJA X 100, PRESENTACION: CAJA X 100</t>
  </si>
  <si>
    <t>AGUJAS QUIRURGICAS; TIPO: DESCARTABLE, ESPECIFICACION: 25 X 0,8, UNIDAD VENTA: CAJA X 100, PRESENTACION: CAJA X 100</t>
  </si>
  <si>
    <t>AGUJAS QUIRURGICAS; TIPO: DESCARTABLE, ESPECIFICACION: 40/12, PRESENTACION: ENVASE X 100 UN</t>
  </si>
  <si>
    <t>AGUJAS QUIRURGICAS; TIPO: DESCARTABLE, UNIDAD VENTA: 100, ESPECIFICACION: 40/8, PRESENTACION: 100</t>
  </si>
  <si>
    <t>AGUJAS QUIRURGICAS; TIPO: ESTERIL, ESPECIFICACION: 50/8, UNIDAD VENTA: CAJA X 100 UN, PRESENTACION: CAJA X 100 UN</t>
  </si>
  <si>
    <t>ALGODONES; TIPO: HIDROFILADO, CAPACIDAD: 500 GR, PRESENTACION: ENVASE X 500 GR</t>
  </si>
  <si>
    <t>BAJALENGUAS DESCARTABLES; USO: ADULTOS, PAQUETES DE UNIDADES: X 100, PRESENTACION: X 100</t>
  </si>
  <si>
    <t>BARBIJOS; TIPO: 3 CAPAS</t>
  </si>
  <si>
    <t>BARBIJOS; TIPO: COPA N95 SIN VALVULA, MATERIAL: NO TEJIDO, CANTIDAD DE CAPAS: DOS, DESCARTABLE: SI, PRESENTACION: UNIDAD</t>
  </si>
  <si>
    <t>ELEMENTOS DESC. P/CIRUGIAS; TIPO: BOTA CAÑA ALTA CON TIRAS, CANTIDAD: 1, PRESENTACION: 1</t>
  </si>
  <si>
    <t>ELEMENTOS DESC. P/CIRUGIAS; TIPO: CEPILLO ESTERIL, CANTIDAD: UNIDAD, PRESENTACION: UNIDAD</t>
  </si>
  <si>
    <t>CHATAS; MATERIAL: PVC</t>
  </si>
  <si>
    <t>CLAMPS UMBILICALES; MATERIAL: PLASTICO, PRESENTACION: UNIDAD</t>
  </si>
  <si>
    <t>ROPA DESCARTABLE; ELEMENTO: COFIA, VARIEDAD: CON ELASTICO, ESPECIFICACION: CON ELASTICO</t>
  </si>
  <si>
    <t>BOLSAS COLECTORAS; TIPO: DE ORINA, USO: PEDIATRICO, CAPACIDAD: 100 CM3</t>
  </si>
  <si>
    <t>RECIPIENTE RECOLECTOR; TIPO: FRASCO, USO: P/ALIMENTACION ENTERAL, CAPACIDAD: 250 ML</t>
  </si>
  <si>
    <t>DESCARTADORES DE AGUJAS; BOCA: 2, CAPACIDAD: 2 L, MODELO: P/AGUJAS COLECTA MULTIPLE, MODELO EQUIPO: P/AGUJAS COLECTA MULTIPLE, SISTEMA DE CIERRE: P/AGUJAS COLECTA MULTIPLE</t>
  </si>
  <si>
    <t>DESCARTADORES DE AGUJAS; BOCA: 2, CAPACIDAD: 8 L, MODELO: P/AGUJAS COLECTA MULTIPLE, MODELO EQUIPO: P/AGUJAS COLECTA MULTIPLE, SISTEMA DE CIERRE: P/AGUJAS COLECTA MULTIPLE</t>
  </si>
  <si>
    <t>ELECTRODOS P/MEDICINA; TIPO: ECG, USO: MONITORIZACION, PIN: SIN, AGUJA: SIN, DESCARTABLE: SI</t>
  </si>
  <si>
    <t>FRASCOS ESTERILES; CAPACIDAD: 125 mL, PRESENTACION: UNIDAD, GRABADO: SIN, USO: UROCULTIVO</t>
  </si>
  <si>
    <t>ESPECULOS DESCARTABLES; TIPO: VAGINAL PEQUEÑO, PRESENTACION: UNIDAD, MATERIAL: PLASTICO</t>
  </si>
  <si>
    <t>ESPECULOS DESCARTABLES; TIPO: VAGINAL GRANDE, PRESENTACION: UNIDAD, MATERIAL: PLASTICO</t>
  </si>
  <si>
    <t>ESPECULOS DESCARTABLES; TIPO: VAGINAL MEDIO, PRESENTACION: UNIDAD, MATERIAL: PLASTICO</t>
  </si>
  <si>
    <t>GEL P/ECOGRAFIA; PRESENTACION: ENVASE X 1 Kg</t>
  </si>
  <si>
    <t>GEL P/ECOGRAFIA; PRESENTACION: ENVASE X 5 Kg</t>
  </si>
  <si>
    <t>GUANTES USO MEDICINAL; TIPO: ESTERIL, TAMAÑO: 7 1/2 CAÑA LARGA, MATERIAL: NITRILO, PRESENTACION: ENVASE X 50 PAR, ESTERIL: SI, TALCO: SIN, DESCARTABLE: SI</t>
  </si>
  <si>
    <t>GUANTES USO MEDICINAL; TIPO: ESTERIL, TAMAÑO: 6 1/2 CAÑA LARGA, MATERIAL: LATEX, PRESENTACION: PAR, ESTERIL: SI, TALCO: SIN, DESCARTABLE: SI</t>
  </si>
  <si>
    <t>GUANTES USO MEDICINAL; TIPO: ESTERIL, TAMAÑO: 7 CAÑA LARGA, MATERIAL: LATEX, PRESENTACION: PAR, ESTERIL: SI, TALCO: SIN, DESCARTABLE: SI</t>
  </si>
  <si>
    <t>GUANTES USO MEDICINAL; TIPO: ESTERIL, TAMAÑO: 7 1/2 CAÑA LARGA, MATERIAL: LATEX, PRESENTACION: PAR, ESTERIL: SI, TALCO: SIN, DESCARTABLE: SI</t>
  </si>
  <si>
    <t>GUANTES USO MEDICINAL; TIPO: ESTERIL, TAMAÑO: 8 CAÑA LARGA, MATERIAL: LATEX, PRESENTACION: PAR, ESTERIL: SI, TALCO: SIN, DESCARTABLE: SI</t>
  </si>
  <si>
    <t>GUANTES USO MEDICINAL; TIPO: ESTERIL, TAMAÑO: 8 1/2 CAÑA LARGA, MATERIAL: LATEX, PRESENTACION: PAR, ESTERIL: SI, TALCO: SIN, DESCARTABLE: SI</t>
  </si>
  <si>
    <t>GUANTES USO MEDICINAL; TIPO: EXAMINACION , TAMAÑO: GRANDE, MATERIAL: LATEX, PRESENTACION: ENVASE X 100 UN</t>
  </si>
  <si>
    <t>GUANTES USO MEDICINAL; TIPO: EXAMINACION , TAMAÑO: MEDIANO, MATERIAL: LATEX, PRESENTACION: ENVASE X 100 UN</t>
  </si>
  <si>
    <t>GUANTES USO MEDICINAL; TIPO: EXAMINACION, TAMAÑO: S 6/7, MATERIAL: LATEX, PRESENTACION: ENVASE X 100 UN, ESTERIL: NO, TALCO: CON, DESCARTABLE: SI</t>
  </si>
  <si>
    <t>GUANTES USO MEDICINAL; TIPO: EXAMINACION, TAMAÑO: S 6/7, MATERIAL: NITRILO, PRESENTACION: ENVASE X 100 UN, ESTERIL: NO, TALCO: SIN, DESCARTABLE: SI</t>
  </si>
  <si>
    <t>GUANTES USO MEDICINAL; TIPO: EXAMINACION, TAMAÑO: L 8/9, MATERIAL: NITRILO, PRESENTACION: ENVASE X 100 UN, ESTERIL: NO, TALCO: SIN, DESCARTABLE: SI</t>
  </si>
  <si>
    <t>GUANTES USO MEDICINAL; TIPO: EXAMINACION, TAMAÑO: M 7/8, MATERIAL: NITRILO, PRESENTACION: ENVASE X 100 UN, ESTERIL: NO, TALCO: SIN, DESCARTABLE: SI</t>
  </si>
  <si>
    <t>GUANTES USO MEDICINAL; TIPO: EXAMINACION, TAMAÑO: L 8/9, MATERIAL: VINILO, PRESENTACION: ENVASE X 100 UN, ESTERIL: NO, TALCO: SIN, DESCARTABLE: SI</t>
  </si>
  <si>
    <t>GUANTES USO MEDICINAL; TIPO: EXAMINACION, TAMAÑO: M 7/8, MATERIAL: VINILO, PRESENTACION: ENVASE X 100 UN, ESTERIL: NO, TALCO: SIN, DESCARTABLE: SI</t>
  </si>
  <si>
    <t>HISOPOS; MATERIAL DE EXTREMOS: ALGODON, PRESENTACION: CAJA X 100</t>
  </si>
  <si>
    <t>HOJAS DE BISTURI; TIPO: CAJA X 100 UN, Nº: 10, NUMERO: 10</t>
  </si>
  <si>
    <t>HOJAS DE BISTURI; TIPO: CAJA X 100 UN, Nº: 11, NUMERO: 11</t>
  </si>
  <si>
    <t>HOJAS DE BISTURI; TIPO: CAJA X 100 UN, Nº: 15, NUMERO: 15</t>
  </si>
  <si>
    <t>HOJAS DE BISTURI; TIPO: CAJA X 100 UN, Nº: 22, NUMERO: 22</t>
  </si>
  <si>
    <t>HOJAS DE BISTURI; TIPO: CAJA X 100 UN, Nº: 23, NUMERO: 23</t>
  </si>
  <si>
    <t>HOJAS DE BISTURI; TIPO: CAJA X 100 UN, Nº: 24, NUMERO: 24</t>
  </si>
  <si>
    <t>JERINGAS DESCARTABLES; CAPACIDAD: 50 CM3, AGUJA: SIN, USO: TIPO TOMEY</t>
  </si>
  <si>
    <t>JERINGAS DESCARTABLES; CAPACIDAD: 10 mL, AGUJA: SIN, USO: MEDICINAL</t>
  </si>
  <si>
    <t>JERINGAS DESCARTABLES; CAPACIDAD: 20 CM3, AGUJA: SIN, USO: MEDICINAL</t>
  </si>
  <si>
    <t>JERINGAS DESCARTABLES; CAPACIDAD: 5 CM3, AGUJA: SIN, USO: SIN VALOR</t>
  </si>
  <si>
    <t>JERINGAS DESCARTABLES; CAPACIDAD: 60 CM3, AGUJA: SIN, USO: SIN VALOR</t>
  </si>
  <si>
    <t>JERINGAS DESCARTABLES; CAPACIDAD: 1 mL, AGUJA: 16/5, USO: INSULINA</t>
  </si>
  <si>
    <t>JERINGAS DESCARTABLES; CAPACIDAD: 1 CM3, AGUJA: SIN, USO: TUBERCULINA</t>
  </si>
  <si>
    <t>JERINGAS DESCARTABLES; CAPACIDAD: 2,5 mL, AGUJA: SIN, USO: MEDICINAL</t>
  </si>
  <si>
    <t>ELEMENTOS DESC. P/CIRUGIAS; TIPO: KIT DE CAMISOLIN 50 GRS CON PUÑO DE ALGODON + COFIA + BOTAS PAR, PRESENTACION: INDIVIDUAL, ESTERIL: NO</t>
  </si>
  <si>
    <t>MAMADERAS; MATERIAL: VIDRIO BOROSILICATO, TIPO: PYREX, TAPA: CON, VOLUMEN: 250 mL</t>
  </si>
  <si>
    <t>GUANTES USO MEDICINAL; TIPO: MANOPLA, TAMAÑO: MEDIANO, MATERIAL: POLIETILENO, PRESENTACION: ENVASE X 100</t>
  </si>
  <si>
    <t>VENDAS USO MEDICO; TIPO: OVATA, MEDIDA: 10 Cm</t>
  </si>
  <si>
    <t>VENDAS USO MEDICO; TIPO: OVATA, MEDIDA: 15 Cm</t>
  </si>
  <si>
    <t>VENDAS USO MEDICO; TIPO: OVATA, MEDIDA: 20 Cm</t>
  </si>
  <si>
    <t>PAÑALES; USO: ADULTO, TIPO: DESCARTABLE XG</t>
  </si>
  <si>
    <t>PAÑALES; TIPO: DESCARTABLE, USO: NIÑO PREMATURO 0,8 A 1,3 Kg</t>
  </si>
  <si>
    <t>PAÑALES; TIPO: DESCARTABLE, USO: NIÑOS EXTRAGRANDE 12 A 15 Kg</t>
  </si>
  <si>
    <t>PAÑALES; TIPO: DESCARTABLE, USO: GRANDE 9 A 12,5 Kg</t>
  </si>
  <si>
    <t>PAÑALES; TIPO: DESCARTABLE, USO: NIÑOS MEDIANOS (5 A 11 KG)</t>
  </si>
  <si>
    <t>PAÑALES; TIPO: DESCARTABLE, USO: NIÑOS PEQUEÑOS (3 A 6 KG)</t>
  </si>
  <si>
    <t>PORTAOBJETOS P/MICROSCOPIO; MATERIAL: VIDRIO, PRESENTACION: CAJA X 100 UN, TAMAÑO: 25 X 76 X 1,2 mm</t>
  </si>
  <si>
    <t>PROLONGADORES P/GUIA SUERO; USO: ADMINISTRACION DE SOLUCIONES, MODELO: PT26 LONGITUD: 150 CM</t>
  </si>
  <si>
    <t>PROLONGADORES P/GUIA SUERO; USO: ADMINISTRACION DE SOLUCIONES, MODELO: PT26 LONGITUD: 30 CM</t>
  </si>
  <si>
    <t>PROLONGADORES P/GUIA SUERO; USO: ADMINISTRACION DE SOLUCIONES, MODELO: PT26 LONGITUD: 50 CM</t>
  </si>
  <si>
    <t>BRAZALETES P/MEDICINA; MATERIAL: PLASTICO, USO: IDENTIFICACION MADRE - HIJO, TIPO: IDENTIFICATORIA</t>
  </si>
  <si>
    <t>CATETERES/SONDAS; NUMERO: K-26P, TIPO: NASOGASTRICA C/REGULADOR</t>
  </si>
  <si>
    <t>CATETERES/SONDAS; NUMERO: K-28P, TIPO: NASOGASTRICA C/REGULADOR</t>
  </si>
  <si>
    <t>CATETERES/SONDAS; NUMERO: K32P, TIPO: ASPIRACION SECRECIONES</t>
  </si>
  <si>
    <t>CATETERES/SONDAS; NUMERO: K-29P, TIPO: NASOGASTRICA C/REGULADOR</t>
  </si>
  <si>
    <t>CATETERES/SONDAS; NUMERO: K-30, TIPO: NASOGASTRICA C/REGULADOR</t>
  </si>
  <si>
    <t>CATETERES/SONDAS; NUMERO: K-31P, TIPO: NASOGASTRICA C/REGULADOR</t>
  </si>
  <si>
    <t>CATETERES/SONDAS; NUMERO: K-33, TIPO: NASOGASTRICA C/REGULADOR</t>
  </si>
  <si>
    <t>CATETERES/SONDAS; NUMERO: K-35P, TIPO: NASOGASTRICA C/REGULADOR</t>
  </si>
  <si>
    <t>CATETERES/SONDAS; NUMERO: SIN, TIPO: TUBO DE LUKEN PARA TOMA DE MUESTRAS</t>
  </si>
  <si>
    <t>TELAS ADHESIVAS; ANCHO: 2,5 Cm, LONG.DE CUERPO: 9 M, TIPO: IMPERMEABLE</t>
  </si>
  <si>
    <t>TELAS ADHESIVAS; ANCHO: 5 Cm, LONG.DE CUERPO: 9 M, TIPO: IMPERMEABLE</t>
  </si>
  <si>
    <t>TELAS ADHESIVAS; ANCHO: 2,5 Cm, LONG.DE CUERPO: 9 M, TIPO: HIPOALERGICA MICROPOROSA</t>
  </si>
  <si>
    <t>TELAS ADHESIVAS; ANCHO: 5.00 CM, LONG.DE CUERPO: 9 M, TIPO: HIPOALERGENICA MICROPOROSA</t>
  </si>
  <si>
    <t>TELAS ADHESIVAS; ANCHO: 2,5 CM, LONG.DE CUERPO: 9 M, TIPO: HIPOALERGENICA MACROPOROSA TRANSPARENTE</t>
  </si>
  <si>
    <t>TELAS ADHESIVAS; LONG.DE CUERPO: 9 M, ANCHO: 5.00 CM, TIPO: HIPOALERGENICA MACROPOROSA TRANSPARENTE</t>
  </si>
  <si>
    <t>TERMOMETROS MEDICINALES; TIPO: DIGITAL, ESCALA: GRADO CENTIGRADO, RANGO DE TEMPERATURA: 35,5 A 42 °C</t>
  </si>
  <si>
    <t>TETINAS; MATERIAL: SILICONA, TAMAÑO MAMADERA: 250 CM3, NUMERO: 1</t>
  </si>
  <si>
    <t>TETINAS; MATERIAL: SILICONA, TAMAÑO MAMADERA: 500 CM3, NUMERO: 2</t>
  </si>
  <si>
    <t>TETINAS; MATERIAL: SILICONA, TAMAÑO MAMADERA: PIPETA PASTEUR, NUMERO: 3</t>
  </si>
  <si>
    <t>TUBOS P/MEDICINA; TIPO: DE LATEX, USO: P/DRENAJE, PRESENTACION: 1 M, DIMENSION: 3 X 5 MM</t>
  </si>
  <si>
    <t>TUBOS P/MEDICINA; TIPO: DE LATEX, USO: P/DRENAJE, PRESENTACION: M, DIMENSION: 5 X 8 MM</t>
  </si>
  <si>
    <t>TUBOS TRAQUEALES; TIPO: ENDOTRAQUEAL C/BALON, NUMERO: 2,5 MM</t>
  </si>
  <si>
    <t>TUBOS TRAQUEALES; TIPO: ENDOTRAQUEAL S/BALON, NUMERO: 6 MM</t>
  </si>
  <si>
    <t>TUBOS TRAQUEALES; TIPO: ENDOTRAQUEAL S/BALON, NUMERO: 6,5 MM</t>
  </si>
  <si>
    <t>TUBOS TRAQUEALES; TIPO: ENDOTRAQUEAL S/BALON, NUMERO: 2,5 MM</t>
  </si>
  <si>
    <t>TUBOS TRAQUEALES; TIPO: ENDOTRAQUEAL S/BALON, NUMERO: 4 MM</t>
  </si>
  <si>
    <t>TUBOS TRAQUEALES; TIPO: ENDOTRAQUEAL S/BALON, NUMERO: 4,5 MM</t>
  </si>
  <si>
    <t>TUBOS TRAQUEALES; TIPO: ENDOTRAQUEAL S/BALON, NUMERO: 5 MM</t>
  </si>
  <si>
    <t>TUBOS TRAQUEALES; TIPO: ENDOTRAQUEAL S/BALON, NUMERO: 5,5 MM</t>
  </si>
  <si>
    <t>TUBOS TRAQUEALES; TIPO: ENDOTRAQUEAL C/BALON, NUMERO: 3 MM</t>
  </si>
  <si>
    <t>TUBOS TRAQUEALES; TIPO: ENDOTRAQUEAL C/BALON, NUMERO: 3,5 MM</t>
  </si>
  <si>
    <t>TUBOS TRAQUEALES; TIPO: ENDOTRAQUEAL C/BALON, NUMERO: 6 MM</t>
  </si>
  <si>
    <t>TUBOS TRAQUEALES; TIPO: ENDOTRAQUEAL C/BALON, NUMERO: 6,5 MM</t>
  </si>
  <si>
    <t>TUBOS TRAQUEALES; TIPO: ENDOTRAQUEAL C/BALON, NUMERO: 7 MM</t>
  </si>
  <si>
    <t>TUBOS TRAQUEALES; TIPO: ENDOTRAQUEAL C/BALON, NUMERO: 7,5 MM</t>
  </si>
  <si>
    <t>TUBOS TRAQUEALES; TIPO: ENDOTRAQUEAL C/BALON, NUMERO: 8 MM</t>
  </si>
  <si>
    <t>TUBOS TRAQUEALES; TIPO: ENDOTRAQUEAL C/ BALON, NUMERO: 8,5 MM</t>
  </si>
  <si>
    <t>TUBOS TRAQUEALES; TIPO: ENDOTRAQUEAL C/BALON, NUMERO: 4 MM</t>
  </si>
  <si>
    <t>TUBOS TRAQUEALES; TIPO: ENDOTRAQUEAL C/BALON, NUMERO: 5 MM</t>
  </si>
  <si>
    <t>TUBOS TRAQUEALES; TIPO: ENDOTRAQUEAL C/BALON, NUMERO: 5,5 MM</t>
  </si>
  <si>
    <t>TUBOS TRAQUEALES; Nº: 3 1/2 S/BALON DESCARTABLE, TIPO: ENDOTRAQUEAL PEDIATRICO PERFOR, NUMERO: 3 1/2 S/BALON DESCARTABLE</t>
  </si>
  <si>
    <t>VENDAS USO MEDICO; TIPO: CAMBRIC, MEDIDA: 5 CM X 3 M</t>
  </si>
  <si>
    <t>VENDAS USO MEDICO; TIPO: CAMBRIC, MEDIDA: 7 CM X 3 M</t>
  </si>
  <si>
    <t>VENDAS USO MEDICO; TIPO: CAMBRIC, MEDIDA: 10 CM X 3 M</t>
  </si>
  <si>
    <t>VENDAS USO MEDICO; MEDIDA: 10 CM, TIPO: ELASTICA</t>
  </si>
  <si>
    <t>VENDAS USO MEDICO; MEDIDA: 10 CM X 4 M, TIPO: ENYESADA FRAGUADO RAPIDO GYSOFIX</t>
  </si>
  <si>
    <t>VENDAS USO MEDICO; MEDIDA: 15 CM X 4 M, TIPO: ENYESADA FRAGUADO RAPIDO GYSOFIX</t>
  </si>
  <si>
    <t>VENDAS USO MEDICO; , MEDIDA: 20 CM X 4 M, TIPO: ENYESADA FRAGUADO RAPIDO GYSOFIX</t>
  </si>
  <si>
    <t>ZALEA; DESCRIPCION: DESCARTABLE, MEDIDA: 60 X 90 Cm, USO: SANITARIO</t>
  </si>
  <si>
    <t>UNIDAD</t>
  </si>
  <si>
    <t>PAQUETE</t>
  </si>
  <si>
    <t>BOLSA</t>
  </si>
  <si>
    <t xml:space="preserve">UNIDAD </t>
  </si>
  <si>
    <t>POTE</t>
  </si>
  <si>
    <t>CAJA</t>
  </si>
  <si>
    <t>PAR</t>
  </si>
  <si>
    <t>ROLLO</t>
  </si>
  <si>
    <t>METRO</t>
  </si>
  <si>
    <t>ID</t>
  </si>
  <si>
    <t>UNIDAD DE MEDIDA</t>
  </si>
  <si>
    <t>PRECIO UNITARIO</t>
  </si>
  <si>
    <t>IPP</t>
  </si>
  <si>
    <t xml:space="preserve">2.9.5-441.472 </t>
  </si>
  <si>
    <t xml:space="preserve">2.9.5-4198.9 </t>
  </si>
  <si>
    <t xml:space="preserve">2.5.1-9004.1319 </t>
  </si>
  <si>
    <t xml:space="preserve">2.9.5-4198.170 </t>
  </si>
  <si>
    <t xml:space="preserve">2.9.5-4198.169 </t>
  </si>
  <si>
    <t xml:space="preserve">2.9.5-4198.28 </t>
  </si>
  <si>
    <t xml:space="preserve">2.9.5-2160.45 </t>
  </si>
  <si>
    <t>2.9.5-1909.223</t>
  </si>
  <si>
    <t>2.9.5-444.60</t>
  </si>
  <si>
    <t>2.9.5-444.61</t>
  </si>
  <si>
    <t>2.9.5-4198.171</t>
  </si>
  <si>
    <t>2.9.5-6535.9</t>
  </si>
  <si>
    <t>2.9.5-6527.36</t>
  </si>
  <si>
    <t>2.9.5-6527.37</t>
  </si>
  <si>
    <t>2.9.5-6527.38</t>
  </si>
  <si>
    <t>CODIGO DE ITEM</t>
  </si>
  <si>
    <t>CUBRECAMILLAS; TIPO: DESCARTABLE DE 30 GRS, CON ELASTICO DE 80 X 210 CM</t>
  </si>
  <si>
    <t>2.9.5-466.6</t>
  </si>
  <si>
    <t>RUBRO DE COMPRA</t>
  </si>
  <si>
    <t>PROD. MEDICO/FARMACEUTICOS/LAB</t>
  </si>
  <si>
    <t>QUIMICOS</t>
  </si>
  <si>
    <t>SALES; COMPUESTO QUIMICO: CAL SODADA, ESTADO: GRANULADO, CALIDAD: MEDICA, PRESENTACION: ENVASE X 1 KG</t>
  </si>
  <si>
    <t>ELEMENTOS DESC. P/CIRUGIAS; TIPO: CAMISOLIN HEMORREP. DE 30 GRAMOS CON MANGAS Y PUÑOS ELASTICOS DE 1,4 MTRS DE LARGO, CANTIDAD: POR UNIDAD, PRESENTACION: UNIDAD</t>
  </si>
  <si>
    <t>ELEMENTOS DESC. P/CIRUGIAS; TIPO: CAMISOLIN HEMORREP. DE 50 GRAMOS CON MANGAS Y PUÑOS ALGODON DE 1,4 MTRS DE LARGO, CANTIDAD: POR UNIDAD, PRESENTACION: UNIDAD</t>
  </si>
  <si>
    <t>INDUMENT TEXTIL Y CONFECCIONES</t>
  </si>
  <si>
    <t>ESPATULAS DE AYRE; MATERIAL: MADERA (DESCARTABLE), BOLSA X 100</t>
  </si>
  <si>
    <t>MAMADERAS; MATERIAL: VIDRIO BOROSILICATO, TIPO: PYREX, TAPA: CON, VOLUMEN: 75 ML</t>
  </si>
  <si>
    <t>2.9.5</t>
  </si>
  <si>
    <t>TUBOS TRAQUEALES; TIPO: ENDOTRAQUEAL C/BALON, NUMERO: 4,5 MM</t>
  </si>
  <si>
    <t>TUBOS TRAQUEALES; TIPO: ENDOTRAQUEAL PEDIATR. S/BALON, Nº: 3, NUMERO: 3</t>
  </si>
  <si>
    <t>TUBULADURAS; TIPO: TRANSPARENTE DE PVC, USO: MEDICO, MEDIDAS: 6 MM X 9 MM, PRESENTACION: 50 M</t>
  </si>
  <si>
    <t>TUBULADURAS; TIPO: TRANSPARENTE DE PVC, USO: MEDICO, MEDIDAS: 7,9 MM X 12,7 MM, PRESENTACION: 50 M</t>
  </si>
  <si>
    <t>TUBULADURAS; TIPO: TRANSPARENTE DE PVC, USO: MEDICO, MEDIDAS: 8 MM X 11 MM, PRESENTACION: 50 M</t>
  </si>
  <si>
    <t>2.2.3-6065.2</t>
  </si>
  <si>
    <t>DESCRIPCION CORRECTA</t>
  </si>
  <si>
    <t>AGUJAS QUIRURGICAS; TIPO: 25GX5/8", ESPECIFICACION: 16/5, UNIDAD VENTA: CAJA X 100 UN, PRESENTACION: CAJA X 100 UN</t>
  </si>
  <si>
    <t>PRESUPUESTOS DE PHARMA CENTER, PRODUMED SRL, PROPATO, SEISEME</t>
  </si>
  <si>
    <t>CANTIDADES TRIMESTRALES PROMEDIO POR SAF</t>
  </si>
  <si>
    <t>CANTIDAD</t>
  </si>
  <si>
    <t>IMPORTE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</si>
</sst>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\ #,##0.00"/>
    <numFmt numFmtId="166" formatCode="&quot;$&quot;#,##0.00"/>
  </numFmts>
  <fonts count="13" x14ac:knownFonts="1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E5B8B7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FDE9D9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48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3" fillId="0" borderId="1" xfId="0" applyFont="1" applyFill="1" applyBorder="1" applyAlignment="1">
      <alignment horizontal="center" vertical="center"/>
    </xf>
    <xf numFmtId="166" fontId="4" fillId="0" borderId="1" xfId="0" applyNumberFormat="1" applyFont="1" applyFill="1" applyBorder="1" applyAlignment="1">
      <alignment horizontal="center"/>
    </xf>
    <xf numFmtId="165" fontId="4" fillId="0" borderId="1" xfId="0" applyNumberFormat="1" applyFont="1" applyFill="1" applyBorder="1" applyAlignment="1">
      <alignment horizontal="center"/>
    </xf>
    <xf numFmtId="166" fontId="4" fillId="0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0" borderId="0" xfId="0" applyAlignment="1"/>
    <xf numFmtId="0" fontId="3" fillId="2" borderId="0" xfId="0" applyFont="1" applyFill="1" applyBorder="1" applyAlignment="1"/>
    <xf numFmtId="165" fontId="12" fillId="0" borderId="3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Fill="1" applyAlignment="1">
      <alignment vertical="center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Alignment="1">
      <alignment horizontal="center" vertical="center"/>
    </xf>
    <xf numFmtId="0" fontId="0" fillId="0" borderId="2" xfId="0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048576"/>
  <sheetViews>
    <sheetView tabSelected="1" topLeftCell="A7" zoomScale="70" zoomScaleNormal="70" workbookViewId="0">
      <selection activeCell="C2" sqref="C2:I2"/>
    </sheetView>
  </sheetViews>
  <sheetFormatPr baseColWidth="10" defaultRowHeight="15" x14ac:dyDescent="0.25"/>
  <cols>
    <col min="1" max="1" width="11.42578125" style="1"/>
    <col min="2" max="2" width="22.5703125" customWidth="1"/>
    <col min="3" max="3" width="28.5703125" style="1" customWidth="1"/>
    <col min="5" max="5" width="64.42578125" style="1" customWidth="1"/>
    <col min="6" max="6" width="13" customWidth="1"/>
    <col min="7" max="7" width="14.85546875" customWidth="1"/>
    <col min="8" max="8" width="13.28515625" customWidth="1"/>
    <col min="9" max="9" width="21.5703125" customWidth="1"/>
  </cols>
  <sheetData>
    <row r="2" spans="1:11" ht="21" x14ac:dyDescent="0.25">
      <c r="C2" s="44" t="s">
        <v>287</v>
      </c>
      <c r="D2" s="44"/>
      <c r="E2" s="44"/>
      <c r="F2" s="44"/>
      <c r="G2" s="44"/>
      <c r="H2" s="44"/>
      <c r="I2" s="44"/>
      <c r="J2" s="34"/>
      <c r="K2" s="34"/>
    </row>
    <row r="3" spans="1:11" ht="21" x14ac:dyDescent="0.35">
      <c r="F3" s="43"/>
      <c r="G3" s="43"/>
      <c r="H3" s="43"/>
    </row>
    <row r="5" spans="1:11" ht="15" customHeight="1" x14ac:dyDescent="0.25">
      <c r="A5" s="35"/>
      <c r="B5" s="35"/>
      <c r="C5" s="35"/>
      <c r="D5" s="35"/>
      <c r="E5" s="35"/>
      <c r="F5" s="35"/>
      <c r="H5" s="5"/>
    </row>
    <row r="6" spans="1:11" ht="41.25" customHeight="1" x14ac:dyDescent="0.25">
      <c r="A6" s="2" t="s">
        <v>246</v>
      </c>
      <c r="B6" s="12" t="s">
        <v>265</v>
      </c>
      <c r="C6" s="12" t="s">
        <v>268</v>
      </c>
      <c r="D6" s="12" t="s">
        <v>249</v>
      </c>
      <c r="E6" s="12" t="s">
        <v>284</v>
      </c>
      <c r="F6" s="47" t="s">
        <v>247</v>
      </c>
      <c r="G6" s="12" t="s">
        <v>288</v>
      </c>
      <c r="H6" s="47" t="s">
        <v>248</v>
      </c>
      <c r="I6" s="12" t="s">
        <v>289</v>
      </c>
    </row>
    <row r="7" spans="1:11" ht="30" x14ac:dyDescent="0.25">
      <c r="A7" s="3">
        <v>1</v>
      </c>
      <c r="B7" s="6" t="s">
        <v>0</v>
      </c>
      <c r="C7" s="17" t="s">
        <v>269</v>
      </c>
      <c r="D7" s="27">
        <v>295</v>
      </c>
      <c r="E7" s="24" t="s">
        <v>116</v>
      </c>
      <c r="F7" s="4" t="s">
        <v>242</v>
      </c>
      <c r="G7" s="7">
        <v>600</v>
      </c>
      <c r="H7" s="20">
        <v>2486</v>
      </c>
      <c r="I7" s="23">
        <f>G7*H7</f>
        <v>1491600</v>
      </c>
    </row>
    <row r="8" spans="1:11" ht="30" x14ac:dyDescent="0.25">
      <c r="A8" s="3">
        <v>2</v>
      </c>
      <c r="B8" s="6" t="s">
        <v>1</v>
      </c>
      <c r="C8" s="18" t="s">
        <v>269</v>
      </c>
      <c r="D8" s="27">
        <v>295</v>
      </c>
      <c r="E8" s="24" t="s">
        <v>117</v>
      </c>
      <c r="F8" s="4" t="s">
        <v>242</v>
      </c>
      <c r="G8" s="7">
        <v>105</v>
      </c>
      <c r="H8" s="20">
        <v>2486</v>
      </c>
      <c r="I8" s="23">
        <f>G8*H8</f>
        <v>261030</v>
      </c>
    </row>
    <row r="9" spans="1:11" ht="30" x14ac:dyDescent="0.25">
      <c r="A9" s="19">
        <v>3</v>
      </c>
      <c r="B9" s="3" t="s">
        <v>250</v>
      </c>
      <c r="C9" s="18" t="s">
        <v>269</v>
      </c>
      <c r="D9" s="27">
        <v>295</v>
      </c>
      <c r="E9" s="37" t="s">
        <v>285</v>
      </c>
      <c r="F9" s="4" t="s">
        <v>242</v>
      </c>
      <c r="G9" s="7">
        <v>650</v>
      </c>
      <c r="H9" s="21">
        <v>235</v>
      </c>
      <c r="I9" s="23">
        <f>G9*H9</f>
        <v>152750</v>
      </c>
      <c r="J9" s="38"/>
      <c r="K9" s="39"/>
    </row>
    <row r="10" spans="1:11" ht="30" x14ac:dyDescent="0.25">
      <c r="A10" s="3">
        <v>4</v>
      </c>
      <c r="B10" s="6" t="s">
        <v>2</v>
      </c>
      <c r="C10" s="18" t="s">
        <v>269</v>
      </c>
      <c r="D10" s="27">
        <v>295</v>
      </c>
      <c r="E10" s="24" t="s">
        <v>118</v>
      </c>
      <c r="F10" s="4" t="s">
        <v>242</v>
      </c>
      <c r="G10" s="7">
        <v>5500</v>
      </c>
      <c r="H10" s="20">
        <v>235</v>
      </c>
      <c r="I10" s="23">
        <f>G10*H10</f>
        <v>1292500</v>
      </c>
    </row>
    <row r="11" spans="1:11" ht="30" x14ac:dyDescent="0.25">
      <c r="A11" s="3">
        <v>5</v>
      </c>
      <c r="B11" s="3" t="s">
        <v>3</v>
      </c>
      <c r="C11" s="18" t="s">
        <v>269</v>
      </c>
      <c r="D11" s="27">
        <v>295</v>
      </c>
      <c r="E11" s="24" t="s">
        <v>119</v>
      </c>
      <c r="F11" s="4" t="s">
        <v>242</v>
      </c>
      <c r="G11" s="7">
        <v>180</v>
      </c>
      <c r="H11" s="20">
        <v>266</v>
      </c>
      <c r="I11" s="23">
        <f>G11*H11</f>
        <v>47880</v>
      </c>
    </row>
    <row r="12" spans="1:11" ht="30" x14ac:dyDescent="0.25">
      <c r="A12" s="3">
        <v>6</v>
      </c>
      <c r="B12" s="6" t="s">
        <v>4</v>
      </c>
      <c r="C12" s="18" t="s">
        <v>269</v>
      </c>
      <c r="D12" s="27">
        <v>295</v>
      </c>
      <c r="E12" s="24" t="s">
        <v>120</v>
      </c>
      <c r="F12" s="13" t="s">
        <v>242</v>
      </c>
      <c r="G12" s="7">
        <v>3400</v>
      </c>
      <c r="H12" s="20">
        <v>235</v>
      </c>
      <c r="I12" s="23">
        <f>G12*H12</f>
        <v>799000</v>
      </c>
    </row>
    <row r="13" spans="1:11" ht="30" x14ac:dyDescent="0.25">
      <c r="A13" s="3">
        <v>7</v>
      </c>
      <c r="B13" s="6" t="s">
        <v>5</v>
      </c>
      <c r="C13" s="18" t="s">
        <v>269</v>
      </c>
      <c r="D13" s="27">
        <v>295</v>
      </c>
      <c r="E13" s="24" t="s">
        <v>121</v>
      </c>
      <c r="F13" s="13" t="s">
        <v>242</v>
      </c>
      <c r="G13" s="7">
        <v>2555</v>
      </c>
      <c r="H13" s="20">
        <v>342</v>
      </c>
      <c r="I13" s="23">
        <f>G13*H13</f>
        <v>873810</v>
      </c>
    </row>
    <row r="14" spans="1:11" ht="30" x14ac:dyDescent="0.25">
      <c r="A14" s="3">
        <v>8</v>
      </c>
      <c r="B14" s="3" t="s">
        <v>6</v>
      </c>
      <c r="C14" s="18" t="s">
        <v>269</v>
      </c>
      <c r="D14" s="27">
        <v>295</v>
      </c>
      <c r="E14" s="24" t="s">
        <v>122</v>
      </c>
      <c r="F14" s="4" t="s">
        <v>238</v>
      </c>
      <c r="G14" s="7">
        <v>7300</v>
      </c>
      <c r="H14" s="20">
        <v>359.52</v>
      </c>
      <c r="I14" s="23">
        <f>G14*H14</f>
        <v>2624496</v>
      </c>
    </row>
    <row r="15" spans="1:11" ht="30" x14ac:dyDescent="0.25">
      <c r="A15" s="3">
        <v>9</v>
      </c>
      <c r="B15" s="3" t="s">
        <v>7</v>
      </c>
      <c r="C15" s="18" t="s">
        <v>269</v>
      </c>
      <c r="D15" s="28">
        <v>295</v>
      </c>
      <c r="E15" s="24" t="s">
        <v>123</v>
      </c>
      <c r="F15" s="4" t="s">
        <v>239</v>
      </c>
      <c r="G15" s="7">
        <v>2150</v>
      </c>
      <c r="H15" s="20">
        <v>277.5</v>
      </c>
      <c r="I15" s="23">
        <f>G15*H15</f>
        <v>596625</v>
      </c>
    </row>
    <row r="16" spans="1:11" ht="30" x14ac:dyDescent="0.25">
      <c r="A16" s="3">
        <v>10</v>
      </c>
      <c r="B16" s="3" t="s">
        <v>8</v>
      </c>
      <c r="C16" s="18" t="s">
        <v>269</v>
      </c>
      <c r="D16" s="28">
        <v>295</v>
      </c>
      <c r="E16" s="25" t="s">
        <v>124</v>
      </c>
      <c r="F16" s="4" t="s">
        <v>237</v>
      </c>
      <c r="G16" s="7">
        <v>1266000</v>
      </c>
      <c r="H16" s="20">
        <v>7</v>
      </c>
      <c r="I16" s="23">
        <f>G16*H16</f>
        <v>8862000</v>
      </c>
    </row>
    <row r="17" spans="1:12" ht="30" x14ac:dyDescent="0.25">
      <c r="A17" s="3">
        <v>11</v>
      </c>
      <c r="B17" s="3" t="s">
        <v>9</v>
      </c>
      <c r="C17" s="18" t="s">
        <v>269</v>
      </c>
      <c r="D17" s="27">
        <v>295</v>
      </c>
      <c r="E17" s="24" t="s">
        <v>125</v>
      </c>
      <c r="F17" s="4" t="s">
        <v>237</v>
      </c>
      <c r="G17" s="7">
        <v>26800</v>
      </c>
      <c r="H17" s="20">
        <v>48</v>
      </c>
      <c r="I17" s="23">
        <f>G17*H17</f>
        <v>1286400</v>
      </c>
    </row>
    <row r="18" spans="1:12" ht="30" x14ac:dyDescent="0.25">
      <c r="A18" s="3">
        <v>12</v>
      </c>
      <c r="B18" s="3" t="s">
        <v>251</v>
      </c>
      <c r="C18" s="18" t="s">
        <v>269</v>
      </c>
      <c r="D18" s="27">
        <v>295</v>
      </c>
      <c r="E18" s="24" t="s">
        <v>126</v>
      </c>
      <c r="F18" s="4" t="s">
        <v>237</v>
      </c>
      <c r="G18" s="7">
        <v>20000</v>
      </c>
      <c r="H18" s="22">
        <v>9.57</v>
      </c>
      <c r="I18" s="23">
        <f>G18*H18</f>
        <v>191400</v>
      </c>
    </row>
    <row r="19" spans="1:12" ht="30" x14ac:dyDescent="0.25">
      <c r="A19" s="3">
        <v>13</v>
      </c>
      <c r="B19" s="8" t="s">
        <v>252</v>
      </c>
      <c r="C19" s="18" t="s">
        <v>270</v>
      </c>
      <c r="D19" s="27">
        <v>251</v>
      </c>
      <c r="E19" s="24" t="s">
        <v>271</v>
      </c>
      <c r="F19" s="4" t="s">
        <v>237</v>
      </c>
      <c r="G19" s="7">
        <v>201</v>
      </c>
      <c r="H19" s="20">
        <v>937.99</v>
      </c>
      <c r="I19" s="23">
        <f>G19*H19</f>
        <v>188535.99</v>
      </c>
    </row>
    <row r="20" spans="1:12" ht="45" x14ac:dyDescent="0.25">
      <c r="A20" s="19">
        <v>14</v>
      </c>
      <c r="B20" s="3" t="s">
        <v>253</v>
      </c>
      <c r="C20" s="18" t="s">
        <v>269</v>
      </c>
      <c r="D20" s="29">
        <v>295</v>
      </c>
      <c r="E20" s="24" t="s">
        <v>272</v>
      </c>
      <c r="F20" s="4" t="s">
        <v>237</v>
      </c>
      <c r="G20" s="7">
        <v>41000</v>
      </c>
      <c r="H20" s="20">
        <v>119</v>
      </c>
      <c r="I20" s="23">
        <f>G20*H20</f>
        <v>4879000</v>
      </c>
    </row>
    <row r="21" spans="1:12" ht="45" x14ac:dyDescent="0.25">
      <c r="A21" s="19">
        <v>15</v>
      </c>
      <c r="B21" s="3" t="s">
        <v>254</v>
      </c>
      <c r="C21" s="18" t="s">
        <v>269</v>
      </c>
      <c r="D21" s="29">
        <v>295</v>
      </c>
      <c r="E21" s="24" t="s">
        <v>273</v>
      </c>
      <c r="F21" s="4" t="s">
        <v>237</v>
      </c>
      <c r="G21" s="7">
        <v>51400</v>
      </c>
      <c r="H21" s="20">
        <v>186</v>
      </c>
      <c r="I21" s="23">
        <f>G21*H21</f>
        <v>9560400</v>
      </c>
      <c r="J21" s="45"/>
      <c r="K21" s="46"/>
      <c r="L21" s="46"/>
    </row>
    <row r="22" spans="1:12" ht="30" x14ac:dyDescent="0.25">
      <c r="A22" s="3">
        <v>16</v>
      </c>
      <c r="B22" s="3" t="s">
        <v>255</v>
      </c>
      <c r="C22" s="18" t="s">
        <v>269</v>
      </c>
      <c r="D22" s="29">
        <v>295</v>
      </c>
      <c r="E22" s="24" t="s">
        <v>127</v>
      </c>
      <c r="F22" s="4" t="s">
        <v>237</v>
      </c>
      <c r="G22" s="7">
        <v>1100</v>
      </c>
      <c r="H22" s="20">
        <v>50.6</v>
      </c>
      <c r="I22" s="23">
        <f>G22*H22</f>
        <v>55660</v>
      </c>
    </row>
    <row r="23" spans="1:12" ht="30" x14ac:dyDescent="0.25">
      <c r="A23" s="3">
        <v>17</v>
      </c>
      <c r="B23" s="3" t="s">
        <v>10</v>
      </c>
      <c r="C23" s="18" t="s">
        <v>269</v>
      </c>
      <c r="D23" s="27">
        <v>295</v>
      </c>
      <c r="E23" s="24" t="s">
        <v>128</v>
      </c>
      <c r="F23" s="4" t="s">
        <v>237</v>
      </c>
      <c r="G23" s="7">
        <v>81</v>
      </c>
      <c r="H23" s="20">
        <v>659.63</v>
      </c>
      <c r="I23" s="23">
        <f>G23*H23</f>
        <v>53430.03</v>
      </c>
    </row>
    <row r="24" spans="1:12" ht="30" x14ac:dyDescent="0.25">
      <c r="A24" s="3">
        <v>18</v>
      </c>
      <c r="B24" s="3" t="s">
        <v>11</v>
      </c>
      <c r="C24" s="18" t="s">
        <v>269</v>
      </c>
      <c r="D24" s="29">
        <v>295</v>
      </c>
      <c r="E24" s="24" t="s">
        <v>129</v>
      </c>
      <c r="F24" s="4" t="s">
        <v>237</v>
      </c>
      <c r="G24" s="7">
        <v>5000</v>
      </c>
      <c r="H24" s="20">
        <v>32.619999999999997</v>
      </c>
      <c r="I24" s="23">
        <f>G24*H24</f>
        <v>163100</v>
      </c>
    </row>
    <row r="25" spans="1:12" ht="30" x14ac:dyDescent="0.25">
      <c r="A25" s="3">
        <v>19</v>
      </c>
      <c r="B25" s="3" t="s">
        <v>12</v>
      </c>
      <c r="C25" s="18" t="s">
        <v>274</v>
      </c>
      <c r="D25" s="29">
        <v>295</v>
      </c>
      <c r="E25" s="25" t="s">
        <v>130</v>
      </c>
      <c r="F25" s="4" t="s">
        <v>237</v>
      </c>
      <c r="G25" s="7">
        <v>225000</v>
      </c>
      <c r="H25" s="20">
        <v>23.79</v>
      </c>
      <c r="I25" s="23">
        <f>G25*H25</f>
        <v>5352750</v>
      </c>
    </row>
    <row r="26" spans="1:12" ht="30" x14ac:dyDescent="0.25">
      <c r="A26" s="3">
        <v>20</v>
      </c>
      <c r="B26" s="3" t="s">
        <v>13</v>
      </c>
      <c r="C26" s="18" t="s">
        <v>269</v>
      </c>
      <c r="D26" s="29">
        <v>295</v>
      </c>
      <c r="E26" s="24" t="s">
        <v>131</v>
      </c>
      <c r="F26" s="4" t="s">
        <v>237</v>
      </c>
      <c r="G26" s="7">
        <v>2000</v>
      </c>
      <c r="H26" s="20">
        <v>29</v>
      </c>
      <c r="I26" s="23">
        <f>G26*H26</f>
        <v>58000</v>
      </c>
    </row>
    <row r="27" spans="1:12" ht="30" x14ac:dyDescent="0.25">
      <c r="A27" s="3">
        <v>21</v>
      </c>
      <c r="B27" s="3" t="s">
        <v>14</v>
      </c>
      <c r="C27" s="18" t="s">
        <v>269</v>
      </c>
      <c r="D27" s="29">
        <v>295</v>
      </c>
      <c r="E27" s="24" t="s">
        <v>132</v>
      </c>
      <c r="F27" s="4" t="s">
        <v>237</v>
      </c>
      <c r="G27" s="7">
        <v>65</v>
      </c>
      <c r="H27" s="20">
        <v>110.8</v>
      </c>
      <c r="I27" s="23">
        <f>G27*H27</f>
        <v>7202</v>
      </c>
    </row>
    <row r="28" spans="1:12" ht="30" x14ac:dyDescent="0.25">
      <c r="A28" s="3">
        <v>22</v>
      </c>
      <c r="B28" s="15" t="s">
        <v>267</v>
      </c>
      <c r="C28" s="18" t="s">
        <v>269</v>
      </c>
      <c r="D28" s="27">
        <v>223</v>
      </c>
      <c r="E28" s="25" t="s">
        <v>266</v>
      </c>
      <c r="F28" s="4" t="s">
        <v>237</v>
      </c>
      <c r="G28" s="7">
        <v>505</v>
      </c>
      <c r="H28" s="20">
        <v>66</v>
      </c>
      <c r="I28" s="23">
        <f>G28*H28</f>
        <v>33330</v>
      </c>
    </row>
    <row r="29" spans="1:12" ht="45" x14ac:dyDescent="0.25">
      <c r="A29" s="3">
        <v>23</v>
      </c>
      <c r="B29" s="3" t="s">
        <v>15</v>
      </c>
      <c r="C29" s="18" t="s">
        <v>269</v>
      </c>
      <c r="D29" s="27">
        <v>295</v>
      </c>
      <c r="E29" s="24" t="s">
        <v>133</v>
      </c>
      <c r="F29" s="4" t="s">
        <v>237</v>
      </c>
      <c r="G29" s="7">
        <v>1352</v>
      </c>
      <c r="H29" s="20">
        <v>143</v>
      </c>
      <c r="I29" s="23">
        <f>G29*H29</f>
        <v>193336</v>
      </c>
    </row>
    <row r="30" spans="1:12" ht="45" x14ac:dyDescent="0.25">
      <c r="A30" s="3">
        <v>24</v>
      </c>
      <c r="B30" s="3" t="s">
        <v>256</v>
      </c>
      <c r="C30" s="18" t="s">
        <v>269</v>
      </c>
      <c r="D30" s="27">
        <v>295</v>
      </c>
      <c r="E30" s="24" t="s">
        <v>134</v>
      </c>
      <c r="F30" s="4" t="s">
        <v>237</v>
      </c>
      <c r="G30" s="7">
        <v>100</v>
      </c>
      <c r="H30" s="20">
        <v>345</v>
      </c>
      <c r="I30" s="23">
        <f>G30*H30</f>
        <v>34500</v>
      </c>
    </row>
    <row r="31" spans="1:12" ht="30" x14ac:dyDescent="0.25">
      <c r="A31" s="3">
        <v>25</v>
      </c>
      <c r="B31" s="3" t="s">
        <v>16</v>
      </c>
      <c r="C31" s="18" t="s">
        <v>269</v>
      </c>
      <c r="D31" s="30">
        <v>295</v>
      </c>
      <c r="E31" s="24" t="s">
        <v>135</v>
      </c>
      <c r="F31" s="4" t="s">
        <v>240</v>
      </c>
      <c r="G31" s="7">
        <v>50000</v>
      </c>
      <c r="H31" s="20">
        <v>18.45</v>
      </c>
      <c r="I31" s="23">
        <f>G31*H31</f>
        <v>922500</v>
      </c>
    </row>
    <row r="32" spans="1:12" ht="30" x14ac:dyDescent="0.25">
      <c r="A32" s="3">
        <v>26</v>
      </c>
      <c r="B32" s="3" t="s">
        <v>17</v>
      </c>
      <c r="C32" s="18" t="s">
        <v>269</v>
      </c>
      <c r="D32" s="30">
        <v>295</v>
      </c>
      <c r="E32" s="25" t="s">
        <v>136</v>
      </c>
      <c r="F32" s="4" t="s">
        <v>237</v>
      </c>
      <c r="G32" s="7">
        <v>7000</v>
      </c>
      <c r="H32" s="20">
        <v>24.96</v>
      </c>
      <c r="I32" s="23">
        <f>G32*H32</f>
        <v>174720</v>
      </c>
    </row>
    <row r="33" spans="1:12" ht="30" x14ac:dyDescent="0.25">
      <c r="A33" s="3">
        <v>27</v>
      </c>
      <c r="B33" s="3" t="s">
        <v>18</v>
      </c>
      <c r="C33" s="18" t="s">
        <v>269</v>
      </c>
      <c r="D33" s="31">
        <v>295</v>
      </c>
      <c r="E33" s="24" t="s">
        <v>275</v>
      </c>
      <c r="F33" s="4" t="s">
        <v>239</v>
      </c>
      <c r="G33" s="7">
        <v>31</v>
      </c>
      <c r="H33" s="20">
        <v>635</v>
      </c>
      <c r="I33" s="23">
        <f>G33*H33</f>
        <v>19685</v>
      </c>
    </row>
    <row r="34" spans="1:12" ht="30" x14ac:dyDescent="0.25">
      <c r="A34" s="3">
        <v>28</v>
      </c>
      <c r="B34" s="3" t="s">
        <v>19</v>
      </c>
      <c r="C34" s="18" t="s">
        <v>269</v>
      </c>
      <c r="D34" s="31">
        <v>295</v>
      </c>
      <c r="E34" s="24" t="s">
        <v>137</v>
      </c>
      <c r="F34" s="4" t="s">
        <v>237</v>
      </c>
      <c r="G34" s="7">
        <v>1950</v>
      </c>
      <c r="H34" s="20">
        <v>63.4</v>
      </c>
      <c r="I34" s="23">
        <f>G34*H34</f>
        <v>123630</v>
      </c>
    </row>
    <row r="35" spans="1:12" ht="30" x14ac:dyDescent="0.25">
      <c r="A35" s="3">
        <v>29</v>
      </c>
      <c r="B35" s="3" t="s">
        <v>20</v>
      </c>
      <c r="C35" s="18" t="s">
        <v>269</v>
      </c>
      <c r="D35" s="31">
        <v>295</v>
      </c>
      <c r="E35" s="24" t="s">
        <v>138</v>
      </c>
      <c r="F35" s="4" t="s">
        <v>237</v>
      </c>
      <c r="G35" s="7">
        <v>1250</v>
      </c>
      <c r="H35" s="20">
        <v>74.19</v>
      </c>
      <c r="I35" s="23">
        <f>G35*H35</f>
        <v>92737.5</v>
      </c>
    </row>
    <row r="36" spans="1:12" ht="30" x14ac:dyDescent="0.25">
      <c r="A36" s="3">
        <v>30</v>
      </c>
      <c r="B36" s="3" t="s">
        <v>21</v>
      </c>
      <c r="C36" s="18" t="s">
        <v>269</v>
      </c>
      <c r="D36" s="31">
        <v>295</v>
      </c>
      <c r="E36" s="25" t="s">
        <v>139</v>
      </c>
      <c r="F36" s="4" t="s">
        <v>237</v>
      </c>
      <c r="G36" s="7">
        <v>3100</v>
      </c>
      <c r="H36" s="20">
        <v>68.790000000000006</v>
      </c>
      <c r="I36" s="23">
        <f>G36*H36</f>
        <v>213249.00000000003</v>
      </c>
    </row>
    <row r="37" spans="1:12" ht="30" x14ac:dyDescent="0.25">
      <c r="A37" s="3">
        <v>31</v>
      </c>
      <c r="B37" s="3" t="s">
        <v>22</v>
      </c>
      <c r="C37" s="18" t="s">
        <v>269</v>
      </c>
      <c r="D37" s="27">
        <v>252</v>
      </c>
      <c r="E37" s="24" t="s">
        <v>140</v>
      </c>
      <c r="F37" s="4" t="s">
        <v>241</v>
      </c>
      <c r="G37" s="7">
        <v>140</v>
      </c>
      <c r="H37" s="20">
        <v>415</v>
      </c>
      <c r="I37" s="23">
        <f>G37*H37</f>
        <v>58100</v>
      </c>
    </row>
    <row r="38" spans="1:12" ht="30" x14ac:dyDescent="0.25">
      <c r="A38" s="3">
        <v>32</v>
      </c>
      <c r="B38" s="3" t="s">
        <v>23</v>
      </c>
      <c r="C38" s="18" t="s">
        <v>269</v>
      </c>
      <c r="D38" s="27">
        <v>252</v>
      </c>
      <c r="E38" s="24" t="s">
        <v>141</v>
      </c>
      <c r="F38" s="4" t="s">
        <v>241</v>
      </c>
      <c r="G38" s="7">
        <v>30</v>
      </c>
      <c r="H38" s="20">
        <v>1355</v>
      </c>
      <c r="I38" s="23">
        <f>G38*H38</f>
        <v>40650</v>
      </c>
    </row>
    <row r="39" spans="1:12" ht="45" x14ac:dyDescent="0.25">
      <c r="A39" s="3">
        <v>33</v>
      </c>
      <c r="B39" s="3" t="s">
        <v>24</v>
      </c>
      <c r="C39" s="18" t="s">
        <v>269</v>
      </c>
      <c r="D39" s="27">
        <v>295</v>
      </c>
      <c r="E39" s="41" t="s">
        <v>142</v>
      </c>
      <c r="F39" s="4" t="s">
        <v>242</v>
      </c>
      <c r="G39" s="7">
        <v>48</v>
      </c>
      <c r="H39" s="22">
        <v>12250</v>
      </c>
      <c r="I39" s="23">
        <f>G39*H39</f>
        <v>588000</v>
      </c>
      <c r="J39" s="40"/>
      <c r="K39" s="40"/>
      <c r="L39" s="40"/>
    </row>
    <row r="40" spans="1:12" ht="45" x14ac:dyDescent="0.25">
      <c r="A40" s="3">
        <v>34</v>
      </c>
      <c r="B40" s="3" t="s">
        <v>25</v>
      </c>
      <c r="C40" s="18" t="s">
        <v>269</v>
      </c>
      <c r="D40" s="27">
        <v>295</v>
      </c>
      <c r="E40" s="25" t="s">
        <v>143</v>
      </c>
      <c r="F40" s="4" t="s">
        <v>243</v>
      </c>
      <c r="G40" s="7">
        <v>10500</v>
      </c>
      <c r="H40" s="20">
        <v>70.34</v>
      </c>
      <c r="I40" s="23">
        <f>G40*H40</f>
        <v>738570</v>
      </c>
    </row>
    <row r="41" spans="1:12" ht="45" x14ac:dyDescent="0.25">
      <c r="A41" s="3">
        <v>35</v>
      </c>
      <c r="B41" s="3" t="s">
        <v>26</v>
      </c>
      <c r="C41" s="18" t="s">
        <v>269</v>
      </c>
      <c r="D41" s="27">
        <v>295</v>
      </c>
      <c r="E41" s="24" t="s">
        <v>144</v>
      </c>
      <c r="F41" s="4" t="s">
        <v>243</v>
      </c>
      <c r="G41" s="7">
        <v>40000</v>
      </c>
      <c r="H41" s="20">
        <v>70.34</v>
      </c>
      <c r="I41" s="23">
        <f>G41*H41</f>
        <v>2813600</v>
      </c>
    </row>
    <row r="42" spans="1:12" ht="45" x14ac:dyDescent="0.25">
      <c r="A42" s="3">
        <v>36</v>
      </c>
      <c r="B42" s="3" t="s">
        <v>27</v>
      </c>
      <c r="C42" s="18" t="s">
        <v>269</v>
      </c>
      <c r="D42" s="27">
        <v>295</v>
      </c>
      <c r="E42" s="25" t="s">
        <v>145</v>
      </c>
      <c r="F42" s="4" t="s">
        <v>243</v>
      </c>
      <c r="G42" s="7">
        <v>46000</v>
      </c>
      <c r="H42" s="20">
        <v>70.34</v>
      </c>
      <c r="I42" s="23">
        <f>G42*H42</f>
        <v>3235640</v>
      </c>
    </row>
    <row r="43" spans="1:12" ht="45" x14ac:dyDescent="0.25">
      <c r="A43" s="3">
        <v>37</v>
      </c>
      <c r="B43" s="3" t="s">
        <v>28</v>
      </c>
      <c r="C43" s="18" t="s">
        <v>269</v>
      </c>
      <c r="D43" s="27">
        <v>295</v>
      </c>
      <c r="E43" s="24" t="s">
        <v>146</v>
      </c>
      <c r="F43" s="4" t="s">
        <v>243</v>
      </c>
      <c r="G43" s="7">
        <v>31300</v>
      </c>
      <c r="H43" s="20">
        <v>70.34</v>
      </c>
      <c r="I43" s="23">
        <f>G43*H43</f>
        <v>2201642</v>
      </c>
    </row>
    <row r="44" spans="1:12" ht="45" x14ac:dyDescent="0.25">
      <c r="A44" s="3">
        <v>38</v>
      </c>
      <c r="B44" s="9" t="s">
        <v>257</v>
      </c>
      <c r="C44" s="18" t="s">
        <v>269</v>
      </c>
      <c r="D44" s="27">
        <v>295</v>
      </c>
      <c r="E44" s="24" t="s">
        <v>147</v>
      </c>
      <c r="F44" s="4" t="s">
        <v>243</v>
      </c>
      <c r="G44" s="7">
        <v>9300</v>
      </c>
      <c r="H44" s="20">
        <v>70.34</v>
      </c>
      <c r="I44" s="23">
        <f>G44*H44</f>
        <v>654162</v>
      </c>
    </row>
    <row r="45" spans="1:12" ht="30" x14ac:dyDescent="0.25">
      <c r="A45" s="3">
        <v>39</v>
      </c>
      <c r="B45" s="3" t="s">
        <v>29</v>
      </c>
      <c r="C45" s="18" t="s">
        <v>269</v>
      </c>
      <c r="D45" s="27">
        <v>295</v>
      </c>
      <c r="E45" s="24" t="s">
        <v>148</v>
      </c>
      <c r="F45" s="4" t="s">
        <v>242</v>
      </c>
      <c r="G45" s="7">
        <v>7600</v>
      </c>
      <c r="H45" s="20">
        <v>858.5</v>
      </c>
      <c r="I45" s="23">
        <f>G45*H45</f>
        <v>6524600</v>
      </c>
    </row>
    <row r="46" spans="1:12" ht="30" x14ac:dyDescent="0.25">
      <c r="A46" s="3">
        <v>40</v>
      </c>
      <c r="B46" s="3" t="s">
        <v>30</v>
      </c>
      <c r="C46" s="18" t="s">
        <v>269</v>
      </c>
      <c r="D46" s="27">
        <v>295</v>
      </c>
      <c r="E46" s="25" t="s">
        <v>149</v>
      </c>
      <c r="F46" s="4" t="s">
        <v>242</v>
      </c>
      <c r="G46" s="7">
        <v>20000</v>
      </c>
      <c r="H46" s="20">
        <v>858.5</v>
      </c>
      <c r="I46" s="23">
        <f>G46*H46</f>
        <v>17170000</v>
      </c>
    </row>
    <row r="47" spans="1:12" ht="45" x14ac:dyDescent="0.25">
      <c r="A47" s="3">
        <v>41</v>
      </c>
      <c r="B47" s="3" t="s">
        <v>31</v>
      </c>
      <c r="C47" s="18" t="s">
        <v>269</v>
      </c>
      <c r="D47" s="27">
        <v>295</v>
      </c>
      <c r="E47" s="25" t="s">
        <v>150</v>
      </c>
      <c r="F47" s="4" t="s">
        <v>242</v>
      </c>
      <c r="G47" s="7">
        <v>11900</v>
      </c>
      <c r="H47" s="20">
        <v>858.5</v>
      </c>
      <c r="I47" s="23">
        <f>G47*H47</f>
        <v>10216150</v>
      </c>
    </row>
    <row r="48" spans="1:12" ht="45" x14ac:dyDescent="0.25">
      <c r="A48" s="3">
        <v>42</v>
      </c>
      <c r="B48" s="3" t="s">
        <v>32</v>
      </c>
      <c r="C48" s="18" t="s">
        <v>269</v>
      </c>
      <c r="D48" s="29">
        <v>295</v>
      </c>
      <c r="E48" s="25" t="s">
        <v>151</v>
      </c>
      <c r="F48" s="4" t="s">
        <v>242</v>
      </c>
      <c r="G48" s="7">
        <v>430</v>
      </c>
      <c r="H48" s="20">
        <v>1797</v>
      </c>
      <c r="I48" s="23">
        <f>G48*H48</f>
        <v>772710</v>
      </c>
    </row>
    <row r="49" spans="1:9" ht="45" x14ac:dyDescent="0.25">
      <c r="A49" s="3">
        <v>43</v>
      </c>
      <c r="B49" s="3" t="s">
        <v>33</v>
      </c>
      <c r="C49" s="18" t="s">
        <v>269</v>
      </c>
      <c r="D49" s="29">
        <v>295</v>
      </c>
      <c r="E49" s="24" t="s">
        <v>152</v>
      </c>
      <c r="F49" s="4" t="s">
        <v>242</v>
      </c>
      <c r="G49" s="7">
        <v>703</v>
      </c>
      <c r="H49" s="20">
        <v>1797</v>
      </c>
      <c r="I49" s="23">
        <f>G49*H49</f>
        <v>1263291</v>
      </c>
    </row>
    <row r="50" spans="1:9" ht="45" x14ac:dyDescent="0.25">
      <c r="A50" s="3">
        <v>44</v>
      </c>
      <c r="B50" s="3" t="s">
        <v>34</v>
      </c>
      <c r="C50" s="18" t="s">
        <v>269</v>
      </c>
      <c r="D50" s="29">
        <v>295</v>
      </c>
      <c r="E50" s="25" t="s">
        <v>153</v>
      </c>
      <c r="F50" s="4" t="s">
        <v>242</v>
      </c>
      <c r="G50" s="7">
        <v>893</v>
      </c>
      <c r="H50" s="20">
        <v>1797</v>
      </c>
      <c r="I50" s="23">
        <f>G50*H50</f>
        <v>1604721</v>
      </c>
    </row>
    <row r="51" spans="1:9" ht="45" x14ac:dyDescent="0.25">
      <c r="A51" s="3">
        <v>45</v>
      </c>
      <c r="B51" s="3" t="s">
        <v>35</v>
      </c>
      <c r="C51" s="18" t="s">
        <v>269</v>
      </c>
      <c r="D51" s="29">
        <v>295</v>
      </c>
      <c r="E51" s="24" t="s">
        <v>154</v>
      </c>
      <c r="F51" s="4" t="s">
        <v>242</v>
      </c>
      <c r="G51" s="7">
        <v>1100</v>
      </c>
      <c r="H51" s="20">
        <v>1061.3699999999999</v>
      </c>
      <c r="I51" s="23">
        <f>G51*H51</f>
        <v>1167506.9999999998</v>
      </c>
    </row>
    <row r="52" spans="1:9" ht="45" x14ac:dyDescent="0.25">
      <c r="A52" s="3">
        <v>46</v>
      </c>
      <c r="B52" s="3" t="s">
        <v>36</v>
      </c>
      <c r="C52" s="18" t="s">
        <v>269</v>
      </c>
      <c r="D52" s="29">
        <v>295</v>
      </c>
      <c r="E52" s="24" t="s">
        <v>155</v>
      </c>
      <c r="F52" s="4" t="s">
        <v>242</v>
      </c>
      <c r="G52" s="7">
        <v>100</v>
      </c>
      <c r="H52" s="20">
        <v>1061.3699999999999</v>
      </c>
      <c r="I52" s="23">
        <f>G52*H52</f>
        <v>106136.99999999999</v>
      </c>
    </row>
    <row r="53" spans="1:9" ht="30" x14ac:dyDescent="0.25">
      <c r="A53" s="3">
        <v>47</v>
      </c>
      <c r="B53" s="3" t="s">
        <v>37</v>
      </c>
      <c r="C53" s="18" t="s">
        <v>269</v>
      </c>
      <c r="D53" s="32">
        <v>295</v>
      </c>
      <c r="E53" s="24" t="s">
        <v>156</v>
      </c>
      <c r="F53" s="3" t="s">
        <v>242</v>
      </c>
      <c r="G53" s="7">
        <v>18</v>
      </c>
      <c r="H53" s="20">
        <v>168</v>
      </c>
      <c r="I53" s="23">
        <f>G53*H53</f>
        <v>3024</v>
      </c>
    </row>
    <row r="54" spans="1:9" ht="30" x14ac:dyDescent="0.25">
      <c r="A54" s="3">
        <v>48</v>
      </c>
      <c r="B54" s="9" t="s">
        <v>258</v>
      </c>
      <c r="C54" s="18" t="s">
        <v>269</v>
      </c>
      <c r="D54" s="32">
        <v>295</v>
      </c>
      <c r="E54" s="25" t="s">
        <v>157</v>
      </c>
      <c r="F54" s="3" t="s">
        <v>242</v>
      </c>
      <c r="G54" s="7">
        <v>10</v>
      </c>
      <c r="H54" s="20">
        <v>776.87</v>
      </c>
      <c r="I54" s="23">
        <f>G54*H54</f>
        <v>7768.7</v>
      </c>
    </row>
    <row r="55" spans="1:9" ht="30" x14ac:dyDescent="0.25">
      <c r="A55" s="3">
        <v>49</v>
      </c>
      <c r="B55" s="3" t="s">
        <v>38</v>
      </c>
      <c r="C55" s="18" t="s">
        <v>269</v>
      </c>
      <c r="D55" s="32">
        <v>295</v>
      </c>
      <c r="E55" s="24" t="s">
        <v>158</v>
      </c>
      <c r="F55" s="3" t="s">
        <v>242</v>
      </c>
      <c r="G55" s="7">
        <v>65</v>
      </c>
      <c r="H55" s="20">
        <v>776.87</v>
      </c>
      <c r="I55" s="23">
        <f>G55*H55</f>
        <v>50496.55</v>
      </c>
    </row>
    <row r="56" spans="1:9" ht="30" x14ac:dyDescent="0.25">
      <c r="A56" s="3">
        <v>50</v>
      </c>
      <c r="B56" s="3" t="s">
        <v>39</v>
      </c>
      <c r="C56" s="18" t="s">
        <v>269</v>
      </c>
      <c r="D56" s="32">
        <v>295</v>
      </c>
      <c r="E56" s="24" t="s">
        <v>159</v>
      </c>
      <c r="F56" s="3" t="s">
        <v>242</v>
      </c>
      <c r="G56" s="7">
        <v>85</v>
      </c>
      <c r="H56" s="20">
        <v>776.87</v>
      </c>
      <c r="I56" s="23">
        <f>G56*H56</f>
        <v>66033.95</v>
      </c>
    </row>
    <row r="57" spans="1:9" ht="30" x14ac:dyDescent="0.25">
      <c r="A57" s="3">
        <v>51</v>
      </c>
      <c r="B57" s="3" t="s">
        <v>40</v>
      </c>
      <c r="C57" s="18" t="s">
        <v>269</v>
      </c>
      <c r="D57" s="32">
        <v>295</v>
      </c>
      <c r="E57" s="24" t="s">
        <v>160</v>
      </c>
      <c r="F57" s="3" t="s">
        <v>242</v>
      </c>
      <c r="G57" s="7">
        <v>40</v>
      </c>
      <c r="H57" s="20">
        <v>776.87</v>
      </c>
      <c r="I57" s="23">
        <f>G57*H57</f>
        <v>31074.799999999999</v>
      </c>
    </row>
    <row r="58" spans="1:9" ht="30" x14ac:dyDescent="0.25">
      <c r="A58" s="3">
        <v>52</v>
      </c>
      <c r="B58" s="9" t="s">
        <v>259</v>
      </c>
      <c r="C58" s="18" t="s">
        <v>269</v>
      </c>
      <c r="D58" s="32">
        <v>295</v>
      </c>
      <c r="E58" s="25" t="s">
        <v>161</v>
      </c>
      <c r="F58" s="3" t="s">
        <v>242</v>
      </c>
      <c r="G58" s="7">
        <v>15</v>
      </c>
      <c r="H58" s="20">
        <v>776.87</v>
      </c>
      <c r="I58" s="23">
        <f>G58*H58</f>
        <v>11653.05</v>
      </c>
    </row>
    <row r="59" spans="1:9" ht="30" x14ac:dyDescent="0.25">
      <c r="A59" s="3">
        <v>53</v>
      </c>
      <c r="B59" s="3" t="s">
        <v>41</v>
      </c>
      <c r="C59" s="18" t="s">
        <v>269</v>
      </c>
      <c r="D59" s="32">
        <v>295</v>
      </c>
      <c r="E59" s="25" t="s">
        <v>162</v>
      </c>
      <c r="F59" s="3" t="s">
        <v>242</v>
      </c>
      <c r="G59" s="7">
        <v>208</v>
      </c>
      <c r="H59" s="20">
        <v>776.87</v>
      </c>
      <c r="I59" s="23">
        <f>G59*H59</f>
        <v>161588.96</v>
      </c>
    </row>
    <row r="60" spans="1:9" ht="30" x14ac:dyDescent="0.25">
      <c r="A60" s="3">
        <v>54</v>
      </c>
      <c r="B60" s="3" t="s">
        <v>42</v>
      </c>
      <c r="C60" s="18" t="s">
        <v>269</v>
      </c>
      <c r="D60" s="32">
        <v>295</v>
      </c>
      <c r="E60" s="24" t="s">
        <v>163</v>
      </c>
      <c r="F60" s="3" t="s">
        <v>237</v>
      </c>
      <c r="G60" s="7">
        <v>1300</v>
      </c>
      <c r="H60" s="20">
        <v>54</v>
      </c>
      <c r="I60" s="23">
        <f>G60*H60</f>
        <v>70200</v>
      </c>
    </row>
    <row r="61" spans="1:9" ht="30" x14ac:dyDescent="0.25">
      <c r="A61" s="3">
        <v>55</v>
      </c>
      <c r="B61" s="3" t="s">
        <v>43</v>
      </c>
      <c r="C61" s="18" t="s">
        <v>269</v>
      </c>
      <c r="D61" s="32">
        <v>295</v>
      </c>
      <c r="E61" s="25" t="s">
        <v>164</v>
      </c>
      <c r="F61" s="3" t="s">
        <v>237</v>
      </c>
      <c r="G61" s="7">
        <v>240000</v>
      </c>
      <c r="H61" s="20">
        <v>10.51</v>
      </c>
      <c r="I61" s="23">
        <f>G61*H61</f>
        <v>2522400</v>
      </c>
    </row>
    <row r="62" spans="1:9" ht="30" x14ac:dyDescent="0.25">
      <c r="A62" s="3">
        <v>56</v>
      </c>
      <c r="B62" s="3" t="s">
        <v>44</v>
      </c>
      <c r="C62" s="18" t="s">
        <v>269</v>
      </c>
      <c r="D62" s="32">
        <v>295</v>
      </c>
      <c r="E62" s="24" t="s">
        <v>165</v>
      </c>
      <c r="F62" s="3" t="s">
        <v>237</v>
      </c>
      <c r="G62" s="7">
        <v>25600</v>
      </c>
      <c r="H62" s="20">
        <v>17.14</v>
      </c>
      <c r="I62" s="23">
        <f>G62*H62</f>
        <v>438784</v>
      </c>
    </row>
    <row r="63" spans="1:9" ht="30" x14ac:dyDescent="0.25">
      <c r="A63" s="3">
        <v>57</v>
      </c>
      <c r="B63" s="3" t="s">
        <v>45</v>
      </c>
      <c r="C63" s="18" t="s">
        <v>269</v>
      </c>
      <c r="D63" s="32">
        <v>295</v>
      </c>
      <c r="E63" s="24" t="s">
        <v>166</v>
      </c>
      <c r="F63" s="3" t="s">
        <v>237</v>
      </c>
      <c r="G63" s="7">
        <v>380500</v>
      </c>
      <c r="H63" s="20">
        <v>6.59</v>
      </c>
      <c r="I63" s="23">
        <f>G63*H63</f>
        <v>2507495</v>
      </c>
    </row>
    <row r="64" spans="1:9" ht="30" x14ac:dyDescent="0.25">
      <c r="A64" s="3">
        <v>58</v>
      </c>
      <c r="B64" s="3" t="s">
        <v>46</v>
      </c>
      <c r="C64" s="18" t="s">
        <v>269</v>
      </c>
      <c r="D64" s="32">
        <v>295</v>
      </c>
      <c r="E64" s="24" t="s">
        <v>167</v>
      </c>
      <c r="F64" s="3" t="s">
        <v>237</v>
      </c>
      <c r="G64" s="7">
        <v>7000</v>
      </c>
      <c r="H64" s="20">
        <v>43.72</v>
      </c>
      <c r="I64" s="23">
        <f>G64*H64</f>
        <v>306040</v>
      </c>
    </row>
    <row r="65" spans="1:11" ht="30" x14ac:dyDescent="0.25">
      <c r="A65" s="3">
        <v>59</v>
      </c>
      <c r="B65" s="3" t="s">
        <v>47</v>
      </c>
      <c r="C65" s="18" t="s">
        <v>269</v>
      </c>
      <c r="D65" s="32">
        <v>295</v>
      </c>
      <c r="E65" s="24" t="s">
        <v>168</v>
      </c>
      <c r="F65" s="3" t="s">
        <v>237</v>
      </c>
      <c r="G65" s="7">
        <v>83800</v>
      </c>
      <c r="H65" s="20">
        <v>12.1</v>
      </c>
      <c r="I65" s="23">
        <f>G65*H65</f>
        <v>1013980</v>
      </c>
    </row>
    <row r="66" spans="1:11" ht="30" x14ac:dyDescent="0.25">
      <c r="A66" s="3">
        <v>60</v>
      </c>
      <c r="B66" s="3" t="s">
        <v>48</v>
      </c>
      <c r="C66" s="18" t="s">
        <v>269</v>
      </c>
      <c r="D66" s="32">
        <v>295</v>
      </c>
      <c r="E66" s="24" t="s">
        <v>169</v>
      </c>
      <c r="F66" s="3" t="s">
        <v>237</v>
      </c>
      <c r="G66" s="7">
        <v>36500</v>
      </c>
      <c r="H66" s="20">
        <v>8.0500000000000007</v>
      </c>
      <c r="I66" s="23">
        <f>G66*H66</f>
        <v>293825</v>
      </c>
    </row>
    <row r="67" spans="1:11" ht="30" x14ac:dyDescent="0.25">
      <c r="A67" s="3">
        <v>61</v>
      </c>
      <c r="B67" s="3" t="s">
        <v>49</v>
      </c>
      <c r="C67" s="18" t="s">
        <v>269</v>
      </c>
      <c r="D67" s="32">
        <v>295</v>
      </c>
      <c r="E67" s="24" t="s">
        <v>170</v>
      </c>
      <c r="F67" s="3" t="s">
        <v>237</v>
      </c>
      <c r="G67" s="7">
        <v>40000</v>
      </c>
      <c r="H67" s="20">
        <v>8.1999999999999993</v>
      </c>
      <c r="I67" s="23">
        <f>G67*H67</f>
        <v>328000</v>
      </c>
    </row>
    <row r="68" spans="1:11" ht="45" x14ac:dyDescent="0.25">
      <c r="A68" s="3">
        <v>62</v>
      </c>
      <c r="B68" s="9" t="s">
        <v>260</v>
      </c>
      <c r="C68" s="18" t="s">
        <v>269</v>
      </c>
      <c r="D68" s="32">
        <v>295</v>
      </c>
      <c r="E68" s="41" t="s">
        <v>171</v>
      </c>
      <c r="F68" s="3" t="s">
        <v>237</v>
      </c>
      <c r="G68" s="7">
        <v>153000</v>
      </c>
      <c r="H68" s="20">
        <v>256</v>
      </c>
      <c r="I68" s="23">
        <f>G68*H68</f>
        <v>39168000</v>
      </c>
      <c r="J68" s="45"/>
      <c r="K68" s="46"/>
    </row>
    <row r="69" spans="1:11" ht="30" x14ac:dyDescent="0.25">
      <c r="A69" s="3">
        <v>63</v>
      </c>
      <c r="B69" s="9" t="s">
        <v>261</v>
      </c>
      <c r="C69" s="18" t="s">
        <v>269</v>
      </c>
      <c r="D69" s="27">
        <v>295</v>
      </c>
      <c r="E69" s="24" t="s">
        <v>276</v>
      </c>
      <c r="F69" s="3" t="s">
        <v>237</v>
      </c>
      <c r="G69" s="7">
        <v>288</v>
      </c>
      <c r="H69" s="20">
        <v>318</v>
      </c>
      <c r="I69" s="23">
        <f>G69*H69</f>
        <v>91584</v>
      </c>
    </row>
    <row r="70" spans="1:11" ht="30" x14ac:dyDescent="0.25">
      <c r="A70" s="3">
        <v>64</v>
      </c>
      <c r="B70" s="3" t="s">
        <v>50</v>
      </c>
      <c r="C70" s="18" t="s">
        <v>269</v>
      </c>
      <c r="D70" s="30">
        <v>295</v>
      </c>
      <c r="E70" s="24" t="s">
        <v>172</v>
      </c>
      <c r="F70" s="3" t="s">
        <v>237</v>
      </c>
      <c r="G70" s="7">
        <v>788</v>
      </c>
      <c r="H70" s="20">
        <v>298</v>
      </c>
      <c r="I70" s="23">
        <f>G70*H70</f>
        <v>234824</v>
      </c>
    </row>
    <row r="71" spans="1:11" ht="30" x14ac:dyDescent="0.25">
      <c r="A71" s="3">
        <v>65</v>
      </c>
      <c r="B71" s="3" t="s">
        <v>51</v>
      </c>
      <c r="C71" s="18" t="s">
        <v>269</v>
      </c>
      <c r="D71" s="27">
        <v>295</v>
      </c>
      <c r="E71" s="24" t="s">
        <v>173</v>
      </c>
      <c r="F71" s="3" t="s">
        <v>239</v>
      </c>
      <c r="G71" s="7">
        <v>1050</v>
      </c>
      <c r="H71" s="20">
        <v>71.900000000000006</v>
      </c>
      <c r="I71" s="23">
        <f>G71*H71</f>
        <v>75495</v>
      </c>
    </row>
    <row r="72" spans="1:11" ht="30" x14ac:dyDescent="0.25">
      <c r="A72" s="3">
        <v>66</v>
      </c>
      <c r="B72" s="3" t="s">
        <v>52</v>
      </c>
      <c r="C72" s="18" t="s">
        <v>269</v>
      </c>
      <c r="D72" s="28" t="s">
        <v>277</v>
      </c>
      <c r="E72" s="25" t="s">
        <v>174</v>
      </c>
      <c r="F72" s="3" t="s">
        <v>237</v>
      </c>
      <c r="G72" s="7">
        <v>910</v>
      </c>
      <c r="H72" s="20">
        <v>69.11</v>
      </c>
      <c r="I72" s="23">
        <f>G72*H72</f>
        <v>62890.1</v>
      </c>
    </row>
    <row r="73" spans="1:11" ht="30" x14ac:dyDescent="0.25">
      <c r="A73" s="3">
        <v>67</v>
      </c>
      <c r="B73" s="3" t="s">
        <v>53</v>
      </c>
      <c r="C73" s="18" t="s">
        <v>269</v>
      </c>
      <c r="D73" s="27">
        <v>295</v>
      </c>
      <c r="E73" s="24" t="s">
        <v>175</v>
      </c>
      <c r="F73" s="3" t="s">
        <v>237</v>
      </c>
      <c r="G73" s="7">
        <v>1410</v>
      </c>
      <c r="H73" s="20">
        <v>91.82</v>
      </c>
      <c r="I73" s="23">
        <f>G73*H73</f>
        <v>129466.2</v>
      </c>
    </row>
    <row r="74" spans="1:11" ht="30" x14ac:dyDescent="0.25">
      <c r="A74" s="3">
        <v>68</v>
      </c>
      <c r="B74" s="3" t="s">
        <v>54</v>
      </c>
      <c r="C74" s="18" t="s">
        <v>269</v>
      </c>
      <c r="D74" s="29">
        <v>299</v>
      </c>
      <c r="E74" s="24" t="s">
        <v>176</v>
      </c>
      <c r="F74" s="3" t="s">
        <v>237</v>
      </c>
      <c r="G74" s="7">
        <v>1400</v>
      </c>
      <c r="H74" s="20">
        <v>118.23</v>
      </c>
      <c r="I74" s="23">
        <f>G74*H74</f>
        <v>165522</v>
      </c>
    </row>
    <row r="75" spans="1:11" ht="30" x14ac:dyDescent="0.25">
      <c r="A75" s="3">
        <v>69</v>
      </c>
      <c r="B75" s="3" t="s">
        <v>55</v>
      </c>
      <c r="C75" s="18" t="s">
        <v>269</v>
      </c>
      <c r="D75" s="29">
        <v>299</v>
      </c>
      <c r="E75" s="25" t="s">
        <v>177</v>
      </c>
      <c r="F75" s="3" t="s">
        <v>237</v>
      </c>
      <c r="G75" s="7">
        <v>33000</v>
      </c>
      <c r="H75" s="20">
        <v>38.99</v>
      </c>
      <c r="I75" s="23">
        <f>G75*H75</f>
        <v>1286670</v>
      </c>
    </row>
    <row r="76" spans="1:11" ht="30" x14ac:dyDescent="0.25">
      <c r="A76" s="3">
        <v>70</v>
      </c>
      <c r="B76" s="3" t="s">
        <v>56</v>
      </c>
      <c r="C76" s="18" t="s">
        <v>269</v>
      </c>
      <c r="D76" s="29">
        <v>299</v>
      </c>
      <c r="E76" s="24" t="s">
        <v>178</v>
      </c>
      <c r="F76" s="3" t="s">
        <v>237</v>
      </c>
      <c r="G76" s="7">
        <v>3000</v>
      </c>
      <c r="H76" s="20">
        <v>31</v>
      </c>
      <c r="I76" s="23">
        <f>G76*H76</f>
        <v>93000</v>
      </c>
    </row>
    <row r="77" spans="1:11" ht="30" x14ac:dyDescent="0.25">
      <c r="A77" s="3">
        <v>71</v>
      </c>
      <c r="B77" s="3" t="s">
        <v>57</v>
      </c>
      <c r="C77" s="18" t="s">
        <v>269</v>
      </c>
      <c r="D77" s="29">
        <v>299</v>
      </c>
      <c r="E77" s="24" t="s">
        <v>179</v>
      </c>
      <c r="F77" s="3" t="s">
        <v>237</v>
      </c>
      <c r="G77" s="7">
        <v>1500</v>
      </c>
      <c r="H77" s="20">
        <v>55.5</v>
      </c>
      <c r="I77" s="23">
        <f>G77*H77</f>
        <v>83250</v>
      </c>
    </row>
    <row r="78" spans="1:11" ht="30" x14ac:dyDescent="0.25">
      <c r="A78" s="3">
        <v>72</v>
      </c>
      <c r="B78" s="3" t="s">
        <v>58</v>
      </c>
      <c r="C78" s="18" t="s">
        <v>269</v>
      </c>
      <c r="D78" s="29">
        <v>299</v>
      </c>
      <c r="E78" s="25" t="s">
        <v>180</v>
      </c>
      <c r="F78" s="3" t="s">
        <v>237</v>
      </c>
      <c r="G78" s="7">
        <v>1500</v>
      </c>
      <c r="H78" s="20">
        <v>43.2</v>
      </c>
      <c r="I78" s="23">
        <f>G78*H78</f>
        <v>64800.000000000007</v>
      </c>
    </row>
    <row r="79" spans="1:11" ht="30" x14ac:dyDescent="0.25">
      <c r="A79" s="3">
        <v>73</v>
      </c>
      <c r="B79" s="3" t="s">
        <v>59</v>
      </c>
      <c r="C79" s="18" t="s">
        <v>269</v>
      </c>
      <c r="D79" s="29">
        <v>299</v>
      </c>
      <c r="E79" s="24" t="s">
        <v>181</v>
      </c>
      <c r="F79" s="3" t="s">
        <v>237</v>
      </c>
      <c r="G79" s="7">
        <v>2000</v>
      </c>
      <c r="H79" s="20">
        <v>41.1</v>
      </c>
      <c r="I79" s="23">
        <f>G79*H79</f>
        <v>82200</v>
      </c>
    </row>
    <row r="80" spans="1:11" ht="30" x14ac:dyDescent="0.25">
      <c r="A80" s="3">
        <v>74</v>
      </c>
      <c r="B80" s="3" t="s">
        <v>60</v>
      </c>
      <c r="C80" s="18" t="s">
        <v>269</v>
      </c>
      <c r="D80" s="28">
        <v>299</v>
      </c>
      <c r="E80" s="25" t="s">
        <v>182</v>
      </c>
      <c r="F80" s="3" t="s">
        <v>237</v>
      </c>
      <c r="G80" s="7">
        <v>31000</v>
      </c>
      <c r="H80" s="20">
        <v>26.01</v>
      </c>
      <c r="I80" s="23">
        <f>G80*H80</f>
        <v>806310</v>
      </c>
    </row>
    <row r="81" spans="1:9" ht="30" x14ac:dyDescent="0.25">
      <c r="A81" s="3">
        <v>75</v>
      </c>
      <c r="B81" s="3" t="s">
        <v>61</v>
      </c>
      <c r="C81" s="18" t="s">
        <v>269</v>
      </c>
      <c r="D81" s="27">
        <v>234</v>
      </c>
      <c r="E81" s="24" t="s">
        <v>183</v>
      </c>
      <c r="F81" s="3" t="s">
        <v>237</v>
      </c>
      <c r="G81" s="7">
        <v>40</v>
      </c>
      <c r="H81" s="22">
        <v>230</v>
      </c>
      <c r="I81" s="23">
        <f>G81*H81</f>
        <v>9200</v>
      </c>
    </row>
    <row r="82" spans="1:9" ht="30" x14ac:dyDescent="0.25">
      <c r="A82" s="3">
        <v>76</v>
      </c>
      <c r="B82" s="3" t="s">
        <v>62</v>
      </c>
      <c r="C82" s="18" t="s">
        <v>269</v>
      </c>
      <c r="D82" s="27">
        <v>234</v>
      </c>
      <c r="E82" s="24" t="s">
        <v>184</v>
      </c>
      <c r="F82" s="3" t="s">
        <v>237</v>
      </c>
      <c r="G82" s="7">
        <v>4000</v>
      </c>
      <c r="H82" s="20">
        <v>74.760000000000005</v>
      </c>
      <c r="I82" s="23">
        <f>G82*H82</f>
        <v>299040</v>
      </c>
    </row>
    <row r="83" spans="1:9" ht="30" x14ac:dyDescent="0.25">
      <c r="A83" s="3">
        <v>77</v>
      </c>
      <c r="B83" s="3" t="s">
        <v>63</v>
      </c>
      <c r="C83" s="18" t="s">
        <v>269</v>
      </c>
      <c r="D83" s="28">
        <v>234</v>
      </c>
      <c r="E83" s="25" t="s">
        <v>185</v>
      </c>
      <c r="F83" s="3" t="s">
        <v>237</v>
      </c>
      <c r="G83" s="7">
        <v>1000</v>
      </c>
      <c r="H83" s="20">
        <v>58</v>
      </c>
      <c r="I83" s="23">
        <f>G83*H83</f>
        <v>58000</v>
      </c>
    </row>
    <row r="84" spans="1:9" ht="30" x14ac:dyDescent="0.25">
      <c r="A84" s="3">
        <v>78</v>
      </c>
      <c r="B84" s="3" t="s">
        <v>64</v>
      </c>
      <c r="C84" s="18" t="s">
        <v>269</v>
      </c>
      <c r="D84" s="27">
        <v>234</v>
      </c>
      <c r="E84" s="25" t="s">
        <v>186</v>
      </c>
      <c r="F84" s="3" t="s">
        <v>237</v>
      </c>
      <c r="G84" s="7">
        <v>2500</v>
      </c>
      <c r="H84" s="20">
        <v>68.69</v>
      </c>
      <c r="I84" s="23">
        <f>G84*H84</f>
        <v>171725</v>
      </c>
    </row>
    <row r="85" spans="1:9" ht="30" x14ac:dyDescent="0.25">
      <c r="A85" s="3">
        <v>79</v>
      </c>
      <c r="B85" s="3" t="s">
        <v>65</v>
      </c>
      <c r="C85" s="18" t="s">
        <v>269</v>
      </c>
      <c r="D85" s="27">
        <v>234</v>
      </c>
      <c r="E85" s="25" t="s">
        <v>187</v>
      </c>
      <c r="F85" s="3" t="s">
        <v>243</v>
      </c>
      <c r="G85" s="7">
        <v>2500</v>
      </c>
      <c r="H85" s="20">
        <v>15.25</v>
      </c>
      <c r="I85" s="23">
        <f>G85*H85</f>
        <v>38125</v>
      </c>
    </row>
    <row r="86" spans="1:9" ht="30" x14ac:dyDescent="0.25">
      <c r="A86" s="3">
        <v>80</v>
      </c>
      <c r="B86" s="3" t="s">
        <v>66</v>
      </c>
      <c r="C86" s="18" t="s">
        <v>269</v>
      </c>
      <c r="D86" s="27">
        <v>295</v>
      </c>
      <c r="E86" s="24" t="s">
        <v>188</v>
      </c>
      <c r="F86" s="3" t="s">
        <v>237</v>
      </c>
      <c r="G86" s="7">
        <v>5600</v>
      </c>
      <c r="H86" s="20">
        <v>45.883000000000003</v>
      </c>
      <c r="I86" s="23">
        <f>G86*H86</f>
        <v>256944.80000000002</v>
      </c>
    </row>
    <row r="87" spans="1:9" ht="30" x14ac:dyDescent="0.25">
      <c r="A87" s="3">
        <v>81</v>
      </c>
      <c r="B87" s="3" t="s">
        <v>67</v>
      </c>
      <c r="C87" s="18" t="s">
        <v>269</v>
      </c>
      <c r="D87" s="27">
        <v>295</v>
      </c>
      <c r="E87" s="25" t="s">
        <v>189</v>
      </c>
      <c r="F87" s="3" t="s">
        <v>237</v>
      </c>
      <c r="G87" s="7">
        <v>5600</v>
      </c>
      <c r="H87" s="20">
        <v>45.883000000000003</v>
      </c>
      <c r="I87" s="23">
        <f>G87*H87</f>
        <v>256944.80000000002</v>
      </c>
    </row>
    <row r="88" spans="1:9" ht="30" x14ac:dyDescent="0.25">
      <c r="A88" s="3">
        <v>82</v>
      </c>
      <c r="B88" s="3" t="s">
        <v>68</v>
      </c>
      <c r="C88" s="18" t="s">
        <v>269</v>
      </c>
      <c r="D88" s="27">
        <v>295</v>
      </c>
      <c r="E88" s="24" t="s">
        <v>190</v>
      </c>
      <c r="F88" s="3" t="s">
        <v>237</v>
      </c>
      <c r="G88" s="7">
        <v>23000</v>
      </c>
      <c r="H88" s="20">
        <v>45.88</v>
      </c>
      <c r="I88" s="23">
        <f>G88*H88</f>
        <v>1055240</v>
      </c>
    </row>
    <row r="89" spans="1:9" ht="30" x14ac:dyDescent="0.25">
      <c r="A89" s="3">
        <v>83</v>
      </c>
      <c r="B89" s="3" t="s">
        <v>69</v>
      </c>
      <c r="C89" s="18" t="s">
        <v>269</v>
      </c>
      <c r="D89" s="27">
        <v>295</v>
      </c>
      <c r="E89" s="24" t="s">
        <v>191</v>
      </c>
      <c r="F89" s="3" t="s">
        <v>237</v>
      </c>
      <c r="G89" s="7">
        <v>3800</v>
      </c>
      <c r="H89" s="20">
        <v>45.88</v>
      </c>
      <c r="I89" s="23">
        <f>G89*H89</f>
        <v>174344</v>
      </c>
    </row>
    <row r="90" spans="1:9" ht="30" x14ac:dyDescent="0.25">
      <c r="A90" s="3">
        <v>84</v>
      </c>
      <c r="B90" s="3" t="s">
        <v>70</v>
      </c>
      <c r="C90" s="18" t="s">
        <v>269</v>
      </c>
      <c r="D90" s="27">
        <v>295</v>
      </c>
      <c r="E90" s="25" t="s">
        <v>192</v>
      </c>
      <c r="F90" s="3" t="s">
        <v>237</v>
      </c>
      <c r="G90" s="7">
        <v>1750</v>
      </c>
      <c r="H90" s="20">
        <v>45.88</v>
      </c>
      <c r="I90" s="23">
        <f>G90*H90</f>
        <v>80290</v>
      </c>
    </row>
    <row r="91" spans="1:9" ht="30" x14ac:dyDescent="0.25">
      <c r="A91" s="3">
        <v>85</v>
      </c>
      <c r="B91" s="3" t="s">
        <v>71</v>
      </c>
      <c r="C91" s="18" t="s">
        <v>269</v>
      </c>
      <c r="D91" s="27">
        <v>295</v>
      </c>
      <c r="E91" s="24" t="s">
        <v>193</v>
      </c>
      <c r="F91" s="3" t="s">
        <v>237</v>
      </c>
      <c r="G91" s="7">
        <v>2250</v>
      </c>
      <c r="H91" s="20">
        <v>45.88</v>
      </c>
      <c r="I91" s="23">
        <f>G91*H91</f>
        <v>103230</v>
      </c>
    </row>
    <row r="92" spans="1:9" ht="30" x14ac:dyDescent="0.25">
      <c r="A92" s="3">
        <v>86</v>
      </c>
      <c r="B92" s="3" t="s">
        <v>72</v>
      </c>
      <c r="C92" s="18" t="s">
        <v>269</v>
      </c>
      <c r="D92" s="27">
        <v>295</v>
      </c>
      <c r="E92" s="24" t="s">
        <v>194</v>
      </c>
      <c r="F92" s="3" t="s">
        <v>237</v>
      </c>
      <c r="G92" s="7">
        <v>5750</v>
      </c>
      <c r="H92" s="20">
        <v>45.88</v>
      </c>
      <c r="I92" s="23">
        <f>G92*H92</f>
        <v>263810</v>
      </c>
    </row>
    <row r="93" spans="1:9" ht="30" x14ac:dyDescent="0.25">
      <c r="A93" s="3">
        <v>87</v>
      </c>
      <c r="B93" s="3" t="s">
        <v>73</v>
      </c>
      <c r="C93" s="18" t="s">
        <v>269</v>
      </c>
      <c r="D93" s="27">
        <v>295</v>
      </c>
      <c r="E93" s="24" t="s">
        <v>195</v>
      </c>
      <c r="F93" s="3" t="s">
        <v>237</v>
      </c>
      <c r="G93" s="7">
        <v>5500</v>
      </c>
      <c r="H93" s="20">
        <v>74.760000000000005</v>
      </c>
      <c r="I93" s="23">
        <f>G93*H93</f>
        <v>411180</v>
      </c>
    </row>
    <row r="94" spans="1:9" ht="30" customHeight="1" x14ac:dyDescent="0.25">
      <c r="A94" s="3">
        <v>88</v>
      </c>
      <c r="B94" s="3" t="s">
        <v>74</v>
      </c>
      <c r="C94" s="18" t="s">
        <v>269</v>
      </c>
      <c r="D94" s="27">
        <v>295</v>
      </c>
      <c r="E94" s="24" t="s">
        <v>196</v>
      </c>
      <c r="F94" s="3" t="s">
        <v>237</v>
      </c>
      <c r="G94" s="7">
        <v>3740</v>
      </c>
      <c r="H94" s="22">
        <v>924</v>
      </c>
      <c r="I94" s="23">
        <f>G94*H94</f>
        <v>3455760</v>
      </c>
    </row>
    <row r="95" spans="1:9" ht="30" x14ac:dyDescent="0.25">
      <c r="A95" s="3">
        <v>89</v>
      </c>
      <c r="B95" s="3" t="s">
        <v>75</v>
      </c>
      <c r="C95" s="18" t="s">
        <v>269</v>
      </c>
      <c r="D95" s="27">
        <v>234</v>
      </c>
      <c r="E95" s="24" t="s">
        <v>197</v>
      </c>
      <c r="F95" s="3" t="s">
        <v>244</v>
      </c>
      <c r="G95" s="7">
        <v>12506</v>
      </c>
      <c r="H95" s="20">
        <v>168</v>
      </c>
      <c r="I95" s="23">
        <f>G95*H95</f>
        <v>2101008</v>
      </c>
    </row>
    <row r="96" spans="1:9" ht="30" x14ac:dyDescent="0.25">
      <c r="A96" s="3">
        <v>90</v>
      </c>
      <c r="B96" s="6" t="s">
        <v>76</v>
      </c>
      <c r="C96" s="18" t="s">
        <v>269</v>
      </c>
      <c r="D96" s="27">
        <v>234</v>
      </c>
      <c r="E96" s="25" t="s">
        <v>198</v>
      </c>
      <c r="F96" s="3" t="s">
        <v>244</v>
      </c>
      <c r="G96" s="7">
        <v>8200</v>
      </c>
      <c r="H96" s="20">
        <v>325</v>
      </c>
      <c r="I96" s="23">
        <f>G96*H96</f>
        <v>2665000</v>
      </c>
    </row>
    <row r="97" spans="1:9" ht="30" x14ac:dyDescent="0.25">
      <c r="A97" s="3">
        <v>91</v>
      </c>
      <c r="B97" s="3" t="s">
        <v>77</v>
      </c>
      <c r="C97" s="18" t="s">
        <v>269</v>
      </c>
      <c r="D97" s="27">
        <v>252</v>
      </c>
      <c r="E97" s="25" t="s">
        <v>199</v>
      </c>
      <c r="F97" s="3" t="s">
        <v>244</v>
      </c>
      <c r="G97" s="7">
        <v>1700</v>
      </c>
      <c r="H97" s="20">
        <v>73.5</v>
      </c>
      <c r="I97" s="23">
        <f>G97*H97</f>
        <v>124950</v>
      </c>
    </row>
    <row r="98" spans="1:9" ht="30" x14ac:dyDescent="0.25">
      <c r="A98" s="3">
        <v>92</v>
      </c>
      <c r="B98" s="3" t="s">
        <v>78</v>
      </c>
      <c r="C98" s="18" t="s">
        <v>269</v>
      </c>
      <c r="D98" s="27">
        <v>252</v>
      </c>
      <c r="E98" s="25" t="s">
        <v>200</v>
      </c>
      <c r="F98" s="3" t="s">
        <v>244</v>
      </c>
      <c r="G98" s="7">
        <v>1000</v>
      </c>
      <c r="H98" s="20">
        <v>147</v>
      </c>
      <c r="I98" s="23">
        <f>G98*H98</f>
        <v>147000</v>
      </c>
    </row>
    <row r="99" spans="1:9" ht="30" x14ac:dyDescent="0.25">
      <c r="A99" s="3">
        <v>93</v>
      </c>
      <c r="B99" s="16" t="s">
        <v>79</v>
      </c>
      <c r="C99" s="18" t="s">
        <v>269</v>
      </c>
      <c r="D99" s="27">
        <v>295</v>
      </c>
      <c r="E99" s="24" t="s">
        <v>201</v>
      </c>
      <c r="F99" s="3" t="s">
        <v>244</v>
      </c>
      <c r="G99" s="7">
        <v>2700</v>
      </c>
      <c r="H99" s="20">
        <v>151</v>
      </c>
      <c r="I99" s="23">
        <f>G99*H99</f>
        <v>407700</v>
      </c>
    </row>
    <row r="100" spans="1:9" ht="30" x14ac:dyDescent="0.25">
      <c r="A100" s="3">
        <v>94</v>
      </c>
      <c r="B100" s="3" t="s">
        <v>80</v>
      </c>
      <c r="C100" s="18" t="s">
        <v>269</v>
      </c>
      <c r="D100" s="27">
        <v>295</v>
      </c>
      <c r="E100" s="24" t="s">
        <v>202</v>
      </c>
      <c r="F100" s="3" t="s">
        <v>244</v>
      </c>
      <c r="G100" s="7">
        <v>800</v>
      </c>
      <c r="H100" s="20">
        <v>302</v>
      </c>
      <c r="I100" s="23">
        <f>G100*H100</f>
        <v>241600</v>
      </c>
    </row>
    <row r="101" spans="1:9" ht="30" x14ac:dyDescent="0.25">
      <c r="A101" s="3">
        <v>95</v>
      </c>
      <c r="B101" s="3" t="s">
        <v>81</v>
      </c>
      <c r="C101" s="18" t="s">
        <v>269</v>
      </c>
      <c r="D101" s="27">
        <v>295</v>
      </c>
      <c r="E101" s="24" t="s">
        <v>203</v>
      </c>
      <c r="F101" s="3" t="s">
        <v>237</v>
      </c>
      <c r="G101" s="7">
        <v>620</v>
      </c>
      <c r="H101" s="20">
        <v>560.35</v>
      </c>
      <c r="I101" s="23">
        <f>G101*H101</f>
        <v>347417</v>
      </c>
    </row>
    <row r="102" spans="1:9" ht="30" x14ac:dyDescent="0.25">
      <c r="A102" s="3">
        <v>96</v>
      </c>
      <c r="B102" s="3" t="s">
        <v>82</v>
      </c>
      <c r="C102" s="18" t="s">
        <v>269</v>
      </c>
      <c r="D102" s="27">
        <v>295</v>
      </c>
      <c r="E102" s="24" t="s">
        <v>204</v>
      </c>
      <c r="F102" s="3" t="s">
        <v>237</v>
      </c>
      <c r="G102" s="7">
        <v>150</v>
      </c>
      <c r="H102" s="20">
        <v>55</v>
      </c>
      <c r="I102" s="23">
        <f>G102*H102</f>
        <v>8250</v>
      </c>
    </row>
    <row r="103" spans="1:9" ht="30" x14ac:dyDescent="0.25">
      <c r="A103" s="3">
        <v>97</v>
      </c>
      <c r="B103" s="3" t="s">
        <v>83</v>
      </c>
      <c r="C103" s="18" t="s">
        <v>269</v>
      </c>
      <c r="D103" s="27">
        <v>295</v>
      </c>
      <c r="E103" s="24" t="s">
        <v>205</v>
      </c>
      <c r="F103" s="3" t="s">
        <v>237</v>
      </c>
      <c r="G103" s="7">
        <v>300</v>
      </c>
      <c r="H103" s="20">
        <v>55</v>
      </c>
      <c r="I103" s="23">
        <f>G103*H103</f>
        <v>16500</v>
      </c>
    </row>
    <row r="104" spans="1:9" ht="30" x14ac:dyDescent="0.25">
      <c r="A104" s="3">
        <v>98</v>
      </c>
      <c r="B104" s="10" t="s">
        <v>84</v>
      </c>
      <c r="C104" s="18" t="s">
        <v>269</v>
      </c>
      <c r="D104" s="27">
        <v>295</v>
      </c>
      <c r="E104" s="26" t="s">
        <v>206</v>
      </c>
      <c r="F104" s="3" t="s">
        <v>237</v>
      </c>
      <c r="G104" s="7">
        <v>100</v>
      </c>
      <c r="H104" s="20">
        <v>55</v>
      </c>
      <c r="I104" s="23">
        <f>G104*H104</f>
        <v>5500</v>
      </c>
    </row>
    <row r="105" spans="1:9" ht="30" x14ac:dyDescent="0.25">
      <c r="A105" s="3">
        <v>99</v>
      </c>
      <c r="B105" s="6" t="s">
        <v>85</v>
      </c>
      <c r="C105" s="18" t="s">
        <v>269</v>
      </c>
      <c r="D105" s="27">
        <v>295</v>
      </c>
      <c r="E105" s="24" t="s">
        <v>207</v>
      </c>
      <c r="F105" s="3" t="s">
        <v>245</v>
      </c>
      <c r="G105" s="7">
        <v>120</v>
      </c>
      <c r="H105" s="20">
        <v>125</v>
      </c>
      <c r="I105" s="23">
        <f>G105*H105</f>
        <v>15000</v>
      </c>
    </row>
    <row r="106" spans="1:9" ht="30" x14ac:dyDescent="0.25">
      <c r="A106" s="3">
        <v>100</v>
      </c>
      <c r="B106" s="3" t="s">
        <v>86</v>
      </c>
      <c r="C106" s="18" t="s">
        <v>269</v>
      </c>
      <c r="D106" s="33">
        <v>295</v>
      </c>
      <c r="E106" s="24" t="s">
        <v>208</v>
      </c>
      <c r="F106" s="3" t="s">
        <v>245</v>
      </c>
      <c r="G106" s="7">
        <v>280</v>
      </c>
      <c r="H106" s="20">
        <v>144</v>
      </c>
      <c r="I106" s="23">
        <f>G106*H106</f>
        <v>40320</v>
      </c>
    </row>
    <row r="107" spans="1:9" ht="30" x14ac:dyDescent="0.25">
      <c r="A107" s="3">
        <v>101</v>
      </c>
      <c r="B107" s="9" t="s">
        <v>87</v>
      </c>
      <c r="C107" s="18" t="s">
        <v>269</v>
      </c>
      <c r="D107" s="33">
        <v>295</v>
      </c>
      <c r="E107" s="24" t="s">
        <v>209</v>
      </c>
      <c r="F107" s="3" t="s">
        <v>237</v>
      </c>
      <c r="G107" s="7">
        <v>155</v>
      </c>
      <c r="H107" s="20">
        <v>127.77</v>
      </c>
      <c r="I107" s="23">
        <f>G107*H107</f>
        <v>19804.349999999999</v>
      </c>
    </row>
    <row r="108" spans="1:9" ht="30" x14ac:dyDescent="0.25">
      <c r="A108" s="3">
        <v>102</v>
      </c>
      <c r="B108" s="3" t="s">
        <v>88</v>
      </c>
      <c r="C108" s="18" t="s">
        <v>269</v>
      </c>
      <c r="D108" s="33">
        <v>295</v>
      </c>
      <c r="E108" s="24" t="s">
        <v>210</v>
      </c>
      <c r="F108" s="3" t="s">
        <v>237</v>
      </c>
      <c r="G108" s="7">
        <v>30</v>
      </c>
      <c r="H108" s="20">
        <v>97.86</v>
      </c>
      <c r="I108" s="23">
        <f>G108*H108</f>
        <v>2935.8</v>
      </c>
    </row>
    <row r="109" spans="1:9" ht="30" x14ac:dyDescent="0.25">
      <c r="A109" s="3">
        <v>103</v>
      </c>
      <c r="B109" s="3" t="s">
        <v>89</v>
      </c>
      <c r="C109" s="18" t="s">
        <v>269</v>
      </c>
      <c r="D109" s="33">
        <v>295</v>
      </c>
      <c r="E109" s="24" t="s">
        <v>211</v>
      </c>
      <c r="F109" s="3" t="s">
        <v>237</v>
      </c>
      <c r="G109" s="7">
        <v>30</v>
      </c>
      <c r="H109" s="20">
        <v>97.86</v>
      </c>
      <c r="I109" s="23">
        <f>G109*H109</f>
        <v>2935.8</v>
      </c>
    </row>
    <row r="110" spans="1:9" ht="30" x14ac:dyDescent="0.25">
      <c r="A110" s="3">
        <v>104</v>
      </c>
      <c r="B110" s="9" t="s">
        <v>90</v>
      </c>
      <c r="C110" s="18" t="s">
        <v>269</v>
      </c>
      <c r="D110" s="33">
        <v>295</v>
      </c>
      <c r="E110" s="25" t="s">
        <v>212</v>
      </c>
      <c r="F110" s="3" t="s">
        <v>237</v>
      </c>
      <c r="G110" s="7">
        <v>120</v>
      </c>
      <c r="H110" s="20">
        <v>97.86</v>
      </c>
      <c r="I110" s="23">
        <f>G110*H110</f>
        <v>11743.2</v>
      </c>
    </row>
    <row r="111" spans="1:9" ht="30" x14ac:dyDescent="0.25">
      <c r="A111" s="3">
        <v>105</v>
      </c>
      <c r="B111" s="3" t="s">
        <v>91</v>
      </c>
      <c r="C111" s="18" t="s">
        <v>269</v>
      </c>
      <c r="D111" s="33">
        <v>295</v>
      </c>
      <c r="E111" s="24" t="s">
        <v>213</v>
      </c>
      <c r="F111" s="3" t="s">
        <v>237</v>
      </c>
      <c r="G111" s="7">
        <v>50</v>
      </c>
      <c r="H111" s="20">
        <v>97.86</v>
      </c>
      <c r="I111" s="23">
        <f>G111*H111</f>
        <v>4893</v>
      </c>
    </row>
    <row r="112" spans="1:9" ht="30" x14ac:dyDescent="0.25">
      <c r="A112" s="3">
        <v>106</v>
      </c>
      <c r="B112" s="3" t="s">
        <v>92</v>
      </c>
      <c r="C112" s="18" t="s">
        <v>269</v>
      </c>
      <c r="D112" s="33">
        <v>295</v>
      </c>
      <c r="E112" s="25" t="s">
        <v>214</v>
      </c>
      <c r="F112" s="3" t="s">
        <v>237</v>
      </c>
      <c r="G112" s="7">
        <v>50</v>
      </c>
      <c r="H112" s="20">
        <v>97.86</v>
      </c>
      <c r="I112" s="23">
        <f>G112*H112</f>
        <v>4893</v>
      </c>
    </row>
    <row r="113" spans="1:9" ht="30" x14ac:dyDescent="0.25">
      <c r="A113" s="3">
        <v>107</v>
      </c>
      <c r="B113" s="3" t="s">
        <v>93</v>
      </c>
      <c r="C113" s="18" t="s">
        <v>269</v>
      </c>
      <c r="D113" s="33">
        <v>295</v>
      </c>
      <c r="E113" s="25" t="s">
        <v>215</v>
      </c>
      <c r="F113" s="3" t="s">
        <v>237</v>
      </c>
      <c r="G113" s="7">
        <v>50</v>
      </c>
      <c r="H113" s="20">
        <v>97.86</v>
      </c>
      <c r="I113" s="23">
        <f>G113*H113</f>
        <v>4893</v>
      </c>
    </row>
    <row r="114" spans="1:9" ht="30" x14ac:dyDescent="0.25">
      <c r="A114" s="3">
        <v>108</v>
      </c>
      <c r="B114" s="3" t="s">
        <v>94</v>
      </c>
      <c r="C114" s="18" t="s">
        <v>269</v>
      </c>
      <c r="D114" s="33">
        <v>295</v>
      </c>
      <c r="E114" s="24" t="s">
        <v>216</v>
      </c>
      <c r="F114" s="3" t="s">
        <v>237</v>
      </c>
      <c r="G114" s="7">
        <v>35</v>
      </c>
      <c r="H114" s="20">
        <v>97.86</v>
      </c>
      <c r="I114" s="23">
        <f>G114*H114</f>
        <v>3425.1</v>
      </c>
    </row>
    <row r="115" spans="1:9" ht="30" x14ac:dyDescent="0.25">
      <c r="A115" s="3">
        <v>109</v>
      </c>
      <c r="B115" s="3" t="s">
        <v>95</v>
      </c>
      <c r="C115" s="18" t="s">
        <v>269</v>
      </c>
      <c r="D115" s="33">
        <v>295</v>
      </c>
      <c r="E115" s="24" t="s">
        <v>217</v>
      </c>
      <c r="F115" s="3" t="s">
        <v>237</v>
      </c>
      <c r="G115" s="7">
        <v>250</v>
      </c>
      <c r="H115" s="20">
        <v>127.77</v>
      </c>
      <c r="I115" s="23">
        <f>G115*H115</f>
        <v>31942.5</v>
      </c>
    </row>
    <row r="116" spans="1:9" ht="30" x14ac:dyDescent="0.25">
      <c r="A116" s="3">
        <v>110</v>
      </c>
      <c r="B116" s="3" t="s">
        <v>96</v>
      </c>
      <c r="C116" s="18" t="s">
        <v>269</v>
      </c>
      <c r="D116" s="33">
        <v>295</v>
      </c>
      <c r="E116" s="24" t="s">
        <v>218</v>
      </c>
      <c r="F116" s="3" t="s">
        <v>237</v>
      </c>
      <c r="G116" s="7">
        <v>250</v>
      </c>
      <c r="H116" s="20">
        <v>127.77</v>
      </c>
      <c r="I116" s="23">
        <f>G116*H116</f>
        <v>31942.5</v>
      </c>
    </row>
    <row r="117" spans="1:9" ht="30" x14ac:dyDescent="0.25">
      <c r="A117" s="3">
        <v>111</v>
      </c>
      <c r="B117" s="3" t="s">
        <v>97</v>
      </c>
      <c r="C117" s="18" t="s">
        <v>269</v>
      </c>
      <c r="D117" s="33">
        <v>295</v>
      </c>
      <c r="E117" s="24" t="s">
        <v>219</v>
      </c>
      <c r="F117" s="3" t="s">
        <v>237</v>
      </c>
      <c r="G117" s="7">
        <v>200</v>
      </c>
      <c r="H117" s="20">
        <v>127.77</v>
      </c>
      <c r="I117" s="23">
        <f>G117*H117</f>
        <v>25554</v>
      </c>
    </row>
    <row r="118" spans="1:9" ht="30" x14ac:dyDescent="0.25">
      <c r="A118" s="3">
        <v>112</v>
      </c>
      <c r="B118" s="3" t="s">
        <v>98</v>
      </c>
      <c r="C118" s="18" t="s">
        <v>269</v>
      </c>
      <c r="D118" s="33">
        <v>295</v>
      </c>
      <c r="E118" s="24" t="s">
        <v>220</v>
      </c>
      <c r="F118" s="3" t="s">
        <v>237</v>
      </c>
      <c r="G118" s="7">
        <v>200</v>
      </c>
      <c r="H118" s="20">
        <v>127.77</v>
      </c>
      <c r="I118" s="23">
        <f>G118*H118</f>
        <v>25554</v>
      </c>
    </row>
    <row r="119" spans="1:9" ht="30" x14ac:dyDescent="0.25">
      <c r="A119" s="3">
        <v>113</v>
      </c>
      <c r="B119" s="3" t="s">
        <v>99</v>
      </c>
      <c r="C119" s="18" t="s">
        <v>269</v>
      </c>
      <c r="D119" s="33">
        <v>295</v>
      </c>
      <c r="E119" s="25" t="s">
        <v>221</v>
      </c>
      <c r="F119" s="3" t="s">
        <v>237</v>
      </c>
      <c r="G119" s="7">
        <v>275</v>
      </c>
      <c r="H119" s="20">
        <v>127.73</v>
      </c>
      <c r="I119" s="23">
        <f>G119*H119</f>
        <v>35125.75</v>
      </c>
    </row>
    <row r="120" spans="1:9" ht="30" x14ac:dyDescent="0.25">
      <c r="A120" s="3">
        <v>114</v>
      </c>
      <c r="B120" s="3" t="s">
        <v>100</v>
      </c>
      <c r="C120" s="18" t="s">
        <v>269</v>
      </c>
      <c r="D120" s="33">
        <v>295</v>
      </c>
      <c r="E120" s="25" t="s">
        <v>222</v>
      </c>
      <c r="F120" s="3" t="s">
        <v>237</v>
      </c>
      <c r="G120" s="7">
        <v>675</v>
      </c>
      <c r="H120" s="20">
        <v>127.73</v>
      </c>
      <c r="I120" s="23">
        <f>G120*H120</f>
        <v>86217.75</v>
      </c>
    </row>
    <row r="121" spans="1:9" ht="30" x14ac:dyDescent="0.25">
      <c r="A121" s="3">
        <v>115</v>
      </c>
      <c r="B121" s="3" t="s">
        <v>101</v>
      </c>
      <c r="C121" s="18" t="s">
        <v>269</v>
      </c>
      <c r="D121" s="33">
        <v>295</v>
      </c>
      <c r="E121" s="25" t="s">
        <v>223</v>
      </c>
      <c r="F121" s="3" t="s">
        <v>237</v>
      </c>
      <c r="G121" s="7">
        <v>585</v>
      </c>
      <c r="H121" s="20">
        <v>127.73</v>
      </c>
      <c r="I121" s="23">
        <f>G121*H121</f>
        <v>74722.05</v>
      </c>
    </row>
    <row r="122" spans="1:9" ht="30" x14ac:dyDescent="0.25">
      <c r="A122" s="3">
        <v>116</v>
      </c>
      <c r="B122" s="3" t="s">
        <v>102</v>
      </c>
      <c r="C122" s="18" t="s">
        <v>269</v>
      </c>
      <c r="D122" s="33">
        <v>295</v>
      </c>
      <c r="E122" s="25" t="s">
        <v>224</v>
      </c>
      <c r="F122" s="3" t="s">
        <v>237</v>
      </c>
      <c r="G122" s="7">
        <v>685</v>
      </c>
      <c r="H122" s="20">
        <v>127.73</v>
      </c>
      <c r="I122" s="23">
        <f>G122*H122</f>
        <v>87495.05</v>
      </c>
    </row>
    <row r="123" spans="1:9" ht="30" x14ac:dyDescent="0.25">
      <c r="A123" s="3">
        <v>117</v>
      </c>
      <c r="B123" s="3" t="s">
        <v>103</v>
      </c>
      <c r="C123" s="18" t="s">
        <v>269</v>
      </c>
      <c r="D123" s="33">
        <v>295</v>
      </c>
      <c r="E123" s="24" t="s">
        <v>225</v>
      </c>
      <c r="F123" s="3" t="s">
        <v>237</v>
      </c>
      <c r="G123" s="7">
        <v>420</v>
      </c>
      <c r="H123" s="20">
        <v>127.77</v>
      </c>
      <c r="I123" s="23">
        <f>G123*H123</f>
        <v>53663.4</v>
      </c>
    </row>
    <row r="124" spans="1:9" ht="30" x14ac:dyDescent="0.25">
      <c r="A124" s="3">
        <v>118</v>
      </c>
      <c r="B124" s="3" t="s">
        <v>104</v>
      </c>
      <c r="C124" s="18" t="s">
        <v>269</v>
      </c>
      <c r="D124" s="33">
        <v>295</v>
      </c>
      <c r="E124" s="24" t="s">
        <v>278</v>
      </c>
      <c r="F124" s="3" t="s">
        <v>237</v>
      </c>
      <c r="G124" s="7">
        <v>400</v>
      </c>
      <c r="H124" s="20">
        <v>127.77</v>
      </c>
      <c r="I124" s="23">
        <f>G124*H124</f>
        <v>51108</v>
      </c>
    </row>
    <row r="125" spans="1:9" ht="30" x14ac:dyDescent="0.25">
      <c r="A125" s="3">
        <v>119</v>
      </c>
      <c r="B125" s="3" t="s">
        <v>105</v>
      </c>
      <c r="C125" s="18" t="s">
        <v>269</v>
      </c>
      <c r="D125" s="33">
        <v>295</v>
      </c>
      <c r="E125" s="25" t="s">
        <v>226</v>
      </c>
      <c r="F125" s="3" t="s">
        <v>237</v>
      </c>
      <c r="G125" s="7">
        <v>200</v>
      </c>
      <c r="H125" s="20">
        <v>127.77</v>
      </c>
      <c r="I125" s="23">
        <f>G125*H125</f>
        <v>25554</v>
      </c>
    </row>
    <row r="126" spans="1:9" ht="30" x14ac:dyDescent="0.25">
      <c r="A126" s="3">
        <v>120</v>
      </c>
      <c r="B126" s="3" t="s">
        <v>106</v>
      </c>
      <c r="C126" s="18" t="s">
        <v>269</v>
      </c>
      <c r="D126" s="33">
        <v>295</v>
      </c>
      <c r="E126" s="24" t="s">
        <v>227</v>
      </c>
      <c r="F126" s="3" t="s">
        <v>237</v>
      </c>
      <c r="G126" s="7">
        <v>200</v>
      </c>
      <c r="H126" s="20">
        <v>127.77</v>
      </c>
      <c r="I126" s="23">
        <f>G126*H126</f>
        <v>25554</v>
      </c>
    </row>
    <row r="127" spans="1:9" ht="30" x14ac:dyDescent="0.25">
      <c r="A127" s="3">
        <v>121</v>
      </c>
      <c r="B127" s="3" t="s">
        <v>107</v>
      </c>
      <c r="C127" s="18" t="s">
        <v>269</v>
      </c>
      <c r="D127" s="33">
        <v>295</v>
      </c>
      <c r="E127" s="24" t="s">
        <v>279</v>
      </c>
      <c r="F127" s="3" t="s">
        <v>237</v>
      </c>
      <c r="G127" s="7">
        <v>450</v>
      </c>
      <c r="H127" s="20">
        <v>97.86</v>
      </c>
      <c r="I127" s="23">
        <f>G127*H127</f>
        <v>44037</v>
      </c>
    </row>
    <row r="128" spans="1:9" ht="45" x14ac:dyDescent="0.25">
      <c r="A128" s="3">
        <v>122</v>
      </c>
      <c r="B128" s="11" t="s">
        <v>108</v>
      </c>
      <c r="C128" s="18" t="s">
        <v>269</v>
      </c>
      <c r="D128" s="33">
        <v>295</v>
      </c>
      <c r="E128" s="24" t="s">
        <v>228</v>
      </c>
      <c r="F128" s="3" t="s">
        <v>237</v>
      </c>
      <c r="G128" s="7">
        <v>240</v>
      </c>
      <c r="H128" s="20">
        <v>97.86</v>
      </c>
      <c r="I128" s="23">
        <f>G128*H128</f>
        <v>23486.400000000001</v>
      </c>
    </row>
    <row r="129" spans="1:9" ht="30" x14ac:dyDescent="0.25">
      <c r="A129" s="3">
        <v>123</v>
      </c>
      <c r="B129" s="3" t="s">
        <v>262</v>
      </c>
      <c r="C129" s="18" t="s">
        <v>269</v>
      </c>
      <c r="D129" s="33">
        <v>295</v>
      </c>
      <c r="E129" s="24" t="s">
        <v>280</v>
      </c>
      <c r="F129" s="3" t="s">
        <v>244</v>
      </c>
      <c r="G129" s="7">
        <v>84</v>
      </c>
      <c r="H129" s="20">
        <v>5900</v>
      </c>
      <c r="I129" s="23">
        <f>G129*H129</f>
        <v>495600</v>
      </c>
    </row>
    <row r="130" spans="1:9" ht="30" x14ac:dyDescent="0.25">
      <c r="A130" s="3">
        <v>124</v>
      </c>
      <c r="B130" s="3" t="s">
        <v>263</v>
      </c>
      <c r="C130" s="18" t="s">
        <v>269</v>
      </c>
      <c r="D130" s="33">
        <v>295</v>
      </c>
      <c r="E130" s="24" t="s">
        <v>281</v>
      </c>
      <c r="F130" s="3" t="s">
        <v>244</v>
      </c>
      <c r="G130" s="7">
        <v>7</v>
      </c>
      <c r="H130" s="20">
        <v>9300</v>
      </c>
      <c r="I130" s="23">
        <f>G130*H130</f>
        <v>65100</v>
      </c>
    </row>
    <row r="131" spans="1:9" ht="30" x14ac:dyDescent="0.25">
      <c r="A131" s="3">
        <v>125</v>
      </c>
      <c r="B131" s="3" t="s">
        <v>264</v>
      </c>
      <c r="C131" s="18" t="s">
        <v>269</v>
      </c>
      <c r="D131" s="33">
        <v>295</v>
      </c>
      <c r="E131" s="24" t="s">
        <v>282</v>
      </c>
      <c r="F131" s="3" t="s">
        <v>244</v>
      </c>
      <c r="G131" s="7">
        <v>13</v>
      </c>
      <c r="H131" s="20">
        <v>5900</v>
      </c>
      <c r="I131" s="23">
        <f>G131*H131</f>
        <v>76700</v>
      </c>
    </row>
    <row r="132" spans="1:9" ht="30" x14ac:dyDescent="0.25">
      <c r="A132" s="3">
        <v>126</v>
      </c>
      <c r="B132" s="3" t="s">
        <v>109</v>
      </c>
      <c r="C132" s="18" t="s">
        <v>269</v>
      </c>
      <c r="D132" s="32">
        <v>295</v>
      </c>
      <c r="E132" s="24" t="s">
        <v>229</v>
      </c>
      <c r="F132" s="3" t="s">
        <v>244</v>
      </c>
      <c r="G132" s="7">
        <v>10510</v>
      </c>
      <c r="H132" s="20">
        <v>39.14</v>
      </c>
      <c r="I132" s="23">
        <f>G132*H132</f>
        <v>411361.4</v>
      </c>
    </row>
    <row r="133" spans="1:9" ht="30" x14ac:dyDescent="0.25">
      <c r="A133" s="3">
        <v>127</v>
      </c>
      <c r="B133" s="9" t="s">
        <v>110</v>
      </c>
      <c r="C133" s="18" t="s">
        <v>269</v>
      </c>
      <c r="D133" s="32">
        <v>295</v>
      </c>
      <c r="E133" s="25" t="s">
        <v>230</v>
      </c>
      <c r="F133" s="3" t="s">
        <v>244</v>
      </c>
      <c r="G133" s="7">
        <v>500</v>
      </c>
      <c r="H133" s="20">
        <v>50.42</v>
      </c>
      <c r="I133" s="23">
        <f>G133*H133</f>
        <v>25210</v>
      </c>
    </row>
    <row r="134" spans="1:9" ht="30" x14ac:dyDescent="0.25">
      <c r="A134" s="3">
        <v>128</v>
      </c>
      <c r="B134" s="3" t="s">
        <v>111</v>
      </c>
      <c r="C134" s="18" t="s">
        <v>269</v>
      </c>
      <c r="D134" s="32">
        <v>295</v>
      </c>
      <c r="E134" s="24" t="s">
        <v>231</v>
      </c>
      <c r="F134" s="3" t="s">
        <v>244</v>
      </c>
      <c r="G134" s="7">
        <v>6010</v>
      </c>
      <c r="H134" s="20">
        <v>71.23</v>
      </c>
      <c r="I134" s="23">
        <f>G134*H134</f>
        <v>428092.30000000005</v>
      </c>
    </row>
    <row r="135" spans="1:9" ht="30" x14ac:dyDescent="0.25">
      <c r="A135" s="3">
        <v>129</v>
      </c>
      <c r="B135" s="3" t="s">
        <v>112</v>
      </c>
      <c r="C135" s="18" t="s">
        <v>269</v>
      </c>
      <c r="D135" s="32">
        <v>295</v>
      </c>
      <c r="E135" s="24" t="s">
        <v>232</v>
      </c>
      <c r="F135" s="3" t="s">
        <v>244</v>
      </c>
      <c r="G135" s="7">
        <v>4</v>
      </c>
      <c r="H135" s="20">
        <v>3950</v>
      </c>
      <c r="I135" s="23">
        <f>G135*H135</f>
        <v>15800</v>
      </c>
    </row>
    <row r="136" spans="1:9" ht="30" x14ac:dyDescent="0.25">
      <c r="A136" s="3">
        <v>130</v>
      </c>
      <c r="B136" s="3" t="s">
        <v>113</v>
      </c>
      <c r="C136" s="18" t="s">
        <v>269</v>
      </c>
      <c r="D136" s="32">
        <v>295</v>
      </c>
      <c r="E136" s="24" t="s">
        <v>233</v>
      </c>
      <c r="F136" s="3" t="s">
        <v>237</v>
      </c>
      <c r="G136" s="7">
        <v>1960</v>
      </c>
      <c r="H136" s="20">
        <v>214.99</v>
      </c>
      <c r="I136" s="23">
        <f>G136*H136</f>
        <v>421380.4</v>
      </c>
    </row>
    <row r="137" spans="1:9" ht="39.75" customHeight="1" x14ac:dyDescent="0.25">
      <c r="A137" s="3">
        <v>131</v>
      </c>
      <c r="B137" s="3" t="s">
        <v>114</v>
      </c>
      <c r="C137" s="18" t="s">
        <v>269</v>
      </c>
      <c r="D137" s="32">
        <v>295</v>
      </c>
      <c r="E137" s="25" t="s">
        <v>234</v>
      </c>
      <c r="F137" s="3" t="s">
        <v>237</v>
      </c>
      <c r="G137" s="7">
        <v>1300</v>
      </c>
      <c r="H137" s="20">
        <v>294.72000000000003</v>
      </c>
      <c r="I137" s="23">
        <f>G137*H137</f>
        <v>383136.00000000006</v>
      </c>
    </row>
    <row r="138" spans="1:9" ht="40.5" customHeight="1" x14ac:dyDescent="0.25">
      <c r="A138" s="3">
        <v>132</v>
      </c>
      <c r="B138" s="3" t="s">
        <v>115</v>
      </c>
      <c r="C138" s="18" t="s">
        <v>269</v>
      </c>
      <c r="D138" s="27">
        <v>295</v>
      </c>
      <c r="E138" s="24" t="s">
        <v>235</v>
      </c>
      <c r="F138" s="3" t="s">
        <v>237</v>
      </c>
      <c r="G138" s="7">
        <v>1000</v>
      </c>
      <c r="H138" s="20">
        <v>381.36</v>
      </c>
      <c r="I138" s="23">
        <f>G138*H138</f>
        <v>381360</v>
      </c>
    </row>
    <row r="139" spans="1:9" ht="37.5" customHeight="1" thickBot="1" x14ac:dyDescent="0.3">
      <c r="A139" s="3">
        <v>133</v>
      </c>
      <c r="B139" s="14" t="s">
        <v>283</v>
      </c>
      <c r="C139" s="18" t="s">
        <v>274</v>
      </c>
      <c r="D139" s="27">
        <v>295</v>
      </c>
      <c r="E139" s="24" t="s">
        <v>236</v>
      </c>
      <c r="F139" s="3" t="s">
        <v>237</v>
      </c>
      <c r="G139" s="7">
        <v>1050</v>
      </c>
      <c r="H139" s="20">
        <v>89</v>
      </c>
      <c r="I139" s="23">
        <f>G139*H139</f>
        <v>93450</v>
      </c>
    </row>
    <row r="140" spans="1:9" ht="19.5" thickBot="1" x14ac:dyDescent="0.3">
      <c r="I140" s="36">
        <f>SUM(I7:I139)</f>
        <v>156145860.18000004</v>
      </c>
    </row>
    <row r="143" spans="1:9" ht="15" customHeight="1" x14ac:dyDescent="0.25">
      <c r="A143" s="42" t="s">
        <v>286</v>
      </c>
      <c r="B143" s="42"/>
      <c r="C143" s="42"/>
      <c r="D143" s="42"/>
      <c r="E143" s="42"/>
    </row>
    <row r="144" spans="1:9" ht="53.25" customHeight="1" x14ac:dyDescent="0.25">
      <c r="A144" s="42"/>
      <c r="B144" s="42"/>
      <c r="C144" s="42"/>
      <c r="D144" s="42"/>
      <c r="E144" s="42"/>
    </row>
    <row r="1048576" spans="3:3" x14ac:dyDescent="0.25">
      <c r="C1048576" s="1" t="s">
        <v>269</v>
      </c>
    </row>
  </sheetData>
  <mergeCells count="5">
    <mergeCell ref="A143:E144"/>
    <mergeCell ref="F3:H3"/>
    <mergeCell ref="C2:I2"/>
    <mergeCell ref="J21:L21"/>
    <mergeCell ref="J68:K68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ADRIAN</cp:lastModifiedBy>
  <dcterms:created xsi:type="dcterms:W3CDTF">2021-11-29T14:00:08Z</dcterms:created>
  <dcterms:modified xsi:type="dcterms:W3CDTF">2022-04-07T12:03:56Z</dcterms:modified>
</cp:coreProperties>
</file>