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8" yWindow="-108" windowWidth="19416" windowHeight="11016" tabRatio="500" activeTab="2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Trimestrales'!$A$9:$I$53</definedName>
    <definedName name="_xlnm.Print_Area" localSheetId="2">'Autor Gastar'!$A$1:$Q$28</definedName>
    <definedName name="_xlnm.Print_Area" localSheetId="1">NotaPedido!$A$1:$K$56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54" i="2"/>
  <c r="D52" i="1" l="1"/>
  <c r="D53"/>
  <c r="D11" l="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10"/>
  <c r="B15" i="2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54"/>
  <c r="B55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43"/>
  <c r="C44"/>
  <c r="C45"/>
  <c r="C46"/>
  <c r="C47"/>
  <c r="C48"/>
  <c r="C49"/>
  <c r="C50"/>
  <c r="C51"/>
  <c r="C52"/>
  <c r="C53"/>
  <c r="C54"/>
  <c r="C55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5"/>
  <c r="A27" i="3"/>
  <c r="A10"/>
  <c r="J17" i="2"/>
  <c r="K16"/>
  <c r="J16"/>
  <c r="I16"/>
  <c r="K15"/>
  <c r="J15"/>
  <c r="I15"/>
  <c r="C15"/>
  <c r="K14"/>
  <c r="J14"/>
  <c r="I14"/>
  <c r="C14"/>
  <c r="B14"/>
  <c r="K13"/>
  <c r="J13"/>
  <c r="I13"/>
  <c r="C13"/>
  <c r="B13"/>
  <c r="K12"/>
  <c r="J12"/>
  <c r="I12"/>
  <c r="C12"/>
  <c r="B12"/>
  <c r="I53" i="1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J56" i="2" l="1"/>
  <c r="G6" i="3" l="1"/>
  <c r="G7"/>
  <c r="D7" i="2"/>
  <c r="D3"/>
  <c r="G4" i="3" s="1"/>
  <c r="D4" i="2"/>
  <c r="G5" i="3" s="1"/>
  <c r="D1" l="1"/>
  <c r="Q24"/>
</calcChain>
</file>

<file path=xl/sharedStrings.xml><?xml version="1.0" encoding="utf-8"?>
<sst xmlns="http://schemas.openxmlformats.org/spreadsheetml/2006/main" count="523" uniqueCount="233">
  <si>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</si>
  <si>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</si>
  <si>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</si>
  <si>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</si>
  <si>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</si>
  <si>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</si>
  <si>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</si>
  <si>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</si>
  <si>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</si>
  <si>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</si>
  <si>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</si>
  <si>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</si>
  <si>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</si>
  <si>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</si>
  <si>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</si>
  <si>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</si>
  <si>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</si>
  <si>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</si>
  <si>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</si>
  <si>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</si>
  <si>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</si>
  <si>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</si>
  <si>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</si>
  <si>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</si>
  <si>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</si>
  <si>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</si>
  <si>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</si>
  <si>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</si>
  <si>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</si>
  <si>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</si>
  <si>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</si>
  <si>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</si>
  <si>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</si>
  <si>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</si>
  <si>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</si>
  <si>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</si>
  <si>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</si>
  <si>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</si>
  <si>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</si>
  <si>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</si>
  <si>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</si>
  <si>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</si>
  <si>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</si>
  <si>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</si>
  <si>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</si>
  <si>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</si>
  <si>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</si>
  <si>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</si>
  <si>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</si>
  <si>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</si>
  <si>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</si>
  <si>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</si>
  <si>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</si>
  <si>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</si>
  <si>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</si>
  <si>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</si>
  <si>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</si>
  <si>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</si>
  <si>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</si>
  <si>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</si>
  <si>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</si>
  <si>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3.1</t>
  </si>
  <si>
    <t>1.1</t>
  </si>
  <si>
    <t>LIMPIADORES; TIPO: LAVANDINA, PRESENTACION: ENVASE X 1 L</t>
  </si>
  <si>
    <t>CERAS; TIPO: LIQUIDO, USO: UNIVERSAL, PRESENTACION: ENVASE X 5 L</t>
  </si>
  <si>
    <t>LIMPIADORES; TIPO: HIPOCLORITO, PRESENTACION: ENVASE X 5 L</t>
  </si>
  <si>
    <t>LIMPIADORES; TIPO: DETERGENTE ENZIMATICO, PRESENTACION: ENVASE X 5 L, BIODEGRADABLE: SI</t>
  </si>
  <si>
    <t>DESODORANTES DE AMBIENTE; FORMATO: AEROSOL, FRAGANCIA: ORIGINAL, PRESENTACION: ENVASE X 360 CM3, LIBRE DE CFC: SI</t>
  </si>
  <si>
    <t>DESINFECTANTES; CAPACIDAD: 5 L, USO P/CONTROL: BACTERIAS, PRINCIPIO ACTIVO: SAL AMONIO CUATERNARIO, PRESENTACION: ENVASE X 5 L, CONTROL: BACTERIAS</t>
  </si>
  <si>
    <t>LIMPIADORES MULTIUSO; COMPUESTOS BIODEGRADABLES: SI, PRESENTACION: ENVASE X 5 L, TIPO: SECUESTRANTE D/POLVO P/LAMPAZO</t>
  </si>
  <si>
    <t>ELEM. LIMPIEZA P/INDUMENTARIA; TIPO: JABON EN POLVO, PRESENTACION: ENVASE X 3 Kg</t>
  </si>
  <si>
    <t>GUANTES P/LIMPIEZA; MATERIAL: LATEX C/FELPA INTERIOR, TAMAÑO: CHICO</t>
  </si>
  <si>
    <t>GUANTES P/LIMPIEZA; TAMAÑO: MEDIANO, MATERIAL: LATEX C/FELPA INTERIOR</t>
  </si>
  <si>
    <t>GUANTES P/LIMPIEZA; TAMAÑO: GRANDE, MATERIAL: LATEX C/FELPA INTERIOR</t>
  </si>
  <si>
    <t>CEPILLOS; TIPO: ESCOBILLA LIMPIA INODORO, MATERIAL: PLASTICO</t>
  </si>
  <si>
    <t>ESPONJA DE ACERO; CUERPO: ACERO INOXIDABLE, PESO: 20 GR, MATERIAL DEL CUERPO: ACERO INOXIDABLE, MATERIAL: ACERO INOXIDABLE</t>
  </si>
  <si>
    <t>ESPONJAS; MATERIAL: FIBRA VERDE, USO: COCINA, ADITAMENTO: SIN, FORMA: RECTANGULAR, LARGO X ANCHO X ESP: 22 X 16 mm</t>
  </si>
  <si>
    <t>ELEM. LIMPIEZA P/INDUMENTARIA; TIPO: JABON EN PAN, PRESENTACION: 200 GR</t>
  </si>
  <si>
    <t>JARRAS; MATERIAL: PLASTICO, CAPACIDAD: 1 L</t>
  </si>
  <si>
    <t>LIMPIADORES; TIPO: LIMPIAVIDRIOS, PRESENTACION: ENVASE X 5 L</t>
  </si>
  <si>
    <t>LIMPIADORES; TIPO: QUITASARRO, PRESENTACION: ENVASE X 500 CM3</t>
  </si>
  <si>
    <t>LIMPIADORES; TIPO: POLVO LIMPIADOR, PRESENTACION: ENVASE X 400 GR</t>
  </si>
  <si>
    <t>PULVERIZADORES; MATERIAL: PLASTICO REFORZADO, CAPACIDAD: 1000 CM3, TIPO: MANUAL</t>
  </si>
  <si>
    <t>SECADORES DE GOMA; LARGO: 40 Cm, COLOR: NEGRO</t>
  </si>
  <si>
    <t>SECADORES DE GOMA; LARGO: 80 Cm, COLOR: ROJO</t>
  </si>
  <si>
    <t>ELEM. LIMPIEZA P/INDUMENTARIA; TIPO: SUAVIZANTE P/ROPA, PRESENTACION: ENVASE X 5 L</t>
  </si>
  <si>
    <t>TRAPOS DE PISO; DIMENSION: 48 X 60 Cm</t>
  </si>
  <si>
    <t>TRAPOS REJILLA; DIMENSION: 40 X 50 Cm, COLOR: SIN VALOR, MATERIAL: ALGODÓN</t>
  </si>
  <si>
    <t>FRANELAS; DIMENSION: 40 X 50 Cm</t>
  </si>
  <si>
    <t>LANAS DE ACERO; PRESENTACION: PAQUETE, CONTENIDO: MADEJA</t>
  </si>
  <si>
    <t>PAPEL HIGIENICO; PRESENTACION: PAQUETE X 4 UN, TIPO: PRECORTADO, HOJA: SIMPLE, ANCHO: 10 Cm, LARGO: 30 M, MATERIAL HOJA: SIMPLE, TIPO DE HOJA: SIMPLE</t>
  </si>
  <si>
    <t>BOLSAS DE RESIDUOS; COLOR: OBSCURO, ESPESOR: 40 Mn, DIMENSION: 45 X 60 Cm, PRESENTACION: SIN VALOR</t>
  </si>
  <si>
    <t>BOLSAS DE RESIDUOS; DIMENSION: 60 X 90 Cm, PRESENTACION: ENVASE X 100 UN, ESPESOR: 50 Mn</t>
  </si>
  <si>
    <t>BOLSAS DE RESIDUOS; ESPESOR: 60 Mn, COLOR: TRANSPARENTE, DIMENSION: 45 X 60 Cm, PRESENTACION: SIN VALOR</t>
  </si>
  <si>
    <t>FILMS DE POLIETILENO; ESPESOR: 100 Mn, ANCHO: 2 M, PRESENTACION: ROLLO X 100 M, USO: ALIMENTARIO</t>
  </si>
  <si>
    <t>FILMS DE POLIETILENO; ESPESOR: 70 Mn, ANCHO: SIN VALOR, PRESENTACION: POR KILOGRAMO, USO: SIN VALOR</t>
  </si>
  <si>
    <t>BOLSAS DE RESIDUOS PATOLÓGICOS; COLOR: ROJO, MEDIDA: 50 X 70 Cm, ESPESOR: 120 Mn, TIPO: PARA INCINERACIÓN</t>
  </si>
  <si>
    <t>ARTÍCULOS DE TOCADOR; TIPO: JABÓN LIQUIDO, PRESENTACIÓN: 5L</t>
  </si>
  <si>
    <t>2.9.1-6951.28</t>
  </si>
  <si>
    <t>2.5.9-1687.22</t>
  </si>
  <si>
    <t>2.9.1-6951.185</t>
  </si>
  <si>
    <t>2.9.1-6951.290</t>
  </si>
  <si>
    <t>2.9.1-544.82</t>
  </si>
  <si>
    <t>2.5.4-505.13</t>
  </si>
  <si>
    <t>2.9.1-4784.54</t>
  </si>
  <si>
    <t>2.9.1-6960.20</t>
  </si>
  <si>
    <t>2.9.1-761.7</t>
  </si>
  <si>
    <t>2.9.1-761.6</t>
  </si>
  <si>
    <t>2.9.1-761.5</t>
  </si>
  <si>
    <t>2.9.1-6952.29</t>
  </si>
  <si>
    <t>2.9.1-1083.7</t>
  </si>
  <si>
    <t>2.9.1-1164.36</t>
  </si>
  <si>
    <t>2.9.1-6960.27</t>
  </si>
  <si>
    <t>2.9.1-6951.116</t>
  </si>
  <si>
    <t>2.9.1-6951.80</t>
  </si>
  <si>
    <t>2.9.1-6951.174</t>
  </si>
  <si>
    <t>2.7.5-1491.5</t>
  </si>
  <si>
    <t>2.9.1-683.5</t>
  </si>
  <si>
    <t>2.9.1-683.4</t>
  </si>
  <si>
    <t>2.9.1-6960.1</t>
  </si>
  <si>
    <t>2.9.1-713.18</t>
  </si>
  <si>
    <t>2.9.1-678.7</t>
  </si>
  <si>
    <t>2.9.1-714.5</t>
  </si>
  <si>
    <t>2.9.1-2030.1</t>
  </si>
  <si>
    <t>2.3.4-786.51</t>
  </si>
  <si>
    <t>2.9.1-646.18</t>
  </si>
  <si>
    <t>2.9.1-646.104</t>
  </si>
  <si>
    <t>2.9.1-646.21</t>
  </si>
  <si>
    <t>2.5.8-5590.41</t>
  </si>
  <si>
    <t>2.5.8-5590.3</t>
  </si>
  <si>
    <t>2.9.1-6956.73</t>
  </si>
  <si>
    <t>LIBRERÍA,PAP Y UTILES DE OFICINA</t>
  </si>
  <si>
    <t>2.3.4-783.25</t>
  </si>
  <si>
    <t>ELEMENTOS DE LIMPIEZA</t>
  </si>
  <si>
    <t>UNIDAD</t>
  </si>
  <si>
    <t>ENVASE</t>
  </si>
  <si>
    <t>PAQUETE</t>
  </si>
  <si>
    <t>PAR</t>
  </si>
  <si>
    <t>PACK</t>
  </si>
  <si>
    <t>ROLLO</t>
  </si>
  <si>
    <t>KG</t>
  </si>
  <si>
    <t>PINTURAS</t>
  </si>
  <si>
    <t>2.9.1-6951.203</t>
  </si>
  <si>
    <t>LIMPIADORES; TIPO: DESODORANTE LIQUIDO , PRESENTACION: ENVASE X 1 L</t>
  </si>
  <si>
    <t>2.9.4-719.28</t>
  </si>
  <si>
    <t>BAZAR Y MENAJE</t>
  </si>
  <si>
    <t>HERRAMIENTAS</t>
  </si>
  <si>
    <t>LIBRERIA,PAP. Y UTILES OFICINA</t>
  </si>
  <si>
    <t>2.9.5-4558.7</t>
  </si>
  <si>
    <t>PROD. MEDICO/FARMACEUTICOS/LAB</t>
  </si>
  <si>
    <t>2.9.1-8853.3</t>
  </si>
  <si>
    <t>MOPAS; LARGO MANGO: 1 M, MATERIAL: ALGODÓN</t>
  </si>
  <si>
    <t>Plazo de entrega: 10 dias habiles</t>
  </si>
  <si>
    <t xml:space="preserve">Lugar de entrega: Deposito Central - Avda. Illia y Avda. Mariano Moreno </t>
  </si>
  <si>
    <t>Mantenimiento de Oferta: 45 dias habiles</t>
  </si>
  <si>
    <t>AGUA LAVANDINA CONCENTRADA DE 58 A 60 GRS. DE CLORO ACTIVO EN ENVASE DE 1 LITRO, ETIQUETADO. TIPO: X5.-</t>
  </si>
  <si>
    <t>AGUA LAVANDINA CONCENTRADA X 55 GRS. DE CLORO ACTIVO EN ENVASE DE 1 LITRO, ETIQUETADO.</t>
  </si>
  <si>
    <t>Especificidades Item N° 4:</t>
  </si>
  <si>
    <t>CERA PARA PISOS COLOR ROJO, ENVASE DE 5 LITROS, ETIQUETADO.-</t>
  </si>
  <si>
    <t>Especificidades Item N° 5:</t>
  </si>
  <si>
    <t>HIPOCLORITO DE SODIO 100 GRS. DE CLORO ACTIVO X LITRO EN ENVASE DE 5 LITROS ETIQUETADO, PRIMERA MARCA.-</t>
  </si>
  <si>
    <t>Especificidades Item N° 6:</t>
  </si>
  <si>
    <t>DETERGENTE BIODEGRADABLE CONCENTRADO 15% DE MATERIA ACTIVA EN ENVASE DE 5 LITROS, ETIQUETADO.-</t>
  </si>
  <si>
    <t xml:space="preserve">30 dias habiles </t>
  </si>
  <si>
    <t>Especificidades Item N° 3:</t>
  </si>
  <si>
    <t>MOPA PARA BARRIDO, SOPORTE DE 1 M</t>
  </si>
  <si>
    <t>Especificidades Item N° 9:</t>
  </si>
  <si>
    <t>DESINFECTANTE DE SUPERFICIE, TRIPLE ACCION ANTIBACTERIANA EN ENVASE DE 5 LTS. PRIMERA MARCA.</t>
  </si>
  <si>
    <t>Especificidades Item N° 10:</t>
  </si>
  <si>
    <t>LIQUIDO SECUESTRANTE DE POLVO PARA PISO EN ENVASE DE 5 LITROS. ETIQUETADO. PRIMERA MARCA.</t>
  </si>
  <si>
    <t>Especificidades Item N° 11:</t>
  </si>
  <si>
    <t>JABON EN POLVO BAJA ESPUMA PARA LAVADORA INDUSTRIAL, EN PAQUETE DE 3 KG. SIN SUAVIZANTE.-</t>
  </si>
  <si>
    <t>Especificidades Item N° 12:</t>
  </si>
  <si>
    <t>Especificidades Item N° 13:</t>
  </si>
  <si>
    <t>Especificidades Item N° 14:</t>
  </si>
  <si>
    <t>Especificidades Item N° 16:</t>
  </si>
  <si>
    <t>ESPONJA DE ACERO - ENVOLTORIO INDIVIDUAL.-</t>
  </si>
  <si>
    <t>Especificidades Item N° 18:</t>
  </si>
  <si>
    <t>JABON NEUTRO BLANCO EN PAN POR 200 GRS.-</t>
  </si>
  <si>
    <t>Especificidades Item N° 22:</t>
  </si>
  <si>
    <t>POLVO LIMPIADOR DESENGRASANTE EN ENVASE DE 400 GRS., PRIMERA MARCA.</t>
  </si>
  <si>
    <t>Especificidades Item N° 24:</t>
  </si>
  <si>
    <t>SECADOR DE GOMA REFORZADO CON ALMA DE HIERRO DE 40 CM. DE LONGITUD.-</t>
  </si>
  <si>
    <t>Especificidades Item N° 25:</t>
  </si>
  <si>
    <t>SECADOR DE GOMA COLOR ROJO REFORZADO CON ALMA DE HIERRO DE 80 CM. DE LONGITUD.-</t>
  </si>
  <si>
    <t>Especificidades Item N° 27:</t>
  </si>
  <si>
    <t>TRAPO DE PISO DE 48 X 60 CM. 90% DE ALGODÓN, PRIMERA MARCA.-</t>
  </si>
  <si>
    <t>Especificidades Item N° 28:</t>
  </si>
  <si>
    <t>TRAPO REJILLA SEMIPESADA DE 40 X 50 CM. PRIMERA MARCA.-</t>
  </si>
  <si>
    <t>Especificidades Item N° 30:</t>
  </si>
  <si>
    <t>LANA DE ACERO EN ROLLITO EN PAQUETE DE 10 UNID. POR 50 GRS.-</t>
  </si>
  <si>
    <t>Especificidades Item N° 32:</t>
  </si>
  <si>
    <t>BOLSA CON FUELLE PARA RESIDUOS DE 60 X 45 CM. DE 40 MICRONES, COLOR NEGRO DE BAJA DENSIDAD. NO DE ARRASTRE.-</t>
  </si>
  <si>
    <t>Especificidades Item N° 33:</t>
  </si>
  <si>
    <t>Especificidades Item N° 34:</t>
  </si>
  <si>
    <t>Especificidades Item N° 35:</t>
  </si>
  <si>
    <t>BOLSA CRISTAL CON FUELLE PARA RESIDUOS DE 45 X 60 CM. DE 60 MICRONES, BAJA DENSIDAD, MATERIAL VIRGEN, NO DE ARRASTRE.-</t>
  </si>
  <si>
    <t>Especificidades Item N° 36:</t>
  </si>
  <si>
    <t>NYLON CRISTAL DE 1 MTS DOBLE ANCHO DE 100 MICRONES. EN ROLLO DE 100 MTS DE LONGITUD.-</t>
  </si>
  <si>
    <t>Especificidades Item N° 37:</t>
  </si>
  <si>
    <t>FILM DE POLIETILENO DE 25 CM DE ANCHO X 70 MICRONES DE ESPESOR.-</t>
  </si>
  <si>
    <t>Especificidades Item N° 38:</t>
  </si>
  <si>
    <t>FILM DE POLIETILENO DE 30 CM DE ANCHO X 70 MICRONES DE ESPESOR.-</t>
  </si>
  <si>
    <t>Especificidades Item N° 39:</t>
  </si>
  <si>
    <t>FILM DE POLIETILENO DE 35 CM DE ANCHO X 70 MICRONES DE ESPESOR.-</t>
  </si>
  <si>
    <t>Especificidades Item N° 40:</t>
  </si>
  <si>
    <t>ROLLO DE POLIETILENO DE 40 CM DE ANCHO X 70 MICRONES DE ESPESOR.-</t>
  </si>
  <si>
    <t>Especificidades Item N° 44:</t>
  </si>
  <si>
    <t>TOALLAS INTERCALADAS DE PAPEL DE 20 X 24 CM. COLOR BLANCA. CAJA X 10 PAQUETES DE 250 UNIDADES.-</t>
  </si>
  <si>
    <r>
      <t xml:space="preserve">BOLSA DE CONSORCIO CON FUELLE PARA RESIDUOS DE 90 X 60 CM DE 50 MICRONES, COLOR </t>
    </r>
    <r>
      <rPr>
        <b/>
        <u/>
        <sz val="10"/>
        <rFont val="Times New Roman"/>
        <family val="1"/>
      </rPr>
      <t>NEGRO</t>
    </r>
    <r>
      <rPr>
        <sz val="10"/>
        <rFont val="Times New Roman"/>
        <family val="1"/>
      </rPr>
      <t xml:space="preserve"> DE BAJA DENSIDAD EN PAQUETES DE 100 UNIDADES. NO DE ARRASTRE.-</t>
    </r>
  </si>
  <si>
    <r>
      <t xml:space="preserve">BOLSA DE CONSORCIO CON FUELLE PARA RESIDUOS DE 90 X 60 CM. DE 50 MICRONES, COLOR </t>
    </r>
    <r>
      <rPr>
        <b/>
        <u/>
        <sz val="10"/>
        <rFont val="Times New Roman"/>
        <family val="1"/>
      </rPr>
      <t>VERDE</t>
    </r>
    <r>
      <rPr>
        <sz val="10"/>
        <rFont val="Times New Roman"/>
        <family val="1"/>
      </rPr>
      <t xml:space="preserve"> DE BAJA DENSIDAD EN PAQUETES DE 100 UNIDADES. NO DE ARRASTRE.-</t>
    </r>
  </si>
  <si>
    <t>SI</t>
  </si>
  <si>
    <t>CAJA</t>
  </si>
  <si>
    <t>Deposito Central</t>
  </si>
  <si>
    <t>237 - Direccion de Mantenimiento</t>
  </si>
  <si>
    <t>Costo total estimado: PESOS DOS MILLONES CIENTO DIECISIETE MIL SETECIENTOS SETENTA Y DOS CON 25/100</t>
  </si>
  <si>
    <t>TOTAL DE PESOS: DOS MILLONES CIENTO DIECISIETE MIL SETECIENTOS SETENTA Y DOS CON 25/100.-</t>
  </si>
  <si>
    <t>004 - 2022</t>
  </si>
  <si>
    <t>Adquisición de Articulos de Limpieza</t>
  </si>
  <si>
    <t>GUANTE DE LATEX AFELPADO POR DENTRO DE USO DOMESTICO, N°7.- COLOR: NARANJA O AMARILLO</t>
  </si>
  <si>
    <t>GUANTE DE LÁTEX AFELPADO POR DENTRO DE USO DOMÉSTICO, N°8.- COLOR: NARANJA O AMARILLO</t>
  </si>
  <si>
    <t>GUANTE DE LÁTEX AFELPADO POR DENTRO DE USO DOMÉSTICO, N°9.- COLOR: NARANJA O AMARILLO</t>
  </si>
  <si>
    <t>TOALLAS DE PAPEL; MATERIAL: PAPEL TISSUE, GRAMAJE: 50/55 GR/M2, DIMENSION: 22 X 36 Cm, COLOR: BLANCO, PRESENTACION: CAJA X 10 PAQ. 250 USOS</t>
  </si>
  <si>
    <t>TOALLAS DE PAPEL; MATERIAL: PAPEL TISUE, GRAMAJE: 42 GR/M2, DIMENSION: 0,19 X 300 M, PRESENTACION: ROLLO</t>
  </si>
  <si>
    <t>2.3.4-783.49</t>
  </si>
  <si>
    <t>Productos de Papel y Cartón</t>
  </si>
  <si>
    <t>Insecticidas, Fumigantes y Otros</t>
  </si>
  <si>
    <t>Productos de Material Plástico</t>
  </si>
  <si>
    <t>Otros No Especificados Precedentemente (N.E.P.)</t>
  </si>
  <si>
    <t>Herramientas Menores</t>
  </si>
  <si>
    <t>Elementos de Limpieza</t>
  </si>
  <si>
    <t>Utensilios de Cocina y Comedor</t>
  </si>
  <si>
    <t>Útiles Menores Médico, Quirúrgico y de Laboratorio</t>
  </si>
</sst>
</file>

<file path=xl/styles.xml><?xml version="1.0" encoding="utf-8"?>
<styleSheet xmlns="http://schemas.openxmlformats.org/spreadsheetml/2006/main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9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6"/>
      <name val="Times New Roman"/>
      <family val="1"/>
    </font>
    <font>
      <b/>
      <u/>
      <sz val="10"/>
      <name val="Times New Roman"/>
      <family val="1"/>
    </font>
    <font>
      <b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1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166" fontId="13" fillId="0" borderId="28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166" fontId="0" fillId="0" borderId="0" xfId="0" applyNumberFormat="1"/>
    <xf numFmtId="166" fontId="15" fillId="0" borderId="0" xfId="0" applyNumberFormat="1" applyFont="1"/>
    <xf numFmtId="0" fontId="15" fillId="0" borderId="0" xfId="5" applyFont="1"/>
    <xf numFmtId="0" fontId="22" fillId="0" borderId="2" xfId="5" applyFont="1" applyBorder="1"/>
    <xf numFmtId="0" fontId="15" fillId="0" borderId="3" xfId="5" applyFont="1" applyBorder="1"/>
    <xf numFmtId="0" fontId="15" fillId="0" borderId="4" xfId="5" applyFont="1" applyBorder="1"/>
    <xf numFmtId="0" fontId="15" fillId="0" borderId="5" xfId="5" applyFont="1" applyBorder="1"/>
    <xf numFmtId="0" fontId="15" fillId="0" borderId="0" xfId="5" applyFont="1" applyBorder="1"/>
    <xf numFmtId="0" fontId="15" fillId="0" borderId="6" xfId="5" applyFont="1" applyBorder="1"/>
    <xf numFmtId="0" fontId="22" fillId="0" borderId="5" xfId="5" applyFont="1" applyBorder="1" applyAlignment="1">
      <alignment horizontal="left" indent="3"/>
    </xf>
    <xf numFmtId="0" fontId="15" fillId="0" borderId="5" xfId="5" applyFont="1" applyBorder="1" applyAlignment="1">
      <alignment horizontal="left" indent="3"/>
    </xf>
    <xf numFmtId="0" fontId="15" fillId="0" borderId="0" xfId="5" applyFont="1" applyBorder="1" applyAlignment="1">
      <alignment horizontal="center" wrapText="1"/>
    </xf>
    <xf numFmtId="0" fontId="15" fillId="0" borderId="6" xfId="5" applyFont="1" applyBorder="1" applyAlignment="1">
      <alignment horizontal="center" wrapText="1"/>
    </xf>
    <xf numFmtId="0" fontId="15" fillId="0" borderId="7" xfId="5" applyFont="1" applyBorder="1" applyAlignment="1">
      <alignment horizontal="left" indent="3"/>
    </xf>
    <xf numFmtId="0" fontId="15" fillId="0" borderId="8" xfId="5" applyFont="1" applyBorder="1"/>
    <xf numFmtId="0" fontId="15" fillId="0" borderId="9" xfId="5" applyFont="1" applyBorder="1"/>
    <xf numFmtId="0" fontId="0" fillId="0" borderId="33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0" fillId="5" borderId="14" xfId="0" applyFont="1" applyFill="1" applyBorder="1" applyAlignment="1">
      <alignment horizontal="center" vertical="center"/>
    </xf>
    <xf numFmtId="0" fontId="21" fillId="5" borderId="14" xfId="0" applyFont="1" applyFill="1" applyBorder="1" applyAlignment="1">
      <alignment horizontal="left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24" fillId="5" borderId="14" xfId="0" applyFont="1" applyFill="1" applyBorder="1" applyAlignment="1">
      <alignment vertical="center" wrapText="1"/>
    </xf>
    <xf numFmtId="0" fontId="15" fillId="5" borderId="0" xfId="0" applyFont="1" applyFill="1"/>
    <xf numFmtId="0" fontId="13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left" vertical="center"/>
    </xf>
    <xf numFmtId="0" fontId="0" fillId="4" borderId="33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0" fillId="5" borderId="33" xfId="0" applyFont="1" applyFill="1" applyBorder="1" applyAlignment="1">
      <alignment horizontal="center" vertical="center"/>
    </xf>
    <xf numFmtId="166" fontId="0" fillId="0" borderId="33" xfId="3" applyNumberFormat="1" applyFont="1" applyBorder="1" applyAlignment="1" applyProtection="1">
      <alignment horizontal="center" vertical="center"/>
    </xf>
    <xf numFmtId="0" fontId="15" fillId="4" borderId="6" xfId="5" applyFont="1" applyFill="1" applyBorder="1" applyAlignment="1">
      <alignment horizontal="center"/>
    </xf>
    <xf numFmtId="0" fontId="15" fillId="3" borderId="6" xfId="5" applyFont="1" applyFill="1" applyBorder="1" applyAlignment="1">
      <alignment horizontal="center" wrapText="1"/>
    </xf>
    <xf numFmtId="0" fontId="15" fillId="4" borderId="6" xfId="5" applyFont="1" applyFill="1" applyBorder="1" applyAlignment="1">
      <alignment horizontal="left" wrapText="1"/>
    </xf>
    <xf numFmtId="0" fontId="15" fillId="3" borderId="6" xfId="5" applyFont="1" applyFill="1" applyBorder="1" applyAlignment="1">
      <alignment horizontal="center"/>
    </xf>
    <xf numFmtId="0" fontId="15" fillId="4" borderId="6" xfId="5" applyFont="1" applyFill="1" applyBorder="1" applyAlignment="1">
      <alignment horizontal="left"/>
    </xf>
    <xf numFmtId="0" fontId="15" fillId="3" borderId="6" xfId="5" applyFont="1" applyFill="1" applyBorder="1" applyAlignment="1">
      <alignment horizontal="center" vertical="center" wrapText="1"/>
    </xf>
    <xf numFmtId="0" fontId="26" fillId="6" borderId="20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6" fillId="6" borderId="2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26" fillId="6" borderId="20" xfId="0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 wrapText="1"/>
    </xf>
    <xf numFmtId="0" fontId="25" fillId="0" borderId="33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28" xfId="0" applyFont="1" applyFill="1" applyBorder="1" applyAlignment="1">
      <alignment horizontal="left" vertical="center" wrapText="1" indent="1"/>
    </xf>
    <xf numFmtId="0" fontId="28" fillId="0" borderId="28" xfId="0" applyFont="1" applyBorder="1" applyAlignment="1">
      <alignment horizontal="left" vertical="center" wrapText="1"/>
    </xf>
    <xf numFmtId="0" fontId="0" fillId="0" borderId="22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511"/>
  <sheetViews>
    <sheetView zoomScale="85" zoomScaleNormal="85" workbookViewId="0">
      <selection activeCell="H57" sqref="H57"/>
    </sheetView>
  </sheetViews>
  <sheetFormatPr baseColWidth="10" defaultColWidth="11" defaultRowHeight="13.2"/>
  <cols>
    <col min="1" max="1" width="4.5546875" style="19" customWidth="1"/>
    <col min="2" max="2" width="12.88671875" style="19" customWidth="1"/>
    <col min="3" max="3" width="32.44140625" style="19" customWidth="1"/>
    <col min="4" max="4" width="8.44140625" style="19" customWidth="1"/>
    <col min="5" max="5" width="79" style="19" customWidth="1"/>
    <col min="6" max="6" width="11" style="19"/>
    <col min="7" max="7" width="12.6640625" style="19" customWidth="1"/>
    <col min="8" max="8" width="13.88671875" style="19" customWidth="1"/>
    <col min="9" max="9" width="18.5546875" style="19" customWidth="1"/>
    <col min="10" max="16384" width="11" style="19"/>
  </cols>
  <sheetData>
    <row r="2" spans="1:9" ht="27.6">
      <c r="B2" s="79" t="s">
        <v>0</v>
      </c>
      <c r="C2" s="79"/>
      <c r="D2" s="79"/>
      <c r="E2" s="79"/>
      <c r="F2" s="79"/>
      <c r="G2" s="79"/>
      <c r="H2" s="79"/>
    </row>
    <row r="4" spans="1:9" ht="18" customHeight="1">
      <c r="A4" s="80" t="s">
        <v>1</v>
      </c>
      <c r="B4" s="80"/>
      <c r="C4" s="81" t="s">
        <v>59</v>
      </c>
      <c r="D4" s="81"/>
      <c r="E4" s="81"/>
      <c r="F4" s="20"/>
      <c r="G4" s="21"/>
      <c r="H4" s="20"/>
    </row>
    <row r="5" spans="1:9" ht="18" customHeight="1">
      <c r="A5" s="80" t="s">
        <v>2</v>
      </c>
      <c r="B5" s="80"/>
      <c r="C5" s="81" t="s">
        <v>60</v>
      </c>
      <c r="D5" s="81"/>
      <c r="E5" s="81"/>
      <c r="F5" s="20"/>
      <c r="G5" s="21"/>
      <c r="H5" s="20"/>
    </row>
    <row r="6" spans="1:9" ht="16.5" customHeight="1">
      <c r="A6" s="80" t="s">
        <v>3</v>
      </c>
      <c r="B6" s="80"/>
      <c r="C6" s="30">
        <v>2022</v>
      </c>
      <c r="D6" s="31"/>
      <c r="E6" s="31"/>
      <c r="F6" s="20"/>
      <c r="G6" s="21"/>
      <c r="H6" s="20"/>
    </row>
    <row r="7" spans="1:9" ht="16.5" customHeight="1">
      <c r="A7" s="80" t="s">
        <v>4</v>
      </c>
      <c r="B7" s="80"/>
      <c r="C7" s="30">
        <v>1</v>
      </c>
      <c r="D7" s="31"/>
      <c r="E7" s="31"/>
      <c r="F7" s="20"/>
      <c r="G7" s="21"/>
      <c r="H7" s="20"/>
    </row>
    <row r="8" spans="1:9" ht="13.8" thickBot="1">
      <c r="B8" s="20"/>
      <c r="C8" s="21"/>
      <c r="D8" s="20"/>
      <c r="E8" s="20"/>
      <c r="F8" s="20"/>
      <c r="G8" s="21"/>
      <c r="H8" s="20"/>
    </row>
    <row r="9" spans="1:9" ht="40.200000000000003" thickBot="1">
      <c r="A9" s="22" t="s">
        <v>5</v>
      </c>
      <c r="B9" s="22" t="s">
        <v>6</v>
      </c>
      <c r="C9" s="22" t="s">
        <v>7</v>
      </c>
      <c r="D9" s="22" t="s">
        <v>8</v>
      </c>
      <c r="E9" s="22" t="s">
        <v>9</v>
      </c>
      <c r="F9" s="22" t="s">
        <v>10</v>
      </c>
      <c r="G9" s="22" t="s">
        <v>11</v>
      </c>
      <c r="H9" s="22" t="s">
        <v>12</v>
      </c>
      <c r="I9" s="22" t="s">
        <v>13</v>
      </c>
    </row>
    <row r="10" spans="1:9" ht="31.95" customHeight="1" thickBot="1">
      <c r="A10" s="23">
        <v>1</v>
      </c>
      <c r="B10" s="27" t="s">
        <v>98</v>
      </c>
      <c r="C10" s="24" t="s">
        <v>133</v>
      </c>
      <c r="D10" s="25" t="str">
        <f>LEFT(B10,5)</f>
        <v>2.9.1</v>
      </c>
      <c r="E10" s="26" t="s">
        <v>63</v>
      </c>
      <c r="F10" s="27" t="s">
        <v>134</v>
      </c>
      <c r="G10" s="27">
        <v>300</v>
      </c>
      <c r="H10" s="28">
        <v>56</v>
      </c>
      <c r="I10" s="29">
        <f t="shared" ref="I10:I53" si="0">G10*H10</f>
        <v>16800</v>
      </c>
    </row>
    <row r="11" spans="1:9" ht="31.95" customHeight="1" thickBot="1">
      <c r="A11" s="23">
        <v>2</v>
      </c>
      <c r="B11" s="27" t="s">
        <v>98</v>
      </c>
      <c r="C11" s="24" t="s">
        <v>133</v>
      </c>
      <c r="D11" s="25" t="str">
        <f t="shared" ref="D11:D53" si="1">LEFT(B11,5)</f>
        <v>2.9.1</v>
      </c>
      <c r="E11" s="26" t="s">
        <v>63</v>
      </c>
      <c r="F11" s="27" t="s">
        <v>134</v>
      </c>
      <c r="G11" s="27">
        <v>1600</v>
      </c>
      <c r="H11" s="28">
        <v>56</v>
      </c>
      <c r="I11" s="29">
        <f t="shared" si="0"/>
        <v>89600</v>
      </c>
    </row>
    <row r="12" spans="1:9" ht="31.95" customHeight="1" thickBot="1">
      <c r="A12" s="23">
        <v>3</v>
      </c>
      <c r="B12" s="27" t="s">
        <v>150</v>
      </c>
      <c r="C12" s="24" t="s">
        <v>133</v>
      </c>
      <c r="D12" s="25" t="str">
        <f t="shared" si="1"/>
        <v>2.9.1</v>
      </c>
      <c r="E12" s="26" t="s">
        <v>151</v>
      </c>
      <c r="F12" s="27" t="s">
        <v>134</v>
      </c>
      <c r="G12" s="27">
        <v>10</v>
      </c>
      <c r="H12" s="28">
        <v>1990</v>
      </c>
      <c r="I12" s="29">
        <f t="shared" si="0"/>
        <v>19900</v>
      </c>
    </row>
    <row r="13" spans="1:9" ht="31.95" customHeight="1" thickBot="1">
      <c r="A13" s="23">
        <v>4</v>
      </c>
      <c r="B13" s="27" t="s">
        <v>99</v>
      </c>
      <c r="C13" s="24" t="s">
        <v>141</v>
      </c>
      <c r="D13" s="25" t="str">
        <f t="shared" si="1"/>
        <v>2.5.9</v>
      </c>
      <c r="E13" s="26" t="s">
        <v>64</v>
      </c>
      <c r="F13" s="27" t="s">
        <v>135</v>
      </c>
      <c r="G13" s="27">
        <v>15</v>
      </c>
      <c r="H13" s="28">
        <v>811.2</v>
      </c>
      <c r="I13" s="29">
        <f t="shared" si="0"/>
        <v>12168</v>
      </c>
    </row>
    <row r="14" spans="1:9" ht="31.95" customHeight="1" thickBot="1">
      <c r="A14" s="23">
        <v>5</v>
      </c>
      <c r="B14" s="27" t="s">
        <v>100</v>
      </c>
      <c r="C14" s="24" t="s">
        <v>133</v>
      </c>
      <c r="D14" s="25" t="str">
        <f t="shared" si="1"/>
        <v>2.9.1</v>
      </c>
      <c r="E14" s="26" t="s">
        <v>65</v>
      </c>
      <c r="F14" s="27" t="s">
        <v>135</v>
      </c>
      <c r="G14" s="27">
        <v>200</v>
      </c>
      <c r="H14" s="28">
        <v>299.60000000000002</v>
      </c>
      <c r="I14" s="29">
        <f t="shared" si="0"/>
        <v>59920.000000000007</v>
      </c>
    </row>
    <row r="15" spans="1:9" ht="31.95" customHeight="1" thickBot="1">
      <c r="A15" s="23">
        <v>6</v>
      </c>
      <c r="B15" s="27" t="s">
        <v>101</v>
      </c>
      <c r="C15" s="24" t="s">
        <v>133</v>
      </c>
      <c r="D15" s="25" t="str">
        <f t="shared" si="1"/>
        <v>2.9.1</v>
      </c>
      <c r="E15" s="26" t="s">
        <v>66</v>
      </c>
      <c r="F15" s="27" t="s">
        <v>135</v>
      </c>
      <c r="G15" s="27">
        <v>180</v>
      </c>
      <c r="H15" s="28">
        <v>249</v>
      </c>
      <c r="I15" s="29">
        <f t="shared" si="0"/>
        <v>44820</v>
      </c>
    </row>
    <row r="16" spans="1:9" ht="31.95" customHeight="1" thickBot="1">
      <c r="A16" s="23">
        <v>7</v>
      </c>
      <c r="B16" s="27" t="s">
        <v>142</v>
      </c>
      <c r="C16" s="24" t="s">
        <v>133</v>
      </c>
      <c r="D16" s="25" t="str">
        <f t="shared" si="1"/>
        <v>2.9.1</v>
      </c>
      <c r="E16" s="26" t="s">
        <v>143</v>
      </c>
      <c r="F16" s="27" t="s">
        <v>135</v>
      </c>
      <c r="G16" s="27">
        <v>600</v>
      </c>
      <c r="H16" s="28">
        <v>135</v>
      </c>
      <c r="I16" s="29">
        <f t="shared" si="0"/>
        <v>81000</v>
      </c>
    </row>
    <row r="17" spans="1:9" ht="31.95" customHeight="1" thickBot="1">
      <c r="A17" s="23">
        <v>8</v>
      </c>
      <c r="B17" s="27" t="s">
        <v>102</v>
      </c>
      <c r="C17" s="24" t="s">
        <v>133</v>
      </c>
      <c r="D17" s="25" t="str">
        <f t="shared" si="1"/>
        <v>2.9.1</v>
      </c>
      <c r="E17" s="26" t="s">
        <v>67</v>
      </c>
      <c r="F17" s="27" t="s">
        <v>135</v>
      </c>
      <c r="G17" s="27">
        <v>100</v>
      </c>
      <c r="H17" s="28">
        <v>149.9</v>
      </c>
      <c r="I17" s="29">
        <f t="shared" si="0"/>
        <v>14990</v>
      </c>
    </row>
    <row r="18" spans="1:9" ht="31.95" customHeight="1" thickBot="1">
      <c r="A18" s="23">
        <v>9</v>
      </c>
      <c r="B18" s="27" t="s">
        <v>103</v>
      </c>
      <c r="C18" s="24" t="s">
        <v>133</v>
      </c>
      <c r="D18" s="25" t="str">
        <f t="shared" si="1"/>
        <v>2.5.4</v>
      </c>
      <c r="E18" s="26" t="s">
        <v>68</v>
      </c>
      <c r="F18" s="27" t="s">
        <v>135</v>
      </c>
      <c r="G18" s="27">
        <v>50</v>
      </c>
      <c r="H18" s="28">
        <v>745</v>
      </c>
      <c r="I18" s="29">
        <f t="shared" si="0"/>
        <v>37250</v>
      </c>
    </row>
    <row r="19" spans="1:9" ht="31.95" customHeight="1" thickBot="1">
      <c r="A19" s="23">
        <v>10</v>
      </c>
      <c r="B19" s="27" t="s">
        <v>104</v>
      </c>
      <c r="C19" s="24" t="s">
        <v>133</v>
      </c>
      <c r="D19" s="25" t="str">
        <f t="shared" si="1"/>
        <v>2.9.1</v>
      </c>
      <c r="E19" s="26" t="s">
        <v>69</v>
      </c>
      <c r="F19" s="27" t="s">
        <v>135</v>
      </c>
      <c r="G19" s="27">
        <v>20</v>
      </c>
      <c r="H19" s="28">
        <v>516.6</v>
      </c>
      <c r="I19" s="29">
        <f t="shared" si="0"/>
        <v>10332</v>
      </c>
    </row>
    <row r="20" spans="1:9" ht="31.95" customHeight="1" thickBot="1">
      <c r="A20" s="23">
        <v>11</v>
      </c>
      <c r="B20" s="27" t="s">
        <v>105</v>
      </c>
      <c r="C20" s="24" t="s">
        <v>133</v>
      </c>
      <c r="D20" s="25" t="str">
        <f t="shared" si="1"/>
        <v>2.9.1</v>
      </c>
      <c r="E20" s="26" t="s">
        <v>70</v>
      </c>
      <c r="F20" s="27" t="s">
        <v>136</v>
      </c>
      <c r="G20" s="27">
        <v>200</v>
      </c>
      <c r="H20" s="28">
        <v>428.74</v>
      </c>
      <c r="I20" s="29">
        <f t="shared" si="0"/>
        <v>85748</v>
      </c>
    </row>
    <row r="21" spans="1:9" ht="31.95" customHeight="1" thickBot="1">
      <c r="A21" s="23">
        <v>12</v>
      </c>
      <c r="B21" s="27" t="s">
        <v>106</v>
      </c>
      <c r="C21" s="24" t="s">
        <v>133</v>
      </c>
      <c r="D21" s="25" t="str">
        <f t="shared" si="1"/>
        <v>2.9.1</v>
      </c>
      <c r="E21" s="26" t="s">
        <v>71</v>
      </c>
      <c r="F21" s="27" t="s">
        <v>137</v>
      </c>
      <c r="G21" s="27">
        <v>180</v>
      </c>
      <c r="H21" s="28">
        <v>90.94</v>
      </c>
      <c r="I21" s="29">
        <f t="shared" si="0"/>
        <v>16369.199999999999</v>
      </c>
    </row>
    <row r="22" spans="1:9" ht="31.95" customHeight="1" thickBot="1">
      <c r="A22" s="23">
        <v>13</v>
      </c>
      <c r="B22" s="27" t="s">
        <v>107</v>
      </c>
      <c r="C22" s="24" t="s">
        <v>133</v>
      </c>
      <c r="D22" s="25" t="str">
        <f t="shared" si="1"/>
        <v>2.9.1</v>
      </c>
      <c r="E22" s="26" t="s">
        <v>72</v>
      </c>
      <c r="F22" s="27" t="s">
        <v>137</v>
      </c>
      <c r="G22" s="27">
        <v>150</v>
      </c>
      <c r="H22" s="28">
        <v>90.94</v>
      </c>
      <c r="I22" s="29">
        <f t="shared" si="0"/>
        <v>13641</v>
      </c>
    </row>
    <row r="23" spans="1:9" ht="31.95" customHeight="1" thickBot="1">
      <c r="A23" s="23">
        <v>14</v>
      </c>
      <c r="B23" s="27" t="s">
        <v>108</v>
      </c>
      <c r="C23" s="24" t="s">
        <v>133</v>
      </c>
      <c r="D23" s="25" t="str">
        <f t="shared" si="1"/>
        <v>2.9.1</v>
      </c>
      <c r="E23" s="26" t="s">
        <v>73</v>
      </c>
      <c r="F23" s="27" t="s">
        <v>137</v>
      </c>
      <c r="G23" s="27">
        <v>120</v>
      </c>
      <c r="H23" s="28">
        <v>90.94</v>
      </c>
      <c r="I23" s="29">
        <f t="shared" si="0"/>
        <v>10912.8</v>
      </c>
    </row>
    <row r="24" spans="1:9" ht="31.95" customHeight="1" thickBot="1">
      <c r="A24" s="23">
        <v>15</v>
      </c>
      <c r="B24" s="27" t="s">
        <v>109</v>
      </c>
      <c r="C24" s="24" t="s">
        <v>133</v>
      </c>
      <c r="D24" s="25" t="str">
        <f t="shared" si="1"/>
        <v>2.9.1</v>
      </c>
      <c r="E24" s="26" t="s">
        <v>74</v>
      </c>
      <c r="F24" s="27" t="s">
        <v>134</v>
      </c>
      <c r="G24" s="27">
        <v>90</v>
      </c>
      <c r="H24" s="28">
        <v>105.6</v>
      </c>
      <c r="I24" s="29">
        <f t="shared" si="0"/>
        <v>9504</v>
      </c>
    </row>
    <row r="25" spans="1:9" ht="31.95" customHeight="1" thickBot="1">
      <c r="A25" s="23">
        <v>16</v>
      </c>
      <c r="B25" s="27" t="s">
        <v>110</v>
      </c>
      <c r="C25" s="24" t="s">
        <v>133</v>
      </c>
      <c r="D25" s="25" t="str">
        <f t="shared" si="1"/>
        <v>2.9.1</v>
      </c>
      <c r="E25" s="26" t="s">
        <v>75</v>
      </c>
      <c r="F25" s="27" t="s">
        <v>134</v>
      </c>
      <c r="G25" s="27">
        <v>100</v>
      </c>
      <c r="H25" s="28">
        <v>26.8</v>
      </c>
      <c r="I25" s="29">
        <f t="shared" si="0"/>
        <v>2680</v>
      </c>
    </row>
    <row r="26" spans="1:9" ht="31.95" customHeight="1" thickBot="1">
      <c r="A26" s="23">
        <v>17</v>
      </c>
      <c r="B26" s="27" t="s">
        <v>111</v>
      </c>
      <c r="C26" s="24" t="s">
        <v>133</v>
      </c>
      <c r="D26" s="25" t="str">
        <f t="shared" si="1"/>
        <v>2.9.1</v>
      </c>
      <c r="E26" s="26" t="s">
        <v>76</v>
      </c>
      <c r="F26" s="27" t="s">
        <v>134</v>
      </c>
      <c r="G26" s="27">
        <v>100</v>
      </c>
      <c r="H26" s="28">
        <v>28.9</v>
      </c>
      <c r="I26" s="29">
        <f t="shared" si="0"/>
        <v>2890</v>
      </c>
    </row>
    <row r="27" spans="1:9" ht="31.95" customHeight="1" thickBot="1">
      <c r="A27" s="23">
        <v>18</v>
      </c>
      <c r="B27" s="27" t="s">
        <v>112</v>
      </c>
      <c r="C27" s="24" t="s">
        <v>133</v>
      </c>
      <c r="D27" s="25" t="str">
        <f t="shared" si="1"/>
        <v>2.9.1</v>
      </c>
      <c r="E27" s="26" t="s">
        <v>77</v>
      </c>
      <c r="F27" s="27" t="s">
        <v>134</v>
      </c>
      <c r="G27" s="27">
        <v>50</v>
      </c>
      <c r="H27" s="28">
        <v>35</v>
      </c>
      <c r="I27" s="29">
        <f t="shared" si="0"/>
        <v>1750</v>
      </c>
    </row>
    <row r="28" spans="1:9" ht="31.95" customHeight="1" thickBot="1">
      <c r="A28" s="23">
        <v>19</v>
      </c>
      <c r="B28" s="27" t="s">
        <v>144</v>
      </c>
      <c r="C28" s="24" t="s">
        <v>145</v>
      </c>
      <c r="D28" s="25" t="str">
        <f t="shared" si="1"/>
        <v>2.9.4</v>
      </c>
      <c r="E28" s="26" t="s">
        <v>78</v>
      </c>
      <c r="F28" s="27" t="s">
        <v>134</v>
      </c>
      <c r="G28" s="27">
        <v>50</v>
      </c>
      <c r="H28" s="28">
        <v>116.9</v>
      </c>
      <c r="I28" s="29">
        <f t="shared" si="0"/>
        <v>5845</v>
      </c>
    </row>
    <row r="29" spans="1:9" ht="31.95" customHeight="1" thickBot="1">
      <c r="A29" s="23">
        <v>20</v>
      </c>
      <c r="B29" s="27" t="s">
        <v>113</v>
      </c>
      <c r="C29" s="24" t="s">
        <v>133</v>
      </c>
      <c r="D29" s="25" t="str">
        <f t="shared" si="1"/>
        <v>2.9.1</v>
      </c>
      <c r="E29" s="26" t="s">
        <v>79</v>
      </c>
      <c r="F29" s="27" t="s">
        <v>135</v>
      </c>
      <c r="G29" s="27">
        <v>10</v>
      </c>
      <c r="H29" s="28">
        <v>228.2</v>
      </c>
      <c r="I29" s="29">
        <f t="shared" si="0"/>
        <v>2282</v>
      </c>
    </row>
    <row r="30" spans="1:9" ht="31.95" customHeight="1" thickBot="1">
      <c r="A30" s="23">
        <v>21</v>
      </c>
      <c r="B30" s="27" t="s">
        <v>114</v>
      </c>
      <c r="C30" s="24" t="s">
        <v>133</v>
      </c>
      <c r="D30" s="25" t="str">
        <f t="shared" si="1"/>
        <v>2.9.1</v>
      </c>
      <c r="E30" s="26" t="s">
        <v>80</v>
      </c>
      <c r="F30" s="27" t="s">
        <v>135</v>
      </c>
      <c r="G30" s="27">
        <v>25</v>
      </c>
      <c r="H30" s="28">
        <v>266.25</v>
      </c>
      <c r="I30" s="29">
        <f t="shared" si="0"/>
        <v>6656.25</v>
      </c>
    </row>
    <row r="31" spans="1:9" ht="31.95" customHeight="1" thickBot="1">
      <c r="A31" s="23">
        <v>22</v>
      </c>
      <c r="B31" s="27" t="s">
        <v>115</v>
      </c>
      <c r="C31" s="24" t="s">
        <v>133</v>
      </c>
      <c r="D31" s="25" t="str">
        <f t="shared" si="1"/>
        <v>2.9.1</v>
      </c>
      <c r="E31" s="26" t="s">
        <v>81</v>
      </c>
      <c r="F31" s="27" t="s">
        <v>135</v>
      </c>
      <c r="G31" s="27">
        <v>50</v>
      </c>
      <c r="H31" s="28">
        <v>118.2</v>
      </c>
      <c r="I31" s="29">
        <f t="shared" si="0"/>
        <v>5910</v>
      </c>
    </row>
    <row r="32" spans="1:9" ht="31.95" customHeight="1" thickBot="1">
      <c r="A32" s="23">
        <v>23</v>
      </c>
      <c r="B32" s="27" t="s">
        <v>116</v>
      </c>
      <c r="C32" s="24" t="s">
        <v>146</v>
      </c>
      <c r="D32" s="25" t="str">
        <f t="shared" si="1"/>
        <v>2.7.5</v>
      </c>
      <c r="E32" s="26" t="s">
        <v>82</v>
      </c>
      <c r="F32" s="27" t="s">
        <v>134</v>
      </c>
      <c r="G32" s="27">
        <v>100</v>
      </c>
      <c r="H32" s="28">
        <v>139.5</v>
      </c>
      <c r="I32" s="29">
        <f t="shared" si="0"/>
        <v>13950</v>
      </c>
    </row>
    <row r="33" spans="1:9" ht="31.95" customHeight="1" thickBot="1">
      <c r="A33" s="23">
        <v>24</v>
      </c>
      <c r="B33" s="27" t="s">
        <v>117</v>
      </c>
      <c r="C33" s="24" t="s">
        <v>133</v>
      </c>
      <c r="D33" s="25" t="str">
        <f t="shared" si="1"/>
        <v>2.9.1</v>
      </c>
      <c r="E33" s="26" t="s">
        <v>83</v>
      </c>
      <c r="F33" s="27" t="s">
        <v>134</v>
      </c>
      <c r="G33" s="27">
        <v>200</v>
      </c>
      <c r="H33" s="28">
        <v>99.9</v>
      </c>
      <c r="I33" s="29">
        <f t="shared" si="0"/>
        <v>19980</v>
      </c>
    </row>
    <row r="34" spans="1:9" ht="31.95" customHeight="1" thickBot="1">
      <c r="A34" s="23">
        <v>25</v>
      </c>
      <c r="B34" s="27" t="s">
        <v>118</v>
      </c>
      <c r="C34" s="24" t="s">
        <v>133</v>
      </c>
      <c r="D34" s="25" t="str">
        <f t="shared" si="1"/>
        <v>2.9.1</v>
      </c>
      <c r="E34" s="26" t="s">
        <v>84</v>
      </c>
      <c r="F34" s="27" t="s">
        <v>134</v>
      </c>
      <c r="G34" s="27">
        <v>25</v>
      </c>
      <c r="H34" s="28">
        <v>313</v>
      </c>
      <c r="I34" s="29">
        <f t="shared" si="0"/>
        <v>7825</v>
      </c>
    </row>
    <row r="35" spans="1:9" ht="31.95" customHeight="1" thickBot="1">
      <c r="A35" s="23">
        <v>26</v>
      </c>
      <c r="B35" s="27" t="s">
        <v>119</v>
      </c>
      <c r="C35" s="24" t="s">
        <v>133</v>
      </c>
      <c r="D35" s="25" t="str">
        <f t="shared" si="1"/>
        <v>2.9.1</v>
      </c>
      <c r="E35" s="26" t="s">
        <v>85</v>
      </c>
      <c r="F35" s="27" t="s">
        <v>135</v>
      </c>
      <c r="G35" s="27">
        <v>36</v>
      </c>
      <c r="H35" s="28">
        <v>202.5</v>
      </c>
      <c r="I35" s="29">
        <f t="shared" si="0"/>
        <v>7290</v>
      </c>
    </row>
    <row r="36" spans="1:9" ht="31.95" customHeight="1" thickBot="1">
      <c r="A36" s="23">
        <v>27</v>
      </c>
      <c r="B36" s="27" t="s">
        <v>120</v>
      </c>
      <c r="C36" s="24" t="s">
        <v>133</v>
      </c>
      <c r="D36" s="25" t="str">
        <f t="shared" si="1"/>
        <v>2.9.1</v>
      </c>
      <c r="E36" s="26" t="s">
        <v>86</v>
      </c>
      <c r="F36" s="27" t="s">
        <v>134</v>
      </c>
      <c r="G36" s="27">
        <v>300</v>
      </c>
      <c r="H36" s="28">
        <v>46.88</v>
      </c>
      <c r="I36" s="29">
        <f t="shared" si="0"/>
        <v>14064</v>
      </c>
    </row>
    <row r="37" spans="1:9" ht="31.95" customHeight="1" thickBot="1">
      <c r="A37" s="23">
        <v>28</v>
      </c>
      <c r="B37" s="27" t="s">
        <v>121</v>
      </c>
      <c r="C37" s="24" t="s">
        <v>133</v>
      </c>
      <c r="D37" s="25" t="str">
        <f t="shared" si="1"/>
        <v>2.9.1</v>
      </c>
      <c r="E37" s="26" t="s">
        <v>87</v>
      </c>
      <c r="F37" s="27" t="s">
        <v>134</v>
      </c>
      <c r="G37" s="27">
        <v>250</v>
      </c>
      <c r="H37" s="28">
        <v>31.5</v>
      </c>
      <c r="I37" s="29">
        <f t="shared" si="0"/>
        <v>7875</v>
      </c>
    </row>
    <row r="38" spans="1:9" ht="31.95" customHeight="1" thickBot="1">
      <c r="A38" s="23">
        <v>29</v>
      </c>
      <c r="B38" s="27" t="s">
        <v>122</v>
      </c>
      <c r="C38" s="24" t="s">
        <v>133</v>
      </c>
      <c r="D38" s="25" t="str">
        <f t="shared" si="1"/>
        <v>2.9.1</v>
      </c>
      <c r="E38" s="26" t="s">
        <v>88</v>
      </c>
      <c r="F38" s="27" t="s">
        <v>134</v>
      </c>
      <c r="G38" s="27">
        <v>150</v>
      </c>
      <c r="H38" s="28">
        <v>70.900000000000006</v>
      </c>
      <c r="I38" s="29">
        <f t="shared" si="0"/>
        <v>10635</v>
      </c>
    </row>
    <row r="39" spans="1:9" ht="31.95" customHeight="1" thickBot="1">
      <c r="A39" s="23">
        <v>30</v>
      </c>
      <c r="B39" s="27" t="s">
        <v>123</v>
      </c>
      <c r="C39" s="24" t="s">
        <v>133</v>
      </c>
      <c r="D39" s="25" t="str">
        <f t="shared" si="1"/>
        <v>2.9.1</v>
      </c>
      <c r="E39" s="26" t="s">
        <v>89</v>
      </c>
      <c r="F39" s="27" t="s">
        <v>136</v>
      </c>
      <c r="G39" s="27">
        <v>200</v>
      </c>
      <c r="H39" s="28">
        <v>38</v>
      </c>
      <c r="I39" s="29">
        <f t="shared" si="0"/>
        <v>7600</v>
      </c>
    </row>
    <row r="40" spans="1:9" ht="31.95" customHeight="1" thickBot="1">
      <c r="A40" s="23">
        <v>31</v>
      </c>
      <c r="B40" s="27" t="s">
        <v>124</v>
      </c>
      <c r="C40" s="24" t="s">
        <v>133</v>
      </c>
      <c r="D40" s="25" t="str">
        <f t="shared" si="1"/>
        <v>2.3.4</v>
      </c>
      <c r="E40" s="26" t="s">
        <v>90</v>
      </c>
      <c r="F40" s="27" t="s">
        <v>138</v>
      </c>
      <c r="G40" s="27">
        <v>200</v>
      </c>
      <c r="H40" s="28">
        <v>82.5</v>
      </c>
      <c r="I40" s="29">
        <f t="shared" si="0"/>
        <v>16500</v>
      </c>
    </row>
    <row r="41" spans="1:9" ht="31.95" customHeight="1" thickBot="1">
      <c r="A41" s="23">
        <v>32</v>
      </c>
      <c r="B41" s="27" t="s">
        <v>125</v>
      </c>
      <c r="C41" s="24" t="s">
        <v>133</v>
      </c>
      <c r="D41" s="25" t="str">
        <f t="shared" si="1"/>
        <v>2.9.1</v>
      </c>
      <c r="E41" s="26" t="s">
        <v>91</v>
      </c>
      <c r="F41" s="27" t="s">
        <v>134</v>
      </c>
      <c r="G41" s="27">
        <v>18000</v>
      </c>
      <c r="H41" s="28">
        <v>3.6</v>
      </c>
      <c r="I41" s="29">
        <f t="shared" si="0"/>
        <v>64800</v>
      </c>
    </row>
    <row r="42" spans="1:9" ht="31.95" customHeight="1" thickBot="1">
      <c r="A42" s="23">
        <v>33</v>
      </c>
      <c r="B42" s="27" t="s">
        <v>126</v>
      </c>
      <c r="C42" s="24" t="s">
        <v>133</v>
      </c>
      <c r="D42" s="25" t="str">
        <f t="shared" si="1"/>
        <v>2.9.1</v>
      </c>
      <c r="E42" s="26" t="s">
        <v>92</v>
      </c>
      <c r="F42" s="27" t="s">
        <v>136</v>
      </c>
      <c r="G42" s="27">
        <v>170</v>
      </c>
      <c r="H42" s="28">
        <v>750</v>
      </c>
      <c r="I42" s="29">
        <f t="shared" si="0"/>
        <v>127500</v>
      </c>
    </row>
    <row r="43" spans="1:9" ht="31.95" customHeight="1" thickBot="1">
      <c r="A43" s="23">
        <v>34</v>
      </c>
      <c r="B43" s="27" t="s">
        <v>126</v>
      </c>
      <c r="C43" s="24" t="s">
        <v>133</v>
      </c>
      <c r="D43" s="25" t="str">
        <f t="shared" si="1"/>
        <v>2.9.1</v>
      </c>
      <c r="E43" s="26" t="s">
        <v>92</v>
      </c>
      <c r="F43" s="27" t="s">
        <v>136</v>
      </c>
      <c r="G43" s="27">
        <v>50</v>
      </c>
      <c r="H43" s="28">
        <v>750</v>
      </c>
      <c r="I43" s="29">
        <f t="shared" si="0"/>
        <v>37500</v>
      </c>
    </row>
    <row r="44" spans="1:9" ht="31.95" customHeight="1" thickBot="1">
      <c r="A44" s="23">
        <v>35</v>
      </c>
      <c r="B44" s="27" t="s">
        <v>127</v>
      </c>
      <c r="C44" s="24" t="s">
        <v>133</v>
      </c>
      <c r="D44" s="25" t="str">
        <f t="shared" si="1"/>
        <v>2.9.1</v>
      </c>
      <c r="E44" s="26" t="s">
        <v>93</v>
      </c>
      <c r="F44" s="27" t="s">
        <v>134</v>
      </c>
      <c r="G44" s="27">
        <v>5000</v>
      </c>
      <c r="H44" s="28">
        <v>13</v>
      </c>
      <c r="I44" s="29">
        <f t="shared" si="0"/>
        <v>65000</v>
      </c>
    </row>
    <row r="45" spans="1:9" ht="31.95" customHeight="1" thickBot="1">
      <c r="A45" s="23">
        <v>36</v>
      </c>
      <c r="B45" s="27" t="s">
        <v>128</v>
      </c>
      <c r="C45" s="24" t="s">
        <v>147</v>
      </c>
      <c r="D45" s="25" t="str">
        <f t="shared" si="1"/>
        <v>2.5.8</v>
      </c>
      <c r="E45" s="26" t="s">
        <v>94</v>
      </c>
      <c r="F45" s="27" t="s">
        <v>139</v>
      </c>
      <c r="G45" s="27">
        <v>3</v>
      </c>
      <c r="H45" s="28">
        <v>11586</v>
      </c>
      <c r="I45" s="29">
        <f t="shared" si="0"/>
        <v>34758</v>
      </c>
    </row>
    <row r="46" spans="1:9" ht="31.95" customHeight="1" thickBot="1">
      <c r="A46" s="23">
        <v>37</v>
      </c>
      <c r="B46" s="27" t="s">
        <v>129</v>
      </c>
      <c r="C46" s="24" t="s">
        <v>147</v>
      </c>
      <c r="D46" s="25" t="str">
        <f t="shared" si="1"/>
        <v>2.5.8</v>
      </c>
      <c r="E46" s="26" t="s">
        <v>95</v>
      </c>
      <c r="F46" s="27" t="s">
        <v>140</v>
      </c>
      <c r="G46" s="27">
        <v>25</v>
      </c>
      <c r="H46" s="28">
        <v>1300</v>
      </c>
      <c r="I46" s="29">
        <f t="shared" si="0"/>
        <v>32500</v>
      </c>
    </row>
    <row r="47" spans="1:9" ht="31.95" customHeight="1" thickBot="1">
      <c r="A47" s="23">
        <v>38</v>
      </c>
      <c r="B47" s="27" t="s">
        <v>129</v>
      </c>
      <c r="C47" s="24" t="s">
        <v>147</v>
      </c>
      <c r="D47" s="25" t="str">
        <f t="shared" si="1"/>
        <v>2.5.8</v>
      </c>
      <c r="E47" s="26" t="s">
        <v>95</v>
      </c>
      <c r="F47" s="27" t="s">
        <v>140</v>
      </c>
      <c r="G47" s="27">
        <v>25</v>
      </c>
      <c r="H47" s="28">
        <v>1300</v>
      </c>
      <c r="I47" s="29">
        <f t="shared" si="0"/>
        <v>32500</v>
      </c>
    </row>
    <row r="48" spans="1:9" ht="31.95" customHeight="1" thickBot="1">
      <c r="A48" s="23">
        <v>39</v>
      </c>
      <c r="B48" s="27" t="s">
        <v>129</v>
      </c>
      <c r="C48" s="24" t="s">
        <v>147</v>
      </c>
      <c r="D48" s="25" t="str">
        <f t="shared" si="1"/>
        <v>2.5.8</v>
      </c>
      <c r="E48" s="26" t="s">
        <v>95</v>
      </c>
      <c r="F48" s="27" t="s">
        <v>140</v>
      </c>
      <c r="G48" s="27">
        <v>25</v>
      </c>
      <c r="H48" s="28">
        <v>1300</v>
      </c>
      <c r="I48" s="29">
        <f t="shared" si="0"/>
        <v>32500</v>
      </c>
    </row>
    <row r="49" spans="1:9" ht="31.95" customHeight="1" thickBot="1">
      <c r="A49" s="23">
        <v>40</v>
      </c>
      <c r="B49" s="27" t="s">
        <v>129</v>
      </c>
      <c r="C49" s="24" t="s">
        <v>147</v>
      </c>
      <c r="D49" s="25" t="str">
        <f t="shared" si="1"/>
        <v>2.5.8</v>
      </c>
      <c r="E49" s="26" t="s">
        <v>95</v>
      </c>
      <c r="F49" s="27" t="s">
        <v>140</v>
      </c>
      <c r="G49" s="27">
        <v>25</v>
      </c>
      <c r="H49" s="28">
        <v>1300</v>
      </c>
      <c r="I49" s="29">
        <f t="shared" si="0"/>
        <v>32500</v>
      </c>
    </row>
    <row r="50" spans="1:9" ht="31.95" customHeight="1" thickBot="1">
      <c r="A50" s="23">
        <v>41</v>
      </c>
      <c r="B50" s="27" t="s">
        <v>148</v>
      </c>
      <c r="C50" s="24" t="s">
        <v>149</v>
      </c>
      <c r="D50" s="25" t="str">
        <f t="shared" si="1"/>
        <v>2.9.5</v>
      </c>
      <c r="E50" s="26" t="s">
        <v>96</v>
      </c>
      <c r="F50" s="27" t="s">
        <v>134</v>
      </c>
      <c r="G50" s="27">
        <v>6000</v>
      </c>
      <c r="H50" s="28">
        <v>16.350000000000001</v>
      </c>
      <c r="I50" s="29">
        <f t="shared" si="0"/>
        <v>98100.000000000015</v>
      </c>
    </row>
    <row r="51" spans="1:9" ht="31.95" customHeight="1" thickBot="1">
      <c r="A51" s="23">
        <v>42</v>
      </c>
      <c r="B51" s="27" t="s">
        <v>130</v>
      </c>
      <c r="C51" s="24" t="s">
        <v>133</v>
      </c>
      <c r="D51" s="25" t="str">
        <f t="shared" si="1"/>
        <v>2.9.1</v>
      </c>
      <c r="E51" s="26" t="s">
        <v>97</v>
      </c>
      <c r="F51" s="27" t="s">
        <v>134</v>
      </c>
      <c r="G51" s="27">
        <v>80</v>
      </c>
      <c r="H51" s="28">
        <v>239.9</v>
      </c>
      <c r="I51" s="29">
        <f t="shared" si="0"/>
        <v>19192</v>
      </c>
    </row>
    <row r="52" spans="1:9" s="63" customFormat="1" ht="31.95" customHeight="1" thickBot="1">
      <c r="A52" s="59">
        <v>43</v>
      </c>
      <c r="B52" s="27" t="s">
        <v>224</v>
      </c>
      <c r="C52" s="60" t="s">
        <v>131</v>
      </c>
      <c r="D52" s="61" t="str">
        <f t="shared" si="1"/>
        <v>2.3.4</v>
      </c>
      <c r="E52" s="62" t="s">
        <v>223</v>
      </c>
      <c r="F52" s="27" t="s">
        <v>134</v>
      </c>
      <c r="G52" s="27">
        <v>300</v>
      </c>
      <c r="H52" s="28">
        <v>1151.0999999999999</v>
      </c>
      <c r="I52" s="29">
        <f t="shared" si="0"/>
        <v>345330</v>
      </c>
    </row>
    <row r="53" spans="1:9" s="63" customFormat="1" ht="31.95" customHeight="1" thickBot="1">
      <c r="A53" s="59">
        <v>44</v>
      </c>
      <c r="B53" s="27" t="s">
        <v>132</v>
      </c>
      <c r="C53" s="60" t="s">
        <v>133</v>
      </c>
      <c r="D53" s="61" t="str">
        <f t="shared" si="1"/>
        <v>2.3.4</v>
      </c>
      <c r="E53" s="62" t="s">
        <v>222</v>
      </c>
      <c r="F53" s="27" t="s">
        <v>212</v>
      </c>
      <c r="G53" s="27">
        <v>300</v>
      </c>
      <c r="H53" s="28">
        <v>1796.35</v>
      </c>
      <c r="I53" s="29">
        <f t="shared" si="0"/>
        <v>538905</v>
      </c>
    </row>
    <row r="55" spans="1:9" ht="13.8" thickBot="1"/>
    <row r="56" spans="1:9" ht="36" customHeight="1" thickBot="1">
      <c r="B56" s="82" t="s">
        <v>152</v>
      </c>
      <c r="C56" s="83"/>
      <c r="D56" s="83"/>
      <c r="E56" s="84"/>
      <c r="I56" s="39"/>
    </row>
    <row r="57" spans="1:9" ht="32.25" customHeight="1" thickBot="1">
      <c r="B57" s="76" t="s">
        <v>153</v>
      </c>
      <c r="C57" s="77"/>
      <c r="D57" s="77"/>
      <c r="E57" s="78"/>
      <c r="I57" s="39"/>
    </row>
    <row r="58" spans="1:9" ht="41.25" customHeight="1" thickBot="1">
      <c r="B58" s="76" t="s">
        <v>154</v>
      </c>
      <c r="C58" s="77"/>
      <c r="D58" s="77"/>
      <c r="E58" s="78"/>
      <c r="I58" s="39"/>
    </row>
    <row r="61" spans="1:9" ht="13.8" thickBot="1"/>
    <row r="62" spans="1:9" s="40" customFormat="1">
      <c r="B62" s="41" t="s">
        <v>14</v>
      </c>
      <c r="C62" s="42"/>
      <c r="D62" s="42"/>
      <c r="E62" s="43"/>
    </row>
    <row r="63" spans="1:9" s="40" customFormat="1" ht="5.25" customHeight="1">
      <c r="B63" s="44"/>
      <c r="C63" s="45"/>
      <c r="D63" s="45"/>
      <c r="E63" s="46"/>
    </row>
    <row r="64" spans="1:9" s="40" customFormat="1">
      <c r="B64" s="47" t="s">
        <v>15</v>
      </c>
      <c r="C64" s="45"/>
      <c r="D64" s="45"/>
      <c r="E64" s="46"/>
    </row>
    <row r="65" spans="2:5" s="40" customFormat="1" ht="41.25" customHeight="1">
      <c r="B65" s="47"/>
      <c r="C65" s="75" t="s">
        <v>155</v>
      </c>
      <c r="D65" s="75"/>
      <c r="E65" s="75"/>
    </row>
    <row r="66" spans="2:5" s="40" customFormat="1">
      <c r="B66" s="47" t="s">
        <v>16</v>
      </c>
      <c r="C66" s="45"/>
      <c r="D66" s="45"/>
      <c r="E66" s="46"/>
    </row>
    <row r="67" spans="2:5" s="40" customFormat="1">
      <c r="B67" s="48"/>
      <c r="C67" s="74"/>
      <c r="D67" s="74"/>
      <c r="E67" s="74"/>
    </row>
    <row r="68" spans="2:5" s="40" customFormat="1">
      <c r="B68" s="48"/>
      <c r="C68" s="70"/>
      <c r="D68" s="70"/>
      <c r="E68" s="70"/>
    </row>
    <row r="69" spans="2:5" s="40" customFormat="1">
      <c r="B69" s="47" t="s">
        <v>17</v>
      </c>
      <c r="C69" s="45"/>
      <c r="D69" s="45"/>
      <c r="E69" s="46"/>
    </row>
    <row r="70" spans="2:5" s="40" customFormat="1" ht="26.25" customHeight="1">
      <c r="B70" s="48"/>
      <c r="C70" s="71"/>
      <c r="D70" s="71"/>
      <c r="E70" s="71"/>
    </row>
    <row r="71" spans="2:5" s="40" customFormat="1">
      <c r="B71" s="47" t="s">
        <v>18</v>
      </c>
      <c r="C71" s="49"/>
      <c r="D71" s="49"/>
      <c r="E71" s="50"/>
    </row>
    <row r="72" spans="2:5" s="40" customFormat="1" ht="26.25" customHeight="1">
      <c r="B72" s="48"/>
      <c r="C72" s="72"/>
      <c r="D72" s="72"/>
      <c r="E72" s="72"/>
    </row>
    <row r="73" spans="2:5" s="40" customFormat="1">
      <c r="B73" s="47" t="s">
        <v>19</v>
      </c>
      <c r="C73" s="45"/>
      <c r="D73" s="45"/>
      <c r="E73" s="46"/>
    </row>
    <row r="74" spans="2:5" s="40" customFormat="1" ht="23.25" customHeight="1">
      <c r="B74" s="47"/>
      <c r="C74" s="73"/>
      <c r="D74" s="73"/>
      <c r="E74" s="73"/>
    </row>
    <row r="75" spans="2:5" s="40" customFormat="1" ht="13.8" thickBot="1">
      <c r="B75" s="51"/>
      <c r="C75" s="52"/>
      <c r="D75" s="52"/>
      <c r="E75" s="53"/>
    </row>
    <row r="76" spans="2:5" s="40" customFormat="1" ht="13.8" thickBot="1"/>
    <row r="77" spans="2:5" s="40" customFormat="1">
      <c r="B77" s="41" t="s">
        <v>20</v>
      </c>
      <c r="C77" s="42"/>
      <c r="D77" s="42"/>
      <c r="E77" s="43"/>
    </row>
    <row r="78" spans="2:5" s="40" customFormat="1" ht="5.25" customHeight="1">
      <c r="B78" s="44"/>
      <c r="C78" s="45"/>
      <c r="D78" s="45"/>
      <c r="E78" s="46"/>
    </row>
    <row r="79" spans="2:5" s="40" customFormat="1">
      <c r="B79" s="47" t="s">
        <v>15</v>
      </c>
      <c r="C79" s="45"/>
      <c r="D79" s="45"/>
      <c r="E79" s="46"/>
    </row>
    <row r="80" spans="2:5" s="40" customFormat="1" ht="41.25" customHeight="1">
      <c r="B80" s="47"/>
      <c r="C80" s="75" t="s">
        <v>156</v>
      </c>
      <c r="D80" s="75"/>
      <c r="E80" s="75"/>
    </row>
    <row r="81" spans="2:5" s="40" customFormat="1">
      <c r="B81" s="47" t="s">
        <v>16</v>
      </c>
      <c r="C81" s="45"/>
      <c r="D81" s="45"/>
      <c r="E81" s="46"/>
    </row>
    <row r="82" spans="2:5" s="40" customFormat="1">
      <c r="B82" s="48"/>
      <c r="C82" s="74"/>
      <c r="D82" s="74"/>
      <c r="E82" s="74"/>
    </row>
    <row r="83" spans="2:5" s="40" customFormat="1">
      <c r="B83" s="48"/>
      <c r="C83" s="70"/>
      <c r="D83" s="70"/>
      <c r="E83" s="70"/>
    </row>
    <row r="84" spans="2:5" s="40" customFormat="1">
      <c r="B84" s="47" t="s">
        <v>17</v>
      </c>
      <c r="C84" s="45"/>
      <c r="D84" s="45"/>
      <c r="E84" s="46"/>
    </row>
    <row r="85" spans="2:5" s="40" customFormat="1" ht="26.25" customHeight="1">
      <c r="B85" s="48"/>
      <c r="C85" s="71"/>
      <c r="D85" s="71"/>
      <c r="E85" s="71"/>
    </row>
    <row r="86" spans="2:5" s="40" customFormat="1">
      <c r="B86" s="47" t="s">
        <v>18</v>
      </c>
      <c r="C86" s="49"/>
      <c r="D86" s="49"/>
      <c r="E86" s="50"/>
    </row>
    <row r="87" spans="2:5" s="40" customFormat="1" ht="26.25" customHeight="1">
      <c r="B87" s="48"/>
      <c r="C87" s="72"/>
      <c r="D87" s="72"/>
      <c r="E87" s="72"/>
    </row>
    <row r="88" spans="2:5" s="40" customFormat="1">
      <c r="B88" s="47" t="s">
        <v>19</v>
      </c>
      <c r="C88" s="45"/>
      <c r="D88" s="45"/>
      <c r="E88" s="46"/>
    </row>
    <row r="89" spans="2:5" s="40" customFormat="1" ht="23.25" customHeight="1">
      <c r="B89" s="47"/>
      <c r="C89" s="73"/>
      <c r="D89" s="73"/>
      <c r="E89" s="73"/>
    </row>
    <row r="90" spans="2:5" s="40" customFormat="1" ht="13.8" thickBot="1">
      <c r="B90" s="51"/>
      <c r="C90" s="52"/>
      <c r="D90" s="52"/>
      <c r="E90" s="53"/>
    </row>
    <row r="91" spans="2:5" s="40" customFormat="1" ht="13.8" thickBot="1"/>
    <row r="92" spans="2:5" s="40" customFormat="1">
      <c r="B92" s="41" t="s">
        <v>164</v>
      </c>
      <c r="C92" s="42"/>
      <c r="D92" s="42"/>
      <c r="E92" s="43"/>
    </row>
    <row r="93" spans="2:5" s="40" customFormat="1" ht="5.25" customHeight="1">
      <c r="B93" s="44"/>
      <c r="C93" s="45"/>
      <c r="D93" s="45"/>
      <c r="E93" s="46"/>
    </row>
    <row r="94" spans="2:5" s="40" customFormat="1">
      <c r="B94" s="47" t="s">
        <v>15</v>
      </c>
      <c r="C94" s="45"/>
      <c r="D94" s="45"/>
      <c r="E94" s="46"/>
    </row>
    <row r="95" spans="2:5" s="40" customFormat="1" ht="41.25" customHeight="1">
      <c r="B95" s="47"/>
      <c r="C95" s="75" t="s">
        <v>165</v>
      </c>
      <c r="D95" s="75"/>
      <c r="E95" s="75"/>
    </row>
    <row r="96" spans="2:5" s="40" customFormat="1">
      <c r="B96" s="47" t="s">
        <v>16</v>
      </c>
      <c r="C96" s="45"/>
      <c r="D96" s="45"/>
      <c r="E96" s="46"/>
    </row>
    <row r="97" spans="2:5" s="40" customFormat="1">
      <c r="B97" s="48"/>
      <c r="C97" s="74"/>
      <c r="D97" s="74"/>
      <c r="E97" s="74"/>
    </row>
    <row r="98" spans="2:5" s="40" customFormat="1">
      <c r="B98" s="48"/>
      <c r="C98" s="70"/>
      <c r="D98" s="70"/>
      <c r="E98" s="70"/>
    </row>
    <row r="99" spans="2:5" s="40" customFormat="1">
      <c r="B99" s="47" t="s">
        <v>17</v>
      </c>
      <c r="C99" s="45"/>
      <c r="D99" s="45"/>
      <c r="E99" s="46"/>
    </row>
    <row r="100" spans="2:5" s="40" customFormat="1" ht="26.25" customHeight="1">
      <c r="B100" s="48"/>
      <c r="C100" s="71"/>
      <c r="D100" s="71"/>
      <c r="E100" s="71"/>
    </row>
    <row r="101" spans="2:5" s="40" customFormat="1">
      <c r="B101" s="47" t="s">
        <v>18</v>
      </c>
      <c r="C101" s="49"/>
      <c r="D101" s="49"/>
      <c r="E101" s="50"/>
    </row>
    <row r="102" spans="2:5" s="40" customFormat="1" ht="26.25" customHeight="1">
      <c r="B102" s="48"/>
      <c r="C102" s="72"/>
      <c r="D102" s="72"/>
      <c r="E102" s="72"/>
    </row>
    <row r="103" spans="2:5" s="40" customFormat="1">
      <c r="B103" s="47" t="s">
        <v>19</v>
      </c>
      <c r="C103" s="45"/>
      <c r="D103" s="45"/>
      <c r="E103" s="46"/>
    </row>
    <row r="104" spans="2:5" s="40" customFormat="1" ht="23.25" customHeight="1">
      <c r="B104" s="47"/>
      <c r="C104" s="73"/>
      <c r="D104" s="73"/>
      <c r="E104" s="73"/>
    </row>
    <row r="105" spans="2:5" s="40" customFormat="1" ht="13.8" thickBot="1">
      <c r="B105" s="51"/>
      <c r="C105" s="52"/>
      <c r="D105" s="52"/>
      <c r="E105" s="53"/>
    </row>
    <row r="106" spans="2:5" s="40" customFormat="1" ht="13.8" thickBot="1"/>
    <row r="107" spans="2:5" s="40" customFormat="1">
      <c r="B107" s="41" t="s">
        <v>157</v>
      </c>
      <c r="C107" s="42"/>
      <c r="D107" s="42"/>
      <c r="E107" s="43"/>
    </row>
    <row r="108" spans="2:5" s="40" customFormat="1" ht="5.25" customHeight="1">
      <c r="B108" s="44"/>
      <c r="C108" s="45"/>
      <c r="D108" s="45"/>
      <c r="E108" s="46"/>
    </row>
    <row r="109" spans="2:5" s="40" customFormat="1">
      <c r="B109" s="47" t="s">
        <v>15</v>
      </c>
      <c r="C109" s="45"/>
      <c r="D109" s="45"/>
      <c r="E109" s="46"/>
    </row>
    <row r="110" spans="2:5" s="40" customFormat="1" ht="41.25" customHeight="1">
      <c r="B110" s="47"/>
      <c r="C110" s="75" t="s">
        <v>158</v>
      </c>
      <c r="D110" s="75"/>
      <c r="E110" s="75"/>
    </row>
    <row r="111" spans="2:5" s="40" customFormat="1">
      <c r="B111" s="47" t="s">
        <v>16</v>
      </c>
      <c r="C111" s="45"/>
      <c r="D111" s="45"/>
      <c r="E111" s="46"/>
    </row>
    <row r="112" spans="2:5" s="40" customFormat="1">
      <c r="B112" s="48"/>
      <c r="C112" s="74"/>
      <c r="D112" s="74"/>
      <c r="E112" s="74"/>
    </row>
    <row r="113" spans="2:5" s="40" customFormat="1">
      <c r="B113" s="48"/>
      <c r="C113" s="70"/>
      <c r="D113" s="70"/>
      <c r="E113" s="70"/>
    </row>
    <row r="114" spans="2:5" s="40" customFormat="1">
      <c r="B114" s="47" t="s">
        <v>17</v>
      </c>
      <c r="C114" s="45"/>
      <c r="D114" s="45"/>
      <c r="E114" s="46"/>
    </row>
    <row r="115" spans="2:5" s="40" customFormat="1" ht="26.25" customHeight="1">
      <c r="B115" s="48"/>
      <c r="C115" s="71"/>
      <c r="D115" s="71"/>
      <c r="E115" s="71"/>
    </row>
    <row r="116" spans="2:5" s="40" customFormat="1">
      <c r="B116" s="47" t="s">
        <v>18</v>
      </c>
      <c r="C116" s="49"/>
      <c r="D116" s="49"/>
      <c r="E116" s="50"/>
    </row>
    <row r="117" spans="2:5" s="40" customFormat="1" ht="26.25" customHeight="1">
      <c r="B117" s="48"/>
      <c r="C117" s="72"/>
      <c r="D117" s="72"/>
      <c r="E117" s="72"/>
    </row>
    <row r="118" spans="2:5" s="40" customFormat="1">
      <c r="B118" s="47" t="s">
        <v>19</v>
      </c>
      <c r="C118" s="45"/>
      <c r="D118" s="45"/>
      <c r="E118" s="46"/>
    </row>
    <row r="119" spans="2:5" s="40" customFormat="1" ht="23.25" customHeight="1">
      <c r="B119" s="47"/>
      <c r="C119" s="73"/>
      <c r="D119" s="73"/>
      <c r="E119" s="73"/>
    </row>
    <row r="120" spans="2:5" s="40" customFormat="1" ht="13.8" thickBot="1">
      <c r="B120" s="51"/>
      <c r="C120" s="52"/>
      <c r="D120" s="52"/>
      <c r="E120" s="53"/>
    </row>
    <row r="121" spans="2:5" s="40" customFormat="1" ht="13.8" thickBot="1"/>
    <row r="122" spans="2:5" s="40" customFormat="1">
      <c r="B122" s="41" t="s">
        <v>159</v>
      </c>
      <c r="C122" s="42"/>
      <c r="D122" s="42"/>
      <c r="E122" s="43"/>
    </row>
    <row r="123" spans="2:5" s="40" customFormat="1" ht="5.25" customHeight="1">
      <c r="B123" s="44"/>
      <c r="C123" s="45"/>
      <c r="D123" s="45"/>
      <c r="E123" s="46"/>
    </row>
    <row r="124" spans="2:5" s="40" customFormat="1">
      <c r="B124" s="47" t="s">
        <v>15</v>
      </c>
      <c r="C124" s="45"/>
      <c r="D124" s="45"/>
      <c r="E124" s="46"/>
    </row>
    <row r="125" spans="2:5" s="40" customFormat="1" ht="41.25" customHeight="1">
      <c r="B125" s="47"/>
      <c r="C125" s="75" t="s">
        <v>160</v>
      </c>
      <c r="D125" s="75"/>
      <c r="E125" s="75"/>
    </row>
    <row r="126" spans="2:5" s="40" customFormat="1">
      <c r="B126" s="47" t="s">
        <v>16</v>
      </c>
      <c r="C126" s="45"/>
      <c r="D126" s="45"/>
      <c r="E126" s="46"/>
    </row>
    <row r="127" spans="2:5" s="40" customFormat="1">
      <c r="B127" s="48"/>
      <c r="C127" s="74"/>
      <c r="D127" s="74"/>
      <c r="E127" s="74"/>
    </row>
    <row r="128" spans="2:5" s="40" customFormat="1">
      <c r="B128" s="48"/>
      <c r="C128" s="70"/>
      <c r="D128" s="70"/>
      <c r="E128" s="70"/>
    </row>
    <row r="129" spans="2:5" s="40" customFormat="1">
      <c r="B129" s="47" t="s">
        <v>17</v>
      </c>
      <c r="C129" s="45"/>
      <c r="D129" s="45"/>
      <c r="E129" s="46"/>
    </row>
    <row r="130" spans="2:5" s="40" customFormat="1" ht="26.25" customHeight="1">
      <c r="B130" s="48"/>
      <c r="C130" s="71"/>
      <c r="D130" s="71"/>
      <c r="E130" s="71"/>
    </row>
    <row r="131" spans="2:5" s="40" customFormat="1">
      <c r="B131" s="47" t="s">
        <v>18</v>
      </c>
      <c r="C131" s="49"/>
      <c r="D131" s="49"/>
      <c r="E131" s="50"/>
    </row>
    <row r="132" spans="2:5" s="40" customFormat="1" ht="26.25" customHeight="1">
      <c r="B132" s="48"/>
      <c r="C132" s="72"/>
      <c r="D132" s="72"/>
      <c r="E132" s="72"/>
    </row>
    <row r="133" spans="2:5" s="40" customFormat="1">
      <c r="B133" s="47" t="s">
        <v>19</v>
      </c>
      <c r="C133" s="45"/>
      <c r="D133" s="45"/>
      <c r="E133" s="46"/>
    </row>
    <row r="134" spans="2:5" s="40" customFormat="1" ht="23.25" customHeight="1">
      <c r="B134" s="47"/>
      <c r="C134" s="73"/>
      <c r="D134" s="73"/>
      <c r="E134" s="73"/>
    </row>
    <row r="135" spans="2:5" s="40" customFormat="1" ht="13.8" thickBot="1">
      <c r="B135" s="51"/>
      <c r="C135" s="52"/>
      <c r="D135" s="52"/>
      <c r="E135" s="53"/>
    </row>
    <row r="136" spans="2:5" s="40" customFormat="1" ht="13.8" thickBot="1"/>
    <row r="137" spans="2:5" s="40" customFormat="1">
      <c r="B137" s="41" t="s">
        <v>161</v>
      </c>
      <c r="C137" s="42"/>
      <c r="D137" s="42"/>
      <c r="E137" s="43"/>
    </row>
    <row r="138" spans="2:5" s="40" customFormat="1" ht="5.25" customHeight="1">
      <c r="B138" s="44"/>
      <c r="C138" s="45"/>
      <c r="D138" s="45"/>
      <c r="E138" s="46"/>
    </row>
    <row r="139" spans="2:5" s="40" customFormat="1">
      <c r="B139" s="47" t="s">
        <v>15</v>
      </c>
      <c r="C139" s="45"/>
      <c r="D139" s="45"/>
      <c r="E139" s="46"/>
    </row>
    <row r="140" spans="2:5" s="40" customFormat="1" ht="41.25" customHeight="1">
      <c r="B140" s="47"/>
      <c r="C140" s="75" t="s">
        <v>162</v>
      </c>
      <c r="D140" s="75"/>
      <c r="E140" s="75"/>
    </row>
    <row r="141" spans="2:5" s="40" customFormat="1">
      <c r="B141" s="47" t="s">
        <v>16</v>
      </c>
      <c r="C141" s="45"/>
      <c r="D141" s="45"/>
      <c r="E141" s="46"/>
    </row>
    <row r="142" spans="2:5" s="40" customFormat="1">
      <c r="B142" s="48"/>
      <c r="C142" s="74"/>
      <c r="D142" s="74"/>
      <c r="E142" s="74"/>
    </row>
    <row r="143" spans="2:5" s="40" customFormat="1">
      <c r="B143" s="48"/>
      <c r="C143" s="70"/>
      <c r="D143" s="70"/>
      <c r="E143" s="70"/>
    </row>
    <row r="144" spans="2:5" s="40" customFormat="1">
      <c r="B144" s="47" t="s">
        <v>17</v>
      </c>
      <c r="C144" s="45"/>
      <c r="D144" s="45"/>
      <c r="E144" s="46"/>
    </row>
    <row r="145" spans="2:5" s="40" customFormat="1" ht="26.25" customHeight="1">
      <c r="B145" s="48"/>
      <c r="C145" s="71"/>
      <c r="D145" s="71"/>
      <c r="E145" s="71"/>
    </row>
    <row r="146" spans="2:5" s="40" customFormat="1">
      <c r="B146" s="47" t="s">
        <v>18</v>
      </c>
      <c r="C146" s="49"/>
      <c r="D146" s="49"/>
      <c r="E146" s="50"/>
    </row>
    <row r="147" spans="2:5" s="40" customFormat="1" ht="26.25" customHeight="1">
      <c r="B147" s="48"/>
      <c r="C147" s="72" t="s">
        <v>163</v>
      </c>
      <c r="D147" s="72"/>
      <c r="E147" s="72"/>
    </row>
    <row r="148" spans="2:5" s="40" customFormat="1">
      <c r="B148" s="47" t="s">
        <v>19</v>
      </c>
      <c r="C148" s="45"/>
      <c r="D148" s="45"/>
      <c r="E148" s="46"/>
    </row>
    <row r="149" spans="2:5" s="40" customFormat="1" ht="23.25" customHeight="1">
      <c r="B149" s="47"/>
      <c r="C149" s="73"/>
      <c r="D149" s="73"/>
      <c r="E149" s="73"/>
    </row>
    <row r="150" spans="2:5" s="40" customFormat="1" ht="13.8" thickBot="1">
      <c r="B150" s="51"/>
      <c r="C150" s="52"/>
      <c r="D150" s="52"/>
      <c r="E150" s="53"/>
    </row>
    <row r="151" spans="2:5" s="40" customFormat="1" ht="13.8" thickBot="1"/>
    <row r="152" spans="2:5" s="40" customFormat="1">
      <c r="B152" s="41" t="s">
        <v>166</v>
      </c>
      <c r="C152" s="42"/>
      <c r="D152" s="42"/>
      <c r="E152" s="43"/>
    </row>
    <row r="153" spans="2:5" s="40" customFormat="1" ht="5.25" customHeight="1">
      <c r="B153" s="44"/>
      <c r="C153" s="45"/>
      <c r="D153" s="45"/>
      <c r="E153" s="46"/>
    </row>
    <row r="154" spans="2:5" s="40" customFormat="1">
      <c r="B154" s="47" t="s">
        <v>15</v>
      </c>
      <c r="C154" s="45"/>
      <c r="D154" s="45"/>
      <c r="E154" s="46"/>
    </row>
    <row r="155" spans="2:5" s="40" customFormat="1" ht="41.25" customHeight="1">
      <c r="B155" s="47"/>
      <c r="C155" s="75" t="s">
        <v>167</v>
      </c>
      <c r="D155" s="75"/>
      <c r="E155" s="75"/>
    </row>
    <row r="156" spans="2:5" s="40" customFormat="1">
      <c r="B156" s="47" t="s">
        <v>16</v>
      </c>
      <c r="C156" s="45"/>
      <c r="D156" s="45"/>
      <c r="E156" s="46"/>
    </row>
    <row r="157" spans="2:5" s="40" customFormat="1">
      <c r="B157" s="48"/>
      <c r="C157" s="74"/>
      <c r="D157" s="74"/>
      <c r="E157" s="74"/>
    </row>
    <row r="158" spans="2:5" s="40" customFormat="1">
      <c r="B158" s="48"/>
      <c r="C158" s="70"/>
      <c r="D158" s="70"/>
      <c r="E158" s="70"/>
    </row>
    <row r="159" spans="2:5" s="40" customFormat="1">
      <c r="B159" s="47" t="s">
        <v>17</v>
      </c>
      <c r="C159" s="45"/>
      <c r="D159" s="45"/>
      <c r="E159" s="46"/>
    </row>
    <row r="160" spans="2:5" s="40" customFormat="1" ht="26.25" customHeight="1">
      <c r="B160" s="48"/>
      <c r="C160" s="71"/>
      <c r="D160" s="71"/>
      <c r="E160" s="71"/>
    </row>
    <row r="161" spans="2:5" s="40" customFormat="1">
      <c r="B161" s="47" t="s">
        <v>18</v>
      </c>
      <c r="C161" s="49"/>
      <c r="D161" s="49"/>
      <c r="E161" s="50"/>
    </row>
    <row r="162" spans="2:5" s="40" customFormat="1" ht="26.25" customHeight="1">
      <c r="B162" s="48"/>
      <c r="C162" s="72"/>
      <c r="D162" s="72"/>
      <c r="E162" s="72"/>
    </row>
    <row r="163" spans="2:5" s="40" customFormat="1">
      <c r="B163" s="47" t="s">
        <v>19</v>
      </c>
      <c r="C163" s="45"/>
      <c r="D163" s="45"/>
      <c r="E163" s="46"/>
    </row>
    <row r="164" spans="2:5" s="40" customFormat="1" ht="23.25" customHeight="1">
      <c r="B164" s="47"/>
      <c r="C164" s="73"/>
      <c r="D164" s="73"/>
      <c r="E164" s="73"/>
    </row>
    <row r="165" spans="2:5" s="40" customFormat="1" ht="13.8" thickBot="1">
      <c r="B165" s="51"/>
      <c r="C165" s="52"/>
      <c r="D165" s="52"/>
      <c r="E165" s="53"/>
    </row>
    <row r="166" spans="2:5" s="40" customFormat="1" ht="13.8" thickBot="1"/>
    <row r="167" spans="2:5" s="40" customFormat="1">
      <c r="B167" s="41" t="s">
        <v>168</v>
      </c>
      <c r="C167" s="42"/>
      <c r="D167" s="42"/>
      <c r="E167" s="43"/>
    </row>
    <row r="168" spans="2:5" s="40" customFormat="1" ht="5.25" customHeight="1">
      <c r="B168" s="44"/>
      <c r="C168" s="45"/>
      <c r="D168" s="45"/>
      <c r="E168" s="46"/>
    </row>
    <row r="169" spans="2:5" s="40" customFormat="1">
      <c r="B169" s="47" t="s">
        <v>15</v>
      </c>
      <c r="C169" s="45"/>
      <c r="D169" s="45"/>
      <c r="E169" s="46"/>
    </row>
    <row r="170" spans="2:5" s="40" customFormat="1" ht="41.25" customHeight="1">
      <c r="B170" s="47"/>
      <c r="C170" s="75" t="s">
        <v>169</v>
      </c>
      <c r="D170" s="75"/>
      <c r="E170" s="75"/>
    </row>
    <row r="171" spans="2:5" s="40" customFormat="1">
      <c r="B171" s="47" t="s">
        <v>16</v>
      </c>
      <c r="C171" s="45"/>
      <c r="D171" s="45"/>
      <c r="E171" s="46"/>
    </row>
    <row r="172" spans="2:5" s="40" customFormat="1">
      <c r="B172" s="48"/>
      <c r="C172" s="74"/>
      <c r="D172" s="74"/>
      <c r="E172" s="74"/>
    </row>
    <row r="173" spans="2:5" s="40" customFormat="1">
      <c r="B173" s="48"/>
      <c r="C173" s="70"/>
      <c r="D173" s="70"/>
      <c r="E173" s="70"/>
    </row>
    <row r="174" spans="2:5" s="40" customFormat="1">
      <c r="B174" s="47" t="s">
        <v>17</v>
      </c>
      <c r="C174" s="45"/>
      <c r="D174" s="45"/>
      <c r="E174" s="46"/>
    </row>
    <row r="175" spans="2:5" s="40" customFormat="1" ht="26.25" customHeight="1">
      <c r="B175" s="48"/>
      <c r="C175" s="71"/>
      <c r="D175" s="71"/>
      <c r="E175" s="71"/>
    </row>
    <row r="176" spans="2:5" s="40" customFormat="1">
      <c r="B176" s="47" t="s">
        <v>18</v>
      </c>
      <c r="C176" s="49"/>
      <c r="D176" s="49"/>
      <c r="E176" s="50"/>
    </row>
    <row r="177" spans="2:5" s="40" customFormat="1" ht="26.25" customHeight="1">
      <c r="B177" s="48"/>
      <c r="C177" s="72"/>
      <c r="D177" s="72"/>
      <c r="E177" s="72"/>
    </row>
    <row r="178" spans="2:5" s="40" customFormat="1">
      <c r="B178" s="47" t="s">
        <v>19</v>
      </c>
      <c r="C178" s="45"/>
      <c r="D178" s="45"/>
      <c r="E178" s="46"/>
    </row>
    <row r="179" spans="2:5" s="40" customFormat="1" ht="23.25" customHeight="1">
      <c r="B179" s="47"/>
      <c r="C179" s="73"/>
      <c r="D179" s="73"/>
      <c r="E179" s="73"/>
    </row>
    <row r="180" spans="2:5" s="40" customFormat="1" ht="13.8" thickBot="1">
      <c r="B180" s="51"/>
      <c r="C180" s="52"/>
      <c r="D180" s="52"/>
      <c r="E180" s="53"/>
    </row>
    <row r="181" spans="2:5" s="40" customFormat="1" ht="13.8" thickBot="1"/>
    <row r="182" spans="2:5" s="40" customFormat="1">
      <c r="B182" s="41" t="s">
        <v>170</v>
      </c>
      <c r="C182" s="42"/>
      <c r="D182" s="42"/>
      <c r="E182" s="43"/>
    </row>
    <row r="183" spans="2:5" s="40" customFormat="1" ht="5.25" customHeight="1">
      <c r="B183" s="44"/>
      <c r="C183" s="45"/>
      <c r="D183" s="45"/>
      <c r="E183" s="46"/>
    </row>
    <row r="184" spans="2:5" s="40" customFormat="1">
      <c r="B184" s="47" t="s">
        <v>15</v>
      </c>
      <c r="C184" s="45"/>
      <c r="D184" s="45"/>
      <c r="E184" s="46"/>
    </row>
    <row r="185" spans="2:5" s="40" customFormat="1" ht="41.25" customHeight="1">
      <c r="B185" s="47"/>
      <c r="C185" s="75" t="s">
        <v>171</v>
      </c>
      <c r="D185" s="75"/>
      <c r="E185" s="75"/>
    </row>
    <row r="186" spans="2:5" s="40" customFormat="1">
      <c r="B186" s="47" t="s">
        <v>16</v>
      </c>
      <c r="C186" s="45"/>
      <c r="D186" s="45"/>
      <c r="E186" s="46"/>
    </row>
    <row r="187" spans="2:5" s="40" customFormat="1">
      <c r="B187" s="48"/>
      <c r="C187" s="74"/>
      <c r="D187" s="74"/>
      <c r="E187" s="74"/>
    </row>
    <row r="188" spans="2:5" s="40" customFormat="1">
      <c r="B188" s="48"/>
      <c r="C188" s="70"/>
      <c r="D188" s="70"/>
      <c r="E188" s="70"/>
    </row>
    <row r="189" spans="2:5" s="40" customFormat="1">
      <c r="B189" s="47" t="s">
        <v>17</v>
      </c>
      <c r="C189" s="45"/>
      <c r="D189" s="45"/>
      <c r="E189" s="46"/>
    </row>
    <row r="190" spans="2:5" s="40" customFormat="1" ht="26.25" customHeight="1">
      <c r="B190" s="48"/>
      <c r="C190" s="71"/>
      <c r="D190" s="71"/>
      <c r="E190" s="71"/>
    </row>
    <row r="191" spans="2:5" s="40" customFormat="1">
      <c r="B191" s="47" t="s">
        <v>18</v>
      </c>
      <c r="C191" s="49"/>
      <c r="D191" s="49"/>
      <c r="E191" s="50"/>
    </row>
    <row r="192" spans="2:5" s="40" customFormat="1" ht="26.25" customHeight="1">
      <c r="B192" s="48"/>
      <c r="C192" s="72"/>
      <c r="D192" s="72"/>
      <c r="E192" s="72"/>
    </row>
    <row r="193" spans="2:5" s="40" customFormat="1">
      <c r="B193" s="47" t="s">
        <v>19</v>
      </c>
      <c r="C193" s="45"/>
      <c r="D193" s="45"/>
      <c r="E193" s="46"/>
    </row>
    <row r="194" spans="2:5" s="40" customFormat="1" ht="23.25" customHeight="1">
      <c r="B194" s="47"/>
      <c r="C194" s="73"/>
      <c r="D194" s="73"/>
      <c r="E194" s="73"/>
    </row>
    <row r="195" spans="2:5" s="40" customFormat="1" ht="13.8" thickBot="1">
      <c r="B195" s="51"/>
      <c r="C195" s="52"/>
      <c r="D195" s="52"/>
      <c r="E195" s="53"/>
    </row>
    <row r="196" spans="2:5" s="40" customFormat="1" ht="13.8" thickBot="1"/>
    <row r="197" spans="2:5" s="40" customFormat="1">
      <c r="B197" s="41" t="s">
        <v>172</v>
      </c>
      <c r="C197" s="42"/>
      <c r="D197" s="42"/>
      <c r="E197" s="43"/>
    </row>
    <row r="198" spans="2:5" s="40" customFormat="1" ht="5.25" customHeight="1">
      <c r="B198" s="44"/>
      <c r="C198" s="45"/>
      <c r="D198" s="45"/>
      <c r="E198" s="46"/>
    </row>
    <row r="199" spans="2:5" s="40" customFormat="1">
      <c r="B199" s="47" t="s">
        <v>15</v>
      </c>
      <c r="C199" s="45"/>
      <c r="D199" s="45"/>
      <c r="E199" s="46"/>
    </row>
    <row r="200" spans="2:5" s="40" customFormat="1" ht="41.25" customHeight="1">
      <c r="B200" s="47"/>
      <c r="C200" s="71" t="s">
        <v>219</v>
      </c>
      <c r="D200" s="71"/>
      <c r="E200" s="71"/>
    </row>
    <row r="201" spans="2:5" s="40" customFormat="1">
      <c r="B201" s="47" t="s">
        <v>16</v>
      </c>
      <c r="C201" s="45"/>
      <c r="D201" s="45"/>
      <c r="E201" s="46"/>
    </row>
    <row r="202" spans="2:5" s="40" customFormat="1">
      <c r="B202" s="48"/>
      <c r="C202" s="74"/>
      <c r="D202" s="74"/>
      <c r="E202" s="74"/>
    </row>
    <row r="203" spans="2:5" s="40" customFormat="1">
      <c r="B203" s="48"/>
      <c r="C203" s="70"/>
      <c r="D203" s="70"/>
      <c r="E203" s="70"/>
    </row>
    <row r="204" spans="2:5" s="40" customFormat="1">
      <c r="B204" s="47" t="s">
        <v>17</v>
      </c>
      <c r="C204" s="45"/>
      <c r="D204" s="45"/>
      <c r="E204" s="46"/>
    </row>
    <row r="205" spans="2:5" s="40" customFormat="1" ht="26.25" customHeight="1">
      <c r="B205" s="48"/>
      <c r="C205" s="71"/>
      <c r="D205" s="71"/>
      <c r="E205" s="71"/>
    </row>
    <row r="206" spans="2:5" s="40" customFormat="1">
      <c r="B206" s="47" t="s">
        <v>18</v>
      </c>
      <c r="C206" s="49"/>
      <c r="D206" s="49"/>
      <c r="E206" s="50"/>
    </row>
    <row r="207" spans="2:5" s="40" customFormat="1" ht="26.25" customHeight="1">
      <c r="B207" s="48"/>
      <c r="C207" s="72"/>
      <c r="D207" s="72"/>
      <c r="E207" s="72"/>
    </row>
    <row r="208" spans="2:5" s="40" customFormat="1">
      <c r="B208" s="47" t="s">
        <v>19</v>
      </c>
      <c r="C208" s="45"/>
      <c r="D208" s="45"/>
      <c r="E208" s="46"/>
    </row>
    <row r="209" spans="2:5" s="40" customFormat="1" ht="23.25" customHeight="1">
      <c r="B209" s="47"/>
      <c r="C209" s="73"/>
      <c r="D209" s="73"/>
      <c r="E209" s="73"/>
    </row>
    <row r="210" spans="2:5" s="40" customFormat="1" ht="13.8" thickBot="1">
      <c r="B210" s="51"/>
      <c r="C210" s="52"/>
      <c r="D210" s="52"/>
      <c r="E210" s="53"/>
    </row>
    <row r="211" spans="2:5" s="40" customFormat="1" ht="13.8" thickBot="1"/>
    <row r="212" spans="2:5" s="40" customFormat="1">
      <c r="B212" s="41" t="s">
        <v>173</v>
      </c>
      <c r="C212" s="42"/>
      <c r="D212" s="42"/>
      <c r="E212" s="43"/>
    </row>
    <row r="213" spans="2:5" s="40" customFormat="1" ht="5.25" customHeight="1">
      <c r="B213" s="44"/>
      <c r="C213" s="45"/>
      <c r="D213" s="45"/>
      <c r="E213" s="46"/>
    </row>
    <row r="214" spans="2:5" s="40" customFormat="1">
      <c r="B214" s="47" t="s">
        <v>15</v>
      </c>
      <c r="C214" s="45"/>
      <c r="D214" s="45"/>
      <c r="E214" s="46"/>
    </row>
    <row r="215" spans="2:5" s="40" customFormat="1" ht="41.25" customHeight="1">
      <c r="B215" s="47"/>
      <c r="C215" s="71" t="s">
        <v>220</v>
      </c>
      <c r="D215" s="71"/>
      <c r="E215" s="71"/>
    </row>
    <row r="216" spans="2:5" s="40" customFormat="1">
      <c r="B216" s="47" t="s">
        <v>16</v>
      </c>
      <c r="C216" s="45"/>
      <c r="D216" s="45"/>
      <c r="E216" s="46"/>
    </row>
    <row r="217" spans="2:5" s="40" customFormat="1">
      <c r="B217" s="48"/>
      <c r="C217" s="74"/>
      <c r="D217" s="74"/>
      <c r="E217" s="74"/>
    </row>
    <row r="218" spans="2:5" s="40" customFormat="1">
      <c r="B218" s="48"/>
      <c r="C218" s="70"/>
      <c r="D218" s="70"/>
      <c r="E218" s="70"/>
    </row>
    <row r="219" spans="2:5" s="40" customFormat="1">
      <c r="B219" s="47" t="s">
        <v>17</v>
      </c>
      <c r="C219" s="45"/>
      <c r="D219" s="45"/>
      <c r="E219" s="46"/>
    </row>
    <row r="220" spans="2:5" s="40" customFormat="1" ht="26.25" customHeight="1">
      <c r="B220" s="48"/>
      <c r="C220" s="71"/>
      <c r="D220" s="71"/>
      <c r="E220" s="71"/>
    </row>
    <row r="221" spans="2:5" s="40" customFormat="1">
      <c r="B221" s="47" t="s">
        <v>18</v>
      </c>
      <c r="C221" s="49"/>
      <c r="D221" s="49"/>
      <c r="E221" s="50"/>
    </row>
    <row r="222" spans="2:5" s="40" customFormat="1" ht="26.25" customHeight="1">
      <c r="B222" s="48"/>
      <c r="C222" s="72"/>
      <c r="D222" s="72"/>
      <c r="E222" s="72"/>
    </row>
    <row r="223" spans="2:5" s="40" customFormat="1">
      <c r="B223" s="47" t="s">
        <v>19</v>
      </c>
      <c r="C223" s="45"/>
      <c r="D223" s="45"/>
      <c r="E223" s="46"/>
    </row>
    <row r="224" spans="2:5" s="40" customFormat="1" ht="23.25" customHeight="1">
      <c r="B224" s="47"/>
      <c r="C224" s="73"/>
      <c r="D224" s="73"/>
      <c r="E224" s="73"/>
    </row>
    <row r="225" spans="2:5" s="40" customFormat="1" ht="13.8" thickBot="1">
      <c r="B225" s="51"/>
      <c r="C225" s="52"/>
      <c r="D225" s="52"/>
      <c r="E225" s="53"/>
    </row>
    <row r="226" spans="2:5" s="40" customFormat="1" ht="13.8" thickBot="1"/>
    <row r="227" spans="2:5" s="40" customFormat="1">
      <c r="B227" s="41" t="s">
        <v>174</v>
      </c>
      <c r="C227" s="42"/>
      <c r="D227" s="42"/>
      <c r="E227" s="43"/>
    </row>
    <row r="228" spans="2:5" s="40" customFormat="1" ht="5.25" customHeight="1">
      <c r="B228" s="44"/>
      <c r="C228" s="45"/>
      <c r="D228" s="45"/>
      <c r="E228" s="46"/>
    </row>
    <row r="229" spans="2:5" s="40" customFormat="1">
      <c r="B229" s="47" t="s">
        <v>15</v>
      </c>
      <c r="C229" s="45"/>
      <c r="D229" s="45"/>
      <c r="E229" s="46"/>
    </row>
    <row r="230" spans="2:5" s="40" customFormat="1" ht="41.25" customHeight="1">
      <c r="B230" s="47"/>
      <c r="C230" s="71" t="s">
        <v>221</v>
      </c>
      <c r="D230" s="71"/>
      <c r="E230" s="71"/>
    </row>
    <row r="231" spans="2:5" s="40" customFormat="1">
      <c r="B231" s="47" t="s">
        <v>16</v>
      </c>
      <c r="C231" s="45"/>
      <c r="D231" s="45"/>
      <c r="E231" s="46"/>
    </row>
    <row r="232" spans="2:5" s="40" customFormat="1">
      <c r="B232" s="48"/>
      <c r="C232" s="74"/>
      <c r="D232" s="74"/>
      <c r="E232" s="74"/>
    </row>
    <row r="233" spans="2:5" s="40" customFormat="1">
      <c r="B233" s="48"/>
      <c r="C233" s="70"/>
      <c r="D233" s="70"/>
      <c r="E233" s="70"/>
    </row>
    <row r="234" spans="2:5" s="40" customFormat="1">
      <c r="B234" s="47" t="s">
        <v>17</v>
      </c>
      <c r="C234" s="45"/>
      <c r="D234" s="45"/>
      <c r="E234" s="46"/>
    </row>
    <row r="235" spans="2:5" s="40" customFormat="1" ht="26.25" customHeight="1">
      <c r="B235" s="48"/>
      <c r="C235" s="71"/>
      <c r="D235" s="71"/>
      <c r="E235" s="71"/>
    </row>
    <row r="236" spans="2:5" s="40" customFormat="1">
      <c r="B236" s="47" t="s">
        <v>18</v>
      </c>
      <c r="C236" s="49"/>
      <c r="D236" s="49"/>
      <c r="E236" s="50"/>
    </row>
    <row r="237" spans="2:5" s="40" customFormat="1" ht="26.25" customHeight="1">
      <c r="B237" s="48"/>
      <c r="C237" s="72"/>
      <c r="D237" s="72"/>
      <c r="E237" s="72"/>
    </row>
    <row r="238" spans="2:5" s="40" customFormat="1">
      <c r="B238" s="47" t="s">
        <v>19</v>
      </c>
      <c r="C238" s="45"/>
      <c r="D238" s="45"/>
      <c r="E238" s="46"/>
    </row>
    <row r="239" spans="2:5" s="40" customFormat="1" ht="23.25" customHeight="1">
      <c r="B239" s="47"/>
      <c r="C239" s="73"/>
      <c r="D239" s="73"/>
      <c r="E239" s="73"/>
    </row>
    <row r="240" spans="2:5" s="40" customFormat="1" ht="13.8" thickBot="1">
      <c r="B240" s="51"/>
      <c r="C240" s="52"/>
      <c r="D240" s="52"/>
      <c r="E240" s="53"/>
    </row>
    <row r="241" spans="2:5" s="40" customFormat="1" ht="13.8" thickBot="1"/>
    <row r="242" spans="2:5" s="40" customFormat="1">
      <c r="B242" s="41" t="s">
        <v>175</v>
      </c>
      <c r="C242" s="42"/>
      <c r="D242" s="42"/>
      <c r="E242" s="43"/>
    </row>
    <row r="243" spans="2:5" s="40" customFormat="1" ht="5.25" customHeight="1">
      <c r="B243" s="44"/>
      <c r="C243" s="45"/>
      <c r="D243" s="45"/>
      <c r="E243" s="46"/>
    </row>
    <row r="244" spans="2:5" s="40" customFormat="1">
      <c r="B244" s="47" t="s">
        <v>15</v>
      </c>
      <c r="C244" s="45"/>
      <c r="D244" s="45"/>
      <c r="E244" s="46"/>
    </row>
    <row r="245" spans="2:5" s="40" customFormat="1" ht="41.25" customHeight="1">
      <c r="B245" s="47"/>
      <c r="C245" s="71" t="s">
        <v>176</v>
      </c>
      <c r="D245" s="71"/>
      <c r="E245" s="71"/>
    </row>
    <row r="246" spans="2:5" s="40" customFormat="1">
      <c r="B246" s="47" t="s">
        <v>16</v>
      </c>
      <c r="C246" s="45"/>
      <c r="D246" s="45"/>
      <c r="E246" s="46"/>
    </row>
    <row r="247" spans="2:5" s="40" customFormat="1">
      <c r="B247" s="48"/>
      <c r="C247" s="74"/>
      <c r="D247" s="74"/>
      <c r="E247" s="74"/>
    </row>
    <row r="248" spans="2:5" s="40" customFormat="1">
      <c r="B248" s="48"/>
      <c r="C248" s="70"/>
      <c r="D248" s="70"/>
      <c r="E248" s="70"/>
    </row>
    <row r="249" spans="2:5" s="40" customFormat="1">
      <c r="B249" s="47" t="s">
        <v>17</v>
      </c>
      <c r="C249" s="45"/>
      <c r="D249" s="45"/>
      <c r="E249" s="46"/>
    </row>
    <row r="250" spans="2:5" s="40" customFormat="1" ht="26.25" customHeight="1">
      <c r="B250" s="48"/>
      <c r="C250" s="71"/>
      <c r="D250" s="71"/>
      <c r="E250" s="71"/>
    </row>
    <row r="251" spans="2:5" s="40" customFormat="1">
      <c r="B251" s="47" t="s">
        <v>18</v>
      </c>
      <c r="C251" s="49"/>
      <c r="D251" s="49"/>
      <c r="E251" s="50"/>
    </row>
    <row r="252" spans="2:5" s="40" customFormat="1" ht="26.25" customHeight="1">
      <c r="B252" s="48"/>
      <c r="C252" s="72"/>
      <c r="D252" s="72"/>
      <c r="E252" s="72"/>
    </row>
    <row r="253" spans="2:5" s="40" customFormat="1">
      <c r="B253" s="47" t="s">
        <v>19</v>
      </c>
      <c r="C253" s="45"/>
      <c r="D253" s="45"/>
      <c r="E253" s="46"/>
    </row>
    <row r="254" spans="2:5" s="40" customFormat="1" ht="23.25" customHeight="1">
      <c r="B254" s="47"/>
      <c r="C254" s="73"/>
      <c r="D254" s="73"/>
      <c r="E254" s="73"/>
    </row>
    <row r="255" spans="2:5" s="40" customFormat="1" ht="13.8" thickBot="1">
      <c r="B255" s="51"/>
      <c r="C255" s="52"/>
      <c r="D255" s="52"/>
      <c r="E255" s="53"/>
    </row>
    <row r="256" spans="2:5" s="40" customFormat="1" ht="13.8" thickBot="1"/>
    <row r="257" spans="2:5" s="40" customFormat="1">
      <c r="B257" s="41" t="s">
        <v>177</v>
      </c>
      <c r="C257" s="42"/>
      <c r="D257" s="42"/>
      <c r="E257" s="43"/>
    </row>
    <row r="258" spans="2:5" s="40" customFormat="1" ht="5.25" customHeight="1">
      <c r="B258" s="44"/>
      <c r="C258" s="45"/>
      <c r="D258" s="45"/>
      <c r="E258" s="46"/>
    </row>
    <row r="259" spans="2:5" s="40" customFormat="1">
      <c r="B259" s="47" t="s">
        <v>15</v>
      </c>
      <c r="C259" s="45"/>
      <c r="D259" s="45"/>
      <c r="E259" s="46"/>
    </row>
    <row r="260" spans="2:5" s="40" customFormat="1" ht="41.25" customHeight="1">
      <c r="B260" s="47"/>
      <c r="C260" s="71" t="s">
        <v>178</v>
      </c>
      <c r="D260" s="71"/>
      <c r="E260" s="71"/>
    </row>
    <row r="261" spans="2:5" s="40" customFormat="1">
      <c r="B261" s="47" t="s">
        <v>16</v>
      </c>
      <c r="C261" s="45"/>
      <c r="D261" s="45"/>
      <c r="E261" s="46"/>
    </row>
    <row r="262" spans="2:5" s="40" customFormat="1">
      <c r="B262" s="48"/>
      <c r="C262" s="74"/>
      <c r="D262" s="74"/>
      <c r="E262" s="74"/>
    </row>
    <row r="263" spans="2:5" s="40" customFormat="1">
      <c r="B263" s="48"/>
      <c r="C263" s="70"/>
      <c r="D263" s="70"/>
      <c r="E263" s="70"/>
    </row>
    <row r="264" spans="2:5" s="40" customFormat="1">
      <c r="B264" s="47" t="s">
        <v>17</v>
      </c>
      <c r="C264" s="45"/>
      <c r="D264" s="45"/>
      <c r="E264" s="46"/>
    </row>
    <row r="265" spans="2:5" s="40" customFormat="1" ht="26.25" customHeight="1">
      <c r="B265" s="48"/>
      <c r="C265" s="71"/>
      <c r="D265" s="71"/>
      <c r="E265" s="71"/>
    </row>
    <row r="266" spans="2:5" s="40" customFormat="1">
      <c r="B266" s="47" t="s">
        <v>18</v>
      </c>
      <c r="C266" s="49"/>
      <c r="D266" s="49"/>
      <c r="E266" s="50"/>
    </row>
    <row r="267" spans="2:5" s="40" customFormat="1" ht="26.25" customHeight="1">
      <c r="B267" s="48"/>
      <c r="C267" s="72"/>
      <c r="D267" s="72"/>
      <c r="E267" s="72"/>
    </row>
    <row r="268" spans="2:5" s="40" customFormat="1">
      <c r="B268" s="47" t="s">
        <v>19</v>
      </c>
      <c r="C268" s="45"/>
      <c r="D268" s="45"/>
      <c r="E268" s="46"/>
    </row>
    <row r="269" spans="2:5" s="40" customFormat="1" ht="23.25" customHeight="1">
      <c r="B269" s="47"/>
      <c r="C269" s="73"/>
      <c r="D269" s="73"/>
      <c r="E269" s="73"/>
    </row>
    <row r="270" spans="2:5" s="40" customFormat="1" ht="13.8" thickBot="1">
      <c r="B270" s="51"/>
      <c r="C270" s="52"/>
      <c r="D270" s="52"/>
      <c r="E270" s="53"/>
    </row>
    <row r="271" spans="2:5" s="40" customFormat="1" ht="13.8" thickBot="1"/>
    <row r="272" spans="2:5" s="40" customFormat="1">
      <c r="B272" s="41" t="s">
        <v>179</v>
      </c>
      <c r="C272" s="42"/>
      <c r="D272" s="42"/>
      <c r="E272" s="43"/>
    </row>
    <row r="273" spans="2:5" s="40" customFormat="1" ht="5.25" customHeight="1">
      <c r="B273" s="44"/>
      <c r="C273" s="45"/>
      <c r="D273" s="45"/>
      <c r="E273" s="46"/>
    </row>
    <row r="274" spans="2:5" s="40" customFormat="1">
      <c r="B274" s="47" t="s">
        <v>15</v>
      </c>
      <c r="C274" s="45"/>
      <c r="D274" s="45"/>
      <c r="E274" s="46"/>
    </row>
    <row r="275" spans="2:5" s="40" customFormat="1" ht="41.25" customHeight="1">
      <c r="B275" s="47"/>
      <c r="C275" s="71" t="s">
        <v>180</v>
      </c>
      <c r="D275" s="71"/>
      <c r="E275" s="71"/>
    </row>
    <row r="276" spans="2:5" s="40" customFormat="1">
      <c r="B276" s="47" t="s">
        <v>16</v>
      </c>
      <c r="C276" s="45"/>
      <c r="D276" s="45"/>
      <c r="E276" s="46"/>
    </row>
    <row r="277" spans="2:5" s="40" customFormat="1">
      <c r="B277" s="48"/>
      <c r="C277" s="74"/>
      <c r="D277" s="74"/>
      <c r="E277" s="74"/>
    </row>
    <row r="278" spans="2:5" s="40" customFormat="1">
      <c r="B278" s="48"/>
      <c r="C278" s="70"/>
      <c r="D278" s="70"/>
      <c r="E278" s="70"/>
    </row>
    <row r="279" spans="2:5" s="40" customFormat="1">
      <c r="B279" s="47" t="s">
        <v>17</v>
      </c>
      <c r="C279" s="45"/>
      <c r="D279" s="45"/>
      <c r="E279" s="46"/>
    </row>
    <row r="280" spans="2:5" s="40" customFormat="1" ht="26.25" customHeight="1">
      <c r="B280" s="48"/>
      <c r="C280" s="71"/>
      <c r="D280" s="71"/>
      <c r="E280" s="71"/>
    </row>
    <row r="281" spans="2:5" s="40" customFormat="1">
      <c r="B281" s="47" t="s">
        <v>18</v>
      </c>
      <c r="C281" s="49"/>
      <c r="D281" s="49"/>
      <c r="E281" s="50"/>
    </row>
    <row r="282" spans="2:5" s="40" customFormat="1" ht="26.25" customHeight="1">
      <c r="B282" s="48"/>
      <c r="C282" s="72"/>
      <c r="D282" s="72"/>
      <c r="E282" s="72"/>
    </row>
    <row r="283" spans="2:5" s="40" customFormat="1">
      <c r="B283" s="47" t="s">
        <v>19</v>
      </c>
      <c r="C283" s="45"/>
      <c r="D283" s="45"/>
      <c r="E283" s="46"/>
    </row>
    <row r="284" spans="2:5" s="40" customFormat="1" ht="23.25" customHeight="1">
      <c r="B284" s="47"/>
      <c r="C284" s="73"/>
      <c r="D284" s="73"/>
      <c r="E284" s="73"/>
    </row>
    <row r="285" spans="2:5" s="40" customFormat="1" ht="13.8" thickBot="1">
      <c r="B285" s="51"/>
      <c r="C285" s="52"/>
      <c r="D285" s="52"/>
      <c r="E285" s="53"/>
    </row>
    <row r="286" spans="2:5" s="40" customFormat="1" ht="13.8" thickBot="1"/>
    <row r="287" spans="2:5" s="40" customFormat="1">
      <c r="B287" s="41" t="s">
        <v>181</v>
      </c>
      <c r="C287" s="42"/>
      <c r="D287" s="42"/>
      <c r="E287" s="43"/>
    </row>
    <row r="288" spans="2:5" s="40" customFormat="1" ht="5.25" customHeight="1">
      <c r="B288" s="44"/>
      <c r="C288" s="45"/>
      <c r="D288" s="45"/>
      <c r="E288" s="46"/>
    </row>
    <row r="289" spans="2:5" s="40" customFormat="1">
      <c r="B289" s="47" t="s">
        <v>15</v>
      </c>
      <c r="C289" s="45"/>
      <c r="D289" s="45"/>
      <c r="E289" s="46"/>
    </row>
    <row r="290" spans="2:5" s="40" customFormat="1" ht="41.25" customHeight="1">
      <c r="B290" s="47"/>
      <c r="C290" s="71" t="s">
        <v>182</v>
      </c>
      <c r="D290" s="71"/>
      <c r="E290" s="71"/>
    </row>
    <row r="291" spans="2:5" s="40" customFormat="1">
      <c r="B291" s="47" t="s">
        <v>16</v>
      </c>
      <c r="C291" s="45"/>
      <c r="D291" s="45"/>
      <c r="E291" s="46"/>
    </row>
    <row r="292" spans="2:5" s="40" customFormat="1">
      <c r="B292" s="48"/>
      <c r="C292" s="74"/>
      <c r="D292" s="74"/>
      <c r="E292" s="74"/>
    </row>
    <row r="293" spans="2:5" s="40" customFormat="1">
      <c r="B293" s="48"/>
      <c r="C293" s="70"/>
      <c r="D293" s="70"/>
      <c r="E293" s="70"/>
    </row>
    <row r="294" spans="2:5" s="40" customFormat="1">
      <c r="B294" s="47" t="s">
        <v>17</v>
      </c>
      <c r="C294" s="45"/>
      <c r="D294" s="45"/>
      <c r="E294" s="46"/>
    </row>
    <row r="295" spans="2:5" s="40" customFormat="1" ht="26.25" customHeight="1">
      <c r="B295" s="48"/>
      <c r="C295" s="71"/>
      <c r="D295" s="71"/>
      <c r="E295" s="71"/>
    </row>
    <row r="296" spans="2:5" s="40" customFormat="1">
      <c r="B296" s="47" t="s">
        <v>18</v>
      </c>
      <c r="C296" s="49"/>
      <c r="D296" s="49"/>
      <c r="E296" s="50"/>
    </row>
    <row r="297" spans="2:5" s="40" customFormat="1" ht="26.25" customHeight="1">
      <c r="B297" s="48"/>
      <c r="C297" s="72"/>
      <c r="D297" s="72"/>
      <c r="E297" s="72"/>
    </row>
    <row r="298" spans="2:5" s="40" customFormat="1">
      <c r="B298" s="47" t="s">
        <v>19</v>
      </c>
      <c r="C298" s="45"/>
      <c r="D298" s="45"/>
      <c r="E298" s="46"/>
    </row>
    <row r="299" spans="2:5" s="40" customFormat="1" ht="23.25" customHeight="1">
      <c r="B299" s="47"/>
      <c r="C299" s="73"/>
      <c r="D299" s="73"/>
      <c r="E299" s="73"/>
    </row>
    <row r="300" spans="2:5" s="40" customFormat="1" ht="13.8" thickBot="1">
      <c r="B300" s="51"/>
      <c r="C300" s="52"/>
      <c r="D300" s="52"/>
      <c r="E300" s="53"/>
    </row>
    <row r="301" spans="2:5" s="40" customFormat="1" ht="13.8" thickBot="1"/>
    <row r="302" spans="2:5" s="40" customFormat="1">
      <c r="B302" s="41" t="s">
        <v>183</v>
      </c>
      <c r="C302" s="42"/>
      <c r="D302" s="42"/>
      <c r="E302" s="43"/>
    </row>
    <row r="303" spans="2:5" s="40" customFormat="1" ht="5.25" customHeight="1">
      <c r="B303" s="44"/>
      <c r="C303" s="45"/>
      <c r="D303" s="45"/>
      <c r="E303" s="46"/>
    </row>
    <row r="304" spans="2:5" s="40" customFormat="1">
      <c r="B304" s="47" t="s">
        <v>15</v>
      </c>
      <c r="C304" s="45"/>
      <c r="D304" s="45"/>
      <c r="E304" s="46"/>
    </row>
    <row r="305" spans="2:5" s="40" customFormat="1" ht="41.25" customHeight="1">
      <c r="B305" s="47"/>
      <c r="C305" s="71" t="s">
        <v>184</v>
      </c>
      <c r="D305" s="71"/>
      <c r="E305" s="71"/>
    </row>
    <row r="306" spans="2:5" s="40" customFormat="1">
      <c r="B306" s="47" t="s">
        <v>16</v>
      </c>
      <c r="C306" s="45"/>
      <c r="D306" s="45"/>
      <c r="E306" s="46"/>
    </row>
    <row r="307" spans="2:5" s="40" customFormat="1">
      <c r="B307" s="48"/>
      <c r="C307" s="74"/>
      <c r="D307" s="74"/>
      <c r="E307" s="74"/>
    </row>
    <row r="308" spans="2:5" s="40" customFormat="1">
      <c r="B308" s="48"/>
      <c r="C308" s="70"/>
      <c r="D308" s="70"/>
      <c r="E308" s="70"/>
    </row>
    <row r="309" spans="2:5" s="40" customFormat="1">
      <c r="B309" s="47" t="s">
        <v>17</v>
      </c>
      <c r="C309" s="45"/>
      <c r="D309" s="45"/>
      <c r="E309" s="46"/>
    </row>
    <row r="310" spans="2:5" s="40" customFormat="1" ht="26.25" customHeight="1">
      <c r="B310" s="48"/>
      <c r="C310" s="71"/>
      <c r="D310" s="71"/>
      <c r="E310" s="71"/>
    </row>
    <row r="311" spans="2:5" s="40" customFormat="1">
      <c r="B311" s="47" t="s">
        <v>18</v>
      </c>
      <c r="C311" s="49"/>
      <c r="D311" s="49"/>
      <c r="E311" s="50"/>
    </row>
    <row r="312" spans="2:5" s="40" customFormat="1" ht="26.25" customHeight="1">
      <c r="B312" s="48"/>
      <c r="C312" s="72"/>
      <c r="D312" s="72"/>
      <c r="E312" s="72"/>
    </row>
    <row r="313" spans="2:5" s="40" customFormat="1">
      <c r="B313" s="47" t="s">
        <v>19</v>
      </c>
      <c r="C313" s="45"/>
      <c r="D313" s="45"/>
      <c r="E313" s="46"/>
    </row>
    <row r="314" spans="2:5" s="40" customFormat="1" ht="23.25" customHeight="1">
      <c r="B314" s="47"/>
      <c r="C314" s="73"/>
      <c r="D314" s="73"/>
      <c r="E314" s="73"/>
    </row>
    <row r="315" spans="2:5" s="40" customFormat="1" ht="13.8" thickBot="1">
      <c r="B315" s="51"/>
      <c r="C315" s="52"/>
      <c r="D315" s="52"/>
      <c r="E315" s="53"/>
    </row>
    <row r="316" spans="2:5" s="40" customFormat="1" ht="13.8" thickBot="1"/>
    <row r="317" spans="2:5" s="40" customFormat="1">
      <c r="B317" s="41" t="s">
        <v>185</v>
      </c>
      <c r="C317" s="42"/>
      <c r="D317" s="42"/>
      <c r="E317" s="43"/>
    </row>
    <row r="318" spans="2:5" s="40" customFormat="1" ht="5.25" customHeight="1">
      <c r="B318" s="44"/>
      <c r="C318" s="45"/>
      <c r="D318" s="45"/>
      <c r="E318" s="46"/>
    </row>
    <row r="319" spans="2:5" s="40" customFormat="1">
      <c r="B319" s="47" t="s">
        <v>15</v>
      </c>
      <c r="C319" s="45"/>
      <c r="D319" s="45"/>
      <c r="E319" s="46"/>
    </row>
    <row r="320" spans="2:5" s="40" customFormat="1" ht="41.25" customHeight="1">
      <c r="B320" s="47"/>
      <c r="C320" s="71" t="s">
        <v>186</v>
      </c>
      <c r="D320" s="71"/>
      <c r="E320" s="71"/>
    </row>
    <row r="321" spans="2:5" s="40" customFormat="1">
      <c r="B321" s="47" t="s">
        <v>16</v>
      </c>
      <c r="C321" s="45"/>
      <c r="D321" s="45"/>
      <c r="E321" s="46"/>
    </row>
    <row r="322" spans="2:5" s="40" customFormat="1">
      <c r="B322" s="48"/>
      <c r="C322" s="74"/>
      <c r="D322" s="74"/>
      <c r="E322" s="74"/>
    </row>
    <row r="323" spans="2:5" s="40" customFormat="1">
      <c r="B323" s="48"/>
      <c r="C323" s="70"/>
      <c r="D323" s="70"/>
      <c r="E323" s="70"/>
    </row>
    <row r="324" spans="2:5" s="40" customFormat="1">
      <c r="B324" s="47" t="s">
        <v>17</v>
      </c>
      <c r="C324" s="45"/>
      <c r="D324" s="45"/>
      <c r="E324" s="46"/>
    </row>
    <row r="325" spans="2:5" s="40" customFormat="1" ht="26.25" customHeight="1">
      <c r="B325" s="48"/>
      <c r="C325" s="71"/>
      <c r="D325" s="71"/>
      <c r="E325" s="71"/>
    </row>
    <row r="326" spans="2:5" s="40" customFormat="1">
      <c r="B326" s="47" t="s">
        <v>18</v>
      </c>
      <c r="C326" s="49"/>
      <c r="D326" s="49"/>
      <c r="E326" s="50"/>
    </row>
    <row r="327" spans="2:5" s="40" customFormat="1" ht="26.25" customHeight="1">
      <c r="B327" s="48"/>
      <c r="C327" s="72"/>
      <c r="D327" s="72"/>
      <c r="E327" s="72"/>
    </row>
    <row r="328" spans="2:5" s="40" customFormat="1">
      <c r="B328" s="47" t="s">
        <v>19</v>
      </c>
      <c r="C328" s="45"/>
      <c r="D328" s="45"/>
      <c r="E328" s="46"/>
    </row>
    <row r="329" spans="2:5" s="40" customFormat="1" ht="23.25" customHeight="1">
      <c r="B329" s="47"/>
      <c r="C329" s="73"/>
      <c r="D329" s="73"/>
      <c r="E329" s="73"/>
    </row>
    <row r="330" spans="2:5" s="40" customFormat="1" ht="13.8" thickBot="1">
      <c r="B330" s="51"/>
      <c r="C330" s="52"/>
      <c r="D330" s="52"/>
      <c r="E330" s="53"/>
    </row>
    <row r="331" spans="2:5" s="40" customFormat="1" ht="13.8" thickBot="1"/>
    <row r="332" spans="2:5" s="40" customFormat="1">
      <c r="B332" s="41" t="s">
        <v>187</v>
      </c>
      <c r="C332" s="42"/>
      <c r="D332" s="42"/>
      <c r="E332" s="43"/>
    </row>
    <row r="333" spans="2:5" s="40" customFormat="1" ht="5.25" customHeight="1">
      <c r="B333" s="44"/>
      <c r="C333" s="45"/>
      <c r="D333" s="45"/>
      <c r="E333" s="46"/>
    </row>
    <row r="334" spans="2:5" s="40" customFormat="1">
      <c r="B334" s="47" t="s">
        <v>15</v>
      </c>
      <c r="C334" s="45"/>
      <c r="D334" s="45"/>
      <c r="E334" s="46"/>
    </row>
    <row r="335" spans="2:5" s="40" customFormat="1" ht="41.25" customHeight="1">
      <c r="B335" s="47"/>
      <c r="C335" s="71" t="s">
        <v>188</v>
      </c>
      <c r="D335" s="71"/>
      <c r="E335" s="71"/>
    </row>
    <row r="336" spans="2:5" s="40" customFormat="1">
      <c r="B336" s="47" t="s">
        <v>16</v>
      </c>
      <c r="C336" s="45"/>
      <c r="D336" s="45"/>
      <c r="E336" s="46"/>
    </row>
    <row r="337" spans="2:5" s="40" customFormat="1">
      <c r="B337" s="48"/>
      <c r="C337" s="74"/>
      <c r="D337" s="74"/>
      <c r="E337" s="74"/>
    </row>
    <row r="338" spans="2:5" s="40" customFormat="1">
      <c r="B338" s="48"/>
      <c r="C338" s="70"/>
      <c r="D338" s="70"/>
      <c r="E338" s="70"/>
    </row>
    <row r="339" spans="2:5" s="40" customFormat="1">
      <c r="B339" s="47" t="s">
        <v>17</v>
      </c>
      <c r="C339" s="45"/>
      <c r="D339" s="45"/>
      <c r="E339" s="46"/>
    </row>
    <row r="340" spans="2:5" s="40" customFormat="1" ht="26.25" customHeight="1">
      <c r="B340" s="48"/>
      <c r="C340" s="71"/>
      <c r="D340" s="71"/>
      <c r="E340" s="71"/>
    </row>
    <row r="341" spans="2:5" s="40" customFormat="1">
      <c r="B341" s="47" t="s">
        <v>18</v>
      </c>
      <c r="C341" s="49"/>
      <c r="D341" s="49"/>
      <c r="E341" s="50"/>
    </row>
    <row r="342" spans="2:5" s="40" customFormat="1" ht="26.25" customHeight="1">
      <c r="B342" s="48"/>
      <c r="C342" s="72"/>
      <c r="D342" s="72"/>
      <c r="E342" s="72"/>
    </row>
    <row r="343" spans="2:5" s="40" customFormat="1">
      <c r="B343" s="47" t="s">
        <v>19</v>
      </c>
      <c r="C343" s="45"/>
      <c r="D343" s="45"/>
      <c r="E343" s="46"/>
    </row>
    <row r="344" spans="2:5" s="40" customFormat="1" ht="23.25" customHeight="1">
      <c r="B344" s="47"/>
      <c r="C344" s="73"/>
      <c r="D344" s="73"/>
      <c r="E344" s="73"/>
    </row>
    <row r="345" spans="2:5" s="40" customFormat="1" ht="13.8" thickBot="1">
      <c r="B345" s="51"/>
      <c r="C345" s="52"/>
      <c r="D345" s="52"/>
      <c r="E345" s="53"/>
    </row>
    <row r="346" spans="2:5" s="40" customFormat="1" ht="13.8" thickBot="1"/>
    <row r="347" spans="2:5" s="40" customFormat="1">
      <c r="B347" s="41" t="s">
        <v>189</v>
      </c>
      <c r="C347" s="42"/>
      <c r="D347" s="42"/>
      <c r="E347" s="43"/>
    </row>
    <row r="348" spans="2:5" s="40" customFormat="1" ht="5.25" customHeight="1">
      <c r="B348" s="44"/>
      <c r="C348" s="45"/>
      <c r="D348" s="45"/>
      <c r="E348" s="46"/>
    </row>
    <row r="349" spans="2:5" s="40" customFormat="1">
      <c r="B349" s="47" t="s">
        <v>15</v>
      </c>
      <c r="C349" s="45"/>
      <c r="D349" s="45"/>
      <c r="E349" s="46"/>
    </row>
    <row r="350" spans="2:5" s="40" customFormat="1" ht="41.25" customHeight="1">
      <c r="B350" s="47"/>
      <c r="C350" s="71" t="s">
        <v>190</v>
      </c>
      <c r="D350" s="71"/>
      <c r="E350" s="71"/>
    </row>
    <row r="351" spans="2:5" s="40" customFormat="1">
      <c r="B351" s="47" t="s">
        <v>16</v>
      </c>
      <c r="C351" s="45"/>
      <c r="D351" s="45"/>
      <c r="E351" s="46"/>
    </row>
    <row r="352" spans="2:5" s="40" customFormat="1">
      <c r="B352" s="48"/>
      <c r="C352" s="74"/>
      <c r="D352" s="74"/>
      <c r="E352" s="74"/>
    </row>
    <row r="353" spans="2:5" s="40" customFormat="1">
      <c r="B353" s="48"/>
      <c r="C353" s="70"/>
      <c r="D353" s="70"/>
      <c r="E353" s="70"/>
    </row>
    <row r="354" spans="2:5" s="40" customFormat="1">
      <c r="B354" s="47" t="s">
        <v>17</v>
      </c>
      <c r="C354" s="45"/>
      <c r="D354" s="45"/>
      <c r="E354" s="46"/>
    </row>
    <row r="355" spans="2:5" s="40" customFormat="1" ht="26.25" customHeight="1">
      <c r="B355" s="48"/>
      <c r="C355" s="71"/>
      <c r="D355" s="71"/>
      <c r="E355" s="71"/>
    </row>
    <row r="356" spans="2:5" s="40" customFormat="1">
      <c r="B356" s="47" t="s">
        <v>18</v>
      </c>
      <c r="C356" s="49"/>
      <c r="D356" s="49"/>
      <c r="E356" s="50"/>
    </row>
    <row r="357" spans="2:5" s="40" customFormat="1" ht="26.25" customHeight="1">
      <c r="B357" s="48"/>
      <c r="C357" s="72"/>
      <c r="D357" s="72"/>
      <c r="E357" s="72"/>
    </row>
    <row r="358" spans="2:5" s="40" customFormat="1">
      <c r="B358" s="47" t="s">
        <v>19</v>
      </c>
      <c r="C358" s="45"/>
      <c r="D358" s="45"/>
      <c r="E358" s="46"/>
    </row>
    <row r="359" spans="2:5" s="40" customFormat="1" ht="23.25" customHeight="1">
      <c r="B359" s="47"/>
      <c r="C359" s="73"/>
      <c r="D359" s="73"/>
      <c r="E359" s="73"/>
    </row>
    <row r="360" spans="2:5" s="40" customFormat="1" ht="13.8" thickBot="1">
      <c r="B360" s="51"/>
      <c r="C360" s="52"/>
      <c r="D360" s="52"/>
      <c r="E360" s="53"/>
    </row>
    <row r="361" spans="2:5" s="40" customFormat="1" ht="13.8" thickBot="1"/>
    <row r="362" spans="2:5" s="40" customFormat="1">
      <c r="B362" s="41" t="s">
        <v>191</v>
      </c>
      <c r="C362" s="42"/>
      <c r="D362" s="42"/>
      <c r="E362" s="43"/>
    </row>
    <row r="363" spans="2:5" s="40" customFormat="1" ht="5.25" customHeight="1">
      <c r="B363" s="44"/>
      <c r="C363" s="45"/>
      <c r="D363" s="45"/>
      <c r="E363" s="46"/>
    </row>
    <row r="364" spans="2:5" s="40" customFormat="1">
      <c r="B364" s="47" t="s">
        <v>15</v>
      </c>
      <c r="C364" s="45"/>
      <c r="D364" s="45"/>
      <c r="E364" s="46"/>
    </row>
    <row r="365" spans="2:5" s="40" customFormat="1" ht="41.25" customHeight="1">
      <c r="B365" s="47"/>
      <c r="C365" s="71" t="s">
        <v>192</v>
      </c>
      <c r="D365" s="71"/>
      <c r="E365" s="71"/>
    </row>
    <row r="366" spans="2:5" s="40" customFormat="1">
      <c r="B366" s="47" t="s">
        <v>16</v>
      </c>
      <c r="C366" s="45"/>
      <c r="D366" s="45"/>
      <c r="E366" s="46"/>
    </row>
    <row r="367" spans="2:5" s="40" customFormat="1">
      <c r="B367" s="48"/>
      <c r="C367" s="74"/>
      <c r="D367" s="74"/>
      <c r="E367" s="74"/>
    </row>
    <row r="368" spans="2:5" s="40" customFormat="1">
      <c r="B368" s="48"/>
      <c r="C368" s="70"/>
      <c r="D368" s="70"/>
      <c r="E368" s="70"/>
    </row>
    <row r="369" spans="2:5" s="40" customFormat="1">
      <c r="B369" s="47" t="s">
        <v>17</v>
      </c>
      <c r="C369" s="45"/>
      <c r="D369" s="45"/>
      <c r="E369" s="46"/>
    </row>
    <row r="370" spans="2:5" s="40" customFormat="1" ht="26.25" customHeight="1">
      <c r="B370" s="48"/>
      <c r="C370" s="71"/>
      <c r="D370" s="71"/>
      <c r="E370" s="71"/>
    </row>
    <row r="371" spans="2:5" s="40" customFormat="1">
      <c r="B371" s="47" t="s">
        <v>18</v>
      </c>
      <c r="C371" s="49"/>
      <c r="D371" s="49"/>
      <c r="E371" s="50"/>
    </row>
    <row r="372" spans="2:5" s="40" customFormat="1" ht="26.25" customHeight="1">
      <c r="B372" s="48"/>
      <c r="C372" s="72"/>
      <c r="D372" s="72"/>
      <c r="E372" s="72"/>
    </row>
    <row r="373" spans="2:5" s="40" customFormat="1">
      <c r="B373" s="47" t="s">
        <v>19</v>
      </c>
      <c r="C373" s="45"/>
      <c r="D373" s="45"/>
      <c r="E373" s="46"/>
    </row>
    <row r="374" spans="2:5" s="40" customFormat="1" ht="23.25" customHeight="1">
      <c r="B374" s="47"/>
      <c r="C374" s="73"/>
      <c r="D374" s="73"/>
      <c r="E374" s="73"/>
    </row>
    <row r="375" spans="2:5" s="40" customFormat="1" ht="13.8" thickBot="1">
      <c r="B375" s="51"/>
      <c r="C375" s="52"/>
      <c r="D375" s="52"/>
      <c r="E375" s="53"/>
    </row>
    <row r="376" spans="2:5" s="40" customFormat="1" ht="13.8" thickBot="1"/>
    <row r="377" spans="2:5" s="40" customFormat="1">
      <c r="B377" s="41" t="s">
        <v>193</v>
      </c>
      <c r="C377" s="42"/>
      <c r="D377" s="42"/>
      <c r="E377" s="43"/>
    </row>
    <row r="378" spans="2:5" s="40" customFormat="1" ht="5.25" customHeight="1">
      <c r="B378" s="44"/>
      <c r="C378" s="45"/>
      <c r="D378" s="45"/>
      <c r="E378" s="46"/>
    </row>
    <row r="379" spans="2:5" s="40" customFormat="1">
      <c r="B379" s="47" t="s">
        <v>15</v>
      </c>
      <c r="C379" s="45"/>
      <c r="D379" s="45"/>
      <c r="E379" s="46"/>
    </row>
    <row r="380" spans="2:5" s="40" customFormat="1" ht="41.25" customHeight="1">
      <c r="B380" s="47"/>
      <c r="C380" s="71" t="s">
        <v>209</v>
      </c>
      <c r="D380" s="71"/>
      <c r="E380" s="71"/>
    </row>
    <row r="381" spans="2:5" s="40" customFormat="1">
      <c r="B381" s="47" t="s">
        <v>16</v>
      </c>
      <c r="C381" s="45"/>
      <c r="D381" s="45"/>
      <c r="E381" s="46"/>
    </row>
    <row r="382" spans="2:5" s="40" customFormat="1">
      <c r="B382" s="48"/>
      <c r="C382" s="74"/>
      <c r="D382" s="74"/>
      <c r="E382" s="74"/>
    </row>
    <row r="383" spans="2:5" s="40" customFormat="1">
      <c r="B383" s="48"/>
      <c r="C383" s="70"/>
      <c r="D383" s="70"/>
      <c r="E383" s="70"/>
    </row>
    <row r="384" spans="2:5" s="40" customFormat="1">
      <c r="B384" s="47" t="s">
        <v>17</v>
      </c>
      <c r="C384" s="45"/>
      <c r="D384" s="45"/>
      <c r="E384" s="46"/>
    </row>
    <row r="385" spans="2:5" s="40" customFormat="1" ht="26.25" customHeight="1">
      <c r="B385" s="48"/>
      <c r="C385" s="71"/>
      <c r="D385" s="71"/>
      <c r="E385" s="71"/>
    </row>
    <row r="386" spans="2:5" s="40" customFormat="1">
      <c r="B386" s="47" t="s">
        <v>18</v>
      </c>
      <c r="C386" s="49"/>
      <c r="D386" s="49"/>
      <c r="E386" s="50"/>
    </row>
    <row r="387" spans="2:5" s="40" customFormat="1" ht="26.25" customHeight="1">
      <c r="B387" s="48"/>
      <c r="C387" s="72"/>
      <c r="D387" s="72"/>
      <c r="E387" s="72"/>
    </row>
    <row r="388" spans="2:5" s="40" customFormat="1">
      <c r="B388" s="47" t="s">
        <v>19</v>
      </c>
      <c r="C388" s="45"/>
      <c r="D388" s="45"/>
      <c r="E388" s="46"/>
    </row>
    <row r="389" spans="2:5" s="40" customFormat="1" ht="23.25" customHeight="1">
      <c r="B389" s="47"/>
      <c r="C389" s="73"/>
      <c r="D389" s="73"/>
      <c r="E389" s="73"/>
    </row>
    <row r="390" spans="2:5" s="40" customFormat="1" ht="13.8" thickBot="1">
      <c r="B390" s="51"/>
      <c r="C390" s="52"/>
      <c r="D390" s="52"/>
      <c r="E390" s="53"/>
    </row>
    <row r="391" spans="2:5" s="40" customFormat="1" ht="13.8" thickBot="1"/>
    <row r="392" spans="2:5" s="40" customFormat="1">
      <c r="B392" s="41" t="s">
        <v>194</v>
      </c>
      <c r="C392" s="42"/>
      <c r="D392" s="42"/>
      <c r="E392" s="43"/>
    </row>
    <row r="393" spans="2:5" s="40" customFormat="1" ht="5.25" customHeight="1">
      <c r="B393" s="44"/>
      <c r="C393" s="45"/>
      <c r="D393" s="45"/>
      <c r="E393" s="46"/>
    </row>
    <row r="394" spans="2:5" s="40" customFormat="1">
      <c r="B394" s="47" t="s">
        <v>15</v>
      </c>
      <c r="C394" s="45"/>
      <c r="D394" s="45"/>
      <c r="E394" s="46"/>
    </row>
    <row r="395" spans="2:5" s="40" customFormat="1" ht="41.25" customHeight="1">
      <c r="B395" s="47"/>
      <c r="C395" s="71" t="s">
        <v>210</v>
      </c>
      <c r="D395" s="71"/>
      <c r="E395" s="71"/>
    </row>
    <row r="396" spans="2:5" s="40" customFormat="1">
      <c r="B396" s="47" t="s">
        <v>16</v>
      </c>
      <c r="C396" s="45"/>
      <c r="D396" s="45"/>
      <c r="E396" s="46"/>
    </row>
    <row r="397" spans="2:5" s="40" customFormat="1">
      <c r="B397" s="48"/>
      <c r="C397" s="74"/>
      <c r="D397" s="74"/>
      <c r="E397" s="74"/>
    </row>
    <row r="398" spans="2:5" s="40" customFormat="1">
      <c r="B398" s="48"/>
      <c r="C398" s="70"/>
      <c r="D398" s="70"/>
      <c r="E398" s="70"/>
    </row>
    <row r="399" spans="2:5" s="40" customFormat="1">
      <c r="B399" s="47" t="s">
        <v>17</v>
      </c>
      <c r="C399" s="45"/>
      <c r="D399" s="45"/>
      <c r="E399" s="46"/>
    </row>
    <row r="400" spans="2:5" s="40" customFormat="1" ht="26.25" customHeight="1">
      <c r="B400" s="48"/>
      <c r="C400" s="71"/>
      <c r="D400" s="71"/>
      <c r="E400" s="71"/>
    </row>
    <row r="401" spans="2:5" s="40" customFormat="1">
      <c r="B401" s="47" t="s">
        <v>18</v>
      </c>
      <c r="C401" s="49"/>
      <c r="D401" s="49"/>
      <c r="E401" s="50"/>
    </row>
    <row r="402" spans="2:5" s="40" customFormat="1" ht="26.25" customHeight="1">
      <c r="B402" s="48"/>
      <c r="C402" s="72"/>
      <c r="D402" s="72"/>
      <c r="E402" s="72"/>
    </row>
    <row r="403" spans="2:5" s="40" customFormat="1">
      <c r="B403" s="47" t="s">
        <v>19</v>
      </c>
      <c r="C403" s="45"/>
      <c r="D403" s="45"/>
      <c r="E403" s="46"/>
    </row>
    <row r="404" spans="2:5" s="40" customFormat="1" ht="23.25" customHeight="1">
      <c r="B404" s="47"/>
      <c r="C404" s="73"/>
      <c r="D404" s="73"/>
      <c r="E404" s="73"/>
    </row>
    <row r="405" spans="2:5" s="40" customFormat="1" ht="13.8" thickBot="1">
      <c r="B405" s="51"/>
      <c r="C405" s="52"/>
      <c r="D405" s="52"/>
      <c r="E405" s="53"/>
    </row>
    <row r="406" spans="2:5" s="40" customFormat="1" ht="13.8" thickBot="1"/>
    <row r="407" spans="2:5" s="40" customFormat="1">
      <c r="B407" s="41" t="s">
        <v>195</v>
      </c>
      <c r="C407" s="42"/>
      <c r="D407" s="42"/>
      <c r="E407" s="43"/>
    </row>
    <row r="408" spans="2:5" s="40" customFormat="1" ht="5.25" customHeight="1">
      <c r="B408" s="44"/>
      <c r="C408" s="45"/>
      <c r="D408" s="45"/>
      <c r="E408" s="46"/>
    </row>
    <row r="409" spans="2:5" s="40" customFormat="1">
      <c r="B409" s="47" t="s">
        <v>15</v>
      </c>
      <c r="C409" s="45"/>
      <c r="D409" s="45"/>
      <c r="E409" s="46"/>
    </row>
    <row r="410" spans="2:5" s="40" customFormat="1" ht="41.25" customHeight="1">
      <c r="B410" s="47"/>
      <c r="C410" s="71" t="s">
        <v>196</v>
      </c>
      <c r="D410" s="71"/>
      <c r="E410" s="71"/>
    </row>
    <row r="411" spans="2:5" s="40" customFormat="1">
      <c r="B411" s="47" t="s">
        <v>16</v>
      </c>
      <c r="C411" s="45"/>
      <c r="D411" s="45"/>
      <c r="E411" s="46"/>
    </row>
    <row r="412" spans="2:5" s="40" customFormat="1">
      <c r="B412" s="48"/>
      <c r="C412" s="74"/>
      <c r="D412" s="74"/>
      <c r="E412" s="74"/>
    </row>
    <row r="413" spans="2:5" s="40" customFormat="1">
      <c r="B413" s="48"/>
      <c r="C413" s="70"/>
      <c r="D413" s="70"/>
      <c r="E413" s="70"/>
    </row>
    <row r="414" spans="2:5" s="40" customFormat="1">
      <c r="B414" s="47" t="s">
        <v>17</v>
      </c>
      <c r="C414" s="45"/>
      <c r="D414" s="45"/>
      <c r="E414" s="46"/>
    </row>
    <row r="415" spans="2:5" s="40" customFormat="1" ht="26.25" customHeight="1">
      <c r="B415" s="48"/>
      <c r="C415" s="71"/>
      <c r="D415" s="71"/>
      <c r="E415" s="71"/>
    </row>
    <row r="416" spans="2:5" s="40" customFormat="1">
      <c r="B416" s="47" t="s">
        <v>18</v>
      </c>
      <c r="C416" s="49"/>
      <c r="D416" s="49"/>
      <c r="E416" s="50"/>
    </row>
    <row r="417" spans="2:5" s="40" customFormat="1" ht="26.25" customHeight="1">
      <c r="B417" s="48"/>
      <c r="C417" s="72"/>
      <c r="D417" s="72"/>
      <c r="E417" s="72"/>
    </row>
    <row r="418" spans="2:5" s="40" customFormat="1">
      <c r="B418" s="47" t="s">
        <v>19</v>
      </c>
      <c r="C418" s="45"/>
      <c r="D418" s="45"/>
      <c r="E418" s="46"/>
    </row>
    <row r="419" spans="2:5" s="40" customFormat="1" ht="23.25" customHeight="1">
      <c r="B419" s="47"/>
      <c r="C419" s="73"/>
      <c r="D419" s="73"/>
      <c r="E419" s="73"/>
    </row>
    <row r="420" spans="2:5" s="40" customFormat="1" ht="13.8" thickBot="1">
      <c r="B420" s="51"/>
      <c r="C420" s="52"/>
      <c r="D420" s="52"/>
      <c r="E420" s="53"/>
    </row>
    <row r="421" spans="2:5" s="40" customFormat="1" ht="13.8" thickBot="1"/>
    <row r="422" spans="2:5" s="40" customFormat="1">
      <c r="B422" s="41" t="s">
        <v>197</v>
      </c>
      <c r="C422" s="42"/>
      <c r="D422" s="42"/>
      <c r="E422" s="43"/>
    </row>
    <row r="423" spans="2:5" s="40" customFormat="1" ht="5.25" customHeight="1">
      <c r="B423" s="44"/>
      <c r="C423" s="45"/>
      <c r="D423" s="45"/>
      <c r="E423" s="46"/>
    </row>
    <row r="424" spans="2:5" s="40" customFormat="1">
      <c r="B424" s="47" t="s">
        <v>15</v>
      </c>
      <c r="C424" s="45"/>
      <c r="D424" s="45"/>
      <c r="E424" s="46"/>
    </row>
    <row r="425" spans="2:5" s="40" customFormat="1" ht="41.25" customHeight="1">
      <c r="B425" s="47"/>
      <c r="C425" s="71" t="s">
        <v>198</v>
      </c>
      <c r="D425" s="71"/>
      <c r="E425" s="71"/>
    </row>
    <row r="426" spans="2:5" s="40" customFormat="1">
      <c r="B426" s="47" t="s">
        <v>16</v>
      </c>
      <c r="C426" s="45"/>
      <c r="D426" s="45"/>
      <c r="E426" s="46"/>
    </row>
    <row r="427" spans="2:5" s="40" customFormat="1">
      <c r="B427" s="48"/>
      <c r="C427" s="74"/>
      <c r="D427" s="74"/>
      <c r="E427" s="74"/>
    </row>
    <row r="428" spans="2:5" s="40" customFormat="1">
      <c r="B428" s="48"/>
      <c r="C428" s="70"/>
      <c r="D428" s="70"/>
      <c r="E428" s="70"/>
    </row>
    <row r="429" spans="2:5" s="40" customFormat="1">
      <c r="B429" s="47" t="s">
        <v>17</v>
      </c>
      <c r="C429" s="45"/>
      <c r="D429" s="45"/>
      <c r="E429" s="46"/>
    </row>
    <row r="430" spans="2:5" s="40" customFormat="1" ht="26.25" customHeight="1">
      <c r="B430" s="48"/>
      <c r="C430" s="71"/>
      <c r="D430" s="71"/>
      <c r="E430" s="71"/>
    </row>
    <row r="431" spans="2:5" s="40" customFormat="1">
      <c r="B431" s="47" t="s">
        <v>18</v>
      </c>
      <c r="C431" s="49"/>
      <c r="D431" s="49"/>
      <c r="E431" s="50"/>
    </row>
    <row r="432" spans="2:5" s="40" customFormat="1" ht="26.25" customHeight="1">
      <c r="B432" s="48"/>
      <c r="C432" s="72"/>
      <c r="D432" s="72"/>
      <c r="E432" s="72"/>
    </row>
    <row r="433" spans="2:5" s="40" customFormat="1">
      <c r="B433" s="47" t="s">
        <v>19</v>
      </c>
      <c r="C433" s="45"/>
      <c r="D433" s="45"/>
      <c r="E433" s="46"/>
    </row>
    <row r="434" spans="2:5" s="40" customFormat="1" ht="23.25" customHeight="1">
      <c r="B434" s="47"/>
      <c r="C434" s="73"/>
      <c r="D434" s="73"/>
      <c r="E434" s="73"/>
    </row>
    <row r="435" spans="2:5" s="40" customFormat="1" ht="13.8" thickBot="1">
      <c r="B435" s="51"/>
      <c r="C435" s="52"/>
      <c r="D435" s="52"/>
      <c r="E435" s="53"/>
    </row>
    <row r="436" spans="2:5" s="40" customFormat="1" ht="13.8" thickBot="1"/>
    <row r="437" spans="2:5" s="40" customFormat="1">
      <c r="B437" s="41" t="s">
        <v>199</v>
      </c>
      <c r="C437" s="42"/>
      <c r="D437" s="42"/>
      <c r="E437" s="43"/>
    </row>
    <row r="438" spans="2:5" s="40" customFormat="1" ht="5.25" customHeight="1">
      <c r="B438" s="44"/>
      <c r="C438" s="45"/>
      <c r="D438" s="45"/>
      <c r="E438" s="46"/>
    </row>
    <row r="439" spans="2:5" s="40" customFormat="1">
      <c r="B439" s="47" t="s">
        <v>15</v>
      </c>
      <c r="C439" s="45"/>
      <c r="D439" s="45"/>
      <c r="E439" s="46"/>
    </row>
    <row r="440" spans="2:5" s="40" customFormat="1" ht="41.25" customHeight="1">
      <c r="B440" s="47"/>
      <c r="C440" s="71" t="s">
        <v>200</v>
      </c>
      <c r="D440" s="71"/>
      <c r="E440" s="71"/>
    </row>
    <row r="441" spans="2:5" s="40" customFormat="1">
      <c r="B441" s="47" t="s">
        <v>16</v>
      </c>
      <c r="C441" s="45"/>
      <c r="D441" s="45"/>
      <c r="E441" s="46"/>
    </row>
    <row r="442" spans="2:5" s="40" customFormat="1">
      <c r="B442" s="48"/>
      <c r="C442" s="74"/>
      <c r="D442" s="74"/>
      <c r="E442" s="74"/>
    </row>
    <row r="443" spans="2:5" s="40" customFormat="1">
      <c r="B443" s="48"/>
      <c r="C443" s="70"/>
      <c r="D443" s="70"/>
      <c r="E443" s="70"/>
    </row>
    <row r="444" spans="2:5" s="40" customFormat="1">
      <c r="B444" s="47" t="s">
        <v>17</v>
      </c>
      <c r="C444" s="45"/>
      <c r="D444" s="45"/>
      <c r="E444" s="46"/>
    </row>
    <row r="445" spans="2:5" s="40" customFormat="1" ht="26.25" customHeight="1">
      <c r="B445" s="48"/>
      <c r="C445" s="71"/>
      <c r="D445" s="71"/>
      <c r="E445" s="71"/>
    </row>
    <row r="446" spans="2:5" s="40" customFormat="1">
      <c r="B446" s="47" t="s">
        <v>18</v>
      </c>
      <c r="C446" s="49"/>
      <c r="D446" s="49"/>
      <c r="E446" s="50"/>
    </row>
    <row r="447" spans="2:5" s="40" customFormat="1" ht="26.25" customHeight="1">
      <c r="B447" s="48"/>
      <c r="C447" s="72"/>
      <c r="D447" s="72"/>
      <c r="E447" s="72"/>
    </row>
    <row r="448" spans="2:5" s="40" customFormat="1">
      <c r="B448" s="47" t="s">
        <v>19</v>
      </c>
      <c r="C448" s="45"/>
      <c r="D448" s="45"/>
      <c r="E448" s="46"/>
    </row>
    <row r="449" spans="2:5" s="40" customFormat="1" ht="23.25" customHeight="1">
      <c r="B449" s="47"/>
      <c r="C449" s="73"/>
      <c r="D449" s="73"/>
      <c r="E449" s="73"/>
    </row>
    <row r="450" spans="2:5" s="40" customFormat="1" ht="13.8" thickBot="1">
      <c r="B450" s="51"/>
      <c r="C450" s="52"/>
      <c r="D450" s="52"/>
      <c r="E450" s="53"/>
    </row>
    <row r="451" spans="2:5" s="40" customFormat="1" ht="13.8" thickBot="1"/>
    <row r="452" spans="2:5" s="40" customFormat="1">
      <c r="B452" s="41" t="s">
        <v>201</v>
      </c>
      <c r="C452" s="42"/>
      <c r="D452" s="42"/>
      <c r="E452" s="43"/>
    </row>
    <row r="453" spans="2:5" s="40" customFormat="1" ht="5.25" customHeight="1">
      <c r="B453" s="44"/>
      <c r="C453" s="45"/>
      <c r="D453" s="45"/>
      <c r="E453" s="46"/>
    </row>
    <row r="454" spans="2:5" s="40" customFormat="1">
      <c r="B454" s="47" t="s">
        <v>15</v>
      </c>
      <c r="C454" s="45"/>
      <c r="D454" s="45"/>
      <c r="E454" s="46"/>
    </row>
    <row r="455" spans="2:5" s="40" customFormat="1" ht="41.25" customHeight="1">
      <c r="B455" s="47"/>
      <c r="C455" s="71" t="s">
        <v>202</v>
      </c>
      <c r="D455" s="71"/>
      <c r="E455" s="71"/>
    </row>
    <row r="456" spans="2:5" s="40" customFormat="1">
      <c r="B456" s="47" t="s">
        <v>16</v>
      </c>
      <c r="C456" s="45"/>
      <c r="D456" s="45"/>
      <c r="E456" s="46"/>
    </row>
    <row r="457" spans="2:5" s="40" customFormat="1">
      <c r="B457" s="48"/>
      <c r="C457" s="74"/>
      <c r="D457" s="74"/>
      <c r="E457" s="74"/>
    </row>
    <row r="458" spans="2:5" s="40" customFormat="1">
      <c r="B458" s="48"/>
      <c r="C458" s="70"/>
      <c r="D458" s="70"/>
      <c r="E458" s="70"/>
    </row>
    <row r="459" spans="2:5" s="40" customFormat="1">
      <c r="B459" s="47" t="s">
        <v>17</v>
      </c>
      <c r="C459" s="45"/>
      <c r="D459" s="45"/>
      <c r="E459" s="46"/>
    </row>
    <row r="460" spans="2:5" s="40" customFormat="1" ht="26.25" customHeight="1">
      <c r="B460" s="48"/>
      <c r="C460" s="71"/>
      <c r="D460" s="71"/>
      <c r="E460" s="71"/>
    </row>
    <row r="461" spans="2:5" s="40" customFormat="1">
      <c r="B461" s="47" t="s">
        <v>18</v>
      </c>
      <c r="C461" s="49"/>
      <c r="D461" s="49"/>
      <c r="E461" s="50"/>
    </row>
    <row r="462" spans="2:5" s="40" customFormat="1" ht="26.25" customHeight="1">
      <c r="B462" s="48"/>
      <c r="C462" s="72"/>
      <c r="D462" s="72"/>
      <c r="E462" s="72"/>
    </row>
    <row r="463" spans="2:5" s="40" customFormat="1">
      <c r="B463" s="47" t="s">
        <v>19</v>
      </c>
      <c r="C463" s="45"/>
      <c r="D463" s="45"/>
      <c r="E463" s="46"/>
    </row>
    <row r="464" spans="2:5" s="40" customFormat="1" ht="23.25" customHeight="1">
      <c r="B464" s="47"/>
      <c r="C464" s="73"/>
      <c r="D464" s="73"/>
      <c r="E464" s="73"/>
    </row>
    <row r="465" spans="2:5" s="40" customFormat="1" ht="13.8" thickBot="1">
      <c r="B465" s="51"/>
      <c r="C465" s="52"/>
      <c r="D465" s="52"/>
      <c r="E465" s="53"/>
    </row>
    <row r="466" spans="2:5" s="40" customFormat="1" ht="13.8" thickBot="1"/>
    <row r="467" spans="2:5" s="40" customFormat="1">
      <c r="B467" s="41" t="s">
        <v>203</v>
      </c>
      <c r="C467" s="42"/>
      <c r="D467" s="42"/>
      <c r="E467" s="43"/>
    </row>
    <row r="468" spans="2:5" s="40" customFormat="1" ht="5.25" customHeight="1">
      <c r="B468" s="44"/>
      <c r="C468" s="45"/>
      <c r="D468" s="45"/>
      <c r="E468" s="46"/>
    </row>
    <row r="469" spans="2:5" s="40" customFormat="1">
      <c r="B469" s="47" t="s">
        <v>15</v>
      </c>
      <c r="C469" s="45"/>
      <c r="D469" s="45"/>
      <c r="E469" s="46"/>
    </row>
    <row r="470" spans="2:5" s="40" customFormat="1" ht="41.25" customHeight="1">
      <c r="B470" s="47"/>
      <c r="C470" s="71" t="s">
        <v>204</v>
      </c>
      <c r="D470" s="71"/>
      <c r="E470" s="71"/>
    </row>
    <row r="471" spans="2:5" s="40" customFormat="1">
      <c r="B471" s="47" t="s">
        <v>16</v>
      </c>
      <c r="C471" s="45"/>
      <c r="D471" s="45"/>
      <c r="E471" s="46"/>
    </row>
    <row r="472" spans="2:5" s="40" customFormat="1">
      <c r="B472" s="48"/>
      <c r="C472" s="74"/>
      <c r="D472" s="74"/>
      <c r="E472" s="74"/>
    </row>
    <row r="473" spans="2:5" s="40" customFormat="1">
      <c r="B473" s="48"/>
      <c r="C473" s="70"/>
      <c r="D473" s="70"/>
      <c r="E473" s="70"/>
    </row>
    <row r="474" spans="2:5" s="40" customFormat="1">
      <c r="B474" s="47" t="s">
        <v>17</v>
      </c>
      <c r="C474" s="45"/>
      <c r="D474" s="45"/>
      <c r="E474" s="46"/>
    </row>
    <row r="475" spans="2:5" s="40" customFormat="1" ht="26.25" customHeight="1">
      <c r="B475" s="48"/>
      <c r="C475" s="71"/>
      <c r="D475" s="71"/>
      <c r="E475" s="71"/>
    </row>
    <row r="476" spans="2:5" s="40" customFormat="1">
      <c r="B476" s="47" t="s">
        <v>18</v>
      </c>
      <c r="C476" s="49"/>
      <c r="D476" s="49"/>
      <c r="E476" s="50"/>
    </row>
    <row r="477" spans="2:5" s="40" customFormat="1" ht="26.25" customHeight="1">
      <c r="B477" s="48"/>
      <c r="C477" s="72"/>
      <c r="D477" s="72"/>
      <c r="E477" s="72"/>
    </row>
    <row r="478" spans="2:5" s="40" customFormat="1">
      <c r="B478" s="47" t="s">
        <v>19</v>
      </c>
      <c r="C478" s="45"/>
      <c r="D478" s="45"/>
      <c r="E478" s="46"/>
    </row>
    <row r="479" spans="2:5" s="40" customFormat="1" ht="23.25" customHeight="1">
      <c r="B479" s="47"/>
      <c r="C479" s="73"/>
      <c r="D479" s="73"/>
      <c r="E479" s="73"/>
    </row>
    <row r="480" spans="2:5" s="40" customFormat="1" ht="13.8" thickBot="1">
      <c r="B480" s="51"/>
      <c r="C480" s="52"/>
      <c r="D480" s="52"/>
      <c r="E480" s="53"/>
    </row>
    <row r="481" spans="2:5" s="40" customFormat="1" ht="13.8" thickBot="1"/>
    <row r="482" spans="2:5" s="40" customFormat="1">
      <c r="B482" s="41" t="s">
        <v>205</v>
      </c>
      <c r="C482" s="42"/>
      <c r="D482" s="42"/>
      <c r="E482" s="43"/>
    </row>
    <row r="483" spans="2:5" s="40" customFormat="1" ht="5.25" customHeight="1">
      <c r="B483" s="44"/>
      <c r="C483" s="45"/>
      <c r="D483" s="45"/>
      <c r="E483" s="46"/>
    </row>
    <row r="484" spans="2:5" s="40" customFormat="1">
      <c r="B484" s="47" t="s">
        <v>15</v>
      </c>
      <c r="C484" s="45"/>
      <c r="D484" s="45"/>
      <c r="E484" s="46"/>
    </row>
    <row r="485" spans="2:5" s="40" customFormat="1" ht="41.25" customHeight="1">
      <c r="B485" s="47"/>
      <c r="C485" s="71" t="s">
        <v>206</v>
      </c>
      <c r="D485" s="71"/>
      <c r="E485" s="71"/>
    </row>
    <row r="486" spans="2:5" s="40" customFormat="1">
      <c r="B486" s="47" t="s">
        <v>16</v>
      </c>
      <c r="C486" s="45"/>
      <c r="D486" s="45"/>
      <c r="E486" s="46"/>
    </row>
    <row r="487" spans="2:5" s="40" customFormat="1">
      <c r="B487" s="48"/>
      <c r="C487" s="74"/>
      <c r="D487" s="74"/>
      <c r="E487" s="74"/>
    </row>
    <row r="488" spans="2:5" s="40" customFormat="1">
      <c r="B488" s="48"/>
      <c r="C488" s="70"/>
      <c r="D488" s="70"/>
      <c r="E488" s="70"/>
    </row>
    <row r="489" spans="2:5" s="40" customFormat="1">
      <c r="B489" s="47" t="s">
        <v>17</v>
      </c>
      <c r="C489" s="45"/>
      <c r="D489" s="45"/>
      <c r="E489" s="46"/>
    </row>
    <row r="490" spans="2:5" s="40" customFormat="1" ht="26.25" customHeight="1">
      <c r="B490" s="48"/>
      <c r="C490" s="71"/>
      <c r="D490" s="71"/>
      <c r="E490" s="71"/>
    </row>
    <row r="491" spans="2:5" s="40" customFormat="1">
      <c r="B491" s="47" t="s">
        <v>18</v>
      </c>
      <c r="C491" s="49"/>
      <c r="D491" s="49"/>
      <c r="E491" s="50"/>
    </row>
    <row r="492" spans="2:5" s="40" customFormat="1" ht="26.25" customHeight="1">
      <c r="B492" s="48"/>
      <c r="C492" s="72"/>
      <c r="D492" s="72"/>
      <c r="E492" s="72"/>
    </row>
    <row r="493" spans="2:5" s="40" customFormat="1">
      <c r="B493" s="47" t="s">
        <v>19</v>
      </c>
      <c r="C493" s="45"/>
      <c r="D493" s="45"/>
      <c r="E493" s="46"/>
    </row>
    <row r="494" spans="2:5" s="40" customFormat="1" ht="23.25" customHeight="1">
      <c r="B494" s="47"/>
      <c r="C494" s="73"/>
      <c r="D494" s="73"/>
      <c r="E494" s="73"/>
    </row>
    <row r="495" spans="2:5" s="40" customFormat="1" ht="13.8" thickBot="1">
      <c r="B495" s="51"/>
      <c r="C495" s="52"/>
      <c r="D495" s="52"/>
      <c r="E495" s="53"/>
    </row>
    <row r="496" spans="2:5" s="40" customFormat="1" ht="13.8" thickBot="1"/>
    <row r="497" spans="2:5" s="40" customFormat="1">
      <c r="B497" s="41" t="s">
        <v>207</v>
      </c>
      <c r="C497" s="42"/>
      <c r="D497" s="42"/>
      <c r="E497" s="43"/>
    </row>
    <row r="498" spans="2:5" s="40" customFormat="1" ht="5.25" customHeight="1">
      <c r="B498" s="44"/>
      <c r="C498" s="45"/>
      <c r="D498" s="45"/>
      <c r="E498" s="46"/>
    </row>
    <row r="499" spans="2:5" s="40" customFormat="1">
      <c r="B499" s="47" t="s">
        <v>15</v>
      </c>
      <c r="C499" s="45"/>
      <c r="D499" s="45"/>
      <c r="E499" s="46"/>
    </row>
    <row r="500" spans="2:5" s="40" customFormat="1" ht="41.25" customHeight="1">
      <c r="B500" s="47"/>
      <c r="C500" s="71" t="s">
        <v>208</v>
      </c>
      <c r="D500" s="71"/>
      <c r="E500" s="71"/>
    </row>
    <row r="501" spans="2:5" s="40" customFormat="1">
      <c r="B501" s="47" t="s">
        <v>16</v>
      </c>
      <c r="C501" s="45"/>
      <c r="D501" s="45"/>
      <c r="E501" s="46"/>
    </row>
    <row r="502" spans="2:5" s="40" customFormat="1">
      <c r="B502" s="48"/>
      <c r="C502" s="74"/>
      <c r="D502" s="74"/>
      <c r="E502" s="74"/>
    </row>
    <row r="503" spans="2:5" s="40" customFormat="1">
      <c r="B503" s="48"/>
      <c r="C503" s="70"/>
      <c r="D503" s="70"/>
      <c r="E503" s="70"/>
    </row>
    <row r="504" spans="2:5" s="40" customFormat="1">
      <c r="B504" s="47" t="s">
        <v>17</v>
      </c>
      <c r="C504" s="45"/>
      <c r="D504" s="45"/>
      <c r="E504" s="46"/>
    </row>
    <row r="505" spans="2:5" s="40" customFormat="1" ht="26.25" customHeight="1">
      <c r="B505" s="48"/>
      <c r="C505" s="71"/>
      <c r="D505" s="71"/>
      <c r="E505" s="71"/>
    </row>
    <row r="506" spans="2:5" s="40" customFormat="1">
      <c r="B506" s="47" t="s">
        <v>18</v>
      </c>
      <c r="C506" s="49"/>
      <c r="D506" s="49"/>
      <c r="E506" s="50"/>
    </row>
    <row r="507" spans="2:5" s="40" customFormat="1" ht="26.25" customHeight="1">
      <c r="B507" s="48"/>
      <c r="C507" s="72" t="s">
        <v>163</v>
      </c>
      <c r="D507" s="72"/>
      <c r="E507" s="72"/>
    </row>
    <row r="508" spans="2:5" s="40" customFormat="1">
      <c r="B508" s="47" t="s">
        <v>19</v>
      </c>
      <c r="C508" s="45"/>
      <c r="D508" s="45"/>
      <c r="E508" s="46"/>
    </row>
    <row r="509" spans="2:5" s="40" customFormat="1" ht="23.25" customHeight="1">
      <c r="B509" s="47"/>
      <c r="C509" s="73"/>
      <c r="D509" s="73"/>
      <c r="E509" s="73"/>
    </row>
    <row r="510" spans="2:5" s="40" customFormat="1" ht="13.8" thickBot="1">
      <c r="B510" s="51"/>
      <c r="C510" s="52"/>
      <c r="D510" s="52"/>
      <c r="E510" s="53"/>
    </row>
    <row r="511" spans="2:5" s="40" customFormat="1"/>
  </sheetData>
  <autoFilter ref="A9:I53"/>
  <mergeCells count="190">
    <mergeCell ref="B2:H2"/>
    <mergeCell ref="A4:B4"/>
    <mergeCell ref="C4:E4"/>
    <mergeCell ref="A5:B5"/>
    <mergeCell ref="C5:E5"/>
    <mergeCell ref="A6:B6"/>
    <mergeCell ref="A7:B7"/>
    <mergeCell ref="B56:E56"/>
    <mergeCell ref="B57:E57"/>
    <mergeCell ref="B58:E58"/>
    <mergeCell ref="C83:E83"/>
    <mergeCell ref="C68:E68"/>
    <mergeCell ref="C74:E74"/>
    <mergeCell ref="C65:E65"/>
    <mergeCell ref="C67:E67"/>
    <mergeCell ref="C70:E70"/>
    <mergeCell ref="C155:E155"/>
    <mergeCell ref="C157:E157"/>
    <mergeCell ref="C72:E72"/>
    <mergeCell ref="C80:E80"/>
    <mergeCell ref="C82:E82"/>
    <mergeCell ref="C117:E117"/>
    <mergeCell ref="C119:E119"/>
    <mergeCell ref="C125:E125"/>
    <mergeCell ref="C85:E85"/>
    <mergeCell ref="C87:E87"/>
    <mergeCell ref="C89:E89"/>
    <mergeCell ref="C110:E110"/>
    <mergeCell ref="C112:E112"/>
    <mergeCell ref="C158:E158"/>
    <mergeCell ref="C160:E160"/>
    <mergeCell ref="C162:E162"/>
    <mergeCell ref="C149:E149"/>
    <mergeCell ref="C95:E95"/>
    <mergeCell ref="C97:E97"/>
    <mergeCell ref="C98:E98"/>
    <mergeCell ref="C100:E100"/>
    <mergeCell ref="C102:E102"/>
    <mergeCell ref="C104:E104"/>
    <mergeCell ref="C140:E140"/>
    <mergeCell ref="C142:E142"/>
    <mergeCell ref="C143:E143"/>
    <mergeCell ref="C145:E145"/>
    <mergeCell ref="C147:E147"/>
    <mergeCell ref="C127:E127"/>
    <mergeCell ref="C128:E128"/>
    <mergeCell ref="C130:E130"/>
    <mergeCell ref="C132:E132"/>
    <mergeCell ref="C134:E134"/>
    <mergeCell ref="C113:E113"/>
    <mergeCell ref="C115:E115"/>
    <mergeCell ref="C177:E177"/>
    <mergeCell ref="C179:E179"/>
    <mergeCell ref="C185:E185"/>
    <mergeCell ref="C187:E187"/>
    <mergeCell ref="C188:E188"/>
    <mergeCell ref="C164:E164"/>
    <mergeCell ref="C170:E170"/>
    <mergeCell ref="C172:E172"/>
    <mergeCell ref="C173:E173"/>
    <mergeCell ref="C175:E175"/>
    <mergeCell ref="C203:E203"/>
    <mergeCell ref="C205:E205"/>
    <mergeCell ref="C207:E207"/>
    <mergeCell ref="C209:E209"/>
    <mergeCell ref="C215:E215"/>
    <mergeCell ref="C190:E190"/>
    <mergeCell ref="C192:E192"/>
    <mergeCell ref="C194:E194"/>
    <mergeCell ref="C200:E200"/>
    <mergeCell ref="C202:E202"/>
    <mergeCell ref="C230:E230"/>
    <mergeCell ref="C232:E232"/>
    <mergeCell ref="C233:E233"/>
    <mergeCell ref="C235:E235"/>
    <mergeCell ref="C237:E237"/>
    <mergeCell ref="C217:E217"/>
    <mergeCell ref="C218:E218"/>
    <mergeCell ref="C220:E220"/>
    <mergeCell ref="C222:E222"/>
    <mergeCell ref="C224:E224"/>
    <mergeCell ref="C252:E252"/>
    <mergeCell ref="C254:E254"/>
    <mergeCell ref="C260:E260"/>
    <mergeCell ref="C262:E262"/>
    <mergeCell ref="C263:E263"/>
    <mergeCell ref="C239:E239"/>
    <mergeCell ref="C245:E245"/>
    <mergeCell ref="C247:E247"/>
    <mergeCell ref="C248:E248"/>
    <mergeCell ref="C250:E250"/>
    <mergeCell ref="C278:E278"/>
    <mergeCell ref="C280:E280"/>
    <mergeCell ref="C282:E282"/>
    <mergeCell ref="C284:E284"/>
    <mergeCell ref="C290:E290"/>
    <mergeCell ref="C265:E265"/>
    <mergeCell ref="C267:E267"/>
    <mergeCell ref="C269:E269"/>
    <mergeCell ref="C275:E275"/>
    <mergeCell ref="C277:E277"/>
    <mergeCell ref="C305:E305"/>
    <mergeCell ref="C307:E307"/>
    <mergeCell ref="C308:E308"/>
    <mergeCell ref="C310:E310"/>
    <mergeCell ref="C312:E312"/>
    <mergeCell ref="C292:E292"/>
    <mergeCell ref="C293:E293"/>
    <mergeCell ref="C295:E295"/>
    <mergeCell ref="C297:E297"/>
    <mergeCell ref="C299:E299"/>
    <mergeCell ref="C327:E327"/>
    <mergeCell ref="C329:E329"/>
    <mergeCell ref="C335:E335"/>
    <mergeCell ref="C337:E337"/>
    <mergeCell ref="C338:E338"/>
    <mergeCell ref="C314:E314"/>
    <mergeCell ref="C320:E320"/>
    <mergeCell ref="C322:E322"/>
    <mergeCell ref="C323:E323"/>
    <mergeCell ref="C325:E325"/>
    <mergeCell ref="C353:E353"/>
    <mergeCell ref="C355:E355"/>
    <mergeCell ref="C357:E357"/>
    <mergeCell ref="C359:E359"/>
    <mergeCell ref="C365:E365"/>
    <mergeCell ref="C340:E340"/>
    <mergeCell ref="C342:E342"/>
    <mergeCell ref="C344:E344"/>
    <mergeCell ref="C350:E350"/>
    <mergeCell ref="C352:E352"/>
    <mergeCell ref="C380:E380"/>
    <mergeCell ref="C382:E382"/>
    <mergeCell ref="C383:E383"/>
    <mergeCell ref="C385:E385"/>
    <mergeCell ref="C387:E387"/>
    <mergeCell ref="C367:E367"/>
    <mergeCell ref="C368:E368"/>
    <mergeCell ref="C370:E370"/>
    <mergeCell ref="C372:E372"/>
    <mergeCell ref="C374:E374"/>
    <mergeCell ref="C402:E402"/>
    <mergeCell ref="C404:E404"/>
    <mergeCell ref="C410:E410"/>
    <mergeCell ref="C412:E412"/>
    <mergeCell ref="C413:E413"/>
    <mergeCell ref="C389:E389"/>
    <mergeCell ref="C395:E395"/>
    <mergeCell ref="C397:E397"/>
    <mergeCell ref="C398:E398"/>
    <mergeCell ref="C400:E400"/>
    <mergeCell ref="C428:E428"/>
    <mergeCell ref="C430:E430"/>
    <mergeCell ref="C432:E432"/>
    <mergeCell ref="C434:E434"/>
    <mergeCell ref="C440:E440"/>
    <mergeCell ref="C415:E415"/>
    <mergeCell ref="C417:E417"/>
    <mergeCell ref="C419:E419"/>
    <mergeCell ref="C425:E425"/>
    <mergeCell ref="C427:E427"/>
    <mergeCell ref="C455:E455"/>
    <mergeCell ref="C457:E457"/>
    <mergeCell ref="C458:E458"/>
    <mergeCell ref="C460:E460"/>
    <mergeCell ref="C462:E462"/>
    <mergeCell ref="C442:E442"/>
    <mergeCell ref="C443:E443"/>
    <mergeCell ref="C445:E445"/>
    <mergeCell ref="C447:E447"/>
    <mergeCell ref="C449:E449"/>
    <mergeCell ref="C477:E477"/>
    <mergeCell ref="C479:E479"/>
    <mergeCell ref="C485:E485"/>
    <mergeCell ref="C487:E487"/>
    <mergeCell ref="C488:E488"/>
    <mergeCell ref="C464:E464"/>
    <mergeCell ref="C470:E470"/>
    <mergeCell ref="C472:E472"/>
    <mergeCell ref="C473:E473"/>
    <mergeCell ref="C475:E475"/>
    <mergeCell ref="C503:E503"/>
    <mergeCell ref="C505:E505"/>
    <mergeCell ref="C507:E507"/>
    <mergeCell ref="C509:E509"/>
    <mergeCell ref="C490:E490"/>
    <mergeCell ref="C492:E492"/>
    <mergeCell ref="C494:E494"/>
    <mergeCell ref="C500:E500"/>
    <mergeCell ref="C502:E502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56"/>
  <sheetViews>
    <sheetView zoomScale="70" zoomScaleNormal="70" workbookViewId="0">
      <selection activeCell="C16" sqref="C16:G16"/>
    </sheetView>
  </sheetViews>
  <sheetFormatPr baseColWidth="10" defaultColWidth="9.109375" defaultRowHeight="13.2"/>
  <cols>
    <col min="1" max="1" width="5.5546875" style="2" customWidth="1"/>
    <col min="2" max="2" width="15.109375" style="2" customWidth="1"/>
    <col min="3" max="3" width="14.109375" style="2" customWidth="1"/>
    <col min="4" max="4" width="26" style="2" customWidth="1"/>
    <col min="5" max="5" width="8" style="2" customWidth="1"/>
    <col min="6" max="6" width="7.88671875" style="2" customWidth="1"/>
    <col min="7" max="7" width="42" style="2" customWidth="1"/>
    <col min="8" max="8" width="9.33203125" style="2" customWidth="1"/>
    <col min="9" max="9" width="15.5546875" style="2" customWidth="1"/>
    <col min="10" max="10" width="14.6640625" style="2" customWidth="1"/>
    <col min="11" max="11" width="15.5546875" style="2" customWidth="1"/>
    <col min="12" max="14" width="5.88671875" style="2" customWidth="1"/>
    <col min="15" max="15" width="12.5546875" style="2" customWidth="1"/>
    <col min="16" max="1024" width="9.109375" style="2"/>
  </cols>
  <sheetData>
    <row r="1" spans="1:11" ht="18" customHeight="1">
      <c r="A1" s="85" t="s">
        <v>21</v>
      </c>
      <c r="B1" s="85"/>
      <c r="C1" s="85"/>
      <c r="D1" s="85"/>
      <c r="E1" s="85"/>
      <c r="F1" s="85"/>
      <c r="G1" s="85"/>
      <c r="H1" s="85"/>
      <c r="I1" s="85"/>
      <c r="J1" s="3" t="s">
        <v>22</v>
      </c>
      <c r="K1" s="32" t="s">
        <v>217</v>
      </c>
    </row>
    <row r="2" spans="1:11" ht="18.75" customHeight="1" thickBot="1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>
      <c r="A3" s="86" t="s">
        <v>55</v>
      </c>
      <c r="B3" s="86"/>
      <c r="C3" s="86"/>
      <c r="D3" s="87" t="str">
        <f>'Necesidades Trimestrales'!C4</f>
        <v>40 - Ministerio de Salud</v>
      </c>
      <c r="E3" s="87"/>
      <c r="F3" s="87"/>
      <c r="G3" s="87"/>
      <c r="H3" s="87"/>
      <c r="I3" s="87"/>
      <c r="J3" s="87"/>
      <c r="K3" s="87"/>
    </row>
    <row r="4" spans="1:11" ht="18.75" customHeight="1" thickBot="1">
      <c r="A4" s="88" t="s">
        <v>56</v>
      </c>
      <c r="B4" s="88"/>
      <c r="C4" s="88"/>
      <c r="D4" s="87" t="str">
        <f>'Necesidades Trimestrales'!C5</f>
        <v>23 - Hospital Interzonal San Juan Bautista</v>
      </c>
      <c r="E4" s="87"/>
      <c r="F4" s="87"/>
      <c r="G4" s="87"/>
      <c r="H4" s="87"/>
      <c r="I4" s="87"/>
      <c r="J4" s="87"/>
      <c r="K4" s="87"/>
    </row>
    <row r="5" spans="1:11" ht="18.75" customHeight="1" thickBot="1">
      <c r="A5" s="88" t="s">
        <v>34</v>
      </c>
      <c r="B5" s="88"/>
      <c r="C5" s="88"/>
      <c r="D5" s="87" t="s">
        <v>214</v>
      </c>
      <c r="E5" s="87"/>
      <c r="F5" s="87"/>
      <c r="G5" s="87"/>
      <c r="H5" s="87"/>
      <c r="I5" s="87"/>
      <c r="J5" s="87"/>
      <c r="K5" s="87"/>
    </row>
    <row r="6" spans="1:11" ht="16.5" customHeight="1" thickBot="1">
      <c r="A6" s="86" t="s">
        <v>57</v>
      </c>
      <c r="B6" s="86"/>
      <c r="C6" s="86"/>
      <c r="D6" s="87" t="s">
        <v>213</v>
      </c>
      <c r="E6" s="87"/>
      <c r="F6" s="87"/>
      <c r="G6" s="87"/>
      <c r="H6" s="87"/>
      <c r="I6" s="87"/>
      <c r="J6" s="87"/>
      <c r="K6" s="87"/>
    </row>
    <row r="7" spans="1:11" ht="16.5" customHeight="1">
      <c r="A7" s="88" t="s">
        <v>23</v>
      </c>
      <c r="B7" s="88"/>
      <c r="C7" s="88"/>
      <c r="D7" s="87" t="str">
        <f>'Necesidades Trimestrales'!C7 &amp; "° Trimestre - Año " &amp; 'Necesidades Trimestrales'!C6</f>
        <v>1° Trimestre - Año 2022</v>
      </c>
      <c r="E7" s="87"/>
      <c r="F7" s="87"/>
      <c r="G7" s="87"/>
      <c r="H7" s="87"/>
      <c r="I7" s="87"/>
      <c r="J7" s="87"/>
      <c r="K7" s="87"/>
    </row>
    <row r="8" spans="1:11" ht="16.5" customHeight="1">
      <c r="A8" s="89" t="s">
        <v>24</v>
      </c>
      <c r="B8" s="89"/>
      <c r="C8" s="89"/>
      <c r="D8" s="90" t="s">
        <v>218</v>
      </c>
      <c r="E8" s="90"/>
      <c r="F8" s="90"/>
      <c r="G8" s="90"/>
      <c r="H8" s="90"/>
      <c r="I8" s="90"/>
      <c r="J8" s="90"/>
      <c r="K8" s="90"/>
    </row>
    <row r="9" spans="1:11" ht="15.6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>
      <c r="A10" s="91" t="s">
        <v>25</v>
      </c>
      <c r="B10" s="92" t="s">
        <v>26</v>
      </c>
      <c r="C10" s="92" t="s">
        <v>27</v>
      </c>
      <c r="D10" s="92"/>
      <c r="E10" s="92"/>
      <c r="F10" s="92"/>
      <c r="G10" s="92"/>
      <c r="H10" s="92" t="s">
        <v>28</v>
      </c>
      <c r="I10" s="92" t="s">
        <v>29</v>
      </c>
      <c r="J10" s="92" t="s">
        <v>30</v>
      </c>
      <c r="K10" s="93" t="s">
        <v>31</v>
      </c>
    </row>
    <row r="11" spans="1:11" ht="24" customHeight="1" thickBot="1">
      <c r="A11" s="91"/>
      <c r="B11" s="92"/>
      <c r="C11" s="92"/>
      <c r="D11" s="92"/>
      <c r="E11" s="92"/>
      <c r="F11" s="92"/>
      <c r="G11" s="92"/>
      <c r="H11" s="92"/>
      <c r="I11" s="92"/>
      <c r="J11" s="92"/>
      <c r="K11" s="93"/>
    </row>
    <row r="12" spans="1:11" ht="34.200000000000003" customHeight="1" thickBot="1">
      <c r="A12" s="8">
        <v>1</v>
      </c>
      <c r="B12" s="33" t="str">
        <f>'Necesidades Trimestrales'!B10</f>
        <v>2.9.1-6951.28</v>
      </c>
      <c r="C12" s="96" t="str">
        <f>'Necesidades Trimestrales'!E10</f>
        <v>LIMPIADORES; TIPO: LAVANDINA, PRESENTACION: ENVASE X 1 L</v>
      </c>
      <c r="D12" s="96"/>
      <c r="E12" s="96"/>
      <c r="F12" s="96"/>
      <c r="G12" s="96"/>
      <c r="H12" s="34" t="s">
        <v>211</v>
      </c>
      <c r="I12" s="35" t="str">
        <f>'Necesidades Trimestrales'!F10</f>
        <v>UNIDAD</v>
      </c>
      <c r="J12" s="36">
        <f>'Necesidades Trimestrales'!H10</f>
        <v>56</v>
      </c>
      <c r="K12" s="37">
        <f>'Necesidades Trimestrales'!G10</f>
        <v>300</v>
      </c>
    </row>
    <row r="13" spans="1:11" ht="34.200000000000003" customHeight="1" thickBot="1">
      <c r="A13" s="8">
        <v>2</v>
      </c>
      <c r="B13" s="33" t="str">
        <f>'Necesidades Trimestrales'!B11</f>
        <v>2.9.1-6951.28</v>
      </c>
      <c r="C13" s="96" t="str">
        <f>'Necesidades Trimestrales'!E11</f>
        <v>LIMPIADORES; TIPO: LAVANDINA, PRESENTACION: ENVASE X 1 L</v>
      </c>
      <c r="D13" s="96"/>
      <c r="E13" s="96"/>
      <c r="F13" s="96"/>
      <c r="G13" s="96"/>
      <c r="H13" s="34" t="s">
        <v>211</v>
      </c>
      <c r="I13" s="35" t="str">
        <f>'Necesidades Trimestrales'!F11</f>
        <v>UNIDAD</v>
      </c>
      <c r="J13" s="36">
        <f>'Necesidades Trimestrales'!H11</f>
        <v>56</v>
      </c>
      <c r="K13" s="37">
        <f>'Necesidades Trimestrales'!G11</f>
        <v>1600</v>
      </c>
    </row>
    <row r="14" spans="1:11" ht="34.200000000000003" customHeight="1" thickBot="1">
      <c r="A14" s="8">
        <v>3</v>
      </c>
      <c r="B14" s="33" t="str">
        <f>'Necesidades Trimestrales'!B12</f>
        <v>2.9.1-8853.3</v>
      </c>
      <c r="C14" s="96" t="str">
        <f>'Necesidades Trimestrales'!E12</f>
        <v>MOPAS; LARGO MANGO: 1 M, MATERIAL: ALGODÓN</v>
      </c>
      <c r="D14" s="96"/>
      <c r="E14" s="96"/>
      <c r="F14" s="96"/>
      <c r="G14" s="96"/>
      <c r="H14" s="34" t="s">
        <v>211</v>
      </c>
      <c r="I14" s="35" t="str">
        <f>'Necesidades Trimestrales'!F12</f>
        <v>UNIDAD</v>
      </c>
      <c r="J14" s="36">
        <f>'Necesidades Trimestrales'!H12</f>
        <v>1990</v>
      </c>
      <c r="K14" s="37">
        <f>'Necesidades Trimestrales'!G12</f>
        <v>10</v>
      </c>
    </row>
    <row r="15" spans="1:11" ht="34.200000000000003" customHeight="1" thickBot="1">
      <c r="A15" s="8">
        <v>4</v>
      </c>
      <c r="B15" s="33" t="str">
        <f>'Necesidades Trimestrales'!B13</f>
        <v>2.5.9-1687.22</v>
      </c>
      <c r="C15" s="96" t="str">
        <f>'Necesidades Trimestrales'!E13</f>
        <v>CERAS; TIPO: LIQUIDO, USO: UNIVERSAL, PRESENTACION: ENVASE X 5 L</v>
      </c>
      <c r="D15" s="96"/>
      <c r="E15" s="96"/>
      <c r="F15" s="96"/>
      <c r="G15" s="96"/>
      <c r="H15" s="34" t="s">
        <v>211</v>
      </c>
      <c r="I15" s="35" t="str">
        <f>'Necesidades Trimestrales'!F13</f>
        <v>ENVASE</v>
      </c>
      <c r="J15" s="36">
        <f>'Necesidades Trimestrales'!H13</f>
        <v>811.2</v>
      </c>
      <c r="K15" s="37">
        <f>'Necesidades Trimestrales'!G13</f>
        <v>15</v>
      </c>
    </row>
    <row r="16" spans="1:11" ht="34.200000000000003" customHeight="1" thickBot="1">
      <c r="A16" s="8">
        <v>5</v>
      </c>
      <c r="B16" s="33" t="str">
        <f>'Necesidades Trimestrales'!B14</f>
        <v>2.9.1-6951.185</v>
      </c>
      <c r="C16" s="96" t="str">
        <f>'Necesidades Trimestrales'!E14</f>
        <v>LIMPIADORES; TIPO: HIPOCLORITO, PRESENTACION: ENVASE X 5 L</v>
      </c>
      <c r="D16" s="96"/>
      <c r="E16" s="96"/>
      <c r="F16" s="96"/>
      <c r="G16" s="96"/>
      <c r="H16" s="34" t="s">
        <v>211</v>
      </c>
      <c r="I16" s="35" t="str">
        <f>'Necesidades Trimestrales'!F14</f>
        <v>ENVASE</v>
      </c>
      <c r="J16" s="36">
        <f>'Necesidades Trimestrales'!H14</f>
        <v>299.60000000000002</v>
      </c>
      <c r="K16" s="37">
        <f>'Necesidades Trimestrales'!G14</f>
        <v>200</v>
      </c>
    </row>
    <row r="17" spans="1:11" ht="34.200000000000003" customHeight="1" thickBot="1">
      <c r="A17" s="8">
        <v>6</v>
      </c>
      <c r="B17" s="33" t="str">
        <f>'Necesidades Trimestrales'!B15</f>
        <v>2.9.1-6951.290</v>
      </c>
      <c r="C17" s="96" t="str">
        <f>'Necesidades Trimestrales'!E15</f>
        <v>LIMPIADORES; TIPO: DETERGENTE ENZIMATICO, PRESENTACION: ENVASE X 5 L, BIODEGRADABLE: SI</v>
      </c>
      <c r="D17" s="96"/>
      <c r="E17" s="96"/>
      <c r="F17" s="96"/>
      <c r="G17" s="96"/>
      <c r="H17" s="34" t="s">
        <v>211</v>
      </c>
      <c r="I17" s="35" t="str">
        <f>'Necesidades Trimestrales'!F15</f>
        <v>ENVASE</v>
      </c>
      <c r="J17" s="36">
        <f>'Necesidades Trimestrales'!H15</f>
        <v>249</v>
      </c>
      <c r="K17" s="37">
        <f>'Necesidades Trimestrales'!G15</f>
        <v>180</v>
      </c>
    </row>
    <row r="18" spans="1:11" ht="34.200000000000003" customHeight="1" thickBot="1">
      <c r="A18" s="8">
        <v>7</v>
      </c>
      <c r="B18" s="33" t="str">
        <f>'Necesidades Trimestrales'!B16</f>
        <v>2.9.1-6951.203</v>
      </c>
      <c r="C18" s="96" t="str">
        <f>'Necesidades Trimestrales'!E16</f>
        <v>LIMPIADORES; TIPO: DESODORANTE LIQUIDO , PRESENTACION: ENVASE X 1 L</v>
      </c>
      <c r="D18" s="96"/>
      <c r="E18" s="96"/>
      <c r="F18" s="96"/>
      <c r="G18" s="96"/>
      <c r="H18" s="34" t="s">
        <v>58</v>
      </c>
      <c r="I18" s="35" t="str">
        <f>'Necesidades Trimestrales'!F16</f>
        <v>ENVASE</v>
      </c>
      <c r="J18" s="36">
        <f>'Necesidades Trimestrales'!H16</f>
        <v>135</v>
      </c>
      <c r="K18" s="37">
        <f>'Necesidades Trimestrales'!G16</f>
        <v>600</v>
      </c>
    </row>
    <row r="19" spans="1:11" ht="34.200000000000003" customHeight="1" thickBot="1">
      <c r="A19" s="8">
        <v>8</v>
      </c>
      <c r="B19" s="33" t="str">
        <f>'Necesidades Trimestrales'!B17</f>
        <v>2.9.1-544.82</v>
      </c>
      <c r="C19" s="96" t="str">
        <f>'Necesidades Trimestrales'!E17</f>
        <v>DESODORANTES DE AMBIENTE; FORMATO: AEROSOL, FRAGANCIA: ORIGINAL, PRESENTACION: ENVASE X 360 CM3, LIBRE DE CFC: SI</v>
      </c>
      <c r="D19" s="96"/>
      <c r="E19" s="96"/>
      <c r="F19" s="96"/>
      <c r="G19" s="96"/>
      <c r="H19" s="34" t="s">
        <v>58</v>
      </c>
      <c r="I19" s="35" t="str">
        <f>'Necesidades Trimestrales'!F17</f>
        <v>ENVASE</v>
      </c>
      <c r="J19" s="36">
        <f>'Necesidades Trimestrales'!H17</f>
        <v>149.9</v>
      </c>
      <c r="K19" s="37">
        <f>'Necesidades Trimestrales'!G17</f>
        <v>100</v>
      </c>
    </row>
    <row r="20" spans="1:11" ht="34.200000000000003" customHeight="1" thickBot="1">
      <c r="A20" s="8">
        <v>9</v>
      </c>
      <c r="B20" s="33" t="str">
        <f>'Necesidades Trimestrales'!B18</f>
        <v>2.5.4-505.13</v>
      </c>
      <c r="C20" s="96" t="str">
        <f>'Necesidades Trimestrales'!E18</f>
        <v>DESINFECTANTES; CAPACIDAD: 5 L, USO P/CONTROL: BACTERIAS, PRINCIPIO ACTIVO: SAL AMONIO CUATERNARIO, PRESENTACION: ENVASE X 5 L, CONTROL: BACTERIAS</v>
      </c>
      <c r="D20" s="96"/>
      <c r="E20" s="96"/>
      <c r="F20" s="96"/>
      <c r="G20" s="96"/>
      <c r="H20" s="34" t="s">
        <v>211</v>
      </c>
      <c r="I20" s="35" t="str">
        <f>'Necesidades Trimestrales'!F18</f>
        <v>ENVASE</v>
      </c>
      <c r="J20" s="36">
        <f>'Necesidades Trimestrales'!H18</f>
        <v>745</v>
      </c>
      <c r="K20" s="37">
        <f>'Necesidades Trimestrales'!G18</f>
        <v>50</v>
      </c>
    </row>
    <row r="21" spans="1:11" ht="34.200000000000003" customHeight="1" thickBot="1">
      <c r="A21" s="8">
        <v>10</v>
      </c>
      <c r="B21" s="33" t="str">
        <f>'Necesidades Trimestrales'!B19</f>
        <v>2.9.1-4784.54</v>
      </c>
      <c r="C21" s="96" t="str">
        <f>'Necesidades Trimestrales'!E19</f>
        <v>LIMPIADORES MULTIUSO; COMPUESTOS BIODEGRADABLES: SI, PRESENTACION: ENVASE X 5 L, TIPO: SECUESTRANTE D/POLVO P/LAMPAZO</v>
      </c>
      <c r="D21" s="96"/>
      <c r="E21" s="96"/>
      <c r="F21" s="96"/>
      <c r="G21" s="96"/>
      <c r="H21" s="34" t="s">
        <v>211</v>
      </c>
      <c r="I21" s="35" t="str">
        <f>'Necesidades Trimestrales'!F19</f>
        <v>ENVASE</v>
      </c>
      <c r="J21" s="36">
        <f>'Necesidades Trimestrales'!H19</f>
        <v>516.6</v>
      </c>
      <c r="K21" s="37">
        <f>'Necesidades Trimestrales'!G19</f>
        <v>20</v>
      </c>
    </row>
    <row r="22" spans="1:11" ht="34.200000000000003" customHeight="1" thickBot="1">
      <c r="A22" s="8">
        <v>11</v>
      </c>
      <c r="B22" s="33" t="str">
        <f>'Necesidades Trimestrales'!B20</f>
        <v>2.9.1-6960.20</v>
      </c>
      <c r="C22" s="96" t="str">
        <f>'Necesidades Trimestrales'!E20</f>
        <v>ELEM. LIMPIEZA P/INDUMENTARIA; TIPO: JABON EN POLVO, PRESENTACION: ENVASE X 3 Kg</v>
      </c>
      <c r="D22" s="96"/>
      <c r="E22" s="96"/>
      <c r="F22" s="96"/>
      <c r="G22" s="96"/>
      <c r="H22" s="34" t="s">
        <v>211</v>
      </c>
      <c r="I22" s="35" t="str">
        <f>'Necesidades Trimestrales'!F20</f>
        <v>PAQUETE</v>
      </c>
      <c r="J22" s="36">
        <f>'Necesidades Trimestrales'!H20</f>
        <v>428.74</v>
      </c>
      <c r="K22" s="37">
        <f>'Necesidades Trimestrales'!G20</f>
        <v>200</v>
      </c>
    </row>
    <row r="23" spans="1:11" ht="34.200000000000003" customHeight="1" thickBot="1">
      <c r="A23" s="8">
        <v>12</v>
      </c>
      <c r="B23" s="33" t="str">
        <f>'Necesidades Trimestrales'!B21</f>
        <v>2.9.1-761.7</v>
      </c>
      <c r="C23" s="96" t="str">
        <f>'Necesidades Trimestrales'!E21</f>
        <v>GUANTES P/LIMPIEZA; MATERIAL: LATEX C/FELPA INTERIOR, TAMAÑO: CHICO</v>
      </c>
      <c r="D23" s="96"/>
      <c r="E23" s="96"/>
      <c r="F23" s="96"/>
      <c r="G23" s="96"/>
      <c r="H23" s="34" t="s">
        <v>211</v>
      </c>
      <c r="I23" s="35" t="str">
        <f>'Necesidades Trimestrales'!F21</f>
        <v>PAR</v>
      </c>
      <c r="J23" s="36">
        <f>'Necesidades Trimestrales'!H21</f>
        <v>90.94</v>
      </c>
      <c r="K23" s="37">
        <f>'Necesidades Trimestrales'!G21</f>
        <v>180</v>
      </c>
    </row>
    <row r="24" spans="1:11" ht="34.200000000000003" customHeight="1" thickBot="1">
      <c r="A24" s="8">
        <v>13</v>
      </c>
      <c r="B24" s="33" t="str">
        <f>'Necesidades Trimestrales'!B22</f>
        <v>2.9.1-761.6</v>
      </c>
      <c r="C24" s="96" t="str">
        <f>'Necesidades Trimestrales'!E22</f>
        <v>GUANTES P/LIMPIEZA; TAMAÑO: MEDIANO, MATERIAL: LATEX C/FELPA INTERIOR</v>
      </c>
      <c r="D24" s="96"/>
      <c r="E24" s="96"/>
      <c r="F24" s="96"/>
      <c r="G24" s="96"/>
      <c r="H24" s="34" t="s">
        <v>211</v>
      </c>
      <c r="I24" s="35" t="str">
        <f>'Necesidades Trimestrales'!F22</f>
        <v>PAR</v>
      </c>
      <c r="J24" s="36">
        <f>'Necesidades Trimestrales'!H22</f>
        <v>90.94</v>
      </c>
      <c r="K24" s="37">
        <f>'Necesidades Trimestrales'!G22</f>
        <v>150</v>
      </c>
    </row>
    <row r="25" spans="1:11" ht="34.200000000000003" customHeight="1" thickBot="1">
      <c r="A25" s="8">
        <v>14</v>
      </c>
      <c r="B25" s="33" t="str">
        <f>'Necesidades Trimestrales'!B23</f>
        <v>2.9.1-761.5</v>
      </c>
      <c r="C25" s="96" t="str">
        <f>'Necesidades Trimestrales'!E23</f>
        <v>GUANTES P/LIMPIEZA; TAMAÑO: GRANDE, MATERIAL: LATEX C/FELPA INTERIOR</v>
      </c>
      <c r="D25" s="96"/>
      <c r="E25" s="96"/>
      <c r="F25" s="96"/>
      <c r="G25" s="96"/>
      <c r="H25" s="34" t="s">
        <v>211</v>
      </c>
      <c r="I25" s="35" t="str">
        <f>'Necesidades Trimestrales'!F23</f>
        <v>PAR</v>
      </c>
      <c r="J25" s="36">
        <f>'Necesidades Trimestrales'!H23</f>
        <v>90.94</v>
      </c>
      <c r="K25" s="37">
        <f>'Necesidades Trimestrales'!G23</f>
        <v>120</v>
      </c>
    </row>
    <row r="26" spans="1:11" ht="34.200000000000003" customHeight="1" thickBot="1">
      <c r="A26" s="8">
        <v>15</v>
      </c>
      <c r="B26" s="33" t="str">
        <f>'Necesidades Trimestrales'!B24</f>
        <v>2.9.1-6952.29</v>
      </c>
      <c r="C26" s="96" t="str">
        <f>'Necesidades Trimestrales'!E24</f>
        <v>CEPILLOS; TIPO: ESCOBILLA LIMPIA INODORO, MATERIAL: PLASTICO</v>
      </c>
      <c r="D26" s="96"/>
      <c r="E26" s="96"/>
      <c r="F26" s="96"/>
      <c r="G26" s="96"/>
      <c r="H26" s="34" t="s">
        <v>58</v>
      </c>
      <c r="I26" s="35" t="str">
        <f>'Necesidades Trimestrales'!F24</f>
        <v>UNIDAD</v>
      </c>
      <c r="J26" s="36">
        <f>'Necesidades Trimestrales'!H24</f>
        <v>105.6</v>
      </c>
      <c r="K26" s="37">
        <f>'Necesidades Trimestrales'!G24</f>
        <v>90</v>
      </c>
    </row>
    <row r="27" spans="1:11" ht="34.200000000000003" customHeight="1" thickBot="1">
      <c r="A27" s="8">
        <v>16</v>
      </c>
      <c r="B27" s="33" t="str">
        <f>'Necesidades Trimestrales'!B25</f>
        <v>2.9.1-1083.7</v>
      </c>
      <c r="C27" s="96" t="str">
        <f>'Necesidades Trimestrales'!E25</f>
        <v>ESPONJA DE ACERO; CUERPO: ACERO INOXIDABLE, PESO: 20 GR, MATERIAL DEL CUERPO: ACERO INOXIDABLE, MATERIAL: ACERO INOXIDABLE</v>
      </c>
      <c r="D27" s="96"/>
      <c r="E27" s="96"/>
      <c r="F27" s="96"/>
      <c r="G27" s="96"/>
      <c r="H27" s="34" t="s">
        <v>211</v>
      </c>
      <c r="I27" s="35" t="str">
        <f>'Necesidades Trimestrales'!F25</f>
        <v>UNIDAD</v>
      </c>
      <c r="J27" s="36">
        <f>'Necesidades Trimestrales'!H25</f>
        <v>26.8</v>
      </c>
      <c r="K27" s="37">
        <f>'Necesidades Trimestrales'!G25</f>
        <v>100</v>
      </c>
    </row>
    <row r="28" spans="1:11" ht="34.200000000000003" customHeight="1" thickBot="1">
      <c r="A28" s="8">
        <v>17</v>
      </c>
      <c r="B28" s="33" t="str">
        <f>'Necesidades Trimestrales'!B26</f>
        <v>2.9.1-1164.36</v>
      </c>
      <c r="C28" s="96" t="str">
        <f>'Necesidades Trimestrales'!E26</f>
        <v>ESPONJAS; MATERIAL: FIBRA VERDE, USO: COCINA, ADITAMENTO: SIN, FORMA: RECTANGULAR, LARGO X ANCHO X ESP: 22 X 16 mm</v>
      </c>
      <c r="D28" s="96"/>
      <c r="E28" s="96"/>
      <c r="F28" s="96"/>
      <c r="G28" s="96"/>
      <c r="H28" s="34" t="s">
        <v>58</v>
      </c>
      <c r="I28" s="35" t="str">
        <f>'Necesidades Trimestrales'!F26</f>
        <v>UNIDAD</v>
      </c>
      <c r="J28" s="36">
        <f>'Necesidades Trimestrales'!H26</f>
        <v>28.9</v>
      </c>
      <c r="K28" s="37">
        <f>'Necesidades Trimestrales'!G26</f>
        <v>100</v>
      </c>
    </row>
    <row r="29" spans="1:11" ht="34.200000000000003" customHeight="1" thickBot="1">
      <c r="A29" s="8">
        <v>18</v>
      </c>
      <c r="B29" s="33" t="str">
        <f>'Necesidades Trimestrales'!B27</f>
        <v>2.9.1-6960.27</v>
      </c>
      <c r="C29" s="96" t="str">
        <f>'Necesidades Trimestrales'!E27</f>
        <v>ELEM. LIMPIEZA P/INDUMENTARIA; TIPO: JABON EN PAN, PRESENTACION: 200 GR</v>
      </c>
      <c r="D29" s="96"/>
      <c r="E29" s="96"/>
      <c r="F29" s="96"/>
      <c r="G29" s="96"/>
      <c r="H29" s="34" t="s">
        <v>211</v>
      </c>
      <c r="I29" s="35" t="str">
        <f>'Necesidades Trimestrales'!F27</f>
        <v>UNIDAD</v>
      </c>
      <c r="J29" s="36">
        <f>'Necesidades Trimestrales'!H27</f>
        <v>35</v>
      </c>
      <c r="K29" s="37">
        <f>'Necesidades Trimestrales'!G27</f>
        <v>50</v>
      </c>
    </row>
    <row r="30" spans="1:11" ht="34.200000000000003" customHeight="1" thickBot="1">
      <c r="A30" s="8">
        <v>19</v>
      </c>
      <c r="B30" s="33" t="str">
        <f>'Necesidades Trimestrales'!B28</f>
        <v>2.9.4-719.28</v>
      </c>
      <c r="C30" s="96" t="str">
        <f>'Necesidades Trimestrales'!E28</f>
        <v>JARRAS; MATERIAL: PLASTICO, CAPACIDAD: 1 L</v>
      </c>
      <c r="D30" s="96"/>
      <c r="E30" s="96"/>
      <c r="F30" s="96"/>
      <c r="G30" s="96"/>
      <c r="H30" s="34" t="s">
        <v>58</v>
      </c>
      <c r="I30" s="35" t="str">
        <f>'Necesidades Trimestrales'!F28</f>
        <v>UNIDAD</v>
      </c>
      <c r="J30" s="36">
        <f>'Necesidades Trimestrales'!H28</f>
        <v>116.9</v>
      </c>
      <c r="K30" s="37">
        <f>'Necesidades Trimestrales'!G28</f>
        <v>50</v>
      </c>
    </row>
    <row r="31" spans="1:11" ht="34.200000000000003" customHeight="1" thickBot="1">
      <c r="A31" s="8">
        <v>20</v>
      </c>
      <c r="B31" s="33" t="str">
        <f>'Necesidades Trimestrales'!B29</f>
        <v>2.9.1-6951.116</v>
      </c>
      <c r="C31" s="96" t="str">
        <f>'Necesidades Trimestrales'!E29</f>
        <v>LIMPIADORES; TIPO: LIMPIAVIDRIOS, PRESENTACION: ENVASE X 5 L</v>
      </c>
      <c r="D31" s="96"/>
      <c r="E31" s="96"/>
      <c r="F31" s="96"/>
      <c r="G31" s="96"/>
      <c r="H31" s="34" t="s">
        <v>58</v>
      </c>
      <c r="I31" s="35" t="str">
        <f>'Necesidades Trimestrales'!F29</f>
        <v>ENVASE</v>
      </c>
      <c r="J31" s="36">
        <f>'Necesidades Trimestrales'!H29</f>
        <v>228.2</v>
      </c>
      <c r="K31" s="37">
        <f>'Necesidades Trimestrales'!G29</f>
        <v>10</v>
      </c>
    </row>
    <row r="32" spans="1:11" ht="34.200000000000003" customHeight="1" thickBot="1">
      <c r="A32" s="8">
        <v>21</v>
      </c>
      <c r="B32" s="33" t="str">
        <f>'Necesidades Trimestrales'!B30</f>
        <v>2.9.1-6951.80</v>
      </c>
      <c r="C32" s="96" t="str">
        <f>'Necesidades Trimestrales'!E30</f>
        <v>LIMPIADORES; TIPO: QUITASARRO, PRESENTACION: ENVASE X 500 CM3</v>
      </c>
      <c r="D32" s="96"/>
      <c r="E32" s="96"/>
      <c r="F32" s="96"/>
      <c r="G32" s="96"/>
      <c r="H32" s="34" t="s">
        <v>58</v>
      </c>
      <c r="I32" s="35" t="str">
        <f>'Necesidades Trimestrales'!F30</f>
        <v>ENVASE</v>
      </c>
      <c r="J32" s="36">
        <f>'Necesidades Trimestrales'!H30</f>
        <v>266.25</v>
      </c>
      <c r="K32" s="37">
        <f>'Necesidades Trimestrales'!G30</f>
        <v>25</v>
      </c>
    </row>
    <row r="33" spans="1:11" ht="34.200000000000003" customHeight="1" thickBot="1">
      <c r="A33" s="8">
        <v>22</v>
      </c>
      <c r="B33" s="33" t="str">
        <f>'Necesidades Trimestrales'!B31</f>
        <v>2.9.1-6951.174</v>
      </c>
      <c r="C33" s="96" t="str">
        <f>'Necesidades Trimestrales'!E31</f>
        <v>LIMPIADORES; TIPO: POLVO LIMPIADOR, PRESENTACION: ENVASE X 400 GR</v>
      </c>
      <c r="D33" s="96"/>
      <c r="E33" s="96"/>
      <c r="F33" s="96"/>
      <c r="G33" s="96"/>
      <c r="H33" s="34" t="s">
        <v>211</v>
      </c>
      <c r="I33" s="35" t="str">
        <f>'Necesidades Trimestrales'!F31</f>
        <v>ENVASE</v>
      </c>
      <c r="J33" s="36">
        <f>'Necesidades Trimestrales'!H31</f>
        <v>118.2</v>
      </c>
      <c r="K33" s="37">
        <f>'Necesidades Trimestrales'!G31</f>
        <v>50</v>
      </c>
    </row>
    <row r="34" spans="1:11" ht="34.200000000000003" customHeight="1" thickBot="1">
      <c r="A34" s="8">
        <v>23</v>
      </c>
      <c r="B34" s="33" t="str">
        <f>'Necesidades Trimestrales'!B32</f>
        <v>2.7.5-1491.5</v>
      </c>
      <c r="C34" s="96" t="str">
        <f>'Necesidades Trimestrales'!E32</f>
        <v>PULVERIZADORES; MATERIAL: PLASTICO REFORZADO, CAPACIDAD: 1000 CM3, TIPO: MANUAL</v>
      </c>
      <c r="D34" s="96"/>
      <c r="E34" s="96"/>
      <c r="F34" s="96"/>
      <c r="G34" s="96"/>
      <c r="H34" s="34" t="s">
        <v>58</v>
      </c>
      <c r="I34" s="35" t="str">
        <f>'Necesidades Trimestrales'!F32</f>
        <v>UNIDAD</v>
      </c>
      <c r="J34" s="36">
        <f>'Necesidades Trimestrales'!H32</f>
        <v>139.5</v>
      </c>
      <c r="K34" s="37">
        <f>'Necesidades Trimestrales'!G32</f>
        <v>100</v>
      </c>
    </row>
    <row r="35" spans="1:11" ht="34.200000000000003" customHeight="1" thickBot="1">
      <c r="A35" s="8">
        <v>24</v>
      </c>
      <c r="B35" s="33" t="str">
        <f>'Necesidades Trimestrales'!B33</f>
        <v>2.9.1-683.5</v>
      </c>
      <c r="C35" s="96" t="str">
        <f>'Necesidades Trimestrales'!E33</f>
        <v>SECADORES DE GOMA; LARGO: 40 Cm, COLOR: NEGRO</v>
      </c>
      <c r="D35" s="96"/>
      <c r="E35" s="96"/>
      <c r="F35" s="96"/>
      <c r="G35" s="96"/>
      <c r="H35" s="34" t="s">
        <v>211</v>
      </c>
      <c r="I35" s="35" t="str">
        <f>'Necesidades Trimestrales'!F33</f>
        <v>UNIDAD</v>
      </c>
      <c r="J35" s="36">
        <f>'Necesidades Trimestrales'!H33</f>
        <v>99.9</v>
      </c>
      <c r="K35" s="37">
        <f>'Necesidades Trimestrales'!G33</f>
        <v>200</v>
      </c>
    </row>
    <row r="36" spans="1:11" ht="34.200000000000003" customHeight="1" thickBot="1">
      <c r="A36" s="8">
        <v>25</v>
      </c>
      <c r="B36" s="33" t="str">
        <f>'Necesidades Trimestrales'!B34</f>
        <v>2.9.1-683.4</v>
      </c>
      <c r="C36" s="96" t="str">
        <f>'Necesidades Trimestrales'!E34</f>
        <v>SECADORES DE GOMA; LARGO: 80 Cm, COLOR: ROJO</v>
      </c>
      <c r="D36" s="96"/>
      <c r="E36" s="96"/>
      <c r="F36" s="96"/>
      <c r="G36" s="96"/>
      <c r="H36" s="34" t="s">
        <v>211</v>
      </c>
      <c r="I36" s="35" t="str">
        <f>'Necesidades Trimestrales'!F34</f>
        <v>UNIDAD</v>
      </c>
      <c r="J36" s="36">
        <f>'Necesidades Trimestrales'!H34</f>
        <v>313</v>
      </c>
      <c r="K36" s="37">
        <f>'Necesidades Trimestrales'!G34</f>
        <v>25</v>
      </c>
    </row>
    <row r="37" spans="1:11" ht="34.200000000000003" customHeight="1" thickBot="1">
      <c r="A37" s="8">
        <v>26</v>
      </c>
      <c r="B37" s="33" t="str">
        <f>'Necesidades Trimestrales'!B35</f>
        <v>2.9.1-6960.1</v>
      </c>
      <c r="C37" s="96" t="str">
        <f>'Necesidades Trimestrales'!E35</f>
        <v>ELEM. LIMPIEZA P/INDUMENTARIA; TIPO: SUAVIZANTE P/ROPA, PRESENTACION: ENVASE X 5 L</v>
      </c>
      <c r="D37" s="96"/>
      <c r="E37" s="96"/>
      <c r="F37" s="96"/>
      <c r="G37" s="96"/>
      <c r="H37" s="34" t="s">
        <v>58</v>
      </c>
      <c r="I37" s="35" t="str">
        <f>'Necesidades Trimestrales'!F35</f>
        <v>ENVASE</v>
      </c>
      <c r="J37" s="36">
        <f>'Necesidades Trimestrales'!H35</f>
        <v>202.5</v>
      </c>
      <c r="K37" s="37">
        <f>'Necesidades Trimestrales'!G35</f>
        <v>36</v>
      </c>
    </row>
    <row r="38" spans="1:11" ht="34.200000000000003" customHeight="1" thickBot="1">
      <c r="A38" s="8">
        <v>27</v>
      </c>
      <c r="B38" s="33" t="str">
        <f>'Necesidades Trimestrales'!B36</f>
        <v>2.9.1-713.18</v>
      </c>
      <c r="C38" s="96" t="str">
        <f>'Necesidades Trimestrales'!E36</f>
        <v>TRAPOS DE PISO; DIMENSION: 48 X 60 Cm</v>
      </c>
      <c r="D38" s="96"/>
      <c r="E38" s="96"/>
      <c r="F38" s="96"/>
      <c r="G38" s="96"/>
      <c r="H38" s="34" t="s">
        <v>211</v>
      </c>
      <c r="I38" s="35" t="str">
        <f>'Necesidades Trimestrales'!F36</f>
        <v>UNIDAD</v>
      </c>
      <c r="J38" s="36">
        <f>'Necesidades Trimestrales'!H36</f>
        <v>46.88</v>
      </c>
      <c r="K38" s="37">
        <f>'Necesidades Trimestrales'!G36</f>
        <v>300</v>
      </c>
    </row>
    <row r="39" spans="1:11" ht="34.200000000000003" customHeight="1" thickBot="1">
      <c r="A39" s="8">
        <v>28</v>
      </c>
      <c r="B39" s="33" t="str">
        <f>'Necesidades Trimestrales'!B37</f>
        <v>2.9.1-678.7</v>
      </c>
      <c r="C39" s="96" t="str">
        <f>'Necesidades Trimestrales'!E37</f>
        <v>TRAPOS REJILLA; DIMENSION: 40 X 50 Cm, COLOR: SIN VALOR, MATERIAL: ALGODÓN</v>
      </c>
      <c r="D39" s="96"/>
      <c r="E39" s="96"/>
      <c r="F39" s="96"/>
      <c r="G39" s="96"/>
      <c r="H39" s="34" t="s">
        <v>211</v>
      </c>
      <c r="I39" s="35" t="str">
        <f>'Necesidades Trimestrales'!F37</f>
        <v>UNIDAD</v>
      </c>
      <c r="J39" s="36">
        <f>'Necesidades Trimestrales'!H37</f>
        <v>31.5</v>
      </c>
      <c r="K39" s="37">
        <f>'Necesidades Trimestrales'!G37</f>
        <v>250</v>
      </c>
    </row>
    <row r="40" spans="1:11" ht="34.200000000000003" customHeight="1" thickBot="1">
      <c r="A40" s="8">
        <v>29</v>
      </c>
      <c r="B40" s="33" t="str">
        <f>'Necesidades Trimestrales'!B38</f>
        <v>2.9.1-714.5</v>
      </c>
      <c r="C40" s="96" t="str">
        <f>'Necesidades Trimestrales'!E38</f>
        <v>FRANELAS; DIMENSION: 40 X 50 Cm</v>
      </c>
      <c r="D40" s="96"/>
      <c r="E40" s="96"/>
      <c r="F40" s="96"/>
      <c r="G40" s="96"/>
      <c r="H40" s="34" t="s">
        <v>58</v>
      </c>
      <c r="I40" s="35" t="str">
        <f>'Necesidades Trimestrales'!F38</f>
        <v>UNIDAD</v>
      </c>
      <c r="J40" s="36">
        <f>'Necesidades Trimestrales'!H38</f>
        <v>70.900000000000006</v>
      </c>
      <c r="K40" s="37">
        <f>'Necesidades Trimestrales'!G38</f>
        <v>150</v>
      </c>
    </row>
    <row r="41" spans="1:11" ht="34.200000000000003" customHeight="1" thickBot="1">
      <c r="A41" s="8">
        <v>30</v>
      </c>
      <c r="B41" s="33" t="str">
        <f>'Necesidades Trimestrales'!B39</f>
        <v>2.9.1-2030.1</v>
      </c>
      <c r="C41" s="96" t="str">
        <f>'Necesidades Trimestrales'!E39</f>
        <v>LANAS DE ACERO; PRESENTACION: PAQUETE, CONTENIDO: MADEJA</v>
      </c>
      <c r="D41" s="96"/>
      <c r="E41" s="96"/>
      <c r="F41" s="96"/>
      <c r="G41" s="96"/>
      <c r="H41" s="34" t="s">
        <v>211</v>
      </c>
      <c r="I41" s="35" t="str">
        <f>'Necesidades Trimestrales'!F39</f>
        <v>PAQUETE</v>
      </c>
      <c r="J41" s="36">
        <f>'Necesidades Trimestrales'!H39</f>
        <v>38</v>
      </c>
      <c r="K41" s="37">
        <f>'Necesidades Trimestrales'!G39</f>
        <v>200</v>
      </c>
    </row>
    <row r="42" spans="1:11" ht="34.200000000000003" customHeight="1" thickBot="1">
      <c r="A42" s="8">
        <v>31</v>
      </c>
      <c r="B42" s="33" t="str">
        <f>'Necesidades Trimestrales'!B40</f>
        <v>2.3.4-786.51</v>
      </c>
      <c r="C42" s="96" t="str">
        <f>'Necesidades Trimestrales'!E40</f>
        <v>PAPEL HIGIENICO; PRESENTACION: PAQUETE X 4 UN, TIPO: PRECORTADO, HOJA: SIMPLE, ANCHO: 10 Cm, LARGO: 30 M, MATERIAL HOJA: SIMPLE, TIPO DE HOJA: SIMPLE</v>
      </c>
      <c r="D42" s="96"/>
      <c r="E42" s="96"/>
      <c r="F42" s="96"/>
      <c r="G42" s="96"/>
      <c r="H42" s="34" t="s">
        <v>58</v>
      </c>
      <c r="I42" s="35" t="str">
        <f>'Necesidades Trimestrales'!F40</f>
        <v>PACK</v>
      </c>
      <c r="J42" s="36">
        <f>'Necesidades Trimestrales'!H40</f>
        <v>82.5</v>
      </c>
      <c r="K42" s="37">
        <f>'Necesidades Trimestrales'!G40</f>
        <v>200</v>
      </c>
    </row>
    <row r="43" spans="1:11" ht="34.200000000000003" customHeight="1" thickBot="1">
      <c r="A43" s="8">
        <v>32</v>
      </c>
      <c r="B43" s="33" t="str">
        <f>'Necesidades Trimestrales'!B41</f>
        <v>2.9.1-646.18</v>
      </c>
      <c r="C43" s="96" t="str">
        <f>'Necesidades Trimestrales'!E41</f>
        <v>BOLSAS DE RESIDUOS; COLOR: OBSCURO, ESPESOR: 40 Mn, DIMENSION: 45 X 60 Cm, PRESENTACION: SIN VALOR</v>
      </c>
      <c r="D43" s="96"/>
      <c r="E43" s="96"/>
      <c r="F43" s="96"/>
      <c r="G43" s="96"/>
      <c r="H43" s="34" t="s">
        <v>211</v>
      </c>
      <c r="I43" s="35" t="str">
        <f>'Necesidades Trimestrales'!F41</f>
        <v>UNIDAD</v>
      </c>
      <c r="J43" s="36">
        <f>'Necesidades Trimestrales'!H41</f>
        <v>3.6</v>
      </c>
      <c r="K43" s="37">
        <f>'Necesidades Trimestrales'!G41</f>
        <v>18000</v>
      </c>
    </row>
    <row r="44" spans="1:11" ht="34.200000000000003" customHeight="1" thickBot="1">
      <c r="A44" s="8">
        <v>33</v>
      </c>
      <c r="B44" s="33" t="str">
        <f>'Necesidades Trimestrales'!B42</f>
        <v>2.9.1-646.104</v>
      </c>
      <c r="C44" s="96" t="str">
        <f>'Necesidades Trimestrales'!E42</f>
        <v>BOLSAS DE RESIDUOS; DIMENSION: 60 X 90 Cm, PRESENTACION: ENVASE X 100 UN, ESPESOR: 50 Mn</v>
      </c>
      <c r="D44" s="96"/>
      <c r="E44" s="96"/>
      <c r="F44" s="96"/>
      <c r="G44" s="96"/>
      <c r="H44" s="34" t="s">
        <v>211</v>
      </c>
      <c r="I44" s="35" t="str">
        <f>'Necesidades Trimestrales'!F42</f>
        <v>PAQUETE</v>
      </c>
      <c r="J44" s="36">
        <f>'Necesidades Trimestrales'!H42</f>
        <v>750</v>
      </c>
      <c r="K44" s="37">
        <f>'Necesidades Trimestrales'!G42</f>
        <v>170</v>
      </c>
    </row>
    <row r="45" spans="1:11" ht="34.200000000000003" customHeight="1" thickBot="1">
      <c r="A45" s="8">
        <v>34</v>
      </c>
      <c r="B45" s="33" t="str">
        <f>'Necesidades Trimestrales'!B43</f>
        <v>2.9.1-646.104</v>
      </c>
      <c r="C45" s="96" t="str">
        <f>'Necesidades Trimestrales'!E43</f>
        <v>BOLSAS DE RESIDUOS; DIMENSION: 60 X 90 Cm, PRESENTACION: ENVASE X 100 UN, ESPESOR: 50 Mn</v>
      </c>
      <c r="D45" s="96"/>
      <c r="E45" s="96"/>
      <c r="F45" s="96"/>
      <c r="G45" s="96"/>
      <c r="H45" s="34" t="s">
        <v>211</v>
      </c>
      <c r="I45" s="35" t="str">
        <f>'Necesidades Trimestrales'!F43</f>
        <v>PAQUETE</v>
      </c>
      <c r="J45" s="36">
        <f>'Necesidades Trimestrales'!H43</f>
        <v>750</v>
      </c>
      <c r="K45" s="37">
        <f>'Necesidades Trimestrales'!G43</f>
        <v>50</v>
      </c>
    </row>
    <row r="46" spans="1:11" ht="34.200000000000003" customHeight="1" thickBot="1">
      <c r="A46" s="8">
        <v>35</v>
      </c>
      <c r="B46" s="33" t="str">
        <f>'Necesidades Trimestrales'!B44</f>
        <v>2.9.1-646.21</v>
      </c>
      <c r="C46" s="96" t="str">
        <f>'Necesidades Trimestrales'!E44</f>
        <v>BOLSAS DE RESIDUOS; ESPESOR: 60 Mn, COLOR: TRANSPARENTE, DIMENSION: 45 X 60 Cm, PRESENTACION: SIN VALOR</v>
      </c>
      <c r="D46" s="96"/>
      <c r="E46" s="96"/>
      <c r="F46" s="96"/>
      <c r="G46" s="96"/>
      <c r="H46" s="34" t="s">
        <v>211</v>
      </c>
      <c r="I46" s="35" t="str">
        <f>'Necesidades Trimestrales'!F44</f>
        <v>UNIDAD</v>
      </c>
      <c r="J46" s="36">
        <f>'Necesidades Trimestrales'!H44</f>
        <v>13</v>
      </c>
      <c r="K46" s="37">
        <f>'Necesidades Trimestrales'!G44</f>
        <v>5000</v>
      </c>
    </row>
    <row r="47" spans="1:11" ht="34.200000000000003" customHeight="1" thickBot="1">
      <c r="A47" s="8">
        <v>36</v>
      </c>
      <c r="B47" s="33" t="str">
        <f>'Necesidades Trimestrales'!B45</f>
        <v>2.5.8-5590.41</v>
      </c>
      <c r="C47" s="96" t="str">
        <f>'Necesidades Trimestrales'!E45</f>
        <v>FILMS DE POLIETILENO; ESPESOR: 100 Mn, ANCHO: 2 M, PRESENTACION: ROLLO X 100 M, USO: ALIMENTARIO</v>
      </c>
      <c r="D47" s="96"/>
      <c r="E47" s="96"/>
      <c r="F47" s="96"/>
      <c r="G47" s="96"/>
      <c r="H47" s="34" t="s">
        <v>211</v>
      </c>
      <c r="I47" s="35" t="str">
        <f>'Necesidades Trimestrales'!F45</f>
        <v>ROLLO</v>
      </c>
      <c r="J47" s="36">
        <f>'Necesidades Trimestrales'!H45</f>
        <v>11586</v>
      </c>
      <c r="K47" s="37">
        <f>'Necesidades Trimestrales'!G45</f>
        <v>3</v>
      </c>
    </row>
    <row r="48" spans="1:11" ht="34.200000000000003" customHeight="1" thickBot="1">
      <c r="A48" s="8">
        <v>37</v>
      </c>
      <c r="B48" s="33" t="str">
        <f>'Necesidades Trimestrales'!B46</f>
        <v>2.5.8-5590.3</v>
      </c>
      <c r="C48" s="96" t="str">
        <f>'Necesidades Trimestrales'!E46</f>
        <v>FILMS DE POLIETILENO; ESPESOR: 70 Mn, ANCHO: SIN VALOR, PRESENTACION: POR KILOGRAMO, USO: SIN VALOR</v>
      </c>
      <c r="D48" s="96"/>
      <c r="E48" s="96"/>
      <c r="F48" s="96"/>
      <c r="G48" s="96"/>
      <c r="H48" s="34" t="s">
        <v>211</v>
      </c>
      <c r="I48" s="35" t="str">
        <f>'Necesidades Trimestrales'!F46</f>
        <v>KG</v>
      </c>
      <c r="J48" s="36">
        <f>'Necesidades Trimestrales'!H46</f>
        <v>1300</v>
      </c>
      <c r="K48" s="37">
        <f>'Necesidades Trimestrales'!G46</f>
        <v>25</v>
      </c>
    </row>
    <row r="49" spans="1:1024" ht="34.200000000000003" customHeight="1" thickBot="1">
      <c r="A49" s="8">
        <v>38</v>
      </c>
      <c r="B49" s="33" t="str">
        <f>'Necesidades Trimestrales'!B47</f>
        <v>2.5.8-5590.3</v>
      </c>
      <c r="C49" s="96" t="str">
        <f>'Necesidades Trimestrales'!E47</f>
        <v>FILMS DE POLIETILENO; ESPESOR: 70 Mn, ANCHO: SIN VALOR, PRESENTACION: POR KILOGRAMO, USO: SIN VALOR</v>
      </c>
      <c r="D49" s="96"/>
      <c r="E49" s="96"/>
      <c r="F49" s="96"/>
      <c r="G49" s="96"/>
      <c r="H49" s="34" t="s">
        <v>211</v>
      </c>
      <c r="I49" s="35" t="str">
        <f>'Necesidades Trimestrales'!F47</f>
        <v>KG</v>
      </c>
      <c r="J49" s="36">
        <f>'Necesidades Trimestrales'!H47</f>
        <v>1300</v>
      </c>
      <c r="K49" s="37">
        <f>'Necesidades Trimestrales'!G47</f>
        <v>25</v>
      </c>
    </row>
    <row r="50" spans="1:1024" ht="34.200000000000003" customHeight="1" thickBot="1">
      <c r="A50" s="8">
        <v>39</v>
      </c>
      <c r="B50" s="33" t="str">
        <f>'Necesidades Trimestrales'!B48</f>
        <v>2.5.8-5590.3</v>
      </c>
      <c r="C50" s="96" t="str">
        <f>'Necesidades Trimestrales'!E48</f>
        <v>FILMS DE POLIETILENO; ESPESOR: 70 Mn, ANCHO: SIN VALOR, PRESENTACION: POR KILOGRAMO, USO: SIN VALOR</v>
      </c>
      <c r="D50" s="96"/>
      <c r="E50" s="96"/>
      <c r="F50" s="96"/>
      <c r="G50" s="96"/>
      <c r="H50" s="34" t="s">
        <v>211</v>
      </c>
      <c r="I50" s="35" t="str">
        <f>'Necesidades Trimestrales'!F48</f>
        <v>KG</v>
      </c>
      <c r="J50" s="36">
        <f>'Necesidades Trimestrales'!H48</f>
        <v>1300</v>
      </c>
      <c r="K50" s="37">
        <f>'Necesidades Trimestrales'!G48</f>
        <v>25</v>
      </c>
    </row>
    <row r="51" spans="1:1024" ht="34.200000000000003" customHeight="1" thickBot="1">
      <c r="A51" s="8">
        <v>40</v>
      </c>
      <c r="B51" s="33" t="str">
        <f>'Necesidades Trimestrales'!B49</f>
        <v>2.5.8-5590.3</v>
      </c>
      <c r="C51" s="96" t="str">
        <f>'Necesidades Trimestrales'!E49</f>
        <v>FILMS DE POLIETILENO; ESPESOR: 70 Mn, ANCHO: SIN VALOR, PRESENTACION: POR KILOGRAMO, USO: SIN VALOR</v>
      </c>
      <c r="D51" s="96"/>
      <c r="E51" s="96"/>
      <c r="F51" s="96"/>
      <c r="G51" s="96"/>
      <c r="H51" s="34" t="s">
        <v>211</v>
      </c>
      <c r="I51" s="35" t="str">
        <f>'Necesidades Trimestrales'!F49</f>
        <v>KG</v>
      </c>
      <c r="J51" s="36">
        <f>'Necesidades Trimestrales'!H49</f>
        <v>1300</v>
      </c>
      <c r="K51" s="37">
        <f>'Necesidades Trimestrales'!G49</f>
        <v>25</v>
      </c>
    </row>
    <row r="52" spans="1:1024" ht="34.200000000000003" customHeight="1" thickBot="1">
      <c r="A52" s="8">
        <v>41</v>
      </c>
      <c r="B52" s="33" t="str">
        <f>'Necesidades Trimestrales'!B50</f>
        <v>2.9.5-4558.7</v>
      </c>
      <c r="C52" s="96" t="str">
        <f>'Necesidades Trimestrales'!E50</f>
        <v>BOLSAS DE RESIDUOS PATOLÓGICOS; COLOR: ROJO, MEDIDA: 50 X 70 Cm, ESPESOR: 120 Mn, TIPO: PARA INCINERACIÓN</v>
      </c>
      <c r="D52" s="96"/>
      <c r="E52" s="96"/>
      <c r="F52" s="96"/>
      <c r="G52" s="96"/>
      <c r="H52" s="34" t="s">
        <v>58</v>
      </c>
      <c r="I52" s="35" t="str">
        <f>'Necesidades Trimestrales'!F50</f>
        <v>UNIDAD</v>
      </c>
      <c r="J52" s="36">
        <f>'Necesidades Trimestrales'!H50</f>
        <v>16.350000000000001</v>
      </c>
      <c r="K52" s="37">
        <f>'Necesidades Trimestrales'!G50</f>
        <v>6000</v>
      </c>
    </row>
    <row r="53" spans="1:1024" ht="34.200000000000003" customHeight="1" thickBot="1">
      <c r="A53" s="8">
        <v>42</v>
      </c>
      <c r="B53" s="33" t="str">
        <f>'Necesidades Trimestrales'!B51</f>
        <v>2.9.1-6956.73</v>
      </c>
      <c r="C53" s="96" t="str">
        <f>'Necesidades Trimestrales'!E51</f>
        <v>ARTÍCULOS DE TOCADOR; TIPO: JABÓN LIQUIDO, PRESENTACIÓN: 5L</v>
      </c>
      <c r="D53" s="96"/>
      <c r="E53" s="96"/>
      <c r="F53" s="96"/>
      <c r="G53" s="96"/>
      <c r="H53" s="34" t="s">
        <v>58</v>
      </c>
      <c r="I53" s="35" t="str">
        <f>'Necesidades Trimestrales'!F51</f>
        <v>UNIDAD</v>
      </c>
      <c r="J53" s="36">
        <f>'Necesidades Trimestrales'!H51</f>
        <v>239.9</v>
      </c>
      <c r="K53" s="37">
        <f>'Necesidades Trimestrales'!G51</f>
        <v>80</v>
      </c>
    </row>
    <row r="54" spans="1:1024" ht="34.200000000000003" customHeight="1" thickBot="1">
      <c r="A54" s="8">
        <v>43</v>
      </c>
      <c r="B54" s="33" t="str">
        <f>'Necesidades Trimestrales'!B52</f>
        <v>2.3.4-783.49</v>
      </c>
      <c r="C54" s="96" t="str">
        <f>'Necesidades Trimestrales'!E52</f>
        <v>TOALLAS DE PAPEL; MATERIAL: PAPEL TISUE, GRAMAJE: 42 GR/M2, DIMENSION: 0,19 X 300 M, PRESENTACION: ROLLO</v>
      </c>
      <c r="D54" s="96"/>
      <c r="E54" s="96"/>
      <c r="F54" s="96"/>
      <c r="G54" s="96"/>
      <c r="H54" s="34" t="s">
        <v>58</v>
      </c>
      <c r="I54" s="35" t="str">
        <f>'Necesidades Trimestrales'!F52</f>
        <v>UNIDAD</v>
      </c>
      <c r="J54" s="36">
        <f>'Necesidades Trimestrales'!H52</f>
        <v>1151.0999999999999</v>
      </c>
      <c r="K54" s="37">
        <f>'Necesidades Trimestrales'!G52</f>
        <v>300</v>
      </c>
    </row>
    <row r="55" spans="1:1024" ht="34.200000000000003" customHeight="1" thickBot="1">
      <c r="A55" s="8">
        <v>44</v>
      </c>
      <c r="B55" s="33" t="str">
        <f>'Necesidades Trimestrales'!B53</f>
        <v>2.3.4-783.25</v>
      </c>
      <c r="C55" s="96" t="str">
        <f>'Necesidades Trimestrales'!E53</f>
        <v>TOALLAS DE PAPEL; MATERIAL: PAPEL TISSUE, GRAMAJE: 50/55 GR/M2, DIMENSION: 22 X 36 Cm, COLOR: BLANCO, PRESENTACION: CAJA X 10 PAQ. 250 USOS</v>
      </c>
      <c r="D55" s="96"/>
      <c r="E55" s="96"/>
      <c r="F55" s="96"/>
      <c r="G55" s="96"/>
      <c r="H55" s="34" t="s">
        <v>211</v>
      </c>
      <c r="I55" s="35" t="str">
        <f>'Necesidades Trimestrales'!F53</f>
        <v>CAJA</v>
      </c>
      <c r="J55" s="36">
        <f>'Necesidades Trimestrales'!H53</f>
        <v>1796.35</v>
      </c>
      <c r="K55" s="37">
        <f>'Necesidades Trimestrales'!G53</f>
        <v>300</v>
      </c>
    </row>
    <row r="56" spans="1:1024" ht="20.25" customHeight="1" thickBot="1">
      <c r="A56" s="94" t="s">
        <v>215</v>
      </c>
      <c r="B56" s="94"/>
      <c r="C56" s="94"/>
      <c r="D56" s="94"/>
      <c r="E56" s="94"/>
      <c r="F56" s="94"/>
      <c r="G56" s="94"/>
      <c r="H56" s="94"/>
      <c r="I56" s="94"/>
      <c r="J56" s="95">
        <f>SUMPRODUCT(J12:J55,K12:K55)</f>
        <v>2117772.25</v>
      </c>
      <c r="K56" s="95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/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/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/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/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  <c r="MK56"/>
      <c r="ML56"/>
      <c r="MM56"/>
      <c r="MN56"/>
      <c r="MO56"/>
      <c r="MP56"/>
      <c r="MQ56"/>
      <c r="MR56"/>
      <c r="MS56"/>
      <c r="MT56"/>
      <c r="MU56"/>
      <c r="MV56"/>
      <c r="MW56"/>
      <c r="MX56"/>
      <c r="MY56"/>
      <c r="MZ56"/>
      <c r="NA56"/>
      <c r="NB56"/>
      <c r="NC56"/>
      <c r="ND56"/>
      <c r="NE56"/>
      <c r="NF56"/>
      <c r="NG56"/>
      <c r="NH56"/>
      <c r="NI56"/>
      <c r="NJ56"/>
      <c r="NK56"/>
      <c r="NL56"/>
      <c r="NM56"/>
      <c r="NN56"/>
      <c r="NO56"/>
      <c r="NP56"/>
      <c r="NQ56"/>
      <c r="NR56"/>
      <c r="NS56"/>
      <c r="NT56"/>
      <c r="NU56"/>
      <c r="NV56"/>
      <c r="NW56"/>
      <c r="NX56"/>
      <c r="NY56"/>
      <c r="NZ56"/>
      <c r="OA56"/>
      <c r="OB56"/>
      <c r="OC56"/>
      <c r="OD56"/>
      <c r="OE56"/>
      <c r="OF56"/>
      <c r="OG56"/>
      <c r="OH56"/>
      <c r="OI56"/>
      <c r="OJ56"/>
      <c r="OK56"/>
      <c r="OL56"/>
      <c r="OM56"/>
      <c r="ON56"/>
      <c r="OO56"/>
      <c r="OP56"/>
      <c r="OQ56"/>
      <c r="OR56"/>
      <c r="OS56"/>
      <c r="OT56"/>
      <c r="OU56"/>
      <c r="OV56"/>
      <c r="OW56"/>
      <c r="OX56"/>
      <c r="OY56"/>
      <c r="OZ56"/>
      <c r="PA56"/>
      <c r="PB56"/>
      <c r="PC56"/>
      <c r="PD56"/>
      <c r="PE56"/>
      <c r="PF56"/>
      <c r="PG56"/>
      <c r="PH56"/>
      <c r="PI56"/>
      <c r="PJ56"/>
      <c r="PK56"/>
      <c r="PL56"/>
      <c r="PM56"/>
      <c r="PN56"/>
      <c r="PO56"/>
      <c r="PP56"/>
      <c r="PQ56"/>
      <c r="PR56"/>
      <c r="PS56"/>
      <c r="PT56"/>
      <c r="PU56"/>
      <c r="PV56"/>
      <c r="PW56"/>
      <c r="PX56"/>
      <c r="PY56"/>
      <c r="PZ56"/>
      <c r="QA56"/>
      <c r="QB56"/>
      <c r="QC56"/>
      <c r="QD56"/>
      <c r="QE56"/>
      <c r="QF56"/>
      <c r="QG56"/>
      <c r="QH56"/>
      <c r="QI56"/>
      <c r="QJ56"/>
      <c r="QK56"/>
      <c r="QL56"/>
      <c r="QM56"/>
      <c r="QN56"/>
      <c r="QO56"/>
      <c r="QP56"/>
      <c r="QQ56"/>
      <c r="QR56"/>
      <c r="QS56"/>
      <c r="QT56"/>
      <c r="QU56"/>
      <c r="QV56"/>
      <c r="QW56"/>
      <c r="QX56"/>
      <c r="QY56"/>
      <c r="QZ56"/>
      <c r="RA56"/>
      <c r="RB56"/>
      <c r="RC56"/>
      <c r="RD56"/>
      <c r="RE56"/>
      <c r="RF56"/>
      <c r="RG56"/>
      <c r="RH56"/>
      <c r="RI56"/>
      <c r="RJ56"/>
      <c r="RK56"/>
      <c r="RL56"/>
      <c r="RM56"/>
      <c r="RN56"/>
      <c r="RO56"/>
      <c r="RP56"/>
      <c r="RQ56"/>
      <c r="RR56"/>
      <c r="RS56"/>
      <c r="RT56"/>
      <c r="RU56"/>
      <c r="RV56"/>
      <c r="RW56"/>
      <c r="RX56"/>
      <c r="RY56"/>
      <c r="RZ56"/>
      <c r="SA56"/>
      <c r="SB56"/>
      <c r="SC56"/>
      <c r="SD56"/>
      <c r="SE56"/>
      <c r="SF56"/>
      <c r="SG56"/>
      <c r="SH56"/>
      <c r="SI56"/>
      <c r="SJ56"/>
      <c r="SK56"/>
      <c r="SL56"/>
      <c r="SM56"/>
      <c r="SN56"/>
      <c r="SO56"/>
      <c r="SP56"/>
      <c r="SQ56"/>
      <c r="SR56"/>
      <c r="SS56"/>
      <c r="ST56"/>
      <c r="SU56"/>
      <c r="SV56"/>
      <c r="SW56"/>
      <c r="SX56"/>
      <c r="SY56"/>
      <c r="SZ56"/>
      <c r="TA56"/>
      <c r="TB56"/>
      <c r="TC56"/>
      <c r="TD56"/>
      <c r="TE56"/>
      <c r="TF56"/>
      <c r="TG56"/>
      <c r="TH56"/>
      <c r="TI56"/>
      <c r="TJ56"/>
      <c r="TK56"/>
      <c r="TL56"/>
      <c r="TM56"/>
      <c r="TN56"/>
      <c r="TO56"/>
      <c r="TP56"/>
      <c r="TQ56"/>
      <c r="TR56"/>
      <c r="TS56"/>
      <c r="TT56"/>
      <c r="TU56"/>
      <c r="TV56"/>
      <c r="TW56"/>
      <c r="TX56"/>
      <c r="TY56"/>
      <c r="TZ56"/>
      <c r="UA56"/>
      <c r="UB56"/>
      <c r="UC56"/>
      <c r="UD56"/>
      <c r="UE56"/>
      <c r="UF56"/>
      <c r="UG56"/>
      <c r="UH56"/>
      <c r="UI56"/>
      <c r="UJ56"/>
      <c r="UK56"/>
      <c r="UL56"/>
      <c r="UM56"/>
      <c r="UN56"/>
      <c r="UO56"/>
      <c r="UP56"/>
      <c r="UQ56"/>
      <c r="UR56"/>
      <c r="US56"/>
      <c r="UT56"/>
      <c r="UU56"/>
      <c r="UV56"/>
      <c r="UW56"/>
      <c r="UX56"/>
      <c r="UY56"/>
      <c r="UZ56"/>
      <c r="VA56"/>
      <c r="VB56"/>
      <c r="VC56"/>
      <c r="VD56"/>
      <c r="VE56"/>
      <c r="VF56"/>
      <c r="VG56"/>
      <c r="VH56"/>
      <c r="VI56"/>
      <c r="VJ56"/>
      <c r="VK56"/>
      <c r="VL56"/>
      <c r="VM56"/>
      <c r="VN56"/>
      <c r="VO56"/>
      <c r="VP56"/>
      <c r="VQ56"/>
      <c r="VR56"/>
      <c r="VS56"/>
      <c r="VT56"/>
      <c r="VU56"/>
      <c r="VV56"/>
      <c r="VW56"/>
      <c r="VX56"/>
      <c r="VY56"/>
      <c r="VZ56"/>
      <c r="WA56"/>
      <c r="WB56"/>
      <c r="WC56"/>
      <c r="WD56"/>
      <c r="WE56"/>
      <c r="WF56"/>
      <c r="WG56"/>
      <c r="WH56"/>
      <c r="WI56"/>
      <c r="WJ56"/>
      <c r="WK56"/>
      <c r="WL56"/>
      <c r="WM56"/>
      <c r="WN56"/>
      <c r="WO56"/>
      <c r="WP56"/>
      <c r="WQ56"/>
      <c r="WR56"/>
      <c r="WS56"/>
      <c r="WT56"/>
      <c r="WU56"/>
      <c r="WV56"/>
      <c r="WW56"/>
      <c r="WX56"/>
      <c r="WY56"/>
      <c r="WZ56"/>
      <c r="XA56"/>
      <c r="XB56"/>
      <c r="XC56"/>
      <c r="XD56"/>
      <c r="XE56"/>
      <c r="XF56"/>
      <c r="XG56"/>
      <c r="XH56"/>
      <c r="XI56"/>
      <c r="XJ56"/>
      <c r="XK56"/>
      <c r="XL56"/>
      <c r="XM56"/>
      <c r="XN56"/>
      <c r="XO56"/>
      <c r="XP56"/>
      <c r="XQ56"/>
      <c r="XR56"/>
      <c r="XS56"/>
      <c r="XT56"/>
      <c r="XU56"/>
      <c r="XV56"/>
      <c r="XW56"/>
      <c r="XX56"/>
      <c r="XY56"/>
      <c r="XZ56"/>
      <c r="YA56"/>
      <c r="YB56"/>
      <c r="YC56"/>
      <c r="YD56"/>
      <c r="YE56"/>
      <c r="YF56"/>
      <c r="YG56"/>
      <c r="YH56"/>
      <c r="YI56"/>
      <c r="YJ56"/>
      <c r="YK56"/>
      <c r="YL56"/>
      <c r="YM56"/>
      <c r="YN56"/>
      <c r="YO56"/>
      <c r="YP56"/>
      <c r="YQ56"/>
      <c r="YR56"/>
      <c r="YS56"/>
      <c r="YT56"/>
      <c r="YU56"/>
      <c r="YV56"/>
      <c r="YW56"/>
      <c r="YX56"/>
      <c r="YY56"/>
      <c r="YZ56"/>
      <c r="ZA56"/>
      <c r="ZB56"/>
      <c r="ZC56"/>
      <c r="ZD56"/>
      <c r="ZE56"/>
      <c r="ZF56"/>
      <c r="ZG56"/>
      <c r="ZH56"/>
      <c r="ZI56"/>
      <c r="ZJ56"/>
      <c r="ZK56"/>
      <c r="ZL56"/>
      <c r="ZM56"/>
      <c r="ZN56"/>
      <c r="ZO56"/>
      <c r="ZP56"/>
      <c r="ZQ56"/>
      <c r="ZR56"/>
      <c r="ZS56"/>
      <c r="ZT56"/>
      <c r="ZU56"/>
      <c r="ZV56"/>
      <c r="ZW56"/>
      <c r="ZX56"/>
      <c r="ZY56"/>
      <c r="ZZ56"/>
      <c r="AAA56"/>
      <c r="AAB56"/>
      <c r="AAC56"/>
      <c r="AAD56"/>
      <c r="AAE56"/>
      <c r="AAF56"/>
      <c r="AAG56"/>
      <c r="AAH56"/>
      <c r="AAI56"/>
      <c r="AAJ56"/>
      <c r="AAK56"/>
      <c r="AAL56"/>
      <c r="AAM56"/>
      <c r="AAN56"/>
      <c r="AAO56"/>
      <c r="AAP56"/>
      <c r="AAQ56"/>
      <c r="AAR56"/>
      <c r="AAS56"/>
      <c r="AAT56"/>
      <c r="AAU56"/>
      <c r="AAV56"/>
      <c r="AAW56"/>
      <c r="AAX56"/>
      <c r="AAY56"/>
      <c r="AAZ56"/>
      <c r="ABA56"/>
      <c r="ABB56"/>
      <c r="ABC56"/>
      <c r="ABD56"/>
      <c r="ABE56"/>
      <c r="ABF56"/>
      <c r="ABG56"/>
      <c r="ABH56"/>
      <c r="ABI56"/>
      <c r="ABJ56"/>
      <c r="ABK56"/>
      <c r="ABL56"/>
      <c r="ABM56"/>
      <c r="ABN56"/>
      <c r="ABO56"/>
      <c r="ABP56"/>
      <c r="ABQ56"/>
      <c r="ABR56"/>
      <c r="ABS56"/>
      <c r="ABT56"/>
      <c r="ABU56"/>
      <c r="ABV56"/>
      <c r="ABW56"/>
      <c r="ABX56"/>
      <c r="ABY56"/>
      <c r="ABZ56"/>
      <c r="ACA56"/>
      <c r="ACB56"/>
      <c r="ACC56"/>
      <c r="ACD56"/>
      <c r="ACE56"/>
      <c r="ACF56"/>
      <c r="ACG56"/>
      <c r="ACH56"/>
      <c r="ACI56"/>
      <c r="ACJ56"/>
      <c r="ACK56"/>
      <c r="ACL56"/>
      <c r="ACM56"/>
      <c r="ACN56"/>
      <c r="ACO56"/>
      <c r="ACP56"/>
      <c r="ACQ56"/>
      <c r="ACR56"/>
      <c r="ACS56"/>
      <c r="ACT56"/>
      <c r="ACU56"/>
      <c r="ACV56"/>
      <c r="ACW56"/>
      <c r="ACX56"/>
      <c r="ACY56"/>
      <c r="ACZ56"/>
      <c r="ADA56"/>
      <c r="ADB56"/>
      <c r="ADC56"/>
      <c r="ADD56"/>
      <c r="ADE56"/>
      <c r="ADF56"/>
      <c r="ADG56"/>
      <c r="ADH56"/>
      <c r="ADI56"/>
      <c r="ADJ56"/>
      <c r="ADK56"/>
      <c r="ADL56"/>
      <c r="ADM56"/>
      <c r="ADN56"/>
      <c r="ADO56"/>
      <c r="ADP56"/>
      <c r="ADQ56"/>
      <c r="ADR56"/>
      <c r="ADS56"/>
      <c r="ADT56"/>
      <c r="ADU56"/>
      <c r="ADV56"/>
      <c r="ADW56"/>
      <c r="ADX56"/>
      <c r="ADY56"/>
      <c r="ADZ56"/>
      <c r="AEA56"/>
      <c r="AEB56"/>
      <c r="AEC56"/>
      <c r="AED56"/>
      <c r="AEE56"/>
      <c r="AEF56"/>
      <c r="AEG56"/>
      <c r="AEH56"/>
      <c r="AEI56"/>
      <c r="AEJ56"/>
      <c r="AEK56"/>
      <c r="AEL56"/>
      <c r="AEM56"/>
      <c r="AEN56"/>
      <c r="AEO56"/>
      <c r="AEP56"/>
      <c r="AEQ56"/>
      <c r="AER56"/>
      <c r="AES56"/>
      <c r="AET56"/>
      <c r="AEU56"/>
      <c r="AEV56"/>
      <c r="AEW56"/>
      <c r="AEX56"/>
      <c r="AEY56"/>
      <c r="AEZ56"/>
      <c r="AFA56"/>
      <c r="AFB56"/>
      <c r="AFC56"/>
      <c r="AFD56"/>
      <c r="AFE56"/>
      <c r="AFF56"/>
      <c r="AFG56"/>
      <c r="AFH56"/>
      <c r="AFI56"/>
      <c r="AFJ56"/>
      <c r="AFK56"/>
      <c r="AFL56"/>
      <c r="AFM56"/>
      <c r="AFN56"/>
      <c r="AFO56"/>
      <c r="AFP56"/>
      <c r="AFQ56"/>
      <c r="AFR56"/>
      <c r="AFS56"/>
      <c r="AFT56"/>
      <c r="AFU56"/>
      <c r="AFV56"/>
      <c r="AFW56"/>
      <c r="AFX56"/>
      <c r="AFY56"/>
      <c r="AFZ56"/>
      <c r="AGA56"/>
      <c r="AGB56"/>
      <c r="AGC56"/>
      <c r="AGD56"/>
      <c r="AGE56"/>
      <c r="AGF56"/>
      <c r="AGG56"/>
      <c r="AGH56"/>
      <c r="AGI56"/>
      <c r="AGJ56"/>
      <c r="AGK56"/>
      <c r="AGL56"/>
      <c r="AGM56"/>
      <c r="AGN56"/>
      <c r="AGO56"/>
      <c r="AGP56"/>
      <c r="AGQ56"/>
      <c r="AGR56"/>
      <c r="AGS56"/>
      <c r="AGT56"/>
      <c r="AGU56"/>
      <c r="AGV56"/>
      <c r="AGW56"/>
      <c r="AGX56"/>
      <c r="AGY56"/>
      <c r="AGZ56"/>
      <c r="AHA56"/>
      <c r="AHB56"/>
      <c r="AHC56"/>
      <c r="AHD56"/>
      <c r="AHE56"/>
      <c r="AHF56"/>
      <c r="AHG56"/>
      <c r="AHH56"/>
      <c r="AHI56"/>
      <c r="AHJ56"/>
      <c r="AHK56"/>
      <c r="AHL56"/>
      <c r="AHM56"/>
      <c r="AHN56"/>
      <c r="AHO56"/>
      <c r="AHP56"/>
      <c r="AHQ56"/>
      <c r="AHR56"/>
      <c r="AHS56"/>
      <c r="AHT56"/>
      <c r="AHU56"/>
      <c r="AHV56"/>
      <c r="AHW56"/>
      <c r="AHX56"/>
      <c r="AHY56"/>
      <c r="AHZ56"/>
      <c r="AIA56"/>
      <c r="AIB56"/>
      <c r="AIC56"/>
      <c r="AID56"/>
      <c r="AIE56"/>
      <c r="AIF56"/>
      <c r="AIG56"/>
      <c r="AIH56"/>
      <c r="AII56"/>
      <c r="AIJ56"/>
      <c r="AIK56"/>
      <c r="AIL56"/>
      <c r="AIM56"/>
      <c r="AIN56"/>
      <c r="AIO56"/>
      <c r="AIP56"/>
      <c r="AIQ56"/>
      <c r="AIR56"/>
      <c r="AIS56"/>
      <c r="AIT56"/>
      <c r="AIU56"/>
      <c r="AIV56"/>
      <c r="AIW56"/>
      <c r="AIX56"/>
      <c r="AIY56"/>
      <c r="AIZ56"/>
      <c r="AJA56"/>
      <c r="AJB56"/>
      <c r="AJC56"/>
      <c r="AJD56"/>
      <c r="AJE56"/>
      <c r="AJF56"/>
      <c r="AJG56"/>
      <c r="AJH56"/>
      <c r="AJI56"/>
      <c r="AJJ56"/>
      <c r="AJK56"/>
      <c r="AJL56"/>
      <c r="AJM56"/>
      <c r="AJN56"/>
      <c r="AJO56"/>
      <c r="AJP56"/>
      <c r="AJQ56"/>
      <c r="AJR56"/>
      <c r="AJS56"/>
      <c r="AJT56"/>
      <c r="AJU56"/>
      <c r="AJV56"/>
      <c r="AJW56"/>
      <c r="AJX56"/>
      <c r="AJY56"/>
      <c r="AJZ56"/>
      <c r="AKA56"/>
      <c r="AKB56"/>
      <c r="AKC56"/>
      <c r="AKD56"/>
      <c r="AKE56"/>
      <c r="AKF56"/>
      <c r="AKG56"/>
      <c r="AKH56"/>
      <c r="AKI56"/>
      <c r="AKJ56"/>
      <c r="AKK56"/>
      <c r="AKL56"/>
      <c r="AKM56"/>
      <c r="AKN56"/>
      <c r="AKO56"/>
      <c r="AKP56"/>
      <c r="AKQ56"/>
      <c r="AKR56"/>
      <c r="AKS56"/>
      <c r="AKT56"/>
      <c r="AKU56"/>
      <c r="AKV56"/>
      <c r="AKW56"/>
      <c r="AKX56"/>
      <c r="AKY56"/>
      <c r="AKZ56"/>
      <c r="ALA56"/>
      <c r="ALB56"/>
      <c r="ALC56"/>
      <c r="ALD56"/>
      <c r="ALE56"/>
      <c r="ALF56"/>
      <c r="ALG56"/>
      <c r="ALH56"/>
      <c r="ALI56"/>
      <c r="ALJ56"/>
      <c r="ALK56"/>
      <c r="ALL56"/>
      <c r="ALM56"/>
      <c r="ALN56"/>
      <c r="ALO56"/>
      <c r="ALP56"/>
      <c r="ALQ56"/>
      <c r="ALR56"/>
      <c r="ALS56"/>
      <c r="ALT56"/>
      <c r="ALU56"/>
      <c r="ALV56"/>
      <c r="ALW56"/>
      <c r="ALX56"/>
      <c r="ALY56"/>
      <c r="ALZ56"/>
      <c r="AMA56"/>
      <c r="AMB56"/>
      <c r="AMC56"/>
      <c r="AMD56"/>
      <c r="AME56"/>
      <c r="AMF56"/>
      <c r="AMG56"/>
      <c r="AMH56"/>
      <c r="AMI56"/>
      <c r="AMJ56"/>
    </row>
  </sheetData>
  <mergeCells count="66">
    <mergeCell ref="C51:G51"/>
    <mergeCell ref="C52:G52"/>
    <mergeCell ref="C53:G53"/>
    <mergeCell ref="C54:G54"/>
    <mergeCell ref="C55:G55"/>
    <mergeCell ref="C46:G46"/>
    <mergeCell ref="C47:G47"/>
    <mergeCell ref="C48:G48"/>
    <mergeCell ref="C49:G49"/>
    <mergeCell ref="C50:G50"/>
    <mergeCell ref="C41:G41"/>
    <mergeCell ref="C42:G42"/>
    <mergeCell ref="C43:G43"/>
    <mergeCell ref="C44:G44"/>
    <mergeCell ref="C45:G45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A56:I56"/>
    <mergeCell ref="J56:K5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6" bottom="0.98425196850393704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8"/>
  <sheetViews>
    <sheetView tabSelected="1" zoomScale="130" zoomScaleNormal="130" workbookViewId="0">
      <selection activeCell="A8" sqref="A8:Q8"/>
    </sheetView>
  </sheetViews>
  <sheetFormatPr baseColWidth="10" defaultColWidth="11" defaultRowHeight="13.2"/>
  <cols>
    <col min="1" max="4" width="4.44140625" customWidth="1"/>
    <col min="5" max="5" width="4.109375" customWidth="1"/>
    <col min="6" max="6" width="5.109375" customWidth="1"/>
    <col min="7" max="7" width="4.44140625" style="9" customWidth="1"/>
    <col min="8" max="14" width="4.44140625" customWidth="1"/>
    <col min="15" max="16" width="14.88671875" customWidth="1"/>
    <col min="17" max="17" width="14.6640625" customWidth="1"/>
    <col min="19" max="19" width="13.33203125" bestFit="1" customWidth="1"/>
  </cols>
  <sheetData>
    <row r="1" spans="1:17" ht="15.75" customHeight="1">
      <c r="A1" s="97" t="s">
        <v>3</v>
      </c>
      <c r="B1" s="97"/>
      <c r="C1" s="97"/>
      <c r="D1" s="98">
        <f>'Necesidades Trimestrales'!C6</f>
        <v>2022</v>
      </c>
      <c r="E1" s="98"/>
      <c r="F1" s="10"/>
      <c r="G1" s="10"/>
      <c r="H1" s="11"/>
      <c r="I1" s="11"/>
      <c r="J1" s="11"/>
      <c r="K1" s="11"/>
      <c r="L1" s="11"/>
      <c r="M1" s="11"/>
      <c r="N1" s="11"/>
      <c r="P1" s="99" t="s">
        <v>32</v>
      </c>
      <c r="Q1" s="99"/>
    </row>
    <row r="2" spans="1:17" ht="15.75" customHeight="1">
      <c r="H2" s="11"/>
      <c r="I2" s="11"/>
      <c r="J2" s="11"/>
      <c r="K2" s="11"/>
      <c r="L2" s="11"/>
      <c r="M2" s="11"/>
      <c r="N2" s="11"/>
      <c r="P2" s="99"/>
      <c r="Q2" s="99"/>
    </row>
    <row r="4" spans="1:17" s="12" customFormat="1" ht="18" customHeight="1" thickBot="1">
      <c r="A4" s="100" t="s">
        <v>33</v>
      </c>
      <c r="B4" s="100"/>
      <c r="C4" s="100"/>
      <c r="D4" s="100"/>
      <c r="E4" s="100"/>
      <c r="F4" s="100"/>
      <c r="G4" s="101" t="str">
        <f>NotaPedido!D3</f>
        <v>40 - Ministerio de Salud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s="12" customFormat="1" ht="18" customHeight="1" thickBot="1">
      <c r="A5" s="102" t="s">
        <v>56</v>
      </c>
      <c r="B5" s="103"/>
      <c r="C5" s="103"/>
      <c r="D5" s="103"/>
      <c r="E5" s="103"/>
      <c r="F5" s="104"/>
      <c r="G5" s="101" t="str">
        <f>NotaPedido!D4</f>
        <v>23 - Hospital Interzonal San Juan Bautista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s="12" customFormat="1" ht="18" customHeight="1" thickBot="1">
      <c r="A6" s="102" t="s">
        <v>34</v>
      </c>
      <c r="B6" s="103"/>
      <c r="C6" s="103"/>
      <c r="D6" s="103"/>
      <c r="E6" s="103"/>
      <c r="F6" s="104"/>
      <c r="G6" s="101" t="str">
        <f>NotaPedido!D5</f>
        <v>237 - Direccion de Mantenimiento</v>
      </c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7" s="12" customFormat="1" ht="18" customHeight="1" thickBot="1">
      <c r="A7" s="102" t="s">
        <v>57</v>
      </c>
      <c r="B7" s="103"/>
      <c r="C7" s="103"/>
      <c r="D7" s="103"/>
      <c r="E7" s="103"/>
      <c r="F7" s="104"/>
      <c r="G7" s="101" t="str">
        <f>NotaPedido!D6</f>
        <v>Deposito Central</v>
      </c>
      <c r="H7" s="101"/>
      <c r="I7" s="101"/>
      <c r="J7" s="101"/>
      <c r="K7" s="101"/>
      <c r="L7" s="101"/>
      <c r="M7" s="101"/>
      <c r="N7" s="101"/>
      <c r="O7" s="101"/>
      <c r="P7" s="101"/>
      <c r="Q7" s="101"/>
    </row>
    <row r="8" spans="1:17" ht="18" customHeight="1" thickBot="1">
      <c r="A8" s="105" t="s">
        <v>35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</row>
    <row r="9" spans="1:17" ht="18" customHeight="1">
      <c r="A9" s="106" t="s">
        <v>36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"/>
      <c r="P9" s="1"/>
      <c r="Q9" s="13"/>
    </row>
    <row r="10" spans="1:17" ht="54.75" customHeight="1">
      <c r="A10" s="107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004 - 2022,  afectando la erogación resultante a los créditos presupuestarios aprobados a favor de esta Unidad Ejecutora, conforme al siguiente detalle: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</row>
    <row r="11" spans="1:17" ht="9" customHeight="1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>
      <c r="A12" s="108" t="s">
        <v>37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</row>
    <row r="13" spans="1:17" ht="15.75" customHeight="1">
      <c r="A13" s="109" t="s">
        <v>38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10" t="s">
        <v>39</v>
      </c>
      <c r="P13" s="110"/>
      <c r="Q13" s="109" t="s">
        <v>40</v>
      </c>
    </row>
    <row r="14" spans="1:17" ht="15.75" customHeight="1">
      <c r="A14" s="64" t="s">
        <v>41</v>
      </c>
      <c r="B14" s="64" t="s">
        <v>42</v>
      </c>
      <c r="C14" s="64" t="s">
        <v>43</v>
      </c>
      <c r="D14" s="64" t="s">
        <v>44</v>
      </c>
      <c r="E14" s="64" t="s">
        <v>45</v>
      </c>
      <c r="F14" s="64" t="s">
        <v>46</v>
      </c>
      <c r="G14" s="65" t="s">
        <v>47</v>
      </c>
      <c r="H14" s="64" t="s">
        <v>48</v>
      </c>
      <c r="I14" s="64" t="s">
        <v>49</v>
      </c>
      <c r="J14" s="64" t="s">
        <v>50</v>
      </c>
      <c r="K14" s="64" t="s">
        <v>50</v>
      </c>
      <c r="L14" s="64" t="s">
        <v>51</v>
      </c>
      <c r="M14" s="64" t="s">
        <v>52</v>
      </c>
      <c r="N14" s="64" t="s">
        <v>53</v>
      </c>
      <c r="O14" s="110"/>
      <c r="P14" s="110"/>
      <c r="Q14" s="109"/>
    </row>
    <row r="15" spans="1:17" ht="17.25" customHeight="1">
      <c r="A15" s="66">
        <v>33</v>
      </c>
      <c r="B15" s="66"/>
      <c r="C15" s="66"/>
      <c r="D15" s="66">
        <v>4</v>
      </c>
      <c r="E15" s="66"/>
      <c r="F15" s="66">
        <v>4901</v>
      </c>
      <c r="G15" s="66">
        <v>3</v>
      </c>
      <c r="H15" s="67" t="s">
        <v>61</v>
      </c>
      <c r="I15" s="68">
        <v>2</v>
      </c>
      <c r="J15" s="68">
        <v>3</v>
      </c>
      <c r="K15" s="68">
        <v>4</v>
      </c>
      <c r="L15" s="66"/>
      <c r="M15" s="66">
        <v>1</v>
      </c>
      <c r="N15" s="67" t="s">
        <v>62</v>
      </c>
      <c r="O15" s="111" t="s">
        <v>225</v>
      </c>
      <c r="P15" s="111"/>
      <c r="Q15" s="69">
        <v>900735</v>
      </c>
    </row>
    <row r="16" spans="1:17" ht="17.25" customHeight="1">
      <c r="A16" s="54">
        <v>33</v>
      </c>
      <c r="B16" s="54"/>
      <c r="C16" s="54"/>
      <c r="D16" s="54">
        <v>4</v>
      </c>
      <c r="E16" s="54"/>
      <c r="F16" s="54">
        <v>4901</v>
      </c>
      <c r="G16" s="54">
        <v>3</v>
      </c>
      <c r="H16" s="55" t="s">
        <v>61</v>
      </c>
      <c r="I16" s="54">
        <v>2</v>
      </c>
      <c r="J16" s="54">
        <v>5</v>
      </c>
      <c r="K16" s="54">
        <v>4</v>
      </c>
      <c r="L16" s="54"/>
      <c r="M16" s="54">
        <v>1</v>
      </c>
      <c r="N16" s="55" t="s">
        <v>62</v>
      </c>
      <c r="O16" s="111" t="s">
        <v>226</v>
      </c>
      <c r="P16" s="111"/>
      <c r="Q16" s="69">
        <v>37250</v>
      </c>
    </row>
    <row r="17" spans="1:19" ht="17.25" customHeight="1">
      <c r="A17" s="54">
        <v>33</v>
      </c>
      <c r="B17" s="54"/>
      <c r="C17" s="54"/>
      <c r="D17" s="54">
        <v>4</v>
      </c>
      <c r="E17" s="54"/>
      <c r="F17" s="54">
        <v>4901</v>
      </c>
      <c r="G17" s="54">
        <v>3</v>
      </c>
      <c r="H17" s="55" t="s">
        <v>61</v>
      </c>
      <c r="I17" s="54">
        <v>2</v>
      </c>
      <c r="J17" s="54">
        <v>5</v>
      </c>
      <c r="K17" s="54">
        <v>8</v>
      </c>
      <c r="L17" s="54"/>
      <c r="M17" s="54">
        <v>1</v>
      </c>
      <c r="N17" s="55" t="s">
        <v>62</v>
      </c>
      <c r="O17" s="111" t="s">
        <v>227</v>
      </c>
      <c r="P17" s="111"/>
      <c r="Q17" s="69">
        <v>164758</v>
      </c>
      <c r="S17" s="38"/>
    </row>
    <row r="18" spans="1:19" ht="27" customHeight="1">
      <c r="A18" s="66">
        <v>33</v>
      </c>
      <c r="B18" s="54"/>
      <c r="C18" s="54"/>
      <c r="D18" s="66">
        <v>4</v>
      </c>
      <c r="E18" s="54"/>
      <c r="F18" s="66">
        <v>4901</v>
      </c>
      <c r="G18" s="66">
        <v>3</v>
      </c>
      <c r="H18" s="67" t="s">
        <v>61</v>
      </c>
      <c r="I18" s="54">
        <v>2</v>
      </c>
      <c r="J18" s="54">
        <v>5</v>
      </c>
      <c r="K18" s="54">
        <v>9</v>
      </c>
      <c r="L18" s="54"/>
      <c r="M18" s="66">
        <v>1</v>
      </c>
      <c r="N18" s="67" t="s">
        <v>62</v>
      </c>
      <c r="O18" s="111" t="s">
        <v>228</v>
      </c>
      <c r="P18" s="111"/>
      <c r="Q18" s="69">
        <v>12168</v>
      </c>
    </row>
    <row r="19" spans="1:19" ht="17.25" customHeight="1">
      <c r="A19" s="54">
        <v>33</v>
      </c>
      <c r="B19" s="54"/>
      <c r="C19" s="54"/>
      <c r="D19" s="54">
        <v>4</v>
      </c>
      <c r="E19" s="54"/>
      <c r="F19" s="54">
        <v>4901</v>
      </c>
      <c r="G19" s="54">
        <v>3</v>
      </c>
      <c r="H19" s="55" t="s">
        <v>61</v>
      </c>
      <c r="I19" s="54">
        <v>2</v>
      </c>
      <c r="J19" s="54">
        <v>7</v>
      </c>
      <c r="K19" s="54">
        <v>5</v>
      </c>
      <c r="L19" s="54"/>
      <c r="M19" s="54">
        <v>1</v>
      </c>
      <c r="N19" s="55" t="s">
        <v>62</v>
      </c>
      <c r="O19" s="111" t="s">
        <v>229</v>
      </c>
      <c r="P19" s="111"/>
      <c r="Q19" s="69">
        <v>13950</v>
      </c>
    </row>
    <row r="20" spans="1:19" ht="17.25" customHeight="1">
      <c r="A20" s="54">
        <v>33</v>
      </c>
      <c r="B20" s="56"/>
      <c r="C20" s="56"/>
      <c r="D20" s="54">
        <v>4</v>
      </c>
      <c r="E20" s="56"/>
      <c r="F20" s="54">
        <v>4901</v>
      </c>
      <c r="G20" s="54">
        <v>3</v>
      </c>
      <c r="H20" s="55" t="s">
        <v>61</v>
      </c>
      <c r="I20" s="58">
        <v>2</v>
      </c>
      <c r="J20" s="58">
        <v>9</v>
      </c>
      <c r="K20" s="58">
        <v>1</v>
      </c>
      <c r="L20" s="56"/>
      <c r="M20" s="54">
        <v>1</v>
      </c>
      <c r="N20" s="55" t="s">
        <v>62</v>
      </c>
      <c r="O20" s="111" t="s">
        <v>230</v>
      </c>
      <c r="P20" s="111"/>
      <c r="Q20" s="69">
        <v>884966.25</v>
      </c>
    </row>
    <row r="21" spans="1:19" ht="17.25" customHeight="1">
      <c r="A21" s="54">
        <v>33</v>
      </c>
      <c r="B21" s="56"/>
      <c r="C21" s="56"/>
      <c r="D21" s="54">
        <v>4</v>
      </c>
      <c r="E21" s="56"/>
      <c r="F21" s="54">
        <v>4901</v>
      </c>
      <c r="G21" s="54">
        <v>3</v>
      </c>
      <c r="H21" s="55" t="s">
        <v>61</v>
      </c>
      <c r="I21" s="58">
        <v>2</v>
      </c>
      <c r="J21" s="58">
        <v>9</v>
      </c>
      <c r="K21" s="58">
        <v>4</v>
      </c>
      <c r="L21" s="56"/>
      <c r="M21" s="54">
        <v>1</v>
      </c>
      <c r="N21" s="55" t="s">
        <v>62</v>
      </c>
      <c r="O21" s="111" t="s">
        <v>231</v>
      </c>
      <c r="P21" s="111"/>
      <c r="Q21" s="69">
        <v>5845</v>
      </c>
      <c r="R21" s="1"/>
    </row>
    <row r="22" spans="1:19" ht="24.6" customHeight="1">
      <c r="A22" s="54">
        <v>33</v>
      </c>
      <c r="B22" s="57"/>
      <c r="C22" s="57"/>
      <c r="D22" s="54">
        <v>4</v>
      </c>
      <c r="E22" s="57"/>
      <c r="F22" s="54">
        <v>4901</v>
      </c>
      <c r="G22" s="54">
        <v>3</v>
      </c>
      <c r="H22" s="55" t="s">
        <v>61</v>
      </c>
      <c r="I22" s="57">
        <v>2</v>
      </c>
      <c r="J22" s="57">
        <v>9</v>
      </c>
      <c r="K22" s="57">
        <v>5</v>
      </c>
      <c r="L22" s="57"/>
      <c r="M22" s="54">
        <v>1</v>
      </c>
      <c r="N22" s="55" t="s">
        <v>62</v>
      </c>
      <c r="O22" s="111" t="s">
        <v>232</v>
      </c>
      <c r="P22" s="111"/>
      <c r="Q22" s="69">
        <v>98100</v>
      </c>
      <c r="R22" s="1"/>
    </row>
    <row r="23" spans="1:19" ht="17.25" customHeight="1">
      <c r="A23" s="54"/>
      <c r="B23" s="57"/>
      <c r="C23" s="57"/>
      <c r="D23" s="54"/>
      <c r="E23" s="57"/>
      <c r="F23" s="54"/>
      <c r="G23" s="54"/>
      <c r="H23" s="55"/>
      <c r="I23" s="57"/>
      <c r="J23" s="57"/>
      <c r="K23" s="57"/>
      <c r="L23" s="57"/>
      <c r="M23" s="54"/>
      <c r="N23" s="55"/>
      <c r="O23" s="111"/>
      <c r="P23" s="111"/>
      <c r="Q23" s="69"/>
    </row>
    <row r="24" spans="1:19" ht="34.950000000000003" customHeight="1" thickBot="1">
      <c r="A24" s="117" t="s">
        <v>216</v>
      </c>
      <c r="B24" s="117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8">
        <f>SUM(Q15:Q23)</f>
        <v>2117772.25</v>
      </c>
    </row>
    <row r="25" spans="1:19" ht="18" customHeight="1" thickBot="1">
      <c r="A25" s="118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</row>
    <row r="26" spans="1:19" ht="17.25" customHeight="1" thickBot="1">
      <c r="A26" s="112" t="s">
        <v>54</v>
      </c>
      <c r="B26" s="113"/>
      <c r="C26" s="113"/>
      <c r="D26" s="113"/>
      <c r="E26" s="113"/>
      <c r="F26" s="114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</row>
    <row r="27" spans="1:19" ht="18" customHeight="1" thickBot="1">
      <c r="A27" s="116" t="str">
        <f>"Para la "&amp; NotaPedido!D8 &amp;" para ser destinados al " &amp; NotaPedido!D6 &amp;"  del HISJB del Ministerio de Salud."</f>
        <v>Para la Adquisición de Articulos de Limpieza para ser destinados al Deposito Central  del HISJB del Ministerio de Salud.</v>
      </c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</row>
    <row r="28" spans="1:19" ht="15" customHeight="1">
      <c r="A28" s="116"/>
      <c r="B28" s="116"/>
      <c r="C28" s="116"/>
      <c r="D28" s="116"/>
      <c r="E28" s="116"/>
      <c r="F28" s="116"/>
      <c r="G28" s="116"/>
      <c r="H28" s="116"/>
      <c r="I28" s="116"/>
      <c r="J28" s="116"/>
      <c r="K28" s="116"/>
      <c r="L28" s="116"/>
      <c r="M28" s="116"/>
      <c r="N28" s="116"/>
      <c r="O28" s="116"/>
      <c r="P28" s="116"/>
      <c r="Q28" s="116"/>
    </row>
  </sheetData>
  <mergeCells count="32">
    <mergeCell ref="A26:F26"/>
    <mergeCell ref="G26:Q26"/>
    <mergeCell ref="A27:Q28"/>
    <mergeCell ref="O20:P20"/>
    <mergeCell ref="O22:P22"/>
    <mergeCell ref="O23:P23"/>
    <mergeCell ref="A24:P24"/>
    <mergeCell ref="A25:Q25"/>
    <mergeCell ref="O21:P21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4" right="0.17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llicta6</cp:lastModifiedBy>
  <cp:revision>2</cp:revision>
  <cp:lastPrinted>2022-02-08T15:50:58Z</cp:lastPrinted>
  <dcterms:created xsi:type="dcterms:W3CDTF">2020-07-17T23:44:49Z</dcterms:created>
  <dcterms:modified xsi:type="dcterms:W3CDTF">2022-02-08T16:00:27Z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