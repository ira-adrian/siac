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 activeTab="1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NotaPedido!$A$1:$K$23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5" i="2" l="1"/>
  <c r="B16" i="2"/>
  <c r="B17" i="2"/>
  <c r="B18" i="2"/>
  <c r="B19" i="2"/>
  <c r="B20" i="2"/>
  <c r="B21" i="2"/>
  <c r="B22" i="2"/>
  <c r="K17" i="2"/>
  <c r="K18" i="2"/>
  <c r="K19" i="2"/>
  <c r="K20" i="2"/>
  <c r="K21" i="2"/>
  <c r="K22" i="2"/>
  <c r="C16" i="2"/>
  <c r="C17" i="2"/>
  <c r="C18" i="2"/>
  <c r="C19" i="2"/>
  <c r="C20" i="2"/>
  <c r="C21" i="2"/>
  <c r="C22" i="2"/>
  <c r="J18" i="2"/>
  <c r="J19" i="2"/>
  <c r="J20" i="2"/>
  <c r="J21" i="2"/>
  <c r="J22" i="2"/>
  <c r="I17" i="2"/>
  <c r="I18" i="2"/>
  <c r="I19" i="2"/>
  <c r="I20" i="2"/>
  <c r="I21" i="2"/>
  <c r="I22" i="2"/>
  <c r="A26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20" i="1"/>
  <c r="I19" i="1"/>
  <c r="I18" i="1"/>
  <c r="I17" i="1"/>
  <c r="I16" i="1"/>
  <c r="I15" i="1"/>
  <c r="I14" i="1"/>
  <c r="I13" i="1"/>
  <c r="I12" i="1"/>
  <c r="I11" i="1"/>
  <c r="I10" i="1"/>
  <c r="J23" i="2" l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<sst xmlns="http://schemas.openxmlformats.org/spreadsheetml/2006/main" count="133" uniqueCount="91">
  <si>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</si>
  <si>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</si>
  <si>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</si>
  <si>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</si>
  <si>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</si>
  <si>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</si>
  <si>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</si>
  <si>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</si>
  <si>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</si>
  <si>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</si>
  <si>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</si>
  <si>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</si>
  <si>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</si>
  <si>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</si>
  <si>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</si>
  <si>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</si>
  <si>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</si>
  <si>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</si>
  <si>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</si>
  <si>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</si>
  <si>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</si>
  <si>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</si>
  <si>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</si>
  <si>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</si>
  <si>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</si>
  <si>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</si>
  <si>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</si>
  <si>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</si>
  <si>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</si>
  <si>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</si>
  <si>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</si>
  <si>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</si>
  <si>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</si>
  <si>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</si>
  <si>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</si>
  <si>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</si>
  <si>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</si>
  <si>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</si>
  <si>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</si>
  <si>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</si>
  <si>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</si>
  <si>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</si>
  <si>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</si>
  <si>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</si>
  <si>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</si>
  <si>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</si>
  <si>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</si>
  <si>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</si>
  <si>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</si>
  <si>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</si>
  <si>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</si>
  <si>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</si>
  <si>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</si>
  <si>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</si>
  <si>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</si>
  <si>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</si>
  <si>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</si>
  <si>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</si>
  <si>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</si>
  <si>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</si>
  <si>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</si>
  <si>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>Productos Farmaceuticos y Medicinales</t>
  </si>
  <si>
    <t xml:space="preserve">45 dias habiles </t>
  </si>
  <si>
    <t>3.1</t>
  </si>
  <si>
    <t>1.1</t>
  </si>
  <si>
    <t>010 - 2022</t>
  </si>
  <si>
    <t>Adquisición de MEDICAMENTOS PARA TERAPIA DERMATOLOGICA/SISTEMA GENITOURINARIO Y HORMONAS SEXUALES /HORMONAS SISTEMICAS /CORTICOIDES SISTEMICOS/RESPIRATORIO/ANTIHISTAMINICOS</t>
  </si>
  <si>
    <t xml:space="preserve">BETAMETASONA G 12 MG ( 6 MG ACETATO/6 MG FOSFATO ) AMPOLLA </t>
  </si>
  <si>
    <t>DEXAMETASONA 8 MG AMPOLLA x 2 ml</t>
  </si>
  <si>
    <t>DIFENILHIDRAMINA 10MG AMPOLLA x 5 ml</t>
  </si>
  <si>
    <t>LEVOTIROXINA 100 MG COMPRIMIDO</t>
  </si>
  <si>
    <t>METILPREDNISOLONA 500 MG FCO AMPOLLA</t>
  </si>
  <si>
    <t>METILPREDNISONA 40 MG COMPRIMIDO</t>
  </si>
  <si>
    <t>METRONIDAZOL OVULOS VAGINALES</t>
  </si>
  <si>
    <t>NISTATINA COMPRIMIDO VAGINAL</t>
  </si>
  <si>
    <t>NITROFURAZONA 0,2 % APOSITOS  X 20 UNIDADES</t>
  </si>
  <si>
    <t>SULFADIACINA DE PLATA + VITAMINA A  + LIDOCAINA CREMA  X 100 GRS</t>
  </si>
  <si>
    <t xml:space="preserve">VASELINA SOLIDA X 1KG </t>
  </si>
  <si>
    <t>2.5.2</t>
  </si>
  <si>
    <t>AMPOLLA</t>
  </si>
  <si>
    <t>COMPRIMIDO</t>
  </si>
  <si>
    <t>UNIDAD</t>
  </si>
  <si>
    <t>CAJA</t>
  </si>
  <si>
    <t>ENVASE</t>
  </si>
  <si>
    <t>TOTAL DE PESOS: DOS MILLONES DOSCIENTOS DIECIOCHO MIL OCHOCIENTOS SETENTA Y UNO CON 84/100.---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</si>
  <si>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ítem.VENCIMIENTO DE MEDICAMENTOS: UN PLAZO NO MENOR A 24 MESES DE LA FECHA DE RECEPCION.</t>
  </si>
  <si>
    <t xml:space="preserve">PLAZO DE MANTENIMIENTO DE OFERTA: 45 DIAS HABILES </t>
  </si>
  <si>
    <t xml:space="preserve">PLAZO DE ENTREGA: 15 DIAS HABILES EN EL SERVICIO DE FARMACIA - AVDA. ILLIA Y MARIANO MORENO - DE LUNES A VIERNES EN EL HORARIO DE 08 A 11 HORAS </t>
  </si>
  <si>
    <t>15 dias HABILES - Servicio de Farmacia del HISJB</t>
  </si>
  <si>
    <t>Especificidades Item N°:</t>
  </si>
  <si>
    <t>Costo total estimado: DOS MILLONES DOSCIENTOS DIECIOCHO MIL OCHOCIENTOS SETENTA Y UNO CON 84/100.-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</si>
</sst>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-&quot;$&quot;\ * #,##0.00_-;\-&quot;$&quot;\ * #,##0.00_-;_-&quot;$&quot;\ 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8"/>
      <name val="Arial"/>
      <family val="2"/>
    </font>
    <font>
      <sz val="8"/>
      <name val="Arial"/>
      <family val="2"/>
      <charset val="1"/>
    </font>
    <font>
      <b/>
      <sz val="8"/>
      <name val="Arial"/>
      <family val="2"/>
      <charset val="1"/>
    </font>
    <font>
      <sz val="2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45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14" fillId="5" borderId="14" xfId="0" applyFont="1" applyFill="1" applyBorder="1" applyAlignment="1">
      <alignment horizontal="left" wrapText="1"/>
    </xf>
    <xf numFmtId="0" fontId="24" fillId="5" borderId="14" xfId="0" applyFont="1" applyFill="1" applyBorder="1" applyAlignment="1">
      <alignment horizontal="center" vertical="center"/>
    </xf>
    <xf numFmtId="3" fontId="14" fillId="5" borderId="14" xfId="0" applyNumberFormat="1" applyFont="1" applyFill="1" applyBorder="1" applyAlignment="1">
      <alignment horizontal="center" vertical="center"/>
    </xf>
    <xf numFmtId="44" fontId="14" fillId="5" borderId="14" xfId="1" applyNumberFormat="1" applyFont="1" applyFill="1" applyBorder="1" applyAlignment="1">
      <alignment horizontal="center"/>
    </xf>
    <xf numFmtId="0" fontId="14" fillId="5" borderId="14" xfId="0" applyFont="1" applyFill="1" applyBorder="1" applyAlignment="1">
      <alignment horizontal="left"/>
    </xf>
    <xf numFmtId="44" fontId="14" fillId="5" borderId="14" xfId="1" applyNumberFormat="1" applyFont="1" applyFill="1" applyBorder="1" applyAlignment="1">
      <alignment horizontal="right" vertical="center" indent="2"/>
    </xf>
    <xf numFmtId="3" fontId="14" fillId="5" borderId="14" xfId="5" applyNumberFormat="1" applyFont="1" applyFill="1" applyBorder="1" applyAlignment="1">
      <alignment horizontal="center" vertical="center"/>
    </xf>
    <xf numFmtId="0" fontId="0" fillId="5" borderId="14" xfId="0" applyFill="1" applyBorder="1" applyAlignment="1">
      <alignment horizontal="left" wrapText="1"/>
    </xf>
    <xf numFmtId="0" fontId="0" fillId="5" borderId="14" xfId="0" applyFill="1" applyBorder="1" applyAlignment="1"/>
    <xf numFmtId="3" fontId="14" fillId="5" borderId="14" xfId="1" applyNumberFormat="1" applyFont="1" applyFill="1" applyBorder="1" applyAlignment="1">
      <alignment horizontal="center" vertical="center"/>
    </xf>
    <xf numFmtId="44" fontId="14" fillId="5" borderId="14" xfId="1" applyNumberFormat="1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15" fillId="3" borderId="6" xfId="0" applyFont="1" applyFill="1" applyBorder="1" applyAlignment="1">
      <alignment horizontal="center" wrapText="1"/>
    </xf>
    <xf numFmtId="0" fontId="15" fillId="3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15" fillId="3" borderId="0" xfId="0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left" vertical="center"/>
    </xf>
    <xf numFmtId="0" fontId="15" fillId="4" borderId="6" xfId="0" applyFont="1" applyFill="1" applyBorder="1" applyAlignment="1">
      <alignment horizontal="center"/>
    </xf>
    <xf numFmtId="0" fontId="15" fillId="3" borderId="14" xfId="0" applyFont="1" applyFill="1" applyBorder="1" applyAlignment="1">
      <alignment horizontal="center" vertical="center" wrapText="1"/>
    </xf>
    <xf numFmtId="0" fontId="28" fillId="3" borderId="21" xfId="0" applyFont="1" applyFill="1" applyBorder="1" applyAlignment="1">
      <alignment horizontal="center" vertical="center" wrapText="1"/>
    </xf>
    <xf numFmtId="0" fontId="15" fillId="6" borderId="20" xfId="0" applyFont="1" applyFill="1" applyBorder="1" applyAlignment="1">
      <alignment horizontal="center" vertical="center"/>
    </xf>
    <xf numFmtId="0" fontId="15" fillId="6" borderId="48" xfId="0" applyFont="1" applyFill="1" applyBorder="1" applyAlignment="1">
      <alignment horizontal="center" vertical="center"/>
    </xf>
    <xf numFmtId="0" fontId="15" fillId="6" borderId="21" xfId="0" applyFont="1" applyFill="1" applyBorder="1" applyAlignment="1">
      <alignment horizontal="center" vertical="center"/>
    </xf>
    <xf numFmtId="0" fontId="15" fillId="6" borderId="20" xfId="0" applyFont="1" applyFill="1" applyBorder="1" applyAlignment="1">
      <alignment horizontal="center" vertical="center" wrapText="1"/>
    </xf>
    <xf numFmtId="0" fontId="15" fillId="6" borderId="48" xfId="0" applyFont="1" applyFill="1" applyBorder="1" applyAlignment="1">
      <alignment horizontal="center" vertical="center" wrapText="1"/>
    </xf>
    <xf numFmtId="0" fontId="15" fillId="6" borderId="21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25" fillId="0" borderId="32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26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7" fillId="0" borderId="44" xfId="0" applyFont="1" applyBorder="1" applyAlignment="1">
      <alignment horizontal="left" vertical="center" wrapText="1"/>
    </xf>
    <xf numFmtId="0" fontId="0" fillId="0" borderId="22" xfId="0" applyBorder="1"/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 3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0"/>
  <sheetViews>
    <sheetView topLeftCell="A22" zoomScale="85" zoomScaleNormal="85" workbookViewId="0">
      <selection activeCell="B27" sqref="B27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7.140625" style="39" customWidth="1"/>
    <col min="6" max="6" width="12.28515625" style="39" customWidth="1"/>
    <col min="7" max="7" width="11.140625" style="39" customWidth="1"/>
    <col min="8" max="8" width="14.85546875" style="39" customWidth="1"/>
    <col min="9" max="9" width="18.5703125" style="39" customWidth="1"/>
    <col min="10" max="16384" width="11" style="39"/>
  </cols>
  <sheetData>
    <row r="2" spans="1:9" ht="27" x14ac:dyDescent="0.35">
      <c r="B2" s="88" t="s">
        <v>0</v>
      </c>
      <c r="C2" s="88"/>
      <c r="D2" s="88"/>
      <c r="E2" s="88"/>
      <c r="F2" s="88"/>
      <c r="G2" s="88"/>
      <c r="H2" s="88"/>
    </row>
    <row r="4" spans="1:9" ht="18" customHeight="1" x14ac:dyDescent="0.25">
      <c r="A4" s="89" t="s">
        <v>1</v>
      </c>
      <c r="B4" s="89"/>
      <c r="C4" s="90" t="s">
        <v>57</v>
      </c>
      <c r="D4" s="90"/>
      <c r="E4" s="90"/>
      <c r="F4" s="40"/>
      <c r="G4" s="41"/>
      <c r="H4" s="40"/>
    </row>
    <row r="5" spans="1:9" ht="18" customHeight="1" x14ac:dyDescent="0.25">
      <c r="A5" s="89" t="s">
        <v>2</v>
      </c>
      <c r="B5" s="89"/>
      <c r="C5" s="90" t="s">
        <v>58</v>
      </c>
      <c r="D5" s="90"/>
      <c r="E5" s="90"/>
      <c r="F5" s="40"/>
      <c r="G5" s="41"/>
      <c r="H5" s="40"/>
    </row>
    <row r="6" spans="1:9" ht="16.5" customHeight="1" x14ac:dyDescent="0.25">
      <c r="A6" s="89" t="s">
        <v>3</v>
      </c>
      <c r="B6" s="89"/>
      <c r="C6" s="61">
        <v>2022</v>
      </c>
      <c r="D6" s="62"/>
      <c r="E6" s="62"/>
      <c r="F6" s="40"/>
      <c r="G6" s="41"/>
      <c r="H6" s="40"/>
    </row>
    <row r="7" spans="1:9" ht="16.5" customHeight="1" x14ac:dyDescent="0.25">
      <c r="A7" s="89" t="s">
        <v>4</v>
      </c>
      <c r="B7" s="89"/>
      <c r="C7" s="61">
        <v>1</v>
      </c>
      <c r="D7" s="62"/>
      <c r="E7" s="62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31.9" customHeight="1" thickBot="1" x14ac:dyDescent="0.25">
      <c r="A10" s="56">
        <v>1</v>
      </c>
      <c r="B10" s="59"/>
      <c r="C10" s="57" t="s">
        <v>61</v>
      </c>
      <c r="D10" s="58" t="s">
        <v>78</v>
      </c>
      <c r="E10" s="77" t="s">
        <v>67</v>
      </c>
      <c r="F10" s="78" t="s">
        <v>79</v>
      </c>
      <c r="G10" s="79">
        <v>400</v>
      </c>
      <c r="H10" s="80">
        <v>380</v>
      </c>
      <c r="I10" s="60">
        <f t="shared" ref="I10:I20" si="0">G10*H10</f>
        <v>152000</v>
      </c>
    </row>
    <row r="11" spans="1:9" ht="31.9" customHeight="1" thickBot="1" x14ac:dyDescent="0.25">
      <c r="A11" s="56">
        <v>2</v>
      </c>
      <c r="B11" s="59"/>
      <c r="C11" s="57" t="s">
        <v>61</v>
      </c>
      <c r="D11" s="58" t="s">
        <v>78</v>
      </c>
      <c r="E11" s="81" t="s">
        <v>68</v>
      </c>
      <c r="F11" s="78" t="s">
        <v>79</v>
      </c>
      <c r="G11" s="79">
        <v>12000</v>
      </c>
      <c r="H11" s="80">
        <v>62</v>
      </c>
      <c r="I11" s="60">
        <f t="shared" si="0"/>
        <v>744000</v>
      </c>
    </row>
    <row r="12" spans="1:9" ht="31.9" customHeight="1" thickBot="1" x14ac:dyDescent="0.25">
      <c r="A12" s="56">
        <v>3</v>
      </c>
      <c r="B12" s="59"/>
      <c r="C12" s="57" t="s">
        <v>61</v>
      </c>
      <c r="D12" s="58" t="s">
        <v>78</v>
      </c>
      <c r="E12" s="77" t="s">
        <v>69</v>
      </c>
      <c r="F12" s="78" t="s">
        <v>79</v>
      </c>
      <c r="G12" s="79">
        <v>8000</v>
      </c>
      <c r="H12" s="80">
        <v>55</v>
      </c>
      <c r="I12" s="60">
        <f t="shared" si="0"/>
        <v>440000</v>
      </c>
    </row>
    <row r="13" spans="1:9" ht="31.9" customHeight="1" thickBot="1" x14ac:dyDescent="0.25">
      <c r="A13" s="56">
        <v>4</v>
      </c>
      <c r="B13" s="59"/>
      <c r="C13" s="57" t="s">
        <v>61</v>
      </c>
      <c r="D13" s="58" t="s">
        <v>78</v>
      </c>
      <c r="E13" s="81" t="s">
        <v>70</v>
      </c>
      <c r="F13" s="78" t="s">
        <v>80</v>
      </c>
      <c r="G13" s="79">
        <v>900</v>
      </c>
      <c r="H13" s="80">
        <v>17.8</v>
      </c>
      <c r="I13" s="60">
        <f t="shared" si="0"/>
        <v>16020</v>
      </c>
    </row>
    <row r="14" spans="1:9" ht="31.9" customHeight="1" thickBot="1" x14ac:dyDescent="0.25">
      <c r="A14" s="56">
        <v>5</v>
      </c>
      <c r="B14" s="59"/>
      <c r="C14" s="57" t="s">
        <v>61</v>
      </c>
      <c r="D14" s="58" t="s">
        <v>78</v>
      </c>
      <c r="E14" s="81" t="s">
        <v>71</v>
      </c>
      <c r="F14" s="78" t="s">
        <v>79</v>
      </c>
      <c r="G14" s="79">
        <v>300</v>
      </c>
      <c r="H14" s="82">
        <v>1183</v>
      </c>
      <c r="I14" s="60">
        <f t="shared" si="0"/>
        <v>354900</v>
      </c>
    </row>
    <row r="15" spans="1:9" ht="31.9" customHeight="1" thickBot="1" x14ac:dyDescent="0.25">
      <c r="A15" s="56">
        <v>6</v>
      </c>
      <c r="B15" s="59"/>
      <c r="C15" s="57" t="s">
        <v>61</v>
      </c>
      <c r="D15" s="58" t="s">
        <v>78</v>
      </c>
      <c r="E15" s="81" t="s">
        <v>72</v>
      </c>
      <c r="F15" s="78" t="s">
        <v>80</v>
      </c>
      <c r="G15" s="79">
        <v>600</v>
      </c>
      <c r="H15" s="82">
        <v>70.2</v>
      </c>
      <c r="I15" s="60">
        <f t="shared" si="0"/>
        <v>42120</v>
      </c>
    </row>
    <row r="16" spans="1:9" ht="31.9" customHeight="1" thickBot="1" x14ac:dyDescent="0.25">
      <c r="A16" s="56">
        <v>7</v>
      </c>
      <c r="B16" s="59"/>
      <c r="C16" s="57" t="s">
        <v>61</v>
      </c>
      <c r="D16" s="58" t="s">
        <v>78</v>
      </c>
      <c r="E16" s="77" t="s">
        <v>73</v>
      </c>
      <c r="F16" s="78" t="s">
        <v>81</v>
      </c>
      <c r="G16" s="79">
        <v>150</v>
      </c>
      <c r="H16" s="82">
        <v>47.24</v>
      </c>
      <c r="I16" s="60">
        <f t="shared" si="0"/>
        <v>7086</v>
      </c>
    </row>
    <row r="17" spans="1:9" ht="31.9" customHeight="1" thickBot="1" x14ac:dyDescent="0.25">
      <c r="A17" s="56">
        <v>8</v>
      </c>
      <c r="B17" s="59"/>
      <c r="C17" s="57" t="s">
        <v>61</v>
      </c>
      <c r="D17" s="58" t="s">
        <v>78</v>
      </c>
      <c r="E17" s="77" t="s">
        <v>74</v>
      </c>
      <c r="F17" s="78" t="s">
        <v>80</v>
      </c>
      <c r="G17" s="83">
        <v>150</v>
      </c>
      <c r="H17" s="82">
        <v>98.4</v>
      </c>
      <c r="I17" s="60">
        <f t="shared" si="0"/>
        <v>14760</v>
      </c>
    </row>
    <row r="18" spans="1:9" ht="31.9" customHeight="1" thickBot="1" x14ac:dyDescent="0.25">
      <c r="A18" s="56">
        <v>9</v>
      </c>
      <c r="B18" s="59"/>
      <c r="C18" s="57" t="s">
        <v>61</v>
      </c>
      <c r="D18" s="58" t="s">
        <v>78</v>
      </c>
      <c r="E18" s="84" t="s">
        <v>75</v>
      </c>
      <c r="F18" s="78" t="s">
        <v>82</v>
      </c>
      <c r="G18" s="83">
        <v>300</v>
      </c>
      <c r="H18" s="82">
        <v>594.54</v>
      </c>
      <c r="I18" s="60">
        <f t="shared" si="0"/>
        <v>178362</v>
      </c>
    </row>
    <row r="19" spans="1:9" ht="31.9" customHeight="1" thickBot="1" x14ac:dyDescent="0.25">
      <c r="A19" s="56">
        <v>10</v>
      </c>
      <c r="B19" s="59"/>
      <c r="C19" s="57" t="s">
        <v>61</v>
      </c>
      <c r="D19" s="58" t="s">
        <v>78</v>
      </c>
      <c r="E19" s="85" t="s">
        <v>76</v>
      </c>
      <c r="F19" s="78" t="s">
        <v>83</v>
      </c>
      <c r="G19" s="86">
        <v>200</v>
      </c>
      <c r="H19" s="82">
        <v>1325</v>
      </c>
      <c r="I19" s="60">
        <f t="shared" si="0"/>
        <v>265000</v>
      </c>
    </row>
    <row r="20" spans="1:9" ht="31.9" customHeight="1" thickBot="1" x14ac:dyDescent="0.25">
      <c r="A20" s="56">
        <v>11</v>
      </c>
      <c r="B20" s="59"/>
      <c r="C20" s="57" t="s">
        <v>61</v>
      </c>
      <c r="D20" s="58" t="s">
        <v>78</v>
      </c>
      <c r="E20" s="81" t="s">
        <v>77</v>
      </c>
      <c r="F20" s="78" t="s">
        <v>81</v>
      </c>
      <c r="G20" s="86">
        <v>3</v>
      </c>
      <c r="H20" s="87">
        <v>1541.28</v>
      </c>
      <c r="I20" s="60">
        <f t="shared" si="0"/>
        <v>4623.84</v>
      </c>
    </row>
    <row r="21" spans="1:9" ht="13.5" thickBot="1" x14ac:dyDescent="0.25"/>
    <row r="22" spans="1:9" ht="63.75" customHeight="1" thickBot="1" x14ac:dyDescent="0.25">
      <c r="C22" s="97" t="s">
        <v>85</v>
      </c>
      <c r="D22" s="98"/>
      <c r="E22" s="98"/>
    </row>
    <row r="23" spans="1:9" ht="45" customHeight="1" thickBot="1" x14ac:dyDescent="0.25">
      <c r="C23" s="99" t="s">
        <v>86</v>
      </c>
      <c r="D23" s="100"/>
      <c r="E23" s="101"/>
    </row>
    <row r="24" spans="1:9" ht="42" customHeight="1" thickBot="1" x14ac:dyDescent="0.25">
      <c r="C24" s="102" t="s">
        <v>87</v>
      </c>
      <c r="D24" s="103"/>
      <c r="E24" s="104"/>
    </row>
    <row r="25" spans="1:9" ht="13.5" thickBot="1" x14ac:dyDescent="0.25"/>
    <row r="26" spans="1:9" x14ac:dyDescent="0.2">
      <c r="B26" s="42" t="s">
        <v>89</v>
      </c>
      <c r="C26" s="43"/>
      <c r="D26" s="43"/>
      <c r="E26" s="44"/>
    </row>
    <row r="27" spans="1:9" ht="5.25" customHeight="1" x14ac:dyDescent="0.2">
      <c r="B27" s="45"/>
      <c r="C27" s="46"/>
      <c r="D27" s="46"/>
      <c r="E27" s="47"/>
    </row>
    <row r="28" spans="1:9" x14ac:dyDescent="0.2">
      <c r="B28" s="48" t="s">
        <v>14</v>
      </c>
      <c r="C28" s="46"/>
      <c r="D28" s="46"/>
      <c r="E28" s="47"/>
    </row>
    <row r="29" spans="1:9" ht="41.25" customHeight="1" x14ac:dyDescent="0.2">
      <c r="B29" s="48"/>
      <c r="C29" s="91"/>
      <c r="D29" s="91"/>
      <c r="E29" s="91"/>
    </row>
    <row r="30" spans="1:9" x14ac:dyDescent="0.2">
      <c r="B30" s="48" t="s">
        <v>15</v>
      </c>
      <c r="C30" s="46"/>
      <c r="D30" s="46"/>
      <c r="E30" s="47"/>
    </row>
    <row r="31" spans="1:9" ht="19.5" customHeight="1" x14ac:dyDescent="0.2">
      <c r="B31" s="49"/>
      <c r="C31" s="94" t="s">
        <v>88</v>
      </c>
      <c r="D31" s="94"/>
      <c r="E31" s="95"/>
    </row>
    <row r="32" spans="1:9" x14ac:dyDescent="0.2">
      <c r="B32" s="49"/>
      <c r="C32" s="96"/>
      <c r="D32" s="96"/>
      <c r="E32" s="96"/>
    </row>
    <row r="33" spans="2:5" x14ac:dyDescent="0.2">
      <c r="B33" s="48" t="s">
        <v>16</v>
      </c>
      <c r="C33" s="46"/>
      <c r="D33" s="46"/>
      <c r="E33" s="47"/>
    </row>
    <row r="34" spans="2:5" ht="26.25" customHeight="1" x14ac:dyDescent="0.2">
      <c r="B34" s="49"/>
      <c r="C34" s="91"/>
      <c r="D34" s="91"/>
      <c r="E34" s="91"/>
    </row>
    <row r="35" spans="2:5" x14ac:dyDescent="0.2">
      <c r="B35" s="48" t="s">
        <v>17</v>
      </c>
      <c r="C35" s="50"/>
      <c r="D35" s="50"/>
      <c r="E35" s="51"/>
    </row>
    <row r="36" spans="2:5" ht="26.25" customHeight="1" x14ac:dyDescent="0.2">
      <c r="B36" s="49"/>
      <c r="C36" s="92" t="s">
        <v>62</v>
      </c>
      <c r="D36" s="92"/>
      <c r="E36" s="92"/>
    </row>
    <row r="37" spans="2:5" x14ac:dyDescent="0.2">
      <c r="B37" s="48" t="s">
        <v>18</v>
      </c>
      <c r="C37" s="46"/>
      <c r="D37" s="46"/>
      <c r="E37" s="47"/>
    </row>
    <row r="38" spans="2:5" ht="23.25" customHeight="1" x14ac:dyDescent="0.2">
      <c r="B38" s="48"/>
      <c r="C38" s="93"/>
      <c r="D38" s="93"/>
      <c r="E38" s="93"/>
    </row>
    <row r="39" spans="2:5" x14ac:dyDescent="0.2">
      <c r="B39" s="52"/>
      <c r="C39" s="53"/>
      <c r="D39" s="53"/>
      <c r="E39" s="54"/>
    </row>
    <row r="40" spans="2:5" ht="11.25" customHeight="1" x14ac:dyDescent="0.2"/>
  </sheetData>
  <mergeCells count="16">
    <mergeCell ref="C34:E34"/>
    <mergeCell ref="C36:E36"/>
    <mergeCell ref="C38:E38"/>
    <mergeCell ref="A6:B6"/>
    <mergeCell ref="A7:B7"/>
    <mergeCell ref="C29:E29"/>
    <mergeCell ref="C31:E31"/>
    <mergeCell ref="C32:E32"/>
    <mergeCell ref="C22:E22"/>
    <mergeCell ref="C23:E23"/>
    <mergeCell ref="C24:E24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3"/>
  <sheetViews>
    <sheetView tabSelected="1" zoomScale="70" zoomScaleNormal="70" workbookViewId="0">
      <selection activeCell="R7" sqref="R7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5" t="s">
        <v>19</v>
      </c>
      <c r="B1" s="105"/>
      <c r="C1" s="105"/>
      <c r="D1" s="105"/>
      <c r="E1" s="105"/>
      <c r="F1" s="105"/>
      <c r="G1" s="105"/>
      <c r="H1" s="105"/>
      <c r="I1" s="105"/>
      <c r="J1" s="3" t="s">
        <v>20</v>
      </c>
      <c r="K1" s="63" t="s">
        <v>65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06" t="s">
        <v>53</v>
      </c>
      <c r="B3" s="106"/>
      <c r="C3" s="106"/>
      <c r="D3" s="107" t="str">
        <f>'Necesidades Trimestrales'!C4</f>
        <v>40 - Ministerio de Salud</v>
      </c>
      <c r="E3" s="107"/>
      <c r="F3" s="107"/>
      <c r="G3" s="107"/>
      <c r="H3" s="107"/>
      <c r="I3" s="107"/>
      <c r="J3" s="107"/>
      <c r="K3" s="107"/>
    </row>
    <row r="4" spans="1:11" ht="18.75" customHeight="1" thickBot="1" x14ac:dyDescent="0.25">
      <c r="A4" s="108" t="s">
        <v>54</v>
      </c>
      <c r="B4" s="108"/>
      <c r="C4" s="108"/>
      <c r="D4" s="107" t="str">
        <f>'Necesidades Trimestrales'!C5</f>
        <v>23 - Hospital Interzonal San Juan Bautista</v>
      </c>
      <c r="E4" s="107"/>
      <c r="F4" s="107"/>
      <c r="G4" s="107"/>
      <c r="H4" s="107"/>
      <c r="I4" s="107"/>
      <c r="J4" s="107"/>
      <c r="K4" s="107"/>
    </row>
    <row r="5" spans="1:11" ht="18.75" customHeight="1" thickBot="1" x14ac:dyDescent="0.25">
      <c r="A5" s="108" t="s">
        <v>32</v>
      </c>
      <c r="B5" s="108"/>
      <c r="C5" s="108"/>
      <c r="D5" s="107" t="s">
        <v>59</v>
      </c>
      <c r="E5" s="107"/>
      <c r="F5" s="107"/>
      <c r="G5" s="107"/>
      <c r="H5" s="107"/>
      <c r="I5" s="107"/>
      <c r="J5" s="107"/>
      <c r="K5" s="107"/>
    </row>
    <row r="6" spans="1:11" ht="24.75" customHeight="1" thickBot="1" x14ac:dyDescent="0.25">
      <c r="A6" s="106" t="s">
        <v>55</v>
      </c>
      <c r="B6" s="106"/>
      <c r="C6" s="106"/>
      <c r="D6" s="107" t="s">
        <v>60</v>
      </c>
      <c r="E6" s="107"/>
      <c r="F6" s="107"/>
      <c r="G6" s="107"/>
      <c r="H6" s="107"/>
      <c r="I6" s="107"/>
      <c r="J6" s="107"/>
      <c r="K6" s="107"/>
    </row>
    <row r="7" spans="1:11" ht="18.75" customHeight="1" x14ac:dyDescent="0.2">
      <c r="A7" s="108" t="s">
        <v>21</v>
      </c>
      <c r="B7" s="108"/>
      <c r="C7" s="108"/>
      <c r="D7" s="107" t="str">
        <f>'Necesidades Trimestrales'!C7 &amp; "° Trimestre - Año " &amp; 'Necesidades Trimestrales'!C6</f>
        <v>1° Trimestre - Año 2022</v>
      </c>
      <c r="E7" s="107"/>
      <c r="F7" s="107"/>
      <c r="G7" s="107"/>
      <c r="H7" s="107"/>
      <c r="I7" s="107"/>
      <c r="J7" s="107"/>
      <c r="K7" s="107"/>
    </row>
    <row r="8" spans="1:11" ht="39.75" customHeight="1" x14ac:dyDescent="0.2">
      <c r="A8" s="109" t="s">
        <v>22</v>
      </c>
      <c r="B8" s="109"/>
      <c r="C8" s="109"/>
      <c r="D8" s="110" t="s">
        <v>66</v>
      </c>
      <c r="E8" s="110"/>
      <c r="F8" s="110"/>
      <c r="G8" s="110"/>
      <c r="H8" s="110"/>
      <c r="I8" s="110"/>
      <c r="J8" s="110"/>
      <c r="K8" s="110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11" t="s">
        <v>23</v>
      </c>
      <c r="B10" s="112" t="s">
        <v>24</v>
      </c>
      <c r="C10" s="112" t="s">
        <v>25</v>
      </c>
      <c r="D10" s="112"/>
      <c r="E10" s="112"/>
      <c r="F10" s="112"/>
      <c r="G10" s="112"/>
      <c r="H10" s="112" t="s">
        <v>26</v>
      </c>
      <c r="I10" s="112" t="s">
        <v>27</v>
      </c>
      <c r="J10" s="112" t="s">
        <v>28</v>
      </c>
      <c r="K10" s="113" t="s">
        <v>29</v>
      </c>
    </row>
    <row r="11" spans="1:11" ht="24" customHeight="1" thickBot="1" x14ac:dyDescent="0.25">
      <c r="A11" s="111"/>
      <c r="B11" s="112"/>
      <c r="C11" s="112"/>
      <c r="D11" s="112"/>
      <c r="E11" s="112"/>
      <c r="F11" s="112"/>
      <c r="G11" s="112"/>
      <c r="H11" s="112"/>
      <c r="I11" s="112"/>
      <c r="J11" s="112"/>
      <c r="K11" s="113"/>
    </row>
    <row r="12" spans="1:11" ht="20.25" customHeight="1" thickBot="1" x14ac:dyDescent="0.25">
      <c r="A12" s="8">
        <v>1</v>
      </c>
      <c r="B12" s="64">
        <f>'Necesidades Trimestrales'!B10</f>
        <v>0</v>
      </c>
      <c r="C12" s="116" t="str">
        <f>'Necesidades Trimestrales'!E10</f>
        <v xml:space="preserve">BETAMETASONA G 12 MG ( 6 MG ACETATO/6 MG FOSFATO ) AMPOLLA </v>
      </c>
      <c r="D12" s="116"/>
      <c r="E12" s="116"/>
      <c r="F12" s="116"/>
      <c r="G12" s="116"/>
      <c r="H12" s="65" t="s">
        <v>56</v>
      </c>
      <c r="I12" s="66" t="str">
        <f>'Necesidades Trimestrales'!F10</f>
        <v>AMPOLLA</v>
      </c>
      <c r="J12" s="67">
        <f>'Necesidades Trimestrales'!H10</f>
        <v>380</v>
      </c>
      <c r="K12" s="68">
        <f>'Necesidades Trimestrales'!G10</f>
        <v>400</v>
      </c>
    </row>
    <row r="13" spans="1:11" ht="20.25" customHeight="1" thickBot="1" x14ac:dyDescent="0.25">
      <c r="A13" s="8">
        <v>2</v>
      </c>
      <c r="B13" s="64">
        <f>'Necesidades Trimestrales'!B11</f>
        <v>0</v>
      </c>
      <c r="C13" s="116" t="str">
        <f>'Necesidades Trimestrales'!E11</f>
        <v>DEXAMETASONA 8 MG AMPOLLA x 2 ml</v>
      </c>
      <c r="D13" s="116"/>
      <c r="E13" s="116"/>
      <c r="F13" s="116"/>
      <c r="G13" s="116"/>
      <c r="H13" s="65" t="s">
        <v>56</v>
      </c>
      <c r="I13" s="66" t="str">
        <f>'Necesidades Trimestrales'!F11</f>
        <v>AMPOLLA</v>
      </c>
      <c r="J13" s="67">
        <f>'Necesidades Trimestrales'!H11</f>
        <v>62</v>
      </c>
      <c r="K13" s="68">
        <f>'Necesidades Trimestrales'!G11</f>
        <v>12000</v>
      </c>
    </row>
    <row r="14" spans="1:11" ht="20.25" customHeight="1" thickBot="1" x14ac:dyDescent="0.25">
      <c r="A14" s="8">
        <v>3</v>
      </c>
      <c r="B14" s="64">
        <f>'Necesidades Trimestrales'!B12</f>
        <v>0</v>
      </c>
      <c r="C14" s="116" t="str">
        <f>'Necesidades Trimestrales'!E12</f>
        <v>DIFENILHIDRAMINA 10MG AMPOLLA x 5 ml</v>
      </c>
      <c r="D14" s="116"/>
      <c r="E14" s="116"/>
      <c r="F14" s="116"/>
      <c r="G14" s="116"/>
      <c r="H14" s="65" t="s">
        <v>56</v>
      </c>
      <c r="I14" s="66" t="str">
        <f>'Necesidades Trimestrales'!F12</f>
        <v>AMPOLLA</v>
      </c>
      <c r="J14" s="67">
        <f>'Necesidades Trimestrales'!H12</f>
        <v>55</v>
      </c>
      <c r="K14" s="68">
        <f>'Necesidades Trimestrales'!G12</f>
        <v>8000</v>
      </c>
    </row>
    <row r="15" spans="1:11" ht="20.25" customHeight="1" thickBot="1" x14ac:dyDescent="0.25">
      <c r="A15" s="8">
        <v>4</v>
      </c>
      <c r="B15" s="64">
        <f>'Necesidades Trimestrales'!B13</f>
        <v>0</v>
      </c>
      <c r="C15" s="116" t="str">
        <f>'Necesidades Trimestrales'!E13</f>
        <v>LEVOTIROXINA 100 MG COMPRIMIDO</v>
      </c>
      <c r="D15" s="116"/>
      <c r="E15" s="116"/>
      <c r="F15" s="116"/>
      <c r="G15" s="116"/>
      <c r="H15" s="65" t="s">
        <v>56</v>
      </c>
      <c r="I15" s="66" t="str">
        <f>'Necesidades Trimestrales'!F13</f>
        <v>COMPRIMIDO</v>
      </c>
      <c r="J15" s="67">
        <f>'Necesidades Trimestrales'!H13</f>
        <v>17.8</v>
      </c>
      <c r="K15" s="68">
        <f>'Necesidades Trimestrales'!G13</f>
        <v>900</v>
      </c>
    </row>
    <row r="16" spans="1:11" ht="20.25" customHeight="1" thickBot="1" x14ac:dyDescent="0.25">
      <c r="A16" s="8">
        <v>5</v>
      </c>
      <c r="B16" s="64">
        <f>'Necesidades Trimestrales'!B14</f>
        <v>0</v>
      </c>
      <c r="C16" s="116" t="str">
        <f>'Necesidades Trimestrales'!E14</f>
        <v>METILPREDNISOLONA 500 MG FCO AMPOLLA</v>
      </c>
      <c r="D16" s="116"/>
      <c r="E16" s="116"/>
      <c r="F16" s="116"/>
      <c r="G16" s="116"/>
      <c r="H16" s="65" t="s">
        <v>56</v>
      </c>
      <c r="I16" s="66" t="str">
        <f>'Necesidades Trimestrales'!F14</f>
        <v>AMPOLLA</v>
      </c>
      <c r="J16" s="67">
        <f>'Necesidades Trimestrales'!H14</f>
        <v>1183</v>
      </c>
      <c r="K16" s="68">
        <f>'Necesidades Trimestrales'!G14</f>
        <v>300</v>
      </c>
    </row>
    <row r="17" spans="1:1024" ht="20.25" customHeight="1" thickBot="1" x14ac:dyDescent="0.25">
      <c r="A17" s="8">
        <v>6</v>
      </c>
      <c r="B17" s="64">
        <f>'Necesidades Trimestrales'!B15</f>
        <v>0</v>
      </c>
      <c r="C17" s="116" t="str">
        <f>'Necesidades Trimestrales'!E15</f>
        <v>METILPREDNISONA 40 MG COMPRIMIDO</v>
      </c>
      <c r="D17" s="116"/>
      <c r="E17" s="116"/>
      <c r="F17" s="116"/>
      <c r="G17" s="116"/>
      <c r="H17" s="65" t="s">
        <v>56</v>
      </c>
      <c r="I17" s="66" t="str">
        <f>'Necesidades Trimestrales'!F15</f>
        <v>COMPRIMIDO</v>
      </c>
      <c r="J17" s="67">
        <f>'Necesidades Trimestrales'!H15</f>
        <v>70.2</v>
      </c>
      <c r="K17" s="68">
        <f>'Necesidades Trimestrales'!G15</f>
        <v>600</v>
      </c>
    </row>
    <row r="18" spans="1:1024" ht="20.25" customHeight="1" thickBot="1" x14ac:dyDescent="0.25">
      <c r="A18" s="8">
        <v>7</v>
      </c>
      <c r="B18" s="64">
        <f>'Necesidades Trimestrales'!B16</f>
        <v>0</v>
      </c>
      <c r="C18" s="116" t="str">
        <f>'Necesidades Trimestrales'!E16</f>
        <v>METRONIDAZOL OVULOS VAGINALES</v>
      </c>
      <c r="D18" s="116"/>
      <c r="E18" s="116"/>
      <c r="F18" s="116"/>
      <c r="G18" s="116"/>
      <c r="H18" s="65" t="s">
        <v>56</v>
      </c>
      <c r="I18" s="66" t="str">
        <f>'Necesidades Trimestrales'!F16</f>
        <v>UNIDAD</v>
      </c>
      <c r="J18" s="67">
        <f>'Necesidades Trimestrales'!H16</f>
        <v>47.24</v>
      </c>
      <c r="K18" s="68">
        <f>'Necesidades Trimestrales'!G16</f>
        <v>150</v>
      </c>
    </row>
    <row r="19" spans="1:1024" ht="20.25" customHeight="1" thickBot="1" x14ac:dyDescent="0.25">
      <c r="A19" s="8">
        <v>8</v>
      </c>
      <c r="B19" s="64">
        <f>'Necesidades Trimestrales'!B17</f>
        <v>0</v>
      </c>
      <c r="C19" s="116" t="str">
        <f>'Necesidades Trimestrales'!E17</f>
        <v>NISTATINA COMPRIMIDO VAGINAL</v>
      </c>
      <c r="D19" s="116"/>
      <c r="E19" s="116"/>
      <c r="F19" s="116"/>
      <c r="G19" s="116"/>
      <c r="H19" s="65" t="s">
        <v>56</v>
      </c>
      <c r="I19" s="66" t="str">
        <f>'Necesidades Trimestrales'!F17</f>
        <v>COMPRIMIDO</v>
      </c>
      <c r="J19" s="67">
        <f>'Necesidades Trimestrales'!H17</f>
        <v>98.4</v>
      </c>
      <c r="K19" s="68">
        <f>'Necesidades Trimestrales'!G17</f>
        <v>150</v>
      </c>
    </row>
    <row r="20" spans="1:1024" ht="20.25" customHeight="1" thickBot="1" x14ac:dyDescent="0.25">
      <c r="A20" s="8">
        <v>9</v>
      </c>
      <c r="B20" s="64">
        <f>'Necesidades Trimestrales'!B18</f>
        <v>0</v>
      </c>
      <c r="C20" s="116" t="str">
        <f>'Necesidades Trimestrales'!E18</f>
        <v>NITROFURAZONA 0,2 % APOSITOS  X 20 UNIDADES</v>
      </c>
      <c r="D20" s="116"/>
      <c r="E20" s="116"/>
      <c r="F20" s="116"/>
      <c r="G20" s="116"/>
      <c r="H20" s="65" t="s">
        <v>56</v>
      </c>
      <c r="I20" s="66" t="str">
        <f>'Necesidades Trimestrales'!F18</f>
        <v>CAJA</v>
      </c>
      <c r="J20" s="67">
        <f>'Necesidades Trimestrales'!H18</f>
        <v>594.54</v>
      </c>
      <c r="K20" s="68">
        <f>'Necesidades Trimestrales'!G18</f>
        <v>300</v>
      </c>
    </row>
    <row r="21" spans="1:1024" ht="20.25" customHeight="1" thickBot="1" x14ac:dyDescent="0.25">
      <c r="A21" s="8">
        <v>10</v>
      </c>
      <c r="B21" s="64">
        <f>'Necesidades Trimestrales'!B19</f>
        <v>0</v>
      </c>
      <c r="C21" s="116" t="str">
        <f>'Necesidades Trimestrales'!E19</f>
        <v>SULFADIACINA DE PLATA + VITAMINA A  + LIDOCAINA CREMA  X 100 GRS</v>
      </c>
      <c r="D21" s="116"/>
      <c r="E21" s="116"/>
      <c r="F21" s="116"/>
      <c r="G21" s="116"/>
      <c r="H21" s="65" t="s">
        <v>56</v>
      </c>
      <c r="I21" s="66" t="str">
        <f>'Necesidades Trimestrales'!F19</f>
        <v>ENVASE</v>
      </c>
      <c r="J21" s="67">
        <f>'Necesidades Trimestrales'!H19</f>
        <v>1325</v>
      </c>
      <c r="K21" s="68">
        <f>'Necesidades Trimestrales'!G19</f>
        <v>200</v>
      </c>
    </row>
    <row r="22" spans="1:1024" ht="20.25" customHeight="1" thickBot="1" x14ac:dyDescent="0.25">
      <c r="A22" s="8">
        <v>11</v>
      </c>
      <c r="B22" s="64">
        <f>'Necesidades Trimestrales'!B20</f>
        <v>0</v>
      </c>
      <c r="C22" s="116" t="str">
        <f>'Necesidades Trimestrales'!E20</f>
        <v xml:space="preserve">VASELINA SOLIDA X 1KG </v>
      </c>
      <c r="D22" s="116"/>
      <c r="E22" s="116"/>
      <c r="F22" s="116"/>
      <c r="G22" s="116"/>
      <c r="H22" s="65" t="s">
        <v>56</v>
      </c>
      <c r="I22" s="66" t="str">
        <f>'Necesidades Trimestrales'!F20</f>
        <v>UNIDAD</v>
      </c>
      <c r="J22" s="67">
        <f>'Necesidades Trimestrales'!H20</f>
        <v>1541.28</v>
      </c>
      <c r="K22" s="68">
        <f>'Necesidades Trimestrales'!G20</f>
        <v>3</v>
      </c>
    </row>
    <row r="23" spans="1:1024" ht="20.25" customHeight="1" thickBot="1" x14ac:dyDescent="0.25">
      <c r="A23" s="114" t="s">
        <v>90</v>
      </c>
      <c r="B23" s="114"/>
      <c r="C23" s="114"/>
      <c r="D23" s="114"/>
      <c r="E23" s="114"/>
      <c r="F23" s="114"/>
      <c r="G23" s="114"/>
      <c r="H23" s="114"/>
      <c r="I23" s="114"/>
      <c r="J23" s="115">
        <f>SUMPRODUCT(J12:J22,K12:K22)</f>
        <v>2218871.84</v>
      </c>
      <c r="K23" s="115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</row>
  </sheetData>
  <mergeCells count="33">
    <mergeCell ref="A23:I23"/>
    <mergeCell ref="J23:K23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opLeftCell="A13" zoomScale="130" zoomScaleNormal="130" workbookViewId="0">
      <selection activeCell="O15" sqref="O15:P15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17" t="s">
        <v>3</v>
      </c>
      <c r="B1" s="117"/>
      <c r="C1" s="117"/>
      <c r="D1" s="118">
        <f>'Necesidades Trimestrales'!C6</f>
        <v>2022</v>
      </c>
      <c r="E1" s="118"/>
      <c r="F1" s="10"/>
      <c r="G1" s="10"/>
      <c r="H1" s="11"/>
      <c r="I1" s="11"/>
      <c r="J1" s="11"/>
      <c r="K1" s="11"/>
      <c r="L1" s="11"/>
      <c r="M1" s="11"/>
      <c r="N1" s="11"/>
      <c r="P1" s="119" t="s">
        <v>30</v>
      </c>
      <c r="Q1" s="119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19"/>
      <c r="Q2" s="119"/>
    </row>
    <row r="4" spans="1:17" s="12" customFormat="1" ht="18" customHeight="1" thickBot="1" x14ac:dyDescent="0.25">
      <c r="A4" s="120" t="s">
        <v>31</v>
      </c>
      <c r="B4" s="120"/>
      <c r="C4" s="120"/>
      <c r="D4" s="120"/>
      <c r="E4" s="120"/>
      <c r="F4" s="120"/>
      <c r="G4" s="121" t="str">
        <f>NotaPedido!D3</f>
        <v>40 - Ministerio de Salud</v>
      </c>
      <c r="H4" s="121"/>
      <c r="I4" s="121"/>
      <c r="J4" s="121"/>
      <c r="K4" s="121"/>
      <c r="L4" s="121"/>
      <c r="M4" s="121"/>
      <c r="N4" s="121"/>
      <c r="O4" s="121"/>
      <c r="P4" s="121"/>
      <c r="Q4" s="121"/>
    </row>
    <row r="5" spans="1:17" s="12" customFormat="1" ht="18" customHeight="1" thickBot="1" x14ac:dyDescent="0.25">
      <c r="A5" s="122" t="s">
        <v>54</v>
      </c>
      <c r="B5" s="123"/>
      <c r="C5" s="123"/>
      <c r="D5" s="123"/>
      <c r="E5" s="123"/>
      <c r="F5" s="124"/>
      <c r="G5" s="121" t="str">
        <f>NotaPedido!D4</f>
        <v>23 - Hospital Interzonal San Juan Bautista</v>
      </c>
      <c r="H5" s="121"/>
      <c r="I5" s="121"/>
      <c r="J5" s="121"/>
      <c r="K5" s="121"/>
      <c r="L5" s="121"/>
      <c r="M5" s="121"/>
      <c r="N5" s="121"/>
      <c r="O5" s="121"/>
      <c r="P5" s="121"/>
      <c r="Q5" s="121"/>
    </row>
    <row r="6" spans="1:17" s="12" customFormat="1" ht="18" customHeight="1" thickBot="1" x14ac:dyDescent="0.25">
      <c r="A6" s="122" t="s">
        <v>32</v>
      </c>
      <c r="B6" s="123"/>
      <c r="C6" s="123"/>
      <c r="D6" s="123"/>
      <c r="E6" s="123"/>
      <c r="F6" s="124"/>
      <c r="G6" s="121" t="str">
        <f>NotaPedido!D5</f>
        <v>168 - Direccion Asistencial</v>
      </c>
      <c r="H6" s="121"/>
      <c r="I6" s="121"/>
      <c r="J6" s="121"/>
      <c r="K6" s="121"/>
      <c r="L6" s="121"/>
      <c r="M6" s="121"/>
      <c r="N6" s="121"/>
      <c r="O6" s="121"/>
      <c r="P6" s="121"/>
      <c r="Q6" s="121"/>
    </row>
    <row r="7" spans="1:17" s="12" customFormat="1" ht="18" customHeight="1" thickBot="1" x14ac:dyDescent="0.25">
      <c r="A7" s="122" t="s">
        <v>55</v>
      </c>
      <c r="B7" s="123"/>
      <c r="C7" s="123"/>
      <c r="D7" s="123"/>
      <c r="E7" s="123"/>
      <c r="F7" s="124"/>
      <c r="G7" s="121" t="str">
        <f>NotaPedido!D6</f>
        <v>Servicio de Farmacia</v>
      </c>
      <c r="H7" s="121"/>
      <c r="I7" s="121"/>
      <c r="J7" s="121"/>
      <c r="K7" s="121"/>
      <c r="L7" s="121"/>
      <c r="M7" s="121"/>
      <c r="N7" s="121"/>
      <c r="O7" s="121"/>
      <c r="P7" s="121"/>
      <c r="Q7" s="121"/>
    </row>
    <row r="8" spans="1:17" ht="18" customHeight="1" thickBot="1" x14ac:dyDescent="0.25">
      <c r="A8" s="125" t="s">
        <v>33</v>
      </c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</row>
    <row r="9" spans="1:17" ht="18" customHeight="1" x14ac:dyDescent="0.2">
      <c r="A9" s="126" t="s">
        <v>34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"/>
      <c r="P9" s="1"/>
      <c r="Q9" s="13"/>
    </row>
    <row r="10" spans="1:17" ht="54.75" customHeight="1" x14ac:dyDescent="0.2">
      <c r="A10" s="127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010 - 2022,  afectando la erogación resultante a los créditos presupuestarios aprobados a favor de esta Unidad Ejecutora, conforme al siguiente detalle:</v>
      </c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28" t="s">
        <v>35</v>
      </c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</row>
    <row r="13" spans="1:17" ht="15.75" customHeight="1" x14ac:dyDescent="0.2">
      <c r="A13" s="129" t="s">
        <v>36</v>
      </c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30" t="s">
        <v>37</v>
      </c>
      <c r="P13" s="130"/>
      <c r="Q13" s="131" t="s">
        <v>38</v>
      </c>
    </row>
    <row r="14" spans="1:17" ht="15.75" customHeight="1" x14ac:dyDescent="0.2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30"/>
      <c r="P14" s="130"/>
      <c r="Q14" s="131"/>
    </row>
    <row r="15" spans="1:17" ht="17.25" customHeight="1" x14ac:dyDescent="0.2">
      <c r="A15" s="71">
        <v>33</v>
      </c>
      <c r="B15" s="72"/>
      <c r="C15" s="72"/>
      <c r="D15" s="72">
        <v>2</v>
      </c>
      <c r="E15" s="72"/>
      <c r="F15" s="72">
        <v>4901</v>
      </c>
      <c r="G15" s="72">
        <v>3</v>
      </c>
      <c r="H15" s="73" t="s">
        <v>63</v>
      </c>
      <c r="I15" s="74">
        <v>2</v>
      </c>
      <c r="J15" s="74">
        <v>5</v>
      </c>
      <c r="K15" s="74">
        <v>2</v>
      </c>
      <c r="L15" s="72"/>
      <c r="M15" s="75">
        <v>1</v>
      </c>
      <c r="N15" s="73" t="s">
        <v>64</v>
      </c>
      <c r="O15" s="132" t="s">
        <v>61</v>
      </c>
      <c r="P15" s="132"/>
      <c r="Q15" s="23">
        <v>2218871.84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69"/>
      <c r="I16" s="25"/>
      <c r="J16" s="25"/>
      <c r="K16" s="25"/>
      <c r="L16" s="25"/>
      <c r="M16" s="26"/>
      <c r="N16" s="70"/>
      <c r="O16" s="133"/>
      <c r="P16" s="133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69"/>
      <c r="I17" s="25"/>
      <c r="J17" s="25"/>
      <c r="K17" s="25"/>
      <c r="L17" s="25"/>
      <c r="M17" s="26"/>
      <c r="N17" s="70"/>
      <c r="O17" s="133"/>
      <c r="P17" s="133"/>
      <c r="Q17" s="28"/>
      <c r="S17" s="76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69"/>
      <c r="I18" s="25"/>
      <c r="J18" s="25"/>
      <c r="K18" s="25"/>
      <c r="L18" s="25"/>
      <c r="M18" s="26"/>
      <c r="N18" s="70"/>
      <c r="O18" s="134"/>
      <c r="P18" s="135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35"/>
      <c r="P19" s="135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35"/>
      <c r="P20" s="135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41"/>
      <c r="P21" s="141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42"/>
      <c r="P22" s="142"/>
      <c r="Q22" s="37"/>
    </row>
    <row r="23" spans="1:19" ht="20.25" customHeight="1" x14ac:dyDescent="0.2">
      <c r="A23" s="143" t="s">
        <v>84</v>
      </c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38">
        <f>SUM(Q15:Q22)</f>
        <v>2218871.84</v>
      </c>
    </row>
    <row r="24" spans="1:19" ht="18" customHeight="1" thickBot="1" x14ac:dyDescent="0.25">
      <c r="A24" s="144"/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</row>
    <row r="25" spans="1:19" ht="17.25" customHeight="1" thickBot="1" x14ac:dyDescent="0.25">
      <c r="A25" s="136" t="s">
        <v>52</v>
      </c>
      <c r="B25" s="137"/>
      <c r="C25" s="137"/>
      <c r="D25" s="137"/>
      <c r="E25" s="137"/>
      <c r="F25" s="138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</row>
    <row r="26" spans="1:19" ht="18" customHeight="1" thickBot="1" x14ac:dyDescent="0.25">
      <c r="A26" s="140" t="str">
        <f>"Para la "&amp; NotaPedido!D8 &amp;" para ser destinados al " &amp; NotaPedido!D6 &amp;"  del HISJB del Ministerio de Salud."</f>
        <v>Para la Adquisición de MEDICAMENTOS PARA TERAPIA DERMATOLOGICA/SISTEMA GENITOURINARIO Y HORMONAS SEXUALES /HORMONAS SISTEMICAS /CORTICOIDES SISTEMICOS/RESPIRATORIO/ANTIHISTAMINICOS para ser destinados al Servicio de Farmacia  del HISJB del Ministerio de Salud.</v>
      </c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</row>
    <row r="27" spans="1:19" ht="18" customHeight="1" x14ac:dyDescent="0.2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2020-07-17T22:18:48Z</cp:lastPrinted>
  <dcterms:created xsi:type="dcterms:W3CDTF">2020-07-17T23:44:49Z</dcterms:created>
  <dcterms:modified xsi:type="dcterms:W3CDTF">2022-01-12T14:16:22Z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