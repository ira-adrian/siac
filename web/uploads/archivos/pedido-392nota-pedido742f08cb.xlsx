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A10"/>
  <c r="K12" i="2"/>
  <c r="J12"/>
  <c r="I12"/>
  <c r="C12"/>
  <c r="B12"/>
  <c r="I10" i="1"/>
  <c r="J13" i="2" l="1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<sst xmlns="http://schemas.openxmlformats.org/spreadsheetml/2006/main" count="81" uniqueCount="76">
  <si>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</si>
  <si>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</si>
  <si>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</si>
  <si>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</si>
  <si>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</si>
  <si>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</si>
  <si>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</si>
  <si>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</si>
  <si>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</si>
  <si>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</si>
  <si>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</si>
  <si>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</si>
  <si>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</si>
  <si>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</si>
  <si>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</si>
  <si>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</si>
  <si>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</si>
  <si>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</si>
  <si>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</si>
  <si>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</si>
  <si>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</si>
  <si>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</si>
  <si>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</si>
  <si>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</si>
  <si>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</si>
  <si>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</si>
  <si>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</si>
  <si>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</si>
  <si>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</si>
  <si>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</si>
  <si>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</si>
  <si>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</si>
  <si>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</si>
  <si>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</si>
  <si>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</si>
  <si>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</si>
  <si>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</si>
  <si>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</si>
  <si>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</si>
  <si>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</si>
  <si>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</si>
  <si>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</si>
  <si>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</si>
  <si>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</si>
  <si>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</si>
  <si>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</si>
  <si>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</si>
  <si>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</si>
  <si>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</si>
  <si>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</si>
  <si>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</si>
  <si>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</si>
  <si>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</si>
  <si>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</si>
  <si>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</si>
  <si>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</si>
  <si>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</si>
  <si>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</si>
  <si>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</si>
  <si>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</si>
  <si>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</si>
  <si>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</si>
  <si>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</si>
  <si>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237 - Direccion de Mantenimiento</t>
  </si>
  <si>
    <t xml:space="preserve">Departamento Electromedicina </t>
  </si>
  <si>
    <t>REP. Y ACC. P/EQUIPO MEDICO; USO: RESONADOR
MAGNETICO NUCLEAR , MARCA EQUIPO: GENERAL
ELECTRIC, ELEMENTO: MAGNET MONITOR 3-ROHS,
MODELO EQUIPO: CREATOR 1,5T</t>
  </si>
  <si>
    <t>UNIDAD</t>
  </si>
  <si>
    <t>2.9.6-8875.254</t>
  </si>
  <si>
    <t>2.9.6</t>
  </si>
  <si>
    <t xml:space="preserve">REPUESTOS Y ACCESORIOS </t>
  </si>
  <si>
    <t>Costo total estimado: OCHOCIENTOS CINCUENTA Y SEIS MIL SEISCIENTOS SEIS CON 40/100.--------</t>
  </si>
  <si>
    <t xml:space="preserve">Repuestos y Accesorios </t>
  </si>
  <si>
    <t>TOTAL DE PESOS: OCHOCIENTOS CINCUENTA Y SEIS MIL SEISCIENTOS SEIS CON 40/100.---------</t>
  </si>
  <si>
    <t xml:space="preserve">10 dias para la entrega en el Departamento de Electromedicina </t>
  </si>
  <si>
    <t>003 - 2021</t>
  </si>
  <si>
    <t>REPUESTOS PARA RESONADOR MAGNETICO NUCLEAR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</si>
</sst>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color rgb="FF000000"/>
      <name val="ArialMT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7" fontId="6" fillId="4" borderId="11" xfId="0" applyNumberFormat="1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30"/>
  <sheetViews>
    <sheetView tabSelected="1" zoomScale="85" zoomScaleNormal="85" workbookViewId="0">
      <selection activeCell="I14" sqref="I14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80" t="s">
        <v>0</v>
      </c>
      <c r="C2" s="80"/>
      <c r="D2" s="80"/>
      <c r="E2" s="80"/>
      <c r="F2" s="80"/>
      <c r="G2" s="80"/>
      <c r="H2" s="80"/>
    </row>
    <row r="4" spans="1:9" ht="18" customHeight="1">
      <c r="A4" s="81" t="s">
        <v>1</v>
      </c>
      <c r="B4" s="81"/>
      <c r="C4" s="82" t="s">
        <v>58</v>
      </c>
      <c r="D4" s="82"/>
      <c r="E4" s="82"/>
      <c r="F4" s="40"/>
      <c r="G4" s="41"/>
      <c r="H4" s="40"/>
    </row>
    <row r="5" spans="1:9" ht="18" customHeight="1">
      <c r="A5" s="81" t="s">
        <v>2</v>
      </c>
      <c r="B5" s="81"/>
      <c r="C5" s="82" t="s">
        <v>59</v>
      </c>
      <c r="D5" s="82"/>
      <c r="E5" s="82"/>
      <c r="F5" s="40"/>
      <c r="G5" s="41"/>
      <c r="H5" s="40"/>
    </row>
    <row r="6" spans="1:9" ht="16.5" customHeight="1">
      <c r="A6" s="81" t="s">
        <v>3</v>
      </c>
      <c r="B6" s="81"/>
      <c r="C6" s="63">
        <v>2021</v>
      </c>
      <c r="D6" s="64"/>
      <c r="E6" s="64"/>
      <c r="F6" s="40"/>
      <c r="G6" s="41"/>
      <c r="H6" s="40"/>
    </row>
    <row r="7" spans="1:9" ht="16.5" customHeight="1">
      <c r="A7" s="81" t="s">
        <v>4</v>
      </c>
      <c r="B7" s="81"/>
      <c r="C7" s="63">
        <v>1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75" customHeight="1" thickBot="1">
      <c r="A10" s="56">
        <v>1</v>
      </c>
      <c r="B10" s="79" t="s">
        <v>67</v>
      </c>
      <c r="C10" s="57" t="s">
        <v>69</v>
      </c>
      <c r="D10" s="58" t="s">
        <v>68</v>
      </c>
      <c r="E10" s="59" t="s">
        <v>65</v>
      </c>
      <c r="F10" s="60" t="s">
        <v>66</v>
      </c>
      <c r="G10" s="60">
        <v>1</v>
      </c>
      <c r="H10" s="61">
        <v>856606.4</v>
      </c>
      <c r="I10" s="62">
        <f t="shared" ref="I10" si="0">G10*H10</f>
        <v>856606.4</v>
      </c>
    </row>
    <row r="11" spans="1:9" ht="31.95" customHeight="1"/>
    <row r="12" spans="1:9" ht="31.95" customHeight="1" thickBot="1"/>
    <row r="13" spans="1:9" ht="31.95" customHeight="1">
      <c r="B13" s="42" t="s">
        <v>14</v>
      </c>
      <c r="C13" s="43"/>
      <c r="D13" s="43"/>
      <c r="E13" s="44"/>
    </row>
    <row r="14" spans="1:9" ht="24.75" customHeight="1">
      <c r="B14" s="45"/>
      <c r="C14" s="46"/>
      <c r="D14" s="46"/>
      <c r="E14" s="47"/>
    </row>
    <row r="15" spans="1:9" ht="31.95" customHeight="1">
      <c r="B15" s="48" t="s">
        <v>15</v>
      </c>
      <c r="C15" s="46"/>
      <c r="D15" s="46"/>
      <c r="E15" s="47"/>
    </row>
    <row r="16" spans="1:9" ht="27" customHeight="1">
      <c r="B16" s="48"/>
      <c r="C16" s="86"/>
      <c r="D16" s="86"/>
      <c r="E16" s="86"/>
    </row>
    <row r="17" spans="2:5" ht="31.95" customHeight="1">
      <c r="B17" s="48" t="s">
        <v>16</v>
      </c>
      <c r="C17" s="46"/>
      <c r="D17" s="46"/>
      <c r="E17" s="47"/>
    </row>
    <row r="18" spans="2:5" ht="31.95" customHeight="1">
      <c r="B18" s="49"/>
      <c r="C18" s="87" t="s">
        <v>73</v>
      </c>
      <c r="D18" s="87"/>
      <c r="E18" s="87"/>
    </row>
    <row r="19" spans="2:5" ht="10.5" customHeight="1">
      <c r="B19" s="49"/>
      <c r="C19" s="88"/>
      <c r="D19" s="88"/>
      <c r="E19" s="88"/>
    </row>
    <row r="20" spans="2:5" ht="31.95" customHeight="1">
      <c r="B20" s="48" t="s">
        <v>17</v>
      </c>
      <c r="C20" s="46"/>
      <c r="D20" s="46"/>
      <c r="E20" s="47"/>
    </row>
    <row r="21" spans="2:5" ht="26.25" customHeight="1">
      <c r="B21" s="49"/>
      <c r="C21" s="83"/>
      <c r="D21" s="83"/>
      <c r="E21" s="83"/>
    </row>
    <row r="22" spans="2:5" ht="25.5" customHeight="1">
      <c r="B22" s="48" t="s">
        <v>18</v>
      </c>
      <c r="C22" s="50"/>
      <c r="D22" s="50"/>
      <c r="E22" s="51"/>
    </row>
    <row r="23" spans="2:5" ht="31.5" customHeight="1">
      <c r="B23" s="49"/>
      <c r="C23" s="84" t="s">
        <v>60</v>
      </c>
      <c r="D23" s="84"/>
      <c r="E23" s="84"/>
    </row>
    <row r="24" spans="2:5" ht="31.95" customHeight="1">
      <c r="B24" s="48" t="s">
        <v>19</v>
      </c>
      <c r="C24" s="46"/>
      <c r="D24" s="46"/>
      <c r="E24" s="47"/>
    </row>
    <row r="25" spans="2:5" ht="21.75" customHeight="1">
      <c r="B25" s="48"/>
      <c r="C25" s="85"/>
      <c r="D25" s="85"/>
      <c r="E25" s="85"/>
    </row>
    <row r="26" spans="2:5" ht="31.95" customHeight="1" thickBot="1">
      <c r="B26" s="52"/>
      <c r="C26" s="53"/>
      <c r="D26" s="53"/>
      <c r="E26" s="54"/>
    </row>
    <row r="27" spans="2:5" ht="31.95" customHeight="1"/>
    <row r="28" spans="2:5" ht="31.95" customHeight="1"/>
    <row r="29" spans="2:5" ht="31.95" customHeight="1"/>
    <row r="30" spans="2:5" ht="31.95" customHeight="1"/>
    <row r="31" spans="2:5" ht="31.95" customHeight="1"/>
    <row r="32" spans="2:5" ht="31.95" customHeight="1"/>
    <row r="33" ht="31.95" customHeight="1"/>
    <row r="34" ht="31.95" customHeight="1"/>
    <row r="35" ht="31.95" customHeight="1"/>
    <row r="36" ht="31.95" customHeight="1"/>
    <row r="37" ht="31.95" customHeight="1"/>
    <row r="38" ht="31.95" customHeight="1"/>
    <row r="39" ht="31.95" customHeight="1"/>
    <row r="40" ht="31.95" customHeight="1"/>
    <row r="41" ht="31.95" customHeight="1"/>
    <row r="42" ht="31.95" customHeight="1"/>
    <row r="43" ht="31.95" customHeight="1"/>
    <row r="44" ht="31.95" customHeight="1"/>
    <row r="45" ht="31.95" customHeight="1"/>
    <row r="46" ht="31.95" customHeight="1"/>
    <row r="47" ht="31.95" customHeight="1"/>
    <row r="48" ht="31.95" customHeight="1"/>
    <row r="49" ht="31.95" customHeight="1"/>
    <row r="50" ht="31.95" customHeight="1"/>
    <row r="51" ht="31.95" customHeight="1"/>
    <row r="52" ht="31.95" customHeight="1"/>
    <row r="53" ht="31.95" customHeight="1"/>
    <row r="54" ht="31.95" customHeight="1"/>
    <row r="55" ht="31.95" customHeight="1"/>
    <row r="56" ht="31.95" customHeight="1"/>
    <row r="57" ht="31.95" customHeight="1"/>
    <row r="58" ht="31.95" customHeight="1"/>
    <row r="59" ht="31.95" customHeight="1"/>
    <row r="60" ht="31.95" customHeight="1"/>
    <row r="61" ht="31.95" customHeight="1"/>
    <row r="62" ht="31.95" customHeight="1"/>
    <row r="63" ht="31.95" customHeight="1"/>
    <row r="64" ht="31.95" customHeight="1"/>
    <row r="65" ht="31.95" customHeight="1"/>
    <row r="66" ht="31.95" customHeight="1"/>
    <row r="67" ht="31.95" customHeight="1"/>
    <row r="68" ht="31.95" customHeight="1"/>
    <row r="69" ht="31.95" customHeight="1"/>
    <row r="70" ht="31.95" customHeight="1"/>
    <row r="71" ht="31.95" customHeight="1"/>
    <row r="72" ht="31.95" customHeight="1"/>
    <row r="73" ht="31.95" customHeight="1"/>
    <row r="74" ht="31.95" customHeight="1"/>
    <row r="75" ht="31.95" customHeight="1"/>
    <row r="76" ht="31.95" customHeight="1"/>
    <row r="77" ht="31.95" customHeight="1"/>
    <row r="78" ht="31.95" customHeight="1"/>
    <row r="79" ht="31.95" customHeight="1"/>
    <row r="80" ht="31.95" customHeight="1"/>
    <row r="81" ht="31.95" customHeight="1"/>
    <row r="82" ht="31.95" customHeight="1"/>
    <row r="83" ht="31.95" customHeight="1"/>
    <row r="84" ht="31.95" customHeight="1"/>
    <row r="85" ht="31.95" customHeight="1"/>
    <row r="86" ht="31.95" customHeight="1"/>
    <row r="87" ht="31.95" customHeight="1"/>
    <row r="88" ht="31.95" customHeight="1"/>
    <row r="89" ht="31.95" customHeight="1"/>
    <row r="90" ht="31.95" customHeight="1"/>
    <row r="91" ht="31.95" customHeight="1"/>
    <row r="92" ht="31.95" customHeight="1"/>
    <row r="93" ht="31.95" customHeight="1"/>
    <row r="94" ht="31.95" customHeight="1"/>
    <row r="95" ht="31.95" customHeight="1"/>
    <row r="96" ht="31.95" customHeight="1"/>
    <row r="97" ht="31.95" customHeight="1"/>
    <row r="98" ht="31.95" customHeight="1"/>
    <row r="99" ht="31.95" customHeight="1"/>
    <row r="100" ht="31.95" customHeight="1"/>
    <row r="101" ht="31.95" customHeight="1"/>
    <row r="102" ht="31.95" customHeight="1"/>
    <row r="103" ht="31.95" customHeight="1"/>
    <row r="104" ht="31.95" customHeight="1"/>
    <row r="105" ht="31.95" customHeight="1"/>
    <row r="106" ht="31.95" customHeight="1"/>
    <row r="107" ht="31.95" customHeight="1"/>
    <row r="108" ht="31.95" customHeight="1"/>
    <row r="109" ht="31.95" customHeight="1"/>
    <row r="110" ht="31.95" customHeight="1"/>
    <row r="111" ht="31.95" customHeight="1"/>
    <row r="112" ht="31.95" customHeight="1"/>
    <row r="113" ht="31.95" customHeight="1"/>
    <row r="114" ht="31.95" customHeight="1"/>
    <row r="115" ht="31.95" customHeight="1"/>
    <row r="116" ht="31.95" customHeight="1"/>
    <row r="117" ht="31.95" customHeight="1"/>
    <row r="118" ht="31.95" customHeight="1"/>
    <row r="119" ht="31.95" customHeight="1"/>
    <row r="120" ht="31.95" customHeight="1"/>
    <row r="121" ht="31.95" customHeight="1"/>
    <row r="122" ht="31.95" customHeight="1"/>
    <row r="123" ht="31.95" customHeight="1"/>
    <row r="124" ht="31.95" customHeight="1"/>
    <row r="125" ht="31.95" customHeight="1"/>
    <row r="126" ht="31.95" customHeight="1"/>
    <row r="127" ht="31.95" customHeight="1"/>
    <row r="128" ht="31.95" customHeight="1"/>
    <row r="129" ht="31.95" customHeight="1"/>
    <row r="130" ht="31.95" customHeight="1"/>
    <row r="131" ht="31.95" customHeight="1"/>
    <row r="132" ht="31.95" customHeight="1"/>
    <row r="133" ht="31.95" customHeight="1"/>
    <row r="134" ht="31.95" customHeight="1"/>
    <row r="135" ht="31.95" customHeight="1"/>
    <row r="136" ht="31.95" customHeight="1"/>
    <row r="137" ht="31.95" customHeight="1"/>
    <row r="138" ht="31.95" customHeight="1"/>
    <row r="139" ht="31.95" customHeight="1"/>
    <row r="140" ht="31.95" customHeight="1"/>
    <row r="141" ht="31.95" customHeight="1"/>
    <row r="142" ht="31.95" customHeight="1"/>
    <row r="143" ht="31.95" customHeight="1"/>
    <row r="144" ht="31.95" customHeight="1"/>
    <row r="145" ht="31.95" customHeight="1"/>
    <row r="146" ht="31.95" customHeight="1"/>
    <row r="147" ht="31.95" customHeight="1"/>
    <row r="148" ht="31.95" customHeight="1"/>
    <row r="149" ht="31.95" customHeight="1"/>
    <row r="150" ht="31.95" customHeight="1"/>
    <row r="151" ht="31.95" customHeight="1"/>
    <row r="152" ht="31.95" customHeight="1"/>
    <row r="153" ht="31.95" customHeight="1"/>
    <row r="154" ht="31.95" customHeight="1"/>
    <row r="155" ht="31.95" customHeight="1"/>
    <row r="156" ht="31.95" customHeight="1"/>
    <row r="157" ht="31.95" customHeight="1"/>
    <row r="158" ht="31.95" customHeight="1"/>
    <row r="159" ht="31.95" customHeight="1"/>
    <row r="160" ht="31.95" customHeight="1"/>
    <row r="161" ht="31.95" customHeight="1"/>
    <row r="162" ht="31.95" customHeight="1"/>
    <row r="163" ht="31.95" customHeight="1"/>
    <row r="164" ht="31.95" customHeight="1"/>
    <row r="165" ht="31.95" customHeight="1"/>
    <row r="166" ht="31.95" customHeight="1"/>
    <row r="167" ht="31.95" customHeight="1"/>
    <row r="168" ht="31.95" customHeight="1"/>
    <row r="169" ht="31.95" customHeight="1"/>
    <row r="170" ht="31.95" customHeight="1"/>
    <row r="171" ht="31.95" customHeight="1"/>
    <row r="172" ht="31.95" customHeight="1"/>
    <row r="173" ht="31.95" customHeight="1"/>
    <row r="174" ht="31.95" customHeight="1"/>
    <row r="175" ht="31.95" customHeight="1"/>
    <row r="176" ht="31.95" customHeight="1"/>
    <row r="177" ht="31.95" customHeight="1"/>
    <row r="178" ht="31.95" customHeight="1"/>
    <row r="179" ht="31.95" customHeight="1"/>
    <row r="180" ht="31.95" customHeight="1"/>
    <row r="181" ht="31.95" customHeight="1"/>
    <row r="182" ht="31.95" customHeight="1"/>
    <row r="183" ht="31.95" customHeight="1"/>
    <row r="184" ht="31.95" customHeight="1"/>
    <row r="185" ht="31.95" customHeight="1"/>
    <row r="186" ht="31.95" customHeight="1"/>
    <row r="187" ht="31.95" customHeight="1"/>
    <row r="188" ht="31.95" customHeight="1"/>
    <row r="189" ht="31.95" customHeight="1"/>
    <row r="190" ht="31.95" customHeight="1"/>
    <row r="191" ht="31.95" customHeight="1"/>
    <row r="192" ht="31.95" customHeight="1"/>
    <row r="193" ht="31.95" customHeight="1"/>
    <row r="194" ht="31.95" customHeight="1"/>
    <row r="195" ht="31.95" customHeight="1"/>
    <row r="196" ht="31.95" customHeight="1"/>
    <row r="197" ht="31.95" customHeight="1"/>
    <row r="198" ht="31.95" customHeight="1"/>
    <row r="199" ht="31.95" customHeight="1"/>
    <row r="200" ht="31.95" customHeight="1"/>
    <row r="201" ht="31.95" customHeight="1"/>
    <row r="202" ht="31.95" customHeight="1"/>
    <row r="203" ht="31.95" customHeight="1"/>
    <row r="204" ht="31.95" customHeight="1"/>
    <row r="205" ht="31.95" customHeight="1"/>
    <row r="206" ht="31.95" customHeight="1"/>
    <row r="207" ht="31.95" customHeight="1"/>
    <row r="208" ht="31.95" customHeight="1"/>
    <row r="209" ht="31.95" customHeight="1"/>
    <row r="213" ht="5.25" customHeight="1"/>
    <row r="215" ht="41.25" customHeight="1"/>
    <row r="220" ht="26.25" customHeight="1"/>
    <row r="222" ht="26.25" customHeight="1"/>
    <row r="224" ht="23.25" customHeight="1"/>
    <row r="228" ht="7.5" customHeight="1"/>
    <row r="230" ht="39" customHeight="1"/>
  </sheetData>
  <mergeCells count="13">
    <mergeCell ref="C21:E21"/>
    <mergeCell ref="C23:E23"/>
    <mergeCell ref="C25:E25"/>
    <mergeCell ref="A6:B6"/>
    <mergeCell ref="A7:B7"/>
    <mergeCell ref="C16:E16"/>
    <mergeCell ref="C18:E18"/>
    <mergeCell ref="C19:E1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3"/>
  <sheetViews>
    <sheetView zoomScale="70" zoomScaleNormal="70" workbookViewId="0">
      <selection activeCell="D9" sqref="D9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024" ht="18" customHeight="1">
      <c r="A1" s="89" t="s">
        <v>20</v>
      </c>
      <c r="B1" s="89"/>
      <c r="C1" s="89"/>
      <c r="D1" s="89"/>
      <c r="E1" s="89"/>
      <c r="F1" s="89"/>
      <c r="G1" s="89"/>
      <c r="H1" s="89"/>
      <c r="I1" s="89"/>
      <c r="J1" s="3" t="s">
        <v>21</v>
      </c>
      <c r="K1" s="78" t="s">
        <v>74</v>
      </c>
    </row>
    <row r="2" spans="1:1024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>
      <c r="A3" s="90" t="s">
        <v>54</v>
      </c>
      <c r="B3" s="90"/>
      <c r="C3" s="90"/>
      <c r="D3" s="91" t="str">
        <f>'Necesidades Trimestrales'!C4</f>
        <v>40 - Ministerio de Salud</v>
      </c>
      <c r="E3" s="91"/>
      <c r="F3" s="91"/>
      <c r="G3" s="91"/>
      <c r="H3" s="91"/>
      <c r="I3" s="91"/>
      <c r="J3" s="91"/>
      <c r="K3" s="91"/>
    </row>
    <row r="4" spans="1:1024" ht="18.75" customHeight="1" thickBot="1">
      <c r="A4" s="92" t="s">
        <v>55</v>
      </c>
      <c r="B4" s="92"/>
      <c r="C4" s="92"/>
      <c r="D4" s="91" t="str">
        <f>'Necesidades Trimestrales'!C5</f>
        <v>23 - Hospital Interzonal San Juan Bautista</v>
      </c>
      <c r="E4" s="91"/>
      <c r="F4" s="91"/>
      <c r="G4" s="91"/>
      <c r="H4" s="91"/>
      <c r="I4" s="91"/>
      <c r="J4" s="91"/>
      <c r="K4" s="91"/>
    </row>
    <row r="5" spans="1:1024" ht="18.75" customHeight="1" thickBot="1">
      <c r="A5" s="92" t="s">
        <v>33</v>
      </c>
      <c r="B5" s="92"/>
      <c r="C5" s="92"/>
      <c r="D5" s="91" t="s">
        <v>63</v>
      </c>
      <c r="E5" s="91"/>
      <c r="F5" s="91"/>
      <c r="G5" s="91"/>
      <c r="H5" s="91"/>
      <c r="I5" s="91"/>
      <c r="J5" s="91"/>
      <c r="K5" s="91"/>
    </row>
    <row r="6" spans="1:1024" ht="16.5" customHeight="1" thickBot="1">
      <c r="A6" s="90" t="s">
        <v>56</v>
      </c>
      <c r="B6" s="90"/>
      <c r="C6" s="90"/>
      <c r="D6" s="91" t="s">
        <v>64</v>
      </c>
      <c r="E6" s="91"/>
      <c r="F6" s="91"/>
      <c r="G6" s="91"/>
      <c r="H6" s="91"/>
      <c r="I6" s="91"/>
      <c r="J6" s="91"/>
      <c r="K6" s="91"/>
    </row>
    <row r="7" spans="1:1024" ht="16.5" customHeight="1">
      <c r="A7" s="92" t="s">
        <v>22</v>
      </c>
      <c r="B7" s="92"/>
      <c r="C7" s="92"/>
      <c r="D7" s="91" t="str">
        <f>'Necesidades Trimestrales'!C7 &amp; "° Trimestre - Año " &amp; 'Necesidades Trimestrales'!C6</f>
        <v>1° Trimestre - Año 2021</v>
      </c>
      <c r="E7" s="91"/>
      <c r="F7" s="91"/>
      <c r="G7" s="91"/>
      <c r="H7" s="91"/>
      <c r="I7" s="91"/>
      <c r="J7" s="91"/>
      <c r="K7" s="91"/>
    </row>
    <row r="8" spans="1:1024" ht="16.5" customHeight="1">
      <c r="A8" s="96" t="s">
        <v>23</v>
      </c>
      <c r="B8" s="96"/>
      <c r="C8" s="96"/>
      <c r="D8" s="97" t="s">
        <v>75</v>
      </c>
      <c r="E8" s="97"/>
      <c r="F8" s="97"/>
      <c r="G8" s="97"/>
      <c r="H8" s="97"/>
      <c r="I8" s="97"/>
      <c r="J8" s="97"/>
      <c r="K8" s="97"/>
    </row>
    <row r="9" spans="1:1024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>
      <c r="A10" s="98" t="s">
        <v>24</v>
      </c>
      <c r="B10" s="99" t="s">
        <v>25</v>
      </c>
      <c r="C10" s="99" t="s">
        <v>26</v>
      </c>
      <c r="D10" s="99"/>
      <c r="E10" s="99"/>
      <c r="F10" s="99"/>
      <c r="G10" s="99"/>
      <c r="H10" s="99" t="s">
        <v>27</v>
      </c>
      <c r="I10" s="99" t="s">
        <v>28</v>
      </c>
      <c r="J10" s="99" t="s">
        <v>29</v>
      </c>
      <c r="K10" s="100" t="s">
        <v>30</v>
      </c>
    </row>
    <row r="11" spans="1:1024" ht="24" customHeight="1" thickBot="1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024" ht="75" customHeight="1" thickBot="1">
      <c r="A12" s="8">
        <v>1</v>
      </c>
      <c r="B12" s="65" t="str">
        <f>'Necesidades Trimestrales'!B10</f>
        <v>2.9.6-8875.254</v>
      </c>
      <c r="C12" s="93" t="str">
        <f>'Necesidades Trimestrales'!E10</f>
        <v>REP. Y ACC. P/EQUIPO MEDICO; USO: RESONADORMAGNETICO NUCLEAR , MARCA EQUIPO: GENERALELECTRIC, ELEMENTO: MAGNET MONITOR 3-ROHS,MODELO EQUIPO: CREATOR 1,5T</v>
      </c>
      <c r="D12" s="93"/>
      <c r="E12" s="93"/>
      <c r="F12" s="93"/>
      <c r="G12" s="93"/>
      <c r="H12" s="66" t="s">
        <v>57</v>
      </c>
      <c r="I12" s="67" t="str">
        <f>'Necesidades Trimestrales'!F10</f>
        <v>UNIDAD</v>
      </c>
      <c r="J12" s="68">
        <f>'Necesidades Trimestrales'!H10</f>
        <v>856606.4</v>
      </c>
      <c r="K12" s="69">
        <f>'Necesidades Trimestrales'!G10</f>
        <v>1</v>
      </c>
    </row>
    <row r="13" spans="1:1024" ht="27" customHeight="1" thickBot="1">
      <c r="A13" s="94" t="s">
        <v>70</v>
      </c>
      <c r="B13" s="94"/>
      <c r="C13" s="94"/>
      <c r="D13" s="94"/>
      <c r="E13" s="94"/>
      <c r="F13" s="94"/>
      <c r="G13" s="94"/>
      <c r="H13" s="94"/>
      <c r="I13" s="94"/>
      <c r="J13" s="95">
        <f>SUMPRODUCT(J12:J12,K12:K12)</f>
        <v>856606.4</v>
      </c>
      <c r="K13" s="95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C12:G12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zoomScale="130" zoomScaleNormal="130" workbookViewId="0">
      <selection activeCell="R25" sqref="R25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01" t="s">
        <v>3</v>
      </c>
      <c r="B1" s="101"/>
      <c r="C1" s="101"/>
      <c r="D1" s="102">
        <f>'Necesidades Trimestrales'!C6</f>
        <v>2021</v>
      </c>
      <c r="E1" s="102"/>
      <c r="F1" s="10"/>
      <c r="G1" s="10"/>
      <c r="H1" s="11"/>
      <c r="I1" s="11"/>
      <c r="J1" s="11"/>
      <c r="K1" s="11"/>
      <c r="L1" s="11"/>
      <c r="M1" s="11"/>
      <c r="N1" s="11"/>
      <c r="P1" s="103" t="s">
        <v>31</v>
      </c>
      <c r="Q1" s="103"/>
    </row>
    <row r="2" spans="1:17" ht="15.75" customHeight="1">
      <c r="H2" s="11"/>
      <c r="I2" s="11"/>
      <c r="J2" s="11"/>
      <c r="K2" s="11"/>
      <c r="L2" s="11"/>
      <c r="M2" s="11"/>
      <c r="N2" s="11"/>
      <c r="P2" s="103"/>
      <c r="Q2" s="103"/>
    </row>
    <row r="4" spans="1:17" s="12" customFormat="1" ht="18" customHeight="1" thickBot="1">
      <c r="A4" s="104" t="s">
        <v>32</v>
      </c>
      <c r="B4" s="104"/>
      <c r="C4" s="104"/>
      <c r="D4" s="104"/>
      <c r="E4" s="104"/>
      <c r="F4" s="104"/>
      <c r="G4" s="105" t="str">
        <f>NotaPedido!D3</f>
        <v>40 - Ministerio de Salud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s="12" customFormat="1" ht="18" customHeight="1" thickBot="1">
      <c r="A5" s="106" t="s">
        <v>55</v>
      </c>
      <c r="B5" s="107"/>
      <c r="C5" s="107"/>
      <c r="D5" s="107"/>
      <c r="E5" s="107"/>
      <c r="F5" s="108"/>
      <c r="G5" s="105" t="str">
        <f>NotaPedido!D4</f>
        <v>23 - Hospital Interzonal San Juan Bautista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s="12" customFormat="1" ht="18" customHeight="1" thickBot="1">
      <c r="A6" s="106" t="s">
        <v>33</v>
      </c>
      <c r="B6" s="107"/>
      <c r="C6" s="107"/>
      <c r="D6" s="107"/>
      <c r="E6" s="107"/>
      <c r="F6" s="108"/>
      <c r="G6" s="105" t="str">
        <f>NotaPedido!D5</f>
        <v>237 - Direccion de Mantenimiento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2" customFormat="1" ht="18" customHeight="1" thickBot="1">
      <c r="A7" s="106" t="s">
        <v>56</v>
      </c>
      <c r="B7" s="107"/>
      <c r="C7" s="107"/>
      <c r="D7" s="107"/>
      <c r="E7" s="107"/>
      <c r="F7" s="108"/>
      <c r="G7" s="105" t="str">
        <f>NotaPedido!D6</f>
        <v xml:space="preserve">Departamento Electromedicina 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>
      <c r="A8" s="109" t="s">
        <v>34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>
      <c r="A9" s="110" t="s">
        <v>35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"/>
      <c r="P9" s="1"/>
      <c r="Q9" s="13"/>
    </row>
    <row r="10" spans="1:17" ht="54.75" customHeight="1">
      <c r="A10" s="11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003 - 2021,  afectando la erogación resultante a los créditos presupuestarios aprobados a favor de esta Unidad Ejecutora, conforme al siguiente detalle: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12" t="s">
        <v>36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>
      <c r="A13" s="113" t="s">
        <v>37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38</v>
      </c>
      <c r="P13" s="114"/>
      <c r="Q13" s="115" t="s">
        <v>39</v>
      </c>
    </row>
    <row r="14" spans="1:17" ht="15.75" customHeight="1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4"/>
      <c r="P14" s="114"/>
      <c r="Q14" s="115"/>
    </row>
    <row r="15" spans="1:17" ht="17.25" customHeight="1">
      <c r="A15" s="72">
        <v>33</v>
      </c>
      <c r="B15" s="73"/>
      <c r="C15" s="73"/>
      <c r="D15" s="73">
        <v>4</v>
      </c>
      <c r="E15" s="73"/>
      <c r="F15" s="73">
        <v>4901</v>
      </c>
      <c r="G15" s="73">
        <v>3</v>
      </c>
      <c r="H15" s="74" t="s">
        <v>61</v>
      </c>
      <c r="I15" s="75">
        <v>2</v>
      </c>
      <c r="J15" s="75">
        <v>9</v>
      </c>
      <c r="K15" s="75">
        <v>6</v>
      </c>
      <c r="L15" s="73"/>
      <c r="M15" s="76">
        <v>1</v>
      </c>
      <c r="N15" s="74" t="s">
        <v>62</v>
      </c>
      <c r="O15" s="116" t="s">
        <v>71</v>
      </c>
      <c r="P15" s="116"/>
      <c r="Q15" s="23">
        <v>856606.4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7"/>
      <c r="P16" s="117"/>
      <c r="Q16" s="28"/>
    </row>
    <row r="17" spans="1:19" ht="17.25" customHeight="1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7"/>
      <c r="P17" s="117"/>
      <c r="Q17" s="28"/>
      <c r="S17" s="77"/>
    </row>
    <row r="18" spans="1:19" ht="17.25" customHeight="1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18"/>
      <c r="P18" s="119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9"/>
      <c r="P19" s="119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9"/>
      <c r="P20" s="119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5"/>
      <c r="P21" s="125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6"/>
      <c r="P22" s="126"/>
      <c r="Q22" s="37"/>
    </row>
    <row r="23" spans="1:19" ht="20.25" customHeight="1">
      <c r="A23" s="127" t="s">
        <v>72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38">
        <f>SUM(Q15:Q22)</f>
        <v>856606.4</v>
      </c>
    </row>
    <row r="24" spans="1:19" ht="18" customHeight="1" thickBo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9" ht="17.25" customHeight="1" thickBot="1">
      <c r="A25" s="120" t="s">
        <v>53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>
      <c r="A26" s="124" t="str">
        <f>"Para la "&amp; NotaPedido!D8 &amp;" para ser destinados al " &amp; NotaPedido!D6 &amp;"  del HISJB del Ministerio de Salud."</f>
        <v>Para la REPUESTOS PARA RESONADOR MAGNETICO NUCLEAR para ser destinados al Departamento Electromedicina   del HISJB del Ministerio de Salud.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9" ht="1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2020-07-17T22:18:48Z</cp:lastPrinted>
  <dcterms:created xsi:type="dcterms:W3CDTF">2020-07-17T23:44:49Z</dcterms:created>
  <dcterms:modified xsi:type="dcterms:W3CDTF">2021-02-17T14:46:24Z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