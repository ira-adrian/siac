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DESCARTABLES DE LABORATORIO\salud\final\"/>
    </mc:Choice>
  </mc:AlternateContent>
  <xr:revisionPtr revIDLastSave="0" documentId="13_ncr:1_{02D67F0C-6607-4310-BFC1-3EC3715AC615}" xr6:coauthVersionLast="47" xr6:coauthVersionMax="47" xr10:uidLastSave="{00000000-0000-0000-0000-000000000000}"/>
  <bookViews>
    <workbookView xWindow="-120" yWindow="-120" windowWidth="29040" windowHeight="15840" tabRatio="633" xr2:uid="{00000000-000D-0000-FFFF-FFFF00000000}"/>
  </bookViews>
  <sheets>
    <sheet name="SAF 011" sheetId="1" r:id="rId1"/>
    <sheet name="NP LABORATORIO" sheetId="2" r:id="rId2"/>
    <sheet name="APG LABORATORIO" sheetId="3" r:id="rId3"/>
    <sheet name="NP BANCO DE SANGRE" sheetId="4" r:id="rId4"/>
    <sheet name="APG BANCO DE SANGRE" sheetId="6" r:id="rId5"/>
    <sheet name="NP CUR" sheetId="5" r:id="rId6"/>
    <sheet name="APG CUR" sheetId="7" r:id="rId7"/>
  </sheets>
  <definedNames>
    <definedName name="_xlnm._FilterDatabase" localSheetId="0" hidden="1">'SAF 011'!$A$9:$J$66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10" i="1"/>
  <c r="K15" i="5"/>
  <c r="J15" i="5"/>
  <c r="I15" i="5"/>
  <c r="C15" i="5"/>
  <c r="L15" i="5" l="1"/>
  <c r="K38" i="2"/>
  <c r="J38" i="2"/>
  <c r="I38" i="2"/>
  <c r="C38" i="2"/>
  <c r="K12" i="4"/>
  <c r="J12" i="4"/>
  <c r="I12" i="4"/>
  <c r="C12" i="4"/>
  <c r="L38" i="2" l="1"/>
  <c r="A41" i="7"/>
  <c r="G6" i="7"/>
  <c r="G7" i="7"/>
  <c r="K13" i="5"/>
  <c r="K14" i="5"/>
  <c r="K16" i="5"/>
  <c r="K17" i="5"/>
  <c r="K12" i="5"/>
  <c r="A41" i="6"/>
  <c r="G6" i="6"/>
  <c r="G7" i="6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A39" i="3"/>
  <c r="G6" i="3"/>
  <c r="G7" i="3"/>
  <c r="J17" i="5"/>
  <c r="I17" i="5"/>
  <c r="C17" i="5"/>
  <c r="J16" i="5"/>
  <c r="I16" i="5"/>
  <c r="C16" i="5"/>
  <c r="J14" i="5"/>
  <c r="I14" i="5"/>
  <c r="C14" i="5"/>
  <c r="J13" i="5"/>
  <c r="I13" i="5"/>
  <c r="C13" i="5"/>
  <c r="J12" i="5"/>
  <c r="I12" i="5"/>
  <c r="C12" i="5"/>
  <c r="D4" i="5"/>
  <c r="G5" i="7" s="1"/>
  <c r="D3" i="5"/>
  <c r="G4" i="7" s="1"/>
  <c r="J27" i="4"/>
  <c r="I27" i="4"/>
  <c r="C27" i="4"/>
  <c r="J26" i="4"/>
  <c r="I26" i="4"/>
  <c r="C26" i="4"/>
  <c r="J25" i="4"/>
  <c r="I25" i="4"/>
  <c r="C25" i="4"/>
  <c r="J24" i="4"/>
  <c r="M24" i="4" s="1"/>
  <c r="I24" i="4"/>
  <c r="C24" i="4"/>
  <c r="J23" i="4"/>
  <c r="I23" i="4"/>
  <c r="C23" i="4"/>
  <c r="J22" i="4"/>
  <c r="I22" i="4"/>
  <c r="C22" i="4"/>
  <c r="J21" i="4"/>
  <c r="I21" i="4"/>
  <c r="C21" i="4"/>
  <c r="J20" i="4"/>
  <c r="I20" i="4"/>
  <c r="C20" i="4"/>
  <c r="J19" i="4"/>
  <c r="M19" i="4" s="1"/>
  <c r="I19" i="4"/>
  <c r="C19" i="4"/>
  <c r="J18" i="4"/>
  <c r="I18" i="4"/>
  <c r="C18" i="4"/>
  <c r="J17" i="4"/>
  <c r="I17" i="4"/>
  <c r="C17" i="4"/>
  <c r="J16" i="4"/>
  <c r="M16" i="4" s="1"/>
  <c r="I16" i="4"/>
  <c r="C16" i="4"/>
  <c r="J15" i="4"/>
  <c r="I15" i="4"/>
  <c r="C15" i="4"/>
  <c r="J14" i="4"/>
  <c r="I14" i="4"/>
  <c r="C14" i="4"/>
  <c r="J13" i="4"/>
  <c r="I13" i="4"/>
  <c r="C13" i="4"/>
  <c r="D4" i="4"/>
  <c r="G5" i="6" s="1"/>
  <c r="D3" i="4"/>
  <c r="G4" i="6" s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9" i="2"/>
  <c r="K40" i="2"/>
  <c r="K41" i="2"/>
  <c r="K42" i="2"/>
  <c r="K43" i="2"/>
  <c r="K44" i="2"/>
  <c r="K45" i="2"/>
  <c r="K46" i="2"/>
  <c r="K47" i="2"/>
  <c r="K48" i="2"/>
  <c r="K49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9" i="2"/>
  <c r="J40" i="2"/>
  <c r="J41" i="2"/>
  <c r="J42" i="2"/>
  <c r="J43" i="2"/>
  <c r="J44" i="2"/>
  <c r="J45" i="2"/>
  <c r="J46" i="2"/>
  <c r="J47" i="2"/>
  <c r="J48" i="2"/>
  <c r="J49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9" i="2"/>
  <c r="I40" i="2"/>
  <c r="I41" i="2"/>
  <c r="I42" i="2"/>
  <c r="I43" i="2"/>
  <c r="I44" i="2"/>
  <c r="I45" i="2"/>
  <c r="I46" i="2"/>
  <c r="I47" i="2"/>
  <c r="I48" i="2"/>
  <c r="I49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9" i="2"/>
  <c r="C40" i="2"/>
  <c r="C41" i="2"/>
  <c r="C42" i="2"/>
  <c r="C43" i="2"/>
  <c r="C44" i="2"/>
  <c r="C45" i="2"/>
  <c r="C46" i="2"/>
  <c r="C47" i="2"/>
  <c r="C48" i="2"/>
  <c r="C49" i="2"/>
  <c r="D4" i="2"/>
  <c r="D3" i="2"/>
  <c r="L22" i="2" l="1"/>
  <c r="L43" i="2"/>
  <c r="L34" i="2"/>
  <c r="L26" i="2"/>
  <c r="L18" i="2"/>
  <c r="M14" i="4"/>
  <c r="M18" i="4"/>
  <c r="L47" i="2"/>
  <c r="L39" i="2"/>
  <c r="L30" i="2"/>
  <c r="L14" i="2"/>
  <c r="L12" i="5"/>
  <c r="L13" i="5"/>
  <c r="L17" i="5"/>
  <c r="L48" i="2"/>
  <c r="L46" i="2"/>
  <c r="L42" i="2"/>
  <c r="L37" i="2"/>
  <c r="L33" i="2"/>
  <c r="L29" i="2"/>
  <c r="L25" i="2"/>
  <c r="L21" i="2"/>
  <c r="L17" i="2"/>
  <c r="L13" i="2"/>
  <c r="L49" i="2"/>
  <c r="L45" i="2"/>
  <c r="L41" i="2"/>
  <c r="L36" i="2"/>
  <c r="L32" i="2"/>
  <c r="L28" i="2"/>
  <c r="L24" i="2"/>
  <c r="L20" i="2"/>
  <c r="L16" i="2"/>
  <c r="L12" i="2"/>
  <c r="L16" i="5"/>
  <c r="L44" i="2"/>
  <c r="L40" i="2"/>
  <c r="L35" i="2"/>
  <c r="L31" i="2"/>
  <c r="L27" i="2"/>
  <c r="L23" i="2"/>
  <c r="L19" i="2"/>
  <c r="L15" i="2"/>
  <c r="M17" i="4"/>
  <c r="M21" i="4"/>
  <c r="M25" i="4"/>
  <c r="L14" i="5"/>
  <c r="J19" i="5" s="1"/>
  <c r="M20" i="4"/>
  <c r="M22" i="4"/>
  <c r="M26" i="4"/>
  <c r="M27" i="4"/>
  <c r="M15" i="4"/>
  <c r="M23" i="4"/>
  <c r="M46" i="2"/>
  <c r="O46" i="2" s="1"/>
  <c r="M38" i="2"/>
  <c r="O38" i="2" s="1"/>
  <c r="M34" i="2"/>
  <c r="N34" i="2" s="1"/>
  <c r="M30" i="2"/>
  <c r="O30" i="2" s="1"/>
  <c r="M26" i="2"/>
  <c r="O26" i="2" s="1"/>
  <c r="M23" i="2"/>
  <c r="O23" i="2" s="1"/>
  <c r="M19" i="2"/>
  <c r="N19" i="2" s="1"/>
  <c r="M14" i="2"/>
  <c r="O14" i="2" s="1"/>
  <c r="M49" i="2"/>
  <c r="O49" i="2" s="1"/>
  <c r="M45" i="2"/>
  <c r="O45" i="2" s="1"/>
  <c r="M33" i="2"/>
  <c r="O33" i="2" s="1"/>
  <c r="M29" i="2"/>
  <c r="O29" i="2" s="1"/>
  <c r="M22" i="2"/>
  <c r="O22" i="2" s="1"/>
  <c r="M18" i="2"/>
  <c r="O18" i="2" s="1"/>
  <c r="M13" i="2"/>
  <c r="O13" i="2" s="1"/>
  <c r="M13" i="5"/>
  <c r="M17" i="5"/>
  <c r="M12" i="5"/>
  <c r="M16" i="5"/>
  <c r="M47" i="2"/>
  <c r="O47" i="2" s="1"/>
  <c r="M43" i="2"/>
  <c r="O43" i="2" s="1"/>
  <c r="M39" i="2"/>
  <c r="O39" i="2" s="1"/>
  <c r="M31" i="2"/>
  <c r="O31" i="2" s="1"/>
  <c r="M27" i="2"/>
  <c r="O27" i="2" s="1"/>
  <c r="M20" i="2"/>
  <c r="O20" i="2" s="1"/>
  <c r="M16" i="2"/>
  <c r="O16" i="2" s="1"/>
  <c r="M14" i="5"/>
  <c r="M48" i="2"/>
  <c r="O48" i="2" s="1"/>
  <c r="M44" i="2"/>
  <c r="O44" i="2" s="1"/>
  <c r="M40" i="2"/>
  <c r="O40" i="2" s="1"/>
  <c r="M36" i="2"/>
  <c r="O36" i="2" s="1"/>
  <c r="M32" i="2"/>
  <c r="O32" i="2" s="1"/>
  <c r="M28" i="2"/>
  <c r="O28" i="2" s="1"/>
  <c r="M25" i="2"/>
  <c r="O25" i="2" s="1"/>
  <c r="M21" i="2"/>
  <c r="O21" i="2" s="1"/>
  <c r="M17" i="2"/>
  <c r="O17" i="2" s="1"/>
  <c r="M12" i="2"/>
  <c r="O12" i="2" s="1"/>
  <c r="M42" i="2"/>
  <c r="O42" i="2" s="1"/>
  <c r="M13" i="4"/>
  <c r="M12" i="4"/>
  <c r="M15" i="5"/>
  <c r="M35" i="2"/>
  <c r="O35" i="2" s="1"/>
  <c r="M24" i="2"/>
  <c r="O24" i="2" s="1"/>
  <c r="M15" i="2"/>
  <c r="O15" i="2" s="1"/>
  <c r="M41" i="2"/>
  <c r="O41" i="2" s="1"/>
  <c r="M37" i="2"/>
  <c r="O37" i="2" s="1"/>
  <c r="G5" i="3"/>
  <c r="G4" i="3"/>
  <c r="J51" i="2" l="1"/>
  <c r="N51" i="2"/>
  <c r="Q15" i="3" s="1"/>
  <c r="M19" i="5"/>
  <c r="Q38" i="7" s="1"/>
  <c r="M29" i="4"/>
  <c r="J29" i="4" s="1"/>
  <c r="M51" i="2"/>
  <c r="O51" i="2"/>
  <c r="Q16" i="3" s="1"/>
  <c r="Q15" i="6" l="1"/>
  <c r="Q38" i="6" s="1"/>
  <c r="Q36" i="3"/>
  <c r="P51" i="2"/>
  <c r="I66" i="1" l="1"/>
</calcChain>
</file>

<file path=xl/sharedStrings.xml><?xml version="1.0" encoding="utf-8"?>
<sst xmlns="http://schemas.openxmlformats.org/spreadsheetml/2006/main" count="472" uniqueCount="150">
  <si>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</si>
  <si>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</si>
  <si>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</si>
  <si>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</si>
  <si>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</si>
  <si>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</si>
  <si>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</si>
  <si>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</si>
  <si>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</si>
  <si>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</si>
  <si>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</si>
  <si>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</si>
  <si>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</si>
  <si>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</si>
  <si>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</si>
  <si>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</si>
  <si>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</si>
  <si>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CAJA</t>
  </si>
  <si>
    <t xml:space="preserve">UNIDAD </t>
  </si>
  <si>
    <t>UNIDAD</t>
  </si>
  <si>
    <t>PRIMERO</t>
  </si>
  <si>
    <t>2.9.5</t>
  </si>
  <si>
    <t>BOLSA</t>
  </si>
  <si>
    <t>PRODUCTOS MEDICOS/FARMACEUTICOS/LAB.</t>
  </si>
  <si>
    <t>AGUJAS BD VACUTAINER PRECISIÓN GILDE 21G X 1 X 100 UND.</t>
  </si>
  <si>
    <t>CEPILLO LIMPIA PIPETA DE CERDA NATURAL DE 10 MM</t>
  </si>
  <si>
    <t xml:space="preserve">GUIA V20 C/RUEDITA *SANGRE* </t>
  </si>
  <si>
    <t>LANCETAS RETRÁCTIL BD MICROTAINER X 100 UND.</t>
  </si>
  <si>
    <t>MICROPIPETAS REGULABLES; CAPACIDAD: 100 - 1000 µL, DIVISIONES: CADA 5 µL, MATERIAL: PLASTICO</t>
  </si>
  <si>
    <t>MICROPIPETAS REGULABLES; CAPACIDAD: 10-100 µL, DIVISIONES: CADA 1 µL, MATERIAL: PLASTICO</t>
  </si>
  <si>
    <t>TUBOS VACUTAINER P/SUERO DE 4ML, TAPA ROJA C/ETIQUETA (1000 TUBOS)</t>
  </si>
  <si>
    <t>TOTAL RUBRO DESCARTABLE PARA LABORATORIO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</si>
  <si>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</si>
  <si>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</si>
  <si>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</si>
  <si>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</si>
  <si>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</si>
  <si>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</si>
  <si>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</si>
  <si>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</si>
  <si>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</si>
  <si>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</si>
  <si>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</si>
  <si>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</si>
  <si>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</si>
  <si>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</si>
  <si>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</si>
  <si>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</si>
  <si>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</si>
  <si>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</si>
  <si>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</si>
  <si>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</si>
  <si>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</si>
  <si>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</si>
  <si>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</si>
  <si>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</si>
  <si>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</si>
  <si>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</si>
  <si>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</si>
  <si>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</si>
  <si>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</si>
  <si>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</si>
  <si>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</si>
  <si>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</si>
  <si>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</si>
  <si>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</si>
  <si>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</si>
  <si>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</si>
  <si>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</si>
  <si>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</si>
  <si>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</si>
  <si>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</si>
  <si>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</si>
  <si>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</si>
  <si>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</si>
  <si>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</si>
  <si>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</si>
  <si>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AMPOULE ADAPTER  X 150 pcs TIPO ROCHE</t>
  </si>
  <si>
    <t>CEPILLO LIMPIA TUBOS DE HEMOLISIS TAMAÑO UNIVERSAL</t>
  </si>
  <si>
    <t>Criotubo Expell 5 ml Pre-esterilizados, graduado - Bolsa x 100 un Tipo CAPP (Dinamarca)</t>
  </si>
  <si>
    <t>CUBREOBJETOS HDA 20x20 MM x 200 U Tipo KINDER</t>
  </si>
  <si>
    <t>EPENDORF  0,5 ML BOLSA POR 200 UNIDADES CALIDAD BIOLOGIA MOLECULAR</t>
  </si>
  <si>
    <t>Ependorf 1,5 ml esteriles libres de ADNasa y RNAsa Bolsa fondo en U autoclaves x 500 tipo CAPP (Dinamarca)</t>
  </si>
  <si>
    <t>Ependorf 2 ml esteriles libres de ADNasa y RNAsa Bolsa x 500 tipo DELTALAB</t>
  </si>
  <si>
    <t>ETIQUETAS PARA IMPRESORA ZEBRA x 12 ROLLOS DE 1800 ETIQUETAS C/U</t>
  </si>
  <si>
    <t>Gradilla alambre / plastico 24 Tubos 30 MM Tipo ARGA</t>
  </si>
  <si>
    <t>Gradilla alambre / plastico 48 Tubos 30 MM Tipo ARGA</t>
  </si>
  <si>
    <t>Gradilla PP resistente 80ºC 80 Tubos Eppendorf Tipo DELTALAB</t>
  </si>
  <si>
    <t>HISOPOS NASOFARINGEOS DE DACRON O NYLON</t>
  </si>
  <si>
    <t>JERINGAS HEPARINIZADAS PARA GASES 3 ML X100 UNIDADES TIPO BD</t>
  </si>
  <si>
    <t>MICROHEMATOCRITO CON HEPARINA X100</t>
  </si>
  <si>
    <t>MICROHEMATOCRITO  SIN HEPARINA X100</t>
  </si>
  <si>
    <t>PIPETA AUTOMATICA TIPO SOCOREX VOL REGULABLE DE 5-50 ul</t>
  </si>
  <si>
    <t>PIPETA AUTOMATICA TIPO SOCOREX VOL REGULABLE DE 10-100 ul</t>
  </si>
  <si>
    <t>PIPETA AUTOMATICA TIPO SOCOREX VOL REGULABLE DE 20-200 ul</t>
  </si>
  <si>
    <t>Placa de PCR Expell de 96 pocillos x 0,1 /0,2 ml, sin pollera Calidad Biologia Molecular Libre de DNAasa y RNAasa x 25 Un Tipo CAPP (Dinamarca)</t>
  </si>
  <si>
    <t xml:space="preserve">PLACA DE VIDRIO PARA VDRL X 12 POCILLOS </t>
  </si>
  <si>
    <t>Portaobjetos borde sin pulir 50 U Tipo BREMEN</t>
  </si>
  <si>
    <t>2.3.4</t>
  </si>
  <si>
    <t>rollo de papel para MINIVIDAS x5 unidades</t>
  </si>
  <si>
    <t>TERMOMETRO DE ALCOHOL -10 A 60°C</t>
  </si>
  <si>
    <t>Tips ExpeIIPlus 10 UL Largos, c/filtro Libre de ARNasa y ADNasa Bolsa x 1000 unidades . Tipo NEW LEAF</t>
  </si>
  <si>
    <t>Tips ExpeIIPlus 1000 UL c/filtro Libre de ARNasa y ADNasa Bolsa x 1000 unidades. Tipo NEW LEAF</t>
  </si>
  <si>
    <t>Tips ExpeIIPlus 20 UL , c/filtro Libre de ARNasa y ADNasa Bolsa x 1000 unidades . Tipo NEW LEAF</t>
  </si>
  <si>
    <t>Tips ExpeIIPlus 200 UL c/filtro Libre de ARNasa y ADNasa Bolsa x 1000 unidades. Tipo NEW LEAF</t>
  </si>
  <si>
    <t>Tubo con citrato tapa celeste para coagulograma 1 ml Tipo VITIS</t>
  </si>
  <si>
    <t>TUBO P/HEMOGRAMA EDTA 2 ML TAPA LILA X 1000 UN VACUTAINER TIPO BD</t>
  </si>
  <si>
    <t>TUBO CITRATO SODIO (COAGULOGRAMA) 3,2% 2,7 ML TAPA CELESTE X 1000 UN VACUTAINER TIPO BD</t>
  </si>
  <si>
    <t>TIMER DIGITAL 5 TIEMPOS</t>
  </si>
  <si>
    <t>TUBO DE KAHN DE VIDRIO</t>
  </si>
  <si>
    <t>Tubo para suero con gel tapa Amarilla 5 ML</t>
  </si>
  <si>
    <t>PACK</t>
  </si>
  <si>
    <t>PLACA PARA VDRL CON POCILLO PROFUNDO 12 HOYOS</t>
  </si>
  <si>
    <t>APOSITOS; TIPO: POST EXTRACCION SANGUINEA, TAMAÑO: 40 X 40 mm (X 250 UNIDADES)</t>
  </si>
  <si>
    <t>TUBOS DE ENSAYO; TIPO: CONICO P/CENTRIFUGA, MATERIAL: POLIPROPILENO, DIMENSION: 0,5 A 15 mL, ACCESORIO: SIN VALOR, ACCESORIOS: SIN VALOR (X 1000 UNIDADES)</t>
  </si>
  <si>
    <t>TUBOS DE ENSAYO; TIPO: EPPENDORF, MATERIAL: PLASTICO, DIMENSION: 1.5 mL, ACCESORIOS: SIN, ACCESORIO: SIN (X 1000 UNIDADES)</t>
  </si>
  <si>
    <t>TUBOS DE ENSAYO; TIPO: VACUTAINER UN, MATERIAL: VIDRIO, DIMENSION: 10 mL, ACCESORIOS: SIN, ACCESORIO: SIN (X 100 UNIDADES)</t>
  </si>
  <si>
    <t>TUBOS DE HEMOLISIS; MATERIAL: VIDRIO, PRESENTACION: CAJA, DIMENSION: 100 X 13 DIAM. EXT., MEDIDAS: 100 X 13 DIAM. EXT., FORMA DE PRESENTACION: SOLIDO, ESTADO: SOLIDO (CAJA X 1000 UNIDADES)</t>
  </si>
  <si>
    <t>BOLSAS DE SANGRE TRIPLE</t>
  </si>
  <si>
    <t>DIRECCION PROVINCIAL DE LABORATORIO</t>
  </si>
  <si>
    <t>1° TRIMESTRE 2022</t>
  </si>
  <si>
    <t>ADQ. DEL RUBRO DESCARTABLES PARA LABORATORIO</t>
  </si>
  <si>
    <t xml:space="preserve"> 03/2022</t>
  </si>
  <si>
    <t>Autorizo la realización de los  trámites correspondientes, a fin de proveer a  este Organismo los bienes que se detallan en Nota  de Pedido N° 03/2022 afectando la erogación resultante a los créditos presupuestarios aprobados a favor de esta Unidad Ejecutora, conforme al siguiente detalle:</t>
  </si>
  <si>
    <t>1.1</t>
  </si>
  <si>
    <t>PRODUCTOS DE PAPEL Y CARTON</t>
  </si>
  <si>
    <t>UTILES MENORES MEDICOS, QUIRURGICOS Y DE LABORATORIO</t>
  </si>
  <si>
    <t>DIRECCION PROVINCIAL BANCO DE SANGRE</t>
  </si>
  <si>
    <t xml:space="preserve"> 04/2022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</si>
  <si>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</si>
  <si>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 xml:space="preserve"> 05/2022</t>
  </si>
  <si>
    <t>Autorizo la realización de los  trámites correspondientes, a fin de proveer a  este Organismo los bienes que se detallan en Nota  de Pedido N° 05/2022 afectando la erogación resultante a los créditos presupuestarios aprobados a favor de esta Unidad Ejecutora, conforme al siguiente detalle:</t>
  </si>
  <si>
    <t>DIRECCION PROVINCIAL CENTRO UNICO DE REFERENCIA</t>
  </si>
  <si>
    <t>TUBOS VACUTAINER K2 EDTA TAPA LILA 3.0 ML (100 TUBOS)</t>
  </si>
  <si>
    <t>TUBOS VACUTAINER SST TAPA AMARILLA 3.5 ML  (100 TUBOS)</t>
  </si>
  <si>
    <t>Frasco de Bioseguridad Triple  Tipo SISTEG M6</t>
  </si>
  <si>
    <t xml:space="preserve">TIPS AMARILLO 5-200 UL SIN CORONA bolsa X 1000 UNIDADES </t>
  </si>
  <si>
    <t>TIPS BLANCO GRADUADO 0.1-10 ul C/CORONA BOLSA POR 1000 UNIDADES</t>
  </si>
  <si>
    <t>TUBO CONICO PP GRADUADO CON TAPA (envase INDIVIDUAL) - 15 ML TIPO VITIS</t>
  </si>
  <si>
    <t>BOLSAS DE SANGRE TRIPLE KS TIPO GRIFOLS PARA EL EQUIPAMIENTO DE AFERESIS GRIFOLS</t>
  </si>
  <si>
    <t xml:space="preserve">TIPS AZUL 100-1000 ul bolsa  X 1000 UNIDADES CON CORONA </t>
  </si>
  <si>
    <t xml:space="preserve">TIPS AMARILLO 5-200 UL CON CORONA bolsa X 1000 UNIDADES </t>
  </si>
  <si>
    <t>NO</t>
  </si>
  <si>
    <t>TOTAL DE PESOS: QUINCE MILLONES SEISCIENTOS SETENTA Y DOS MIL DOSCIENTOS NOVENTA Y CUATRO CON 00/100.-</t>
  </si>
  <si>
    <t>Costo total estimado: QUINCE MILLONES SEISCIENTOS SETENTA Y DOS MIL DOSCIENTOS NOVENTA Y CUATRO CON 00/100.-</t>
  </si>
  <si>
    <t>TOTAL DE PESOS: TRES MILLONES SETECIENTOS ONCE MIL CUATROCIENTOS TREINTA Y TRES CON 00/100.-</t>
  </si>
  <si>
    <t>Costo total estimado: TRES MILLONES SETECIENTOS ONCE MIL CUATROCIENTOS TREINTA Y TRES CON 00/100.-</t>
  </si>
  <si>
    <t>TOTAL DE PESOS: SEISCIENTOS OCHENTA Y SIETE MIL DOSCIENTOS NOVENTA Y CINCO CON 00/100.-</t>
  </si>
  <si>
    <t>Costo total estimado: SEISCIENTOS OCHENTA Y SIETE MIL DOSCIENTOS NOVENTA Y CINCO CON 00/100.-</t>
  </si>
  <si>
    <t>* Los items 2, 7 AL 17, 19, 20, 22, 23, 26 AL 30, 32 AL 35, 37 (30 UNID), 38 (10 UNID), 39 AL 49 DIR. PROV. DE LABORATORIO - CHACABUCO N° 169 - en el horario de 8:00hs a 12:00hs de lunes a viernes
* Los items 1, 3 (5 UNID), 21, 36 (3 UNID), 54 Y 56 DIR. PROV. CUR - CENTRO UNICO DE REFERENCIA - Dr Julio Herrera N° 250. en el horario de 8:00hs a 12:00hs de lunes a viernes
- Los items 3 (50 UNID), 4 AL 6, 18, 24, 25, 31, 36 (7 UNID), 37, 38, 50, 51, 52, 53 y 55   DIR. PROV. BANCO DE SANGRE - Pasaje Boto Gray N°500 (frente la Maternida Provincial 25 de Mayo) en el horario de 8:00hs a 12:00hs de lunes a viernes.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</si>
</sst>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medium">
        <color auto="1"/>
      </right>
      <top style="medium">
        <color rgb="FF3D3D3D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8" applyProtection="0"/>
    <xf numFmtId="0" fontId="12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170" fontId="25" fillId="0" borderId="0" applyBorder="0" applyProtection="0"/>
  </cellStyleXfs>
  <cellXfs count="23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3" fontId="7" fillId="0" borderId="7" xfId="2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0" fontId="9" fillId="0" borderId="5" xfId="0" applyFont="1" applyBorder="1"/>
    <xf numFmtId="0" fontId="9" fillId="0" borderId="0" xfId="0" applyFont="1"/>
    <xf numFmtId="0" fontId="17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8" fillId="0" borderId="21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 indent="1"/>
    </xf>
    <xf numFmtId="0" fontId="17" fillId="0" borderId="15" xfId="0" applyFont="1" applyBorder="1" applyAlignment="1">
      <alignment horizontal="left" vertical="center" wrapText="1" indent="1"/>
    </xf>
    <xf numFmtId="0" fontId="20" fillId="0" borderId="27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3" fontId="21" fillId="0" borderId="28" xfId="0" applyNumberFormat="1" applyFont="1" applyBorder="1" applyAlignment="1">
      <alignment horizontal="center" vertical="center"/>
    </xf>
    <xf numFmtId="3" fontId="23" fillId="0" borderId="32" xfId="0" applyNumberFormat="1" applyFont="1" applyBorder="1" applyAlignment="1"/>
    <xf numFmtId="169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8" xfId="0" applyBorder="1"/>
    <xf numFmtId="0" fontId="28" fillId="0" borderId="41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42" xfId="0" applyFont="1" applyBorder="1" applyAlignment="1">
      <alignment horizontal="left" vertical="center"/>
    </xf>
    <xf numFmtId="0" fontId="28" fillId="0" borderId="43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1" fontId="0" fillId="0" borderId="48" xfId="32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1" fontId="0" fillId="0" borderId="53" xfId="32" applyNumberFormat="1" applyFont="1" applyBorder="1" applyAlignment="1" applyProtection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32" applyNumberFormat="1" applyFont="1" applyBorder="1" applyAlignment="1" applyProtection="1">
      <alignment horizontal="center" vertical="center"/>
    </xf>
    <xf numFmtId="171" fontId="28" fillId="0" borderId="59" xfId="0" applyNumberFormat="1" applyFont="1" applyBorder="1" applyAlignment="1">
      <alignment horizontal="center" vertical="center"/>
    </xf>
    <xf numFmtId="0" fontId="29" fillId="0" borderId="10" xfId="5" applyFont="1" applyFill="1" applyBorder="1" applyAlignment="1">
      <alignment horizontal="center" vertical="center" wrapText="1"/>
    </xf>
    <xf numFmtId="0" fontId="29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9" fillId="0" borderId="21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29" fillId="0" borderId="21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29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0" fillId="0" borderId="52" xfId="0" applyFont="1" applyBorder="1" applyAlignment="1">
      <alignment horizontal="center" vertical="center"/>
    </xf>
    <xf numFmtId="0" fontId="7" fillId="0" borderId="1" xfId="0" applyFont="1" applyFill="1" applyBorder="1"/>
    <xf numFmtId="0" fontId="7" fillId="0" borderId="0" xfId="0" applyFont="1" applyFill="1"/>
    <xf numFmtId="0" fontId="7" fillId="0" borderId="5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7" fontId="16" fillId="0" borderId="11" xfId="0" applyNumberFormat="1" applyFont="1" applyBorder="1" applyAlignment="1">
      <alignment horizontal="right" vertical="center"/>
    </xf>
    <xf numFmtId="167" fontId="16" fillId="0" borderId="0" xfId="0" applyNumberFormat="1" applyFont="1" applyBorder="1" applyAlignment="1">
      <alignment vertical="center"/>
    </xf>
    <xf numFmtId="167" fontId="17" fillId="0" borderId="0" xfId="0" applyNumberFormat="1" applyFont="1" applyBorder="1" applyAlignment="1">
      <alignment horizontal="left" vertical="center" wrapText="1" indent="1"/>
    </xf>
    <xf numFmtId="167" fontId="21" fillId="0" borderId="1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0" fillId="0" borderId="0" xfId="0" applyFont="1"/>
    <xf numFmtId="0" fontId="32" fillId="0" borderId="25" xfId="0" applyFont="1" applyBorder="1" applyAlignment="1">
      <alignment horizontal="center" vertical="center"/>
    </xf>
    <xf numFmtId="0" fontId="32" fillId="0" borderId="9" xfId="0" applyFont="1" applyBorder="1" applyAlignment="1">
      <alignment horizontal="left" vertical="center"/>
    </xf>
    <xf numFmtId="0" fontId="32" fillId="0" borderId="64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2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 wrapText="1"/>
    </xf>
    <xf numFmtId="167" fontId="32" fillId="0" borderId="9" xfId="0" applyNumberFormat="1" applyFont="1" applyBorder="1" applyAlignment="1">
      <alignment horizontal="center" vertical="center" wrapText="1"/>
    </xf>
    <xf numFmtId="3" fontId="32" fillId="0" borderId="2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167" fontId="32" fillId="0" borderId="2" xfId="0" applyNumberFormat="1" applyFont="1" applyBorder="1" applyAlignment="1">
      <alignment horizontal="center" vertical="center" wrapText="1"/>
    </xf>
    <xf numFmtId="3" fontId="32" fillId="0" borderId="65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67" fontId="32" fillId="0" borderId="1" xfId="0" applyNumberFormat="1" applyFont="1" applyBorder="1" applyAlignment="1">
      <alignment horizontal="center" vertical="center" wrapText="1"/>
    </xf>
    <xf numFmtId="3" fontId="32" fillId="0" borderId="28" xfId="0" applyNumberFormat="1" applyFont="1" applyBorder="1" applyAlignment="1">
      <alignment horizontal="center" vertical="center"/>
    </xf>
    <xf numFmtId="0" fontId="0" fillId="0" borderId="72" xfId="0" applyFont="1" applyBorder="1" applyAlignment="1">
      <alignment horizontal="center" vertical="center"/>
    </xf>
    <xf numFmtId="0" fontId="0" fillId="0" borderId="73" xfId="0" applyFont="1" applyBorder="1" applyAlignment="1">
      <alignment horizontal="center" vertical="center"/>
    </xf>
    <xf numFmtId="0" fontId="0" fillId="0" borderId="74" xfId="0" applyFont="1" applyBorder="1" applyAlignment="1">
      <alignment horizontal="center" vertical="center"/>
    </xf>
    <xf numFmtId="171" fontId="0" fillId="0" borderId="75" xfId="32" applyNumberFormat="1" applyFont="1" applyBorder="1" applyAlignment="1" applyProtection="1">
      <alignment horizontal="center" vertical="center"/>
    </xf>
    <xf numFmtId="171" fontId="0" fillId="0" borderId="76" xfId="32" applyNumberFormat="1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71" fontId="0" fillId="0" borderId="28" xfId="32" applyNumberFormat="1" applyFont="1" applyBorder="1" applyAlignment="1" applyProtection="1">
      <alignment horizontal="center" vertical="center"/>
    </xf>
    <xf numFmtId="171" fontId="28" fillId="0" borderId="7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7" fillId="0" borderId="81" xfId="0" applyFont="1" applyBorder="1" applyAlignment="1">
      <alignment vertical="center"/>
    </xf>
    <xf numFmtId="167" fontId="30" fillId="0" borderId="0" xfId="0" applyNumberFormat="1" applyFont="1"/>
    <xf numFmtId="0" fontId="30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3" fontId="7" fillId="2" borderId="2" xfId="2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7" fontId="7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34" fillId="0" borderId="5" xfId="0" applyFont="1" applyFill="1" applyBorder="1"/>
    <xf numFmtId="3" fontId="7" fillId="2" borderId="82" xfId="2" applyNumberFormat="1" applyFont="1" applyFill="1" applyBorder="1" applyAlignment="1">
      <alignment horizontal="center" vertical="center" wrapText="1"/>
    </xf>
    <xf numFmtId="0" fontId="32" fillId="0" borderId="6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167" fontId="32" fillId="0" borderId="1" xfId="0" applyNumberFormat="1" applyFont="1" applyFill="1" applyBorder="1" applyAlignment="1">
      <alignment horizontal="center" vertical="center" wrapText="1"/>
    </xf>
    <xf numFmtId="3" fontId="32" fillId="0" borderId="28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167" fontId="30" fillId="0" borderId="0" xfId="0" applyNumberFormat="1" applyFont="1" applyFill="1"/>
    <xf numFmtId="0" fontId="0" fillId="0" borderId="0" xfId="0" applyFont="1" applyFill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/>
    </xf>
    <xf numFmtId="0" fontId="3" fillId="0" borderId="61" xfId="5" applyFont="1" applyBorder="1" applyAlignment="1">
      <alignment horizontal="left" vertical="center"/>
    </xf>
    <xf numFmtId="0" fontId="3" fillId="0" borderId="63" xfId="5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2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3" fillId="0" borderId="21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18" fillId="0" borderId="18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 wrapText="1"/>
    </xf>
    <xf numFmtId="0" fontId="32" fillId="0" borderId="66" xfId="0" applyFont="1" applyBorder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/>
    </xf>
    <xf numFmtId="0" fontId="19" fillId="0" borderId="2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6" fontId="18" fillId="0" borderId="29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167" fontId="19" fillId="0" borderId="23" xfId="0" applyNumberFormat="1" applyFont="1" applyBorder="1" applyAlignment="1">
      <alignment horizontal="center" vertical="center" wrapText="1"/>
    </xf>
    <xf numFmtId="167" fontId="19" fillId="0" borderId="71" xfId="0" applyNumberFormat="1" applyFont="1" applyBorder="1" applyAlignment="1">
      <alignment horizontal="center" vertical="center" wrapText="1"/>
    </xf>
    <xf numFmtId="0" fontId="32" fillId="0" borderId="68" xfId="0" applyFont="1" applyBorder="1" applyAlignment="1">
      <alignment horizontal="left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0" fontId="22" fillId="0" borderId="29" xfId="0" applyFont="1" applyBorder="1" applyAlignment="1">
      <alignment horizontal="left" vertical="center" wrapText="1" indent="1"/>
    </xf>
    <xf numFmtId="0" fontId="26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23" fillId="0" borderId="31" xfId="0" applyNumberFormat="1" applyFont="1" applyBorder="1" applyAlignment="1">
      <alignment horizontal="center"/>
    </xf>
    <xf numFmtId="0" fontId="24" fillId="0" borderId="12" xfId="0" applyFont="1" applyBorder="1" applyAlignment="1">
      <alignment horizontal="center" vertical="center" wrapText="1"/>
    </xf>
    <xf numFmtId="0" fontId="25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/>
    </xf>
    <xf numFmtId="0" fontId="0" fillId="0" borderId="52" xfId="0" applyFont="1" applyBorder="1" applyAlignment="1">
      <alignment horizontal="center" vertical="center"/>
    </xf>
    <xf numFmtId="49" fontId="26" fillId="0" borderId="37" xfId="0" applyNumberFormat="1" applyFont="1" applyBorder="1" applyAlignment="1">
      <alignment horizontal="justify" vertical="center" wrapText="1"/>
    </xf>
    <xf numFmtId="0" fontId="28" fillId="0" borderId="77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/>
    </xf>
    <xf numFmtId="0" fontId="0" fillId="0" borderId="73" xfId="0" applyFont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2" xfId="0" applyFont="1" applyBorder="1" applyAlignment="1">
      <alignment horizontal="left" vertical="center"/>
    </xf>
    <xf numFmtId="0" fontId="23" fillId="0" borderId="17" xfId="0" applyFont="1" applyBorder="1" applyAlignment="1">
      <alignment vertical="center" wrapText="1"/>
    </xf>
    <xf numFmtId="0" fontId="26" fillId="0" borderId="40" xfId="0" applyFont="1" applyBorder="1" applyAlignment="1">
      <alignment vertical="center" wrapText="1"/>
    </xf>
    <xf numFmtId="0" fontId="26" fillId="0" borderId="29" xfId="0" applyFont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3" fillId="0" borderId="78" xfId="0" applyFont="1" applyBorder="1" applyAlignment="1">
      <alignment horizontal="left" vertical="center" wrapText="1"/>
    </xf>
    <xf numFmtId="0" fontId="0" fillId="0" borderId="37" xfId="0" applyBorder="1"/>
    <xf numFmtId="0" fontId="32" fillId="2" borderId="66" xfId="0" applyFont="1" applyFill="1" applyBorder="1" applyAlignment="1">
      <alignment horizontal="left" vertical="center" wrapText="1"/>
    </xf>
    <xf numFmtId="0" fontId="32" fillId="2" borderId="67" xfId="0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left" vertical="center" wrapText="1"/>
    </xf>
    <xf numFmtId="0" fontId="32" fillId="0" borderId="66" xfId="0" applyFont="1" applyFill="1" applyBorder="1" applyAlignment="1">
      <alignment horizontal="left" vertical="center" wrapText="1"/>
    </xf>
    <xf numFmtId="0" fontId="32" fillId="0" borderId="67" xfId="0" applyFont="1" applyFill="1" applyBorder="1" applyAlignment="1">
      <alignment horizontal="left"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25" fillId="0" borderId="33" xfId="0" applyFont="1" applyBorder="1"/>
    <xf numFmtId="0" fontId="26" fillId="0" borderId="34" xfId="0" applyFont="1" applyBorder="1" applyAlignment="1">
      <alignment horizontal="left" indent="1"/>
    </xf>
    <xf numFmtId="0" fontId="28" fillId="0" borderId="36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23" fillId="0" borderId="58" xfId="0" applyFont="1" applyBorder="1" applyAlignment="1">
      <alignment horizontal="left" vertical="center" wrapText="1"/>
    </xf>
    <xf numFmtId="0" fontId="0" fillId="0" borderId="36" xfId="0" applyBorder="1"/>
    <xf numFmtId="0" fontId="32" fillId="0" borderId="9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 wrapText="1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1626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6"/>
  <sheetViews>
    <sheetView tabSelected="1" zoomScale="96" zoomScaleNormal="96" workbookViewId="0">
      <selection activeCell="N20" sqref="N20"/>
    </sheetView>
  </sheetViews>
  <sheetFormatPr baseColWidth="10" defaultRowHeight="15" x14ac:dyDescent="0.25"/>
  <cols>
    <col min="1" max="1" width="7.7109375" style="20" bestFit="1" customWidth="1"/>
    <col min="2" max="2" width="18.28515625" style="20" bestFit="1" customWidth="1"/>
    <col min="3" max="3" width="45" style="20" customWidth="1"/>
    <col min="4" max="4" width="10.5703125" style="20" bestFit="1" customWidth="1"/>
    <col min="5" max="5" width="89.5703125" style="21" bestFit="1" customWidth="1"/>
    <col min="6" max="6" width="15.7109375" style="20" bestFit="1" customWidth="1"/>
    <col min="7" max="7" width="15.5703125" style="22" bestFit="1" customWidth="1"/>
    <col min="8" max="8" width="15.5703125" style="23" bestFit="1" customWidth="1"/>
    <col min="9" max="9" width="21.7109375" style="23" bestFit="1" customWidth="1"/>
    <col min="10" max="10" width="28.28515625" bestFit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ht="18.75" x14ac:dyDescent="0.25">
      <c r="A2" s="3"/>
      <c r="B2" s="165" t="s">
        <v>0</v>
      </c>
      <c r="C2" s="165"/>
      <c r="D2" s="165"/>
      <c r="E2" s="165"/>
      <c r="F2" s="165"/>
      <c r="G2" s="165"/>
      <c r="H2" s="165"/>
      <c r="I2" s="7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164" t="s">
        <v>1</v>
      </c>
      <c r="B4" s="164"/>
      <c r="C4" s="94" t="s">
        <v>2</v>
      </c>
      <c r="D4" s="94"/>
      <c r="E4" s="94"/>
      <c r="F4" s="8"/>
      <c r="G4" s="9"/>
      <c r="H4" s="6"/>
      <c r="I4" s="7"/>
    </row>
    <row r="5" spans="1:11" ht="15" customHeight="1" x14ac:dyDescent="0.25">
      <c r="A5" s="164" t="s">
        <v>3</v>
      </c>
      <c r="B5" s="164"/>
      <c r="C5" s="94" t="s">
        <v>4</v>
      </c>
      <c r="D5" s="94"/>
      <c r="E5" s="94"/>
      <c r="F5" s="8"/>
      <c r="G5" s="9"/>
      <c r="H5" s="6"/>
      <c r="I5" s="7"/>
    </row>
    <row r="6" spans="1:11" x14ac:dyDescent="0.25">
      <c r="A6" s="164" t="s">
        <v>5</v>
      </c>
      <c r="B6" s="164"/>
      <c r="C6" s="95">
        <v>2022</v>
      </c>
      <c r="D6" s="96"/>
      <c r="E6" s="95"/>
      <c r="F6" s="8"/>
      <c r="G6" s="9"/>
      <c r="H6" s="6"/>
      <c r="I6" s="7"/>
    </row>
    <row r="7" spans="1:11" ht="14.45" customHeight="1" x14ac:dyDescent="0.25">
      <c r="A7" s="164" t="s">
        <v>6</v>
      </c>
      <c r="B7" s="164"/>
      <c r="C7" s="95" t="s">
        <v>20</v>
      </c>
      <c r="D7" s="96"/>
      <c r="E7" s="95"/>
      <c r="F7" s="8"/>
      <c r="G7" s="9"/>
      <c r="H7" s="6"/>
      <c r="I7" s="7"/>
    </row>
    <row r="8" spans="1:11" x14ac:dyDescent="0.25">
      <c r="A8" s="3"/>
      <c r="B8" s="8"/>
      <c r="C8" s="8"/>
      <c r="D8" s="8"/>
      <c r="E8" s="10"/>
      <c r="F8" s="8"/>
      <c r="G8" s="9"/>
      <c r="H8" s="6"/>
      <c r="I8" s="7"/>
    </row>
    <row r="9" spans="1:11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  <c r="K9" s="24"/>
    </row>
    <row r="10" spans="1:11" s="92" customFormat="1" ht="12.75" x14ac:dyDescent="0.2">
      <c r="A10" s="136">
        <v>1</v>
      </c>
      <c r="B10" s="136"/>
      <c r="C10" s="136" t="s">
        <v>23</v>
      </c>
      <c r="D10" s="136" t="s">
        <v>21</v>
      </c>
      <c r="E10" s="141" t="s">
        <v>24</v>
      </c>
      <c r="F10" s="136" t="s">
        <v>17</v>
      </c>
      <c r="G10" s="142">
        <v>5</v>
      </c>
      <c r="H10" s="137">
        <v>18600</v>
      </c>
      <c r="I10" s="137">
        <f>G10*H10</f>
        <v>93000</v>
      </c>
      <c r="J10" s="91"/>
    </row>
    <row r="11" spans="1:11" s="92" customFormat="1" ht="12.75" x14ac:dyDescent="0.2">
      <c r="A11" s="135">
        <v>2</v>
      </c>
      <c r="B11" s="135"/>
      <c r="C11" s="136" t="s">
        <v>23</v>
      </c>
      <c r="D11" s="135" t="s">
        <v>21</v>
      </c>
      <c r="E11" s="140" t="s">
        <v>77</v>
      </c>
      <c r="F11" s="135" t="s">
        <v>17</v>
      </c>
      <c r="G11" s="139">
        <v>2</v>
      </c>
      <c r="H11" s="137">
        <v>5689</v>
      </c>
      <c r="I11" s="137">
        <f t="shared" ref="I11:I65" si="0">G11*H11</f>
        <v>11378</v>
      </c>
      <c r="J11" s="91"/>
    </row>
    <row r="12" spans="1:11" s="92" customFormat="1" ht="12.75" x14ac:dyDescent="0.2">
      <c r="A12" s="135">
        <v>3</v>
      </c>
      <c r="B12" s="135"/>
      <c r="C12" s="136" t="s">
        <v>23</v>
      </c>
      <c r="D12" s="135" t="s">
        <v>21</v>
      </c>
      <c r="E12" s="140" t="s">
        <v>113</v>
      </c>
      <c r="F12" s="135" t="s">
        <v>17</v>
      </c>
      <c r="G12" s="139">
        <v>55</v>
      </c>
      <c r="H12" s="137">
        <v>600</v>
      </c>
      <c r="I12" s="137">
        <f t="shared" si="0"/>
        <v>33000</v>
      </c>
      <c r="J12" s="91"/>
    </row>
    <row r="13" spans="1:11" s="92" customFormat="1" ht="12.75" x14ac:dyDescent="0.2">
      <c r="A13" s="136">
        <v>4</v>
      </c>
      <c r="B13" s="135"/>
      <c r="C13" s="136" t="s">
        <v>23</v>
      </c>
      <c r="D13" s="135" t="s">
        <v>21</v>
      </c>
      <c r="E13" s="140" t="s">
        <v>118</v>
      </c>
      <c r="F13" s="135" t="s">
        <v>18</v>
      </c>
      <c r="G13" s="139">
        <v>1000</v>
      </c>
      <c r="H13" s="137">
        <v>1207</v>
      </c>
      <c r="I13" s="137">
        <f t="shared" si="0"/>
        <v>1207000</v>
      </c>
      <c r="J13" s="91"/>
    </row>
    <row r="14" spans="1:11" s="92" customFormat="1" ht="12.75" x14ac:dyDescent="0.2">
      <c r="A14" s="135">
        <v>5</v>
      </c>
      <c r="B14" s="135"/>
      <c r="C14" s="136" t="s">
        <v>23</v>
      </c>
      <c r="D14" s="135" t="s">
        <v>21</v>
      </c>
      <c r="E14" s="140" t="s">
        <v>139</v>
      </c>
      <c r="F14" s="135" t="s">
        <v>19</v>
      </c>
      <c r="G14" s="139">
        <v>1794</v>
      </c>
      <c r="H14" s="137">
        <v>1095</v>
      </c>
      <c r="I14" s="137">
        <f t="shared" si="0"/>
        <v>1964430</v>
      </c>
      <c r="J14" s="91"/>
    </row>
    <row r="15" spans="1:11" s="92" customFormat="1" ht="12.75" x14ac:dyDescent="0.2">
      <c r="A15" s="135">
        <v>6</v>
      </c>
      <c r="B15" s="135"/>
      <c r="C15" s="136" t="s">
        <v>23</v>
      </c>
      <c r="D15" s="135" t="s">
        <v>21</v>
      </c>
      <c r="E15" s="140" t="s">
        <v>25</v>
      </c>
      <c r="F15" s="135" t="s">
        <v>19</v>
      </c>
      <c r="G15" s="139">
        <v>10</v>
      </c>
      <c r="H15" s="137">
        <v>125</v>
      </c>
      <c r="I15" s="137">
        <f t="shared" si="0"/>
        <v>1250</v>
      </c>
      <c r="J15" s="91"/>
    </row>
    <row r="16" spans="1:11" s="92" customFormat="1" ht="12.75" x14ac:dyDescent="0.2">
      <c r="A16" s="136">
        <v>7</v>
      </c>
      <c r="B16" s="135"/>
      <c r="C16" s="136" t="s">
        <v>23</v>
      </c>
      <c r="D16" s="135" t="s">
        <v>21</v>
      </c>
      <c r="E16" s="140" t="s">
        <v>78</v>
      </c>
      <c r="F16" s="135" t="s">
        <v>19</v>
      </c>
      <c r="G16" s="139">
        <v>100</v>
      </c>
      <c r="H16" s="137">
        <v>250</v>
      </c>
      <c r="I16" s="137">
        <f t="shared" si="0"/>
        <v>25000</v>
      </c>
      <c r="J16" s="91"/>
    </row>
    <row r="17" spans="1:10" s="92" customFormat="1" ht="12.75" x14ac:dyDescent="0.2">
      <c r="A17" s="135">
        <v>8</v>
      </c>
      <c r="B17" s="135"/>
      <c r="C17" s="136" t="s">
        <v>23</v>
      </c>
      <c r="D17" s="135" t="s">
        <v>21</v>
      </c>
      <c r="E17" s="140" t="s">
        <v>79</v>
      </c>
      <c r="F17" s="135" t="s">
        <v>22</v>
      </c>
      <c r="G17" s="139">
        <v>30</v>
      </c>
      <c r="H17" s="137">
        <v>4690</v>
      </c>
      <c r="I17" s="137">
        <f t="shared" si="0"/>
        <v>140700</v>
      </c>
      <c r="J17" s="91"/>
    </row>
    <row r="18" spans="1:10" s="92" customFormat="1" ht="12.75" x14ac:dyDescent="0.2">
      <c r="A18" s="135">
        <v>9</v>
      </c>
      <c r="B18" s="135"/>
      <c r="C18" s="136" t="s">
        <v>23</v>
      </c>
      <c r="D18" s="135" t="s">
        <v>21</v>
      </c>
      <c r="E18" s="140" t="s">
        <v>80</v>
      </c>
      <c r="F18" s="135" t="s">
        <v>17</v>
      </c>
      <c r="G18" s="139">
        <v>400</v>
      </c>
      <c r="H18" s="137">
        <v>270</v>
      </c>
      <c r="I18" s="137">
        <f t="shared" si="0"/>
        <v>108000</v>
      </c>
      <c r="J18" s="91"/>
    </row>
    <row r="19" spans="1:10" s="92" customFormat="1" ht="12.75" x14ac:dyDescent="0.2">
      <c r="A19" s="136">
        <v>10</v>
      </c>
      <c r="B19" s="135"/>
      <c r="C19" s="136" t="s">
        <v>23</v>
      </c>
      <c r="D19" s="135" t="s">
        <v>21</v>
      </c>
      <c r="E19" s="140" t="s">
        <v>81</v>
      </c>
      <c r="F19" s="135" t="s">
        <v>22</v>
      </c>
      <c r="G19" s="139">
        <v>10</v>
      </c>
      <c r="H19" s="137">
        <v>4100</v>
      </c>
      <c r="I19" s="137">
        <f t="shared" si="0"/>
        <v>41000</v>
      </c>
      <c r="J19" s="91"/>
    </row>
    <row r="20" spans="1:10" s="92" customFormat="1" ht="26.25" customHeight="1" x14ac:dyDescent="0.2">
      <c r="A20" s="135">
        <v>11</v>
      </c>
      <c r="B20" s="135"/>
      <c r="C20" s="136" t="s">
        <v>23</v>
      </c>
      <c r="D20" s="135" t="s">
        <v>21</v>
      </c>
      <c r="E20" s="140" t="s">
        <v>82</v>
      </c>
      <c r="F20" s="135" t="s">
        <v>22</v>
      </c>
      <c r="G20" s="139">
        <v>5</v>
      </c>
      <c r="H20" s="137">
        <v>2170</v>
      </c>
      <c r="I20" s="137">
        <f t="shared" si="0"/>
        <v>10850</v>
      </c>
      <c r="J20" s="91"/>
    </row>
    <row r="21" spans="1:10" s="92" customFormat="1" ht="12.75" x14ac:dyDescent="0.2">
      <c r="A21" s="135">
        <v>12</v>
      </c>
      <c r="B21" s="135"/>
      <c r="C21" s="136" t="s">
        <v>23</v>
      </c>
      <c r="D21" s="135" t="s">
        <v>21</v>
      </c>
      <c r="E21" s="140" t="s">
        <v>83</v>
      </c>
      <c r="F21" s="135" t="s">
        <v>22</v>
      </c>
      <c r="G21" s="139">
        <v>40</v>
      </c>
      <c r="H21" s="137">
        <v>3889</v>
      </c>
      <c r="I21" s="137">
        <f t="shared" si="0"/>
        <v>155560</v>
      </c>
      <c r="J21" s="91"/>
    </row>
    <row r="22" spans="1:10" s="92" customFormat="1" ht="12.75" x14ac:dyDescent="0.2">
      <c r="A22" s="136">
        <v>13</v>
      </c>
      <c r="B22" s="135"/>
      <c r="C22" s="136" t="s">
        <v>23</v>
      </c>
      <c r="D22" s="135" t="s">
        <v>98</v>
      </c>
      <c r="E22" s="140" t="s">
        <v>84</v>
      </c>
      <c r="F22" s="135" t="s">
        <v>17</v>
      </c>
      <c r="G22" s="139">
        <v>3</v>
      </c>
      <c r="H22" s="137">
        <v>15800</v>
      </c>
      <c r="I22" s="137">
        <f t="shared" si="0"/>
        <v>47400</v>
      </c>
      <c r="J22" s="91"/>
    </row>
    <row r="23" spans="1:10" s="92" customFormat="1" ht="12.75" x14ac:dyDescent="0.2">
      <c r="A23" s="135">
        <v>14</v>
      </c>
      <c r="B23" s="135"/>
      <c r="C23" s="136" t="s">
        <v>23</v>
      </c>
      <c r="D23" s="135" t="s">
        <v>21</v>
      </c>
      <c r="E23" s="140" t="s">
        <v>135</v>
      </c>
      <c r="F23" s="135" t="s">
        <v>19</v>
      </c>
      <c r="G23" s="139">
        <v>50</v>
      </c>
      <c r="H23" s="137">
        <v>7100.5</v>
      </c>
      <c r="I23" s="137">
        <f t="shared" si="0"/>
        <v>355025</v>
      </c>
      <c r="J23" s="91"/>
    </row>
    <row r="24" spans="1:10" s="92" customFormat="1" ht="12.75" x14ac:dyDescent="0.2">
      <c r="A24" s="135">
        <v>15</v>
      </c>
      <c r="B24" s="135"/>
      <c r="C24" s="136" t="s">
        <v>23</v>
      </c>
      <c r="D24" s="135" t="s">
        <v>21</v>
      </c>
      <c r="E24" s="140" t="s">
        <v>85</v>
      </c>
      <c r="F24" s="135" t="s">
        <v>19</v>
      </c>
      <c r="G24" s="139">
        <v>20</v>
      </c>
      <c r="H24" s="137">
        <v>2762</v>
      </c>
      <c r="I24" s="137">
        <f t="shared" si="0"/>
        <v>55240</v>
      </c>
      <c r="J24" s="91"/>
    </row>
    <row r="25" spans="1:10" s="92" customFormat="1" ht="12.75" x14ac:dyDescent="0.2">
      <c r="A25" s="136">
        <v>16</v>
      </c>
      <c r="B25" s="135"/>
      <c r="C25" s="136" t="s">
        <v>23</v>
      </c>
      <c r="D25" s="135" t="s">
        <v>21</v>
      </c>
      <c r="E25" s="140" t="s">
        <v>86</v>
      </c>
      <c r="F25" s="135" t="s">
        <v>19</v>
      </c>
      <c r="G25" s="139">
        <v>20</v>
      </c>
      <c r="H25" s="137">
        <v>4390</v>
      </c>
      <c r="I25" s="137">
        <f t="shared" si="0"/>
        <v>87800</v>
      </c>
      <c r="J25" s="91"/>
    </row>
    <row r="26" spans="1:10" s="92" customFormat="1" ht="12.75" x14ac:dyDescent="0.2">
      <c r="A26" s="135">
        <v>17</v>
      </c>
      <c r="B26" s="135"/>
      <c r="C26" s="136" t="s">
        <v>23</v>
      </c>
      <c r="D26" s="135" t="s">
        <v>21</v>
      </c>
      <c r="E26" s="140" t="s">
        <v>87</v>
      </c>
      <c r="F26" s="135" t="s">
        <v>19</v>
      </c>
      <c r="G26" s="139">
        <v>20</v>
      </c>
      <c r="H26" s="137">
        <v>883</v>
      </c>
      <c r="I26" s="137">
        <f t="shared" si="0"/>
        <v>17660</v>
      </c>
      <c r="J26" s="91"/>
    </row>
    <row r="27" spans="1:10" s="92" customFormat="1" ht="12" customHeight="1" x14ac:dyDescent="0.2">
      <c r="A27" s="135">
        <v>18</v>
      </c>
      <c r="B27" s="135"/>
      <c r="C27" s="136" t="s">
        <v>23</v>
      </c>
      <c r="D27" s="135" t="s">
        <v>21</v>
      </c>
      <c r="E27" s="140" t="s">
        <v>26</v>
      </c>
      <c r="F27" s="135" t="s">
        <v>18</v>
      </c>
      <c r="G27" s="139">
        <v>600</v>
      </c>
      <c r="H27" s="137">
        <v>92</v>
      </c>
      <c r="I27" s="137">
        <f t="shared" si="0"/>
        <v>55200</v>
      </c>
      <c r="J27" s="91"/>
    </row>
    <row r="28" spans="1:10" s="92" customFormat="1" ht="12.75" x14ac:dyDescent="0.2">
      <c r="A28" s="136">
        <v>19</v>
      </c>
      <c r="B28" s="135"/>
      <c r="C28" s="136" t="s">
        <v>23</v>
      </c>
      <c r="D28" s="135" t="s">
        <v>21</v>
      </c>
      <c r="E28" s="140" t="s">
        <v>88</v>
      </c>
      <c r="F28" s="135" t="s">
        <v>19</v>
      </c>
      <c r="G28" s="139">
        <v>50000</v>
      </c>
      <c r="H28" s="138">
        <v>65</v>
      </c>
      <c r="I28" s="137">
        <f t="shared" si="0"/>
        <v>3250000</v>
      </c>
      <c r="J28" s="93"/>
    </row>
    <row r="29" spans="1:10" s="92" customFormat="1" ht="12.75" x14ac:dyDescent="0.2">
      <c r="A29" s="135">
        <v>20</v>
      </c>
      <c r="B29" s="135"/>
      <c r="C29" s="136" t="s">
        <v>23</v>
      </c>
      <c r="D29" s="135" t="s">
        <v>21</v>
      </c>
      <c r="E29" s="140" t="s">
        <v>89</v>
      </c>
      <c r="F29" s="135" t="s">
        <v>17</v>
      </c>
      <c r="G29" s="139">
        <v>20</v>
      </c>
      <c r="H29" s="138">
        <v>10312</v>
      </c>
      <c r="I29" s="137">
        <f t="shared" si="0"/>
        <v>206240</v>
      </c>
      <c r="J29" s="93"/>
    </row>
    <row r="30" spans="1:10" s="92" customFormat="1" ht="12.75" x14ac:dyDescent="0.2">
      <c r="A30" s="135">
        <v>21</v>
      </c>
      <c r="B30" s="135"/>
      <c r="C30" s="136" t="s">
        <v>23</v>
      </c>
      <c r="D30" s="135" t="s">
        <v>21</v>
      </c>
      <c r="E30" s="140" t="s">
        <v>27</v>
      </c>
      <c r="F30" s="135" t="s">
        <v>17</v>
      </c>
      <c r="G30" s="139">
        <v>5</v>
      </c>
      <c r="H30" s="138">
        <v>6800</v>
      </c>
      <c r="I30" s="137">
        <f t="shared" si="0"/>
        <v>34000</v>
      </c>
      <c r="J30" s="93"/>
    </row>
    <row r="31" spans="1:10" s="92" customFormat="1" ht="12.75" x14ac:dyDescent="0.2">
      <c r="A31" s="136">
        <v>22</v>
      </c>
      <c r="B31" s="135"/>
      <c r="C31" s="136" t="s">
        <v>23</v>
      </c>
      <c r="D31" s="135" t="s">
        <v>21</v>
      </c>
      <c r="E31" s="140" t="s">
        <v>91</v>
      </c>
      <c r="F31" s="135" t="s">
        <v>17</v>
      </c>
      <c r="G31" s="139">
        <v>50</v>
      </c>
      <c r="H31" s="138">
        <v>779</v>
      </c>
      <c r="I31" s="137">
        <f t="shared" si="0"/>
        <v>38950</v>
      </c>
      <c r="J31" s="93"/>
    </row>
    <row r="32" spans="1:10" s="92" customFormat="1" ht="12.75" x14ac:dyDescent="0.2">
      <c r="A32" s="135">
        <v>23</v>
      </c>
      <c r="B32" s="135"/>
      <c r="C32" s="136" t="s">
        <v>23</v>
      </c>
      <c r="D32" s="135" t="s">
        <v>21</v>
      </c>
      <c r="E32" s="140" t="s">
        <v>90</v>
      </c>
      <c r="F32" s="135" t="s">
        <v>17</v>
      </c>
      <c r="G32" s="139">
        <v>100</v>
      </c>
      <c r="H32" s="138">
        <v>892</v>
      </c>
      <c r="I32" s="137">
        <f t="shared" si="0"/>
        <v>89200</v>
      </c>
      <c r="J32" s="93"/>
    </row>
    <row r="33" spans="1:10" s="92" customFormat="1" ht="12.75" x14ac:dyDescent="0.2">
      <c r="A33" s="135">
        <v>24</v>
      </c>
      <c r="B33" s="135"/>
      <c r="C33" s="136" t="s">
        <v>23</v>
      </c>
      <c r="D33" s="135" t="s">
        <v>21</v>
      </c>
      <c r="E33" s="140" t="s">
        <v>28</v>
      </c>
      <c r="F33" s="135" t="s">
        <v>19</v>
      </c>
      <c r="G33" s="139">
        <v>2</v>
      </c>
      <c r="H33" s="138">
        <v>52350</v>
      </c>
      <c r="I33" s="137">
        <f t="shared" si="0"/>
        <v>104700</v>
      </c>
      <c r="J33" s="93"/>
    </row>
    <row r="34" spans="1:10" s="92" customFormat="1" ht="12.75" x14ac:dyDescent="0.2">
      <c r="A34" s="136">
        <v>25</v>
      </c>
      <c r="B34" s="135"/>
      <c r="C34" s="136" t="s">
        <v>23</v>
      </c>
      <c r="D34" s="135" t="s">
        <v>21</v>
      </c>
      <c r="E34" s="140" t="s">
        <v>29</v>
      </c>
      <c r="F34" s="135" t="s">
        <v>19</v>
      </c>
      <c r="G34" s="139">
        <v>2</v>
      </c>
      <c r="H34" s="138">
        <v>50350</v>
      </c>
      <c r="I34" s="137">
        <f t="shared" si="0"/>
        <v>100700</v>
      </c>
      <c r="J34" s="93"/>
    </row>
    <row r="35" spans="1:10" s="92" customFormat="1" ht="12.75" x14ac:dyDescent="0.2">
      <c r="A35" s="135">
        <v>26</v>
      </c>
      <c r="B35" s="135"/>
      <c r="C35" s="136" t="s">
        <v>23</v>
      </c>
      <c r="D35" s="135" t="s">
        <v>21</v>
      </c>
      <c r="E35" s="140" t="s">
        <v>93</v>
      </c>
      <c r="F35" s="135" t="s">
        <v>19</v>
      </c>
      <c r="G35" s="139">
        <v>14</v>
      </c>
      <c r="H35" s="138">
        <v>90938</v>
      </c>
      <c r="I35" s="137">
        <f t="shared" si="0"/>
        <v>1273132</v>
      </c>
      <c r="J35" s="93"/>
    </row>
    <row r="36" spans="1:10" s="92" customFormat="1" ht="12.75" x14ac:dyDescent="0.2">
      <c r="A36" s="135">
        <v>27</v>
      </c>
      <c r="B36" s="135"/>
      <c r="C36" s="136" t="s">
        <v>23</v>
      </c>
      <c r="D36" s="135" t="s">
        <v>21</v>
      </c>
      <c r="E36" s="140" t="s">
        <v>94</v>
      </c>
      <c r="F36" s="135" t="s">
        <v>19</v>
      </c>
      <c r="G36" s="139">
        <v>10</v>
      </c>
      <c r="H36" s="138">
        <v>96849</v>
      </c>
      <c r="I36" s="137">
        <f t="shared" si="0"/>
        <v>968490</v>
      </c>
      <c r="J36" s="93"/>
    </row>
    <row r="37" spans="1:10" s="92" customFormat="1" ht="12.75" x14ac:dyDescent="0.2">
      <c r="A37" s="136">
        <v>28</v>
      </c>
      <c r="B37" s="135"/>
      <c r="C37" s="136" t="s">
        <v>23</v>
      </c>
      <c r="D37" s="135" t="s">
        <v>21</v>
      </c>
      <c r="E37" s="140" t="s">
        <v>92</v>
      </c>
      <c r="F37" s="135" t="s">
        <v>19</v>
      </c>
      <c r="G37" s="139">
        <v>8</v>
      </c>
      <c r="H37" s="138">
        <v>90938</v>
      </c>
      <c r="I37" s="137">
        <f t="shared" si="0"/>
        <v>727504</v>
      </c>
      <c r="J37" s="93"/>
    </row>
    <row r="38" spans="1:10" s="92" customFormat="1" ht="25.5" x14ac:dyDescent="0.2">
      <c r="A38" s="135">
        <v>29</v>
      </c>
      <c r="B38" s="135"/>
      <c r="C38" s="136" t="s">
        <v>23</v>
      </c>
      <c r="D38" s="135" t="s">
        <v>21</v>
      </c>
      <c r="E38" s="140" t="s">
        <v>95</v>
      </c>
      <c r="F38" s="135" t="s">
        <v>17</v>
      </c>
      <c r="G38" s="139">
        <v>50</v>
      </c>
      <c r="H38" s="138">
        <v>28137</v>
      </c>
      <c r="I38" s="137">
        <f t="shared" si="0"/>
        <v>1406850</v>
      </c>
      <c r="J38" s="93"/>
    </row>
    <row r="39" spans="1:10" s="92" customFormat="1" ht="12.75" x14ac:dyDescent="0.2">
      <c r="A39" s="135">
        <v>30</v>
      </c>
      <c r="B39" s="135"/>
      <c r="C39" s="136" t="s">
        <v>23</v>
      </c>
      <c r="D39" s="135" t="s">
        <v>21</v>
      </c>
      <c r="E39" s="140" t="s">
        <v>96</v>
      </c>
      <c r="F39" s="135" t="s">
        <v>19</v>
      </c>
      <c r="G39" s="139">
        <v>20</v>
      </c>
      <c r="H39" s="138">
        <v>2100</v>
      </c>
      <c r="I39" s="137">
        <f t="shared" si="0"/>
        <v>42000</v>
      </c>
      <c r="J39" s="93"/>
    </row>
    <row r="40" spans="1:10" s="92" customFormat="1" ht="12.75" x14ac:dyDescent="0.2">
      <c r="A40" s="136">
        <v>31</v>
      </c>
      <c r="B40" s="135"/>
      <c r="C40" s="136" t="s">
        <v>23</v>
      </c>
      <c r="D40" s="135" t="s">
        <v>21</v>
      </c>
      <c r="E40" s="140" t="s">
        <v>112</v>
      </c>
      <c r="F40" s="135" t="s">
        <v>19</v>
      </c>
      <c r="G40" s="139">
        <v>5</v>
      </c>
      <c r="H40" s="138">
        <v>1220</v>
      </c>
      <c r="I40" s="137">
        <f t="shared" si="0"/>
        <v>6100</v>
      </c>
      <c r="J40" s="93"/>
    </row>
    <row r="41" spans="1:10" s="92" customFormat="1" ht="12.75" x14ac:dyDescent="0.2">
      <c r="A41" s="135">
        <v>32</v>
      </c>
      <c r="B41" s="135"/>
      <c r="C41" s="136" t="s">
        <v>23</v>
      </c>
      <c r="D41" s="135" t="s">
        <v>21</v>
      </c>
      <c r="E41" s="140" t="s">
        <v>97</v>
      </c>
      <c r="F41" s="135" t="s">
        <v>17</v>
      </c>
      <c r="G41" s="139">
        <v>400</v>
      </c>
      <c r="H41" s="138">
        <v>248</v>
      </c>
      <c r="I41" s="137">
        <f t="shared" si="0"/>
        <v>99200</v>
      </c>
      <c r="J41" s="93"/>
    </row>
    <row r="42" spans="1:10" s="92" customFormat="1" ht="12.75" x14ac:dyDescent="0.2">
      <c r="A42" s="135">
        <v>33</v>
      </c>
      <c r="B42" s="135"/>
      <c r="C42" s="136" t="s">
        <v>23</v>
      </c>
      <c r="D42" s="135" t="s">
        <v>98</v>
      </c>
      <c r="E42" s="140" t="s">
        <v>99</v>
      </c>
      <c r="F42" s="135" t="s">
        <v>111</v>
      </c>
      <c r="G42" s="139">
        <v>5</v>
      </c>
      <c r="H42" s="138">
        <v>5100</v>
      </c>
      <c r="I42" s="137">
        <f t="shared" si="0"/>
        <v>25500</v>
      </c>
      <c r="J42" s="93"/>
    </row>
    <row r="43" spans="1:10" s="92" customFormat="1" ht="12.75" x14ac:dyDescent="0.2">
      <c r="A43" s="136">
        <v>34</v>
      </c>
      <c r="B43" s="135"/>
      <c r="C43" s="136" t="s">
        <v>23</v>
      </c>
      <c r="D43" s="135" t="s">
        <v>21</v>
      </c>
      <c r="E43" s="140" t="s">
        <v>100</v>
      </c>
      <c r="F43" s="135" t="s">
        <v>19</v>
      </c>
      <c r="G43" s="139">
        <v>15</v>
      </c>
      <c r="H43" s="138">
        <v>442</v>
      </c>
      <c r="I43" s="137">
        <f t="shared" si="0"/>
        <v>6630</v>
      </c>
      <c r="J43" s="93"/>
    </row>
    <row r="44" spans="1:10" s="92" customFormat="1" ht="12.75" x14ac:dyDescent="0.2">
      <c r="A44" s="135">
        <v>35</v>
      </c>
      <c r="B44" s="135"/>
      <c r="C44" s="136" t="s">
        <v>23</v>
      </c>
      <c r="D44" s="135" t="s">
        <v>21</v>
      </c>
      <c r="E44" s="140" t="s">
        <v>108</v>
      </c>
      <c r="F44" s="135" t="s">
        <v>19</v>
      </c>
      <c r="G44" s="139">
        <v>20</v>
      </c>
      <c r="H44" s="138">
        <v>1710</v>
      </c>
      <c r="I44" s="137">
        <f t="shared" si="0"/>
        <v>34200</v>
      </c>
      <c r="J44" s="93"/>
    </row>
    <row r="45" spans="1:10" s="92" customFormat="1" ht="12.75" x14ac:dyDescent="0.2">
      <c r="A45" s="135">
        <v>36</v>
      </c>
      <c r="B45" s="135"/>
      <c r="C45" s="136" t="s">
        <v>23</v>
      </c>
      <c r="D45" s="135" t="s">
        <v>21</v>
      </c>
      <c r="E45" s="140" t="s">
        <v>141</v>
      </c>
      <c r="F45" s="135" t="s">
        <v>22</v>
      </c>
      <c r="G45" s="139">
        <v>10</v>
      </c>
      <c r="H45" s="138">
        <v>2865</v>
      </c>
      <c r="I45" s="137">
        <f t="shared" si="0"/>
        <v>28650</v>
      </c>
      <c r="J45" s="93"/>
    </row>
    <row r="46" spans="1:10" s="92" customFormat="1" ht="12.75" x14ac:dyDescent="0.2">
      <c r="A46" s="136">
        <v>37</v>
      </c>
      <c r="B46" s="135"/>
      <c r="C46" s="136" t="s">
        <v>23</v>
      </c>
      <c r="D46" s="135" t="s">
        <v>21</v>
      </c>
      <c r="E46" s="140" t="s">
        <v>136</v>
      </c>
      <c r="F46" s="135" t="s">
        <v>22</v>
      </c>
      <c r="G46" s="139">
        <v>32</v>
      </c>
      <c r="H46" s="138">
        <v>1540</v>
      </c>
      <c r="I46" s="137">
        <f t="shared" si="0"/>
        <v>49280</v>
      </c>
      <c r="J46" s="93"/>
    </row>
    <row r="47" spans="1:10" s="92" customFormat="1" ht="12.75" x14ac:dyDescent="0.2">
      <c r="A47" s="135">
        <v>38</v>
      </c>
      <c r="B47" s="135"/>
      <c r="C47" s="136" t="s">
        <v>23</v>
      </c>
      <c r="D47" s="135" t="s">
        <v>21</v>
      </c>
      <c r="E47" s="140" t="s">
        <v>140</v>
      </c>
      <c r="F47" s="135" t="s">
        <v>22</v>
      </c>
      <c r="G47" s="139">
        <v>12</v>
      </c>
      <c r="H47" s="138">
        <v>2204</v>
      </c>
      <c r="I47" s="137">
        <f t="shared" si="0"/>
        <v>26448</v>
      </c>
      <c r="J47" s="93"/>
    </row>
    <row r="48" spans="1:10" s="92" customFormat="1" ht="12.75" x14ac:dyDescent="0.2">
      <c r="A48" s="135">
        <v>39</v>
      </c>
      <c r="B48" s="135"/>
      <c r="C48" s="136" t="s">
        <v>23</v>
      </c>
      <c r="D48" s="135" t="s">
        <v>21</v>
      </c>
      <c r="E48" s="140" t="s">
        <v>137</v>
      </c>
      <c r="F48" s="135" t="s">
        <v>22</v>
      </c>
      <c r="G48" s="139">
        <v>10</v>
      </c>
      <c r="H48" s="138">
        <v>10402</v>
      </c>
      <c r="I48" s="137">
        <f t="shared" si="0"/>
        <v>104020</v>
      </c>
      <c r="J48" s="93"/>
    </row>
    <row r="49" spans="1:10" s="92" customFormat="1" ht="12.75" x14ac:dyDescent="0.2">
      <c r="A49" s="136">
        <v>40</v>
      </c>
      <c r="B49" s="135"/>
      <c r="C49" s="136" t="s">
        <v>23</v>
      </c>
      <c r="D49" s="135" t="s">
        <v>21</v>
      </c>
      <c r="E49" s="140" t="s">
        <v>101</v>
      </c>
      <c r="F49" s="135" t="s">
        <v>22</v>
      </c>
      <c r="G49" s="139">
        <v>100</v>
      </c>
      <c r="H49" s="138">
        <v>10761</v>
      </c>
      <c r="I49" s="137">
        <f t="shared" si="0"/>
        <v>1076100</v>
      </c>
      <c r="J49" s="93"/>
    </row>
    <row r="50" spans="1:10" s="92" customFormat="1" ht="12.75" x14ac:dyDescent="0.2">
      <c r="A50" s="135">
        <v>41</v>
      </c>
      <c r="B50" s="135"/>
      <c r="C50" s="136" t="s">
        <v>23</v>
      </c>
      <c r="D50" s="135" t="s">
        <v>21</v>
      </c>
      <c r="E50" s="140" t="s">
        <v>102</v>
      </c>
      <c r="F50" s="135" t="s">
        <v>22</v>
      </c>
      <c r="G50" s="139">
        <v>50</v>
      </c>
      <c r="H50" s="138">
        <v>12668</v>
      </c>
      <c r="I50" s="137">
        <f t="shared" si="0"/>
        <v>633400</v>
      </c>
      <c r="J50" s="93"/>
    </row>
    <row r="51" spans="1:10" s="92" customFormat="1" ht="12.75" x14ac:dyDescent="0.2">
      <c r="A51" s="135">
        <v>42</v>
      </c>
      <c r="B51" s="135"/>
      <c r="C51" s="136" t="s">
        <v>23</v>
      </c>
      <c r="D51" s="135" t="s">
        <v>21</v>
      </c>
      <c r="E51" s="140" t="s">
        <v>103</v>
      </c>
      <c r="F51" s="135" t="s">
        <v>22</v>
      </c>
      <c r="G51" s="139">
        <v>100</v>
      </c>
      <c r="H51" s="138">
        <v>10761</v>
      </c>
      <c r="I51" s="137">
        <f t="shared" si="0"/>
        <v>1076100</v>
      </c>
      <c r="J51" s="93"/>
    </row>
    <row r="52" spans="1:10" s="92" customFormat="1" ht="12.75" x14ac:dyDescent="0.2">
      <c r="A52" s="136">
        <v>43</v>
      </c>
      <c r="B52" s="135"/>
      <c r="C52" s="136" t="s">
        <v>23</v>
      </c>
      <c r="D52" s="135" t="s">
        <v>21</v>
      </c>
      <c r="E52" s="140" t="s">
        <v>104</v>
      </c>
      <c r="F52" s="135" t="s">
        <v>22</v>
      </c>
      <c r="G52" s="139">
        <v>100</v>
      </c>
      <c r="H52" s="138">
        <v>16783</v>
      </c>
      <c r="I52" s="137">
        <f t="shared" si="0"/>
        <v>1678300</v>
      </c>
      <c r="J52" s="93"/>
    </row>
    <row r="53" spans="1:10" s="92" customFormat="1" ht="12.75" x14ac:dyDescent="0.2">
      <c r="A53" s="135">
        <v>44</v>
      </c>
      <c r="B53" s="135"/>
      <c r="C53" s="136" t="s">
        <v>23</v>
      </c>
      <c r="D53" s="135" t="s">
        <v>21</v>
      </c>
      <c r="E53" s="140" t="s">
        <v>107</v>
      </c>
      <c r="F53" s="135" t="s">
        <v>17</v>
      </c>
      <c r="G53" s="139">
        <v>3</v>
      </c>
      <c r="H53" s="138">
        <v>26125</v>
      </c>
      <c r="I53" s="137">
        <f t="shared" si="0"/>
        <v>78375</v>
      </c>
      <c r="J53" s="93"/>
    </row>
    <row r="54" spans="1:10" s="92" customFormat="1" ht="12.75" x14ac:dyDescent="0.2">
      <c r="A54" s="135">
        <v>45</v>
      </c>
      <c r="B54" s="135"/>
      <c r="C54" s="136" t="s">
        <v>23</v>
      </c>
      <c r="D54" s="135" t="s">
        <v>21</v>
      </c>
      <c r="E54" s="140" t="s">
        <v>105</v>
      </c>
      <c r="F54" s="135" t="s">
        <v>19</v>
      </c>
      <c r="G54" s="139">
        <v>3000</v>
      </c>
      <c r="H54" s="138">
        <v>20</v>
      </c>
      <c r="I54" s="137">
        <f t="shared" si="0"/>
        <v>60000</v>
      </c>
      <c r="J54" s="93"/>
    </row>
    <row r="55" spans="1:10" s="92" customFormat="1" ht="12.75" x14ac:dyDescent="0.2">
      <c r="A55" s="136">
        <v>46</v>
      </c>
      <c r="B55" s="135"/>
      <c r="C55" s="136" t="s">
        <v>23</v>
      </c>
      <c r="D55" s="135" t="s">
        <v>21</v>
      </c>
      <c r="E55" s="140" t="s">
        <v>138</v>
      </c>
      <c r="F55" s="135" t="s">
        <v>19</v>
      </c>
      <c r="G55" s="139">
        <v>50000</v>
      </c>
      <c r="H55" s="138">
        <v>23</v>
      </c>
      <c r="I55" s="137">
        <f t="shared" si="0"/>
        <v>1150000</v>
      </c>
      <c r="J55" s="93"/>
    </row>
    <row r="56" spans="1:10" s="92" customFormat="1" ht="12.75" x14ac:dyDescent="0.2">
      <c r="A56" s="135">
        <v>47</v>
      </c>
      <c r="B56" s="135"/>
      <c r="C56" s="136" t="s">
        <v>23</v>
      </c>
      <c r="D56" s="135" t="s">
        <v>21</v>
      </c>
      <c r="E56" s="140" t="s">
        <v>109</v>
      </c>
      <c r="F56" s="135" t="s">
        <v>19</v>
      </c>
      <c r="G56" s="139">
        <v>3000</v>
      </c>
      <c r="H56" s="138">
        <v>19</v>
      </c>
      <c r="I56" s="137">
        <f t="shared" si="0"/>
        <v>57000</v>
      </c>
      <c r="J56" s="93"/>
    </row>
    <row r="57" spans="1:10" s="92" customFormat="1" ht="12.75" x14ac:dyDescent="0.2">
      <c r="A57" s="135">
        <v>48</v>
      </c>
      <c r="B57" s="135"/>
      <c r="C57" s="136" t="s">
        <v>23</v>
      </c>
      <c r="D57" s="135" t="s">
        <v>21</v>
      </c>
      <c r="E57" s="140" t="s">
        <v>106</v>
      </c>
      <c r="F57" s="135" t="s">
        <v>17</v>
      </c>
      <c r="G57" s="139">
        <v>6</v>
      </c>
      <c r="H57" s="138">
        <v>17875</v>
      </c>
      <c r="I57" s="137">
        <f t="shared" si="0"/>
        <v>107250</v>
      </c>
      <c r="J57" s="93"/>
    </row>
    <row r="58" spans="1:10" s="92" customFormat="1" ht="12.75" x14ac:dyDescent="0.2">
      <c r="A58" s="136">
        <v>49</v>
      </c>
      <c r="B58" s="135"/>
      <c r="C58" s="136" t="s">
        <v>23</v>
      </c>
      <c r="D58" s="135" t="s">
        <v>21</v>
      </c>
      <c r="E58" s="140" t="s">
        <v>110</v>
      </c>
      <c r="F58" s="135" t="s">
        <v>19</v>
      </c>
      <c r="G58" s="139">
        <v>10000</v>
      </c>
      <c r="H58" s="138">
        <v>36</v>
      </c>
      <c r="I58" s="137">
        <f t="shared" si="0"/>
        <v>360000</v>
      </c>
      <c r="J58" s="93"/>
    </row>
    <row r="59" spans="1:10" s="92" customFormat="1" ht="25.5" x14ac:dyDescent="0.2">
      <c r="A59" s="135">
        <v>50</v>
      </c>
      <c r="B59" s="135"/>
      <c r="C59" s="136" t="s">
        <v>23</v>
      </c>
      <c r="D59" s="135" t="s">
        <v>21</v>
      </c>
      <c r="E59" s="140" t="s">
        <v>114</v>
      </c>
      <c r="F59" s="135" t="s">
        <v>22</v>
      </c>
      <c r="G59" s="139">
        <v>10</v>
      </c>
      <c r="H59" s="138">
        <v>5353</v>
      </c>
      <c r="I59" s="137">
        <f t="shared" si="0"/>
        <v>53530</v>
      </c>
      <c r="J59" s="93"/>
    </row>
    <row r="60" spans="1:10" s="92" customFormat="1" ht="25.5" x14ac:dyDescent="0.2">
      <c r="A60" s="135">
        <v>51</v>
      </c>
      <c r="B60" s="135"/>
      <c r="C60" s="136" t="s">
        <v>23</v>
      </c>
      <c r="D60" s="135" t="s">
        <v>21</v>
      </c>
      <c r="E60" s="140" t="s">
        <v>115</v>
      </c>
      <c r="F60" s="135" t="s">
        <v>22</v>
      </c>
      <c r="G60" s="139">
        <v>10</v>
      </c>
      <c r="H60" s="138">
        <v>3558</v>
      </c>
      <c r="I60" s="137">
        <f t="shared" si="0"/>
        <v>35580</v>
      </c>
      <c r="J60" s="93"/>
    </row>
    <row r="61" spans="1:10" s="92" customFormat="1" ht="25.5" x14ac:dyDescent="0.2">
      <c r="A61" s="136">
        <v>52</v>
      </c>
      <c r="B61" s="135"/>
      <c r="C61" s="136" t="s">
        <v>23</v>
      </c>
      <c r="D61" s="135" t="s">
        <v>21</v>
      </c>
      <c r="E61" s="140" t="s">
        <v>116</v>
      </c>
      <c r="F61" s="135" t="s">
        <v>17</v>
      </c>
      <c r="G61" s="139">
        <v>2</v>
      </c>
      <c r="H61" s="138">
        <v>13000</v>
      </c>
      <c r="I61" s="137">
        <f t="shared" si="0"/>
        <v>26000</v>
      </c>
      <c r="J61" s="93"/>
    </row>
    <row r="62" spans="1:10" s="92" customFormat="1" ht="40.5" customHeight="1" x14ac:dyDescent="0.2">
      <c r="A62" s="144">
        <v>53</v>
      </c>
      <c r="B62" s="144"/>
      <c r="C62" s="145" t="s">
        <v>23</v>
      </c>
      <c r="D62" s="144" t="s">
        <v>21</v>
      </c>
      <c r="E62" s="146" t="s">
        <v>117</v>
      </c>
      <c r="F62" s="144" t="s">
        <v>17</v>
      </c>
      <c r="G62" s="148">
        <v>1</v>
      </c>
      <c r="H62" s="147">
        <v>72000</v>
      </c>
      <c r="I62" s="137">
        <f t="shared" si="0"/>
        <v>72000</v>
      </c>
      <c r="J62" s="149"/>
    </row>
    <row r="63" spans="1:10" s="92" customFormat="1" ht="12.75" x14ac:dyDescent="0.2">
      <c r="A63" s="135">
        <v>54</v>
      </c>
      <c r="B63" s="135"/>
      <c r="C63" s="136" t="s">
        <v>23</v>
      </c>
      <c r="D63" s="135" t="s">
        <v>21</v>
      </c>
      <c r="E63" s="140" t="s">
        <v>133</v>
      </c>
      <c r="F63" s="135" t="s">
        <v>17</v>
      </c>
      <c r="G63" s="139">
        <v>5</v>
      </c>
      <c r="H63" s="138">
        <v>16500</v>
      </c>
      <c r="I63" s="137">
        <f t="shared" si="0"/>
        <v>82500</v>
      </c>
      <c r="J63" s="93"/>
    </row>
    <row r="64" spans="1:10" s="92" customFormat="1" ht="12.75" x14ac:dyDescent="0.2">
      <c r="A64" s="136">
        <v>55</v>
      </c>
      <c r="B64" s="135"/>
      <c r="C64" s="136" t="s">
        <v>23</v>
      </c>
      <c r="D64" s="135" t="s">
        <v>21</v>
      </c>
      <c r="E64" s="140" t="s">
        <v>30</v>
      </c>
      <c r="F64" s="135" t="s">
        <v>17</v>
      </c>
      <c r="G64" s="139">
        <v>2</v>
      </c>
      <c r="H64" s="138">
        <v>13700</v>
      </c>
      <c r="I64" s="137">
        <f t="shared" si="0"/>
        <v>27400</v>
      </c>
      <c r="J64" s="93"/>
    </row>
    <row r="65" spans="1:10" s="92" customFormat="1" ht="13.5" thickBot="1" x14ac:dyDescent="0.25">
      <c r="A65" s="135">
        <v>56</v>
      </c>
      <c r="B65" s="135"/>
      <c r="C65" s="136" t="s">
        <v>23</v>
      </c>
      <c r="D65" s="135" t="s">
        <v>21</v>
      </c>
      <c r="E65" s="140" t="s">
        <v>134</v>
      </c>
      <c r="F65" s="135" t="s">
        <v>17</v>
      </c>
      <c r="G65" s="150">
        <v>21</v>
      </c>
      <c r="H65" s="138">
        <v>22200</v>
      </c>
      <c r="I65" s="137">
        <f t="shared" si="0"/>
        <v>466200</v>
      </c>
      <c r="J65" s="93"/>
    </row>
    <row r="66" spans="1:10" s="30" customFormat="1" ht="13.5" thickBot="1" x14ac:dyDescent="0.25">
      <c r="A66" s="26"/>
      <c r="B66" s="19"/>
      <c r="C66" s="19"/>
      <c r="D66" s="19"/>
      <c r="E66" s="18" t="s">
        <v>31</v>
      </c>
      <c r="F66" s="19"/>
      <c r="G66" s="25"/>
      <c r="H66" s="27"/>
      <c r="I66" s="28">
        <f>SUM(I10:I65)</f>
        <v>20071022</v>
      </c>
      <c r="J66" s="29"/>
    </row>
    <row r="67" spans="1:10" ht="15.75" thickBot="1" x14ac:dyDescent="0.3"/>
    <row r="68" spans="1:10" ht="129.6" customHeight="1" x14ac:dyDescent="0.25">
      <c r="C68" s="80" t="s">
        <v>69</v>
      </c>
      <c r="D68" s="166" t="s">
        <v>70</v>
      </c>
      <c r="E68" s="167"/>
    </row>
    <row r="69" spans="1:10" x14ac:dyDescent="0.25">
      <c r="C69" s="81"/>
      <c r="D69" s="82"/>
      <c r="E69" s="89"/>
    </row>
    <row r="70" spans="1:10" x14ac:dyDescent="0.25">
      <c r="C70" s="83" t="s">
        <v>71</v>
      </c>
      <c r="D70" s="168" t="s">
        <v>72</v>
      </c>
      <c r="E70" s="161"/>
    </row>
    <row r="71" spans="1:10" x14ac:dyDescent="0.25">
      <c r="C71" s="83"/>
      <c r="D71" s="84"/>
      <c r="E71" s="89"/>
    </row>
    <row r="72" spans="1:10" ht="111.75" customHeight="1" x14ac:dyDescent="0.25">
      <c r="C72" s="81" t="s">
        <v>73</v>
      </c>
      <c r="D72" s="160" t="s">
        <v>149</v>
      </c>
      <c r="E72" s="161"/>
      <c r="F72" s="169"/>
      <c r="G72" s="170"/>
    </row>
    <row r="73" spans="1:10" x14ac:dyDescent="0.25">
      <c r="C73" s="83"/>
      <c r="D73" s="85"/>
      <c r="E73" s="89"/>
    </row>
    <row r="74" spans="1:10" x14ac:dyDescent="0.25">
      <c r="C74" s="86" t="s">
        <v>74</v>
      </c>
      <c r="D74" s="87"/>
      <c r="E74" s="89"/>
    </row>
    <row r="75" spans="1:10" x14ac:dyDescent="0.25">
      <c r="C75" s="86"/>
      <c r="D75" s="87"/>
      <c r="E75" s="89"/>
    </row>
    <row r="76" spans="1:10" ht="15.75" thickBot="1" x14ac:dyDescent="0.3">
      <c r="C76" s="88" t="s">
        <v>75</v>
      </c>
      <c r="D76" s="162" t="s">
        <v>76</v>
      </c>
      <c r="E76" s="163"/>
    </row>
  </sheetData>
  <sortState xmlns:xlrd2="http://schemas.microsoft.com/office/spreadsheetml/2017/richdata2" ref="C10:I86">
    <sortCondition ref="E10:E86"/>
  </sortState>
  <mergeCells count="10">
    <mergeCell ref="D72:E72"/>
    <mergeCell ref="D76:E76"/>
    <mergeCell ref="A7:B7"/>
    <mergeCell ref="A6:B6"/>
    <mergeCell ref="B2:H2"/>
    <mergeCell ref="A4:B4"/>
    <mergeCell ref="A5:B5"/>
    <mergeCell ref="D68:E68"/>
    <mergeCell ref="D70:E70"/>
    <mergeCell ref="F72:G72"/>
  </mergeCells>
  <conditionalFormatting sqref="B1:B9 E1:E9">
    <cfRule type="duplicateValues" dxfId="9" priority="228"/>
  </conditionalFormatting>
  <conditionalFormatting sqref="E1:E9 B1:B9">
    <cfRule type="duplicateValues" dxfId="8" priority="229"/>
  </conditionalFormatting>
  <conditionalFormatting sqref="B1:B9">
    <cfRule type="duplicateValues" dxfId="7" priority="416"/>
  </conditionalFormatting>
  <conditionalFormatting sqref="E1:E9">
    <cfRule type="duplicateValues" dxfId="6" priority="417"/>
  </conditionalFormatting>
  <conditionalFormatting sqref="E1:E9">
    <cfRule type="duplicateValues" dxfId="5" priority="418"/>
    <cfRule type="duplicateValues" dxfId="4" priority="419"/>
  </conditionalFormatting>
  <conditionalFormatting sqref="C70:C76">
    <cfRule type="duplicateValues" dxfId="3" priority="1"/>
  </conditionalFormatting>
  <conditionalFormatting sqref="C70:C76">
    <cfRule type="duplicateValues" dxfId="2" priority="2"/>
  </conditionalFormatting>
  <conditionalFormatting sqref="C70:C76">
    <cfRule type="duplicateValues" dxfId="1" priority="3"/>
  </conditionalFormatting>
  <conditionalFormatting sqref="C70:C76"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paperSize="5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topLeftCell="A22" workbookViewId="0">
      <selection activeCell="F56" sqref="F56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3.42578125" customWidth="1"/>
    <col min="8" max="8" width="9.28515625" customWidth="1"/>
    <col min="9" max="9" width="15.5703125" customWidth="1"/>
    <col min="10" max="10" width="14.7109375" style="101" customWidth="1"/>
    <col min="11" max="11" width="15.5703125" customWidth="1"/>
    <col min="13" max="13" width="15.5703125" style="133" bestFit="1" customWidth="1"/>
    <col min="14" max="16" width="15.5703125" style="134" bestFit="1" customWidth="1"/>
  </cols>
  <sheetData>
    <row r="1" spans="1:16" ht="30.75" thickBot="1" x14ac:dyDescent="0.3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97" t="s">
        <v>33</v>
      </c>
      <c r="K1" s="31" t="s">
        <v>128</v>
      </c>
    </row>
    <row r="2" spans="1:16" ht="16.5" thickBot="1" x14ac:dyDescent="0.3">
      <c r="A2" s="32"/>
      <c r="B2" s="33"/>
      <c r="C2" s="33"/>
      <c r="D2" s="34"/>
      <c r="E2" s="34"/>
      <c r="F2" s="34"/>
      <c r="G2" s="34"/>
      <c r="H2" s="34"/>
      <c r="I2" s="34"/>
      <c r="J2" s="98"/>
      <c r="K2" s="35"/>
    </row>
    <row r="3" spans="1:16" ht="16.5" customHeight="1" thickBot="1" x14ac:dyDescent="0.3">
      <c r="A3" s="173" t="s">
        <v>34</v>
      </c>
      <c r="B3" s="173"/>
      <c r="C3" s="173"/>
      <c r="D3" s="129" t="str">
        <f>'SAF 011'!C4</f>
        <v>040 - MINISTERIO DE SALUD</v>
      </c>
      <c r="E3" s="130"/>
      <c r="F3" s="130"/>
      <c r="G3" s="130"/>
      <c r="H3" s="130"/>
      <c r="I3" s="130"/>
      <c r="J3" s="130"/>
      <c r="K3" s="131"/>
    </row>
    <row r="4" spans="1:16" ht="16.149999999999999" customHeight="1" thickBot="1" x14ac:dyDescent="0.3">
      <c r="A4" s="171" t="s">
        <v>35</v>
      </c>
      <c r="B4" s="171"/>
      <c r="C4" s="171"/>
      <c r="D4" s="129" t="str">
        <f>'SAF 011'!C5</f>
        <v>011 - DIRECCION PROVINCIAL DE ADMINISTRACION - MINISTERIO DE SALUD</v>
      </c>
      <c r="E4" s="130"/>
      <c r="F4" s="130"/>
      <c r="G4" s="130"/>
      <c r="H4" s="130"/>
      <c r="I4" s="130"/>
      <c r="J4" s="130"/>
      <c r="K4" s="131"/>
    </row>
    <row r="5" spans="1:16" ht="16.5" customHeight="1" thickBot="1" x14ac:dyDescent="0.3">
      <c r="A5" s="171" t="s">
        <v>36</v>
      </c>
      <c r="B5" s="171"/>
      <c r="C5" s="171"/>
      <c r="D5" s="129" t="s">
        <v>119</v>
      </c>
      <c r="E5" s="130"/>
      <c r="F5" s="130"/>
      <c r="G5" s="130"/>
      <c r="H5" s="130"/>
      <c r="I5" s="130"/>
      <c r="J5" s="130"/>
      <c r="K5" s="131"/>
    </row>
    <row r="6" spans="1:16" ht="16.5" customHeight="1" thickBot="1" x14ac:dyDescent="0.3">
      <c r="A6" s="173" t="s">
        <v>37</v>
      </c>
      <c r="B6" s="173"/>
      <c r="C6" s="173"/>
      <c r="D6" s="129" t="s">
        <v>119</v>
      </c>
      <c r="E6" s="130"/>
      <c r="F6" s="130"/>
      <c r="G6" s="130"/>
      <c r="H6" s="130"/>
      <c r="I6" s="130"/>
      <c r="J6" s="130"/>
      <c r="K6" s="131"/>
    </row>
    <row r="7" spans="1:16" ht="16.5" thickBot="1" x14ac:dyDescent="0.3">
      <c r="A7" s="171" t="s">
        <v>38</v>
      </c>
      <c r="B7" s="171"/>
      <c r="C7" s="171"/>
      <c r="D7" s="129" t="s">
        <v>120</v>
      </c>
      <c r="E7" s="130"/>
      <c r="F7" s="130"/>
      <c r="G7" s="130"/>
      <c r="H7" s="130"/>
      <c r="I7" s="130"/>
      <c r="J7" s="130"/>
      <c r="K7" s="131"/>
    </row>
    <row r="8" spans="1:16" ht="16.5" customHeight="1" thickBot="1" x14ac:dyDescent="0.3">
      <c r="A8" s="179" t="s">
        <v>39</v>
      </c>
      <c r="B8" s="179"/>
      <c r="C8" s="179"/>
      <c r="D8" s="132" t="s">
        <v>121</v>
      </c>
      <c r="E8" s="130"/>
      <c r="F8" s="130"/>
      <c r="G8" s="130"/>
      <c r="H8" s="130"/>
      <c r="I8" s="130"/>
      <c r="J8" s="130"/>
      <c r="K8" s="131"/>
    </row>
    <row r="9" spans="1:16" ht="16.5" thickBot="1" x14ac:dyDescent="0.3">
      <c r="A9" s="36"/>
      <c r="B9" s="37"/>
      <c r="C9" s="37"/>
      <c r="D9" s="38"/>
      <c r="E9" s="38"/>
      <c r="F9" s="38"/>
      <c r="G9" s="38"/>
      <c r="H9" s="38"/>
      <c r="I9" s="38"/>
      <c r="J9" s="99"/>
      <c r="K9" s="39"/>
    </row>
    <row r="10" spans="1:16" ht="15.75" thickBot="1" x14ac:dyDescent="0.3">
      <c r="A10" s="180" t="s">
        <v>40</v>
      </c>
      <c r="B10" s="177" t="s">
        <v>41</v>
      </c>
      <c r="C10" s="177" t="s">
        <v>42</v>
      </c>
      <c r="D10" s="177"/>
      <c r="E10" s="177"/>
      <c r="F10" s="177"/>
      <c r="G10" s="177"/>
      <c r="H10" s="177" t="s">
        <v>43</v>
      </c>
      <c r="I10" s="177" t="s">
        <v>44</v>
      </c>
      <c r="J10" s="186" t="s">
        <v>45</v>
      </c>
      <c r="K10" s="184" t="s">
        <v>46</v>
      </c>
    </row>
    <row r="11" spans="1:16" ht="30" customHeight="1" thickBot="1" x14ac:dyDescent="0.3">
      <c r="A11" s="181"/>
      <c r="B11" s="178"/>
      <c r="C11" s="178"/>
      <c r="D11" s="178"/>
      <c r="E11" s="178"/>
      <c r="F11" s="178"/>
      <c r="G11" s="178"/>
      <c r="H11" s="178"/>
      <c r="I11" s="178"/>
      <c r="J11" s="187"/>
      <c r="K11" s="185"/>
    </row>
    <row r="12" spans="1:16" s="102" customFormat="1" ht="16.5" customHeight="1" x14ac:dyDescent="0.25">
      <c r="A12" s="105">
        <v>1</v>
      </c>
      <c r="B12" s="106"/>
      <c r="C12" s="188" t="str">
        <f>'SAF 011'!E11</f>
        <v>AMPOULE ADAPTER  X 150 pcs TIPO ROCHE</v>
      </c>
      <c r="D12" s="189"/>
      <c r="E12" s="189"/>
      <c r="F12" s="189"/>
      <c r="G12" s="190"/>
      <c r="H12" s="112" t="s">
        <v>142</v>
      </c>
      <c r="I12" s="113" t="str">
        <f>'SAF 011'!F11</f>
        <v>CAJA</v>
      </c>
      <c r="J12" s="114">
        <f>'SAF 011'!H11</f>
        <v>5689</v>
      </c>
      <c r="K12" s="115" t="e">
        <f>'SAF 011'!#REF!</f>
        <v>#REF!</v>
      </c>
      <c r="L12" s="134" t="e">
        <f>+K12*J12</f>
        <v>#REF!</v>
      </c>
      <c r="M12" s="133" t="e">
        <f>+J12*K12</f>
        <v>#REF!</v>
      </c>
      <c r="N12" s="133"/>
      <c r="O12" s="133" t="e">
        <f t="shared" ref="O12:O18" si="0">+M12</f>
        <v>#REF!</v>
      </c>
      <c r="P12" s="134"/>
    </row>
    <row r="13" spans="1:16" s="102" customFormat="1" ht="16.5" customHeight="1" x14ac:dyDescent="0.25">
      <c r="A13" s="105">
        <v>2</v>
      </c>
      <c r="B13" s="106"/>
      <c r="C13" s="174" t="str">
        <f>'SAF 011'!E16</f>
        <v>CEPILLO LIMPIA TUBOS DE HEMOLISIS TAMAÑO UNIVERSAL</v>
      </c>
      <c r="D13" s="175"/>
      <c r="E13" s="175"/>
      <c r="F13" s="175"/>
      <c r="G13" s="176"/>
      <c r="H13" s="112" t="s">
        <v>142</v>
      </c>
      <c r="I13" s="113" t="str">
        <f>'SAF 011'!F16</f>
        <v>UNIDAD</v>
      </c>
      <c r="J13" s="114">
        <f>'SAF 011'!H16</f>
        <v>250</v>
      </c>
      <c r="K13" s="115" t="e">
        <f>'SAF 011'!#REF!</f>
        <v>#REF!</v>
      </c>
      <c r="L13" s="134" t="e">
        <f t="shared" ref="L13:L49" si="1">+K13*J13</f>
        <v>#REF!</v>
      </c>
      <c r="M13" s="133" t="e">
        <f t="shared" ref="M13:M49" si="2">+J13*K13</f>
        <v>#REF!</v>
      </c>
      <c r="N13" s="133"/>
      <c r="O13" s="133" t="e">
        <f t="shared" si="0"/>
        <v>#REF!</v>
      </c>
      <c r="P13" s="134"/>
    </row>
    <row r="14" spans="1:16" s="102" customFormat="1" ht="16.5" customHeight="1" x14ac:dyDescent="0.25">
      <c r="A14" s="105">
        <v>3</v>
      </c>
      <c r="B14" s="106"/>
      <c r="C14" s="174" t="str">
        <f>'SAF 011'!E17</f>
        <v>Criotubo Expell 5 ml Pre-esterilizados, graduado - Bolsa x 100 un Tipo CAPP (Dinamarca)</v>
      </c>
      <c r="D14" s="175"/>
      <c r="E14" s="175"/>
      <c r="F14" s="175"/>
      <c r="G14" s="176"/>
      <c r="H14" s="112" t="s">
        <v>142</v>
      </c>
      <c r="I14" s="113" t="str">
        <f>'SAF 011'!F17</f>
        <v>BOLSA</v>
      </c>
      <c r="J14" s="114">
        <f>'SAF 011'!H17</f>
        <v>4690</v>
      </c>
      <c r="K14" s="115" t="e">
        <f>'SAF 011'!#REF!</f>
        <v>#REF!</v>
      </c>
      <c r="L14" s="134" t="e">
        <f t="shared" si="1"/>
        <v>#REF!</v>
      </c>
      <c r="M14" s="133" t="e">
        <f t="shared" si="2"/>
        <v>#REF!</v>
      </c>
      <c r="N14" s="133"/>
      <c r="O14" s="133" t="e">
        <f t="shared" si="0"/>
        <v>#REF!</v>
      </c>
      <c r="P14" s="134"/>
    </row>
    <row r="15" spans="1:16" s="102" customFormat="1" ht="16.5" customHeight="1" x14ac:dyDescent="0.25">
      <c r="A15" s="105">
        <v>4</v>
      </c>
      <c r="B15" s="106"/>
      <c r="C15" s="174" t="str">
        <f>'SAF 011'!E18</f>
        <v>CUBREOBJETOS HDA 20x20 MM x 200 U Tipo KINDER</v>
      </c>
      <c r="D15" s="175"/>
      <c r="E15" s="175"/>
      <c r="F15" s="175"/>
      <c r="G15" s="176"/>
      <c r="H15" s="112" t="s">
        <v>142</v>
      </c>
      <c r="I15" s="113" t="str">
        <f>'SAF 011'!F18</f>
        <v>CAJA</v>
      </c>
      <c r="J15" s="114">
        <f>'SAF 011'!H18</f>
        <v>270</v>
      </c>
      <c r="K15" s="115" t="e">
        <f>'SAF 011'!#REF!</f>
        <v>#REF!</v>
      </c>
      <c r="L15" s="134" t="e">
        <f t="shared" si="1"/>
        <v>#REF!</v>
      </c>
      <c r="M15" s="133" t="e">
        <f t="shared" si="2"/>
        <v>#REF!</v>
      </c>
      <c r="N15" s="133"/>
      <c r="O15" s="133" t="e">
        <f t="shared" si="0"/>
        <v>#REF!</v>
      </c>
      <c r="P15" s="134"/>
    </row>
    <row r="16" spans="1:16" s="102" customFormat="1" ht="16.5" customHeight="1" x14ac:dyDescent="0.25">
      <c r="A16" s="105">
        <v>5</v>
      </c>
      <c r="B16" s="106"/>
      <c r="C16" s="174" t="str">
        <f>'SAF 011'!E19</f>
        <v>EPENDORF  0,5 ML BOLSA POR 200 UNIDADES CALIDAD BIOLOGIA MOLECULAR</v>
      </c>
      <c r="D16" s="175"/>
      <c r="E16" s="175"/>
      <c r="F16" s="175"/>
      <c r="G16" s="176"/>
      <c r="H16" s="112" t="s">
        <v>142</v>
      </c>
      <c r="I16" s="113" t="str">
        <f>'SAF 011'!F19</f>
        <v>BOLSA</v>
      </c>
      <c r="J16" s="114">
        <f>'SAF 011'!H19</f>
        <v>4100</v>
      </c>
      <c r="K16" s="115" t="e">
        <f>'SAF 011'!#REF!</f>
        <v>#REF!</v>
      </c>
      <c r="L16" s="134" t="e">
        <f t="shared" si="1"/>
        <v>#REF!</v>
      </c>
      <c r="M16" s="133" t="e">
        <f t="shared" si="2"/>
        <v>#REF!</v>
      </c>
      <c r="N16" s="133"/>
      <c r="O16" s="133" t="e">
        <f t="shared" si="0"/>
        <v>#REF!</v>
      </c>
      <c r="P16" s="134"/>
    </row>
    <row r="17" spans="1:16" s="102" customFormat="1" ht="16.5" customHeight="1" x14ac:dyDescent="0.25">
      <c r="A17" s="105">
        <v>6</v>
      </c>
      <c r="B17" s="106"/>
      <c r="C17" s="174" t="str">
        <f>'SAF 011'!E20</f>
        <v>Ependorf 1,5 ml esteriles libres de ADNasa y RNAsa Bolsa fondo en U autoclaves x 500 tipo CAPP (Dinamarca)</v>
      </c>
      <c r="D17" s="175"/>
      <c r="E17" s="175"/>
      <c r="F17" s="175"/>
      <c r="G17" s="176"/>
      <c r="H17" s="112" t="s">
        <v>142</v>
      </c>
      <c r="I17" s="113" t="str">
        <f>'SAF 011'!F20</f>
        <v>BOLSA</v>
      </c>
      <c r="J17" s="114">
        <f>'SAF 011'!H20</f>
        <v>2170</v>
      </c>
      <c r="K17" s="115" t="e">
        <f>'SAF 011'!#REF!</f>
        <v>#REF!</v>
      </c>
      <c r="L17" s="134" t="e">
        <f t="shared" si="1"/>
        <v>#REF!</v>
      </c>
      <c r="M17" s="133" t="e">
        <f t="shared" si="2"/>
        <v>#REF!</v>
      </c>
      <c r="N17" s="133"/>
      <c r="O17" s="133" t="e">
        <f t="shared" si="0"/>
        <v>#REF!</v>
      </c>
      <c r="P17" s="134"/>
    </row>
    <row r="18" spans="1:16" s="102" customFormat="1" ht="16.5" customHeight="1" x14ac:dyDescent="0.25">
      <c r="A18" s="105">
        <v>7</v>
      </c>
      <c r="B18" s="106"/>
      <c r="C18" s="174" t="str">
        <f>'SAF 011'!E21</f>
        <v>Ependorf 2 ml esteriles libres de ADNasa y RNAsa Bolsa x 500 tipo DELTALAB</v>
      </c>
      <c r="D18" s="175"/>
      <c r="E18" s="175"/>
      <c r="F18" s="175"/>
      <c r="G18" s="176"/>
      <c r="H18" s="112" t="s">
        <v>142</v>
      </c>
      <c r="I18" s="113" t="str">
        <f>'SAF 011'!F21</f>
        <v>BOLSA</v>
      </c>
      <c r="J18" s="114">
        <f>'SAF 011'!H21</f>
        <v>3889</v>
      </c>
      <c r="K18" s="115" t="e">
        <f>'SAF 011'!#REF!</f>
        <v>#REF!</v>
      </c>
      <c r="L18" s="134" t="e">
        <f t="shared" si="1"/>
        <v>#REF!</v>
      </c>
      <c r="M18" s="133" t="e">
        <f t="shared" si="2"/>
        <v>#REF!</v>
      </c>
      <c r="N18" s="133"/>
      <c r="O18" s="133" t="e">
        <f t="shared" si="0"/>
        <v>#REF!</v>
      </c>
      <c r="P18" s="134"/>
    </row>
    <row r="19" spans="1:16" s="102" customFormat="1" ht="16.5" customHeight="1" x14ac:dyDescent="0.25">
      <c r="A19" s="105">
        <v>8</v>
      </c>
      <c r="B19" s="106"/>
      <c r="C19" s="174" t="str">
        <f>'SAF 011'!E22</f>
        <v>ETIQUETAS PARA IMPRESORA ZEBRA x 12 ROLLOS DE 1800 ETIQUETAS C/U</v>
      </c>
      <c r="D19" s="175"/>
      <c r="E19" s="175"/>
      <c r="F19" s="175"/>
      <c r="G19" s="176"/>
      <c r="H19" s="112" t="s">
        <v>142</v>
      </c>
      <c r="I19" s="113" t="str">
        <f>'SAF 011'!F22</f>
        <v>CAJA</v>
      </c>
      <c r="J19" s="114">
        <f>'SAF 011'!H22</f>
        <v>15800</v>
      </c>
      <c r="K19" s="115" t="e">
        <f>'SAF 011'!#REF!</f>
        <v>#REF!</v>
      </c>
      <c r="L19" s="134" t="e">
        <f t="shared" si="1"/>
        <v>#REF!</v>
      </c>
      <c r="M19" s="133" t="e">
        <f t="shared" si="2"/>
        <v>#REF!</v>
      </c>
      <c r="N19" s="133" t="e">
        <f t="shared" ref="N19:N34" si="3">+M19</f>
        <v>#REF!</v>
      </c>
      <c r="O19" s="133"/>
      <c r="P19" s="134"/>
    </row>
    <row r="20" spans="1:16" s="102" customFormat="1" ht="16.5" customHeight="1" x14ac:dyDescent="0.25">
      <c r="A20" s="105">
        <v>9</v>
      </c>
      <c r="B20" s="106"/>
      <c r="C20" s="174" t="str">
        <f>'SAF 011'!E23</f>
        <v>Frasco de Bioseguridad Triple  Tipo SISTEG M6</v>
      </c>
      <c r="D20" s="175"/>
      <c r="E20" s="175"/>
      <c r="F20" s="175"/>
      <c r="G20" s="176"/>
      <c r="H20" s="112" t="s">
        <v>142</v>
      </c>
      <c r="I20" s="113" t="str">
        <f>'SAF 011'!F23</f>
        <v>UNIDAD</v>
      </c>
      <c r="J20" s="114">
        <f>'SAF 011'!H23</f>
        <v>7100.5</v>
      </c>
      <c r="K20" s="115" t="e">
        <f>'SAF 011'!#REF!</f>
        <v>#REF!</v>
      </c>
      <c r="L20" s="134" t="e">
        <f t="shared" si="1"/>
        <v>#REF!</v>
      </c>
      <c r="M20" s="133" t="e">
        <f t="shared" si="2"/>
        <v>#REF!</v>
      </c>
      <c r="N20" s="133"/>
      <c r="O20" s="133" t="e">
        <f t="shared" ref="O20:O33" si="4">+M20</f>
        <v>#REF!</v>
      </c>
      <c r="P20" s="134"/>
    </row>
    <row r="21" spans="1:16" s="102" customFormat="1" ht="16.5" customHeight="1" x14ac:dyDescent="0.25">
      <c r="A21" s="105">
        <v>10</v>
      </c>
      <c r="B21" s="106"/>
      <c r="C21" s="174" t="str">
        <f>'SAF 011'!E24</f>
        <v>Gradilla alambre / plastico 24 Tubos 30 MM Tipo ARGA</v>
      </c>
      <c r="D21" s="175"/>
      <c r="E21" s="175"/>
      <c r="F21" s="175"/>
      <c r="G21" s="176"/>
      <c r="H21" s="112" t="s">
        <v>142</v>
      </c>
      <c r="I21" s="113" t="str">
        <f>'SAF 011'!F24</f>
        <v>UNIDAD</v>
      </c>
      <c r="J21" s="114">
        <f>'SAF 011'!H24</f>
        <v>2762</v>
      </c>
      <c r="K21" s="115" t="e">
        <f>'SAF 011'!#REF!</f>
        <v>#REF!</v>
      </c>
      <c r="L21" s="134" t="e">
        <f t="shared" si="1"/>
        <v>#REF!</v>
      </c>
      <c r="M21" s="133" t="e">
        <f t="shared" si="2"/>
        <v>#REF!</v>
      </c>
      <c r="N21" s="133"/>
      <c r="O21" s="133" t="e">
        <f t="shared" si="4"/>
        <v>#REF!</v>
      </c>
      <c r="P21" s="134"/>
    </row>
    <row r="22" spans="1:16" s="102" customFormat="1" ht="16.5" customHeight="1" x14ac:dyDescent="0.25">
      <c r="A22" s="105">
        <v>11</v>
      </c>
      <c r="B22" s="106"/>
      <c r="C22" s="174" t="str">
        <f>'SAF 011'!E25</f>
        <v>Gradilla alambre / plastico 48 Tubos 30 MM Tipo ARGA</v>
      </c>
      <c r="D22" s="175"/>
      <c r="E22" s="175"/>
      <c r="F22" s="175"/>
      <c r="G22" s="176"/>
      <c r="H22" s="112" t="s">
        <v>142</v>
      </c>
      <c r="I22" s="113" t="str">
        <f>'SAF 011'!F25</f>
        <v>UNIDAD</v>
      </c>
      <c r="J22" s="114">
        <f>'SAF 011'!H25</f>
        <v>4390</v>
      </c>
      <c r="K22" s="115" t="e">
        <f>'SAF 011'!#REF!</f>
        <v>#REF!</v>
      </c>
      <c r="L22" s="134" t="e">
        <f t="shared" si="1"/>
        <v>#REF!</v>
      </c>
      <c r="M22" s="133" t="e">
        <f t="shared" si="2"/>
        <v>#REF!</v>
      </c>
      <c r="N22" s="133"/>
      <c r="O22" s="133" t="e">
        <f t="shared" si="4"/>
        <v>#REF!</v>
      </c>
      <c r="P22" s="134"/>
    </row>
    <row r="23" spans="1:16" s="102" customFormat="1" ht="16.5" customHeight="1" x14ac:dyDescent="0.25">
      <c r="A23" s="105">
        <v>12</v>
      </c>
      <c r="B23" s="106"/>
      <c r="C23" s="174" t="str">
        <f>'SAF 011'!E26</f>
        <v>Gradilla PP resistente 80ºC 80 Tubos Eppendorf Tipo DELTALAB</v>
      </c>
      <c r="D23" s="175"/>
      <c r="E23" s="175"/>
      <c r="F23" s="175"/>
      <c r="G23" s="176"/>
      <c r="H23" s="112" t="s">
        <v>142</v>
      </c>
      <c r="I23" s="113" t="str">
        <f>'SAF 011'!F26</f>
        <v>UNIDAD</v>
      </c>
      <c r="J23" s="114">
        <f>'SAF 011'!H26</f>
        <v>883</v>
      </c>
      <c r="K23" s="115" t="e">
        <f>'SAF 011'!#REF!</f>
        <v>#REF!</v>
      </c>
      <c r="L23" s="134" t="e">
        <f t="shared" si="1"/>
        <v>#REF!</v>
      </c>
      <c r="M23" s="133" t="e">
        <f t="shared" si="2"/>
        <v>#REF!</v>
      </c>
      <c r="N23" s="133"/>
      <c r="O23" s="133" t="e">
        <f t="shared" si="4"/>
        <v>#REF!</v>
      </c>
      <c r="P23" s="134"/>
    </row>
    <row r="24" spans="1:16" s="102" customFormat="1" ht="16.5" customHeight="1" x14ac:dyDescent="0.25">
      <c r="A24" s="105">
        <v>13</v>
      </c>
      <c r="B24" s="106"/>
      <c r="C24" s="174" t="str">
        <f>'SAF 011'!E28</f>
        <v>HISOPOS NASOFARINGEOS DE DACRON O NYLON</v>
      </c>
      <c r="D24" s="175"/>
      <c r="E24" s="175"/>
      <c r="F24" s="175"/>
      <c r="G24" s="176"/>
      <c r="H24" s="112" t="s">
        <v>142</v>
      </c>
      <c r="I24" s="113" t="str">
        <f>'SAF 011'!F28</f>
        <v>UNIDAD</v>
      </c>
      <c r="J24" s="114">
        <f>'SAF 011'!H28</f>
        <v>65</v>
      </c>
      <c r="K24" s="115" t="e">
        <f>'SAF 011'!#REF!</f>
        <v>#REF!</v>
      </c>
      <c r="L24" s="134" t="e">
        <f t="shared" si="1"/>
        <v>#REF!</v>
      </c>
      <c r="M24" s="133" t="e">
        <f t="shared" si="2"/>
        <v>#REF!</v>
      </c>
      <c r="N24" s="133"/>
      <c r="O24" s="133" t="e">
        <f t="shared" si="4"/>
        <v>#REF!</v>
      </c>
      <c r="P24" s="134"/>
    </row>
    <row r="25" spans="1:16" s="102" customFormat="1" ht="16.5" customHeight="1" x14ac:dyDescent="0.25">
      <c r="A25" s="105">
        <v>14</v>
      </c>
      <c r="B25" s="106"/>
      <c r="C25" s="174" t="str">
        <f>'SAF 011'!E29</f>
        <v>JERINGAS HEPARINIZADAS PARA GASES 3 ML X100 UNIDADES TIPO BD</v>
      </c>
      <c r="D25" s="175"/>
      <c r="E25" s="175"/>
      <c r="F25" s="175"/>
      <c r="G25" s="176"/>
      <c r="H25" s="112" t="s">
        <v>142</v>
      </c>
      <c r="I25" s="113" t="str">
        <f>'SAF 011'!F29</f>
        <v>CAJA</v>
      </c>
      <c r="J25" s="114">
        <f>'SAF 011'!H29</f>
        <v>10312</v>
      </c>
      <c r="K25" s="115" t="e">
        <f>'SAF 011'!#REF!</f>
        <v>#REF!</v>
      </c>
      <c r="L25" s="134" t="e">
        <f t="shared" si="1"/>
        <v>#REF!</v>
      </c>
      <c r="M25" s="133" t="e">
        <f t="shared" si="2"/>
        <v>#REF!</v>
      </c>
      <c r="N25" s="133"/>
      <c r="O25" s="133" t="e">
        <f t="shared" si="4"/>
        <v>#REF!</v>
      </c>
      <c r="P25" s="134"/>
    </row>
    <row r="26" spans="1:16" s="102" customFormat="1" ht="16.5" customHeight="1" x14ac:dyDescent="0.25">
      <c r="A26" s="105">
        <v>15</v>
      </c>
      <c r="B26" s="106"/>
      <c r="C26" s="174" t="str">
        <f>'SAF 011'!E31</f>
        <v>MICROHEMATOCRITO  SIN HEPARINA X100</v>
      </c>
      <c r="D26" s="175"/>
      <c r="E26" s="175"/>
      <c r="F26" s="175"/>
      <c r="G26" s="176"/>
      <c r="H26" s="112" t="s">
        <v>142</v>
      </c>
      <c r="I26" s="113" t="str">
        <f>'SAF 011'!F31</f>
        <v>CAJA</v>
      </c>
      <c r="J26" s="114">
        <f>'SAF 011'!H31</f>
        <v>779</v>
      </c>
      <c r="K26" s="115" t="e">
        <f>'SAF 011'!#REF!</f>
        <v>#REF!</v>
      </c>
      <c r="L26" s="134" t="e">
        <f t="shared" si="1"/>
        <v>#REF!</v>
      </c>
      <c r="M26" s="133" t="e">
        <f t="shared" si="2"/>
        <v>#REF!</v>
      </c>
      <c r="N26" s="133"/>
      <c r="O26" s="133" t="e">
        <f t="shared" si="4"/>
        <v>#REF!</v>
      </c>
      <c r="P26" s="134"/>
    </row>
    <row r="27" spans="1:16" s="102" customFormat="1" ht="16.5" customHeight="1" x14ac:dyDescent="0.25">
      <c r="A27" s="105">
        <v>16</v>
      </c>
      <c r="B27" s="106"/>
      <c r="C27" s="174" t="str">
        <f>'SAF 011'!E32</f>
        <v>MICROHEMATOCRITO CON HEPARINA X100</v>
      </c>
      <c r="D27" s="175"/>
      <c r="E27" s="175"/>
      <c r="F27" s="175"/>
      <c r="G27" s="176"/>
      <c r="H27" s="112" t="s">
        <v>142</v>
      </c>
      <c r="I27" s="113" t="str">
        <f>'SAF 011'!F32</f>
        <v>CAJA</v>
      </c>
      <c r="J27" s="114">
        <f>'SAF 011'!H32</f>
        <v>892</v>
      </c>
      <c r="K27" s="115" t="e">
        <f>'SAF 011'!#REF!</f>
        <v>#REF!</v>
      </c>
      <c r="L27" s="134" t="e">
        <f t="shared" si="1"/>
        <v>#REF!</v>
      </c>
      <c r="M27" s="133" t="e">
        <f t="shared" si="2"/>
        <v>#REF!</v>
      </c>
      <c r="N27" s="133"/>
      <c r="O27" s="133" t="e">
        <f t="shared" si="4"/>
        <v>#REF!</v>
      </c>
      <c r="P27" s="134"/>
    </row>
    <row r="28" spans="1:16" s="102" customFormat="1" ht="16.5" customHeight="1" x14ac:dyDescent="0.25">
      <c r="A28" s="105">
        <v>17</v>
      </c>
      <c r="B28" s="106"/>
      <c r="C28" s="174" t="str">
        <f>'SAF 011'!E35</f>
        <v>PIPETA AUTOMATICA TIPO SOCOREX VOL REGULABLE DE 10-100 ul</v>
      </c>
      <c r="D28" s="175"/>
      <c r="E28" s="175"/>
      <c r="F28" s="175"/>
      <c r="G28" s="176"/>
      <c r="H28" s="112" t="s">
        <v>142</v>
      </c>
      <c r="I28" s="113" t="str">
        <f>'SAF 011'!F35</f>
        <v>UNIDAD</v>
      </c>
      <c r="J28" s="114">
        <f>'SAF 011'!H35</f>
        <v>90938</v>
      </c>
      <c r="K28" s="115" t="e">
        <f>'SAF 011'!#REF!</f>
        <v>#REF!</v>
      </c>
      <c r="L28" s="134" t="e">
        <f t="shared" si="1"/>
        <v>#REF!</v>
      </c>
      <c r="M28" s="133" t="e">
        <f t="shared" si="2"/>
        <v>#REF!</v>
      </c>
      <c r="N28" s="133"/>
      <c r="O28" s="133" t="e">
        <f t="shared" si="4"/>
        <v>#REF!</v>
      </c>
      <c r="P28" s="134"/>
    </row>
    <row r="29" spans="1:16" s="102" customFormat="1" ht="16.5" customHeight="1" x14ac:dyDescent="0.25">
      <c r="A29" s="105">
        <v>18</v>
      </c>
      <c r="B29" s="106"/>
      <c r="C29" s="174" t="str">
        <f>'SAF 011'!E36</f>
        <v>PIPETA AUTOMATICA TIPO SOCOREX VOL REGULABLE DE 20-200 ul</v>
      </c>
      <c r="D29" s="175"/>
      <c r="E29" s="175"/>
      <c r="F29" s="175"/>
      <c r="G29" s="176"/>
      <c r="H29" s="112" t="s">
        <v>142</v>
      </c>
      <c r="I29" s="113" t="str">
        <f>'SAF 011'!F36</f>
        <v>UNIDAD</v>
      </c>
      <c r="J29" s="114">
        <f>'SAF 011'!H36</f>
        <v>96849</v>
      </c>
      <c r="K29" s="115" t="e">
        <f>'SAF 011'!#REF!</f>
        <v>#REF!</v>
      </c>
      <c r="L29" s="134" t="e">
        <f t="shared" si="1"/>
        <v>#REF!</v>
      </c>
      <c r="M29" s="133" t="e">
        <f t="shared" si="2"/>
        <v>#REF!</v>
      </c>
      <c r="N29" s="133"/>
      <c r="O29" s="133" t="e">
        <f t="shared" si="4"/>
        <v>#REF!</v>
      </c>
      <c r="P29" s="134"/>
    </row>
    <row r="30" spans="1:16" s="102" customFormat="1" ht="16.5" customHeight="1" x14ac:dyDescent="0.25">
      <c r="A30" s="105">
        <v>19</v>
      </c>
      <c r="B30" s="106"/>
      <c r="C30" s="174" t="str">
        <f>'SAF 011'!E37</f>
        <v>PIPETA AUTOMATICA TIPO SOCOREX VOL REGULABLE DE 5-50 ul</v>
      </c>
      <c r="D30" s="175"/>
      <c r="E30" s="175"/>
      <c r="F30" s="175"/>
      <c r="G30" s="176"/>
      <c r="H30" s="112" t="s">
        <v>142</v>
      </c>
      <c r="I30" s="113" t="str">
        <f>'SAF 011'!F37</f>
        <v>UNIDAD</v>
      </c>
      <c r="J30" s="114">
        <f>'SAF 011'!H37</f>
        <v>90938</v>
      </c>
      <c r="K30" s="115" t="e">
        <f>'SAF 011'!#REF!</f>
        <v>#REF!</v>
      </c>
      <c r="L30" s="134" t="e">
        <f t="shared" si="1"/>
        <v>#REF!</v>
      </c>
      <c r="M30" s="133" t="e">
        <f t="shared" si="2"/>
        <v>#REF!</v>
      </c>
      <c r="N30" s="133"/>
      <c r="O30" s="133" t="e">
        <f t="shared" si="4"/>
        <v>#REF!</v>
      </c>
      <c r="P30" s="134"/>
    </row>
    <row r="31" spans="1:16" s="102" customFormat="1" ht="16.5" customHeight="1" x14ac:dyDescent="0.25">
      <c r="A31" s="105">
        <v>20</v>
      </c>
      <c r="B31" s="106"/>
      <c r="C31" s="174" t="str">
        <f>'SAF 011'!E38</f>
        <v>Placa de PCR Expell de 96 pocillos x 0,1 /0,2 ml, sin pollera Calidad Biologia Molecular Libre de DNAasa y RNAasa x 25 Un Tipo CAPP (Dinamarca)</v>
      </c>
      <c r="D31" s="175"/>
      <c r="E31" s="175"/>
      <c r="F31" s="175"/>
      <c r="G31" s="176"/>
      <c r="H31" s="112" t="s">
        <v>142</v>
      </c>
      <c r="I31" s="113" t="str">
        <f>'SAF 011'!F38</f>
        <v>CAJA</v>
      </c>
      <c r="J31" s="114">
        <f>'SAF 011'!H38</f>
        <v>28137</v>
      </c>
      <c r="K31" s="115" t="e">
        <f>'SAF 011'!#REF!</f>
        <v>#REF!</v>
      </c>
      <c r="L31" s="134" t="e">
        <f t="shared" si="1"/>
        <v>#REF!</v>
      </c>
      <c r="M31" s="133" t="e">
        <f t="shared" si="2"/>
        <v>#REF!</v>
      </c>
      <c r="N31" s="133"/>
      <c r="O31" s="133" t="e">
        <f t="shared" si="4"/>
        <v>#REF!</v>
      </c>
      <c r="P31" s="134"/>
    </row>
    <row r="32" spans="1:16" s="102" customFormat="1" ht="16.5" customHeight="1" x14ac:dyDescent="0.25">
      <c r="A32" s="105">
        <v>21</v>
      </c>
      <c r="B32" s="106"/>
      <c r="C32" s="174" t="str">
        <f>'SAF 011'!E39</f>
        <v xml:space="preserve">PLACA DE VIDRIO PARA VDRL X 12 POCILLOS </v>
      </c>
      <c r="D32" s="175"/>
      <c r="E32" s="175"/>
      <c r="F32" s="175"/>
      <c r="G32" s="176"/>
      <c r="H32" s="112" t="s">
        <v>142</v>
      </c>
      <c r="I32" s="113" t="str">
        <f>'SAF 011'!F39</f>
        <v>UNIDAD</v>
      </c>
      <c r="J32" s="114">
        <f>'SAF 011'!H39</f>
        <v>2100</v>
      </c>
      <c r="K32" s="115" t="e">
        <f>'SAF 011'!#REF!</f>
        <v>#REF!</v>
      </c>
      <c r="L32" s="134" t="e">
        <f t="shared" si="1"/>
        <v>#REF!</v>
      </c>
      <c r="M32" s="133" t="e">
        <f t="shared" si="2"/>
        <v>#REF!</v>
      </c>
      <c r="N32" s="133"/>
      <c r="O32" s="133" t="e">
        <f t="shared" si="4"/>
        <v>#REF!</v>
      </c>
      <c r="P32" s="134"/>
    </row>
    <row r="33" spans="1:16" s="102" customFormat="1" ht="16.5" customHeight="1" x14ac:dyDescent="0.25">
      <c r="A33" s="105">
        <v>22</v>
      </c>
      <c r="B33" s="106"/>
      <c r="C33" s="174" t="str">
        <f>'SAF 011'!E41</f>
        <v>Portaobjetos borde sin pulir 50 U Tipo BREMEN</v>
      </c>
      <c r="D33" s="175"/>
      <c r="E33" s="175"/>
      <c r="F33" s="175"/>
      <c r="G33" s="176"/>
      <c r="H33" s="112" t="s">
        <v>142</v>
      </c>
      <c r="I33" s="113" t="str">
        <f>'SAF 011'!F41</f>
        <v>CAJA</v>
      </c>
      <c r="J33" s="114">
        <f>'SAF 011'!H41</f>
        <v>248</v>
      </c>
      <c r="K33" s="115" t="e">
        <f>'SAF 011'!#REF!</f>
        <v>#REF!</v>
      </c>
      <c r="L33" s="134" t="e">
        <f t="shared" si="1"/>
        <v>#REF!</v>
      </c>
      <c r="M33" s="133" t="e">
        <f t="shared" si="2"/>
        <v>#REF!</v>
      </c>
      <c r="N33" s="133"/>
      <c r="O33" s="133" t="e">
        <f t="shared" si="4"/>
        <v>#REF!</v>
      </c>
      <c r="P33" s="134"/>
    </row>
    <row r="34" spans="1:16" s="102" customFormat="1" ht="16.5" customHeight="1" x14ac:dyDescent="0.25">
      <c r="A34" s="105">
        <v>23</v>
      </c>
      <c r="B34" s="106"/>
      <c r="C34" s="174" t="str">
        <f>'SAF 011'!E42</f>
        <v>rollo de papel para MINIVIDAS x5 unidades</v>
      </c>
      <c r="D34" s="175"/>
      <c r="E34" s="175"/>
      <c r="F34" s="175"/>
      <c r="G34" s="176"/>
      <c r="H34" s="112" t="s">
        <v>142</v>
      </c>
      <c r="I34" s="113" t="str">
        <f>'SAF 011'!F42</f>
        <v>PACK</v>
      </c>
      <c r="J34" s="114">
        <f>'SAF 011'!H42</f>
        <v>5100</v>
      </c>
      <c r="K34" s="115" t="e">
        <f>'SAF 011'!#REF!</f>
        <v>#REF!</v>
      </c>
      <c r="L34" s="134" t="e">
        <f t="shared" si="1"/>
        <v>#REF!</v>
      </c>
      <c r="M34" s="133" t="e">
        <f t="shared" si="2"/>
        <v>#REF!</v>
      </c>
      <c r="N34" s="133" t="e">
        <f t="shared" si="3"/>
        <v>#REF!</v>
      </c>
      <c r="O34" s="133"/>
      <c r="P34" s="134"/>
    </row>
    <row r="35" spans="1:16" s="102" customFormat="1" ht="16.5" customHeight="1" x14ac:dyDescent="0.25">
      <c r="A35" s="105">
        <v>24</v>
      </c>
      <c r="B35" s="106"/>
      <c r="C35" s="174" t="str">
        <f>'SAF 011'!E43</f>
        <v>TERMOMETRO DE ALCOHOL -10 A 60°C</v>
      </c>
      <c r="D35" s="175"/>
      <c r="E35" s="175"/>
      <c r="F35" s="175"/>
      <c r="G35" s="176"/>
      <c r="H35" s="112" t="s">
        <v>142</v>
      </c>
      <c r="I35" s="113" t="str">
        <f>'SAF 011'!F43</f>
        <v>UNIDAD</v>
      </c>
      <c r="J35" s="114">
        <f>'SAF 011'!H43</f>
        <v>442</v>
      </c>
      <c r="K35" s="115" t="e">
        <f>'SAF 011'!#REF!</f>
        <v>#REF!</v>
      </c>
      <c r="L35" s="134" t="e">
        <f t="shared" si="1"/>
        <v>#REF!</v>
      </c>
      <c r="M35" s="133" t="e">
        <f t="shared" si="2"/>
        <v>#REF!</v>
      </c>
      <c r="N35" s="133"/>
      <c r="O35" s="133" t="e">
        <f t="shared" ref="O35:O49" si="5">+M35</f>
        <v>#REF!</v>
      </c>
      <c r="P35" s="134"/>
    </row>
    <row r="36" spans="1:16" s="102" customFormat="1" ht="16.5" customHeight="1" x14ac:dyDescent="0.25">
      <c r="A36" s="105">
        <v>25</v>
      </c>
      <c r="B36" s="106"/>
      <c r="C36" s="174" t="str">
        <f>'SAF 011'!E44</f>
        <v>TIMER DIGITAL 5 TIEMPOS</v>
      </c>
      <c r="D36" s="175"/>
      <c r="E36" s="175"/>
      <c r="F36" s="175"/>
      <c r="G36" s="176"/>
      <c r="H36" s="112" t="s">
        <v>142</v>
      </c>
      <c r="I36" s="113" t="str">
        <f>'SAF 011'!F44</f>
        <v>UNIDAD</v>
      </c>
      <c r="J36" s="114">
        <f>'SAF 011'!H44</f>
        <v>1710</v>
      </c>
      <c r="K36" s="115" t="e">
        <f>'SAF 011'!#REF!</f>
        <v>#REF!</v>
      </c>
      <c r="L36" s="134" t="e">
        <f t="shared" si="1"/>
        <v>#REF!</v>
      </c>
      <c r="M36" s="133" t="e">
        <f t="shared" si="2"/>
        <v>#REF!</v>
      </c>
      <c r="N36" s="133"/>
      <c r="O36" s="133" t="e">
        <f t="shared" si="5"/>
        <v>#REF!</v>
      </c>
      <c r="P36" s="134"/>
    </row>
    <row r="37" spans="1:16" s="102" customFormat="1" ht="16.5" customHeight="1" x14ac:dyDescent="0.25">
      <c r="A37" s="105">
        <v>26</v>
      </c>
      <c r="B37" s="106"/>
      <c r="C37" s="174" t="str">
        <f>'SAF 011'!E46</f>
        <v xml:space="preserve">TIPS AMARILLO 5-200 UL SIN CORONA bolsa X 1000 UNIDADES </v>
      </c>
      <c r="D37" s="175"/>
      <c r="E37" s="175"/>
      <c r="F37" s="175"/>
      <c r="G37" s="176"/>
      <c r="H37" s="112" t="s">
        <v>142</v>
      </c>
      <c r="I37" s="113" t="str">
        <f>'SAF 011'!F46</f>
        <v>BOLSA</v>
      </c>
      <c r="J37" s="114">
        <f>'SAF 011'!H46</f>
        <v>1540</v>
      </c>
      <c r="K37" s="115" t="e">
        <f>'SAF 011'!#REF!</f>
        <v>#REF!</v>
      </c>
      <c r="L37" s="134" t="e">
        <f t="shared" si="1"/>
        <v>#REF!</v>
      </c>
      <c r="M37" s="133" t="e">
        <f t="shared" si="2"/>
        <v>#REF!</v>
      </c>
      <c r="N37" s="133"/>
      <c r="O37" s="133" t="e">
        <f t="shared" si="5"/>
        <v>#REF!</v>
      </c>
      <c r="P37" s="134"/>
    </row>
    <row r="38" spans="1:16" s="102" customFormat="1" ht="16.5" customHeight="1" x14ac:dyDescent="0.25">
      <c r="A38" s="105">
        <v>27</v>
      </c>
      <c r="B38" s="106"/>
      <c r="C38" s="174" t="str">
        <f>+'SAF 011'!E47</f>
        <v xml:space="preserve">TIPS AZUL 100-1000 ul bolsa  X 1000 UNIDADES CON CORONA </v>
      </c>
      <c r="D38" s="175"/>
      <c r="E38" s="175"/>
      <c r="F38" s="175"/>
      <c r="G38" s="176"/>
      <c r="H38" s="112" t="s">
        <v>142</v>
      </c>
      <c r="I38" s="113" t="str">
        <f>+'SAF 011'!F47</f>
        <v>BOLSA</v>
      </c>
      <c r="J38" s="114">
        <f>+'SAF 011'!H47</f>
        <v>2204</v>
      </c>
      <c r="K38" s="115" t="e">
        <f>+'SAF 011'!#REF!</f>
        <v>#REF!</v>
      </c>
      <c r="L38" s="134" t="e">
        <f t="shared" si="1"/>
        <v>#REF!</v>
      </c>
      <c r="M38" s="133" t="e">
        <f t="shared" si="2"/>
        <v>#REF!</v>
      </c>
      <c r="N38" s="133"/>
      <c r="O38" s="133" t="e">
        <f t="shared" si="5"/>
        <v>#REF!</v>
      </c>
      <c r="P38" s="134"/>
    </row>
    <row r="39" spans="1:16" s="102" customFormat="1" ht="16.5" customHeight="1" x14ac:dyDescent="0.25">
      <c r="A39" s="105">
        <v>28</v>
      </c>
      <c r="B39" s="106"/>
      <c r="C39" s="174" t="str">
        <f>'SAF 011'!E48</f>
        <v>TIPS BLANCO GRADUADO 0.1-10 ul C/CORONA BOLSA POR 1000 UNIDADES</v>
      </c>
      <c r="D39" s="175"/>
      <c r="E39" s="175"/>
      <c r="F39" s="175"/>
      <c r="G39" s="176"/>
      <c r="H39" s="112" t="s">
        <v>142</v>
      </c>
      <c r="I39" s="113" t="str">
        <f>'SAF 011'!F48</f>
        <v>BOLSA</v>
      </c>
      <c r="J39" s="114">
        <f>'SAF 011'!H48</f>
        <v>10402</v>
      </c>
      <c r="K39" s="115" t="e">
        <f>'SAF 011'!#REF!</f>
        <v>#REF!</v>
      </c>
      <c r="L39" s="134" t="e">
        <f t="shared" si="1"/>
        <v>#REF!</v>
      </c>
      <c r="M39" s="133" t="e">
        <f t="shared" si="2"/>
        <v>#REF!</v>
      </c>
      <c r="N39" s="133"/>
      <c r="O39" s="133" t="e">
        <f t="shared" si="5"/>
        <v>#REF!</v>
      </c>
      <c r="P39" s="134"/>
    </row>
    <row r="40" spans="1:16" s="102" customFormat="1" ht="16.5" customHeight="1" x14ac:dyDescent="0.25">
      <c r="A40" s="105">
        <v>29</v>
      </c>
      <c r="B40" s="106"/>
      <c r="C40" s="174" t="str">
        <f>'SAF 011'!E49</f>
        <v>Tips ExpeIIPlus 10 UL Largos, c/filtro Libre de ARNasa y ADNasa Bolsa x 1000 unidades . Tipo NEW LEAF</v>
      </c>
      <c r="D40" s="175"/>
      <c r="E40" s="175"/>
      <c r="F40" s="175"/>
      <c r="G40" s="176"/>
      <c r="H40" s="112" t="s">
        <v>142</v>
      </c>
      <c r="I40" s="113" t="str">
        <f>'SAF 011'!F49</f>
        <v>BOLSA</v>
      </c>
      <c r="J40" s="114">
        <f>'SAF 011'!H49</f>
        <v>10761</v>
      </c>
      <c r="K40" s="115" t="e">
        <f>'SAF 011'!#REF!</f>
        <v>#REF!</v>
      </c>
      <c r="L40" s="134" t="e">
        <f t="shared" si="1"/>
        <v>#REF!</v>
      </c>
      <c r="M40" s="133" t="e">
        <f t="shared" si="2"/>
        <v>#REF!</v>
      </c>
      <c r="N40" s="133"/>
      <c r="O40" s="133" t="e">
        <f t="shared" si="5"/>
        <v>#REF!</v>
      </c>
      <c r="P40" s="134"/>
    </row>
    <row r="41" spans="1:16" s="102" customFormat="1" ht="16.5" customHeight="1" x14ac:dyDescent="0.25">
      <c r="A41" s="105">
        <v>30</v>
      </c>
      <c r="B41" s="106"/>
      <c r="C41" s="174" t="str">
        <f>'SAF 011'!E50</f>
        <v>Tips ExpeIIPlus 1000 UL c/filtro Libre de ARNasa y ADNasa Bolsa x 1000 unidades. Tipo NEW LEAF</v>
      </c>
      <c r="D41" s="175"/>
      <c r="E41" s="175"/>
      <c r="F41" s="175"/>
      <c r="G41" s="176"/>
      <c r="H41" s="112" t="s">
        <v>142</v>
      </c>
      <c r="I41" s="113" t="str">
        <f>'SAF 011'!F50</f>
        <v>BOLSA</v>
      </c>
      <c r="J41" s="114">
        <f>'SAF 011'!H50</f>
        <v>12668</v>
      </c>
      <c r="K41" s="115" t="e">
        <f>'SAF 011'!#REF!</f>
        <v>#REF!</v>
      </c>
      <c r="L41" s="134" t="e">
        <f t="shared" si="1"/>
        <v>#REF!</v>
      </c>
      <c r="M41" s="133" t="e">
        <f t="shared" si="2"/>
        <v>#REF!</v>
      </c>
      <c r="N41" s="133"/>
      <c r="O41" s="133" t="e">
        <f t="shared" si="5"/>
        <v>#REF!</v>
      </c>
      <c r="P41" s="134"/>
    </row>
    <row r="42" spans="1:16" s="102" customFormat="1" ht="16.5" customHeight="1" x14ac:dyDescent="0.25">
      <c r="A42" s="105">
        <v>31</v>
      </c>
      <c r="B42" s="106"/>
      <c r="C42" s="174" t="str">
        <f>'SAF 011'!E51</f>
        <v>Tips ExpeIIPlus 20 UL , c/filtro Libre de ARNasa y ADNasa Bolsa x 1000 unidades . Tipo NEW LEAF</v>
      </c>
      <c r="D42" s="175"/>
      <c r="E42" s="175"/>
      <c r="F42" s="175"/>
      <c r="G42" s="176"/>
      <c r="H42" s="112" t="s">
        <v>142</v>
      </c>
      <c r="I42" s="113" t="str">
        <f>'SAF 011'!F51</f>
        <v>BOLSA</v>
      </c>
      <c r="J42" s="114">
        <f>'SAF 011'!H51</f>
        <v>10761</v>
      </c>
      <c r="K42" s="115" t="e">
        <f>'SAF 011'!#REF!</f>
        <v>#REF!</v>
      </c>
      <c r="L42" s="134" t="e">
        <f t="shared" si="1"/>
        <v>#REF!</v>
      </c>
      <c r="M42" s="133" t="e">
        <f t="shared" si="2"/>
        <v>#REF!</v>
      </c>
      <c r="N42" s="133"/>
      <c r="O42" s="133" t="e">
        <f t="shared" si="5"/>
        <v>#REF!</v>
      </c>
      <c r="P42" s="134"/>
    </row>
    <row r="43" spans="1:16" s="102" customFormat="1" ht="16.5" customHeight="1" x14ac:dyDescent="0.25">
      <c r="A43" s="105">
        <v>32</v>
      </c>
      <c r="B43" s="106"/>
      <c r="C43" s="174" t="str">
        <f>'SAF 011'!E52</f>
        <v>Tips ExpeIIPlus 200 UL c/filtro Libre de ARNasa y ADNasa Bolsa x 1000 unidades. Tipo NEW LEAF</v>
      </c>
      <c r="D43" s="175"/>
      <c r="E43" s="175"/>
      <c r="F43" s="175"/>
      <c r="G43" s="176"/>
      <c r="H43" s="112" t="s">
        <v>142</v>
      </c>
      <c r="I43" s="113" t="str">
        <f>'SAF 011'!F52</f>
        <v>BOLSA</v>
      </c>
      <c r="J43" s="114">
        <f>'SAF 011'!H52</f>
        <v>16783</v>
      </c>
      <c r="K43" s="115" t="e">
        <f>'SAF 011'!#REF!</f>
        <v>#REF!</v>
      </c>
      <c r="L43" s="134" t="e">
        <f t="shared" si="1"/>
        <v>#REF!</v>
      </c>
      <c r="M43" s="133" t="e">
        <f t="shared" si="2"/>
        <v>#REF!</v>
      </c>
      <c r="N43" s="133"/>
      <c r="O43" s="133" t="e">
        <f t="shared" si="5"/>
        <v>#REF!</v>
      </c>
      <c r="P43" s="134"/>
    </row>
    <row r="44" spans="1:16" s="102" customFormat="1" ht="16.5" customHeight="1" x14ac:dyDescent="0.25">
      <c r="A44" s="105">
        <v>33</v>
      </c>
      <c r="B44" s="106"/>
      <c r="C44" s="174" t="str">
        <f>'SAF 011'!E53</f>
        <v>TUBO CITRATO SODIO (COAGULOGRAMA) 3,2% 2,7 ML TAPA CELESTE X 1000 UN VACUTAINER TIPO BD</v>
      </c>
      <c r="D44" s="175"/>
      <c r="E44" s="175"/>
      <c r="F44" s="175"/>
      <c r="G44" s="176"/>
      <c r="H44" s="112" t="s">
        <v>142</v>
      </c>
      <c r="I44" s="113" t="str">
        <f>'SAF 011'!F53</f>
        <v>CAJA</v>
      </c>
      <c r="J44" s="114">
        <f>'SAF 011'!H53</f>
        <v>26125</v>
      </c>
      <c r="K44" s="115" t="e">
        <f>'SAF 011'!#REF!</f>
        <v>#REF!</v>
      </c>
      <c r="L44" s="134" t="e">
        <f t="shared" si="1"/>
        <v>#REF!</v>
      </c>
      <c r="M44" s="133" t="e">
        <f t="shared" si="2"/>
        <v>#REF!</v>
      </c>
      <c r="N44" s="133"/>
      <c r="O44" s="133" t="e">
        <f t="shared" si="5"/>
        <v>#REF!</v>
      </c>
      <c r="P44" s="134"/>
    </row>
    <row r="45" spans="1:16" s="102" customFormat="1" ht="16.5" customHeight="1" x14ac:dyDescent="0.25">
      <c r="A45" s="105">
        <v>34</v>
      </c>
      <c r="B45" s="106"/>
      <c r="C45" s="174" t="str">
        <f>'SAF 011'!E54</f>
        <v>Tubo con citrato tapa celeste para coagulograma 1 ml Tipo VITIS</v>
      </c>
      <c r="D45" s="175"/>
      <c r="E45" s="175"/>
      <c r="F45" s="175"/>
      <c r="G45" s="176"/>
      <c r="H45" s="112" t="s">
        <v>142</v>
      </c>
      <c r="I45" s="113" t="str">
        <f>'SAF 011'!F54</f>
        <v>UNIDAD</v>
      </c>
      <c r="J45" s="114">
        <f>'SAF 011'!H54</f>
        <v>20</v>
      </c>
      <c r="K45" s="115" t="e">
        <f>'SAF 011'!#REF!</f>
        <v>#REF!</v>
      </c>
      <c r="L45" s="134" t="e">
        <f t="shared" si="1"/>
        <v>#REF!</v>
      </c>
      <c r="M45" s="133" t="e">
        <f t="shared" si="2"/>
        <v>#REF!</v>
      </c>
      <c r="N45" s="133"/>
      <c r="O45" s="133" t="e">
        <f t="shared" si="5"/>
        <v>#REF!</v>
      </c>
      <c r="P45" s="134"/>
    </row>
    <row r="46" spans="1:16" s="102" customFormat="1" ht="16.5" customHeight="1" x14ac:dyDescent="0.25">
      <c r="A46" s="105">
        <v>35</v>
      </c>
      <c r="B46" s="106"/>
      <c r="C46" s="174" t="str">
        <f>'SAF 011'!E55</f>
        <v>TUBO CONICO PP GRADUADO CON TAPA (envase INDIVIDUAL) - 15 ML TIPO VITIS</v>
      </c>
      <c r="D46" s="175"/>
      <c r="E46" s="175"/>
      <c r="F46" s="175"/>
      <c r="G46" s="176"/>
      <c r="H46" s="112" t="s">
        <v>142</v>
      </c>
      <c r="I46" s="113" t="str">
        <f>'SAF 011'!F55</f>
        <v>UNIDAD</v>
      </c>
      <c r="J46" s="114">
        <f>'SAF 011'!H55</f>
        <v>23</v>
      </c>
      <c r="K46" s="115" t="e">
        <f>'SAF 011'!#REF!</f>
        <v>#REF!</v>
      </c>
      <c r="L46" s="134" t="e">
        <f t="shared" si="1"/>
        <v>#REF!</v>
      </c>
      <c r="M46" s="133" t="e">
        <f t="shared" si="2"/>
        <v>#REF!</v>
      </c>
      <c r="N46" s="133"/>
      <c r="O46" s="133" t="e">
        <f t="shared" si="5"/>
        <v>#REF!</v>
      </c>
      <c r="P46" s="134"/>
    </row>
    <row r="47" spans="1:16" s="102" customFormat="1" ht="16.5" customHeight="1" x14ac:dyDescent="0.25">
      <c r="A47" s="105">
        <v>36</v>
      </c>
      <c r="B47" s="106"/>
      <c r="C47" s="174" t="str">
        <f>'SAF 011'!E56</f>
        <v>TUBO DE KAHN DE VIDRIO</v>
      </c>
      <c r="D47" s="175"/>
      <c r="E47" s="175"/>
      <c r="F47" s="175"/>
      <c r="G47" s="176"/>
      <c r="H47" s="112" t="s">
        <v>142</v>
      </c>
      <c r="I47" s="113" t="str">
        <f>'SAF 011'!F56</f>
        <v>UNIDAD</v>
      </c>
      <c r="J47" s="114">
        <f>'SAF 011'!H56</f>
        <v>19</v>
      </c>
      <c r="K47" s="115" t="e">
        <f>'SAF 011'!#REF!</f>
        <v>#REF!</v>
      </c>
      <c r="L47" s="134" t="e">
        <f t="shared" si="1"/>
        <v>#REF!</v>
      </c>
      <c r="M47" s="133" t="e">
        <f t="shared" si="2"/>
        <v>#REF!</v>
      </c>
      <c r="N47" s="133"/>
      <c r="O47" s="133" t="e">
        <f t="shared" si="5"/>
        <v>#REF!</v>
      </c>
      <c r="P47" s="134"/>
    </row>
    <row r="48" spans="1:16" s="102" customFormat="1" ht="16.5" customHeight="1" x14ac:dyDescent="0.25">
      <c r="A48" s="105">
        <v>37</v>
      </c>
      <c r="B48" s="106"/>
      <c r="C48" s="174" t="str">
        <f>'SAF 011'!E57</f>
        <v>TUBO P/HEMOGRAMA EDTA 2 ML TAPA LILA X 1000 UN VACUTAINER TIPO BD</v>
      </c>
      <c r="D48" s="175"/>
      <c r="E48" s="175"/>
      <c r="F48" s="175"/>
      <c r="G48" s="176"/>
      <c r="H48" s="112" t="s">
        <v>142</v>
      </c>
      <c r="I48" s="113" t="str">
        <f>'SAF 011'!F57</f>
        <v>CAJA</v>
      </c>
      <c r="J48" s="114">
        <f>'SAF 011'!H57</f>
        <v>17875</v>
      </c>
      <c r="K48" s="115" t="e">
        <f>'SAF 011'!#REF!</f>
        <v>#REF!</v>
      </c>
      <c r="L48" s="134" t="e">
        <f t="shared" si="1"/>
        <v>#REF!</v>
      </c>
      <c r="M48" s="133" t="e">
        <f t="shared" si="2"/>
        <v>#REF!</v>
      </c>
      <c r="N48" s="133"/>
      <c r="O48" s="133" t="e">
        <f t="shared" si="5"/>
        <v>#REF!</v>
      </c>
      <c r="P48" s="134"/>
    </row>
    <row r="49" spans="1:16" s="102" customFormat="1" ht="16.5" customHeight="1" x14ac:dyDescent="0.25">
      <c r="A49" s="105">
        <v>38</v>
      </c>
      <c r="B49" s="106"/>
      <c r="C49" s="174" t="str">
        <f>'SAF 011'!E58</f>
        <v>Tubo para suero con gel tapa Amarilla 5 ML</v>
      </c>
      <c r="D49" s="175"/>
      <c r="E49" s="175"/>
      <c r="F49" s="175"/>
      <c r="G49" s="176"/>
      <c r="H49" s="112" t="s">
        <v>142</v>
      </c>
      <c r="I49" s="113" t="str">
        <f>'SAF 011'!F58</f>
        <v>UNIDAD</v>
      </c>
      <c r="J49" s="114">
        <f>'SAF 011'!H58</f>
        <v>36</v>
      </c>
      <c r="K49" s="115" t="e">
        <f>'SAF 011'!#REF!</f>
        <v>#REF!</v>
      </c>
      <c r="L49" s="134" t="e">
        <f t="shared" si="1"/>
        <v>#REF!</v>
      </c>
      <c r="M49" s="133" t="e">
        <f t="shared" si="2"/>
        <v>#REF!</v>
      </c>
      <c r="N49" s="133"/>
      <c r="O49" s="133" t="e">
        <f t="shared" si="5"/>
        <v>#REF!</v>
      </c>
      <c r="P49" s="134"/>
    </row>
    <row r="50" spans="1:16" ht="15.75" x14ac:dyDescent="0.25">
      <c r="A50" s="40"/>
      <c r="B50" s="41"/>
      <c r="C50" s="183"/>
      <c r="D50" s="183"/>
      <c r="E50" s="183"/>
      <c r="F50" s="183"/>
      <c r="G50" s="183"/>
      <c r="H50" s="42"/>
      <c r="I50" s="43"/>
      <c r="J50" s="100"/>
      <c r="K50" s="44"/>
    </row>
    <row r="51" spans="1:16" ht="19.5" thickBot="1" x14ac:dyDescent="0.3">
      <c r="A51" s="191" t="s">
        <v>144</v>
      </c>
      <c r="B51" s="191"/>
      <c r="C51" s="191"/>
      <c r="D51" s="191"/>
      <c r="E51" s="191"/>
      <c r="F51" s="191"/>
      <c r="G51" s="191"/>
      <c r="H51" s="191"/>
      <c r="I51" s="191"/>
      <c r="J51" s="182" t="e">
        <f>SUM(L12:L49)</f>
        <v>#REF!</v>
      </c>
      <c r="K51" s="182"/>
      <c r="M51" s="133" t="e">
        <f>SUM(M12:M50)</f>
        <v>#REF!</v>
      </c>
      <c r="N51" s="133" t="e">
        <f t="shared" ref="N51:O51" si="6">SUM(N12:N50)</f>
        <v>#REF!</v>
      </c>
      <c r="O51" s="133" t="e">
        <f t="shared" si="6"/>
        <v>#REF!</v>
      </c>
      <c r="P51" s="133" t="e">
        <f>SUM(N51:O51)</f>
        <v>#REF!</v>
      </c>
    </row>
    <row r="52" spans="1:16" x14ac:dyDescent="0.25">
      <c r="D52" s="143"/>
    </row>
    <row r="53" spans="1:16" x14ac:dyDescent="0.25">
      <c r="N53" s="134">
        <v>234</v>
      </c>
      <c r="O53" s="134">
        <v>295</v>
      </c>
    </row>
  </sheetData>
  <mergeCells count="55">
    <mergeCell ref="C37:G37"/>
    <mergeCell ref="C38:G38"/>
    <mergeCell ref="C39:G39"/>
    <mergeCell ref="C34:G34"/>
    <mergeCell ref="C35:G35"/>
    <mergeCell ref="C36:G36"/>
    <mergeCell ref="C42:G42"/>
    <mergeCell ref="C43:G43"/>
    <mergeCell ref="C44:G44"/>
    <mergeCell ref="C45:G45"/>
    <mergeCell ref="C46:G46"/>
    <mergeCell ref="A51:I51"/>
    <mergeCell ref="C24:G24"/>
    <mergeCell ref="C25:G25"/>
    <mergeCell ref="C40:G40"/>
    <mergeCell ref="C41:G41"/>
    <mergeCell ref="C26:G26"/>
    <mergeCell ref="C27:G27"/>
    <mergeCell ref="C28:G28"/>
    <mergeCell ref="C29:G29"/>
    <mergeCell ref="C30:G30"/>
    <mergeCell ref="C31:G31"/>
    <mergeCell ref="C32:G32"/>
    <mergeCell ref="C33:G33"/>
    <mergeCell ref="C47:G47"/>
    <mergeCell ref="C48:G48"/>
    <mergeCell ref="C49:G49"/>
    <mergeCell ref="J51:K51"/>
    <mergeCell ref="C50:G50"/>
    <mergeCell ref="K10:K11"/>
    <mergeCell ref="I10:I11"/>
    <mergeCell ref="J10:J11"/>
    <mergeCell ref="C12:G12"/>
    <mergeCell ref="C13:G13"/>
    <mergeCell ref="C14:G14"/>
    <mergeCell ref="C15:G15"/>
    <mergeCell ref="C16:G16"/>
    <mergeCell ref="C18:G18"/>
    <mergeCell ref="C19:G19"/>
    <mergeCell ref="C20:G20"/>
    <mergeCell ref="C21:G21"/>
    <mergeCell ref="C22:G22"/>
    <mergeCell ref="C23:G23"/>
    <mergeCell ref="A5:C5"/>
    <mergeCell ref="A1:I1"/>
    <mergeCell ref="A3:C3"/>
    <mergeCell ref="A4:C4"/>
    <mergeCell ref="C17:G17"/>
    <mergeCell ref="H10:H11"/>
    <mergeCell ref="A6:C6"/>
    <mergeCell ref="A7:C7"/>
    <mergeCell ref="A8:C8"/>
    <mergeCell ref="A10:A11"/>
    <mergeCell ref="B10:B11"/>
    <mergeCell ref="C10:G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workbookViewId="0">
      <selection activeCell="A36" sqref="A36:P36"/>
    </sheetView>
  </sheetViews>
  <sheetFormatPr baseColWidth="10" defaultRowHeight="15" x14ac:dyDescent="0.25"/>
  <cols>
    <col min="1" max="5" width="4.42578125" customWidth="1"/>
    <col min="6" max="6" width="9.140625" customWidth="1"/>
    <col min="7" max="14" width="4.42578125" customWidth="1"/>
    <col min="15" max="15" width="14.85546875" customWidth="1"/>
    <col min="16" max="16" width="21.7109375" customWidth="1"/>
    <col min="17" max="17" width="14.7109375" customWidth="1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45"/>
      <c r="G1" s="45"/>
      <c r="H1" s="46"/>
      <c r="I1" s="46"/>
      <c r="J1" s="46"/>
      <c r="K1" s="46"/>
      <c r="L1" s="46"/>
      <c r="M1" s="46"/>
      <c r="N1" s="46"/>
      <c r="O1" s="47"/>
      <c r="P1" s="195" t="s">
        <v>47</v>
      </c>
      <c r="Q1" s="195"/>
    </row>
    <row r="2" spans="1:17" ht="15.75" thickBot="1" x14ac:dyDescent="0.3">
      <c r="A2" s="48"/>
      <c r="B2" s="49"/>
      <c r="C2" s="49"/>
      <c r="D2" s="49"/>
      <c r="E2" s="49"/>
      <c r="F2" s="49"/>
      <c r="G2" s="50"/>
      <c r="H2" s="51"/>
      <c r="I2" s="51"/>
      <c r="J2" s="51"/>
      <c r="K2" s="51"/>
      <c r="L2" s="51"/>
      <c r="M2" s="51"/>
      <c r="N2" s="51"/>
      <c r="O2" s="49"/>
      <c r="P2" s="195"/>
      <c r="Q2" s="195"/>
    </row>
    <row r="3" spans="1:17" ht="15.75" thickBot="1" x14ac:dyDescent="0.3">
      <c r="A3" s="48"/>
      <c r="B3" s="49"/>
      <c r="C3" s="49"/>
      <c r="D3" s="49"/>
      <c r="E3" s="49"/>
      <c r="F3" s="49"/>
      <c r="G3" s="50"/>
      <c r="H3" s="49"/>
      <c r="I3" s="49"/>
      <c r="J3" s="49"/>
      <c r="K3" s="49"/>
      <c r="L3" s="49"/>
      <c r="M3" s="49"/>
      <c r="N3" s="49"/>
      <c r="O3" s="49"/>
      <c r="P3" s="49"/>
      <c r="Q3" s="52"/>
    </row>
    <row r="4" spans="1:17" s="128" customFormat="1" ht="15.75" thickBot="1" x14ac:dyDescent="0.3">
      <c r="A4" s="196" t="s">
        <v>48</v>
      </c>
      <c r="B4" s="196"/>
      <c r="C4" s="196"/>
      <c r="D4" s="196"/>
      <c r="E4" s="196"/>
      <c r="F4" s="196"/>
      <c r="G4" s="197" t="str">
        <f>'NP LABORATORIO'!D3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128" customFormat="1" ht="15" customHeight="1" thickBot="1" x14ac:dyDescent="0.3">
      <c r="A5" s="198" t="s">
        <v>35</v>
      </c>
      <c r="B5" s="198"/>
      <c r="C5" s="198"/>
      <c r="D5" s="198"/>
      <c r="E5" s="198"/>
      <c r="F5" s="198"/>
      <c r="G5" s="197" t="str">
        <f>'NP LABORATORIO'!D4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128" customFormat="1" ht="15" customHeight="1" thickBot="1" x14ac:dyDescent="0.3">
      <c r="A6" s="198" t="s">
        <v>36</v>
      </c>
      <c r="B6" s="198"/>
      <c r="C6" s="198"/>
      <c r="D6" s="198"/>
      <c r="E6" s="198"/>
      <c r="F6" s="198"/>
      <c r="G6" s="197" t="str">
        <f>'NP LABORATORIO'!D5</f>
        <v>DIRECCION PROVINCIAL DE LABORATORIO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128" customFormat="1" ht="15" customHeight="1" thickBot="1" x14ac:dyDescent="0.3">
      <c r="A7" s="198" t="s">
        <v>37</v>
      </c>
      <c r="B7" s="198"/>
      <c r="C7" s="198"/>
      <c r="D7" s="198"/>
      <c r="E7" s="198"/>
      <c r="F7" s="198"/>
      <c r="G7" s="197" t="str">
        <f>'NP LABORATORIO'!D6</f>
        <v>DIRECCION PROVINCIAL DE LABORATORIO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49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50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69" customHeight="1" x14ac:dyDescent="0.25">
      <c r="A10" s="201" t="s">
        <v>129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2"/>
    </row>
    <row r="12" spans="1:17" ht="15.75" thickBot="1" x14ac:dyDescent="0.3">
      <c r="A12" s="202" t="s">
        <v>51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52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53</v>
      </c>
      <c r="P13" s="204"/>
      <c r="Q13" s="205" t="s">
        <v>54</v>
      </c>
    </row>
    <row r="14" spans="1:17" ht="15.75" thickBot="1" x14ac:dyDescent="0.3">
      <c r="A14" s="57" t="s">
        <v>55</v>
      </c>
      <c r="B14" s="58" t="s">
        <v>56</v>
      </c>
      <c r="C14" s="58" t="s">
        <v>57</v>
      </c>
      <c r="D14" s="58" t="s">
        <v>58</v>
      </c>
      <c r="E14" s="58" t="s">
        <v>59</v>
      </c>
      <c r="F14" s="58" t="s">
        <v>60</v>
      </c>
      <c r="G14" s="59" t="s">
        <v>61</v>
      </c>
      <c r="H14" s="58" t="s">
        <v>62</v>
      </c>
      <c r="I14" s="58" t="s">
        <v>63</v>
      </c>
      <c r="J14" s="58" t="s">
        <v>64</v>
      </c>
      <c r="K14" s="58" t="s">
        <v>64</v>
      </c>
      <c r="L14" s="58" t="s">
        <v>65</v>
      </c>
      <c r="M14" s="60" t="s">
        <v>66</v>
      </c>
      <c r="N14" s="61" t="s">
        <v>67</v>
      </c>
      <c r="O14" s="204"/>
      <c r="P14" s="204"/>
      <c r="Q14" s="205"/>
    </row>
    <row r="15" spans="1:17" s="128" customFormat="1" ht="24" customHeight="1" x14ac:dyDescent="0.25">
      <c r="A15" s="119">
        <v>62</v>
      </c>
      <c r="B15" s="120"/>
      <c r="C15" s="120"/>
      <c r="D15" s="120">
        <v>1</v>
      </c>
      <c r="E15" s="120"/>
      <c r="F15" s="120">
        <v>4901</v>
      </c>
      <c r="G15" s="120">
        <v>3</v>
      </c>
      <c r="H15" s="120">
        <v>1</v>
      </c>
      <c r="I15" s="120">
        <v>2</v>
      </c>
      <c r="J15" s="120">
        <v>3</v>
      </c>
      <c r="K15" s="120">
        <v>4</v>
      </c>
      <c r="L15" s="120"/>
      <c r="M15" s="121">
        <v>1</v>
      </c>
      <c r="N15" s="120" t="s">
        <v>124</v>
      </c>
      <c r="O15" s="206" t="s">
        <v>125</v>
      </c>
      <c r="P15" s="206"/>
      <c r="Q15" s="122" t="e">
        <f>'NP LABORATORIO'!N51</f>
        <v>#REF!</v>
      </c>
    </row>
    <row r="16" spans="1:17" s="128" customFormat="1" ht="32.25" customHeight="1" x14ac:dyDescent="0.25">
      <c r="A16" s="125">
        <v>62</v>
      </c>
      <c r="B16" s="124"/>
      <c r="C16" s="124"/>
      <c r="D16" s="124">
        <v>1</v>
      </c>
      <c r="E16" s="124"/>
      <c r="F16" s="124">
        <v>4901</v>
      </c>
      <c r="G16" s="124">
        <v>3</v>
      </c>
      <c r="H16" s="124">
        <v>1</v>
      </c>
      <c r="I16" s="124">
        <v>2</v>
      </c>
      <c r="J16" s="124">
        <v>9</v>
      </c>
      <c r="K16" s="124">
        <v>5</v>
      </c>
      <c r="L16" s="124"/>
      <c r="M16" s="124">
        <v>1</v>
      </c>
      <c r="N16" s="124" t="s">
        <v>124</v>
      </c>
      <c r="O16" s="207" t="s">
        <v>126</v>
      </c>
      <c r="P16" s="208"/>
      <c r="Q16" s="126" t="e">
        <f>'NP LABORATORIO'!O51</f>
        <v>#REF!</v>
      </c>
    </row>
    <row r="17" spans="1:17" s="128" customFormat="1" x14ac:dyDescent="0.25">
      <c r="A17" s="125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209"/>
      <c r="P17" s="209"/>
      <c r="Q17" s="126"/>
    </row>
    <row r="18" spans="1:17" s="128" customForma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7"/>
      <c r="O18" s="210"/>
      <c r="P18" s="210"/>
      <c r="Q18" s="123"/>
    </row>
    <row r="19" spans="1:17" s="128" customForma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90"/>
      <c r="O19" s="200"/>
      <c r="P19" s="200"/>
      <c r="Q19" s="69"/>
    </row>
    <row r="20" spans="1:17" s="128" customFormat="1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90"/>
      <c r="O20" s="200"/>
      <c r="P20" s="200"/>
      <c r="Q20" s="69"/>
    </row>
    <row r="21" spans="1:17" s="128" customFormat="1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90"/>
      <c r="O21" s="200"/>
      <c r="P21" s="200"/>
      <c r="Q21" s="69"/>
    </row>
    <row r="22" spans="1:17" s="128" customFormat="1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90"/>
      <c r="O22" s="200"/>
      <c r="P22" s="200"/>
      <c r="Q22" s="69"/>
    </row>
    <row r="23" spans="1:17" s="128" customFormat="1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90"/>
      <c r="O23" s="200"/>
      <c r="P23" s="200"/>
      <c r="Q23" s="69"/>
    </row>
    <row r="24" spans="1:17" s="128" customFormat="1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90"/>
      <c r="O24" s="200"/>
      <c r="P24" s="200"/>
      <c r="Q24" s="69"/>
    </row>
    <row r="25" spans="1:17" s="128" customFormat="1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90"/>
      <c r="O25" s="200"/>
      <c r="P25" s="200"/>
      <c r="Q25" s="69"/>
    </row>
    <row r="26" spans="1:17" s="128" customFormat="1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90"/>
      <c r="O26" s="200"/>
      <c r="P26" s="200"/>
      <c r="Q26" s="69"/>
    </row>
    <row r="27" spans="1:17" s="128" customFormat="1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90"/>
      <c r="O27" s="200"/>
      <c r="P27" s="200"/>
      <c r="Q27" s="69"/>
    </row>
    <row r="28" spans="1:17" s="128" customFormat="1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90"/>
      <c r="O28" s="200"/>
      <c r="P28" s="200"/>
      <c r="Q28" s="69"/>
    </row>
    <row r="29" spans="1:17" s="128" customForma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90"/>
      <c r="O29" s="200"/>
      <c r="P29" s="200"/>
      <c r="Q29" s="69"/>
    </row>
    <row r="30" spans="1:17" s="128" customFormat="1" x14ac:dyDescent="0.25">
      <c r="A30" s="66"/>
      <c r="B30" s="67"/>
      <c r="C30" s="67"/>
      <c r="D30" s="67"/>
      <c r="E30" s="67"/>
      <c r="F30" s="90"/>
      <c r="G30" s="67"/>
      <c r="H30" s="67"/>
      <c r="I30" s="67"/>
      <c r="J30" s="67"/>
      <c r="K30" s="67"/>
      <c r="L30" s="67"/>
      <c r="M30" s="68"/>
      <c r="N30" s="90"/>
      <c r="O30" s="211"/>
      <c r="P30" s="211"/>
      <c r="Q30" s="69"/>
    </row>
    <row r="31" spans="1:17" s="128" customForma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90"/>
      <c r="O31" s="211"/>
      <c r="P31" s="211"/>
      <c r="Q31" s="69"/>
    </row>
    <row r="32" spans="1:17" s="128" customFormat="1" x14ac:dyDescent="0.25">
      <c r="A32" s="66"/>
      <c r="B32" s="67"/>
      <c r="C32" s="67"/>
      <c r="D32" s="67"/>
      <c r="E32" s="67"/>
      <c r="F32" s="90"/>
      <c r="G32" s="67"/>
      <c r="H32" s="67"/>
      <c r="I32" s="67"/>
      <c r="J32" s="67"/>
      <c r="K32" s="67"/>
      <c r="L32" s="67"/>
      <c r="M32" s="68"/>
      <c r="N32" s="90"/>
      <c r="O32" s="211"/>
      <c r="P32" s="211"/>
      <c r="Q32" s="69"/>
    </row>
    <row r="33" spans="1:17" s="128" customFormat="1" x14ac:dyDescent="0.25">
      <c r="A33" s="66"/>
      <c r="B33" s="67"/>
      <c r="C33" s="67"/>
      <c r="D33" s="67"/>
      <c r="E33" s="67"/>
      <c r="F33" s="90"/>
      <c r="G33" s="67"/>
      <c r="H33" s="67"/>
      <c r="I33" s="67"/>
      <c r="J33" s="67"/>
      <c r="K33" s="67"/>
      <c r="L33" s="67"/>
      <c r="M33" s="68"/>
      <c r="N33" s="90"/>
      <c r="O33" s="211"/>
      <c r="P33" s="211"/>
      <c r="Q33" s="69"/>
    </row>
    <row r="34" spans="1:17" s="128" customFormat="1" x14ac:dyDescent="0.25">
      <c r="A34" s="70"/>
      <c r="B34" s="71"/>
      <c r="C34" s="71"/>
      <c r="D34" s="71"/>
      <c r="E34" s="71"/>
      <c r="F34" s="72"/>
      <c r="G34" s="71"/>
      <c r="H34" s="71"/>
      <c r="I34" s="71"/>
      <c r="J34" s="71"/>
      <c r="K34" s="71"/>
      <c r="L34" s="71"/>
      <c r="M34" s="73"/>
      <c r="N34" s="74"/>
      <c r="O34" s="215"/>
      <c r="P34" s="215"/>
      <c r="Q34" s="69"/>
    </row>
    <row r="35" spans="1:17" s="128" customFormat="1" ht="15.75" thickBot="1" x14ac:dyDescent="0.3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7"/>
      <c r="N35" s="76"/>
      <c r="O35" s="216"/>
      <c r="P35" s="216"/>
      <c r="Q35" s="78"/>
    </row>
    <row r="36" spans="1:17" ht="30" customHeight="1" thickBot="1" x14ac:dyDescent="0.3">
      <c r="A36" s="217" t="s">
        <v>143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127" t="e">
        <f>SUM(Q15:Q35)</f>
        <v>#REF!</v>
      </c>
    </row>
    <row r="37" spans="1:17" ht="15.75" thickBot="1" x14ac:dyDescent="0.3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</row>
    <row r="38" spans="1:17" ht="15.75" thickBot="1" x14ac:dyDescent="0.3">
      <c r="A38" s="212" t="s">
        <v>68</v>
      </c>
      <c r="B38" s="212"/>
      <c r="C38" s="212"/>
      <c r="D38" s="212"/>
      <c r="E38" s="212"/>
      <c r="F38" s="212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</row>
    <row r="39" spans="1:17" ht="15.75" thickBot="1" x14ac:dyDescent="0.3">
      <c r="A39" s="214" t="str">
        <f>'NP LABORATORIO'!D8</f>
        <v>ADQ. DEL RUBRO DESCARTABLES PARA LABORATORIO</v>
      </c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</row>
  </sheetData>
  <mergeCells count="44"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workbookViewId="0">
      <selection activeCell="C20" sqref="C20:G20"/>
    </sheetView>
  </sheetViews>
  <sheetFormatPr baseColWidth="10" defaultColWidth="11.42578125" defaultRowHeight="15" x14ac:dyDescent="0.25"/>
  <cols>
    <col min="1" max="1" width="5.5703125" style="24" customWidth="1"/>
    <col min="2" max="2" width="11.28515625" style="24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81.28515625" style="24" customWidth="1"/>
    <col min="8" max="8" width="9.28515625" style="24" customWidth="1"/>
    <col min="9" max="9" width="15.5703125" style="24" customWidth="1"/>
    <col min="10" max="10" width="14.7109375" style="101" customWidth="1"/>
    <col min="11" max="11" width="15.5703125" style="24" customWidth="1"/>
    <col min="12" max="12" width="37.42578125" style="24" customWidth="1"/>
    <col min="13" max="13" width="14.5703125" style="133" bestFit="1" customWidth="1"/>
    <col min="14" max="16384" width="11.42578125" style="24"/>
  </cols>
  <sheetData>
    <row r="1" spans="1:13" ht="30.75" thickBot="1" x14ac:dyDescent="0.3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97" t="s">
        <v>33</v>
      </c>
      <c r="K1" s="31" t="s">
        <v>130</v>
      </c>
    </row>
    <row r="2" spans="1:13" ht="16.5" thickBot="1" x14ac:dyDescent="0.3">
      <c r="A2" s="32"/>
      <c r="B2" s="33"/>
      <c r="C2" s="33"/>
      <c r="D2" s="34"/>
      <c r="E2" s="34"/>
      <c r="F2" s="34"/>
      <c r="G2" s="34"/>
      <c r="H2" s="34"/>
      <c r="I2" s="34"/>
      <c r="J2" s="98"/>
      <c r="K2" s="35"/>
    </row>
    <row r="3" spans="1:13" ht="16.5" customHeight="1" thickBot="1" x14ac:dyDescent="0.3">
      <c r="A3" s="173" t="s">
        <v>34</v>
      </c>
      <c r="B3" s="173"/>
      <c r="C3" s="173"/>
      <c r="D3" s="129" t="str">
        <f>'SAF 011'!C4</f>
        <v>040 - MINISTERIO DE SALUD</v>
      </c>
      <c r="E3" s="130"/>
      <c r="F3" s="130"/>
      <c r="G3" s="130"/>
      <c r="H3" s="130"/>
      <c r="I3" s="130"/>
      <c r="J3" s="130"/>
      <c r="K3" s="131"/>
    </row>
    <row r="4" spans="1:13" ht="16.149999999999999" customHeight="1" thickBot="1" x14ac:dyDescent="0.3">
      <c r="A4" s="171" t="s">
        <v>35</v>
      </c>
      <c r="B4" s="171"/>
      <c r="C4" s="171"/>
      <c r="D4" s="129" t="str">
        <f>'SAF 011'!C5</f>
        <v>011 - DIRECCION PROVINCIAL DE ADMINISTRACION - MINISTERIO DE SALUD</v>
      </c>
      <c r="E4" s="130"/>
      <c r="F4" s="130"/>
      <c r="G4" s="130"/>
      <c r="H4" s="130"/>
      <c r="I4" s="130"/>
      <c r="J4" s="130"/>
      <c r="K4" s="131"/>
    </row>
    <row r="5" spans="1:13" ht="16.5" customHeight="1" thickBot="1" x14ac:dyDescent="0.3">
      <c r="A5" s="171" t="s">
        <v>36</v>
      </c>
      <c r="B5" s="171"/>
      <c r="C5" s="171"/>
      <c r="D5" s="129" t="s">
        <v>127</v>
      </c>
      <c r="E5" s="130"/>
      <c r="F5" s="130"/>
      <c r="G5" s="130"/>
      <c r="H5" s="130"/>
      <c r="I5" s="130"/>
      <c r="J5" s="130"/>
      <c r="K5" s="131"/>
    </row>
    <row r="6" spans="1:13" ht="16.5" customHeight="1" thickBot="1" x14ac:dyDescent="0.3">
      <c r="A6" s="173" t="s">
        <v>37</v>
      </c>
      <c r="B6" s="173"/>
      <c r="C6" s="173"/>
      <c r="D6" s="129" t="s">
        <v>127</v>
      </c>
      <c r="E6" s="130"/>
      <c r="F6" s="130"/>
      <c r="G6" s="130"/>
      <c r="H6" s="130"/>
      <c r="I6" s="130"/>
      <c r="J6" s="130"/>
      <c r="K6" s="131"/>
    </row>
    <row r="7" spans="1:13" ht="16.5" thickBot="1" x14ac:dyDescent="0.3">
      <c r="A7" s="171" t="s">
        <v>38</v>
      </c>
      <c r="B7" s="171"/>
      <c r="C7" s="171"/>
      <c r="D7" s="129" t="s">
        <v>120</v>
      </c>
      <c r="E7" s="130"/>
      <c r="F7" s="130"/>
      <c r="G7" s="130"/>
      <c r="H7" s="130"/>
      <c r="I7" s="130"/>
      <c r="J7" s="130"/>
      <c r="K7" s="131"/>
    </row>
    <row r="8" spans="1:13" ht="16.5" customHeight="1" thickBot="1" x14ac:dyDescent="0.3">
      <c r="A8" s="179" t="s">
        <v>39</v>
      </c>
      <c r="B8" s="179"/>
      <c r="C8" s="179"/>
      <c r="D8" s="132" t="s">
        <v>121</v>
      </c>
      <c r="E8" s="130"/>
      <c r="F8" s="130"/>
      <c r="G8" s="130"/>
      <c r="H8" s="130"/>
      <c r="I8" s="130"/>
      <c r="J8" s="130"/>
      <c r="K8" s="131"/>
    </row>
    <row r="9" spans="1:13" ht="16.5" thickBot="1" x14ac:dyDescent="0.3">
      <c r="A9" s="36"/>
      <c r="B9" s="37"/>
      <c r="C9" s="37"/>
      <c r="D9" s="38"/>
      <c r="E9" s="38"/>
      <c r="F9" s="38"/>
      <c r="G9" s="38"/>
      <c r="H9" s="38"/>
      <c r="I9" s="38"/>
      <c r="J9" s="99"/>
      <c r="K9" s="39"/>
    </row>
    <row r="10" spans="1:13" ht="15.75" thickBot="1" x14ac:dyDescent="0.3">
      <c r="A10" s="180" t="s">
        <v>40</v>
      </c>
      <c r="B10" s="177" t="s">
        <v>41</v>
      </c>
      <c r="C10" s="177" t="s">
        <v>42</v>
      </c>
      <c r="D10" s="177"/>
      <c r="E10" s="177"/>
      <c r="F10" s="177"/>
      <c r="G10" s="177"/>
      <c r="H10" s="177" t="s">
        <v>43</v>
      </c>
      <c r="I10" s="177" t="s">
        <v>44</v>
      </c>
      <c r="J10" s="186" t="s">
        <v>45</v>
      </c>
      <c r="K10" s="184" t="s">
        <v>46</v>
      </c>
    </row>
    <row r="11" spans="1:13" ht="30" customHeight="1" thickBot="1" x14ac:dyDescent="0.3">
      <c r="A11" s="181"/>
      <c r="B11" s="178"/>
      <c r="C11" s="178"/>
      <c r="D11" s="178"/>
      <c r="E11" s="178"/>
      <c r="F11" s="178"/>
      <c r="G11" s="178"/>
      <c r="H11" s="178"/>
      <c r="I11" s="178"/>
      <c r="J11" s="187"/>
      <c r="K11" s="185"/>
    </row>
    <row r="12" spans="1:13" s="102" customFormat="1" ht="16.5" customHeight="1" x14ac:dyDescent="0.25">
      <c r="A12" s="105">
        <v>1</v>
      </c>
      <c r="B12" s="106"/>
      <c r="C12" s="188" t="str">
        <f>+'SAF 011'!E12</f>
        <v>APOSITOS; TIPO: POST EXTRACCION SANGUINEA, TAMAÑO: 40 X 40 mm (X 250 UNIDADES)</v>
      </c>
      <c r="D12" s="189"/>
      <c r="E12" s="189"/>
      <c r="F12" s="189"/>
      <c r="G12" s="190"/>
      <c r="H12" s="112" t="s">
        <v>142</v>
      </c>
      <c r="I12" s="113" t="str">
        <f>+'SAF 011'!F12</f>
        <v>CAJA</v>
      </c>
      <c r="J12" s="114">
        <f>+'SAF 011'!H12</f>
        <v>600</v>
      </c>
      <c r="K12" s="115" t="e">
        <f>+'SAF 011'!#REF!</f>
        <v>#REF!</v>
      </c>
      <c r="M12" s="133" t="e">
        <f>+J12*K12</f>
        <v>#REF!</v>
      </c>
    </row>
    <row r="13" spans="1:13" s="102" customFormat="1" ht="16.5" customHeight="1" x14ac:dyDescent="0.25">
      <c r="A13" s="105">
        <v>2</v>
      </c>
      <c r="B13" s="106"/>
      <c r="C13" s="174" t="str">
        <f>'SAF 011'!E13</f>
        <v>BOLSAS DE SANGRE TRIPLE</v>
      </c>
      <c r="D13" s="175"/>
      <c r="E13" s="175"/>
      <c r="F13" s="175"/>
      <c r="G13" s="176"/>
      <c r="H13" s="112" t="s">
        <v>142</v>
      </c>
      <c r="I13" s="113" t="str">
        <f>'SAF 011'!F13</f>
        <v xml:space="preserve">UNIDAD </v>
      </c>
      <c r="J13" s="114">
        <f>'SAF 011'!H13</f>
        <v>1207</v>
      </c>
      <c r="K13" s="115" t="e">
        <f>'SAF 011'!#REF!</f>
        <v>#REF!</v>
      </c>
      <c r="M13" s="133" t="e">
        <f t="shared" ref="M13:M27" si="0">+J13*K13</f>
        <v>#REF!</v>
      </c>
    </row>
    <row r="14" spans="1:13" s="102" customFormat="1" ht="16.5" customHeight="1" x14ac:dyDescent="0.25">
      <c r="A14" s="105">
        <v>3</v>
      </c>
      <c r="B14" s="106"/>
      <c r="C14" s="174" t="str">
        <f>'SAF 011'!E14</f>
        <v>BOLSAS DE SANGRE TRIPLE KS TIPO GRIFOLS PARA EL EQUIPAMIENTO DE AFERESIS GRIFOLS</v>
      </c>
      <c r="D14" s="175"/>
      <c r="E14" s="175"/>
      <c r="F14" s="175"/>
      <c r="G14" s="176"/>
      <c r="H14" s="112" t="s">
        <v>142</v>
      </c>
      <c r="I14" s="113" t="str">
        <f>'SAF 011'!F14</f>
        <v>UNIDAD</v>
      </c>
      <c r="J14" s="114">
        <f>'SAF 011'!H14</f>
        <v>1095</v>
      </c>
      <c r="K14" s="115" t="e">
        <f>'SAF 011'!#REF!</f>
        <v>#REF!</v>
      </c>
      <c r="M14" s="133" t="e">
        <f t="shared" si="0"/>
        <v>#REF!</v>
      </c>
    </row>
    <row r="15" spans="1:13" s="102" customFormat="1" ht="16.5" customHeight="1" x14ac:dyDescent="0.25">
      <c r="A15" s="105">
        <v>4</v>
      </c>
      <c r="B15" s="106"/>
      <c r="C15" s="174" t="str">
        <f>'SAF 011'!E15</f>
        <v>CEPILLO LIMPIA PIPETA DE CERDA NATURAL DE 10 MM</v>
      </c>
      <c r="D15" s="175"/>
      <c r="E15" s="175"/>
      <c r="F15" s="175"/>
      <c r="G15" s="176"/>
      <c r="H15" s="112" t="s">
        <v>142</v>
      </c>
      <c r="I15" s="113" t="str">
        <f>'SAF 011'!F15</f>
        <v>UNIDAD</v>
      </c>
      <c r="J15" s="114">
        <f>'SAF 011'!H15</f>
        <v>125</v>
      </c>
      <c r="K15" s="115" t="e">
        <f>'SAF 011'!#REF!</f>
        <v>#REF!</v>
      </c>
      <c r="M15" s="133" t="e">
        <f t="shared" si="0"/>
        <v>#REF!</v>
      </c>
    </row>
    <row r="16" spans="1:13" s="102" customFormat="1" ht="16.5" customHeight="1" x14ac:dyDescent="0.25">
      <c r="A16" s="105">
        <v>5</v>
      </c>
      <c r="B16" s="106"/>
      <c r="C16" s="174" t="str">
        <f>'SAF 011'!E27</f>
        <v xml:space="preserve">GUIA V20 C/RUEDITA *SANGRE* </v>
      </c>
      <c r="D16" s="175"/>
      <c r="E16" s="175"/>
      <c r="F16" s="175"/>
      <c r="G16" s="176"/>
      <c r="H16" s="112" t="s">
        <v>142</v>
      </c>
      <c r="I16" s="113" t="str">
        <f>'SAF 011'!F27</f>
        <v xml:space="preserve">UNIDAD </v>
      </c>
      <c r="J16" s="114">
        <f>'SAF 011'!H27</f>
        <v>92</v>
      </c>
      <c r="K16" s="115" t="e">
        <f>'SAF 011'!#REF!</f>
        <v>#REF!</v>
      </c>
      <c r="M16" s="133" t="e">
        <f t="shared" si="0"/>
        <v>#REF!</v>
      </c>
    </row>
    <row r="17" spans="1:13" s="102" customFormat="1" ht="16.5" customHeight="1" x14ac:dyDescent="0.25">
      <c r="A17" s="105">
        <v>6</v>
      </c>
      <c r="B17" s="106"/>
      <c r="C17" s="174" t="str">
        <f>'SAF 011'!E33</f>
        <v>MICROPIPETAS REGULABLES; CAPACIDAD: 100 - 1000 µL, DIVISIONES: CADA 5 µL, MATERIAL: PLASTICO</v>
      </c>
      <c r="D17" s="175"/>
      <c r="E17" s="175"/>
      <c r="F17" s="175"/>
      <c r="G17" s="176"/>
      <c r="H17" s="112" t="s">
        <v>142</v>
      </c>
      <c r="I17" s="113" t="str">
        <f>'SAF 011'!F33</f>
        <v>UNIDAD</v>
      </c>
      <c r="J17" s="114">
        <f>'SAF 011'!H33</f>
        <v>52350</v>
      </c>
      <c r="K17" s="115" t="e">
        <f>'SAF 011'!#REF!</f>
        <v>#REF!</v>
      </c>
      <c r="M17" s="133" t="e">
        <f t="shared" si="0"/>
        <v>#REF!</v>
      </c>
    </row>
    <row r="18" spans="1:13" s="102" customFormat="1" ht="16.5" customHeight="1" x14ac:dyDescent="0.25">
      <c r="A18" s="105">
        <v>7</v>
      </c>
      <c r="B18" s="106"/>
      <c r="C18" s="174" t="str">
        <f>'SAF 011'!E34</f>
        <v>MICROPIPETAS REGULABLES; CAPACIDAD: 10-100 µL, DIVISIONES: CADA 1 µL, MATERIAL: PLASTICO</v>
      </c>
      <c r="D18" s="175"/>
      <c r="E18" s="175"/>
      <c r="F18" s="175"/>
      <c r="G18" s="176"/>
      <c r="H18" s="112" t="s">
        <v>142</v>
      </c>
      <c r="I18" s="113" t="str">
        <f>'SAF 011'!F34</f>
        <v>UNIDAD</v>
      </c>
      <c r="J18" s="114">
        <f>'SAF 011'!H34</f>
        <v>50350</v>
      </c>
      <c r="K18" s="115" t="e">
        <f>'SAF 011'!#REF!</f>
        <v>#REF!</v>
      </c>
      <c r="M18" s="133" t="e">
        <f t="shared" si="0"/>
        <v>#REF!</v>
      </c>
    </row>
    <row r="19" spans="1:13" s="102" customFormat="1" ht="16.5" customHeight="1" x14ac:dyDescent="0.25">
      <c r="A19" s="105">
        <v>8</v>
      </c>
      <c r="B19" s="106"/>
      <c r="C19" s="174" t="str">
        <f>'SAF 011'!E40</f>
        <v>PLACA PARA VDRL CON POCILLO PROFUNDO 12 HOYOS</v>
      </c>
      <c r="D19" s="175"/>
      <c r="E19" s="175"/>
      <c r="F19" s="175"/>
      <c r="G19" s="176"/>
      <c r="H19" s="112" t="s">
        <v>142</v>
      </c>
      <c r="I19" s="113" t="str">
        <f>'SAF 011'!F40</f>
        <v>UNIDAD</v>
      </c>
      <c r="J19" s="114">
        <f>'SAF 011'!H40</f>
        <v>1220</v>
      </c>
      <c r="K19" s="115" t="e">
        <f>'SAF 011'!#REF!</f>
        <v>#REF!</v>
      </c>
      <c r="M19" s="133" t="e">
        <f t="shared" si="0"/>
        <v>#REF!</v>
      </c>
    </row>
    <row r="20" spans="1:13" s="102" customFormat="1" ht="16.5" customHeight="1" x14ac:dyDescent="0.25">
      <c r="A20" s="105">
        <v>9</v>
      </c>
      <c r="B20" s="106"/>
      <c r="C20" s="219" t="str">
        <f>'SAF 011'!E45</f>
        <v xml:space="preserve">TIPS AMARILLO 5-200 UL CON CORONA bolsa X 1000 UNIDADES </v>
      </c>
      <c r="D20" s="220"/>
      <c r="E20" s="220"/>
      <c r="F20" s="220"/>
      <c r="G20" s="221"/>
      <c r="H20" s="112" t="s">
        <v>142</v>
      </c>
      <c r="I20" s="113" t="str">
        <f>'SAF 011'!F45</f>
        <v>BOLSA</v>
      </c>
      <c r="J20" s="114">
        <f>'SAF 011'!H45</f>
        <v>2865</v>
      </c>
      <c r="K20" s="115" t="e">
        <f>'SAF 011'!#REF!</f>
        <v>#REF!</v>
      </c>
      <c r="M20" s="133" t="e">
        <f t="shared" si="0"/>
        <v>#REF!</v>
      </c>
    </row>
    <row r="21" spans="1:13" s="102" customFormat="1" ht="16.5" customHeight="1" x14ac:dyDescent="0.25">
      <c r="A21" s="105">
        <v>10</v>
      </c>
      <c r="B21" s="106"/>
      <c r="C21" s="219" t="str">
        <f>'SAF 011'!E46</f>
        <v xml:space="preserve">TIPS AMARILLO 5-200 UL SIN CORONA bolsa X 1000 UNIDADES </v>
      </c>
      <c r="D21" s="220"/>
      <c r="E21" s="220"/>
      <c r="F21" s="220"/>
      <c r="G21" s="221"/>
      <c r="H21" s="112" t="s">
        <v>142</v>
      </c>
      <c r="I21" s="113" t="str">
        <f>'SAF 011'!F46</f>
        <v>BOLSA</v>
      </c>
      <c r="J21" s="114">
        <f>'SAF 011'!H46</f>
        <v>1540</v>
      </c>
      <c r="K21" s="115" t="e">
        <f>'SAF 011'!#REF!</f>
        <v>#REF!</v>
      </c>
      <c r="M21" s="133" t="e">
        <f t="shared" si="0"/>
        <v>#REF!</v>
      </c>
    </row>
    <row r="22" spans="1:13" s="102" customFormat="1" ht="16.5" customHeight="1" x14ac:dyDescent="0.25">
      <c r="A22" s="105">
        <v>11</v>
      </c>
      <c r="B22" s="106"/>
      <c r="C22" s="174" t="str">
        <f>'SAF 011'!E47</f>
        <v xml:space="preserve">TIPS AZUL 100-1000 ul bolsa  X 1000 UNIDADES CON CORONA </v>
      </c>
      <c r="D22" s="175"/>
      <c r="E22" s="175"/>
      <c r="F22" s="175"/>
      <c r="G22" s="176"/>
      <c r="H22" s="112" t="s">
        <v>142</v>
      </c>
      <c r="I22" s="113" t="str">
        <f>'SAF 011'!F47</f>
        <v>BOLSA</v>
      </c>
      <c r="J22" s="114">
        <f>'SAF 011'!H47</f>
        <v>2204</v>
      </c>
      <c r="K22" s="115" t="e">
        <f>'SAF 011'!#REF!</f>
        <v>#REF!</v>
      </c>
      <c r="M22" s="133" t="e">
        <f t="shared" si="0"/>
        <v>#REF!</v>
      </c>
    </row>
    <row r="23" spans="1:13" s="102" customFormat="1" ht="34.9" customHeight="1" x14ac:dyDescent="0.25">
      <c r="A23" s="105">
        <v>12</v>
      </c>
      <c r="B23" s="106"/>
      <c r="C23" s="174" t="str">
        <f>'SAF 011'!E59</f>
        <v>TUBOS DE ENSAYO; TIPO: CONICO P/CENTRIFUGA, MATERIAL: POLIPROPILENO, DIMENSION: 0,5 A 15 mL, ACCESORIO: SIN VALOR, ACCESORIOS: SIN VALOR (X 1000 UNIDADES)</v>
      </c>
      <c r="D23" s="175"/>
      <c r="E23" s="175"/>
      <c r="F23" s="175"/>
      <c r="G23" s="176"/>
      <c r="H23" s="112" t="s">
        <v>142</v>
      </c>
      <c r="I23" s="113" t="str">
        <f>'SAF 011'!F59</f>
        <v>BOLSA</v>
      </c>
      <c r="J23" s="114">
        <f>'SAF 011'!H59</f>
        <v>5353</v>
      </c>
      <c r="K23" s="115" t="e">
        <f>'SAF 011'!#REF!</f>
        <v>#REF!</v>
      </c>
      <c r="M23" s="133" t="e">
        <f t="shared" si="0"/>
        <v>#REF!</v>
      </c>
    </row>
    <row r="24" spans="1:13" s="102" customFormat="1" ht="16.5" customHeight="1" x14ac:dyDescent="0.25">
      <c r="A24" s="105">
        <v>13</v>
      </c>
      <c r="B24" s="106"/>
      <c r="C24" s="174" t="str">
        <f>'SAF 011'!E60</f>
        <v>TUBOS DE ENSAYO; TIPO: EPPENDORF, MATERIAL: PLASTICO, DIMENSION: 1.5 mL, ACCESORIOS: SIN, ACCESORIO: SIN (X 1000 UNIDADES)</v>
      </c>
      <c r="D24" s="175"/>
      <c r="E24" s="175"/>
      <c r="F24" s="175"/>
      <c r="G24" s="176"/>
      <c r="H24" s="112" t="s">
        <v>142</v>
      </c>
      <c r="I24" s="113" t="str">
        <f>'SAF 011'!F60</f>
        <v>BOLSA</v>
      </c>
      <c r="J24" s="114">
        <f>'SAF 011'!H60</f>
        <v>3558</v>
      </c>
      <c r="K24" s="115" t="e">
        <f>'SAF 011'!#REF!</f>
        <v>#REF!</v>
      </c>
      <c r="M24" s="133" t="e">
        <f t="shared" si="0"/>
        <v>#REF!</v>
      </c>
    </row>
    <row r="25" spans="1:13" s="102" customFormat="1" ht="16.5" customHeight="1" x14ac:dyDescent="0.25">
      <c r="A25" s="105">
        <v>14</v>
      </c>
      <c r="B25" s="107"/>
      <c r="C25" s="174" t="str">
        <f>'SAF 011'!E61</f>
        <v>TUBOS DE ENSAYO; TIPO: VACUTAINER UN, MATERIAL: VIDRIO, DIMENSION: 10 mL, ACCESORIOS: SIN, ACCESORIO: SIN (X 100 UNIDADES)</v>
      </c>
      <c r="D25" s="175"/>
      <c r="E25" s="175"/>
      <c r="F25" s="175"/>
      <c r="G25" s="176"/>
      <c r="H25" s="112" t="s">
        <v>142</v>
      </c>
      <c r="I25" s="116" t="str">
        <f>'SAF 011'!F61</f>
        <v>CAJA</v>
      </c>
      <c r="J25" s="117">
        <f>'SAF 011'!H61</f>
        <v>13000</v>
      </c>
      <c r="K25" s="118" t="e">
        <f>'SAF 011'!#REF!</f>
        <v>#REF!</v>
      </c>
      <c r="M25" s="133" t="e">
        <f t="shared" si="0"/>
        <v>#REF!</v>
      </c>
    </row>
    <row r="26" spans="1:13" s="159" customFormat="1" ht="54.75" customHeight="1" x14ac:dyDescent="0.25">
      <c r="A26" s="151">
        <v>15</v>
      </c>
      <c r="B26" s="152"/>
      <c r="C26" s="222" t="str">
        <f>'SAF 011'!E62</f>
        <v>TUBOS DE HEMOLISIS; MATERIAL: VIDRIO, PRESENTACION: CAJA, DIMENSION: 100 X 13 DIAM. EXT., MEDIDAS: 100 X 13 DIAM. EXT., FORMA DE PRESENTACION: SOLIDO, ESTADO: SOLIDO (CAJA X 1000 UNIDADES)</v>
      </c>
      <c r="D26" s="223"/>
      <c r="E26" s="223"/>
      <c r="F26" s="223"/>
      <c r="G26" s="224"/>
      <c r="H26" s="153" t="s">
        <v>142</v>
      </c>
      <c r="I26" s="154" t="str">
        <f>'SAF 011'!F62</f>
        <v>CAJA</v>
      </c>
      <c r="J26" s="155">
        <f>'SAF 011'!H62</f>
        <v>72000</v>
      </c>
      <c r="K26" s="156" t="e">
        <f>'SAF 011'!#REF!</f>
        <v>#REF!</v>
      </c>
      <c r="L26" s="157"/>
      <c r="M26" s="158" t="e">
        <f t="shared" si="0"/>
        <v>#REF!</v>
      </c>
    </row>
    <row r="27" spans="1:13" s="102" customFormat="1" ht="16.5" customHeight="1" x14ac:dyDescent="0.25">
      <c r="A27" s="105">
        <v>16</v>
      </c>
      <c r="B27" s="107"/>
      <c r="C27" s="174" t="str">
        <f>'SAF 011'!E64</f>
        <v>TUBOS VACUTAINER P/SUERO DE 4ML, TAPA ROJA C/ETIQUETA (1000 TUBOS)</v>
      </c>
      <c r="D27" s="175"/>
      <c r="E27" s="175"/>
      <c r="F27" s="175"/>
      <c r="G27" s="176"/>
      <c r="H27" s="112" t="s">
        <v>142</v>
      </c>
      <c r="I27" s="116" t="str">
        <f>'SAF 011'!F64</f>
        <v>CAJA</v>
      </c>
      <c r="J27" s="117">
        <f>'SAF 011'!H64</f>
        <v>13700</v>
      </c>
      <c r="K27" s="118" t="e">
        <f>'SAF 011'!#REF!</f>
        <v>#REF!</v>
      </c>
      <c r="M27" s="133" t="e">
        <f t="shared" si="0"/>
        <v>#REF!</v>
      </c>
    </row>
    <row r="28" spans="1:13" ht="15.75" x14ac:dyDescent="0.25">
      <c r="A28" s="40"/>
      <c r="B28" s="41"/>
      <c r="C28" s="183"/>
      <c r="D28" s="183"/>
      <c r="E28" s="183"/>
      <c r="F28" s="183"/>
      <c r="G28" s="183"/>
      <c r="H28" s="42"/>
      <c r="I28" s="43"/>
      <c r="J28" s="100"/>
      <c r="K28" s="44"/>
    </row>
    <row r="29" spans="1:13" ht="19.5" thickBot="1" x14ac:dyDescent="0.3">
      <c r="A29" s="191" t="s">
        <v>146</v>
      </c>
      <c r="B29" s="191"/>
      <c r="C29" s="191"/>
      <c r="D29" s="191"/>
      <c r="E29" s="191"/>
      <c r="F29" s="191"/>
      <c r="G29" s="191"/>
      <c r="H29" s="191"/>
      <c r="I29" s="191"/>
      <c r="J29" s="182" t="e">
        <f>+M29</f>
        <v>#REF!</v>
      </c>
      <c r="K29" s="182"/>
      <c r="M29" s="133" t="e">
        <f>SUM(M12:M28)</f>
        <v>#REF!</v>
      </c>
    </row>
  </sheetData>
  <mergeCells count="33">
    <mergeCell ref="A29:I29"/>
    <mergeCell ref="J29:K29"/>
    <mergeCell ref="C23:G23"/>
    <mergeCell ref="C24:G24"/>
    <mergeCell ref="C25:G25"/>
    <mergeCell ref="C26:G26"/>
    <mergeCell ref="C27:G27"/>
    <mergeCell ref="C20:G20"/>
    <mergeCell ref="C21:G21"/>
    <mergeCell ref="C22:G22"/>
    <mergeCell ref="C19:G19"/>
    <mergeCell ref="C28:G28"/>
    <mergeCell ref="C17:G17"/>
    <mergeCell ref="C18:G18"/>
    <mergeCell ref="C16:G16"/>
    <mergeCell ref="C14:G14"/>
    <mergeCell ref="C15:G15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workbookViewId="0">
      <selection activeCell="A38" sqref="A38:P38"/>
    </sheetView>
  </sheetViews>
  <sheetFormatPr baseColWidth="10" defaultColWidth="11.42578125" defaultRowHeight="15" x14ac:dyDescent="0.25"/>
  <cols>
    <col min="1" max="5" width="4.42578125" style="24" customWidth="1"/>
    <col min="6" max="6" width="9.140625" style="24" customWidth="1"/>
    <col min="7" max="14" width="4.42578125" style="24" customWidth="1"/>
    <col min="15" max="15" width="14.85546875" style="24" customWidth="1"/>
    <col min="16" max="16" width="23.140625" style="24" customWidth="1"/>
    <col min="17" max="17" width="14.7109375" style="24" customWidth="1"/>
    <col min="18" max="16384" width="11.42578125" style="24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45"/>
      <c r="G1" s="45"/>
      <c r="H1" s="46"/>
      <c r="I1" s="46"/>
      <c r="J1" s="46"/>
      <c r="K1" s="46"/>
      <c r="L1" s="46"/>
      <c r="M1" s="46"/>
      <c r="N1" s="46"/>
      <c r="O1" s="47"/>
      <c r="P1" s="195" t="s">
        <v>47</v>
      </c>
      <c r="Q1" s="195"/>
    </row>
    <row r="2" spans="1:17" ht="15.75" thickBot="1" x14ac:dyDescent="0.3">
      <c r="A2" s="48"/>
      <c r="B2" s="49"/>
      <c r="C2" s="49"/>
      <c r="D2" s="49"/>
      <c r="E2" s="49"/>
      <c r="F2" s="49"/>
      <c r="G2" s="50"/>
      <c r="H2" s="51"/>
      <c r="I2" s="51"/>
      <c r="J2" s="51"/>
      <c r="K2" s="51"/>
      <c r="L2" s="51"/>
      <c r="M2" s="51"/>
      <c r="N2" s="51"/>
      <c r="O2" s="49"/>
      <c r="P2" s="195"/>
      <c r="Q2" s="195"/>
    </row>
    <row r="3" spans="1:17" ht="15.75" thickBot="1" x14ac:dyDescent="0.3">
      <c r="A3" s="48"/>
      <c r="B3" s="49"/>
      <c r="C3" s="49"/>
      <c r="D3" s="49"/>
      <c r="E3" s="49"/>
      <c r="F3" s="49"/>
      <c r="G3" s="50"/>
      <c r="H3" s="49"/>
      <c r="I3" s="49"/>
      <c r="J3" s="49"/>
      <c r="K3" s="49"/>
      <c r="L3" s="49"/>
      <c r="M3" s="49"/>
      <c r="N3" s="49"/>
      <c r="O3" s="49"/>
      <c r="P3" s="49"/>
      <c r="Q3" s="52"/>
    </row>
    <row r="4" spans="1:17" ht="15.75" thickBot="1" x14ac:dyDescent="0.3">
      <c r="A4" s="225" t="s">
        <v>48</v>
      </c>
      <c r="B4" s="225"/>
      <c r="C4" s="225"/>
      <c r="D4" s="225"/>
      <c r="E4" s="225"/>
      <c r="F4" s="225"/>
      <c r="G4" s="226" t="str">
        <f>'NP BANCO DE SANGRE'!D3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" customHeight="1" thickBot="1" x14ac:dyDescent="0.3">
      <c r="A5" s="198" t="s">
        <v>35</v>
      </c>
      <c r="B5" s="198"/>
      <c r="C5" s="198"/>
      <c r="D5" s="198"/>
      <c r="E5" s="198"/>
      <c r="F5" s="198"/>
      <c r="G5" s="226" t="str">
        <f>'NP BANCO DE SANGRE'!D4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" customHeight="1" thickBot="1" x14ac:dyDescent="0.3">
      <c r="A6" s="198" t="s">
        <v>36</v>
      </c>
      <c r="B6" s="198"/>
      <c r="C6" s="198"/>
      <c r="D6" s="198"/>
      <c r="E6" s="198"/>
      <c r="F6" s="198"/>
      <c r="G6" s="226" t="str">
        <f>'NP BANCO DE SANGRE'!D5</f>
        <v>DIRECCION PROVINCIAL BANCO DE SANGRE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" customHeight="1" thickBot="1" x14ac:dyDescent="0.3">
      <c r="A7" s="198" t="s">
        <v>37</v>
      </c>
      <c r="B7" s="198"/>
      <c r="C7" s="198"/>
      <c r="D7" s="198"/>
      <c r="E7" s="198"/>
      <c r="F7" s="198"/>
      <c r="G7" s="226" t="str">
        <f>'NP BANCO DE SANGRE'!D6</f>
        <v>DIRECCION PROVINCIAL BANCO DE SANGRE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199" t="s">
        <v>49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50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69" customHeight="1" x14ac:dyDescent="0.25">
      <c r="A10" s="201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thickBot="1" x14ac:dyDescent="0.3">
      <c r="A12" s="227" t="s">
        <v>51</v>
      </c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</row>
    <row r="13" spans="1:17" ht="15.75" thickBot="1" x14ac:dyDescent="0.3">
      <c r="A13" s="203" t="s">
        <v>52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53</v>
      </c>
      <c r="P13" s="204"/>
      <c r="Q13" s="205" t="s">
        <v>54</v>
      </c>
    </row>
    <row r="14" spans="1:17" ht="15.75" thickBot="1" x14ac:dyDescent="0.3">
      <c r="A14" s="57" t="s">
        <v>55</v>
      </c>
      <c r="B14" s="58" t="s">
        <v>56</v>
      </c>
      <c r="C14" s="58" t="s">
        <v>57</v>
      </c>
      <c r="D14" s="58" t="s">
        <v>58</v>
      </c>
      <c r="E14" s="58" t="s">
        <v>59</v>
      </c>
      <c r="F14" s="58" t="s">
        <v>60</v>
      </c>
      <c r="G14" s="59" t="s">
        <v>61</v>
      </c>
      <c r="H14" s="58" t="s">
        <v>62</v>
      </c>
      <c r="I14" s="58" t="s">
        <v>63</v>
      </c>
      <c r="J14" s="58" t="s">
        <v>64</v>
      </c>
      <c r="K14" s="58" t="s">
        <v>64</v>
      </c>
      <c r="L14" s="58" t="s">
        <v>65</v>
      </c>
      <c r="M14" s="60" t="s">
        <v>66</v>
      </c>
      <c r="N14" s="61" t="s">
        <v>67</v>
      </c>
      <c r="O14" s="204"/>
      <c r="P14" s="204"/>
      <c r="Q14" s="205"/>
    </row>
    <row r="15" spans="1:17" ht="38.25" customHeight="1" x14ac:dyDescent="0.25">
      <c r="A15" s="62">
        <v>27</v>
      </c>
      <c r="B15" s="63"/>
      <c r="C15" s="63"/>
      <c r="D15" s="63">
        <v>1</v>
      </c>
      <c r="E15" s="63"/>
      <c r="F15" s="63">
        <v>4901</v>
      </c>
      <c r="G15" s="63">
        <v>3</v>
      </c>
      <c r="H15" s="63">
        <v>1</v>
      </c>
      <c r="I15" s="63">
        <v>2</v>
      </c>
      <c r="J15" s="63">
        <v>9</v>
      </c>
      <c r="K15" s="63">
        <v>5</v>
      </c>
      <c r="L15" s="63"/>
      <c r="M15" s="64">
        <v>1</v>
      </c>
      <c r="N15" s="63" t="s">
        <v>124</v>
      </c>
      <c r="O15" s="228" t="s">
        <v>126</v>
      </c>
      <c r="P15" s="228"/>
      <c r="Q15" s="65" t="e">
        <f>'NP BANCO DE SANGRE'!M29</f>
        <v>#REF!</v>
      </c>
    </row>
    <row r="16" spans="1:17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90"/>
      <c r="O16" s="211"/>
      <c r="P16" s="211"/>
      <c r="Q16" s="69"/>
    </row>
    <row r="17" spans="1:17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90"/>
      <c r="O17" s="229"/>
      <c r="P17" s="229"/>
      <c r="Q17" s="69"/>
    </row>
    <row r="18" spans="1:17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90"/>
      <c r="O18" s="200"/>
      <c r="P18" s="200"/>
      <c r="Q18" s="69"/>
    </row>
    <row r="19" spans="1:17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90"/>
      <c r="O19" s="200"/>
      <c r="P19" s="200"/>
      <c r="Q19" s="69"/>
    </row>
    <row r="20" spans="1:17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90"/>
      <c r="O20" s="200"/>
      <c r="P20" s="200"/>
      <c r="Q20" s="69"/>
    </row>
    <row r="21" spans="1:17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90"/>
      <c r="O21" s="200"/>
      <c r="P21" s="200"/>
      <c r="Q21" s="69"/>
    </row>
    <row r="22" spans="1:17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90"/>
      <c r="O22" s="200"/>
      <c r="P22" s="200"/>
      <c r="Q22" s="69"/>
    </row>
    <row r="23" spans="1:17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90"/>
      <c r="O23" s="200"/>
      <c r="P23" s="200"/>
      <c r="Q23" s="69"/>
    </row>
    <row r="24" spans="1:17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90"/>
      <c r="O24" s="200"/>
      <c r="P24" s="200"/>
      <c r="Q24" s="69"/>
    </row>
    <row r="25" spans="1:17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90"/>
      <c r="O25" s="200"/>
      <c r="P25" s="200"/>
      <c r="Q25" s="69"/>
    </row>
    <row r="26" spans="1:17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90"/>
      <c r="O26" s="200"/>
      <c r="P26" s="200"/>
      <c r="Q26" s="69"/>
    </row>
    <row r="27" spans="1:17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90"/>
      <c r="O27" s="200"/>
      <c r="P27" s="200"/>
      <c r="Q27" s="69"/>
    </row>
    <row r="28" spans="1:17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90"/>
      <c r="O28" s="200"/>
      <c r="P28" s="200"/>
      <c r="Q28" s="69"/>
    </row>
    <row r="29" spans="1:17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90"/>
      <c r="O29" s="200"/>
      <c r="P29" s="200"/>
      <c r="Q29" s="69"/>
    </row>
    <row r="30" spans="1:17" x14ac:dyDescent="0.25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8"/>
      <c r="N30" s="90"/>
      <c r="O30" s="200"/>
      <c r="P30" s="200"/>
      <c r="Q30" s="69"/>
    </row>
    <row r="31" spans="1:17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90"/>
      <c r="O31" s="200"/>
      <c r="P31" s="200"/>
      <c r="Q31" s="69"/>
    </row>
    <row r="32" spans="1:17" x14ac:dyDescent="0.25">
      <c r="A32" s="66"/>
      <c r="B32" s="67"/>
      <c r="C32" s="67"/>
      <c r="D32" s="67"/>
      <c r="E32" s="67"/>
      <c r="F32" s="90"/>
      <c r="G32" s="67"/>
      <c r="H32" s="67"/>
      <c r="I32" s="67"/>
      <c r="J32" s="67"/>
      <c r="K32" s="67"/>
      <c r="L32" s="67"/>
      <c r="M32" s="68"/>
      <c r="N32" s="90"/>
      <c r="O32" s="211"/>
      <c r="P32" s="211"/>
      <c r="Q32" s="69"/>
    </row>
    <row r="33" spans="1:17" x14ac:dyDescent="0.25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  <c r="N33" s="90"/>
      <c r="O33" s="211"/>
      <c r="P33" s="211"/>
      <c r="Q33" s="69"/>
    </row>
    <row r="34" spans="1:17" x14ac:dyDescent="0.25">
      <c r="A34" s="66"/>
      <c r="B34" s="67"/>
      <c r="C34" s="67"/>
      <c r="D34" s="67"/>
      <c r="E34" s="67"/>
      <c r="F34" s="90"/>
      <c r="G34" s="67"/>
      <c r="H34" s="67"/>
      <c r="I34" s="67"/>
      <c r="J34" s="67"/>
      <c r="K34" s="67"/>
      <c r="L34" s="67"/>
      <c r="M34" s="68"/>
      <c r="N34" s="90"/>
      <c r="O34" s="211"/>
      <c r="P34" s="211"/>
      <c r="Q34" s="69"/>
    </row>
    <row r="35" spans="1:17" x14ac:dyDescent="0.25">
      <c r="A35" s="66"/>
      <c r="B35" s="67"/>
      <c r="C35" s="67"/>
      <c r="D35" s="67"/>
      <c r="E35" s="67"/>
      <c r="F35" s="90"/>
      <c r="G35" s="67"/>
      <c r="H35" s="67"/>
      <c r="I35" s="67"/>
      <c r="J35" s="67"/>
      <c r="K35" s="67"/>
      <c r="L35" s="67"/>
      <c r="M35" s="68"/>
      <c r="N35" s="90"/>
      <c r="O35" s="211"/>
      <c r="P35" s="211"/>
      <c r="Q35" s="69"/>
    </row>
    <row r="36" spans="1:17" x14ac:dyDescent="0.25">
      <c r="A36" s="70"/>
      <c r="B36" s="71"/>
      <c r="C36" s="71"/>
      <c r="D36" s="71"/>
      <c r="E36" s="71"/>
      <c r="F36" s="72"/>
      <c r="G36" s="71"/>
      <c r="H36" s="71"/>
      <c r="I36" s="71"/>
      <c r="J36" s="71"/>
      <c r="K36" s="71"/>
      <c r="L36" s="71"/>
      <c r="M36" s="73"/>
      <c r="N36" s="74"/>
      <c r="O36" s="215"/>
      <c r="P36" s="215"/>
      <c r="Q36" s="69"/>
    </row>
    <row r="37" spans="1:17" ht="15.75" thickBot="1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6"/>
      <c r="O37" s="216"/>
      <c r="P37" s="216"/>
      <c r="Q37" s="78"/>
    </row>
    <row r="38" spans="1:17" ht="30.75" customHeight="1" thickBot="1" x14ac:dyDescent="0.3">
      <c r="A38" s="230" t="s">
        <v>145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79" t="e">
        <f>SUM(Q15:Q37)</f>
        <v>#REF!</v>
      </c>
    </row>
    <row r="39" spans="1:17" ht="15.75" thickBot="1" x14ac:dyDescent="0.3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</row>
    <row r="40" spans="1:17" ht="15.75" thickBot="1" x14ac:dyDescent="0.3">
      <c r="A40" s="212" t="s">
        <v>68</v>
      </c>
      <c r="B40" s="212"/>
      <c r="C40" s="212"/>
      <c r="D40" s="212"/>
      <c r="E40" s="212"/>
      <c r="F40" s="212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</row>
    <row r="41" spans="1:17" ht="15.75" thickBot="1" x14ac:dyDescent="0.3">
      <c r="A41" s="214" t="str">
        <f>'NP BANCO DE SANGRE'!D8</f>
        <v>ADQ. DEL RUBRO DESCARTABLES PARA LABORATORIO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</row>
    <row r="42" spans="1:17" ht="15.75" thickBot="1" x14ac:dyDescent="0.3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activeCell="D21" sqref="D21"/>
    </sheetView>
  </sheetViews>
  <sheetFormatPr baseColWidth="10" defaultColWidth="11.42578125" defaultRowHeight="15" x14ac:dyDescent="0.25"/>
  <cols>
    <col min="1" max="1" width="5.5703125" style="24" customWidth="1"/>
    <col min="2" max="2" width="15.140625" style="24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56.28515625" style="24" customWidth="1"/>
    <col min="8" max="8" width="9.28515625" style="24" customWidth="1"/>
    <col min="9" max="9" width="15.5703125" style="24" customWidth="1"/>
    <col min="10" max="10" width="14.7109375" style="101" customWidth="1"/>
    <col min="11" max="11" width="15.5703125" style="24" customWidth="1"/>
    <col min="12" max="12" width="11.42578125" style="24"/>
    <col min="13" max="13" width="11.42578125" style="134"/>
    <col min="14" max="16384" width="11.42578125" style="24"/>
  </cols>
  <sheetData>
    <row r="1" spans="1:13" ht="30.75" thickBot="1" x14ac:dyDescent="0.3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97" t="s">
        <v>33</v>
      </c>
      <c r="K1" s="31" t="s">
        <v>122</v>
      </c>
    </row>
    <row r="2" spans="1:13" ht="16.5" thickBot="1" x14ac:dyDescent="0.3">
      <c r="A2" s="32"/>
      <c r="B2" s="33"/>
      <c r="C2" s="33"/>
      <c r="D2" s="34"/>
      <c r="E2" s="34"/>
      <c r="F2" s="34"/>
      <c r="G2" s="34"/>
      <c r="H2" s="34"/>
      <c r="I2" s="34"/>
      <c r="J2" s="98"/>
      <c r="K2" s="35"/>
    </row>
    <row r="3" spans="1:13" ht="16.5" customHeight="1" thickBot="1" x14ac:dyDescent="0.3">
      <c r="A3" s="173" t="s">
        <v>34</v>
      </c>
      <c r="B3" s="173"/>
      <c r="C3" s="173"/>
      <c r="D3" s="129" t="str">
        <f>'SAF 011'!C4</f>
        <v>040 - MINISTERIO DE SALUD</v>
      </c>
      <c r="E3" s="130"/>
      <c r="F3" s="130"/>
      <c r="G3" s="130"/>
      <c r="H3" s="130"/>
      <c r="I3" s="130"/>
      <c r="J3" s="130"/>
      <c r="K3" s="131"/>
    </row>
    <row r="4" spans="1:13" ht="16.149999999999999" customHeight="1" thickBot="1" x14ac:dyDescent="0.3">
      <c r="A4" s="171" t="s">
        <v>35</v>
      </c>
      <c r="B4" s="171"/>
      <c r="C4" s="171"/>
      <c r="D4" s="129" t="str">
        <f>'SAF 011'!C5</f>
        <v>011 - DIRECCION PROVINCIAL DE ADMINISTRACION - MINISTERIO DE SALUD</v>
      </c>
      <c r="E4" s="130"/>
      <c r="F4" s="130"/>
      <c r="G4" s="130"/>
      <c r="H4" s="130"/>
      <c r="I4" s="130"/>
      <c r="J4" s="130"/>
      <c r="K4" s="131"/>
    </row>
    <row r="5" spans="1:13" ht="16.5" customHeight="1" thickBot="1" x14ac:dyDescent="0.3">
      <c r="A5" s="171" t="s">
        <v>36</v>
      </c>
      <c r="B5" s="171"/>
      <c r="C5" s="171"/>
      <c r="D5" s="129" t="s">
        <v>132</v>
      </c>
      <c r="E5" s="130"/>
      <c r="F5" s="130"/>
      <c r="G5" s="130"/>
      <c r="H5" s="130"/>
      <c r="I5" s="130"/>
      <c r="J5" s="130"/>
      <c r="K5" s="131"/>
    </row>
    <row r="6" spans="1:13" ht="16.5" customHeight="1" thickBot="1" x14ac:dyDescent="0.3">
      <c r="A6" s="173" t="s">
        <v>37</v>
      </c>
      <c r="B6" s="173"/>
      <c r="C6" s="173"/>
      <c r="D6" s="129" t="s">
        <v>132</v>
      </c>
      <c r="E6" s="130"/>
      <c r="F6" s="130"/>
      <c r="G6" s="130"/>
      <c r="H6" s="130"/>
      <c r="I6" s="130"/>
      <c r="J6" s="130"/>
      <c r="K6" s="131"/>
    </row>
    <row r="7" spans="1:13" ht="16.5" thickBot="1" x14ac:dyDescent="0.3">
      <c r="A7" s="171" t="s">
        <v>38</v>
      </c>
      <c r="B7" s="171"/>
      <c r="C7" s="171"/>
      <c r="D7" s="129" t="s">
        <v>120</v>
      </c>
      <c r="E7" s="130"/>
      <c r="F7" s="130"/>
      <c r="G7" s="130"/>
      <c r="H7" s="130"/>
      <c r="I7" s="130"/>
      <c r="J7" s="130"/>
      <c r="K7" s="131"/>
    </row>
    <row r="8" spans="1:13" ht="16.5" customHeight="1" thickBot="1" x14ac:dyDescent="0.3">
      <c r="A8" s="179" t="s">
        <v>39</v>
      </c>
      <c r="B8" s="179"/>
      <c r="C8" s="179"/>
      <c r="D8" s="132" t="s">
        <v>121</v>
      </c>
      <c r="E8" s="130"/>
      <c r="F8" s="130"/>
      <c r="G8" s="130"/>
      <c r="H8" s="130"/>
      <c r="I8" s="130"/>
      <c r="J8" s="130"/>
      <c r="K8" s="131"/>
    </row>
    <row r="9" spans="1:13" ht="16.5" thickBot="1" x14ac:dyDescent="0.3">
      <c r="A9" s="36"/>
      <c r="B9" s="37"/>
      <c r="C9" s="37"/>
      <c r="D9" s="38"/>
      <c r="E9" s="38"/>
      <c r="F9" s="38"/>
      <c r="G9" s="38"/>
      <c r="H9" s="38"/>
      <c r="I9" s="38"/>
      <c r="J9" s="99"/>
      <c r="K9" s="39"/>
    </row>
    <row r="10" spans="1:13" ht="15.75" thickBot="1" x14ac:dyDescent="0.3">
      <c r="A10" s="180" t="s">
        <v>40</v>
      </c>
      <c r="B10" s="177" t="s">
        <v>41</v>
      </c>
      <c r="C10" s="177" t="s">
        <v>42</v>
      </c>
      <c r="D10" s="177"/>
      <c r="E10" s="177"/>
      <c r="F10" s="177"/>
      <c r="G10" s="177"/>
      <c r="H10" s="177" t="s">
        <v>43</v>
      </c>
      <c r="I10" s="177" t="s">
        <v>44</v>
      </c>
      <c r="J10" s="186" t="s">
        <v>45</v>
      </c>
      <c r="K10" s="184" t="s">
        <v>46</v>
      </c>
    </row>
    <row r="11" spans="1:13" ht="30" customHeight="1" thickBot="1" x14ac:dyDescent="0.3">
      <c r="A11" s="180"/>
      <c r="B11" s="177"/>
      <c r="C11" s="177"/>
      <c r="D11" s="177"/>
      <c r="E11" s="177"/>
      <c r="F11" s="177"/>
      <c r="G11" s="177"/>
      <c r="H11" s="177"/>
      <c r="I11" s="177"/>
      <c r="J11" s="186"/>
      <c r="K11" s="184"/>
      <c r="L11" s="134"/>
    </row>
    <row r="12" spans="1:13" s="102" customFormat="1" ht="15.75" thickBot="1" x14ac:dyDescent="0.3">
      <c r="A12" s="103">
        <v>1</v>
      </c>
      <c r="B12" s="104"/>
      <c r="C12" s="232" t="str">
        <f>'SAF 011'!E10</f>
        <v>AGUJAS BD VACUTAINER PRECISIÓN GILDE 21G X 1 X 100 UND.</v>
      </c>
      <c r="D12" s="232"/>
      <c r="E12" s="232"/>
      <c r="F12" s="232"/>
      <c r="G12" s="232"/>
      <c r="H12" s="108" t="s">
        <v>142</v>
      </c>
      <c r="I12" s="109" t="str">
        <f>'SAF 011'!F10</f>
        <v>CAJA</v>
      </c>
      <c r="J12" s="110">
        <f>'SAF 011'!H10</f>
        <v>18600</v>
      </c>
      <c r="K12" s="111" t="e">
        <f>'SAF 011'!#REF!</f>
        <v>#REF!</v>
      </c>
      <c r="L12" s="134" t="e">
        <f>+K12*J12</f>
        <v>#REF!</v>
      </c>
      <c r="M12" s="134" t="e">
        <f>+J12*K12</f>
        <v>#REF!</v>
      </c>
    </row>
    <row r="13" spans="1:13" s="102" customFormat="1" ht="16.5" customHeight="1" thickBot="1" x14ac:dyDescent="0.3">
      <c r="A13" s="105">
        <v>2</v>
      </c>
      <c r="B13" s="106"/>
      <c r="C13" s="174" t="str">
        <f>'SAF 011'!E12</f>
        <v>APOSITOS; TIPO: POST EXTRACCION SANGUINEA, TAMAÑO: 40 X 40 mm (X 250 UNIDADES)</v>
      </c>
      <c r="D13" s="175"/>
      <c r="E13" s="175"/>
      <c r="F13" s="175"/>
      <c r="G13" s="176"/>
      <c r="H13" s="108" t="s">
        <v>142</v>
      </c>
      <c r="I13" s="113" t="str">
        <f>'SAF 011'!F12</f>
        <v>CAJA</v>
      </c>
      <c r="J13" s="114">
        <f>'SAF 011'!H12</f>
        <v>600</v>
      </c>
      <c r="K13" s="115" t="e">
        <f>'SAF 011'!#REF!</f>
        <v>#REF!</v>
      </c>
      <c r="L13" s="134" t="e">
        <f t="shared" ref="L13:L17" si="0">+K13*J13</f>
        <v>#REF!</v>
      </c>
      <c r="M13" s="134" t="e">
        <f t="shared" ref="M13:M17" si="1">+J13*K13</f>
        <v>#REF!</v>
      </c>
    </row>
    <row r="14" spans="1:13" s="102" customFormat="1" ht="16.5" customHeight="1" thickBot="1" x14ac:dyDescent="0.3">
      <c r="A14" s="105">
        <v>3</v>
      </c>
      <c r="B14" s="106"/>
      <c r="C14" s="174" t="str">
        <f>'SAF 011'!E30</f>
        <v>LANCETAS RETRÁCTIL BD MICROTAINER X 100 UND.</v>
      </c>
      <c r="D14" s="175"/>
      <c r="E14" s="175"/>
      <c r="F14" s="175"/>
      <c r="G14" s="176"/>
      <c r="H14" s="108" t="s">
        <v>142</v>
      </c>
      <c r="I14" s="113" t="str">
        <f>'SAF 011'!F30</f>
        <v>CAJA</v>
      </c>
      <c r="J14" s="114">
        <f>'SAF 011'!H30</f>
        <v>6800</v>
      </c>
      <c r="K14" s="115" t="e">
        <f>'SAF 011'!#REF!</f>
        <v>#REF!</v>
      </c>
      <c r="L14" s="134" t="e">
        <f t="shared" si="0"/>
        <v>#REF!</v>
      </c>
      <c r="M14" s="134" t="e">
        <f t="shared" si="1"/>
        <v>#REF!</v>
      </c>
    </row>
    <row r="15" spans="1:13" s="102" customFormat="1" ht="16.5" customHeight="1" thickBot="1" x14ac:dyDescent="0.3">
      <c r="A15" s="103">
        <v>4</v>
      </c>
      <c r="B15" s="106"/>
      <c r="C15" s="174" t="str">
        <f>+'SAF 011'!E45</f>
        <v xml:space="preserve">TIPS AMARILLO 5-200 UL CON CORONA bolsa X 1000 UNIDADES </v>
      </c>
      <c r="D15" s="175"/>
      <c r="E15" s="175"/>
      <c r="F15" s="175"/>
      <c r="G15" s="176"/>
      <c r="H15" s="108" t="s">
        <v>142</v>
      </c>
      <c r="I15" s="113" t="str">
        <f>+'SAF 011'!F45</f>
        <v>BOLSA</v>
      </c>
      <c r="J15" s="114">
        <f>+'SAF 011'!H45</f>
        <v>2865</v>
      </c>
      <c r="K15" s="115" t="e">
        <f>+'SAF 011'!#REF!</f>
        <v>#REF!</v>
      </c>
      <c r="L15" s="134" t="e">
        <f t="shared" si="0"/>
        <v>#REF!</v>
      </c>
      <c r="M15" s="134" t="e">
        <f t="shared" si="1"/>
        <v>#REF!</v>
      </c>
    </row>
    <row r="16" spans="1:13" s="102" customFormat="1" ht="15.6" customHeight="1" thickBot="1" x14ac:dyDescent="0.3">
      <c r="A16" s="105">
        <v>5</v>
      </c>
      <c r="B16" s="107"/>
      <c r="C16" s="174" t="str">
        <f>'SAF 011'!E63</f>
        <v>TUBOS VACUTAINER K2 EDTA TAPA LILA 3.0 ML (100 TUBOS)</v>
      </c>
      <c r="D16" s="175"/>
      <c r="E16" s="175"/>
      <c r="F16" s="175"/>
      <c r="G16" s="176"/>
      <c r="H16" s="108" t="s">
        <v>142</v>
      </c>
      <c r="I16" s="116" t="str">
        <f>'SAF 011'!F63</f>
        <v>CAJA</v>
      </c>
      <c r="J16" s="117">
        <f>'SAF 011'!H63</f>
        <v>16500</v>
      </c>
      <c r="K16" s="118" t="e">
        <f>'SAF 011'!#REF!</f>
        <v>#REF!</v>
      </c>
      <c r="L16" s="134" t="e">
        <f t="shared" si="0"/>
        <v>#REF!</v>
      </c>
      <c r="M16" s="134" t="e">
        <f t="shared" si="1"/>
        <v>#REF!</v>
      </c>
    </row>
    <row r="17" spans="1:13" s="102" customFormat="1" ht="15.75" customHeight="1" x14ac:dyDescent="0.25">
      <c r="A17" s="105">
        <v>6</v>
      </c>
      <c r="B17" s="107"/>
      <c r="C17" s="174" t="str">
        <f>'SAF 011'!E65</f>
        <v>TUBOS VACUTAINER SST TAPA AMARILLA 3.5 ML  (100 TUBOS)</v>
      </c>
      <c r="D17" s="175"/>
      <c r="E17" s="175"/>
      <c r="F17" s="175"/>
      <c r="G17" s="176"/>
      <c r="H17" s="108" t="s">
        <v>142</v>
      </c>
      <c r="I17" s="116" t="str">
        <f>'SAF 011'!F65</f>
        <v>CAJA</v>
      </c>
      <c r="J17" s="117">
        <f>'SAF 011'!H65</f>
        <v>22200</v>
      </c>
      <c r="K17" s="118" t="e">
        <f>'SAF 011'!#REF!</f>
        <v>#REF!</v>
      </c>
      <c r="L17" s="134" t="e">
        <f t="shared" si="0"/>
        <v>#REF!</v>
      </c>
      <c r="M17" s="134" t="e">
        <f t="shared" si="1"/>
        <v>#REF!</v>
      </c>
    </row>
    <row r="18" spans="1:13" ht="15.75" x14ac:dyDescent="0.25">
      <c r="A18" s="40"/>
      <c r="B18" s="41"/>
      <c r="C18" s="183"/>
      <c r="D18" s="183"/>
      <c r="E18" s="183"/>
      <c r="F18" s="183"/>
      <c r="G18" s="183"/>
      <c r="H18" s="42"/>
      <c r="I18" s="43"/>
      <c r="J18" s="100"/>
      <c r="K18" s="44"/>
      <c r="L18" s="134"/>
    </row>
    <row r="19" spans="1:13" ht="19.5" thickBot="1" x14ac:dyDescent="0.3">
      <c r="A19" s="191" t="s">
        <v>148</v>
      </c>
      <c r="B19" s="191"/>
      <c r="C19" s="191"/>
      <c r="D19" s="191"/>
      <c r="E19" s="191"/>
      <c r="F19" s="191"/>
      <c r="G19" s="191"/>
      <c r="H19" s="191"/>
      <c r="I19" s="191"/>
      <c r="J19" s="182" t="e">
        <f>SUM(L12:L17)</f>
        <v>#REF!</v>
      </c>
      <c r="K19" s="182"/>
      <c r="M19" s="134" t="e">
        <f>SUM(M12:M18)</f>
        <v>#REF!</v>
      </c>
    </row>
  </sheetData>
  <mergeCells count="23">
    <mergeCell ref="C17:G17"/>
    <mergeCell ref="C18:G18"/>
    <mergeCell ref="A19:I19"/>
    <mergeCell ref="J19:K19"/>
    <mergeCell ref="C16:G16"/>
    <mergeCell ref="C15:G15"/>
    <mergeCell ref="C14:G14"/>
    <mergeCell ref="K10:K11"/>
    <mergeCell ref="C12:G12"/>
    <mergeCell ref="C13:G13"/>
    <mergeCell ref="J10:J11"/>
    <mergeCell ref="A10:A11"/>
    <mergeCell ref="B10:B11"/>
    <mergeCell ref="C10:G11"/>
    <mergeCell ref="H10:H11"/>
    <mergeCell ref="I10:I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"/>
  <sheetViews>
    <sheetView workbookViewId="0">
      <selection activeCell="A38" sqref="A38:P38"/>
    </sheetView>
  </sheetViews>
  <sheetFormatPr baseColWidth="10" defaultColWidth="11.42578125" defaultRowHeight="15" x14ac:dyDescent="0.25"/>
  <cols>
    <col min="1" max="5" width="4.42578125" style="24" customWidth="1"/>
    <col min="6" max="6" width="9.140625" style="24" customWidth="1"/>
    <col min="7" max="14" width="4.42578125" style="24" customWidth="1"/>
    <col min="15" max="15" width="14.85546875" style="24" customWidth="1"/>
    <col min="16" max="16" width="18.5703125" style="24" customWidth="1"/>
    <col min="17" max="17" width="14.7109375" style="24" customWidth="1"/>
    <col min="18" max="16384" width="11.42578125" style="24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45"/>
      <c r="G1" s="45"/>
      <c r="H1" s="46"/>
      <c r="I1" s="46"/>
      <c r="J1" s="46"/>
      <c r="K1" s="46"/>
      <c r="L1" s="46"/>
      <c r="M1" s="46"/>
      <c r="N1" s="46"/>
      <c r="O1" s="47"/>
      <c r="P1" s="195" t="s">
        <v>47</v>
      </c>
      <c r="Q1" s="195"/>
    </row>
    <row r="2" spans="1:17" ht="15.75" thickBot="1" x14ac:dyDescent="0.3">
      <c r="A2" s="48"/>
      <c r="B2" s="49"/>
      <c r="C2" s="49"/>
      <c r="D2" s="49"/>
      <c r="E2" s="49"/>
      <c r="F2" s="49"/>
      <c r="G2" s="50"/>
      <c r="H2" s="51"/>
      <c r="I2" s="51"/>
      <c r="J2" s="51"/>
      <c r="K2" s="51"/>
      <c r="L2" s="51"/>
      <c r="M2" s="51"/>
      <c r="N2" s="51"/>
      <c r="O2" s="49"/>
      <c r="P2" s="195"/>
      <c r="Q2" s="195"/>
    </row>
    <row r="3" spans="1:17" ht="15.75" thickBot="1" x14ac:dyDescent="0.3">
      <c r="A3" s="48"/>
      <c r="B3" s="49"/>
      <c r="C3" s="49"/>
      <c r="D3" s="49"/>
      <c r="E3" s="49"/>
      <c r="F3" s="49"/>
      <c r="G3" s="50"/>
      <c r="H3" s="49"/>
      <c r="I3" s="49"/>
      <c r="J3" s="49"/>
      <c r="K3" s="49"/>
      <c r="L3" s="49"/>
      <c r="M3" s="49"/>
      <c r="N3" s="49"/>
      <c r="O3" s="49"/>
      <c r="P3" s="49"/>
      <c r="Q3" s="52"/>
    </row>
    <row r="4" spans="1:17" ht="15.75" thickBot="1" x14ac:dyDescent="0.3">
      <c r="A4" s="225" t="s">
        <v>48</v>
      </c>
      <c r="B4" s="225"/>
      <c r="C4" s="225"/>
      <c r="D4" s="225"/>
      <c r="E4" s="225"/>
      <c r="F4" s="225"/>
      <c r="G4" s="226" t="str">
        <f>'NP CUR'!D3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" customHeight="1" thickBot="1" x14ac:dyDescent="0.3">
      <c r="A5" s="198" t="s">
        <v>35</v>
      </c>
      <c r="B5" s="198"/>
      <c r="C5" s="198"/>
      <c r="D5" s="198"/>
      <c r="E5" s="198"/>
      <c r="F5" s="198"/>
      <c r="G5" s="226" t="str">
        <f>'NP CUR'!D4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" customHeight="1" thickBot="1" x14ac:dyDescent="0.3">
      <c r="A6" s="198" t="s">
        <v>36</v>
      </c>
      <c r="B6" s="198"/>
      <c r="C6" s="198"/>
      <c r="D6" s="198"/>
      <c r="E6" s="198"/>
      <c r="F6" s="198"/>
      <c r="G6" s="226" t="str">
        <f>'NP CUR'!D5</f>
        <v>DIRECCION PROVINCIAL CENTRO UNICO DE REFERENCIA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" customHeight="1" thickBot="1" x14ac:dyDescent="0.3">
      <c r="A7" s="198" t="s">
        <v>37</v>
      </c>
      <c r="B7" s="198"/>
      <c r="C7" s="198"/>
      <c r="D7" s="198"/>
      <c r="E7" s="198"/>
      <c r="F7" s="198"/>
      <c r="G7" s="226" t="str">
        <f>'NP CUR'!D6</f>
        <v>DIRECCION PROVINCIAL CENTRO UNICO DE REFERENCIA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199" t="s">
        <v>49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50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69" customHeight="1" x14ac:dyDescent="0.25">
      <c r="A10" s="201" t="s">
        <v>123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thickBot="1" x14ac:dyDescent="0.3">
      <c r="A12" s="227" t="s">
        <v>51</v>
      </c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</row>
    <row r="13" spans="1:17" ht="15.75" thickBot="1" x14ac:dyDescent="0.3">
      <c r="A13" s="203" t="s">
        <v>52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53</v>
      </c>
      <c r="P13" s="204"/>
      <c r="Q13" s="205" t="s">
        <v>54</v>
      </c>
    </row>
    <row r="14" spans="1:17" ht="15.75" thickBot="1" x14ac:dyDescent="0.3">
      <c r="A14" s="57" t="s">
        <v>55</v>
      </c>
      <c r="B14" s="58" t="s">
        <v>56</v>
      </c>
      <c r="C14" s="58" t="s">
        <v>57</v>
      </c>
      <c r="D14" s="58" t="s">
        <v>58</v>
      </c>
      <c r="E14" s="58" t="s">
        <v>59</v>
      </c>
      <c r="F14" s="58" t="s">
        <v>60</v>
      </c>
      <c r="G14" s="59" t="s">
        <v>61</v>
      </c>
      <c r="H14" s="58" t="s">
        <v>62</v>
      </c>
      <c r="I14" s="58" t="s">
        <v>63</v>
      </c>
      <c r="J14" s="58" t="s">
        <v>64</v>
      </c>
      <c r="K14" s="58" t="s">
        <v>64</v>
      </c>
      <c r="L14" s="58" t="s">
        <v>65</v>
      </c>
      <c r="M14" s="60" t="s">
        <v>66</v>
      </c>
      <c r="N14" s="61" t="s">
        <v>67</v>
      </c>
      <c r="O14" s="204"/>
      <c r="P14" s="204"/>
      <c r="Q14" s="205"/>
    </row>
    <row r="15" spans="1:17" ht="42.75" customHeight="1" x14ac:dyDescent="0.25">
      <c r="A15" s="62">
        <v>35</v>
      </c>
      <c r="B15" s="63"/>
      <c r="C15" s="63"/>
      <c r="D15" s="63">
        <v>1</v>
      </c>
      <c r="E15" s="63"/>
      <c r="F15" s="63">
        <v>4901</v>
      </c>
      <c r="G15" s="63">
        <v>3</v>
      </c>
      <c r="H15" s="63">
        <v>1</v>
      </c>
      <c r="I15" s="63">
        <v>2</v>
      </c>
      <c r="J15" s="63">
        <v>9</v>
      </c>
      <c r="K15" s="63">
        <v>5</v>
      </c>
      <c r="L15" s="63"/>
      <c r="M15" s="64">
        <v>1</v>
      </c>
      <c r="N15" s="63" t="s">
        <v>124</v>
      </c>
      <c r="O15" s="228" t="s">
        <v>126</v>
      </c>
      <c r="P15" s="228"/>
      <c r="Q15" s="65">
        <v>187295</v>
      </c>
    </row>
    <row r="16" spans="1:17" ht="30" customHeight="1" x14ac:dyDescent="0.25">
      <c r="A16" s="66">
        <v>35</v>
      </c>
      <c r="B16" s="67"/>
      <c r="C16" s="67"/>
      <c r="D16" s="67">
        <v>2</v>
      </c>
      <c r="E16" s="67"/>
      <c r="F16" s="67">
        <v>4901</v>
      </c>
      <c r="G16" s="67">
        <v>3</v>
      </c>
      <c r="H16" s="67">
        <v>1</v>
      </c>
      <c r="I16" s="67">
        <v>2</v>
      </c>
      <c r="J16" s="67">
        <v>9</v>
      </c>
      <c r="K16" s="67">
        <v>5</v>
      </c>
      <c r="L16" s="67"/>
      <c r="M16" s="68">
        <v>1</v>
      </c>
      <c r="N16" s="90" t="s">
        <v>124</v>
      </c>
      <c r="O16" s="233" t="s">
        <v>126</v>
      </c>
      <c r="P16" s="233"/>
      <c r="Q16" s="69">
        <v>500000</v>
      </c>
    </row>
    <row r="17" spans="1:17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90"/>
      <c r="O17" s="229"/>
      <c r="P17" s="229"/>
      <c r="Q17" s="69"/>
    </row>
    <row r="18" spans="1:17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90"/>
      <c r="O18" s="200"/>
      <c r="P18" s="200"/>
      <c r="Q18" s="69"/>
    </row>
    <row r="19" spans="1:17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90"/>
      <c r="O19" s="200"/>
      <c r="P19" s="200"/>
      <c r="Q19" s="69"/>
    </row>
    <row r="20" spans="1:17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90"/>
      <c r="O20" s="200"/>
      <c r="P20" s="200"/>
      <c r="Q20" s="69"/>
    </row>
    <row r="21" spans="1:17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90"/>
      <c r="O21" s="200"/>
      <c r="P21" s="200"/>
      <c r="Q21" s="69"/>
    </row>
    <row r="22" spans="1:17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90"/>
      <c r="O22" s="200"/>
      <c r="P22" s="200"/>
      <c r="Q22" s="69"/>
    </row>
    <row r="23" spans="1:17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90"/>
      <c r="O23" s="200"/>
      <c r="P23" s="200"/>
      <c r="Q23" s="69"/>
    </row>
    <row r="24" spans="1:17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90"/>
      <c r="O24" s="200"/>
      <c r="P24" s="200"/>
      <c r="Q24" s="69"/>
    </row>
    <row r="25" spans="1:17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90"/>
      <c r="O25" s="200"/>
      <c r="P25" s="200"/>
      <c r="Q25" s="69"/>
    </row>
    <row r="26" spans="1:17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90"/>
      <c r="O26" s="200"/>
      <c r="P26" s="200"/>
      <c r="Q26" s="69"/>
    </row>
    <row r="27" spans="1:17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90"/>
      <c r="O27" s="200"/>
      <c r="P27" s="200"/>
      <c r="Q27" s="69"/>
    </row>
    <row r="28" spans="1:17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90"/>
      <c r="O28" s="200"/>
      <c r="P28" s="200"/>
      <c r="Q28" s="69"/>
    </row>
    <row r="29" spans="1:17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90"/>
      <c r="O29" s="200"/>
      <c r="P29" s="200"/>
      <c r="Q29" s="69"/>
    </row>
    <row r="30" spans="1:17" x14ac:dyDescent="0.25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8"/>
      <c r="N30" s="90"/>
      <c r="O30" s="200"/>
      <c r="P30" s="200"/>
      <c r="Q30" s="69"/>
    </row>
    <row r="31" spans="1:17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90"/>
      <c r="O31" s="200"/>
      <c r="P31" s="200"/>
      <c r="Q31" s="69"/>
    </row>
    <row r="32" spans="1:17" x14ac:dyDescent="0.25">
      <c r="A32" s="66"/>
      <c r="B32" s="67"/>
      <c r="C32" s="67"/>
      <c r="D32" s="67"/>
      <c r="E32" s="67"/>
      <c r="F32" s="90"/>
      <c r="G32" s="67"/>
      <c r="H32" s="67"/>
      <c r="I32" s="67"/>
      <c r="J32" s="67"/>
      <c r="K32" s="67"/>
      <c r="L32" s="67"/>
      <c r="M32" s="68"/>
      <c r="N32" s="90"/>
      <c r="O32" s="211"/>
      <c r="P32" s="211"/>
      <c r="Q32" s="69"/>
    </row>
    <row r="33" spans="1:17" x14ac:dyDescent="0.25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  <c r="N33" s="90"/>
      <c r="O33" s="211"/>
      <c r="P33" s="211"/>
      <c r="Q33" s="69"/>
    </row>
    <row r="34" spans="1:17" x14ac:dyDescent="0.25">
      <c r="A34" s="66"/>
      <c r="B34" s="67"/>
      <c r="C34" s="67"/>
      <c r="D34" s="67"/>
      <c r="E34" s="67"/>
      <c r="F34" s="90"/>
      <c r="G34" s="67"/>
      <c r="H34" s="67"/>
      <c r="I34" s="67"/>
      <c r="J34" s="67"/>
      <c r="K34" s="67"/>
      <c r="L34" s="67"/>
      <c r="M34" s="68"/>
      <c r="N34" s="90"/>
      <c r="O34" s="211"/>
      <c r="P34" s="211"/>
      <c r="Q34" s="69"/>
    </row>
    <row r="35" spans="1:17" x14ac:dyDescent="0.25">
      <c r="A35" s="66"/>
      <c r="B35" s="67"/>
      <c r="C35" s="67"/>
      <c r="D35" s="67"/>
      <c r="E35" s="67"/>
      <c r="F35" s="90"/>
      <c r="G35" s="67"/>
      <c r="H35" s="67"/>
      <c r="I35" s="67"/>
      <c r="J35" s="67"/>
      <c r="K35" s="67"/>
      <c r="L35" s="67"/>
      <c r="M35" s="68"/>
      <c r="N35" s="90"/>
      <c r="O35" s="211"/>
      <c r="P35" s="211"/>
      <c r="Q35" s="69"/>
    </row>
    <row r="36" spans="1:17" x14ac:dyDescent="0.25">
      <c r="A36" s="70"/>
      <c r="B36" s="71"/>
      <c r="C36" s="71"/>
      <c r="D36" s="71"/>
      <c r="E36" s="71"/>
      <c r="F36" s="72"/>
      <c r="G36" s="71"/>
      <c r="H36" s="71"/>
      <c r="I36" s="71"/>
      <c r="J36" s="71"/>
      <c r="K36" s="71"/>
      <c r="L36" s="71"/>
      <c r="M36" s="73"/>
      <c r="N36" s="74"/>
      <c r="O36" s="215"/>
      <c r="P36" s="215"/>
      <c r="Q36" s="69"/>
    </row>
    <row r="37" spans="1:17" ht="15.75" thickBot="1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6"/>
      <c r="O37" s="216"/>
      <c r="P37" s="216"/>
      <c r="Q37" s="78"/>
    </row>
    <row r="38" spans="1:17" ht="27" customHeight="1" thickBot="1" x14ac:dyDescent="0.3">
      <c r="A38" s="230" t="s">
        <v>147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79">
        <f>SUM(Q15:Q37)</f>
        <v>687295</v>
      </c>
    </row>
    <row r="39" spans="1:17" ht="15.75" thickBot="1" x14ac:dyDescent="0.3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</row>
    <row r="40" spans="1:17" ht="15.75" thickBot="1" x14ac:dyDescent="0.3">
      <c r="A40" s="212" t="s">
        <v>68</v>
      </c>
      <c r="B40" s="212"/>
      <c r="C40" s="212"/>
      <c r="D40" s="212"/>
      <c r="E40" s="212"/>
      <c r="F40" s="212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</row>
    <row r="41" spans="1:17" ht="15.75" thickBot="1" x14ac:dyDescent="0.3">
      <c r="A41" s="214" t="str">
        <f>'NP CUR'!D8</f>
        <v>ADQ. DEL RUBRO DESCARTABLES PARA LABORATORIO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</row>
    <row r="42" spans="1:17" ht="15.75" thickBot="1" x14ac:dyDescent="0.3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SAF 011</vt:lpstr>
      <vt:lpstr>NP LABORATORIO</vt:lpstr>
      <vt:lpstr>APG LABORATORIO</vt:lpstr>
      <vt:lpstr>NP BANCO DE SANGRE</vt:lpstr>
      <vt:lpstr>APG BANCO DE SANGRE</vt:lpstr>
      <vt:lpstr>NP CUR</vt:lpstr>
      <vt:lpstr>APG 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2022-02-10T15:29:42Z</cp:lastPrinted>
  <dcterms:created xsi:type="dcterms:W3CDTF">2021-11-12T17:27:33Z</dcterms:created>
  <dcterms:modified xsi:type="dcterms:W3CDTF">2022-02-25T13:13:57Z</dcterms:modified>
</cp:coreProperties>
</file>