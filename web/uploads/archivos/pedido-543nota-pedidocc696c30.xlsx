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usf\Dropbox\compartida PATRIMONIO-ASESORIA CONTABLE\pedidos 2022\85- COMBUSTIBLE Y LUB - 4TO TRIMESTRE -  LISTO\"/>
    </mc:Choice>
  </mc:AlternateContent>
  <xr:revisionPtr revIDLastSave="0" documentId="13_ncr:1_{FAE23DF4-C5A9-4EE1-A6C1-EA0F7D9DA2A0}" xr6:coauthVersionLast="47" xr6:coauthVersionMax="47" xr10:uidLastSave="{00000000-0000-0000-0000-000000000000}"/>
  <bookViews>
    <workbookView xWindow="0" yWindow="0" windowWidth="19200" windowHeight="1020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NotaPedido'!$A$1:$K$34</definedName>
    <definedName name="_xlnm.Print_Area" localSheetId="2">'Autor Gastar'!$A$1:$Q$20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J11" i="1"/>
  <c r="I28" i="1"/>
  <c r="I29" i="1"/>
  <c r="J12" i="2" l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9" i="2"/>
  <c r="J30" i="2"/>
  <c r="J31" i="2"/>
  <c r="J32" i="2"/>
  <c r="J33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A33" i="2"/>
  <c r="B33" i="2"/>
  <c r="C33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J28" i="2"/>
  <c r="K28" i="2"/>
  <c r="K29" i="2"/>
  <c r="K30" i="2"/>
  <c r="K31" i="2"/>
  <c r="K32" i="2"/>
  <c r="K33" i="2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30" i="1"/>
  <c r="J10" i="1" l="1"/>
  <c r="K10" i="1" s="1"/>
  <c r="J24" i="1"/>
  <c r="J22" i="1"/>
  <c r="J20" i="1"/>
  <c r="J18" i="1"/>
  <c r="J16" i="1"/>
  <c r="J14" i="1"/>
  <c r="J12" i="1"/>
  <c r="E17" i="3"/>
  <c r="A19" i="3"/>
  <c r="I31" i="1" l="1"/>
  <c r="I32" i="1" l="1"/>
  <c r="J26" i="1"/>
  <c r="G6" i="3"/>
  <c r="G7" i="3"/>
  <c r="D3" i="2"/>
  <c r="G4" i="3" s="1"/>
  <c r="D4" i="2"/>
  <c r="G5" i="3" s="1"/>
  <c r="A10" i="3" l="1"/>
  <c r="D1" i="3"/>
  <c r="J34" i="2"/>
  <c r="Q15" i="3" s="1"/>
  <c r="Q16" i="3" s="1"/>
</calcChain>
</file>

<file path=xl/sharedStrings.xml><?xml version="1.0" encoding="utf-8"?>
<sst xmlns="http://schemas.openxmlformats.org/spreadsheetml/2006/main" count="613" uniqueCount="139">
  <si>
    <t>Pedido de Necesidades Trimestrales</t>
  </si>
  <si>
    <t>JURISDICCION:</t>
  </si>
  <si>
    <t>90 - Ministerio de Seguridad</t>
  </si>
  <si>
    <t xml:space="preserve">SAF N°: </t>
  </si>
  <si>
    <t>7 - Direccion de Administracion de la Policia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</si>
  <si>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</si>
  <si>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</si>
  <si>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</si>
  <si>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</si>
  <si>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</si>
  <si>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</si>
  <si>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</si>
  <si>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</si>
  <si>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</si>
  <si>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</si>
  <si>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</si>
  <si>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COMBUSTIBLES Y LUBRICANTES</t>
  </si>
  <si>
    <t>2.5.6</t>
  </si>
  <si>
    <t>LITROS EN VALES</t>
  </si>
  <si>
    <t>2.5.6-793.31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</si>
  <si>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S.F.V. DE CATAMARCA</t>
    </r>
  </si>
  <si>
    <t>2.5.6-793.35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</si>
  <si>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LA PAZ</t>
    </r>
  </si>
  <si>
    <t>2.5.6-793.37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</si>
  <si>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BELEN</t>
    </r>
  </si>
  <si>
    <t>2.5.6-793.45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</si>
  <si>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ANDALGALA</t>
    </r>
  </si>
  <si>
    <t>2.5.6-793.36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</si>
  <si>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TINOGASTA</t>
    </r>
  </si>
  <si>
    <t>2.5.6-793.39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</si>
  <si>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EL ALTO</t>
    </r>
  </si>
  <si>
    <t>2.5.6-793.38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</si>
  <si>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STA. MARIA</t>
    </r>
  </si>
  <si>
    <t>2.5.6-793.33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</si>
  <si>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POMAN</t>
    </r>
  </si>
  <si>
    <t>UNIDAD</t>
  </si>
  <si>
    <t>2.5.6-7104.31</t>
  </si>
  <si>
    <t>ACEITES LUBRICANTES; DENOMINACION: SAE 20 W 50, USO: AUTOMOTOR, PRESENTACION: TAMBOR X 205 L, NORMA: SAE 20 W 50</t>
  </si>
  <si>
    <t>2.5.6-7104.414</t>
  </si>
  <si>
    <t>ACEITES LUBRICANTES; USO: REFRIGERANTE, PRESENTACION: ENVASE X 1 L, NORMA: 150 SUS/32 CST, COMERCIALIZACION: SIN</t>
  </si>
  <si>
    <t>Especificidades:</t>
  </si>
  <si>
    <t>Descripción técnica ITEM 1 y 2:</t>
  </si>
  <si>
    <t>Descripción técnica ITEM 2- 4- 6- 8- 10- 12- 14- 16:</t>
  </si>
  <si>
    <t xml:space="preserve"> GAS OIL; PRESENTACION: POR LITRO, USO: MOTORES DIESEL, COMERCIALIZACION: GRADO 3          </t>
  </si>
  <si>
    <t>Descripción técnica ITEM17:</t>
  </si>
  <si>
    <t>Descripción técnica ITEM18:</t>
  </si>
  <si>
    <t>Descripción técnica ITEM19:</t>
  </si>
  <si>
    <t>Caracteristicas: Aceite Semi sintético 20W50 con normas API SL/SJ, SH, SG, JASO MA para motos  Tambor x 205 lts</t>
  </si>
  <si>
    <t>Descripción técnica ITEM20:</t>
  </si>
  <si>
    <t>Descripción técnica ITEM21:</t>
  </si>
  <si>
    <t>Descripción técnica ITEM22:</t>
  </si>
  <si>
    <t> </t>
  </si>
  <si>
    <t>Plazos y lugares de entrega</t>
  </si>
  <si>
    <t>Calidad Minima esperada</t>
  </si>
  <si>
    <t>Que Cumpla con lo Solicitado de Forma Integra.</t>
  </si>
  <si>
    <t>Mantenimiento</t>
  </si>
  <si>
    <t>30 (treinta) días</t>
  </si>
  <si>
    <t>Garantia</t>
  </si>
  <si>
    <t>*</t>
  </si>
  <si>
    <t>NOTA DE PEDIDO</t>
  </si>
  <si>
    <t>N°</t>
  </si>
  <si>
    <t>76/2021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</si>
  <si>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</si>
  <si>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</si>
  <si>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</si>
  <si>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</si>
  <si>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</si>
  <si>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Transporte- Departamento Logística (D-4)</t>
  </si>
  <si>
    <t>PERIODO UTILIZACIÓN:</t>
  </si>
  <si>
    <t>3er trimestre Año 2021.-</t>
  </si>
  <si>
    <t>OBJETO:</t>
  </si>
  <si>
    <t>Adquisición de Combustible destinados a los moviles de la Institucion Policial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</si>
  <si>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</si>
  <si>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</si>
  <si>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</si>
  <si>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</si>
  <si>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</si>
  <si>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</si>
  <si>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</si>
  <si>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</si>
  <si>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</t>
  </si>
  <si>
    <t>Cuarenta y Nueve Millones Quinientos Sesenta y Cuatro Mil Setecientos Siete con 50/100.-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</si>
  <si>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</si>
  <si>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</si>
  <si>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</si>
  <si>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</si>
  <si>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</si>
  <si>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</si>
  <si>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</si>
  <si>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</si>
  <si>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</si>
  <si>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</si>
  <si>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</si>
  <si>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</si>
  <si>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</si>
  <si>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</si>
  <si>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</si>
  <si>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</si>
  <si>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</si>
  <si>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</si>
  <si>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</si>
  <si>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</si>
  <si>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</si>
  <si>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</si>
  <si>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 xml:space="preserve">TOTAL DE PESOS:   </t>
  </si>
  <si>
    <t>JUSTIFICACIÓN:</t>
  </si>
  <si>
    <t>ACEITES LUBRICANTES; DENOMINACION: SAE 15 W 50, USO: AUTOMOTOR, PRESENTACION: TAMBOR X 205 L, NORMA: SAE 15 W 50</t>
  </si>
  <si>
    <t xml:space="preserve">Caracteristicas:  Aceite sintético 10W50  con normas  API SL/SJ, SH, SG, JASO MA para motos  Tambor x 205 lts  </t>
  </si>
  <si>
    <t xml:space="preserve">Caracteristicas:  Aceite Semi sintético 15W50  con normas  API SL/SJ, SH, SG, JASO MA para motos  Tambor x 205 lts  </t>
  </si>
  <si>
    <t>2.5.6-7104.578</t>
  </si>
  <si>
    <t>ACEITES LUBRICANTES; USO: AUTOMOTOR, PRESENTACION: TAMBOR X 205 L</t>
  </si>
  <si>
    <t>2.5.6-7104.261</t>
  </si>
  <si>
    <t xml:space="preserve">Caracteristicas: Refrigerante Automotor  Embase Por 1 Litro </t>
  </si>
  <si>
    <t>2.5.6-7104.577</t>
  </si>
  <si>
    <t>ACEITES LUBRICANTES; DENOMINACION: SAE 5 W 30, USO: AUTOMOTOR, PRESENTACION: TAMBOR X 205 L, NORMA: SAE 5 W 30</t>
  </si>
  <si>
    <t xml:space="preserve">Caracteristicas:  Aceite Semi sintético 5W30  con normas  ACEA  A3/B3, A3/B4. API SN, S, SL, SJ. Para Camionetas .  Envase x 205 lts  </t>
  </si>
  <si>
    <t>2.5.6-7104.302</t>
  </si>
  <si>
    <t>ACEITES LUBRICANTES; USO: AUTOMOTOR, PRESENTACION: ENVASE X 205 L, NORMA: SAE 10 W 40</t>
  </si>
  <si>
    <t xml:space="preserve">Caracteristicas:   Aceite  Sintético 10W40 con normas  ACEA  A3/B3, A3/B4. API SN, S, SL, SJ. Para Camioneta  Tambor x 205 lts.      </t>
  </si>
  <si>
    <t>2.5.6-797.21</t>
  </si>
  <si>
    <t>NAFTA SUPER; TIPO: ULTRA GRADO 3, OCTANO: 98, PRESENTACION: POR LITRO, DESTINO: SIN VALOR</t>
  </si>
  <si>
    <t>Descripción técnica ITEM 1:</t>
  </si>
  <si>
    <t>DESTINO: DPTO S.F.V. DE CATAMARCA</t>
  </si>
  <si>
    <t>Descripción técnica ITEM 3:</t>
  </si>
  <si>
    <t>DESTINO: DPTO LA PAZ</t>
  </si>
  <si>
    <t>Descripción técnica ITEM 5:</t>
  </si>
  <si>
    <t>DESTINO: DPTO BELEN</t>
  </si>
  <si>
    <t>Descripción técnica ITEM 7:</t>
  </si>
  <si>
    <t>DESTINO: DPTO ANDALGALA</t>
  </si>
  <si>
    <t>Descripción técnica ITEM 9:</t>
  </si>
  <si>
    <t>DESTINO: DPTO TINOGASTA</t>
  </si>
  <si>
    <t>Descripción técnica ITEM 11:</t>
  </si>
  <si>
    <t>DESTINO: DPTO EL ALTO</t>
  </si>
  <si>
    <t>Descripción técnica ITEM 13:</t>
  </si>
  <si>
    <t>DESTINO: DPTO SANTA MARÍA</t>
  </si>
  <si>
    <t>Descripción técnica ITEM 15:</t>
  </si>
  <si>
    <t>DESTINO: DPTO POMÁN</t>
  </si>
  <si>
    <t>Plazo de entrega tres 3 días hábiles. Periodo de utilización tres meses. ENTREGA en VALES, según pliego, en la DIRECCIÓN DE ADMINISTRACIÓN sito en Chacabuco N* 809 , San Fernando del Valle de Catamarca, en horario de 8 a 12 horas. El COMBUSTIBLE en la boca de expendio de las cabeceras departamentales. LOS LUBRICANTES , en Dpto. Logística, sito en Av. Felix Avellaneda Km2  RP N 33, Sumalao Valle Viejo,
Actividad 1 – U.R. I (Dpto. CAPITAL)  COMBUSTIBLE ( $10.915.000,00)
16.000 litros Nafta Ultra Grado 3
35.000 litros Gasoil Grado 3.-
                                                                                                                                                                                                                                                                                                                                                                                                                                                                        Actividad 1 – U.R. I (CAPITAL)  LUBRICANTES ( $4.988.290,00)
Actividad 7 – INTERIOR PROVINCIAL  (Dpto. VALLE VIEJO- Dpto. FME- Dpto.AMBATO - Dpto. PACLIN) COMBUSTIBLE  ( $10.915.000,00)
16.000 litros Nafta Ultra Grado 3
35.000 litros Gasoil Grado 3.-
Actividad 09 – U.R. 2 Dpto. La Paz ($ 6.163.000,00)
12.000  litros Nafta Ultra Grado 3
17.000  litros Gasoil Grado 3.-
Actividad 10 – U.R. 3 Dpto. Belen  ($ 6.163.000,00)
12.000  litros Nafta Ultra Grado 3
17.000  litros Gasoil Grado 3.-
Actividad 11 – U.R. 4 (Dpto. Andalgala)  ($ 6.163.000,00)
12.000  litros Nafta Ultra Grado 3
17.000  litros Gasoil Grado 3.-
Actividad 12 – U.R. 5 Dpto. Tinogasta  ($ 6.163.000,00)
12.000  litros Nafta Ultra Grado 3
17.000  litros Gasoil Grado 3.-
Actividad 13 –Jefatura de Zona “C” (Dpto. El Alto) ($ 6.163.000,00)
12.000  litros Nafta Ultra Grado 3
17.000  litros Gasoil Grado 3.-
Actividad 14 – Jefatura de Zona “D” (Dpto. Santa María)  ($ 6.163.000,00)
12.000  litros Nafta Ultra Grado 3
17.000  litros Gasoil Grado 3.-
Actividad 15 – Jefatura de Zona “F” (Dpto. Poman)  ($ 6.163.000,00)
12.000  litros Nafta Ultra Grado 3
17.000  litros Gasoil Grado 3.-</t>
  </si>
  <si>
    <t>REQUISITO: Se debe contar con mas de una Boca de expendio para Actividad 1(CAPITAL) y 7 (INTERIOR - VALLE CENTRAL)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</si>
</sst>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_-[$$-2C0A]\ * #,##0.00_-;\-[$$-2C0A]\ * #,##0.00_-;_-[$$-2C0A]\ * &quot;-&quot;??_-;_-@_-"/>
  </numFmts>
  <fonts count="2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sz val="10"/>
      <color theme="0"/>
      <name val="Century Gothic"/>
      <family val="2"/>
    </font>
    <font>
      <sz val="10"/>
      <color rgb="FFFF0000"/>
      <name val="Century Gothic"/>
      <family val="2"/>
    </font>
    <font>
      <sz val="10"/>
      <color rgb="FFFFFFFF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175">
    <xf numFmtId="0" fontId="0" fillId="0" borderId="0" xfId="0"/>
    <xf numFmtId="0" fontId="5" fillId="3" borderId="0" xfId="0" applyFont="1" applyFill="1" applyAlignment="1">
      <alignment horizontal="center" vertical="center"/>
    </xf>
    <xf numFmtId="170" fontId="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0" fontId="8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left"/>
    </xf>
    <xf numFmtId="49" fontId="5" fillId="3" borderId="0" xfId="0" applyNumberFormat="1" applyFont="1" applyFill="1"/>
    <xf numFmtId="0" fontId="12" fillId="3" borderId="2" xfId="0" applyFont="1" applyFill="1" applyBorder="1" applyAlignment="1">
      <alignment horizontal="right" vertical="center"/>
    </xf>
    <xf numFmtId="0" fontId="13" fillId="3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12" fillId="3" borderId="4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4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 wrapText="1" indent="1"/>
    </xf>
    <xf numFmtId="0" fontId="5" fillId="3" borderId="32" xfId="0" applyFont="1" applyFill="1" applyBorder="1"/>
    <xf numFmtId="0" fontId="5" fillId="3" borderId="31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 wrapText="1"/>
    </xf>
    <xf numFmtId="170" fontId="5" fillId="3" borderId="31" xfId="1" applyNumberFormat="1" applyFont="1" applyFill="1" applyBorder="1" applyAlignment="1" applyProtection="1">
      <alignment horizontal="center" vertical="center"/>
    </xf>
    <xf numFmtId="3" fontId="5" fillId="3" borderId="31" xfId="0" applyNumberFormat="1" applyFont="1" applyFill="1" applyBorder="1" applyAlignment="1">
      <alignment horizontal="center" vertical="center"/>
    </xf>
    <xf numFmtId="170" fontId="5" fillId="3" borderId="0" xfId="0" applyNumberFormat="1" applyFont="1" applyFill="1" applyAlignment="1">
      <alignment vertical="center"/>
    </xf>
    <xf numFmtId="3" fontId="15" fillId="3" borderId="0" xfId="0" applyNumberFormat="1" applyFont="1" applyFill="1"/>
    <xf numFmtId="169" fontId="5" fillId="3" borderId="0" xfId="0" applyNumberFormat="1" applyFont="1" applyFill="1" applyAlignment="1">
      <alignment horizontal="left"/>
    </xf>
    <xf numFmtId="0" fontId="5" fillId="3" borderId="2" xfId="0" applyFont="1" applyFill="1" applyBorder="1"/>
    <xf numFmtId="0" fontId="5" fillId="3" borderId="16" xfId="0" applyFont="1" applyFill="1" applyBorder="1"/>
    <xf numFmtId="0" fontId="5" fillId="3" borderId="4" xfId="0" applyFont="1" applyFill="1" applyBorder="1"/>
    <xf numFmtId="0" fontId="5" fillId="3" borderId="4" xfId="0" applyFont="1" applyFill="1" applyBorder="1" applyAlignment="1">
      <alignment horizontal="left"/>
    </xf>
    <xf numFmtId="0" fontId="5" fillId="3" borderId="17" xfId="0" applyFont="1" applyFill="1" applyBorder="1"/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left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167" fontId="5" fillId="3" borderId="25" xfId="3" applyNumberFormat="1" applyFont="1" applyFill="1" applyBorder="1" applyAlignment="1" applyProtection="1">
      <alignment horizontal="center" vertical="center"/>
    </xf>
    <xf numFmtId="0" fontId="7" fillId="3" borderId="36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left" vertical="center" wrapText="1"/>
    </xf>
    <xf numFmtId="170" fontId="7" fillId="3" borderId="38" xfId="0" applyNumberFormat="1" applyFont="1" applyFill="1" applyBorder="1" applyAlignment="1">
      <alignment horizontal="center" vertical="center" wrapText="1"/>
    </xf>
    <xf numFmtId="0" fontId="15" fillId="3" borderId="39" xfId="0" applyFont="1" applyFill="1" applyBorder="1" applyAlignment="1">
      <alignment vertical="center"/>
    </xf>
    <xf numFmtId="0" fontId="15" fillId="3" borderId="40" xfId="0" applyFont="1" applyFill="1" applyBorder="1" applyAlignment="1">
      <alignment vertical="center"/>
    </xf>
    <xf numFmtId="0" fontId="15" fillId="3" borderId="0" xfId="0" applyFont="1" applyFill="1" applyAlignment="1">
      <alignment vertical="center" wrapText="1"/>
    </xf>
    <xf numFmtId="0" fontId="15" fillId="3" borderId="2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32" xfId="0" applyFont="1" applyFill="1" applyBorder="1" applyAlignment="1">
      <alignment horizontal="center" vertical="center" wrapText="1"/>
    </xf>
    <xf numFmtId="0" fontId="11" fillId="3" borderId="54" xfId="0" applyFont="1" applyFill="1" applyBorder="1"/>
    <xf numFmtId="0" fontId="5" fillId="3" borderId="55" xfId="0" applyFont="1" applyFill="1" applyBorder="1"/>
    <xf numFmtId="0" fontId="5" fillId="3" borderId="56" xfId="0" applyFont="1" applyFill="1" applyBorder="1"/>
    <xf numFmtId="0" fontId="5" fillId="4" borderId="44" xfId="0" applyFont="1" applyFill="1" applyBorder="1" applyAlignment="1">
      <alignment wrapText="1"/>
    </xf>
    <xf numFmtId="0" fontId="5" fillId="4" borderId="46" xfId="0" applyFont="1" applyFill="1" applyBorder="1" applyAlignment="1">
      <alignment wrapText="1"/>
    </xf>
    <xf numFmtId="0" fontId="5" fillId="4" borderId="59" xfId="0" applyFont="1" applyFill="1" applyBorder="1" applyAlignment="1">
      <alignment wrapText="1"/>
    </xf>
    <xf numFmtId="0" fontId="11" fillId="4" borderId="57" xfId="0" applyFont="1" applyFill="1" applyBorder="1" applyAlignment="1">
      <alignment wrapText="1"/>
    </xf>
    <xf numFmtId="0" fontId="5" fillId="4" borderId="58" xfId="0" applyFont="1" applyFill="1" applyBorder="1" applyAlignment="1">
      <alignment wrapText="1"/>
    </xf>
    <xf numFmtId="0" fontId="10" fillId="4" borderId="57" xfId="0" applyFont="1" applyFill="1" applyBorder="1" applyAlignment="1">
      <alignment wrapText="1"/>
    </xf>
    <xf numFmtId="0" fontId="5" fillId="4" borderId="61" xfId="0" applyFont="1" applyFill="1" applyBorder="1" applyAlignment="1">
      <alignment wrapText="1"/>
    </xf>
    <xf numFmtId="0" fontId="18" fillId="3" borderId="0" xfId="0" applyFont="1" applyFill="1"/>
    <xf numFmtId="0" fontId="19" fillId="3" borderId="0" xfId="0" applyFont="1" applyFill="1"/>
    <xf numFmtId="0" fontId="0" fillId="0" borderId="0" xfId="0" applyAlignment="1">
      <alignment wrapText="1"/>
    </xf>
    <xf numFmtId="0" fontId="20" fillId="4" borderId="0" xfId="0" applyFont="1" applyFill="1" applyAlignment="1">
      <alignment wrapText="1"/>
    </xf>
    <xf numFmtId="0" fontId="19" fillId="4" borderId="0" xfId="0" applyFont="1" applyFill="1" applyAlignment="1">
      <alignment wrapText="1"/>
    </xf>
    <xf numFmtId="0" fontId="5" fillId="4" borderId="60" xfId="0" applyFont="1" applyFill="1" applyBorder="1" applyAlignment="1">
      <alignment wrapText="1"/>
    </xf>
    <xf numFmtId="0" fontId="5" fillId="4" borderId="0" xfId="0" applyFont="1" applyFill="1" applyAlignment="1">
      <alignment wrapText="1"/>
    </xf>
    <xf numFmtId="170" fontId="6" fillId="3" borderId="64" xfId="0" applyNumberFormat="1" applyFont="1" applyFill="1" applyBorder="1" applyAlignment="1">
      <alignment horizontal="center" vertical="center"/>
    </xf>
    <xf numFmtId="0" fontId="9" fillId="3" borderId="63" xfId="0" applyFont="1" applyFill="1" applyBorder="1" applyAlignment="1">
      <alignment horizontal="center" vertical="center"/>
    </xf>
    <xf numFmtId="0" fontId="5" fillId="3" borderId="63" xfId="0" applyFont="1" applyFill="1" applyBorder="1" applyAlignment="1">
      <alignment vertical="center" wrapText="1"/>
    </xf>
    <xf numFmtId="49" fontId="5" fillId="3" borderId="63" xfId="0" applyNumberFormat="1" applyFont="1" applyFill="1" applyBorder="1" applyAlignment="1">
      <alignment vertical="center" wrapText="1"/>
    </xf>
    <xf numFmtId="49" fontId="5" fillId="3" borderId="63" xfId="0" applyNumberFormat="1" applyFont="1" applyFill="1" applyBorder="1" applyAlignment="1">
      <alignment horizontal="left" vertical="center"/>
    </xf>
    <xf numFmtId="49" fontId="5" fillId="3" borderId="63" xfId="0" applyNumberFormat="1" applyFont="1" applyFill="1" applyBorder="1" applyAlignment="1">
      <alignment horizontal="left" vertical="center" wrapText="1"/>
    </xf>
    <xf numFmtId="49" fontId="5" fillId="3" borderId="63" xfId="0" applyNumberFormat="1" applyFont="1" applyFill="1" applyBorder="1" applyAlignment="1">
      <alignment horizontal="center" vertical="center" wrapText="1"/>
    </xf>
    <xf numFmtId="49" fontId="5" fillId="3" borderId="63" xfId="0" applyNumberFormat="1" applyFont="1" applyFill="1" applyBorder="1" applyAlignment="1">
      <alignment vertical="center"/>
    </xf>
    <xf numFmtId="170" fontId="18" fillId="3" borderId="0" xfId="0" applyNumberFormat="1" applyFont="1" applyFill="1" applyAlignment="1">
      <alignment horizontal="center" vertical="center"/>
    </xf>
    <xf numFmtId="0" fontId="18" fillId="4" borderId="0" xfId="0" applyFont="1" applyFill="1" applyAlignment="1">
      <alignment wrapText="1"/>
    </xf>
    <xf numFmtId="164" fontId="9" fillId="0" borderId="63" xfId="1" applyNumberFormat="1" applyFont="1" applyBorder="1" applyAlignment="1">
      <alignment vertical="center"/>
    </xf>
    <xf numFmtId="171" fontId="18" fillId="3" borderId="0" xfId="0" applyNumberFormat="1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1" fontId="18" fillId="3" borderId="0" xfId="0" applyNumberFormat="1" applyFont="1" applyFill="1" applyAlignment="1">
      <alignment horizontal="center" vertical="center"/>
    </xf>
    <xf numFmtId="0" fontId="9" fillId="0" borderId="63" xfId="0" applyFont="1" applyBorder="1" applyAlignment="1" applyProtection="1">
      <alignment horizontal="center" vertical="center" wrapText="1"/>
      <protection locked="0"/>
    </xf>
    <xf numFmtId="170" fontId="9" fillId="0" borderId="63" xfId="0" applyNumberFormat="1" applyFont="1" applyBorder="1" applyAlignment="1" applyProtection="1">
      <alignment vertical="center" wrapText="1"/>
      <protection locked="0"/>
    </xf>
    <xf numFmtId="0" fontId="11" fillId="3" borderId="57" xfId="0" applyFont="1" applyFill="1" applyBorder="1" applyAlignment="1" applyProtection="1">
      <alignment horizontal="left" indent="3"/>
      <protection locked="0"/>
    </xf>
    <xf numFmtId="0" fontId="6" fillId="3" borderId="0" xfId="0" applyFont="1" applyFill="1" applyProtection="1">
      <protection locked="0"/>
    </xf>
    <xf numFmtId="0" fontId="5" fillId="3" borderId="0" xfId="0" applyFont="1" applyFill="1" applyProtection="1">
      <protection locked="0"/>
    </xf>
    <xf numFmtId="0" fontId="5" fillId="3" borderId="58" xfId="0" applyFont="1" applyFill="1" applyBorder="1" applyProtection="1">
      <protection locked="0"/>
    </xf>
    <xf numFmtId="0" fontId="10" fillId="3" borderId="57" xfId="0" applyFont="1" applyFill="1" applyBorder="1" applyAlignment="1" applyProtection="1">
      <alignment horizontal="left" indent="3"/>
      <protection locked="0"/>
    </xf>
    <xf numFmtId="0" fontId="5" fillId="3" borderId="0" xfId="0" applyFont="1" applyFill="1" applyAlignment="1" applyProtection="1">
      <alignment horizontal="left" vertical="center" wrapText="1"/>
      <protection locked="0"/>
    </xf>
    <xf numFmtId="0" fontId="5" fillId="3" borderId="58" xfId="0" applyFont="1" applyFill="1" applyBorder="1" applyAlignment="1" applyProtection="1">
      <alignment horizontal="left" vertical="center" wrapText="1"/>
      <protection locked="0"/>
    </xf>
    <xf numFmtId="0" fontId="5" fillId="3" borderId="0" xfId="0" applyFont="1" applyFill="1" applyAlignment="1" applyProtection="1">
      <alignment vertical="center" wrapText="1"/>
      <protection locked="0"/>
    </xf>
    <xf numFmtId="0" fontId="5" fillId="3" borderId="58" xfId="0" applyFont="1" applyFill="1" applyBorder="1" applyAlignment="1" applyProtection="1">
      <alignment vertical="center" wrapText="1"/>
      <protection locked="0"/>
    </xf>
    <xf numFmtId="0" fontId="5" fillId="3" borderId="0" xfId="0" applyFont="1" applyFill="1" applyAlignment="1" applyProtection="1">
      <alignment vertical="center"/>
      <protection locked="0"/>
    </xf>
    <xf numFmtId="0" fontId="5" fillId="3" borderId="0" xfId="0" applyFont="1" applyFill="1" applyAlignment="1" applyProtection="1">
      <alignment horizontal="left" vertical="center" wrapText="1"/>
      <protection locked="0"/>
    </xf>
    <xf numFmtId="0" fontId="5" fillId="3" borderId="58" xfId="0" applyFont="1" applyFill="1" applyBorder="1" applyAlignment="1" applyProtection="1">
      <alignment horizontal="left" vertical="center" wrapText="1"/>
      <protection locked="0"/>
    </xf>
    <xf numFmtId="0" fontId="20" fillId="4" borderId="0" xfId="0" applyFont="1" applyFill="1" applyAlignment="1">
      <alignment wrapText="1"/>
    </xf>
    <xf numFmtId="0" fontId="19" fillId="4" borderId="0" xfId="0" applyFont="1" applyFill="1" applyAlignment="1">
      <alignment wrapText="1"/>
    </xf>
    <xf numFmtId="0" fontId="11" fillId="3" borderId="57" xfId="0" applyFont="1" applyFill="1" applyBorder="1" applyAlignment="1" applyProtection="1">
      <alignment horizontal="left" indent="3"/>
      <protection locked="0"/>
    </xf>
    <xf numFmtId="0" fontId="11" fillId="3" borderId="0" xfId="0" applyFont="1" applyFill="1" applyAlignment="1" applyProtection="1">
      <alignment horizontal="left" indent="3"/>
      <protection locked="0"/>
    </xf>
    <xf numFmtId="0" fontId="11" fillId="4" borderId="57" xfId="0" applyFont="1" applyFill="1" applyBorder="1" applyAlignment="1">
      <alignment horizontal="left" wrapText="1"/>
    </xf>
    <xf numFmtId="0" fontId="11" fillId="4" borderId="0" xfId="0" applyFont="1" applyFill="1" applyAlignment="1">
      <alignment horizontal="left" wrapText="1"/>
    </xf>
    <xf numFmtId="0" fontId="11" fillId="4" borderId="58" xfId="0" applyFont="1" applyFill="1" applyBorder="1" applyAlignment="1">
      <alignment horizontal="left" wrapText="1"/>
    </xf>
    <xf numFmtId="0" fontId="5" fillId="4" borderId="60" xfId="0" applyFont="1" applyFill="1" applyBorder="1" applyAlignment="1">
      <alignment wrapText="1"/>
    </xf>
    <xf numFmtId="0" fontId="5" fillId="4" borderId="62" xfId="0" applyFont="1" applyFill="1" applyBorder="1" applyAlignment="1">
      <alignment wrapText="1"/>
    </xf>
    <xf numFmtId="0" fontId="5" fillId="4" borderId="0" xfId="0" applyFont="1" applyFill="1" applyAlignment="1">
      <alignment wrapText="1"/>
    </xf>
    <xf numFmtId="0" fontId="5" fillId="4" borderId="45" xfId="0" applyFont="1" applyFill="1" applyBorder="1" applyAlignment="1">
      <alignment wrapText="1"/>
    </xf>
    <xf numFmtId="0" fontId="11" fillId="4" borderId="41" xfId="0" applyFont="1" applyFill="1" applyBorder="1" applyAlignment="1">
      <alignment horizontal="left" wrapText="1"/>
    </xf>
    <xf numFmtId="0" fontId="11" fillId="4" borderId="42" xfId="0" applyFont="1" applyFill="1" applyBorder="1" applyAlignment="1">
      <alignment horizontal="left" wrapText="1"/>
    </xf>
    <xf numFmtId="0" fontId="11" fillId="4" borderId="43" xfId="0" applyFont="1" applyFill="1" applyBorder="1" applyAlignment="1">
      <alignment horizontal="left" wrapText="1"/>
    </xf>
    <xf numFmtId="0" fontId="6" fillId="4" borderId="0" xfId="0" applyFont="1" applyFill="1" applyAlignment="1">
      <alignment wrapText="1"/>
    </xf>
    <xf numFmtId="0" fontId="6" fillId="4" borderId="45" xfId="0" applyFont="1" applyFill="1" applyBorder="1" applyAlignment="1">
      <alignment wrapText="1"/>
    </xf>
    <xf numFmtId="0" fontId="6" fillId="4" borderId="47" xfId="0" applyFont="1" applyFill="1" applyBorder="1" applyAlignment="1">
      <alignment wrapText="1"/>
    </xf>
    <xf numFmtId="0" fontId="6" fillId="4" borderId="48" xfId="0" applyFont="1" applyFill="1" applyBorder="1" applyAlignment="1">
      <alignment wrapText="1"/>
    </xf>
    <xf numFmtId="0" fontId="11" fillId="4" borderId="44" xfId="0" applyFont="1" applyFill="1" applyBorder="1" applyAlignment="1">
      <alignment horizontal="left" wrapText="1"/>
    </xf>
    <xf numFmtId="0" fontId="11" fillId="4" borderId="45" xfId="0" applyFont="1" applyFill="1" applyBorder="1" applyAlignment="1">
      <alignment horizontal="left" wrapText="1"/>
    </xf>
    <xf numFmtId="0" fontId="5" fillId="4" borderId="47" xfId="0" applyFont="1" applyFill="1" applyBorder="1" applyAlignment="1">
      <alignment wrapText="1"/>
    </xf>
    <xf numFmtId="0" fontId="5" fillId="4" borderId="48" xfId="0" applyFont="1" applyFill="1" applyBorder="1" applyAlignment="1">
      <alignment wrapText="1"/>
    </xf>
    <xf numFmtId="0" fontId="7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wrapText="1" indent="1"/>
    </xf>
    <xf numFmtId="0" fontId="7" fillId="3" borderId="0" xfId="0" applyFont="1" applyFill="1" applyAlignment="1">
      <alignment horizontal="left" wrapText="1" indent="1"/>
    </xf>
    <xf numFmtId="0" fontId="12" fillId="3" borderId="0" xfId="0" applyFont="1" applyFill="1" applyAlignment="1">
      <alignment horizontal="center" vertical="center"/>
    </xf>
    <xf numFmtId="0" fontId="14" fillId="3" borderId="5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left" vertical="center" wrapText="1" indent="1"/>
    </xf>
    <xf numFmtId="0" fontId="14" fillId="3" borderId="7" xfId="0" applyFont="1" applyFill="1" applyBorder="1" applyAlignment="1">
      <alignment horizontal="left" vertical="center" wrapText="1"/>
    </xf>
    <xf numFmtId="168" fontId="13" fillId="3" borderId="6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 wrapText="1" indent="1"/>
    </xf>
    <xf numFmtId="0" fontId="13" fillId="3" borderId="34" xfId="0" applyFont="1" applyFill="1" applyBorder="1" applyAlignment="1">
      <alignment horizontal="left" vertical="center" wrapText="1" indent="1"/>
    </xf>
    <xf numFmtId="0" fontId="13" fillId="3" borderId="12" xfId="0" applyFont="1" applyFill="1" applyBorder="1" applyAlignment="1">
      <alignment horizontal="left" vertical="center" wrapText="1" indent="1"/>
    </xf>
    <xf numFmtId="0" fontId="15" fillId="3" borderId="8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left" vertical="center"/>
    </xf>
    <xf numFmtId="0" fontId="16" fillId="3" borderId="52" xfId="0" applyFont="1" applyFill="1" applyBorder="1" applyAlignment="1">
      <alignment horizontal="left" wrapText="1"/>
    </xf>
    <xf numFmtId="0" fontId="16" fillId="3" borderId="34" xfId="0" applyFont="1" applyFill="1" applyBorder="1" applyAlignment="1">
      <alignment horizontal="left" wrapText="1"/>
    </xf>
    <xf numFmtId="0" fontId="16" fillId="3" borderId="53" xfId="0" applyFont="1" applyFill="1" applyBorder="1" applyAlignment="1">
      <alignment horizontal="left" wrapText="1"/>
    </xf>
    <xf numFmtId="0" fontId="13" fillId="3" borderId="11" xfId="0" applyFont="1" applyFill="1" applyBorder="1" applyAlignment="1">
      <alignment horizontal="right" vertical="center" wrapText="1"/>
    </xf>
    <xf numFmtId="0" fontId="13" fillId="3" borderId="34" xfId="0" applyFont="1" applyFill="1" applyBorder="1" applyAlignment="1">
      <alignment horizontal="right" vertical="center" wrapText="1"/>
    </xf>
    <xf numFmtId="0" fontId="13" fillId="3" borderId="34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16" fillId="3" borderId="49" xfId="0" applyFont="1" applyFill="1" applyBorder="1" applyAlignment="1">
      <alignment horizontal="left" wrapText="1"/>
    </xf>
    <xf numFmtId="0" fontId="16" fillId="3" borderId="50" xfId="0" applyFont="1" applyFill="1" applyBorder="1" applyAlignment="1">
      <alignment horizontal="left" wrapText="1"/>
    </xf>
    <xf numFmtId="0" fontId="16" fillId="3" borderId="51" xfId="0" applyFont="1" applyFill="1" applyBorder="1" applyAlignment="1">
      <alignment horizontal="left" wrapText="1"/>
    </xf>
    <xf numFmtId="0" fontId="5" fillId="3" borderId="11" xfId="0" applyFont="1" applyFill="1" applyBorder="1" applyAlignment="1">
      <alignment horizontal="center"/>
    </xf>
    <xf numFmtId="3" fontId="15" fillId="3" borderId="12" xfId="0" applyNumberFormat="1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/>
    <xf numFmtId="0" fontId="17" fillId="3" borderId="3" xfId="0" applyFont="1" applyFill="1" applyBorder="1" applyAlignment="1">
      <alignment horizontal="left" indent="1"/>
    </xf>
    <xf numFmtId="0" fontId="5" fillId="3" borderId="5" xfId="0" applyFont="1" applyFill="1" applyBorder="1" applyAlignment="1">
      <alignment horizontal="left" vertical="center" wrapText="1"/>
    </xf>
    <xf numFmtId="0" fontId="5" fillId="3" borderId="27" xfId="0" applyFont="1" applyFill="1" applyBorder="1" applyAlignment="1">
      <alignment horizontal="left" vertical="center" wrapText="1"/>
    </xf>
    <xf numFmtId="0" fontId="5" fillId="3" borderId="28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/>
    </xf>
    <xf numFmtId="0" fontId="17" fillId="3" borderId="14" xfId="0" applyFont="1" applyFill="1" applyBorder="1"/>
    <xf numFmtId="0" fontId="17" fillId="3" borderId="15" xfId="0" applyFont="1" applyFill="1" applyBorder="1" applyAlignment="1">
      <alignment horizontal="left" vertical="center" wrapText="1" indent="1"/>
    </xf>
    <xf numFmtId="0" fontId="6" fillId="3" borderId="1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left" vertical="center" wrapText="1"/>
    </xf>
    <xf numFmtId="0" fontId="5" fillId="3" borderId="29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vertical="center" wrapText="1"/>
    </xf>
    <xf numFmtId="0" fontId="0" fillId="0" borderId="34" xfId="0" applyBorder="1"/>
    <xf numFmtId="0" fontId="0" fillId="0" borderId="12" xfId="0" applyBorder="1"/>
    <xf numFmtId="0" fontId="17" fillId="3" borderId="35" xfId="0" applyFont="1" applyFill="1" applyBorder="1" applyAlignment="1">
      <alignment vertical="center" wrapText="1"/>
    </xf>
    <xf numFmtId="0" fontId="17" fillId="3" borderId="30" xfId="0" applyFont="1" applyFill="1" applyBorder="1" applyAlignment="1">
      <alignment vertical="center" wrapText="1"/>
    </xf>
    <xf numFmtId="0" fontId="17" fillId="3" borderId="18" xfId="0" applyFont="1" applyFill="1" applyBorder="1" applyAlignment="1">
      <alignment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0" fillId="0" borderId="0" xfId="0"/>
    <xf numFmtId="0" fontId="0" fillId="0" borderId="2" xfId="0" applyBorder="1"/>
    <xf numFmtId="0" fontId="0" fillId="0" borderId="16" xfId="0" applyBorder="1"/>
    <xf numFmtId="0" fontId="0" fillId="0" borderId="4" xfId="0" applyBorder="1"/>
    <xf numFmtId="0" fontId="0" fillId="0" borderId="17" xfId="0" applyBorder="1"/>
    <xf numFmtId="0" fontId="5" fillId="3" borderId="0" xfId="0" applyFont="1" applyFill="1" applyAlignment="1">
      <alignment horizontal="left"/>
    </xf>
    <xf numFmtId="0" fontId="5" fillId="3" borderId="2" xfId="0" applyFont="1" applyFill="1" applyBorder="1" applyAlignment="1">
      <alignment horizontal="left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"/>
  <sheetViews>
    <sheetView tabSelected="1" view="pageBreakPreview" topLeftCell="A30" zoomScale="70" zoomScaleNormal="70" zoomScaleSheetLayoutView="70" workbookViewId="0">
      <selection activeCell="E42" sqref="E42"/>
    </sheetView>
  </sheetViews>
  <sheetFormatPr baseColWidth="10" defaultColWidth="11" defaultRowHeight="12.5" x14ac:dyDescent="0.25"/>
  <cols>
    <col min="1" max="1" width="7.1796875" style="1" customWidth="1"/>
    <col min="2" max="2" width="21" style="1" customWidth="1"/>
    <col min="3" max="3" width="29" style="1" customWidth="1"/>
    <col min="4" max="4" width="8.453125" style="3" customWidth="1"/>
    <col min="5" max="5" width="103.1796875" style="8" customWidth="1"/>
    <col min="6" max="6" width="11" style="1"/>
    <col min="7" max="7" width="12.7265625" style="1" customWidth="1"/>
    <col min="8" max="8" width="15.453125" style="1" customWidth="1"/>
    <col min="9" max="9" width="18.54296875" style="2" customWidth="1"/>
    <col min="10" max="10" width="16.26953125" style="60" bestFit="1" customWidth="1"/>
    <col min="11" max="11" width="15.81640625" style="3" bestFit="1" customWidth="1"/>
    <col min="12" max="16384" width="11" style="3"/>
  </cols>
  <sheetData>
    <row r="1" spans="1:18" x14ac:dyDescent="0.25">
      <c r="K1" s="61"/>
      <c r="L1" s="61"/>
    </row>
    <row r="2" spans="1:18" x14ac:dyDescent="0.25">
      <c r="B2" s="118" t="s">
        <v>0</v>
      </c>
      <c r="C2" s="118"/>
      <c r="D2" s="118"/>
      <c r="E2" s="118"/>
      <c r="F2" s="118"/>
      <c r="G2" s="118"/>
      <c r="H2" s="118"/>
      <c r="K2" s="61"/>
      <c r="L2" s="61"/>
    </row>
    <row r="3" spans="1:18" x14ac:dyDescent="0.25">
      <c r="K3" s="61"/>
      <c r="L3" s="61"/>
    </row>
    <row r="4" spans="1:18" ht="18" customHeight="1" x14ac:dyDescent="0.25">
      <c r="A4" s="117" t="s">
        <v>1</v>
      </c>
      <c r="B4" s="117"/>
      <c r="C4" s="119" t="s">
        <v>2</v>
      </c>
      <c r="D4" s="119"/>
      <c r="E4" s="119"/>
      <c r="F4" s="4"/>
      <c r="G4" s="4"/>
      <c r="H4" s="4"/>
      <c r="K4" s="61"/>
      <c r="L4" s="61"/>
    </row>
    <row r="5" spans="1:18" ht="18" customHeight="1" x14ac:dyDescent="0.25">
      <c r="A5" s="117" t="s">
        <v>3</v>
      </c>
      <c r="B5" s="117"/>
      <c r="C5" s="120" t="s">
        <v>4</v>
      </c>
      <c r="D5" s="120"/>
      <c r="E5" s="120"/>
      <c r="F5" s="4"/>
      <c r="G5" s="4"/>
      <c r="H5" s="4"/>
      <c r="K5" s="61"/>
      <c r="L5" s="61"/>
    </row>
    <row r="6" spans="1:18" ht="16.5" customHeight="1" x14ac:dyDescent="0.25">
      <c r="A6" s="117" t="s">
        <v>5</v>
      </c>
      <c r="B6" s="117"/>
      <c r="C6" s="5">
        <v>2022</v>
      </c>
      <c r="D6" s="6"/>
      <c r="E6" s="6"/>
      <c r="F6" s="4"/>
      <c r="G6" s="4"/>
      <c r="H6" s="4"/>
      <c r="K6" s="61"/>
      <c r="L6" s="61"/>
    </row>
    <row r="7" spans="1:18" ht="16.5" customHeight="1" x14ac:dyDescent="0.25">
      <c r="A7" s="117" t="s">
        <v>6</v>
      </c>
      <c r="B7" s="117"/>
      <c r="C7" s="5">
        <v>4</v>
      </c>
      <c r="D7" s="6"/>
      <c r="E7" s="6"/>
      <c r="F7" s="4"/>
      <c r="G7" s="4"/>
      <c r="H7" s="4"/>
      <c r="K7" s="61"/>
      <c r="L7" s="61"/>
    </row>
    <row r="8" spans="1:18" ht="13" thickBot="1" x14ac:dyDescent="0.3">
      <c r="B8" s="4"/>
      <c r="C8" s="4"/>
      <c r="D8" s="7"/>
      <c r="E8" s="7"/>
      <c r="F8" s="4"/>
      <c r="G8" s="4"/>
      <c r="H8" s="4"/>
      <c r="K8" s="61"/>
      <c r="L8" s="61"/>
    </row>
    <row r="9" spans="1:18" ht="37.5" x14ac:dyDescent="0.25">
      <c r="A9" s="39" t="s">
        <v>7</v>
      </c>
      <c r="B9" s="40" t="s">
        <v>8</v>
      </c>
      <c r="C9" s="40" t="s">
        <v>9</v>
      </c>
      <c r="D9" s="40" t="s">
        <v>10</v>
      </c>
      <c r="E9" s="41" t="s">
        <v>11</v>
      </c>
      <c r="F9" s="40" t="s">
        <v>12</v>
      </c>
      <c r="G9" s="40" t="s">
        <v>13</v>
      </c>
      <c r="H9" s="40" t="s">
        <v>14</v>
      </c>
      <c r="I9" s="42" t="s">
        <v>15</v>
      </c>
      <c r="J9" s="61"/>
      <c r="K9" s="61"/>
      <c r="L9" s="61"/>
    </row>
    <row r="10" spans="1:18" ht="25" x14ac:dyDescent="0.25">
      <c r="A10" s="68">
        <v>1</v>
      </c>
      <c r="B10" s="69" t="s">
        <v>119</v>
      </c>
      <c r="C10" s="70" t="s">
        <v>16</v>
      </c>
      <c r="D10" s="71" t="s">
        <v>17</v>
      </c>
      <c r="E10" s="72" t="s">
        <v>120</v>
      </c>
      <c r="F10" s="73" t="s">
        <v>18</v>
      </c>
      <c r="G10" s="81">
        <v>32000</v>
      </c>
      <c r="H10" s="82">
        <v>190</v>
      </c>
      <c r="I10" s="77">
        <f t="shared" ref="I10:I30" si="0">H10*G10</f>
        <v>6080000</v>
      </c>
      <c r="J10" s="75">
        <f>SUM(I10:I11)</f>
        <v>21830000</v>
      </c>
      <c r="K10" s="78">
        <f>J10/2</f>
        <v>10915000</v>
      </c>
      <c r="L10" s="61"/>
      <c r="M10" s="61"/>
      <c r="N10" s="61"/>
      <c r="O10" s="61"/>
      <c r="P10" s="61"/>
      <c r="Q10" s="61"/>
      <c r="R10" s="61"/>
    </row>
    <row r="11" spans="1:18" ht="25" x14ac:dyDescent="0.25">
      <c r="A11" s="68">
        <v>2</v>
      </c>
      <c r="B11" s="69" t="s">
        <v>19</v>
      </c>
      <c r="C11" s="70" t="s">
        <v>16</v>
      </c>
      <c r="D11" s="74" t="s">
        <v>17</v>
      </c>
      <c r="E11" s="72" t="s">
        <v>20</v>
      </c>
      <c r="F11" s="73" t="s">
        <v>18</v>
      </c>
      <c r="G11" s="81">
        <v>70000</v>
      </c>
      <c r="H11" s="82">
        <v>225</v>
      </c>
      <c r="I11" s="77">
        <f t="shared" si="0"/>
        <v>15750000</v>
      </c>
      <c r="J11" s="80">
        <f>+G10/2</f>
        <v>16000</v>
      </c>
      <c r="K11" s="80">
        <f>+G11/2</f>
        <v>35000</v>
      </c>
      <c r="L11" s="61"/>
      <c r="M11" s="61"/>
      <c r="N11" s="61"/>
      <c r="O11" s="61"/>
      <c r="P11" s="61"/>
      <c r="Q11" s="61"/>
      <c r="R11" s="61"/>
    </row>
    <row r="12" spans="1:18" ht="25" x14ac:dyDescent="0.25">
      <c r="A12" s="68">
        <v>3</v>
      </c>
      <c r="B12" s="69" t="s">
        <v>119</v>
      </c>
      <c r="C12" s="70" t="s">
        <v>16</v>
      </c>
      <c r="D12" s="71" t="s">
        <v>17</v>
      </c>
      <c r="E12" s="72" t="s">
        <v>120</v>
      </c>
      <c r="F12" s="73" t="s">
        <v>18</v>
      </c>
      <c r="G12" s="81">
        <v>12000</v>
      </c>
      <c r="H12" s="82">
        <v>192</v>
      </c>
      <c r="I12" s="77">
        <f t="shared" si="0"/>
        <v>2304000</v>
      </c>
      <c r="J12" s="75">
        <f>SUM(I12:I13)</f>
        <v>6163000</v>
      </c>
      <c r="K12" s="79"/>
      <c r="L12" s="61"/>
      <c r="M12" s="61"/>
      <c r="N12" s="61"/>
      <c r="O12" s="61"/>
      <c r="P12" s="61"/>
      <c r="Q12" s="61"/>
      <c r="R12" s="61"/>
    </row>
    <row r="13" spans="1:18" ht="25" x14ac:dyDescent="0.25">
      <c r="A13" s="68">
        <v>4</v>
      </c>
      <c r="B13" s="69" t="s">
        <v>21</v>
      </c>
      <c r="C13" s="70" t="s">
        <v>16</v>
      </c>
      <c r="D13" s="74" t="s">
        <v>17</v>
      </c>
      <c r="E13" s="72" t="s">
        <v>22</v>
      </c>
      <c r="F13" s="73" t="s">
        <v>18</v>
      </c>
      <c r="G13" s="81">
        <v>17000</v>
      </c>
      <c r="H13" s="82">
        <v>227</v>
      </c>
      <c r="I13" s="77">
        <f t="shared" si="0"/>
        <v>3859000</v>
      </c>
      <c r="J13" s="75"/>
      <c r="K13" s="79"/>
      <c r="L13" s="61"/>
      <c r="M13" s="61"/>
      <c r="N13" s="61"/>
      <c r="O13" s="61"/>
      <c r="P13" s="61"/>
      <c r="Q13" s="61"/>
      <c r="R13" s="61"/>
    </row>
    <row r="14" spans="1:18" ht="25" x14ac:dyDescent="0.25">
      <c r="A14" s="68">
        <v>5</v>
      </c>
      <c r="B14" s="69" t="s">
        <v>119</v>
      </c>
      <c r="C14" s="70" t="s">
        <v>16</v>
      </c>
      <c r="D14" s="71" t="s">
        <v>17</v>
      </c>
      <c r="E14" s="72" t="s">
        <v>120</v>
      </c>
      <c r="F14" s="73" t="s">
        <v>18</v>
      </c>
      <c r="G14" s="81">
        <v>12000</v>
      </c>
      <c r="H14" s="82">
        <v>192</v>
      </c>
      <c r="I14" s="77">
        <f t="shared" si="0"/>
        <v>2304000</v>
      </c>
      <c r="J14" s="75">
        <f>SUM(I14:I15)</f>
        <v>6163000</v>
      </c>
      <c r="K14" s="79"/>
      <c r="L14" s="61"/>
      <c r="M14" s="61"/>
      <c r="N14" s="61"/>
      <c r="O14" s="61"/>
      <c r="P14" s="61"/>
      <c r="Q14" s="61"/>
      <c r="R14" s="61"/>
    </row>
    <row r="15" spans="1:18" ht="25" x14ac:dyDescent="0.25">
      <c r="A15" s="68">
        <v>6</v>
      </c>
      <c r="B15" s="69" t="s">
        <v>23</v>
      </c>
      <c r="C15" s="70" t="s">
        <v>16</v>
      </c>
      <c r="D15" s="74" t="s">
        <v>17</v>
      </c>
      <c r="E15" s="72" t="s">
        <v>24</v>
      </c>
      <c r="F15" s="73" t="s">
        <v>18</v>
      </c>
      <c r="G15" s="81">
        <v>17000</v>
      </c>
      <c r="H15" s="82">
        <v>227</v>
      </c>
      <c r="I15" s="77">
        <f t="shared" si="0"/>
        <v>3859000</v>
      </c>
      <c r="J15" s="75"/>
      <c r="K15" s="79"/>
      <c r="L15" s="61"/>
      <c r="M15" s="61"/>
      <c r="N15" s="61"/>
      <c r="O15" s="61"/>
      <c r="P15" s="61"/>
      <c r="Q15" s="61"/>
      <c r="R15" s="61"/>
    </row>
    <row r="16" spans="1:18" ht="25" x14ac:dyDescent="0.25">
      <c r="A16" s="68">
        <v>7</v>
      </c>
      <c r="B16" s="69" t="s">
        <v>119</v>
      </c>
      <c r="C16" s="70" t="s">
        <v>16</v>
      </c>
      <c r="D16" s="71" t="s">
        <v>17</v>
      </c>
      <c r="E16" s="72" t="s">
        <v>120</v>
      </c>
      <c r="F16" s="73" t="s">
        <v>18</v>
      </c>
      <c r="G16" s="81">
        <v>12000</v>
      </c>
      <c r="H16" s="82">
        <v>192</v>
      </c>
      <c r="I16" s="77">
        <f t="shared" si="0"/>
        <v>2304000</v>
      </c>
      <c r="J16" s="75">
        <f>SUM(I16:I17)</f>
        <v>6163000</v>
      </c>
      <c r="K16" s="79"/>
      <c r="L16" s="61"/>
      <c r="M16" s="61"/>
      <c r="N16" s="61"/>
      <c r="O16" s="61"/>
      <c r="P16" s="61"/>
      <c r="Q16" s="61"/>
      <c r="R16" s="61"/>
    </row>
    <row r="17" spans="1:18" ht="25" x14ac:dyDescent="0.25">
      <c r="A17" s="68">
        <v>8</v>
      </c>
      <c r="B17" s="69" t="s">
        <v>25</v>
      </c>
      <c r="C17" s="70" t="s">
        <v>16</v>
      </c>
      <c r="D17" s="74" t="s">
        <v>17</v>
      </c>
      <c r="E17" s="72" t="s">
        <v>26</v>
      </c>
      <c r="F17" s="73" t="s">
        <v>18</v>
      </c>
      <c r="G17" s="81">
        <v>17000</v>
      </c>
      <c r="H17" s="82">
        <v>227</v>
      </c>
      <c r="I17" s="77">
        <f t="shared" si="0"/>
        <v>3859000</v>
      </c>
      <c r="J17" s="75"/>
      <c r="K17" s="79"/>
      <c r="L17" s="61"/>
      <c r="M17" s="61"/>
      <c r="N17" s="61"/>
      <c r="O17" s="61"/>
      <c r="P17" s="61"/>
      <c r="Q17" s="61"/>
      <c r="R17" s="61"/>
    </row>
    <row r="18" spans="1:18" ht="25" x14ac:dyDescent="0.25">
      <c r="A18" s="68">
        <v>9</v>
      </c>
      <c r="B18" s="69" t="s">
        <v>119</v>
      </c>
      <c r="C18" s="70" t="s">
        <v>16</v>
      </c>
      <c r="D18" s="71" t="s">
        <v>17</v>
      </c>
      <c r="E18" s="72" t="s">
        <v>120</v>
      </c>
      <c r="F18" s="73" t="s">
        <v>18</v>
      </c>
      <c r="G18" s="81">
        <v>12000</v>
      </c>
      <c r="H18" s="82">
        <v>192</v>
      </c>
      <c r="I18" s="77">
        <f t="shared" si="0"/>
        <v>2304000</v>
      </c>
      <c r="J18" s="75">
        <f>SUM(I18:I19)</f>
        <v>6163000</v>
      </c>
      <c r="K18" s="79"/>
      <c r="L18" s="61"/>
      <c r="M18" s="61"/>
      <c r="N18" s="61"/>
      <c r="O18" s="61"/>
      <c r="P18" s="61"/>
      <c r="Q18" s="61"/>
      <c r="R18" s="61"/>
    </row>
    <row r="19" spans="1:18" ht="25" x14ac:dyDescent="0.25">
      <c r="A19" s="68">
        <v>10</v>
      </c>
      <c r="B19" s="69" t="s">
        <v>27</v>
      </c>
      <c r="C19" s="70" t="s">
        <v>16</v>
      </c>
      <c r="D19" s="74" t="s">
        <v>17</v>
      </c>
      <c r="E19" s="72" t="s">
        <v>28</v>
      </c>
      <c r="F19" s="73" t="s">
        <v>18</v>
      </c>
      <c r="G19" s="81">
        <v>17000</v>
      </c>
      <c r="H19" s="82">
        <v>227</v>
      </c>
      <c r="I19" s="77">
        <f t="shared" si="0"/>
        <v>3859000</v>
      </c>
      <c r="J19" s="75"/>
      <c r="K19" s="79"/>
      <c r="L19" s="61"/>
      <c r="M19" s="61"/>
      <c r="N19" s="61"/>
      <c r="O19" s="61"/>
      <c r="P19" s="61"/>
      <c r="Q19" s="61"/>
      <c r="R19" s="61"/>
    </row>
    <row r="20" spans="1:18" ht="25" x14ac:dyDescent="0.25">
      <c r="A20" s="68">
        <v>11</v>
      </c>
      <c r="B20" s="69" t="s">
        <v>119</v>
      </c>
      <c r="C20" s="70" t="s">
        <v>16</v>
      </c>
      <c r="D20" s="71" t="s">
        <v>17</v>
      </c>
      <c r="E20" s="72" t="s">
        <v>120</v>
      </c>
      <c r="F20" s="73" t="s">
        <v>18</v>
      </c>
      <c r="G20" s="81">
        <v>12000</v>
      </c>
      <c r="H20" s="82">
        <v>192</v>
      </c>
      <c r="I20" s="77">
        <f t="shared" si="0"/>
        <v>2304000</v>
      </c>
      <c r="J20" s="75">
        <f>SUM(I20:I21)</f>
        <v>6163000</v>
      </c>
      <c r="K20" s="79"/>
      <c r="L20" s="61"/>
      <c r="M20" s="61"/>
      <c r="N20" s="61"/>
      <c r="O20" s="61"/>
      <c r="P20" s="61"/>
      <c r="Q20" s="61"/>
      <c r="R20" s="61"/>
    </row>
    <row r="21" spans="1:18" ht="25" x14ac:dyDescent="0.25">
      <c r="A21" s="68">
        <v>12</v>
      </c>
      <c r="B21" s="69" t="s">
        <v>29</v>
      </c>
      <c r="C21" s="70" t="s">
        <v>16</v>
      </c>
      <c r="D21" s="74" t="s">
        <v>17</v>
      </c>
      <c r="E21" s="72" t="s">
        <v>30</v>
      </c>
      <c r="F21" s="73" t="s">
        <v>18</v>
      </c>
      <c r="G21" s="81">
        <v>17000</v>
      </c>
      <c r="H21" s="82">
        <v>227</v>
      </c>
      <c r="I21" s="77">
        <f t="shared" si="0"/>
        <v>3859000</v>
      </c>
      <c r="J21" s="75"/>
      <c r="K21" s="79"/>
      <c r="L21" s="61"/>
      <c r="M21" s="61"/>
      <c r="N21" s="61"/>
      <c r="O21" s="61"/>
      <c r="P21" s="61"/>
      <c r="Q21" s="61"/>
      <c r="R21" s="61"/>
    </row>
    <row r="22" spans="1:18" ht="25" x14ac:dyDescent="0.25">
      <c r="A22" s="68">
        <v>13</v>
      </c>
      <c r="B22" s="69" t="s">
        <v>119</v>
      </c>
      <c r="C22" s="70" t="s">
        <v>16</v>
      </c>
      <c r="D22" s="71" t="s">
        <v>17</v>
      </c>
      <c r="E22" s="72" t="s">
        <v>120</v>
      </c>
      <c r="F22" s="73" t="s">
        <v>18</v>
      </c>
      <c r="G22" s="81">
        <v>12000</v>
      </c>
      <c r="H22" s="82">
        <v>192</v>
      </c>
      <c r="I22" s="77">
        <f t="shared" si="0"/>
        <v>2304000</v>
      </c>
      <c r="J22" s="75">
        <f>SUM(I22:I23)</f>
        <v>6163000</v>
      </c>
      <c r="K22" s="79"/>
      <c r="L22" s="61"/>
      <c r="M22" s="61"/>
      <c r="N22" s="61"/>
      <c r="O22" s="61"/>
      <c r="P22" s="61"/>
      <c r="Q22" s="61"/>
      <c r="R22" s="61"/>
    </row>
    <row r="23" spans="1:18" ht="25" x14ac:dyDescent="0.25">
      <c r="A23" s="68">
        <v>14</v>
      </c>
      <c r="B23" s="69" t="s">
        <v>31</v>
      </c>
      <c r="C23" s="70" t="s">
        <v>16</v>
      </c>
      <c r="D23" s="74" t="s">
        <v>17</v>
      </c>
      <c r="E23" s="72" t="s">
        <v>32</v>
      </c>
      <c r="F23" s="73" t="s">
        <v>18</v>
      </c>
      <c r="G23" s="81">
        <v>17000</v>
      </c>
      <c r="H23" s="82">
        <v>227</v>
      </c>
      <c r="I23" s="77">
        <f t="shared" si="0"/>
        <v>3859000</v>
      </c>
      <c r="J23" s="75"/>
      <c r="K23" s="79"/>
      <c r="L23" s="61"/>
      <c r="M23" s="61"/>
      <c r="N23" s="61"/>
      <c r="O23" s="61"/>
      <c r="P23" s="61"/>
      <c r="Q23" s="61"/>
      <c r="R23" s="61"/>
    </row>
    <row r="24" spans="1:18" ht="25" x14ac:dyDescent="0.25">
      <c r="A24" s="68">
        <v>15</v>
      </c>
      <c r="B24" s="69" t="s">
        <v>119</v>
      </c>
      <c r="C24" s="70" t="s">
        <v>16</v>
      </c>
      <c r="D24" s="71" t="s">
        <v>17</v>
      </c>
      <c r="E24" s="72" t="s">
        <v>120</v>
      </c>
      <c r="F24" s="73" t="s">
        <v>18</v>
      </c>
      <c r="G24" s="81">
        <v>12000</v>
      </c>
      <c r="H24" s="82">
        <v>192</v>
      </c>
      <c r="I24" s="77">
        <f t="shared" si="0"/>
        <v>2304000</v>
      </c>
      <c r="J24" s="75">
        <f>SUM(I24:I25)</f>
        <v>6163000</v>
      </c>
      <c r="K24" s="79"/>
      <c r="L24" s="61"/>
      <c r="M24" s="61"/>
      <c r="N24" s="61"/>
      <c r="O24" s="61"/>
      <c r="P24" s="61"/>
      <c r="Q24" s="61"/>
      <c r="R24" s="61"/>
    </row>
    <row r="25" spans="1:18" ht="25" x14ac:dyDescent="0.25">
      <c r="A25" s="68">
        <v>16</v>
      </c>
      <c r="B25" s="69" t="s">
        <v>33</v>
      </c>
      <c r="C25" s="70" t="s">
        <v>16</v>
      </c>
      <c r="D25" s="74" t="s">
        <v>17</v>
      </c>
      <c r="E25" s="72" t="s">
        <v>34</v>
      </c>
      <c r="F25" s="73" t="s">
        <v>18</v>
      </c>
      <c r="G25" s="81">
        <v>17000</v>
      </c>
      <c r="H25" s="82">
        <v>227</v>
      </c>
      <c r="I25" s="77">
        <f t="shared" si="0"/>
        <v>3859000</v>
      </c>
      <c r="J25" s="75"/>
      <c r="K25" s="79"/>
      <c r="L25" s="61"/>
      <c r="M25" s="61"/>
      <c r="N25" s="61"/>
      <c r="O25" s="61"/>
      <c r="P25" s="61"/>
      <c r="Q25" s="61"/>
      <c r="R25" s="61"/>
    </row>
    <row r="26" spans="1:18" ht="18" customHeight="1" x14ac:dyDescent="0.25">
      <c r="A26" s="68">
        <v>17</v>
      </c>
      <c r="B26" s="69" t="s">
        <v>116</v>
      </c>
      <c r="C26" s="70" t="s">
        <v>16</v>
      </c>
      <c r="D26" s="74" t="s">
        <v>17</v>
      </c>
      <c r="E26" s="72" t="s">
        <v>117</v>
      </c>
      <c r="F26" s="73" t="s">
        <v>35</v>
      </c>
      <c r="G26" s="81">
        <v>2</v>
      </c>
      <c r="H26" s="82">
        <v>200000</v>
      </c>
      <c r="I26" s="77">
        <f t="shared" si="0"/>
        <v>400000</v>
      </c>
      <c r="J26" s="75">
        <f>SUM(I26:I31)</f>
        <v>4988290</v>
      </c>
      <c r="K26" s="60"/>
      <c r="L26" s="61"/>
      <c r="M26" s="61"/>
      <c r="N26" s="61"/>
      <c r="O26" s="61"/>
      <c r="P26" s="61"/>
      <c r="Q26" s="61"/>
      <c r="R26" s="61"/>
    </row>
    <row r="27" spans="1:18" ht="25" x14ac:dyDescent="0.25">
      <c r="A27" s="68">
        <v>18</v>
      </c>
      <c r="B27" s="69" t="s">
        <v>113</v>
      </c>
      <c r="C27" s="70" t="s">
        <v>16</v>
      </c>
      <c r="D27" s="74" t="s">
        <v>17</v>
      </c>
      <c r="E27" s="72" t="s">
        <v>114</v>
      </c>
      <c r="F27" s="73" t="s">
        <v>35</v>
      </c>
      <c r="G27" s="81">
        <v>5</v>
      </c>
      <c r="H27" s="82">
        <v>504378</v>
      </c>
      <c r="I27" s="77">
        <f t="shared" si="0"/>
        <v>2521890</v>
      </c>
      <c r="J27" s="75"/>
      <c r="K27" s="60"/>
      <c r="L27" s="61"/>
      <c r="M27" s="61"/>
      <c r="N27" s="61"/>
      <c r="O27" s="61"/>
      <c r="P27" s="61"/>
      <c r="Q27" s="61"/>
      <c r="R27" s="61"/>
    </row>
    <row r="28" spans="1:18" ht="29.25" customHeight="1" x14ac:dyDescent="0.25">
      <c r="A28" s="68">
        <v>19</v>
      </c>
      <c r="B28" s="69" t="s">
        <v>111</v>
      </c>
      <c r="C28" s="70" t="s">
        <v>16</v>
      </c>
      <c r="D28" s="74" t="s">
        <v>17</v>
      </c>
      <c r="E28" s="72" t="s">
        <v>110</v>
      </c>
      <c r="F28" s="73" t="s">
        <v>35</v>
      </c>
      <c r="G28" s="81">
        <v>2</v>
      </c>
      <c r="H28" s="82">
        <v>282000</v>
      </c>
      <c r="I28" s="77">
        <f t="shared" si="0"/>
        <v>564000</v>
      </c>
      <c r="J28" s="75"/>
      <c r="K28" s="60"/>
      <c r="L28" s="61"/>
      <c r="M28" s="61"/>
      <c r="N28" s="61"/>
      <c r="O28" s="61"/>
      <c r="P28" s="61"/>
      <c r="Q28" s="61"/>
      <c r="R28" s="61"/>
    </row>
    <row r="29" spans="1:18" ht="30.75" customHeight="1" x14ac:dyDescent="0.25">
      <c r="A29" s="68">
        <v>20</v>
      </c>
      <c r="B29" s="69" t="s">
        <v>109</v>
      </c>
      <c r="C29" s="70" t="s">
        <v>16</v>
      </c>
      <c r="D29" s="74" t="s">
        <v>17</v>
      </c>
      <c r="E29" s="72" t="s">
        <v>106</v>
      </c>
      <c r="F29" s="73" t="s">
        <v>35</v>
      </c>
      <c r="G29" s="81">
        <v>2</v>
      </c>
      <c r="H29" s="82">
        <v>495600</v>
      </c>
      <c r="I29" s="77">
        <f t="shared" ref="I29" si="1">H29*G29</f>
        <v>991200</v>
      </c>
      <c r="J29" s="75"/>
      <c r="K29" s="60"/>
      <c r="L29" s="61"/>
      <c r="M29" s="61"/>
      <c r="N29" s="61"/>
      <c r="O29" s="61"/>
      <c r="P29" s="61"/>
      <c r="Q29" s="61"/>
      <c r="R29" s="61"/>
    </row>
    <row r="30" spans="1:18" ht="30" customHeight="1" x14ac:dyDescent="0.25">
      <c r="A30" s="68">
        <v>21</v>
      </c>
      <c r="B30" s="69" t="s">
        <v>36</v>
      </c>
      <c r="C30" s="70" t="s">
        <v>16</v>
      </c>
      <c r="D30" s="74" t="s">
        <v>17</v>
      </c>
      <c r="E30" s="72" t="s">
        <v>37</v>
      </c>
      <c r="F30" s="73" t="s">
        <v>35</v>
      </c>
      <c r="G30" s="81">
        <v>2</v>
      </c>
      <c r="H30" s="82">
        <v>252408</v>
      </c>
      <c r="I30" s="77">
        <f t="shared" si="0"/>
        <v>504816</v>
      </c>
      <c r="J30" s="75"/>
      <c r="K30" s="60"/>
      <c r="L30" s="61"/>
      <c r="M30" s="61"/>
      <c r="N30" s="61"/>
      <c r="O30" s="61"/>
      <c r="P30" s="61"/>
      <c r="Q30" s="61"/>
      <c r="R30" s="61"/>
    </row>
    <row r="31" spans="1:18" ht="33.75" customHeight="1" x14ac:dyDescent="0.25">
      <c r="A31" s="68">
        <v>22</v>
      </c>
      <c r="B31" s="69" t="s">
        <v>38</v>
      </c>
      <c r="C31" s="70" t="s">
        <v>16</v>
      </c>
      <c r="D31" s="74" t="s">
        <v>17</v>
      </c>
      <c r="E31" s="72" t="s">
        <v>39</v>
      </c>
      <c r="F31" s="73" t="s">
        <v>35</v>
      </c>
      <c r="G31" s="81">
        <v>20</v>
      </c>
      <c r="H31" s="82">
        <v>319.2</v>
      </c>
      <c r="I31" s="77">
        <f t="shared" ref="I31" si="2">H31*G31</f>
        <v>6384</v>
      </c>
      <c r="J31" s="75"/>
      <c r="K31" s="60"/>
      <c r="L31" s="61"/>
      <c r="M31" s="61"/>
      <c r="N31" s="61"/>
      <c r="O31" s="61"/>
      <c r="P31" s="61"/>
      <c r="Q31" s="61"/>
      <c r="R31" s="61"/>
    </row>
    <row r="32" spans="1:18" ht="19.5" customHeight="1" thickBot="1" x14ac:dyDescent="0.3">
      <c r="I32" s="67">
        <f>SUM(I10:I31)</f>
        <v>69959290</v>
      </c>
      <c r="J32" s="61"/>
      <c r="K32" s="61"/>
      <c r="L32" s="61"/>
      <c r="M32" s="61"/>
      <c r="N32" s="61"/>
      <c r="O32" s="61"/>
      <c r="P32" s="61"/>
      <c r="Q32" s="61"/>
      <c r="R32" s="61"/>
    </row>
    <row r="33" spans="1:20" ht="13" thickBot="1" x14ac:dyDescent="0.3">
      <c r="A33" s="9"/>
      <c r="B33" s="9"/>
      <c r="C33" s="9"/>
      <c r="D33" s="9"/>
      <c r="E33" s="3"/>
      <c r="F33" s="3"/>
      <c r="G33" s="3"/>
      <c r="H33" s="3"/>
      <c r="I33" s="3"/>
      <c r="K33" s="60"/>
    </row>
    <row r="34" spans="1:20" x14ac:dyDescent="0.25">
      <c r="A34" s="3"/>
      <c r="B34" s="50" t="s">
        <v>40</v>
      </c>
      <c r="C34" s="51"/>
      <c r="D34" s="51"/>
      <c r="E34" s="52"/>
      <c r="F34" s="3"/>
      <c r="G34" s="3"/>
      <c r="H34" s="3"/>
      <c r="I34" s="3"/>
      <c r="K34" s="60"/>
      <c r="L34" s="60"/>
      <c r="M34" s="60"/>
      <c r="N34" s="60"/>
      <c r="O34" s="60"/>
      <c r="P34" s="60"/>
      <c r="Q34" s="60"/>
      <c r="R34" s="61"/>
      <c r="S34" s="61"/>
    </row>
    <row r="35" spans="1:20" x14ac:dyDescent="0.25">
      <c r="A35" s="3"/>
      <c r="B35" s="83" t="s">
        <v>41</v>
      </c>
      <c r="C35" s="84"/>
      <c r="D35" s="85"/>
      <c r="E35" s="86"/>
      <c r="F35" s="3"/>
      <c r="G35" s="3"/>
      <c r="H35" s="3"/>
      <c r="I35" s="3"/>
      <c r="K35" s="60"/>
      <c r="L35" s="60"/>
      <c r="M35" s="60"/>
      <c r="N35" s="60"/>
      <c r="O35" s="60"/>
      <c r="P35" s="60"/>
      <c r="Q35" s="60"/>
      <c r="R35" s="61"/>
      <c r="S35" s="61"/>
      <c r="T35" s="61"/>
    </row>
    <row r="36" spans="1:20" ht="45" customHeight="1" x14ac:dyDescent="0.25">
      <c r="A36" s="3"/>
      <c r="B36" s="87"/>
      <c r="C36" s="93" t="s">
        <v>138</v>
      </c>
      <c r="D36" s="93"/>
      <c r="E36" s="94"/>
      <c r="F36" s="3"/>
      <c r="G36" s="3"/>
      <c r="H36" s="3"/>
      <c r="I36" s="3"/>
      <c r="K36" s="60"/>
      <c r="L36" s="60"/>
      <c r="M36" s="60"/>
      <c r="N36" s="60"/>
      <c r="O36" s="60"/>
      <c r="P36" s="60"/>
      <c r="Q36" s="60"/>
      <c r="R36" s="61"/>
      <c r="S36" s="61"/>
      <c r="T36" s="61"/>
    </row>
    <row r="37" spans="1:20" ht="20.25" customHeight="1" x14ac:dyDescent="0.25">
      <c r="A37" s="3"/>
      <c r="B37" s="83" t="s">
        <v>121</v>
      </c>
      <c r="C37" s="88"/>
      <c r="D37" s="88"/>
      <c r="E37" s="89"/>
      <c r="F37" s="3"/>
      <c r="G37" s="3"/>
      <c r="H37" s="3"/>
      <c r="I37" s="3"/>
      <c r="K37" s="60"/>
      <c r="L37" s="60"/>
      <c r="M37" s="60"/>
      <c r="N37" s="60"/>
      <c r="O37" s="60"/>
      <c r="P37" s="60"/>
      <c r="Q37" s="60"/>
      <c r="R37" s="61"/>
      <c r="S37" s="61"/>
      <c r="T37" s="61"/>
    </row>
    <row r="38" spans="1:20" ht="18" customHeight="1" x14ac:dyDescent="0.25">
      <c r="A38" s="3"/>
      <c r="B38" s="87"/>
      <c r="C38" s="92" t="s">
        <v>122</v>
      </c>
      <c r="D38" s="90"/>
      <c r="E38" s="91"/>
      <c r="F38" s="3"/>
      <c r="G38" s="3"/>
      <c r="H38" s="3"/>
      <c r="I38" s="3"/>
      <c r="K38" s="60"/>
      <c r="L38" s="60"/>
      <c r="M38" s="60"/>
      <c r="N38" s="60"/>
      <c r="O38" s="60"/>
      <c r="P38" s="60"/>
      <c r="Q38" s="60"/>
      <c r="R38" s="61"/>
      <c r="S38" s="61"/>
      <c r="T38" s="61"/>
    </row>
    <row r="39" spans="1:20" ht="20.25" customHeight="1" x14ac:dyDescent="0.25">
      <c r="A39" s="3"/>
      <c r="B39" s="83" t="s">
        <v>123</v>
      </c>
      <c r="C39" s="88"/>
      <c r="D39" s="88"/>
      <c r="E39" s="89"/>
      <c r="F39" s="3"/>
      <c r="G39" s="3"/>
      <c r="H39" s="3"/>
      <c r="I39" s="3"/>
      <c r="K39" s="60"/>
      <c r="L39" s="60"/>
      <c r="M39" s="60"/>
      <c r="N39" s="60"/>
      <c r="O39" s="60"/>
      <c r="P39" s="60"/>
      <c r="Q39" s="60"/>
      <c r="R39" s="61"/>
      <c r="S39" s="61"/>
      <c r="T39" s="61"/>
    </row>
    <row r="40" spans="1:20" ht="18" customHeight="1" x14ac:dyDescent="0.25">
      <c r="A40" s="3"/>
      <c r="B40" s="87"/>
      <c r="C40" s="92" t="s">
        <v>124</v>
      </c>
      <c r="D40" s="90"/>
      <c r="E40" s="91"/>
      <c r="F40" s="3"/>
      <c r="G40" s="3"/>
      <c r="H40" s="3"/>
      <c r="I40" s="3"/>
      <c r="K40" s="60"/>
      <c r="L40" s="60"/>
      <c r="M40" s="60"/>
      <c r="N40" s="60"/>
      <c r="O40" s="60"/>
      <c r="P40" s="60"/>
      <c r="Q40" s="60"/>
      <c r="R40" s="61"/>
      <c r="S40" s="61"/>
      <c r="T40" s="61"/>
    </row>
    <row r="41" spans="1:20" ht="20.25" customHeight="1" x14ac:dyDescent="0.25">
      <c r="A41" s="3"/>
      <c r="B41" s="83" t="s">
        <v>125</v>
      </c>
      <c r="C41" s="88"/>
      <c r="D41" s="88"/>
      <c r="E41" s="89"/>
      <c r="F41" s="3"/>
      <c r="G41" s="3"/>
      <c r="H41" s="3"/>
      <c r="I41" s="3"/>
      <c r="K41" s="60"/>
      <c r="L41" s="60"/>
      <c r="M41" s="60"/>
      <c r="N41" s="60"/>
      <c r="O41" s="60"/>
      <c r="P41" s="60"/>
      <c r="Q41" s="60"/>
      <c r="R41" s="61"/>
      <c r="S41" s="61"/>
      <c r="T41" s="61"/>
    </row>
    <row r="42" spans="1:20" ht="18" customHeight="1" x14ac:dyDescent="0.25">
      <c r="A42" s="3"/>
      <c r="B42" s="87"/>
      <c r="C42" s="92" t="s">
        <v>126</v>
      </c>
      <c r="D42" s="90"/>
      <c r="E42" s="91"/>
      <c r="F42" s="3"/>
      <c r="G42" s="3"/>
      <c r="H42" s="3"/>
      <c r="I42" s="3"/>
      <c r="K42" s="60"/>
      <c r="L42" s="60"/>
      <c r="M42" s="60"/>
      <c r="N42" s="60"/>
      <c r="O42" s="60"/>
      <c r="P42" s="60"/>
      <c r="Q42" s="60"/>
      <c r="R42" s="61"/>
      <c r="S42" s="61"/>
      <c r="T42" s="61"/>
    </row>
    <row r="43" spans="1:20" ht="20.25" customHeight="1" x14ac:dyDescent="0.25">
      <c r="A43" s="3"/>
      <c r="B43" s="83" t="s">
        <v>127</v>
      </c>
      <c r="C43" s="88"/>
      <c r="D43" s="88"/>
      <c r="E43" s="89"/>
      <c r="F43" s="3"/>
      <c r="G43" s="3"/>
      <c r="H43" s="3"/>
      <c r="I43" s="3"/>
      <c r="K43" s="60"/>
      <c r="L43" s="60"/>
      <c r="M43" s="60"/>
      <c r="N43" s="60"/>
      <c r="O43" s="60"/>
      <c r="P43" s="60"/>
      <c r="Q43" s="60"/>
      <c r="R43" s="61"/>
      <c r="S43" s="61"/>
      <c r="T43" s="61"/>
    </row>
    <row r="44" spans="1:20" ht="18" customHeight="1" x14ac:dyDescent="0.25">
      <c r="A44" s="3"/>
      <c r="B44" s="87"/>
      <c r="C44" s="92" t="s">
        <v>128</v>
      </c>
      <c r="D44" s="90"/>
      <c r="E44" s="91"/>
      <c r="F44" s="3"/>
      <c r="G44" s="3"/>
      <c r="H44" s="3"/>
      <c r="I44" s="3"/>
      <c r="K44" s="60"/>
      <c r="L44" s="60"/>
      <c r="M44" s="60"/>
      <c r="N44" s="60"/>
      <c r="O44" s="60"/>
      <c r="P44" s="60"/>
      <c r="Q44" s="60"/>
      <c r="R44" s="61"/>
      <c r="S44" s="61"/>
      <c r="T44" s="61"/>
    </row>
    <row r="45" spans="1:20" ht="20.25" customHeight="1" x14ac:dyDescent="0.25">
      <c r="A45" s="3"/>
      <c r="B45" s="83" t="s">
        <v>129</v>
      </c>
      <c r="C45" s="88"/>
      <c r="D45" s="88"/>
      <c r="E45" s="89"/>
      <c r="F45" s="3"/>
      <c r="G45" s="3"/>
      <c r="H45" s="3"/>
      <c r="I45" s="3"/>
      <c r="K45" s="60"/>
      <c r="L45" s="60"/>
      <c r="M45" s="60"/>
      <c r="N45" s="60"/>
      <c r="O45" s="60"/>
      <c r="P45" s="60"/>
      <c r="Q45" s="60"/>
      <c r="R45" s="61"/>
      <c r="S45" s="61"/>
      <c r="T45" s="61"/>
    </row>
    <row r="46" spans="1:20" ht="18" customHeight="1" x14ac:dyDescent="0.25">
      <c r="A46" s="3"/>
      <c r="B46" s="87"/>
      <c r="C46" s="92" t="s">
        <v>130</v>
      </c>
      <c r="D46" s="90"/>
      <c r="E46" s="91"/>
      <c r="F46" s="3"/>
      <c r="G46" s="3"/>
      <c r="H46" s="3"/>
      <c r="I46" s="3"/>
      <c r="K46" s="60"/>
      <c r="L46" s="60"/>
      <c r="M46" s="60"/>
      <c r="N46" s="60"/>
      <c r="O46" s="60"/>
      <c r="P46" s="60"/>
      <c r="Q46" s="60"/>
      <c r="R46" s="61"/>
      <c r="S46" s="61"/>
      <c r="T46" s="61"/>
    </row>
    <row r="47" spans="1:20" ht="20.25" customHeight="1" x14ac:dyDescent="0.25">
      <c r="A47" s="3"/>
      <c r="B47" s="83" t="s">
        <v>131</v>
      </c>
      <c r="C47" s="88"/>
      <c r="D47" s="88"/>
      <c r="E47" s="89"/>
      <c r="F47" s="3"/>
      <c r="G47" s="3"/>
      <c r="H47" s="3"/>
      <c r="I47" s="3"/>
      <c r="K47" s="60"/>
      <c r="L47" s="60"/>
      <c r="M47" s="60"/>
      <c r="N47" s="60"/>
      <c r="O47" s="60"/>
      <c r="P47" s="60"/>
      <c r="Q47" s="60"/>
      <c r="R47" s="61"/>
      <c r="S47" s="61"/>
      <c r="T47" s="61"/>
    </row>
    <row r="48" spans="1:20" ht="18" customHeight="1" x14ac:dyDescent="0.25">
      <c r="A48" s="3"/>
      <c r="B48" s="87"/>
      <c r="C48" s="92" t="s">
        <v>132</v>
      </c>
      <c r="D48" s="90"/>
      <c r="E48" s="91"/>
      <c r="F48" s="3"/>
      <c r="G48" s="3"/>
      <c r="H48" s="3"/>
      <c r="I48" s="3"/>
      <c r="K48" s="60"/>
      <c r="L48" s="60"/>
      <c r="M48" s="60"/>
      <c r="N48" s="60"/>
      <c r="O48" s="60"/>
      <c r="P48" s="60"/>
      <c r="Q48" s="60"/>
      <c r="R48" s="61"/>
      <c r="S48" s="61"/>
      <c r="T48" s="61"/>
    </row>
    <row r="49" spans="1:20" ht="20.25" customHeight="1" x14ac:dyDescent="0.25">
      <c r="A49" s="3"/>
      <c r="B49" s="83" t="s">
        <v>133</v>
      </c>
      <c r="C49" s="88"/>
      <c r="D49" s="88"/>
      <c r="E49" s="89"/>
      <c r="F49" s="3"/>
      <c r="G49" s="3"/>
      <c r="H49" s="3"/>
      <c r="I49" s="3"/>
      <c r="K49" s="60"/>
      <c r="L49" s="60"/>
      <c r="M49" s="60"/>
      <c r="N49" s="60"/>
      <c r="O49" s="60"/>
      <c r="P49" s="60"/>
      <c r="Q49" s="60"/>
      <c r="R49" s="61"/>
      <c r="S49" s="61"/>
      <c r="T49" s="61"/>
    </row>
    <row r="50" spans="1:20" ht="18" customHeight="1" x14ac:dyDescent="0.25">
      <c r="A50" s="3"/>
      <c r="B50" s="87"/>
      <c r="C50" s="92" t="s">
        <v>134</v>
      </c>
      <c r="D50" s="90"/>
      <c r="E50" s="91"/>
      <c r="F50" s="3"/>
      <c r="G50" s="3"/>
      <c r="H50" s="3"/>
      <c r="I50" s="3"/>
      <c r="K50" s="60"/>
      <c r="L50" s="60"/>
      <c r="M50" s="60"/>
      <c r="N50" s="60"/>
      <c r="O50" s="60"/>
      <c r="P50" s="60"/>
      <c r="Q50" s="60"/>
      <c r="R50" s="61"/>
      <c r="S50" s="61"/>
      <c r="T50" s="61"/>
    </row>
    <row r="51" spans="1:20" ht="20.25" customHeight="1" x14ac:dyDescent="0.25">
      <c r="A51" s="3"/>
      <c r="B51" s="83" t="s">
        <v>135</v>
      </c>
      <c r="C51" s="88"/>
      <c r="D51" s="88"/>
      <c r="E51" s="89"/>
      <c r="F51" s="3"/>
      <c r="G51" s="3"/>
      <c r="H51" s="3"/>
      <c r="I51" s="3"/>
      <c r="K51" s="60"/>
      <c r="L51" s="60"/>
      <c r="M51" s="60"/>
      <c r="N51" s="60"/>
      <c r="O51" s="60"/>
      <c r="P51" s="60"/>
      <c r="Q51" s="60"/>
      <c r="R51" s="61"/>
      <c r="S51" s="61"/>
      <c r="T51" s="61"/>
    </row>
    <row r="52" spans="1:20" ht="18" customHeight="1" x14ac:dyDescent="0.25">
      <c r="A52" s="3"/>
      <c r="B52" s="87"/>
      <c r="C52" s="93" t="s">
        <v>136</v>
      </c>
      <c r="D52" s="93"/>
      <c r="E52" s="94"/>
      <c r="F52" s="3"/>
      <c r="G52" s="3"/>
      <c r="H52" s="3"/>
      <c r="I52" s="3"/>
      <c r="K52" s="60"/>
      <c r="L52" s="60"/>
      <c r="M52" s="60"/>
      <c r="N52" s="60"/>
      <c r="O52" s="60"/>
      <c r="P52" s="60"/>
      <c r="Q52" s="60"/>
      <c r="R52" s="61"/>
      <c r="S52" s="61"/>
      <c r="T52" s="61"/>
    </row>
    <row r="53" spans="1:20" x14ac:dyDescent="0.25">
      <c r="A53" s="3"/>
      <c r="B53" s="83" t="s">
        <v>42</v>
      </c>
      <c r="C53" s="84"/>
      <c r="D53" s="84"/>
      <c r="E53" s="86"/>
      <c r="F53" s="3"/>
      <c r="G53" s="3"/>
      <c r="H53" s="3"/>
      <c r="I53" s="3"/>
      <c r="K53" s="60"/>
      <c r="L53" s="60"/>
      <c r="M53" s="60"/>
      <c r="N53" s="60"/>
      <c r="O53" s="60"/>
      <c r="P53" s="60"/>
      <c r="Q53" s="60"/>
      <c r="R53" s="61"/>
      <c r="S53" s="61"/>
      <c r="T53" s="61"/>
    </row>
    <row r="54" spans="1:20" ht="45" customHeight="1" x14ac:dyDescent="0.25">
      <c r="A54" s="3"/>
      <c r="B54" s="87"/>
      <c r="C54" s="93" t="s">
        <v>43</v>
      </c>
      <c r="D54" s="93"/>
      <c r="E54" s="94"/>
      <c r="F54" s="3"/>
      <c r="G54" s="3"/>
      <c r="H54" s="3"/>
      <c r="I54" s="3"/>
      <c r="K54" s="60"/>
      <c r="L54" s="60"/>
      <c r="M54" s="60"/>
      <c r="N54" s="60"/>
      <c r="O54" s="60"/>
      <c r="P54" s="60"/>
      <c r="Q54" s="60"/>
      <c r="R54" s="61"/>
      <c r="S54" s="61"/>
      <c r="T54" s="61"/>
    </row>
    <row r="55" spans="1:20" x14ac:dyDescent="0.25">
      <c r="A55" s="3"/>
      <c r="B55" s="83" t="s">
        <v>44</v>
      </c>
      <c r="C55" s="84"/>
      <c r="D55" s="85"/>
      <c r="E55" s="86"/>
      <c r="F55" s="3"/>
      <c r="G55" s="3"/>
      <c r="H55" s="3"/>
      <c r="I55" s="3"/>
      <c r="K55" s="60"/>
      <c r="L55" s="60"/>
      <c r="M55" s="60"/>
      <c r="N55" s="60"/>
      <c r="O55" s="60"/>
      <c r="P55" s="60"/>
      <c r="Q55" s="60"/>
      <c r="R55" s="61"/>
      <c r="S55" s="61"/>
      <c r="T55" s="61"/>
    </row>
    <row r="56" spans="1:20" ht="18" customHeight="1" x14ac:dyDescent="0.25">
      <c r="A56" s="3"/>
      <c r="B56" s="87"/>
      <c r="C56" s="93" t="s">
        <v>118</v>
      </c>
      <c r="D56" s="93"/>
      <c r="E56" s="94"/>
      <c r="F56" s="3"/>
      <c r="G56" s="3"/>
      <c r="H56" s="3"/>
      <c r="I56" s="3"/>
      <c r="K56" s="60"/>
      <c r="L56" s="60"/>
      <c r="M56" s="60"/>
      <c r="N56" s="60"/>
      <c r="O56" s="60"/>
      <c r="P56" s="60"/>
      <c r="Q56" s="60"/>
      <c r="R56" s="61"/>
      <c r="S56" s="61"/>
      <c r="T56" s="61"/>
    </row>
    <row r="57" spans="1:20" ht="18" customHeight="1" x14ac:dyDescent="0.25">
      <c r="A57" s="3"/>
      <c r="B57" s="83" t="s">
        <v>45</v>
      </c>
      <c r="C57" s="84"/>
      <c r="D57" s="85"/>
      <c r="E57" s="86"/>
      <c r="F57" s="3"/>
      <c r="G57" s="3"/>
      <c r="H57" s="3"/>
      <c r="I57" s="3"/>
      <c r="K57" s="60"/>
      <c r="L57" s="60"/>
      <c r="M57" s="60"/>
      <c r="N57" s="60"/>
      <c r="O57" s="60"/>
      <c r="P57" s="60"/>
      <c r="Q57" s="60"/>
      <c r="R57" s="61"/>
      <c r="S57" s="61"/>
      <c r="T57" s="61"/>
    </row>
    <row r="58" spans="1:20" ht="18" customHeight="1" x14ac:dyDescent="0.25">
      <c r="A58" s="3"/>
      <c r="B58" s="87"/>
      <c r="C58" s="93" t="s">
        <v>115</v>
      </c>
      <c r="D58" s="93"/>
      <c r="E58" s="94"/>
      <c r="F58" s="3"/>
      <c r="G58" s="3"/>
      <c r="H58" s="3"/>
      <c r="I58" s="3"/>
      <c r="K58" s="60"/>
      <c r="L58" s="60"/>
      <c r="M58" s="60"/>
      <c r="N58" s="60"/>
      <c r="O58" s="60"/>
      <c r="P58" s="60"/>
      <c r="Q58" s="60"/>
      <c r="R58" s="61"/>
      <c r="S58" s="61"/>
      <c r="T58" s="61"/>
    </row>
    <row r="59" spans="1:20" ht="18" customHeight="1" x14ac:dyDescent="0.25">
      <c r="A59" s="3"/>
      <c r="B59" s="83" t="s">
        <v>46</v>
      </c>
      <c r="C59" s="84"/>
      <c r="D59" s="85"/>
      <c r="E59" s="86"/>
      <c r="F59" s="3"/>
      <c r="G59" s="3"/>
      <c r="H59" s="3"/>
      <c r="I59" s="3"/>
      <c r="K59" s="60"/>
      <c r="L59" s="60"/>
      <c r="M59" s="60"/>
      <c r="N59" s="60"/>
      <c r="O59" s="60"/>
      <c r="P59" s="60"/>
      <c r="Q59" s="60"/>
      <c r="R59" s="61"/>
      <c r="S59" s="61"/>
      <c r="T59" s="61"/>
    </row>
    <row r="60" spans="1:20" ht="18" customHeight="1" x14ac:dyDescent="0.25">
      <c r="A60" s="3"/>
      <c r="B60" s="87"/>
      <c r="C60" s="93" t="s">
        <v>107</v>
      </c>
      <c r="D60" s="93"/>
      <c r="E60" s="94"/>
      <c r="F60" s="3"/>
      <c r="G60" s="3"/>
      <c r="H60" s="3"/>
      <c r="I60" s="3"/>
      <c r="K60" s="60"/>
      <c r="L60" s="60"/>
      <c r="M60" s="60"/>
      <c r="N60" s="60"/>
      <c r="O60" s="60"/>
      <c r="P60" s="60"/>
      <c r="Q60" s="60"/>
      <c r="R60" s="61"/>
      <c r="S60" s="61"/>
      <c r="T60" s="61"/>
    </row>
    <row r="61" spans="1:20" ht="18" customHeight="1" x14ac:dyDescent="0.25">
      <c r="A61" s="3"/>
      <c r="B61" s="83" t="s">
        <v>48</v>
      </c>
      <c r="C61" s="84"/>
      <c r="D61" s="85"/>
      <c r="E61" s="86"/>
      <c r="F61" s="3"/>
      <c r="G61" s="3"/>
      <c r="H61" s="3"/>
      <c r="I61" s="3"/>
      <c r="K61" s="60"/>
      <c r="L61" s="60"/>
      <c r="M61" s="60"/>
      <c r="N61" s="60"/>
      <c r="O61" s="60"/>
      <c r="P61" s="60"/>
      <c r="Q61" s="60"/>
      <c r="R61" s="61"/>
      <c r="S61" s="61"/>
      <c r="T61" s="61"/>
    </row>
    <row r="62" spans="1:20" ht="18" customHeight="1" x14ac:dyDescent="0.25">
      <c r="A62" s="3"/>
      <c r="B62" s="87"/>
      <c r="C62" s="93" t="s">
        <v>108</v>
      </c>
      <c r="D62" s="93"/>
      <c r="E62" s="94"/>
      <c r="F62" s="3"/>
      <c r="G62" s="3"/>
      <c r="H62" s="3"/>
      <c r="I62" s="3"/>
      <c r="K62" s="60"/>
      <c r="L62" s="60"/>
      <c r="M62" s="60"/>
      <c r="N62" s="60"/>
      <c r="O62" s="60"/>
      <c r="P62" s="60"/>
      <c r="Q62" s="60"/>
      <c r="R62" s="61"/>
      <c r="S62" s="61"/>
      <c r="T62" s="61"/>
    </row>
    <row r="63" spans="1:20" ht="18" customHeight="1" x14ac:dyDescent="0.25">
      <c r="A63" s="3"/>
      <c r="B63" s="83" t="s">
        <v>49</v>
      </c>
      <c r="C63" s="84"/>
      <c r="D63" s="85"/>
      <c r="E63" s="86"/>
      <c r="F63" s="3"/>
      <c r="G63" s="3"/>
      <c r="H63" s="3"/>
      <c r="I63" s="3"/>
      <c r="K63" s="60"/>
      <c r="L63" s="60"/>
      <c r="M63" s="60"/>
      <c r="N63" s="60"/>
      <c r="O63" s="60"/>
      <c r="P63" s="60"/>
      <c r="Q63" s="60"/>
      <c r="R63" s="61"/>
      <c r="S63" s="61"/>
      <c r="T63" s="61"/>
    </row>
    <row r="64" spans="1:20" ht="18" customHeight="1" x14ac:dyDescent="0.25">
      <c r="A64" s="3"/>
      <c r="B64" s="87"/>
      <c r="C64" s="93" t="s">
        <v>47</v>
      </c>
      <c r="D64" s="93"/>
      <c r="E64" s="94"/>
      <c r="F64" s="3"/>
      <c r="G64" s="3"/>
      <c r="H64" s="3"/>
      <c r="I64" s="3"/>
      <c r="K64" s="60"/>
      <c r="L64" s="60"/>
      <c r="M64" s="60"/>
      <c r="N64" s="60"/>
      <c r="O64" s="60"/>
      <c r="P64" s="60"/>
      <c r="Q64" s="60"/>
      <c r="R64" s="61"/>
      <c r="S64" s="61"/>
      <c r="T64" s="61"/>
    </row>
    <row r="65" spans="1:21" ht="18" customHeight="1" x14ac:dyDescent="0.25">
      <c r="A65" s="3"/>
      <c r="B65" s="97" t="s">
        <v>50</v>
      </c>
      <c r="C65" s="98"/>
      <c r="D65" s="85"/>
      <c r="E65" s="86"/>
      <c r="F65" s="3"/>
      <c r="G65" s="3"/>
      <c r="H65" s="3"/>
      <c r="I65" s="3"/>
      <c r="K65" s="60"/>
      <c r="L65" s="60"/>
      <c r="M65" s="60"/>
      <c r="N65" s="60"/>
      <c r="O65" s="60"/>
      <c r="P65" s="60"/>
      <c r="Q65" s="60"/>
      <c r="R65" s="61"/>
      <c r="S65" s="61"/>
      <c r="T65" s="61"/>
    </row>
    <row r="66" spans="1:21" ht="18" customHeight="1" thickBot="1" x14ac:dyDescent="0.3">
      <c r="A66" s="3"/>
      <c r="B66" s="87"/>
      <c r="C66" s="93" t="s">
        <v>112</v>
      </c>
      <c r="D66" s="93"/>
      <c r="E66" s="94"/>
      <c r="F66" s="3"/>
      <c r="G66" s="3"/>
      <c r="H66" s="3"/>
      <c r="I66" s="3"/>
      <c r="K66" s="60"/>
      <c r="L66" s="60"/>
      <c r="M66" s="60"/>
      <c r="N66" s="60"/>
      <c r="O66" s="60"/>
      <c r="P66" s="60"/>
      <c r="Q66" s="60"/>
      <c r="R66" s="61"/>
      <c r="S66" s="61"/>
      <c r="T66" s="61"/>
    </row>
    <row r="67" spans="1:21" ht="38.25" customHeight="1" x14ac:dyDescent="0.25">
      <c r="A67" s="66" t="s">
        <v>51</v>
      </c>
      <c r="B67" s="106" t="s">
        <v>52</v>
      </c>
      <c r="C67" s="107"/>
      <c r="D67" s="107"/>
      <c r="E67" s="108"/>
      <c r="F67" s="66" t="s">
        <v>51</v>
      </c>
      <c r="G67" s="66" t="s">
        <v>51</v>
      </c>
      <c r="H67" s="66" t="s">
        <v>51</v>
      </c>
      <c r="I67" s="63" t="s">
        <v>51</v>
      </c>
      <c r="J67" s="76" t="s">
        <v>51</v>
      </c>
      <c r="K67" s="63" t="s">
        <v>51</v>
      </c>
      <c r="L67" s="63" t="s">
        <v>51</v>
      </c>
      <c r="M67" s="63" t="s">
        <v>51</v>
      </c>
      <c r="N67" s="63" t="s">
        <v>51</v>
      </c>
      <c r="O67" s="63" t="s">
        <v>51</v>
      </c>
      <c r="P67" s="63" t="s">
        <v>51</v>
      </c>
      <c r="Q67" s="64" t="s">
        <v>51</v>
      </c>
      <c r="R67" s="64" t="s">
        <v>51</v>
      </c>
      <c r="S67" s="64" t="s">
        <v>51</v>
      </c>
      <c r="T67" s="66" t="s">
        <v>51</v>
      </c>
      <c r="U67" s="62"/>
    </row>
    <row r="68" spans="1:21" ht="12.75" customHeight="1" x14ac:dyDescent="0.25">
      <c r="A68" s="66" t="s">
        <v>51</v>
      </c>
      <c r="B68" s="53" t="s">
        <v>51</v>
      </c>
      <c r="C68" s="109" t="s">
        <v>137</v>
      </c>
      <c r="D68" s="109"/>
      <c r="E68" s="110"/>
      <c r="F68" s="66" t="s">
        <v>51</v>
      </c>
      <c r="G68" s="63" t="s">
        <v>51</v>
      </c>
      <c r="H68" s="66" t="s">
        <v>51</v>
      </c>
      <c r="I68" s="66" t="s">
        <v>51</v>
      </c>
      <c r="J68" s="76" t="s">
        <v>51</v>
      </c>
      <c r="K68" s="95" t="s">
        <v>51</v>
      </c>
      <c r="L68" s="95"/>
      <c r="M68" s="95"/>
      <c r="N68" s="63" t="s">
        <v>51</v>
      </c>
      <c r="O68" s="63" t="s">
        <v>51</v>
      </c>
      <c r="P68" s="63" t="s">
        <v>51</v>
      </c>
      <c r="Q68" s="63" t="s">
        <v>51</v>
      </c>
      <c r="R68" s="64" t="s">
        <v>51</v>
      </c>
      <c r="S68" s="64" t="s">
        <v>51</v>
      </c>
      <c r="T68" s="64" t="s">
        <v>51</v>
      </c>
      <c r="U68" s="63" t="s">
        <v>51</v>
      </c>
    </row>
    <row r="69" spans="1:21" ht="20.25" hidden="1" customHeight="1" x14ac:dyDescent="0.25">
      <c r="A69" s="66" t="s">
        <v>51</v>
      </c>
      <c r="B69" s="53" t="s">
        <v>51</v>
      </c>
      <c r="C69" s="109"/>
      <c r="D69" s="109"/>
      <c r="E69" s="110"/>
      <c r="F69" s="66" t="s">
        <v>51</v>
      </c>
      <c r="G69" s="63" t="s">
        <v>51</v>
      </c>
      <c r="H69" s="63" t="s">
        <v>51</v>
      </c>
      <c r="I69" s="63" t="s">
        <v>51</v>
      </c>
      <c r="J69" s="76" t="s">
        <v>51</v>
      </c>
      <c r="K69" s="95"/>
      <c r="L69" s="95"/>
      <c r="M69" s="95"/>
      <c r="N69" s="63" t="s">
        <v>51</v>
      </c>
      <c r="O69" s="63" t="s">
        <v>51</v>
      </c>
      <c r="P69" s="63" t="s">
        <v>51</v>
      </c>
      <c r="Q69" s="63" t="s">
        <v>51</v>
      </c>
      <c r="R69" s="64" t="s">
        <v>51</v>
      </c>
      <c r="S69" s="64" t="s">
        <v>51</v>
      </c>
      <c r="T69" s="64" t="s">
        <v>51</v>
      </c>
      <c r="U69" s="63" t="s">
        <v>51</v>
      </c>
    </row>
    <row r="70" spans="1:21" ht="6.75" customHeight="1" x14ac:dyDescent="0.25">
      <c r="A70" s="66" t="s">
        <v>51</v>
      </c>
      <c r="B70" s="53" t="s">
        <v>51</v>
      </c>
      <c r="C70" s="109"/>
      <c r="D70" s="109"/>
      <c r="E70" s="110"/>
      <c r="F70" s="66" t="s">
        <v>51</v>
      </c>
      <c r="G70" s="64" t="s">
        <v>51</v>
      </c>
      <c r="H70" s="64" t="s">
        <v>51</v>
      </c>
      <c r="I70" s="64" t="s">
        <v>51</v>
      </c>
      <c r="J70" s="76" t="s">
        <v>51</v>
      </c>
      <c r="K70" s="95"/>
      <c r="L70" s="95"/>
      <c r="M70" s="95"/>
      <c r="N70" s="63" t="s">
        <v>51</v>
      </c>
      <c r="O70" s="63" t="s">
        <v>51</v>
      </c>
      <c r="P70" s="63" t="s">
        <v>51</v>
      </c>
      <c r="Q70" s="63" t="s">
        <v>51</v>
      </c>
      <c r="R70" s="64" t="s">
        <v>51</v>
      </c>
      <c r="S70" s="64" t="s">
        <v>51</v>
      </c>
      <c r="T70" s="64" t="s">
        <v>51</v>
      </c>
      <c r="U70" s="63" t="s">
        <v>51</v>
      </c>
    </row>
    <row r="71" spans="1:21" ht="26.25" hidden="1" customHeight="1" x14ac:dyDescent="0.25">
      <c r="A71" s="66" t="s">
        <v>51</v>
      </c>
      <c r="B71" s="53" t="s">
        <v>51</v>
      </c>
      <c r="C71" s="109"/>
      <c r="D71" s="109"/>
      <c r="E71" s="110"/>
      <c r="F71" s="66" t="s">
        <v>51</v>
      </c>
      <c r="G71" s="96" t="s">
        <v>51</v>
      </c>
      <c r="H71" s="64" t="s">
        <v>51</v>
      </c>
      <c r="I71" s="64" t="s">
        <v>51</v>
      </c>
      <c r="J71" s="76" t="s">
        <v>51</v>
      </c>
      <c r="K71" s="95"/>
      <c r="L71" s="95"/>
      <c r="M71" s="95"/>
      <c r="N71" s="63" t="s">
        <v>51</v>
      </c>
      <c r="O71" s="63" t="s">
        <v>51</v>
      </c>
      <c r="P71" s="63" t="s">
        <v>51</v>
      </c>
      <c r="Q71" s="63" t="s">
        <v>51</v>
      </c>
      <c r="R71" s="64" t="s">
        <v>51</v>
      </c>
      <c r="S71" s="64" t="s">
        <v>51</v>
      </c>
      <c r="T71" s="64" t="s">
        <v>51</v>
      </c>
      <c r="U71" s="63" t="s">
        <v>51</v>
      </c>
    </row>
    <row r="72" spans="1:21" ht="30.75" customHeight="1" x14ac:dyDescent="0.25">
      <c r="A72" s="66" t="s">
        <v>51</v>
      </c>
      <c r="B72" s="53" t="s">
        <v>51</v>
      </c>
      <c r="C72" s="109"/>
      <c r="D72" s="109"/>
      <c r="E72" s="110"/>
      <c r="F72" s="66" t="s">
        <v>51</v>
      </c>
      <c r="G72" s="96"/>
      <c r="H72" s="64" t="s">
        <v>51</v>
      </c>
      <c r="I72" s="64" t="s">
        <v>51</v>
      </c>
      <c r="J72" s="76" t="s">
        <v>51</v>
      </c>
      <c r="K72" s="95"/>
      <c r="L72" s="95"/>
      <c r="M72" s="95"/>
      <c r="N72" s="63" t="s">
        <v>51</v>
      </c>
      <c r="O72" s="63" t="s">
        <v>51</v>
      </c>
      <c r="P72" s="63" t="s">
        <v>51</v>
      </c>
      <c r="Q72" s="63" t="s">
        <v>51</v>
      </c>
      <c r="R72" s="64" t="s">
        <v>51</v>
      </c>
      <c r="S72" s="64" t="s">
        <v>51</v>
      </c>
      <c r="T72" s="64" t="s">
        <v>51</v>
      </c>
      <c r="U72" s="63" t="s">
        <v>51</v>
      </c>
    </row>
    <row r="73" spans="1:21" ht="26.25" customHeight="1" x14ac:dyDescent="0.25">
      <c r="A73" s="66" t="s">
        <v>51</v>
      </c>
      <c r="B73" s="53" t="s">
        <v>51</v>
      </c>
      <c r="C73" s="109"/>
      <c r="D73" s="109"/>
      <c r="E73" s="110"/>
      <c r="F73" s="66" t="s">
        <v>51</v>
      </c>
      <c r="G73" s="96" t="s">
        <v>51</v>
      </c>
      <c r="H73" s="64" t="s">
        <v>51</v>
      </c>
      <c r="I73" s="64" t="s">
        <v>51</v>
      </c>
      <c r="J73" s="76" t="s">
        <v>51</v>
      </c>
      <c r="K73" s="95"/>
      <c r="L73" s="95"/>
      <c r="M73" s="95"/>
      <c r="N73" s="63" t="s">
        <v>51</v>
      </c>
      <c r="O73" s="63" t="s">
        <v>51</v>
      </c>
      <c r="P73" s="63" t="s">
        <v>51</v>
      </c>
      <c r="Q73" s="63" t="s">
        <v>51</v>
      </c>
      <c r="R73" s="64" t="s">
        <v>51</v>
      </c>
      <c r="S73" s="64" t="s">
        <v>51</v>
      </c>
      <c r="T73" s="64" t="s">
        <v>51</v>
      </c>
      <c r="U73" s="63" t="s">
        <v>51</v>
      </c>
    </row>
    <row r="74" spans="1:21" ht="26.25" customHeight="1" x14ac:dyDescent="0.25">
      <c r="A74" s="66" t="s">
        <v>51</v>
      </c>
      <c r="B74" s="53" t="s">
        <v>51</v>
      </c>
      <c r="C74" s="109"/>
      <c r="D74" s="109"/>
      <c r="E74" s="110"/>
      <c r="F74" s="66" t="s">
        <v>51</v>
      </c>
      <c r="G74" s="96"/>
      <c r="H74" s="64" t="s">
        <v>51</v>
      </c>
      <c r="I74" s="64" t="s">
        <v>51</v>
      </c>
      <c r="J74" s="76" t="s">
        <v>51</v>
      </c>
      <c r="K74" s="95"/>
      <c r="L74" s="95"/>
      <c r="M74" s="95"/>
      <c r="N74" s="63" t="s">
        <v>51</v>
      </c>
      <c r="O74" s="63" t="s">
        <v>51</v>
      </c>
      <c r="P74" s="63" t="s">
        <v>51</v>
      </c>
      <c r="Q74" s="63" t="s">
        <v>51</v>
      </c>
      <c r="R74" s="64" t="s">
        <v>51</v>
      </c>
      <c r="S74" s="64" t="s">
        <v>51</v>
      </c>
      <c r="T74" s="64" t="s">
        <v>51</v>
      </c>
      <c r="U74" s="63" t="s">
        <v>51</v>
      </c>
    </row>
    <row r="75" spans="1:21" ht="26.25" customHeight="1" x14ac:dyDescent="0.25">
      <c r="A75" s="66" t="s">
        <v>51</v>
      </c>
      <c r="B75" s="53" t="s">
        <v>51</v>
      </c>
      <c r="C75" s="109"/>
      <c r="D75" s="109"/>
      <c r="E75" s="110"/>
      <c r="F75" s="66" t="s">
        <v>51</v>
      </c>
      <c r="G75" s="64" t="s">
        <v>51</v>
      </c>
      <c r="H75" s="64" t="s">
        <v>51</v>
      </c>
      <c r="I75" s="64" t="s">
        <v>51</v>
      </c>
      <c r="J75" s="76" t="s">
        <v>51</v>
      </c>
      <c r="K75" s="95"/>
      <c r="L75" s="95"/>
      <c r="M75" s="95"/>
      <c r="N75" s="63" t="s">
        <v>51</v>
      </c>
      <c r="O75" s="63" t="s">
        <v>51</v>
      </c>
      <c r="P75" s="63" t="s">
        <v>51</v>
      </c>
      <c r="Q75" s="63" t="s">
        <v>51</v>
      </c>
      <c r="R75" s="64" t="s">
        <v>51</v>
      </c>
      <c r="S75" s="64" t="s">
        <v>51</v>
      </c>
      <c r="T75" s="64" t="s">
        <v>51</v>
      </c>
      <c r="U75" s="63" t="s">
        <v>51</v>
      </c>
    </row>
    <row r="76" spans="1:21" ht="26.25" customHeight="1" x14ac:dyDescent="0.25">
      <c r="A76" s="66" t="s">
        <v>51</v>
      </c>
      <c r="B76" s="53" t="s">
        <v>51</v>
      </c>
      <c r="C76" s="109"/>
      <c r="D76" s="109"/>
      <c r="E76" s="110"/>
      <c r="F76" s="66" t="s">
        <v>51</v>
      </c>
      <c r="G76" s="96" t="s">
        <v>51</v>
      </c>
      <c r="H76" s="64" t="s">
        <v>51</v>
      </c>
      <c r="I76" s="64" t="s">
        <v>51</v>
      </c>
      <c r="J76" s="76" t="s">
        <v>51</v>
      </c>
      <c r="K76" s="95"/>
      <c r="L76" s="95"/>
      <c r="M76" s="95"/>
      <c r="N76" s="63" t="s">
        <v>51</v>
      </c>
      <c r="O76" s="63" t="s">
        <v>51</v>
      </c>
      <c r="P76" s="63" t="s">
        <v>51</v>
      </c>
      <c r="Q76" s="63" t="s">
        <v>51</v>
      </c>
      <c r="R76" s="64" t="s">
        <v>51</v>
      </c>
      <c r="S76" s="64" t="s">
        <v>51</v>
      </c>
      <c r="T76" s="64" t="s">
        <v>51</v>
      </c>
      <c r="U76" s="63" t="s">
        <v>51</v>
      </c>
    </row>
    <row r="77" spans="1:21" ht="26.25" customHeight="1" x14ac:dyDescent="0.25">
      <c r="A77" s="66" t="s">
        <v>51</v>
      </c>
      <c r="B77" s="53" t="s">
        <v>51</v>
      </c>
      <c r="C77" s="109"/>
      <c r="D77" s="109"/>
      <c r="E77" s="110"/>
      <c r="F77" s="66" t="s">
        <v>51</v>
      </c>
      <c r="G77" s="96"/>
      <c r="H77" s="64" t="s">
        <v>51</v>
      </c>
      <c r="I77" s="64" t="s">
        <v>51</v>
      </c>
      <c r="J77" s="76" t="s">
        <v>51</v>
      </c>
      <c r="K77" s="95"/>
      <c r="L77" s="95"/>
      <c r="M77" s="95"/>
      <c r="N77" s="63" t="s">
        <v>51</v>
      </c>
      <c r="O77" s="63" t="s">
        <v>51</v>
      </c>
      <c r="P77" s="63" t="s">
        <v>51</v>
      </c>
      <c r="Q77" s="63" t="s">
        <v>51</v>
      </c>
      <c r="R77" s="64" t="s">
        <v>51</v>
      </c>
      <c r="S77" s="64" t="s">
        <v>51</v>
      </c>
      <c r="T77" s="64" t="s">
        <v>51</v>
      </c>
      <c r="U77" s="63" t="s">
        <v>51</v>
      </c>
    </row>
    <row r="78" spans="1:21" ht="26.25" customHeight="1" x14ac:dyDescent="0.25">
      <c r="A78" s="66" t="s">
        <v>51</v>
      </c>
      <c r="B78" s="53" t="s">
        <v>51</v>
      </c>
      <c r="C78" s="109"/>
      <c r="D78" s="109"/>
      <c r="E78" s="110"/>
      <c r="F78" s="66" t="s">
        <v>51</v>
      </c>
      <c r="G78" s="96" t="s">
        <v>51</v>
      </c>
      <c r="H78" s="64" t="s">
        <v>51</v>
      </c>
      <c r="I78" s="64" t="s">
        <v>51</v>
      </c>
      <c r="J78" s="76" t="s">
        <v>51</v>
      </c>
      <c r="K78" s="95"/>
      <c r="L78" s="95"/>
      <c r="M78" s="95"/>
      <c r="N78" s="63" t="s">
        <v>51</v>
      </c>
      <c r="O78" s="63" t="s">
        <v>51</v>
      </c>
      <c r="P78" s="63" t="s">
        <v>51</v>
      </c>
      <c r="Q78" s="63" t="s">
        <v>51</v>
      </c>
      <c r="R78" s="64" t="s">
        <v>51</v>
      </c>
      <c r="S78" s="64" t="s">
        <v>51</v>
      </c>
      <c r="T78" s="64" t="s">
        <v>51</v>
      </c>
      <c r="U78" s="63" t="s">
        <v>51</v>
      </c>
    </row>
    <row r="79" spans="1:21" ht="26.25" customHeight="1" x14ac:dyDescent="0.25">
      <c r="A79" s="66" t="s">
        <v>51</v>
      </c>
      <c r="B79" s="53" t="s">
        <v>51</v>
      </c>
      <c r="C79" s="109"/>
      <c r="D79" s="109"/>
      <c r="E79" s="110"/>
      <c r="F79" s="66" t="s">
        <v>51</v>
      </c>
      <c r="G79" s="96"/>
      <c r="H79" s="64" t="s">
        <v>51</v>
      </c>
      <c r="I79" s="64" t="s">
        <v>51</v>
      </c>
      <c r="J79" s="76" t="s">
        <v>51</v>
      </c>
      <c r="K79" s="95"/>
      <c r="L79" s="95"/>
      <c r="M79" s="95"/>
      <c r="N79" s="63" t="s">
        <v>51</v>
      </c>
      <c r="O79" s="63" t="s">
        <v>51</v>
      </c>
      <c r="P79" s="63" t="s">
        <v>51</v>
      </c>
      <c r="Q79" s="63" t="s">
        <v>51</v>
      </c>
      <c r="R79" s="64" t="s">
        <v>51</v>
      </c>
      <c r="S79" s="64" t="s">
        <v>51</v>
      </c>
      <c r="T79" s="64" t="s">
        <v>51</v>
      </c>
      <c r="U79" s="63" t="s">
        <v>51</v>
      </c>
    </row>
    <row r="80" spans="1:21" ht="64.5" customHeight="1" x14ac:dyDescent="0.25">
      <c r="A80" s="66" t="s">
        <v>51</v>
      </c>
      <c r="B80" s="53" t="s">
        <v>51</v>
      </c>
      <c r="C80" s="109"/>
      <c r="D80" s="109"/>
      <c r="E80" s="110"/>
      <c r="F80" s="66" t="s">
        <v>51</v>
      </c>
      <c r="G80" s="96" t="s">
        <v>51</v>
      </c>
      <c r="H80" s="64" t="s">
        <v>51</v>
      </c>
      <c r="I80" s="64" t="s">
        <v>51</v>
      </c>
      <c r="J80" s="76" t="s">
        <v>51</v>
      </c>
      <c r="K80" s="95"/>
      <c r="L80" s="95"/>
      <c r="M80" s="95"/>
      <c r="N80" s="63" t="s">
        <v>51</v>
      </c>
      <c r="O80" s="63" t="s">
        <v>51</v>
      </c>
      <c r="P80" s="63" t="s">
        <v>51</v>
      </c>
      <c r="Q80" s="63" t="s">
        <v>51</v>
      </c>
      <c r="R80" s="64" t="s">
        <v>51</v>
      </c>
      <c r="S80" s="64" t="s">
        <v>51</v>
      </c>
      <c r="T80" s="64" t="s">
        <v>51</v>
      </c>
      <c r="U80" s="63" t="s">
        <v>51</v>
      </c>
    </row>
    <row r="81" spans="1:21" ht="263.25" customHeight="1" thickBot="1" x14ac:dyDescent="0.3">
      <c r="A81" s="66" t="s">
        <v>51</v>
      </c>
      <c r="B81" s="54" t="s">
        <v>51</v>
      </c>
      <c r="C81" s="111"/>
      <c r="D81" s="111"/>
      <c r="E81" s="112"/>
      <c r="F81" s="66" t="s">
        <v>51</v>
      </c>
      <c r="G81" s="96"/>
      <c r="H81" s="64" t="s">
        <v>51</v>
      </c>
      <c r="I81" s="64" t="s">
        <v>51</v>
      </c>
      <c r="J81" s="76" t="s">
        <v>51</v>
      </c>
      <c r="K81" s="95"/>
      <c r="L81" s="95"/>
      <c r="M81" s="95"/>
      <c r="N81" s="63" t="s">
        <v>51</v>
      </c>
      <c r="O81" s="63" t="s">
        <v>51</v>
      </c>
      <c r="P81" s="63" t="s">
        <v>51</v>
      </c>
      <c r="Q81" s="63" t="s">
        <v>51</v>
      </c>
      <c r="R81" s="64" t="s">
        <v>51</v>
      </c>
      <c r="S81" s="64" t="s">
        <v>51</v>
      </c>
      <c r="T81" s="64" t="s">
        <v>51</v>
      </c>
      <c r="U81" s="63" t="s">
        <v>51</v>
      </c>
    </row>
    <row r="82" spans="1:21" ht="21.75" customHeight="1" x14ac:dyDescent="0.25">
      <c r="A82" s="66" t="s">
        <v>51</v>
      </c>
      <c r="B82" s="113" t="s">
        <v>53</v>
      </c>
      <c r="C82" s="100"/>
      <c r="D82" s="100"/>
      <c r="E82" s="114"/>
      <c r="F82" s="63" t="s">
        <v>51</v>
      </c>
      <c r="G82" s="63" t="s">
        <v>51</v>
      </c>
      <c r="H82" s="63" t="s">
        <v>51</v>
      </c>
      <c r="I82" s="63" t="s">
        <v>51</v>
      </c>
      <c r="J82" s="76" t="s">
        <v>51</v>
      </c>
      <c r="K82" s="63" t="s">
        <v>51</v>
      </c>
      <c r="L82" s="63" t="s">
        <v>51</v>
      </c>
      <c r="M82" s="63" t="s">
        <v>51</v>
      </c>
      <c r="N82" s="63" t="s">
        <v>51</v>
      </c>
      <c r="O82" s="63" t="s">
        <v>51</v>
      </c>
      <c r="P82" s="63" t="s">
        <v>51</v>
      </c>
      <c r="Q82" s="64" t="s">
        <v>51</v>
      </c>
      <c r="R82" s="64" t="s">
        <v>51</v>
      </c>
      <c r="S82" s="64" t="s">
        <v>51</v>
      </c>
      <c r="T82" s="63" t="s">
        <v>51</v>
      </c>
      <c r="U82" s="62"/>
    </row>
    <row r="83" spans="1:21" ht="21" customHeight="1" thickBot="1" x14ac:dyDescent="0.3">
      <c r="A83" s="66" t="s">
        <v>51</v>
      </c>
      <c r="B83" s="54" t="s">
        <v>51</v>
      </c>
      <c r="C83" s="115" t="s">
        <v>54</v>
      </c>
      <c r="D83" s="115"/>
      <c r="E83" s="116"/>
      <c r="F83" s="66" t="s">
        <v>51</v>
      </c>
      <c r="G83" s="66" t="s">
        <v>51</v>
      </c>
      <c r="H83" s="66" t="s">
        <v>51</v>
      </c>
      <c r="I83" s="66" t="s">
        <v>51</v>
      </c>
      <c r="J83" s="76" t="s">
        <v>51</v>
      </c>
      <c r="K83" s="63" t="s">
        <v>51</v>
      </c>
      <c r="L83" s="63" t="s">
        <v>51</v>
      </c>
      <c r="M83" s="63" t="s">
        <v>51</v>
      </c>
      <c r="N83" s="63" t="s">
        <v>51</v>
      </c>
      <c r="O83" s="63" t="s">
        <v>51</v>
      </c>
      <c r="P83" s="63" t="s">
        <v>51</v>
      </c>
      <c r="Q83" s="63" t="s">
        <v>51</v>
      </c>
      <c r="R83" s="64" t="s">
        <v>51</v>
      </c>
      <c r="S83" s="64" t="s">
        <v>51</v>
      </c>
      <c r="T83" s="64" t="s">
        <v>51</v>
      </c>
      <c r="U83" s="63" t="s">
        <v>51</v>
      </c>
    </row>
    <row r="84" spans="1:21" ht="23.25" customHeight="1" x14ac:dyDescent="0.25">
      <c r="A84" s="66" t="s">
        <v>51</v>
      </c>
      <c r="B84" s="99" t="s">
        <v>55</v>
      </c>
      <c r="C84" s="100"/>
      <c r="D84" s="100"/>
      <c r="E84" s="101"/>
      <c r="F84" s="66" t="s">
        <v>51</v>
      </c>
      <c r="G84" s="66" t="s">
        <v>51</v>
      </c>
      <c r="H84" s="66" t="s">
        <v>51</v>
      </c>
      <c r="I84" s="66" t="s">
        <v>51</v>
      </c>
      <c r="J84" s="76" t="s">
        <v>51</v>
      </c>
      <c r="K84" s="63" t="s">
        <v>51</v>
      </c>
      <c r="L84" s="63" t="s">
        <v>51</v>
      </c>
      <c r="M84" s="63" t="s">
        <v>51</v>
      </c>
      <c r="N84" s="63" t="s">
        <v>51</v>
      </c>
      <c r="O84" s="63" t="s">
        <v>51</v>
      </c>
      <c r="P84" s="63" t="s">
        <v>51</v>
      </c>
      <c r="Q84" s="63" t="s">
        <v>51</v>
      </c>
      <c r="R84" s="64" t="s">
        <v>51</v>
      </c>
      <c r="S84" s="64" t="s">
        <v>51</v>
      </c>
      <c r="T84" s="64" t="s">
        <v>51</v>
      </c>
      <c r="U84" s="63" t="s">
        <v>51</v>
      </c>
    </row>
    <row r="85" spans="1:21" ht="13" thickBot="1" x14ac:dyDescent="0.3">
      <c r="A85" s="66" t="s">
        <v>51</v>
      </c>
      <c r="B85" s="55" t="s">
        <v>51</v>
      </c>
      <c r="C85" s="102" t="s">
        <v>56</v>
      </c>
      <c r="D85" s="102"/>
      <c r="E85" s="103"/>
      <c r="F85" s="66" t="s">
        <v>51</v>
      </c>
      <c r="G85" s="66" t="s">
        <v>51</v>
      </c>
      <c r="H85" s="66" t="s">
        <v>51</v>
      </c>
      <c r="I85" s="66" t="s">
        <v>51</v>
      </c>
      <c r="J85" s="76" t="s">
        <v>51</v>
      </c>
      <c r="K85" s="63" t="s">
        <v>51</v>
      </c>
      <c r="L85" s="63" t="s">
        <v>51</v>
      </c>
      <c r="M85" s="63" t="s">
        <v>51</v>
      </c>
      <c r="N85" s="63" t="s">
        <v>51</v>
      </c>
      <c r="O85" s="63" t="s">
        <v>51</v>
      </c>
      <c r="P85" s="63" t="s">
        <v>51</v>
      </c>
      <c r="Q85" s="63" t="s">
        <v>51</v>
      </c>
      <c r="R85" s="64" t="s">
        <v>51</v>
      </c>
      <c r="S85" s="64" t="s">
        <v>51</v>
      </c>
      <c r="T85" s="64" t="s">
        <v>51</v>
      </c>
      <c r="U85" s="63" t="s">
        <v>51</v>
      </c>
    </row>
    <row r="86" spans="1:21" x14ac:dyDescent="0.25">
      <c r="A86" s="66" t="s">
        <v>51</v>
      </c>
      <c r="B86" s="56" t="s">
        <v>57</v>
      </c>
      <c r="C86" s="66" t="s">
        <v>51</v>
      </c>
      <c r="D86" s="66" t="s">
        <v>51</v>
      </c>
      <c r="E86" s="57" t="s">
        <v>51</v>
      </c>
      <c r="F86" s="66" t="s">
        <v>51</v>
      </c>
      <c r="G86" s="66" t="s">
        <v>51</v>
      </c>
      <c r="H86" s="66" t="s">
        <v>51</v>
      </c>
      <c r="I86" s="66" t="s">
        <v>51</v>
      </c>
      <c r="J86" s="76" t="s">
        <v>51</v>
      </c>
      <c r="K86" s="63" t="s">
        <v>51</v>
      </c>
      <c r="L86" s="63" t="s">
        <v>51</v>
      </c>
      <c r="M86" s="63" t="s">
        <v>51</v>
      </c>
      <c r="N86" s="63" t="s">
        <v>51</v>
      </c>
      <c r="O86" s="63" t="s">
        <v>51</v>
      </c>
      <c r="P86" s="63" t="s">
        <v>51</v>
      </c>
      <c r="Q86" s="63" t="s">
        <v>51</v>
      </c>
      <c r="R86" s="64" t="s">
        <v>51</v>
      </c>
      <c r="S86" s="64" t="s">
        <v>51</v>
      </c>
      <c r="T86" s="64" t="s">
        <v>51</v>
      </c>
      <c r="U86" s="63" t="s">
        <v>51</v>
      </c>
    </row>
    <row r="87" spans="1:21" x14ac:dyDescent="0.25">
      <c r="A87" s="66" t="s">
        <v>51</v>
      </c>
      <c r="B87" s="58" t="s">
        <v>51</v>
      </c>
      <c r="C87" s="104" t="s">
        <v>58</v>
      </c>
      <c r="D87" s="104"/>
      <c r="E87" s="105"/>
      <c r="F87" s="66" t="s">
        <v>51</v>
      </c>
      <c r="G87" s="63" t="s">
        <v>51</v>
      </c>
      <c r="H87" s="63" t="s">
        <v>51</v>
      </c>
      <c r="I87" s="63" t="s">
        <v>51</v>
      </c>
      <c r="J87" s="76" t="s">
        <v>51</v>
      </c>
      <c r="K87" s="63" t="s">
        <v>51</v>
      </c>
      <c r="L87" s="63" t="s">
        <v>51</v>
      </c>
      <c r="M87" s="63" t="s">
        <v>51</v>
      </c>
      <c r="N87" s="63" t="s">
        <v>51</v>
      </c>
      <c r="O87" s="63" t="s">
        <v>51</v>
      </c>
      <c r="P87" s="63" t="s">
        <v>51</v>
      </c>
      <c r="Q87" s="63" t="s">
        <v>51</v>
      </c>
      <c r="R87" s="64" t="s">
        <v>51</v>
      </c>
      <c r="S87" s="64" t="s">
        <v>51</v>
      </c>
      <c r="T87" s="64" t="s">
        <v>51</v>
      </c>
      <c r="U87" s="63" t="s">
        <v>51</v>
      </c>
    </row>
    <row r="88" spans="1:21" ht="7.5" customHeight="1" thickBot="1" x14ac:dyDescent="0.3">
      <c r="A88" s="66" t="s">
        <v>51</v>
      </c>
      <c r="B88" s="55" t="s">
        <v>51</v>
      </c>
      <c r="C88" s="65" t="s">
        <v>51</v>
      </c>
      <c r="D88" s="65" t="s">
        <v>51</v>
      </c>
      <c r="E88" s="59" t="s">
        <v>51</v>
      </c>
      <c r="F88" s="66" t="s">
        <v>51</v>
      </c>
      <c r="G88" s="63" t="s">
        <v>51</v>
      </c>
      <c r="H88" s="63" t="s">
        <v>51</v>
      </c>
      <c r="I88" s="63" t="s">
        <v>51</v>
      </c>
      <c r="J88" s="76" t="s">
        <v>51</v>
      </c>
      <c r="K88" s="63" t="s">
        <v>51</v>
      </c>
      <c r="L88" s="63" t="s">
        <v>51</v>
      </c>
      <c r="M88" s="63" t="s">
        <v>51</v>
      </c>
      <c r="N88" s="63" t="s">
        <v>51</v>
      </c>
      <c r="O88" s="63" t="s">
        <v>51</v>
      </c>
      <c r="P88" s="63" t="s">
        <v>51</v>
      </c>
      <c r="Q88" s="63" t="s">
        <v>51</v>
      </c>
      <c r="R88" s="64" t="s">
        <v>51</v>
      </c>
      <c r="S88" s="64" t="s">
        <v>51</v>
      </c>
      <c r="T88" s="64" t="s">
        <v>51</v>
      </c>
      <c r="U88" s="63" t="s">
        <v>51</v>
      </c>
    </row>
    <row r="90" spans="1:21" x14ac:dyDescent="0.25">
      <c r="A90" s="9"/>
      <c r="B90" s="9"/>
      <c r="C90" s="9"/>
      <c r="D90" s="9"/>
      <c r="E90" s="3"/>
      <c r="F90" s="3"/>
      <c r="G90" s="3"/>
      <c r="H90" s="3"/>
      <c r="I90" s="3"/>
    </row>
    <row r="94" spans="1:21" x14ac:dyDescent="0.25">
      <c r="A94" s="9"/>
      <c r="B94" s="9"/>
      <c r="C94" s="9"/>
      <c r="D94" s="9"/>
      <c r="E94" s="3"/>
      <c r="F94" s="3"/>
      <c r="G94" s="3"/>
      <c r="H94" s="3"/>
      <c r="I94" s="3"/>
    </row>
    <row r="95" spans="1:21" x14ac:dyDescent="0.25">
      <c r="A95" s="9"/>
      <c r="B95" s="9"/>
      <c r="C95" s="9"/>
      <c r="D95" s="9"/>
      <c r="E95" s="3"/>
      <c r="F95" s="3"/>
      <c r="G95" s="3"/>
      <c r="H95" s="3"/>
      <c r="I95" s="3"/>
    </row>
    <row r="96" spans="1:21" x14ac:dyDescent="0.25">
      <c r="A96" s="9"/>
      <c r="B96" s="9"/>
      <c r="C96" s="9"/>
      <c r="D96" s="9"/>
      <c r="E96" s="3"/>
      <c r="F96" s="3"/>
      <c r="G96" s="3"/>
      <c r="H96" s="3"/>
      <c r="I96" s="3"/>
    </row>
    <row r="97" spans="1:9" x14ac:dyDescent="0.25">
      <c r="A97" s="9"/>
      <c r="B97" s="9"/>
      <c r="C97" s="9"/>
      <c r="D97" s="9"/>
      <c r="E97" s="3"/>
      <c r="F97" s="3"/>
      <c r="G97" s="3"/>
      <c r="H97" s="3"/>
      <c r="I97" s="3"/>
    </row>
    <row r="98" spans="1:9" x14ac:dyDescent="0.25">
      <c r="A98" s="9"/>
      <c r="B98" s="9"/>
      <c r="C98" s="9"/>
      <c r="D98" s="9"/>
      <c r="E98" s="3"/>
      <c r="F98" s="3"/>
      <c r="G98" s="3"/>
      <c r="H98" s="3"/>
      <c r="I98" s="3"/>
    </row>
    <row r="99" spans="1:9" x14ac:dyDescent="0.25">
      <c r="A99" s="9"/>
      <c r="B99" s="9"/>
      <c r="C99" s="9"/>
      <c r="D99" s="9"/>
      <c r="E99" s="3"/>
      <c r="F99" s="3"/>
      <c r="G99" s="3"/>
      <c r="H99" s="3"/>
      <c r="I99" s="3"/>
    </row>
    <row r="100" spans="1:9" x14ac:dyDescent="0.25">
      <c r="A100" s="9"/>
      <c r="B100" s="9"/>
      <c r="C100" s="9"/>
      <c r="D100" s="9"/>
      <c r="E100" s="3"/>
      <c r="F100" s="3"/>
      <c r="G100" s="3"/>
      <c r="H100" s="3"/>
      <c r="I100" s="3"/>
    </row>
    <row r="101" spans="1:9" x14ac:dyDescent="0.25">
      <c r="A101" s="9"/>
      <c r="B101" s="9"/>
      <c r="C101" s="9"/>
      <c r="D101" s="9"/>
      <c r="E101" s="3"/>
      <c r="F101" s="3"/>
      <c r="G101" s="3"/>
      <c r="H101" s="3"/>
      <c r="I101" s="3"/>
    </row>
    <row r="102" spans="1:9" x14ac:dyDescent="0.25">
      <c r="A102" s="9"/>
      <c r="B102" s="9"/>
      <c r="C102" s="9"/>
      <c r="D102" s="9"/>
      <c r="E102" s="3"/>
      <c r="F102" s="3"/>
      <c r="G102" s="3"/>
      <c r="H102" s="3"/>
      <c r="I102" s="3"/>
    </row>
    <row r="103" spans="1:9" x14ac:dyDescent="0.25">
      <c r="A103" s="9"/>
      <c r="B103" s="9"/>
      <c r="C103" s="9"/>
      <c r="D103" s="9"/>
      <c r="E103" s="3"/>
      <c r="F103" s="3"/>
      <c r="G103" s="3"/>
      <c r="H103" s="3"/>
      <c r="I103" s="3"/>
    </row>
    <row r="104" spans="1:9" x14ac:dyDescent="0.25">
      <c r="A104" s="9"/>
      <c r="B104" s="9"/>
      <c r="C104" s="9"/>
      <c r="D104" s="9"/>
      <c r="E104" s="3"/>
      <c r="F104" s="3"/>
      <c r="G104" s="3"/>
      <c r="H104" s="3"/>
      <c r="I104" s="3"/>
    </row>
    <row r="105" spans="1:9" x14ac:dyDescent="0.25">
      <c r="A105" s="9"/>
      <c r="B105" s="9"/>
      <c r="C105" s="9"/>
      <c r="D105" s="9"/>
      <c r="E105" s="3"/>
      <c r="F105" s="3"/>
      <c r="G105" s="3"/>
      <c r="H105" s="3"/>
      <c r="I105" s="3"/>
    </row>
    <row r="106" spans="1:9" x14ac:dyDescent="0.25">
      <c r="A106" s="9"/>
      <c r="B106" s="9"/>
      <c r="C106" s="9"/>
      <c r="D106" s="9"/>
      <c r="E106" s="3"/>
      <c r="F106" s="3"/>
      <c r="G106" s="3"/>
      <c r="H106" s="3"/>
      <c r="I106" s="3"/>
    </row>
    <row r="107" spans="1:9" x14ac:dyDescent="0.25">
      <c r="A107" s="9"/>
      <c r="B107" s="9"/>
      <c r="C107" s="9"/>
      <c r="D107" s="9"/>
      <c r="E107" s="3"/>
      <c r="F107" s="3"/>
      <c r="G107" s="3"/>
      <c r="H107" s="3"/>
      <c r="I107" s="3"/>
    </row>
    <row r="108" spans="1:9" x14ac:dyDescent="0.25">
      <c r="A108" s="9"/>
      <c r="B108" s="9"/>
      <c r="C108" s="9"/>
      <c r="D108" s="9"/>
      <c r="E108" s="3"/>
      <c r="F108" s="3"/>
      <c r="G108" s="3"/>
      <c r="H108" s="3"/>
      <c r="I108" s="3"/>
    </row>
    <row r="109" spans="1:9" x14ac:dyDescent="0.25">
      <c r="A109" s="9"/>
      <c r="B109" s="9"/>
      <c r="C109" s="9"/>
      <c r="D109" s="9"/>
      <c r="E109" s="3"/>
      <c r="F109" s="3"/>
      <c r="G109" s="3"/>
      <c r="H109" s="3"/>
      <c r="I109" s="3"/>
    </row>
    <row r="110" spans="1:9" x14ac:dyDescent="0.25">
      <c r="A110" s="9"/>
      <c r="B110" s="9"/>
      <c r="C110" s="9"/>
      <c r="D110" s="9"/>
      <c r="E110" s="3"/>
      <c r="F110" s="3"/>
      <c r="G110" s="3"/>
      <c r="H110" s="3"/>
      <c r="I110" s="3"/>
    </row>
    <row r="111" spans="1:9" x14ac:dyDescent="0.25">
      <c r="A111" s="9"/>
      <c r="B111" s="9"/>
      <c r="C111" s="9"/>
      <c r="D111" s="9"/>
      <c r="E111" s="3"/>
      <c r="F111" s="3"/>
      <c r="G111" s="3"/>
      <c r="H111" s="3"/>
      <c r="I111" s="3"/>
    </row>
  </sheetData>
  <mergeCells count="30">
    <mergeCell ref="A6:B6"/>
    <mergeCell ref="A7:B7"/>
    <mergeCell ref="B2:H2"/>
    <mergeCell ref="A4:B4"/>
    <mergeCell ref="C4:E4"/>
    <mergeCell ref="A5:B5"/>
    <mergeCell ref="C5:E5"/>
    <mergeCell ref="B84:E84"/>
    <mergeCell ref="C85:E85"/>
    <mergeCell ref="C87:E87"/>
    <mergeCell ref="C54:E54"/>
    <mergeCell ref="C56:E56"/>
    <mergeCell ref="C58:E58"/>
    <mergeCell ref="C64:E64"/>
    <mergeCell ref="C66:E66"/>
    <mergeCell ref="B67:E67"/>
    <mergeCell ref="C68:E81"/>
    <mergeCell ref="B82:E82"/>
    <mergeCell ref="C83:E83"/>
    <mergeCell ref="C60:E60"/>
    <mergeCell ref="C62:E62"/>
    <mergeCell ref="C36:E36"/>
    <mergeCell ref="K68:M81"/>
    <mergeCell ref="G71:G72"/>
    <mergeCell ref="G73:G74"/>
    <mergeCell ref="G76:G77"/>
    <mergeCell ref="G78:G79"/>
    <mergeCell ref="G80:G81"/>
    <mergeCell ref="B65:C65"/>
    <mergeCell ref="C52:E52"/>
  </mergeCells>
  <pageMargins left="0.70866141732283472" right="0.70866141732283472" top="0.74803149606299213" bottom="0.74803149606299213" header="0.51181102362204722" footer="0.51181102362204722"/>
  <pageSetup paperSize="190" scale="65" firstPageNumber="0" fitToWidth="0" fitToHeight="0" orientation="landscape" verticalDpi="300" r:id="rId1"/>
  <rowBreaks count="2" manualBreakCount="2">
    <brk id="33" max="16383" man="1"/>
    <brk id="88" max="16383" man="1"/>
  </rowBreaks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5"/>
  <sheetViews>
    <sheetView topLeftCell="C29" zoomScale="85" zoomScaleNormal="85" workbookViewId="0">
      <selection activeCell="D7" sqref="D7:K7"/>
    </sheetView>
  </sheetViews>
  <sheetFormatPr baseColWidth="10" defaultColWidth="9.1796875" defaultRowHeight="12.5" x14ac:dyDescent="0.25"/>
  <cols>
    <col min="1" max="1" width="5.453125" style="12" customWidth="1"/>
    <col min="2" max="2" width="13.54296875" style="12" customWidth="1"/>
    <col min="3" max="3" width="17.81640625" style="12" customWidth="1"/>
    <col min="4" max="4" width="26" style="12" customWidth="1"/>
    <col min="5" max="5" width="8" style="12" customWidth="1"/>
    <col min="6" max="6" width="7.81640625" style="12" customWidth="1"/>
    <col min="7" max="7" width="77.453125" style="12" customWidth="1"/>
    <col min="8" max="8" width="8.453125" style="12" customWidth="1"/>
    <col min="9" max="9" width="12" style="12" customWidth="1"/>
    <col min="10" max="10" width="21.54296875" style="12" customWidth="1"/>
    <col min="11" max="11" width="10.81640625" style="12" customWidth="1"/>
    <col min="12" max="14" width="5.81640625" style="12" customWidth="1"/>
    <col min="15" max="15" width="12.54296875" style="12" customWidth="1"/>
    <col min="16" max="1024" width="9.1796875" style="12"/>
    <col min="1025" max="16384" width="9.1796875" style="3"/>
  </cols>
  <sheetData>
    <row r="1" spans="1:11" ht="18" customHeight="1" x14ac:dyDescent="0.25">
      <c r="A1" s="121" t="s">
        <v>59</v>
      </c>
      <c r="B1" s="121"/>
      <c r="C1" s="121"/>
      <c r="D1" s="121"/>
      <c r="E1" s="121"/>
      <c r="F1" s="121"/>
      <c r="G1" s="121"/>
      <c r="H1" s="121"/>
      <c r="I1" s="121"/>
      <c r="J1" s="10" t="s">
        <v>60</v>
      </c>
      <c r="K1" s="11" t="s">
        <v>61</v>
      </c>
    </row>
    <row r="2" spans="1:11" ht="18.75" customHeight="1" thickBot="1" x14ac:dyDescent="0.3">
      <c r="A2" s="13"/>
      <c r="B2" s="13"/>
      <c r="C2" s="13"/>
      <c r="D2" s="14"/>
      <c r="E2" s="14"/>
      <c r="F2" s="14"/>
      <c r="G2" s="14"/>
      <c r="H2" s="14"/>
      <c r="I2" s="14"/>
      <c r="J2" s="14"/>
      <c r="K2" s="14"/>
    </row>
    <row r="3" spans="1:11" ht="18.75" customHeight="1" thickBot="1" x14ac:dyDescent="0.3">
      <c r="A3" s="122" t="s">
        <v>62</v>
      </c>
      <c r="B3" s="122"/>
      <c r="C3" s="122"/>
      <c r="D3" s="123" t="str">
        <f>'Necesidades Trimestrales'!C4</f>
        <v>90 - Ministerio de Seguridad</v>
      </c>
      <c r="E3" s="123"/>
      <c r="F3" s="123"/>
      <c r="G3" s="123"/>
      <c r="H3" s="123"/>
      <c r="I3" s="123"/>
      <c r="J3" s="123"/>
      <c r="K3" s="123"/>
    </row>
    <row r="4" spans="1:11" ht="18.75" customHeight="1" thickBot="1" x14ac:dyDescent="0.3">
      <c r="A4" s="124" t="s">
        <v>63</v>
      </c>
      <c r="B4" s="124"/>
      <c r="C4" s="124"/>
      <c r="D4" s="123" t="str">
        <f>'Necesidades Trimestrales'!C5</f>
        <v>7 - Direccion de Administracion de la Policia de la Provincia de Catamarca</v>
      </c>
      <c r="E4" s="123"/>
      <c r="F4" s="123"/>
      <c r="G4" s="123"/>
      <c r="H4" s="123"/>
      <c r="I4" s="123"/>
      <c r="J4" s="123"/>
      <c r="K4" s="123"/>
    </row>
    <row r="5" spans="1:11" ht="18.75" customHeight="1" thickBot="1" x14ac:dyDescent="0.3">
      <c r="A5" s="124" t="s">
        <v>64</v>
      </c>
      <c r="B5" s="124"/>
      <c r="C5" s="124"/>
      <c r="D5" s="123" t="s">
        <v>65</v>
      </c>
      <c r="E5" s="123"/>
      <c r="F5" s="123"/>
      <c r="G5" s="123"/>
      <c r="H5" s="123"/>
      <c r="I5" s="123"/>
      <c r="J5" s="123"/>
      <c r="K5" s="123"/>
    </row>
    <row r="6" spans="1:11" ht="16.5" customHeight="1" thickBot="1" x14ac:dyDescent="0.3">
      <c r="A6" s="122" t="s">
        <v>66</v>
      </c>
      <c r="B6" s="122"/>
      <c r="C6" s="122"/>
      <c r="D6" s="123" t="s">
        <v>67</v>
      </c>
      <c r="E6" s="123"/>
      <c r="F6" s="123"/>
      <c r="G6" s="123"/>
      <c r="H6" s="123"/>
      <c r="I6" s="123"/>
      <c r="J6" s="123"/>
      <c r="K6" s="123"/>
    </row>
    <row r="7" spans="1:11" ht="16.5" customHeight="1" thickBot="1" x14ac:dyDescent="0.3">
      <c r="A7" s="124" t="s">
        <v>68</v>
      </c>
      <c r="B7" s="124"/>
      <c r="C7" s="124"/>
      <c r="D7" s="123" t="s">
        <v>69</v>
      </c>
      <c r="E7" s="123"/>
      <c r="F7" s="123"/>
      <c r="G7" s="123"/>
      <c r="H7" s="123"/>
      <c r="I7" s="123"/>
      <c r="J7" s="123"/>
      <c r="K7" s="123"/>
    </row>
    <row r="8" spans="1:11" ht="16.5" customHeight="1" thickBot="1" x14ac:dyDescent="0.3">
      <c r="A8" s="133" t="s">
        <v>70</v>
      </c>
      <c r="B8" s="133"/>
      <c r="C8" s="133"/>
      <c r="D8" s="126" t="s">
        <v>71</v>
      </c>
      <c r="E8" s="127"/>
      <c r="F8" s="127"/>
      <c r="G8" s="127"/>
      <c r="H8" s="127"/>
      <c r="I8" s="127"/>
      <c r="J8" s="127"/>
      <c r="K8" s="128"/>
    </row>
    <row r="9" spans="1:11" ht="16.5" thickBot="1" x14ac:dyDescent="0.3">
      <c r="A9" s="15"/>
      <c r="B9" s="15"/>
      <c r="C9" s="15"/>
      <c r="D9" s="16"/>
      <c r="E9" s="16"/>
      <c r="F9" s="16"/>
      <c r="G9" s="16"/>
      <c r="H9" s="16"/>
      <c r="I9" s="16"/>
      <c r="J9" s="16"/>
      <c r="K9" s="16"/>
    </row>
    <row r="10" spans="1:11" ht="13" thickBot="1" x14ac:dyDescent="0.3">
      <c r="A10" s="129" t="s">
        <v>72</v>
      </c>
      <c r="B10" s="130" t="s">
        <v>73</v>
      </c>
      <c r="C10" s="130" t="s">
        <v>74</v>
      </c>
      <c r="D10" s="130"/>
      <c r="E10" s="130"/>
      <c r="F10" s="130"/>
      <c r="G10" s="130"/>
      <c r="H10" s="130" t="s">
        <v>75</v>
      </c>
      <c r="I10" s="130" t="s">
        <v>76</v>
      </c>
      <c r="J10" s="130" t="s">
        <v>77</v>
      </c>
      <c r="K10" s="132" t="s">
        <v>78</v>
      </c>
    </row>
    <row r="11" spans="1:11" ht="13" thickBot="1" x14ac:dyDescent="0.3">
      <c r="A11" s="129"/>
      <c r="B11" s="130"/>
      <c r="C11" s="131"/>
      <c r="D11" s="131"/>
      <c r="E11" s="131"/>
      <c r="F11" s="131"/>
      <c r="G11" s="131"/>
      <c r="H11" s="130"/>
      <c r="I11" s="130"/>
      <c r="J11" s="130"/>
      <c r="K11" s="132"/>
    </row>
    <row r="12" spans="1:11" ht="13" thickBot="1" x14ac:dyDescent="0.3">
      <c r="A12" s="17">
        <f>'Necesidades Trimestrales'!A10</f>
        <v>1</v>
      </c>
      <c r="B12" s="49" t="str">
        <f>'Necesidades Trimestrales'!B10</f>
        <v>2.5.6-797.21</v>
      </c>
      <c r="C12" s="141" t="str">
        <f>('Necesidades Trimestrales'!E10)</f>
        <v>NAFTA SUPER; TIPO: ULTRA GRADO 3, OCTANO: 98, PRESENTACION: POR LITRO, DESTINO: SIN VALOR</v>
      </c>
      <c r="D12" s="142"/>
      <c r="E12" s="142"/>
      <c r="F12" s="142"/>
      <c r="G12" s="143"/>
      <c r="H12" s="18" t="s">
        <v>79</v>
      </c>
      <c r="I12" s="19" t="s">
        <v>35</v>
      </c>
      <c r="J12" s="20">
        <f>'Necesidades Trimestrales'!H10</f>
        <v>190</v>
      </c>
      <c r="K12" s="21">
        <f>'Necesidades Trimestrales'!G10</f>
        <v>32000</v>
      </c>
    </row>
    <row r="13" spans="1:11" ht="13" thickBot="1" x14ac:dyDescent="0.3">
      <c r="A13" s="17">
        <f>'Necesidades Trimestrales'!A11</f>
        <v>2</v>
      </c>
      <c r="B13" s="49" t="str">
        <f>'Necesidades Trimestrales'!B11</f>
        <v>2.5.6-793.31</v>
      </c>
      <c r="C13" s="134" t="str">
        <f>('Necesidades Trimestrales'!E11)</f>
        <v>GAS OIL; PRESENTACION: POR LITRO, USO: MOTORES DIESEL, COMERCIALIZACION: GRADO 3, DESTINO: DPTO. S.F.V. DE CATAMARCA</v>
      </c>
      <c r="D13" s="135"/>
      <c r="E13" s="135"/>
      <c r="F13" s="135"/>
      <c r="G13" s="136"/>
      <c r="H13" s="18" t="s">
        <v>79</v>
      </c>
      <c r="I13" s="19" t="s">
        <v>35</v>
      </c>
      <c r="J13" s="20">
        <f>'Necesidades Trimestrales'!H11</f>
        <v>225</v>
      </c>
      <c r="K13" s="21">
        <f>'Necesidades Trimestrales'!G11</f>
        <v>70000</v>
      </c>
    </row>
    <row r="14" spans="1:11" ht="13" thickBot="1" x14ac:dyDescent="0.3">
      <c r="A14" s="17">
        <f>'Necesidades Trimestrales'!A12</f>
        <v>3</v>
      </c>
      <c r="B14" s="49" t="str">
        <f>'Necesidades Trimestrales'!B12</f>
        <v>2.5.6-797.21</v>
      </c>
      <c r="C14" s="134" t="str">
        <f>('Necesidades Trimestrales'!E12)</f>
        <v>NAFTA SUPER; TIPO: ULTRA GRADO 3, OCTANO: 98, PRESENTACION: POR LITRO, DESTINO: SIN VALOR</v>
      </c>
      <c r="D14" s="135"/>
      <c r="E14" s="135"/>
      <c r="F14" s="135"/>
      <c r="G14" s="136"/>
      <c r="H14" s="18" t="s">
        <v>79</v>
      </c>
      <c r="I14" s="19" t="s">
        <v>35</v>
      </c>
      <c r="J14" s="20">
        <f>'Necesidades Trimestrales'!H12</f>
        <v>192</v>
      </c>
      <c r="K14" s="21">
        <f>'Necesidades Trimestrales'!G12</f>
        <v>12000</v>
      </c>
    </row>
    <row r="15" spans="1:11" ht="13" thickBot="1" x14ac:dyDescent="0.3">
      <c r="A15" s="17">
        <f>'Necesidades Trimestrales'!A13</f>
        <v>4</v>
      </c>
      <c r="B15" s="49" t="str">
        <f>'Necesidades Trimestrales'!B13</f>
        <v>2.5.6-793.35</v>
      </c>
      <c r="C15" s="134" t="str">
        <f>('Necesidades Trimestrales'!E13)</f>
        <v>GAS OIL; PRESENTACION: POR LITRO, USO: MOTORES DIESEL, COMERCIALIZACION: GRADO 3, DESTINO: DPTO. LA PAZ</v>
      </c>
      <c r="D15" s="135"/>
      <c r="E15" s="135"/>
      <c r="F15" s="135"/>
      <c r="G15" s="136"/>
      <c r="H15" s="18" t="s">
        <v>79</v>
      </c>
      <c r="I15" s="19" t="s">
        <v>35</v>
      </c>
      <c r="J15" s="20">
        <f>'Necesidades Trimestrales'!H13</f>
        <v>227</v>
      </c>
      <c r="K15" s="21">
        <f>'Necesidades Trimestrales'!G13</f>
        <v>17000</v>
      </c>
    </row>
    <row r="16" spans="1:11" ht="13" thickBot="1" x14ac:dyDescent="0.3">
      <c r="A16" s="17">
        <f>'Necesidades Trimestrales'!A14</f>
        <v>5</v>
      </c>
      <c r="B16" s="49" t="str">
        <f>'Necesidades Trimestrales'!B14</f>
        <v>2.5.6-797.21</v>
      </c>
      <c r="C16" s="134" t="str">
        <f>('Necesidades Trimestrales'!E14)</f>
        <v>NAFTA SUPER; TIPO: ULTRA GRADO 3, OCTANO: 98, PRESENTACION: POR LITRO, DESTINO: SIN VALOR</v>
      </c>
      <c r="D16" s="135"/>
      <c r="E16" s="135"/>
      <c r="F16" s="135"/>
      <c r="G16" s="136"/>
      <c r="H16" s="18" t="s">
        <v>79</v>
      </c>
      <c r="I16" s="19" t="s">
        <v>35</v>
      </c>
      <c r="J16" s="20">
        <f>'Necesidades Trimestrales'!H14</f>
        <v>192</v>
      </c>
      <c r="K16" s="21">
        <f>'Necesidades Trimestrales'!G14</f>
        <v>12000</v>
      </c>
    </row>
    <row r="17" spans="1:11" ht="13" thickBot="1" x14ac:dyDescent="0.3">
      <c r="A17" s="17">
        <f>'Necesidades Trimestrales'!A15</f>
        <v>6</v>
      </c>
      <c r="B17" s="49" t="str">
        <f>'Necesidades Trimestrales'!B15</f>
        <v>2.5.6-793.37</v>
      </c>
      <c r="C17" s="134" t="str">
        <f>('Necesidades Trimestrales'!E15)</f>
        <v>GAS OIL; PRESENTACION: POR LITRO, USO: MOTORES DIESEL, COMERCIALIZACION: GRADO 3, DESTINO: DPTO. BELEN</v>
      </c>
      <c r="D17" s="135"/>
      <c r="E17" s="135"/>
      <c r="F17" s="135"/>
      <c r="G17" s="136"/>
      <c r="H17" s="18" t="s">
        <v>79</v>
      </c>
      <c r="I17" s="19" t="s">
        <v>35</v>
      </c>
      <c r="J17" s="20">
        <f>'Necesidades Trimestrales'!H15</f>
        <v>227</v>
      </c>
      <c r="K17" s="21">
        <f>'Necesidades Trimestrales'!G15</f>
        <v>17000</v>
      </c>
    </row>
    <row r="18" spans="1:11" ht="13" thickBot="1" x14ac:dyDescent="0.3">
      <c r="A18" s="17">
        <f>'Necesidades Trimestrales'!A16</f>
        <v>7</v>
      </c>
      <c r="B18" s="49" t="str">
        <f>'Necesidades Trimestrales'!B16</f>
        <v>2.5.6-797.21</v>
      </c>
      <c r="C18" s="134" t="str">
        <f>('Necesidades Trimestrales'!E16)</f>
        <v>NAFTA SUPER; TIPO: ULTRA GRADO 3, OCTANO: 98, PRESENTACION: POR LITRO, DESTINO: SIN VALOR</v>
      </c>
      <c r="D18" s="135"/>
      <c r="E18" s="135"/>
      <c r="F18" s="135"/>
      <c r="G18" s="136"/>
      <c r="H18" s="18" t="s">
        <v>79</v>
      </c>
      <c r="I18" s="19" t="s">
        <v>35</v>
      </c>
      <c r="J18" s="20">
        <f>'Necesidades Trimestrales'!H16</f>
        <v>192</v>
      </c>
      <c r="K18" s="21">
        <f>'Necesidades Trimestrales'!G16</f>
        <v>12000</v>
      </c>
    </row>
    <row r="19" spans="1:11" ht="13" thickBot="1" x14ac:dyDescent="0.3">
      <c r="A19" s="17">
        <f>'Necesidades Trimestrales'!A17</f>
        <v>8</v>
      </c>
      <c r="B19" s="49" t="str">
        <f>'Necesidades Trimestrales'!B17</f>
        <v>2.5.6-793.45</v>
      </c>
      <c r="C19" s="134" t="str">
        <f>('Necesidades Trimestrales'!E17)</f>
        <v>GAS OIL; PRESENTACION: POR LITRO, USO: MOTORES DIESEL, COMERCIALIZACION: GRADO 3, DESTINO: DPTO. ANDALGALA</v>
      </c>
      <c r="D19" s="135"/>
      <c r="E19" s="135"/>
      <c r="F19" s="135"/>
      <c r="G19" s="136"/>
      <c r="H19" s="18" t="s">
        <v>79</v>
      </c>
      <c r="I19" s="19" t="s">
        <v>35</v>
      </c>
      <c r="J19" s="20">
        <f>'Necesidades Trimestrales'!H17</f>
        <v>227</v>
      </c>
      <c r="K19" s="21">
        <f>'Necesidades Trimestrales'!G17</f>
        <v>17000</v>
      </c>
    </row>
    <row r="20" spans="1:11" ht="13" thickBot="1" x14ac:dyDescent="0.3">
      <c r="A20" s="17">
        <f>'Necesidades Trimestrales'!A18</f>
        <v>9</v>
      </c>
      <c r="B20" s="49" t="str">
        <f>'Necesidades Trimestrales'!B18</f>
        <v>2.5.6-797.21</v>
      </c>
      <c r="C20" s="134" t="str">
        <f>('Necesidades Trimestrales'!E18)</f>
        <v>NAFTA SUPER; TIPO: ULTRA GRADO 3, OCTANO: 98, PRESENTACION: POR LITRO, DESTINO: SIN VALOR</v>
      </c>
      <c r="D20" s="135"/>
      <c r="E20" s="135"/>
      <c r="F20" s="135"/>
      <c r="G20" s="136"/>
      <c r="H20" s="18" t="s">
        <v>79</v>
      </c>
      <c r="I20" s="19" t="s">
        <v>35</v>
      </c>
      <c r="J20" s="20">
        <f>'Necesidades Trimestrales'!H18</f>
        <v>192</v>
      </c>
      <c r="K20" s="21">
        <f>'Necesidades Trimestrales'!G18</f>
        <v>12000</v>
      </c>
    </row>
    <row r="21" spans="1:11" ht="13" thickBot="1" x14ac:dyDescent="0.3">
      <c r="A21" s="17">
        <f>'Necesidades Trimestrales'!A19</f>
        <v>10</v>
      </c>
      <c r="B21" s="49" t="str">
        <f>'Necesidades Trimestrales'!B19</f>
        <v>2.5.6-793.36</v>
      </c>
      <c r="C21" s="134" t="str">
        <f>('Necesidades Trimestrales'!E19)</f>
        <v>GAS OIL; PRESENTACION: POR LITRO, USO: MOTORES DIESEL, COMERCIALIZACION: GRADO 3, DESTINO: DPTO. TINOGASTA</v>
      </c>
      <c r="D21" s="135"/>
      <c r="E21" s="135"/>
      <c r="F21" s="135"/>
      <c r="G21" s="136"/>
      <c r="H21" s="18" t="s">
        <v>79</v>
      </c>
      <c r="I21" s="19" t="s">
        <v>35</v>
      </c>
      <c r="J21" s="20">
        <f>'Necesidades Trimestrales'!H19</f>
        <v>227</v>
      </c>
      <c r="K21" s="21">
        <f>'Necesidades Trimestrales'!G19</f>
        <v>17000</v>
      </c>
    </row>
    <row r="22" spans="1:11" ht="13" thickBot="1" x14ac:dyDescent="0.3">
      <c r="A22" s="17">
        <f>'Necesidades Trimestrales'!A20</f>
        <v>11</v>
      </c>
      <c r="B22" s="49" t="str">
        <f>'Necesidades Trimestrales'!B20</f>
        <v>2.5.6-797.21</v>
      </c>
      <c r="C22" s="134" t="str">
        <f>('Necesidades Trimestrales'!E20)</f>
        <v>NAFTA SUPER; TIPO: ULTRA GRADO 3, OCTANO: 98, PRESENTACION: POR LITRO, DESTINO: SIN VALOR</v>
      </c>
      <c r="D22" s="135"/>
      <c r="E22" s="135"/>
      <c r="F22" s="135"/>
      <c r="G22" s="136"/>
      <c r="H22" s="18" t="s">
        <v>79</v>
      </c>
      <c r="I22" s="19" t="s">
        <v>35</v>
      </c>
      <c r="J22" s="20">
        <f>'Necesidades Trimestrales'!H20</f>
        <v>192</v>
      </c>
      <c r="K22" s="21">
        <f>'Necesidades Trimestrales'!G20</f>
        <v>12000</v>
      </c>
    </row>
    <row r="23" spans="1:11" ht="13" thickBot="1" x14ac:dyDescent="0.3">
      <c r="A23" s="17">
        <f>'Necesidades Trimestrales'!A21</f>
        <v>12</v>
      </c>
      <c r="B23" s="49" t="str">
        <f>'Necesidades Trimestrales'!B21</f>
        <v>2.5.6-793.39</v>
      </c>
      <c r="C23" s="134" t="str">
        <f>('Necesidades Trimestrales'!E21)</f>
        <v>GAS OIL; PRESENTACION: POR LITRO, USO: MOTORES DIESEL, COMERCIALIZACION: GRADO 3, DESTINO: DPTO. EL ALTO</v>
      </c>
      <c r="D23" s="135"/>
      <c r="E23" s="135"/>
      <c r="F23" s="135"/>
      <c r="G23" s="136"/>
      <c r="H23" s="18" t="s">
        <v>79</v>
      </c>
      <c r="I23" s="19" t="s">
        <v>35</v>
      </c>
      <c r="J23" s="20">
        <f>'Necesidades Trimestrales'!H21</f>
        <v>227</v>
      </c>
      <c r="K23" s="21">
        <f>'Necesidades Trimestrales'!G21</f>
        <v>17000</v>
      </c>
    </row>
    <row r="24" spans="1:11" ht="13" thickBot="1" x14ac:dyDescent="0.3">
      <c r="A24" s="17">
        <f>'Necesidades Trimestrales'!A22</f>
        <v>13</v>
      </c>
      <c r="B24" s="49" t="str">
        <f>'Necesidades Trimestrales'!B22</f>
        <v>2.5.6-797.21</v>
      </c>
      <c r="C24" s="134" t="str">
        <f>('Necesidades Trimestrales'!E22)</f>
        <v>NAFTA SUPER; TIPO: ULTRA GRADO 3, OCTANO: 98, PRESENTACION: POR LITRO, DESTINO: SIN VALOR</v>
      </c>
      <c r="D24" s="135"/>
      <c r="E24" s="135"/>
      <c r="F24" s="135"/>
      <c r="G24" s="136"/>
      <c r="H24" s="18" t="s">
        <v>79</v>
      </c>
      <c r="I24" s="19" t="s">
        <v>35</v>
      </c>
      <c r="J24" s="20">
        <f>'Necesidades Trimestrales'!H22</f>
        <v>192</v>
      </c>
      <c r="K24" s="21">
        <f>'Necesidades Trimestrales'!G22</f>
        <v>12000</v>
      </c>
    </row>
    <row r="25" spans="1:11" ht="13" thickBot="1" x14ac:dyDescent="0.3">
      <c r="A25" s="17">
        <f>'Necesidades Trimestrales'!A23</f>
        <v>14</v>
      </c>
      <c r="B25" s="49" t="str">
        <f>'Necesidades Trimestrales'!B23</f>
        <v>2.5.6-793.38</v>
      </c>
      <c r="C25" s="134" t="str">
        <f>('Necesidades Trimestrales'!E23)</f>
        <v>GAS OIL; PRESENTACION: POR LITRO, USO: MOTORES DIESEL, COMERCIALIZACION: GRADO 3, DESTINO: DPTO. STA. MARIA</v>
      </c>
      <c r="D25" s="135"/>
      <c r="E25" s="135"/>
      <c r="F25" s="135"/>
      <c r="G25" s="136"/>
      <c r="H25" s="18" t="s">
        <v>79</v>
      </c>
      <c r="I25" s="19" t="s">
        <v>35</v>
      </c>
      <c r="J25" s="20">
        <f>'Necesidades Trimestrales'!H23</f>
        <v>227</v>
      </c>
      <c r="K25" s="21">
        <f>'Necesidades Trimestrales'!G23</f>
        <v>17000</v>
      </c>
    </row>
    <row r="26" spans="1:11" ht="13" thickBot="1" x14ac:dyDescent="0.3">
      <c r="A26" s="17">
        <f>'Necesidades Trimestrales'!A24</f>
        <v>15</v>
      </c>
      <c r="B26" s="49" t="str">
        <f>'Necesidades Trimestrales'!B24</f>
        <v>2.5.6-797.21</v>
      </c>
      <c r="C26" s="134" t="str">
        <f>('Necesidades Trimestrales'!E24)</f>
        <v>NAFTA SUPER; TIPO: ULTRA GRADO 3, OCTANO: 98, PRESENTACION: POR LITRO, DESTINO: SIN VALOR</v>
      </c>
      <c r="D26" s="135"/>
      <c r="E26" s="135"/>
      <c r="F26" s="135"/>
      <c r="G26" s="136"/>
      <c r="H26" s="18" t="s">
        <v>79</v>
      </c>
      <c r="I26" s="19" t="s">
        <v>35</v>
      </c>
      <c r="J26" s="20">
        <f>'Necesidades Trimestrales'!H24</f>
        <v>192</v>
      </c>
      <c r="K26" s="21">
        <f>'Necesidades Trimestrales'!G24</f>
        <v>12000</v>
      </c>
    </row>
    <row r="27" spans="1:11" ht="13" thickBot="1" x14ac:dyDescent="0.3">
      <c r="A27" s="17">
        <f>'Necesidades Trimestrales'!A25</f>
        <v>16</v>
      </c>
      <c r="B27" s="49" t="str">
        <f>'Necesidades Trimestrales'!B25</f>
        <v>2.5.6-793.33</v>
      </c>
      <c r="C27" s="134" t="str">
        <f>('Necesidades Trimestrales'!E25)</f>
        <v>GAS OIL; PRESENTACION: POR LITRO, USO: MOTORES DIESEL, COMERCIALIZACION: GRADO 3, DESTINO: DPTO. POMAN</v>
      </c>
      <c r="D27" s="135"/>
      <c r="E27" s="135"/>
      <c r="F27" s="135"/>
      <c r="G27" s="136"/>
      <c r="H27" s="18" t="s">
        <v>79</v>
      </c>
      <c r="I27" s="19" t="s">
        <v>35</v>
      </c>
      <c r="J27" s="20">
        <f>'Necesidades Trimestrales'!H25</f>
        <v>227</v>
      </c>
      <c r="K27" s="21">
        <f>'Necesidades Trimestrales'!G25</f>
        <v>17000</v>
      </c>
    </row>
    <row r="28" spans="1:11" ht="27" customHeight="1" thickBot="1" x14ac:dyDescent="0.3">
      <c r="A28" s="17">
        <f>'Necesidades Trimestrales'!A26</f>
        <v>17</v>
      </c>
      <c r="B28" s="49" t="str">
        <f>'Necesidades Trimestrales'!B26</f>
        <v>2.5.6-7104.302</v>
      </c>
      <c r="C28" s="134" t="str">
        <f>('Necesidades Trimestrales'!E26)</f>
        <v>ACEITES LUBRICANTES; USO: AUTOMOTOR, PRESENTACION: ENVASE X 205 L, NORMA: SAE 10 W 40</v>
      </c>
      <c r="D28" s="135"/>
      <c r="E28" s="135"/>
      <c r="F28" s="135"/>
      <c r="G28" s="136"/>
      <c r="H28" s="18" t="s">
        <v>79</v>
      </c>
      <c r="I28" s="19" t="s">
        <v>35</v>
      </c>
      <c r="J28" s="20">
        <f>'Necesidades Trimestrales'!H26</f>
        <v>200000</v>
      </c>
      <c r="K28" s="21">
        <f>'Necesidades Trimestrales'!G26</f>
        <v>2</v>
      </c>
    </row>
    <row r="29" spans="1:11" ht="27" customHeight="1" thickBot="1" x14ac:dyDescent="0.3">
      <c r="A29" s="17">
        <f>'Necesidades Trimestrales'!A27</f>
        <v>18</v>
      </c>
      <c r="B29" s="49" t="str">
        <f>'Necesidades Trimestrales'!B27</f>
        <v>2.5.6-7104.577</v>
      </c>
      <c r="C29" s="134" t="str">
        <f>('Necesidades Trimestrales'!E27)</f>
        <v>ACEITES LUBRICANTES; DENOMINACION: SAE 5 W 30, USO: AUTOMOTOR, PRESENTACION: TAMBOR X 205 L, NORMA: SAE 5 W 30</v>
      </c>
      <c r="D29" s="135"/>
      <c r="E29" s="135"/>
      <c r="F29" s="135"/>
      <c r="G29" s="136"/>
      <c r="H29" s="18" t="s">
        <v>79</v>
      </c>
      <c r="I29" s="19" t="s">
        <v>35</v>
      </c>
      <c r="J29" s="20">
        <f>'Necesidades Trimestrales'!H27</f>
        <v>504378</v>
      </c>
      <c r="K29" s="21">
        <f>'Necesidades Trimestrales'!G27</f>
        <v>5</v>
      </c>
    </row>
    <row r="30" spans="1:11" ht="29.25" customHeight="1" thickBot="1" x14ac:dyDescent="0.3">
      <c r="A30" s="17">
        <f>'Necesidades Trimestrales'!A30</f>
        <v>21</v>
      </c>
      <c r="B30" s="49" t="str">
        <f>'Necesidades Trimestrales'!B30</f>
        <v>2.5.6-7104.31</v>
      </c>
      <c r="C30" s="134" t="str">
        <f>('Necesidades Trimestrales'!E30)</f>
        <v>ACEITES LUBRICANTES; DENOMINACION: SAE 20 W 50, USO: AUTOMOTOR, PRESENTACION: TAMBOR X 205 L, NORMA: SAE 20 W 50</v>
      </c>
      <c r="D30" s="135"/>
      <c r="E30" s="135"/>
      <c r="F30" s="135"/>
      <c r="G30" s="136"/>
      <c r="H30" s="18" t="s">
        <v>79</v>
      </c>
      <c r="I30" s="19" t="s">
        <v>35</v>
      </c>
      <c r="J30" s="20">
        <f>'Necesidades Trimestrales'!H30</f>
        <v>252408</v>
      </c>
      <c r="K30" s="21">
        <f>'Necesidades Trimestrales'!G30</f>
        <v>2</v>
      </c>
    </row>
    <row r="31" spans="1:11" ht="26.25" customHeight="1" thickBot="1" x14ac:dyDescent="0.3">
      <c r="A31" s="17" t="e">
        <f>'Necesidades Trimestrales'!#REF!</f>
        <v>#REF!</v>
      </c>
      <c r="B31" s="49" t="e">
        <f>'Necesidades Trimestrales'!#REF!</f>
        <v>#REF!</v>
      </c>
      <c r="C31" s="134" t="e">
        <f>('Necesidades Trimestrales'!#REF!)</f>
        <v>#REF!</v>
      </c>
      <c r="D31" s="135"/>
      <c r="E31" s="135"/>
      <c r="F31" s="135"/>
      <c r="G31" s="136"/>
      <c r="H31" s="18" t="s">
        <v>79</v>
      </c>
      <c r="I31" s="19" t="s">
        <v>35</v>
      </c>
      <c r="J31" s="20" t="e">
        <f>'Necesidades Trimestrales'!#REF!</f>
        <v>#REF!</v>
      </c>
      <c r="K31" s="21" t="e">
        <f>'Necesidades Trimestrales'!#REF!</f>
        <v>#REF!</v>
      </c>
    </row>
    <row r="32" spans="1:11" ht="13" thickBot="1" x14ac:dyDescent="0.3">
      <c r="A32" s="17" t="e">
        <f>'Necesidades Trimestrales'!#REF!</f>
        <v>#REF!</v>
      </c>
      <c r="B32" s="49" t="e">
        <f>'Necesidades Trimestrales'!#REF!</f>
        <v>#REF!</v>
      </c>
      <c r="C32" s="134" t="e">
        <f>('Necesidades Trimestrales'!#REF!)</f>
        <v>#REF!</v>
      </c>
      <c r="D32" s="135"/>
      <c r="E32" s="135"/>
      <c r="F32" s="135"/>
      <c r="G32" s="136"/>
      <c r="H32" s="18" t="s">
        <v>79</v>
      </c>
      <c r="I32" s="19" t="s">
        <v>35</v>
      </c>
      <c r="J32" s="20" t="e">
        <f>'Necesidades Trimestrales'!#REF!</f>
        <v>#REF!</v>
      </c>
      <c r="K32" s="21" t="e">
        <f>'Necesidades Trimestrales'!#REF!</f>
        <v>#REF!</v>
      </c>
    </row>
    <row r="33" spans="1:11" ht="26.25" customHeight="1" thickBot="1" x14ac:dyDescent="0.3">
      <c r="A33" s="17">
        <f>'Necesidades Trimestrales'!A31</f>
        <v>22</v>
      </c>
      <c r="B33" s="49" t="str">
        <f>'Necesidades Trimestrales'!B31</f>
        <v>2.5.6-7104.414</v>
      </c>
      <c r="C33" s="134" t="str">
        <f>('Necesidades Trimestrales'!E31)</f>
        <v>ACEITES LUBRICANTES; USO: REFRIGERANTE, PRESENTACION: ENVASE X 1 L, NORMA: 150 SUS/32 CST, COMERCIALIZACION: SIN</v>
      </c>
      <c r="D33" s="135"/>
      <c r="E33" s="135"/>
      <c r="F33" s="135"/>
      <c r="G33" s="136"/>
      <c r="H33" s="18" t="s">
        <v>79</v>
      </c>
      <c r="I33" s="19" t="s">
        <v>35</v>
      </c>
      <c r="J33" s="20">
        <f>'Necesidades Trimestrales'!H31</f>
        <v>319.2</v>
      </c>
      <c r="K33" s="21">
        <f>'Necesidades Trimestrales'!G31</f>
        <v>20</v>
      </c>
    </row>
    <row r="34" spans="1:11" ht="20.25" customHeight="1" thickBot="1" x14ac:dyDescent="0.3">
      <c r="A34" s="137" t="s">
        <v>80</v>
      </c>
      <c r="B34" s="138"/>
      <c r="C34" s="138"/>
      <c r="D34" s="139" t="s">
        <v>81</v>
      </c>
      <c r="E34" s="139"/>
      <c r="F34" s="139"/>
      <c r="G34" s="139"/>
      <c r="H34" s="139"/>
      <c r="I34" s="140"/>
      <c r="J34" s="125" t="e">
        <f>SUMPRODUCT(J12:J33,K12:K33)</f>
        <v>#REF!</v>
      </c>
      <c r="K34" s="125"/>
    </row>
    <row r="35" spans="1:11" x14ac:dyDescent="0.25">
      <c r="J35" s="22"/>
    </row>
  </sheetData>
  <mergeCells count="45">
    <mergeCell ref="C30:G30"/>
    <mergeCell ref="C31:G31"/>
    <mergeCell ref="C32:G32"/>
    <mergeCell ref="C24:G24"/>
    <mergeCell ref="C25:G25"/>
    <mergeCell ref="C26:G26"/>
    <mergeCell ref="C27:G27"/>
    <mergeCell ref="C28:G28"/>
    <mergeCell ref="C20:G20"/>
    <mergeCell ref="C21:G21"/>
    <mergeCell ref="C22:G22"/>
    <mergeCell ref="C23:G23"/>
    <mergeCell ref="C29:G29"/>
    <mergeCell ref="C15:G15"/>
    <mergeCell ref="C16:G16"/>
    <mergeCell ref="C17:G17"/>
    <mergeCell ref="C18:G18"/>
    <mergeCell ref="C19:G19"/>
    <mergeCell ref="J34:K34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33:G33"/>
    <mergeCell ref="A34:C34"/>
    <mergeCell ref="D34:I34"/>
    <mergeCell ref="C12:G12"/>
    <mergeCell ref="C13:G13"/>
    <mergeCell ref="C14:G14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workbookViewId="0">
      <selection activeCell="Q15" sqref="Q15"/>
    </sheetView>
  </sheetViews>
  <sheetFormatPr baseColWidth="10" defaultColWidth="11" defaultRowHeight="12.5" x14ac:dyDescent="0.25"/>
  <cols>
    <col min="1" max="6" width="4.453125" style="3" customWidth="1"/>
    <col min="7" max="7" width="4.453125" style="8" customWidth="1"/>
    <col min="8" max="14" width="4.453125" style="3" customWidth="1"/>
    <col min="15" max="16" width="14.81640625" style="3" customWidth="1"/>
    <col min="17" max="17" width="14.7265625" style="3" customWidth="1"/>
    <col min="18" max="16384" width="11" style="3"/>
  </cols>
  <sheetData>
    <row r="1" spans="1:17" ht="15.75" customHeight="1" x14ac:dyDescent="0.3">
      <c r="A1" s="144" t="s">
        <v>5</v>
      </c>
      <c r="B1" s="144"/>
      <c r="C1" s="144"/>
      <c r="D1" s="145">
        <f>'Necesidades Trimestrales'!C6</f>
        <v>2022</v>
      </c>
      <c r="E1" s="145"/>
      <c r="F1" s="23"/>
      <c r="G1" s="23"/>
      <c r="H1" s="24"/>
      <c r="I1" s="24"/>
      <c r="J1" s="24"/>
      <c r="K1" s="24"/>
      <c r="L1" s="24"/>
      <c r="M1" s="24"/>
      <c r="N1" s="24"/>
      <c r="P1" s="146" t="s">
        <v>82</v>
      </c>
      <c r="Q1" s="146"/>
    </row>
    <row r="2" spans="1:17" ht="15.75" customHeight="1" x14ac:dyDescent="0.25">
      <c r="H2" s="24"/>
      <c r="I2" s="24"/>
      <c r="J2" s="24"/>
      <c r="K2" s="24"/>
      <c r="L2" s="24"/>
      <c r="M2" s="24"/>
      <c r="N2" s="24"/>
      <c r="P2" s="146"/>
      <c r="Q2" s="146"/>
    </row>
    <row r="4" spans="1:17" ht="18" customHeight="1" thickBot="1" x14ac:dyDescent="0.3">
      <c r="A4" s="147" t="s">
        <v>83</v>
      </c>
      <c r="B4" s="147"/>
      <c r="C4" s="147"/>
      <c r="D4" s="147"/>
      <c r="E4" s="147"/>
      <c r="F4" s="147"/>
      <c r="G4" s="148" t="str">
        <f>' NotaPedido'!D3</f>
        <v>90 - Ministerio de Seguridad</v>
      </c>
      <c r="H4" s="148"/>
      <c r="I4" s="148"/>
      <c r="J4" s="148"/>
      <c r="K4" s="148"/>
      <c r="L4" s="148"/>
      <c r="M4" s="148"/>
      <c r="N4" s="148"/>
      <c r="O4" s="148"/>
      <c r="P4" s="148"/>
      <c r="Q4" s="148"/>
    </row>
    <row r="5" spans="1:17" ht="18" customHeight="1" thickBot="1" x14ac:dyDescent="0.3">
      <c r="A5" s="149" t="s">
        <v>63</v>
      </c>
      <c r="B5" s="150"/>
      <c r="C5" s="150"/>
      <c r="D5" s="150"/>
      <c r="E5" s="150"/>
      <c r="F5" s="151"/>
      <c r="G5" s="148" t="str">
        <f>' NotaPedido'!D4</f>
        <v>7 - Direccion de Administracion de la Policia de la Provincia de Catamarca</v>
      </c>
      <c r="H5" s="148"/>
      <c r="I5" s="148"/>
      <c r="J5" s="148"/>
      <c r="K5" s="148"/>
      <c r="L5" s="148"/>
      <c r="M5" s="148"/>
      <c r="N5" s="148"/>
      <c r="O5" s="148"/>
      <c r="P5" s="148"/>
      <c r="Q5" s="148"/>
    </row>
    <row r="6" spans="1:17" ht="18" customHeight="1" thickBot="1" x14ac:dyDescent="0.3">
      <c r="A6" s="149" t="s">
        <v>64</v>
      </c>
      <c r="B6" s="150"/>
      <c r="C6" s="150"/>
      <c r="D6" s="150"/>
      <c r="E6" s="150"/>
      <c r="F6" s="151"/>
      <c r="G6" s="148" t="str">
        <f>' NotaPedido'!D5</f>
        <v>Policía de la Provincia de Catamarca</v>
      </c>
      <c r="H6" s="148"/>
      <c r="I6" s="148"/>
      <c r="J6" s="148"/>
      <c r="K6" s="148"/>
      <c r="L6" s="148"/>
      <c r="M6" s="148"/>
      <c r="N6" s="148"/>
      <c r="O6" s="148"/>
      <c r="P6" s="148"/>
      <c r="Q6" s="148"/>
    </row>
    <row r="7" spans="1:17" ht="18" customHeight="1" thickBot="1" x14ac:dyDescent="0.3">
      <c r="A7" s="149" t="s">
        <v>66</v>
      </c>
      <c r="B7" s="150"/>
      <c r="C7" s="150"/>
      <c r="D7" s="150"/>
      <c r="E7" s="150"/>
      <c r="F7" s="151"/>
      <c r="G7" s="148" t="str">
        <f>' NotaPedido'!D6</f>
        <v>División Transporte- Departamento Logística (D-4)</v>
      </c>
      <c r="H7" s="148"/>
      <c r="I7" s="148"/>
      <c r="J7" s="148"/>
      <c r="K7" s="148"/>
      <c r="L7" s="148"/>
      <c r="M7" s="148"/>
      <c r="N7" s="148"/>
      <c r="O7" s="148"/>
      <c r="P7" s="148"/>
      <c r="Q7" s="148"/>
    </row>
    <row r="8" spans="1:17" ht="18" customHeight="1" thickBot="1" x14ac:dyDescent="0.3">
      <c r="A8" s="152" t="s">
        <v>84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</row>
    <row r="9" spans="1:17" ht="18" customHeight="1" x14ac:dyDescent="0.25">
      <c r="A9" s="153" t="s">
        <v>85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Q9" s="25"/>
    </row>
    <row r="10" spans="1:17" ht="75" customHeight="1" x14ac:dyDescent="0.25">
      <c r="A10" s="15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76/2021,  afectando la erogación resultante a los créditos presupuestarios aprobados a favor de esta Unidad Ejecutora, conforme al siguiente detalle:</v>
      </c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</row>
    <row r="11" spans="1:17" ht="9" customHeight="1" x14ac:dyDescent="0.25">
      <c r="A11" s="26"/>
      <c r="B11" s="27"/>
      <c r="C11" s="27"/>
      <c r="D11" s="27"/>
      <c r="E11" s="27"/>
      <c r="F11" s="27"/>
      <c r="G11" s="28"/>
      <c r="H11" s="27"/>
      <c r="I11" s="27"/>
      <c r="J11" s="27"/>
      <c r="K11" s="27"/>
      <c r="L11" s="27"/>
      <c r="M11" s="27"/>
      <c r="N11" s="27"/>
      <c r="O11" s="27"/>
      <c r="P11" s="27"/>
      <c r="Q11" s="29"/>
    </row>
    <row r="12" spans="1:17" ht="15.75" customHeight="1" x14ac:dyDescent="0.25">
      <c r="A12" s="155" t="s">
        <v>86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</row>
    <row r="13" spans="1:17" ht="15.75" customHeight="1" x14ac:dyDescent="0.25">
      <c r="A13" s="156" t="s">
        <v>87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7" t="s">
        <v>88</v>
      </c>
      <c r="P13" s="157"/>
      <c r="Q13" s="158" t="s">
        <v>89</v>
      </c>
    </row>
    <row r="14" spans="1:17" ht="15.75" customHeight="1" thickBot="1" x14ac:dyDescent="0.3">
      <c r="A14" s="30" t="s">
        <v>90</v>
      </c>
      <c r="B14" s="31" t="s">
        <v>91</v>
      </c>
      <c r="C14" s="31" t="s">
        <v>92</v>
      </c>
      <c r="D14" s="31" t="s">
        <v>93</v>
      </c>
      <c r="E14" s="31" t="s">
        <v>94</v>
      </c>
      <c r="F14" s="31" t="s">
        <v>95</v>
      </c>
      <c r="G14" s="32" t="s">
        <v>96</v>
      </c>
      <c r="H14" s="31" t="s">
        <v>97</v>
      </c>
      <c r="I14" s="31" t="s">
        <v>98</v>
      </c>
      <c r="J14" s="31" t="s">
        <v>99</v>
      </c>
      <c r="K14" s="31" t="s">
        <v>99</v>
      </c>
      <c r="L14" s="31" t="s">
        <v>100</v>
      </c>
      <c r="M14" s="33" t="s">
        <v>101</v>
      </c>
      <c r="N14" s="34" t="s">
        <v>102</v>
      </c>
      <c r="O14" s="157"/>
      <c r="P14" s="157"/>
      <c r="Q14" s="158"/>
    </row>
    <row r="15" spans="1:17" ht="17.25" customHeight="1" thickBot="1" x14ac:dyDescent="0.3">
      <c r="A15" s="35">
        <v>16</v>
      </c>
      <c r="B15" s="36">
        <v>0</v>
      </c>
      <c r="C15" s="36">
        <v>0</v>
      </c>
      <c r="D15" s="36">
        <v>1</v>
      </c>
      <c r="E15" s="36">
        <v>0</v>
      </c>
      <c r="F15" s="36">
        <v>10</v>
      </c>
      <c r="G15" s="36">
        <v>2</v>
      </c>
      <c r="H15" s="36">
        <v>1</v>
      </c>
      <c r="I15" s="36">
        <v>2</v>
      </c>
      <c r="J15" s="36">
        <v>5</v>
      </c>
      <c r="K15" s="36">
        <v>6</v>
      </c>
      <c r="L15" s="36">
        <v>0</v>
      </c>
      <c r="M15" s="37">
        <v>1</v>
      </c>
      <c r="N15" s="36" t="s">
        <v>103</v>
      </c>
      <c r="O15" s="159" t="s">
        <v>16</v>
      </c>
      <c r="P15" s="160"/>
      <c r="Q15" s="38" t="e">
        <f>' NotaPedido'!J34</f>
        <v>#REF!</v>
      </c>
    </row>
    <row r="16" spans="1:17" ht="15" customHeight="1" x14ac:dyDescent="0.25">
      <c r="A16" s="43" t="s">
        <v>104</v>
      </c>
      <c r="B16" s="44"/>
      <c r="C16" s="44"/>
      <c r="D16" s="44"/>
      <c r="E16" s="44"/>
      <c r="F16" s="44"/>
      <c r="G16" s="44"/>
      <c r="H16" s="45"/>
      <c r="I16" s="45"/>
      <c r="J16" s="45"/>
      <c r="K16" s="45"/>
      <c r="L16" s="45"/>
      <c r="M16" s="45"/>
      <c r="N16" s="45"/>
      <c r="O16" s="45"/>
      <c r="P16" s="46"/>
      <c r="Q16" s="38" t="e">
        <f>Q15</f>
        <v>#REF!</v>
      </c>
    </row>
    <row r="17" spans="1:17" ht="13" thickBot="1" x14ac:dyDescent="0.3">
      <c r="A17" s="47"/>
      <c r="B17" s="48"/>
      <c r="C17" s="48"/>
      <c r="D17" s="48"/>
      <c r="E17" s="173" t="str">
        <f>' NotaPedido'!D34</f>
        <v>Cuarenta y Nueve Millones Quinientos Sesenta y Cuatro Mil Setecientos Siete con 50/100.-</v>
      </c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4"/>
    </row>
    <row r="18" spans="1:17" ht="17.25" customHeight="1" thickBot="1" x14ac:dyDescent="0.3">
      <c r="A18" s="161" t="s">
        <v>105</v>
      </c>
      <c r="B18" s="162"/>
      <c r="C18" s="162"/>
      <c r="D18" s="162"/>
      <c r="E18" s="162"/>
      <c r="F18" s="163"/>
      <c r="G18" s="164"/>
      <c r="H18" s="165"/>
      <c r="I18" s="165"/>
      <c r="J18" s="165"/>
      <c r="K18" s="165"/>
      <c r="L18" s="165"/>
      <c r="M18" s="165"/>
      <c r="N18" s="165"/>
      <c r="O18" s="165"/>
      <c r="P18" s="165"/>
      <c r="Q18" s="166"/>
    </row>
    <row r="19" spans="1:17" ht="13.5" customHeight="1" x14ac:dyDescent="0.25">
      <c r="A19" s="167" t="str">
        <f>' NotaPedido'!D8</f>
        <v>Adquisición de Combustible destinados a los moviles de la Institucion Policial</v>
      </c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9"/>
    </row>
    <row r="20" spans="1:17" ht="14.25" customHeight="1" thickBot="1" x14ac:dyDescent="0.3">
      <c r="A20" s="170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2"/>
    </row>
  </sheetData>
  <mergeCells count="23">
    <mergeCell ref="O15:P15"/>
    <mergeCell ref="A18:F18"/>
    <mergeCell ref="G18:Q18"/>
    <mergeCell ref="A19:Q20"/>
    <mergeCell ref="E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agusf</cp:lastModifiedBy>
  <cp:revision>2</cp:revision>
  <cp:lastPrinted>2022-06-29T12:09:30Z</cp:lastPrinted>
  <dcterms:created xsi:type="dcterms:W3CDTF">2020-07-17T23:44:49Z</dcterms:created>
  <dcterms:modified xsi:type="dcterms:W3CDTF">2022-10-20T15:35:13Z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