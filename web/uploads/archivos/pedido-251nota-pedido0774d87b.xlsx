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NotaPedido'!$A$1:$K$56</definedName>
    <definedName name="_xlnm.Print_Area" localSheetId="2">'Autor Gastar'!$A$1:$Q$27</definedName>
    <definedName name="_xlnm.Print_Area" localSheetId="0">'Necesidades Trimestrales'!$E$9:$E$53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0" i="3" l="1"/>
  <c r="J13" i="2" l="1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B12" i="2" l="1"/>
  <c r="B13" i="2"/>
  <c r="I14" i="2" l="1"/>
  <c r="K12" i="2"/>
  <c r="J12" i="2"/>
  <c r="I12" i="2"/>
  <c r="I13" i="2"/>
  <c r="C12" i="2"/>
  <c r="C13" i="2"/>
  <c r="I10" i="1" l="1"/>
  <c r="I11" i="1"/>
  <c r="C31" i="2" l="1"/>
  <c r="Q23" i="3" l="1"/>
  <c r="B14" i="2" l="1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C52" i="2"/>
  <c r="C53" i="2"/>
  <c r="C54" i="2"/>
  <c r="C55" i="2"/>
  <c r="C45" i="2"/>
  <c r="C46" i="2"/>
  <c r="C47" i="2"/>
  <c r="C48" i="2"/>
  <c r="C49" i="2"/>
  <c r="C50" i="2"/>
  <c r="C51" i="2"/>
  <c r="C40" i="2"/>
  <c r="C41" i="2"/>
  <c r="C42" i="2"/>
  <c r="C43" i="2"/>
  <c r="C44" i="2"/>
  <c r="C32" i="2"/>
  <c r="C33" i="2"/>
  <c r="C34" i="2"/>
  <c r="C35" i="2"/>
  <c r="C36" i="2"/>
  <c r="C37" i="2"/>
  <c r="C38" i="2"/>
  <c r="C39" i="2"/>
  <c r="C30" i="2"/>
  <c r="C29" i="2"/>
  <c r="C25" i="2"/>
  <c r="C26" i="2"/>
  <c r="C27" i="2"/>
  <c r="C28" i="2"/>
  <c r="C20" i="2"/>
  <c r="C21" i="2"/>
  <c r="C22" i="2"/>
  <c r="C23" i="2"/>
  <c r="C24" i="2"/>
  <c r="C15" i="2"/>
  <c r="C16" i="2"/>
  <c r="C17" i="2"/>
  <c r="C18" i="2"/>
  <c r="C19" i="2"/>
  <c r="C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12" i="1" l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G6" i="3" l="1"/>
  <c r="G7" i="3"/>
  <c r="D7" i="2"/>
  <c r="D3" i="2"/>
  <c r="G4" i="3" s="1"/>
  <c r="D4" i="2"/>
  <c r="G5" i="3" s="1"/>
  <c r="D1" i="3" l="1"/>
  <c r="J56" i="2" l="1"/>
</calcChain>
</file>

<file path=xl/sharedStrings.xml><?xml version="1.0" encoding="utf-8"?>
<sst xmlns="http://schemas.openxmlformats.org/spreadsheetml/2006/main" count="349" uniqueCount="173">
  <si>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</si>
  <si>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</si>
  <si>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</si>
  <si>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</si>
  <si>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</si>
  <si>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</si>
  <si>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</si>
  <si>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</si>
  <si>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</si>
  <si>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</si>
  <si>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</si>
  <si>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</si>
  <si>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</si>
  <si>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</si>
  <si>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</si>
  <si>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</si>
  <si>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</si>
  <si>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</si>
  <si>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</si>
  <si>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</si>
  <si>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</si>
  <si>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</si>
  <si>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</si>
  <si>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</si>
  <si>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</si>
  <si>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</si>
  <si>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</si>
  <si>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</si>
  <si>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</si>
  <si>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</si>
  <si>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</si>
  <si>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</si>
  <si>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</si>
  <si>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</si>
  <si>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</si>
  <si>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</si>
  <si>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</si>
  <si>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</si>
  <si>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</si>
  <si>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</si>
  <si>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</si>
  <si>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</si>
  <si>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</si>
  <si>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</si>
  <si>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</si>
  <si>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</si>
  <si>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</si>
  <si>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</si>
  <si>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</si>
  <si>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</si>
  <si>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</si>
  <si>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</si>
  <si>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</si>
  <si>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ALIMENTOS</t>
  </si>
  <si>
    <t>2.1.1</t>
  </si>
  <si>
    <t>KG.</t>
  </si>
  <si>
    <t>2.1.1-6546.207</t>
  </si>
  <si>
    <t>VERDURAS Y HORTALIZAS; VARIEDAD: BATATA, ESTADO: NATURAL, PRESENTACION: BOLSA, PESO: 10 Kg</t>
  </si>
  <si>
    <t>VERDURAS Y HORTALIZAS; VARIEDAD: BERENJENA, ESTADO: NATURAL, PRESENTACION: GRANEL, PESO: SIN VALOR</t>
  </si>
  <si>
    <t>2.1.1-6546.177</t>
  </si>
  <si>
    <t>VERDURAS Y HORTALIZAS; VARIEDAD: CEBOLLA, ESTADO: NATURAL, PRESENTACION: BOLSA, PESO: 20 Kg</t>
  </si>
  <si>
    <t>2.1.1-6546.236</t>
  </si>
  <si>
    <t>CARNES; TIPO: PORCINA, CORTE: COSTELETA</t>
  </si>
  <si>
    <t>2.1.1-541.164</t>
  </si>
  <si>
    <t>CARNES; ESPECIE: VACUNA, CORTE: CUADRIL, TIPO: VACUNA</t>
  </si>
  <si>
    <t>2.1.1-541.27</t>
  </si>
  <si>
    <t>AVES; TIPO: POLLO, PRESENTACION: PATA MUSLO, EVISCERADO: SI, ELEM. TRANSPORTE: SIN, MATERIAL ELEM. TRANSPORTE: SIN, LIBRE DE GLUTEN: SIN VALOR</t>
  </si>
  <si>
    <t>2.1.1-621.19</t>
  </si>
  <si>
    <t>CAJON</t>
  </si>
  <si>
    <t>HUEVO DE GALLINA; TAMAÑO: GRANDE, COLOR: COLOR, PRESENTACION: 30 UN</t>
  </si>
  <si>
    <t>2.1.1-483.37</t>
  </si>
  <si>
    <t>VERDURAS Y HORTALIZAS; VARIEDAD: LECHUGA ARREPOLLADA, ESTADO: NATURAL, PRESENTACION: A GRANEL, PESO: 300 GR CADA PLANTA, ELEM. TRANSPORTE: SIN, MATERIAL ELEM. TRANSPORTE: SIN, LIBRE DE GLUTEN: SI</t>
  </si>
  <si>
    <t>2.1.1-6546.374</t>
  </si>
  <si>
    <t>FRUTAS; ESTADO: NATURAL, VARIEDAD: NARANJA PARA JUGO, PRESENTACION: A GRANEL, PESO: SIN VALOR</t>
  </si>
  <si>
    <t>2.1.1-6539.7</t>
  </si>
  <si>
    <t>PANES; TIPO: RALLADO, PRESENTACION: BOLSA DE 1000 GR</t>
  </si>
  <si>
    <t>2.1.1-669.25</t>
  </si>
  <si>
    <t>AVES; ESPECIE: PECHUGA DE POLLO, PRESENTACION: A GRANEL, EVISCERADO: SIN MENUDOS, TIPO: PECHUGA DE POLLO</t>
  </si>
  <si>
    <t>2.1.1-621.15</t>
  </si>
  <si>
    <t>VERDURAS Y HORTALIZAS; VARIEDAD: MORRON VERDE, ESTADO: NATURAL, PRESENTACION: GRANEL, PESO: SIN VALOR</t>
  </si>
  <si>
    <t>2.1.1-6546.95</t>
  </si>
  <si>
    <t>QUESOS; TIPO: CREMOSO, PRESENTACION: AL PESO, ELEM. TRANSPORTE: SIN, MATERIAL ELEM. TRANSPORTE: SIN, MATERIAL ENVASE: SIN, CERTIFICADO FORESTAL (GFS): SIN, LIBRE DE GLUTEN: A DEFINIR</t>
  </si>
  <si>
    <t>2.1.1-542.236</t>
  </si>
  <si>
    <t>QUESOS; TIPO: TYBO, PRESENTACION: HORMA, ELEM. TRANSPORTE: SIN, MATERIAL ELEM. TRANSPORTE: SIN, MATERIAL ENVASE: PLASTICO, CERTIFICADO FORESTAL (GFS): SIN, LIBRE DE GLUTEN: NO</t>
  </si>
  <si>
    <t>2.1.1-542.197</t>
  </si>
  <si>
    <t>VERDURAS Y HORTALIZAS; PESO: SIN VALOR, VARIEDAD: REMOLACHA, ESTADO: NATURAL, PRESENTACION: GRANEL</t>
  </si>
  <si>
    <t>2.1.1-6546.124</t>
  </si>
  <si>
    <t>TAPAS P/EMPANADAS; TIPO: P/HORNO, PRESENTACION: BOLSA X 12</t>
  </si>
  <si>
    <t>2.1.1-2610.1</t>
  </si>
  <si>
    <t>TAPAS P/TARTAS; TIPO: REDONDA, MASA: CASERA, PRESENTACION: BOLSA</t>
  </si>
  <si>
    <t>2.1.1-2429.1</t>
  </si>
  <si>
    <t>YOGHURT; TIPO: DESCREMADO, AGREGADO: SIN, CONSISTENCIA: FIRME, SABOR: VAINILLA-FRUTILLA, PRESENTACION: POTE PLASTICO X 190 mL</t>
  </si>
  <si>
    <t>2.1.1-456.91</t>
  </si>
  <si>
    <t>2.1.1-456.90</t>
  </si>
  <si>
    <t>YOGHURT; TIPO: ENTERO, AGREGADO: SIN, CONSISTENCIA: FIRME, SABOR: VAINILLA-FRUTILLA, PRESENTACION: POTE PLASTICO X 190 mL</t>
  </si>
  <si>
    <t>VERDURAS Y HORTALIZAS; ESTADO: NATURAL, PRESENTACION: GRANEL, PESO: SIN VALOR, VARIEDAD: ZAPALLO CRIOLLO</t>
  </si>
  <si>
    <t>2.1.1-6546.188</t>
  </si>
  <si>
    <t>040 - Ministerio de Salud</t>
  </si>
  <si>
    <t>Servicio de Alimentacion y Dietoterapia</t>
  </si>
  <si>
    <t>1.1</t>
  </si>
  <si>
    <t>Alimentos para Personas</t>
  </si>
  <si>
    <t>NO</t>
  </si>
  <si>
    <t>FRUTAS; VARIEDAD: LIMON, ESTADO: NATURAL, PRESENTACION: CAJON X 1 Kg, PESO: 1 Kg</t>
  </si>
  <si>
    <t>2.1.1-6539.84</t>
  </si>
  <si>
    <t>PASTAS FRESCAS; VARIEDAD: RAVIOL, RELLENO: VERDURA Y POLLO, PRESENTACION: ENVASE X 500 GR</t>
  </si>
  <si>
    <t>2.1.1-707.38</t>
  </si>
  <si>
    <t>PANES; TIPO: FRANCES, PRESENTACION: ENVASE X 1 Kg</t>
  </si>
  <si>
    <t>2.1.1-669.64</t>
  </si>
  <si>
    <r>
      <rPr>
        <b/>
        <u/>
        <sz val="10"/>
        <rFont val="Times New Roman"/>
        <family val="1"/>
      </rPr>
      <t>Descripción técnica</t>
    </r>
    <r>
      <rPr>
        <b/>
        <sz val="10"/>
        <rFont val="Times New Roman"/>
        <family val="1"/>
      </rPr>
      <t>:</t>
    </r>
  </si>
  <si>
    <t>Adquisición de Alimentos Perecederos</t>
  </si>
  <si>
    <t>FRUTAS; VARIEDAD: BANANA, ESTADO: NATURAL, PRESENTACION: ENVASE X 15 Kg, ELEM. TRANSPORTE: CAJON, MATERIAL ELEM. TRANSPORTE: CARTON</t>
  </si>
  <si>
    <t>2.1.1-6539.171</t>
  </si>
  <si>
    <t>PESCADOS Y FRUTOS CONGELADOS; TIPO: FILET DE MERLUZA, ENVASE: POLIESTIRENO, PRESENTACION: ENVASE X 1 Kg, ELEM. TRANSPORTE: SIN, MATERIAL ELEM. TRANSPORTE: SIN</t>
  </si>
  <si>
    <t>2.1.1-590.27</t>
  </si>
  <si>
    <t>FIAMBRES; TIPO: JAMON COCIDO ITALIANO, PRESENTACION: AL PESO</t>
  </si>
  <si>
    <t>2.1.1-969.35</t>
  </si>
  <si>
    <t>VERDURAS Y HORTALIZAS; VARIEDAD: ZAPALLITO REDONDO, ESTADO: NATURAL, PRESENTACION: SIN VALOR, PESO: 20 Kg</t>
  </si>
  <si>
    <t>2.1.1-6546.240</t>
  </si>
  <si>
    <t xml:space="preserve"> </t>
  </si>
  <si>
    <t>Para la adquisición de Alimentos Perecederos destinados al servico de Alimentacion y Dietoterapia del Hospital Interzonal de Niños Eva Peron, para el normal funcionamiento del organismo.</t>
  </si>
  <si>
    <t>ADEREZOS; TIPO: MAYONESA LIGHT, PRESENTACION: ENVASE X 475 GR, LIBRE DE GLUTEN: SIN VALOR</t>
  </si>
  <si>
    <t>2.1.1-438.83</t>
  </si>
  <si>
    <t>2.1.1-438.79</t>
  </si>
  <si>
    <t>ADEREZOS; TIPO: SALSA DE SOJA, PRESENTACION: ENVASE X 1 L, LIBRE DE GLUTEN: SIN VALOR</t>
  </si>
  <si>
    <t>2.1.1-541.70</t>
  </si>
  <si>
    <t>CARNES; CORTE: CARRE CON LOMO, TIPO: PORCINA, ESPECIE: PORCINA</t>
  </si>
  <si>
    <t>KG</t>
  </si>
  <si>
    <t>2.1.1-541.20</t>
  </si>
  <si>
    <t>CARNES; CORTE: TAPA DE NALGA, ESPECIE: VACUNA, TIPO: VACUNA</t>
  </si>
  <si>
    <t>2.1.1-541.7</t>
  </si>
  <si>
    <t>CARNES; ESPECIE: VACUNA, CORTE: PICADA ESPECIAL, TIPO: VACUNA</t>
  </si>
  <si>
    <t>2.1.1-6539.19</t>
  </si>
  <si>
    <t>FRUTAS: ESTADO: NATURAL VARIEDAD: MANZANA RED ELEGIDA, PRESENTACION: CAJON PESO: SIN VALOR</t>
  </si>
  <si>
    <t>2.1.1-6539.32</t>
  </si>
  <si>
    <t>FRUTAS; VARIEDAD: PERA AMARILLA, ESTADO: NATURAL, PRESENTACION: CAJON, PESO: SIN VALOR</t>
  </si>
  <si>
    <t>2.1.1-542.207</t>
  </si>
  <si>
    <t>QUESOS; TIPO: SARDO, PRESENTACION: HORMA X 3 Kg, ELEM. TRANSPORTE: SIN, MATERIAL ELEM. TRANSPORTE: SIN, MATERIAL ENVASE: SIN, CERTIFICADO FORESTAL (GFS): SIN, LIBRE DE GLUTEN: NO</t>
  </si>
  <si>
    <t>2.1.1-6546.154</t>
  </si>
  <si>
    <r>
      <rPr>
        <sz val="11"/>
        <color rgb="FF000000"/>
        <rFont val="Calibri"/>
        <family val="2"/>
      </rPr>
      <t>VERDURAS Y HORTALIZAS; ESTADO: NATURAL, PESO: SIN VALOR, VARIEDAD: AJO, PRESENTA</t>
    </r>
    <r>
      <rPr>
        <sz val="11"/>
        <color rgb="FF000000"/>
        <rFont val="Calibri"/>
        <family val="2"/>
      </rPr>
      <t>CION: UNIDAD</t>
    </r>
  </si>
  <si>
    <t>2.1.1-6546.100</t>
  </si>
  <si>
    <t>VERDURAS Y HORTALIZAS; ESTADO: NATURAL, PRESENTACION: GRANEL, VARIEDAD: PAPA BLANCA, PESO: SIN VALOR</t>
  </si>
  <si>
    <t>2.1.1-6546.158</t>
  </si>
  <si>
    <t>VERDURAS Y HORTALIZAS; ESTADO: NATURAL, VARIEDAD: ZAPALLO ANCO, PRESENTACION: GRANEL, PESO: SIN VALOR</t>
  </si>
  <si>
    <t>2.1.1-6546.133</t>
  </si>
  <si>
    <t>VERDURAS Y HORTALIZAS; VARIEDAD: PEREJIL, ESTADO: NATURAL, PRESENTACION: ATADO, PESO: 1 Kg</t>
  </si>
  <si>
    <t>2.1.1-6546.390</t>
  </si>
  <si>
    <t>VERDURAS Y HORTALIZAS; VARIEDAD: TOMATE REDONDO, ESTADO: NATURAL, PRESENTACION: CAJON, PESO: 17 A 22 Kg, ELEM. TRANSPORTE: SIN, MATERIAL ELEM. TRANSPORTE: SIN, LIBRE DE GLUTEN: SI, ORGANICO: NO</t>
  </si>
  <si>
    <t>2.1.1-6546.298</t>
  </si>
  <si>
    <t>VERDURAS Y HORTALIZAS; VARIEDAD: ZUCHINI, ESTADO: NATURAL, PRESENTACION: CAJON, PESO: 18 Kg</t>
  </si>
  <si>
    <t>2.1.1-438.93</t>
  </si>
  <si>
    <t>ADEREZOS; TIPO: MOSTAZA, PRESENTACION: ENVASE X 1 Kg, LIBRE DE GLUTEN: NO</t>
  </si>
  <si>
    <r>
      <rPr>
        <b/>
        <u/>
        <sz val="10"/>
        <rFont val="Times New Roman"/>
        <family val="1"/>
      </rPr>
      <t>Lugar de Entrega</t>
    </r>
    <r>
      <rPr>
        <u/>
        <sz val="10"/>
        <rFont val="Times New Roman"/>
        <family val="1"/>
      </rPr>
      <t xml:space="preserve">: </t>
    </r>
    <r>
      <rPr>
        <sz val="10"/>
        <rFont val="Times New Roman"/>
        <family val="1"/>
      </rPr>
      <t>SERVICIO DE ALIMENTACION Y DIETOTERAPIA -HOSPITAL INT. DE NIÑOS EVA PERON – AV. VIRGEN DEL VALLE N° 1050-CATAMARCA DE 8:00 A 12:00HS., DEBIENDO CORRER LOS GASTOS DE FLETES, ACARREO, CARGA, DESCARGA Y SEGURO A CARGO DEL ADJUDICATARIO.</t>
    </r>
  </si>
  <si>
    <r>
      <rPr>
        <b/>
        <u/>
        <sz val="10"/>
        <rFont val="Times New Roman"/>
        <family val="1"/>
      </rPr>
      <t>Plazo de entrega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Dentro de los SETENTA (70) DIAS CORRIDOS a partir del perfeccionamiento de la Orden de Compra Abierta respectiva.
CANTIDAD Y FRECUENCIA APROXIMADA DE LAS SOLICITUDES DE PROVISION: Se realizara tres (3) solicitudes de provision por cada Orden de Compra Abierta; la primera Solicitud sera emitida al notificarse la Orden de Compra correspondiente, la segunda a los treinta (30) días corridos de emitida la primera solicitud y la tercera a los treinta (30) dias corridos de emitida la segunda solicitud.
PLAZO DE ENTREGA DE CADA SOLICITUD DE PROVISION: El plazo de entrega de cada solicitud de provisión es de hasta diez (10) días hábiles desde la notificación de la misma.</t>
    </r>
  </si>
  <si>
    <t>2.1.1-6546.169</t>
  </si>
  <si>
    <t>VERDURAS Y HORTALIZAS; VARIEDAD: ESPINACA, PRESENTACION: ATADO, ESTADO: NATURAL, PESO: SIN VALOR</t>
  </si>
  <si>
    <t>2.1.1-6546.167</t>
  </si>
  <si>
    <t>VERDURAS Y HORTALIZAS; VARIEDAD: ZANAHORIA, PRESENTACION: BOLSA, ESTADO: NATURAL, PESO: 20 Kg</t>
  </si>
  <si>
    <r>
      <rPr>
        <b/>
        <u/>
        <sz val="10"/>
        <rFont val="Times New Roman"/>
        <family val="1"/>
      </rPr>
      <t>Plazo de mantenimiento de Oferta</t>
    </r>
    <r>
      <rPr>
        <u/>
        <sz val="10"/>
        <rFont val="Times New Roman"/>
        <family val="1"/>
      </rPr>
      <t>:</t>
    </r>
    <r>
      <rPr>
        <sz val="10"/>
        <rFont val="Times New Roman"/>
        <family val="1"/>
      </rPr>
      <t xml:space="preserve"> Cuarenta y Cinco (45) días habiles.</t>
    </r>
  </si>
  <si>
    <t>055/2022</t>
  </si>
  <si>
    <t>24 - Direccion de Administracion del Hospital Interzonal de Niños Eva Peron</t>
  </si>
  <si>
    <t>Costo total estimado Pesos: Siete Millones Cuatrocientos Ochenta y Nueve Mil Seiscientos Cincuenta con 00/100.</t>
  </si>
  <si>
    <t>TOTAL DE PESOS: SIETE MILLONES CUATROCIENTOS OCHENTA Y NUEVE MIL SEISCIENTOS CINCUENTA CON 00/100.</t>
  </si>
  <si>
    <t>ITEM 4:  PRESENTACION EN CAJA DE 20 KG.</t>
  </si>
  <si>
    <t xml:space="preserve">ITEM 12:  PRESENTACION EN CAJON DE 20 KG. </t>
  </si>
  <si>
    <t>ITEM 16:  PRESENTACION  EN CAJON DE 15 KG.</t>
  </si>
  <si>
    <t>ITEM 17: UNIDAD = 30 HUEVOS</t>
  </si>
  <si>
    <t>ITEM 23:  PRESENTACION EN HORMA DE 3 KG.</t>
  </si>
  <si>
    <t>ITEM 24:  PRESENTACION  EN HORMA DE 3 KG.</t>
  </si>
  <si>
    <t>ITEM 27:  1 UNIDAD = 1 RISTRA DE UN KILOGRAMO APROX.</t>
  </si>
  <si>
    <t>ITEM 35:  1 UNIDAD = 1 ATADO POR 300 GRS. APROXIMADAMENTE.</t>
  </si>
  <si>
    <t>ITEM 39:  PRESENTACION EN CAJON DE 20 KG.</t>
  </si>
  <si>
    <t>ITEM 5:  PRESENTACION EN CAJA DE 20 KG.</t>
  </si>
  <si>
    <r>
      <rPr>
        <b/>
        <u/>
        <sz val="10"/>
        <rFont val="Times New Roman"/>
        <family val="1"/>
      </rPr>
      <t>Forma de Pago</t>
    </r>
    <r>
      <rPr>
        <sz val="10"/>
        <rFont val="Times New Roman"/>
        <family val="1"/>
      </rPr>
      <t>: se realizara pago parciales dentro de los treinta (30) dias, debiendo presentar la factura correspondiente a lo entregado segun cada solicitud de provision.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</si>
</sst>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#,##0.00"/>
    <numFmt numFmtId="170" formatCode="[$$-2C0A]#,##0.00"/>
  </numFmts>
  <fonts count="2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u/>
      <sz val="10"/>
      <name val="Times New Roman"/>
      <family val="1"/>
    </font>
    <font>
      <u/>
      <sz val="9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</borders>
  <cellStyleXfs count="6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  <xf numFmtId="0" fontId="14" fillId="0" borderId="0"/>
  </cellStyleXfs>
  <cellXfs count="15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6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6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6" fontId="0" fillId="0" borderId="44" xfId="3" applyNumberFormat="1" applyFont="1" applyBorder="1" applyAlignment="1" applyProtection="1">
      <alignment horizontal="center" vertical="center"/>
    </xf>
    <xf numFmtId="166" fontId="13" fillId="0" borderId="45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166" fontId="15" fillId="0" borderId="0" xfId="0" applyNumberFormat="1" applyFont="1"/>
    <xf numFmtId="0" fontId="5" fillId="3" borderId="11" xfId="0" applyFont="1" applyFill="1" applyBorder="1" applyAlignment="1">
      <alignment horizontal="right" vertical="center"/>
    </xf>
    <xf numFmtId="0" fontId="6" fillId="4" borderId="12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20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 wrapText="1"/>
    </xf>
    <xf numFmtId="166" fontId="4" fillId="3" borderId="20" xfId="1" applyNumberFormat="1" applyFont="1" applyFill="1" applyBorder="1" applyAlignment="1" applyProtection="1">
      <alignment horizontal="right" vertical="center" wrapText="1"/>
    </xf>
    <xf numFmtId="3" fontId="4" fillId="3" borderId="20" xfId="0" applyNumberFormat="1" applyFont="1" applyFill="1" applyBorder="1" applyAlignment="1">
      <alignment horizontal="center" vertical="center"/>
    </xf>
    <xf numFmtId="0" fontId="4" fillId="3" borderId="50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left" wrapText="1" indent="1"/>
    </xf>
    <xf numFmtId="0" fontId="19" fillId="3" borderId="0" xfId="0" applyFont="1" applyFill="1" applyAlignment="1">
      <alignment horizontal="left" wrapText="1"/>
    </xf>
    <xf numFmtId="0" fontId="0" fillId="4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0" fillId="4" borderId="34" xfId="0" applyFont="1" applyFill="1" applyBorder="1" applyAlignment="1">
      <alignment horizontal="center" vertical="center"/>
    </xf>
    <xf numFmtId="0" fontId="14" fillId="4" borderId="33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left" vertical="center"/>
    </xf>
    <xf numFmtId="166" fontId="20" fillId="4" borderId="52" xfId="1" applyNumberFormat="1" applyFont="1" applyFill="1" applyBorder="1" applyAlignment="1" applyProtection="1">
      <alignment horizontal="right" vertical="center" wrapText="1"/>
    </xf>
    <xf numFmtId="0" fontId="23" fillId="4" borderId="6" xfId="5" applyFont="1" applyFill="1" applyBorder="1" applyAlignment="1">
      <alignment horizontal="left" wrapText="1"/>
    </xf>
    <xf numFmtId="0" fontId="20" fillId="3" borderId="55" xfId="0" applyFont="1" applyFill="1" applyBorder="1" applyAlignment="1">
      <alignment horizontal="center" vertical="center"/>
    </xf>
    <xf numFmtId="0" fontId="20" fillId="3" borderId="51" xfId="0" applyFont="1" applyFill="1" applyBorder="1" applyAlignment="1">
      <alignment horizontal="center" vertical="center"/>
    </xf>
    <xf numFmtId="0" fontId="15" fillId="0" borderId="0" xfId="0" applyFont="1" applyBorder="1"/>
    <xf numFmtId="0" fontId="15" fillId="0" borderId="7" xfId="0" applyFont="1" applyBorder="1"/>
    <xf numFmtId="166" fontId="20" fillId="4" borderId="61" xfId="1" applyNumberFormat="1" applyFont="1" applyFill="1" applyBorder="1" applyAlignment="1" applyProtection="1">
      <alignment horizontal="right" vertical="center" wrapText="1"/>
    </xf>
    <xf numFmtId="0" fontId="19" fillId="0" borderId="59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 wrapText="1"/>
    </xf>
    <xf numFmtId="0" fontId="0" fillId="0" borderId="56" xfId="0" applyFont="1" applyBorder="1" applyAlignment="1">
      <alignment horizontal="center" vertical="center"/>
    </xf>
    <xf numFmtId="0" fontId="0" fillId="0" borderId="60" xfId="0" applyFont="1" applyBorder="1" applyAlignment="1">
      <alignment horizontal="left" vertical="center" wrapText="1"/>
    </xf>
    <xf numFmtId="0" fontId="0" fillId="0" borderId="60" xfId="0" applyFont="1" applyBorder="1" applyAlignment="1">
      <alignment horizontal="center" vertical="center"/>
    </xf>
    <xf numFmtId="169" fontId="0" fillId="0" borderId="56" xfId="0" applyNumberFormat="1" applyFont="1" applyBorder="1" applyAlignment="1">
      <alignment horizontal="right" vertical="center"/>
    </xf>
    <xf numFmtId="0" fontId="0" fillId="0" borderId="56" xfId="0" applyFont="1" applyBorder="1" applyAlignment="1">
      <alignment horizontal="left" vertical="center" wrapText="1"/>
    </xf>
    <xf numFmtId="0" fontId="0" fillId="0" borderId="56" xfId="0" applyFont="1" applyFill="1" applyBorder="1" applyAlignment="1">
      <alignment horizontal="center" vertical="center" wrapText="1"/>
    </xf>
    <xf numFmtId="0" fontId="0" fillId="0" borderId="56" xfId="0" applyFont="1" applyFill="1" applyBorder="1" applyAlignment="1">
      <alignment horizontal="center" vertical="center"/>
    </xf>
    <xf numFmtId="0" fontId="0" fillId="0" borderId="56" xfId="0" applyFont="1" applyFill="1" applyBorder="1" applyAlignment="1">
      <alignment horizontal="left" vertical="center" wrapText="1"/>
    </xf>
    <xf numFmtId="169" fontId="0" fillId="0" borderId="56" xfId="0" applyNumberFormat="1" applyFont="1" applyFill="1" applyBorder="1" applyAlignment="1">
      <alignment horizontal="right" vertical="center"/>
    </xf>
    <xf numFmtId="0" fontId="0" fillId="0" borderId="56" xfId="0" applyFont="1" applyBorder="1" applyAlignment="1">
      <alignment vertical="center" wrapText="1"/>
    </xf>
    <xf numFmtId="0" fontId="0" fillId="0" borderId="56" xfId="0" applyFont="1" applyBorder="1" applyAlignment="1">
      <alignment wrapText="1"/>
    </xf>
    <xf numFmtId="0" fontId="0" fillId="0" borderId="57" xfId="0" applyFont="1" applyBorder="1" applyAlignment="1">
      <alignment horizontal="center" vertical="center" wrapText="1"/>
    </xf>
    <xf numFmtId="0" fontId="0" fillId="0" borderId="57" xfId="0" applyFont="1" applyBorder="1" applyAlignment="1">
      <alignment horizontal="center" vertical="center"/>
    </xf>
    <xf numFmtId="0" fontId="0" fillId="0" borderId="57" xfId="0" applyFont="1" applyBorder="1" applyAlignment="1">
      <alignment horizontal="left" vertical="center" wrapText="1"/>
    </xf>
    <xf numFmtId="169" fontId="0" fillId="0" borderId="57" xfId="0" applyNumberFormat="1" applyFont="1" applyBorder="1" applyAlignment="1">
      <alignment horizontal="right" vertical="center"/>
    </xf>
    <xf numFmtId="0" fontId="20" fillId="3" borderId="53" xfId="0" applyFont="1" applyFill="1" applyBorder="1" applyAlignment="1">
      <alignment horizontal="center" vertical="center"/>
    </xf>
    <xf numFmtId="166" fontId="20" fillId="4" borderId="54" xfId="1" applyNumberFormat="1" applyFont="1" applyFill="1" applyBorder="1" applyAlignment="1" applyProtection="1">
      <alignment horizontal="right" vertical="center" wrapText="1"/>
    </xf>
    <xf numFmtId="0" fontId="0" fillId="0" borderId="63" xfId="0" applyFont="1" applyBorder="1" applyAlignment="1">
      <alignment horizontal="center" vertical="center"/>
    </xf>
    <xf numFmtId="170" fontId="15" fillId="0" borderId="0" xfId="0" applyNumberFormat="1" applyFont="1"/>
    <xf numFmtId="0" fontId="28" fillId="0" borderId="56" xfId="0" applyFont="1" applyFill="1" applyBorder="1" applyAlignment="1">
      <alignment horizontal="center" vertical="center"/>
    </xf>
    <xf numFmtId="0" fontId="0" fillId="0" borderId="49" xfId="0" applyFont="1" applyBorder="1" applyAlignment="1">
      <alignment horizontal="center" vertical="center" wrapText="1"/>
    </xf>
    <xf numFmtId="0" fontId="27" fillId="0" borderId="56" xfId="0" applyFont="1" applyFill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 wrapText="1"/>
    </xf>
    <xf numFmtId="0" fontId="28" fillId="3" borderId="56" xfId="0" applyFont="1" applyFill="1" applyBorder="1" applyAlignment="1">
      <alignment horizontal="center" vertical="center"/>
    </xf>
    <xf numFmtId="0" fontId="28" fillId="3" borderId="56" xfId="0" applyFont="1" applyFill="1" applyBorder="1" applyAlignment="1">
      <alignment horizontal="center" vertical="center" wrapText="1"/>
    </xf>
    <xf numFmtId="0" fontId="0" fillId="0" borderId="62" xfId="0" applyFont="1" applyBorder="1" applyAlignment="1">
      <alignment horizontal="center" vertical="center"/>
    </xf>
    <xf numFmtId="0" fontId="28" fillId="3" borderId="56" xfId="0" applyFont="1" applyFill="1" applyBorder="1" applyAlignment="1">
      <alignment wrapText="1"/>
    </xf>
    <xf numFmtId="0" fontId="0" fillId="0" borderId="49" xfId="0" applyFont="1" applyBorder="1" applyAlignment="1">
      <alignment horizontal="left" vertical="center" wrapText="1"/>
    </xf>
    <xf numFmtId="0" fontId="0" fillId="0" borderId="56" xfId="0" applyBorder="1" applyAlignment="1">
      <alignment wrapText="1"/>
    </xf>
    <xf numFmtId="0" fontId="0" fillId="0" borderId="0" xfId="0" applyFont="1" applyBorder="1" applyAlignment="1">
      <alignment horizontal="left" vertical="center" wrapText="1"/>
    </xf>
    <xf numFmtId="0" fontId="0" fillId="0" borderId="62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center" vertical="center"/>
    </xf>
    <xf numFmtId="169" fontId="28" fillId="0" borderId="56" xfId="0" applyNumberFormat="1" applyFont="1" applyFill="1" applyBorder="1" applyAlignment="1">
      <alignment horizontal="right" vertical="center"/>
    </xf>
    <xf numFmtId="169" fontId="0" fillId="0" borderId="58" xfId="0" applyNumberFormat="1" applyFont="1" applyBorder="1" applyAlignment="1">
      <alignment horizontal="right" vertical="center"/>
    </xf>
    <xf numFmtId="169" fontId="0" fillId="0" borderId="49" xfId="0" applyNumberFormat="1" applyFont="1" applyBorder="1" applyAlignment="1">
      <alignment horizontal="right" vertical="center"/>
    </xf>
    <xf numFmtId="169" fontId="0" fillId="0" borderId="62" xfId="0" applyNumberFormat="1" applyFont="1" applyBorder="1" applyAlignment="1">
      <alignment horizontal="right" vertical="center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4" borderId="0" xfId="0" applyFont="1" applyFill="1" applyBorder="1" applyAlignment="1">
      <alignment horizontal="left" wrapText="1" indent="1"/>
    </xf>
    <xf numFmtId="0" fontId="15" fillId="4" borderId="8" xfId="5" applyFont="1" applyFill="1" applyBorder="1" applyAlignment="1">
      <alignment horizontal="left" wrapText="1"/>
    </xf>
    <xf numFmtId="0" fontId="15" fillId="4" borderId="9" xfId="5" applyFont="1" applyFill="1" applyBorder="1" applyAlignment="1">
      <alignment horizontal="left" wrapText="1"/>
    </xf>
    <xf numFmtId="0" fontId="15" fillId="4" borderId="10" xfId="5" applyFont="1" applyFill="1" applyBorder="1" applyAlignment="1">
      <alignment horizontal="left" wrapText="1"/>
    </xf>
    <xf numFmtId="0" fontId="23" fillId="4" borderId="3" xfId="5" applyFont="1" applyFill="1" applyBorder="1" applyAlignment="1">
      <alignment horizontal="left" wrapText="1"/>
    </xf>
    <xf numFmtId="0" fontId="23" fillId="4" borderId="4" xfId="5" applyFont="1" applyFill="1" applyBorder="1" applyAlignment="1">
      <alignment horizontal="left" wrapText="1"/>
    </xf>
    <xf numFmtId="0" fontId="23" fillId="4" borderId="5" xfId="5" applyFont="1" applyFill="1" applyBorder="1" applyAlignment="1">
      <alignment horizontal="left" wrapText="1"/>
    </xf>
    <xf numFmtId="0" fontId="26" fillId="3" borderId="0" xfId="0" applyFont="1" applyFill="1" applyBorder="1" applyAlignment="1">
      <alignment horizontal="left" vertical="center" wrapText="1"/>
    </xf>
    <xf numFmtId="0" fontId="15" fillId="4" borderId="6" xfId="5" applyFont="1" applyFill="1" applyBorder="1" applyAlignment="1">
      <alignment horizontal="left" wrapText="1"/>
    </xf>
    <xf numFmtId="0" fontId="15" fillId="4" borderId="0" xfId="5" applyFont="1" applyFill="1" applyBorder="1" applyAlignment="1">
      <alignment horizontal="left" wrapText="1"/>
    </xf>
    <xf numFmtId="0" fontId="15" fillId="4" borderId="7" xfId="5" applyFont="1" applyFill="1" applyBorder="1" applyAlignment="1">
      <alignment horizontal="left" wrapText="1"/>
    </xf>
    <xf numFmtId="0" fontId="4" fillId="3" borderId="2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0" fontId="7" fillId="3" borderId="16" xfId="0" applyFont="1" applyFill="1" applyBorder="1" applyAlignment="1">
      <alignment horizontal="left" vertical="center" wrapText="1"/>
    </xf>
    <xf numFmtId="0" fontId="7" fillId="3" borderId="17" xfId="0" applyFont="1" applyFill="1" applyBorder="1" applyAlignment="1">
      <alignment horizontal="left" vertical="center"/>
    </xf>
    <xf numFmtId="0" fontId="6" fillId="4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167" fontId="7" fillId="3" borderId="15" xfId="0" applyNumberFormat="1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4" fillId="0" borderId="14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4" fillId="0" borderId="48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/>
    </xf>
    <xf numFmtId="0" fontId="11" fillId="0" borderId="24" xfId="0" applyFont="1" applyBorder="1"/>
    <xf numFmtId="0" fontId="11" fillId="0" borderId="25" xfId="0" applyFont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4" fillId="0" borderId="33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0" fillId="0" borderId="39" xfId="0" applyFont="1" applyBorder="1" applyAlignment="1">
      <alignment horizontal="left" vertical="center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4" borderId="45" xfId="0" applyFont="1" applyFill="1" applyBorder="1" applyAlignment="1">
      <alignment horizontal="left" vertical="center" wrapText="1" indent="1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Border="1" applyAlignment="1">
      <alignment horizontal="left" vertical="center" wrapText="1"/>
    </xf>
    <xf numFmtId="0" fontId="0" fillId="0" borderId="23" xfId="0" applyBorder="1"/>
  </cellXfs>
  <cellStyles count="6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71"/>
  <sheetViews>
    <sheetView tabSelected="1" topLeftCell="A61" zoomScale="86" zoomScaleNormal="86" workbookViewId="0">
      <selection activeCell="D74" sqref="D74"/>
    </sheetView>
  </sheetViews>
  <sheetFormatPr baseColWidth="10" defaultColWidth="11" defaultRowHeight="12.75" x14ac:dyDescent="0.2"/>
  <cols>
    <col min="1" max="1" width="4.5703125" style="32" customWidth="1"/>
    <col min="2" max="2" width="14" style="32" customWidth="1"/>
    <col min="3" max="3" width="13.28515625" style="32" customWidth="1"/>
    <col min="4" max="4" width="8.42578125" style="32" customWidth="1"/>
    <col min="5" max="5" width="92.7109375" style="32" customWidth="1"/>
    <col min="6" max="6" width="11" style="32"/>
    <col min="7" max="7" width="11.5703125" style="32" customWidth="1"/>
    <col min="8" max="8" width="13.85546875" style="32" customWidth="1"/>
    <col min="9" max="9" width="18.5703125" style="32" customWidth="1"/>
    <col min="10" max="16384" width="11" style="32"/>
  </cols>
  <sheetData>
    <row r="2" spans="1:9" ht="27" x14ac:dyDescent="0.35">
      <c r="B2" s="108" t="s">
        <v>0</v>
      </c>
      <c r="C2" s="108"/>
      <c r="D2" s="108"/>
      <c r="E2" s="108"/>
      <c r="F2" s="108"/>
      <c r="G2" s="108"/>
      <c r="H2" s="108"/>
    </row>
    <row r="3" spans="1:9" ht="12" customHeight="1" x14ac:dyDescent="0.2"/>
    <row r="4" spans="1:9" ht="18" customHeight="1" x14ac:dyDescent="0.25">
      <c r="A4" s="107" t="s">
        <v>1</v>
      </c>
      <c r="B4" s="107"/>
      <c r="C4" s="109" t="s">
        <v>97</v>
      </c>
      <c r="D4" s="109"/>
      <c r="E4" s="109"/>
      <c r="F4" s="33"/>
      <c r="G4" s="34"/>
      <c r="H4" s="33"/>
    </row>
    <row r="5" spans="1:9" ht="18" customHeight="1" x14ac:dyDescent="0.25">
      <c r="A5" s="107" t="s">
        <v>2</v>
      </c>
      <c r="B5" s="107"/>
      <c r="C5" s="109" t="s">
        <v>159</v>
      </c>
      <c r="D5" s="109"/>
      <c r="E5" s="109"/>
      <c r="F5" s="33"/>
      <c r="G5" s="34"/>
      <c r="H5" s="33"/>
    </row>
    <row r="6" spans="1:9" ht="16.5" customHeight="1" x14ac:dyDescent="0.25">
      <c r="A6" s="107" t="s">
        <v>3</v>
      </c>
      <c r="B6" s="107"/>
      <c r="C6" s="51">
        <v>2022</v>
      </c>
      <c r="D6" s="52"/>
      <c r="E6" s="52"/>
      <c r="F6" s="33"/>
      <c r="G6" s="34"/>
      <c r="H6" s="33"/>
    </row>
    <row r="7" spans="1:9" ht="16.5" customHeight="1" x14ac:dyDescent="0.25">
      <c r="A7" s="107" t="s">
        <v>4</v>
      </c>
      <c r="B7" s="107"/>
      <c r="C7" s="51">
        <v>2</v>
      </c>
      <c r="D7" s="52"/>
      <c r="E7" s="52"/>
      <c r="F7" s="33"/>
      <c r="G7" s="34"/>
      <c r="H7" s="33"/>
    </row>
    <row r="8" spans="1:9" ht="13.5" thickBot="1" x14ac:dyDescent="0.25">
      <c r="B8" s="33"/>
      <c r="C8" s="34"/>
      <c r="D8" s="33"/>
      <c r="E8" s="33"/>
      <c r="F8" s="33"/>
      <c r="G8" s="34"/>
      <c r="H8" s="33"/>
    </row>
    <row r="9" spans="1:9" ht="39.75" thickTop="1" thickBot="1" x14ac:dyDescent="0.25">
      <c r="A9" s="35" t="s">
        <v>5</v>
      </c>
      <c r="B9" s="66" t="s">
        <v>6</v>
      </c>
      <c r="C9" s="66" t="s">
        <v>7</v>
      </c>
      <c r="D9" s="66" t="s">
        <v>8</v>
      </c>
      <c r="E9" s="66" t="s">
        <v>9</v>
      </c>
      <c r="F9" s="66" t="s">
        <v>10</v>
      </c>
      <c r="G9" s="66" t="s">
        <v>11</v>
      </c>
      <c r="H9" s="66" t="s">
        <v>12</v>
      </c>
      <c r="I9" s="66" t="s">
        <v>13</v>
      </c>
    </row>
    <row r="10" spans="1:9" ht="26.25" thickTop="1" x14ac:dyDescent="0.2">
      <c r="A10" s="61">
        <v>1</v>
      </c>
      <c r="B10" s="67" t="s">
        <v>121</v>
      </c>
      <c r="C10" s="68" t="s">
        <v>53</v>
      </c>
      <c r="D10" s="68" t="s">
        <v>54</v>
      </c>
      <c r="E10" s="69" t="s">
        <v>120</v>
      </c>
      <c r="F10" s="70" t="s">
        <v>14</v>
      </c>
      <c r="G10" s="70">
        <v>30</v>
      </c>
      <c r="H10" s="71">
        <v>650</v>
      </c>
      <c r="I10" s="65">
        <f t="shared" ref="I10:I36" si="0">G10*H10</f>
        <v>19500</v>
      </c>
    </row>
    <row r="11" spans="1:9" ht="15" x14ac:dyDescent="0.25">
      <c r="A11" s="62">
        <v>2</v>
      </c>
      <c r="B11" s="89" t="s">
        <v>149</v>
      </c>
      <c r="C11" s="94" t="s">
        <v>53</v>
      </c>
      <c r="D11" s="68" t="s">
        <v>54</v>
      </c>
      <c r="E11" s="97" t="s">
        <v>150</v>
      </c>
      <c r="F11" s="89" t="s">
        <v>14</v>
      </c>
      <c r="G11" s="74">
        <v>60</v>
      </c>
      <c r="H11" s="76">
        <v>550</v>
      </c>
      <c r="I11" s="59">
        <f t="shared" si="0"/>
        <v>33000</v>
      </c>
    </row>
    <row r="12" spans="1:9" x14ac:dyDescent="0.2">
      <c r="A12" s="62">
        <v>3</v>
      </c>
      <c r="B12" s="67" t="s">
        <v>122</v>
      </c>
      <c r="C12" s="68" t="s">
        <v>53</v>
      </c>
      <c r="D12" s="68" t="s">
        <v>54</v>
      </c>
      <c r="E12" s="72" t="s">
        <v>123</v>
      </c>
      <c r="F12" s="68" t="s">
        <v>14</v>
      </c>
      <c r="G12" s="68">
        <v>6</v>
      </c>
      <c r="H12" s="71">
        <v>600</v>
      </c>
      <c r="I12" s="59">
        <f t="shared" si="0"/>
        <v>3600</v>
      </c>
    </row>
    <row r="13" spans="1:9" ht="25.5" x14ac:dyDescent="0.2">
      <c r="A13" s="62">
        <v>4</v>
      </c>
      <c r="B13" s="73" t="s">
        <v>78</v>
      </c>
      <c r="C13" s="74" t="s">
        <v>53</v>
      </c>
      <c r="D13" s="74" t="s">
        <v>54</v>
      </c>
      <c r="E13" s="75" t="s">
        <v>77</v>
      </c>
      <c r="F13" s="74" t="s">
        <v>14</v>
      </c>
      <c r="G13" s="74">
        <v>80</v>
      </c>
      <c r="H13" s="76">
        <v>14000</v>
      </c>
      <c r="I13" s="59">
        <f t="shared" si="0"/>
        <v>1120000</v>
      </c>
    </row>
    <row r="14" spans="1:9" ht="30" x14ac:dyDescent="0.25">
      <c r="A14" s="62">
        <v>5</v>
      </c>
      <c r="B14" s="87" t="s">
        <v>67</v>
      </c>
      <c r="C14" s="94" t="s">
        <v>53</v>
      </c>
      <c r="D14" s="68" t="s">
        <v>54</v>
      </c>
      <c r="E14" s="97" t="s">
        <v>66</v>
      </c>
      <c r="F14" s="87" t="s">
        <v>68</v>
      </c>
      <c r="G14" s="87">
        <v>100</v>
      </c>
      <c r="H14" s="103">
        <v>6000</v>
      </c>
      <c r="I14" s="59">
        <f t="shared" si="0"/>
        <v>600000</v>
      </c>
    </row>
    <row r="15" spans="1:9" x14ac:dyDescent="0.2">
      <c r="A15" s="62">
        <v>6</v>
      </c>
      <c r="B15" s="67" t="s">
        <v>124</v>
      </c>
      <c r="C15" s="68" t="s">
        <v>53</v>
      </c>
      <c r="D15" s="68" t="s">
        <v>54</v>
      </c>
      <c r="E15" s="72" t="s">
        <v>125</v>
      </c>
      <c r="F15" s="68" t="s">
        <v>126</v>
      </c>
      <c r="G15" s="68">
        <v>100</v>
      </c>
      <c r="H15" s="71">
        <v>850</v>
      </c>
      <c r="I15" s="59">
        <f t="shared" si="0"/>
        <v>85000</v>
      </c>
    </row>
    <row r="16" spans="1:9" x14ac:dyDescent="0.2">
      <c r="A16" s="62">
        <v>7</v>
      </c>
      <c r="B16" s="67" t="s">
        <v>127</v>
      </c>
      <c r="C16" s="68" t="s">
        <v>53</v>
      </c>
      <c r="D16" s="68" t="s">
        <v>54</v>
      </c>
      <c r="E16" s="72" t="s">
        <v>128</v>
      </c>
      <c r="F16" s="68" t="s">
        <v>126</v>
      </c>
      <c r="G16" s="68">
        <v>640</v>
      </c>
      <c r="H16" s="71">
        <v>1300</v>
      </c>
      <c r="I16" s="59">
        <f t="shared" si="0"/>
        <v>832000</v>
      </c>
    </row>
    <row r="17" spans="1:9" x14ac:dyDescent="0.2">
      <c r="A17" s="62">
        <v>8</v>
      </c>
      <c r="B17" s="67" t="s">
        <v>65</v>
      </c>
      <c r="C17" s="68" t="s">
        <v>53</v>
      </c>
      <c r="D17" s="68" t="s">
        <v>54</v>
      </c>
      <c r="E17" s="72" t="s">
        <v>64</v>
      </c>
      <c r="F17" s="68" t="s">
        <v>126</v>
      </c>
      <c r="G17" s="68">
        <v>640</v>
      </c>
      <c r="H17" s="71">
        <v>1500</v>
      </c>
      <c r="I17" s="59">
        <f t="shared" si="0"/>
        <v>960000</v>
      </c>
    </row>
    <row r="18" spans="1:9" x14ac:dyDescent="0.2">
      <c r="A18" s="62">
        <v>9</v>
      </c>
      <c r="B18" s="67" t="s">
        <v>129</v>
      </c>
      <c r="C18" s="68" t="s">
        <v>53</v>
      </c>
      <c r="D18" s="68" t="s">
        <v>54</v>
      </c>
      <c r="E18" s="72" t="s">
        <v>130</v>
      </c>
      <c r="F18" s="68" t="s">
        <v>126</v>
      </c>
      <c r="G18" s="68">
        <v>100</v>
      </c>
      <c r="H18" s="71">
        <v>1100</v>
      </c>
      <c r="I18" s="59">
        <f t="shared" si="0"/>
        <v>110000</v>
      </c>
    </row>
    <row r="19" spans="1:9" x14ac:dyDescent="0.2">
      <c r="A19" s="62">
        <v>10</v>
      </c>
      <c r="B19" s="67" t="s">
        <v>63</v>
      </c>
      <c r="C19" s="68" t="s">
        <v>53</v>
      </c>
      <c r="D19" s="68" t="s">
        <v>54</v>
      </c>
      <c r="E19" s="72" t="s">
        <v>62</v>
      </c>
      <c r="F19" s="68" t="s">
        <v>126</v>
      </c>
      <c r="G19" s="68">
        <v>300</v>
      </c>
      <c r="H19" s="71">
        <v>950</v>
      </c>
      <c r="I19" s="59">
        <f t="shared" si="0"/>
        <v>285000</v>
      </c>
    </row>
    <row r="20" spans="1:9" x14ac:dyDescent="0.2">
      <c r="A20" s="62">
        <v>11</v>
      </c>
      <c r="B20" s="67" t="s">
        <v>115</v>
      </c>
      <c r="C20" s="68" t="s">
        <v>53</v>
      </c>
      <c r="D20" s="68" t="s">
        <v>54</v>
      </c>
      <c r="E20" s="72" t="s">
        <v>114</v>
      </c>
      <c r="F20" s="68" t="s">
        <v>126</v>
      </c>
      <c r="G20" s="68">
        <v>50</v>
      </c>
      <c r="H20" s="71">
        <v>1200</v>
      </c>
      <c r="I20" s="59">
        <f t="shared" si="0"/>
        <v>60000</v>
      </c>
    </row>
    <row r="21" spans="1:9" ht="25.5" x14ac:dyDescent="0.2">
      <c r="A21" s="62">
        <v>12</v>
      </c>
      <c r="B21" s="68" t="s">
        <v>131</v>
      </c>
      <c r="C21" s="68" t="s">
        <v>53</v>
      </c>
      <c r="D21" s="68" t="s">
        <v>54</v>
      </c>
      <c r="E21" s="77" t="s">
        <v>132</v>
      </c>
      <c r="F21" s="68" t="s">
        <v>68</v>
      </c>
      <c r="G21" s="68">
        <v>100</v>
      </c>
      <c r="H21" s="71">
        <v>3900</v>
      </c>
      <c r="I21" s="59">
        <f t="shared" si="0"/>
        <v>390000</v>
      </c>
    </row>
    <row r="22" spans="1:9" ht="25.5" x14ac:dyDescent="0.2">
      <c r="A22" s="62">
        <v>13</v>
      </c>
      <c r="B22" s="67" t="s">
        <v>74</v>
      </c>
      <c r="C22" s="68" t="s">
        <v>53</v>
      </c>
      <c r="D22" s="68" t="s">
        <v>54</v>
      </c>
      <c r="E22" s="72" t="s">
        <v>73</v>
      </c>
      <c r="F22" s="68" t="s">
        <v>55</v>
      </c>
      <c r="G22" s="68">
        <v>200</v>
      </c>
      <c r="H22" s="71">
        <v>72</v>
      </c>
      <c r="I22" s="59">
        <f t="shared" si="0"/>
        <v>14400</v>
      </c>
    </row>
    <row r="23" spans="1:9" ht="25.5" x14ac:dyDescent="0.2">
      <c r="A23" s="62">
        <v>14</v>
      </c>
      <c r="B23" s="67" t="s">
        <v>111</v>
      </c>
      <c r="C23" s="68" t="s">
        <v>53</v>
      </c>
      <c r="D23" s="68" t="s">
        <v>54</v>
      </c>
      <c r="E23" s="72" t="s">
        <v>110</v>
      </c>
      <c r="F23" s="68" t="s">
        <v>68</v>
      </c>
      <c r="G23" s="68">
        <v>40</v>
      </c>
      <c r="H23" s="71">
        <v>3350</v>
      </c>
      <c r="I23" s="59">
        <f t="shared" si="0"/>
        <v>134000</v>
      </c>
    </row>
    <row r="24" spans="1:9" x14ac:dyDescent="0.2">
      <c r="A24" s="62">
        <v>15</v>
      </c>
      <c r="B24" s="67" t="s">
        <v>103</v>
      </c>
      <c r="C24" s="68" t="s">
        <v>53</v>
      </c>
      <c r="D24" s="68" t="s">
        <v>54</v>
      </c>
      <c r="E24" s="72" t="s">
        <v>102</v>
      </c>
      <c r="F24" s="68" t="s">
        <v>126</v>
      </c>
      <c r="G24" s="68">
        <v>60</v>
      </c>
      <c r="H24" s="71">
        <v>110</v>
      </c>
      <c r="I24" s="59">
        <f t="shared" si="0"/>
        <v>6600</v>
      </c>
    </row>
    <row r="25" spans="1:9" ht="25.5" x14ac:dyDescent="0.2">
      <c r="A25" s="62">
        <v>16</v>
      </c>
      <c r="B25" s="67" t="s">
        <v>133</v>
      </c>
      <c r="C25" s="68" t="s">
        <v>53</v>
      </c>
      <c r="D25" s="68" t="s">
        <v>54</v>
      </c>
      <c r="E25" s="72" t="s">
        <v>134</v>
      </c>
      <c r="F25" s="68" t="s">
        <v>68</v>
      </c>
      <c r="G25" s="68">
        <v>40</v>
      </c>
      <c r="H25" s="71">
        <v>3700</v>
      </c>
      <c r="I25" s="59">
        <f t="shared" si="0"/>
        <v>148000</v>
      </c>
    </row>
    <row r="26" spans="1:9" x14ac:dyDescent="0.2">
      <c r="A26" s="62">
        <v>17</v>
      </c>
      <c r="B26" s="67" t="s">
        <v>70</v>
      </c>
      <c r="C26" s="68" t="s">
        <v>53</v>
      </c>
      <c r="D26" s="68" t="s">
        <v>54</v>
      </c>
      <c r="E26" s="72" t="s">
        <v>69</v>
      </c>
      <c r="F26" s="68" t="s">
        <v>14</v>
      </c>
      <c r="G26" s="68">
        <v>130</v>
      </c>
      <c r="H26" s="71">
        <v>650</v>
      </c>
      <c r="I26" s="59">
        <f t="shared" si="0"/>
        <v>84500</v>
      </c>
    </row>
    <row r="27" spans="1:9" x14ac:dyDescent="0.2">
      <c r="A27" s="62">
        <v>18</v>
      </c>
      <c r="B27" s="68" t="s">
        <v>107</v>
      </c>
      <c r="C27" s="68" t="s">
        <v>53</v>
      </c>
      <c r="D27" s="68" t="s">
        <v>54</v>
      </c>
      <c r="E27" s="78" t="s">
        <v>106</v>
      </c>
      <c r="F27" s="68" t="s">
        <v>126</v>
      </c>
      <c r="G27" s="68">
        <v>900</v>
      </c>
      <c r="H27" s="71">
        <v>250</v>
      </c>
      <c r="I27" s="59">
        <f t="shared" si="0"/>
        <v>225000</v>
      </c>
    </row>
    <row r="28" spans="1:9" x14ac:dyDescent="0.2">
      <c r="A28" s="62">
        <v>19</v>
      </c>
      <c r="B28" s="68" t="s">
        <v>76</v>
      </c>
      <c r="C28" s="68" t="s">
        <v>53</v>
      </c>
      <c r="D28" s="68" t="s">
        <v>54</v>
      </c>
      <c r="E28" s="77" t="s">
        <v>75</v>
      </c>
      <c r="F28" s="68" t="s">
        <v>14</v>
      </c>
      <c r="G28" s="68">
        <v>150</v>
      </c>
      <c r="H28" s="71">
        <v>250</v>
      </c>
      <c r="I28" s="59">
        <f t="shared" si="0"/>
        <v>37500</v>
      </c>
    </row>
    <row r="29" spans="1:9" ht="25.5" x14ac:dyDescent="0.2">
      <c r="A29" s="62">
        <v>20</v>
      </c>
      <c r="B29" s="67" t="s">
        <v>105</v>
      </c>
      <c r="C29" s="68" t="s">
        <v>53</v>
      </c>
      <c r="D29" s="68" t="s">
        <v>54</v>
      </c>
      <c r="E29" s="72" t="s">
        <v>104</v>
      </c>
      <c r="F29" s="68" t="s">
        <v>14</v>
      </c>
      <c r="G29" s="68">
        <v>200</v>
      </c>
      <c r="H29" s="71">
        <v>220</v>
      </c>
      <c r="I29" s="59">
        <f t="shared" si="0"/>
        <v>44000</v>
      </c>
    </row>
    <row r="30" spans="1:9" ht="25.5" x14ac:dyDescent="0.2">
      <c r="A30" s="62">
        <v>21</v>
      </c>
      <c r="B30" s="67" t="s">
        <v>113</v>
      </c>
      <c r="C30" s="68" t="s">
        <v>53</v>
      </c>
      <c r="D30" s="68" t="s">
        <v>54</v>
      </c>
      <c r="E30" s="72" t="s">
        <v>112</v>
      </c>
      <c r="F30" s="68" t="s">
        <v>14</v>
      </c>
      <c r="G30" s="68">
        <v>150</v>
      </c>
      <c r="H30" s="71">
        <v>2100</v>
      </c>
      <c r="I30" s="59">
        <f t="shared" si="0"/>
        <v>315000</v>
      </c>
    </row>
    <row r="31" spans="1:9" ht="38.25" x14ac:dyDescent="0.2">
      <c r="A31" s="62">
        <v>22</v>
      </c>
      <c r="B31" s="67" t="s">
        <v>82</v>
      </c>
      <c r="C31" s="68" t="s">
        <v>53</v>
      </c>
      <c r="D31" s="68" t="s">
        <v>54</v>
      </c>
      <c r="E31" s="72" t="s">
        <v>81</v>
      </c>
      <c r="F31" s="68" t="s">
        <v>126</v>
      </c>
      <c r="G31" s="68">
        <v>200</v>
      </c>
      <c r="H31" s="71">
        <v>900</v>
      </c>
      <c r="I31" s="59">
        <f t="shared" si="0"/>
        <v>180000</v>
      </c>
    </row>
    <row r="32" spans="1:9" ht="38.25" x14ac:dyDescent="0.2">
      <c r="A32" s="62">
        <v>23</v>
      </c>
      <c r="B32" s="67" t="s">
        <v>135</v>
      </c>
      <c r="C32" s="68" t="s">
        <v>53</v>
      </c>
      <c r="D32" s="68" t="s">
        <v>54</v>
      </c>
      <c r="E32" s="72" t="s">
        <v>136</v>
      </c>
      <c r="F32" s="68" t="s">
        <v>14</v>
      </c>
      <c r="G32" s="68">
        <v>90</v>
      </c>
      <c r="H32" s="71">
        <v>4900</v>
      </c>
      <c r="I32" s="59">
        <f t="shared" si="0"/>
        <v>441000</v>
      </c>
    </row>
    <row r="33" spans="1:9" ht="38.25" x14ac:dyDescent="0.2">
      <c r="A33" s="62">
        <v>24</v>
      </c>
      <c r="B33" s="67" t="s">
        <v>84</v>
      </c>
      <c r="C33" s="68" t="s">
        <v>53</v>
      </c>
      <c r="D33" s="68" t="s">
        <v>54</v>
      </c>
      <c r="E33" s="72" t="s">
        <v>83</v>
      </c>
      <c r="F33" s="68" t="s">
        <v>14</v>
      </c>
      <c r="G33" s="68">
        <v>20</v>
      </c>
      <c r="H33" s="71">
        <v>1700</v>
      </c>
      <c r="I33" s="59">
        <f t="shared" si="0"/>
        <v>34000</v>
      </c>
    </row>
    <row r="34" spans="1:9" x14ac:dyDescent="0.2">
      <c r="A34" s="62">
        <v>25</v>
      </c>
      <c r="B34" s="67" t="s">
        <v>88</v>
      </c>
      <c r="C34" s="68" t="s">
        <v>53</v>
      </c>
      <c r="D34" s="68" t="s">
        <v>54</v>
      </c>
      <c r="E34" s="72" t="s">
        <v>87</v>
      </c>
      <c r="F34" s="68" t="s">
        <v>14</v>
      </c>
      <c r="G34" s="68">
        <v>200</v>
      </c>
      <c r="H34" s="71">
        <v>110</v>
      </c>
      <c r="I34" s="59">
        <f t="shared" si="0"/>
        <v>22000</v>
      </c>
    </row>
    <row r="35" spans="1:9" x14ac:dyDescent="0.2">
      <c r="A35" s="62">
        <v>26</v>
      </c>
      <c r="B35" s="67" t="s">
        <v>90</v>
      </c>
      <c r="C35" s="68" t="s">
        <v>53</v>
      </c>
      <c r="D35" s="68" t="s">
        <v>54</v>
      </c>
      <c r="E35" s="72" t="s">
        <v>89</v>
      </c>
      <c r="F35" s="68" t="s">
        <v>14</v>
      </c>
      <c r="G35" s="68">
        <v>150</v>
      </c>
      <c r="H35" s="71">
        <v>150</v>
      </c>
      <c r="I35" s="59">
        <f t="shared" si="0"/>
        <v>22500</v>
      </c>
    </row>
    <row r="36" spans="1:9" ht="30" x14ac:dyDescent="0.2">
      <c r="A36" s="62">
        <v>27</v>
      </c>
      <c r="B36" s="67" t="s">
        <v>137</v>
      </c>
      <c r="C36" s="68" t="s">
        <v>53</v>
      </c>
      <c r="D36" s="68" t="s">
        <v>54</v>
      </c>
      <c r="E36" s="72" t="s">
        <v>138</v>
      </c>
      <c r="F36" s="68" t="s">
        <v>14</v>
      </c>
      <c r="G36" s="68">
        <v>100</v>
      </c>
      <c r="H36" s="71">
        <v>1500</v>
      </c>
      <c r="I36" s="59">
        <f t="shared" si="0"/>
        <v>150000</v>
      </c>
    </row>
    <row r="37" spans="1:9" ht="25.5" x14ac:dyDescent="0.2">
      <c r="A37" s="62">
        <v>28</v>
      </c>
      <c r="B37" s="67" t="s">
        <v>96</v>
      </c>
      <c r="C37" s="68" t="s">
        <v>53</v>
      </c>
      <c r="D37" s="68" t="s">
        <v>54</v>
      </c>
      <c r="E37" s="72" t="s">
        <v>95</v>
      </c>
      <c r="F37" s="68" t="s">
        <v>55</v>
      </c>
      <c r="G37" s="68">
        <v>1000</v>
      </c>
      <c r="H37" s="71">
        <v>130</v>
      </c>
      <c r="I37" s="59">
        <f t="shared" ref="I37:I53" si="1">G37*H37</f>
        <v>130000</v>
      </c>
    </row>
    <row r="38" spans="1:9" ht="25.5" x14ac:dyDescent="0.2">
      <c r="A38" s="62">
        <v>29</v>
      </c>
      <c r="B38" s="67" t="s">
        <v>139</v>
      </c>
      <c r="C38" s="68" t="s">
        <v>53</v>
      </c>
      <c r="D38" s="68" t="s">
        <v>54</v>
      </c>
      <c r="E38" s="72" t="s">
        <v>140</v>
      </c>
      <c r="F38" s="68" t="s">
        <v>126</v>
      </c>
      <c r="G38" s="68">
        <v>1200</v>
      </c>
      <c r="H38" s="71">
        <v>70</v>
      </c>
      <c r="I38" s="59">
        <f t="shared" si="1"/>
        <v>84000</v>
      </c>
    </row>
    <row r="39" spans="1:9" ht="25.5" x14ac:dyDescent="0.2">
      <c r="A39" s="62">
        <v>30</v>
      </c>
      <c r="B39" s="68" t="s">
        <v>141</v>
      </c>
      <c r="C39" s="68" t="s">
        <v>53</v>
      </c>
      <c r="D39" s="68" t="s">
        <v>54</v>
      </c>
      <c r="E39" s="77" t="s">
        <v>142</v>
      </c>
      <c r="F39" s="68" t="s">
        <v>55</v>
      </c>
      <c r="G39" s="68">
        <v>800</v>
      </c>
      <c r="H39" s="71">
        <v>110</v>
      </c>
      <c r="I39" s="59">
        <f t="shared" si="1"/>
        <v>88000</v>
      </c>
    </row>
    <row r="40" spans="1:9" ht="25.5" x14ac:dyDescent="0.2">
      <c r="A40" s="62">
        <v>31</v>
      </c>
      <c r="B40" s="67" t="s">
        <v>86</v>
      </c>
      <c r="C40" s="68" t="s">
        <v>53</v>
      </c>
      <c r="D40" s="68" t="s">
        <v>54</v>
      </c>
      <c r="E40" s="72" t="s">
        <v>85</v>
      </c>
      <c r="F40" s="68" t="s">
        <v>126</v>
      </c>
      <c r="G40" s="68">
        <v>50</v>
      </c>
      <c r="H40" s="71">
        <v>500</v>
      </c>
      <c r="I40" s="59">
        <f t="shared" si="1"/>
        <v>25000</v>
      </c>
    </row>
    <row r="41" spans="1:9" ht="25.5" x14ac:dyDescent="0.2">
      <c r="A41" s="62">
        <v>32</v>
      </c>
      <c r="B41" s="67" t="s">
        <v>56</v>
      </c>
      <c r="C41" s="68" t="s">
        <v>53</v>
      </c>
      <c r="D41" s="68" t="s">
        <v>54</v>
      </c>
      <c r="E41" s="72" t="s">
        <v>57</v>
      </c>
      <c r="F41" s="68" t="s">
        <v>14</v>
      </c>
      <c r="G41" s="68">
        <v>5</v>
      </c>
      <c r="H41" s="71">
        <v>500</v>
      </c>
      <c r="I41" s="59">
        <f t="shared" si="1"/>
        <v>2500</v>
      </c>
    </row>
    <row r="42" spans="1:9" ht="25.5" x14ac:dyDescent="0.2">
      <c r="A42" s="62">
        <v>33</v>
      </c>
      <c r="B42" s="67" t="s">
        <v>59</v>
      </c>
      <c r="C42" s="68" t="s">
        <v>53</v>
      </c>
      <c r="D42" s="68" t="s">
        <v>54</v>
      </c>
      <c r="E42" s="72" t="s">
        <v>58</v>
      </c>
      <c r="F42" s="68" t="s">
        <v>126</v>
      </c>
      <c r="G42" s="68">
        <v>50</v>
      </c>
      <c r="H42" s="71">
        <v>140</v>
      </c>
      <c r="I42" s="59">
        <f t="shared" si="1"/>
        <v>7000</v>
      </c>
    </row>
    <row r="43" spans="1:9" ht="25.5" x14ac:dyDescent="0.2">
      <c r="A43" s="62">
        <v>34</v>
      </c>
      <c r="B43" s="92" t="s">
        <v>61</v>
      </c>
      <c r="C43" s="68" t="s">
        <v>53</v>
      </c>
      <c r="D43" s="68" t="s">
        <v>54</v>
      </c>
      <c r="E43" s="100" t="s">
        <v>60</v>
      </c>
      <c r="F43" s="68" t="s">
        <v>14</v>
      </c>
      <c r="G43" s="68">
        <v>90</v>
      </c>
      <c r="H43" s="71">
        <v>1300</v>
      </c>
      <c r="I43" s="59">
        <f t="shared" si="1"/>
        <v>117000</v>
      </c>
    </row>
    <row r="44" spans="1:9" ht="25.5" x14ac:dyDescent="0.2">
      <c r="A44" s="62">
        <v>35</v>
      </c>
      <c r="B44" s="91" t="s">
        <v>153</v>
      </c>
      <c r="C44" s="68" t="s">
        <v>53</v>
      </c>
      <c r="D44" s="68" t="s">
        <v>54</v>
      </c>
      <c r="E44" s="99" t="s">
        <v>154</v>
      </c>
      <c r="F44" s="68" t="s">
        <v>14</v>
      </c>
      <c r="G44" s="68">
        <v>150</v>
      </c>
      <c r="H44" s="71">
        <v>75</v>
      </c>
      <c r="I44" s="59">
        <f t="shared" si="1"/>
        <v>11250</v>
      </c>
    </row>
    <row r="45" spans="1:9" ht="45" x14ac:dyDescent="0.25">
      <c r="A45" s="62">
        <v>36</v>
      </c>
      <c r="B45" s="87" t="s">
        <v>72</v>
      </c>
      <c r="C45" s="95" t="s">
        <v>53</v>
      </c>
      <c r="D45" s="68" t="s">
        <v>54</v>
      </c>
      <c r="E45" s="97" t="s">
        <v>71</v>
      </c>
      <c r="F45" s="87" t="s">
        <v>14</v>
      </c>
      <c r="G45" s="87">
        <v>60</v>
      </c>
      <c r="H45" s="103">
        <v>55</v>
      </c>
      <c r="I45" s="59">
        <f t="shared" si="1"/>
        <v>3300</v>
      </c>
    </row>
    <row r="46" spans="1:9" ht="25.5" x14ac:dyDescent="0.2">
      <c r="A46" s="62">
        <v>37</v>
      </c>
      <c r="B46" s="67" t="s">
        <v>80</v>
      </c>
      <c r="C46" s="68" t="s">
        <v>53</v>
      </c>
      <c r="D46" s="68" t="s">
        <v>54</v>
      </c>
      <c r="E46" s="72" t="s">
        <v>79</v>
      </c>
      <c r="F46" s="68" t="s">
        <v>126</v>
      </c>
      <c r="G46" s="68">
        <v>60</v>
      </c>
      <c r="H46" s="71">
        <v>180</v>
      </c>
      <c r="I46" s="59">
        <f t="shared" si="1"/>
        <v>10800</v>
      </c>
    </row>
    <row r="47" spans="1:9" ht="25.5" x14ac:dyDescent="0.2">
      <c r="A47" s="62">
        <v>38</v>
      </c>
      <c r="B47" s="67" t="s">
        <v>143</v>
      </c>
      <c r="C47" s="68" t="s">
        <v>53</v>
      </c>
      <c r="D47" s="68" t="s">
        <v>54</v>
      </c>
      <c r="E47" s="72" t="s">
        <v>144</v>
      </c>
      <c r="F47" s="68" t="s">
        <v>126</v>
      </c>
      <c r="G47" s="68">
        <v>50</v>
      </c>
      <c r="H47" s="71">
        <v>440</v>
      </c>
      <c r="I47" s="59">
        <f t="shared" si="1"/>
        <v>22000</v>
      </c>
    </row>
    <row r="48" spans="1:9" ht="38.25" x14ac:dyDescent="0.2">
      <c r="A48" s="62">
        <v>39</v>
      </c>
      <c r="B48" s="68" t="s">
        <v>145</v>
      </c>
      <c r="C48" s="68" t="s">
        <v>53</v>
      </c>
      <c r="D48" s="68" t="s">
        <v>54</v>
      </c>
      <c r="E48" s="77" t="s">
        <v>146</v>
      </c>
      <c r="F48" s="68" t="s">
        <v>68</v>
      </c>
      <c r="G48" s="68">
        <v>80</v>
      </c>
      <c r="H48" s="71">
        <v>2800</v>
      </c>
      <c r="I48" s="59">
        <f t="shared" si="1"/>
        <v>224000</v>
      </c>
    </row>
    <row r="49" spans="1:10" ht="25.5" x14ac:dyDescent="0.2">
      <c r="A49" s="62">
        <v>40</v>
      </c>
      <c r="B49" s="67" t="s">
        <v>155</v>
      </c>
      <c r="C49" s="68" t="s">
        <v>53</v>
      </c>
      <c r="D49" s="68" t="s">
        <v>54</v>
      </c>
      <c r="E49" s="72" t="s">
        <v>156</v>
      </c>
      <c r="F49" s="68" t="s">
        <v>14</v>
      </c>
      <c r="G49" s="68">
        <v>80</v>
      </c>
      <c r="H49" s="71">
        <v>2600</v>
      </c>
      <c r="I49" s="59">
        <f t="shared" si="1"/>
        <v>208000</v>
      </c>
    </row>
    <row r="50" spans="1:10" ht="25.5" x14ac:dyDescent="0.2">
      <c r="A50" s="62">
        <v>41</v>
      </c>
      <c r="B50" s="79" t="s">
        <v>117</v>
      </c>
      <c r="C50" s="80" t="s">
        <v>53</v>
      </c>
      <c r="D50" s="80" t="s">
        <v>54</v>
      </c>
      <c r="E50" s="81" t="s">
        <v>116</v>
      </c>
      <c r="F50" s="80" t="s">
        <v>68</v>
      </c>
      <c r="G50" s="80">
        <v>60</v>
      </c>
      <c r="H50" s="82">
        <v>1500</v>
      </c>
      <c r="I50" s="59">
        <f t="shared" si="1"/>
        <v>90000</v>
      </c>
    </row>
    <row r="51" spans="1:10" ht="25.5" x14ac:dyDescent="0.2">
      <c r="A51" s="62">
        <v>42</v>
      </c>
      <c r="B51" s="88" t="s">
        <v>147</v>
      </c>
      <c r="C51" s="90" t="s">
        <v>53</v>
      </c>
      <c r="D51" s="80" t="s">
        <v>54</v>
      </c>
      <c r="E51" s="98" t="s">
        <v>148</v>
      </c>
      <c r="F51" s="90" t="s">
        <v>68</v>
      </c>
      <c r="G51" s="90">
        <v>50</v>
      </c>
      <c r="H51" s="105">
        <v>1900</v>
      </c>
      <c r="I51" s="59">
        <f t="shared" si="1"/>
        <v>95000</v>
      </c>
    </row>
    <row r="52" spans="1:10" ht="25.5" x14ac:dyDescent="0.2">
      <c r="A52" s="62">
        <v>43</v>
      </c>
      <c r="B52" s="88" t="s">
        <v>92</v>
      </c>
      <c r="C52" s="90" t="s">
        <v>53</v>
      </c>
      <c r="D52" s="80" t="s">
        <v>54</v>
      </c>
      <c r="E52" s="98" t="s">
        <v>91</v>
      </c>
      <c r="F52" s="102" t="s">
        <v>14</v>
      </c>
      <c r="G52" s="102">
        <v>80</v>
      </c>
      <c r="H52" s="104">
        <v>95</v>
      </c>
      <c r="I52" s="59">
        <f t="shared" si="1"/>
        <v>7600</v>
      </c>
    </row>
    <row r="53" spans="1:10" ht="26.25" thickBot="1" x14ac:dyDescent="0.25">
      <c r="A53" s="83">
        <v>44</v>
      </c>
      <c r="B53" s="93" t="s">
        <v>93</v>
      </c>
      <c r="C53" s="96" t="s">
        <v>53</v>
      </c>
      <c r="D53" s="85" t="s">
        <v>54</v>
      </c>
      <c r="E53" s="101" t="s">
        <v>94</v>
      </c>
      <c r="F53" s="96" t="s">
        <v>14</v>
      </c>
      <c r="G53" s="96">
        <v>80</v>
      </c>
      <c r="H53" s="106">
        <v>95</v>
      </c>
      <c r="I53" s="84">
        <f t="shared" si="1"/>
        <v>7600</v>
      </c>
    </row>
    <row r="54" spans="1:10" x14ac:dyDescent="0.2">
      <c r="D54" s="32" t="s">
        <v>118</v>
      </c>
      <c r="E54" s="32" t="s">
        <v>118</v>
      </c>
      <c r="I54" s="36"/>
      <c r="J54" s="86"/>
    </row>
    <row r="55" spans="1:10" ht="13.5" thickBot="1" x14ac:dyDescent="0.25">
      <c r="F55" s="32" t="s">
        <v>118</v>
      </c>
    </row>
    <row r="56" spans="1:10" ht="12.75" customHeight="1" x14ac:dyDescent="0.2">
      <c r="B56" s="113" t="s">
        <v>108</v>
      </c>
      <c r="C56" s="114"/>
      <c r="D56" s="114"/>
      <c r="E56" s="114"/>
      <c r="F56" s="114"/>
      <c r="G56" s="114"/>
      <c r="H56" s="114"/>
      <c r="I56" s="115"/>
    </row>
    <row r="57" spans="1:10" ht="14.25" x14ac:dyDescent="0.2">
      <c r="B57" s="60"/>
      <c r="C57" s="116" t="s">
        <v>162</v>
      </c>
      <c r="D57" s="116"/>
      <c r="E57" s="116"/>
      <c r="F57" s="63"/>
      <c r="G57" s="63"/>
      <c r="H57" s="63"/>
      <c r="I57" s="64"/>
    </row>
    <row r="58" spans="1:10" ht="14.25" x14ac:dyDescent="0.2">
      <c r="B58" s="60"/>
      <c r="C58" s="116" t="s">
        <v>171</v>
      </c>
      <c r="D58" s="116"/>
      <c r="E58" s="116"/>
      <c r="F58" s="63"/>
      <c r="G58" s="63"/>
      <c r="H58" s="63"/>
      <c r="I58" s="64"/>
    </row>
    <row r="59" spans="1:10" ht="14.25" x14ac:dyDescent="0.2">
      <c r="B59" s="60"/>
      <c r="C59" s="116" t="s">
        <v>163</v>
      </c>
      <c r="D59" s="116"/>
      <c r="E59" s="116"/>
      <c r="F59" s="63"/>
      <c r="G59" s="63"/>
      <c r="H59" s="63"/>
      <c r="I59" s="64"/>
    </row>
    <row r="60" spans="1:10" ht="14.25" x14ac:dyDescent="0.2">
      <c r="B60" s="58"/>
      <c r="C60" s="116" t="s">
        <v>164</v>
      </c>
      <c r="D60" s="116"/>
      <c r="E60" s="116"/>
      <c r="F60" s="63"/>
      <c r="G60" s="63"/>
      <c r="H60" s="63"/>
      <c r="I60" s="64"/>
    </row>
    <row r="61" spans="1:10" ht="14.25" x14ac:dyDescent="0.2">
      <c r="B61" s="58"/>
      <c r="C61" s="116" t="s">
        <v>165</v>
      </c>
      <c r="D61" s="116"/>
      <c r="E61" s="116"/>
      <c r="F61" s="63"/>
      <c r="G61" s="63"/>
      <c r="H61" s="63"/>
      <c r="I61" s="64"/>
    </row>
    <row r="62" spans="1:10" ht="14.25" customHeight="1" x14ac:dyDescent="0.2">
      <c r="B62" s="58"/>
      <c r="C62" s="116" t="s">
        <v>166</v>
      </c>
      <c r="D62" s="116"/>
      <c r="E62" s="116"/>
      <c r="F62" s="63"/>
      <c r="G62" s="63"/>
      <c r="H62" s="63"/>
      <c r="I62" s="64"/>
    </row>
    <row r="63" spans="1:10" ht="14.25" x14ac:dyDescent="0.2">
      <c r="B63" s="58"/>
      <c r="C63" s="116" t="s">
        <v>167</v>
      </c>
      <c r="D63" s="116"/>
      <c r="E63" s="116"/>
      <c r="F63" s="63"/>
      <c r="G63" s="63"/>
      <c r="H63" s="63"/>
      <c r="I63" s="64"/>
    </row>
    <row r="64" spans="1:10" ht="14.25" x14ac:dyDescent="0.2">
      <c r="B64" s="58"/>
      <c r="C64" s="116" t="s">
        <v>168</v>
      </c>
      <c r="D64" s="116"/>
      <c r="E64" s="116"/>
      <c r="F64" s="63"/>
      <c r="G64" s="63"/>
      <c r="H64" s="63"/>
      <c r="I64" s="64"/>
    </row>
    <row r="65" spans="2:9" ht="14.25" x14ac:dyDescent="0.2">
      <c r="B65" s="58"/>
      <c r="C65" s="116" t="s">
        <v>169</v>
      </c>
      <c r="D65" s="116"/>
      <c r="E65" s="116"/>
      <c r="F65" s="63"/>
      <c r="G65" s="63"/>
      <c r="H65" s="63"/>
      <c r="I65" s="64"/>
    </row>
    <row r="66" spans="2:9" ht="14.25" x14ac:dyDescent="0.2">
      <c r="B66" s="58"/>
      <c r="C66" s="116" t="s">
        <v>170</v>
      </c>
      <c r="D66" s="116"/>
      <c r="E66" s="116"/>
      <c r="F66" s="63"/>
      <c r="G66" s="63"/>
      <c r="H66" s="63"/>
      <c r="I66" s="64"/>
    </row>
    <row r="67" spans="2:9" ht="12.75" customHeight="1" x14ac:dyDescent="0.2">
      <c r="B67" s="117" t="s">
        <v>151</v>
      </c>
      <c r="C67" s="118"/>
      <c r="D67" s="118"/>
      <c r="E67" s="118"/>
      <c r="F67" s="118"/>
      <c r="G67" s="118"/>
      <c r="H67" s="118"/>
      <c r="I67" s="119"/>
    </row>
    <row r="68" spans="2:9" x14ac:dyDescent="0.2">
      <c r="B68" s="117"/>
      <c r="C68" s="118"/>
      <c r="D68" s="118"/>
      <c r="E68" s="118"/>
      <c r="F68" s="118"/>
      <c r="G68" s="118"/>
      <c r="H68" s="118"/>
      <c r="I68" s="119"/>
    </row>
    <row r="69" spans="2:9" x14ac:dyDescent="0.2">
      <c r="B69" s="117" t="s">
        <v>157</v>
      </c>
      <c r="C69" s="118"/>
      <c r="D69" s="118"/>
      <c r="E69" s="118"/>
      <c r="F69" s="63"/>
      <c r="G69" s="63"/>
      <c r="H69" s="63"/>
      <c r="I69" s="64"/>
    </row>
    <row r="70" spans="2:9" ht="60" customHeight="1" x14ac:dyDescent="0.2">
      <c r="B70" s="117" t="s">
        <v>152</v>
      </c>
      <c r="C70" s="118"/>
      <c r="D70" s="118"/>
      <c r="E70" s="118"/>
      <c r="F70" s="118"/>
      <c r="G70" s="118"/>
      <c r="H70" s="118"/>
      <c r="I70" s="119"/>
    </row>
    <row r="71" spans="2:9" ht="20.25" customHeight="1" thickBot="1" x14ac:dyDescent="0.25">
      <c r="B71" s="110" t="s">
        <v>172</v>
      </c>
      <c r="C71" s="111"/>
      <c r="D71" s="111"/>
      <c r="E71" s="111"/>
      <c r="F71" s="111"/>
      <c r="G71" s="111"/>
      <c r="H71" s="111"/>
      <c r="I71" s="112"/>
    </row>
  </sheetData>
  <sortState ref="B10:H53">
    <sortCondition ref="E10:E53"/>
  </sortState>
  <mergeCells count="22">
    <mergeCell ref="B71:I71"/>
    <mergeCell ref="B56:I56"/>
    <mergeCell ref="C63:E63"/>
    <mergeCell ref="B69:E69"/>
    <mergeCell ref="B67:I68"/>
    <mergeCell ref="C66:E66"/>
    <mergeCell ref="C60:E60"/>
    <mergeCell ref="C58:E58"/>
    <mergeCell ref="C62:E62"/>
    <mergeCell ref="C57:E57"/>
    <mergeCell ref="C59:E59"/>
    <mergeCell ref="C64:E64"/>
    <mergeCell ref="C61:E61"/>
    <mergeCell ref="B70:I70"/>
    <mergeCell ref="C65:E65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56"/>
  <sheetViews>
    <sheetView topLeftCell="A4" zoomScale="99" zoomScaleNormal="99" workbookViewId="0">
      <selection activeCell="A4" sqref="A4:C4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8.5703125" style="39" customWidth="1"/>
    <col min="8" max="8" width="9.28515625" style="39" customWidth="1"/>
    <col min="9" max="9" width="15.5703125" style="39" customWidth="1"/>
    <col min="10" max="10" width="14.7109375" style="39" customWidth="1"/>
    <col min="11" max="11" width="15.5703125" style="39" customWidth="1"/>
    <col min="12" max="14" width="5.85546875" style="39" customWidth="1"/>
    <col min="15" max="15" width="12.5703125" style="39" customWidth="1"/>
    <col min="16" max="1024" width="9.140625" style="39"/>
    <col min="1025" max="16384" width="9.140625" style="40"/>
  </cols>
  <sheetData>
    <row r="1" spans="1:11" ht="18" customHeight="1" x14ac:dyDescent="0.2">
      <c r="A1" s="121" t="s">
        <v>15</v>
      </c>
      <c r="B1" s="121"/>
      <c r="C1" s="121"/>
      <c r="D1" s="121"/>
      <c r="E1" s="121"/>
      <c r="F1" s="121"/>
      <c r="G1" s="121"/>
      <c r="H1" s="121"/>
      <c r="I1" s="121"/>
      <c r="J1" s="37" t="s">
        <v>16</v>
      </c>
      <c r="K1" s="38" t="s">
        <v>158</v>
      </c>
    </row>
    <row r="2" spans="1:11" ht="18.75" customHeight="1" thickBot="1" x14ac:dyDescent="0.25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thickBot="1" x14ac:dyDescent="0.25">
      <c r="A3" s="122" t="s">
        <v>50</v>
      </c>
      <c r="B3" s="122"/>
      <c r="C3" s="122"/>
      <c r="D3" s="123" t="str">
        <f>'Necesidades Trimestrales'!C4</f>
        <v>040 - Ministerio de Salud</v>
      </c>
      <c r="E3" s="123"/>
      <c r="F3" s="123"/>
      <c r="G3" s="123"/>
      <c r="H3" s="123"/>
      <c r="I3" s="123"/>
      <c r="J3" s="123"/>
      <c r="K3" s="123"/>
    </row>
    <row r="4" spans="1:11" ht="18.75" customHeight="1" thickBot="1" x14ac:dyDescent="0.25">
      <c r="A4" s="124" t="s">
        <v>51</v>
      </c>
      <c r="B4" s="124"/>
      <c r="C4" s="124"/>
      <c r="D4" s="123" t="str">
        <f>'Necesidades Trimestrales'!C5</f>
        <v>24 - Direccion de Administracion del Hospital Interzonal de Niños Eva Peron</v>
      </c>
      <c r="E4" s="123"/>
      <c r="F4" s="123"/>
      <c r="G4" s="123"/>
      <c r="H4" s="123"/>
      <c r="I4" s="123"/>
      <c r="J4" s="123"/>
      <c r="K4" s="123"/>
    </row>
    <row r="5" spans="1:11" ht="18.75" customHeight="1" thickBot="1" x14ac:dyDescent="0.25">
      <c r="A5" s="124" t="s">
        <v>29</v>
      </c>
      <c r="B5" s="124"/>
      <c r="C5" s="124"/>
      <c r="D5" s="123" t="s">
        <v>159</v>
      </c>
      <c r="E5" s="123"/>
      <c r="F5" s="123"/>
      <c r="G5" s="123"/>
      <c r="H5" s="123"/>
      <c r="I5" s="123"/>
      <c r="J5" s="123"/>
      <c r="K5" s="123"/>
    </row>
    <row r="6" spans="1:11" ht="16.5" customHeight="1" thickBot="1" x14ac:dyDescent="0.25">
      <c r="A6" s="122" t="s">
        <v>52</v>
      </c>
      <c r="B6" s="122"/>
      <c r="C6" s="122"/>
      <c r="D6" s="123" t="s">
        <v>98</v>
      </c>
      <c r="E6" s="123"/>
      <c r="F6" s="123"/>
      <c r="G6" s="123"/>
      <c r="H6" s="123"/>
      <c r="I6" s="123"/>
      <c r="J6" s="123"/>
      <c r="K6" s="123"/>
    </row>
    <row r="7" spans="1:11" ht="16.5" customHeight="1" x14ac:dyDescent="0.2">
      <c r="A7" s="124" t="s">
        <v>17</v>
      </c>
      <c r="B7" s="124"/>
      <c r="C7" s="124"/>
      <c r="D7" s="123" t="str">
        <f>'Necesidades Trimestrales'!C7 &amp; "° Trimestre - Año " &amp; 'Necesidades Trimestrales'!C6</f>
        <v>2° Trimestre - Año 2022</v>
      </c>
      <c r="E7" s="123"/>
      <c r="F7" s="123"/>
      <c r="G7" s="123"/>
      <c r="H7" s="123"/>
      <c r="I7" s="123"/>
      <c r="J7" s="123"/>
      <c r="K7" s="123"/>
    </row>
    <row r="8" spans="1:11" ht="16.5" customHeight="1" x14ac:dyDescent="0.2">
      <c r="A8" s="125" t="s">
        <v>18</v>
      </c>
      <c r="B8" s="125"/>
      <c r="C8" s="125"/>
      <c r="D8" s="126" t="s">
        <v>109</v>
      </c>
      <c r="E8" s="126"/>
      <c r="F8" s="126"/>
      <c r="G8" s="126"/>
      <c r="H8" s="126"/>
      <c r="I8" s="126"/>
      <c r="J8" s="126"/>
      <c r="K8" s="126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27" t="s">
        <v>19</v>
      </c>
      <c r="B10" s="128" t="s">
        <v>20</v>
      </c>
      <c r="C10" s="128" t="s">
        <v>21</v>
      </c>
      <c r="D10" s="128"/>
      <c r="E10" s="128"/>
      <c r="F10" s="128"/>
      <c r="G10" s="128"/>
      <c r="H10" s="128" t="s">
        <v>22</v>
      </c>
      <c r="I10" s="128" t="s">
        <v>23</v>
      </c>
      <c r="J10" s="128" t="s">
        <v>24</v>
      </c>
      <c r="K10" s="129" t="s">
        <v>25</v>
      </c>
    </row>
    <row r="11" spans="1:11" ht="24" customHeight="1" thickBot="1" x14ac:dyDescent="0.25">
      <c r="A11" s="127"/>
      <c r="B11" s="128"/>
      <c r="C11" s="128"/>
      <c r="D11" s="128"/>
      <c r="E11" s="128"/>
      <c r="F11" s="128"/>
      <c r="G11" s="128"/>
      <c r="H11" s="128"/>
      <c r="I11" s="128"/>
      <c r="J11" s="128"/>
      <c r="K11" s="129"/>
    </row>
    <row r="12" spans="1:11" ht="20.25" customHeight="1" x14ac:dyDescent="0.2">
      <c r="A12" s="45">
        <v>1</v>
      </c>
      <c r="B12" s="45" t="str">
        <f>'Necesidades Trimestrales'!B10</f>
        <v>2.1.1-438.83</v>
      </c>
      <c r="C12" s="120" t="str">
        <f>'Necesidades Trimestrales'!E10</f>
        <v>ADEREZOS; TIPO: MAYONESA LIGHT, PRESENTACION: ENVASE X 475 GR, LIBRE DE GLUTEN: SIN VALOR</v>
      </c>
      <c r="D12" s="120"/>
      <c r="E12" s="120"/>
      <c r="F12" s="120"/>
      <c r="G12" s="120"/>
      <c r="H12" s="46" t="s">
        <v>101</v>
      </c>
      <c r="I12" s="47" t="str">
        <f>'Necesidades Trimestrales'!F10</f>
        <v>UNIDAD</v>
      </c>
      <c r="J12" s="48">
        <f>'Necesidades Trimestrales'!H10</f>
        <v>650</v>
      </c>
      <c r="K12" s="49">
        <f>'Necesidades Trimestrales'!G10</f>
        <v>30</v>
      </c>
    </row>
    <row r="13" spans="1:11" ht="20.25" customHeight="1" x14ac:dyDescent="0.2">
      <c r="A13" s="50">
        <v>2</v>
      </c>
      <c r="B13" s="45" t="str">
        <f>'Necesidades Trimestrales'!B11</f>
        <v>2.1.1-438.93</v>
      </c>
      <c r="C13" s="120" t="str">
        <f>'Necesidades Trimestrales'!E11</f>
        <v>ADEREZOS; TIPO: MOSTAZA, PRESENTACION: ENVASE X 1 Kg, LIBRE DE GLUTEN: NO</v>
      </c>
      <c r="D13" s="120"/>
      <c r="E13" s="120"/>
      <c r="F13" s="120"/>
      <c r="G13" s="120"/>
      <c r="H13" s="46" t="s">
        <v>101</v>
      </c>
      <c r="I13" s="47" t="str">
        <f>'Necesidades Trimestrales'!F11</f>
        <v>UNIDAD</v>
      </c>
      <c r="J13" s="48">
        <f>'Necesidades Trimestrales'!H11</f>
        <v>550</v>
      </c>
      <c r="K13" s="49">
        <f>'Necesidades Trimestrales'!G11</f>
        <v>60</v>
      </c>
    </row>
    <row r="14" spans="1:11" ht="20.25" customHeight="1" x14ac:dyDescent="0.2">
      <c r="A14" s="45">
        <v>3</v>
      </c>
      <c r="B14" s="45" t="str">
        <f>'Necesidades Trimestrales'!B12</f>
        <v>2.1.1-438.79</v>
      </c>
      <c r="C14" s="120" t="str">
        <f>'Necesidades Trimestrales'!E12</f>
        <v>ADEREZOS; TIPO: SALSA DE SOJA, PRESENTACION: ENVASE X 1 L, LIBRE DE GLUTEN: SIN VALOR</v>
      </c>
      <c r="D14" s="120"/>
      <c r="E14" s="120"/>
      <c r="F14" s="120"/>
      <c r="G14" s="120"/>
      <c r="H14" s="46" t="s">
        <v>101</v>
      </c>
      <c r="I14" s="47" t="str">
        <f>'Necesidades Trimestrales'!F12</f>
        <v>UNIDAD</v>
      </c>
      <c r="J14" s="48">
        <f>'Necesidades Trimestrales'!H12</f>
        <v>600</v>
      </c>
      <c r="K14" s="49">
        <f>'Necesidades Trimestrales'!G12</f>
        <v>6</v>
      </c>
    </row>
    <row r="15" spans="1:11" ht="24" customHeight="1" x14ac:dyDescent="0.2">
      <c r="A15" s="50">
        <v>4</v>
      </c>
      <c r="B15" s="45" t="str">
        <f>'Necesidades Trimestrales'!B13</f>
        <v>2.1.1-621.15</v>
      </c>
      <c r="C15" s="120" t="str">
        <f>'Necesidades Trimestrales'!E13</f>
        <v>AVES; ESPECIE: PECHUGA DE POLLO, PRESENTACION: A GRANEL, EVISCERADO: SIN MENUDOS, TIPO: PECHUGA DE POLLO</v>
      </c>
      <c r="D15" s="120"/>
      <c r="E15" s="120"/>
      <c r="F15" s="120"/>
      <c r="G15" s="120"/>
      <c r="H15" s="46" t="s">
        <v>26</v>
      </c>
      <c r="I15" s="47" t="str">
        <f>'Necesidades Trimestrales'!F13</f>
        <v>UNIDAD</v>
      </c>
      <c r="J15" s="48">
        <f>'Necesidades Trimestrales'!H13</f>
        <v>14000</v>
      </c>
      <c r="K15" s="49">
        <f>'Necesidades Trimestrales'!G13</f>
        <v>80</v>
      </c>
    </row>
    <row r="16" spans="1:11" ht="26.25" customHeight="1" x14ac:dyDescent="0.2">
      <c r="A16" s="45">
        <v>5</v>
      </c>
      <c r="B16" s="45" t="str">
        <f>'Necesidades Trimestrales'!B14</f>
        <v>2.1.1-621.19</v>
      </c>
      <c r="C16" s="120" t="str">
        <f>'Necesidades Trimestrales'!E14</f>
        <v>AVES; TIPO: POLLO, PRESENTACION: PATA MUSLO, EVISCERADO: SI, ELEM. TRANSPORTE: SIN, MATERIAL ELEM. TRANSPORTE: SIN, LIBRE DE GLUTEN: SIN VALOR</v>
      </c>
      <c r="D16" s="120"/>
      <c r="E16" s="120"/>
      <c r="F16" s="120"/>
      <c r="G16" s="120"/>
      <c r="H16" s="46" t="s">
        <v>26</v>
      </c>
      <c r="I16" s="47" t="str">
        <f>'Necesidades Trimestrales'!F14</f>
        <v>CAJON</v>
      </c>
      <c r="J16" s="48">
        <f>'Necesidades Trimestrales'!H14</f>
        <v>6000</v>
      </c>
      <c r="K16" s="49">
        <f>'Necesidades Trimestrales'!G14</f>
        <v>100</v>
      </c>
    </row>
    <row r="17" spans="1:11" ht="20.25" customHeight="1" x14ac:dyDescent="0.2">
      <c r="A17" s="50">
        <v>6</v>
      </c>
      <c r="B17" s="45" t="str">
        <f>'Necesidades Trimestrales'!B15</f>
        <v>2.1.1-541.70</v>
      </c>
      <c r="C17" s="120" t="str">
        <f>'Necesidades Trimestrales'!E15</f>
        <v>CARNES; CORTE: CARRE CON LOMO, TIPO: PORCINA, ESPECIE: PORCINA</v>
      </c>
      <c r="D17" s="120"/>
      <c r="E17" s="120"/>
      <c r="F17" s="120"/>
      <c r="G17" s="120"/>
      <c r="H17" s="46" t="s">
        <v>101</v>
      </c>
      <c r="I17" s="47" t="str">
        <f>'Necesidades Trimestrales'!F15</f>
        <v>KG</v>
      </c>
      <c r="J17" s="48">
        <f>'Necesidades Trimestrales'!H15</f>
        <v>850</v>
      </c>
      <c r="K17" s="49">
        <f>'Necesidades Trimestrales'!G15</f>
        <v>100</v>
      </c>
    </row>
    <row r="18" spans="1:11" ht="20.25" customHeight="1" x14ac:dyDescent="0.2">
      <c r="A18" s="45">
        <v>7</v>
      </c>
      <c r="B18" s="45" t="str">
        <f>'Necesidades Trimestrales'!B16</f>
        <v>2.1.1-541.20</v>
      </c>
      <c r="C18" s="120" t="str">
        <f>'Necesidades Trimestrales'!E16</f>
        <v>CARNES; CORTE: TAPA DE NALGA, ESPECIE: VACUNA, TIPO: VACUNA</v>
      </c>
      <c r="D18" s="120"/>
      <c r="E18" s="120"/>
      <c r="F18" s="120"/>
      <c r="G18" s="120"/>
      <c r="H18" s="46" t="s">
        <v>101</v>
      </c>
      <c r="I18" s="47" t="str">
        <f>'Necesidades Trimestrales'!F16</f>
        <v>KG</v>
      </c>
      <c r="J18" s="48">
        <f>'Necesidades Trimestrales'!H16</f>
        <v>1300</v>
      </c>
      <c r="K18" s="49">
        <f>'Necesidades Trimestrales'!G16</f>
        <v>640</v>
      </c>
    </row>
    <row r="19" spans="1:11" ht="20.25" customHeight="1" x14ac:dyDescent="0.2">
      <c r="A19" s="50">
        <v>8</v>
      </c>
      <c r="B19" s="45" t="str">
        <f>'Necesidades Trimestrales'!B17</f>
        <v>2.1.1-541.27</v>
      </c>
      <c r="C19" s="120" t="str">
        <f>'Necesidades Trimestrales'!E17</f>
        <v>CARNES; ESPECIE: VACUNA, CORTE: CUADRIL, TIPO: VACUNA</v>
      </c>
      <c r="D19" s="120"/>
      <c r="E19" s="120"/>
      <c r="F19" s="120"/>
      <c r="G19" s="120"/>
      <c r="H19" s="46" t="s">
        <v>101</v>
      </c>
      <c r="I19" s="47" t="str">
        <f>'Necesidades Trimestrales'!F17</f>
        <v>KG</v>
      </c>
      <c r="J19" s="48">
        <f>'Necesidades Trimestrales'!H17</f>
        <v>1500</v>
      </c>
      <c r="K19" s="49">
        <f>'Necesidades Trimestrales'!G17</f>
        <v>640</v>
      </c>
    </row>
    <row r="20" spans="1:11" ht="20.25" customHeight="1" x14ac:dyDescent="0.2">
      <c r="A20" s="45">
        <v>9</v>
      </c>
      <c r="B20" s="45" t="str">
        <f>'Necesidades Trimestrales'!B18</f>
        <v>2.1.1-541.7</v>
      </c>
      <c r="C20" s="120" t="str">
        <f>'Necesidades Trimestrales'!E18</f>
        <v>CARNES; ESPECIE: VACUNA, CORTE: PICADA ESPECIAL, TIPO: VACUNA</v>
      </c>
      <c r="D20" s="120"/>
      <c r="E20" s="120"/>
      <c r="F20" s="120"/>
      <c r="G20" s="120"/>
      <c r="H20" s="46" t="s">
        <v>101</v>
      </c>
      <c r="I20" s="47" t="str">
        <f>'Necesidades Trimestrales'!F18</f>
        <v>KG</v>
      </c>
      <c r="J20" s="48">
        <f>'Necesidades Trimestrales'!H18</f>
        <v>1100</v>
      </c>
      <c r="K20" s="49">
        <f>'Necesidades Trimestrales'!G18</f>
        <v>100</v>
      </c>
    </row>
    <row r="21" spans="1:11" ht="20.25" customHeight="1" x14ac:dyDescent="0.2">
      <c r="A21" s="50">
        <v>10</v>
      </c>
      <c r="B21" s="45" t="str">
        <f>'Necesidades Trimestrales'!B19</f>
        <v>2.1.1-541.164</v>
      </c>
      <c r="C21" s="120" t="str">
        <f>'Necesidades Trimestrales'!E19</f>
        <v>CARNES; TIPO: PORCINA, CORTE: COSTELETA</v>
      </c>
      <c r="D21" s="120"/>
      <c r="E21" s="120"/>
      <c r="F21" s="120"/>
      <c r="G21" s="120"/>
      <c r="H21" s="46" t="s">
        <v>101</v>
      </c>
      <c r="I21" s="47" t="str">
        <f>'Necesidades Trimestrales'!F19</f>
        <v>KG</v>
      </c>
      <c r="J21" s="48">
        <f>'Necesidades Trimestrales'!H19</f>
        <v>950</v>
      </c>
      <c r="K21" s="49">
        <f>'Necesidades Trimestrales'!G19</f>
        <v>300</v>
      </c>
    </row>
    <row r="22" spans="1:11" ht="20.25" customHeight="1" x14ac:dyDescent="0.2">
      <c r="A22" s="45">
        <v>11</v>
      </c>
      <c r="B22" s="45" t="str">
        <f>'Necesidades Trimestrales'!B20</f>
        <v>2.1.1-969.35</v>
      </c>
      <c r="C22" s="120" t="str">
        <f>'Necesidades Trimestrales'!E20</f>
        <v>FIAMBRES; TIPO: JAMON COCIDO ITALIANO, PRESENTACION: AL PESO</v>
      </c>
      <c r="D22" s="120"/>
      <c r="E22" s="120"/>
      <c r="F22" s="120"/>
      <c r="G22" s="120"/>
      <c r="H22" s="46" t="s">
        <v>101</v>
      </c>
      <c r="I22" s="47" t="str">
        <f>'Necesidades Trimestrales'!F20</f>
        <v>KG</v>
      </c>
      <c r="J22" s="48">
        <f>'Necesidades Trimestrales'!H20</f>
        <v>1200</v>
      </c>
      <c r="K22" s="49">
        <f>'Necesidades Trimestrales'!G20</f>
        <v>50</v>
      </c>
    </row>
    <row r="23" spans="1:11" ht="30.75" customHeight="1" x14ac:dyDescent="0.2">
      <c r="A23" s="50">
        <v>12</v>
      </c>
      <c r="B23" s="45" t="str">
        <f>'Necesidades Trimestrales'!B21</f>
        <v>2.1.1-6539.19</v>
      </c>
      <c r="C23" s="120" t="str">
        <f>'Necesidades Trimestrales'!E21</f>
        <v>FRUTAS: ESTADO: NATURAL VARIEDAD: MANZANA RED ELEGIDA, PRESENTACION: CAJON PESO: SIN VALOR</v>
      </c>
      <c r="D23" s="120"/>
      <c r="E23" s="120"/>
      <c r="F23" s="120"/>
      <c r="G23" s="120"/>
      <c r="H23" s="46" t="s">
        <v>26</v>
      </c>
      <c r="I23" s="47" t="str">
        <f>'Necesidades Trimestrales'!F21</f>
        <v>CAJON</v>
      </c>
      <c r="J23" s="48">
        <f>'Necesidades Trimestrales'!H21</f>
        <v>3900</v>
      </c>
      <c r="K23" s="49">
        <f>'Necesidades Trimestrales'!G21</f>
        <v>100</v>
      </c>
    </row>
    <row r="24" spans="1:11" ht="20.25" customHeight="1" x14ac:dyDescent="0.2">
      <c r="A24" s="45">
        <v>13</v>
      </c>
      <c r="B24" s="45" t="str">
        <f>'Necesidades Trimestrales'!B22</f>
        <v>2.1.1-6539.7</v>
      </c>
      <c r="C24" s="120" t="str">
        <f>'Necesidades Trimestrales'!E22</f>
        <v>FRUTAS; ESTADO: NATURAL, VARIEDAD: NARANJA PARA JUGO, PRESENTACION: A GRANEL, PESO: SIN VALOR</v>
      </c>
      <c r="D24" s="120"/>
      <c r="E24" s="120"/>
      <c r="F24" s="120"/>
      <c r="G24" s="120"/>
      <c r="H24" s="46" t="s">
        <v>101</v>
      </c>
      <c r="I24" s="47" t="str">
        <f>'Necesidades Trimestrales'!F22</f>
        <v>KG.</v>
      </c>
      <c r="J24" s="48">
        <f>'Necesidades Trimestrales'!H22</f>
        <v>72</v>
      </c>
      <c r="K24" s="49">
        <f>'Necesidades Trimestrales'!G22</f>
        <v>200</v>
      </c>
    </row>
    <row r="25" spans="1:11" ht="30" customHeight="1" x14ac:dyDescent="0.2">
      <c r="A25" s="50">
        <v>14</v>
      </c>
      <c r="B25" s="45" t="str">
        <f>'Necesidades Trimestrales'!B23</f>
        <v>2.1.1-6539.171</v>
      </c>
      <c r="C25" s="120" t="str">
        <f>'Necesidades Trimestrales'!E23</f>
        <v>FRUTAS; VARIEDAD: BANANA, ESTADO: NATURAL, PRESENTACION: ENVASE X 15 Kg, ELEM. TRANSPORTE: CAJON, MATERIAL ELEM. TRANSPORTE: CARTON</v>
      </c>
      <c r="D25" s="120"/>
      <c r="E25" s="120"/>
      <c r="F25" s="120"/>
      <c r="G25" s="120"/>
      <c r="H25" s="46" t="s">
        <v>101</v>
      </c>
      <c r="I25" s="47" t="str">
        <f>'Necesidades Trimestrales'!F23</f>
        <v>CAJON</v>
      </c>
      <c r="J25" s="48">
        <f>'Necesidades Trimestrales'!H23</f>
        <v>3350</v>
      </c>
      <c r="K25" s="49">
        <f>'Necesidades Trimestrales'!G23</f>
        <v>40</v>
      </c>
    </row>
    <row r="26" spans="1:11" ht="20.25" customHeight="1" x14ac:dyDescent="0.2">
      <c r="A26" s="45">
        <v>15</v>
      </c>
      <c r="B26" s="45" t="str">
        <f>'Necesidades Trimestrales'!B24</f>
        <v>2.1.1-6539.84</v>
      </c>
      <c r="C26" s="120" t="str">
        <f>'Necesidades Trimestrales'!E24</f>
        <v>FRUTAS; VARIEDAD: LIMON, ESTADO: NATURAL, PRESENTACION: CAJON X 1 Kg, PESO: 1 Kg</v>
      </c>
      <c r="D26" s="120"/>
      <c r="E26" s="120"/>
      <c r="F26" s="120"/>
      <c r="G26" s="120"/>
      <c r="H26" s="46" t="s">
        <v>101</v>
      </c>
      <c r="I26" s="47" t="str">
        <f>'Necesidades Trimestrales'!F24</f>
        <v>KG</v>
      </c>
      <c r="J26" s="48">
        <f>'Necesidades Trimestrales'!H24</f>
        <v>110</v>
      </c>
      <c r="K26" s="49">
        <f>'Necesidades Trimestrales'!G24</f>
        <v>60</v>
      </c>
    </row>
    <row r="27" spans="1:11" ht="20.25" customHeight="1" x14ac:dyDescent="0.2">
      <c r="A27" s="50">
        <v>16</v>
      </c>
      <c r="B27" s="45" t="str">
        <f>'Necesidades Trimestrales'!B25</f>
        <v>2.1.1-6539.32</v>
      </c>
      <c r="C27" s="120" t="str">
        <f>'Necesidades Trimestrales'!E25</f>
        <v>FRUTAS; VARIEDAD: PERA AMARILLA, ESTADO: NATURAL, PRESENTACION: CAJON, PESO: SIN VALOR</v>
      </c>
      <c r="D27" s="120"/>
      <c r="E27" s="120"/>
      <c r="F27" s="120"/>
      <c r="G27" s="120"/>
      <c r="H27" s="46" t="s">
        <v>26</v>
      </c>
      <c r="I27" s="47" t="str">
        <f>'Necesidades Trimestrales'!F25</f>
        <v>CAJON</v>
      </c>
      <c r="J27" s="48">
        <f>'Necesidades Trimestrales'!H25</f>
        <v>3700</v>
      </c>
      <c r="K27" s="49">
        <f>'Necesidades Trimestrales'!G25</f>
        <v>40</v>
      </c>
    </row>
    <row r="28" spans="1:11" ht="20.25" customHeight="1" x14ac:dyDescent="0.2">
      <c r="A28" s="45">
        <v>17</v>
      </c>
      <c r="B28" s="45" t="str">
        <f>'Necesidades Trimestrales'!B26</f>
        <v>2.1.1-483.37</v>
      </c>
      <c r="C28" s="120" t="str">
        <f>'Necesidades Trimestrales'!E26</f>
        <v>HUEVO DE GALLINA; TAMAÑO: GRANDE, COLOR: COLOR, PRESENTACION: 30 UN</v>
      </c>
      <c r="D28" s="120"/>
      <c r="E28" s="120"/>
      <c r="F28" s="120"/>
      <c r="G28" s="120"/>
      <c r="H28" s="46" t="s">
        <v>26</v>
      </c>
      <c r="I28" s="47" t="str">
        <f>'Necesidades Trimestrales'!F26</f>
        <v>UNIDAD</v>
      </c>
      <c r="J28" s="48">
        <f>'Necesidades Trimestrales'!H26</f>
        <v>650</v>
      </c>
      <c r="K28" s="49">
        <f>'Necesidades Trimestrales'!G26</f>
        <v>130</v>
      </c>
    </row>
    <row r="29" spans="1:11" ht="20.25" customHeight="1" x14ac:dyDescent="0.2">
      <c r="A29" s="50">
        <v>18</v>
      </c>
      <c r="B29" s="45" t="str">
        <f>'Necesidades Trimestrales'!B27</f>
        <v>2.1.1-669.64</v>
      </c>
      <c r="C29" s="120" t="str">
        <f>'Necesidades Trimestrales'!E27</f>
        <v>PANES; TIPO: FRANCES, PRESENTACION: ENVASE X 1 Kg</v>
      </c>
      <c r="D29" s="120"/>
      <c r="E29" s="120"/>
      <c r="F29" s="120"/>
      <c r="G29" s="120"/>
      <c r="H29" s="46" t="s">
        <v>101</v>
      </c>
      <c r="I29" s="47" t="str">
        <f>'Necesidades Trimestrales'!F27</f>
        <v>KG</v>
      </c>
      <c r="J29" s="48">
        <f>'Necesidades Trimestrales'!H27</f>
        <v>250</v>
      </c>
      <c r="K29" s="49">
        <f>'Necesidades Trimestrales'!G27</f>
        <v>900</v>
      </c>
    </row>
    <row r="30" spans="1:11" ht="33.75" customHeight="1" x14ac:dyDescent="0.2">
      <c r="A30" s="45">
        <v>19</v>
      </c>
      <c r="B30" s="45" t="str">
        <f>'Necesidades Trimestrales'!B28</f>
        <v>2.1.1-669.25</v>
      </c>
      <c r="C30" s="120" t="str">
        <f>'Necesidades Trimestrales'!E28</f>
        <v>PANES; TIPO: RALLADO, PRESENTACION: BOLSA DE 1000 GR</v>
      </c>
      <c r="D30" s="120"/>
      <c r="E30" s="120"/>
      <c r="F30" s="120"/>
      <c r="G30" s="120"/>
      <c r="H30" s="46" t="s">
        <v>101</v>
      </c>
      <c r="I30" s="47" t="str">
        <f>'Necesidades Trimestrales'!F28</f>
        <v>UNIDAD</v>
      </c>
      <c r="J30" s="48">
        <f>'Necesidades Trimestrales'!H28</f>
        <v>250</v>
      </c>
      <c r="K30" s="49">
        <f>'Necesidades Trimestrales'!G28</f>
        <v>150</v>
      </c>
    </row>
    <row r="31" spans="1:11" ht="28.5" customHeight="1" x14ac:dyDescent="0.2">
      <c r="A31" s="50">
        <v>20</v>
      </c>
      <c r="B31" s="45" t="str">
        <f>'Necesidades Trimestrales'!B29</f>
        <v>2.1.1-707.38</v>
      </c>
      <c r="C31" s="120" t="str">
        <f>'Necesidades Trimestrales'!E29</f>
        <v>PASTAS FRESCAS; VARIEDAD: RAVIOL, RELLENO: VERDURA Y POLLO, PRESENTACION: ENVASE X 500 GR</v>
      </c>
      <c r="D31" s="120"/>
      <c r="E31" s="120"/>
      <c r="F31" s="120"/>
      <c r="G31" s="120"/>
      <c r="H31" s="46" t="s">
        <v>101</v>
      </c>
      <c r="I31" s="47" t="str">
        <f>'Necesidades Trimestrales'!F29</f>
        <v>UNIDAD</v>
      </c>
      <c r="J31" s="48">
        <f>'Necesidades Trimestrales'!H29</f>
        <v>220</v>
      </c>
      <c r="K31" s="49">
        <f>'Necesidades Trimestrales'!G29</f>
        <v>200</v>
      </c>
    </row>
    <row r="32" spans="1:11" ht="32.25" customHeight="1" x14ac:dyDescent="0.2">
      <c r="A32" s="45">
        <v>21</v>
      </c>
      <c r="B32" s="45" t="str">
        <f>'Necesidades Trimestrales'!B30</f>
        <v>2.1.1-590.27</v>
      </c>
      <c r="C32" s="120" t="str">
        <f>'Necesidades Trimestrales'!E30</f>
        <v>PESCADOS Y FRUTOS CONGELADOS; TIPO: FILET DE MERLUZA, ENVASE: POLIESTIRENO, PRESENTACION: ENVASE X 1 Kg, ELEM. TRANSPORTE: SIN, MATERIAL ELEM. TRANSPORTE: SIN</v>
      </c>
      <c r="D32" s="120"/>
      <c r="E32" s="120"/>
      <c r="F32" s="120"/>
      <c r="G32" s="120"/>
      <c r="H32" s="46" t="s">
        <v>101</v>
      </c>
      <c r="I32" s="47" t="str">
        <f>'Necesidades Trimestrales'!F30</f>
        <v>UNIDAD</v>
      </c>
      <c r="J32" s="48">
        <f>'Necesidades Trimestrales'!H30</f>
        <v>2100</v>
      </c>
      <c r="K32" s="49">
        <f>'Necesidades Trimestrales'!G30</f>
        <v>150</v>
      </c>
    </row>
    <row r="33" spans="1:11" ht="28.5" customHeight="1" x14ac:dyDescent="0.2">
      <c r="A33" s="50">
        <v>22</v>
      </c>
      <c r="B33" s="45" t="str">
        <f>'Necesidades Trimestrales'!B31</f>
        <v>2.1.1-542.236</v>
      </c>
      <c r="C33" s="120" t="str">
        <f>'Necesidades Trimestrales'!E31</f>
        <v>QUESOS; TIPO: CREMOSO, PRESENTACION: AL PESO, ELEM. TRANSPORTE: SIN, MATERIAL ELEM. TRANSPORTE: SIN, MATERIAL ENVASE: SIN, CERTIFICADO FORESTAL (GFS): SIN, LIBRE DE GLUTEN: A DEFINIR</v>
      </c>
      <c r="D33" s="120"/>
      <c r="E33" s="120"/>
      <c r="F33" s="120"/>
      <c r="G33" s="120"/>
      <c r="H33" s="46" t="s">
        <v>101</v>
      </c>
      <c r="I33" s="47" t="str">
        <f>'Necesidades Trimestrales'!F31</f>
        <v>KG</v>
      </c>
      <c r="J33" s="48">
        <f>'Necesidades Trimestrales'!H31</f>
        <v>900</v>
      </c>
      <c r="K33" s="49">
        <f>'Necesidades Trimestrales'!G31</f>
        <v>200</v>
      </c>
    </row>
    <row r="34" spans="1:11" ht="25.5" customHeight="1" x14ac:dyDescent="0.2">
      <c r="A34" s="45">
        <v>23</v>
      </c>
      <c r="B34" s="45" t="str">
        <f>'Necesidades Trimestrales'!B32</f>
        <v>2.1.1-542.207</v>
      </c>
      <c r="C34" s="120" t="str">
        <f>'Necesidades Trimestrales'!E32</f>
        <v>QUESOS; TIPO: SARDO, PRESENTACION: HORMA X 3 Kg, ELEM. TRANSPORTE: SIN, MATERIAL ELEM. TRANSPORTE: SIN, MATERIAL ENVASE: SIN, CERTIFICADO FORESTAL (GFS): SIN, LIBRE DE GLUTEN: NO</v>
      </c>
      <c r="D34" s="120"/>
      <c r="E34" s="120"/>
      <c r="F34" s="120"/>
      <c r="G34" s="120"/>
      <c r="H34" s="46" t="s">
        <v>26</v>
      </c>
      <c r="I34" s="47" t="str">
        <f>'Necesidades Trimestrales'!F32</f>
        <v>UNIDAD</v>
      </c>
      <c r="J34" s="48">
        <f>'Necesidades Trimestrales'!H32</f>
        <v>4900</v>
      </c>
      <c r="K34" s="49">
        <f>'Necesidades Trimestrales'!G32</f>
        <v>90</v>
      </c>
    </row>
    <row r="35" spans="1:11" ht="26.25" customHeight="1" x14ac:dyDescent="0.2">
      <c r="A35" s="50">
        <v>24</v>
      </c>
      <c r="B35" s="45" t="str">
        <f>'Necesidades Trimestrales'!B33</f>
        <v>2.1.1-542.197</v>
      </c>
      <c r="C35" s="120" t="str">
        <f>'Necesidades Trimestrales'!E33</f>
        <v>QUESOS; TIPO: TYBO, PRESENTACION: HORMA, ELEM. TRANSPORTE: SIN, MATERIAL ELEM. TRANSPORTE: SIN, MATERIAL ENVASE: PLASTICO, CERTIFICADO FORESTAL (GFS): SIN, LIBRE DE GLUTEN: NO</v>
      </c>
      <c r="D35" s="120"/>
      <c r="E35" s="120"/>
      <c r="F35" s="120"/>
      <c r="G35" s="120"/>
      <c r="H35" s="46" t="s">
        <v>26</v>
      </c>
      <c r="I35" s="47" t="str">
        <f>'Necesidades Trimestrales'!F33</f>
        <v>UNIDAD</v>
      </c>
      <c r="J35" s="48">
        <f>'Necesidades Trimestrales'!H33</f>
        <v>1700</v>
      </c>
      <c r="K35" s="49">
        <f>'Necesidades Trimestrales'!G33</f>
        <v>20</v>
      </c>
    </row>
    <row r="36" spans="1:11" ht="20.25" customHeight="1" x14ac:dyDescent="0.2">
      <c r="A36" s="45">
        <v>25</v>
      </c>
      <c r="B36" s="45" t="str">
        <f>'Necesidades Trimestrales'!B34</f>
        <v>2.1.1-2610.1</v>
      </c>
      <c r="C36" s="120" t="str">
        <f>'Necesidades Trimestrales'!E34</f>
        <v>TAPAS P/EMPANADAS; TIPO: P/HORNO, PRESENTACION: BOLSA X 12</v>
      </c>
      <c r="D36" s="120"/>
      <c r="E36" s="120"/>
      <c r="F36" s="120"/>
      <c r="G36" s="120"/>
      <c r="H36" s="46" t="s">
        <v>101</v>
      </c>
      <c r="I36" s="47" t="str">
        <f>'Necesidades Trimestrales'!F34</f>
        <v>UNIDAD</v>
      </c>
      <c r="J36" s="48">
        <f>'Necesidades Trimestrales'!H34</f>
        <v>110</v>
      </c>
      <c r="K36" s="49">
        <f>'Necesidades Trimestrales'!G34</f>
        <v>200</v>
      </c>
    </row>
    <row r="37" spans="1:11" ht="30" customHeight="1" x14ac:dyDescent="0.2">
      <c r="A37" s="50">
        <v>26</v>
      </c>
      <c r="B37" s="45" t="str">
        <f>'Necesidades Trimestrales'!B35</f>
        <v>2.1.1-2429.1</v>
      </c>
      <c r="C37" s="120" t="str">
        <f>'Necesidades Trimestrales'!E35</f>
        <v>TAPAS P/TARTAS; TIPO: REDONDA, MASA: CASERA, PRESENTACION: BOLSA</v>
      </c>
      <c r="D37" s="120"/>
      <c r="E37" s="120"/>
      <c r="F37" s="120"/>
      <c r="G37" s="120"/>
      <c r="H37" s="46" t="s">
        <v>101</v>
      </c>
      <c r="I37" s="47" t="str">
        <f>'Necesidades Trimestrales'!F35</f>
        <v>UNIDAD</v>
      </c>
      <c r="J37" s="48">
        <f>'Necesidades Trimestrales'!H35</f>
        <v>150</v>
      </c>
      <c r="K37" s="49">
        <f>'Necesidades Trimestrales'!G35</f>
        <v>150</v>
      </c>
    </row>
    <row r="38" spans="1:11" ht="31.5" customHeight="1" x14ac:dyDescent="0.2">
      <c r="A38" s="45">
        <v>27</v>
      </c>
      <c r="B38" s="45" t="str">
        <f>'Necesidades Trimestrales'!B36</f>
        <v>2.1.1-6546.154</v>
      </c>
      <c r="C38" s="120" t="str">
        <f>'Necesidades Trimestrales'!E36</f>
        <v>VERDURAS Y HORTALIZAS; ESTADO: NATURAL, PESO: SIN VALOR, VARIEDAD: AJO, PRESENTACION: UNIDAD</v>
      </c>
      <c r="D38" s="120"/>
      <c r="E38" s="120"/>
      <c r="F38" s="120"/>
      <c r="G38" s="120"/>
      <c r="H38" s="46" t="s">
        <v>26</v>
      </c>
      <c r="I38" s="47" t="str">
        <f>'Necesidades Trimestrales'!F36</f>
        <v>UNIDAD</v>
      </c>
      <c r="J38" s="48">
        <f>'Necesidades Trimestrales'!H36</f>
        <v>1500</v>
      </c>
      <c r="K38" s="49">
        <f>'Necesidades Trimestrales'!G36</f>
        <v>100</v>
      </c>
    </row>
    <row r="39" spans="1:11" ht="25.5" customHeight="1" x14ac:dyDescent="0.2">
      <c r="A39" s="50">
        <v>28</v>
      </c>
      <c r="B39" s="45" t="str">
        <f>'Necesidades Trimestrales'!B37</f>
        <v>2.1.1-6546.188</v>
      </c>
      <c r="C39" s="120" t="str">
        <f>'Necesidades Trimestrales'!E37</f>
        <v>VERDURAS Y HORTALIZAS; ESTADO: NATURAL, PRESENTACION: GRANEL, PESO: SIN VALOR, VARIEDAD: ZAPALLO CRIOLLO</v>
      </c>
      <c r="D39" s="120"/>
      <c r="E39" s="120"/>
      <c r="F39" s="120"/>
      <c r="G39" s="120"/>
      <c r="H39" s="46" t="s">
        <v>101</v>
      </c>
      <c r="I39" s="47" t="str">
        <f>'Necesidades Trimestrales'!F37</f>
        <v>KG.</v>
      </c>
      <c r="J39" s="48">
        <f>'Necesidades Trimestrales'!H37</f>
        <v>130</v>
      </c>
      <c r="K39" s="49">
        <f>'Necesidades Trimestrales'!G37</f>
        <v>1000</v>
      </c>
    </row>
    <row r="40" spans="1:11" ht="20.25" customHeight="1" x14ac:dyDescent="0.2">
      <c r="A40" s="45">
        <v>29</v>
      </c>
      <c r="B40" s="45" t="str">
        <f>'Necesidades Trimestrales'!B38</f>
        <v>2.1.1-6546.100</v>
      </c>
      <c r="C40" s="120" t="str">
        <f>'Necesidades Trimestrales'!E38</f>
        <v>VERDURAS Y HORTALIZAS; ESTADO: NATURAL, PRESENTACION: GRANEL, VARIEDAD: PAPA BLANCA, PESO: SIN VALOR</v>
      </c>
      <c r="D40" s="120"/>
      <c r="E40" s="120"/>
      <c r="F40" s="120"/>
      <c r="G40" s="120"/>
      <c r="H40" s="46" t="s">
        <v>101</v>
      </c>
      <c r="I40" s="47" t="str">
        <f>'Necesidades Trimestrales'!F38</f>
        <v>KG</v>
      </c>
      <c r="J40" s="48">
        <f>'Necesidades Trimestrales'!H38</f>
        <v>70</v>
      </c>
      <c r="K40" s="49">
        <f>'Necesidades Trimestrales'!G38</f>
        <v>1200</v>
      </c>
    </row>
    <row r="41" spans="1:11" ht="26.25" customHeight="1" x14ac:dyDescent="0.2">
      <c r="A41" s="50">
        <v>30</v>
      </c>
      <c r="B41" s="45" t="str">
        <f>'Necesidades Trimestrales'!B39</f>
        <v>2.1.1-6546.158</v>
      </c>
      <c r="C41" s="120" t="str">
        <f>'Necesidades Trimestrales'!E39</f>
        <v>VERDURAS Y HORTALIZAS; ESTADO: NATURAL, VARIEDAD: ZAPALLO ANCO, PRESENTACION: GRANEL, PESO: SIN VALOR</v>
      </c>
      <c r="D41" s="120"/>
      <c r="E41" s="120"/>
      <c r="F41" s="120"/>
      <c r="G41" s="120"/>
      <c r="H41" s="46" t="s">
        <v>101</v>
      </c>
      <c r="I41" s="47" t="str">
        <f>'Necesidades Trimestrales'!F39</f>
        <v>KG.</v>
      </c>
      <c r="J41" s="48">
        <f>'Necesidades Trimestrales'!H39</f>
        <v>110</v>
      </c>
      <c r="K41" s="49">
        <f>'Necesidades Trimestrales'!G39</f>
        <v>800</v>
      </c>
    </row>
    <row r="42" spans="1:11" ht="24.75" customHeight="1" x14ac:dyDescent="0.2">
      <c r="A42" s="45">
        <v>31</v>
      </c>
      <c r="B42" s="45" t="str">
        <f>'Necesidades Trimestrales'!B40</f>
        <v>2.1.1-6546.124</v>
      </c>
      <c r="C42" s="120" t="str">
        <f>'Necesidades Trimestrales'!E40</f>
        <v>VERDURAS Y HORTALIZAS; PESO: SIN VALOR, VARIEDAD: REMOLACHA, ESTADO: NATURAL, PRESENTACION: GRANEL</v>
      </c>
      <c r="D42" s="120"/>
      <c r="E42" s="120"/>
      <c r="F42" s="120"/>
      <c r="G42" s="120"/>
      <c r="H42" s="46" t="s">
        <v>101</v>
      </c>
      <c r="I42" s="47" t="str">
        <f>'Necesidades Trimestrales'!F40</f>
        <v>KG</v>
      </c>
      <c r="J42" s="48">
        <f>'Necesidades Trimestrales'!H40</f>
        <v>500</v>
      </c>
      <c r="K42" s="49">
        <f>'Necesidades Trimestrales'!G40</f>
        <v>50</v>
      </c>
    </row>
    <row r="43" spans="1:11" ht="20.25" customHeight="1" x14ac:dyDescent="0.2">
      <c r="A43" s="50">
        <v>32</v>
      </c>
      <c r="B43" s="45" t="str">
        <f>'Necesidades Trimestrales'!B41</f>
        <v>2.1.1-6546.207</v>
      </c>
      <c r="C43" s="120" t="str">
        <f>'Necesidades Trimestrales'!E41</f>
        <v>VERDURAS Y HORTALIZAS; VARIEDAD: BATATA, ESTADO: NATURAL, PRESENTACION: BOLSA, PESO: 10 Kg</v>
      </c>
      <c r="D43" s="120"/>
      <c r="E43" s="120"/>
      <c r="F43" s="120"/>
      <c r="G43" s="120"/>
      <c r="H43" s="46" t="s">
        <v>101</v>
      </c>
      <c r="I43" s="47" t="str">
        <f>'Necesidades Trimestrales'!F41</f>
        <v>UNIDAD</v>
      </c>
      <c r="J43" s="48">
        <f>'Necesidades Trimestrales'!H41</f>
        <v>500</v>
      </c>
      <c r="K43" s="49">
        <f>'Necesidades Trimestrales'!G41</f>
        <v>5</v>
      </c>
    </row>
    <row r="44" spans="1:11" ht="24" customHeight="1" x14ac:dyDescent="0.2">
      <c r="A44" s="45">
        <v>33</v>
      </c>
      <c r="B44" s="45" t="str">
        <f>'Necesidades Trimestrales'!B42</f>
        <v>2.1.1-6546.177</v>
      </c>
      <c r="C44" s="120" t="str">
        <f>'Necesidades Trimestrales'!E42</f>
        <v>VERDURAS Y HORTALIZAS; VARIEDAD: BERENJENA, ESTADO: NATURAL, PRESENTACION: GRANEL, PESO: SIN VALOR</v>
      </c>
      <c r="D44" s="120"/>
      <c r="E44" s="120"/>
      <c r="F44" s="120"/>
      <c r="G44" s="120"/>
      <c r="H44" s="46" t="s">
        <v>101</v>
      </c>
      <c r="I44" s="47" t="str">
        <f>'Necesidades Trimestrales'!F42</f>
        <v>KG</v>
      </c>
      <c r="J44" s="48">
        <f>'Necesidades Trimestrales'!H42</f>
        <v>140</v>
      </c>
      <c r="K44" s="49">
        <f>'Necesidades Trimestrales'!G42</f>
        <v>50</v>
      </c>
    </row>
    <row r="45" spans="1:11" ht="33.75" customHeight="1" x14ac:dyDescent="0.2">
      <c r="A45" s="50">
        <v>34</v>
      </c>
      <c r="B45" s="45" t="str">
        <f>'Necesidades Trimestrales'!B43</f>
        <v>2.1.1-6546.236</v>
      </c>
      <c r="C45" s="120" t="str">
        <f>'Necesidades Trimestrales'!E43</f>
        <v>VERDURAS Y HORTALIZAS; VARIEDAD: CEBOLLA, ESTADO: NATURAL, PRESENTACION: BOLSA, PESO: 20 Kg</v>
      </c>
      <c r="D45" s="120"/>
      <c r="E45" s="120"/>
      <c r="F45" s="120"/>
      <c r="G45" s="120"/>
      <c r="H45" s="46" t="s">
        <v>101</v>
      </c>
      <c r="I45" s="47" t="str">
        <f>'Necesidades Trimestrales'!F43</f>
        <v>UNIDAD</v>
      </c>
      <c r="J45" s="48">
        <f>'Necesidades Trimestrales'!H43</f>
        <v>1300</v>
      </c>
      <c r="K45" s="49">
        <f>'Necesidades Trimestrales'!G43</f>
        <v>90</v>
      </c>
    </row>
    <row r="46" spans="1:11" ht="20.25" customHeight="1" x14ac:dyDescent="0.2">
      <c r="A46" s="45">
        <v>35</v>
      </c>
      <c r="B46" s="45" t="str">
        <f>'Necesidades Trimestrales'!B44</f>
        <v>2.1.1-6546.169</v>
      </c>
      <c r="C46" s="120" t="str">
        <f>'Necesidades Trimestrales'!E44</f>
        <v>VERDURAS Y HORTALIZAS; VARIEDAD: ESPINACA, PRESENTACION: ATADO, ESTADO: NATURAL, PESO: SIN VALOR</v>
      </c>
      <c r="D46" s="120"/>
      <c r="E46" s="120"/>
      <c r="F46" s="120"/>
      <c r="G46" s="120"/>
      <c r="H46" s="46" t="s">
        <v>26</v>
      </c>
      <c r="I46" s="47" t="str">
        <f>'Necesidades Trimestrales'!F44</f>
        <v>UNIDAD</v>
      </c>
      <c r="J46" s="48">
        <f>'Necesidades Trimestrales'!H44</f>
        <v>75</v>
      </c>
      <c r="K46" s="49">
        <f>'Necesidades Trimestrales'!G44</f>
        <v>150</v>
      </c>
    </row>
    <row r="47" spans="1:11" ht="27.75" customHeight="1" x14ac:dyDescent="0.2">
      <c r="A47" s="50">
        <v>36</v>
      </c>
      <c r="B47" s="45" t="str">
        <f>'Necesidades Trimestrales'!B45</f>
        <v>2.1.1-6546.374</v>
      </c>
      <c r="C47" s="120" t="str">
        <f>'Necesidades Trimestrales'!E45</f>
        <v>VERDURAS Y HORTALIZAS; VARIEDAD: LECHUGA ARREPOLLADA, ESTADO: NATURAL, PRESENTACION: A GRANEL, PESO: 300 GR CADA PLANTA, ELEM. TRANSPORTE: SIN, MATERIAL ELEM. TRANSPORTE: SIN, LIBRE DE GLUTEN: SI</v>
      </c>
      <c r="D47" s="120"/>
      <c r="E47" s="120"/>
      <c r="F47" s="120"/>
      <c r="G47" s="120"/>
      <c r="H47" s="46" t="s">
        <v>101</v>
      </c>
      <c r="I47" s="47" t="str">
        <f>'Necesidades Trimestrales'!F45</f>
        <v>UNIDAD</v>
      </c>
      <c r="J47" s="48">
        <f>'Necesidades Trimestrales'!H45</f>
        <v>55</v>
      </c>
      <c r="K47" s="49">
        <f>'Necesidades Trimestrales'!G45</f>
        <v>60</v>
      </c>
    </row>
    <row r="48" spans="1:11" ht="27.75" customHeight="1" x14ac:dyDescent="0.2">
      <c r="A48" s="45">
        <v>37</v>
      </c>
      <c r="B48" s="45" t="str">
        <f>'Necesidades Trimestrales'!B46</f>
        <v>2.1.1-6546.95</v>
      </c>
      <c r="C48" s="120" t="str">
        <f>'Necesidades Trimestrales'!E46</f>
        <v>VERDURAS Y HORTALIZAS; VARIEDAD: MORRON VERDE, ESTADO: NATURAL, PRESENTACION: GRANEL, PESO: SIN VALOR</v>
      </c>
      <c r="D48" s="120"/>
      <c r="E48" s="120"/>
      <c r="F48" s="120"/>
      <c r="G48" s="120"/>
      <c r="H48" s="46" t="s">
        <v>101</v>
      </c>
      <c r="I48" s="47" t="str">
        <f>'Necesidades Trimestrales'!F46</f>
        <v>KG</v>
      </c>
      <c r="J48" s="48">
        <f>'Necesidades Trimestrales'!H46</f>
        <v>180</v>
      </c>
      <c r="K48" s="49">
        <f>'Necesidades Trimestrales'!G46</f>
        <v>60</v>
      </c>
    </row>
    <row r="49" spans="1:11" ht="27" customHeight="1" x14ac:dyDescent="0.2">
      <c r="A49" s="50">
        <v>38</v>
      </c>
      <c r="B49" s="45" t="str">
        <f>'Necesidades Trimestrales'!B47</f>
        <v>2.1.1-6546.133</v>
      </c>
      <c r="C49" s="120" t="str">
        <f>'Necesidades Trimestrales'!E47</f>
        <v>VERDURAS Y HORTALIZAS; VARIEDAD: PEREJIL, ESTADO: NATURAL, PRESENTACION: ATADO, PESO: 1 Kg</v>
      </c>
      <c r="D49" s="120"/>
      <c r="E49" s="120"/>
      <c r="F49" s="120"/>
      <c r="G49" s="120"/>
      <c r="H49" s="46" t="s">
        <v>101</v>
      </c>
      <c r="I49" s="47" t="str">
        <f>'Necesidades Trimestrales'!F47</f>
        <v>KG</v>
      </c>
      <c r="J49" s="48">
        <f>'Necesidades Trimestrales'!H47</f>
        <v>440</v>
      </c>
      <c r="K49" s="49">
        <f>'Necesidades Trimestrales'!G47</f>
        <v>50</v>
      </c>
    </row>
    <row r="50" spans="1:11" ht="27.75" customHeight="1" x14ac:dyDescent="0.2">
      <c r="A50" s="45">
        <v>39</v>
      </c>
      <c r="B50" s="45" t="str">
        <f>'Necesidades Trimestrales'!B48</f>
        <v>2.1.1-6546.390</v>
      </c>
      <c r="C50" s="120" t="str">
        <f>'Necesidades Trimestrales'!E48</f>
        <v>VERDURAS Y HORTALIZAS; VARIEDAD: TOMATE REDONDO, ESTADO: NATURAL, PRESENTACION: CAJON, PESO: 17 A 22 Kg, ELEM. TRANSPORTE: SIN, MATERIAL ELEM. TRANSPORTE: SIN, LIBRE DE GLUTEN: SI, ORGANICO: NO</v>
      </c>
      <c r="D50" s="120"/>
      <c r="E50" s="120"/>
      <c r="F50" s="120"/>
      <c r="G50" s="120"/>
      <c r="H50" s="46" t="s">
        <v>26</v>
      </c>
      <c r="I50" s="47" t="str">
        <f>'Necesidades Trimestrales'!F48</f>
        <v>CAJON</v>
      </c>
      <c r="J50" s="48">
        <f>'Necesidades Trimestrales'!H48</f>
        <v>2800</v>
      </c>
      <c r="K50" s="49">
        <f>'Necesidades Trimestrales'!G48</f>
        <v>80</v>
      </c>
    </row>
    <row r="51" spans="1:11" ht="33" customHeight="1" x14ac:dyDescent="0.2">
      <c r="A51" s="50">
        <v>40</v>
      </c>
      <c r="B51" s="45" t="str">
        <f>'Necesidades Trimestrales'!B49</f>
        <v>2.1.1-6546.167</v>
      </c>
      <c r="C51" s="120" t="str">
        <f>'Necesidades Trimestrales'!E49</f>
        <v>VERDURAS Y HORTALIZAS; VARIEDAD: ZANAHORIA, PRESENTACION: BOLSA, ESTADO: NATURAL, PESO: 20 Kg</v>
      </c>
      <c r="D51" s="120"/>
      <c r="E51" s="120"/>
      <c r="F51" s="120"/>
      <c r="G51" s="120"/>
      <c r="H51" s="46" t="s">
        <v>101</v>
      </c>
      <c r="I51" s="47" t="str">
        <f>'Necesidades Trimestrales'!F49</f>
        <v>UNIDAD</v>
      </c>
      <c r="J51" s="48">
        <f>'Necesidades Trimestrales'!H49</f>
        <v>2600</v>
      </c>
      <c r="K51" s="49">
        <f>'Necesidades Trimestrales'!G49</f>
        <v>80</v>
      </c>
    </row>
    <row r="52" spans="1:11" ht="27.75" customHeight="1" x14ac:dyDescent="0.2">
      <c r="A52" s="45">
        <v>41</v>
      </c>
      <c r="B52" s="45" t="str">
        <f>'Necesidades Trimestrales'!B50</f>
        <v>2.1.1-6546.240</v>
      </c>
      <c r="C52" s="120" t="str">
        <f>'Necesidades Trimestrales'!E50</f>
        <v>VERDURAS Y HORTALIZAS; VARIEDAD: ZAPALLITO REDONDO, ESTADO: NATURAL, PRESENTACION: SIN VALOR, PESO: 20 Kg</v>
      </c>
      <c r="D52" s="120"/>
      <c r="E52" s="120"/>
      <c r="F52" s="120"/>
      <c r="G52" s="120"/>
      <c r="H52" s="46" t="s">
        <v>101</v>
      </c>
      <c r="I52" s="47" t="str">
        <f>'Necesidades Trimestrales'!F50</f>
        <v>CAJON</v>
      </c>
      <c r="J52" s="48">
        <f>'Necesidades Trimestrales'!H50</f>
        <v>1500</v>
      </c>
      <c r="K52" s="49">
        <f>'Necesidades Trimestrales'!G50</f>
        <v>60</v>
      </c>
    </row>
    <row r="53" spans="1:11" ht="20.25" customHeight="1" x14ac:dyDescent="0.2">
      <c r="A53" s="50">
        <v>42</v>
      </c>
      <c r="B53" s="45" t="str">
        <f>'Necesidades Trimestrales'!B51</f>
        <v>2.1.1-6546.298</v>
      </c>
      <c r="C53" s="120" t="str">
        <f>'Necesidades Trimestrales'!E51</f>
        <v>VERDURAS Y HORTALIZAS; VARIEDAD: ZUCHINI, ESTADO: NATURAL, PRESENTACION: CAJON, PESO: 18 Kg</v>
      </c>
      <c r="D53" s="120"/>
      <c r="E53" s="120"/>
      <c r="F53" s="120"/>
      <c r="G53" s="120"/>
      <c r="H53" s="46" t="s">
        <v>101</v>
      </c>
      <c r="I53" s="47" t="str">
        <f>'Necesidades Trimestrales'!F51</f>
        <v>CAJON</v>
      </c>
      <c r="J53" s="48">
        <f>'Necesidades Trimestrales'!H51</f>
        <v>1900</v>
      </c>
      <c r="K53" s="49">
        <f>'Necesidades Trimestrales'!G51</f>
        <v>50</v>
      </c>
    </row>
    <row r="54" spans="1:11" ht="33.75" customHeight="1" x14ac:dyDescent="0.2">
      <c r="A54" s="45">
        <v>43</v>
      </c>
      <c r="B54" s="45" t="str">
        <f>'Necesidades Trimestrales'!B52</f>
        <v>2.1.1-456.91</v>
      </c>
      <c r="C54" s="120" t="str">
        <f>'Necesidades Trimestrales'!E52</f>
        <v>YOGHURT; TIPO: DESCREMADO, AGREGADO: SIN, CONSISTENCIA: FIRME, SABOR: VAINILLA-FRUTILLA, PRESENTACION: POTE PLASTICO X 190 mL</v>
      </c>
      <c r="D54" s="120"/>
      <c r="E54" s="120"/>
      <c r="F54" s="120"/>
      <c r="G54" s="120"/>
      <c r="H54" s="46" t="s">
        <v>101</v>
      </c>
      <c r="I54" s="47" t="str">
        <f>'Necesidades Trimestrales'!F52</f>
        <v>UNIDAD</v>
      </c>
      <c r="J54" s="48">
        <f>'Necesidades Trimestrales'!H52</f>
        <v>95</v>
      </c>
      <c r="K54" s="49">
        <f>'Necesidades Trimestrales'!G52</f>
        <v>80</v>
      </c>
    </row>
    <row r="55" spans="1:11" ht="39.75" customHeight="1" thickBot="1" x14ac:dyDescent="0.25">
      <c r="A55" s="50">
        <v>44</v>
      </c>
      <c r="B55" s="45" t="str">
        <f>'Necesidades Trimestrales'!B53</f>
        <v>2.1.1-456.90</v>
      </c>
      <c r="C55" s="120" t="str">
        <f>'Necesidades Trimestrales'!E53</f>
        <v>YOGHURT; TIPO: ENTERO, AGREGADO: SIN, CONSISTENCIA: FIRME, SABOR: VAINILLA-FRUTILLA, PRESENTACION: POTE PLASTICO X 190 mL</v>
      </c>
      <c r="D55" s="120"/>
      <c r="E55" s="120"/>
      <c r="F55" s="120"/>
      <c r="G55" s="120"/>
      <c r="H55" s="46" t="s">
        <v>101</v>
      </c>
      <c r="I55" s="47" t="str">
        <f>'Necesidades Trimestrales'!F53</f>
        <v>UNIDAD</v>
      </c>
      <c r="J55" s="48">
        <f>'Necesidades Trimestrales'!H53</f>
        <v>95</v>
      </c>
      <c r="K55" s="49">
        <f>'Necesidades Trimestrales'!G53</f>
        <v>80</v>
      </c>
    </row>
    <row r="56" spans="1:11" ht="20.25" customHeight="1" thickBot="1" x14ac:dyDescent="0.25">
      <c r="A56" s="123" t="s">
        <v>160</v>
      </c>
      <c r="B56" s="123"/>
      <c r="C56" s="123"/>
      <c r="D56" s="123"/>
      <c r="E56" s="123"/>
      <c r="F56" s="123"/>
      <c r="G56" s="123"/>
      <c r="H56" s="123"/>
      <c r="I56" s="123"/>
      <c r="J56" s="130">
        <f>SUMPRODUCT(J12:J55,K12:K55)</f>
        <v>7489650</v>
      </c>
      <c r="K56" s="130"/>
    </row>
  </sheetData>
  <mergeCells count="66">
    <mergeCell ref="A56:I56"/>
    <mergeCell ref="J56:K56"/>
    <mergeCell ref="C12:G12"/>
    <mergeCell ref="C13:G13"/>
    <mergeCell ref="C14:G14"/>
    <mergeCell ref="C15:G15"/>
    <mergeCell ref="C21:G21"/>
    <mergeCell ref="C22:G22"/>
    <mergeCell ref="C23:G23"/>
    <mergeCell ref="C16:G16"/>
    <mergeCell ref="C17:G17"/>
    <mergeCell ref="C18:G18"/>
    <mergeCell ref="C19:G19"/>
    <mergeCell ref="C20:G20"/>
    <mergeCell ref="C27:G27"/>
    <mergeCell ref="C28:G28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C24:G24"/>
    <mergeCell ref="C25:G25"/>
    <mergeCell ref="C26:G26"/>
    <mergeCell ref="C29:G29"/>
    <mergeCell ref="C30:G30"/>
    <mergeCell ref="C31:G31"/>
    <mergeCell ref="C34:G34"/>
    <mergeCell ref="C35:G35"/>
    <mergeCell ref="C36:G36"/>
    <mergeCell ref="C37:G37"/>
    <mergeCell ref="C32:G32"/>
    <mergeCell ref="C33:G33"/>
    <mergeCell ref="C43:G43"/>
    <mergeCell ref="C44:G44"/>
    <mergeCell ref="C38:G38"/>
    <mergeCell ref="C39:G39"/>
    <mergeCell ref="C40:G40"/>
    <mergeCell ref="C41:G41"/>
    <mergeCell ref="C42:G42"/>
    <mergeCell ref="C45:G45"/>
    <mergeCell ref="C46:G46"/>
    <mergeCell ref="C51:G51"/>
    <mergeCell ref="C49:G49"/>
    <mergeCell ref="C50:G50"/>
    <mergeCell ref="C52:G52"/>
    <mergeCell ref="C53:G53"/>
    <mergeCell ref="C54:G54"/>
    <mergeCell ref="C55:G55"/>
    <mergeCell ref="C47:G47"/>
    <mergeCell ref="C48:G4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zoomScale="130" zoomScaleNormal="130" workbookViewId="0">
      <selection activeCell="A11" sqref="A11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31" t="s">
        <v>3</v>
      </c>
      <c r="B1" s="131"/>
      <c r="C1" s="131"/>
      <c r="D1" s="132">
        <f>'Necesidades Trimestrales'!C6</f>
        <v>2022</v>
      </c>
      <c r="E1" s="132"/>
      <c r="F1" s="3"/>
      <c r="G1" s="3"/>
      <c r="H1" s="4"/>
      <c r="I1" s="4"/>
      <c r="J1" s="4"/>
      <c r="K1" s="4"/>
      <c r="L1" s="4"/>
      <c r="M1" s="4"/>
      <c r="N1" s="4"/>
      <c r="P1" s="133" t="s">
        <v>27</v>
      </c>
      <c r="Q1" s="13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3"/>
      <c r="Q2" s="133"/>
    </row>
    <row r="4" spans="1:17" s="5" customFormat="1" ht="18" customHeight="1" thickBot="1" x14ac:dyDescent="0.25">
      <c r="A4" s="134" t="s">
        <v>28</v>
      </c>
      <c r="B4" s="134"/>
      <c r="C4" s="134"/>
      <c r="D4" s="134"/>
      <c r="E4" s="134"/>
      <c r="F4" s="134"/>
      <c r="G4" s="135" t="str">
        <f>' NotaPedido'!D3</f>
        <v>040 - Ministerio de Salud</v>
      </c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17" s="5" customFormat="1" ht="18" customHeight="1" thickBot="1" x14ac:dyDescent="0.25">
      <c r="A5" s="136" t="s">
        <v>51</v>
      </c>
      <c r="B5" s="137"/>
      <c r="C5" s="137"/>
      <c r="D5" s="137"/>
      <c r="E5" s="137"/>
      <c r="F5" s="138"/>
      <c r="G5" s="135" t="str">
        <f>' NotaPedido'!D4</f>
        <v>24 - Direccion de Administracion del Hospital Interzonal de Niños Eva Peron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5" customFormat="1" ht="18" customHeight="1" thickBot="1" x14ac:dyDescent="0.25">
      <c r="A6" s="136" t="s">
        <v>29</v>
      </c>
      <c r="B6" s="137"/>
      <c r="C6" s="137"/>
      <c r="D6" s="137"/>
      <c r="E6" s="137"/>
      <c r="F6" s="138"/>
      <c r="G6" s="135" t="str">
        <f>' NotaPedido'!D5</f>
        <v>24 - Direccion de Administracion del Hospital Interzonal de Niños Eva Peron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5" customFormat="1" ht="18" customHeight="1" thickBot="1" x14ac:dyDescent="0.25">
      <c r="A7" s="136" t="s">
        <v>52</v>
      </c>
      <c r="B7" s="137"/>
      <c r="C7" s="137"/>
      <c r="D7" s="137"/>
      <c r="E7" s="137"/>
      <c r="F7" s="138"/>
      <c r="G7" s="135" t="str">
        <f>' NotaPedido'!D6</f>
        <v>Servicio de Alimentacion y Dietoterapia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9" t="s">
        <v>30</v>
      </c>
      <c r="B8" s="139"/>
      <c r="C8" s="139"/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ht="18" customHeight="1" x14ac:dyDescent="0.2">
      <c r="A9" s="140" t="s">
        <v>31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"/>
      <c r="P9" s="1"/>
      <c r="Q9" s="6"/>
    </row>
    <row r="10" spans="1:17" ht="54.75" customHeight="1" x14ac:dyDescent="0.2">
      <c r="A10" s="141" t="str">
        <f>"Autorizo la realización de los  trámites correspondientes, a fin de proveer a  este Organismo los bienes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que se detallan en Nota  de Pedido N° 055/2022,  afectando la erogación resultante a los créditos presupuestarios aprobados a favor de esta Unidad Ejecutora, conforme al siguiente detalle: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42" t="s">
        <v>32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7" ht="15.75" customHeight="1" x14ac:dyDescent="0.2">
      <c r="A13" s="143" t="s">
        <v>33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4" t="s">
        <v>34</v>
      </c>
      <c r="P13" s="144"/>
      <c r="Q13" s="145" t="s">
        <v>35</v>
      </c>
    </row>
    <row r="14" spans="1:17" ht="15.75" customHeight="1" x14ac:dyDescent="0.2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44"/>
      <c r="P14" s="144"/>
      <c r="Q14" s="145"/>
    </row>
    <row r="15" spans="1:17" ht="17.25" customHeight="1" x14ac:dyDescent="0.2">
      <c r="A15" s="53">
        <v>36</v>
      </c>
      <c r="B15" s="54"/>
      <c r="C15" s="54"/>
      <c r="D15" s="54">
        <v>1</v>
      </c>
      <c r="E15" s="54"/>
      <c r="F15" s="54">
        <v>4901</v>
      </c>
      <c r="G15" s="54">
        <v>3</v>
      </c>
      <c r="H15" s="54">
        <v>310</v>
      </c>
      <c r="I15" s="55">
        <v>2</v>
      </c>
      <c r="J15" s="55">
        <v>1</v>
      </c>
      <c r="K15" s="55">
        <v>1</v>
      </c>
      <c r="L15" s="54"/>
      <c r="M15" s="56">
        <v>1</v>
      </c>
      <c r="N15" s="57" t="s">
        <v>99</v>
      </c>
      <c r="O15" s="146" t="s">
        <v>100</v>
      </c>
      <c r="P15" s="147"/>
      <c r="Q15" s="16">
        <v>7489650</v>
      </c>
    </row>
    <row r="16" spans="1:17" ht="17.25" customHeight="1" x14ac:dyDescent="0.2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9"/>
      <c r="N16" s="20"/>
      <c r="O16" s="148"/>
      <c r="P16" s="148"/>
      <c r="Q16" s="21"/>
    </row>
    <row r="17" spans="1:18" ht="17.25" customHeight="1" x14ac:dyDescent="0.2">
      <c r="A17" s="17"/>
      <c r="B17" s="18"/>
      <c r="C17" s="18"/>
      <c r="D17" s="18"/>
      <c r="E17" s="18"/>
      <c r="F17" s="20"/>
      <c r="G17" s="18"/>
      <c r="H17" s="18"/>
      <c r="I17" s="18"/>
      <c r="J17" s="18"/>
      <c r="K17" s="18"/>
      <c r="L17" s="18"/>
      <c r="M17" s="19"/>
      <c r="N17" s="20"/>
      <c r="O17" s="148"/>
      <c r="P17" s="148"/>
      <c r="Q17" s="21"/>
    </row>
    <row r="18" spans="1:18" ht="17.25" customHeight="1" x14ac:dyDescent="0.2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9"/>
      <c r="N18" s="20"/>
      <c r="O18" s="148"/>
      <c r="P18" s="148"/>
      <c r="Q18" s="21"/>
    </row>
    <row r="19" spans="1:18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48"/>
      <c r="P19" s="148"/>
      <c r="Q19" s="21"/>
    </row>
    <row r="20" spans="1:18" ht="17.25" customHeight="1" x14ac:dyDescent="0.2">
      <c r="A20" s="17"/>
      <c r="B20" s="18"/>
      <c r="C20" s="18"/>
      <c r="D20" s="18"/>
      <c r="E20" s="18"/>
      <c r="F20" s="20"/>
      <c r="G20" s="18"/>
      <c r="H20" s="18"/>
      <c r="I20" s="18"/>
      <c r="J20" s="18"/>
      <c r="K20" s="18"/>
      <c r="L20" s="18"/>
      <c r="M20" s="19"/>
      <c r="N20" s="20"/>
      <c r="O20" s="148"/>
      <c r="P20" s="148"/>
      <c r="Q20" s="21"/>
    </row>
    <row r="21" spans="1:18" ht="17.25" customHeight="1" x14ac:dyDescent="0.2">
      <c r="A21" s="22"/>
      <c r="B21" s="23"/>
      <c r="C21" s="23"/>
      <c r="D21" s="23"/>
      <c r="E21" s="23"/>
      <c r="F21" s="24"/>
      <c r="G21" s="23"/>
      <c r="H21" s="23"/>
      <c r="I21" s="23"/>
      <c r="J21" s="23"/>
      <c r="K21" s="23"/>
      <c r="L21" s="23"/>
      <c r="M21" s="25"/>
      <c r="N21" s="26"/>
      <c r="O21" s="154"/>
      <c r="P21" s="154"/>
      <c r="Q21" s="21"/>
      <c r="R21" s="1"/>
    </row>
    <row r="22" spans="1:18" ht="17.25" customHeight="1" x14ac:dyDescent="0.2">
      <c r="A22" s="27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9"/>
      <c r="N22" s="28"/>
      <c r="O22" s="155"/>
      <c r="P22" s="155"/>
      <c r="Q22" s="30"/>
    </row>
    <row r="23" spans="1:18" ht="29.25" customHeight="1" x14ac:dyDescent="0.2">
      <c r="A23" s="156" t="s">
        <v>161</v>
      </c>
      <c r="B23" s="156"/>
      <c r="C23" s="156"/>
      <c r="D23" s="156"/>
      <c r="E23" s="156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31">
        <f>SUM(Q15:Q22)</f>
        <v>7489650</v>
      </c>
    </row>
    <row r="24" spans="1:18" ht="18" customHeight="1" thickBot="1" x14ac:dyDescent="0.25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</row>
    <row r="25" spans="1:18" ht="17.25" customHeight="1" thickBot="1" x14ac:dyDescent="0.25">
      <c r="A25" s="149" t="s">
        <v>49</v>
      </c>
      <c r="B25" s="150"/>
      <c r="C25" s="150"/>
      <c r="D25" s="150"/>
      <c r="E25" s="150"/>
      <c r="F25" s="151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</row>
    <row r="26" spans="1:18" ht="18" customHeight="1" thickBot="1" x14ac:dyDescent="0.25">
      <c r="A26" s="153" t="s">
        <v>119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</row>
    <row r="27" spans="1:18" ht="15" customHeight="1" x14ac:dyDescent="0.2">
      <c r="A27" s="153"/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2022-05-12T14:30:53Z</cp:lastPrinted>
  <dcterms:created xsi:type="dcterms:W3CDTF">2020-07-17T23:44:49Z</dcterms:created>
  <dcterms:modified xsi:type="dcterms:W3CDTF">2022-05-16T15:01:13Z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