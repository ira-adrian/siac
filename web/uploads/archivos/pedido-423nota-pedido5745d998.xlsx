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0640" windowHeight="11760" tabRatio="500" activeTab="2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3" l="1"/>
  <c r="G4" i="3"/>
  <c r="D1" i="3"/>
  <c r="D3" i="2" l="1"/>
  <c r="D4" i="2"/>
  <c r="K12" i="2" l="1"/>
  <c r="J12" i="2"/>
  <c r="I12" i="2"/>
  <c r="C12" i="2"/>
  <c r="B12" i="2"/>
  <c r="I10" i="1"/>
  <c r="I11" i="1" s="1"/>
  <c r="Q15" i="3" s="1"/>
  <c r="Q16" i="3" s="1"/>
  <c r="J13" i="2" l="1"/>
</calcChain>
</file>

<file path=xl/sharedStrings.xml><?xml version="1.0" encoding="utf-8"?>
<sst xmlns="http://schemas.openxmlformats.org/spreadsheetml/2006/main" count="88" uniqueCount="82">
  <si>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</si>
  <si>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</si>
  <si>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</si>
  <si>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</si>
  <si>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</si>
  <si>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</si>
  <si>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</si>
  <si>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</si>
  <si>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</si>
  <si>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</si>
  <si>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</si>
  <si>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</si>
  <si>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</si>
  <si>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</si>
  <si>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</si>
  <si>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</si>
  <si>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</si>
  <si>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</si>
  <si>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</si>
  <si>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</si>
  <si>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</si>
  <si>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</si>
  <si>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</si>
  <si>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</si>
  <si>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</si>
  <si>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</si>
  <si>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</si>
  <si>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</si>
  <si>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</si>
  <si>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</si>
  <si>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</si>
  <si>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</si>
  <si>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UNIDAD EJECUTORA:</t>
  </si>
  <si>
    <t xml:space="preserve">JURISDICCIÓN: </t>
  </si>
  <si>
    <t>SAF:</t>
  </si>
  <si>
    <t xml:space="preserve">DEPENDENCIA SOLICITANTE: </t>
  </si>
  <si>
    <t>90- Ministerio de Seguridad</t>
  </si>
  <si>
    <t>División Transporte - Dpto. Logística</t>
  </si>
  <si>
    <t>79/2020</t>
  </si>
  <si>
    <t>GARANTÍA mínima de cinco años o 150.000 Km lo que ocurra primero, estableciendo claramente que partes mecánicas y/o electrónicas alcanzan dicha Garantía</t>
  </si>
  <si>
    <t>30 días</t>
  </si>
  <si>
    <t>EQUIPOS</t>
  </si>
  <si>
    <t>7 - Dirección Provincial de Administración de la Policía de la Provincia de Catamarca</t>
  </si>
  <si>
    <t>Policía de la Provincia de Catamarca</t>
  </si>
  <si>
    <t>Adquisición de unidades móviles destinadas a la Policía de la Provincia de Catamarca</t>
  </si>
  <si>
    <t>4.3.2.</t>
  </si>
  <si>
    <t>Descripción</t>
  </si>
  <si>
    <t>Que cumpla con lo solicitado.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</si>
  <si>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</si>
  <si>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</si>
  <si>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</si>
  <si>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</si>
  <si>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</si>
  <si>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</si>
  <si>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</si>
  <si>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</si>
  <si>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</si>
  <si>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</si>
  <si>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</si>
  <si>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</si>
  <si>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</si>
  <si>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</si>
  <si>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</si>
  <si>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</si>
  <si>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</si>
  <si>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</si>
  <si>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</si>
  <si>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</si>
  <si>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</si>
  <si>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</si>
  <si>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Autorizo la realizacion de los trámites correspondientes, a fin de proveer a este Organismo los bienes y/o servicios que se detallan en Nota de Pedido N° 79/2020, afectando la erogacion resulatante a los créditos presupuestarios aprobados a favor de esta Unidad Ejecutora, conforme al siguiente detalle: </t>
  </si>
  <si>
    <t>1.1</t>
  </si>
  <si>
    <t xml:space="preserve">EQUIPOS DE TRANSPORTE TRACCION Y ELEVACION </t>
  </si>
  <si>
    <t xml:space="preserve">Policia de la Provincia de Catamarca </t>
  </si>
  <si>
    <t>4.3.2-1715.24</t>
  </si>
  <si>
    <t>CAMIONETAS; MARCA: SIN VALOR, MODELO: SIN VALOR, TIPO: PICK UP, AÑO: SIN VALOR, MOTOR: TURBO DIESEL, UBICACION MOTOR: DELANTERA, POTENCIA: 90 CV, CILINDRADA: 1900 CM3, Nº DE CILINDROS: 4, COMPRESION: 16,6:1, LARGO/ANCHO/ALTO: 4,5 X 1,7 X 1,6 M, TRACCION: 4 X 4, MARCHA: SIN VALOR, TANQUE COMBUSTIBLE: 60 L, EMBRAGUE: MONODISCO SECO, CANT. DE CILINDROS: 4, CAPACIDAD DEL TANQUE: 60 L, DIMENSION (PROF/ANCHO/ALTO): 4,5 X 1,7 X 1,6 M, TIPO DE MOTOR: DIESEL</t>
  </si>
  <si>
    <r>
      <t xml:space="preserve">a) </t>
    </r>
    <r>
      <rPr>
        <b/>
        <sz val="10"/>
        <rFont val="Arial"/>
        <family val="2"/>
      </rPr>
      <t>LUGAR DE ENTREGA: Departamento Logística, sito en Av. Felix Avellaneda RP N° 33  KM 2</t>
    </r>
    <r>
      <rPr>
        <sz val="10"/>
        <rFont val="Arial"/>
        <family val="2"/>
      </rPr>
      <t>., SUMALAO - VALLE VIEJO. De 08 a 12 horas. 
b)</t>
    </r>
    <r>
      <rPr>
        <b/>
        <sz val="10"/>
        <rFont val="Arial"/>
        <family val="2"/>
      </rPr>
      <t xml:space="preserve"> FORMA DE LA ENTREGA</t>
    </r>
    <r>
      <rPr>
        <sz val="10"/>
        <rFont val="Arial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Arial"/>
        <family val="2"/>
      </rPr>
      <t>PLAZO DE ENTREGA</t>
    </r>
    <r>
      <rPr>
        <sz val="10"/>
        <rFont val="Arial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Reglamento Parcial N° 2 de la ley 4938.</t>
    </r>
  </si>
  <si>
    <r>
      <t>CARACTERÍSTICAS:</t>
    </r>
    <r>
      <rPr>
        <sz val="10"/>
        <rFont val="Arial"/>
        <family val="2"/>
      </rPr>
      <t xml:space="preserve"> Camioneta tipo doble cabina,  Cilindrada 1.900 cc como mínimo - Alimentación: Inyección directa electrónica tipo Common Rail- Cilindros: 4 en  línea – Dirección: Hidráulica – Transmisión: Caja de cambios manual 5 velocidades adelante como mínimo / 1 atrás. Tracción: Doble 4x4 Llantas y neumáticos: neumáticos tipo radial sin cámara y llantas 16 x 6.5 como mínimo – Combustible: Diesel. Tanque de combustible: capacidad de 60 lts como mínimo. Potencia: 90 CV (como mínimo)- Frenos: Sistema de Frenos ABS / disco ventilado – Suspensión: Delantera independiente con barra de torsión o con doble brazo de suspensión, o con resortes helicoidales y amortiguadores telescópicos hidráulicos, traseros muelles semielicticos o eje rígido, con elásticos longitudinales y amortiguadores telescópicos  hidráulicos. Capacidad de Carga:  750 Kg como mínimo. Equipamiento Exterior: Protector de Carter, baranda con lanza en caja de carga. Cobertor de caja original.  Equipamiento Interior: Aire acondicionado, radio AM-FM con USB- asiento original de fabrica, con apoya cabezas regulables, con matafuego y herramienta estándar de fabrica,  ruedas de auxilio, protector automático VIGIA línea 500, extra plano para pick up. Seguridad: Cinturón de Seguridad  inerciales, con regulación de altura, de dos puntos- Doble Airbag delanteros (volante para conductor y Frente de torpedo para acompañante) - Batería de 12 V 75 A. Equipamiento policial: BALIZA lumínica color azul, vista 360°, delantera / trasera / lateral todas con LED, tecnología LED secuencial alto brillo. BARRAL, longitud conforme modelo de camioneta. (02) FAROS frontales en parrilla, color azul con destello alternativo. Tensión de alimentación 12 v 1ª. SIRENA bajo capot multitono (mínimo 2 tonos), secuencial automático de 75W de potencia. Más plano de instalación, manual de usuario, manual de servicio técnico. Con accionamientos de funciones individuales: barral / baliza frontal / sirena Ploteo: según modelo de móvil policia 
 Además deberá especificar: 1) SERVICIOS que cubre la concesionaria sin cargo y cuáles no (indicando progresivamente cada service); 2) CURSO DE CAPACITACIÓN para el personal de mantenimiento; 3)Manual de información y reseteo del vehículo; 4) PATENTAMIENTO a nombre de “POLICIA DE LA PROVINCIA DE CATAMARCA” – 5) COBERTURA DE SEGURO OBLIGATORIO de responsabilidad civil contra terceros y terceros transportados por 60 (sesenta) días, contados a partir de la recepción definitiva de los móviles. ------------------------------------------------------------</t>
    </r>
  </si>
  <si>
    <t>5 AÑOS</t>
  </si>
  <si>
    <t>Costo total estimado: Pesos Diecinueve Millones Trecientos Quince Mil Setecientos Ochenta y Ocho con 00/100</t>
  </si>
  <si>
    <t>TOTAL DE PESOS: Diecinueve Millones Trecientos Quince Mil Setecientos Ochenta y Ocho con 00/100</t>
  </si>
  <si>
    <t xml:space="preserve">Para la adquisición de de unidades móviles destinadas a la Policia de la Provincia de Catamarca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</si>
</sst>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9" fillId="0" borderId="0" applyBorder="0" applyProtection="0"/>
    <xf numFmtId="0" fontId="1" fillId="0" borderId="1" applyProtection="0"/>
    <xf numFmtId="0" fontId="3" fillId="2" borderId="0" applyBorder="0" applyProtection="0"/>
    <xf numFmtId="164" fontId="2" fillId="0" borderId="0" applyBorder="0" applyProtection="0"/>
  </cellStyleXfs>
  <cellXfs count="125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10" fillId="0" borderId="0" xfId="0" applyFont="1"/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 wrapText="1"/>
    </xf>
    <xf numFmtId="0" fontId="17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0" xfId="0" applyFont="1" applyBorder="1"/>
    <xf numFmtId="0" fontId="10" fillId="0" borderId="6" xfId="0" applyFont="1" applyBorder="1"/>
    <xf numFmtId="0" fontId="17" fillId="0" borderId="5" xfId="0" applyFont="1" applyBorder="1" applyAlignment="1">
      <alignment horizontal="left" indent="3"/>
    </xf>
    <xf numFmtId="0" fontId="10" fillId="0" borderId="5" xfId="0" applyFont="1" applyBorder="1" applyAlignment="1">
      <alignment horizontal="left" indent="3"/>
    </xf>
    <xf numFmtId="0" fontId="10" fillId="0" borderId="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left" indent="3"/>
    </xf>
    <xf numFmtId="0" fontId="10" fillId="0" borderId="8" xfId="0" applyFont="1" applyBorder="1"/>
    <xf numFmtId="0" fontId="10" fillId="0" borderId="9" xfId="0" applyFont="1" applyBorder="1"/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center" vertical="center" wrapText="1"/>
    </xf>
    <xf numFmtId="165" fontId="4" fillId="0" borderId="19" xfId="1" applyNumberFormat="1" applyFont="1" applyFill="1" applyBorder="1" applyAlignment="1" applyProtection="1">
      <alignment horizontal="right" vertical="center" wrapText="1"/>
    </xf>
    <xf numFmtId="3" fontId="4" fillId="0" borderId="19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18" fillId="0" borderId="0" xfId="0" applyFont="1" applyFill="1" applyAlignment="1">
      <alignment horizontal="left" wrapText="1" indent="1"/>
    </xf>
    <xf numFmtId="0" fontId="14" fillId="0" borderId="0" xfId="0" applyFont="1" applyFill="1" applyAlignment="1">
      <alignment horizontal="left" wrapText="1"/>
    </xf>
    <xf numFmtId="0" fontId="6" fillId="0" borderId="1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27" fillId="0" borderId="44" xfId="0" applyNumberFormat="1" applyFont="1" applyBorder="1" applyAlignment="1">
      <alignment vertical="center"/>
    </xf>
    <xf numFmtId="0" fontId="15" fillId="0" borderId="45" xfId="0" applyFon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16" fillId="0" borderId="46" xfId="0" applyFont="1" applyBorder="1" applyAlignment="1">
      <alignment horizontal="center" vertical="center" wrapText="1"/>
    </xf>
    <xf numFmtId="0" fontId="0" fillId="0" borderId="46" xfId="0" applyNumberFormat="1" applyFill="1" applyBorder="1" applyAlignment="1">
      <alignment vertical="center" wrapText="1"/>
    </xf>
    <xf numFmtId="0" fontId="16" fillId="0" borderId="46" xfId="0" applyFont="1" applyFill="1" applyBorder="1" applyAlignment="1">
      <alignment horizontal="center" vertical="center" wrapText="1"/>
    </xf>
    <xf numFmtId="165" fontId="15" fillId="0" borderId="46" xfId="1" applyNumberFormat="1" applyFont="1" applyFill="1" applyBorder="1" applyAlignment="1" applyProtection="1">
      <alignment horizontal="right" vertical="center" wrapText="1"/>
    </xf>
    <xf numFmtId="165" fontId="15" fillId="0" borderId="47" xfId="1" applyNumberFormat="1" applyFont="1" applyFill="1" applyBorder="1" applyAlignment="1" applyProtection="1">
      <alignment horizontal="right" vertical="center" wrapText="1"/>
    </xf>
    <xf numFmtId="0" fontId="9" fillId="0" borderId="46" xfId="0" applyFont="1" applyFill="1" applyBorder="1" applyAlignment="1">
      <alignment vertical="center"/>
    </xf>
    <xf numFmtId="3" fontId="21" fillId="3" borderId="0" xfId="0" applyNumberFormat="1" applyFont="1" applyFill="1" applyBorder="1" applyAlignment="1"/>
    <xf numFmtId="167" fontId="0" fillId="3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3" borderId="0" xfId="0" applyFont="1" applyFill="1"/>
    <xf numFmtId="0" fontId="0" fillId="3" borderId="0" xfId="0" applyFill="1" applyBorder="1"/>
    <xf numFmtId="0" fontId="0" fillId="3" borderId="10" xfId="0" applyFill="1" applyBorder="1"/>
    <xf numFmtId="0" fontId="23" fillId="3" borderId="29" xfId="0" applyNumberFormat="1" applyFont="1" applyFill="1" applyBorder="1" applyAlignment="1">
      <alignment vertical="center" wrapText="1"/>
    </xf>
    <xf numFmtId="0" fontId="26" fillId="3" borderId="0" xfId="0" applyFont="1" applyFill="1"/>
    <xf numFmtId="0" fontId="0" fillId="3" borderId="31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left"/>
    </xf>
    <xf numFmtId="0" fontId="0" fillId="3" borderId="32" xfId="0" applyFill="1" applyBorder="1"/>
    <xf numFmtId="0" fontId="25" fillId="3" borderId="35" xfId="0" applyFont="1" applyFill="1" applyBorder="1" applyAlignment="1">
      <alignment horizontal="center" vertical="center"/>
    </xf>
    <xf numFmtId="0" fontId="25" fillId="3" borderId="36" xfId="0" applyFont="1" applyFill="1" applyBorder="1" applyAlignment="1">
      <alignment horizontal="center" vertical="center"/>
    </xf>
    <xf numFmtId="0" fontId="25" fillId="3" borderId="36" xfId="0" applyFont="1" applyFill="1" applyBorder="1" applyAlignment="1">
      <alignment horizontal="left" vertical="center"/>
    </xf>
    <xf numFmtId="0" fontId="25" fillId="3" borderId="37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3" borderId="40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165" fontId="0" fillId="3" borderId="41" xfId="4" applyNumberFormat="1" applyFont="1" applyFill="1" applyBorder="1" applyAlignment="1" applyProtection="1">
      <alignment horizontal="center" vertical="center"/>
    </xf>
    <xf numFmtId="165" fontId="25" fillId="3" borderId="42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wrapText="1" indent="1"/>
    </xf>
    <xf numFmtId="0" fontId="10" fillId="0" borderId="0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wrapText="1"/>
    </xf>
    <xf numFmtId="0" fontId="10" fillId="0" borderId="6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justify" vertical="top" wrapText="1"/>
    </xf>
    <xf numFmtId="0" fontId="19" fillId="0" borderId="6" xfId="0" applyFont="1" applyFill="1" applyBorder="1" applyAlignment="1">
      <alignment horizontal="justify" vertical="top" wrapText="1"/>
    </xf>
    <xf numFmtId="0" fontId="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 indent="1"/>
    </xf>
    <xf numFmtId="166" fontId="28" fillId="0" borderId="14" xfId="0" applyNumberFormat="1" applyFont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0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27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23" fillId="3" borderId="11" xfId="0" applyFont="1" applyFill="1" applyBorder="1" applyAlignment="1">
      <alignment horizontal="left" indent="1"/>
    </xf>
    <xf numFmtId="0" fontId="0" fillId="3" borderId="20" xfId="0" applyFont="1" applyFill="1" applyBorder="1" applyAlignment="1">
      <alignment horizontal="center"/>
    </xf>
    <xf numFmtId="3" fontId="21" fillId="3" borderId="26" xfId="0" applyNumberFormat="1" applyFont="1" applyFill="1" applyBorder="1" applyAlignment="1">
      <alignment horizontal="center"/>
    </xf>
    <xf numFmtId="0" fontId="2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/>
    <xf numFmtId="0" fontId="23" fillId="3" borderId="0" xfId="0" applyNumberFormat="1" applyFont="1" applyFill="1" applyBorder="1" applyAlignment="1">
      <alignment horizontal="left" vertical="center" wrapText="1"/>
    </xf>
    <xf numFmtId="0" fontId="23" fillId="3" borderId="6" xfId="0" applyNumberFormat="1" applyFont="1" applyFill="1" applyBorder="1" applyAlignment="1">
      <alignment horizontal="left" vertical="center" wrapText="1"/>
    </xf>
    <xf numFmtId="0" fontId="24" fillId="3" borderId="11" xfId="0" applyFont="1" applyFill="1" applyBorder="1" applyAlignment="1">
      <alignment horizontal="left"/>
    </xf>
    <xf numFmtId="0" fontId="23" fillId="3" borderId="29" xfId="0" applyFont="1" applyFill="1" applyBorder="1"/>
    <xf numFmtId="0" fontId="25" fillId="3" borderId="33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33" xfId="0" applyFont="1" applyFill="1" applyBorder="1" applyAlignment="1">
      <alignment horizontal="center" vertical="center" wrapText="1"/>
    </xf>
    <xf numFmtId="0" fontId="25" fillId="3" borderId="34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left" vertical="center" wrapText="1"/>
    </xf>
    <xf numFmtId="0" fontId="0" fillId="3" borderId="39" xfId="0" applyFont="1" applyFill="1" applyBorder="1" applyAlignment="1">
      <alignment horizontal="left" vertical="center" wrapText="1"/>
    </xf>
    <xf numFmtId="0" fontId="21" fillId="3" borderId="42" xfId="0" applyFont="1" applyFill="1" applyBorder="1" applyAlignment="1">
      <alignment horizontal="left" vertical="center" wrapText="1"/>
    </xf>
    <xf numFmtId="0" fontId="0" fillId="3" borderId="33" xfId="0" applyFill="1" applyBorder="1"/>
    <xf numFmtId="0" fontId="21" fillId="3" borderId="20" xfId="0" applyFont="1" applyFill="1" applyBorder="1" applyAlignment="1">
      <alignment vertical="center" wrapText="1"/>
    </xf>
    <xf numFmtId="0" fontId="21" fillId="3" borderId="43" xfId="0" applyFont="1" applyFill="1" applyBorder="1" applyAlignment="1">
      <alignment vertical="center" wrapText="1"/>
    </xf>
    <xf numFmtId="0" fontId="21" fillId="3" borderId="17" xfId="0" applyFont="1" applyFill="1" applyBorder="1" applyAlignment="1">
      <alignment vertical="center" wrapText="1"/>
    </xf>
    <xf numFmtId="0" fontId="23" fillId="3" borderId="34" xfId="0" applyFont="1" applyFill="1" applyBorder="1" applyAlignment="1">
      <alignment vertical="center" wrapText="1"/>
    </xf>
    <xf numFmtId="0" fontId="23" fillId="3" borderId="42" xfId="0" applyFont="1" applyFill="1" applyBorder="1" applyAlignment="1">
      <alignment horizontal="left" vertical="center" wrapText="1" indent="1"/>
    </xf>
    <xf numFmtId="0" fontId="29" fillId="0" borderId="0" xfId="0" applyFont="1" applyAlignment="1">
      <alignment horizontal="justify" vertical="center" wrapText="1"/>
    </xf>
    <xf numFmtId="0" fontId="29" fillId="0" borderId="6" xfId="0" applyFont="1" applyBorder="1" applyAlignment="1">
      <alignment horizontal="justify" vertical="center" wrapText="1"/>
    </xf>
  </cellXfs>
  <cellStyles count="5">
    <cellStyle name="Encabezado 1" xfId="2"/>
    <cellStyle name="Moneda" xfId="1" builtinId="4"/>
    <cellStyle name="Moneda_AUTORIZACION Y NOTA DE PEDIDO" xf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/Documentos/A&#209;O%202020/NOTAS%20DE%20PEDIDO%20NUEVO%20SISTEMA/FORMULARIO%20BASE%20NOTA%20DE%20PEDIDO%20Y%20AUTORIZACION%20PARA%20GAST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2020</v>
          </cell>
        </row>
      </sheetData>
      <sheetData sheetId="1">
        <row r="3">
          <cell r="D3" t="str">
            <v>90 - Ministerio de Seguridad</v>
          </cell>
        </row>
        <row r="4">
          <cell r="D4" t="str">
            <v>7- Dirección Provincial de Administración de la Policía de la Provincia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topLeftCell="A16" zoomScale="85" zoomScaleNormal="85" workbookViewId="0">
      <selection activeCell="C17" sqref="C17:E17"/>
    </sheetView>
  </sheetViews>
  <sheetFormatPr baseColWidth="10" defaultColWidth="11" defaultRowHeight="12.75" x14ac:dyDescent="0.2"/>
  <cols>
    <col min="1" max="1" width="8.42578125" style="7" customWidth="1"/>
    <col min="2" max="2" width="12.85546875" style="7" customWidth="1"/>
    <col min="3" max="3" width="32.42578125" style="7" customWidth="1"/>
    <col min="4" max="4" width="8.42578125" style="7" customWidth="1"/>
    <col min="5" max="5" width="77.42578125" style="7" customWidth="1"/>
    <col min="6" max="6" width="11" style="7"/>
    <col min="7" max="7" width="12.7109375" style="7" customWidth="1"/>
    <col min="8" max="8" width="13.85546875" style="7" customWidth="1"/>
    <col min="9" max="9" width="18.5703125" style="7" customWidth="1"/>
    <col min="10" max="16384" width="11" style="7"/>
  </cols>
  <sheetData>
    <row r="2" spans="1:9" ht="27" x14ac:dyDescent="0.35">
      <c r="B2" s="73" t="s">
        <v>0</v>
      </c>
      <c r="C2" s="73"/>
      <c r="D2" s="73"/>
      <c r="E2" s="73"/>
      <c r="F2" s="73"/>
      <c r="G2" s="73"/>
      <c r="H2" s="73"/>
    </row>
    <row r="4" spans="1:9" ht="18" customHeight="1" x14ac:dyDescent="0.25">
      <c r="A4" s="74" t="s">
        <v>1</v>
      </c>
      <c r="B4" s="74"/>
      <c r="C4" s="75" t="s">
        <v>36</v>
      </c>
      <c r="D4" s="75"/>
      <c r="E4" s="75"/>
      <c r="F4" s="8"/>
      <c r="G4" s="9"/>
      <c r="H4" s="8"/>
    </row>
    <row r="5" spans="1:9" ht="18" customHeight="1" x14ac:dyDescent="0.25">
      <c r="A5" s="74" t="s">
        <v>2</v>
      </c>
      <c r="B5" s="74"/>
      <c r="C5" s="75" t="s">
        <v>42</v>
      </c>
      <c r="D5" s="75"/>
      <c r="E5" s="75"/>
      <c r="F5" s="8"/>
      <c r="G5" s="9"/>
      <c r="H5" s="8"/>
    </row>
    <row r="6" spans="1:9" ht="16.5" customHeight="1" x14ac:dyDescent="0.25">
      <c r="A6" s="74" t="s">
        <v>3</v>
      </c>
      <c r="B6" s="74"/>
      <c r="C6" s="36">
        <v>2020</v>
      </c>
      <c r="D6" s="37"/>
      <c r="E6" s="37"/>
      <c r="F6" s="8"/>
      <c r="G6" s="9"/>
      <c r="H6" s="8"/>
    </row>
    <row r="7" spans="1:9" ht="16.5" customHeight="1" x14ac:dyDescent="0.25">
      <c r="A7" s="74" t="s">
        <v>4</v>
      </c>
      <c r="B7" s="74"/>
      <c r="C7" s="36">
        <v>4</v>
      </c>
      <c r="D7" s="37"/>
      <c r="E7" s="37"/>
      <c r="F7" s="8"/>
      <c r="G7" s="9"/>
      <c r="H7" s="8"/>
    </row>
    <row r="8" spans="1:9" ht="13.5" thickBot="1" x14ac:dyDescent="0.25">
      <c r="B8" s="8"/>
      <c r="C8" s="9"/>
      <c r="D8" s="8"/>
      <c r="E8" s="8"/>
      <c r="F8" s="8"/>
      <c r="G8" s="9"/>
      <c r="H8" s="8"/>
    </row>
    <row r="9" spans="1:9" ht="39" thickBot="1" x14ac:dyDescent="0.25">
      <c r="A9" s="27" t="s">
        <v>5</v>
      </c>
      <c r="B9" s="22" t="s">
        <v>6</v>
      </c>
      <c r="C9" s="23" t="s">
        <v>7</v>
      </c>
      <c r="D9" s="25" t="s">
        <v>8</v>
      </c>
      <c r="E9" s="26" t="s">
        <v>9</v>
      </c>
      <c r="F9" s="28" t="s">
        <v>10</v>
      </c>
      <c r="G9" s="23" t="s">
        <v>11</v>
      </c>
      <c r="H9" s="23" t="s">
        <v>12</v>
      </c>
      <c r="I9" s="24" t="s">
        <v>13</v>
      </c>
    </row>
    <row r="10" spans="1:9" ht="87" customHeight="1" thickBot="1" x14ac:dyDescent="0.25">
      <c r="A10" s="41">
        <v>1</v>
      </c>
      <c r="B10" s="48" t="s">
        <v>74</v>
      </c>
      <c r="C10" s="42" t="s">
        <v>41</v>
      </c>
      <c r="D10" s="43" t="s">
        <v>45</v>
      </c>
      <c r="E10" s="44" t="s">
        <v>75</v>
      </c>
      <c r="F10" s="45" t="s">
        <v>14</v>
      </c>
      <c r="G10" s="45">
        <v>5</v>
      </c>
      <c r="H10" s="46">
        <v>3863157.6</v>
      </c>
      <c r="I10" s="47">
        <f>H10*G10</f>
        <v>19315788</v>
      </c>
    </row>
    <row r="11" spans="1:9" s="39" customFormat="1" ht="27" customHeight="1" thickBot="1" x14ac:dyDescent="0.25">
      <c r="I11" s="40">
        <f>I10</f>
        <v>19315788</v>
      </c>
    </row>
    <row r="12" spans="1:9" ht="13.5" thickBot="1" x14ac:dyDescent="0.25"/>
    <row r="13" spans="1:9" x14ac:dyDescent="0.2">
      <c r="B13" s="10" t="s">
        <v>15</v>
      </c>
      <c r="C13" s="11"/>
      <c r="D13" s="11"/>
      <c r="E13" s="12"/>
    </row>
    <row r="14" spans="1:9" x14ac:dyDescent="0.2">
      <c r="B14" s="15" t="s">
        <v>46</v>
      </c>
      <c r="C14" s="13"/>
      <c r="D14" s="13"/>
      <c r="E14" s="14"/>
    </row>
    <row r="15" spans="1:9" ht="243.75" customHeight="1" x14ac:dyDescent="0.2">
      <c r="B15" s="15"/>
      <c r="C15" s="123" t="s">
        <v>77</v>
      </c>
      <c r="D15" s="123"/>
      <c r="E15" s="124"/>
    </row>
    <row r="16" spans="1:9" ht="24" customHeight="1" x14ac:dyDescent="0.2">
      <c r="B16" s="15" t="s">
        <v>16</v>
      </c>
      <c r="C16" s="13"/>
      <c r="D16" s="13"/>
      <c r="E16" s="14"/>
    </row>
    <row r="17" spans="2:5" ht="113.25" customHeight="1" x14ac:dyDescent="0.2">
      <c r="B17" s="16"/>
      <c r="C17" s="82" t="s">
        <v>76</v>
      </c>
      <c r="D17" s="83"/>
      <c r="E17" s="84"/>
    </row>
    <row r="18" spans="2:5" x14ac:dyDescent="0.2">
      <c r="B18" s="16"/>
      <c r="C18" s="85"/>
      <c r="D18" s="85"/>
      <c r="E18" s="85"/>
    </row>
    <row r="19" spans="2:5" x14ac:dyDescent="0.2">
      <c r="B19" s="15" t="s">
        <v>17</v>
      </c>
      <c r="C19" s="13"/>
      <c r="D19" s="13"/>
      <c r="E19" s="14"/>
    </row>
    <row r="20" spans="2:5" ht="26.25" customHeight="1" x14ac:dyDescent="0.2">
      <c r="B20" s="16"/>
      <c r="C20" s="76" t="s">
        <v>47</v>
      </c>
      <c r="D20" s="76"/>
      <c r="E20" s="77"/>
    </row>
    <row r="21" spans="2:5" x14ac:dyDescent="0.2">
      <c r="B21" s="15" t="s">
        <v>18</v>
      </c>
      <c r="C21" s="17"/>
      <c r="D21" s="17"/>
      <c r="E21" s="18"/>
    </row>
    <row r="22" spans="2:5" ht="26.25" customHeight="1" x14ac:dyDescent="0.2">
      <c r="B22" s="16"/>
      <c r="C22" s="78" t="s">
        <v>40</v>
      </c>
      <c r="D22" s="78"/>
      <c r="E22" s="79"/>
    </row>
    <row r="23" spans="2:5" x14ac:dyDescent="0.2">
      <c r="B23" s="15" t="s">
        <v>19</v>
      </c>
      <c r="C23" s="13"/>
      <c r="D23" s="13"/>
      <c r="E23" s="14"/>
    </row>
    <row r="24" spans="2:5" ht="40.5" customHeight="1" x14ac:dyDescent="0.2">
      <c r="B24" s="15"/>
      <c r="C24" s="80" t="s">
        <v>39</v>
      </c>
      <c r="D24" s="80"/>
      <c r="E24" s="81"/>
    </row>
    <row r="25" spans="2:5" ht="13.5" thickBot="1" x14ac:dyDescent="0.25">
      <c r="B25" s="19"/>
      <c r="C25" s="20"/>
      <c r="D25" s="20"/>
      <c r="E25" s="21"/>
    </row>
  </sheetData>
  <mergeCells count="13">
    <mergeCell ref="C20:E20"/>
    <mergeCell ref="C22:E22"/>
    <mergeCell ref="C24:E24"/>
    <mergeCell ref="A6:B6"/>
    <mergeCell ref="A7:B7"/>
    <mergeCell ref="C15:E15"/>
    <mergeCell ref="C17:E17"/>
    <mergeCell ref="C18:E1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70" zoomScaleNormal="70" workbookViewId="0">
      <selection activeCell="A14" sqref="A14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2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024" ht="18" customHeight="1" x14ac:dyDescent="0.2">
      <c r="A1" s="94" t="s">
        <v>20</v>
      </c>
      <c r="B1" s="94"/>
      <c r="C1" s="94"/>
      <c r="D1" s="94"/>
      <c r="E1" s="94"/>
      <c r="F1" s="94"/>
      <c r="G1" s="94"/>
      <c r="H1" s="94"/>
      <c r="I1" s="94"/>
      <c r="J1" s="2" t="s">
        <v>21</v>
      </c>
      <c r="K1" s="38" t="s">
        <v>38</v>
      </c>
    </row>
    <row r="2" spans="1:1024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4"/>
    </row>
    <row r="3" spans="1:1024" ht="18.75" customHeight="1" thickBot="1" x14ac:dyDescent="0.25">
      <c r="A3" s="95" t="s">
        <v>33</v>
      </c>
      <c r="B3" s="95"/>
      <c r="C3" s="95"/>
      <c r="D3" s="96" t="str">
        <f>'Necesidades Trimestrales'!C4</f>
        <v>90- Ministerio de Seguridad</v>
      </c>
      <c r="E3" s="96"/>
      <c r="F3" s="96"/>
      <c r="G3" s="96"/>
      <c r="H3" s="96"/>
      <c r="I3" s="96"/>
      <c r="J3" s="96"/>
      <c r="K3" s="96"/>
    </row>
    <row r="4" spans="1:1024" ht="18.75" customHeight="1" thickBot="1" x14ac:dyDescent="0.25">
      <c r="A4" s="97" t="s">
        <v>34</v>
      </c>
      <c r="B4" s="97"/>
      <c r="C4" s="97"/>
      <c r="D4" s="96" t="str">
        <f>'Necesidades Trimestrales'!C5</f>
        <v>7 - Dirección Provincial de Administración de la Policía de la Provincia de Catamarca</v>
      </c>
      <c r="E4" s="96"/>
      <c r="F4" s="96"/>
      <c r="G4" s="96"/>
      <c r="H4" s="96"/>
      <c r="I4" s="96"/>
      <c r="J4" s="96"/>
      <c r="K4" s="96"/>
    </row>
    <row r="5" spans="1:1024" ht="18.75" customHeight="1" thickBot="1" x14ac:dyDescent="0.25">
      <c r="A5" s="97" t="s">
        <v>32</v>
      </c>
      <c r="B5" s="97"/>
      <c r="C5" s="97"/>
      <c r="D5" s="96" t="s">
        <v>43</v>
      </c>
      <c r="E5" s="96"/>
      <c r="F5" s="96"/>
      <c r="G5" s="96"/>
      <c r="H5" s="96"/>
      <c r="I5" s="96"/>
      <c r="J5" s="96"/>
      <c r="K5" s="96"/>
    </row>
    <row r="6" spans="1:1024" ht="16.5" customHeight="1" thickBot="1" x14ac:dyDescent="0.25">
      <c r="A6" s="95" t="s">
        <v>35</v>
      </c>
      <c r="B6" s="95"/>
      <c r="C6" s="95"/>
      <c r="D6" s="96" t="s">
        <v>37</v>
      </c>
      <c r="E6" s="96"/>
      <c r="F6" s="96"/>
      <c r="G6" s="96"/>
      <c r="H6" s="96"/>
      <c r="I6" s="96"/>
      <c r="J6" s="96"/>
      <c r="K6" s="96"/>
    </row>
    <row r="7" spans="1:1024" ht="16.5" customHeight="1" x14ac:dyDescent="0.2">
      <c r="A7" s="97" t="s">
        <v>22</v>
      </c>
      <c r="B7" s="97"/>
      <c r="C7" s="97"/>
      <c r="D7" s="96" t="s">
        <v>78</v>
      </c>
      <c r="E7" s="96"/>
      <c r="F7" s="96"/>
      <c r="G7" s="96"/>
      <c r="H7" s="96"/>
      <c r="I7" s="96"/>
      <c r="J7" s="96"/>
      <c r="K7" s="96"/>
    </row>
    <row r="8" spans="1:1024" ht="16.5" customHeight="1" x14ac:dyDescent="0.2">
      <c r="A8" s="89" t="s">
        <v>23</v>
      </c>
      <c r="B8" s="89"/>
      <c r="C8" s="89"/>
      <c r="D8" s="90" t="s">
        <v>44</v>
      </c>
      <c r="E8" s="90"/>
      <c r="F8" s="90"/>
      <c r="G8" s="90"/>
      <c r="H8" s="90"/>
      <c r="I8" s="90"/>
      <c r="J8" s="90"/>
      <c r="K8" s="90"/>
    </row>
    <row r="9" spans="1:1024" ht="15.75" x14ac:dyDescent="0.2">
      <c r="A9" s="5"/>
      <c r="B9" s="5"/>
      <c r="C9" s="5"/>
      <c r="D9" s="6"/>
      <c r="E9" s="6"/>
      <c r="F9" s="6"/>
      <c r="G9" s="6"/>
      <c r="H9" s="6"/>
      <c r="I9" s="6"/>
      <c r="J9" s="6"/>
      <c r="K9" s="6"/>
    </row>
    <row r="10" spans="1:1024" ht="18.75" customHeight="1" x14ac:dyDescent="0.2">
      <c r="A10" s="91" t="s">
        <v>24</v>
      </c>
      <c r="B10" s="92" t="s">
        <v>25</v>
      </c>
      <c r="C10" s="92" t="s">
        <v>26</v>
      </c>
      <c r="D10" s="92"/>
      <c r="E10" s="92"/>
      <c r="F10" s="92"/>
      <c r="G10" s="92"/>
      <c r="H10" s="92" t="s">
        <v>27</v>
      </c>
      <c r="I10" s="92" t="s">
        <v>28</v>
      </c>
      <c r="J10" s="92" t="s">
        <v>29</v>
      </c>
      <c r="K10" s="93" t="s">
        <v>30</v>
      </c>
    </row>
    <row r="11" spans="1:1024" ht="24" customHeight="1" x14ac:dyDescent="0.2">
      <c r="A11" s="91"/>
      <c r="B11" s="92"/>
      <c r="C11" s="92"/>
      <c r="D11" s="92"/>
      <c r="E11" s="92"/>
      <c r="F11" s="92"/>
      <c r="G11" s="92"/>
      <c r="H11" s="92"/>
      <c r="I11" s="92"/>
      <c r="J11" s="92"/>
      <c r="K11" s="93"/>
    </row>
    <row r="12" spans="1:1024" s="35" customFormat="1" ht="88.5" customHeight="1" thickBot="1" x14ac:dyDescent="0.25">
      <c r="A12" s="29">
        <v>1</v>
      </c>
      <c r="B12" s="30" t="str">
        <f>'Necesidades Trimestrales'!B10</f>
        <v>4.3.2-1715.24</v>
      </c>
      <c r="C12" s="88" t="str">
        <f>'Necesidades Trimestrales'!E10</f>
        <v>CAMIONETAS; MARCA: SIN VALOR, MODELO: SIN VALOR, TIPO: PICK UP, AÑO: SIN VALOR, MOTOR: TURBO DIESEL, UBICACION MOTOR: DELANTERA, POTENCIA: 90 CV, CILINDRADA: 1900 CM3, Nº DE CILINDROS: 4, COMPRESION: 16,6:1, LARGO/ANCHO/ALTO: 4,5 X 1,7 X 1,6 M, TRACCION: 4 X 4, MARCHA: SIN VALOR, TANQUE COMBUSTIBLE: 60 L, EMBRAGUE: MONODISCO SECO, CANT. DE CILINDROS: 4, CAPACIDAD DEL TANQUE: 60 L, DIMENSION (PROF/ANCHO/ALTO): 4,5 X 1,7 X 1,6 M, TIPO DE MOTOR: DIESEL</v>
      </c>
      <c r="D12" s="88"/>
      <c r="E12" s="88"/>
      <c r="F12" s="88"/>
      <c r="G12" s="88"/>
      <c r="H12" s="29" t="s">
        <v>31</v>
      </c>
      <c r="I12" s="31" t="str">
        <f>'Necesidades Trimestrales'!F10</f>
        <v>UNIDAD</v>
      </c>
      <c r="J12" s="32">
        <f>'Necesidades Trimestrales'!H10</f>
        <v>3863157.6</v>
      </c>
      <c r="K12" s="33">
        <f>'Necesidades Trimestrales'!G10</f>
        <v>5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</row>
    <row r="13" spans="1:1024" ht="20.25" customHeight="1" thickBot="1" x14ac:dyDescent="0.25">
      <c r="A13" s="86" t="s">
        <v>79</v>
      </c>
      <c r="B13" s="86"/>
      <c r="C13" s="86"/>
      <c r="D13" s="86"/>
      <c r="E13" s="86"/>
      <c r="F13" s="86"/>
      <c r="G13" s="86"/>
      <c r="H13" s="86"/>
      <c r="I13" s="86"/>
      <c r="J13" s="87">
        <f>SUMPRODUCT(J12:J12,K12:K12)</f>
        <v>19315788</v>
      </c>
      <c r="K13" s="87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topLeftCell="A4" zoomScale="85" zoomScaleNormal="85" workbookViewId="0">
      <selection activeCell="S18" sqref="S18"/>
    </sheetView>
  </sheetViews>
  <sheetFormatPr baseColWidth="10" defaultColWidth="11" defaultRowHeight="12.75" x14ac:dyDescent="0.2"/>
  <cols>
    <col min="1" max="6" width="4.42578125" style="51" customWidth="1"/>
    <col min="7" max="7" width="4.42578125" style="52" customWidth="1"/>
    <col min="8" max="14" width="4.42578125" style="51" customWidth="1"/>
    <col min="15" max="16" width="14.85546875" style="51" customWidth="1"/>
    <col min="17" max="17" width="18.85546875" style="51" customWidth="1"/>
    <col min="18" max="16384" width="11" style="51"/>
  </cols>
  <sheetData>
    <row r="1" spans="1:18" ht="15.75" customHeight="1" thickBot="1" x14ac:dyDescent="0.3">
      <c r="A1" s="102" t="s">
        <v>3</v>
      </c>
      <c r="B1" s="102"/>
      <c r="C1" s="102"/>
      <c r="D1" s="103">
        <f>'[1]Necesidades Trimestrales'!C6</f>
        <v>2020</v>
      </c>
      <c r="E1" s="103"/>
      <c r="F1" s="49"/>
      <c r="G1" s="49"/>
      <c r="H1" s="50"/>
      <c r="I1" s="50"/>
      <c r="J1" s="50"/>
      <c r="K1" s="50"/>
      <c r="L1" s="50"/>
      <c r="M1" s="50"/>
      <c r="N1" s="50"/>
      <c r="P1" s="104" t="s">
        <v>48</v>
      </c>
      <c r="Q1" s="104"/>
    </row>
    <row r="2" spans="1:18" ht="15.75" customHeight="1" thickBot="1" x14ac:dyDescent="0.25">
      <c r="H2" s="50"/>
      <c r="I2" s="50"/>
      <c r="J2" s="50"/>
      <c r="K2" s="50"/>
      <c r="L2" s="50"/>
      <c r="M2" s="50"/>
      <c r="N2" s="50"/>
      <c r="P2" s="104"/>
      <c r="Q2" s="104"/>
    </row>
    <row r="3" spans="1:18" ht="13.5" thickBot="1" x14ac:dyDescent="0.25"/>
    <row r="4" spans="1:18" s="53" customFormat="1" ht="18" customHeight="1" thickBot="1" x14ac:dyDescent="0.25">
      <c r="A4" s="105" t="s">
        <v>49</v>
      </c>
      <c r="B4" s="105"/>
      <c r="C4" s="105"/>
      <c r="D4" s="105"/>
      <c r="E4" s="105"/>
      <c r="F4" s="105"/>
      <c r="G4" s="101" t="str">
        <f>'[1] NotaPedido'!D3</f>
        <v>90 - Ministerio de Seguridad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8" s="53" customFormat="1" ht="18" customHeight="1" thickBot="1" x14ac:dyDescent="0.25">
      <c r="A5" s="98" t="s">
        <v>34</v>
      </c>
      <c r="B5" s="99"/>
      <c r="C5" s="99"/>
      <c r="D5" s="99"/>
      <c r="E5" s="99"/>
      <c r="F5" s="100"/>
      <c r="G5" s="101" t="str">
        <f>'[1] NotaPedido'!D4</f>
        <v>7- Dirección Provincial de Administración de la Policía de la Provincia de Catamarca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8" s="53" customFormat="1" ht="18" customHeight="1" thickBot="1" x14ac:dyDescent="0.25">
      <c r="A6" s="98" t="s">
        <v>32</v>
      </c>
      <c r="B6" s="99"/>
      <c r="C6" s="99"/>
      <c r="D6" s="99"/>
      <c r="E6" s="99"/>
      <c r="F6" s="100"/>
      <c r="G6" s="101" t="s">
        <v>73</v>
      </c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8" s="53" customFormat="1" ht="28.5" customHeight="1" thickBot="1" x14ac:dyDescent="0.25">
      <c r="A7" s="98" t="s">
        <v>35</v>
      </c>
      <c r="B7" s="99"/>
      <c r="C7" s="99"/>
      <c r="D7" s="99"/>
      <c r="E7" s="99"/>
      <c r="F7" s="100"/>
      <c r="G7" s="101" t="s">
        <v>37</v>
      </c>
      <c r="H7" s="101"/>
      <c r="I7" s="101"/>
      <c r="J7" s="101"/>
      <c r="K7" s="101"/>
      <c r="L7" s="101"/>
      <c r="M7" s="101"/>
      <c r="N7" s="101"/>
      <c r="O7" s="101"/>
      <c r="P7" s="101"/>
      <c r="Q7" s="101"/>
    </row>
    <row r="8" spans="1:18" ht="18" customHeight="1" thickBot="1" x14ac:dyDescent="0.25">
      <c r="A8" s="108" t="s">
        <v>50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</row>
    <row r="9" spans="1:18" ht="18" customHeight="1" x14ac:dyDescent="0.2">
      <c r="A9" s="109" t="s">
        <v>51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54"/>
      <c r="P9" s="54"/>
      <c r="Q9" s="55"/>
    </row>
    <row r="10" spans="1:18" ht="54.75" customHeight="1" x14ac:dyDescent="0.2">
      <c r="A10" s="56"/>
      <c r="B10" s="106" t="s">
        <v>70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7"/>
      <c r="R10" s="57"/>
    </row>
    <row r="11" spans="1:18" ht="9" customHeight="1" thickBot="1" x14ac:dyDescent="0.25">
      <c r="A11" s="58"/>
      <c r="B11" s="59"/>
      <c r="C11" s="59"/>
      <c r="D11" s="59"/>
      <c r="E11" s="59"/>
      <c r="F11" s="59"/>
      <c r="G11" s="60"/>
      <c r="H11" s="59"/>
      <c r="I11" s="59"/>
      <c r="J11" s="59"/>
      <c r="K11" s="59"/>
      <c r="L11" s="59"/>
      <c r="M11" s="59"/>
      <c r="N11" s="59"/>
      <c r="O11" s="59"/>
      <c r="P11" s="59"/>
      <c r="Q11" s="61"/>
    </row>
    <row r="12" spans="1:18" ht="15.75" customHeight="1" thickBot="1" x14ac:dyDescent="0.25">
      <c r="A12" s="110" t="s">
        <v>52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8" ht="15.75" customHeight="1" thickBot="1" x14ac:dyDescent="0.25">
      <c r="A13" s="111" t="s">
        <v>53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54</v>
      </c>
      <c r="P13" s="112"/>
      <c r="Q13" s="113" t="s">
        <v>55</v>
      </c>
    </row>
    <row r="14" spans="1:18" ht="15.75" customHeight="1" thickBot="1" x14ac:dyDescent="0.25">
      <c r="A14" s="62" t="s">
        <v>56</v>
      </c>
      <c r="B14" s="63" t="s">
        <v>57</v>
      </c>
      <c r="C14" s="63" t="s">
        <v>58</v>
      </c>
      <c r="D14" s="63" t="s">
        <v>59</v>
      </c>
      <c r="E14" s="63" t="s">
        <v>60</v>
      </c>
      <c r="F14" s="63" t="s">
        <v>61</v>
      </c>
      <c r="G14" s="64" t="s">
        <v>62</v>
      </c>
      <c r="H14" s="63" t="s">
        <v>63</v>
      </c>
      <c r="I14" s="63" t="s">
        <v>64</v>
      </c>
      <c r="J14" s="63" t="s">
        <v>65</v>
      </c>
      <c r="K14" s="63" t="s">
        <v>65</v>
      </c>
      <c r="L14" s="63" t="s">
        <v>66</v>
      </c>
      <c r="M14" s="65" t="s">
        <v>67</v>
      </c>
      <c r="N14" s="66" t="s">
        <v>68</v>
      </c>
      <c r="O14" s="112"/>
      <c r="P14" s="112"/>
      <c r="Q14" s="113"/>
    </row>
    <row r="15" spans="1:18" ht="24.75" customHeight="1" x14ac:dyDescent="0.2">
      <c r="A15" s="67">
        <v>16</v>
      </c>
      <c r="B15" s="68">
        <v>0</v>
      </c>
      <c r="C15" s="68">
        <v>0</v>
      </c>
      <c r="D15" s="68">
        <v>1</v>
      </c>
      <c r="E15" s="68"/>
      <c r="F15" s="68">
        <v>10</v>
      </c>
      <c r="G15" s="68">
        <v>2</v>
      </c>
      <c r="H15" s="68">
        <v>1</v>
      </c>
      <c r="I15" s="68">
        <v>4</v>
      </c>
      <c r="J15" s="68">
        <v>3</v>
      </c>
      <c r="K15" s="68">
        <v>2</v>
      </c>
      <c r="L15" s="68">
        <v>0</v>
      </c>
      <c r="M15" s="69">
        <v>1</v>
      </c>
      <c r="N15" s="70" t="s">
        <v>71</v>
      </c>
      <c r="O15" s="114" t="s">
        <v>72</v>
      </c>
      <c r="P15" s="115"/>
      <c r="Q15" s="71">
        <f>'Necesidades Trimestrales'!I11</f>
        <v>19315788</v>
      </c>
    </row>
    <row r="16" spans="1:18" ht="38.25" customHeight="1" thickBot="1" x14ac:dyDescent="0.25">
      <c r="A16" s="116" t="s">
        <v>80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72">
        <f>SUM(Q15:Q15)</f>
        <v>19315788</v>
      </c>
    </row>
    <row r="17" spans="1:17" ht="18" customHeight="1" thickBot="1" x14ac:dyDescent="0.25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</row>
    <row r="18" spans="1:17" ht="17.25" customHeight="1" thickBot="1" x14ac:dyDescent="0.25">
      <c r="A18" s="118" t="s">
        <v>69</v>
      </c>
      <c r="B18" s="119"/>
      <c r="C18" s="119"/>
      <c r="D18" s="119"/>
      <c r="E18" s="119"/>
      <c r="F18" s="120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</row>
    <row r="19" spans="1:17" ht="18" customHeight="1" thickBot="1" x14ac:dyDescent="0.25">
      <c r="A19" s="122" t="s">
        <v>81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</row>
    <row r="20" spans="1:17" ht="15" customHeight="1" thickBot="1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</row>
  </sheetData>
  <mergeCells count="24">
    <mergeCell ref="A16:P16"/>
    <mergeCell ref="A17:Q17"/>
    <mergeCell ref="A18:F18"/>
    <mergeCell ref="G18:Q18"/>
    <mergeCell ref="A19:Q20"/>
    <mergeCell ref="A12:Q12"/>
    <mergeCell ref="A13:N13"/>
    <mergeCell ref="O13:P14"/>
    <mergeCell ref="Q13:Q14"/>
    <mergeCell ref="O15:P15"/>
    <mergeCell ref="B10:Q10"/>
    <mergeCell ref="A6:F6"/>
    <mergeCell ref="G6:Q6"/>
    <mergeCell ref="A7:F7"/>
    <mergeCell ref="G7:Q7"/>
    <mergeCell ref="A8:Q8"/>
    <mergeCell ref="A9:N9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 NotaPedido</vt:lpstr>
      <vt:lpstr>Autor Gastar</vt:lpstr>
      <vt:lpstr>' NotaPedido'!Área_de_impresión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Policia</cp:lastModifiedBy>
  <cp:revision>2</cp:revision>
  <cp:lastPrinted>2020-07-17T22:18:48Z</cp:lastPrinted>
  <dcterms:created xsi:type="dcterms:W3CDTF">2020-07-17T23:44:49Z</dcterms:created>
  <dcterms:modified xsi:type="dcterms:W3CDTF">2020-12-18T12:39:43Z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