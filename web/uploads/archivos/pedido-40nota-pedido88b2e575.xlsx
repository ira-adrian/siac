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Trimestrales'!$A$9:$I$62</definedName>
    <definedName name="_xlnm.Print_Area" localSheetId="1">' NotaPedido'!$A$1:$K$77</definedName>
    <definedName name="_xlnm.Print_Area" localSheetId="2">'Autor Gastar'!$A$1:$Q$25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" i="3" l="1"/>
  <c r="J77" i="2"/>
  <c r="K65" i="2"/>
  <c r="K66" i="2"/>
  <c r="K67" i="2"/>
  <c r="K68" i="2"/>
  <c r="K69" i="2"/>
  <c r="K70" i="2"/>
  <c r="K71" i="2"/>
  <c r="K72" i="2"/>
  <c r="K73" i="2"/>
  <c r="K74" i="2"/>
  <c r="K75" i="2"/>
  <c r="K76" i="2"/>
  <c r="J65" i="2"/>
  <c r="J66" i="2"/>
  <c r="J67" i="2"/>
  <c r="J68" i="2"/>
  <c r="J69" i="2"/>
  <c r="J70" i="2"/>
  <c r="J71" i="2"/>
  <c r="J72" i="2"/>
  <c r="J73" i="2"/>
  <c r="J74" i="2"/>
  <c r="J75" i="2"/>
  <c r="J76" i="2"/>
  <c r="I65" i="2"/>
  <c r="I66" i="2"/>
  <c r="I67" i="2"/>
  <c r="I68" i="2"/>
  <c r="I69" i="2"/>
  <c r="I70" i="2"/>
  <c r="I71" i="2"/>
  <c r="I72" i="2"/>
  <c r="I73" i="2"/>
  <c r="I74" i="2"/>
  <c r="I75" i="2"/>
  <c r="I76" i="2"/>
  <c r="C74" i="2"/>
  <c r="C75" i="2"/>
  <c r="C76" i="2"/>
  <c r="C71" i="2"/>
  <c r="C72" i="2"/>
  <c r="C73" i="2"/>
  <c r="C67" i="2"/>
  <c r="C68" i="2"/>
  <c r="C69" i="2"/>
  <c r="C70" i="2"/>
  <c r="C65" i="2"/>
  <c r="C66" i="2"/>
  <c r="I63" i="1"/>
  <c r="I64" i="1"/>
  <c r="I65" i="1"/>
  <c r="I66" i="1"/>
  <c r="I67" i="1"/>
  <c r="I68" i="1"/>
  <c r="I69" i="1"/>
  <c r="I70" i="1"/>
  <c r="I71" i="1"/>
  <c r="I72" i="1"/>
  <c r="I73" i="1"/>
  <c r="I74" i="1"/>
  <c r="K48" i="2" l="1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48" i="2"/>
  <c r="C49" i="2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K32" i="2" l="1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3" i="2"/>
  <c r="G4" i="3" s="1"/>
  <c r="D4" i="2"/>
  <c r="G5" i="3" s="1"/>
  <c r="K12" i="2" l="1"/>
  <c r="J12" i="2"/>
  <c r="I12" i="2"/>
  <c r="C12" i="2"/>
  <c r="Q21" i="3" l="1"/>
</calcChain>
</file>

<file path=xl/sharedStrings.xml><?xml version="1.0" encoding="utf-8"?>
<sst xmlns="http://schemas.openxmlformats.org/spreadsheetml/2006/main" count="335" uniqueCount="139">
  <si>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</si>
  <si>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</si>
  <si>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</si>
  <si>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</si>
  <si>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</si>
  <si>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</si>
  <si>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</si>
  <si>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</si>
  <si>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</si>
  <si>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</si>
  <si>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</si>
  <si>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</si>
  <si>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</si>
  <si>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</si>
  <si>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</si>
  <si>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</si>
  <si>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</si>
  <si>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</si>
  <si>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</si>
  <si>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</si>
  <si>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</si>
  <si>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</si>
  <si>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</si>
  <si>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</si>
  <si>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</si>
  <si>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</si>
  <si>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</si>
  <si>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</si>
  <si>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</si>
  <si>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</si>
  <si>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</si>
  <si>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</si>
  <si>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</si>
  <si>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</si>
  <si>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</si>
  <si>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</si>
  <si>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</si>
  <si>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</si>
  <si>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</si>
  <si>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</si>
  <si>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</si>
  <si>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</si>
  <si>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</si>
  <si>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</si>
  <si>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</si>
  <si>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</si>
  <si>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</si>
  <si>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</si>
  <si>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</si>
  <si>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</si>
  <si>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</si>
  <si>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</si>
  <si>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</si>
  <si>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</si>
  <si>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</si>
  <si>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</si>
  <si>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</si>
  <si>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</si>
  <si>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</si>
  <si>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 xml:space="preserve">FENOBARBITAL 15 MG COMPRIMIDO </t>
  </si>
  <si>
    <t>FENOBARBITAL 100MG COMPRIMIDO</t>
  </si>
  <si>
    <t>FENITOINA SUSPENSION X 120ML</t>
  </si>
  <si>
    <t>CLONAZEPAM 0,5 MG COMPRIMIDOS</t>
  </si>
  <si>
    <t>CLONAZEPAM 2 MG COMPRIMIDOS</t>
  </si>
  <si>
    <t>LORAZEPAM 1MG SUBLINGUAL COMPRIMIDO</t>
  </si>
  <si>
    <t>LORAZEPAM 1 MG COMPRIMIDO</t>
  </si>
  <si>
    <t>ACIDO VALPROICO 500MG/5ML AMPOLLA</t>
  </si>
  <si>
    <t>VALPROATO DE SODIO 5GR X 120 ML</t>
  </si>
  <si>
    <t>VALPROATO DE MAGNESIO 200MG COMPRIMIDO</t>
  </si>
  <si>
    <t>DIVALPROATO DE SODIO 500MG COMPRIMIDO</t>
  </si>
  <si>
    <t>PREGABALINA 75MG COMPRIMIDO</t>
  </si>
  <si>
    <t>BIPIRIDENO 2 MG COMPRIMIDO</t>
  </si>
  <si>
    <t>ARIPIPRAZOL 10 MG COMPRIMIDO</t>
  </si>
  <si>
    <t>LEVOMEPROMAZINA 25 MG COMPRIMIDO</t>
  </si>
  <si>
    <t>OLANZAPINA 10MG COMPRIMIDO</t>
  </si>
  <si>
    <t>RISPERIDONA 1MG COMPRIMIDO</t>
  </si>
  <si>
    <t>RISPERIDONA 2 MG COMPRIMIDO</t>
  </si>
  <si>
    <t>RISPERIDONA 3 MG COMPRIMIDO</t>
  </si>
  <si>
    <t>ALPRAZOLAM 1MG COMPRIMIDO</t>
  </si>
  <si>
    <t>SERTRALINA 50MG COMPRIMIDOS</t>
  </si>
  <si>
    <t xml:space="preserve">CAFEINA 25% AMPOLLA </t>
  </si>
  <si>
    <t xml:space="preserve">ERITROMICINA O,5 %UNGUENTO OFTALMICO </t>
  </si>
  <si>
    <t>PROPARACAINA CLORHIDRATO 0,5% COLIRIO</t>
  </si>
  <si>
    <t>Para la adquisición de Antiepilecticos destinados al Servicio de Farmacia del Hospital Interzonal de Niños Eva Peron, para el normal funcionamiento del organismo.</t>
  </si>
  <si>
    <t>AMPOLLA</t>
  </si>
  <si>
    <t>COMPRIMIDO</t>
  </si>
  <si>
    <t>CARBAMAZEPINA 200MG COMPRIMIDO</t>
  </si>
  <si>
    <t>FRASCO</t>
  </si>
  <si>
    <t>GOTERO</t>
  </si>
  <si>
    <t>ENVASE</t>
  </si>
  <si>
    <t>LAMOTRIGINA 25 MG COMPRIMIDO</t>
  </si>
  <si>
    <t>LEVETIRACETAM 500MG COMPRIMIDO</t>
  </si>
  <si>
    <t>LORAZEPAM 2MG COMPRIMIDO</t>
  </si>
  <si>
    <t>VALPROATO DE MAGNESIO 400MG COMPRIMIDO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</si>
  <si>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</si>
  <si>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</si>
  <si>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Semestral</t>
  </si>
  <si>
    <r>
      <t>Mantenimiento de Oferta</t>
    </r>
    <r>
      <rPr>
        <sz val="10"/>
        <rFont val="Times New Roman"/>
        <family val="1"/>
      </rPr>
      <t xml:space="preserve">: 45 dias habiles </t>
    </r>
  </si>
  <si>
    <t>ALPRAZOLAM 0,5 MG  COMPRIMIDO</t>
  </si>
  <si>
    <t>ALPRAZOLAM 2MG COMPRIMIDO</t>
  </si>
  <si>
    <t>ARIPIPRAZOL SOLUCION ORAL X 150 ML</t>
  </si>
  <si>
    <t>CARBAMAZEPINA SUSPENSION ORAL 2% X 100 ML</t>
  </si>
  <si>
    <t>CARBOXIMETILCELULOSA GOTAS</t>
  </si>
  <si>
    <t xml:space="preserve">CICLOPENTOLATO 1%X 5ML </t>
  </si>
  <si>
    <t>CIPROFLOXACINA 0,3% +DEXAMETASONA 01% COLIRIO X 5 ML</t>
  </si>
  <si>
    <t>CIPROFLOXACINA 0,3% +DEXAMETASONA 01% UNGÜENTO X 3,5 GRS</t>
  </si>
  <si>
    <t>CLONAZEPAM  2,5 MG/ML GOTAS X 20 ML</t>
  </si>
  <si>
    <t>CLORPROMAZINA 25MG  AMPOLLA IM X 5 ML</t>
  </si>
  <si>
    <t>DIAZEPAM 10 MG AMPOLLA</t>
  </si>
  <si>
    <t>DIAZEPAM 10 MG COMPRIMIDO</t>
  </si>
  <si>
    <t>DIAZEPAM 5 MG COMPRIMIDO</t>
  </si>
  <si>
    <t>DIVALPROATO DE SODIO 250MG COMPRIMIDO</t>
  </si>
  <si>
    <t>ERITROMICINA 0,1GR COLIRIO</t>
  </si>
  <si>
    <t>FENITOINA AMPOLLAS</t>
  </si>
  <si>
    <t>FLUMAZENIL  0,5 mg / 5 ml AMPOLLAS</t>
  </si>
  <si>
    <t>FLUORESCEINA SODICA O,25% COLIRIO x 5 ml</t>
  </si>
  <si>
    <t xml:space="preserve">GENTAMINA SULFATO 3% GOTAS x 10 ml </t>
  </si>
  <si>
    <t>HALOPERIDOL 10 MG COMPRIMIDO</t>
  </si>
  <si>
    <t>HALOPERIDOL 2MG/ML GOTAS x 30 ml</t>
  </si>
  <si>
    <t>HALOPERIDOL 5 MG AMPOLLA x 1 ml</t>
  </si>
  <si>
    <t>HALOPERIDOL 5MG COMPRIMIDO</t>
  </si>
  <si>
    <t>LAMOTRIGINA 50MG COMPRIMIDO</t>
  </si>
  <si>
    <t>LATANOPROST 0,05% COLIRIO x 2,5 ml</t>
  </si>
  <si>
    <t>LEVETIRACETAM 500MG AMPOLLA x 5 ml</t>
  </si>
  <si>
    <t>LEVOMEPROMAZINA 25 MG AMPOLLA x 1 ml</t>
  </si>
  <si>
    <t>LORAZEPAM 4 MG/2ML AMPOLLA</t>
  </si>
  <si>
    <t>NALOXONA 0,4 MG / ML AMPOLLA x 1 ml</t>
  </si>
  <si>
    <t>NEOSTIGMINA 0,5 mg  x 1 ml AMPOLLA</t>
  </si>
  <si>
    <t>PROTAMINA SULFATO 10 mg/ ml  AMPOLLA x 5 ml</t>
  </si>
  <si>
    <t>QUETIAPINA 100MG COMPRIMIDO</t>
  </si>
  <si>
    <t>TOBRAMICINA 0,3% COLIRIO x 5 ml</t>
  </si>
  <si>
    <t>TOBRAMICINA 0,3%+DEXAMETASONA COLIRIO x 5 ml</t>
  </si>
  <si>
    <t>TOPIRAMATO 100 MG COMPRIMDO</t>
  </si>
  <si>
    <t>TROPICAMIDA 0,5% COLIRIO x 5 ml</t>
  </si>
  <si>
    <t>001/2022</t>
  </si>
  <si>
    <t>Costo total estimado: Tres Millones Setecientos Cincuenta y Cinco Mil Noventa y Ocho Con 50/100.</t>
  </si>
  <si>
    <t>TOTAL DE PESOS: TRES MILLONES SETECIENTOS CINCUENTA Y CINCO MIL NOVENTA Y OCHO CON 50/100.</t>
  </si>
  <si>
    <t>Antiepilepticos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</si>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</sst>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"/>
    <numFmt numFmtId="171" formatCode="_-&quot;$&quot;\ * #,##0.00_-;\-&quot;$&quot;\ * #,##0.00_-;_-&quot;$&quot;\ * &quot;-&quot;??_-;_-@_-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9" xfId="0" applyBorder="1"/>
    <xf numFmtId="0" fontId="0" fillId="0" borderId="23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24" xfId="0" applyBorder="1"/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66" fontId="0" fillId="0" borderId="30" xfId="3" applyNumberFormat="1" applyFont="1" applyBorder="1" applyAlignment="1" applyProtection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166" fontId="14" fillId="0" borderId="3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0" xfId="0" applyFont="1" applyBorder="1"/>
    <xf numFmtId="166" fontId="16" fillId="0" borderId="0" xfId="0" applyNumberFormat="1" applyFont="1"/>
    <xf numFmtId="0" fontId="6" fillId="3" borderId="9" xfId="0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1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3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169" fontId="21" fillId="0" borderId="0" xfId="0" applyNumberFormat="1" applyFont="1" applyFill="1"/>
    <xf numFmtId="0" fontId="0" fillId="0" borderId="26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0" fillId="0" borderId="53" xfId="0" applyBorder="1"/>
    <xf numFmtId="0" fontId="21" fillId="0" borderId="54" xfId="0" applyFont="1" applyBorder="1" applyAlignment="1">
      <alignment horizontal="center" vertical="center"/>
    </xf>
    <xf numFmtId="0" fontId="15" fillId="0" borderId="53" xfId="0" applyFont="1" applyBorder="1" applyAlignment="1">
      <alignment wrapText="1"/>
    </xf>
    <xf numFmtId="166" fontId="21" fillId="4" borderId="55" xfId="1" applyNumberFormat="1" applyFont="1" applyFill="1" applyBorder="1" applyAlignment="1" applyProtection="1">
      <alignment horizontal="right" vertical="center" wrapText="1"/>
    </xf>
    <xf numFmtId="0" fontId="22" fillId="0" borderId="53" xfId="0" applyFont="1" applyBorder="1" applyAlignment="1">
      <alignment horizontal="center" vertical="center" wrapText="1"/>
    </xf>
    <xf numFmtId="0" fontId="5" fillId="3" borderId="54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left" vertical="center"/>
    </xf>
    <xf numFmtId="3" fontId="5" fillId="3" borderId="55" xfId="0" applyNumberFormat="1" applyFont="1" applyFill="1" applyBorder="1" applyAlignment="1">
      <alignment horizontal="center" vertical="center"/>
    </xf>
    <xf numFmtId="166" fontId="5" fillId="3" borderId="53" xfId="1" applyNumberFormat="1" applyFont="1" applyFill="1" applyBorder="1" applyAlignment="1" applyProtection="1">
      <alignment horizontal="right" vertical="center" wrapText="1"/>
    </xf>
    <xf numFmtId="0" fontId="5" fillId="4" borderId="53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21" fillId="0" borderId="58" xfId="0" applyFont="1" applyBorder="1" applyAlignment="1">
      <alignment horizontal="center" vertical="center"/>
    </xf>
    <xf numFmtId="0" fontId="0" fillId="0" borderId="57" xfId="0" applyBorder="1"/>
    <xf numFmtId="0" fontId="15" fillId="0" borderId="57" xfId="0" applyFont="1" applyBorder="1" applyAlignment="1">
      <alignment wrapText="1"/>
    </xf>
    <xf numFmtId="0" fontId="22" fillId="0" borderId="57" xfId="0" applyFont="1" applyBorder="1" applyAlignment="1">
      <alignment horizontal="center" vertical="center" wrapText="1"/>
    </xf>
    <xf numFmtId="166" fontId="21" fillId="4" borderId="59" xfId="1" applyNumberFormat="1" applyFont="1" applyFill="1" applyBorder="1" applyAlignment="1" applyProtection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  <xf numFmtId="169" fontId="25" fillId="0" borderId="13" xfId="0" applyNumberFormat="1" applyFont="1" applyBorder="1" applyAlignment="1">
      <alignment horizontal="center" vertical="center" wrapText="1"/>
    </xf>
    <xf numFmtId="0" fontId="0" fillId="0" borderId="56" xfId="0" applyBorder="1"/>
    <xf numFmtId="0" fontId="5" fillId="3" borderId="56" xfId="0" applyFont="1" applyFill="1" applyBorder="1" applyAlignment="1">
      <alignment horizontal="left" vertical="center"/>
    </xf>
    <xf numFmtId="0" fontId="23" fillId="0" borderId="4" xfId="0" applyFont="1" applyBorder="1" applyAlignment="1">
      <alignment horizontal="left" indent="3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23" fillId="0" borderId="5" xfId="0" applyFont="1" applyFill="1" applyBorder="1" applyAlignment="1">
      <alignment horizontal="left" indent="3"/>
    </xf>
    <xf numFmtId="0" fontId="16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wrapText="1"/>
    </xf>
    <xf numFmtId="0" fontId="22" fillId="0" borderId="0" xfId="0" applyFont="1" applyBorder="1" applyAlignment="1">
      <alignment horizontal="center" vertical="center" wrapText="1"/>
    </xf>
    <xf numFmtId="0" fontId="15" fillId="5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horizontal="center" vertical="center"/>
    </xf>
    <xf numFmtId="3" fontId="15" fillId="5" borderId="0" xfId="0" applyNumberFormat="1" applyFont="1" applyFill="1" applyBorder="1" applyAlignment="1">
      <alignment horizontal="center" vertical="center"/>
    </xf>
    <xf numFmtId="170" fontId="15" fillId="5" borderId="0" xfId="0" applyNumberFormat="1" applyFont="1" applyFill="1" applyBorder="1" applyAlignment="1">
      <alignment horizontal="right" vertical="center"/>
    </xf>
    <xf numFmtId="166" fontId="21" fillId="4" borderId="0" xfId="1" applyNumberFormat="1" applyFont="1" applyFill="1" applyBorder="1" applyAlignment="1" applyProtection="1">
      <alignment horizontal="right" vertical="center" wrapText="1"/>
    </xf>
    <xf numFmtId="0" fontId="15" fillId="3" borderId="53" xfId="0" applyFont="1" applyFill="1" applyBorder="1" applyAlignment="1">
      <alignment horizontal="left" vertical="center" wrapText="1"/>
    </xf>
    <xf numFmtId="0" fontId="15" fillId="0" borderId="53" xfId="0" applyFont="1" applyFill="1" applyBorder="1" applyAlignment="1">
      <alignment horizontal="center" vertical="center"/>
    </xf>
    <xf numFmtId="3" fontId="15" fillId="3" borderId="53" xfId="0" applyNumberFormat="1" applyFont="1" applyFill="1" applyBorder="1" applyAlignment="1">
      <alignment horizontal="center" vertical="center"/>
    </xf>
    <xf numFmtId="171" fontId="15" fillId="3" borderId="53" xfId="1" applyNumberFormat="1" applyFont="1" applyFill="1" applyBorder="1" applyAlignment="1">
      <alignment horizontal="center"/>
    </xf>
    <xf numFmtId="0" fontId="27" fillId="3" borderId="53" xfId="0" applyFont="1" applyFill="1" applyBorder="1" applyAlignment="1">
      <alignment horizontal="left" vertical="center" wrapText="1"/>
    </xf>
    <xf numFmtId="0" fontId="0" fillId="3" borderId="53" xfId="0" applyFill="1" applyBorder="1"/>
    <xf numFmtId="171" fontId="15" fillId="3" borderId="53" xfId="1" applyNumberFormat="1" applyFont="1" applyFill="1" applyBorder="1" applyAlignment="1">
      <alignment horizontal="center" vertical="center"/>
    </xf>
    <xf numFmtId="0" fontId="15" fillId="3" borderId="53" xfId="0" applyFont="1" applyFill="1" applyBorder="1" applyAlignment="1">
      <alignment horizontal="left" vertical="center"/>
    </xf>
    <xf numFmtId="0" fontId="15" fillId="3" borderId="53" xfId="0" applyFont="1" applyFill="1" applyBorder="1" applyAlignment="1">
      <alignment horizontal="center" vertical="center"/>
    </xf>
    <xf numFmtId="3" fontId="15" fillId="3" borderId="53" xfId="5" applyNumberFormat="1" applyFont="1" applyFill="1" applyBorder="1" applyAlignment="1">
      <alignment horizontal="center" vertical="center"/>
    </xf>
    <xf numFmtId="171" fontId="15" fillId="3" borderId="53" xfId="1" applyNumberFormat="1" applyFont="1" applyFill="1" applyBorder="1" applyAlignment="1">
      <alignment horizontal="right" vertical="center" indent="2"/>
    </xf>
    <xf numFmtId="0" fontId="5" fillId="3" borderId="0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5" fillId="3" borderId="53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 inden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 wrapText="1" indent="1"/>
    </xf>
    <xf numFmtId="0" fontId="9" fillId="3" borderId="1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167" fontId="8" fillId="3" borderId="13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0" fillId="0" borderId="18" xfId="0" applyFont="1" applyBorder="1" applyAlignment="1">
      <alignment horizontal="center"/>
    </xf>
    <xf numFmtId="3" fontId="10" fillId="0" borderId="19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12" fillId="0" borderId="10" xfId="0" applyFont="1" applyBorder="1" applyAlignment="1">
      <alignment horizontal="left" indent="1"/>
    </xf>
    <xf numFmtId="0" fontId="5" fillId="0" borderId="12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/>
    </xf>
    <xf numFmtId="0" fontId="12" fillId="0" borderId="21" xfId="0" applyFont="1" applyBorder="1"/>
    <xf numFmtId="0" fontId="12" fillId="0" borderId="22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26" fillId="0" borderId="27" xfId="0" applyFont="1" applyFill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0" fillId="0" borderId="18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4" borderId="35" xfId="0" applyFont="1" applyFill="1" applyBorder="1" applyAlignment="1">
      <alignment horizontal="left" vertical="center" wrapText="1" indent="1"/>
    </xf>
    <xf numFmtId="0" fontId="0" fillId="0" borderId="2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10" fillId="0" borderId="35" xfId="0" applyFont="1" applyBorder="1" applyAlignment="1">
      <alignment horizontal="left" vertical="center" wrapText="1"/>
    </xf>
    <xf numFmtId="0" fontId="0" fillId="0" borderId="20" xfId="0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4"/>
  <sheetViews>
    <sheetView tabSelected="1" zoomScale="93" zoomScaleNormal="93" workbookViewId="0">
      <selection activeCell="B81" sqref="B81"/>
    </sheetView>
  </sheetViews>
  <sheetFormatPr baseColWidth="10" defaultColWidth="11" defaultRowHeight="12.75" x14ac:dyDescent="0.2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3.42578125" style="26" customWidth="1"/>
    <col min="7" max="7" width="10.42578125" style="26" bestFit="1" customWidth="1"/>
    <col min="8" max="8" width="13.85546875" style="50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16" t="s">
        <v>0</v>
      </c>
      <c r="C2" s="116"/>
      <c r="D2" s="116"/>
      <c r="E2" s="116"/>
      <c r="F2" s="116"/>
      <c r="G2" s="116"/>
      <c r="H2" s="116"/>
    </row>
    <row r="3" spans="1:10" ht="12" customHeight="1" x14ac:dyDescent="0.2"/>
    <row r="4" spans="1:10" ht="18" customHeight="1" x14ac:dyDescent="0.25">
      <c r="A4" s="115" t="s">
        <v>1</v>
      </c>
      <c r="B4" s="115"/>
      <c r="C4" s="117" t="s">
        <v>52</v>
      </c>
      <c r="D4" s="117"/>
      <c r="E4" s="117"/>
      <c r="F4" s="27"/>
      <c r="G4" s="28"/>
      <c r="H4" s="51"/>
    </row>
    <row r="5" spans="1:10" ht="18" customHeight="1" x14ac:dyDescent="0.25">
      <c r="A5" s="115" t="s">
        <v>2</v>
      </c>
      <c r="B5" s="115"/>
      <c r="C5" s="117" t="s">
        <v>51</v>
      </c>
      <c r="D5" s="117"/>
      <c r="E5" s="117"/>
      <c r="F5" s="27"/>
      <c r="G5" s="28" t="s">
        <v>55</v>
      </c>
      <c r="H5" s="51"/>
    </row>
    <row r="6" spans="1:10" ht="16.5" customHeight="1" x14ac:dyDescent="0.25">
      <c r="A6" s="115" t="s">
        <v>3</v>
      </c>
      <c r="B6" s="115"/>
      <c r="C6" s="41">
        <v>2022</v>
      </c>
      <c r="D6" s="42"/>
      <c r="E6" s="42"/>
      <c r="F6" s="27"/>
      <c r="G6" s="28"/>
      <c r="H6" s="51"/>
    </row>
    <row r="7" spans="1:10" ht="16.5" customHeight="1" x14ac:dyDescent="0.25">
      <c r="A7" s="115" t="s">
        <v>4</v>
      </c>
      <c r="B7" s="115"/>
      <c r="C7" s="41">
        <v>1</v>
      </c>
      <c r="D7" s="42"/>
      <c r="E7" s="42"/>
      <c r="F7" s="27"/>
      <c r="G7" s="28"/>
      <c r="H7" s="51"/>
    </row>
    <row r="8" spans="1:10" ht="13.5" thickBot="1" x14ac:dyDescent="0.25">
      <c r="B8" s="27"/>
      <c r="C8" s="28"/>
      <c r="D8" s="27"/>
      <c r="E8" s="27"/>
      <c r="F8" s="27"/>
      <c r="G8" s="28"/>
      <c r="H8" s="51"/>
      <c r="J8" s="49"/>
    </row>
    <row r="9" spans="1:10" ht="36.75" thickBot="1" x14ac:dyDescent="0.25">
      <c r="A9" s="83" t="s">
        <v>5</v>
      </c>
      <c r="B9" s="83" t="s">
        <v>6</v>
      </c>
      <c r="C9" s="83" t="s">
        <v>7</v>
      </c>
      <c r="D9" s="83" t="s">
        <v>8</v>
      </c>
      <c r="E9" s="83" t="s">
        <v>9</v>
      </c>
      <c r="F9" s="83" t="s">
        <v>10</v>
      </c>
      <c r="G9" s="83" t="s">
        <v>11</v>
      </c>
      <c r="H9" s="84" t="s">
        <v>12</v>
      </c>
      <c r="I9" s="83" t="s">
        <v>13</v>
      </c>
    </row>
    <row r="10" spans="1:10" ht="25.5" x14ac:dyDescent="0.2">
      <c r="A10" s="78">
        <v>1</v>
      </c>
      <c r="B10" s="79"/>
      <c r="C10" s="80" t="s">
        <v>58</v>
      </c>
      <c r="D10" s="81">
        <v>252</v>
      </c>
      <c r="E10" s="102" t="s">
        <v>66</v>
      </c>
      <c r="F10" s="103" t="s">
        <v>84</v>
      </c>
      <c r="G10" s="104">
        <v>1000</v>
      </c>
      <c r="H10" s="105">
        <v>378.95</v>
      </c>
      <c r="I10" s="82">
        <f>+G10*H10</f>
        <v>378950</v>
      </c>
    </row>
    <row r="11" spans="1:10" ht="25.5" x14ac:dyDescent="0.2">
      <c r="A11" s="67">
        <v>2</v>
      </c>
      <c r="B11" s="66"/>
      <c r="C11" s="68" t="s">
        <v>58</v>
      </c>
      <c r="D11" s="70">
        <v>252</v>
      </c>
      <c r="E11" s="102" t="s">
        <v>98</v>
      </c>
      <c r="F11" s="103" t="s">
        <v>85</v>
      </c>
      <c r="G11" s="104">
        <v>2000</v>
      </c>
      <c r="H11" s="105">
        <v>3.5</v>
      </c>
      <c r="I11" s="69">
        <f t="shared" ref="I11:I74" si="0">+G11*H11</f>
        <v>7000</v>
      </c>
    </row>
    <row r="12" spans="1:10" ht="25.5" x14ac:dyDescent="0.2">
      <c r="A12" s="67">
        <v>3</v>
      </c>
      <c r="B12" s="66"/>
      <c r="C12" s="68" t="s">
        <v>58</v>
      </c>
      <c r="D12" s="70">
        <v>252</v>
      </c>
      <c r="E12" s="102" t="s">
        <v>78</v>
      </c>
      <c r="F12" s="103" t="s">
        <v>85</v>
      </c>
      <c r="G12" s="104">
        <v>2000</v>
      </c>
      <c r="H12" s="105">
        <v>3.5</v>
      </c>
      <c r="I12" s="69">
        <f t="shared" si="0"/>
        <v>7000</v>
      </c>
    </row>
    <row r="13" spans="1:10" ht="25.5" x14ac:dyDescent="0.2">
      <c r="A13" s="67">
        <v>4</v>
      </c>
      <c r="B13" s="66"/>
      <c r="C13" s="68" t="s">
        <v>58</v>
      </c>
      <c r="D13" s="70">
        <v>252</v>
      </c>
      <c r="E13" s="102" t="s">
        <v>99</v>
      </c>
      <c r="F13" s="103" t="s">
        <v>85</v>
      </c>
      <c r="G13" s="104">
        <v>2000</v>
      </c>
      <c r="H13" s="105">
        <v>4.5</v>
      </c>
      <c r="I13" s="69">
        <f t="shared" si="0"/>
        <v>9000</v>
      </c>
    </row>
    <row r="14" spans="1:10" ht="25.5" x14ac:dyDescent="0.2">
      <c r="A14" s="67">
        <v>5</v>
      </c>
      <c r="B14" s="66"/>
      <c r="C14" s="68" t="s">
        <v>58</v>
      </c>
      <c r="D14" s="70">
        <v>252</v>
      </c>
      <c r="E14" s="106" t="s">
        <v>72</v>
      </c>
      <c r="F14" s="103" t="s">
        <v>85</v>
      </c>
      <c r="G14" s="104">
        <v>500</v>
      </c>
      <c r="H14" s="105">
        <v>27.87</v>
      </c>
      <c r="I14" s="69">
        <f t="shared" si="0"/>
        <v>13935</v>
      </c>
    </row>
    <row r="15" spans="1:10" ht="25.5" x14ac:dyDescent="0.2">
      <c r="A15" s="67">
        <v>6</v>
      </c>
      <c r="B15" s="66"/>
      <c r="C15" s="68" t="s">
        <v>58</v>
      </c>
      <c r="D15" s="70">
        <v>252</v>
      </c>
      <c r="E15" s="106" t="s">
        <v>100</v>
      </c>
      <c r="F15" s="103" t="s">
        <v>87</v>
      </c>
      <c r="G15" s="104">
        <v>20</v>
      </c>
      <c r="H15" s="105">
        <v>2850</v>
      </c>
      <c r="I15" s="69">
        <f t="shared" si="0"/>
        <v>57000</v>
      </c>
    </row>
    <row r="16" spans="1:10" ht="25.5" x14ac:dyDescent="0.2">
      <c r="A16" s="67">
        <v>7</v>
      </c>
      <c r="B16" s="66"/>
      <c r="C16" s="68" t="s">
        <v>58</v>
      </c>
      <c r="D16" s="70">
        <v>252</v>
      </c>
      <c r="E16" s="102" t="s">
        <v>71</v>
      </c>
      <c r="F16" s="103" t="s">
        <v>85</v>
      </c>
      <c r="G16" s="104">
        <v>500</v>
      </c>
      <c r="H16" s="105">
        <v>5.6</v>
      </c>
      <c r="I16" s="69">
        <f t="shared" si="0"/>
        <v>2800</v>
      </c>
    </row>
    <row r="17" spans="1:9" ht="25.5" x14ac:dyDescent="0.2">
      <c r="A17" s="67">
        <v>8</v>
      </c>
      <c r="B17" s="66"/>
      <c r="C17" s="68" t="s">
        <v>58</v>
      </c>
      <c r="D17" s="70">
        <v>252</v>
      </c>
      <c r="E17" s="107" t="s">
        <v>80</v>
      </c>
      <c r="F17" s="103" t="s">
        <v>84</v>
      </c>
      <c r="G17" s="104">
        <v>200</v>
      </c>
      <c r="H17" s="105">
        <v>66</v>
      </c>
      <c r="I17" s="69">
        <f t="shared" si="0"/>
        <v>13200</v>
      </c>
    </row>
    <row r="18" spans="1:9" ht="25.5" x14ac:dyDescent="0.2">
      <c r="A18" s="67">
        <v>9</v>
      </c>
      <c r="B18" s="66"/>
      <c r="C18" s="68" t="s">
        <v>58</v>
      </c>
      <c r="D18" s="70">
        <v>252</v>
      </c>
      <c r="E18" s="102" t="s">
        <v>86</v>
      </c>
      <c r="F18" s="103" t="s">
        <v>85</v>
      </c>
      <c r="G18" s="104">
        <v>500</v>
      </c>
      <c r="H18" s="105">
        <v>17.7</v>
      </c>
      <c r="I18" s="69">
        <f t="shared" si="0"/>
        <v>8850</v>
      </c>
    </row>
    <row r="19" spans="1:9" ht="25.5" x14ac:dyDescent="0.2">
      <c r="A19" s="67">
        <v>10</v>
      </c>
      <c r="B19" s="66"/>
      <c r="C19" s="68" t="s">
        <v>58</v>
      </c>
      <c r="D19" s="70">
        <v>252</v>
      </c>
      <c r="E19" s="102" t="s">
        <v>101</v>
      </c>
      <c r="F19" s="103" t="s">
        <v>87</v>
      </c>
      <c r="G19" s="104">
        <v>50</v>
      </c>
      <c r="H19" s="105">
        <v>602</v>
      </c>
      <c r="I19" s="69">
        <f t="shared" si="0"/>
        <v>30100</v>
      </c>
    </row>
    <row r="20" spans="1:9" ht="25.5" x14ac:dyDescent="0.2">
      <c r="A20" s="67">
        <v>11</v>
      </c>
      <c r="B20" s="66"/>
      <c r="C20" s="68" t="s">
        <v>58</v>
      </c>
      <c r="D20" s="70">
        <v>252</v>
      </c>
      <c r="E20" s="102" t="s">
        <v>102</v>
      </c>
      <c r="F20" s="103" t="s">
        <v>88</v>
      </c>
      <c r="G20" s="104">
        <v>30</v>
      </c>
      <c r="H20" s="105">
        <v>565</v>
      </c>
      <c r="I20" s="69">
        <f t="shared" si="0"/>
        <v>16950</v>
      </c>
    </row>
    <row r="21" spans="1:9" ht="25.5" x14ac:dyDescent="0.2">
      <c r="A21" s="67">
        <v>12</v>
      </c>
      <c r="B21" s="66"/>
      <c r="C21" s="68" t="s">
        <v>58</v>
      </c>
      <c r="D21" s="70">
        <v>252</v>
      </c>
      <c r="E21" s="102" t="s">
        <v>103</v>
      </c>
      <c r="F21" s="103" t="s">
        <v>88</v>
      </c>
      <c r="G21" s="104">
        <v>100</v>
      </c>
      <c r="H21" s="108">
        <v>580</v>
      </c>
      <c r="I21" s="69">
        <f t="shared" si="0"/>
        <v>58000</v>
      </c>
    </row>
    <row r="22" spans="1:9" ht="25.5" x14ac:dyDescent="0.2">
      <c r="A22" s="67">
        <v>13</v>
      </c>
      <c r="B22" s="66"/>
      <c r="C22" s="68" t="s">
        <v>58</v>
      </c>
      <c r="D22" s="70">
        <v>252</v>
      </c>
      <c r="E22" s="102" t="s">
        <v>104</v>
      </c>
      <c r="F22" s="103" t="s">
        <v>88</v>
      </c>
      <c r="G22" s="104">
        <v>50</v>
      </c>
      <c r="H22" s="105">
        <v>626</v>
      </c>
      <c r="I22" s="69">
        <f t="shared" si="0"/>
        <v>31300</v>
      </c>
    </row>
    <row r="23" spans="1:9" ht="25.5" x14ac:dyDescent="0.2">
      <c r="A23" s="67">
        <v>14</v>
      </c>
      <c r="B23" s="66"/>
      <c r="C23" s="68" t="s">
        <v>58</v>
      </c>
      <c r="D23" s="70">
        <v>252</v>
      </c>
      <c r="E23" s="102" t="s">
        <v>105</v>
      </c>
      <c r="F23" s="103" t="s">
        <v>89</v>
      </c>
      <c r="G23" s="104">
        <v>50</v>
      </c>
      <c r="H23" s="105">
        <v>580</v>
      </c>
      <c r="I23" s="69">
        <f t="shared" si="0"/>
        <v>29000</v>
      </c>
    </row>
    <row r="24" spans="1:9" ht="25.5" x14ac:dyDescent="0.2">
      <c r="A24" s="67">
        <v>15</v>
      </c>
      <c r="B24" s="66"/>
      <c r="C24" s="68" t="s">
        <v>58</v>
      </c>
      <c r="D24" s="70">
        <v>252</v>
      </c>
      <c r="E24" s="102" t="s">
        <v>106</v>
      </c>
      <c r="F24" s="103" t="s">
        <v>88</v>
      </c>
      <c r="G24" s="104">
        <v>20</v>
      </c>
      <c r="H24" s="105">
        <v>330</v>
      </c>
      <c r="I24" s="69">
        <f t="shared" si="0"/>
        <v>6600</v>
      </c>
    </row>
    <row r="25" spans="1:9" ht="25.5" x14ac:dyDescent="0.2">
      <c r="A25" s="67">
        <v>16</v>
      </c>
      <c r="B25" s="66"/>
      <c r="C25" s="68" t="s">
        <v>58</v>
      </c>
      <c r="D25" s="70">
        <v>252</v>
      </c>
      <c r="E25" s="102" t="s">
        <v>62</v>
      </c>
      <c r="F25" s="103" t="s">
        <v>85</v>
      </c>
      <c r="G25" s="104">
        <v>2000</v>
      </c>
      <c r="H25" s="105">
        <v>3.25</v>
      </c>
      <c r="I25" s="69">
        <f t="shared" si="0"/>
        <v>6500</v>
      </c>
    </row>
    <row r="26" spans="1:9" ht="25.5" x14ac:dyDescent="0.2">
      <c r="A26" s="67">
        <v>17</v>
      </c>
      <c r="B26" s="66"/>
      <c r="C26" s="68" t="s">
        <v>58</v>
      </c>
      <c r="D26" s="70">
        <v>252</v>
      </c>
      <c r="E26" s="102" t="s">
        <v>63</v>
      </c>
      <c r="F26" s="103" t="s">
        <v>85</v>
      </c>
      <c r="G26" s="104">
        <v>2000</v>
      </c>
      <c r="H26" s="105">
        <v>5.0999999999999996</v>
      </c>
      <c r="I26" s="69">
        <f t="shared" si="0"/>
        <v>10200</v>
      </c>
    </row>
    <row r="27" spans="1:9" ht="25.5" x14ac:dyDescent="0.2">
      <c r="A27" s="67">
        <v>18</v>
      </c>
      <c r="B27" s="66"/>
      <c r="C27" s="68" t="s">
        <v>58</v>
      </c>
      <c r="D27" s="70">
        <v>252</v>
      </c>
      <c r="E27" s="102" t="s">
        <v>107</v>
      </c>
      <c r="F27" s="103" t="s">
        <v>84</v>
      </c>
      <c r="G27" s="104">
        <v>300</v>
      </c>
      <c r="H27" s="105">
        <v>165</v>
      </c>
      <c r="I27" s="69">
        <f t="shared" si="0"/>
        <v>49500</v>
      </c>
    </row>
    <row r="28" spans="1:9" ht="25.5" x14ac:dyDescent="0.2">
      <c r="A28" s="67">
        <v>19</v>
      </c>
      <c r="B28" s="66"/>
      <c r="C28" s="68" t="s">
        <v>58</v>
      </c>
      <c r="D28" s="70">
        <v>252</v>
      </c>
      <c r="E28" s="102" t="s">
        <v>108</v>
      </c>
      <c r="F28" s="103" t="s">
        <v>84</v>
      </c>
      <c r="G28" s="104">
        <v>300</v>
      </c>
      <c r="H28" s="105">
        <v>89</v>
      </c>
      <c r="I28" s="69">
        <f t="shared" si="0"/>
        <v>26700</v>
      </c>
    </row>
    <row r="29" spans="1:9" ht="25.5" x14ac:dyDescent="0.2">
      <c r="A29" s="67">
        <v>20</v>
      </c>
      <c r="B29" s="66"/>
      <c r="C29" s="68" t="s">
        <v>58</v>
      </c>
      <c r="D29" s="70">
        <v>252</v>
      </c>
      <c r="E29" s="102" t="s">
        <v>109</v>
      </c>
      <c r="F29" s="103" t="s">
        <v>85</v>
      </c>
      <c r="G29" s="104">
        <v>2000</v>
      </c>
      <c r="H29" s="105">
        <v>5.2</v>
      </c>
      <c r="I29" s="69">
        <f t="shared" si="0"/>
        <v>10400</v>
      </c>
    </row>
    <row r="30" spans="1:9" ht="25.5" x14ac:dyDescent="0.2">
      <c r="A30" s="67">
        <v>21</v>
      </c>
      <c r="B30" s="85"/>
      <c r="C30" s="68" t="s">
        <v>58</v>
      </c>
      <c r="D30" s="70">
        <v>252</v>
      </c>
      <c r="E30" s="102" t="s">
        <v>110</v>
      </c>
      <c r="F30" s="103" t="s">
        <v>85</v>
      </c>
      <c r="G30" s="104">
        <v>2000</v>
      </c>
      <c r="H30" s="105">
        <v>4.5</v>
      </c>
      <c r="I30" s="69">
        <f t="shared" si="0"/>
        <v>9000</v>
      </c>
    </row>
    <row r="31" spans="1:9" ht="25.5" x14ac:dyDescent="0.2">
      <c r="A31" s="67">
        <v>22</v>
      </c>
      <c r="B31" s="85"/>
      <c r="C31" s="68" t="s">
        <v>58</v>
      </c>
      <c r="D31" s="70">
        <v>252</v>
      </c>
      <c r="E31" s="102" t="s">
        <v>111</v>
      </c>
      <c r="F31" s="103" t="s">
        <v>85</v>
      </c>
      <c r="G31" s="104">
        <v>1000</v>
      </c>
      <c r="H31" s="105">
        <v>35</v>
      </c>
      <c r="I31" s="69">
        <f t="shared" si="0"/>
        <v>35000</v>
      </c>
    </row>
    <row r="32" spans="1:9" ht="25.5" x14ac:dyDescent="0.2">
      <c r="A32" s="67">
        <v>23</v>
      </c>
      <c r="B32" s="85"/>
      <c r="C32" s="68" t="s">
        <v>58</v>
      </c>
      <c r="D32" s="70">
        <v>252</v>
      </c>
      <c r="E32" s="102" t="s">
        <v>69</v>
      </c>
      <c r="F32" s="103" t="s">
        <v>85</v>
      </c>
      <c r="G32" s="104">
        <v>1000</v>
      </c>
      <c r="H32" s="105">
        <v>41</v>
      </c>
      <c r="I32" s="69">
        <f t="shared" si="0"/>
        <v>41000</v>
      </c>
    </row>
    <row r="33" spans="1:9" ht="25.5" x14ac:dyDescent="0.2">
      <c r="A33" s="67">
        <v>24</v>
      </c>
      <c r="B33" s="85"/>
      <c r="C33" s="68" t="s">
        <v>58</v>
      </c>
      <c r="D33" s="70">
        <v>252</v>
      </c>
      <c r="E33" s="102" t="s">
        <v>112</v>
      </c>
      <c r="F33" s="103" t="s">
        <v>88</v>
      </c>
      <c r="G33" s="104">
        <v>30</v>
      </c>
      <c r="H33" s="105">
        <v>835</v>
      </c>
      <c r="I33" s="69">
        <f t="shared" si="0"/>
        <v>25050</v>
      </c>
    </row>
    <row r="34" spans="1:9" ht="25.5" x14ac:dyDescent="0.2">
      <c r="A34" s="67">
        <v>25</v>
      </c>
      <c r="B34" s="85"/>
      <c r="C34" s="68" t="s">
        <v>58</v>
      </c>
      <c r="D34" s="70">
        <v>252</v>
      </c>
      <c r="E34" s="102" t="s">
        <v>81</v>
      </c>
      <c r="F34" s="103" t="s">
        <v>89</v>
      </c>
      <c r="G34" s="104">
        <v>50</v>
      </c>
      <c r="H34" s="105">
        <v>874.61</v>
      </c>
      <c r="I34" s="69">
        <f t="shared" si="0"/>
        <v>43730.5</v>
      </c>
    </row>
    <row r="35" spans="1:9" ht="25.5" x14ac:dyDescent="0.2">
      <c r="A35" s="67">
        <v>26</v>
      </c>
      <c r="B35" s="85"/>
      <c r="C35" s="68" t="s">
        <v>58</v>
      </c>
      <c r="D35" s="70">
        <v>252</v>
      </c>
      <c r="E35" s="106" t="s">
        <v>113</v>
      </c>
      <c r="F35" s="103" t="s">
        <v>84</v>
      </c>
      <c r="G35" s="104">
        <v>1500</v>
      </c>
      <c r="H35" s="105">
        <v>35</v>
      </c>
      <c r="I35" s="69">
        <f t="shared" si="0"/>
        <v>52500</v>
      </c>
    </row>
    <row r="36" spans="1:9" ht="25.5" x14ac:dyDescent="0.2">
      <c r="A36" s="67">
        <v>27</v>
      </c>
      <c r="B36" s="85"/>
      <c r="C36" s="68" t="s">
        <v>58</v>
      </c>
      <c r="D36" s="70">
        <v>252</v>
      </c>
      <c r="E36" s="102" t="s">
        <v>61</v>
      </c>
      <c r="F36" s="103" t="s">
        <v>87</v>
      </c>
      <c r="G36" s="104">
        <v>100</v>
      </c>
      <c r="H36" s="105">
        <v>985</v>
      </c>
      <c r="I36" s="69">
        <f t="shared" si="0"/>
        <v>98500</v>
      </c>
    </row>
    <row r="37" spans="1:9" ht="25.5" x14ac:dyDescent="0.2">
      <c r="A37" s="67">
        <v>28</v>
      </c>
      <c r="B37" s="85"/>
      <c r="C37" s="68" t="s">
        <v>58</v>
      </c>
      <c r="D37" s="70">
        <v>252</v>
      </c>
      <c r="E37" s="102" t="s">
        <v>60</v>
      </c>
      <c r="F37" s="103" t="s">
        <v>85</v>
      </c>
      <c r="G37" s="104">
        <v>1500</v>
      </c>
      <c r="H37" s="105">
        <v>18.5</v>
      </c>
      <c r="I37" s="69">
        <f t="shared" si="0"/>
        <v>27750</v>
      </c>
    </row>
    <row r="38" spans="1:9" ht="25.5" x14ac:dyDescent="0.2">
      <c r="A38" s="67">
        <v>29</v>
      </c>
      <c r="B38" s="85"/>
      <c r="C38" s="68" t="s">
        <v>58</v>
      </c>
      <c r="D38" s="70">
        <v>252</v>
      </c>
      <c r="E38" s="102" t="s">
        <v>59</v>
      </c>
      <c r="F38" s="103" t="s">
        <v>85</v>
      </c>
      <c r="G38" s="104">
        <v>1500</v>
      </c>
      <c r="H38" s="105">
        <v>16</v>
      </c>
      <c r="I38" s="69">
        <f t="shared" si="0"/>
        <v>24000</v>
      </c>
    </row>
    <row r="39" spans="1:9" ht="25.5" x14ac:dyDescent="0.2">
      <c r="A39" s="67">
        <v>30</v>
      </c>
      <c r="B39" s="85"/>
      <c r="C39" s="68" t="s">
        <v>58</v>
      </c>
      <c r="D39" s="70">
        <v>252</v>
      </c>
      <c r="E39" s="106" t="s">
        <v>114</v>
      </c>
      <c r="F39" s="103" t="s">
        <v>84</v>
      </c>
      <c r="G39" s="104">
        <v>200</v>
      </c>
      <c r="H39" s="105">
        <v>165</v>
      </c>
      <c r="I39" s="69">
        <f t="shared" si="0"/>
        <v>33000</v>
      </c>
    </row>
    <row r="40" spans="1:9" ht="25.5" x14ac:dyDescent="0.2">
      <c r="A40" s="67">
        <v>31</v>
      </c>
      <c r="B40" s="85"/>
      <c r="C40" s="68" t="s">
        <v>58</v>
      </c>
      <c r="D40" s="70">
        <v>252</v>
      </c>
      <c r="E40" s="102" t="s">
        <v>115</v>
      </c>
      <c r="F40" s="103" t="s">
        <v>88</v>
      </c>
      <c r="G40" s="104">
        <v>50</v>
      </c>
      <c r="H40" s="105">
        <v>950</v>
      </c>
      <c r="I40" s="69">
        <f t="shared" si="0"/>
        <v>47500</v>
      </c>
    </row>
    <row r="41" spans="1:9" ht="25.5" x14ac:dyDescent="0.2">
      <c r="A41" s="67">
        <v>32</v>
      </c>
      <c r="B41" s="85"/>
      <c r="C41" s="68" t="s">
        <v>58</v>
      </c>
      <c r="D41" s="70">
        <v>252</v>
      </c>
      <c r="E41" s="102" t="s">
        <v>116</v>
      </c>
      <c r="F41" s="103" t="s">
        <v>88</v>
      </c>
      <c r="G41" s="104">
        <v>50</v>
      </c>
      <c r="H41" s="105">
        <v>450</v>
      </c>
      <c r="I41" s="69">
        <f t="shared" si="0"/>
        <v>22500</v>
      </c>
    </row>
    <row r="42" spans="1:9" ht="25.5" x14ac:dyDescent="0.2">
      <c r="A42" s="67">
        <v>33</v>
      </c>
      <c r="B42" s="85"/>
      <c r="C42" s="68" t="s">
        <v>58</v>
      </c>
      <c r="D42" s="70">
        <v>252</v>
      </c>
      <c r="E42" s="102" t="s">
        <v>117</v>
      </c>
      <c r="F42" s="103" t="s">
        <v>85</v>
      </c>
      <c r="G42" s="104">
        <v>200</v>
      </c>
      <c r="H42" s="105">
        <v>21</v>
      </c>
      <c r="I42" s="69">
        <f t="shared" si="0"/>
        <v>4200</v>
      </c>
    </row>
    <row r="43" spans="1:9" ht="25.5" x14ac:dyDescent="0.2">
      <c r="A43" s="67">
        <v>34</v>
      </c>
      <c r="B43" s="85"/>
      <c r="C43" s="68" t="s">
        <v>58</v>
      </c>
      <c r="D43" s="70">
        <v>252</v>
      </c>
      <c r="E43" s="102" t="s">
        <v>118</v>
      </c>
      <c r="F43" s="103" t="s">
        <v>88</v>
      </c>
      <c r="G43" s="104">
        <v>50</v>
      </c>
      <c r="H43" s="105">
        <v>120</v>
      </c>
      <c r="I43" s="69">
        <f t="shared" si="0"/>
        <v>6000</v>
      </c>
    </row>
    <row r="44" spans="1:9" ht="25.5" x14ac:dyDescent="0.2">
      <c r="A44" s="67">
        <v>35</v>
      </c>
      <c r="B44" s="85"/>
      <c r="C44" s="68" t="s">
        <v>58</v>
      </c>
      <c r="D44" s="70">
        <v>252</v>
      </c>
      <c r="E44" s="102" t="s">
        <v>119</v>
      </c>
      <c r="F44" s="103" t="s">
        <v>84</v>
      </c>
      <c r="G44" s="104">
        <v>300</v>
      </c>
      <c r="H44" s="105">
        <v>46</v>
      </c>
      <c r="I44" s="69">
        <f t="shared" si="0"/>
        <v>13800</v>
      </c>
    </row>
    <row r="45" spans="1:9" ht="25.5" x14ac:dyDescent="0.2">
      <c r="A45" s="67">
        <v>36</v>
      </c>
      <c r="B45" s="85"/>
      <c r="C45" s="68" t="s">
        <v>58</v>
      </c>
      <c r="D45" s="70">
        <v>252</v>
      </c>
      <c r="E45" s="102" t="s">
        <v>120</v>
      </c>
      <c r="F45" s="103" t="s">
        <v>85</v>
      </c>
      <c r="G45" s="104">
        <v>50</v>
      </c>
      <c r="H45" s="105">
        <v>16.7</v>
      </c>
      <c r="I45" s="69">
        <f t="shared" si="0"/>
        <v>835</v>
      </c>
    </row>
    <row r="46" spans="1:9" ht="25.5" x14ac:dyDescent="0.2">
      <c r="A46" s="67">
        <v>37</v>
      </c>
      <c r="B46" s="85"/>
      <c r="C46" s="68" t="s">
        <v>58</v>
      </c>
      <c r="D46" s="70">
        <v>252</v>
      </c>
      <c r="E46" s="102" t="s">
        <v>90</v>
      </c>
      <c r="F46" s="103" t="s">
        <v>85</v>
      </c>
      <c r="G46" s="104">
        <v>200</v>
      </c>
      <c r="H46" s="105">
        <v>9.69</v>
      </c>
      <c r="I46" s="69">
        <f t="shared" si="0"/>
        <v>1938</v>
      </c>
    </row>
    <row r="47" spans="1:9" ht="25.5" x14ac:dyDescent="0.2">
      <c r="A47" s="67">
        <v>38</v>
      </c>
      <c r="B47" s="85"/>
      <c r="C47" s="68" t="s">
        <v>58</v>
      </c>
      <c r="D47" s="70">
        <v>252</v>
      </c>
      <c r="E47" s="102" t="s">
        <v>121</v>
      </c>
      <c r="F47" s="103" t="s">
        <v>85</v>
      </c>
      <c r="G47" s="104">
        <v>200</v>
      </c>
      <c r="H47" s="105">
        <v>19.7</v>
      </c>
      <c r="I47" s="69">
        <f t="shared" si="0"/>
        <v>3940</v>
      </c>
    </row>
    <row r="48" spans="1:9" ht="25.5" x14ac:dyDescent="0.2">
      <c r="A48" s="67">
        <v>39</v>
      </c>
      <c r="B48" s="85"/>
      <c r="C48" s="68" t="s">
        <v>58</v>
      </c>
      <c r="D48" s="70">
        <v>252</v>
      </c>
      <c r="E48" s="102" t="s">
        <v>122</v>
      </c>
      <c r="F48" s="103" t="s">
        <v>88</v>
      </c>
      <c r="G48" s="104">
        <v>10</v>
      </c>
      <c r="H48" s="105">
        <v>1428</v>
      </c>
      <c r="I48" s="69">
        <f t="shared" si="0"/>
        <v>14280</v>
      </c>
    </row>
    <row r="49" spans="1:9" ht="25.5" x14ac:dyDescent="0.2">
      <c r="A49" s="67">
        <v>40</v>
      </c>
      <c r="B49" s="85"/>
      <c r="C49" s="68" t="s">
        <v>58</v>
      </c>
      <c r="D49" s="70">
        <v>252</v>
      </c>
      <c r="E49" s="102" t="s">
        <v>123</v>
      </c>
      <c r="F49" s="103" t="s">
        <v>84</v>
      </c>
      <c r="G49" s="104">
        <v>300</v>
      </c>
      <c r="H49" s="108">
        <v>640</v>
      </c>
      <c r="I49" s="69">
        <f t="shared" si="0"/>
        <v>192000</v>
      </c>
    </row>
    <row r="50" spans="1:9" ht="25.5" x14ac:dyDescent="0.2">
      <c r="A50" s="67">
        <v>41</v>
      </c>
      <c r="B50" s="85"/>
      <c r="C50" s="68" t="s">
        <v>58</v>
      </c>
      <c r="D50" s="70">
        <v>252</v>
      </c>
      <c r="E50" s="102" t="s">
        <v>91</v>
      </c>
      <c r="F50" s="103" t="s">
        <v>85</v>
      </c>
      <c r="G50" s="104">
        <v>300</v>
      </c>
      <c r="H50" s="105">
        <v>35</v>
      </c>
      <c r="I50" s="69">
        <f t="shared" si="0"/>
        <v>10500</v>
      </c>
    </row>
    <row r="51" spans="1:9" ht="25.5" x14ac:dyDescent="0.2">
      <c r="A51" s="67">
        <v>42</v>
      </c>
      <c r="B51" s="85"/>
      <c r="C51" s="68" t="s">
        <v>58</v>
      </c>
      <c r="D51" s="70">
        <v>252</v>
      </c>
      <c r="E51" s="106" t="s">
        <v>124</v>
      </c>
      <c r="F51" s="103" t="s">
        <v>84</v>
      </c>
      <c r="G51" s="104">
        <v>500</v>
      </c>
      <c r="H51" s="105">
        <v>395</v>
      </c>
      <c r="I51" s="69">
        <f t="shared" si="0"/>
        <v>197500</v>
      </c>
    </row>
    <row r="52" spans="1:9" ht="25.5" x14ac:dyDescent="0.2">
      <c r="A52" s="67">
        <v>43</v>
      </c>
      <c r="B52" s="85"/>
      <c r="C52" s="68" t="s">
        <v>58</v>
      </c>
      <c r="D52" s="70">
        <v>252</v>
      </c>
      <c r="E52" s="106" t="s">
        <v>73</v>
      </c>
      <c r="F52" s="103" t="s">
        <v>85</v>
      </c>
      <c r="G52" s="104">
        <v>500</v>
      </c>
      <c r="H52" s="105">
        <v>9.1999999999999993</v>
      </c>
      <c r="I52" s="69">
        <f t="shared" si="0"/>
        <v>4600</v>
      </c>
    </row>
    <row r="53" spans="1:9" ht="25.5" x14ac:dyDescent="0.2">
      <c r="A53" s="67">
        <v>44</v>
      </c>
      <c r="B53" s="85"/>
      <c r="C53" s="68" t="s">
        <v>58</v>
      </c>
      <c r="D53" s="70">
        <v>252</v>
      </c>
      <c r="E53" s="102" t="s">
        <v>65</v>
      </c>
      <c r="F53" s="103" t="s">
        <v>85</v>
      </c>
      <c r="G53" s="104">
        <v>200</v>
      </c>
      <c r="H53" s="105">
        <v>4.5</v>
      </c>
      <c r="I53" s="69">
        <f t="shared" si="0"/>
        <v>900</v>
      </c>
    </row>
    <row r="54" spans="1:9" ht="25.5" x14ac:dyDescent="0.2">
      <c r="A54" s="67">
        <v>45</v>
      </c>
      <c r="B54" s="85"/>
      <c r="C54" s="68" t="s">
        <v>58</v>
      </c>
      <c r="D54" s="70">
        <v>252</v>
      </c>
      <c r="E54" s="102" t="s">
        <v>64</v>
      </c>
      <c r="F54" s="103" t="s">
        <v>85</v>
      </c>
      <c r="G54" s="104">
        <v>200</v>
      </c>
      <c r="H54" s="105">
        <v>11.9</v>
      </c>
      <c r="I54" s="69">
        <f t="shared" si="0"/>
        <v>2380</v>
      </c>
    </row>
    <row r="55" spans="1:9" ht="25.5" x14ac:dyDescent="0.2">
      <c r="A55" s="67">
        <v>46</v>
      </c>
      <c r="B55" s="85"/>
      <c r="C55" s="68" t="s">
        <v>58</v>
      </c>
      <c r="D55" s="70">
        <v>252</v>
      </c>
      <c r="E55" s="102" t="s">
        <v>92</v>
      </c>
      <c r="F55" s="103" t="s">
        <v>85</v>
      </c>
      <c r="G55" s="104">
        <v>200</v>
      </c>
      <c r="H55" s="105">
        <v>4.9000000000000004</v>
      </c>
      <c r="I55" s="69">
        <f t="shared" si="0"/>
        <v>980.00000000000011</v>
      </c>
    </row>
    <row r="56" spans="1:9" ht="25.5" x14ac:dyDescent="0.2">
      <c r="A56" s="67">
        <v>47</v>
      </c>
      <c r="B56" s="85"/>
      <c r="C56" s="68" t="s">
        <v>58</v>
      </c>
      <c r="D56" s="70">
        <v>252</v>
      </c>
      <c r="E56" s="102" t="s">
        <v>125</v>
      </c>
      <c r="F56" s="103" t="s">
        <v>84</v>
      </c>
      <c r="G56" s="104">
        <v>2500</v>
      </c>
      <c r="H56" s="105">
        <v>390</v>
      </c>
      <c r="I56" s="69">
        <f t="shared" si="0"/>
        <v>975000</v>
      </c>
    </row>
    <row r="57" spans="1:9" ht="25.5" x14ac:dyDescent="0.2">
      <c r="A57" s="67">
        <v>48</v>
      </c>
      <c r="B57" s="85"/>
      <c r="C57" s="68" t="s">
        <v>58</v>
      </c>
      <c r="D57" s="70">
        <v>252</v>
      </c>
      <c r="E57" s="109" t="s">
        <v>126</v>
      </c>
      <c r="F57" s="103" t="s">
        <v>84</v>
      </c>
      <c r="G57" s="104">
        <v>300</v>
      </c>
      <c r="H57" s="105">
        <v>128</v>
      </c>
      <c r="I57" s="69">
        <f t="shared" si="0"/>
        <v>38400</v>
      </c>
    </row>
    <row r="58" spans="1:9" ht="25.5" x14ac:dyDescent="0.2">
      <c r="A58" s="67">
        <v>49</v>
      </c>
      <c r="B58" s="85"/>
      <c r="C58" s="68" t="s">
        <v>58</v>
      </c>
      <c r="D58" s="70">
        <v>252</v>
      </c>
      <c r="E58" s="109" t="s">
        <v>127</v>
      </c>
      <c r="F58" s="103" t="s">
        <v>84</v>
      </c>
      <c r="G58" s="104">
        <v>300</v>
      </c>
      <c r="H58" s="105">
        <v>52</v>
      </c>
      <c r="I58" s="69">
        <f t="shared" si="0"/>
        <v>15600</v>
      </c>
    </row>
    <row r="59" spans="1:9" ht="25.5" x14ac:dyDescent="0.2">
      <c r="A59" s="67">
        <v>50</v>
      </c>
      <c r="B59" s="85"/>
      <c r="C59" s="68" t="s">
        <v>58</v>
      </c>
      <c r="D59" s="70">
        <v>252</v>
      </c>
      <c r="E59" s="102" t="s">
        <v>74</v>
      </c>
      <c r="F59" s="103" t="s">
        <v>85</v>
      </c>
      <c r="G59" s="104">
        <v>200</v>
      </c>
      <c r="H59" s="105">
        <v>25</v>
      </c>
      <c r="I59" s="69">
        <f t="shared" si="0"/>
        <v>5000</v>
      </c>
    </row>
    <row r="60" spans="1:9" ht="25.5" x14ac:dyDescent="0.2">
      <c r="A60" s="67">
        <v>51</v>
      </c>
      <c r="B60" s="85"/>
      <c r="C60" s="68" t="s">
        <v>58</v>
      </c>
      <c r="D60" s="70">
        <v>252</v>
      </c>
      <c r="E60" s="102" t="s">
        <v>70</v>
      </c>
      <c r="F60" s="103" t="s">
        <v>85</v>
      </c>
      <c r="G60" s="104">
        <v>1000</v>
      </c>
      <c r="H60" s="105">
        <v>15.8</v>
      </c>
      <c r="I60" s="69">
        <f t="shared" si="0"/>
        <v>15800</v>
      </c>
    </row>
    <row r="61" spans="1:9" ht="25.5" x14ac:dyDescent="0.2">
      <c r="A61" s="67">
        <v>52</v>
      </c>
      <c r="B61" s="85"/>
      <c r="C61" s="68" t="s">
        <v>58</v>
      </c>
      <c r="D61" s="70">
        <v>252</v>
      </c>
      <c r="E61" s="102" t="s">
        <v>82</v>
      </c>
      <c r="F61" s="103" t="s">
        <v>88</v>
      </c>
      <c r="G61" s="104">
        <v>50</v>
      </c>
      <c r="H61" s="105">
        <v>660</v>
      </c>
      <c r="I61" s="69">
        <f t="shared" si="0"/>
        <v>33000</v>
      </c>
    </row>
    <row r="62" spans="1:9" ht="25.5" x14ac:dyDescent="0.2">
      <c r="A62" s="67">
        <v>53</v>
      </c>
      <c r="B62" s="66"/>
      <c r="C62" s="68" t="s">
        <v>58</v>
      </c>
      <c r="D62" s="70">
        <v>252</v>
      </c>
      <c r="E62" s="109" t="s">
        <v>128</v>
      </c>
      <c r="F62" s="103" t="s">
        <v>84</v>
      </c>
      <c r="G62" s="104">
        <v>300</v>
      </c>
      <c r="H62" s="105">
        <v>1580</v>
      </c>
      <c r="I62" s="69">
        <f t="shared" si="0"/>
        <v>474000</v>
      </c>
    </row>
    <row r="63" spans="1:9" ht="25.5" x14ac:dyDescent="0.2">
      <c r="A63" s="67">
        <v>54</v>
      </c>
      <c r="B63" s="66"/>
      <c r="C63" s="68" t="s">
        <v>58</v>
      </c>
      <c r="D63" s="70">
        <v>252</v>
      </c>
      <c r="E63" s="102" t="s">
        <v>129</v>
      </c>
      <c r="F63" s="103" t="s">
        <v>85</v>
      </c>
      <c r="G63" s="104">
        <v>100</v>
      </c>
      <c r="H63" s="105">
        <v>16.2</v>
      </c>
      <c r="I63" s="69">
        <f t="shared" si="0"/>
        <v>1620</v>
      </c>
    </row>
    <row r="64" spans="1:9" ht="25.5" x14ac:dyDescent="0.2">
      <c r="A64" s="67">
        <v>55</v>
      </c>
      <c r="B64" s="66"/>
      <c r="C64" s="68" t="s">
        <v>58</v>
      </c>
      <c r="D64" s="70">
        <v>252</v>
      </c>
      <c r="E64" s="102" t="s">
        <v>75</v>
      </c>
      <c r="F64" s="103" t="s">
        <v>85</v>
      </c>
      <c r="G64" s="104">
        <v>500</v>
      </c>
      <c r="H64" s="105">
        <v>3.75</v>
      </c>
      <c r="I64" s="69">
        <f t="shared" si="0"/>
        <v>1875</v>
      </c>
    </row>
    <row r="65" spans="1:9" ht="25.5" x14ac:dyDescent="0.2">
      <c r="A65" s="67">
        <v>56</v>
      </c>
      <c r="B65" s="66"/>
      <c r="C65" s="68" t="s">
        <v>58</v>
      </c>
      <c r="D65" s="70">
        <v>252</v>
      </c>
      <c r="E65" s="102" t="s">
        <v>76</v>
      </c>
      <c r="F65" s="103" t="s">
        <v>85</v>
      </c>
      <c r="G65" s="104">
        <v>500</v>
      </c>
      <c r="H65" s="105">
        <v>4.2</v>
      </c>
      <c r="I65" s="69">
        <f t="shared" si="0"/>
        <v>2100</v>
      </c>
    </row>
    <row r="66" spans="1:9" ht="25.5" x14ac:dyDescent="0.2">
      <c r="A66" s="67">
        <v>57</v>
      </c>
      <c r="B66" s="66"/>
      <c r="C66" s="68" t="s">
        <v>58</v>
      </c>
      <c r="D66" s="70">
        <v>252</v>
      </c>
      <c r="E66" s="102" t="s">
        <v>77</v>
      </c>
      <c r="F66" s="103" t="s">
        <v>85</v>
      </c>
      <c r="G66" s="104">
        <v>500</v>
      </c>
      <c r="H66" s="105">
        <v>4.5999999999999996</v>
      </c>
      <c r="I66" s="69">
        <f t="shared" si="0"/>
        <v>2300</v>
      </c>
    </row>
    <row r="67" spans="1:9" ht="25.5" x14ac:dyDescent="0.2">
      <c r="A67" s="67">
        <v>58</v>
      </c>
      <c r="B67" s="66"/>
      <c r="C67" s="68" t="s">
        <v>58</v>
      </c>
      <c r="D67" s="70">
        <v>252</v>
      </c>
      <c r="E67" s="107" t="s">
        <v>79</v>
      </c>
      <c r="F67" s="110" t="s">
        <v>85</v>
      </c>
      <c r="G67" s="104">
        <v>200</v>
      </c>
      <c r="H67" s="105">
        <v>8.0500000000000007</v>
      </c>
      <c r="I67" s="69">
        <f t="shared" si="0"/>
        <v>1610.0000000000002</v>
      </c>
    </row>
    <row r="68" spans="1:9" ht="25.5" x14ac:dyDescent="0.2">
      <c r="A68" s="67">
        <v>59</v>
      </c>
      <c r="B68" s="66"/>
      <c r="C68" s="68" t="s">
        <v>58</v>
      </c>
      <c r="D68" s="70">
        <v>252</v>
      </c>
      <c r="E68" s="102" t="s">
        <v>130</v>
      </c>
      <c r="F68" s="103" t="s">
        <v>88</v>
      </c>
      <c r="G68" s="104">
        <v>300</v>
      </c>
      <c r="H68" s="105">
        <v>520</v>
      </c>
      <c r="I68" s="69">
        <f t="shared" si="0"/>
        <v>156000</v>
      </c>
    </row>
    <row r="69" spans="1:9" ht="25.5" x14ac:dyDescent="0.2">
      <c r="A69" s="67">
        <v>60</v>
      </c>
      <c r="B69" s="66"/>
      <c r="C69" s="68" t="s">
        <v>58</v>
      </c>
      <c r="D69" s="70">
        <v>252</v>
      </c>
      <c r="E69" s="102" t="s">
        <v>131</v>
      </c>
      <c r="F69" s="103" t="s">
        <v>88</v>
      </c>
      <c r="G69" s="104">
        <v>300</v>
      </c>
      <c r="H69" s="105">
        <v>580</v>
      </c>
      <c r="I69" s="69">
        <f t="shared" si="0"/>
        <v>174000</v>
      </c>
    </row>
    <row r="70" spans="1:9" ht="25.5" x14ac:dyDescent="0.2">
      <c r="A70" s="67">
        <v>61</v>
      </c>
      <c r="B70" s="66"/>
      <c r="C70" s="68" t="s">
        <v>58</v>
      </c>
      <c r="D70" s="70">
        <v>252</v>
      </c>
      <c r="E70" s="102" t="s">
        <v>132</v>
      </c>
      <c r="F70" s="103" t="s">
        <v>85</v>
      </c>
      <c r="G70" s="104">
        <v>100</v>
      </c>
      <c r="H70" s="105">
        <v>31.5</v>
      </c>
      <c r="I70" s="69">
        <f t="shared" si="0"/>
        <v>3150</v>
      </c>
    </row>
    <row r="71" spans="1:9" ht="25.5" x14ac:dyDescent="0.2">
      <c r="A71" s="67">
        <v>62</v>
      </c>
      <c r="B71" s="66"/>
      <c r="C71" s="68" t="s">
        <v>58</v>
      </c>
      <c r="D71" s="70">
        <v>252</v>
      </c>
      <c r="E71" s="102" t="s">
        <v>133</v>
      </c>
      <c r="F71" s="103" t="s">
        <v>88</v>
      </c>
      <c r="G71" s="104">
        <v>50</v>
      </c>
      <c r="H71" s="105">
        <v>450</v>
      </c>
      <c r="I71" s="69">
        <f t="shared" si="0"/>
        <v>22500</v>
      </c>
    </row>
    <row r="72" spans="1:9" ht="25.5" x14ac:dyDescent="0.2">
      <c r="A72" s="67">
        <v>63</v>
      </c>
      <c r="B72" s="66"/>
      <c r="C72" s="68" t="s">
        <v>58</v>
      </c>
      <c r="D72" s="70">
        <v>252</v>
      </c>
      <c r="E72" s="102" t="s">
        <v>68</v>
      </c>
      <c r="F72" s="103" t="s">
        <v>85</v>
      </c>
      <c r="G72" s="104">
        <v>500</v>
      </c>
      <c r="H72" s="105">
        <v>30.75</v>
      </c>
      <c r="I72" s="69">
        <f t="shared" si="0"/>
        <v>15375</v>
      </c>
    </row>
    <row r="73" spans="1:9" ht="25.5" x14ac:dyDescent="0.2">
      <c r="A73" s="67">
        <v>64</v>
      </c>
      <c r="B73" s="66"/>
      <c r="C73" s="68" t="s">
        <v>58</v>
      </c>
      <c r="D73" s="70">
        <v>252</v>
      </c>
      <c r="E73" s="102" t="s">
        <v>93</v>
      </c>
      <c r="F73" s="103" t="s">
        <v>85</v>
      </c>
      <c r="G73" s="111">
        <v>500</v>
      </c>
      <c r="H73" s="112">
        <v>46.8</v>
      </c>
      <c r="I73" s="69">
        <f t="shared" si="0"/>
        <v>23400</v>
      </c>
    </row>
    <row r="74" spans="1:9" ht="25.5" x14ac:dyDescent="0.2">
      <c r="A74" s="67">
        <v>65</v>
      </c>
      <c r="B74" s="66"/>
      <c r="C74" s="68" t="s">
        <v>58</v>
      </c>
      <c r="D74" s="70">
        <v>252</v>
      </c>
      <c r="E74" s="102" t="s">
        <v>67</v>
      </c>
      <c r="F74" s="103" t="s">
        <v>87</v>
      </c>
      <c r="G74" s="111">
        <v>300</v>
      </c>
      <c r="H74" s="112">
        <v>360</v>
      </c>
      <c r="I74" s="69">
        <f t="shared" si="0"/>
        <v>108000</v>
      </c>
    </row>
    <row r="75" spans="1:9" x14ac:dyDescent="0.2">
      <c r="A75" s="94"/>
      <c r="B75" s="1"/>
      <c r="C75" s="95"/>
      <c r="D75" s="96"/>
      <c r="E75" s="97"/>
      <c r="F75" s="98"/>
      <c r="G75" s="99"/>
      <c r="H75" s="100"/>
      <c r="I75" s="101"/>
    </row>
    <row r="76" spans="1:9" ht="13.5" thickBot="1" x14ac:dyDescent="0.25">
      <c r="I76" s="32"/>
    </row>
    <row r="77" spans="1:9" x14ac:dyDescent="0.2">
      <c r="B77" s="87" t="s">
        <v>94</v>
      </c>
      <c r="C77" s="29"/>
      <c r="D77" s="29"/>
      <c r="E77" s="30"/>
      <c r="I77" s="32"/>
    </row>
    <row r="78" spans="1:9" x14ac:dyDescent="0.2">
      <c r="B78" s="118" t="s">
        <v>95</v>
      </c>
      <c r="C78" s="119"/>
      <c r="D78" s="119"/>
      <c r="E78" s="120"/>
    </row>
    <row r="79" spans="1:9" ht="32.25" customHeight="1" x14ac:dyDescent="0.2">
      <c r="B79" s="118"/>
      <c r="C79" s="119"/>
      <c r="D79" s="119"/>
      <c r="E79" s="120"/>
      <c r="F79" s="31"/>
      <c r="G79" s="31"/>
    </row>
    <row r="80" spans="1:9" ht="15.75" customHeight="1" x14ac:dyDescent="0.2">
      <c r="B80" s="118" t="s">
        <v>138</v>
      </c>
      <c r="C80" s="119"/>
      <c r="D80" s="119"/>
      <c r="E80" s="120"/>
      <c r="F80" s="31"/>
      <c r="G80" s="31"/>
    </row>
    <row r="81" spans="2:8" ht="18.75" customHeight="1" thickBot="1" x14ac:dyDescent="0.25">
      <c r="B81" s="88" t="s">
        <v>97</v>
      </c>
      <c r="C81" s="89"/>
      <c r="D81" s="90"/>
      <c r="E81" s="91"/>
      <c r="F81" s="31"/>
      <c r="G81" s="31"/>
    </row>
    <row r="82" spans="2:8" s="53" customFormat="1" x14ac:dyDescent="0.2">
      <c r="B82" s="92"/>
      <c r="C82" s="114"/>
      <c r="D82" s="114"/>
      <c r="E82" s="114"/>
      <c r="F82" s="77"/>
      <c r="G82" s="77"/>
      <c r="H82" s="54"/>
    </row>
    <row r="83" spans="2:8" x14ac:dyDescent="0.2">
      <c r="B83" s="93"/>
      <c r="C83" s="31"/>
      <c r="D83" s="31"/>
      <c r="E83" s="31"/>
      <c r="F83" s="31"/>
      <c r="G83" s="31"/>
    </row>
    <row r="84" spans="2:8" ht="12" customHeight="1" x14ac:dyDescent="0.2"/>
  </sheetData>
  <autoFilter ref="A9:I62"/>
  <mergeCells count="10">
    <mergeCell ref="C82:E82"/>
    <mergeCell ref="A6:B6"/>
    <mergeCell ref="A7:B7"/>
    <mergeCell ref="B2:H2"/>
    <mergeCell ref="A4:B4"/>
    <mergeCell ref="C4:E4"/>
    <mergeCell ref="A5:B5"/>
    <mergeCell ref="C5:E5"/>
    <mergeCell ref="B78:E79"/>
    <mergeCell ref="B80:E80"/>
  </mergeCells>
  <printOptions horizontalCentered="1"/>
  <pageMargins left="0.11811023622047245" right="0.11811023622047245" top="0.35433070866141736" bottom="0.35433070866141736" header="0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7"/>
  <sheetViews>
    <sheetView topLeftCell="A73" zoomScale="80" zoomScaleNormal="80" workbookViewId="0">
      <selection activeCell="C17" sqref="C17:G17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22" t="s">
        <v>14</v>
      </c>
      <c r="B1" s="122"/>
      <c r="C1" s="122"/>
      <c r="D1" s="122"/>
      <c r="E1" s="122"/>
      <c r="F1" s="122"/>
      <c r="G1" s="122"/>
      <c r="H1" s="122"/>
      <c r="I1" s="122"/>
      <c r="J1" s="33" t="s">
        <v>15</v>
      </c>
      <c r="K1" s="34" t="s">
        <v>134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23" t="s">
        <v>48</v>
      </c>
      <c r="B3" s="123"/>
      <c r="C3" s="123"/>
      <c r="D3" s="124" t="str">
        <f>'Necesidades Trimestrales'!C4</f>
        <v>040 - Ministerio de Salud</v>
      </c>
      <c r="E3" s="124"/>
      <c r="F3" s="124"/>
      <c r="G3" s="124"/>
      <c r="H3" s="124"/>
      <c r="I3" s="124"/>
      <c r="J3" s="124"/>
      <c r="K3" s="124"/>
    </row>
    <row r="4" spans="1:11" ht="18.75" customHeight="1" thickBot="1" x14ac:dyDescent="0.25">
      <c r="A4" s="125" t="s">
        <v>49</v>
      </c>
      <c r="B4" s="125"/>
      <c r="C4" s="125"/>
      <c r="D4" s="124" t="str">
        <f>'Necesidades Trimestrales'!C5</f>
        <v>024 - Hospital Interzonal de Niños</v>
      </c>
      <c r="E4" s="124"/>
      <c r="F4" s="124"/>
      <c r="G4" s="124"/>
      <c r="H4" s="124"/>
      <c r="I4" s="124"/>
      <c r="J4" s="124"/>
      <c r="K4" s="124"/>
    </row>
    <row r="5" spans="1:11" ht="18.75" customHeight="1" thickBot="1" x14ac:dyDescent="0.25">
      <c r="A5" s="125" t="s">
        <v>27</v>
      </c>
      <c r="B5" s="125"/>
      <c r="C5" s="125"/>
      <c r="D5" s="124" t="s">
        <v>51</v>
      </c>
      <c r="E5" s="124"/>
      <c r="F5" s="124"/>
      <c r="G5" s="124"/>
      <c r="H5" s="124"/>
      <c r="I5" s="124"/>
      <c r="J5" s="124"/>
      <c r="K5" s="124"/>
    </row>
    <row r="6" spans="1:11" ht="16.5" customHeight="1" thickBot="1" x14ac:dyDescent="0.25">
      <c r="A6" s="123" t="s">
        <v>50</v>
      </c>
      <c r="B6" s="123"/>
      <c r="C6" s="123"/>
      <c r="D6" s="124" t="s">
        <v>57</v>
      </c>
      <c r="E6" s="124"/>
      <c r="F6" s="124"/>
      <c r="G6" s="124"/>
      <c r="H6" s="124"/>
      <c r="I6" s="124"/>
      <c r="J6" s="124"/>
      <c r="K6" s="124"/>
    </row>
    <row r="7" spans="1:11" ht="16.5" customHeight="1" x14ac:dyDescent="0.2">
      <c r="A7" s="125" t="s">
        <v>16</v>
      </c>
      <c r="B7" s="125"/>
      <c r="C7" s="125"/>
      <c r="D7" s="124" t="s">
        <v>96</v>
      </c>
      <c r="E7" s="124"/>
      <c r="F7" s="124"/>
      <c r="G7" s="124"/>
      <c r="H7" s="124"/>
      <c r="I7" s="124"/>
      <c r="J7" s="124"/>
      <c r="K7" s="124"/>
    </row>
    <row r="8" spans="1:11" ht="16.5" customHeight="1" x14ac:dyDescent="0.2">
      <c r="A8" s="126" t="s">
        <v>17</v>
      </c>
      <c r="B8" s="126"/>
      <c r="C8" s="126"/>
      <c r="D8" s="127" t="s">
        <v>137</v>
      </c>
      <c r="E8" s="127"/>
      <c r="F8" s="127"/>
      <c r="G8" s="127"/>
      <c r="H8" s="127"/>
      <c r="I8" s="127"/>
      <c r="J8" s="127"/>
      <c r="K8" s="127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28" t="s">
        <v>18</v>
      </c>
      <c r="B10" s="129" t="s">
        <v>19</v>
      </c>
      <c r="C10" s="129" t="s">
        <v>20</v>
      </c>
      <c r="D10" s="129"/>
      <c r="E10" s="129"/>
      <c r="F10" s="129"/>
      <c r="G10" s="129"/>
      <c r="H10" s="129" t="s">
        <v>21</v>
      </c>
      <c r="I10" s="129" t="s">
        <v>22</v>
      </c>
      <c r="J10" s="129" t="s">
        <v>23</v>
      </c>
      <c r="K10" s="130" t="s">
        <v>24</v>
      </c>
    </row>
    <row r="11" spans="1:11" ht="24" customHeight="1" thickBot="1" x14ac:dyDescent="0.25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30"/>
    </row>
    <row r="12" spans="1:11" ht="27.75" customHeight="1" x14ac:dyDescent="0.2">
      <c r="A12" s="43">
        <v>1</v>
      </c>
      <c r="B12" s="44"/>
      <c r="C12" s="132" t="str">
        <f>'Necesidades Trimestrales'!E10</f>
        <v>ACIDO VALPROICO 500MG/5ML AMPOLLA</v>
      </c>
      <c r="D12" s="132"/>
      <c r="E12" s="132"/>
      <c r="F12" s="132"/>
      <c r="G12" s="132"/>
      <c r="H12" s="45" t="s">
        <v>54</v>
      </c>
      <c r="I12" s="46" t="str">
        <f>'Necesidades Trimestrales'!F10</f>
        <v>AMPOLLA</v>
      </c>
      <c r="J12" s="47">
        <f>'Necesidades Trimestrales'!H10</f>
        <v>378.95</v>
      </c>
      <c r="K12" s="48">
        <f>'Necesidades Trimestrales'!G10</f>
        <v>1000</v>
      </c>
    </row>
    <row r="13" spans="1:11" ht="27.75" customHeight="1" x14ac:dyDescent="0.2">
      <c r="A13" s="71">
        <v>2</v>
      </c>
      <c r="B13" s="72"/>
      <c r="C13" s="133" t="str">
        <f>'Necesidades Trimestrales'!E11</f>
        <v>ALPRAZOLAM 0,5 MG  COMPRIMIDO</v>
      </c>
      <c r="D13" s="133"/>
      <c r="E13" s="133"/>
      <c r="F13" s="133"/>
      <c r="G13" s="133"/>
      <c r="H13" s="75" t="s">
        <v>54</v>
      </c>
      <c r="I13" s="76" t="str">
        <f>'Necesidades Trimestrales'!F11</f>
        <v>COMPRIMIDO</v>
      </c>
      <c r="J13" s="74">
        <f>'Necesidades Trimestrales'!H11</f>
        <v>3.5</v>
      </c>
      <c r="K13" s="73">
        <f>'Necesidades Trimestrales'!G11</f>
        <v>2000</v>
      </c>
    </row>
    <row r="14" spans="1:11" ht="27.75" customHeight="1" x14ac:dyDescent="0.2">
      <c r="A14" s="71">
        <v>3</v>
      </c>
      <c r="B14" s="72"/>
      <c r="C14" s="121" t="str">
        <f>'Necesidades Trimestrales'!E12</f>
        <v>ALPRAZOLAM 1MG COMPRIMIDO</v>
      </c>
      <c r="D14" s="121"/>
      <c r="E14" s="121"/>
      <c r="F14" s="121"/>
      <c r="G14" s="121"/>
      <c r="H14" s="75" t="s">
        <v>54</v>
      </c>
      <c r="I14" s="76" t="str">
        <f>'Necesidades Trimestrales'!F12</f>
        <v>COMPRIMIDO</v>
      </c>
      <c r="J14" s="74">
        <f>'Necesidades Trimestrales'!H12</f>
        <v>3.5</v>
      </c>
      <c r="K14" s="73">
        <f>'Necesidades Trimestrales'!G12</f>
        <v>2000</v>
      </c>
    </row>
    <row r="15" spans="1:11" ht="27.75" customHeight="1" x14ac:dyDescent="0.2">
      <c r="A15" s="71">
        <v>4</v>
      </c>
      <c r="B15" s="72"/>
      <c r="C15" s="121" t="str">
        <f>'Necesidades Trimestrales'!E13</f>
        <v>ALPRAZOLAM 2MG COMPRIMIDO</v>
      </c>
      <c r="D15" s="121"/>
      <c r="E15" s="121"/>
      <c r="F15" s="121"/>
      <c r="G15" s="121"/>
      <c r="H15" s="75" t="s">
        <v>54</v>
      </c>
      <c r="I15" s="76" t="str">
        <f>'Necesidades Trimestrales'!F13</f>
        <v>COMPRIMIDO</v>
      </c>
      <c r="J15" s="74">
        <f>'Necesidades Trimestrales'!H13</f>
        <v>4.5</v>
      </c>
      <c r="K15" s="73">
        <f>'Necesidades Trimestrales'!G13</f>
        <v>2000</v>
      </c>
    </row>
    <row r="16" spans="1:11" ht="27.75" customHeight="1" x14ac:dyDescent="0.2">
      <c r="A16" s="71">
        <v>5</v>
      </c>
      <c r="B16" s="72"/>
      <c r="C16" s="121" t="str">
        <f>'Necesidades Trimestrales'!E14</f>
        <v>ARIPIPRAZOL 10 MG COMPRIMIDO</v>
      </c>
      <c r="D16" s="121"/>
      <c r="E16" s="121"/>
      <c r="F16" s="121"/>
      <c r="G16" s="121"/>
      <c r="H16" s="75" t="s">
        <v>54</v>
      </c>
      <c r="I16" s="76" t="str">
        <f>'Necesidades Trimestrales'!F14</f>
        <v>COMPRIMIDO</v>
      </c>
      <c r="J16" s="74">
        <f>'Necesidades Trimestrales'!H14</f>
        <v>27.87</v>
      </c>
      <c r="K16" s="73">
        <f>'Necesidades Trimestrales'!G14</f>
        <v>500</v>
      </c>
    </row>
    <row r="17" spans="1:11" ht="27.75" customHeight="1" x14ac:dyDescent="0.2">
      <c r="A17" s="71">
        <v>6</v>
      </c>
      <c r="B17" s="72"/>
      <c r="C17" s="121" t="str">
        <f>'Necesidades Trimestrales'!E15</f>
        <v>ARIPIPRAZOL SOLUCION ORAL X 150 ML</v>
      </c>
      <c r="D17" s="121"/>
      <c r="E17" s="121"/>
      <c r="F17" s="121"/>
      <c r="G17" s="121"/>
      <c r="H17" s="75" t="s">
        <v>54</v>
      </c>
      <c r="I17" s="76" t="str">
        <f>'Necesidades Trimestrales'!F15</f>
        <v>FRASCO</v>
      </c>
      <c r="J17" s="74">
        <f>'Necesidades Trimestrales'!H15</f>
        <v>2850</v>
      </c>
      <c r="K17" s="73">
        <f>'Necesidades Trimestrales'!G15</f>
        <v>20</v>
      </c>
    </row>
    <row r="18" spans="1:11" ht="27.75" customHeight="1" x14ac:dyDescent="0.2">
      <c r="A18" s="71">
        <v>7</v>
      </c>
      <c r="B18" s="72"/>
      <c r="C18" s="121" t="str">
        <f>'Necesidades Trimestrales'!E16</f>
        <v>BIPIRIDENO 2 MG COMPRIMIDO</v>
      </c>
      <c r="D18" s="121"/>
      <c r="E18" s="121"/>
      <c r="F18" s="121"/>
      <c r="G18" s="121"/>
      <c r="H18" s="75" t="s">
        <v>54</v>
      </c>
      <c r="I18" s="76" t="str">
        <f>'Necesidades Trimestrales'!F16</f>
        <v>COMPRIMIDO</v>
      </c>
      <c r="J18" s="74">
        <f>'Necesidades Trimestrales'!H16</f>
        <v>5.6</v>
      </c>
      <c r="K18" s="73">
        <f>'Necesidades Trimestrales'!G16</f>
        <v>500</v>
      </c>
    </row>
    <row r="19" spans="1:11" ht="27.75" customHeight="1" x14ac:dyDescent="0.2">
      <c r="A19" s="71">
        <v>8</v>
      </c>
      <c r="B19" s="72"/>
      <c r="C19" s="121" t="str">
        <f>'Necesidades Trimestrales'!E17</f>
        <v xml:space="preserve">CAFEINA 25% AMPOLLA </v>
      </c>
      <c r="D19" s="121"/>
      <c r="E19" s="121"/>
      <c r="F19" s="121"/>
      <c r="G19" s="121"/>
      <c r="H19" s="75" t="s">
        <v>54</v>
      </c>
      <c r="I19" s="76" t="str">
        <f>'Necesidades Trimestrales'!F17</f>
        <v>AMPOLLA</v>
      </c>
      <c r="J19" s="74">
        <f>'Necesidades Trimestrales'!H17</f>
        <v>66</v>
      </c>
      <c r="K19" s="73">
        <f>'Necesidades Trimestrales'!G17</f>
        <v>200</v>
      </c>
    </row>
    <row r="20" spans="1:11" ht="27.75" customHeight="1" x14ac:dyDescent="0.2">
      <c r="A20" s="71">
        <v>9</v>
      </c>
      <c r="B20" s="72"/>
      <c r="C20" s="121" t="str">
        <f>'Necesidades Trimestrales'!E18</f>
        <v>CARBAMAZEPINA 200MG COMPRIMIDO</v>
      </c>
      <c r="D20" s="121"/>
      <c r="E20" s="121"/>
      <c r="F20" s="121"/>
      <c r="G20" s="121"/>
      <c r="H20" s="75" t="s">
        <v>54</v>
      </c>
      <c r="I20" s="76" t="str">
        <f>'Necesidades Trimestrales'!F18</f>
        <v>COMPRIMIDO</v>
      </c>
      <c r="J20" s="74">
        <f>'Necesidades Trimestrales'!H18</f>
        <v>17.7</v>
      </c>
      <c r="K20" s="73">
        <f>'Necesidades Trimestrales'!G18</f>
        <v>500</v>
      </c>
    </row>
    <row r="21" spans="1:11" ht="27.75" customHeight="1" x14ac:dyDescent="0.2">
      <c r="A21" s="71">
        <v>10</v>
      </c>
      <c r="B21" s="72"/>
      <c r="C21" s="121" t="str">
        <f>'Necesidades Trimestrales'!E19</f>
        <v>CARBAMAZEPINA SUSPENSION ORAL 2% X 100 ML</v>
      </c>
      <c r="D21" s="121"/>
      <c r="E21" s="121"/>
      <c r="F21" s="121"/>
      <c r="G21" s="121"/>
      <c r="H21" s="75" t="s">
        <v>54</v>
      </c>
      <c r="I21" s="76" t="str">
        <f>'Necesidades Trimestrales'!F19</f>
        <v>FRASCO</v>
      </c>
      <c r="J21" s="74">
        <f>'Necesidades Trimestrales'!H19</f>
        <v>602</v>
      </c>
      <c r="K21" s="73">
        <f>'Necesidades Trimestrales'!G19</f>
        <v>50</v>
      </c>
    </row>
    <row r="22" spans="1:11" ht="27.75" customHeight="1" x14ac:dyDescent="0.2">
      <c r="A22" s="71">
        <v>11</v>
      </c>
      <c r="B22" s="72"/>
      <c r="C22" s="121" t="str">
        <f>'Necesidades Trimestrales'!E20</f>
        <v>CARBOXIMETILCELULOSA GOTAS</v>
      </c>
      <c r="D22" s="121"/>
      <c r="E22" s="121"/>
      <c r="F22" s="121"/>
      <c r="G22" s="121"/>
      <c r="H22" s="75" t="s">
        <v>54</v>
      </c>
      <c r="I22" s="76" t="str">
        <f>'Necesidades Trimestrales'!F20</f>
        <v>GOTERO</v>
      </c>
      <c r="J22" s="74">
        <f>'Necesidades Trimestrales'!H20</f>
        <v>565</v>
      </c>
      <c r="K22" s="73">
        <f>'Necesidades Trimestrales'!G20</f>
        <v>30</v>
      </c>
    </row>
    <row r="23" spans="1:11" ht="27.75" customHeight="1" x14ac:dyDescent="0.2">
      <c r="A23" s="71">
        <v>12</v>
      </c>
      <c r="B23" s="72"/>
      <c r="C23" s="121" t="str">
        <f>'Necesidades Trimestrales'!E21</f>
        <v xml:space="preserve">CICLOPENTOLATO 1%X 5ML </v>
      </c>
      <c r="D23" s="121"/>
      <c r="E23" s="121"/>
      <c r="F23" s="121"/>
      <c r="G23" s="121"/>
      <c r="H23" s="75" t="s">
        <v>54</v>
      </c>
      <c r="I23" s="76" t="str">
        <f>'Necesidades Trimestrales'!F21</f>
        <v>GOTERO</v>
      </c>
      <c r="J23" s="74">
        <f>'Necesidades Trimestrales'!H21</f>
        <v>580</v>
      </c>
      <c r="K23" s="73">
        <f>'Necesidades Trimestrales'!G21</f>
        <v>100</v>
      </c>
    </row>
    <row r="24" spans="1:11" ht="27.75" customHeight="1" x14ac:dyDescent="0.2">
      <c r="A24" s="71">
        <v>13</v>
      </c>
      <c r="B24" s="72"/>
      <c r="C24" s="121" t="str">
        <f>'Necesidades Trimestrales'!E22</f>
        <v>CIPROFLOXACINA 0,3% +DEXAMETASONA 01% COLIRIO X 5 ML</v>
      </c>
      <c r="D24" s="121"/>
      <c r="E24" s="121"/>
      <c r="F24" s="121"/>
      <c r="G24" s="121"/>
      <c r="H24" s="75" t="s">
        <v>54</v>
      </c>
      <c r="I24" s="76" t="str">
        <f>'Necesidades Trimestrales'!F22</f>
        <v>GOTERO</v>
      </c>
      <c r="J24" s="74">
        <f>'Necesidades Trimestrales'!H22</f>
        <v>626</v>
      </c>
      <c r="K24" s="73">
        <f>'Necesidades Trimestrales'!G22</f>
        <v>50</v>
      </c>
    </row>
    <row r="25" spans="1:11" ht="27.75" customHeight="1" x14ac:dyDescent="0.2">
      <c r="A25" s="71">
        <v>14</v>
      </c>
      <c r="B25" s="72"/>
      <c r="C25" s="121" t="str">
        <f>'Necesidades Trimestrales'!E23</f>
        <v>CIPROFLOXACINA 0,3% +DEXAMETASONA 01% UNGÜENTO X 3,5 GRS</v>
      </c>
      <c r="D25" s="121"/>
      <c r="E25" s="121"/>
      <c r="F25" s="121"/>
      <c r="G25" s="121"/>
      <c r="H25" s="75" t="s">
        <v>54</v>
      </c>
      <c r="I25" s="76" t="str">
        <f>'Necesidades Trimestrales'!F23</f>
        <v>ENVASE</v>
      </c>
      <c r="J25" s="74">
        <f>'Necesidades Trimestrales'!H23</f>
        <v>580</v>
      </c>
      <c r="K25" s="73">
        <f>'Necesidades Trimestrales'!G23</f>
        <v>50</v>
      </c>
    </row>
    <row r="26" spans="1:11" ht="27.75" customHeight="1" x14ac:dyDescent="0.2">
      <c r="A26" s="71">
        <v>15</v>
      </c>
      <c r="B26" s="72"/>
      <c r="C26" s="121" t="str">
        <f>'Necesidades Trimestrales'!E24</f>
        <v>CLONAZEPAM  2,5 MG/ML GOTAS X 20 ML</v>
      </c>
      <c r="D26" s="121"/>
      <c r="E26" s="121"/>
      <c r="F26" s="121"/>
      <c r="G26" s="121"/>
      <c r="H26" s="75" t="s">
        <v>54</v>
      </c>
      <c r="I26" s="76" t="str">
        <f>'Necesidades Trimestrales'!F24</f>
        <v>GOTERO</v>
      </c>
      <c r="J26" s="74">
        <f>'Necesidades Trimestrales'!H24</f>
        <v>330</v>
      </c>
      <c r="K26" s="73">
        <f>'Necesidades Trimestrales'!G24</f>
        <v>20</v>
      </c>
    </row>
    <row r="27" spans="1:11" ht="27.75" customHeight="1" x14ac:dyDescent="0.2">
      <c r="A27" s="71">
        <v>16</v>
      </c>
      <c r="B27" s="72"/>
      <c r="C27" s="121" t="str">
        <f>'Necesidades Trimestrales'!E25</f>
        <v>CLONAZEPAM 0,5 MG COMPRIMIDOS</v>
      </c>
      <c r="D27" s="121"/>
      <c r="E27" s="121"/>
      <c r="F27" s="121"/>
      <c r="G27" s="121"/>
      <c r="H27" s="75" t="s">
        <v>54</v>
      </c>
      <c r="I27" s="76" t="str">
        <f>'Necesidades Trimestrales'!F25</f>
        <v>COMPRIMIDO</v>
      </c>
      <c r="J27" s="74">
        <f>'Necesidades Trimestrales'!H25</f>
        <v>3.25</v>
      </c>
      <c r="K27" s="73">
        <f>'Necesidades Trimestrales'!G25</f>
        <v>2000</v>
      </c>
    </row>
    <row r="28" spans="1:11" ht="27.75" customHeight="1" x14ac:dyDescent="0.2">
      <c r="A28" s="71">
        <v>17</v>
      </c>
      <c r="B28" s="72"/>
      <c r="C28" s="121" t="str">
        <f>'Necesidades Trimestrales'!E26</f>
        <v>CLONAZEPAM 2 MG COMPRIMIDOS</v>
      </c>
      <c r="D28" s="121"/>
      <c r="E28" s="121"/>
      <c r="F28" s="121"/>
      <c r="G28" s="121"/>
      <c r="H28" s="75" t="s">
        <v>54</v>
      </c>
      <c r="I28" s="76" t="str">
        <f>'Necesidades Trimestrales'!F26</f>
        <v>COMPRIMIDO</v>
      </c>
      <c r="J28" s="74">
        <f>'Necesidades Trimestrales'!H26</f>
        <v>5.0999999999999996</v>
      </c>
      <c r="K28" s="73">
        <f>'Necesidades Trimestrales'!G26</f>
        <v>2000</v>
      </c>
    </row>
    <row r="29" spans="1:11" ht="27.75" customHeight="1" x14ac:dyDescent="0.2">
      <c r="A29" s="71">
        <v>18</v>
      </c>
      <c r="B29" s="72"/>
      <c r="C29" s="121" t="str">
        <f>'Necesidades Trimestrales'!E27</f>
        <v>CLORPROMAZINA 25MG  AMPOLLA IM X 5 ML</v>
      </c>
      <c r="D29" s="121"/>
      <c r="E29" s="121"/>
      <c r="F29" s="121"/>
      <c r="G29" s="121"/>
      <c r="H29" s="75" t="s">
        <v>54</v>
      </c>
      <c r="I29" s="76" t="str">
        <f>'Necesidades Trimestrales'!F27</f>
        <v>AMPOLLA</v>
      </c>
      <c r="J29" s="74">
        <f>'Necesidades Trimestrales'!H27</f>
        <v>165</v>
      </c>
      <c r="K29" s="73">
        <f>'Necesidades Trimestrales'!G27</f>
        <v>300</v>
      </c>
    </row>
    <row r="30" spans="1:11" ht="27.75" customHeight="1" x14ac:dyDescent="0.2">
      <c r="A30" s="71">
        <v>19</v>
      </c>
      <c r="B30" s="72"/>
      <c r="C30" s="121" t="str">
        <f>'Necesidades Trimestrales'!E28</f>
        <v>DIAZEPAM 10 MG AMPOLLA</v>
      </c>
      <c r="D30" s="121"/>
      <c r="E30" s="121"/>
      <c r="F30" s="121"/>
      <c r="G30" s="121"/>
      <c r="H30" s="75" t="s">
        <v>54</v>
      </c>
      <c r="I30" s="76" t="str">
        <f>'Necesidades Trimestrales'!F28</f>
        <v>AMPOLLA</v>
      </c>
      <c r="J30" s="74">
        <f>'Necesidades Trimestrales'!H28</f>
        <v>89</v>
      </c>
      <c r="K30" s="73">
        <f>'Necesidades Trimestrales'!G28</f>
        <v>300</v>
      </c>
    </row>
    <row r="31" spans="1:11" ht="27.75" customHeight="1" x14ac:dyDescent="0.2">
      <c r="A31" s="71">
        <v>20</v>
      </c>
      <c r="B31" s="72"/>
      <c r="C31" s="121" t="str">
        <f>'Necesidades Trimestrales'!E29</f>
        <v>DIAZEPAM 10 MG COMPRIMIDO</v>
      </c>
      <c r="D31" s="121"/>
      <c r="E31" s="121"/>
      <c r="F31" s="121"/>
      <c r="G31" s="121"/>
      <c r="H31" s="75" t="s">
        <v>54</v>
      </c>
      <c r="I31" s="76" t="str">
        <f>'Necesidades Trimestrales'!F29</f>
        <v>COMPRIMIDO</v>
      </c>
      <c r="J31" s="74">
        <f>'Necesidades Trimestrales'!H29</f>
        <v>5.2</v>
      </c>
      <c r="K31" s="73">
        <f>'Necesidades Trimestrales'!G29</f>
        <v>2000</v>
      </c>
    </row>
    <row r="32" spans="1:11" ht="27.75" customHeight="1" x14ac:dyDescent="0.2">
      <c r="A32" s="71">
        <v>21</v>
      </c>
      <c r="B32" s="86"/>
      <c r="C32" s="121" t="str">
        <f>'Necesidades Trimestrales'!E30</f>
        <v>DIAZEPAM 5 MG COMPRIMIDO</v>
      </c>
      <c r="D32" s="121"/>
      <c r="E32" s="121"/>
      <c r="F32" s="121"/>
      <c r="G32" s="121"/>
      <c r="H32" s="75" t="s">
        <v>54</v>
      </c>
      <c r="I32" s="76" t="str">
        <f>'Necesidades Trimestrales'!F30</f>
        <v>COMPRIMIDO</v>
      </c>
      <c r="J32" s="74">
        <f>'Necesidades Trimestrales'!H30</f>
        <v>4.5</v>
      </c>
      <c r="K32" s="73">
        <f>'Necesidades Trimestrales'!G30</f>
        <v>2000</v>
      </c>
    </row>
    <row r="33" spans="1:14" ht="27.75" customHeight="1" x14ac:dyDescent="0.2">
      <c r="A33" s="71">
        <v>22</v>
      </c>
      <c r="B33" s="86"/>
      <c r="C33" s="121" t="str">
        <f>'Necesidades Trimestrales'!E31</f>
        <v>DIVALPROATO DE SODIO 250MG COMPRIMIDO</v>
      </c>
      <c r="D33" s="121"/>
      <c r="E33" s="121"/>
      <c r="F33" s="121"/>
      <c r="G33" s="121"/>
      <c r="H33" s="75" t="s">
        <v>54</v>
      </c>
      <c r="I33" s="76" t="str">
        <f>'Necesidades Trimestrales'!F31</f>
        <v>COMPRIMIDO</v>
      </c>
      <c r="J33" s="74">
        <f>'Necesidades Trimestrales'!H31</f>
        <v>35</v>
      </c>
      <c r="K33" s="73">
        <f>'Necesidades Trimestrales'!G31</f>
        <v>1000</v>
      </c>
    </row>
    <row r="34" spans="1:14" ht="27.75" customHeight="1" x14ac:dyDescent="0.2">
      <c r="A34" s="71">
        <v>23</v>
      </c>
      <c r="B34" s="86"/>
      <c r="C34" s="121" t="str">
        <f>'Necesidades Trimestrales'!E32</f>
        <v>DIVALPROATO DE SODIO 500MG COMPRIMIDO</v>
      </c>
      <c r="D34" s="121"/>
      <c r="E34" s="121"/>
      <c r="F34" s="121"/>
      <c r="G34" s="121"/>
      <c r="H34" s="75" t="s">
        <v>54</v>
      </c>
      <c r="I34" s="76" t="str">
        <f>'Necesidades Trimestrales'!F32</f>
        <v>COMPRIMIDO</v>
      </c>
      <c r="J34" s="74">
        <f>'Necesidades Trimestrales'!H32</f>
        <v>41</v>
      </c>
      <c r="K34" s="73">
        <f>'Necesidades Trimestrales'!G32</f>
        <v>1000</v>
      </c>
    </row>
    <row r="35" spans="1:14" ht="27.75" customHeight="1" x14ac:dyDescent="0.2">
      <c r="A35" s="71">
        <v>24</v>
      </c>
      <c r="B35" s="86"/>
      <c r="C35" s="121" t="str">
        <f>'Necesidades Trimestrales'!E33</f>
        <v>ERITROMICINA 0,1GR COLIRIO</v>
      </c>
      <c r="D35" s="121"/>
      <c r="E35" s="121"/>
      <c r="F35" s="121"/>
      <c r="G35" s="121"/>
      <c r="H35" s="75" t="s">
        <v>54</v>
      </c>
      <c r="I35" s="76" t="str">
        <f>'Necesidades Trimestrales'!F33</f>
        <v>GOTERO</v>
      </c>
      <c r="J35" s="74">
        <f>'Necesidades Trimestrales'!H33</f>
        <v>835</v>
      </c>
      <c r="K35" s="73">
        <f>'Necesidades Trimestrales'!G33</f>
        <v>30</v>
      </c>
    </row>
    <row r="36" spans="1:14" ht="27.75" customHeight="1" x14ac:dyDescent="0.2">
      <c r="A36" s="71">
        <v>25</v>
      </c>
      <c r="B36" s="86"/>
      <c r="C36" s="121" t="str">
        <f>'Necesidades Trimestrales'!E34</f>
        <v xml:space="preserve">ERITROMICINA O,5 %UNGUENTO OFTALMICO </v>
      </c>
      <c r="D36" s="121"/>
      <c r="E36" s="121"/>
      <c r="F36" s="121"/>
      <c r="G36" s="121"/>
      <c r="H36" s="75" t="s">
        <v>54</v>
      </c>
      <c r="I36" s="76" t="str">
        <f>'Necesidades Trimestrales'!F34</f>
        <v>ENVASE</v>
      </c>
      <c r="J36" s="74">
        <f>'Necesidades Trimestrales'!H34</f>
        <v>874.61</v>
      </c>
      <c r="K36" s="73">
        <f>'Necesidades Trimestrales'!G34</f>
        <v>50</v>
      </c>
    </row>
    <row r="37" spans="1:14" ht="27.75" customHeight="1" x14ac:dyDescent="0.2">
      <c r="A37" s="71">
        <v>26</v>
      </c>
      <c r="B37" s="86"/>
      <c r="C37" s="121" t="str">
        <f>'Necesidades Trimestrales'!E35</f>
        <v>FENITOINA AMPOLLAS</v>
      </c>
      <c r="D37" s="121"/>
      <c r="E37" s="121"/>
      <c r="F37" s="121"/>
      <c r="G37" s="121"/>
      <c r="H37" s="75" t="s">
        <v>54</v>
      </c>
      <c r="I37" s="76" t="str">
        <f>'Necesidades Trimestrales'!F35</f>
        <v>AMPOLLA</v>
      </c>
      <c r="J37" s="74">
        <f>'Necesidades Trimestrales'!H35</f>
        <v>35</v>
      </c>
      <c r="K37" s="73">
        <f>'Necesidades Trimestrales'!G35</f>
        <v>1500</v>
      </c>
    </row>
    <row r="38" spans="1:14" ht="27.75" customHeight="1" x14ac:dyDescent="0.2">
      <c r="A38" s="71">
        <v>27</v>
      </c>
      <c r="B38" s="86"/>
      <c r="C38" s="121" t="str">
        <f>'Necesidades Trimestrales'!E36</f>
        <v>FENITOINA SUSPENSION X 120ML</v>
      </c>
      <c r="D38" s="121"/>
      <c r="E38" s="121"/>
      <c r="F38" s="121"/>
      <c r="G38" s="121"/>
      <c r="H38" s="75" t="s">
        <v>54</v>
      </c>
      <c r="I38" s="76" t="str">
        <f>'Necesidades Trimestrales'!F36</f>
        <v>FRASCO</v>
      </c>
      <c r="J38" s="74">
        <f>'Necesidades Trimestrales'!H36</f>
        <v>985</v>
      </c>
      <c r="K38" s="73">
        <f>'Necesidades Trimestrales'!G36</f>
        <v>100</v>
      </c>
    </row>
    <row r="39" spans="1:14" ht="27.75" customHeight="1" x14ac:dyDescent="0.2">
      <c r="A39" s="71">
        <v>28</v>
      </c>
      <c r="B39" s="86"/>
      <c r="C39" s="121" t="str">
        <f>'Necesidades Trimestrales'!E37</f>
        <v>FENOBARBITAL 100MG COMPRIMIDO</v>
      </c>
      <c r="D39" s="121"/>
      <c r="E39" s="121"/>
      <c r="F39" s="121"/>
      <c r="G39" s="121"/>
      <c r="H39" s="75" t="s">
        <v>54</v>
      </c>
      <c r="I39" s="76" t="str">
        <f>'Necesidades Trimestrales'!F37</f>
        <v>COMPRIMIDO</v>
      </c>
      <c r="J39" s="74">
        <f>'Necesidades Trimestrales'!H37</f>
        <v>18.5</v>
      </c>
      <c r="K39" s="73">
        <f>'Necesidades Trimestrales'!G37</f>
        <v>1500</v>
      </c>
    </row>
    <row r="40" spans="1:14" ht="27.75" customHeight="1" x14ac:dyDescent="0.2">
      <c r="A40" s="71">
        <v>29</v>
      </c>
      <c r="B40" s="86"/>
      <c r="C40" s="121" t="str">
        <f>'Necesidades Trimestrales'!E38</f>
        <v xml:space="preserve">FENOBARBITAL 15 MG COMPRIMIDO </v>
      </c>
      <c r="D40" s="121"/>
      <c r="E40" s="121"/>
      <c r="F40" s="121"/>
      <c r="G40" s="121"/>
      <c r="H40" s="75" t="s">
        <v>54</v>
      </c>
      <c r="I40" s="76" t="str">
        <f>'Necesidades Trimestrales'!F38</f>
        <v>COMPRIMIDO</v>
      </c>
      <c r="J40" s="74">
        <f>'Necesidades Trimestrales'!H38</f>
        <v>16</v>
      </c>
      <c r="K40" s="73">
        <f>'Necesidades Trimestrales'!G38</f>
        <v>1500</v>
      </c>
    </row>
    <row r="41" spans="1:14" ht="27.75" customHeight="1" x14ac:dyDescent="0.2">
      <c r="A41" s="71">
        <v>30</v>
      </c>
      <c r="B41" s="86"/>
      <c r="C41" s="121" t="str">
        <f>'Necesidades Trimestrales'!E39</f>
        <v>FLUMAZENIL  0,5 mg / 5 ml AMPOLLAS</v>
      </c>
      <c r="D41" s="121"/>
      <c r="E41" s="121"/>
      <c r="F41" s="121"/>
      <c r="G41" s="121"/>
      <c r="H41" s="75" t="s">
        <v>54</v>
      </c>
      <c r="I41" s="76" t="str">
        <f>'Necesidades Trimestrales'!F39</f>
        <v>AMPOLLA</v>
      </c>
      <c r="J41" s="74">
        <f>'Necesidades Trimestrales'!H39</f>
        <v>165</v>
      </c>
      <c r="K41" s="73">
        <f>'Necesidades Trimestrales'!G39</f>
        <v>200</v>
      </c>
    </row>
    <row r="42" spans="1:14" ht="27.75" customHeight="1" x14ac:dyDescent="0.2">
      <c r="A42" s="71">
        <v>31</v>
      </c>
      <c r="B42" s="86"/>
      <c r="C42" s="121" t="str">
        <f>'Necesidades Trimestrales'!E40</f>
        <v>FLUORESCEINA SODICA O,25% COLIRIO x 5 ml</v>
      </c>
      <c r="D42" s="121"/>
      <c r="E42" s="121"/>
      <c r="F42" s="121"/>
      <c r="G42" s="121"/>
      <c r="H42" s="75" t="s">
        <v>54</v>
      </c>
      <c r="I42" s="76" t="str">
        <f>'Necesidades Trimestrales'!F40</f>
        <v>GOTERO</v>
      </c>
      <c r="J42" s="74">
        <f>'Necesidades Trimestrales'!H40</f>
        <v>950</v>
      </c>
      <c r="K42" s="73">
        <f>'Necesidades Trimestrales'!G40</f>
        <v>50</v>
      </c>
    </row>
    <row r="43" spans="1:14" ht="27.75" customHeight="1" x14ac:dyDescent="0.2">
      <c r="A43" s="71">
        <v>32</v>
      </c>
      <c r="B43" s="86"/>
      <c r="C43" s="121" t="str">
        <f>'Necesidades Trimestrales'!E41</f>
        <v xml:space="preserve">GENTAMINA SULFATO 3% GOTAS x 10 ml </v>
      </c>
      <c r="D43" s="121"/>
      <c r="E43" s="121"/>
      <c r="F43" s="121"/>
      <c r="G43" s="121"/>
      <c r="H43" s="75" t="s">
        <v>54</v>
      </c>
      <c r="I43" s="76" t="str">
        <f>'Necesidades Trimestrales'!F41</f>
        <v>GOTERO</v>
      </c>
      <c r="J43" s="74">
        <f>'Necesidades Trimestrales'!H41</f>
        <v>450</v>
      </c>
      <c r="K43" s="73">
        <f>'Necesidades Trimestrales'!G41</f>
        <v>50</v>
      </c>
    </row>
    <row r="44" spans="1:14" ht="27.75" customHeight="1" x14ac:dyDescent="0.2">
      <c r="A44" s="71">
        <v>33</v>
      </c>
      <c r="B44" s="86"/>
      <c r="C44" s="121" t="str">
        <f>'Necesidades Trimestrales'!E42</f>
        <v>HALOPERIDOL 10 MG COMPRIMIDO</v>
      </c>
      <c r="D44" s="121"/>
      <c r="E44" s="121"/>
      <c r="F44" s="121"/>
      <c r="G44" s="121"/>
      <c r="H44" s="75" t="s">
        <v>54</v>
      </c>
      <c r="I44" s="76" t="str">
        <f>'Necesidades Trimestrales'!F42</f>
        <v>COMPRIMIDO</v>
      </c>
      <c r="J44" s="74">
        <f>'Necesidades Trimestrales'!H42</f>
        <v>21</v>
      </c>
      <c r="K44" s="73">
        <f>'Necesidades Trimestrales'!G42</f>
        <v>200</v>
      </c>
    </row>
    <row r="45" spans="1:14" ht="27.75" customHeight="1" x14ac:dyDescent="0.2">
      <c r="A45" s="71">
        <v>34</v>
      </c>
      <c r="B45" s="86"/>
      <c r="C45" s="121" t="str">
        <f>'Necesidades Trimestrales'!E43</f>
        <v>HALOPERIDOL 2MG/ML GOTAS x 30 ml</v>
      </c>
      <c r="D45" s="121"/>
      <c r="E45" s="121"/>
      <c r="F45" s="121"/>
      <c r="G45" s="121"/>
      <c r="H45" s="75" t="s">
        <v>54</v>
      </c>
      <c r="I45" s="76" t="str">
        <f>'Necesidades Trimestrales'!F43</f>
        <v>GOTERO</v>
      </c>
      <c r="J45" s="74">
        <f>'Necesidades Trimestrales'!H43</f>
        <v>120</v>
      </c>
      <c r="K45" s="73">
        <f>'Necesidades Trimestrales'!G43</f>
        <v>50</v>
      </c>
    </row>
    <row r="46" spans="1:14" ht="27.75" customHeight="1" x14ac:dyDescent="0.2">
      <c r="A46" s="71">
        <v>35</v>
      </c>
      <c r="B46" s="86"/>
      <c r="C46" s="121" t="str">
        <f>'Necesidades Trimestrales'!E44</f>
        <v>HALOPERIDOL 5 MG AMPOLLA x 1 ml</v>
      </c>
      <c r="D46" s="121"/>
      <c r="E46" s="121"/>
      <c r="F46" s="121"/>
      <c r="G46" s="121"/>
      <c r="H46" s="75" t="s">
        <v>54</v>
      </c>
      <c r="I46" s="76" t="str">
        <f>'Necesidades Trimestrales'!F44</f>
        <v>AMPOLLA</v>
      </c>
      <c r="J46" s="74">
        <f>'Necesidades Trimestrales'!H44</f>
        <v>46</v>
      </c>
      <c r="K46" s="73">
        <f>'Necesidades Trimestrales'!G44</f>
        <v>300</v>
      </c>
    </row>
    <row r="47" spans="1:14" ht="27.75" customHeight="1" x14ac:dyDescent="0.2">
      <c r="A47" s="71">
        <v>36</v>
      </c>
      <c r="B47" s="86"/>
      <c r="C47" s="121" t="str">
        <f>'Necesidades Trimestrales'!E45</f>
        <v>HALOPERIDOL 5MG COMPRIMIDO</v>
      </c>
      <c r="D47" s="121"/>
      <c r="E47" s="121"/>
      <c r="F47" s="121"/>
      <c r="G47" s="121"/>
      <c r="H47" s="75" t="s">
        <v>54</v>
      </c>
      <c r="I47" s="76" t="str">
        <f>'Necesidades Trimestrales'!F45</f>
        <v>COMPRIMIDO</v>
      </c>
      <c r="J47" s="74">
        <f>'Necesidades Trimestrales'!H45</f>
        <v>16.7</v>
      </c>
      <c r="K47" s="73">
        <f>'Necesidades Trimestrales'!G45</f>
        <v>50</v>
      </c>
      <c r="N47" s="35" t="s">
        <v>55</v>
      </c>
    </row>
    <row r="48" spans="1:14" ht="27.75" customHeight="1" x14ac:dyDescent="0.2">
      <c r="A48" s="71">
        <v>37</v>
      </c>
      <c r="B48" s="86"/>
      <c r="C48" s="121" t="str">
        <f>'Necesidades Trimestrales'!E46</f>
        <v>LAMOTRIGINA 25 MG COMPRIMIDO</v>
      </c>
      <c r="D48" s="121"/>
      <c r="E48" s="121"/>
      <c r="F48" s="121"/>
      <c r="G48" s="121"/>
      <c r="H48" s="75" t="s">
        <v>54</v>
      </c>
      <c r="I48" s="76" t="str">
        <f>'Necesidades Trimestrales'!F46</f>
        <v>COMPRIMIDO</v>
      </c>
      <c r="J48" s="74">
        <f>'Necesidades Trimestrales'!H46</f>
        <v>9.69</v>
      </c>
      <c r="K48" s="73">
        <f>'Necesidades Trimestrales'!G46</f>
        <v>200</v>
      </c>
    </row>
    <row r="49" spans="1:11" ht="27.75" customHeight="1" x14ac:dyDescent="0.2">
      <c r="A49" s="71">
        <v>38</v>
      </c>
      <c r="B49" s="86"/>
      <c r="C49" s="121" t="str">
        <f>'Necesidades Trimestrales'!E47</f>
        <v>LAMOTRIGINA 50MG COMPRIMIDO</v>
      </c>
      <c r="D49" s="121"/>
      <c r="E49" s="121"/>
      <c r="F49" s="121"/>
      <c r="G49" s="121"/>
      <c r="H49" s="75" t="s">
        <v>54</v>
      </c>
      <c r="I49" s="76" t="str">
        <f>'Necesidades Trimestrales'!F47</f>
        <v>COMPRIMIDO</v>
      </c>
      <c r="J49" s="74">
        <f>'Necesidades Trimestrales'!H47</f>
        <v>19.7</v>
      </c>
      <c r="K49" s="73">
        <f>'Necesidades Trimestrales'!G47</f>
        <v>200</v>
      </c>
    </row>
    <row r="50" spans="1:11" ht="27.75" customHeight="1" x14ac:dyDescent="0.2">
      <c r="A50" s="71">
        <v>39</v>
      </c>
      <c r="B50" s="86"/>
      <c r="C50" s="121" t="str">
        <f>'Necesidades Trimestrales'!E48</f>
        <v>LATANOPROST 0,05% COLIRIO x 2,5 ml</v>
      </c>
      <c r="D50" s="121"/>
      <c r="E50" s="121"/>
      <c r="F50" s="121"/>
      <c r="G50" s="121"/>
      <c r="H50" s="75" t="s">
        <v>54</v>
      </c>
      <c r="I50" s="76" t="str">
        <f>'Necesidades Trimestrales'!F48</f>
        <v>GOTERO</v>
      </c>
      <c r="J50" s="74">
        <f>'Necesidades Trimestrales'!H48</f>
        <v>1428</v>
      </c>
      <c r="K50" s="73">
        <f>'Necesidades Trimestrales'!G48</f>
        <v>10</v>
      </c>
    </row>
    <row r="51" spans="1:11" ht="27.75" customHeight="1" x14ac:dyDescent="0.2">
      <c r="A51" s="71">
        <v>40</v>
      </c>
      <c r="B51" s="86"/>
      <c r="C51" s="121" t="str">
        <f>'Necesidades Trimestrales'!E49</f>
        <v>LEVETIRACETAM 500MG AMPOLLA x 5 ml</v>
      </c>
      <c r="D51" s="121"/>
      <c r="E51" s="121"/>
      <c r="F51" s="121"/>
      <c r="G51" s="121"/>
      <c r="H51" s="75" t="s">
        <v>54</v>
      </c>
      <c r="I51" s="76" t="str">
        <f>'Necesidades Trimestrales'!F49</f>
        <v>AMPOLLA</v>
      </c>
      <c r="J51" s="74">
        <f>'Necesidades Trimestrales'!H49</f>
        <v>640</v>
      </c>
      <c r="K51" s="73">
        <f>'Necesidades Trimestrales'!G49</f>
        <v>300</v>
      </c>
    </row>
    <row r="52" spans="1:11" ht="27.75" customHeight="1" x14ac:dyDescent="0.2">
      <c r="A52" s="71">
        <v>41</v>
      </c>
      <c r="B52" s="86"/>
      <c r="C52" s="121" t="str">
        <f>'Necesidades Trimestrales'!E50</f>
        <v>LEVETIRACETAM 500MG COMPRIMIDO</v>
      </c>
      <c r="D52" s="121"/>
      <c r="E52" s="121"/>
      <c r="F52" s="121"/>
      <c r="G52" s="121"/>
      <c r="H52" s="75" t="s">
        <v>54</v>
      </c>
      <c r="I52" s="76" t="str">
        <f>'Necesidades Trimestrales'!F50</f>
        <v>COMPRIMIDO</v>
      </c>
      <c r="J52" s="74">
        <f>'Necesidades Trimestrales'!H50</f>
        <v>35</v>
      </c>
      <c r="K52" s="73">
        <f>'Necesidades Trimestrales'!G50</f>
        <v>300</v>
      </c>
    </row>
    <row r="53" spans="1:11" ht="27.75" customHeight="1" x14ac:dyDescent="0.2">
      <c r="A53" s="71">
        <v>42</v>
      </c>
      <c r="B53" s="86"/>
      <c r="C53" s="121" t="str">
        <f>'Necesidades Trimestrales'!E51</f>
        <v>LEVOMEPROMAZINA 25 MG AMPOLLA x 1 ml</v>
      </c>
      <c r="D53" s="121"/>
      <c r="E53" s="121"/>
      <c r="F53" s="121"/>
      <c r="G53" s="121"/>
      <c r="H53" s="75" t="s">
        <v>54</v>
      </c>
      <c r="I53" s="76" t="str">
        <f>'Necesidades Trimestrales'!F51</f>
        <v>AMPOLLA</v>
      </c>
      <c r="J53" s="74">
        <f>'Necesidades Trimestrales'!H51</f>
        <v>395</v>
      </c>
      <c r="K53" s="73">
        <f>'Necesidades Trimestrales'!G51</f>
        <v>500</v>
      </c>
    </row>
    <row r="54" spans="1:11" ht="27.75" customHeight="1" x14ac:dyDescent="0.2">
      <c r="A54" s="71">
        <v>43</v>
      </c>
      <c r="B54" s="86"/>
      <c r="C54" s="121" t="str">
        <f>'Necesidades Trimestrales'!E52</f>
        <v>LEVOMEPROMAZINA 25 MG COMPRIMIDO</v>
      </c>
      <c r="D54" s="121"/>
      <c r="E54" s="121"/>
      <c r="F54" s="121"/>
      <c r="G54" s="121"/>
      <c r="H54" s="75" t="s">
        <v>54</v>
      </c>
      <c r="I54" s="76" t="str">
        <f>'Necesidades Trimestrales'!F52</f>
        <v>COMPRIMIDO</v>
      </c>
      <c r="J54" s="74">
        <f>'Necesidades Trimestrales'!H52</f>
        <v>9.1999999999999993</v>
      </c>
      <c r="K54" s="73">
        <f>'Necesidades Trimestrales'!G52</f>
        <v>500</v>
      </c>
    </row>
    <row r="55" spans="1:11" ht="27.75" customHeight="1" x14ac:dyDescent="0.2">
      <c r="A55" s="71">
        <v>44</v>
      </c>
      <c r="B55" s="86"/>
      <c r="C55" s="121" t="str">
        <f>'Necesidades Trimestrales'!E53</f>
        <v>LORAZEPAM 1 MG COMPRIMIDO</v>
      </c>
      <c r="D55" s="121"/>
      <c r="E55" s="121"/>
      <c r="F55" s="121"/>
      <c r="G55" s="121"/>
      <c r="H55" s="75" t="s">
        <v>54</v>
      </c>
      <c r="I55" s="76" t="str">
        <f>'Necesidades Trimestrales'!F53</f>
        <v>COMPRIMIDO</v>
      </c>
      <c r="J55" s="74">
        <f>'Necesidades Trimestrales'!H53</f>
        <v>4.5</v>
      </c>
      <c r="K55" s="73">
        <f>'Necesidades Trimestrales'!G53</f>
        <v>200</v>
      </c>
    </row>
    <row r="56" spans="1:11" ht="27.75" customHeight="1" x14ac:dyDescent="0.2">
      <c r="A56" s="71">
        <v>45</v>
      </c>
      <c r="B56" s="86"/>
      <c r="C56" s="121" t="str">
        <f>'Necesidades Trimestrales'!E54</f>
        <v>LORAZEPAM 1MG SUBLINGUAL COMPRIMIDO</v>
      </c>
      <c r="D56" s="121"/>
      <c r="E56" s="121"/>
      <c r="F56" s="121"/>
      <c r="G56" s="121"/>
      <c r="H56" s="75" t="s">
        <v>54</v>
      </c>
      <c r="I56" s="76" t="str">
        <f>'Necesidades Trimestrales'!F54</f>
        <v>COMPRIMIDO</v>
      </c>
      <c r="J56" s="74">
        <f>'Necesidades Trimestrales'!H54</f>
        <v>11.9</v>
      </c>
      <c r="K56" s="73">
        <f>'Necesidades Trimestrales'!G54</f>
        <v>200</v>
      </c>
    </row>
    <row r="57" spans="1:11" ht="27.75" customHeight="1" x14ac:dyDescent="0.2">
      <c r="A57" s="71">
        <v>46</v>
      </c>
      <c r="B57" s="86"/>
      <c r="C57" s="121" t="str">
        <f>'Necesidades Trimestrales'!E55</f>
        <v>LORAZEPAM 2MG COMPRIMIDO</v>
      </c>
      <c r="D57" s="121"/>
      <c r="E57" s="121"/>
      <c r="F57" s="121"/>
      <c r="G57" s="121"/>
      <c r="H57" s="75" t="s">
        <v>54</v>
      </c>
      <c r="I57" s="76" t="str">
        <f>'Necesidades Trimestrales'!F55</f>
        <v>COMPRIMIDO</v>
      </c>
      <c r="J57" s="74">
        <f>'Necesidades Trimestrales'!H55</f>
        <v>4.9000000000000004</v>
      </c>
      <c r="K57" s="73">
        <f>'Necesidades Trimestrales'!G55</f>
        <v>200</v>
      </c>
    </row>
    <row r="58" spans="1:11" ht="27.75" customHeight="1" x14ac:dyDescent="0.2">
      <c r="A58" s="71">
        <v>47</v>
      </c>
      <c r="B58" s="86"/>
      <c r="C58" s="121" t="str">
        <f>'Necesidades Trimestrales'!E56</f>
        <v>LORAZEPAM 4 MG/2ML AMPOLLA</v>
      </c>
      <c r="D58" s="121"/>
      <c r="E58" s="121"/>
      <c r="F58" s="121"/>
      <c r="G58" s="121"/>
      <c r="H58" s="75" t="s">
        <v>54</v>
      </c>
      <c r="I58" s="76" t="str">
        <f>'Necesidades Trimestrales'!F56</f>
        <v>AMPOLLA</v>
      </c>
      <c r="J58" s="74">
        <f>'Necesidades Trimestrales'!H56</f>
        <v>390</v>
      </c>
      <c r="K58" s="73">
        <f>'Necesidades Trimestrales'!G56</f>
        <v>2500</v>
      </c>
    </row>
    <row r="59" spans="1:11" ht="27.75" customHeight="1" x14ac:dyDescent="0.2">
      <c r="A59" s="71">
        <v>48</v>
      </c>
      <c r="B59" s="86"/>
      <c r="C59" s="121" t="str">
        <f>'Necesidades Trimestrales'!E57</f>
        <v>NALOXONA 0,4 MG / ML AMPOLLA x 1 ml</v>
      </c>
      <c r="D59" s="121"/>
      <c r="E59" s="121"/>
      <c r="F59" s="121"/>
      <c r="G59" s="121"/>
      <c r="H59" s="75" t="s">
        <v>54</v>
      </c>
      <c r="I59" s="76" t="str">
        <f>'Necesidades Trimestrales'!F57</f>
        <v>AMPOLLA</v>
      </c>
      <c r="J59" s="74">
        <f>'Necesidades Trimestrales'!H57</f>
        <v>128</v>
      </c>
      <c r="K59" s="73">
        <f>'Necesidades Trimestrales'!G57</f>
        <v>300</v>
      </c>
    </row>
    <row r="60" spans="1:11" ht="27.75" customHeight="1" x14ac:dyDescent="0.2">
      <c r="A60" s="71">
        <v>49</v>
      </c>
      <c r="B60" s="86"/>
      <c r="C60" s="121" t="str">
        <f>'Necesidades Trimestrales'!E58</f>
        <v>NEOSTIGMINA 0,5 mg  x 1 ml AMPOLLA</v>
      </c>
      <c r="D60" s="121"/>
      <c r="E60" s="121"/>
      <c r="F60" s="121"/>
      <c r="G60" s="121"/>
      <c r="H60" s="75" t="s">
        <v>54</v>
      </c>
      <c r="I60" s="76" t="str">
        <f>'Necesidades Trimestrales'!F58</f>
        <v>AMPOLLA</v>
      </c>
      <c r="J60" s="74">
        <f>'Necesidades Trimestrales'!H58</f>
        <v>52</v>
      </c>
      <c r="K60" s="73">
        <f>'Necesidades Trimestrales'!G58</f>
        <v>300</v>
      </c>
    </row>
    <row r="61" spans="1:11" ht="27.75" customHeight="1" x14ac:dyDescent="0.2">
      <c r="A61" s="71">
        <v>50</v>
      </c>
      <c r="B61" s="86"/>
      <c r="C61" s="121" t="str">
        <f>'Necesidades Trimestrales'!E59</f>
        <v>OLANZAPINA 10MG COMPRIMIDO</v>
      </c>
      <c r="D61" s="121"/>
      <c r="E61" s="121"/>
      <c r="F61" s="121"/>
      <c r="G61" s="121"/>
      <c r="H61" s="75" t="s">
        <v>54</v>
      </c>
      <c r="I61" s="76" t="str">
        <f>'Necesidades Trimestrales'!F59</f>
        <v>COMPRIMIDO</v>
      </c>
      <c r="J61" s="74">
        <f>'Necesidades Trimestrales'!H59</f>
        <v>25</v>
      </c>
      <c r="K61" s="73">
        <f>'Necesidades Trimestrales'!G59</f>
        <v>200</v>
      </c>
    </row>
    <row r="62" spans="1:11" ht="27.75" customHeight="1" x14ac:dyDescent="0.2">
      <c r="A62" s="71">
        <v>51</v>
      </c>
      <c r="B62" s="86"/>
      <c r="C62" s="121" t="str">
        <f>'Necesidades Trimestrales'!E60</f>
        <v>PREGABALINA 75MG COMPRIMIDO</v>
      </c>
      <c r="D62" s="121"/>
      <c r="E62" s="121"/>
      <c r="F62" s="121"/>
      <c r="G62" s="121"/>
      <c r="H62" s="75" t="s">
        <v>54</v>
      </c>
      <c r="I62" s="76" t="str">
        <f>'Necesidades Trimestrales'!F60</f>
        <v>COMPRIMIDO</v>
      </c>
      <c r="J62" s="74">
        <f>'Necesidades Trimestrales'!H60</f>
        <v>15.8</v>
      </c>
      <c r="K62" s="73">
        <f>'Necesidades Trimestrales'!G60</f>
        <v>1000</v>
      </c>
    </row>
    <row r="63" spans="1:11" ht="27.75" customHeight="1" x14ac:dyDescent="0.2">
      <c r="A63" s="71">
        <v>52</v>
      </c>
      <c r="B63" s="86"/>
      <c r="C63" s="121" t="str">
        <f>'Necesidades Trimestrales'!E61</f>
        <v>PROPARACAINA CLORHIDRATO 0,5% COLIRIO</v>
      </c>
      <c r="D63" s="121"/>
      <c r="E63" s="121"/>
      <c r="F63" s="121"/>
      <c r="G63" s="121"/>
      <c r="H63" s="75" t="s">
        <v>54</v>
      </c>
      <c r="I63" s="76" t="str">
        <f>'Necesidades Trimestrales'!F61</f>
        <v>GOTERO</v>
      </c>
      <c r="J63" s="74">
        <f>'Necesidades Trimestrales'!H61</f>
        <v>660</v>
      </c>
      <c r="K63" s="73">
        <f>'Necesidades Trimestrales'!G61</f>
        <v>50</v>
      </c>
    </row>
    <row r="64" spans="1:11" ht="27.75" customHeight="1" x14ac:dyDescent="0.2">
      <c r="A64" s="71">
        <v>53</v>
      </c>
      <c r="B64" s="86"/>
      <c r="C64" s="121" t="str">
        <f>'Necesidades Trimestrales'!E62</f>
        <v>PROTAMINA SULFATO 10 mg/ ml  AMPOLLA x 5 ml</v>
      </c>
      <c r="D64" s="121"/>
      <c r="E64" s="121"/>
      <c r="F64" s="121"/>
      <c r="G64" s="121"/>
      <c r="H64" s="75" t="s">
        <v>54</v>
      </c>
      <c r="I64" s="76" t="str">
        <f>'Necesidades Trimestrales'!F62</f>
        <v>AMPOLLA</v>
      </c>
      <c r="J64" s="74">
        <f>'Necesidades Trimestrales'!H62</f>
        <v>1580</v>
      </c>
      <c r="K64" s="73">
        <f>'Necesidades Trimestrales'!G62</f>
        <v>300</v>
      </c>
    </row>
    <row r="65" spans="1:14" ht="27.75" customHeight="1" x14ac:dyDescent="0.2">
      <c r="A65" s="71">
        <v>54</v>
      </c>
      <c r="B65" s="86"/>
      <c r="C65" s="121" t="str">
        <f>'Necesidades Trimestrales'!E63</f>
        <v>QUETIAPINA 100MG COMPRIMIDO</v>
      </c>
      <c r="D65" s="121"/>
      <c r="E65" s="121"/>
      <c r="F65" s="121"/>
      <c r="G65" s="121"/>
      <c r="H65" s="75" t="s">
        <v>54</v>
      </c>
      <c r="I65" s="76" t="str">
        <f>'Necesidades Trimestrales'!F63</f>
        <v>COMPRIMIDO</v>
      </c>
      <c r="J65" s="74">
        <f>'Necesidades Trimestrales'!H63</f>
        <v>16.2</v>
      </c>
      <c r="K65" s="73">
        <f>'Necesidades Trimestrales'!G63</f>
        <v>100</v>
      </c>
    </row>
    <row r="66" spans="1:14" ht="27.75" customHeight="1" x14ac:dyDescent="0.2">
      <c r="A66" s="71">
        <v>55</v>
      </c>
      <c r="B66" s="86"/>
      <c r="C66" s="121" t="str">
        <f>'Necesidades Trimestrales'!E64</f>
        <v>RISPERIDONA 1MG COMPRIMIDO</v>
      </c>
      <c r="D66" s="121"/>
      <c r="E66" s="121"/>
      <c r="F66" s="121"/>
      <c r="G66" s="121"/>
      <c r="H66" s="75" t="s">
        <v>54</v>
      </c>
      <c r="I66" s="76" t="str">
        <f>'Necesidades Trimestrales'!F64</f>
        <v>COMPRIMIDO</v>
      </c>
      <c r="J66" s="74">
        <f>'Necesidades Trimestrales'!H64</f>
        <v>3.75</v>
      </c>
      <c r="K66" s="73">
        <f>'Necesidades Trimestrales'!G64</f>
        <v>500</v>
      </c>
    </row>
    <row r="67" spans="1:14" ht="27.75" customHeight="1" x14ac:dyDescent="0.2">
      <c r="A67" s="71">
        <v>56</v>
      </c>
      <c r="B67" s="86"/>
      <c r="C67" s="121" t="str">
        <f>'Necesidades Trimestrales'!E65</f>
        <v>RISPERIDONA 2 MG COMPRIMIDO</v>
      </c>
      <c r="D67" s="121"/>
      <c r="E67" s="121"/>
      <c r="F67" s="121"/>
      <c r="G67" s="121"/>
      <c r="H67" s="75" t="s">
        <v>54</v>
      </c>
      <c r="I67" s="76" t="str">
        <f>'Necesidades Trimestrales'!F65</f>
        <v>COMPRIMIDO</v>
      </c>
      <c r="J67" s="74">
        <f>'Necesidades Trimestrales'!H65</f>
        <v>4.2</v>
      </c>
      <c r="K67" s="73">
        <f>'Necesidades Trimestrales'!G65</f>
        <v>500</v>
      </c>
    </row>
    <row r="68" spans="1:14" ht="27.75" customHeight="1" x14ac:dyDescent="0.2">
      <c r="A68" s="71">
        <v>57</v>
      </c>
      <c r="B68" s="86"/>
      <c r="C68" s="121" t="str">
        <f>'Necesidades Trimestrales'!E66</f>
        <v>RISPERIDONA 3 MG COMPRIMIDO</v>
      </c>
      <c r="D68" s="121"/>
      <c r="E68" s="121"/>
      <c r="F68" s="121"/>
      <c r="G68" s="121"/>
      <c r="H68" s="75" t="s">
        <v>54</v>
      </c>
      <c r="I68" s="76" t="str">
        <f>'Necesidades Trimestrales'!F66</f>
        <v>COMPRIMIDO</v>
      </c>
      <c r="J68" s="74">
        <f>'Necesidades Trimestrales'!H66</f>
        <v>4.5999999999999996</v>
      </c>
      <c r="K68" s="73">
        <f>'Necesidades Trimestrales'!G66</f>
        <v>500</v>
      </c>
    </row>
    <row r="69" spans="1:14" ht="27.75" customHeight="1" x14ac:dyDescent="0.2">
      <c r="A69" s="71">
        <v>58</v>
      </c>
      <c r="B69" s="86"/>
      <c r="C69" s="121" t="str">
        <f>'Necesidades Trimestrales'!E67</f>
        <v>SERTRALINA 50MG COMPRIMIDOS</v>
      </c>
      <c r="D69" s="121"/>
      <c r="E69" s="121"/>
      <c r="F69" s="121"/>
      <c r="G69" s="121"/>
      <c r="H69" s="75" t="s">
        <v>54</v>
      </c>
      <c r="I69" s="76" t="str">
        <f>'Necesidades Trimestrales'!F67</f>
        <v>COMPRIMIDO</v>
      </c>
      <c r="J69" s="74">
        <f>'Necesidades Trimestrales'!H67</f>
        <v>8.0500000000000007</v>
      </c>
      <c r="K69" s="73">
        <f>'Necesidades Trimestrales'!G67</f>
        <v>200</v>
      </c>
    </row>
    <row r="70" spans="1:14" ht="27.75" customHeight="1" x14ac:dyDescent="0.2">
      <c r="A70" s="71">
        <v>59</v>
      </c>
      <c r="B70" s="86"/>
      <c r="C70" s="121" t="str">
        <f>'Necesidades Trimestrales'!E68</f>
        <v>TOBRAMICINA 0,3% COLIRIO x 5 ml</v>
      </c>
      <c r="D70" s="121"/>
      <c r="E70" s="121"/>
      <c r="F70" s="121"/>
      <c r="G70" s="121"/>
      <c r="H70" s="75" t="s">
        <v>54</v>
      </c>
      <c r="I70" s="76" t="str">
        <f>'Necesidades Trimestrales'!F68</f>
        <v>GOTERO</v>
      </c>
      <c r="J70" s="74">
        <f>'Necesidades Trimestrales'!H68</f>
        <v>520</v>
      </c>
      <c r="K70" s="73">
        <f>'Necesidades Trimestrales'!G68</f>
        <v>300</v>
      </c>
    </row>
    <row r="71" spans="1:14" ht="27.75" customHeight="1" x14ac:dyDescent="0.2">
      <c r="A71" s="71">
        <v>60</v>
      </c>
      <c r="B71" s="86"/>
      <c r="C71" s="121" t="str">
        <f>'Necesidades Trimestrales'!E69</f>
        <v>TOBRAMICINA 0,3%+DEXAMETASONA COLIRIO x 5 ml</v>
      </c>
      <c r="D71" s="121"/>
      <c r="E71" s="121"/>
      <c r="F71" s="121"/>
      <c r="G71" s="121"/>
      <c r="H71" s="75" t="s">
        <v>54</v>
      </c>
      <c r="I71" s="76" t="str">
        <f>'Necesidades Trimestrales'!F69</f>
        <v>GOTERO</v>
      </c>
      <c r="J71" s="74">
        <f>'Necesidades Trimestrales'!H69</f>
        <v>580</v>
      </c>
      <c r="K71" s="73">
        <f>'Necesidades Trimestrales'!G69</f>
        <v>300</v>
      </c>
    </row>
    <row r="72" spans="1:14" ht="27.75" customHeight="1" x14ac:dyDescent="0.2">
      <c r="A72" s="71">
        <v>61</v>
      </c>
      <c r="B72" s="86"/>
      <c r="C72" s="121" t="str">
        <f>'Necesidades Trimestrales'!E70</f>
        <v>TOPIRAMATO 100 MG COMPRIMDO</v>
      </c>
      <c r="D72" s="121"/>
      <c r="E72" s="121"/>
      <c r="F72" s="121"/>
      <c r="G72" s="121"/>
      <c r="H72" s="75" t="s">
        <v>54</v>
      </c>
      <c r="I72" s="76" t="str">
        <f>'Necesidades Trimestrales'!F70</f>
        <v>COMPRIMIDO</v>
      </c>
      <c r="J72" s="74">
        <f>'Necesidades Trimestrales'!H70</f>
        <v>31.5</v>
      </c>
      <c r="K72" s="73">
        <f>'Necesidades Trimestrales'!G70</f>
        <v>100</v>
      </c>
    </row>
    <row r="73" spans="1:14" ht="27.75" customHeight="1" x14ac:dyDescent="0.2">
      <c r="A73" s="71">
        <v>62</v>
      </c>
      <c r="B73" s="86"/>
      <c r="C73" s="121" t="str">
        <f>'Necesidades Trimestrales'!E71</f>
        <v>TROPICAMIDA 0,5% COLIRIO x 5 ml</v>
      </c>
      <c r="D73" s="121"/>
      <c r="E73" s="121"/>
      <c r="F73" s="121"/>
      <c r="G73" s="121"/>
      <c r="H73" s="75" t="s">
        <v>54</v>
      </c>
      <c r="I73" s="76" t="str">
        <f>'Necesidades Trimestrales'!F71</f>
        <v>GOTERO</v>
      </c>
      <c r="J73" s="74">
        <f>'Necesidades Trimestrales'!H71</f>
        <v>450</v>
      </c>
      <c r="K73" s="73">
        <f>'Necesidades Trimestrales'!G71</f>
        <v>50</v>
      </c>
    </row>
    <row r="74" spans="1:14" ht="27.75" customHeight="1" x14ac:dyDescent="0.2">
      <c r="A74" s="71">
        <v>63</v>
      </c>
      <c r="B74" s="86"/>
      <c r="C74" s="121" t="str">
        <f>'Necesidades Trimestrales'!E72</f>
        <v>VALPROATO DE MAGNESIO 200MG COMPRIMIDO</v>
      </c>
      <c r="D74" s="121"/>
      <c r="E74" s="121"/>
      <c r="F74" s="121"/>
      <c r="G74" s="121"/>
      <c r="H74" s="75" t="s">
        <v>54</v>
      </c>
      <c r="I74" s="76" t="str">
        <f>'Necesidades Trimestrales'!F72</f>
        <v>COMPRIMIDO</v>
      </c>
      <c r="J74" s="74">
        <f>'Necesidades Trimestrales'!H72</f>
        <v>30.75</v>
      </c>
      <c r="K74" s="73">
        <f>'Necesidades Trimestrales'!G72</f>
        <v>500</v>
      </c>
    </row>
    <row r="75" spans="1:14" ht="27.75" customHeight="1" x14ac:dyDescent="0.2">
      <c r="A75" s="71">
        <v>64</v>
      </c>
      <c r="B75" s="72"/>
      <c r="C75" s="121" t="str">
        <f>'Necesidades Trimestrales'!E73</f>
        <v>VALPROATO DE MAGNESIO 400MG COMPRIMIDO</v>
      </c>
      <c r="D75" s="121"/>
      <c r="E75" s="121"/>
      <c r="F75" s="121"/>
      <c r="G75" s="121"/>
      <c r="H75" s="75" t="s">
        <v>54</v>
      </c>
      <c r="I75" s="76" t="str">
        <f>'Necesidades Trimestrales'!F73</f>
        <v>COMPRIMIDO</v>
      </c>
      <c r="J75" s="74">
        <f>'Necesidades Trimestrales'!H73</f>
        <v>46.8</v>
      </c>
      <c r="K75" s="73">
        <f>'Necesidades Trimestrales'!G73</f>
        <v>500</v>
      </c>
    </row>
    <row r="76" spans="1:14" ht="27.75" customHeight="1" thickBot="1" x14ac:dyDescent="0.25">
      <c r="A76" s="71">
        <v>65</v>
      </c>
      <c r="B76" s="113"/>
      <c r="C76" s="121" t="str">
        <f>'Necesidades Trimestrales'!E74</f>
        <v>VALPROATO DE SODIO 5GR X 120 ML</v>
      </c>
      <c r="D76" s="121"/>
      <c r="E76" s="121"/>
      <c r="F76" s="121"/>
      <c r="G76" s="121"/>
      <c r="H76" s="75" t="s">
        <v>54</v>
      </c>
      <c r="I76" s="76" t="str">
        <f>'Necesidades Trimestrales'!F74</f>
        <v>FRASCO</v>
      </c>
      <c r="J76" s="74">
        <f>'Necesidades Trimestrales'!H74</f>
        <v>360</v>
      </c>
      <c r="K76" s="73">
        <f>'Necesidades Trimestrales'!G74</f>
        <v>300</v>
      </c>
    </row>
    <row r="77" spans="1:14" ht="20.25" customHeight="1" thickBot="1" x14ac:dyDescent="0.25">
      <c r="A77" s="124" t="s">
        <v>135</v>
      </c>
      <c r="B77" s="124"/>
      <c r="C77" s="124"/>
      <c r="D77" s="124"/>
      <c r="E77" s="124"/>
      <c r="F77" s="124"/>
      <c r="G77" s="124"/>
      <c r="H77" s="124"/>
      <c r="I77" s="124"/>
      <c r="J77" s="131">
        <f>SUMPRODUCT(J12:J76,K12:K76)</f>
        <v>3755098.5</v>
      </c>
      <c r="K77" s="131"/>
      <c r="N77" s="52"/>
    </row>
  </sheetData>
  <mergeCells count="87">
    <mergeCell ref="C75:G75"/>
    <mergeCell ref="C76:G76"/>
    <mergeCell ref="C70:G70"/>
    <mergeCell ref="C71:G71"/>
    <mergeCell ref="C72:G72"/>
    <mergeCell ref="C73:G73"/>
    <mergeCell ref="C74:G74"/>
    <mergeCell ref="C65:G65"/>
    <mergeCell ref="C66:G66"/>
    <mergeCell ref="C67:G67"/>
    <mergeCell ref="C68:G68"/>
    <mergeCell ref="C69:G69"/>
    <mergeCell ref="A77:I77"/>
    <mergeCell ref="J77:K7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C32:G32"/>
    <mergeCell ref="C33:G33"/>
    <mergeCell ref="C34:G34"/>
    <mergeCell ref="C35:G35"/>
    <mergeCell ref="C36:G36"/>
    <mergeCell ref="C31:G31"/>
    <mergeCell ref="C26:G26"/>
    <mergeCell ref="C27:G27"/>
    <mergeCell ref="C28:G28"/>
    <mergeCell ref="C29:G29"/>
    <mergeCell ref="C30:G30"/>
    <mergeCell ref="C46:G46"/>
    <mergeCell ref="C47:G4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63:G63"/>
    <mergeCell ref="C64:G64"/>
    <mergeCell ref="C58:G58"/>
    <mergeCell ref="C59:G59"/>
    <mergeCell ref="C60:G60"/>
    <mergeCell ref="C61:G61"/>
    <mergeCell ref="C62:G62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J2" sqref="J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4" t="s">
        <v>3</v>
      </c>
      <c r="B1" s="134"/>
      <c r="C1" s="134"/>
      <c r="D1" s="135">
        <f>'Necesidades Trimestrales'!C6</f>
        <v>2022</v>
      </c>
      <c r="E1" s="135"/>
      <c r="F1" s="3"/>
      <c r="G1" s="3"/>
      <c r="H1" s="4"/>
      <c r="I1" s="4"/>
      <c r="J1" s="4"/>
      <c r="K1" s="4"/>
      <c r="L1" s="4"/>
      <c r="M1" s="4"/>
      <c r="N1" s="4"/>
      <c r="P1" s="136" t="s">
        <v>25</v>
      </c>
      <c r="Q1" s="13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6"/>
      <c r="Q2" s="136"/>
    </row>
    <row r="4" spans="1:17" s="5" customFormat="1" ht="18" customHeight="1" thickBot="1" x14ac:dyDescent="0.25">
      <c r="A4" s="137" t="s">
        <v>26</v>
      </c>
      <c r="B4" s="137"/>
      <c r="C4" s="137"/>
      <c r="D4" s="137"/>
      <c r="E4" s="137"/>
      <c r="F4" s="137"/>
      <c r="G4" s="138" t="str">
        <f>' NotaPedido'!D3</f>
        <v>040 -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5" customFormat="1" ht="18" customHeight="1" thickBot="1" x14ac:dyDescent="0.25">
      <c r="A5" s="139" t="s">
        <v>49</v>
      </c>
      <c r="B5" s="140"/>
      <c r="C5" s="140"/>
      <c r="D5" s="140"/>
      <c r="E5" s="140"/>
      <c r="F5" s="141"/>
      <c r="G5" s="138" t="str">
        <f>' NotaPedido'!D4</f>
        <v>024 - Hospital Interzonal de Niños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5" customFormat="1" ht="18" customHeight="1" thickBot="1" x14ac:dyDescent="0.25">
      <c r="A6" s="139" t="s">
        <v>27</v>
      </c>
      <c r="B6" s="140"/>
      <c r="C6" s="140"/>
      <c r="D6" s="140"/>
      <c r="E6" s="140"/>
      <c r="F6" s="141"/>
      <c r="G6" s="138" t="str">
        <f>' NotaPedido'!D5</f>
        <v>024 - Hospital Interzonal de Niños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5" customFormat="1" ht="18" customHeight="1" thickBot="1" x14ac:dyDescent="0.25">
      <c r="A7" s="139" t="s">
        <v>50</v>
      </c>
      <c r="B7" s="140"/>
      <c r="C7" s="140"/>
      <c r="D7" s="140"/>
      <c r="E7" s="140"/>
      <c r="F7" s="141"/>
      <c r="G7" s="138" t="s">
        <v>57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43" t="s">
        <v>29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6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001/2022,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45" t="s">
        <v>30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thickBot="1" x14ac:dyDescent="0.25">
      <c r="A13" s="146" t="s">
        <v>31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32</v>
      </c>
      <c r="P13" s="149"/>
      <c r="Q13" s="152" t="s">
        <v>33</v>
      </c>
    </row>
    <row r="14" spans="1:17" ht="15.75" customHeight="1" thickBot="1" x14ac:dyDescent="0.25">
      <c r="A14" s="59" t="s">
        <v>34</v>
      </c>
      <c r="B14" s="60" t="s">
        <v>35</v>
      </c>
      <c r="C14" s="60" t="s">
        <v>36</v>
      </c>
      <c r="D14" s="60" t="s">
        <v>37</v>
      </c>
      <c r="E14" s="60" t="s">
        <v>38</v>
      </c>
      <c r="F14" s="60" t="s">
        <v>39</v>
      </c>
      <c r="G14" s="61" t="s">
        <v>40</v>
      </c>
      <c r="H14" s="60" t="s">
        <v>41</v>
      </c>
      <c r="I14" s="60" t="s">
        <v>42</v>
      </c>
      <c r="J14" s="60" t="s">
        <v>43</v>
      </c>
      <c r="K14" s="60" t="s">
        <v>43</v>
      </c>
      <c r="L14" s="60" t="s">
        <v>44</v>
      </c>
      <c r="M14" s="62" t="s">
        <v>45</v>
      </c>
      <c r="N14" s="63" t="s">
        <v>46</v>
      </c>
      <c r="O14" s="150"/>
      <c r="P14" s="151"/>
      <c r="Q14" s="153"/>
    </row>
    <row r="15" spans="1:17" ht="26.25" customHeight="1" x14ac:dyDescent="0.2">
      <c r="A15" s="55">
        <v>36</v>
      </c>
      <c r="B15" s="56"/>
      <c r="C15" s="56"/>
      <c r="D15" s="56">
        <v>1</v>
      </c>
      <c r="E15" s="56"/>
      <c r="F15" s="56">
        <v>4901</v>
      </c>
      <c r="G15" s="56">
        <v>3</v>
      </c>
      <c r="H15" s="56">
        <v>310</v>
      </c>
      <c r="I15" s="56">
        <v>2</v>
      </c>
      <c r="J15" s="56">
        <v>5</v>
      </c>
      <c r="K15" s="56">
        <v>2</v>
      </c>
      <c r="L15" s="56"/>
      <c r="M15" s="57">
        <v>1</v>
      </c>
      <c r="N15" s="58" t="s">
        <v>53</v>
      </c>
      <c r="O15" s="154" t="s">
        <v>56</v>
      </c>
      <c r="P15" s="154"/>
      <c r="Q15" s="64">
        <v>3755098.5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5"/>
      <c r="O16" s="155"/>
      <c r="P16" s="156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56"/>
      <c r="P17" s="156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56"/>
      <c r="P18" s="156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62"/>
      <c r="P19" s="162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63"/>
      <c r="P20" s="163"/>
      <c r="Q20" s="24"/>
    </row>
    <row r="21" spans="1:18" ht="29.25" customHeight="1" x14ac:dyDescent="0.2">
      <c r="A21" s="164" t="s">
        <v>136</v>
      </c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25">
        <f>SUM(Q15:Q20)</f>
        <v>3755098.5</v>
      </c>
    </row>
    <row r="22" spans="1:18" ht="18" customHeight="1" thickBo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spans="1:18" ht="17.25" customHeight="1" thickBot="1" x14ac:dyDescent="0.25">
      <c r="A23" s="157" t="s">
        <v>47</v>
      </c>
      <c r="B23" s="158"/>
      <c r="C23" s="158"/>
      <c r="D23" s="158"/>
      <c r="E23" s="158"/>
      <c r="F23" s="159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8" ht="18" customHeight="1" thickBot="1" x14ac:dyDescent="0.25">
      <c r="A24" s="161" t="s">
        <v>83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8" ht="26.25" customHeight="1" x14ac:dyDescent="0.2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2021-11-08T15:16:26Z</cp:lastPrinted>
  <dcterms:created xsi:type="dcterms:W3CDTF">2020-07-17T23:44:49Z</dcterms:created>
  <dcterms:modified xsi:type="dcterms:W3CDTF">2022-01-20T16:10:00Z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