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ttps://d.docs.live.net/0287b163aa5a6824/Escritorio/Notas de solicitud CAU/"/>
    </mc:Choice>
  </mc:AlternateContent>
  <xr:revisionPtr revIDLastSave="8" documentId="8_{0191671A-A48A-41E4-A077-4C5CB5FB456F}" xr6:coauthVersionLast="47" xr6:coauthVersionMax="47" xr10:uidLastSave="{8D6B65CE-6194-4E5C-AB28-1D7CFE202353}"/>
  <bookViews>
    <workbookView xWindow="-120" yWindow="-120" windowWidth="20730" windowHeight="11160" xr2:uid="{00000000-000D-0000-FFFF-FFFF00000000}"/>
  </bookViews>
  <sheets>
    <sheet name="NECESIDADES TRIMESTRALES" sheetId="2" r:id="rId1"/>
    <sheet name="NOTA DE PEDIDO" sheetId="3" r:id="rId2"/>
    <sheet name="APG" sheetId="4" r:id="rId3"/>
  </sheets>
  <calcPr calcId="181029" iterateDelta="1E-4"/>
</workbook>
</file>

<file path=xl/calcChain.xml><?xml version="1.0" encoding="utf-8"?>
<calcChain xmlns="http://schemas.openxmlformats.org/spreadsheetml/2006/main">
  <c r="F17" i="3" l="1"/>
  <c r="H11" i="3"/>
  <c r="H12" i="3"/>
  <c r="H13" i="3"/>
  <c r="H14" i="3"/>
  <c r="H15" i="3"/>
  <c r="H16" i="3"/>
  <c r="I19" i="2"/>
  <c r="I18" i="2"/>
  <c r="D18" i="2"/>
  <c r="I17" i="2"/>
  <c r="I16" i="2"/>
  <c r="I15" i="2"/>
  <c r="I14" i="2"/>
  <c r="D14" i="2"/>
  <c r="I13" i="2"/>
  <c r="D13" i="2"/>
  <c r="Q19" i="4" l="1"/>
  <c r="H17" i="3"/>
</calcChain>
</file>

<file path=xl/sharedStrings.xml><?xml version="1.0" encoding="utf-8"?>
<sst xmlns="http://schemas.openxmlformats.org/spreadsheetml/2006/main" count="144" uniqueCount="90">
  <si>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</si>
  <si>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</si>
  <si>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</si>
  <si>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</si>
  <si>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</si>
  <si>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</si>
  <si>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</si>
  <si>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</si>
  <si>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</si>
  <si>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</si>
  <si>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</si>
  <si>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</si>
  <si>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</si>
  <si>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</si>
  <si>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SAF 9 - DIRECCION PROVINCIAL DE ADMINISTRACION DE LA SECRETARIA DE FINANZAS PUBLICAS</t>
  </si>
  <si>
    <t>30 - MINISTERIO DE HACIENDA PUBLICA</t>
  </si>
  <si>
    <t>CODIGO</t>
  </si>
  <si>
    <t>ADJUNTA DETALLE TECNICO</t>
  </si>
  <si>
    <t>NOTA DE PEDIDO</t>
  </si>
  <si>
    <t>Nº</t>
  </si>
  <si>
    <t>SI</t>
  </si>
  <si>
    <t>AUTORIZACION PARA GASTAR</t>
  </si>
  <si>
    <t>JURISDICCIÓN:</t>
  </si>
  <si>
    <t>30 - Ministerio de Hacienda Publica</t>
  </si>
  <si>
    <t>SAF:</t>
  </si>
  <si>
    <t>9 - Direccion Provincial de Administracion de la Secretaria de Finanzas Publicas</t>
  </si>
  <si>
    <t>UNIDAD EJECUTORA:</t>
  </si>
  <si>
    <t xml:space="preserve">DEPENDENCIA SOLICITANTE: </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</si>
  <si>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</si>
  <si>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</si>
  <si>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</si>
  <si>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</si>
  <si>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</si>
  <si>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</si>
  <si>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</si>
  <si>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</si>
  <si>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</si>
  <si>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</si>
  <si>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</si>
  <si>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</si>
  <si>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</si>
  <si>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</si>
  <si>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</si>
  <si>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</si>
  <si>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</si>
  <si>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</si>
  <si>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</si>
  <si>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</si>
  <si>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</si>
  <si>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OBSERVACIONES:</t>
  </si>
  <si>
    <t>UNIDAD EJECUTORA</t>
  </si>
  <si>
    <t>DEPENDENCIA SOLICITANTE</t>
  </si>
  <si>
    <t>TERCER TRIMESTRE 2021</t>
  </si>
  <si>
    <t>OBJETO</t>
  </si>
  <si>
    <t>UNIDAD</t>
  </si>
  <si>
    <t>Descripción técnica</t>
  </si>
  <si>
    <t>Especificidades Item N° 2:</t>
  </si>
  <si>
    <t>COSTO TOTAL ESTIMADO</t>
  </si>
  <si>
    <t>CENTRO DE ATENCION AL USUARIO - ESIDIF</t>
  </si>
  <si>
    <t>Plazos y lugares de entrega ( para todos los Items)</t>
  </si>
  <si>
    <t xml:space="preserve">El plazo de entrega  no podrá ser superior a los Treinta (30) días hábiles a partir de la fecha de recepción de la respectiva Orden de Compra en el domicilio especial electrónico constituido, en virtud del método de contratación. La entrega de dichos bienes se realizará en las oficinas del Centro de Ayuda a Usuarios, sito en calle Sarmiento 589, 5to piso, San Fernando del Valle de Catamarca..
</t>
  </si>
  <si>
    <t>2.3.1-6563.763</t>
  </si>
  <si>
    <t>LIBRERIA,PAP. Y UTILES OFICINA</t>
  </si>
  <si>
    <t>PAPELES EN HOJA; TIPO DE PAPEL: MULTIFUNCION, DIMENSION: 21 X 29,7 Cm, GRAMAJE: 80 GR/M2, PRESENTACION: ENVASE X 500 HOJAS, CERTIFICADO FORESTAL (GFS): SIN</t>
  </si>
  <si>
    <t>2.3.1-6563.936</t>
  </si>
  <si>
    <t>PAPELES EN HOJA; TIPO DE PAPEL: MULTIFUNCION, DIMENSION: 21,59 X 35,56 Cm, GRAMAJE: 80 GR, PRESENTACION: RESMA X 500 HOJAS, CERTIFICADO FORESTAL (GFS): SIN, PORC. FIBRAS RECICLADAS: 0 %, CERT. FIBRA ALTERNATIVA (FCA): SIN</t>
  </si>
  <si>
    <t>2.9.2-317.17</t>
  </si>
  <si>
    <t>2.9.2</t>
  </si>
  <si>
    <t>BOLIGRAFOS; TRAZO: GRUESO, COLOR TINTA: NEGRO</t>
  </si>
  <si>
    <t>CAJA</t>
  </si>
  <si>
    <t>2.9.2-700.2</t>
  </si>
  <si>
    <t>BROCHES P/ABROCHADORA; NUMERO: 21/6, PRESENTACION: CAJA X 1000 UNIDADES</t>
  </si>
  <si>
    <t>2.9.2-700.28</t>
  </si>
  <si>
    <t>BROCHES P/ABROCHADORA; NUMERO: 10/50, PRESENTACION: CAJA X 1000 UNIDADES</t>
  </si>
  <si>
    <t>2.9.2-1062.12</t>
  </si>
  <si>
    <t>PAPELES ANOTADOR AUTOADHESIVOS; PRESENTACION: 100 HOJAS, LARGO X ANCHO: 76 X 76 mm</t>
  </si>
  <si>
    <t>Costo total estimado Rubro: LIBRERÍA, PAP. Y UTILES OFICINA</t>
  </si>
  <si>
    <t>Especificidades Item N° 1:</t>
  </si>
  <si>
    <t>Papel - tamaño A4 - 80g - resmas por 500 hojas</t>
  </si>
  <si>
    <t>Papel - tamaño Oficio - 80g - resmas por 500 hojas</t>
  </si>
  <si>
    <t>Especificidades Item N°6:</t>
  </si>
  <si>
    <t xml:space="preserve">Notas autoadhesivas - 76x76mm aprox - preferentemente amarillas (no excluyente) </t>
  </si>
  <si>
    <t>02/2021</t>
  </si>
  <si>
    <t>Autorizo la realización de los  trámites correspondientes, a fin de proveer a  este Organismo los bienes y/o servicios que se detallan en Nota  de Pedido N° 02/2021,  afectando la erogación resultante a los créditos presupuestarios aprobados a favor de esta Unidad Ejecutora, conforme al siguiente detalle.</t>
  </si>
  <si>
    <t xml:space="preserve">Utiles de Escritorio, Oficina y Enseñanza. </t>
  </si>
  <si>
    <t>Papel de Escritorio y Cartón.</t>
  </si>
  <si>
    <t>Adquisicion de elementos de librería</t>
  </si>
  <si>
    <t>TOTAL DE PESOS: TRECE MIL CUATROCIENTOS CON 00/100</t>
  </si>
  <si>
    <t>NO</t>
  </si>
  <si>
    <t>PESOS TRECE MIL CUATROCIENTOS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</si>
</sst>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quot;€&quot;_-;\-* #,##0.00\ &quot;€&quot;_-;_-* &quot;-&quot;??\ &quot;€&quot;_-;_-@_-"/>
    <numFmt numFmtId="165" formatCode="&quot;$&quot;\ #,##0.00"/>
    <numFmt numFmtId="166" formatCode="_-[$$-2C0A]\ * #,##0.00_-;\-[$$-2C0A]\ * #,##0.00_-;_-[$$-2C0A]\ * &quot;-&quot;??_-;_-@"/>
    <numFmt numFmtId="167" formatCode="[$$-2C0A]\ #,##0.00"/>
    <numFmt numFmtId="168" formatCode="dd\-mm\-yy;@"/>
    <numFmt numFmtId="169" formatCode="_(\$* #,##0.00_);_(\$* \(#,##0.00\);_(\$* \-??_);_(@_)"/>
    <numFmt numFmtId="170" formatCode="[$$-2C0A]\ #,##0.00;[$$-2C0A]&quot; -&quot;#,##0.00"/>
  </numFmts>
  <fonts count="33" x14ac:knownFonts="1">
    <font>
      <sz val="10"/>
      <color rgb="FF000000"/>
      <name val="Arial"/>
    </font>
    <font>
      <sz val="10"/>
      <name val="Times New Roman"/>
      <family val="1"/>
    </font>
    <font>
      <sz val="11"/>
      <name val="Times New Roman"/>
      <family val="1"/>
    </font>
    <font>
      <b/>
      <sz val="11"/>
      <color rgb="FF333333"/>
      <name val="Arial"/>
      <family val="2"/>
    </font>
    <font>
      <sz val="10"/>
      <name val="Arial"/>
      <family val="2"/>
    </font>
    <font>
      <sz val="11"/>
      <color rgb="FF333333"/>
      <name val="Arial"/>
      <family val="2"/>
    </font>
    <font>
      <sz val="11"/>
      <name val="Arial"/>
      <family val="2"/>
    </font>
    <font>
      <b/>
      <sz val="11"/>
      <name val="Arial"/>
      <family val="2"/>
    </font>
    <font>
      <sz val="12"/>
      <name val="Times New Roman"/>
      <family val="1"/>
    </font>
    <font>
      <sz val="11"/>
      <color rgb="FF000000"/>
      <name val="Arial"/>
      <family val="2"/>
    </font>
    <font>
      <b/>
      <u/>
      <sz val="22"/>
      <name val="Times New Roman"/>
      <family val="1"/>
    </font>
    <font>
      <sz val="10"/>
      <color rgb="FF000000"/>
      <name val="Arial"/>
      <family val="2"/>
    </font>
    <font>
      <sz val="10"/>
      <color rgb="FF000000"/>
      <name val="Arial"/>
      <family val="2"/>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b/>
      <u/>
      <sz val="18"/>
      <name val="Arial"/>
      <family val="2"/>
    </font>
    <font>
      <b/>
      <sz val="14"/>
      <name val="Arial"/>
      <family val="2"/>
    </font>
    <font>
      <sz val="14"/>
      <color rgb="FF000000"/>
      <name val="Arial"/>
      <family val="2"/>
    </font>
    <font>
      <u/>
      <sz val="12"/>
      <name val="Times New Roman"/>
      <family val="1"/>
    </font>
    <font>
      <sz val="10"/>
      <color theme="0"/>
      <name val="Arial"/>
      <family val="2"/>
    </font>
    <font>
      <b/>
      <sz val="10"/>
      <color rgb="FF000000"/>
      <name val="Arial"/>
      <family val="2"/>
    </font>
    <font>
      <b/>
      <sz val="10"/>
      <color theme="1"/>
      <name val="Arial"/>
      <family val="2"/>
    </font>
    <font>
      <u/>
      <sz val="10"/>
      <color rgb="FF000000"/>
      <name val="Arial"/>
      <family val="2"/>
    </font>
    <font>
      <b/>
      <sz val="10"/>
      <color rgb="FF333333"/>
      <name val="Arial"/>
      <family val="2"/>
    </font>
    <font>
      <sz val="10"/>
      <color rgb="FF333333"/>
      <name val="Arial"/>
      <family val="2"/>
    </font>
    <font>
      <b/>
      <sz val="10"/>
      <name val="Arial"/>
      <family val="2"/>
    </font>
    <font>
      <u/>
      <sz val="13"/>
      <name val="Times New Roman"/>
      <family val="1"/>
    </font>
    <font>
      <sz val="13"/>
      <name val="Times New Roman"/>
      <family val="1"/>
    </font>
  </fonts>
  <fills count="9">
    <fill>
      <patternFill patternType="none"/>
    </fill>
    <fill>
      <patternFill patternType="gray125"/>
    </fill>
    <fill>
      <patternFill patternType="solid">
        <fgColor rgb="FFCCFFFF"/>
        <bgColor rgb="FFCCFFFF"/>
      </patternFill>
    </fill>
    <fill>
      <patternFill patternType="solid">
        <fgColor theme="6" tint="0.59999389629810485"/>
        <bgColor rgb="FFC0C0C0"/>
      </patternFill>
    </fill>
    <fill>
      <patternFill patternType="solid">
        <fgColor theme="6" tint="0.59999389629810485"/>
        <bgColor indexed="64"/>
      </patternFill>
    </fill>
    <fill>
      <patternFill patternType="solid">
        <fgColor theme="8" tint="0.79998168889431442"/>
        <bgColor rgb="FFCCFFFF"/>
      </patternFill>
    </fill>
    <fill>
      <patternFill patternType="solid">
        <fgColor theme="9" tint="0.79998168889431442"/>
        <bgColor indexed="64"/>
      </patternFill>
    </fill>
    <fill>
      <patternFill patternType="solid">
        <fgColor theme="9" tint="0.79998168889431442"/>
        <bgColor rgb="FFC0C0C0"/>
      </patternFill>
    </fill>
    <fill>
      <patternFill patternType="solid">
        <fgColor theme="0"/>
        <bgColor rgb="FFFFFF00"/>
      </patternFill>
    </fill>
  </fills>
  <borders count="68">
    <border>
      <left/>
      <right/>
      <top/>
      <bottom/>
      <diagonal/>
    </border>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rgb="FF3D3D3D"/>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right style="medium">
        <color rgb="FF3D3D3D"/>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top style="thin">
        <color indexed="64"/>
      </top>
      <bottom style="thin">
        <color rgb="FF3D3D3D"/>
      </bottom>
      <diagonal/>
    </border>
    <border>
      <left/>
      <right style="thin">
        <color rgb="FF3D3D3D"/>
      </right>
      <top style="thin">
        <color indexed="64"/>
      </top>
      <bottom style="thin">
        <color rgb="FF3D3D3D"/>
      </bottom>
      <diagonal/>
    </border>
    <border>
      <left style="thin">
        <color rgb="FF3D3D3D"/>
      </left>
      <right style="medium">
        <color rgb="FF3D3D3D"/>
      </right>
      <top style="thin">
        <color indexed="64"/>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medium">
        <color rgb="FF3D3D3D"/>
      </left>
      <right style="medium">
        <color auto="1"/>
      </right>
      <top style="medium">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indexed="64"/>
      </top>
      <bottom style="thin">
        <color rgb="FF000000"/>
      </bottom>
      <diagonal/>
    </border>
    <border>
      <left style="medium">
        <color auto="1"/>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top style="thin">
        <color indexed="64"/>
      </top>
      <bottom/>
      <diagonal/>
    </border>
    <border>
      <left/>
      <right style="thin">
        <color rgb="FF3D3D3D"/>
      </right>
      <top style="thin">
        <color indexed="64"/>
      </top>
      <bottom/>
      <diagonal/>
    </border>
    <border>
      <left style="thin">
        <color rgb="FF3D3D3D"/>
      </left>
      <right style="medium">
        <color rgb="FF3D3D3D"/>
      </right>
      <top style="thin">
        <color indexed="64"/>
      </top>
      <bottom/>
      <diagonal/>
    </border>
    <border>
      <left style="medium">
        <color auto="1"/>
      </left>
      <right style="thin">
        <color rgb="FF3D3D3D"/>
      </right>
      <top style="thin">
        <color auto="1"/>
      </top>
      <bottom style="thin">
        <color rgb="FF3D3D3D"/>
      </bottom>
      <diagonal/>
    </border>
    <border>
      <left style="thin">
        <color rgb="FF3D3D3D"/>
      </left>
      <right style="thin">
        <color rgb="FF3D3D3D"/>
      </right>
      <top style="thin">
        <color auto="1"/>
      </top>
      <bottom style="thin">
        <color rgb="FF3D3D3D"/>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ck">
        <color rgb="FF000000"/>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s>
  <cellStyleXfs count="3">
    <xf numFmtId="0" fontId="0" fillId="0" borderId="0"/>
    <xf numFmtId="164" fontId="12" fillId="0" borderId="0" applyFont="0" applyFill="0" applyBorder="0" applyAlignment="0" applyProtection="0"/>
    <xf numFmtId="169" fontId="15" fillId="0" borderId="1" applyBorder="0" applyProtection="0"/>
  </cellStyleXfs>
  <cellXfs count="194">
    <xf numFmtId="0" fontId="0" fillId="0" borderId="0" xfId="0" applyFont="1" applyAlignment="1"/>
    <xf numFmtId="0" fontId="1" fillId="0" borderId="0" xfId="0" applyFont="1" applyAlignment="1">
      <alignment vertical="center"/>
    </xf>
    <xf numFmtId="0" fontId="2" fillId="0" borderId="0" xfId="0" applyFont="1" applyAlignment="1">
      <alignment vertical="center"/>
    </xf>
    <xf numFmtId="0" fontId="0" fillId="0" borderId="0" xfId="0" applyFont="1" applyAlignment="1">
      <alignment vertical="center"/>
    </xf>
    <xf numFmtId="0" fontId="9" fillId="0" borderId="0" xfId="0" applyFont="1" applyAlignment="1">
      <alignment vertical="center"/>
    </xf>
    <xf numFmtId="0" fontId="3" fillId="3" borderId="1" xfId="0" applyFont="1" applyFill="1" applyBorder="1" applyAlignment="1">
      <alignment horizontal="center" vertical="center" wrapText="1"/>
    </xf>
    <xf numFmtId="0" fontId="1" fillId="0" borderId="1" xfId="0" applyFont="1" applyBorder="1" applyAlignment="1">
      <alignment vertical="center"/>
    </xf>
    <xf numFmtId="0" fontId="0" fillId="0" borderId="0" xfId="0" applyFont="1" applyAlignment="1">
      <alignment horizontal="center" vertical="center"/>
    </xf>
    <xf numFmtId="0" fontId="3" fillId="3" borderId="1" xfId="0" applyFont="1" applyFill="1" applyBorder="1" applyAlignment="1">
      <alignment horizontal="left" vertical="center" wrapText="1"/>
    </xf>
    <xf numFmtId="0" fontId="3" fillId="5" borderId="3" xfId="0" applyFont="1" applyFill="1" applyBorder="1" applyAlignment="1">
      <alignment horizontal="center" vertical="center" wrapText="1"/>
    </xf>
    <xf numFmtId="165" fontId="3" fillId="5" borderId="3" xfId="0" applyNumberFormat="1" applyFont="1" applyFill="1" applyBorder="1" applyAlignment="1">
      <alignment horizontal="center" vertical="center" wrapText="1"/>
    </xf>
    <xf numFmtId="0" fontId="1" fillId="0" borderId="6" xfId="0" applyFont="1" applyBorder="1" applyAlignment="1">
      <alignment vertical="center"/>
    </xf>
    <xf numFmtId="0" fontId="1" fillId="0" borderId="7" xfId="0" applyFont="1" applyBorder="1" applyAlignment="1">
      <alignment horizontal="center" vertical="center"/>
    </xf>
    <xf numFmtId="0" fontId="2" fillId="0" borderId="7" xfId="0" applyFont="1" applyBorder="1" applyAlignment="1">
      <alignment horizontal="left" vertical="center"/>
    </xf>
    <xf numFmtId="0" fontId="1" fillId="0" borderId="13" xfId="0" applyFont="1" applyBorder="1" applyAlignment="1">
      <alignment vertical="center"/>
    </xf>
    <xf numFmtId="0" fontId="5" fillId="4" borderId="10" xfId="0" applyFont="1" applyFill="1" applyBorder="1" applyAlignment="1">
      <alignment horizontal="left" vertical="center" wrapText="1"/>
    </xf>
    <xf numFmtId="0" fontId="5" fillId="4" borderId="12" xfId="0" applyFont="1" applyFill="1" applyBorder="1" applyAlignment="1">
      <alignment horizontal="left" vertical="center" wrapText="1"/>
    </xf>
    <xf numFmtId="3" fontId="13" fillId="0" borderId="1" xfId="0" applyNumberFormat="1" applyFont="1" applyBorder="1"/>
    <xf numFmtId="168" fontId="0" fillId="0" borderId="0" xfId="0" applyNumberFormat="1" applyAlignment="1">
      <alignment horizontal="left"/>
    </xf>
    <xf numFmtId="0" fontId="0" fillId="0" borderId="0" xfId="0"/>
    <xf numFmtId="0" fontId="0" fillId="0" borderId="0" xfId="0" applyAlignment="1">
      <alignment horizontal="left"/>
    </xf>
    <xf numFmtId="0" fontId="15" fillId="0" borderId="0" xfId="0" applyFont="1"/>
    <xf numFmtId="0" fontId="0" fillId="0" borderId="1" xfId="0" applyBorder="1"/>
    <xf numFmtId="0" fontId="0" fillId="0" borderId="19" xfId="0" applyBorder="1"/>
    <xf numFmtId="0" fontId="0" fillId="0" borderId="21" xfId="0" applyBorder="1"/>
    <xf numFmtId="0" fontId="0" fillId="0" borderId="22" xfId="0" applyBorder="1"/>
    <xf numFmtId="0" fontId="0" fillId="0" borderId="22" xfId="0" applyBorder="1" applyAlignment="1">
      <alignment horizontal="left"/>
    </xf>
    <xf numFmtId="0" fontId="0" fillId="0" borderId="23" xfId="0" applyBorder="1"/>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19" fillId="0" borderId="27" xfId="0" applyFont="1" applyBorder="1" applyAlignment="1">
      <alignment horizontal="left" vertical="center"/>
    </xf>
    <xf numFmtId="0" fontId="19" fillId="0" borderId="28" xfId="0" applyFont="1" applyBorder="1" applyAlignment="1">
      <alignment horizontal="center" vertical="center"/>
    </xf>
    <xf numFmtId="0" fontId="19" fillId="0" borderId="20" xfId="0" applyFont="1" applyBorder="1" applyAlignment="1">
      <alignment horizontal="center" vertical="center"/>
    </xf>
    <xf numFmtId="0" fontId="0" fillId="0" borderId="35" xfId="0" applyBorder="1" applyAlignment="1">
      <alignment horizontal="center" vertical="center"/>
    </xf>
    <xf numFmtId="170" fontId="0" fillId="0" borderId="36" xfId="2" applyNumberFormat="1" applyFont="1" applyBorder="1" applyAlignment="1" applyProtection="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16" fillId="0" borderId="34" xfId="0" applyFont="1" applyBorder="1" applyAlignment="1">
      <alignment horizontal="center" vertical="center"/>
    </xf>
    <xf numFmtId="0" fontId="16" fillId="0" borderId="35"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70" fontId="0" fillId="0" borderId="40" xfId="2" applyNumberFormat="1" applyFont="1" applyBorder="1" applyAlignment="1" applyProtection="1">
      <alignment horizontal="center" vertical="center"/>
    </xf>
    <xf numFmtId="170" fontId="19" fillId="0" borderId="41" xfId="0" applyNumberFormat="1" applyFont="1" applyBorder="1" applyAlignment="1">
      <alignment horizontal="center" vertical="center"/>
    </xf>
    <xf numFmtId="0" fontId="11" fillId="0" borderId="11" xfId="0" applyFont="1" applyBorder="1" applyAlignment="1">
      <alignment vertical="center"/>
    </xf>
    <xf numFmtId="0" fontId="11" fillId="0" borderId="1" xfId="0" applyFont="1" applyBorder="1" applyAlignment="1">
      <alignment horizontal="center" vertical="center"/>
    </xf>
    <xf numFmtId="0" fontId="11" fillId="0" borderId="1" xfId="0" applyFont="1" applyBorder="1" applyAlignment="1">
      <alignment vertical="center"/>
    </xf>
    <xf numFmtId="0" fontId="11" fillId="0" borderId="12" xfId="0" applyFont="1" applyBorder="1" applyAlignment="1">
      <alignment vertical="center"/>
    </xf>
    <xf numFmtId="49" fontId="21" fillId="0" borderId="10" xfId="0" applyNumberFormat="1" applyFont="1" applyBorder="1" applyAlignment="1">
      <alignment vertical="center"/>
    </xf>
    <xf numFmtId="0" fontId="22" fillId="0" borderId="9" xfId="0" applyFont="1" applyBorder="1" applyAlignment="1">
      <alignment horizontal="right" vertical="center"/>
    </xf>
    <xf numFmtId="0" fontId="8" fillId="0" borderId="0" xfId="0" applyFont="1"/>
    <xf numFmtId="0" fontId="23" fillId="0" borderId="44" xfId="0" applyFont="1" applyBorder="1"/>
    <xf numFmtId="0" fontId="8" fillId="0" borderId="45" xfId="0" applyFont="1" applyBorder="1"/>
    <xf numFmtId="0" fontId="8" fillId="0" borderId="46" xfId="0" applyFont="1" applyBorder="1"/>
    <xf numFmtId="0" fontId="8" fillId="0" borderId="2" xfId="0" applyFont="1" applyBorder="1"/>
    <xf numFmtId="0" fontId="8" fillId="0" borderId="47" xfId="0" applyFont="1" applyBorder="1"/>
    <xf numFmtId="0" fontId="23" fillId="0" borderId="2" xfId="0" applyFont="1" applyBorder="1" applyAlignment="1">
      <alignment horizontal="left" indent="3"/>
    </xf>
    <xf numFmtId="0" fontId="8" fillId="0" borderId="48" xfId="0" applyFont="1" applyBorder="1" applyAlignment="1">
      <alignment horizontal="left" indent="3"/>
    </xf>
    <xf numFmtId="0" fontId="8" fillId="0" borderId="49" xfId="0" applyFont="1" applyBorder="1"/>
    <xf numFmtId="0" fontId="8" fillId="0" borderId="50" xfId="0" applyFont="1" applyBorder="1"/>
    <xf numFmtId="0" fontId="6" fillId="0" borderId="51" xfId="0" applyFont="1" applyBorder="1" applyAlignment="1">
      <alignment horizontal="center" vertical="center" wrapText="1"/>
    </xf>
    <xf numFmtId="4" fontId="24" fillId="0" borderId="0" xfId="0" applyNumberFormat="1" applyFont="1" applyAlignment="1">
      <alignment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4" fillId="0" borderId="53" xfId="0" applyFont="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29" xfId="0" applyBorder="1" applyAlignment="1">
      <alignment horizontal="center" vertical="center"/>
    </xf>
    <xf numFmtId="0" fontId="4" fillId="0" borderId="59" xfId="0" applyFont="1" applyBorder="1" applyAlignment="1">
      <alignment horizontal="center" vertical="center"/>
    </xf>
    <xf numFmtId="167" fontId="12" fillId="0" borderId="57" xfId="1" applyNumberFormat="1" applyBorder="1" applyAlignment="1" applyProtection="1">
      <alignment horizontal="right"/>
    </xf>
    <xf numFmtId="167" fontId="0" fillId="0" borderId="31" xfId="2" applyNumberFormat="1" applyFont="1" applyBorder="1" applyAlignment="1" applyProtection="1">
      <alignment horizontal="right" vertical="center"/>
    </xf>
    <xf numFmtId="0" fontId="6" fillId="7" borderId="60" xfId="0" applyFont="1" applyFill="1" applyBorder="1" applyAlignment="1">
      <alignment horizontal="center" vertical="center"/>
    </xf>
    <xf numFmtId="0" fontId="0" fillId="0" borderId="61" xfId="0" applyBorder="1" applyAlignment="1">
      <alignment vertical="center"/>
    </xf>
    <xf numFmtId="0" fontId="25" fillId="0" borderId="62" xfId="0" applyFont="1" applyBorder="1" applyAlignment="1">
      <alignment horizontal="center" vertical="center"/>
    </xf>
    <xf numFmtId="0" fontId="0" fillId="0" borderId="0" xfId="0" applyAlignment="1">
      <alignment vertical="center"/>
    </xf>
    <xf numFmtId="0" fontId="0" fillId="0" borderId="0" xfId="0" applyAlignment="1">
      <alignment horizontal="center"/>
    </xf>
    <xf numFmtId="0" fontId="1" fillId="0" borderId="45" xfId="0" applyFont="1" applyBorder="1" applyAlignment="1">
      <alignment horizontal="center" vertical="center"/>
    </xf>
    <xf numFmtId="0" fontId="1" fillId="0" borderId="45" xfId="0" applyFont="1" applyBorder="1" applyAlignment="1">
      <alignment horizontal="center"/>
    </xf>
    <xf numFmtId="0" fontId="2" fillId="0" borderId="45" xfId="0" applyFont="1" applyBorder="1" applyAlignment="1">
      <alignment horizontal="left" vertical="top"/>
    </xf>
    <xf numFmtId="0" fontId="1" fillId="0" borderId="45" xfId="0" applyFont="1" applyBorder="1"/>
    <xf numFmtId="165" fontId="1" fillId="0" borderId="45" xfId="0" applyNumberFormat="1" applyFont="1" applyBorder="1" applyAlignment="1">
      <alignment horizontal="center"/>
    </xf>
    <xf numFmtId="0" fontId="1" fillId="0" borderId="46" xfId="0" applyFont="1" applyBorder="1"/>
    <xf numFmtId="0" fontId="1" fillId="0" borderId="0" xfId="0" applyFont="1"/>
    <xf numFmtId="0" fontId="1" fillId="0" borderId="47" xfId="0" applyFont="1" applyBorder="1"/>
    <xf numFmtId="0" fontId="1" fillId="0" borderId="49" xfId="0" applyFont="1" applyBorder="1" applyAlignment="1">
      <alignment horizontal="center" vertical="center"/>
    </xf>
    <xf numFmtId="0" fontId="1" fillId="0" borderId="49" xfId="0" applyFont="1" applyBorder="1" applyAlignment="1">
      <alignment horizontal="center"/>
    </xf>
    <xf numFmtId="0" fontId="2" fillId="0" borderId="49" xfId="0" applyFont="1" applyBorder="1" applyAlignment="1">
      <alignment horizontal="left" vertical="top"/>
    </xf>
    <xf numFmtId="0" fontId="1" fillId="0" borderId="49" xfId="0" applyFont="1" applyBorder="1"/>
    <xf numFmtId="165" fontId="1" fillId="0" borderId="49" xfId="0" applyNumberFormat="1" applyFont="1" applyBorder="1" applyAlignment="1">
      <alignment horizontal="center"/>
    </xf>
    <xf numFmtId="0" fontId="1" fillId="0" borderId="50" xfId="0" applyFont="1" applyBorder="1"/>
    <xf numFmtId="0" fontId="6" fillId="4" borderId="47" xfId="0" applyFont="1" applyFill="1" applyBorder="1"/>
    <xf numFmtId="0" fontId="6" fillId="4" borderId="50" xfId="0" applyFont="1" applyFill="1" applyBorder="1"/>
    <xf numFmtId="0" fontId="28" fillId="5" borderId="3" xfId="0" applyFont="1" applyFill="1" applyBorder="1" applyAlignment="1">
      <alignment horizontal="center" vertical="center" wrapText="1"/>
    </xf>
    <xf numFmtId="165" fontId="28" fillId="5" borderId="3" xfId="0" applyNumberFormat="1" applyFont="1" applyFill="1" applyBorder="1" applyAlignment="1">
      <alignment horizontal="center" vertical="center" wrapText="1"/>
    </xf>
    <xf numFmtId="0" fontId="3" fillId="5" borderId="64" xfId="0" applyFont="1" applyFill="1" applyBorder="1" applyAlignment="1">
      <alignment horizontal="center" vertical="center" wrapText="1"/>
    </xf>
    <xf numFmtId="0" fontId="4" fillId="7" borderId="3" xfId="0" applyFont="1" applyFill="1" applyBorder="1" applyAlignment="1">
      <alignment horizontal="center" vertical="center"/>
    </xf>
    <xf numFmtId="0" fontId="4" fillId="0" borderId="3" xfId="0" applyFont="1" applyBorder="1" applyAlignment="1">
      <alignment horizontal="center" vertical="center"/>
    </xf>
    <xf numFmtId="0" fontId="29" fillId="0" borderId="3" xfId="0" applyFont="1" applyBorder="1" applyAlignment="1">
      <alignment horizontal="center" vertical="center" wrapText="1"/>
    </xf>
    <xf numFmtId="0" fontId="4" fillId="0" borderId="3" xfId="0" applyFont="1" applyBorder="1" applyAlignment="1">
      <alignment horizontal="center" vertical="center" wrapText="1"/>
    </xf>
    <xf numFmtId="167" fontId="1" fillId="0" borderId="0" xfId="0" applyNumberFormat="1" applyFont="1" applyAlignment="1">
      <alignment horizontal="center" vertical="center"/>
    </xf>
    <xf numFmtId="0" fontId="31" fillId="0" borderId="44" xfId="0" applyFont="1" applyBorder="1" applyAlignment="1">
      <alignment horizontal="left"/>
    </xf>
    <xf numFmtId="0" fontId="32" fillId="0" borderId="45" xfId="0" applyFont="1" applyBorder="1"/>
    <xf numFmtId="0" fontId="8" fillId="8" borderId="0" xfId="0" applyFont="1" applyFill="1" applyAlignment="1">
      <alignment horizontal="left" vertical="center" wrapText="1"/>
    </xf>
    <xf numFmtId="0" fontId="8" fillId="8" borderId="47" xfId="0" applyFont="1" applyFill="1" applyBorder="1" applyAlignment="1">
      <alignment horizontal="left" vertical="center" wrapText="1"/>
    </xf>
    <xf numFmtId="0" fontId="1" fillId="0" borderId="44" xfId="0" applyFont="1" applyBorder="1" applyAlignment="1">
      <alignment vertical="center"/>
    </xf>
    <xf numFmtId="0" fontId="1" fillId="0" borderId="2" xfId="0" applyFont="1" applyBorder="1" applyAlignment="1">
      <alignment vertical="center"/>
    </xf>
    <xf numFmtId="0" fontId="1" fillId="0" borderId="48" xfId="0" applyFont="1" applyBorder="1" applyAlignment="1">
      <alignment vertical="center"/>
    </xf>
    <xf numFmtId="0" fontId="5" fillId="4" borderId="0" xfId="0" applyFont="1" applyFill="1" applyAlignment="1">
      <alignment horizontal="left" wrapText="1"/>
    </xf>
    <xf numFmtId="0" fontId="5" fillId="4" borderId="0" xfId="0" applyFont="1" applyFill="1" applyAlignment="1">
      <alignment horizontal="center" wrapText="1"/>
    </xf>
    <xf numFmtId="165" fontId="5" fillId="4" borderId="0" xfId="0" applyNumberFormat="1" applyFont="1" applyFill="1" applyAlignment="1">
      <alignment horizontal="center" wrapText="1"/>
    </xf>
    <xf numFmtId="0" fontId="3" fillId="3" borderId="0" xfId="0" applyFont="1" applyFill="1" applyAlignment="1">
      <alignment horizontal="left" wrapText="1"/>
    </xf>
    <xf numFmtId="0" fontId="3" fillId="3" borderId="0" xfId="0" applyFont="1" applyFill="1" applyAlignment="1">
      <alignment horizontal="center" wrapText="1"/>
    </xf>
    <xf numFmtId="0" fontId="3" fillId="3" borderId="0" xfId="0" applyFont="1" applyFill="1" applyAlignment="1">
      <alignment horizontal="left" vertical="top" wrapText="1"/>
    </xf>
    <xf numFmtId="0" fontId="6" fillId="0" borderId="2" xfId="0" applyFont="1" applyBorder="1" applyAlignment="1">
      <alignment vertical="center"/>
    </xf>
    <xf numFmtId="0" fontId="5" fillId="0" borderId="0" xfId="0" applyFont="1" applyAlignment="1">
      <alignment horizontal="center" vertical="center" wrapText="1"/>
    </xf>
    <xf numFmtId="0" fontId="5" fillId="4" borderId="0" xfId="0" applyFont="1" applyFill="1" applyAlignment="1">
      <alignment horizontal="left" vertical="top" wrapText="1"/>
    </xf>
    <xf numFmtId="0" fontId="30" fillId="0" borderId="3" xfId="0" applyFont="1" applyBorder="1" applyAlignment="1">
      <alignment horizontal="center" vertical="center"/>
    </xf>
    <xf numFmtId="165" fontId="30" fillId="0" borderId="3" xfId="0" applyNumberFormat="1" applyFont="1" applyBorder="1" applyAlignment="1">
      <alignment horizontal="center" vertical="center"/>
    </xf>
    <xf numFmtId="166" fontId="7" fillId="6" borderId="63" xfId="0" applyNumberFormat="1" applyFont="1" applyFill="1" applyBorder="1" applyAlignment="1">
      <alignment vertical="center"/>
    </xf>
    <xf numFmtId="0" fontId="30" fillId="0" borderId="3" xfId="0" applyFont="1" applyBorder="1" applyAlignment="1">
      <alignment horizontal="center" vertical="center" wrapText="1"/>
    </xf>
    <xf numFmtId="166" fontId="7" fillId="2" borderId="63" xfId="0" applyNumberFormat="1" applyFont="1" applyFill="1" applyBorder="1"/>
    <xf numFmtId="165" fontId="1" fillId="0" borderId="0" xfId="0" applyNumberFormat="1" applyFont="1" applyAlignment="1">
      <alignment horizontal="center"/>
    </xf>
    <xf numFmtId="166" fontId="8" fillId="0" borderId="0" xfId="0" applyNumberFormat="1" applyFont="1"/>
    <xf numFmtId="0" fontId="23" fillId="0" borderId="65" xfId="0" applyFont="1" applyBorder="1" applyAlignment="1">
      <alignment horizontal="left" indent="3"/>
    </xf>
    <xf numFmtId="0" fontId="8" fillId="8" borderId="0" xfId="0" applyFont="1" applyFill="1" applyAlignment="1">
      <alignment horizontal="left" wrapText="1"/>
    </xf>
    <xf numFmtId="0" fontId="8" fillId="8" borderId="0" xfId="0" applyFont="1" applyFill="1" applyAlignment="1">
      <alignment horizontal="left"/>
    </xf>
    <xf numFmtId="0" fontId="8" fillId="8" borderId="47" xfId="0" applyFont="1" applyFill="1" applyBorder="1" applyAlignment="1">
      <alignment horizontal="left"/>
    </xf>
    <xf numFmtId="0" fontId="8" fillId="8" borderId="0" xfId="0" applyFont="1" applyFill="1" applyAlignment="1">
      <alignment horizontal="left" vertical="center" wrapText="1"/>
    </xf>
    <xf numFmtId="0" fontId="8" fillId="8" borderId="47" xfId="0" applyFont="1" applyFill="1" applyBorder="1" applyAlignment="1">
      <alignment horizontal="left" vertical="center" wrapText="1"/>
    </xf>
    <xf numFmtId="0" fontId="3" fillId="0" borderId="2" xfId="0" applyFont="1" applyBorder="1" applyAlignment="1">
      <alignment horizontal="left" vertical="center" wrapText="1"/>
    </xf>
    <xf numFmtId="0" fontId="0" fillId="0" borderId="0" xfId="0"/>
    <xf numFmtId="0" fontId="30" fillId="2" borderId="3" xfId="0" applyFont="1" applyFill="1" applyBorder="1" applyAlignment="1">
      <alignment horizontal="center" vertical="center" wrapText="1"/>
    </xf>
    <xf numFmtId="0" fontId="8" fillId="0" borderId="2" xfId="0" applyFont="1" applyBorder="1" applyAlignment="1">
      <alignment horizontal="left" wrapText="1"/>
    </xf>
    <xf numFmtId="0" fontId="8" fillId="0" borderId="0" xfId="0" applyFont="1" applyAlignment="1">
      <alignment horizontal="left" wrapText="1"/>
    </xf>
    <xf numFmtId="0" fontId="8" fillId="0" borderId="47" xfId="0" applyFont="1" applyBorder="1" applyAlignment="1">
      <alignment horizontal="left" wrapText="1"/>
    </xf>
    <xf numFmtId="0" fontId="8" fillId="0" borderId="48" xfId="0" applyFont="1" applyBorder="1" applyAlignment="1">
      <alignment horizontal="left" wrapText="1"/>
    </xf>
    <xf numFmtId="0" fontId="8" fillId="0" borderId="49" xfId="0" applyFont="1" applyBorder="1" applyAlignment="1">
      <alignment horizontal="left" wrapText="1"/>
    </xf>
    <xf numFmtId="0" fontId="8" fillId="0" borderId="50" xfId="0" applyFont="1" applyBorder="1" applyAlignment="1">
      <alignment horizontal="left" wrapText="1"/>
    </xf>
    <xf numFmtId="0" fontId="8" fillId="8" borderId="7" xfId="0" applyFont="1" applyFill="1" applyBorder="1" applyAlignment="1">
      <alignment horizontal="left" wrapText="1"/>
    </xf>
    <xf numFmtId="0" fontId="8" fillId="8" borderId="66" xfId="0" applyFont="1" applyFill="1" applyBorder="1" applyAlignment="1">
      <alignment horizontal="left" wrapText="1"/>
    </xf>
    <xf numFmtId="0" fontId="10" fillId="0" borderId="0" xfId="0" applyFont="1" applyAlignment="1">
      <alignment horizontal="center"/>
    </xf>
    <xf numFmtId="0" fontId="27" fillId="0" borderId="0" xfId="0" applyFont="1"/>
    <xf numFmtId="0" fontId="3" fillId="3" borderId="0" xfId="0" applyFont="1" applyFill="1" applyAlignment="1">
      <alignment horizontal="left" wrapText="1"/>
    </xf>
    <xf numFmtId="0" fontId="4" fillId="4" borderId="0" xfId="0" applyFont="1" applyFill="1"/>
    <xf numFmtId="0" fontId="3" fillId="3" borderId="0" xfId="0" applyFont="1" applyFill="1" applyAlignment="1">
      <alignment horizontal="left" vertical="center" wrapText="1"/>
    </xf>
    <xf numFmtId="0" fontId="4" fillId="4" borderId="0" xfId="0" applyFont="1" applyFill="1" applyAlignment="1">
      <alignment horizontal="left" vertical="center"/>
    </xf>
    <xf numFmtId="0" fontId="3" fillId="0" borderId="0" xfId="0" applyFont="1" applyAlignment="1">
      <alignment horizontal="left" vertical="center" wrapText="1"/>
    </xf>
    <xf numFmtId="0" fontId="25" fillId="0" borderId="62" xfId="0" applyFont="1" applyBorder="1" applyAlignment="1">
      <alignment horizontal="right" vertical="center"/>
    </xf>
    <xf numFmtId="167" fontId="26" fillId="0" borderId="61" xfId="0" applyNumberFormat="1" applyFont="1" applyBorder="1" applyAlignment="1">
      <alignment horizontal="center" vertical="center"/>
    </xf>
    <xf numFmtId="167" fontId="26" fillId="0" borderId="63" xfId="0" applyNumberFormat="1" applyFont="1" applyBorder="1" applyAlignment="1">
      <alignment horizontal="center" vertical="center"/>
    </xf>
    <xf numFmtId="0" fontId="3" fillId="4" borderId="11" xfId="0" applyFont="1" applyFill="1" applyBorder="1" applyAlignment="1">
      <alignment horizontal="left" vertical="center" wrapText="1"/>
    </xf>
    <xf numFmtId="0" fontId="9" fillId="4" borderId="1" xfId="0" applyFont="1" applyFill="1" applyBorder="1" applyAlignment="1">
      <alignment vertical="center"/>
    </xf>
    <xf numFmtId="0" fontId="3" fillId="3" borderId="7" xfId="0" applyNumberFormat="1" applyFont="1" applyFill="1" applyBorder="1" applyAlignment="1">
      <alignment horizontal="left" vertical="center" wrapText="1"/>
    </xf>
    <xf numFmtId="0" fontId="3" fillId="3" borderId="13"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6" fillId="4" borderId="1" xfId="0" applyFont="1" applyFill="1" applyBorder="1" applyAlignment="1">
      <alignment vertical="center"/>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3" fillId="4" borderId="8" xfId="0" applyFont="1" applyFill="1" applyBorder="1" applyAlignment="1">
      <alignment horizontal="left" vertical="center" wrapText="1"/>
    </xf>
    <xf numFmtId="0" fontId="9" fillId="4" borderId="9" xfId="0" applyFont="1" applyFill="1" applyBorder="1" applyAlignment="1">
      <alignment vertical="center"/>
    </xf>
    <xf numFmtId="0" fontId="3" fillId="3" borderId="9" xfId="0" applyFont="1" applyFill="1" applyBorder="1" applyAlignment="1">
      <alignment horizontal="left" vertical="center" wrapText="1"/>
    </xf>
    <xf numFmtId="0" fontId="6" fillId="4" borderId="9" xfId="0" applyFont="1" applyFill="1" applyBorder="1" applyAlignment="1">
      <alignment vertical="center"/>
    </xf>
    <xf numFmtId="0" fontId="13" fillId="0" borderId="4" xfId="0" applyFont="1" applyBorder="1" applyAlignment="1">
      <alignment vertical="center" wrapText="1"/>
    </xf>
    <xf numFmtId="0" fontId="13" fillId="0" borderId="42" xfId="0" applyFont="1" applyBorder="1" applyAlignment="1">
      <alignment vertical="center" wrapText="1"/>
    </xf>
    <xf numFmtId="0" fontId="13" fillId="0" borderId="43" xfId="0" applyFont="1" applyBorder="1" applyAlignment="1">
      <alignment vertical="center" wrapText="1"/>
    </xf>
    <xf numFmtId="0" fontId="16" fillId="0" borderId="25" xfId="0" applyFont="1" applyBorder="1" applyAlignment="1">
      <alignment vertical="center" wrapText="1"/>
    </xf>
    <xf numFmtId="0" fontId="16" fillId="0" borderId="41" xfId="0" applyFont="1" applyBorder="1" applyAlignment="1">
      <alignment horizontal="left" vertical="center" wrapText="1" indent="1"/>
    </xf>
    <xf numFmtId="0" fontId="0" fillId="0" borderId="38" xfId="0" applyBorder="1" applyAlignment="1">
      <alignment horizontal="left" vertical="center"/>
    </xf>
    <xf numFmtId="0" fontId="13" fillId="0" borderId="41" xfId="0" applyFont="1" applyBorder="1" applyAlignment="1">
      <alignment horizontal="left" vertical="center" wrapText="1"/>
    </xf>
    <xf numFmtId="0" fontId="0" fillId="0" borderId="24" xfId="0" applyBorder="1"/>
    <xf numFmtId="0" fontId="16" fillId="0" borderId="41" xfId="0" applyNumberFormat="1" applyFont="1" applyBorder="1" applyAlignment="1">
      <alignment horizontal="left" vertical="center" wrapText="1" inden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0" fillId="0" borderId="35" xfId="0" applyBorder="1" applyAlignment="1">
      <alignment horizontal="left" vertical="center"/>
    </xf>
    <xf numFmtId="0" fontId="16" fillId="0" borderId="20" xfId="0" applyFont="1" applyBorder="1" applyAlignment="1">
      <alignment horizontal="left" vertical="center" wrapText="1" indent="1"/>
    </xf>
    <xf numFmtId="0" fontId="19" fillId="0" borderId="24" xfId="0" applyFont="1" applyBorder="1" applyAlignment="1">
      <alignment horizontal="center" vertical="center"/>
    </xf>
    <xf numFmtId="0" fontId="19" fillId="0" borderId="14" xfId="0" applyFont="1" applyBorder="1" applyAlignment="1">
      <alignment horizontal="center" vertical="center"/>
    </xf>
    <xf numFmtId="0" fontId="19" fillId="0" borderId="24" xfId="0" applyFont="1" applyBorder="1" applyAlignment="1">
      <alignment horizontal="center" vertical="center" wrapText="1"/>
    </xf>
    <xf numFmtId="0" fontId="19" fillId="0" borderId="25" xfId="0" applyFont="1" applyBorder="1" applyAlignment="1">
      <alignment horizontal="center" vertical="center"/>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0" fontId="16" fillId="0" borderId="18" xfId="0" applyFont="1" applyBorder="1"/>
    <xf numFmtId="0" fontId="11" fillId="0" borderId="4" xfId="0" applyFont="1" applyBorder="1" applyAlignment="1">
      <alignment horizontal="center"/>
    </xf>
    <xf numFmtId="0" fontId="0" fillId="0" borderId="4" xfId="0" applyBorder="1" applyAlignment="1">
      <alignment horizontal="center"/>
    </xf>
    <xf numFmtId="0" fontId="14" fillId="0" borderId="14" xfId="0" applyFont="1" applyBorder="1" applyAlignment="1">
      <alignment horizontal="center" vertical="center" wrapText="1"/>
    </xf>
    <xf numFmtId="0" fontId="15" fillId="0" borderId="14" xfId="0" applyFont="1" applyBorder="1"/>
    <xf numFmtId="0" fontId="16" fillId="0" borderId="14" xfId="0" applyFont="1" applyBorder="1" applyAlignment="1">
      <alignment horizontal="left" indent="1"/>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xf numFmtId="0" fontId="17" fillId="0" borderId="17" xfId="0" applyFont="1" applyBorder="1" applyAlignment="1">
      <alignment horizontal="left" vertical="center" wrapText="1"/>
    </xf>
    <xf numFmtId="0" fontId="18" fillId="0" borderId="14" xfId="0" applyFont="1" applyBorder="1" applyAlignment="1">
      <alignment horizontal="left"/>
    </xf>
    <xf numFmtId="3" fontId="13" fillId="0" borderId="5" xfId="0" applyNumberFormat="1" applyFont="1" applyBorder="1" applyAlignment="1">
      <alignment horizontal="center"/>
    </xf>
    <xf numFmtId="3" fontId="13" fillId="0" borderId="67" xfId="0" applyNumberFormat="1" applyFont="1" applyBorder="1" applyAlignment="1">
      <alignment horizontal="center"/>
    </xf>
  </cellXfs>
  <cellStyles count="3">
    <cellStyle name="Moneda" xfId="1" builtinId="4"/>
    <cellStyle name="Moneda_AUTORIZACION Y NOTA DE PEDIDO" xfId="2" xr:uid="{A9A85BC4-0D5B-4EF3-9F39-5D8B0305FB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3"/>
  <sheetViews>
    <sheetView tabSelected="1" zoomScaleNormal="100" workbookViewId="0">
      <selection activeCell="I15" sqref="I15:I18"/>
    </sheetView>
  </sheetViews>
  <sheetFormatPr baseColWidth="10" defaultRowHeight="12.75" x14ac:dyDescent="0.2"/>
  <cols>
    <col min="1" max="1" width="8.42578125" style="75" customWidth="1"/>
    <col min="2" max="2" width="15.28515625" style="19" customWidth="1"/>
    <col min="3" max="3" width="18.85546875" style="19" customWidth="1"/>
    <col min="4" max="4" width="10.7109375" style="19" customWidth="1"/>
    <col min="5" max="5" width="74.140625" style="19" customWidth="1"/>
    <col min="6" max="6" width="10.42578125" style="19" customWidth="1"/>
    <col min="7" max="7" width="7.140625" style="19" customWidth="1"/>
    <col min="8" max="8" width="13.7109375" style="19" customWidth="1"/>
    <col min="9" max="9" width="21.85546875" style="19" customWidth="1"/>
    <col min="10" max="16384" width="11.42578125" style="19"/>
  </cols>
  <sheetData>
    <row r="1" spans="1:28" x14ac:dyDescent="0.2">
      <c r="B1" s="76"/>
      <c r="D1" s="76"/>
    </row>
    <row r="2" spans="1:28" ht="13.5" thickBot="1" x14ac:dyDescent="0.25">
      <c r="B2" s="76"/>
      <c r="D2" s="76"/>
    </row>
    <row r="3" spans="1:28" ht="8.25" customHeight="1" x14ac:dyDescent="0.2">
      <c r="A3" s="105"/>
      <c r="B3" s="77"/>
      <c r="C3" s="78"/>
      <c r="D3" s="78"/>
      <c r="E3" s="79"/>
      <c r="F3" s="80"/>
      <c r="G3" s="80"/>
      <c r="H3" s="81"/>
      <c r="I3" s="82"/>
      <c r="J3" s="83"/>
      <c r="K3" s="83"/>
      <c r="L3" s="83"/>
      <c r="M3" s="83"/>
      <c r="N3" s="83"/>
      <c r="O3" s="83"/>
      <c r="P3" s="83"/>
      <c r="Q3" s="83"/>
      <c r="R3" s="83"/>
      <c r="S3" s="83"/>
      <c r="T3" s="83"/>
      <c r="U3" s="83"/>
      <c r="V3" s="83"/>
      <c r="W3" s="83"/>
      <c r="X3" s="83"/>
      <c r="Y3" s="83"/>
      <c r="Z3" s="83"/>
      <c r="AA3" s="83"/>
      <c r="AB3" s="83"/>
    </row>
    <row r="4" spans="1:28" ht="27" x14ac:dyDescent="0.35">
      <c r="A4" s="106"/>
      <c r="B4" s="141" t="s">
        <v>0</v>
      </c>
      <c r="C4" s="142"/>
      <c r="D4" s="142"/>
      <c r="E4" s="142"/>
      <c r="F4" s="142"/>
      <c r="G4" s="142"/>
      <c r="H4" s="142"/>
      <c r="I4" s="84"/>
      <c r="J4" s="83"/>
      <c r="K4" s="83"/>
      <c r="L4" s="83"/>
      <c r="M4" s="83"/>
      <c r="N4" s="83"/>
      <c r="O4" s="83"/>
      <c r="P4" s="83"/>
      <c r="Q4" s="83"/>
      <c r="R4" s="83"/>
      <c r="S4" s="83"/>
      <c r="T4" s="83"/>
      <c r="U4" s="83"/>
      <c r="V4" s="83"/>
      <c r="W4" s="83"/>
      <c r="X4" s="83"/>
      <c r="Y4" s="83"/>
      <c r="Z4" s="83"/>
      <c r="AA4" s="83"/>
      <c r="AB4" s="83"/>
    </row>
    <row r="5" spans="1:28" ht="15.75" thickBot="1" x14ac:dyDescent="0.25">
      <c r="A5" s="107"/>
      <c r="B5" s="85"/>
      <c r="C5" s="86"/>
      <c r="D5" s="86"/>
      <c r="E5" s="87"/>
      <c r="F5" s="88"/>
      <c r="G5" s="88"/>
      <c r="H5" s="89"/>
      <c r="I5" s="90"/>
      <c r="J5" s="83"/>
      <c r="K5" s="83"/>
      <c r="L5" s="83"/>
      <c r="M5" s="83"/>
      <c r="N5" s="83"/>
      <c r="O5" s="83"/>
      <c r="P5" s="83"/>
      <c r="Q5" s="83"/>
      <c r="R5" s="83"/>
      <c r="S5" s="83"/>
      <c r="T5" s="83"/>
      <c r="U5" s="83"/>
      <c r="V5" s="83"/>
      <c r="W5" s="83"/>
      <c r="X5" s="83"/>
      <c r="Y5" s="83"/>
      <c r="Z5" s="83"/>
      <c r="AA5" s="83"/>
      <c r="AB5" s="83"/>
    </row>
    <row r="6" spans="1:28" ht="18" customHeight="1" x14ac:dyDescent="0.25">
      <c r="A6" s="130" t="s">
        <v>1</v>
      </c>
      <c r="B6" s="131"/>
      <c r="C6" s="143" t="s">
        <v>15</v>
      </c>
      <c r="D6" s="144"/>
      <c r="E6" s="144"/>
      <c r="F6" s="108"/>
      <c r="G6" s="109"/>
      <c r="H6" s="110"/>
      <c r="I6" s="91"/>
      <c r="J6" s="83"/>
      <c r="K6" s="83"/>
      <c r="L6" s="83"/>
      <c r="M6" s="83"/>
      <c r="N6" s="83"/>
      <c r="O6" s="83"/>
      <c r="P6" s="83"/>
      <c r="Q6" s="83"/>
      <c r="R6" s="83"/>
      <c r="S6" s="83"/>
      <c r="T6" s="83"/>
      <c r="U6" s="83"/>
      <c r="V6" s="83"/>
      <c r="W6" s="83"/>
      <c r="X6" s="83"/>
      <c r="Y6" s="83"/>
      <c r="Z6" s="83"/>
      <c r="AA6" s="83"/>
      <c r="AB6" s="83"/>
    </row>
    <row r="7" spans="1:28" ht="23.25" customHeight="1" x14ac:dyDescent="0.2">
      <c r="A7" s="130" t="s">
        <v>2</v>
      </c>
      <c r="B7" s="131"/>
      <c r="C7" s="145" t="s">
        <v>14</v>
      </c>
      <c r="D7" s="146"/>
      <c r="E7" s="146"/>
      <c r="F7" s="108"/>
      <c r="G7" s="109"/>
      <c r="H7" s="110"/>
      <c r="I7" s="91"/>
      <c r="J7" s="83"/>
      <c r="K7" s="83"/>
      <c r="L7" s="83"/>
      <c r="M7" s="83"/>
      <c r="N7" s="83"/>
      <c r="O7" s="83"/>
      <c r="P7" s="83"/>
      <c r="Q7" s="83"/>
      <c r="R7" s="83"/>
      <c r="S7" s="83"/>
      <c r="T7" s="83"/>
      <c r="U7" s="83"/>
      <c r="V7" s="83"/>
      <c r="W7" s="83"/>
      <c r="X7" s="83"/>
      <c r="Y7" s="83"/>
      <c r="Z7" s="83"/>
      <c r="AA7" s="83"/>
      <c r="AB7" s="83"/>
    </row>
    <row r="8" spans="1:28" ht="18" customHeight="1" x14ac:dyDescent="0.25">
      <c r="A8" s="130" t="s">
        <v>50</v>
      </c>
      <c r="B8" s="147"/>
      <c r="C8" s="143" t="s">
        <v>58</v>
      </c>
      <c r="D8" s="143"/>
      <c r="E8" s="143"/>
      <c r="F8" s="108"/>
      <c r="G8" s="109"/>
      <c r="H8" s="110"/>
      <c r="I8" s="91"/>
      <c r="J8" s="83"/>
      <c r="K8" s="83"/>
      <c r="L8" s="83"/>
      <c r="M8" s="83"/>
      <c r="N8" s="83"/>
      <c r="O8" s="83"/>
      <c r="P8" s="83"/>
      <c r="Q8" s="83"/>
      <c r="R8" s="83"/>
      <c r="S8" s="83"/>
      <c r="T8" s="83"/>
      <c r="U8" s="83"/>
      <c r="V8" s="83"/>
      <c r="W8" s="83"/>
      <c r="X8" s="83"/>
      <c r="Y8" s="83"/>
      <c r="Z8" s="83"/>
      <c r="AA8" s="83"/>
      <c r="AB8" s="83"/>
    </row>
    <row r="9" spans="1:28" ht="16.5" customHeight="1" x14ac:dyDescent="0.25">
      <c r="A9" s="130" t="s">
        <v>3</v>
      </c>
      <c r="B9" s="131"/>
      <c r="C9" s="111">
        <v>2021</v>
      </c>
      <c r="D9" s="112"/>
      <c r="E9" s="113"/>
      <c r="F9" s="108"/>
      <c r="G9" s="109"/>
      <c r="H9" s="110"/>
      <c r="I9" s="91"/>
      <c r="J9" s="83"/>
      <c r="K9" s="83"/>
      <c r="L9" s="83"/>
      <c r="M9" s="83"/>
      <c r="N9" s="83"/>
      <c r="O9" s="83"/>
      <c r="P9" s="83"/>
      <c r="Q9" s="83"/>
      <c r="R9" s="83"/>
      <c r="S9" s="83"/>
      <c r="T9" s="83"/>
      <c r="U9" s="83"/>
      <c r="V9" s="83"/>
      <c r="W9" s="83"/>
      <c r="X9" s="83"/>
      <c r="Y9" s="83"/>
      <c r="Z9" s="83"/>
      <c r="AA9" s="83"/>
      <c r="AB9" s="83"/>
    </row>
    <row r="10" spans="1:28" ht="16.5" customHeight="1" x14ac:dyDescent="0.25">
      <c r="A10" s="130" t="s">
        <v>4</v>
      </c>
      <c r="B10" s="131"/>
      <c r="C10" s="111">
        <v>3</v>
      </c>
      <c r="D10" s="112"/>
      <c r="E10" s="113"/>
      <c r="F10" s="108"/>
      <c r="G10" s="109"/>
      <c r="H10" s="110"/>
      <c r="I10" s="91"/>
      <c r="J10" s="83"/>
      <c r="K10" s="83"/>
      <c r="L10" s="83"/>
      <c r="M10" s="83"/>
      <c r="N10" s="83"/>
      <c r="O10" s="83"/>
      <c r="P10" s="83"/>
      <c r="Q10" s="83"/>
      <c r="R10" s="83"/>
      <c r="S10" s="83"/>
      <c r="T10" s="83"/>
      <c r="U10" s="83"/>
      <c r="V10" s="83"/>
      <c r="W10" s="83"/>
      <c r="X10" s="83"/>
      <c r="Y10" s="83"/>
      <c r="Z10" s="83"/>
      <c r="AA10" s="83"/>
      <c r="AB10" s="83"/>
    </row>
    <row r="11" spans="1:28" ht="15" thickBot="1" x14ac:dyDescent="0.25">
      <c r="A11" s="114"/>
      <c r="B11" s="115"/>
      <c r="C11" s="109"/>
      <c r="D11" s="109"/>
      <c r="E11" s="116"/>
      <c r="F11" s="108"/>
      <c r="G11" s="109"/>
      <c r="H11" s="110"/>
      <c r="I11" s="92"/>
      <c r="J11" s="83"/>
      <c r="K11" s="83"/>
      <c r="L11" s="83"/>
      <c r="M11" s="83"/>
      <c r="N11" s="83"/>
      <c r="O11" s="83"/>
      <c r="P11" s="83"/>
      <c r="Q11" s="83"/>
      <c r="R11" s="83"/>
      <c r="S11" s="83"/>
      <c r="T11" s="83"/>
      <c r="U11" s="83"/>
      <c r="V11" s="83"/>
      <c r="W11" s="83"/>
      <c r="X11" s="83"/>
      <c r="Y11" s="83"/>
      <c r="Z11" s="83"/>
      <c r="AA11" s="83"/>
      <c r="AB11" s="83"/>
    </row>
    <row r="12" spans="1:28" ht="38.25" x14ac:dyDescent="0.2">
      <c r="A12" s="93" t="s">
        <v>5</v>
      </c>
      <c r="B12" s="93" t="s">
        <v>6</v>
      </c>
      <c r="C12" s="93" t="s">
        <v>7</v>
      </c>
      <c r="D12" s="93" t="s">
        <v>8</v>
      </c>
      <c r="E12" s="93" t="s">
        <v>9</v>
      </c>
      <c r="F12" s="93" t="s">
        <v>10</v>
      </c>
      <c r="G12" s="93" t="s">
        <v>11</v>
      </c>
      <c r="H12" s="94" t="s">
        <v>12</v>
      </c>
      <c r="I12" s="95" t="s">
        <v>13</v>
      </c>
      <c r="J12" s="83"/>
      <c r="K12" s="83"/>
      <c r="L12" s="83"/>
      <c r="M12" s="83"/>
      <c r="N12" s="83"/>
      <c r="O12" s="83"/>
      <c r="P12" s="83"/>
      <c r="Q12" s="83"/>
      <c r="R12" s="83"/>
      <c r="S12" s="83"/>
      <c r="T12" s="83"/>
      <c r="U12" s="83"/>
      <c r="V12" s="83"/>
      <c r="W12" s="83"/>
      <c r="X12" s="83"/>
      <c r="Y12" s="83"/>
      <c r="Z12" s="83"/>
      <c r="AA12" s="83"/>
      <c r="AB12" s="83"/>
    </row>
    <row r="13" spans="1:28" ht="66" customHeight="1" x14ac:dyDescent="0.2">
      <c r="A13" s="96">
        <v>1</v>
      </c>
      <c r="B13" s="97" t="s">
        <v>61</v>
      </c>
      <c r="C13" s="99" t="s">
        <v>62</v>
      </c>
      <c r="D13" s="98" t="str">
        <f t="shared" ref="D13:D14" si="0">LEFT(B13,5)</f>
        <v>2.3.1</v>
      </c>
      <c r="E13" s="99" t="s">
        <v>63</v>
      </c>
      <c r="F13" s="117" t="s">
        <v>54</v>
      </c>
      <c r="G13" s="117">
        <v>10</v>
      </c>
      <c r="H13" s="118">
        <v>600</v>
      </c>
      <c r="I13" s="119">
        <f t="shared" ref="I13:I18" si="1">H13*G13</f>
        <v>6000</v>
      </c>
      <c r="J13" s="1"/>
      <c r="K13" s="1"/>
      <c r="L13" s="1"/>
      <c r="M13" s="1"/>
      <c r="N13" s="1"/>
      <c r="O13" s="1"/>
      <c r="P13" s="1"/>
      <c r="Q13" s="1"/>
      <c r="R13" s="1"/>
      <c r="S13" s="1"/>
      <c r="T13" s="1"/>
      <c r="U13" s="1"/>
      <c r="V13" s="1"/>
      <c r="W13" s="1"/>
      <c r="X13" s="1"/>
      <c r="Y13" s="1"/>
      <c r="Z13" s="1"/>
      <c r="AA13" s="1"/>
      <c r="AB13" s="1"/>
    </row>
    <row r="14" spans="1:28" ht="50.25" customHeight="1" x14ac:dyDescent="0.2">
      <c r="A14" s="96">
        <v>2</v>
      </c>
      <c r="B14" s="97" t="s">
        <v>64</v>
      </c>
      <c r="C14" s="99" t="s">
        <v>62</v>
      </c>
      <c r="D14" s="98" t="str">
        <f t="shared" si="0"/>
        <v>2.3.1</v>
      </c>
      <c r="E14" s="99" t="s">
        <v>65</v>
      </c>
      <c r="F14" s="120" t="s">
        <v>54</v>
      </c>
      <c r="G14" s="117">
        <v>3</v>
      </c>
      <c r="H14" s="118">
        <v>700</v>
      </c>
      <c r="I14" s="119">
        <f t="shared" si="1"/>
        <v>2100</v>
      </c>
      <c r="J14" s="1"/>
      <c r="K14" s="1"/>
      <c r="L14" s="1"/>
      <c r="M14" s="1"/>
      <c r="N14" s="1"/>
      <c r="O14" s="1"/>
      <c r="P14" s="1"/>
      <c r="Q14" s="1"/>
      <c r="R14" s="1"/>
      <c r="S14" s="1"/>
      <c r="T14" s="1"/>
      <c r="U14" s="1"/>
      <c r="V14" s="1"/>
      <c r="W14" s="1"/>
      <c r="X14" s="1"/>
      <c r="Y14" s="1"/>
      <c r="Z14" s="1"/>
      <c r="AA14" s="1"/>
      <c r="AB14" s="1"/>
    </row>
    <row r="15" spans="1:28" ht="32.25" customHeight="1" x14ac:dyDescent="0.2">
      <c r="A15" s="96">
        <v>3</v>
      </c>
      <c r="B15" s="97" t="s">
        <v>66</v>
      </c>
      <c r="C15" s="99" t="s">
        <v>62</v>
      </c>
      <c r="D15" s="98" t="s">
        <v>67</v>
      </c>
      <c r="E15" s="97" t="s">
        <v>68</v>
      </c>
      <c r="F15" s="120" t="s">
        <v>69</v>
      </c>
      <c r="G15" s="117">
        <v>1</v>
      </c>
      <c r="H15" s="118">
        <v>1500</v>
      </c>
      <c r="I15" s="119">
        <f t="shared" si="1"/>
        <v>1500</v>
      </c>
      <c r="J15" s="1"/>
      <c r="K15" s="1"/>
      <c r="L15" s="1"/>
      <c r="M15" s="1"/>
      <c r="N15" s="1"/>
      <c r="O15" s="1"/>
      <c r="P15" s="1"/>
      <c r="Q15" s="1"/>
      <c r="R15" s="1"/>
      <c r="S15" s="1"/>
      <c r="T15" s="1"/>
      <c r="U15" s="1"/>
      <c r="V15" s="1"/>
      <c r="W15" s="1"/>
      <c r="X15" s="1"/>
      <c r="Y15" s="1"/>
      <c r="Z15" s="1"/>
      <c r="AA15" s="1"/>
      <c r="AB15" s="1"/>
    </row>
    <row r="16" spans="1:28" ht="32.25" customHeight="1" x14ac:dyDescent="0.2">
      <c r="A16" s="96">
        <v>4</v>
      </c>
      <c r="B16" s="97" t="s">
        <v>70</v>
      </c>
      <c r="C16" s="99" t="s">
        <v>62</v>
      </c>
      <c r="D16" s="98" t="s">
        <v>67</v>
      </c>
      <c r="E16" s="99" t="s">
        <v>71</v>
      </c>
      <c r="F16" s="120" t="s">
        <v>54</v>
      </c>
      <c r="G16" s="117">
        <v>10</v>
      </c>
      <c r="H16" s="118">
        <v>150</v>
      </c>
      <c r="I16" s="119">
        <f t="shared" si="1"/>
        <v>1500</v>
      </c>
      <c r="J16" s="1"/>
      <c r="K16" s="1"/>
      <c r="L16" s="1"/>
      <c r="M16" s="1"/>
      <c r="N16" s="1"/>
      <c r="O16" s="1"/>
      <c r="P16" s="1"/>
      <c r="Q16" s="1"/>
      <c r="R16" s="1"/>
      <c r="S16" s="1"/>
      <c r="T16" s="1"/>
      <c r="U16" s="1"/>
      <c r="V16" s="1"/>
      <c r="W16" s="1"/>
      <c r="X16" s="1"/>
      <c r="Y16" s="1"/>
      <c r="Z16" s="1"/>
      <c r="AA16" s="1"/>
      <c r="AB16" s="1"/>
    </row>
    <row r="17" spans="1:28" ht="32.25" customHeight="1" x14ac:dyDescent="0.2">
      <c r="A17" s="96">
        <v>5</v>
      </c>
      <c r="B17" s="97" t="s">
        <v>72</v>
      </c>
      <c r="C17" s="99" t="s">
        <v>62</v>
      </c>
      <c r="D17" s="98" t="s">
        <v>67</v>
      </c>
      <c r="E17" s="99" t="s">
        <v>73</v>
      </c>
      <c r="F17" s="120" t="s">
        <v>54</v>
      </c>
      <c r="G17" s="117">
        <v>10</v>
      </c>
      <c r="H17" s="118">
        <v>80</v>
      </c>
      <c r="I17" s="119">
        <f t="shared" si="1"/>
        <v>800</v>
      </c>
      <c r="J17" s="1"/>
      <c r="K17" s="1"/>
      <c r="L17" s="1"/>
      <c r="M17" s="1"/>
      <c r="N17" s="1"/>
      <c r="O17" s="1"/>
      <c r="P17" s="1"/>
      <c r="Q17" s="1"/>
      <c r="R17" s="1"/>
      <c r="S17" s="1"/>
      <c r="T17" s="1"/>
      <c r="U17" s="1"/>
      <c r="V17" s="1"/>
      <c r="W17" s="1"/>
      <c r="X17" s="1"/>
      <c r="Y17" s="1"/>
      <c r="Z17" s="1"/>
      <c r="AA17" s="1"/>
      <c r="AB17" s="1"/>
    </row>
    <row r="18" spans="1:28" ht="32.25" customHeight="1" x14ac:dyDescent="0.2">
      <c r="A18" s="96">
        <v>6</v>
      </c>
      <c r="B18" s="97" t="s">
        <v>74</v>
      </c>
      <c r="C18" s="99" t="s">
        <v>62</v>
      </c>
      <c r="D18" s="98" t="str">
        <f t="shared" ref="D18" si="2">LEFT(B18,5)</f>
        <v>2.9.2</v>
      </c>
      <c r="E18" s="99" t="s">
        <v>75</v>
      </c>
      <c r="F18" s="120" t="s">
        <v>54</v>
      </c>
      <c r="G18" s="120">
        <v>10</v>
      </c>
      <c r="H18" s="118">
        <v>150</v>
      </c>
      <c r="I18" s="119">
        <f t="shared" si="1"/>
        <v>1500</v>
      </c>
      <c r="J18" s="1"/>
      <c r="K18" s="1"/>
      <c r="L18" s="1"/>
      <c r="M18" s="1"/>
      <c r="N18" s="1"/>
      <c r="O18" s="1"/>
      <c r="P18" s="1"/>
      <c r="Q18" s="1"/>
      <c r="R18" s="1"/>
      <c r="S18" s="1"/>
      <c r="T18" s="1"/>
      <c r="U18" s="1"/>
      <c r="V18" s="1"/>
      <c r="W18" s="1"/>
      <c r="X18" s="1"/>
      <c r="Y18" s="1"/>
      <c r="Z18" s="1"/>
      <c r="AA18" s="1"/>
      <c r="AB18" s="1"/>
    </row>
    <row r="19" spans="1:28" ht="31.5" customHeight="1" x14ac:dyDescent="0.25">
      <c r="A19" s="132" t="s">
        <v>76</v>
      </c>
      <c r="B19" s="132"/>
      <c r="C19" s="132"/>
      <c r="D19" s="132"/>
      <c r="E19" s="132"/>
      <c r="F19" s="132"/>
      <c r="G19" s="132"/>
      <c r="H19" s="132"/>
      <c r="I19" s="121">
        <f>SUM(I13:I18)</f>
        <v>13400</v>
      </c>
      <c r="J19" s="100"/>
      <c r="K19" s="83"/>
      <c r="L19" s="83"/>
      <c r="M19" s="83"/>
      <c r="N19" s="83"/>
      <c r="O19" s="83"/>
      <c r="P19" s="83"/>
      <c r="Q19" s="83"/>
      <c r="R19" s="83"/>
      <c r="S19" s="83"/>
      <c r="T19" s="83"/>
      <c r="U19" s="83"/>
      <c r="V19" s="83"/>
      <c r="W19" s="83"/>
      <c r="X19" s="83"/>
      <c r="Y19" s="83"/>
      <c r="Z19" s="83"/>
      <c r="AA19" s="83"/>
      <c r="AB19" s="83"/>
    </row>
    <row r="20" spans="1:28" ht="13.5" thickBot="1" x14ac:dyDescent="0.25"/>
    <row r="21" spans="1:28" ht="15.75" customHeight="1" x14ac:dyDescent="0.25">
      <c r="A21" s="83"/>
      <c r="B21" s="101" t="s">
        <v>59</v>
      </c>
      <c r="C21" s="102"/>
      <c r="D21" s="52"/>
      <c r="E21" s="53"/>
      <c r="F21" s="83"/>
      <c r="G21" s="83"/>
      <c r="H21" s="122"/>
      <c r="I21" s="123"/>
      <c r="J21" s="83"/>
      <c r="K21" s="83"/>
      <c r="L21" s="83"/>
      <c r="M21" s="83"/>
      <c r="N21" s="83"/>
      <c r="O21" s="83"/>
      <c r="P21" s="83"/>
      <c r="Q21" s="83"/>
      <c r="R21" s="83"/>
      <c r="S21" s="83"/>
      <c r="T21" s="83"/>
      <c r="U21" s="83"/>
      <c r="V21" s="83"/>
      <c r="W21" s="83"/>
      <c r="X21" s="83"/>
      <c r="Y21" s="83"/>
      <c r="Z21" s="83"/>
      <c r="AA21" s="83"/>
      <c r="AB21" s="83"/>
    </row>
    <row r="22" spans="1:28" ht="15.75" customHeight="1" x14ac:dyDescent="0.25">
      <c r="A22" s="83"/>
      <c r="B22" s="133" t="s">
        <v>60</v>
      </c>
      <c r="C22" s="134"/>
      <c r="D22" s="134"/>
      <c r="E22" s="135"/>
      <c r="F22" s="83"/>
      <c r="G22" s="83"/>
      <c r="H22" s="122"/>
      <c r="I22" s="123"/>
      <c r="J22" s="83"/>
      <c r="K22" s="83"/>
      <c r="L22" s="83"/>
      <c r="M22" s="83"/>
      <c r="N22" s="83"/>
      <c r="O22" s="83"/>
      <c r="P22" s="83"/>
      <c r="Q22" s="83"/>
      <c r="R22" s="83"/>
      <c r="S22" s="83"/>
      <c r="T22" s="83"/>
      <c r="U22" s="83"/>
      <c r="V22" s="83"/>
      <c r="W22" s="83"/>
      <c r="X22" s="83"/>
      <c r="Y22" s="83"/>
      <c r="Z22" s="83"/>
      <c r="AA22" s="83"/>
      <c r="AB22" s="83"/>
    </row>
    <row r="23" spans="1:28" ht="15.75" customHeight="1" x14ac:dyDescent="0.25">
      <c r="A23" s="83"/>
      <c r="B23" s="133"/>
      <c r="C23" s="134"/>
      <c r="D23" s="134"/>
      <c r="E23" s="135"/>
      <c r="F23" s="83"/>
      <c r="G23" s="83"/>
      <c r="H23" s="122"/>
      <c r="I23" s="123"/>
      <c r="J23" s="83"/>
      <c r="K23" s="83"/>
      <c r="L23" s="83"/>
      <c r="M23" s="83"/>
      <c r="N23" s="83"/>
      <c r="O23" s="83"/>
      <c r="P23" s="83"/>
      <c r="Q23" s="83"/>
      <c r="R23" s="83"/>
      <c r="S23" s="83"/>
      <c r="T23" s="83"/>
      <c r="U23" s="83"/>
      <c r="V23" s="83"/>
      <c r="W23" s="83"/>
      <c r="X23" s="83"/>
      <c r="Y23" s="83"/>
      <c r="Z23" s="83"/>
      <c r="AA23" s="83"/>
      <c r="AB23" s="83"/>
    </row>
    <row r="24" spans="1:28" ht="15.75" customHeight="1" x14ac:dyDescent="0.25">
      <c r="A24" s="83"/>
      <c r="B24" s="133"/>
      <c r="C24" s="134"/>
      <c r="D24" s="134"/>
      <c r="E24" s="135"/>
      <c r="F24" s="83"/>
      <c r="G24" s="83"/>
      <c r="H24" s="122"/>
      <c r="I24" s="123"/>
      <c r="J24" s="83"/>
      <c r="K24" s="83"/>
      <c r="L24" s="83"/>
      <c r="M24" s="83"/>
      <c r="N24" s="83"/>
      <c r="O24" s="83"/>
      <c r="P24" s="83"/>
      <c r="Q24" s="83"/>
      <c r="R24" s="83"/>
      <c r="S24" s="83"/>
      <c r="T24" s="83"/>
      <c r="U24" s="83"/>
      <c r="V24" s="83"/>
      <c r="W24" s="83"/>
      <c r="X24" s="83"/>
      <c r="Y24" s="83"/>
      <c r="Z24" s="83"/>
      <c r="AA24" s="83"/>
      <c r="AB24" s="83"/>
    </row>
    <row r="25" spans="1:28" ht="15.75" customHeight="1" x14ac:dyDescent="0.25">
      <c r="A25" s="83"/>
      <c r="B25" s="133"/>
      <c r="C25" s="134"/>
      <c r="D25" s="134"/>
      <c r="E25" s="135"/>
      <c r="F25" s="83"/>
      <c r="G25" s="83"/>
      <c r="H25" s="122"/>
      <c r="I25" s="123"/>
      <c r="J25" s="83"/>
      <c r="K25" s="83"/>
      <c r="L25" s="83"/>
      <c r="M25" s="83"/>
      <c r="N25" s="83"/>
      <c r="O25" s="83"/>
      <c r="P25" s="83"/>
      <c r="Q25" s="83"/>
      <c r="R25" s="83"/>
      <c r="S25" s="83"/>
      <c r="T25" s="83"/>
      <c r="U25" s="83"/>
      <c r="V25" s="83"/>
      <c r="W25" s="83"/>
      <c r="X25" s="83"/>
      <c r="Y25" s="83"/>
      <c r="Z25" s="83"/>
      <c r="AA25" s="83"/>
      <c r="AB25" s="83"/>
    </row>
    <row r="26" spans="1:28" ht="15.75" customHeight="1" thickBot="1" x14ac:dyDescent="0.3">
      <c r="A26" s="83"/>
      <c r="B26" s="136"/>
      <c r="C26" s="137"/>
      <c r="D26" s="137"/>
      <c r="E26" s="138"/>
      <c r="F26" s="83"/>
      <c r="G26" s="83"/>
      <c r="H26" s="122"/>
      <c r="I26" s="123"/>
      <c r="J26" s="83"/>
      <c r="K26" s="83"/>
      <c r="L26" s="83"/>
      <c r="M26" s="83"/>
      <c r="N26" s="83"/>
      <c r="O26" s="83"/>
      <c r="P26" s="83"/>
      <c r="Q26" s="83"/>
      <c r="R26" s="83"/>
      <c r="S26" s="83"/>
      <c r="T26" s="83"/>
      <c r="U26" s="83"/>
      <c r="V26" s="83"/>
      <c r="W26" s="83"/>
      <c r="X26" s="83"/>
      <c r="Y26" s="83"/>
      <c r="Z26" s="83"/>
      <c r="AA26" s="83"/>
      <c r="AB26" s="83"/>
    </row>
    <row r="28" spans="1:28" ht="13.5" thickBot="1" x14ac:dyDescent="0.25">
      <c r="A28" s="19"/>
      <c r="B28" s="76"/>
      <c r="D28" s="76"/>
    </row>
    <row r="29" spans="1:28" s="50" customFormat="1" ht="15.75" x14ac:dyDescent="0.25">
      <c r="B29" s="51" t="s">
        <v>77</v>
      </c>
      <c r="C29" s="52"/>
      <c r="D29" s="52"/>
      <c r="E29" s="53"/>
    </row>
    <row r="30" spans="1:28" s="50" customFormat="1" ht="5.25" customHeight="1" x14ac:dyDescent="0.25">
      <c r="B30" s="54"/>
      <c r="E30" s="55"/>
    </row>
    <row r="31" spans="1:28" s="50" customFormat="1" ht="15.75" x14ac:dyDescent="0.25">
      <c r="B31" s="56" t="s">
        <v>55</v>
      </c>
      <c r="E31" s="55"/>
    </row>
    <row r="32" spans="1:28" s="50" customFormat="1" ht="21" customHeight="1" x14ac:dyDescent="0.25">
      <c r="B32" s="124"/>
      <c r="C32" s="139" t="s">
        <v>78</v>
      </c>
      <c r="D32" s="139"/>
      <c r="E32" s="140"/>
    </row>
    <row r="33" spans="1:5" ht="13.5" thickBot="1" x14ac:dyDescent="0.25">
      <c r="A33" s="19"/>
      <c r="B33" s="76"/>
      <c r="D33" s="76"/>
    </row>
    <row r="34" spans="1:5" s="50" customFormat="1" ht="15.75" x14ac:dyDescent="0.25">
      <c r="B34" s="51" t="s">
        <v>56</v>
      </c>
      <c r="C34" s="52"/>
      <c r="D34" s="52"/>
      <c r="E34" s="53"/>
    </row>
    <row r="35" spans="1:5" s="50" customFormat="1" ht="4.5" customHeight="1" x14ac:dyDescent="0.25">
      <c r="B35" s="54"/>
      <c r="E35" s="55"/>
    </row>
    <row r="36" spans="1:5" s="50" customFormat="1" ht="15.75" x14ac:dyDescent="0.25">
      <c r="B36" s="56" t="s">
        <v>55</v>
      </c>
      <c r="E36" s="55"/>
    </row>
    <row r="37" spans="1:5" s="50" customFormat="1" ht="15.75" x14ac:dyDescent="0.25">
      <c r="B37" s="56"/>
      <c r="C37" s="128" t="s">
        <v>79</v>
      </c>
      <c r="D37" s="128"/>
      <c r="E37" s="129"/>
    </row>
    <row r="38" spans="1:5" s="50" customFormat="1" ht="0.75" customHeight="1" x14ac:dyDescent="0.25">
      <c r="B38" s="56"/>
      <c r="C38" s="103"/>
      <c r="D38" s="103"/>
      <c r="E38" s="104"/>
    </row>
    <row r="39" spans="1:5" s="50" customFormat="1" ht="5.25" customHeight="1" x14ac:dyDescent="0.25">
      <c r="B39" s="56"/>
      <c r="C39" s="103"/>
      <c r="D39" s="103"/>
      <c r="E39" s="104"/>
    </row>
    <row r="40" spans="1:5" s="50" customFormat="1" ht="6" customHeight="1" x14ac:dyDescent="0.25">
      <c r="B40" s="56"/>
      <c r="C40" s="125"/>
      <c r="D40" s="126"/>
      <c r="E40" s="127"/>
    </row>
    <row r="41" spans="1:5" s="50" customFormat="1" ht="17.25" customHeight="1" thickBot="1" x14ac:dyDescent="0.3">
      <c r="B41" s="57"/>
      <c r="C41" s="58"/>
      <c r="D41" s="58"/>
      <c r="E41" s="59"/>
    </row>
    <row r="42" spans="1:5" s="50" customFormat="1" ht="17.25" customHeight="1" x14ac:dyDescent="0.25"/>
    <row r="43" spans="1:5" s="50" customFormat="1" ht="17.25" customHeight="1" thickBot="1" x14ac:dyDescent="0.3"/>
    <row r="44" spans="1:5" s="50" customFormat="1" ht="17.25" customHeight="1" x14ac:dyDescent="0.25">
      <c r="B44" s="51" t="s">
        <v>80</v>
      </c>
      <c r="C44" s="52"/>
      <c r="D44" s="52"/>
      <c r="E44" s="53"/>
    </row>
    <row r="45" spans="1:5" s="50" customFormat="1" ht="17.25" customHeight="1" x14ac:dyDescent="0.25">
      <c r="B45" s="54"/>
      <c r="E45" s="55"/>
    </row>
    <row r="46" spans="1:5" s="50" customFormat="1" ht="17.25" customHeight="1" x14ac:dyDescent="0.25">
      <c r="B46" s="56" t="s">
        <v>55</v>
      </c>
      <c r="E46" s="55"/>
    </row>
    <row r="47" spans="1:5" s="50" customFormat="1" ht="17.25" customHeight="1" x14ac:dyDescent="0.25">
      <c r="B47" s="56"/>
      <c r="C47" s="128" t="s">
        <v>81</v>
      </c>
      <c r="D47" s="128"/>
      <c r="E47" s="129"/>
    </row>
    <row r="48" spans="1:5" s="50" customFormat="1" ht="17.25" customHeight="1" thickBot="1" x14ac:dyDescent="0.3">
      <c r="B48" s="57"/>
      <c r="C48" s="58"/>
      <c r="D48" s="58"/>
      <c r="E48" s="59"/>
    </row>
    <row r="49" spans="1:4" ht="17.25" customHeight="1" x14ac:dyDescent="0.2">
      <c r="A49" s="19"/>
      <c r="B49" s="76"/>
      <c r="D49" s="76"/>
    </row>
    <row r="50" spans="1:4" ht="17.25" customHeight="1" x14ac:dyDescent="0.2"/>
    <row r="51" spans="1:4" ht="17.25" customHeight="1" x14ac:dyDescent="0.2"/>
    <row r="52" spans="1:4" ht="17.25" customHeight="1" x14ac:dyDescent="0.2"/>
    <row r="53" spans="1:4" ht="17.25" customHeight="1" x14ac:dyDescent="0.2"/>
  </sheetData>
  <mergeCells count="15">
    <mergeCell ref="B4:H4"/>
    <mergeCell ref="C6:E6"/>
    <mergeCell ref="C7:E7"/>
    <mergeCell ref="A8:B8"/>
    <mergeCell ref="C8:E8"/>
    <mergeCell ref="A7:B7"/>
    <mergeCell ref="A6:B6"/>
    <mergeCell ref="C40:E40"/>
    <mergeCell ref="C47:E47"/>
    <mergeCell ref="C37:E37"/>
    <mergeCell ref="A9:B9"/>
    <mergeCell ref="A10:B10"/>
    <mergeCell ref="A19:H19"/>
    <mergeCell ref="B22:E26"/>
    <mergeCell ref="C32:E32"/>
  </mergeCells>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C8D6-5E37-4542-9318-B4303E4FE153}">
  <dimension ref="A1:Z17"/>
  <sheetViews>
    <sheetView topLeftCell="A13" zoomScale="115" zoomScaleNormal="115" workbookViewId="0">
      <selection activeCell="C18" sqref="C18"/>
    </sheetView>
  </sheetViews>
  <sheetFormatPr baseColWidth="10" defaultColWidth="12.5703125" defaultRowHeight="12.75" x14ac:dyDescent="0.2"/>
  <cols>
    <col min="1" max="1" width="4.140625" style="3" customWidth="1"/>
    <col min="2" max="2" width="27.28515625" style="7" customWidth="1"/>
    <col min="3" max="3" width="55.140625" style="3" customWidth="1"/>
    <col min="4" max="4" width="13.7109375" style="3" customWidth="1"/>
    <col min="5" max="5" width="12.85546875" style="7" customWidth="1"/>
    <col min="6" max="6" width="13.5703125" style="3" customWidth="1"/>
    <col min="7" max="7" width="11.28515625" style="3" customWidth="1"/>
    <col min="8" max="25" width="11" style="3" customWidth="1"/>
    <col min="26" max="16384" width="12.5703125" style="3"/>
  </cols>
  <sheetData>
    <row r="1" spans="1:26" ht="23.25" x14ac:dyDescent="0.2">
      <c r="A1" s="157" t="s">
        <v>18</v>
      </c>
      <c r="B1" s="158"/>
      <c r="C1" s="158"/>
      <c r="D1" s="158"/>
      <c r="E1" s="158"/>
      <c r="F1" s="49" t="s">
        <v>19</v>
      </c>
      <c r="G1" s="48" t="s">
        <v>82</v>
      </c>
      <c r="H1" s="1"/>
      <c r="I1" s="1"/>
      <c r="J1" s="1"/>
      <c r="K1" s="1"/>
      <c r="L1" s="1"/>
      <c r="M1" s="1"/>
      <c r="N1" s="1"/>
      <c r="O1" s="1"/>
      <c r="P1" s="1"/>
      <c r="Q1" s="1"/>
      <c r="R1" s="1"/>
      <c r="S1" s="1"/>
      <c r="T1" s="1"/>
      <c r="U1" s="1"/>
      <c r="V1" s="1"/>
      <c r="W1" s="1"/>
      <c r="X1" s="1"/>
      <c r="Y1" s="1"/>
      <c r="Z1" s="1"/>
    </row>
    <row r="2" spans="1:26" x14ac:dyDescent="0.2">
      <c r="A2" s="44"/>
      <c r="B2" s="45"/>
      <c r="C2" s="46"/>
      <c r="D2" s="46"/>
      <c r="E2" s="45"/>
      <c r="F2" s="46"/>
      <c r="G2" s="47"/>
    </row>
    <row r="3" spans="1:26" ht="15" x14ac:dyDescent="0.2">
      <c r="A3" s="11"/>
      <c r="B3" s="12"/>
      <c r="C3" s="12"/>
      <c r="D3" s="12"/>
      <c r="E3" s="12"/>
      <c r="F3" s="13"/>
      <c r="G3" s="14"/>
      <c r="H3" s="1"/>
      <c r="I3" s="1"/>
      <c r="J3" s="1"/>
      <c r="K3" s="1"/>
      <c r="L3" s="1"/>
      <c r="M3" s="1"/>
      <c r="N3" s="1"/>
      <c r="O3" s="1"/>
      <c r="P3" s="1"/>
      <c r="Q3" s="1"/>
      <c r="R3" s="1"/>
      <c r="S3" s="1"/>
      <c r="T3" s="1"/>
      <c r="U3" s="1"/>
      <c r="V3" s="1"/>
      <c r="W3" s="1"/>
      <c r="X3" s="1"/>
      <c r="Y3" s="1"/>
    </row>
    <row r="4" spans="1:26" s="4" customFormat="1" ht="15" x14ac:dyDescent="0.2">
      <c r="A4" s="159" t="s">
        <v>1</v>
      </c>
      <c r="B4" s="160"/>
      <c r="C4" s="161" t="s">
        <v>15</v>
      </c>
      <c r="D4" s="161"/>
      <c r="E4" s="162"/>
      <c r="F4" s="162"/>
      <c r="G4" s="15"/>
      <c r="H4" s="2"/>
      <c r="I4" s="2"/>
      <c r="J4" s="2"/>
      <c r="K4" s="2"/>
      <c r="L4" s="2"/>
      <c r="M4" s="2"/>
      <c r="N4" s="2"/>
      <c r="O4" s="2"/>
      <c r="P4" s="2"/>
      <c r="Q4" s="2"/>
      <c r="R4" s="2"/>
      <c r="S4" s="2"/>
      <c r="T4" s="2"/>
      <c r="U4" s="2"/>
      <c r="V4" s="2"/>
      <c r="W4" s="2"/>
      <c r="X4" s="2"/>
      <c r="Y4" s="2"/>
    </row>
    <row r="5" spans="1:26" s="4" customFormat="1" ht="15" x14ac:dyDescent="0.2">
      <c r="A5" s="151" t="s">
        <v>2</v>
      </c>
      <c r="B5" s="152"/>
      <c r="C5" s="155" t="s">
        <v>14</v>
      </c>
      <c r="D5" s="155"/>
      <c r="E5" s="156"/>
      <c r="F5" s="156"/>
      <c r="G5" s="16"/>
      <c r="H5" s="2"/>
      <c r="I5" s="2"/>
      <c r="J5" s="2"/>
      <c r="K5" s="2"/>
      <c r="L5" s="2"/>
      <c r="M5" s="2"/>
      <c r="N5" s="2"/>
      <c r="O5" s="2"/>
      <c r="P5" s="2"/>
      <c r="Q5" s="2"/>
      <c r="R5" s="2"/>
      <c r="S5" s="2"/>
      <c r="T5" s="2"/>
      <c r="U5" s="2"/>
      <c r="V5" s="2"/>
      <c r="W5" s="2"/>
      <c r="X5" s="2"/>
      <c r="Y5" s="2"/>
    </row>
    <row r="6" spans="1:26" s="4" customFormat="1" ht="15" x14ac:dyDescent="0.2">
      <c r="A6" s="151" t="s">
        <v>50</v>
      </c>
      <c r="B6" s="152"/>
      <c r="C6" s="155" t="s">
        <v>58</v>
      </c>
      <c r="D6" s="155"/>
      <c r="E6" s="156"/>
      <c r="F6" s="156"/>
      <c r="G6" s="16"/>
      <c r="H6" s="2"/>
      <c r="I6" s="2"/>
      <c r="J6" s="2"/>
      <c r="K6" s="2"/>
      <c r="L6" s="2"/>
      <c r="M6" s="2"/>
      <c r="N6" s="2"/>
      <c r="O6" s="2"/>
      <c r="P6" s="2"/>
      <c r="Q6" s="2"/>
      <c r="R6" s="2"/>
      <c r="S6" s="2"/>
      <c r="T6" s="2"/>
      <c r="U6" s="2"/>
      <c r="V6" s="2"/>
      <c r="W6" s="2"/>
      <c r="X6" s="2"/>
      <c r="Y6" s="2"/>
    </row>
    <row r="7" spans="1:26" s="4" customFormat="1" ht="15" customHeight="1" x14ac:dyDescent="0.2">
      <c r="A7" s="151" t="s">
        <v>51</v>
      </c>
      <c r="B7" s="152"/>
      <c r="C7" s="155" t="s">
        <v>58</v>
      </c>
      <c r="D7" s="155"/>
      <c r="E7" s="156"/>
      <c r="F7" s="156"/>
      <c r="G7" s="16"/>
      <c r="H7" s="2"/>
      <c r="I7" s="2"/>
      <c r="J7" s="2"/>
      <c r="K7" s="2"/>
      <c r="L7" s="2"/>
      <c r="M7" s="2"/>
      <c r="N7" s="2"/>
      <c r="O7" s="2"/>
      <c r="P7" s="2"/>
      <c r="Q7" s="2"/>
      <c r="R7" s="2"/>
      <c r="S7" s="2"/>
      <c r="T7" s="2"/>
      <c r="U7" s="2"/>
      <c r="V7" s="2"/>
      <c r="W7" s="2"/>
      <c r="X7" s="2"/>
      <c r="Y7" s="2"/>
    </row>
    <row r="8" spans="1:26" s="4" customFormat="1" ht="16.5" customHeight="1" x14ac:dyDescent="0.2">
      <c r="A8" s="151" t="s">
        <v>4</v>
      </c>
      <c r="B8" s="152"/>
      <c r="C8" s="8" t="s">
        <v>52</v>
      </c>
      <c r="D8" s="8"/>
      <c r="E8" s="5"/>
      <c r="F8" s="8"/>
      <c r="G8" s="16"/>
      <c r="H8" s="2"/>
      <c r="I8" s="2"/>
      <c r="J8" s="2"/>
      <c r="K8" s="2"/>
      <c r="L8" s="2"/>
      <c r="M8" s="2"/>
      <c r="N8" s="2"/>
      <c r="O8" s="2"/>
      <c r="P8" s="2"/>
      <c r="Q8" s="2"/>
      <c r="R8" s="2"/>
      <c r="S8" s="2"/>
      <c r="T8" s="2"/>
      <c r="U8" s="2"/>
      <c r="V8" s="2"/>
      <c r="W8" s="2"/>
      <c r="X8" s="2"/>
      <c r="Y8" s="2"/>
    </row>
    <row r="9" spans="1:26" s="4" customFormat="1" ht="20.25" customHeight="1" x14ac:dyDescent="0.2">
      <c r="A9" s="151" t="s">
        <v>53</v>
      </c>
      <c r="B9" s="152"/>
      <c r="C9" s="153" t="s">
        <v>86</v>
      </c>
      <c r="D9" s="153"/>
      <c r="E9" s="153"/>
      <c r="F9" s="153"/>
      <c r="G9" s="154"/>
      <c r="H9" s="2"/>
      <c r="I9" s="2"/>
      <c r="J9" s="2"/>
      <c r="K9" s="2"/>
      <c r="L9" s="2"/>
      <c r="M9" s="2"/>
      <c r="N9" s="2"/>
      <c r="O9" s="2"/>
      <c r="P9" s="2"/>
      <c r="Q9" s="2"/>
      <c r="R9" s="2"/>
      <c r="S9" s="2"/>
      <c r="T9" s="2"/>
      <c r="U9" s="2"/>
      <c r="V9" s="2"/>
      <c r="W9" s="2"/>
      <c r="X9" s="2"/>
      <c r="Y9" s="2"/>
    </row>
    <row r="10" spans="1:26" s="4" customFormat="1" ht="45" x14ac:dyDescent="0.2">
      <c r="A10" s="9" t="s">
        <v>5</v>
      </c>
      <c r="B10" s="9" t="s">
        <v>16</v>
      </c>
      <c r="C10" s="9" t="s">
        <v>9</v>
      </c>
      <c r="D10" s="9" t="s">
        <v>17</v>
      </c>
      <c r="E10" s="9" t="s">
        <v>10</v>
      </c>
      <c r="F10" s="9" t="s">
        <v>12</v>
      </c>
      <c r="G10" s="10" t="s">
        <v>11</v>
      </c>
      <c r="H10" s="2"/>
      <c r="I10" s="2"/>
      <c r="J10" s="2"/>
      <c r="K10" s="2"/>
      <c r="L10" s="2"/>
      <c r="M10" s="2"/>
      <c r="N10" s="2"/>
      <c r="O10" s="2"/>
      <c r="P10" s="2"/>
      <c r="Q10" s="2"/>
      <c r="R10" s="2"/>
      <c r="S10" s="2"/>
      <c r="T10" s="2"/>
      <c r="U10" s="2"/>
      <c r="V10" s="2"/>
      <c r="W10" s="2"/>
    </row>
    <row r="11" spans="1:26" ht="62.25" customHeight="1" x14ac:dyDescent="0.2">
      <c r="A11" s="72">
        <v>1</v>
      </c>
      <c r="B11" s="97" t="s">
        <v>61</v>
      </c>
      <c r="C11" s="99" t="s">
        <v>63</v>
      </c>
      <c r="D11" s="60" t="s">
        <v>20</v>
      </c>
      <c r="E11" s="117" t="s">
        <v>54</v>
      </c>
      <c r="F11" s="118">
        <v>600</v>
      </c>
      <c r="G11" s="117">
        <v>10</v>
      </c>
      <c r="H11" s="61">
        <f>+F11*G11</f>
        <v>6000</v>
      </c>
      <c r="I11" s="6"/>
      <c r="J11" s="6"/>
      <c r="K11" s="6"/>
      <c r="L11" s="6"/>
      <c r="M11" s="6"/>
      <c r="N11" s="6"/>
      <c r="O11" s="6"/>
      <c r="P11" s="6"/>
      <c r="Q11" s="6"/>
      <c r="R11" s="6"/>
      <c r="S11" s="6"/>
      <c r="T11" s="6"/>
      <c r="U11" s="6"/>
      <c r="V11" s="6"/>
      <c r="W11" s="6"/>
      <c r="X11" s="6"/>
      <c r="Y11" s="6"/>
    </row>
    <row r="12" spans="1:26" ht="72.75" customHeight="1" x14ac:dyDescent="0.2">
      <c r="A12" s="72">
        <v>2</v>
      </c>
      <c r="B12" s="97" t="s">
        <v>64</v>
      </c>
      <c r="C12" s="99" t="s">
        <v>65</v>
      </c>
      <c r="D12" s="60" t="s">
        <v>20</v>
      </c>
      <c r="E12" s="120" t="s">
        <v>54</v>
      </c>
      <c r="F12" s="118">
        <v>700</v>
      </c>
      <c r="G12" s="117">
        <v>3</v>
      </c>
      <c r="H12" s="61">
        <f t="shared" ref="H12:H16" si="0">+F12*G12</f>
        <v>2100</v>
      </c>
    </row>
    <row r="13" spans="1:26" ht="38.25" customHeight="1" x14ac:dyDescent="0.2">
      <c r="A13" s="72">
        <v>3</v>
      </c>
      <c r="B13" s="97" t="s">
        <v>66</v>
      </c>
      <c r="C13" s="97" t="s">
        <v>68</v>
      </c>
      <c r="D13" s="60" t="s">
        <v>88</v>
      </c>
      <c r="E13" s="120" t="s">
        <v>69</v>
      </c>
      <c r="F13" s="118">
        <v>1500</v>
      </c>
      <c r="G13" s="117">
        <v>1</v>
      </c>
      <c r="H13" s="61">
        <f t="shared" si="0"/>
        <v>1500</v>
      </c>
    </row>
    <row r="14" spans="1:26" ht="38.25" customHeight="1" x14ac:dyDescent="0.2">
      <c r="A14" s="72">
        <v>4</v>
      </c>
      <c r="B14" s="97" t="s">
        <v>70</v>
      </c>
      <c r="C14" s="99" t="s">
        <v>71</v>
      </c>
      <c r="D14" s="60" t="s">
        <v>88</v>
      </c>
      <c r="E14" s="120" t="s">
        <v>54</v>
      </c>
      <c r="F14" s="118">
        <v>150</v>
      </c>
      <c r="G14" s="117">
        <v>10</v>
      </c>
      <c r="H14" s="61">
        <f t="shared" si="0"/>
        <v>1500</v>
      </c>
    </row>
    <row r="15" spans="1:26" ht="38.25" customHeight="1" x14ac:dyDescent="0.2">
      <c r="A15" s="72">
        <v>5</v>
      </c>
      <c r="B15" s="97" t="s">
        <v>72</v>
      </c>
      <c r="C15" s="99" t="s">
        <v>73</v>
      </c>
      <c r="D15" s="60" t="s">
        <v>88</v>
      </c>
      <c r="E15" s="120" t="s">
        <v>54</v>
      </c>
      <c r="F15" s="118">
        <v>80</v>
      </c>
      <c r="G15" s="117">
        <v>10</v>
      </c>
      <c r="H15" s="61">
        <f t="shared" si="0"/>
        <v>800</v>
      </c>
    </row>
    <row r="16" spans="1:26" ht="55.5" customHeight="1" x14ac:dyDescent="0.2">
      <c r="A16" s="72">
        <v>6</v>
      </c>
      <c r="B16" s="97" t="s">
        <v>74</v>
      </c>
      <c r="C16" s="99" t="s">
        <v>75</v>
      </c>
      <c r="D16" s="60" t="s">
        <v>20</v>
      </c>
      <c r="E16" s="120" t="s">
        <v>54</v>
      </c>
      <c r="F16" s="118">
        <v>150</v>
      </c>
      <c r="G16" s="120">
        <v>10</v>
      </c>
      <c r="H16" s="61">
        <f t="shared" si="0"/>
        <v>1500</v>
      </c>
    </row>
    <row r="17" spans="1:8" s="75" customFormat="1" ht="25.5" customHeight="1" x14ac:dyDescent="0.2">
      <c r="A17" s="73"/>
      <c r="B17" s="74" t="s">
        <v>57</v>
      </c>
      <c r="C17" s="148" t="s">
        <v>89</v>
      </c>
      <c r="D17" s="148"/>
      <c r="E17" s="148"/>
      <c r="F17" s="149">
        <f>+H17</f>
        <v>13400</v>
      </c>
      <c r="G17" s="150"/>
      <c r="H17" s="61">
        <f>+SUM(H11:H16)</f>
        <v>13400</v>
      </c>
    </row>
  </sheetData>
  <mergeCells count="14">
    <mergeCell ref="A6:B6"/>
    <mergeCell ref="C6:F6"/>
    <mergeCell ref="A7:B7"/>
    <mergeCell ref="C7:F7"/>
    <mergeCell ref="A1:E1"/>
    <mergeCell ref="A4:B4"/>
    <mergeCell ref="C4:F4"/>
    <mergeCell ref="A5:B5"/>
    <mergeCell ref="C5:F5"/>
    <mergeCell ref="C17:E17"/>
    <mergeCell ref="F17:G17"/>
    <mergeCell ref="A9:B9"/>
    <mergeCell ref="C9:G9"/>
    <mergeCell ref="A8:B8"/>
  </mergeCells>
  <pageMargins left="0.7" right="0.7"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AA25-CF92-4780-B708-74969BD2C6FB}">
  <dimension ref="A1:R26"/>
  <sheetViews>
    <sheetView zoomScale="82" zoomScaleNormal="82" workbookViewId="0">
      <selection activeCell="A12" sqref="A12:Q12"/>
    </sheetView>
  </sheetViews>
  <sheetFormatPr baseColWidth="10" defaultColWidth="11" defaultRowHeight="12.75" x14ac:dyDescent="0.2"/>
  <cols>
    <col min="1" max="3" width="4.42578125" style="19" customWidth="1"/>
    <col min="4" max="4" width="5.85546875" style="19" customWidth="1"/>
    <col min="5" max="5" width="6.42578125" style="19" customWidth="1"/>
    <col min="6" max="6" width="5" style="19" bestFit="1" customWidth="1"/>
    <col min="7" max="7" width="4.42578125" style="20" customWidth="1"/>
    <col min="8" max="14" width="4.42578125" style="19" customWidth="1"/>
    <col min="15" max="15" width="14.85546875" style="19" customWidth="1"/>
    <col min="16" max="16" width="24.140625" style="19" customWidth="1"/>
    <col min="17" max="17" width="23.7109375" style="19" customWidth="1"/>
    <col min="18" max="16384" width="11" style="19"/>
  </cols>
  <sheetData>
    <row r="1" spans="1:17" ht="15.75" thickBot="1" x14ac:dyDescent="0.3">
      <c r="A1" s="183" t="s">
        <v>3</v>
      </c>
      <c r="B1" s="184"/>
      <c r="C1" s="184"/>
      <c r="D1" s="193">
        <v>2021</v>
      </c>
      <c r="E1" s="192"/>
      <c r="F1" s="17"/>
      <c r="G1" s="17"/>
      <c r="H1" s="18"/>
      <c r="I1" s="18"/>
      <c r="J1" s="18"/>
      <c r="K1" s="18"/>
      <c r="L1" s="18"/>
      <c r="M1" s="18"/>
      <c r="N1" s="18"/>
      <c r="P1" s="185" t="s">
        <v>21</v>
      </c>
      <c r="Q1" s="185"/>
    </row>
    <row r="2" spans="1:17" ht="15.75" customHeight="1" thickBot="1" x14ac:dyDescent="0.25">
      <c r="H2" s="18"/>
      <c r="I2" s="18"/>
      <c r="J2" s="18"/>
      <c r="K2" s="18"/>
      <c r="L2" s="18"/>
      <c r="M2" s="18"/>
      <c r="N2" s="18"/>
      <c r="P2" s="185"/>
      <c r="Q2" s="185"/>
    </row>
    <row r="4" spans="1:17" s="21" customFormat="1" ht="15" thickBot="1" x14ac:dyDescent="0.25">
      <c r="A4" s="186" t="s">
        <v>22</v>
      </c>
      <c r="B4" s="186"/>
      <c r="C4" s="186"/>
      <c r="D4" s="186"/>
      <c r="E4" s="186"/>
      <c r="F4" s="186"/>
      <c r="G4" s="187" t="s">
        <v>23</v>
      </c>
      <c r="H4" s="187"/>
      <c r="I4" s="187"/>
      <c r="J4" s="187"/>
      <c r="K4" s="187"/>
      <c r="L4" s="187"/>
      <c r="M4" s="187"/>
      <c r="N4" s="187"/>
      <c r="O4" s="187"/>
      <c r="P4" s="187"/>
      <c r="Q4" s="187"/>
    </row>
    <row r="5" spans="1:17" s="21" customFormat="1" ht="17.25" customHeight="1" thickBot="1" x14ac:dyDescent="0.25">
      <c r="A5" s="188" t="s">
        <v>24</v>
      </c>
      <c r="B5" s="189"/>
      <c r="C5" s="189"/>
      <c r="D5" s="189"/>
      <c r="E5" s="189"/>
      <c r="F5" s="190"/>
      <c r="G5" s="187" t="s">
        <v>25</v>
      </c>
      <c r="H5" s="187"/>
      <c r="I5" s="187"/>
      <c r="J5" s="187"/>
      <c r="K5" s="187"/>
      <c r="L5" s="187"/>
      <c r="M5" s="187"/>
      <c r="N5" s="187"/>
      <c r="O5" s="187"/>
      <c r="P5" s="187"/>
      <c r="Q5" s="187"/>
    </row>
    <row r="6" spans="1:17" s="21" customFormat="1" ht="18.75" customHeight="1" thickBot="1" x14ac:dyDescent="0.25">
      <c r="A6" s="188" t="s">
        <v>26</v>
      </c>
      <c r="B6" s="189"/>
      <c r="C6" s="189"/>
      <c r="D6" s="189"/>
      <c r="E6" s="189"/>
      <c r="F6" s="190"/>
      <c r="G6" s="187" t="s">
        <v>58</v>
      </c>
      <c r="H6" s="187"/>
      <c r="I6" s="187"/>
      <c r="J6" s="187"/>
      <c r="K6" s="187"/>
      <c r="L6" s="187"/>
      <c r="M6" s="187"/>
      <c r="N6" s="187"/>
      <c r="O6" s="187"/>
      <c r="P6" s="187"/>
      <c r="Q6" s="187"/>
    </row>
    <row r="7" spans="1:17" s="21" customFormat="1" ht="30.75" customHeight="1" thickBot="1" x14ac:dyDescent="0.25">
      <c r="A7" s="188" t="s">
        <v>27</v>
      </c>
      <c r="B7" s="189"/>
      <c r="C7" s="189"/>
      <c r="D7" s="189"/>
      <c r="E7" s="189"/>
      <c r="F7" s="190"/>
      <c r="G7" s="187" t="s">
        <v>58</v>
      </c>
      <c r="H7" s="187"/>
      <c r="I7" s="187"/>
      <c r="J7" s="187"/>
      <c r="K7" s="187"/>
      <c r="L7" s="187"/>
      <c r="M7" s="187"/>
      <c r="N7" s="187"/>
      <c r="O7" s="187"/>
      <c r="P7" s="187"/>
      <c r="Q7" s="187"/>
    </row>
    <row r="8" spans="1:17" ht="18" customHeight="1" thickBot="1" x14ac:dyDescent="0.25">
      <c r="A8" s="191" t="s">
        <v>28</v>
      </c>
      <c r="B8" s="191"/>
      <c r="C8" s="191"/>
      <c r="D8" s="191"/>
      <c r="E8" s="191"/>
      <c r="F8" s="191"/>
      <c r="G8" s="191"/>
      <c r="H8" s="191"/>
      <c r="I8" s="191"/>
      <c r="J8" s="191"/>
      <c r="K8" s="191"/>
      <c r="L8" s="191"/>
      <c r="M8" s="191"/>
      <c r="N8" s="191"/>
      <c r="O8" s="191"/>
      <c r="P8" s="191"/>
      <c r="Q8" s="191"/>
    </row>
    <row r="9" spans="1:17" ht="14.25" x14ac:dyDescent="0.2">
      <c r="A9" s="182" t="s">
        <v>29</v>
      </c>
      <c r="B9" s="182"/>
      <c r="C9" s="182"/>
      <c r="D9" s="182"/>
      <c r="E9" s="182"/>
      <c r="F9" s="182"/>
      <c r="G9" s="182"/>
      <c r="H9" s="182"/>
      <c r="I9" s="182"/>
      <c r="J9" s="182"/>
      <c r="K9" s="182"/>
      <c r="L9" s="182"/>
      <c r="M9" s="182"/>
      <c r="N9" s="182"/>
      <c r="O9" s="22"/>
      <c r="P9" s="22"/>
      <c r="Q9" s="23"/>
    </row>
    <row r="10" spans="1:17" ht="56.25" customHeight="1" x14ac:dyDescent="0.2">
      <c r="A10" s="175" t="s">
        <v>83</v>
      </c>
      <c r="B10" s="175"/>
      <c r="C10" s="175"/>
      <c r="D10" s="175"/>
      <c r="E10" s="175"/>
      <c r="F10" s="175"/>
      <c r="G10" s="175"/>
      <c r="H10" s="175"/>
      <c r="I10" s="175"/>
      <c r="J10" s="175"/>
      <c r="K10" s="175"/>
      <c r="L10" s="175"/>
      <c r="M10" s="175"/>
      <c r="N10" s="175"/>
      <c r="O10" s="175"/>
      <c r="P10" s="175"/>
      <c r="Q10" s="175"/>
    </row>
    <row r="11" spans="1:17" ht="9" customHeight="1" thickBot="1" x14ac:dyDescent="0.25">
      <c r="A11" s="24"/>
      <c r="B11" s="25"/>
      <c r="C11" s="25"/>
      <c r="D11" s="25"/>
      <c r="E11" s="25"/>
      <c r="F11" s="25"/>
      <c r="G11" s="26"/>
      <c r="H11" s="25"/>
      <c r="I11" s="25"/>
      <c r="J11" s="25"/>
      <c r="K11" s="25"/>
      <c r="L11" s="25"/>
      <c r="M11" s="25"/>
      <c r="N11" s="25"/>
      <c r="O11" s="25"/>
      <c r="P11" s="25"/>
      <c r="Q11" s="27"/>
    </row>
    <row r="12" spans="1:17" ht="15.75" customHeight="1" thickBot="1" x14ac:dyDescent="0.25">
      <c r="A12" s="176" t="s">
        <v>30</v>
      </c>
      <c r="B12" s="176"/>
      <c r="C12" s="176"/>
      <c r="D12" s="176"/>
      <c r="E12" s="176"/>
      <c r="F12" s="176"/>
      <c r="G12" s="176"/>
      <c r="H12" s="176"/>
      <c r="I12" s="176"/>
      <c r="J12" s="176"/>
      <c r="K12" s="176"/>
      <c r="L12" s="176"/>
      <c r="M12" s="176"/>
      <c r="N12" s="176"/>
      <c r="O12" s="176"/>
      <c r="P12" s="176"/>
      <c r="Q12" s="176"/>
    </row>
    <row r="13" spans="1:17" ht="15.75" customHeight="1" thickBot="1" x14ac:dyDescent="0.25">
      <c r="A13" s="177" t="s">
        <v>31</v>
      </c>
      <c r="B13" s="177"/>
      <c r="C13" s="177"/>
      <c r="D13" s="177"/>
      <c r="E13" s="177"/>
      <c r="F13" s="177"/>
      <c r="G13" s="177"/>
      <c r="H13" s="177"/>
      <c r="I13" s="177"/>
      <c r="J13" s="177"/>
      <c r="K13" s="177"/>
      <c r="L13" s="177"/>
      <c r="M13" s="177"/>
      <c r="N13" s="177"/>
      <c r="O13" s="178" t="s">
        <v>32</v>
      </c>
      <c r="P13" s="178"/>
      <c r="Q13" s="179" t="s">
        <v>33</v>
      </c>
    </row>
    <row r="14" spans="1:17" ht="15.75" customHeight="1" thickBot="1" x14ac:dyDescent="0.25">
      <c r="A14" s="28" t="s">
        <v>34</v>
      </c>
      <c r="B14" s="29" t="s">
        <v>35</v>
      </c>
      <c r="C14" s="29" t="s">
        <v>36</v>
      </c>
      <c r="D14" s="29" t="s">
        <v>37</v>
      </c>
      <c r="E14" s="29" t="s">
        <v>38</v>
      </c>
      <c r="F14" s="29" t="s">
        <v>39</v>
      </c>
      <c r="G14" s="30" t="s">
        <v>40</v>
      </c>
      <c r="H14" s="29" t="s">
        <v>41</v>
      </c>
      <c r="I14" s="29" t="s">
        <v>42</v>
      </c>
      <c r="J14" s="29" t="s">
        <v>43</v>
      </c>
      <c r="K14" s="29" t="s">
        <v>43</v>
      </c>
      <c r="L14" s="29" t="s">
        <v>44</v>
      </c>
      <c r="M14" s="31" t="s">
        <v>45</v>
      </c>
      <c r="N14" s="32" t="s">
        <v>46</v>
      </c>
      <c r="O14" s="178"/>
      <c r="P14" s="178"/>
      <c r="Q14" s="179"/>
    </row>
    <row r="15" spans="1:17" ht="24.75" customHeight="1" x14ac:dyDescent="0.2">
      <c r="A15" s="62">
        <v>1</v>
      </c>
      <c r="B15" s="63">
        <v>0</v>
      </c>
      <c r="C15" s="63">
        <v>0</v>
      </c>
      <c r="D15" s="63">
        <v>3</v>
      </c>
      <c r="E15" s="63">
        <v>0</v>
      </c>
      <c r="F15" s="63">
        <v>4901</v>
      </c>
      <c r="G15" s="63">
        <v>1</v>
      </c>
      <c r="H15" s="63">
        <v>3</v>
      </c>
      <c r="I15" s="63">
        <v>2</v>
      </c>
      <c r="J15" s="63">
        <v>3</v>
      </c>
      <c r="K15" s="63">
        <v>1</v>
      </c>
      <c r="L15" s="63">
        <v>0</v>
      </c>
      <c r="M15" s="64">
        <v>1</v>
      </c>
      <c r="N15" s="65" t="s">
        <v>47</v>
      </c>
      <c r="O15" s="180" t="s">
        <v>85</v>
      </c>
      <c r="P15" s="181"/>
      <c r="Q15" s="70">
        <v>8100</v>
      </c>
    </row>
    <row r="16" spans="1:17" ht="30" customHeight="1" x14ac:dyDescent="0.2">
      <c r="A16" s="66">
        <v>1</v>
      </c>
      <c r="B16" s="67">
        <v>0</v>
      </c>
      <c r="C16" s="67">
        <v>0</v>
      </c>
      <c r="D16" s="67">
        <v>3</v>
      </c>
      <c r="E16" s="67">
        <v>0</v>
      </c>
      <c r="F16" s="67">
        <v>4901</v>
      </c>
      <c r="G16" s="67">
        <v>1</v>
      </c>
      <c r="H16" s="67">
        <v>3</v>
      </c>
      <c r="I16" s="67">
        <v>2</v>
      </c>
      <c r="J16" s="67">
        <v>9</v>
      </c>
      <c r="K16" s="67">
        <v>2</v>
      </c>
      <c r="L16" s="67">
        <v>0</v>
      </c>
      <c r="M16" s="68">
        <v>1</v>
      </c>
      <c r="N16" s="69" t="s">
        <v>47</v>
      </c>
      <c r="O16" s="172" t="s">
        <v>84</v>
      </c>
      <c r="P16" s="173"/>
      <c r="Q16" s="71">
        <v>5300</v>
      </c>
    </row>
    <row r="17" spans="1:18" ht="14.25" x14ac:dyDescent="0.2">
      <c r="A17" s="35"/>
      <c r="B17" s="36"/>
      <c r="C17" s="36"/>
      <c r="D17" s="36"/>
      <c r="E17" s="36"/>
      <c r="F17" s="33"/>
      <c r="G17" s="36"/>
      <c r="H17" s="36"/>
      <c r="I17" s="36"/>
      <c r="J17" s="36"/>
      <c r="K17" s="36"/>
      <c r="L17" s="36"/>
      <c r="M17" s="37"/>
      <c r="N17" s="38"/>
      <c r="O17" s="174"/>
      <c r="P17" s="174"/>
      <c r="Q17" s="34"/>
      <c r="R17" s="22"/>
    </row>
    <row r="18" spans="1:18" ht="17.25" customHeight="1" thickBot="1" x14ac:dyDescent="0.25">
      <c r="A18" s="39"/>
      <c r="B18" s="40"/>
      <c r="C18" s="40"/>
      <c r="D18" s="40"/>
      <c r="E18" s="40"/>
      <c r="F18" s="40"/>
      <c r="G18" s="40"/>
      <c r="H18" s="40"/>
      <c r="I18" s="40"/>
      <c r="J18" s="40"/>
      <c r="K18" s="40"/>
      <c r="L18" s="40"/>
      <c r="M18" s="41"/>
      <c r="N18" s="40"/>
      <c r="O18" s="168"/>
      <c r="P18" s="168"/>
      <c r="Q18" s="42"/>
    </row>
    <row r="19" spans="1:18" ht="15.75" thickBot="1" x14ac:dyDescent="0.25">
      <c r="A19" s="169" t="s">
        <v>87</v>
      </c>
      <c r="B19" s="169"/>
      <c r="C19" s="169"/>
      <c r="D19" s="169"/>
      <c r="E19" s="169"/>
      <c r="F19" s="169"/>
      <c r="G19" s="169"/>
      <c r="H19" s="169"/>
      <c r="I19" s="169"/>
      <c r="J19" s="169"/>
      <c r="K19" s="169"/>
      <c r="L19" s="169"/>
      <c r="M19" s="169"/>
      <c r="N19" s="169"/>
      <c r="O19" s="169"/>
      <c r="P19" s="169"/>
      <c r="Q19" s="43">
        <f>SUM(Q15:Q18)</f>
        <v>13400</v>
      </c>
    </row>
    <row r="20" spans="1:18" ht="13.5" thickBot="1" x14ac:dyDescent="0.25">
      <c r="A20" s="170"/>
      <c r="B20" s="170"/>
      <c r="C20" s="170"/>
      <c r="D20" s="170"/>
      <c r="E20" s="170"/>
      <c r="F20" s="170"/>
      <c r="G20" s="170"/>
      <c r="H20" s="170"/>
      <c r="I20" s="170"/>
      <c r="J20" s="170"/>
      <c r="K20" s="170"/>
      <c r="L20" s="170"/>
      <c r="M20" s="170"/>
      <c r="N20" s="170"/>
      <c r="O20" s="170"/>
      <c r="P20" s="170"/>
      <c r="Q20" s="170"/>
    </row>
    <row r="21" spans="1:18" ht="15.75" thickBot="1" x14ac:dyDescent="0.25">
      <c r="A21" s="163" t="s">
        <v>48</v>
      </c>
      <c r="B21" s="164"/>
      <c r="C21" s="164"/>
      <c r="D21" s="164"/>
      <c r="E21" s="164"/>
      <c r="F21" s="165"/>
      <c r="G21" s="166"/>
      <c r="H21" s="166"/>
      <c r="I21" s="166"/>
      <c r="J21" s="166"/>
      <c r="K21" s="166"/>
      <c r="L21" s="166"/>
      <c r="M21" s="166"/>
      <c r="N21" s="166"/>
      <c r="O21" s="166"/>
      <c r="P21" s="166"/>
      <c r="Q21" s="166"/>
    </row>
    <row r="22" spans="1:18" ht="13.5" thickBot="1" x14ac:dyDescent="0.25">
      <c r="A22" s="171" t="s">
        <v>86</v>
      </c>
      <c r="B22" s="171"/>
      <c r="C22" s="171"/>
      <c r="D22" s="171"/>
      <c r="E22" s="171"/>
      <c r="F22" s="171"/>
      <c r="G22" s="171"/>
      <c r="H22" s="171"/>
      <c r="I22" s="171"/>
      <c r="J22" s="171"/>
      <c r="K22" s="171"/>
      <c r="L22" s="171"/>
      <c r="M22" s="171"/>
      <c r="N22" s="171"/>
      <c r="O22" s="171"/>
      <c r="P22" s="171"/>
      <c r="Q22" s="171"/>
    </row>
    <row r="23" spans="1:18" ht="13.5" thickBot="1" x14ac:dyDescent="0.25">
      <c r="A23" s="171"/>
      <c r="B23" s="171"/>
      <c r="C23" s="171"/>
      <c r="D23" s="171"/>
      <c r="E23" s="171"/>
      <c r="F23" s="171"/>
      <c r="G23" s="171"/>
      <c r="H23" s="171"/>
      <c r="I23" s="171"/>
      <c r="J23" s="171"/>
      <c r="K23" s="171"/>
      <c r="L23" s="171"/>
      <c r="M23" s="171"/>
      <c r="N23" s="171"/>
      <c r="O23" s="171"/>
      <c r="P23" s="171"/>
      <c r="Q23" s="171"/>
    </row>
    <row r="24" spans="1:18" ht="15.75" thickBot="1" x14ac:dyDescent="0.25">
      <c r="A24" s="163" t="s">
        <v>49</v>
      </c>
      <c r="B24" s="164"/>
      <c r="C24" s="164"/>
      <c r="D24" s="164"/>
      <c r="E24" s="164"/>
      <c r="F24" s="165"/>
      <c r="G24" s="166"/>
      <c r="H24" s="166"/>
      <c r="I24" s="166"/>
      <c r="J24" s="166"/>
      <c r="K24" s="166"/>
      <c r="L24" s="166"/>
      <c r="M24" s="166"/>
      <c r="N24" s="166"/>
      <c r="O24" s="166"/>
      <c r="P24" s="166"/>
      <c r="Q24" s="166"/>
    </row>
    <row r="25" spans="1:18" ht="13.5" thickBot="1" x14ac:dyDescent="0.25">
      <c r="A25" s="167"/>
      <c r="B25" s="167"/>
      <c r="C25" s="167"/>
      <c r="D25" s="167"/>
      <c r="E25" s="167"/>
      <c r="F25" s="167"/>
      <c r="G25" s="167"/>
      <c r="H25" s="167"/>
      <c r="I25" s="167"/>
      <c r="J25" s="167"/>
      <c r="K25" s="167"/>
      <c r="L25" s="167"/>
      <c r="M25" s="167"/>
      <c r="N25" s="167"/>
      <c r="O25" s="167"/>
      <c r="P25" s="167"/>
      <c r="Q25" s="167"/>
    </row>
    <row r="26" spans="1:18" ht="13.5" thickBot="1" x14ac:dyDescent="0.25">
      <c r="A26" s="167"/>
      <c r="B26" s="167"/>
      <c r="C26" s="167"/>
      <c r="D26" s="167"/>
      <c r="E26" s="167"/>
      <c r="F26" s="167"/>
      <c r="G26" s="167"/>
      <c r="H26" s="167"/>
      <c r="I26" s="167"/>
      <c r="J26" s="167"/>
      <c r="K26" s="167"/>
      <c r="L26" s="167"/>
      <c r="M26" s="167"/>
      <c r="N26" s="167"/>
      <c r="O26" s="167"/>
      <c r="P26" s="167"/>
      <c r="Q26" s="167"/>
    </row>
  </sheetData>
  <mergeCells count="30">
    <mergeCell ref="A9:N9"/>
    <mergeCell ref="A1:C1"/>
    <mergeCell ref="P1:Q2"/>
    <mergeCell ref="A4:F4"/>
    <mergeCell ref="G4:Q4"/>
    <mergeCell ref="A5:F5"/>
    <mergeCell ref="G5:Q5"/>
    <mergeCell ref="A6:F6"/>
    <mergeCell ref="G6:Q6"/>
    <mergeCell ref="A7:F7"/>
    <mergeCell ref="G7:Q7"/>
    <mergeCell ref="A8:Q8"/>
    <mergeCell ref="D1:E1"/>
    <mergeCell ref="O16:P16"/>
    <mergeCell ref="O17:P17"/>
    <mergeCell ref="A10:Q10"/>
    <mergeCell ref="A12:Q12"/>
    <mergeCell ref="A13:N13"/>
    <mergeCell ref="O13:P14"/>
    <mergeCell ref="Q13:Q14"/>
    <mergeCell ref="O15:P15"/>
    <mergeCell ref="A24:F24"/>
    <mergeCell ref="G24:Q24"/>
    <mergeCell ref="A25:Q26"/>
    <mergeCell ref="O18:P18"/>
    <mergeCell ref="A19:P19"/>
    <mergeCell ref="A20:Q20"/>
    <mergeCell ref="A21:F21"/>
    <mergeCell ref="G21:Q21"/>
    <mergeCell ref="A22:Q23"/>
  </mergeCells>
  <pageMargins left="0.7" right="0.7" top="0.75" bottom="0.75" header="0.3" footer="0.3"/>
  <pageSetup paperSize="5" orientation="landscape"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NOTA DE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Aldana Cordoba</cp:lastModifiedBy>
  <cp:revision>2</cp:revision>
  <cp:lastPrinted>2021-06-17T12:54:26Z</cp:lastPrinted>
  <dcterms:created xsi:type="dcterms:W3CDTF">2020-07-17T23:44:49Z</dcterms:created>
  <dcterms:modified xsi:type="dcterms:W3CDTF">2021-06-23T13:32:14Z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